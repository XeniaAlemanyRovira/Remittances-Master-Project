
<file path=[Content_Types].xml><?xml version="1.0" encoding="utf-8"?>
<Types xmlns="http://schemas.openxmlformats.org/package/2006/content-types"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35" windowWidth="21315" windowHeight="9780"/>
  </bookViews>
  <sheets>
    <sheet name="easCAKITDJE" sheetId="2" r:id="rId1"/>
  </sheets>
  <calcPr calcId="125725"/>
</workbook>
</file>

<file path=xl/calcChain.xml><?xml version="1.0" encoding="utf-8"?>
<calcChain xmlns="http://schemas.openxmlformats.org/spreadsheetml/2006/main">
  <c r="B28" i="2"/>
  <c r="B27"/>
  <c r="B26"/>
  <c r="B25"/>
  <c r="B24"/>
  <c r="B23"/>
  <c r="B22"/>
  <c r="B21"/>
  <c r="B20"/>
  <c r="B19"/>
  <c r="B18"/>
  <c r="B17"/>
  <c r="B16"/>
  <c r="B15"/>
  <c r="B14"/>
  <c r="B13"/>
  <c r="B12"/>
  <c r="B11"/>
  <c r="B10"/>
  <c r="B9"/>
  <c r="B8"/>
</calcChain>
</file>

<file path=xl/sharedStrings.xml><?xml version="1.0" encoding="utf-8"?>
<sst xmlns="http://schemas.openxmlformats.org/spreadsheetml/2006/main" count="10" uniqueCount="10">
  <si>
    <t>TOTAL</t>
  </si>
  <si>
    <t xml:space="preserve"> Nivel de Estudios</t>
  </si>
  <si>
    <t xml:space="preserve">Número de Matrículas </t>
  </si>
  <si>
    <t>Porcentaje  de Matrículas</t>
  </si>
  <si>
    <t>Tamaño de la muestra: 842, 321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</si>
  <si>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</si>
  <si>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</si>
  <si>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</si>
  <si>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MATRÍCULAS CONSULARES EXPEDIDAS EN EL ESTADO DE WASHINGTON POR NIVEL DE EDUCACIÓN, 2010</t>
  </si>
  <si>
    <t>Marzo del 2012</t>
  </si>
</sst>
</file>

<file path=xl/styles.xml><?xml version="1.0" encoding="utf-8"?>
<styleSheet xmlns="http://schemas.openxmlformats.org/spreadsheetml/2006/main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Arial"/>
      <family val="2"/>
    </font>
    <font>
      <b/>
      <sz val="11"/>
      <color indexed="8"/>
      <name val="Arial Narrow"/>
      <family val="2"/>
    </font>
    <font>
      <b/>
      <sz val="11"/>
      <color indexed="9"/>
      <name val="Arial Narrow"/>
      <family val="2"/>
    </font>
    <font>
      <sz val="10"/>
      <name val="Arial Narrow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62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3">
    <xf numFmtId="0" fontId="0" fillId="0" borderId="0" xfId="0"/>
    <xf numFmtId="0" fontId="0" fillId="0" borderId="10" xfId="0" applyFont="1" applyBorder="1" applyAlignment="1">
      <alignment wrapText="1"/>
    </xf>
    <xf numFmtId="0" fontId="0" fillId="0" borderId="10" xfId="0" applyFont="1" applyBorder="1" applyAlignment="1">
      <alignment horizontal="right" wrapText="1"/>
    </xf>
    <xf numFmtId="10" fontId="0" fillId="0" borderId="10" xfId="0" applyNumberFormat="1" applyFont="1" applyBorder="1" applyAlignment="1">
      <alignment horizontal="right" wrapText="1"/>
    </xf>
    <xf numFmtId="3" fontId="0" fillId="0" borderId="10" xfId="0" applyNumberFormat="1" applyFont="1" applyBorder="1" applyAlignment="1">
      <alignment horizontal="right" wrapText="1"/>
    </xf>
    <xf numFmtId="0" fontId="18" fillId="0" borderId="0" xfId="0" applyFont="1"/>
    <xf numFmtId="0" fontId="20" fillId="33" borderId="10" xfId="0" applyFont="1" applyFill="1" applyBorder="1" applyAlignment="1">
      <alignment horizontal="center" vertical="center" wrapText="1"/>
    </xf>
    <xf numFmtId="0" fontId="13" fillId="34" borderId="10" xfId="0" applyFont="1" applyFill="1" applyBorder="1" applyAlignment="1">
      <alignment wrapText="1"/>
    </xf>
    <xf numFmtId="3" fontId="13" fillId="34" borderId="10" xfId="0" applyNumberFormat="1" applyFont="1" applyFill="1" applyBorder="1" applyAlignment="1">
      <alignment horizontal="right" wrapText="1"/>
    </xf>
    <xf numFmtId="10" fontId="13" fillId="34" borderId="10" xfId="0" applyNumberFormat="1" applyFont="1" applyFill="1" applyBorder="1" applyAlignment="1">
      <alignment horizontal="right" wrapText="1"/>
    </xf>
    <xf numFmtId="0" fontId="21" fillId="0" borderId="0" xfId="0" applyFont="1"/>
    <xf numFmtId="0" fontId="19" fillId="0" borderId="0" xfId="0" applyFont="1" applyAlignment="1">
      <alignment horizontal="center" wrapText="1"/>
    </xf>
    <xf numFmtId="0" fontId="19" fillId="0" borderId="11" xfId="0" applyFont="1" applyBorder="1" applyAlignment="1">
      <alignment horizont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581244</xdr:colOff>
      <xdr:row>0</xdr:row>
      <xdr:rowOff>123824</xdr:rowOff>
    </xdr:from>
    <xdr:to>
      <xdr:col>1</xdr:col>
      <xdr:colOff>828676</xdr:colOff>
      <xdr:row>3</xdr:row>
      <xdr:rowOff>19050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81244" y="123824"/>
          <a:ext cx="1009432" cy="466726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pic>
    <xdr:clientData/>
  </xdr:twoCellAnchor>
  <xdr:twoCellAnchor>
    <xdr:from>
      <xdr:col>3</xdr:col>
      <xdr:colOff>276226</xdr:colOff>
      <xdr:row>0</xdr:row>
      <xdr:rowOff>104775</xdr:rowOff>
    </xdr:from>
    <xdr:to>
      <xdr:col>4</xdr:col>
      <xdr:colOff>493145</xdr:colOff>
      <xdr:row>3</xdr:row>
      <xdr:rowOff>47624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5124451" y="104775"/>
          <a:ext cx="1293244" cy="51434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36"/>
  <sheetViews>
    <sheetView showGridLines="0" tabSelected="1" topLeftCell="A16" workbookViewId="0">
      <selection activeCell="B36" sqref="B36"/>
    </sheetView>
  </sheetViews>
  <sheetFormatPr baseColWidth="10" defaultRowHeight="15"/>
  <cols>
    <col min="2" max="2" width="44.85546875" customWidth="1"/>
    <col min="3" max="4" width="16.140625" bestFit="1" customWidth="1"/>
  </cols>
  <sheetData>
    <row r="2" spans="1:5">
      <c r="A2" s="5"/>
      <c r="B2" s="5"/>
      <c r="C2" s="5"/>
      <c r="D2" s="5"/>
      <c r="E2" s="5"/>
    </row>
    <row r="3" spans="1:5">
      <c r="A3" s="5"/>
      <c r="B3" s="5"/>
      <c r="C3" s="5"/>
      <c r="D3" s="5"/>
      <c r="E3" s="5"/>
    </row>
    <row r="4" spans="1:5">
      <c r="A4" s="5"/>
      <c r="B4" s="5"/>
      <c r="C4" s="5"/>
      <c r="D4" s="5"/>
      <c r="E4" s="5"/>
    </row>
    <row r="5" spans="1:5">
      <c r="A5" s="5"/>
      <c r="B5" s="11" t="s">
        <v>8</v>
      </c>
      <c r="C5" s="11"/>
      <c r="D5" s="11"/>
      <c r="E5" s="5"/>
    </row>
    <row r="6" spans="1:5">
      <c r="A6" s="5"/>
      <c r="B6" s="12"/>
      <c r="C6" s="12"/>
      <c r="D6" s="12"/>
      <c r="E6" s="5"/>
    </row>
    <row r="7" spans="1:5" ht="33">
      <c r="A7" s="5"/>
      <c r="B7" s="6" t="s">
        <v>1</v>
      </c>
      <c r="C7" s="6" t="s">
        <v>2</v>
      </c>
      <c r="D7" s="6" t="s">
        <v>3</v>
      </c>
      <c r="E7" s="5"/>
    </row>
    <row r="8" spans="1:5">
      <c r="B8" s="1" t="str">
        <f>"SIN ESTUDIOS"</f>
        <v>SIN ESTUDIOS</v>
      </c>
      <c r="C8" s="2">
        <v>215</v>
      </c>
      <c r="D8" s="3">
        <v>2.47E-2</v>
      </c>
    </row>
    <row r="9" spans="1:5">
      <c r="B9" s="1" t="str">
        <f>"1o. PRIMARIA"</f>
        <v>1o. PRIMARIA</v>
      </c>
      <c r="C9" s="2">
        <v>44</v>
      </c>
      <c r="D9" s="3">
        <v>5.1000000000000004E-3</v>
      </c>
    </row>
    <row r="10" spans="1:5">
      <c r="B10" s="1" t="str">
        <f>"2o. PRIMARIA"</f>
        <v>2o. PRIMARIA</v>
      </c>
      <c r="C10" s="2">
        <v>131</v>
      </c>
      <c r="D10" s="3">
        <v>1.5100000000000001E-2</v>
      </c>
    </row>
    <row r="11" spans="1:5">
      <c r="B11" s="1" t="str">
        <f>"3o. PRIMARIA"</f>
        <v>3o. PRIMARIA</v>
      </c>
      <c r="C11" s="2">
        <v>230</v>
      </c>
      <c r="D11" s="3">
        <v>2.6499999999999999E-2</v>
      </c>
    </row>
    <row r="12" spans="1:5">
      <c r="B12" s="1" t="str">
        <f>"4o. PRIMARIA"</f>
        <v>4o. PRIMARIA</v>
      </c>
      <c r="C12" s="2">
        <v>143</v>
      </c>
      <c r="D12" s="3">
        <v>1.6500000000000001E-2</v>
      </c>
    </row>
    <row r="13" spans="1:5">
      <c r="B13" s="1" t="str">
        <f>"5o. PRIMARIA"</f>
        <v>5o. PRIMARIA</v>
      </c>
      <c r="C13" s="2">
        <v>197</v>
      </c>
      <c r="D13" s="3">
        <v>2.2700000000000001E-2</v>
      </c>
    </row>
    <row r="14" spans="1:5">
      <c r="B14" s="1" t="str">
        <f>"6o. PRIMARIA"</f>
        <v>6o. PRIMARIA</v>
      </c>
      <c r="C14" s="4">
        <v>1279</v>
      </c>
      <c r="D14" s="3">
        <v>0.1472</v>
      </c>
    </row>
    <row r="15" spans="1:5">
      <c r="B15" s="1" t="str">
        <f>"PRIMARIA CON CERTIFICADO"</f>
        <v>PRIMARIA CON CERTIFICADO</v>
      </c>
      <c r="C15" s="4">
        <v>1020</v>
      </c>
      <c r="D15" s="3">
        <v>0.1174</v>
      </c>
    </row>
    <row r="16" spans="1:5">
      <c r="B16" s="1" t="str">
        <f>"1o. SECUNDARIA"</f>
        <v>1o. SECUNDARIA</v>
      </c>
      <c r="C16" s="2">
        <v>103</v>
      </c>
      <c r="D16" s="3">
        <v>1.1900000000000001E-2</v>
      </c>
    </row>
    <row r="17" spans="2:4">
      <c r="B17" s="1" t="str">
        <f>"2o. SECUNDARIA"</f>
        <v>2o. SECUNDARIA</v>
      </c>
      <c r="C17" s="2">
        <v>215</v>
      </c>
      <c r="D17" s="3">
        <v>2.47E-2</v>
      </c>
    </row>
    <row r="18" spans="2:4">
      <c r="B18" s="1" t="str">
        <f>"3o. SECUNDARIA"</f>
        <v>3o. SECUNDARIA</v>
      </c>
      <c r="C18" s="2">
        <v>372</v>
      </c>
      <c r="D18" s="3">
        <v>4.2799999999999998E-2</v>
      </c>
    </row>
    <row r="19" spans="2:4">
      <c r="B19" s="1" t="str">
        <f>"SECUNDARIA CON CERTIFICADO"</f>
        <v>SECUNDARIA CON CERTIFICADO</v>
      </c>
      <c r="C19" s="4">
        <v>2946</v>
      </c>
      <c r="D19" s="3">
        <v>0.33910000000000001</v>
      </c>
    </row>
    <row r="20" spans="2:4">
      <c r="B20" s="1" t="str">
        <f>"CAPACITACION TECNICA"</f>
        <v>CAPACITACION TECNICA</v>
      </c>
      <c r="C20" s="2">
        <v>76</v>
      </c>
      <c r="D20" s="3">
        <v>8.6999999999999994E-3</v>
      </c>
    </row>
    <row r="21" spans="2:4">
      <c r="B21" s="1" t="str">
        <f>"PREPARATORIA SIN CERTIFICADO"</f>
        <v>PREPARATORIA SIN CERTIFICADO</v>
      </c>
      <c r="C21" s="2">
        <v>271</v>
      </c>
      <c r="D21" s="3">
        <v>3.1199999999999999E-2</v>
      </c>
    </row>
    <row r="22" spans="2:4">
      <c r="B22" s="1" t="str">
        <f>"PREPARATORIA CON CERTIFICADO"</f>
        <v>PREPARATORIA CON CERTIFICADO</v>
      </c>
      <c r="C22" s="4">
        <v>1237</v>
      </c>
      <c r="D22" s="3">
        <v>0.1424</v>
      </c>
    </row>
    <row r="23" spans="2:4">
      <c r="B23" s="1" t="str">
        <f>"1o. ANO DE PROFESIONAL"</f>
        <v>1o. ANO DE PROFESIONAL</v>
      </c>
      <c r="C23" s="2">
        <v>5</v>
      </c>
      <c r="D23" s="3">
        <v>5.9999999999999995E-4</v>
      </c>
    </row>
    <row r="24" spans="2:4">
      <c r="B24" s="1" t="str">
        <f>"20. ANO DE PROFESIONAL"</f>
        <v>20. ANO DE PROFESIONAL</v>
      </c>
      <c r="C24" s="2">
        <v>12</v>
      </c>
      <c r="D24" s="3">
        <v>1.4E-3</v>
      </c>
    </row>
    <row r="25" spans="2:4">
      <c r="B25" s="1" t="str">
        <f>"3er. ANO DE PROFESIONAL"</f>
        <v>3er. ANO DE PROFESIONAL</v>
      </c>
      <c r="C25" s="2">
        <v>8</v>
      </c>
      <c r="D25" s="3">
        <v>8.9999999999999998E-4</v>
      </c>
    </row>
    <row r="26" spans="2:4">
      <c r="B26" s="1" t="str">
        <f>"4o. ANO DE PROFESIONAL"</f>
        <v>4o. ANO DE PROFESIONAL</v>
      </c>
      <c r="C26" s="2">
        <v>7</v>
      </c>
      <c r="D26" s="3">
        <v>8.0000000000000004E-4</v>
      </c>
    </row>
    <row r="27" spans="2:4">
      <c r="B27" s="1" t="str">
        <f>"PROFESIONAL PASANTE"</f>
        <v>PROFESIONAL PASANTE</v>
      </c>
      <c r="C27" s="2">
        <v>69</v>
      </c>
      <c r="D27" s="3">
        <v>7.9000000000000008E-3</v>
      </c>
    </row>
    <row r="28" spans="2:4">
      <c r="B28" s="1" t="str">
        <f>"PROFESIONAL TITULADO"</f>
        <v>PROFESIONAL TITULADO</v>
      </c>
      <c r="C28" s="2">
        <v>108</v>
      </c>
      <c r="D28" s="3">
        <v>1.24E-2</v>
      </c>
    </row>
    <row r="29" spans="2:4">
      <c r="B29" s="7" t="s">
        <v>0</v>
      </c>
      <c r="C29" s="8">
        <v>8688</v>
      </c>
      <c r="D29" s="9">
        <v>1</v>
      </c>
    </row>
    <row r="32" spans="2:4">
      <c r="B32" s="10" t="s">
        <v>4</v>
      </c>
    </row>
    <row r="33" spans="2:2">
      <c r="B33" s="10" t="s">
        <v>5</v>
      </c>
    </row>
    <row r="34" spans="2:2">
      <c r="B34" s="10" t="s">
        <v>6</v>
      </c>
    </row>
    <row r="35" spans="2:2">
      <c r="B35" s="10" t="s">
        <v>7</v>
      </c>
    </row>
    <row r="36" spans="2:2">
      <c r="B36" s="10" t="s">
        <v>9</v>
      </c>
    </row>
  </sheetData>
  <mergeCells count="1">
    <mergeCell ref="B5:D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easCAKITDJE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ssime01</cp:lastModifiedBy>
  <dcterms:created xsi:type="dcterms:W3CDTF">2012-03-12T22:57:59Z</dcterms:created>
  <dcterms:modified xsi:type="dcterms:W3CDTF">2012-03-13T22:09:49Z</dcterms:modified>
</cp:coreProperties>
</file>