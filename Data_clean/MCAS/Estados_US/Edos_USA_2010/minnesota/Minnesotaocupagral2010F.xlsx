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0U4FZK" sheetId="2" r:id="rId1"/>
  </sheets>
  <calcPr calcId="125725"/>
</workbook>
</file>

<file path=xl/calcChain.xml><?xml version="1.0" encoding="utf-8"?>
<calcChain xmlns="http://schemas.openxmlformats.org/spreadsheetml/2006/main">
  <c r="B21" i="2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<sst xmlns="http://schemas.openxmlformats.org/spreadsheetml/2006/main" count="10" uniqueCount="10">
  <si>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</si>
  <si>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</si>
  <si>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</si>
  <si>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</si>
  <si>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</si>
  <si>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</si>
  <si>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</si>
  <si>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</si>
  <si>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MINNESOTA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</si>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</sst>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29"/>
  <sheetViews>
    <sheetView showGridLines="0" tabSelected="1" topLeftCell="A13" workbookViewId="0">
      <selection activeCell="B29" sqref="B29"/>
    </sheetView>
  </sheetViews>
  <sheetFormatPr baseColWidth="10" defaultRowHeight="15"/>
  <cols>
    <col min="2" max="2" width="39.14062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"11SIN ESTUDIOS"</f>
        <v>11SIN ESTUDIOS</v>
      </c>
      <c r="C8" s="2">
        <v>40</v>
      </c>
      <c r="D8" s="3">
        <v>6.7000000000000002E-3</v>
      </c>
    </row>
    <row r="9" spans="1:5">
      <c r="B9" s="1" t="str">
        <f>"222o. PRIMARIA"</f>
        <v>222o. PRIMARIA</v>
      </c>
      <c r="C9" s="2">
        <v>3</v>
      </c>
      <c r="D9" s="3">
        <v>5.0000000000000001E-4</v>
      </c>
    </row>
    <row r="10" spans="1:5">
      <c r="B10" s="1" t="str">
        <f>"233o. PRIMARIA"</f>
        <v>233o. PRIMARIA</v>
      </c>
      <c r="C10" s="2">
        <v>4</v>
      </c>
      <c r="D10" s="3">
        <v>6.9999999999999999E-4</v>
      </c>
    </row>
    <row r="11" spans="1:5">
      <c r="B11" s="1" t="str">
        <f>"244o. PRIMARIA"</f>
        <v>244o. PRIMARIA</v>
      </c>
      <c r="C11" s="2">
        <v>1</v>
      </c>
      <c r="D11" s="3">
        <v>2.0000000000000001E-4</v>
      </c>
    </row>
    <row r="12" spans="1:5">
      <c r="B12" s="1" t="str">
        <f>"255o. PRIMARIA"</f>
        <v>255o. PRIMARIA</v>
      </c>
      <c r="C12" s="2">
        <v>3</v>
      </c>
      <c r="D12" s="3">
        <v>5.0000000000000001E-4</v>
      </c>
    </row>
    <row r="13" spans="1:5">
      <c r="B13" s="1" t="str">
        <f>"266o. PRIMARIA"</f>
        <v>266o. PRIMARIA</v>
      </c>
      <c r="C13" s="2">
        <v>7</v>
      </c>
      <c r="D13" s="3">
        <v>1.1999999999999999E-3</v>
      </c>
    </row>
    <row r="14" spans="1:5">
      <c r="B14" s="1" t="str">
        <f>"27PRIMARIA CON CERTIFICADO"</f>
        <v>27PRIMARIA CON CERTIFICADO</v>
      </c>
      <c r="C14" s="4">
        <v>1256</v>
      </c>
      <c r="D14" s="3">
        <v>0.21190000000000001</v>
      </c>
    </row>
    <row r="15" spans="1:5">
      <c r="B15" s="1" t="str">
        <f>"333o. SECUNDARIA"</f>
        <v>333o. SECUNDARIA</v>
      </c>
      <c r="C15" s="2">
        <v>1</v>
      </c>
      <c r="D15" s="3">
        <v>2.0000000000000001E-4</v>
      </c>
    </row>
    <row r="16" spans="1:5">
      <c r="B16" s="1" t="str">
        <f>"34SECUNDARIA CON CERTIFICADO"</f>
        <v>34SECUNDARIA CON CERTIFICADO</v>
      </c>
      <c r="C16" s="4">
        <v>2973</v>
      </c>
      <c r="D16" s="3">
        <v>0.50149999999999995</v>
      </c>
    </row>
    <row r="17" spans="2:4">
      <c r="B17" s="1" t="str">
        <f>"41CAPACITACION TECNICA"</f>
        <v>41CAPACITACION TECNICA</v>
      </c>
      <c r="C17" s="2">
        <v>124</v>
      </c>
      <c r="D17" s="3">
        <v>2.0899999999999998E-2</v>
      </c>
    </row>
    <row r="18" spans="2:4">
      <c r="B18" s="1" t="str">
        <f>"51PREPARATORIA SIN CERTIFICADO"</f>
        <v>51PREPARATORIA SIN CERTIFICADO</v>
      </c>
      <c r="C18" s="2">
        <v>60</v>
      </c>
      <c r="D18" s="3">
        <v>1.01E-2</v>
      </c>
    </row>
    <row r="19" spans="2:4">
      <c r="B19" s="1" t="str">
        <f>"52PREPARATORIA CON CERTIFICADO"</f>
        <v>52PREPARATORIA CON CERTIFICADO</v>
      </c>
      <c r="C19" s="4">
        <v>1328</v>
      </c>
      <c r="D19" s="3">
        <v>0.224</v>
      </c>
    </row>
    <row r="20" spans="2:4">
      <c r="B20" s="1" t="str">
        <f>"65PROFESIONAL PASANTE"</f>
        <v>65PROFESIONAL PASANTE</v>
      </c>
      <c r="C20" s="2">
        <v>82</v>
      </c>
      <c r="D20" s="3">
        <v>1.38E-2</v>
      </c>
    </row>
    <row r="21" spans="2:4">
      <c r="B21" s="1" t="str">
        <f>"66PROFESIONAL TITULADO"</f>
        <v>66PROFESIONAL TITULADO</v>
      </c>
      <c r="C21" s="2">
        <v>46</v>
      </c>
      <c r="D21" s="3">
        <v>7.7999999999999996E-3</v>
      </c>
    </row>
    <row r="22" spans="2:4">
      <c r="B22" s="7" t="s">
        <v>0</v>
      </c>
      <c r="C22" s="8">
        <v>5928</v>
      </c>
      <c r="D22" s="9">
        <v>1</v>
      </c>
    </row>
    <row r="25" spans="2:4">
      <c r="B25" s="10" t="s">
        <v>4</v>
      </c>
    </row>
    <row r="26" spans="2:4">
      <c r="B26" s="10" t="s">
        <v>5</v>
      </c>
    </row>
    <row r="27" spans="2:4">
      <c r="B27" s="10" t="s">
        <v>6</v>
      </c>
    </row>
    <row r="28" spans="2:4">
      <c r="B28" s="10" t="s">
        <v>7</v>
      </c>
    </row>
    <row r="29" spans="2:4">
      <c r="B29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easCA0U4FZK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2012-03-12T21:47:55Z</dcterms:created>
  <dcterms:modified xsi:type="dcterms:W3CDTF">2012-03-13T22:04:10Z</dcterms:modified>
</cp:coreProperties>
</file>