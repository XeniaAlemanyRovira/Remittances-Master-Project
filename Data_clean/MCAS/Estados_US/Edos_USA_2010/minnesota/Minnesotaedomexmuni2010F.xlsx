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 3 " sheetId="2" r:id="rId1"/>
  </sheets>
  <calcPr calcId="125725"/>
</workbook>
</file>

<file path=xl/calcChain.xml><?xml version="1.0" encoding="utf-8"?>
<calcChain xmlns="http://schemas.openxmlformats.org/spreadsheetml/2006/main">
  <c r="C914" i="2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B887"/>
  <c r="C886"/>
  <c r="C885"/>
  <c r="C884"/>
  <c r="C883"/>
  <c r="B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B787"/>
  <c r="C786"/>
  <c r="C785"/>
  <c r="C784"/>
  <c r="C783"/>
  <c r="C782"/>
  <c r="C781"/>
  <c r="C780"/>
  <c r="C779"/>
  <c r="C778"/>
  <c r="C777"/>
  <c r="C776"/>
  <c r="C775"/>
  <c r="C774"/>
  <c r="C773"/>
  <c r="C772"/>
  <c r="B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B754"/>
  <c r="C753"/>
  <c r="C752"/>
  <c r="C751"/>
  <c r="C750"/>
  <c r="C749"/>
  <c r="C748"/>
  <c r="C747"/>
  <c r="C746"/>
  <c r="C745"/>
  <c r="B745"/>
  <c r="C744"/>
  <c r="C743"/>
  <c r="C742"/>
  <c r="C741"/>
  <c r="C740"/>
  <c r="C739"/>
  <c r="C738"/>
  <c r="C737"/>
  <c r="C736"/>
  <c r="C735"/>
  <c r="C734"/>
  <c r="C733"/>
  <c r="B733"/>
  <c r="C732"/>
  <c r="C731"/>
  <c r="C730"/>
  <c r="C729"/>
  <c r="C728"/>
  <c r="C727"/>
  <c r="C726"/>
  <c r="C725"/>
  <c r="C724"/>
  <c r="C723"/>
  <c r="C722"/>
  <c r="C721"/>
  <c r="C720"/>
  <c r="C719"/>
  <c r="C718"/>
  <c r="B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B689"/>
  <c r="C688"/>
  <c r="C687"/>
  <c r="C686"/>
  <c r="B686"/>
  <c r="C685"/>
  <c r="C684"/>
  <c r="C683"/>
  <c r="C682"/>
  <c r="C681"/>
  <c r="C680"/>
  <c r="C679"/>
  <c r="C678"/>
  <c r="B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B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B511"/>
  <c r="C510"/>
  <c r="C509"/>
  <c r="C508"/>
  <c r="C507"/>
  <c r="C506"/>
  <c r="C505"/>
  <c r="C504"/>
  <c r="C503"/>
  <c r="C502"/>
  <c r="C501"/>
  <c r="C500"/>
  <c r="B500"/>
  <c r="C499"/>
  <c r="C498"/>
  <c r="C497"/>
  <c r="C496"/>
  <c r="C495"/>
  <c r="C494"/>
  <c r="C493"/>
  <c r="C492"/>
  <c r="B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B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B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B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B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B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B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B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B121"/>
  <c r="C120"/>
  <c r="C119"/>
  <c r="C118"/>
  <c r="C117"/>
  <c r="C116"/>
  <c r="C115"/>
  <c r="C114"/>
  <c r="C113"/>
  <c r="C112"/>
  <c r="C111"/>
  <c r="C110"/>
  <c r="C109"/>
  <c r="C108"/>
  <c r="B108"/>
  <c r="C107"/>
  <c r="C106"/>
  <c r="C105"/>
  <c r="C104"/>
  <c r="C103"/>
  <c r="B103"/>
  <c r="C102"/>
  <c r="C101"/>
  <c r="C100"/>
  <c r="C99"/>
  <c r="C98"/>
  <c r="C97"/>
  <c r="C96"/>
  <c r="C95"/>
  <c r="C94"/>
  <c r="C93"/>
  <c r="C92"/>
  <c r="C91"/>
  <c r="C90"/>
  <c r="C89"/>
  <c r="C88"/>
  <c r="B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B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B27"/>
  <c r="C26"/>
  <c r="C25"/>
  <c r="C24"/>
  <c r="C23"/>
  <c r="C22"/>
  <c r="B22"/>
  <c r="C21"/>
  <c r="C20"/>
  <c r="B20"/>
  <c r="C19"/>
  <c r="C18"/>
  <c r="C17"/>
  <c r="C16"/>
  <c r="B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<sst xmlns="http://schemas.openxmlformats.org/spreadsheetml/2006/main" count="11" uniqueCount="11">
  <si>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</si>
  <si>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</si>
  <si>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Estado de Origen</t>
  </si>
  <si>
    <t xml:space="preserve"> Municipio de Origen</t>
  </si>
  <si>
    <t>Porcentaje de Matrículas</t>
  </si>
  <si>
    <t>MATRÍCULAS CONSULARES DE ALTA SEGURIDAD EXPEDIDAS EN EL ESTADO DE MINNESOTA POR ESTADO Y MUNICIPIO DE LA REPÚBLICA MEXICANA, 2010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</si>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</sst>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/>
    <xf numFmtId="0" fontId="21" fillId="0" borderId="0" xfId="42" applyFont="1"/>
    <xf numFmtId="0" fontId="22" fillId="0" borderId="0" xfId="42" applyFont="1"/>
    <xf numFmtId="0" fontId="23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0" fillId="0" borderId="0" xfId="42" applyFill="1"/>
    <xf numFmtId="0" fontId="0" fillId="0" borderId="0" xfId="0" applyFill="1"/>
    <xf numFmtId="0" fontId="27" fillId="0" borderId="0" xfId="0" applyFont="1"/>
    <xf numFmtId="0" fontId="28" fillId="0" borderId="0" xfId="0" applyFont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3" fillId="0" borderId="0" xfId="42" applyFont="1" applyAlignment="1">
      <alignment horizontal="center" wrapText="1"/>
    </xf>
    <xf numFmtId="0" fontId="23" fillId="0" borderId="11" xfId="42" applyFont="1" applyBorder="1" applyAlignment="1">
      <alignment horizontal="center" wrapText="1"/>
    </xf>
    <xf numFmtId="0" fontId="24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0" xfId="42" applyFont="1" applyBorder="1" applyAlignment="1"/>
    <xf numFmtId="0" fontId="25" fillId="33" borderId="10" xfId="42" applyFont="1" applyFill="1" applyBorder="1" applyAlignment="1">
      <alignment horizontal="center" vertical="center" wrapText="1"/>
    </xf>
    <xf numFmtId="0" fontId="26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20"/>
  <sheetViews>
    <sheetView showGridLines="0" tabSelected="1" zoomScaleNormal="100" workbookViewId="0">
      <selection activeCell="A8" sqref="A8"/>
    </sheetView>
  </sheetViews>
  <sheetFormatPr baseColWidth="10" defaultRowHeight="15"/>
  <cols>
    <col min="2" max="2" width="45.140625" customWidth="1"/>
    <col min="3" max="3" width="27.42578125" customWidth="1"/>
    <col min="4" max="5" width="16.140625" bestFit="1" customWidth="1"/>
  </cols>
  <sheetData>
    <row r="1" spans="1:7">
      <c r="A1" s="4"/>
      <c r="B1" s="5"/>
      <c r="C1" s="4"/>
      <c r="D1" s="6"/>
      <c r="E1" s="6"/>
      <c r="F1" s="4"/>
    </row>
    <row r="2" spans="1:7">
      <c r="A2" s="4"/>
      <c r="B2" s="5"/>
      <c r="C2" s="4"/>
      <c r="D2" s="6"/>
      <c r="E2" s="6"/>
      <c r="F2" s="4"/>
    </row>
    <row r="3" spans="1:7">
      <c r="A3" s="4"/>
      <c r="B3" s="5"/>
      <c r="C3" s="4"/>
      <c r="D3" s="6"/>
      <c r="E3" s="6"/>
      <c r="F3" s="4"/>
    </row>
    <row r="4" spans="1:7">
      <c r="A4" s="4"/>
      <c r="B4" s="5"/>
      <c r="C4" s="4"/>
      <c r="D4" s="6"/>
      <c r="E4" s="6"/>
      <c r="F4" s="4"/>
    </row>
    <row r="5" spans="1:7" ht="16.5">
      <c r="B5" s="7"/>
      <c r="C5" s="8"/>
      <c r="D5" s="9"/>
      <c r="E5" s="9"/>
      <c r="F5" s="8"/>
    </row>
    <row r="6" spans="1:7">
      <c r="B6" s="24" t="s">
        <v>5</v>
      </c>
      <c r="C6" s="24"/>
      <c r="D6" s="24"/>
      <c r="E6" s="24"/>
      <c r="F6" s="8"/>
    </row>
    <row r="7" spans="1:7">
      <c r="A7" s="4"/>
      <c r="B7" s="25"/>
      <c r="C7" s="25"/>
      <c r="D7" s="25"/>
      <c r="E7" s="25"/>
      <c r="F7" s="4"/>
    </row>
    <row r="8" spans="1:7">
      <c r="A8" s="4"/>
      <c r="B8" s="26" t="s">
        <v>2</v>
      </c>
      <c r="C8" s="26" t="s">
        <v>3</v>
      </c>
      <c r="D8" s="29" t="s">
        <v>0</v>
      </c>
      <c r="E8" s="29" t="s">
        <v>4</v>
      </c>
      <c r="F8" s="4"/>
    </row>
    <row r="9" spans="1:7" ht="18" customHeight="1">
      <c r="A9" s="4"/>
      <c r="B9" s="27"/>
      <c r="C9" s="28"/>
      <c r="D9" s="30"/>
      <c r="E9" s="30"/>
      <c r="F9" s="10"/>
      <c r="G9" s="11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16</v>
      </c>
      <c r="E10" s="3">
        <v>2.7000000000000001E-3</v>
      </c>
    </row>
    <row r="11" spans="1:7">
      <c r="B11" s="22"/>
      <c r="C11" s="1" t="str">
        <f>"CALVILLO"</f>
        <v>CALVILLO</v>
      </c>
      <c r="D11" s="2">
        <v>2</v>
      </c>
      <c r="E11" s="3">
        <v>2.9999999999999997E-4</v>
      </c>
    </row>
    <row r="12" spans="1:7">
      <c r="B12" s="22"/>
      <c r="C12" s="1" t="str">
        <f>"JESUS MARIA"</f>
        <v>JESUS MARIA</v>
      </c>
      <c r="D12" s="2">
        <v>7</v>
      </c>
      <c r="E12" s="3">
        <v>1.1999999999999999E-3</v>
      </c>
    </row>
    <row r="13" spans="1:7">
      <c r="B13" s="22"/>
      <c r="C13" s="1" t="str">
        <f>"RINCON DE ROMOS"</f>
        <v>RINCON DE ROMOS</v>
      </c>
      <c r="D13" s="2">
        <v>1</v>
      </c>
      <c r="E13" s="3">
        <v>2.0000000000000001E-4</v>
      </c>
    </row>
    <row r="14" spans="1:7" ht="30">
      <c r="B14" s="22"/>
      <c r="C14" s="1" t="str">
        <f>"SAN FRANCISCO DE LOS ROMO"</f>
        <v>SAN FRANCISCO DE LOS ROMO</v>
      </c>
      <c r="D14" s="2">
        <v>1</v>
      </c>
      <c r="E14" s="3">
        <v>2.0000000000000001E-4</v>
      </c>
    </row>
    <row r="15" spans="1:7">
      <c r="B15" s="23"/>
      <c r="C15" s="18" t="str">
        <f>"Total"</f>
        <v>Total</v>
      </c>
      <c r="D15" s="19">
        <v>27</v>
      </c>
      <c r="E15" s="20">
        <v>4.5999999999999999E-3</v>
      </c>
    </row>
    <row r="16" spans="1:7">
      <c r="B16" s="21" t="str">
        <f>"BAJA CALIFORNIA"</f>
        <v>BAJA CALIFORNIA</v>
      </c>
      <c r="C16" s="1" t="str">
        <f>"ENSENADA"</f>
        <v>ENSENADA</v>
      </c>
      <c r="D16" s="2">
        <v>4</v>
      </c>
      <c r="E16" s="3">
        <v>6.9999999999999999E-4</v>
      </c>
    </row>
    <row r="17" spans="2:5">
      <c r="B17" s="22"/>
      <c r="C17" s="1" t="str">
        <f>"MEXICALI"</f>
        <v>MEXICALI</v>
      </c>
      <c r="D17" s="2">
        <v>3</v>
      </c>
      <c r="E17" s="3">
        <v>5.0000000000000001E-4</v>
      </c>
    </row>
    <row r="18" spans="2:5">
      <c r="B18" s="22"/>
      <c r="C18" s="1" t="str">
        <f>"TIJUANA"</f>
        <v>TIJUANA</v>
      </c>
      <c r="D18" s="2">
        <v>12</v>
      </c>
      <c r="E18" s="3">
        <v>2E-3</v>
      </c>
    </row>
    <row r="19" spans="2:5">
      <c r="B19" s="23"/>
      <c r="C19" s="18" t="str">
        <f>"Total"</f>
        <v>Total</v>
      </c>
      <c r="D19" s="19">
        <v>19</v>
      </c>
      <c r="E19" s="20">
        <v>3.2000000000000002E-3</v>
      </c>
    </row>
    <row r="20" spans="2:5">
      <c r="B20" s="21" t="str">
        <f>"BAJA CALIFORNIA SUR"</f>
        <v>BAJA CALIFORNIA SUR</v>
      </c>
      <c r="C20" s="1" t="str">
        <f>"COMONDU"</f>
        <v>COMONDU</v>
      </c>
      <c r="D20" s="2">
        <v>1</v>
      </c>
      <c r="E20" s="3">
        <v>2.0000000000000001E-4</v>
      </c>
    </row>
    <row r="21" spans="2:5">
      <c r="B21" s="23"/>
      <c r="C21" s="18" t="str">
        <f>"Total"</f>
        <v>Total</v>
      </c>
      <c r="D21" s="19">
        <v>1</v>
      </c>
      <c r="E21" s="20">
        <v>2.0000000000000001E-4</v>
      </c>
    </row>
    <row r="22" spans="2:5">
      <c r="B22" s="21" t="str">
        <f>"CAMPECHE"</f>
        <v>CAMPECHE</v>
      </c>
      <c r="C22" s="1" t="str">
        <f>"CAMPECHE"</f>
        <v>CAMPECHE</v>
      </c>
      <c r="D22" s="2">
        <v>6</v>
      </c>
      <c r="E22" s="3">
        <v>1E-3</v>
      </c>
    </row>
    <row r="23" spans="2:5">
      <c r="B23" s="22"/>
      <c r="C23" s="1" t="str">
        <f>"CARMEN"</f>
        <v>CARMEN</v>
      </c>
      <c r="D23" s="2">
        <v>5</v>
      </c>
      <c r="E23" s="3">
        <v>8.0000000000000004E-4</v>
      </c>
    </row>
    <row r="24" spans="2:5">
      <c r="B24" s="22"/>
      <c r="C24" s="1" t="str">
        <f>"CHAMPOTON"</f>
        <v>CHAMPOTON</v>
      </c>
      <c r="D24" s="2">
        <v>2</v>
      </c>
      <c r="E24" s="3">
        <v>2.9999999999999997E-4</v>
      </c>
    </row>
    <row r="25" spans="2:5">
      <c r="B25" s="22"/>
      <c r="C25" s="1" t="str">
        <f>"ESCARCEGA"</f>
        <v>ESCARCEGA</v>
      </c>
      <c r="D25" s="2">
        <v>1</v>
      </c>
      <c r="E25" s="3">
        <v>2.0000000000000001E-4</v>
      </c>
    </row>
    <row r="26" spans="2:5">
      <c r="B26" s="23"/>
      <c r="C26" s="18" t="str">
        <f>"Total"</f>
        <v>Total</v>
      </c>
      <c r="D26" s="19">
        <v>14</v>
      </c>
      <c r="E26" s="20">
        <v>2.3999999999999998E-3</v>
      </c>
    </row>
    <row r="27" spans="2:5">
      <c r="B27" s="21" t="str">
        <f t="shared" ref="B27" si="0">"CHIAPAS"</f>
        <v>CHIAPAS</v>
      </c>
      <c r="C27" s="1" t="str">
        <f>"ACACOYAGUA"</f>
        <v>ACACOYAGUA</v>
      </c>
      <c r="D27" s="2">
        <v>1</v>
      </c>
      <c r="E27" s="3">
        <v>2.0000000000000001E-4</v>
      </c>
    </row>
    <row r="28" spans="2:5">
      <c r="B28" s="22"/>
      <c r="C28" s="1" t="str">
        <f>"ACAPETAHUA"</f>
        <v>ACAPETAHUA</v>
      </c>
      <c r="D28" s="2">
        <v>1</v>
      </c>
      <c r="E28" s="3">
        <v>2.0000000000000001E-4</v>
      </c>
    </row>
    <row r="29" spans="2:5">
      <c r="B29" s="22"/>
      <c r="C29" s="1" t="str">
        <f>"ANGEL ALBINO CORZO"</f>
        <v>ANGEL ALBINO CORZO</v>
      </c>
      <c r="D29" s="2">
        <v>2</v>
      </c>
      <c r="E29" s="3">
        <v>2.9999999999999997E-4</v>
      </c>
    </row>
    <row r="30" spans="2:5">
      <c r="B30" s="22"/>
      <c r="C30" s="1" t="str">
        <f>"ARRIAGA"</f>
        <v>ARRIAGA</v>
      </c>
      <c r="D30" s="2">
        <v>5</v>
      </c>
      <c r="E30" s="3">
        <v>8.0000000000000004E-4</v>
      </c>
    </row>
    <row r="31" spans="2:5">
      <c r="B31" s="22"/>
      <c r="C31" s="1" t="str">
        <f>"BELLA VISTA"</f>
        <v>BELLA VISTA</v>
      </c>
      <c r="D31" s="2">
        <v>1</v>
      </c>
      <c r="E31" s="3">
        <v>2.0000000000000001E-4</v>
      </c>
    </row>
    <row r="32" spans="2:5">
      <c r="B32" s="22"/>
      <c r="C32" s="1" t="str">
        <f>"CACAHOATAN"</f>
        <v>CACAHOATAN</v>
      </c>
      <c r="D32" s="2">
        <v>1</v>
      </c>
      <c r="E32" s="3">
        <v>2.0000000000000001E-4</v>
      </c>
    </row>
    <row r="33" spans="2:5">
      <c r="B33" s="22"/>
      <c r="C33" s="1" t="str">
        <f>"CHIAPA DE CORZO"</f>
        <v>CHIAPA DE CORZO</v>
      </c>
      <c r="D33" s="2">
        <v>1</v>
      </c>
      <c r="E33" s="3">
        <v>2.0000000000000001E-4</v>
      </c>
    </row>
    <row r="34" spans="2:5">
      <c r="B34" s="22"/>
      <c r="C34" s="1" t="str">
        <f>"COAPILLA"</f>
        <v>COAPILLA</v>
      </c>
      <c r="D34" s="2">
        <v>1</v>
      </c>
      <c r="E34" s="3">
        <v>2.0000000000000001E-4</v>
      </c>
    </row>
    <row r="35" spans="2:5">
      <c r="B35" s="22"/>
      <c r="C35" s="1" t="str">
        <f>"COPAINALA"</f>
        <v>COPAINALA</v>
      </c>
      <c r="D35" s="2">
        <v>2</v>
      </c>
      <c r="E35" s="3">
        <v>2.9999999999999997E-4</v>
      </c>
    </row>
    <row r="36" spans="2:5">
      <c r="B36" s="22"/>
      <c r="C36" s="1" t="str">
        <f>"ESCUINTLA"</f>
        <v>ESCUINTLA</v>
      </c>
      <c r="D36" s="2">
        <v>3</v>
      </c>
      <c r="E36" s="3">
        <v>5.0000000000000001E-4</v>
      </c>
    </row>
    <row r="37" spans="2:5">
      <c r="B37" s="22"/>
      <c r="C37" s="1" t="str">
        <f>"FRONTERA COMALAPA"</f>
        <v>FRONTERA COMALAPA</v>
      </c>
      <c r="D37" s="2">
        <v>9</v>
      </c>
      <c r="E37" s="3">
        <v>1.5E-3</v>
      </c>
    </row>
    <row r="38" spans="2:5">
      <c r="B38" s="22"/>
      <c r="C38" s="1" t="str">
        <f>"HUEHUETAN"</f>
        <v>HUEHUETAN</v>
      </c>
      <c r="D38" s="2">
        <v>1</v>
      </c>
      <c r="E38" s="3">
        <v>2.0000000000000001E-4</v>
      </c>
    </row>
    <row r="39" spans="2:5">
      <c r="B39" s="22"/>
      <c r="C39" s="1" t="str">
        <f>"HUIXTLA"</f>
        <v>HUIXTLA</v>
      </c>
      <c r="D39" s="2">
        <v>2</v>
      </c>
      <c r="E39" s="3">
        <v>2.9999999999999997E-4</v>
      </c>
    </row>
    <row r="40" spans="2:5">
      <c r="B40" s="22"/>
      <c r="C40" s="1" t="str">
        <f>"LA TRINITARIA"</f>
        <v>LA TRINITARIA</v>
      </c>
      <c r="D40" s="2">
        <v>6</v>
      </c>
      <c r="E40" s="3">
        <v>1E-3</v>
      </c>
    </row>
    <row r="41" spans="2:5">
      <c r="B41" s="22"/>
      <c r="C41" s="1" t="str">
        <f>"LAS MARGARITAS"</f>
        <v>LAS MARGARITAS</v>
      </c>
      <c r="D41" s="2">
        <v>7</v>
      </c>
      <c r="E41" s="3">
        <v>1.1999999999999999E-3</v>
      </c>
    </row>
    <row r="42" spans="2:5">
      <c r="B42" s="22"/>
      <c r="C42" s="1" t="str">
        <f>"MAZAPA DE MADERO"</f>
        <v>MAZAPA DE MADERO</v>
      </c>
      <c r="D42" s="2">
        <v>1</v>
      </c>
      <c r="E42" s="3">
        <v>2.0000000000000001E-4</v>
      </c>
    </row>
    <row r="43" spans="2:5">
      <c r="B43" s="22"/>
      <c r="C43" s="1" t="str">
        <f>"MAZATAN"</f>
        <v>MAZATAN</v>
      </c>
      <c r="D43" s="2">
        <v>1</v>
      </c>
      <c r="E43" s="3">
        <v>2.0000000000000001E-4</v>
      </c>
    </row>
    <row r="44" spans="2:5">
      <c r="B44" s="22"/>
      <c r="C44" s="1" t="str">
        <f>"METAPA"</f>
        <v>METAPA</v>
      </c>
      <c r="D44" s="2">
        <v>1</v>
      </c>
      <c r="E44" s="3">
        <v>2.0000000000000001E-4</v>
      </c>
    </row>
    <row r="45" spans="2:5">
      <c r="B45" s="22"/>
      <c r="C45" s="1" t="str">
        <f>"OCOSINGO"</f>
        <v>OCOSINGO</v>
      </c>
      <c r="D45" s="2">
        <v>2</v>
      </c>
      <c r="E45" s="3">
        <v>2.9999999999999997E-4</v>
      </c>
    </row>
    <row r="46" spans="2:5">
      <c r="B46" s="22"/>
      <c r="C46" s="1" t="str">
        <f>"PALENQUE"</f>
        <v>PALENQUE</v>
      </c>
      <c r="D46" s="2">
        <v>2</v>
      </c>
      <c r="E46" s="3">
        <v>2.9999999999999997E-4</v>
      </c>
    </row>
    <row r="47" spans="2:5">
      <c r="B47" s="22"/>
      <c r="C47" s="1" t="str">
        <f>"PIJIJIAPAN"</f>
        <v>PIJIJIAPAN</v>
      </c>
      <c r="D47" s="2">
        <v>5</v>
      </c>
      <c r="E47" s="3">
        <v>8.0000000000000004E-4</v>
      </c>
    </row>
    <row r="48" spans="2:5">
      <c r="B48" s="22"/>
      <c r="C48" s="1" t="str">
        <f>"REFORMA"</f>
        <v>REFORMA</v>
      </c>
      <c r="D48" s="2">
        <v>1</v>
      </c>
      <c r="E48" s="3">
        <v>2.0000000000000001E-4</v>
      </c>
    </row>
    <row r="49" spans="2:5">
      <c r="B49" s="22"/>
      <c r="C49" s="1" t="str">
        <f>"SILTEPEC"</f>
        <v>SILTEPEC</v>
      </c>
      <c r="D49" s="2">
        <v>1</v>
      </c>
      <c r="E49" s="3">
        <v>2.0000000000000001E-4</v>
      </c>
    </row>
    <row r="50" spans="2:5">
      <c r="B50" s="22"/>
      <c r="C50" s="1" t="str">
        <f>"SUCHIATE"</f>
        <v>SUCHIATE</v>
      </c>
      <c r="D50" s="2">
        <v>2</v>
      </c>
      <c r="E50" s="3">
        <v>2.9999999999999997E-4</v>
      </c>
    </row>
    <row r="51" spans="2:5">
      <c r="B51" s="22"/>
      <c r="C51" s="1" t="str">
        <f>"TAPACHULA"</f>
        <v>TAPACHULA</v>
      </c>
      <c r="D51" s="2">
        <v>6</v>
      </c>
      <c r="E51" s="3">
        <v>1E-3</v>
      </c>
    </row>
    <row r="52" spans="2:5">
      <c r="B52" s="22"/>
      <c r="C52" s="1" t="str">
        <f>"TECPATAN"</f>
        <v>TECPATAN</v>
      </c>
      <c r="D52" s="2">
        <v>2</v>
      </c>
      <c r="E52" s="3">
        <v>2.9999999999999997E-4</v>
      </c>
    </row>
    <row r="53" spans="2:5">
      <c r="B53" s="22"/>
      <c r="C53" s="1" t="str">
        <f>"TONALA"</f>
        <v>TONALA</v>
      </c>
      <c r="D53" s="2">
        <v>1</v>
      </c>
      <c r="E53" s="3">
        <v>2.0000000000000001E-4</v>
      </c>
    </row>
    <row r="54" spans="2:5">
      <c r="B54" s="22"/>
      <c r="C54" s="1" t="str">
        <f>"TUMBALA"</f>
        <v>TUMBALA</v>
      </c>
      <c r="D54" s="2">
        <v>1</v>
      </c>
      <c r="E54" s="3">
        <v>2.0000000000000001E-4</v>
      </c>
    </row>
    <row r="55" spans="2:5">
      <c r="B55" s="22"/>
      <c r="C55" s="1" t="str">
        <f>"TUXTLA GUTIERREZ"</f>
        <v>TUXTLA GUTIERREZ</v>
      </c>
      <c r="D55" s="2">
        <v>2</v>
      </c>
      <c r="E55" s="3">
        <v>2.9999999999999997E-4</v>
      </c>
    </row>
    <row r="56" spans="2:5">
      <c r="B56" s="22"/>
      <c r="C56" s="1" t="str">
        <f>"TUZANTAN"</f>
        <v>TUZANTAN</v>
      </c>
      <c r="D56" s="2">
        <v>1</v>
      </c>
      <c r="E56" s="3">
        <v>2.0000000000000001E-4</v>
      </c>
    </row>
    <row r="57" spans="2:5">
      <c r="B57" s="22"/>
      <c r="C57" s="1" t="str">
        <f>"TZIMOL"</f>
        <v>TZIMOL</v>
      </c>
      <c r="D57" s="2">
        <v>1</v>
      </c>
      <c r="E57" s="3">
        <v>2.0000000000000001E-4</v>
      </c>
    </row>
    <row r="58" spans="2:5">
      <c r="B58" s="22"/>
      <c r="C58" s="1" t="str">
        <f>"VENUSTIANO CARRANZA"</f>
        <v>VENUSTIANO CARRANZA</v>
      </c>
      <c r="D58" s="2">
        <v>1</v>
      </c>
      <c r="E58" s="3">
        <v>2.0000000000000001E-4</v>
      </c>
    </row>
    <row r="59" spans="2:5">
      <c r="B59" s="22"/>
      <c r="C59" s="1" t="str">
        <f>"VILLA COMALTITLAN"</f>
        <v>VILLA COMALTITLAN</v>
      </c>
      <c r="D59" s="2">
        <v>1</v>
      </c>
      <c r="E59" s="3">
        <v>2.0000000000000001E-4</v>
      </c>
    </row>
    <row r="60" spans="2:5">
      <c r="B60" s="23"/>
      <c r="C60" s="18" t="str">
        <f>"Total"</f>
        <v>Total</v>
      </c>
      <c r="D60" s="19">
        <v>75</v>
      </c>
      <c r="E60" s="20">
        <v>1.2699999999999999E-2</v>
      </c>
    </row>
    <row r="61" spans="2:5">
      <c r="B61" s="21" t="str">
        <f t="shared" ref="B61" si="1">"CHIHUAHUA"</f>
        <v>CHIHUAHUA</v>
      </c>
      <c r="C61" s="1" t="str">
        <f>"BACHINIVA"</f>
        <v>BACHINIVA</v>
      </c>
      <c r="D61" s="2">
        <v>1</v>
      </c>
      <c r="E61" s="3">
        <v>2.0000000000000001E-4</v>
      </c>
    </row>
    <row r="62" spans="2:5">
      <c r="B62" s="22"/>
      <c r="C62" s="1" t="str">
        <f>"BUENAVENTURA"</f>
        <v>BUENAVENTURA</v>
      </c>
      <c r="D62" s="2">
        <v>1</v>
      </c>
      <c r="E62" s="3">
        <v>2.0000000000000001E-4</v>
      </c>
    </row>
    <row r="63" spans="2:5">
      <c r="B63" s="22"/>
      <c r="C63" s="1" t="str">
        <f>"CAMARGO"</f>
        <v>CAMARGO</v>
      </c>
      <c r="D63" s="2">
        <v>5</v>
      </c>
      <c r="E63" s="3">
        <v>8.0000000000000004E-4</v>
      </c>
    </row>
    <row r="64" spans="2:5">
      <c r="B64" s="22"/>
      <c r="C64" s="1" t="str">
        <f>"CHIHUAHUA"</f>
        <v>CHIHUAHUA</v>
      </c>
      <c r="D64" s="2">
        <v>24</v>
      </c>
      <c r="E64" s="3">
        <v>4.0000000000000001E-3</v>
      </c>
    </row>
    <row r="65" spans="2:5">
      <c r="B65" s="22"/>
      <c r="C65" s="1" t="str">
        <f>"CUAUHTEMOC"</f>
        <v>CUAUHTEMOC</v>
      </c>
      <c r="D65" s="2">
        <v>4</v>
      </c>
      <c r="E65" s="3">
        <v>6.9999999999999999E-4</v>
      </c>
    </row>
    <row r="66" spans="2:5">
      <c r="B66" s="22"/>
      <c r="C66" s="1" t="str">
        <f>"DELICIAS"</f>
        <v>DELICIAS</v>
      </c>
      <c r="D66" s="2">
        <v>16</v>
      </c>
      <c r="E66" s="3">
        <v>2.7000000000000001E-3</v>
      </c>
    </row>
    <row r="67" spans="2:5">
      <c r="B67" s="22"/>
      <c r="C67" s="1" t="str">
        <f>"DR. BELISARIO DOMINGUEZ"</f>
        <v>DR. BELISARIO DOMINGUEZ</v>
      </c>
      <c r="D67" s="2">
        <v>1</v>
      </c>
      <c r="E67" s="3">
        <v>2.0000000000000001E-4</v>
      </c>
    </row>
    <row r="68" spans="2:5">
      <c r="B68" s="22"/>
      <c r="C68" s="1" t="str">
        <f>"EL TULE"</f>
        <v>EL TULE</v>
      </c>
      <c r="D68" s="2">
        <v>1</v>
      </c>
      <c r="E68" s="3">
        <v>2.0000000000000001E-4</v>
      </c>
    </row>
    <row r="69" spans="2:5">
      <c r="B69" s="22"/>
      <c r="C69" s="1" t="str">
        <f>"GALEANA"</f>
        <v>GALEANA</v>
      </c>
      <c r="D69" s="2">
        <v>3</v>
      </c>
      <c r="E69" s="3">
        <v>5.0000000000000001E-4</v>
      </c>
    </row>
    <row r="70" spans="2:5">
      <c r="B70" s="22"/>
      <c r="C70" s="1" t="str">
        <f>"GOMEZ FARIAS"</f>
        <v>GOMEZ FARIAS</v>
      </c>
      <c r="D70" s="2">
        <v>3</v>
      </c>
      <c r="E70" s="3">
        <v>5.0000000000000001E-4</v>
      </c>
    </row>
    <row r="71" spans="2:5">
      <c r="B71" s="22"/>
      <c r="C71" s="1" t="str">
        <f>"GRAN MORELOS"</f>
        <v>GRAN MORELOS</v>
      </c>
      <c r="D71" s="2">
        <v>1</v>
      </c>
      <c r="E71" s="3">
        <v>2.0000000000000001E-4</v>
      </c>
    </row>
    <row r="72" spans="2:5">
      <c r="B72" s="22"/>
      <c r="C72" s="1" t="str">
        <f>"GUACHOCHI"</f>
        <v>GUACHOCHI</v>
      </c>
      <c r="D72" s="2">
        <v>1</v>
      </c>
      <c r="E72" s="3">
        <v>2.0000000000000001E-4</v>
      </c>
    </row>
    <row r="73" spans="2:5">
      <c r="B73" s="22"/>
      <c r="C73" s="1" t="str">
        <f>"GUERRERO"</f>
        <v>GUERRERO</v>
      </c>
      <c r="D73" s="2">
        <v>1</v>
      </c>
      <c r="E73" s="3">
        <v>2.0000000000000001E-4</v>
      </c>
    </row>
    <row r="74" spans="2:5">
      <c r="B74" s="22"/>
      <c r="C74" s="1" t="str">
        <f>"HIDALGO DEL PARRAL"</f>
        <v>HIDALGO DEL PARRAL</v>
      </c>
      <c r="D74" s="2">
        <v>4</v>
      </c>
      <c r="E74" s="3">
        <v>6.9999999999999999E-4</v>
      </c>
    </row>
    <row r="75" spans="2:5">
      <c r="B75" s="22"/>
      <c r="C75" s="1" t="str">
        <f>"IGNACIO ZARAGOZA"</f>
        <v>IGNACIO ZARAGOZA</v>
      </c>
      <c r="D75" s="2">
        <v>2</v>
      </c>
      <c r="E75" s="3">
        <v>2.9999999999999997E-4</v>
      </c>
    </row>
    <row r="76" spans="2:5">
      <c r="B76" s="22"/>
      <c r="C76" s="1" t="str">
        <f>"JIMENEZ"</f>
        <v>JIMENEZ</v>
      </c>
      <c r="D76" s="2">
        <v>5</v>
      </c>
      <c r="E76" s="3">
        <v>8.0000000000000004E-4</v>
      </c>
    </row>
    <row r="77" spans="2:5">
      <c r="B77" s="22"/>
      <c r="C77" s="1" t="str">
        <f>"JUAREZ"</f>
        <v>JUAREZ</v>
      </c>
      <c r="D77" s="2">
        <v>18</v>
      </c>
      <c r="E77" s="3">
        <v>3.0000000000000001E-3</v>
      </c>
    </row>
    <row r="78" spans="2:5">
      <c r="B78" s="22"/>
      <c r="C78" s="1" t="str">
        <f>"MADERA"</f>
        <v>MADERA</v>
      </c>
      <c r="D78" s="2">
        <v>1</v>
      </c>
      <c r="E78" s="3">
        <v>2.0000000000000001E-4</v>
      </c>
    </row>
    <row r="79" spans="2:5">
      <c r="B79" s="22"/>
      <c r="C79" s="1" t="str">
        <f>"MATACHI"</f>
        <v>MATACHI</v>
      </c>
      <c r="D79" s="2">
        <v>1</v>
      </c>
      <c r="E79" s="3">
        <v>2.0000000000000001E-4</v>
      </c>
    </row>
    <row r="80" spans="2:5">
      <c r="B80" s="22"/>
      <c r="C80" s="1" t="str">
        <f>"MEOQUI"</f>
        <v>MEOQUI</v>
      </c>
      <c r="D80" s="2">
        <v>3</v>
      </c>
      <c r="E80" s="3">
        <v>5.0000000000000001E-4</v>
      </c>
    </row>
    <row r="81" spans="2:5">
      <c r="B81" s="22"/>
      <c r="C81" s="1" t="str">
        <f>"NUEVO CASAS GRANDES"</f>
        <v>NUEVO CASAS GRANDES</v>
      </c>
      <c r="D81" s="2">
        <v>2</v>
      </c>
      <c r="E81" s="3">
        <v>2.9999999999999997E-4</v>
      </c>
    </row>
    <row r="82" spans="2:5">
      <c r="B82" s="22"/>
      <c r="C82" s="1" t="str">
        <f>"OJINAGA"</f>
        <v>OJINAGA</v>
      </c>
      <c r="D82" s="2">
        <v>2</v>
      </c>
      <c r="E82" s="3">
        <v>2.9999999999999997E-4</v>
      </c>
    </row>
    <row r="83" spans="2:5">
      <c r="B83" s="22"/>
      <c r="C83" s="1" t="str">
        <f>"SAN FRANCISCO DEL ORO"</f>
        <v>SAN FRANCISCO DEL ORO</v>
      </c>
      <c r="D83" s="2">
        <v>1</v>
      </c>
      <c r="E83" s="3">
        <v>2.0000000000000001E-4</v>
      </c>
    </row>
    <row r="84" spans="2:5">
      <c r="B84" s="22"/>
      <c r="C84" s="1" t="str">
        <f>"SANTA BARBARA"</f>
        <v>SANTA BARBARA</v>
      </c>
      <c r="D84" s="2">
        <v>3</v>
      </c>
      <c r="E84" s="3">
        <v>5.0000000000000001E-4</v>
      </c>
    </row>
    <row r="85" spans="2:5">
      <c r="B85" s="22"/>
      <c r="C85" s="1" t="str">
        <f>"SATEVO"</f>
        <v>SATEVO</v>
      </c>
      <c r="D85" s="2">
        <v>1</v>
      </c>
      <c r="E85" s="3">
        <v>2.0000000000000001E-4</v>
      </c>
    </row>
    <row r="86" spans="2:5">
      <c r="B86" s="22"/>
      <c r="C86" s="1" t="str">
        <f>"SAUCILLO"</f>
        <v>SAUCILLO</v>
      </c>
      <c r="D86" s="2">
        <v>1</v>
      </c>
      <c r="E86" s="3">
        <v>2.0000000000000001E-4</v>
      </c>
    </row>
    <row r="87" spans="2:5">
      <c r="B87" s="23"/>
      <c r="C87" s="18" t="str">
        <f>"Total"</f>
        <v>Total</v>
      </c>
      <c r="D87" s="19">
        <v>106</v>
      </c>
      <c r="E87" s="20">
        <v>1.7899999999999999E-2</v>
      </c>
    </row>
    <row r="88" spans="2:5">
      <c r="B88" s="21" t="str">
        <f t="shared" ref="B88" si="2">"COAHUILA DE ZARAGOZA"</f>
        <v>COAHUILA DE ZARAGOZA</v>
      </c>
      <c r="C88" s="1" t="str">
        <f>"ACUÑA"</f>
        <v>ACUÑA</v>
      </c>
      <c r="D88" s="2">
        <v>8</v>
      </c>
      <c r="E88" s="3">
        <v>1.2999999999999999E-3</v>
      </c>
    </row>
    <row r="89" spans="2:5">
      <c r="B89" s="22"/>
      <c r="C89" s="1" t="str">
        <f>"FRANCISCO I. MADERO"</f>
        <v>FRANCISCO I. MADERO</v>
      </c>
      <c r="D89" s="2">
        <v>4</v>
      </c>
      <c r="E89" s="3">
        <v>6.9999999999999999E-4</v>
      </c>
    </row>
    <row r="90" spans="2:5">
      <c r="B90" s="22"/>
      <c r="C90" s="1" t="str">
        <f>"FRONTERA"</f>
        <v>FRONTERA</v>
      </c>
      <c r="D90" s="2">
        <v>1</v>
      </c>
      <c r="E90" s="3">
        <v>2.0000000000000001E-4</v>
      </c>
    </row>
    <row r="91" spans="2:5">
      <c r="B91" s="22"/>
      <c r="C91" s="1" t="str">
        <f>"GENERAL CEPEDA"</f>
        <v>GENERAL CEPEDA</v>
      </c>
      <c r="D91" s="2">
        <v>5</v>
      </c>
      <c r="E91" s="3">
        <v>8.0000000000000004E-4</v>
      </c>
    </row>
    <row r="92" spans="2:5">
      <c r="B92" s="22"/>
      <c r="C92" s="1" t="str">
        <f>"MATAMOROS"</f>
        <v>MATAMOROS</v>
      </c>
      <c r="D92" s="2">
        <v>2</v>
      </c>
      <c r="E92" s="3">
        <v>2.9999999999999997E-4</v>
      </c>
    </row>
    <row r="93" spans="2:5">
      <c r="B93" s="22"/>
      <c r="C93" s="1" t="str">
        <f>"MONCLOVA"</f>
        <v>MONCLOVA</v>
      </c>
      <c r="D93" s="2">
        <v>7</v>
      </c>
      <c r="E93" s="3">
        <v>1.1999999999999999E-3</v>
      </c>
    </row>
    <row r="94" spans="2:5">
      <c r="B94" s="22"/>
      <c r="C94" s="1" t="str">
        <f>"MUZQUIZ"</f>
        <v>MUZQUIZ</v>
      </c>
      <c r="D94" s="2">
        <v>1</v>
      </c>
      <c r="E94" s="3">
        <v>2.0000000000000001E-4</v>
      </c>
    </row>
    <row r="95" spans="2:5">
      <c r="B95" s="22"/>
      <c r="C95" s="1" t="str">
        <f>"PIEDRAS NEGRAS"</f>
        <v>PIEDRAS NEGRAS</v>
      </c>
      <c r="D95" s="2">
        <v>10</v>
      </c>
      <c r="E95" s="3">
        <v>1.6999999999999999E-3</v>
      </c>
    </row>
    <row r="96" spans="2:5">
      <c r="B96" s="22"/>
      <c r="C96" s="1" t="str">
        <f>"RAMOS ARIZPE"</f>
        <v>RAMOS ARIZPE</v>
      </c>
      <c r="D96" s="2">
        <v>1</v>
      </c>
      <c r="E96" s="3">
        <v>2.0000000000000001E-4</v>
      </c>
    </row>
    <row r="97" spans="2:5">
      <c r="B97" s="22"/>
      <c r="C97" s="1" t="str">
        <f>"SABINAS"</f>
        <v>SABINAS</v>
      </c>
      <c r="D97" s="2">
        <v>1</v>
      </c>
      <c r="E97" s="3">
        <v>2.0000000000000001E-4</v>
      </c>
    </row>
    <row r="98" spans="2:5">
      <c r="B98" s="22"/>
      <c r="C98" s="1" t="str">
        <f>"SALTILLO"</f>
        <v>SALTILLO</v>
      </c>
      <c r="D98" s="2">
        <v>7</v>
      </c>
      <c r="E98" s="3">
        <v>1.1999999999999999E-3</v>
      </c>
    </row>
    <row r="99" spans="2:5">
      <c r="B99" s="22"/>
      <c r="C99" s="1" t="str">
        <f>"SAN JUAN DE SABINAS"</f>
        <v>SAN JUAN DE SABINAS</v>
      </c>
      <c r="D99" s="2">
        <v>1</v>
      </c>
      <c r="E99" s="3">
        <v>2.0000000000000001E-4</v>
      </c>
    </row>
    <row r="100" spans="2:5">
      <c r="B100" s="22"/>
      <c r="C100" s="1" t="str">
        <f>"SAN PEDRO"</f>
        <v>SAN PEDRO</v>
      </c>
      <c r="D100" s="2">
        <v>3</v>
      </c>
      <c r="E100" s="3">
        <v>5.0000000000000001E-4</v>
      </c>
    </row>
    <row r="101" spans="2:5">
      <c r="B101" s="22"/>
      <c r="C101" s="1" t="str">
        <f>"TORREON"</f>
        <v>TORREON</v>
      </c>
      <c r="D101" s="2">
        <v>13</v>
      </c>
      <c r="E101" s="3">
        <v>2.2000000000000001E-3</v>
      </c>
    </row>
    <row r="102" spans="2:5">
      <c r="B102" s="23"/>
      <c r="C102" s="18" t="str">
        <f>"Total"</f>
        <v>Total</v>
      </c>
      <c r="D102" s="19">
        <v>64</v>
      </c>
      <c r="E102" s="20">
        <v>1.0800000000000001E-2</v>
      </c>
    </row>
    <row r="103" spans="2:5">
      <c r="B103" s="21" t="str">
        <f>"COLIMA"</f>
        <v>COLIMA</v>
      </c>
      <c r="C103" s="1" t="str">
        <f>"ARMERIA"</f>
        <v>ARMERIA</v>
      </c>
      <c r="D103" s="2">
        <v>1</v>
      </c>
      <c r="E103" s="3">
        <v>2.0000000000000001E-4</v>
      </c>
    </row>
    <row r="104" spans="2:5">
      <c r="B104" s="22"/>
      <c r="C104" s="1" t="str">
        <f>"COLIMA"</f>
        <v>COLIMA</v>
      </c>
      <c r="D104" s="2">
        <v>4</v>
      </c>
      <c r="E104" s="3">
        <v>6.9999999999999999E-4</v>
      </c>
    </row>
    <row r="105" spans="2:5">
      <c r="B105" s="22"/>
      <c r="C105" s="1" t="str">
        <f>"MANZANILLO"</f>
        <v>MANZANILLO</v>
      </c>
      <c r="D105" s="2">
        <v>6</v>
      </c>
      <c r="E105" s="3">
        <v>1E-3</v>
      </c>
    </row>
    <row r="106" spans="2:5">
      <c r="B106" s="22"/>
      <c r="C106" s="1" t="str">
        <f>"TECOMAN"</f>
        <v>TECOMAN</v>
      </c>
      <c r="D106" s="2">
        <v>7</v>
      </c>
      <c r="E106" s="3">
        <v>1.1999999999999999E-3</v>
      </c>
    </row>
    <row r="107" spans="2:5">
      <c r="B107" s="23"/>
      <c r="C107" s="18" t="str">
        <f>"Total"</f>
        <v>Total</v>
      </c>
      <c r="D107" s="19">
        <v>18</v>
      </c>
      <c r="E107" s="20">
        <v>3.0000000000000001E-3</v>
      </c>
    </row>
    <row r="108" spans="2:5">
      <c r="B108" s="21" t="str">
        <f t="shared" ref="B108" si="3">"DISTRITO FEDERAL"</f>
        <v>DISTRITO FEDERAL</v>
      </c>
      <c r="C108" s="1" t="str">
        <f>"ALVARO OBREGON"</f>
        <v>ALVARO OBREGON</v>
      </c>
      <c r="D108" s="2">
        <v>8</v>
      </c>
      <c r="E108" s="3">
        <v>1.2999999999999999E-3</v>
      </c>
    </row>
    <row r="109" spans="2:5">
      <c r="B109" s="22"/>
      <c r="C109" s="1" t="str">
        <f>"AZCAPOTZALCO"</f>
        <v>AZCAPOTZALCO</v>
      </c>
      <c r="D109" s="2">
        <v>8</v>
      </c>
      <c r="E109" s="3">
        <v>1.2999999999999999E-3</v>
      </c>
    </row>
    <row r="110" spans="2:5">
      <c r="B110" s="22"/>
      <c r="C110" s="1" t="str">
        <f>"BENITO JUAREZ"</f>
        <v>BENITO JUAREZ</v>
      </c>
      <c r="D110" s="2">
        <v>7</v>
      </c>
      <c r="E110" s="3">
        <v>1.1999999999999999E-3</v>
      </c>
    </row>
    <row r="111" spans="2:5">
      <c r="B111" s="22"/>
      <c r="C111" s="1" t="str">
        <f>"COYOACAN"</f>
        <v>COYOACAN</v>
      </c>
      <c r="D111" s="2">
        <v>6</v>
      </c>
      <c r="E111" s="3">
        <v>1E-3</v>
      </c>
    </row>
    <row r="112" spans="2:5">
      <c r="B112" s="22"/>
      <c r="C112" s="1" t="str">
        <f>"CUAUHTEMOC"</f>
        <v>CUAUHTEMOC</v>
      </c>
      <c r="D112" s="2">
        <v>13</v>
      </c>
      <c r="E112" s="3">
        <v>2.2000000000000001E-3</v>
      </c>
    </row>
    <row r="113" spans="2:5">
      <c r="B113" s="22"/>
      <c r="C113" s="1" t="str">
        <f>"GUSTAVO A. MADERO"</f>
        <v>GUSTAVO A. MADERO</v>
      </c>
      <c r="D113" s="2">
        <v>276</v>
      </c>
      <c r="E113" s="3">
        <v>4.6600000000000003E-2</v>
      </c>
    </row>
    <row r="114" spans="2:5">
      <c r="B114" s="22"/>
      <c r="C114" s="1" t="str">
        <f>"IZTACALCO"</f>
        <v>IZTACALCO</v>
      </c>
      <c r="D114" s="2">
        <v>8</v>
      </c>
      <c r="E114" s="3">
        <v>1.2999999999999999E-3</v>
      </c>
    </row>
    <row r="115" spans="2:5">
      <c r="B115" s="22"/>
      <c r="C115" s="1" t="str">
        <f>"IZTAPALAPA"</f>
        <v>IZTAPALAPA</v>
      </c>
      <c r="D115" s="2">
        <v>20</v>
      </c>
      <c r="E115" s="3">
        <v>3.3999999999999998E-3</v>
      </c>
    </row>
    <row r="116" spans="2:5">
      <c r="B116" s="22"/>
      <c r="C116" s="1" t="str">
        <f>"MIGUEL HIDALGO"</f>
        <v>MIGUEL HIDALGO</v>
      </c>
      <c r="D116" s="2">
        <v>15</v>
      </c>
      <c r="E116" s="3">
        <v>2.5000000000000001E-3</v>
      </c>
    </row>
    <row r="117" spans="2:5">
      <c r="B117" s="22"/>
      <c r="C117" s="1" t="str">
        <f>"TLALPAN"</f>
        <v>TLALPAN</v>
      </c>
      <c r="D117" s="2">
        <v>5</v>
      </c>
      <c r="E117" s="3">
        <v>8.0000000000000004E-4</v>
      </c>
    </row>
    <row r="118" spans="2:5">
      <c r="B118" s="22"/>
      <c r="C118" s="1" t="str">
        <f>"VENUSTIANO CARRANZA"</f>
        <v>VENUSTIANO CARRANZA</v>
      </c>
      <c r="D118" s="2">
        <v>13</v>
      </c>
      <c r="E118" s="3">
        <v>2.2000000000000001E-3</v>
      </c>
    </row>
    <row r="119" spans="2:5">
      <c r="B119" s="22"/>
      <c r="C119" s="1" t="str">
        <f>"XOCHIMILCO"</f>
        <v>XOCHIMILCO</v>
      </c>
      <c r="D119" s="2">
        <v>2</v>
      </c>
      <c r="E119" s="3">
        <v>2.9999999999999997E-4</v>
      </c>
    </row>
    <row r="120" spans="2:5">
      <c r="B120" s="23"/>
      <c r="C120" s="18" t="str">
        <f>"Total"</f>
        <v>Total</v>
      </c>
      <c r="D120" s="19">
        <v>381</v>
      </c>
      <c r="E120" s="20">
        <v>6.4299999999999996E-2</v>
      </c>
    </row>
    <row r="121" spans="2:5">
      <c r="B121" s="21" t="str">
        <f t="shared" ref="B121" si="4">"DURANGO"</f>
        <v>DURANGO</v>
      </c>
      <c r="C121" s="1" t="str">
        <f>"CANATLAN"</f>
        <v>CANATLAN</v>
      </c>
      <c r="D121" s="2">
        <v>6</v>
      </c>
      <c r="E121" s="3">
        <v>1E-3</v>
      </c>
    </row>
    <row r="122" spans="2:5">
      <c r="B122" s="22"/>
      <c r="C122" s="1" t="str">
        <f>"CUENCAME"</f>
        <v>CUENCAME</v>
      </c>
      <c r="D122" s="2">
        <v>4</v>
      </c>
      <c r="E122" s="3">
        <v>6.9999999999999999E-4</v>
      </c>
    </row>
    <row r="123" spans="2:5">
      <c r="B123" s="22"/>
      <c r="C123" s="1" t="str">
        <f>"DURANGO"</f>
        <v>DURANGO</v>
      </c>
      <c r="D123" s="2">
        <v>28</v>
      </c>
      <c r="E123" s="3">
        <v>4.7000000000000002E-3</v>
      </c>
    </row>
    <row r="124" spans="2:5">
      <c r="B124" s="22"/>
      <c r="C124" s="1" t="str">
        <f>"EL ORO"</f>
        <v>EL ORO</v>
      </c>
      <c r="D124" s="2">
        <v>8</v>
      </c>
      <c r="E124" s="3">
        <v>1.2999999999999999E-3</v>
      </c>
    </row>
    <row r="125" spans="2:5">
      <c r="B125" s="22"/>
      <c r="C125" s="1" t="str">
        <f>"GOMEZ PALACIO"</f>
        <v>GOMEZ PALACIO</v>
      </c>
      <c r="D125" s="2">
        <v>3</v>
      </c>
      <c r="E125" s="3">
        <v>5.0000000000000001E-4</v>
      </c>
    </row>
    <row r="126" spans="2:5">
      <c r="B126" s="22"/>
      <c r="C126" s="1" t="str">
        <f>"GUADALUPE VICTORIA"</f>
        <v>GUADALUPE VICTORIA</v>
      </c>
      <c r="D126" s="2">
        <v>8</v>
      </c>
      <c r="E126" s="3">
        <v>1.2999999999999999E-3</v>
      </c>
    </row>
    <row r="127" spans="2:5">
      <c r="B127" s="22"/>
      <c r="C127" s="1" t="str">
        <f>"GUANACEVI"</f>
        <v>GUANACEVI</v>
      </c>
      <c r="D127" s="2">
        <v>11</v>
      </c>
      <c r="E127" s="3">
        <v>1.9E-3</v>
      </c>
    </row>
    <row r="128" spans="2:5">
      <c r="B128" s="22"/>
      <c r="C128" s="1" t="str">
        <f>"LERDO"</f>
        <v>LERDO</v>
      </c>
      <c r="D128" s="2">
        <v>3</v>
      </c>
      <c r="E128" s="3">
        <v>5.0000000000000001E-4</v>
      </c>
    </row>
    <row r="129" spans="2:5">
      <c r="B129" s="22"/>
      <c r="C129" s="1" t="str">
        <f>"MAPIMI"</f>
        <v>MAPIMI</v>
      </c>
      <c r="D129" s="2">
        <v>1</v>
      </c>
      <c r="E129" s="3">
        <v>2.0000000000000001E-4</v>
      </c>
    </row>
    <row r="130" spans="2:5">
      <c r="B130" s="22"/>
      <c r="C130" s="1" t="str">
        <f>"NUEVO IDEAL"</f>
        <v>NUEVO IDEAL</v>
      </c>
      <c r="D130" s="2">
        <v>3</v>
      </c>
      <c r="E130" s="3">
        <v>5.0000000000000001E-4</v>
      </c>
    </row>
    <row r="131" spans="2:5">
      <c r="B131" s="22"/>
      <c r="C131" s="1" t="str">
        <f>"OCAMPO"</f>
        <v>OCAMPO</v>
      </c>
      <c r="D131" s="2">
        <v>1</v>
      </c>
      <c r="E131" s="3">
        <v>2.0000000000000001E-4</v>
      </c>
    </row>
    <row r="132" spans="2:5">
      <c r="B132" s="22"/>
      <c r="C132" s="1" t="str">
        <f>"PANUCO DE CORONADO"</f>
        <v>PANUCO DE CORONADO</v>
      </c>
      <c r="D132" s="2">
        <v>2</v>
      </c>
      <c r="E132" s="3">
        <v>2.9999999999999997E-4</v>
      </c>
    </row>
    <row r="133" spans="2:5">
      <c r="B133" s="22"/>
      <c r="C133" s="1" t="str">
        <f>"POANAS"</f>
        <v>POANAS</v>
      </c>
      <c r="D133" s="2">
        <v>2</v>
      </c>
      <c r="E133" s="3">
        <v>2.9999999999999997E-4</v>
      </c>
    </row>
    <row r="134" spans="2:5">
      <c r="B134" s="22"/>
      <c r="C134" s="1" t="str">
        <f>"PUEBLO NUEVO"</f>
        <v>PUEBLO NUEVO</v>
      </c>
      <c r="D134" s="2">
        <v>1</v>
      </c>
      <c r="E134" s="3">
        <v>2.0000000000000001E-4</v>
      </c>
    </row>
    <row r="135" spans="2:5">
      <c r="B135" s="22"/>
      <c r="C135" s="1" t="str">
        <f>"RODEO"</f>
        <v>RODEO</v>
      </c>
      <c r="D135" s="2">
        <v>21</v>
      </c>
      <c r="E135" s="3">
        <v>3.5000000000000001E-3</v>
      </c>
    </row>
    <row r="136" spans="2:5">
      <c r="B136" s="22"/>
      <c r="C136" s="1" t="str">
        <f>"SAN JUAN DE GUADALUPE"</f>
        <v>SAN JUAN DE GUADALUPE</v>
      </c>
      <c r="D136" s="2">
        <v>2</v>
      </c>
      <c r="E136" s="3">
        <v>2.9999999999999997E-4</v>
      </c>
    </row>
    <row r="137" spans="2:5">
      <c r="B137" s="22"/>
      <c r="C137" s="1" t="str">
        <f>"SAN LUIS DEL CORDERO"</f>
        <v>SAN LUIS DEL CORDERO</v>
      </c>
      <c r="D137" s="2">
        <v>1</v>
      </c>
      <c r="E137" s="3">
        <v>2.0000000000000001E-4</v>
      </c>
    </row>
    <row r="138" spans="2:5">
      <c r="B138" s="22"/>
      <c r="C138" s="1" t="str">
        <f>"SANTIAGO PAPASQUIARO"</f>
        <v>SANTIAGO PAPASQUIARO</v>
      </c>
      <c r="D138" s="2">
        <v>3</v>
      </c>
      <c r="E138" s="3">
        <v>5.0000000000000001E-4</v>
      </c>
    </row>
    <row r="139" spans="2:5">
      <c r="B139" s="22"/>
      <c r="C139" s="1" t="str">
        <f>"TAMAZULA"</f>
        <v>TAMAZULA</v>
      </c>
      <c r="D139" s="2">
        <v>1</v>
      </c>
      <c r="E139" s="3">
        <v>2.0000000000000001E-4</v>
      </c>
    </row>
    <row r="140" spans="2:5">
      <c r="B140" s="22"/>
      <c r="C140" s="1" t="str">
        <f>"TEPEHUANES"</f>
        <v>TEPEHUANES</v>
      </c>
      <c r="D140" s="2">
        <v>6</v>
      </c>
      <c r="E140" s="3">
        <v>1E-3</v>
      </c>
    </row>
    <row r="141" spans="2:5">
      <c r="B141" s="22"/>
      <c r="C141" s="1" t="str">
        <f>"TLAHUALILO"</f>
        <v>TLAHUALILO</v>
      </c>
      <c r="D141" s="2">
        <v>1</v>
      </c>
      <c r="E141" s="3">
        <v>2.0000000000000001E-4</v>
      </c>
    </row>
    <row r="142" spans="2:5">
      <c r="B142" s="22"/>
      <c r="C142" s="1" t="str">
        <f>"VICENTE GUERRERO"</f>
        <v>VICENTE GUERRERO</v>
      </c>
      <c r="D142" s="2">
        <v>2</v>
      </c>
      <c r="E142" s="3">
        <v>2.9999999999999997E-4</v>
      </c>
    </row>
    <row r="143" spans="2:5">
      <c r="B143" s="23"/>
      <c r="C143" s="18" t="str">
        <f>"Total"</f>
        <v>Total</v>
      </c>
      <c r="D143" s="19">
        <v>118</v>
      </c>
      <c r="E143" s="20">
        <v>1.9900000000000001E-2</v>
      </c>
    </row>
    <row r="144" spans="2:5">
      <c r="B144" s="21" t="str">
        <f t="shared" ref="B144" si="5">"GUANAJUATO"</f>
        <v>GUANAJUATO</v>
      </c>
      <c r="C144" s="1" t="str">
        <f>"ABASOLO"</f>
        <v>ABASOLO</v>
      </c>
      <c r="D144" s="2">
        <v>5</v>
      </c>
      <c r="E144" s="3">
        <v>8.0000000000000004E-4</v>
      </c>
    </row>
    <row r="145" spans="2:5">
      <c r="B145" s="22"/>
      <c r="C145" s="1" t="str">
        <f>"ACAMBARO"</f>
        <v>ACAMBARO</v>
      </c>
      <c r="D145" s="2">
        <v>8</v>
      </c>
      <c r="E145" s="3">
        <v>1.2999999999999999E-3</v>
      </c>
    </row>
    <row r="146" spans="2:5">
      <c r="B146" s="22"/>
      <c r="C146" s="1" t="str">
        <f>"ALLENDE"</f>
        <v>ALLENDE</v>
      </c>
      <c r="D146" s="2">
        <v>8</v>
      </c>
      <c r="E146" s="3">
        <v>1.2999999999999999E-3</v>
      </c>
    </row>
    <row r="147" spans="2:5">
      <c r="B147" s="22"/>
      <c r="C147" s="1" t="str">
        <f>"APASEO EL ALTO"</f>
        <v>APASEO EL ALTO</v>
      </c>
      <c r="D147" s="2">
        <v>6</v>
      </c>
      <c r="E147" s="3">
        <v>1E-3</v>
      </c>
    </row>
    <row r="148" spans="2:5">
      <c r="B148" s="22"/>
      <c r="C148" s="1" t="str">
        <f>"APASEO EL GRANDE"</f>
        <v>APASEO EL GRANDE</v>
      </c>
      <c r="D148" s="2">
        <v>4</v>
      </c>
      <c r="E148" s="3">
        <v>6.9999999999999999E-4</v>
      </c>
    </row>
    <row r="149" spans="2:5">
      <c r="B149" s="22"/>
      <c r="C149" s="1" t="str">
        <f>"CELAYA"</f>
        <v>CELAYA</v>
      </c>
      <c r="D149" s="2">
        <v>55</v>
      </c>
      <c r="E149" s="3">
        <v>9.2999999999999992E-3</v>
      </c>
    </row>
    <row r="150" spans="2:5">
      <c r="B150" s="22"/>
      <c r="C150" s="1" t="str">
        <f>"COMONFORT"</f>
        <v>COMONFORT</v>
      </c>
      <c r="D150" s="2">
        <v>7</v>
      </c>
      <c r="E150" s="3">
        <v>1.1999999999999999E-3</v>
      </c>
    </row>
    <row r="151" spans="2:5">
      <c r="B151" s="22"/>
      <c r="C151" s="1" t="str">
        <f>"CORONEO"</f>
        <v>CORONEO</v>
      </c>
      <c r="D151" s="2">
        <v>1</v>
      </c>
      <c r="E151" s="3">
        <v>2.0000000000000001E-4</v>
      </c>
    </row>
    <row r="152" spans="2:5">
      <c r="B152" s="22"/>
      <c r="C152" s="1" t="str">
        <f>"CORTAZAR"</f>
        <v>CORTAZAR</v>
      </c>
      <c r="D152" s="2">
        <v>3</v>
      </c>
      <c r="E152" s="3">
        <v>5.0000000000000001E-4</v>
      </c>
    </row>
    <row r="153" spans="2:5">
      <c r="B153" s="22"/>
      <c r="C153" s="1" t="str">
        <f>"CUERAMARO"</f>
        <v>CUERAMARO</v>
      </c>
      <c r="D153" s="2">
        <v>1</v>
      </c>
      <c r="E153" s="3">
        <v>2.0000000000000001E-4</v>
      </c>
    </row>
    <row r="154" spans="2:5">
      <c r="B154" s="22"/>
      <c r="C154" s="1" t="str">
        <f>"DOCTOR MORA"</f>
        <v>DOCTOR MORA</v>
      </c>
      <c r="D154" s="2">
        <v>2</v>
      </c>
      <c r="E154" s="3">
        <v>2.9999999999999997E-4</v>
      </c>
    </row>
    <row r="155" spans="2:5">
      <c r="B155" s="22"/>
      <c r="C155" s="1" t="str">
        <f>"DOLORES HIDALGO"</f>
        <v>DOLORES HIDALGO</v>
      </c>
      <c r="D155" s="2">
        <v>1</v>
      </c>
      <c r="E155" s="3">
        <v>2.0000000000000001E-4</v>
      </c>
    </row>
    <row r="156" spans="2:5">
      <c r="B156" s="22"/>
      <c r="C156" s="1" t="str">
        <f>"GUANAJUATO"</f>
        <v>GUANAJUATO</v>
      </c>
      <c r="D156" s="2">
        <v>10</v>
      </c>
      <c r="E156" s="3">
        <v>1.6999999999999999E-3</v>
      </c>
    </row>
    <row r="157" spans="2:5">
      <c r="B157" s="22"/>
      <c r="C157" s="1" t="str">
        <f>"IRAPUATO"</f>
        <v>IRAPUATO</v>
      </c>
      <c r="D157" s="2">
        <v>8</v>
      </c>
      <c r="E157" s="3">
        <v>1.2999999999999999E-3</v>
      </c>
    </row>
    <row r="158" spans="2:5">
      <c r="B158" s="22"/>
      <c r="C158" s="1" t="str">
        <f>"JERECUARO"</f>
        <v>JERECUARO</v>
      </c>
      <c r="D158" s="2">
        <v>13</v>
      </c>
      <c r="E158" s="3">
        <v>2.2000000000000001E-3</v>
      </c>
    </row>
    <row r="159" spans="2:5">
      <c r="B159" s="22"/>
      <c r="C159" s="1" t="str">
        <f>"LEON"</f>
        <v>LEON</v>
      </c>
      <c r="D159" s="2">
        <v>30</v>
      </c>
      <c r="E159" s="3">
        <v>5.1000000000000004E-3</v>
      </c>
    </row>
    <row r="160" spans="2:5">
      <c r="B160" s="22"/>
      <c r="C160" s="1" t="str">
        <f>"MANUEL DOBLADO"</f>
        <v>MANUEL DOBLADO</v>
      </c>
      <c r="D160" s="2">
        <v>4</v>
      </c>
      <c r="E160" s="3">
        <v>6.9999999999999999E-4</v>
      </c>
    </row>
    <row r="161" spans="2:5">
      <c r="B161" s="22"/>
      <c r="C161" s="1" t="str">
        <f>"PENJAMO"</f>
        <v>PENJAMO</v>
      </c>
      <c r="D161" s="2">
        <v>14</v>
      </c>
      <c r="E161" s="3">
        <v>2.3999999999999998E-3</v>
      </c>
    </row>
    <row r="162" spans="2:5">
      <c r="B162" s="22"/>
      <c r="C162" s="1" t="str">
        <f>"PURISIMA DEL RINCON"</f>
        <v>PURISIMA DEL RINCON</v>
      </c>
      <c r="D162" s="2">
        <v>1</v>
      </c>
      <c r="E162" s="3">
        <v>2.0000000000000001E-4</v>
      </c>
    </row>
    <row r="163" spans="2:5">
      <c r="B163" s="22"/>
      <c r="C163" s="1" t="str">
        <f>"ROMITA"</f>
        <v>ROMITA</v>
      </c>
      <c r="D163" s="2">
        <v>8</v>
      </c>
      <c r="E163" s="3">
        <v>1.2999999999999999E-3</v>
      </c>
    </row>
    <row r="164" spans="2:5">
      <c r="B164" s="22"/>
      <c r="C164" s="1" t="str">
        <f>"SALAMANCA"</f>
        <v>SALAMANCA</v>
      </c>
      <c r="D164" s="2">
        <v>8</v>
      </c>
      <c r="E164" s="3">
        <v>1.2999999999999999E-3</v>
      </c>
    </row>
    <row r="165" spans="2:5">
      <c r="B165" s="22"/>
      <c r="C165" s="1" t="str">
        <f>"SALVATIERRA"</f>
        <v>SALVATIERRA</v>
      </c>
      <c r="D165" s="2">
        <v>25</v>
      </c>
      <c r="E165" s="3">
        <v>4.1999999999999997E-3</v>
      </c>
    </row>
    <row r="166" spans="2:5">
      <c r="B166" s="22"/>
      <c r="C166" s="1" t="str">
        <f>"SAN FELIPE"</f>
        <v>SAN FELIPE</v>
      </c>
      <c r="D166" s="2">
        <v>3</v>
      </c>
      <c r="E166" s="3">
        <v>5.0000000000000001E-4</v>
      </c>
    </row>
    <row r="167" spans="2:5">
      <c r="B167" s="22"/>
      <c r="C167" s="1" t="str">
        <f>"SAN FRANCISCO DEL RINCON"</f>
        <v>SAN FRANCISCO DEL RINCON</v>
      </c>
      <c r="D167" s="2">
        <v>2</v>
      </c>
      <c r="E167" s="3">
        <v>2.9999999999999997E-4</v>
      </c>
    </row>
    <row r="168" spans="2:5">
      <c r="B168" s="22"/>
      <c r="C168" s="1" t="str">
        <f>"SAN JOSE ITURBIDE"</f>
        <v>SAN JOSE ITURBIDE</v>
      </c>
      <c r="D168" s="2">
        <v>15</v>
      </c>
      <c r="E168" s="3">
        <v>2.5000000000000001E-3</v>
      </c>
    </row>
    <row r="169" spans="2:5">
      <c r="B169" s="22"/>
      <c r="C169" s="1" t="str">
        <f>"SAN LUIS DE LA PAZ"</f>
        <v>SAN LUIS DE LA PAZ</v>
      </c>
      <c r="D169" s="2">
        <v>10</v>
      </c>
      <c r="E169" s="3">
        <v>1.6999999999999999E-3</v>
      </c>
    </row>
    <row r="170" spans="2:5" ht="30">
      <c r="B170" s="22"/>
      <c r="C170" s="1" t="str">
        <f>"SANTA CRUZ DE JUVENTINO ROSAS"</f>
        <v>SANTA CRUZ DE JUVENTINO ROSAS</v>
      </c>
      <c r="D170" s="2">
        <v>1</v>
      </c>
      <c r="E170" s="3">
        <v>2.0000000000000001E-4</v>
      </c>
    </row>
    <row r="171" spans="2:5">
      <c r="B171" s="22"/>
      <c r="C171" s="1" t="str">
        <f>"SILAO"</f>
        <v>SILAO</v>
      </c>
      <c r="D171" s="2">
        <v>1</v>
      </c>
      <c r="E171" s="3">
        <v>2.0000000000000001E-4</v>
      </c>
    </row>
    <row r="172" spans="2:5">
      <c r="B172" s="22"/>
      <c r="C172" s="1" t="str">
        <f>"TARANDACUAO"</f>
        <v>TARANDACUAO</v>
      </c>
      <c r="D172" s="2">
        <v>2</v>
      </c>
      <c r="E172" s="3">
        <v>2.9999999999999997E-4</v>
      </c>
    </row>
    <row r="173" spans="2:5">
      <c r="B173" s="22"/>
      <c r="C173" s="1" t="str">
        <f>"TARIMORO"</f>
        <v>TARIMORO</v>
      </c>
      <c r="D173" s="2">
        <v>17</v>
      </c>
      <c r="E173" s="3">
        <v>2.8999999999999998E-3</v>
      </c>
    </row>
    <row r="174" spans="2:5">
      <c r="B174" s="22"/>
      <c r="C174" s="1" t="str">
        <f>"TIERRA BLANCA"</f>
        <v>TIERRA BLANCA</v>
      </c>
      <c r="D174" s="2">
        <v>1</v>
      </c>
      <c r="E174" s="3">
        <v>2.0000000000000001E-4</v>
      </c>
    </row>
    <row r="175" spans="2:5">
      <c r="B175" s="22"/>
      <c r="C175" s="1" t="str">
        <f>"URIANGATO"</f>
        <v>URIANGATO</v>
      </c>
      <c r="D175" s="2">
        <v>5</v>
      </c>
      <c r="E175" s="3">
        <v>8.0000000000000004E-4</v>
      </c>
    </row>
    <row r="176" spans="2:5">
      <c r="B176" s="22"/>
      <c r="C176" s="1" t="str">
        <f>"VALLE DE SANTIAGO"</f>
        <v>VALLE DE SANTIAGO</v>
      </c>
      <c r="D176" s="2">
        <v>18</v>
      </c>
      <c r="E176" s="3">
        <v>3.0000000000000001E-3</v>
      </c>
    </row>
    <row r="177" spans="2:5">
      <c r="B177" s="22"/>
      <c r="C177" s="1" t="str">
        <f>"VICTORIA"</f>
        <v>VICTORIA</v>
      </c>
      <c r="D177" s="2">
        <v>2</v>
      </c>
      <c r="E177" s="3">
        <v>2.9999999999999997E-4</v>
      </c>
    </row>
    <row r="178" spans="2:5">
      <c r="B178" s="22"/>
      <c r="C178" s="1" t="str">
        <f>"VILLAGRAN"</f>
        <v>VILLAGRAN</v>
      </c>
      <c r="D178" s="2">
        <v>3</v>
      </c>
      <c r="E178" s="3">
        <v>5.0000000000000001E-4</v>
      </c>
    </row>
    <row r="179" spans="2:5">
      <c r="B179" s="22"/>
      <c r="C179" s="1" t="str">
        <f>"XICHU"</f>
        <v>XICHU</v>
      </c>
      <c r="D179" s="2">
        <v>1</v>
      </c>
      <c r="E179" s="3">
        <v>2.0000000000000001E-4</v>
      </c>
    </row>
    <row r="180" spans="2:5">
      <c r="B180" s="22"/>
      <c r="C180" s="1" t="str">
        <f>"YURIRIA"</f>
        <v>YURIRIA</v>
      </c>
      <c r="D180" s="2">
        <v>10</v>
      </c>
      <c r="E180" s="3">
        <v>1.6999999999999999E-3</v>
      </c>
    </row>
    <row r="181" spans="2:5">
      <c r="B181" s="23"/>
      <c r="C181" s="18" t="str">
        <f>"Total"</f>
        <v>Total</v>
      </c>
      <c r="D181" s="19">
        <v>313</v>
      </c>
      <c r="E181" s="20">
        <v>5.28E-2</v>
      </c>
    </row>
    <row r="182" spans="2:5">
      <c r="B182" s="21" t="str">
        <f t="shared" ref="B182" si="6">"GUERRERO"</f>
        <v>GUERRERO</v>
      </c>
      <c r="C182" s="1" t="str">
        <f>"ACAPULCO DE JUAREZ"</f>
        <v>ACAPULCO DE JUAREZ</v>
      </c>
      <c r="D182" s="2">
        <v>154</v>
      </c>
      <c r="E182" s="3">
        <v>2.5999999999999999E-2</v>
      </c>
    </row>
    <row r="183" spans="2:5">
      <c r="B183" s="22"/>
      <c r="C183" s="1" t="str">
        <f>"AJUCHITLAN DEL PROGRESO"</f>
        <v>AJUCHITLAN DEL PROGRESO</v>
      </c>
      <c r="D183" s="2">
        <v>2</v>
      </c>
      <c r="E183" s="3">
        <v>2.9999999999999997E-4</v>
      </c>
    </row>
    <row r="184" spans="2:5">
      <c r="B184" s="22"/>
      <c r="C184" s="1" t="str">
        <f>"ALCOZAUCA DE GUERRERO"</f>
        <v>ALCOZAUCA DE GUERRERO</v>
      </c>
      <c r="D184" s="2">
        <v>1</v>
      </c>
      <c r="E184" s="3">
        <v>2.0000000000000001E-4</v>
      </c>
    </row>
    <row r="185" spans="2:5">
      <c r="B185" s="22"/>
      <c r="C185" s="1" t="str">
        <f>"ALPOYECA"</f>
        <v>ALPOYECA</v>
      </c>
      <c r="D185" s="2">
        <v>3</v>
      </c>
      <c r="E185" s="3">
        <v>5.0000000000000001E-4</v>
      </c>
    </row>
    <row r="186" spans="2:5">
      <c r="B186" s="22"/>
      <c r="C186" s="1" t="str">
        <f>"APAXTLA"</f>
        <v>APAXTLA</v>
      </c>
      <c r="D186" s="2">
        <v>4</v>
      </c>
      <c r="E186" s="3">
        <v>6.9999999999999999E-4</v>
      </c>
    </row>
    <row r="187" spans="2:5">
      <c r="B187" s="22"/>
      <c r="C187" s="1" t="str">
        <f>"ARCELIA"</f>
        <v>ARCELIA</v>
      </c>
      <c r="D187" s="2">
        <v>4</v>
      </c>
      <c r="E187" s="3">
        <v>6.9999999999999999E-4</v>
      </c>
    </row>
    <row r="188" spans="2:5" ht="30">
      <c r="B188" s="22"/>
      <c r="C188" s="1" t="str">
        <f>"ATLAMAJALCINGO DEL MONTE"</f>
        <v>ATLAMAJALCINGO DEL MONTE</v>
      </c>
      <c r="D188" s="2">
        <v>1</v>
      </c>
      <c r="E188" s="3">
        <v>2.0000000000000001E-4</v>
      </c>
    </row>
    <row r="189" spans="2:5">
      <c r="B189" s="22"/>
      <c r="C189" s="1" t="str">
        <f>"ATLIXTAC"</f>
        <v>ATLIXTAC</v>
      </c>
      <c r="D189" s="2">
        <v>1</v>
      </c>
      <c r="E189" s="3">
        <v>2.0000000000000001E-4</v>
      </c>
    </row>
    <row r="190" spans="2:5">
      <c r="B190" s="22"/>
      <c r="C190" s="1" t="str">
        <f>"ATOYAC DE ALVAREZ"</f>
        <v>ATOYAC DE ALVAREZ</v>
      </c>
      <c r="D190" s="2">
        <v>7</v>
      </c>
      <c r="E190" s="3">
        <v>1.1999999999999999E-3</v>
      </c>
    </row>
    <row r="191" spans="2:5">
      <c r="B191" s="22"/>
      <c r="C191" s="1" t="str">
        <f>"AYUTLA DE LOS LIBRES"</f>
        <v>AYUTLA DE LOS LIBRES</v>
      </c>
      <c r="D191" s="2">
        <v>7</v>
      </c>
      <c r="E191" s="3">
        <v>1.1999999999999999E-3</v>
      </c>
    </row>
    <row r="192" spans="2:5">
      <c r="B192" s="22"/>
      <c r="C192" s="1" t="str">
        <f>"AZOYU"</f>
        <v>AZOYU</v>
      </c>
      <c r="D192" s="2">
        <v>10</v>
      </c>
      <c r="E192" s="3">
        <v>1.6999999999999999E-3</v>
      </c>
    </row>
    <row r="193" spans="2:5">
      <c r="B193" s="22"/>
      <c r="C193" s="1" t="str">
        <f>"BENITO JUAREZ"</f>
        <v>BENITO JUAREZ</v>
      </c>
      <c r="D193" s="2">
        <v>2</v>
      </c>
      <c r="E193" s="3">
        <v>2.9999999999999997E-4</v>
      </c>
    </row>
    <row r="194" spans="2:5" ht="30">
      <c r="B194" s="22"/>
      <c r="C194" s="1" t="str">
        <f>"CHILPANCINGO DE LOS BRAVO"</f>
        <v>CHILPANCINGO DE LOS BRAVO</v>
      </c>
      <c r="D194" s="2">
        <v>5</v>
      </c>
      <c r="E194" s="3">
        <v>8.0000000000000004E-4</v>
      </c>
    </row>
    <row r="195" spans="2:5">
      <c r="B195" s="22"/>
      <c r="C195" s="1" t="str">
        <f>"COCULA"</f>
        <v>COCULA</v>
      </c>
      <c r="D195" s="2">
        <v>4</v>
      </c>
      <c r="E195" s="3">
        <v>6.9999999999999999E-4</v>
      </c>
    </row>
    <row r="196" spans="2:5">
      <c r="B196" s="22"/>
      <c r="C196" s="1" t="str">
        <f>"COPALA"</f>
        <v>COPALA</v>
      </c>
      <c r="D196" s="2">
        <v>6</v>
      </c>
      <c r="E196" s="3">
        <v>1E-3</v>
      </c>
    </row>
    <row r="197" spans="2:5">
      <c r="B197" s="22"/>
      <c r="C197" s="1" t="str">
        <f>"COPALILLO"</f>
        <v>COPALILLO</v>
      </c>
      <c r="D197" s="2">
        <v>2</v>
      </c>
      <c r="E197" s="3">
        <v>2.9999999999999997E-4</v>
      </c>
    </row>
    <row r="198" spans="2:5">
      <c r="B198" s="22"/>
      <c r="C198" s="1" t="str">
        <f>"COYUCA DE BENITEZ"</f>
        <v>COYUCA DE BENITEZ</v>
      </c>
      <c r="D198" s="2">
        <v>4</v>
      </c>
      <c r="E198" s="3">
        <v>6.9999999999999999E-4</v>
      </c>
    </row>
    <row r="199" spans="2:5">
      <c r="B199" s="22"/>
      <c r="C199" s="1" t="str">
        <f>"COYUCA DE CATALAN"</f>
        <v>COYUCA DE CATALAN</v>
      </c>
      <c r="D199" s="2">
        <v>34</v>
      </c>
      <c r="E199" s="3">
        <v>5.7000000000000002E-3</v>
      </c>
    </row>
    <row r="200" spans="2:5">
      <c r="B200" s="22"/>
      <c r="C200" s="1" t="str">
        <f>"CUAJINICUILAPA"</f>
        <v>CUAJINICUILAPA</v>
      </c>
      <c r="D200" s="2">
        <v>4</v>
      </c>
      <c r="E200" s="3">
        <v>6.9999999999999999E-4</v>
      </c>
    </row>
    <row r="201" spans="2:5">
      <c r="B201" s="22"/>
      <c r="C201" s="1" t="str">
        <f>"CUALAC"</f>
        <v>CUALAC</v>
      </c>
      <c r="D201" s="2">
        <v>1</v>
      </c>
      <c r="E201" s="3">
        <v>2.0000000000000001E-4</v>
      </c>
    </row>
    <row r="202" spans="2:5">
      <c r="B202" s="22"/>
      <c r="C202" s="1" t="str">
        <f>"CUETZALA DEL PROGRESO"</f>
        <v>CUETZALA DEL PROGRESO</v>
      </c>
      <c r="D202" s="2">
        <v>4</v>
      </c>
      <c r="E202" s="3">
        <v>6.9999999999999999E-4</v>
      </c>
    </row>
    <row r="203" spans="2:5">
      <c r="B203" s="22"/>
      <c r="C203" s="1" t="str">
        <f>"CUTZAMALA DE PINZON"</f>
        <v>CUTZAMALA DE PINZON</v>
      </c>
      <c r="D203" s="2">
        <v>1</v>
      </c>
      <c r="E203" s="3">
        <v>2.0000000000000001E-4</v>
      </c>
    </row>
    <row r="204" spans="2:5">
      <c r="B204" s="22"/>
      <c r="C204" s="1" t="str">
        <f>"EDUARDO NERI"</f>
        <v>EDUARDO NERI</v>
      </c>
      <c r="D204" s="2">
        <v>3</v>
      </c>
      <c r="E204" s="3">
        <v>5.0000000000000001E-4</v>
      </c>
    </row>
    <row r="205" spans="2:5">
      <c r="B205" s="22"/>
      <c r="C205" s="1" t="str">
        <f>"FLORENCIO VILLARREAL"</f>
        <v>FLORENCIO VILLARREAL</v>
      </c>
      <c r="D205" s="2">
        <v>3</v>
      </c>
      <c r="E205" s="3">
        <v>5.0000000000000001E-4</v>
      </c>
    </row>
    <row r="206" spans="2:5">
      <c r="B206" s="22"/>
      <c r="C206" s="1" t="str">
        <f>"GENERAL CANUTO A. NERI"</f>
        <v>GENERAL CANUTO A. NERI</v>
      </c>
      <c r="D206" s="2">
        <v>2</v>
      </c>
      <c r="E206" s="3">
        <v>2.9999999999999997E-4</v>
      </c>
    </row>
    <row r="207" spans="2:5" ht="30">
      <c r="B207" s="22"/>
      <c r="C207" s="1" t="str">
        <f>"GENERAL HELIODORO CASTILLO"</f>
        <v>GENERAL HELIODORO CASTILLO</v>
      </c>
      <c r="D207" s="2">
        <v>2</v>
      </c>
      <c r="E207" s="3">
        <v>2.9999999999999997E-4</v>
      </c>
    </row>
    <row r="208" spans="2:5">
      <c r="B208" s="22"/>
      <c r="C208" s="1" t="str">
        <f>"HUITZUCO DE LOS FIGUEROA"</f>
        <v>HUITZUCO DE LOS FIGUEROA</v>
      </c>
      <c r="D208" s="2">
        <v>2</v>
      </c>
      <c r="E208" s="3">
        <v>2.9999999999999997E-4</v>
      </c>
    </row>
    <row r="209" spans="2:5" ht="30">
      <c r="B209" s="22"/>
      <c r="C209" s="1" t="str">
        <f>"IGUALA DE LA INDEPENDENCIA"</f>
        <v>IGUALA DE LA INDEPENDENCIA</v>
      </c>
      <c r="D209" s="2">
        <v>1</v>
      </c>
      <c r="E209" s="3">
        <v>2.0000000000000001E-4</v>
      </c>
    </row>
    <row r="210" spans="2:5" ht="30">
      <c r="B210" s="22"/>
      <c r="C210" s="1" t="str">
        <f>"IXCATEOPAN DE CUAUHTEMOC"</f>
        <v>IXCATEOPAN DE CUAUHTEMOC</v>
      </c>
      <c r="D210" s="2">
        <v>7</v>
      </c>
      <c r="E210" s="3">
        <v>1.1999999999999999E-3</v>
      </c>
    </row>
    <row r="211" spans="2:5">
      <c r="B211" s="22"/>
      <c r="C211" s="1" t="str">
        <f>"JOSE AZUETA"</f>
        <v>JOSE AZUETA</v>
      </c>
      <c r="D211" s="2">
        <v>7</v>
      </c>
      <c r="E211" s="3">
        <v>1.1999999999999999E-3</v>
      </c>
    </row>
    <row r="212" spans="2:5">
      <c r="B212" s="22"/>
      <c r="C212" s="1" t="str">
        <f>"JUAN R. ESCUDERO"</f>
        <v>JUAN R. ESCUDERO</v>
      </c>
      <c r="D212" s="2">
        <v>3</v>
      </c>
      <c r="E212" s="3">
        <v>5.0000000000000001E-4</v>
      </c>
    </row>
    <row r="213" spans="2:5">
      <c r="B213" s="22"/>
      <c r="C213" s="1" t="str">
        <f>"LEONARDO BRAVO"</f>
        <v>LEONARDO BRAVO</v>
      </c>
      <c r="D213" s="2">
        <v>4</v>
      </c>
      <c r="E213" s="3">
        <v>6.9999999999999999E-4</v>
      </c>
    </row>
    <row r="214" spans="2:5">
      <c r="B214" s="22"/>
      <c r="C214" s="1" t="str">
        <f>"MALINALTEPEC"</f>
        <v>MALINALTEPEC</v>
      </c>
      <c r="D214" s="2">
        <v>2</v>
      </c>
      <c r="E214" s="3">
        <v>2.9999999999999997E-4</v>
      </c>
    </row>
    <row r="215" spans="2:5">
      <c r="B215" s="22"/>
      <c r="C215" s="1" t="str">
        <f>"MOCHITLAN"</f>
        <v>MOCHITLAN</v>
      </c>
      <c r="D215" s="2">
        <v>1</v>
      </c>
      <c r="E215" s="3">
        <v>2.0000000000000001E-4</v>
      </c>
    </row>
    <row r="216" spans="2:5">
      <c r="B216" s="22"/>
      <c r="C216" s="1" t="str">
        <f>"OLINALA"</f>
        <v>OLINALA</v>
      </c>
      <c r="D216" s="2">
        <v>5</v>
      </c>
      <c r="E216" s="3">
        <v>8.0000000000000004E-4</v>
      </c>
    </row>
    <row r="217" spans="2:5">
      <c r="B217" s="22"/>
      <c r="C217" s="1" t="str">
        <f>"OMETEPEC"</f>
        <v>OMETEPEC</v>
      </c>
      <c r="D217" s="2">
        <v>5</v>
      </c>
      <c r="E217" s="3">
        <v>8.0000000000000004E-4</v>
      </c>
    </row>
    <row r="218" spans="2:5" ht="30">
      <c r="B218" s="22"/>
      <c r="C218" s="1" t="str">
        <f>"PEDRO ASCENCIO ALQUISIRAS"</f>
        <v>PEDRO ASCENCIO ALQUISIRAS</v>
      </c>
      <c r="D218" s="2">
        <v>4</v>
      </c>
      <c r="E218" s="3">
        <v>6.9999999999999999E-4</v>
      </c>
    </row>
    <row r="219" spans="2:5">
      <c r="B219" s="22"/>
      <c r="C219" s="1" t="str">
        <f>"PETATLAN"</f>
        <v>PETATLAN</v>
      </c>
      <c r="D219" s="2">
        <v>7</v>
      </c>
      <c r="E219" s="3">
        <v>1.1999999999999999E-3</v>
      </c>
    </row>
    <row r="220" spans="2:5">
      <c r="B220" s="22"/>
      <c r="C220" s="1" t="str">
        <f>"PILCAYA"</f>
        <v>PILCAYA</v>
      </c>
      <c r="D220" s="2">
        <v>1</v>
      </c>
      <c r="E220" s="3">
        <v>2.0000000000000001E-4</v>
      </c>
    </row>
    <row r="221" spans="2:5">
      <c r="B221" s="22"/>
      <c r="C221" s="1" t="str">
        <f>"PUNGARABATO"</f>
        <v>PUNGARABATO</v>
      </c>
      <c r="D221" s="2">
        <v>1</v>
      </c>
      <c r="E221" s="3">
        <v>2.0000000000000001E-4</v>
      </c>
    </row>
    <row r="222" spans="2:5">
      <c r="B222" s="22"/>
      <c r="C222" s="1" t="str">
        <f>"QUECHULTENANGO"</f>
        <v>QUECHULTENANGO</v>
      </c>
      <c r="D222" s="2">
        <v>6</v>
      </c>
      <c r="E222" s="3">
        <v>1E-3</v>
      </c>
    </row>
    <row r="223" spans="2:5">
      <c r="B223" s="22"/>
      <c r="C223" s="1" t="str">
        <f>"SAN LUIS ACATLAN"</f>
        <v>SAN LUIS ACATLAN</v>
      </c>
      <c r="D223" s="2">
        <v>9</v>
      </c>
      <c r="E223" s="3">
        <v>1.5E-3</v>
      </c>
    </row>
    <row r="224" spans="2:5">
      <c r="B224" s="22"/>
      <c r="C224" s="1" t="str">
        <f>"SAN MARCOS"</f>
        <v>SAN MARCOS</v>
      </c>
      <c r="D224" s="2">
        <v>8</v>
      </c>
      <c r="E224" s="3">
        <v>1.2999999999999999E-3</v>
      </c>
    </row>
    <row r="225" spans="2:5">
      <c r="B225" s="22"/>
      <c r="C225" s="1" t="str">
        <f>"SAN MIGUEL TOTOLAPAN"</f>
        <v>SAN MIGUEL TOTOLAPAN</v>
      </c>
      <c r="D225" s="2">
        <v>4</v>
      </c>
      <c r="E225" s="3">
        <v>6.9999999999999999E-4</v>
      </c>
    </row>
    <row r="226" spans="2:5">
      <c r="B226" s="22"/>
      <c r="C226" s="1" t="str">
        <f>"TAXCO DE ALARCON"</f>
        <v>TAXCO DE ALARCON</v>
      </c>
      <c r="D226" s="2">
        <v>2</v>
      </c>
      <c r="E226" s="3">
        <v>2.9999999999999997E-4</v>
      </c>
    </row>
    <row r="227" spans="2:5">
      <c r="B227" s="22"/>
      <c r="C227" s="1" t="str">
        <f>"TECOANAPA"</f>
        <v>TECOANAPA</v>
      </c>
      <c r="D227" s="2">
        <v>11</v>
      </c>
      <c r="E227" s="3">
        <v>1.9E-3</v>
      </c>
    </row>
    <row r="228" spans="2:5">
      <c r="B228" s="22"/>
      <c r="C228" s="1" t="str">
        <f>"TECPAN DE GALEANA"</f>
        <v>TECPAN DE GALEANA</v>
      </c>
      <c r="D228" s="2">
        <v>26</v>
      </c>
      <c r="E228" s="3">
        <v>4.4000000000000003E-3</v>
      </c>
    </row>
    <row r="229" spans="2:5">
      <c r="B229" s="22"/>
      <c r="C229" s="1" t="str">
        <f>"TELOLOAPAN"</f>
        <v>TELOLOAPAN</v>
      </c>
      <c r="D229" s="2">
        <v>9</v>
      </c>
      <c r="E229" s="3">
        <v>1.5E-3</v>
      </c>
    </row>
    <row r="230" spans="2:5">
      <c r="B230" s="22"/>
      <c r="C230" s="1" t="str">
        <f>"TETIPAC"</f>
        <v>TETIPAC</v>
      </c>
      <c r="D230" s="2">
        <v>3</v>
      </c>
      <c r="E230" s="3">
        <v>5.0000000000000001E-4</v>
      </c>
    </row>
    <row r="231" spans="2:5">
      <c r="B231" s="22"/>
      <c r="C231" s="1" t="str">
        <f>"TIXTLA DE GUERRERO"</f>
        <v>TIXTLA DE GUERRERO</v>
      </c>
      <c r="D231" s="2">
        <v>1</v>
      </c>
      <c r="E231" s="3">
        <v>2.0000000000000001E-4</v>
      </c>
    </row>
    <row r="232" spans="2:5">
      <c r="B232" s="22"/>
      <c r="C232" s="1" t="str">
        <f>"TLALCHAPA"</f>
        <v>TLALCHAPA</v>
      </c>
      <c r="D232" s="2">
        <v>1</v>
      </c>
      <c r="E232" s="3">
        <v>2.0000000000000001E-4</v>
      </c>
    </row>
    <row r="233" spans="2:5" ht="30">
      <c r="B233" s="22"/>
      <c r="C233" s="1" t="str">
        <f>"TLALIXTAQUILLA DE MALDONADO"</f>
        <v>TLALIXTAQUILLA DE MALDONADO</v>
      </c>
      <c r="D233" s="2">
        <v>2</v>
      </c>
      <c r="E233" s="3">
        <v>2.9999999999999997E-4</v>
      </c>
    </row>
    <row r="234" spans="2:5">
      <c r="B234" s="22"/>
      <c r="C234" s="1" t="str">
        <f>"TLAPA DE COMONFORT"</f>
        <v>TLAPA DE COMONFORT</v>
      </c>
      <c r="D234" s="2">
        <v>1</v>
      </c>
      <c r="E234" s="3">
        <v>2.0000000000000001E-4</v>
      </c>
    </row>
    <row r="235" spans="2:5">
      <c r="B235" s="22"/>
      <c r="C235" s="1" t="str">
        <f>"XALPATLAHUAC"</f>
        <v>XALPATLAHUAC</v>
      </c>
      <c r="D235" s="2">
        <v>2</v>
      </c>
      <c r="E235" s="3">
        <v>2.9999999999999997E-4</v>
      </c>
    </row>
    <row r="236" spans="2:5">
      <c r="B236" s="22"/>
      <c r="C236" s="1" t="str">
        <f>"XOCHIHUEHUETLAN"</f>
        <v>XOCHIHUEHUETLAN</v>
      </c>
      <c r="D236" s="2">
        <v>4</v>
      </c>
      <c r="E236" s="3">
        <v>6.9999999999999999E-4</v>
      </c>
    </row>
    <row r="237" spans="2:5">
      <c r="B237" s="22"/>
      <c r="C237" s="1" t="str">
        <f>"ZIRANDARO"</f>
        <v>ZIRANDARO</v>
      </c>
      <c r="D237" s="2">
        <v>2</v>
      </c>
      <c r="E237" s="3">
        <v>2.9999999999999997E-4</v>
      </c>
    </row>
    <row r="238" spans="2:5">
      <c r="B238" s="22"/>
      <c r="C238" s="1" t="str">
        <f>"ZITLALA"</f>
        <v>ZITLALA</v>
      </c>
      <c r="D238" s="2">
        <v>5</v>
      </c>
      <c r="E238" s="3">
        <v>8.0000000000000004E-4</v>
      </c>
    </row>
    <row r="239" spans="2:5">
      <c r="B239" s="23"/>
      <c r="C239" s="18" t="str">
        <f>"Total"</f>
        <v>Total</v>
      </c>
      <c r="D239" s="19">
        <v>417</v>
      </c>
      <c r="E239" s="20">
        <v>7.0300000000000001E-2</v>
      </c>
    </row>
    <row r="240" spans="2:5">
      <c r="B240" s="21" t="str">
        <f t="shared" ref="B240" si="7">"HIDALGO"</f>
        <v>HIDALGO</v>
      </c>
      <c r="C240" s="1" t="str">
        <f>"ACAXOCHITLAN"</f>
        <v>ACAXOCHITLAN</v>
      </c>
      <c r="D240" s="2">
        <v>1</v>
      </c>
      <c r="E240" s="3">
        <v>2.0000000000000001E-4</v>
      </c>
    </row>
    <row r="241" spans="2:5">
      <c r="B241" s="22"/>
      <c r="C241" s="1" t="str">
        <f>"ACTOPAN"</f>
        <v>ACTOPAN</v>
      </c>
      <c r="D241" s="2">
        <v>3</v>
      </c>
      <c r="E241" s="3">
        <v>5.0000000000000001E-4</v>
      </c>
    </row>
    <row r="242" spans="2:5">
      <c r="B242" s="22"/>
      <c r="C242" s="1" t="str">
        <f>"ATITALAQUIA"</f>
        <v>ATITALAQUIA</v>
      </c>
      <c r="D242" s="2">
        <v>1</v>
      </c>
      <c r="E242" s="3">
        <v>2.0000000000000001E-4</v>
      </c>
    </row>
    <row r="243" spans="2:5">
      <c r="B243" s="22"/>
      <c r="C243" s="1" t="str">
        <f>"ATOTONILCO EL GRANDE"</f>
        <v>ATOTONILCO EL GRANDE</v>
      </c>
      <c r="D243" s="2">
        <v>1</v>
      </c>
      <c r="E243" s="3">
        <v>2.0000000000000001E-4</v>
      </c>
    </row>
    <row r="244" spans="2:5">
      <c r="B244" s="22"/>
      <c r="C244" s="1" t="str">
        <f>"CARDONAL"</f>
        <v>CARDONAL</v>
      </c>
      <c r="D244" s="2">
        <v>1</v>
      </c>
      <c r="E244" s="3">
        <v>2.0000000000000001E-4</v>
      </c>
    </row>
    <row r="245" spans="2:5">
      <c r="B245" s="22"/>
      <c r="C245" s="1" t="str">
        <f>"CHAPULHUACAN"</f>
        <v>CHAPULHUACAN</v>
      </c>
      <c r="D245" s="2">
        <v>2</v>
      </c>
      <c r="E245" s="3">
        <v>2.9999999999999997E-4</v>
      </c>
    </row>
    <row r="246" spans="2:5">
      <c r="B246" s="22"/>
      <c r="C246" s="1" t="str">
        <f>"CHILCUAUTLA"</f>
        <v>CHILCUAUTLA</v>
      </c>
      <c r="D246" s="2">
        <v>3</v>
      </c>
      <c r="E246" s="3">
        <v>5.0000000000000001E-4</v>
      </c>
    </row>
    <row r="247" spans="2:5">
      <c r="B247" s="22"/>
      <c r="C247" s="1" t="str">
        <f>"CUAUTEPEC DE HINOJOSA"</f>
        <v>CUAUTEPEC DE HINOJOSA</v>
      </c>
      <c r="D247" s="2">
        <v>8</v>
      </c>
      <c r="E247" s="3">
        <v>1.2999999999999999E-3</v>
      </c>
    </row>
    <row r="248" spans="2:5">
      <c r="B248" s="22"/>
      <c r="C248" s="1" t="str">
        <f>"FRANCISCO I. MADERO"</f>
        <v>FRANCISCO I. MADERO</v>
      </c>
      <c r="D248" s="2">
        <v>1</v>
      </c>
      <c r="E248" s="3">
        <v>2.0000000000000001E-4</v>
      </c>
    </row>
    <row r="249" spans="2:5">
      <c r="B249" s="22"/>
      <c r="C249" s="1" t="str">
        <f>"HUASCA DE OCAMPO"</f>
        <v>HUASCA DE OCAMPO</v>
      </c>
      <c r="D249" s="2">
        <v>2</v>
      </c>
      <c r="E249" s="3">
        <v>2.9999999999999997E-4</v>
      </c>
    </row>
    <row r="250" spans="2:5">
      <c r="B250" s="22"/>
      <c r="C250" s="1" t="str">
        <f>"HUEHUETLA"</f>
        <v>HUEHUETLA</v>
      </c>
      <c r="D250" s="2">
        <v>1</v>
      </c>
      <c r="E250" s="3">
        <v>2.0000000000000001E-4</v>
      </c>
    </row>
    <row r="251" spans="2:5">
      <c r="B251" s="22"/>
      <c r="C251" s="1" t="str">
        <f>"HUICHAPAN"</f>
        <v>HUICHAPAN</v>
      </c>
      <c r="D251" s="2">
        <v>1</v>
      </c>
      <c r="E251" s="3">
        <v>2.0000000000000001E-4</v>
      </c>
    </row>
    <row r="252" spans="2:5">
      <c r="B252" s="22"/>
      <c r="C252" s="1" t="str">
        <f>"IXMIQUILPAN"</f>
        <v>IXMIQUILPAN</v>
      </c>
      <c r="D252" s="2">
        <v>23</v>
      </c>
      <c r="E252" s="3">
        <v>3.8999999999999998E-3</v>
      </c>
    </row>
    <row r="253" spans="2:5">
      <c r="B253" s="22"/>
      <c r="C253" s="1" t="str">
        <f>"JUAREZ HIDALGO"</f>
        <v>JUAREZ HIDALGO</v>
      </c>
      <c r="D253" s="2">
        <v>2</v>
      </c>
      <c r="E253" s="3">
        <v>2.9999999999999997E-4</v>
      </c>
    </row>
    <row r="254" spans="2:5">
      <c r="B254" s="22"/>
      <c r="C254" s="1" t="str">
        <f>"METEPEC"</f>
        <v>METEPEC</v>
      </c>
      <c r="D254" s="2">
        <v>1</v>
      </c>
      <c r="E254" s="3">
        <v>2.0000000000000001E-4</v>
      </c>
    </row>
    <row r="255" spans="2:5">
      <c r="B255" s="22"/>
      <c r="C255" s="1" t="str">
        <f>"METZTITLAN"</f>
        <v>METZTITLAN</v>
      </c>
      <c r="D255" s="2">
        <v>8</v>
      </c>
      <c r="E255" s="3">
        <v>1.2999999999999999E-3</v>
      </c>
    </row>
    <row r="256" spans="2:5">
      <c r="B256" s="22"/>
      <c r="C256" s="1" t="str">
        <f>"MINERAL DE LA REFORMA"</f>
        <v>MINERAL DE LA REFORMA</v>
      </c>
      <c r="D256" s="2">
        <v>1</v>
      </c>
      <c r="E256" s="3">
        <v>2.0000000000000001E-4</v>
      </c>
    </row>
    <row r="257" spans="2:5">
      <c r="B257" s="22"/>
      <c r="C257" s="1" t="str">
        <f>"MINERAL DEL MONTE"</f>
        <v>MINERAL DEL MONTE</v>
      </c>
      <c r="D257" s="2">
        <v>2</v>
      </c>
      <c r="E257" s="3">
        <v>2.9999999999999997E-4</v>
      </c>
    </row>
    <row r="258" spans="2:5">
      <c r="B258" s="22"/>
      <c r="C258" s="1" t="str">
        <f>"MIXQUIAHUALA DE JUAREZ"</f>
        <v>MIXQUIAHUALA DE JUAREZ</v>
      </c>
      <c r="D258" s="2">
        <v>1</v>
      </c>
      <c r="E258" s="3">
        <v>2.0000000000000001E-4</v>
      </c>
    </row>
    <row r="259" spans="2:5">
      <c r="B259" s="22"/>
      <c r="C259" s="1" t="str">
        <f>"MOLANGO DE ESCAMILLA"</f>
        <v>MOLANGO DE ESCAMILLA</v>
      </c>
      <c r="D259" s="2">
        <v>2</v>
      </c>
      <c r="E259" s="3">
        <v>2.9999999999999997E-4</v>
      </c>
    </row>
    <row r="260" spans="2:5">
      <c r="B260" s="22"/>
      <c r="C260" s="1" t="str">
        <f>"PACHUCA DE SOTO"</f>
        <v>PACHUCA DE SOTO</v>
      </c>
      <c r="D260" s="2">
        <v>5</v>
      </c>
      <c r="E260" s="3">
        <v>8.0000000000000004E-4</v>
      </c>
    </row>
    <row r="261" spans="2:5">
      <c r="B261" s="22"/>
      <c r="C261" s="1" t="str">
        <f>"PISAFLORES"</f>
        <v>PISAFLORES</v>
      </c>
      <c r="D261" s="2">
        <v>1</v>
      </c>
      <c r="E261" s="3">
        <v>2.0000000000000001E-4</v>
      </c>
    </row>
    <row r="262" spans="2:5">
      <c r="B262" s="22"/>
      <c r="C262" s="1" t="str">
        <f>"PROGRESO DE OBREGON"</f>
        <v>PROGRESO DE OBREGON</v>
      </c>
      <c r="D262" s="2">
        <v>1</v>
      </c>
      <c r="E262" s="3">
        <v>2.0000000000000001E-4</v>
      </c>
    </row>
    <row r="263" spans="2:5">
      <c r="B263" s="22"/>
      <c r="C263" s="1" t="str">
        <f>"SAN FELIPE ORIZATLAN"</f>
        <v>SAN FELIPE ORIZATLAN</v>
      </c>
      <c r="D263" s="2">
        <v>1</v>
      </c>
      <c r="E263" s="3">
        <v>2.0000000000000001E-4</v>
      </c>
    </row>
    <row r="264" spans="2:5">
      <c r="B264" s="22"/>
      <c r="C264" s="1" t="str">
        <f>"SANTIAGO DE ANAYA"</f>
        <v>SANTIAGO DE ANAYA</v>
      </c>
      <c r="D264" s="2">
        <v>1</v>
      </c>
      <c r="E264" s="3">
        <v>2.0000000000000001E-4</v>
      </c>
    </row>
    <row r="265" spans="2:5">
      <c r="B265" s="22"/>
      <c r="C265" s="1" t="str">
        <f>"SINGUILUCAN"</f>
        <v>SINGUILUCAN</v>
      </c>
      <c r="D265" s="2">
        <v>8</v>
      </c>
      <c r="E265" s="3">
        <v>1.2999999999999999E-3</v>
      </c>
    </row>
    <row r="266" spans="2:5">
      <c r="B266" s="22"/>
      <c r="C266" s="1" t="str">
        <f>"TASQUILLO"</f>
        <v>TASQUILLO</v>
      </c>
      <c r="D266" s="2">
        <v>2</v>
      </c>
      <c r="E266" s="3">
        <v>2.9999999999999997E-4</v>
      </c>
    </row>
    <row r="267" spans="2:5">
      <c r="B267" s="22"/>
      <c r="C267" s="1" t="str">
        <f>"TECOZAUTLA"</f>
        <v>TECOZAUTLA</v>
      </c>
      <c r="D267" s="2">
        <v>1</v>
      </c>
      <c r="E267" s="3">
        <v>2.0000000000000001E-4</v>
      </c>
    </row>
    <row r="268" spans="2:5">
      <c r="B268" s="22"/>
      <c r="C268" s="1" t="str">
        <f>"TEZONTEPEC DE ALDAMA"</f>
        <v>TEZONTEPEC DE ALDAMA</v>
      </c>
      <c r="D268" s="2">
        <v>5</v>
      </c>
      <c r="E268" s="3">
        <v>8.0000000000000004E-4</v>
      </c>
    </row>
    <row r="269" spans="2:5">
      <c r="B269" s="22"/>
      <c r="C269" s="1" t="str">
        <f>"TLAHUILTEPA"</f>
        <v>TLAHUILTEPA</v>
      </c>
      <c r="D269" s="2">
        <v>2</v>
      </c>
      <c r="E269" s="3">
        <v>2.9999999999999997E-4</v>
      </c>
    </row>
    <row r="270" spans="2:5">
      <c r="B270" s="22"/>
      <c r="C270" s="1" t="str">
        <f>"TOLCAYUCA"</f>
        <v>TOLCAYUCA</v>
      </c>
      <c r="D270" s="2">
        <v>1</v>
      </c>
      <c r="E270" s="3">
        <v>2.0000000000000001E-4</v>
      </c>
    </row>
    <row r="271" spans="2:5">
      <c r="B271" s="22"/>
      <c r="C271" s="1" t="str">
        <f>"TULA DE ALLENDE"</f>
        <v>TULA DE ALLENDE</v>
      </c>
      <c r="D271" s="2">
        <v>2</v>
      </c>
      <c r="E271" s="3">
        <v>2.9999999999999997E-4</v>
      </c>
    </row>
    <row r="272" spans="2:5">
      <c r="B272" s="22"/>
      <c r="C272" s="1" t="str">
        <f>"TULANCINGO DE BRAVO"</f>
        <v>TULANCINGO DE BRAVO</v>
      </c>
      <c r="D272" s="2">
        <v>13</v>
      </c>
      <c r="E272" s="3">
        <v>2.2000000000000001E-3</v>
      </c>
    </row>
    <row r="273" spans="2:5">
      <c r="B273" s="22"/>
      <c r="C273" s="1" t="str">
        <f>"YAHUALICA"</f>
        <v>YAHUALICA</v>
      </c>
      <c r="D273" s="2">
        <v>1</v>
      </c>
      <c r="E273" s="3">
        <v>2.0000000000000001E-4</v>
      </c>
    </row>
    <row r="274" spans="2:5">
      <c r="B274" s="22"/>
      <c r="C274" s="1" t="str">
        <f>"ZACUALTIPAN DE ANGELES"</f>
        <v>ZACUALTIPAN DE ANGELES</v>
      </c>
      <c r="D274" s="2">
        <v>1</v>
      </c>
      <c r="E274" s="3">
        <v>2.0000000000000001E-4</v>
      </c>
    </row>
    <row r="275" spans="2:5">
      <c r="B275" s="22"/>
      <c r="C275" s="1" t="str">
        <f>"ZIMAPAN"</f>
        <v>ZIMAPAN</v>
      </c>
      <c r="D275" s="2">
        <v>3</v>
      </c>
      <c r="E275" s="3">
        <v>5.0000000000000001E-4</v>
      </c>
    </row>
    <row r="276" spans="2:5">
      <c r="B276" s="23"/>
      <c r="C276" s="18" t="str">
        <f>"Total"</f>
        <v>Total</v>
      </c>
      <c r="D276" s="19">
        <v>113</v>
      </c>
      <c r="E276" s="20">
        <v>1.9099999999999999E-2</v>
      </c>
    </row>
    <row r="277" spans="2:5">
      <c r="B277" s="21" t="str">
        <f t="shared" ref="B277" si="8">"JALISCO"</f>
        <v>JALISCO</v>
      </c>
      <c r="C277" s="1" t="str">
        <f>"AMATITAN"</f>
        <v>AMATITAN</v>
      </c>
      <c r="D277" s="2">
        <v>3</v>
      </c>
      <c r="E277" s="3">
        <v>5.0000000000000001E-4</v>
      </c>
    </row>
    <row r="278" spans="2:5">
      <c r="B278" s="22"/>
      <c r="C278" s="1" t="str">
        <f>"AMECA"</f>
        <v>AMECA</v>
      </c>
      <c r="D278" s="2">
        <v>3</v>
      </c>
      <c r="E278" s="3">
        <v>5.0000000000000001E-4</v>
      </c>
    </row>
    <row r="279" spans="2:5">
      <c r="B279" s="22"/>
      <c r="C279" s="1" t="str">
        <f>"ARANDAS"</f>
        <v>ARANDAS</v>
      </c>
      <c r="D279" s="2">
        <v>1</v>
      </c>
      <c r="E279" s="3">
        <v>2.0000000000000001E-4</v>
      </c>
    </row>
    <row r="280" spans="2:5">
      <c r="B280" s="22"/>
      <c r="C280" s="1" t="str">
        <f>"ATENGUILLO"</f>
        <v>ATENGUILLO</v>
      </c>
      <c r="D280" s="2">
        <v>1</v>
      </c>
      <c r="E280" s="3">
        <v>2.0000000000000001E-4</v>
      </c>
    </row>
    <row r="281" spans="2:5">
      <c r="B281" s="22"/>
      <c r="C281" s="1" t="str">
        <f>"ATOTONILCO EL ALTO"</f>
        <v>ATOTONILCO EL ALTO</v>
      </c>
      <c r="D281" s="2">
        <v>1</v>
      </c>
      <c r="E281" s="3">
        <v>2.0000000000000001E-4</v>
      </c>
    </row>
    <row r="282" spans="2:5">
      <c r="B282" s="22"/>
      <c r="C282" s="1" t="str">
        <f>"ATOYAC"</f>
        <v>ATOYAC</v>
      </c>
      <c r="D282" s="2">
        <v>2</v>
      </c>
      <c r="E282" s="3">
        <v>2.9999999999999997E-4</v>
      </c>
    </row>
    <row r="283" spans="2:5">
      <c r="B283" s="22"/>
      <c r="C283" s="1" t="str">
        <f>"AYOTLAN"</f>
        <v>AYOTLAN</v>
      </c>
      <c r="D283" s="2">
        <v>1</v>
      </c>
      <c r="E283" s="3">
        <v>2.0000000000000001E-4</v>
      </c>
    </row>
    <row r="284" spans="2:5">
      <c r="B284" s="22"/>
      <c r="C284" s="1" t="str">
        <f>"AYUTLA"</f>
        <v>AYUTLA</v>
      </c>
      <c r="D284" s="2">
        <v>2</v>
      </c>
      <c r="E284" s="3">
        <v>2.9999999999999997E-4</v>
      </c>
    </row>
    <row r="285" spans="2:5">
      <c r="B285" s="22"/>
      <c r="C285" s="1" t="str">
        <f>"BOLAÑOS"</f>
        <v>BOLAÑOS</v>
      </c>
      <c r="D285" s="2">
        <v>1</v>
      </c>
      <c r="E285" s="3">
        <v>2.0000000000000001E-4</v>
      </c>
    </row>
    <row r="286" spans="2:5">
      <c r="B286" s="22"/>
      <c r="C286" s="1" t="str">
        <f>"CASIMIRO CASTILLO"</f>
        <v>CASIMIRO CASTILLO</v>
      </c>
      <c r="D286" s="2">
        <v>1</v>
      </c>
      <c r="E286" s="3">
        <v>2.0000000000000001E-4</v>
      </c>
    </row>
    <row r="287" spans="2:5">
      <c r="B287" s="22"/>
      <c r="C287" s="1" t="str">
        <f>"CHAPALA"</f>
        <v>CHAPALA</v>
      </c>
      <c r="D287" s="2">
        <v>1</v>
      </c>
      <c r="E287" s="3">
        <v>2.0000000000000001E-4</v>
      </c>
    </row>
    <row r="288" spans="2:5">
      <c r="B288" s="22"/>
      <c r="C288" s="1" t="str">
        <f>"COCULA"</f>
        <v>COCULA</v>
      </c>
      <c r="D288" s="2">
        <v>1</v>
      </c>
      <c r="E288" s="3">
        <v>2.0000000000000001E-4</v>
      </c>
    </row>
    <row r="289" spans="2:5">
      <c r="B289" s="22"/>
      <c r="C289" s="1" t="str">
        <f>"COLOTLAN"</f>
        <v>COLOTLAN</v>
      </c>
      <c r="D289" s="2">
        <v>1</v>
      </c>
      <c r="E289" s="3">
        <v>2.0000000000000001E-4</v>
      </c>
    </row>
    <row r="290" spans="2:5" ht="30">
      <c r="B290" s="22"/>
      <c r="C290" s="1" t="str">
        <f>"CUAUTITLAN DE GARCIA BARRAGAN"</f>
        <v>CUAUTITLAN DE GARCIA BARRAGAN</v>
      </c>
      <c r="D290" s="2">
        <v>1</v>
      </c>
      <c r="E290" s="3">
        <v>2.0000000000000001E-4</v>
      </c>
    </row>
    <row r="291" spans="2:5">
      <c r="B291" s="22"/>
      <c r="C291" s="1" t="str">
        <f>"DEGOLLADO"</f>
        <v>DEGOLLADO</v>
      </c>
      <c r="D291" s="2">
        <v>7</v>
      </c>
      <c r="E291" s="3">
        <v>1.1999999999999999E-3</v>
      </c>
    </row>
    <row r="292" spans="2:5">
      <c r="B292" s="22"/>
      <c r="C292" s="1" t="str">
        <f>"EJUTLA"</f>
        <v>EJUTLA</v>
      </c>
      <c r="D292" s="2">
        <v>1</v>
      </c>
      <c r="E292" s="3">
        <v>2.0000000000000001E-4</v>
      </c>
    </row>
    <row r="293" spans="2:5">
      <c r="B293" s="22"/>
      <c r="C293" s="1" t="str">
        <f>"EL ARENAL"</f>
        <v>EL ARENAL</v>
      </c>
      <c r="D293" s="2">
        <v>1</v>
      </c>
      <c r="E293" s="3">
        <v>2.0000000000000001E-4</v>
      </c>
    </row>
    <row r="294" spans="2:5">
      <c r="B294" s="22"/>
      <c r="C294" s="1" t="str">
        <f>"EL GRULLO"</f>
        <v>EL GRULLO</v>
      </c>
      <c r="D294" s="2">
        <v>1</v>
      </c>
      <c r="E294" s="3">
        <v>2.0000000000000001E-4</v>
      </c>
    </row>
    <row r="295" spans="2:5">
      <c r="B295" s="22"/>
      <c r="C295" s="1" t="str">
        <f>"ETZATLAN"</f>
        <v>ETZATLAN</v>
      </c>
      <c r="D295" s="2">
        <v>5</v>
      </c>
      <c r="E295" s="3">
        <v>8.0000000000000004E-4</v>
      </c>
    </row>
    <row r="296" spans="2:5">
      <c r="B296" s="22"/>
      <c r="C296" s="1" t="str">
        <f>"GUADALAJARA"</f>
        <v>GUADALAJARA</v>
      </c>
      <c r="D296" s="2">
        <v>65</v>
      </c>
      <c r="E296" s="3">
        <v>1.0999999999999999E-2</v>
      </c>
    </row>
    <row r="297" spans="2:5">
      <c r="B297" s="22"/>
      <c r="C297" s="1" t="str">
        <f>"HUEJUCAR"</f>
        <v>HUEJUCAR</v>
      </c>
      <c r="D297" s="2">
        <v>5</v>
      </c>
      <c r="E297" s="3">
        <v>8.0000000000000004E-4</v>
      </c>
    </row>
    <row r="298" spans="2:5">
      <c r="B298" s="22"/>
      <c r="C298" s="1" t="str">
        <f>"HUEJUQUILLA EL ALTO"</f>
        <v>HUEJUQUILLA EL ALTO</v>
      </c>
      <c r="D298" s="2">
        <v>3</v>
      </c>
      <c r="E298" s="3">
        <v>5.0000000000000001E-4</v>
      </c>
    </row>
    <row r="299" spans="2:5">
      <c r="B299" s="22"/>
      <c r="C299" s="1" t="str">
        <f>"JAMAY"</f>
        <v>JAMAY</v>
      </c>
      <c r="D299" s="2">
        <v>1</v>
      </c>
      <c r="E299" s="3">
        <v>2.0000000000000001E-4</v>
      </c>
    </row>
    <row r="300" spans="2:5">
      <c r="B300" s="22"/>
      <c r="C300" s="1" t="str">
        <f>"JESUS MARIA"</f>
        <v>JESUS MARIA</v>
      </c>
      <c r="D300" s="2">
        <v>2</v>
      </c>
      <c r="E300" s="3">
        <v>2.9999999999999997E-4</v>
      </c>
    </row>
    <row r="301" spans="2:5">
      <c r="B301" s="22"/>
      <c r="C301" s="1" t="str">
        <f>"JILOTLAN DE LOS DOLORES"</f>
        <v>JILOTLAN DE LOS DOLORES</v>
      </c>
      <c r="D301" s="2">
        <v>4</v>
      </c>
      <c r="E301" s="3">
        <v>6.9999999999999999E-4</v>
      </c>
    </row>
    <row r="302" spans="2:5">
      <c r="B302" s="22"/>
      <c r="C302" s="1" t="str">
        <f>"JOCOTEPEC"</f>
        <v>JOCOTEPEC</v>
      </c>
      <c r="D302" s="2">
        <v>1</v>
      </c>
      <c r="E302" s="3">
        <v>2.0000000000000001E-4</v>
      </c>
    </row>
    <row r="303" spans="2:5">
      <c r="B303" s="22"/>
      <c r="C303" s="1" t="str">
        <f>"LA BARCA"</f>
        <v>LA BARCA</v>
      </c>
      <c r="D303" s="2">
        <v>1</v>
      </c>
      <c r="E303" s="3">
        <v>2.0000000000000001E-4</v>
      </c>
    </row>
    <row r="304" spans="2:5">
      <c r="B304" s="22"/>
      <c r="C304" s="1" t="str">
        <f>"LAGOS DE MORENO"</f>
        <v>LAGOS DE MORENO</v>
      </c>
      <c r="D304" s="2">
        <v>9</v>
      </c>
      <c r="E304" s="3">
        <v>1.5E-3</v>
      </c>
    </row>
    <row r="305" spans="2:5">
      <c r="B305" s="22"/>
      <c r="C305" s="1" t="str">
        <f>"MASCOTA"</f>
        <v>MASCOTA</v>
      </c>
      <c r="D305" s="2">
        <v>5</v>
      </c>
      <c r="E305" s="3">
        <v>8.0000000000000004E-4</v>
      </c>
    </row>
    <row r="306" spans="2:5">
      <c r="B306" s="22"/>
      <c r="C306" s="1" t="str">
        <f>"MIXTLAN"</f>
        <v>MIXTLAN</v>
      </c>
      <c r="D306" s="2">
        <v>1</v>
      </c>
      <c r="E306" s="3">
        <v>2.0000000000000001E-4</v>
      </c>
    </row>
    <row r="307" spans="2:5">
      <c r="B307" s="22"/>
      <c r="C307" s="1" t="str">
        <f>"OCOTLAN"</f>
        <v>OCOTLAN</v>
      </c>
      <c r="D307" s="2">
        <v>3</v>
      </c>
      <c r="E307" s="3">
        <v>5.0000000000000001E-4</v>
      </c>
    </row>
    <row r="308" spans="2:5">
      <c r="B308" s="22"/>
      <c r="C308" s="1" t="str">
        <f>"PIHUAMO"</f>
        <v>PIHUAMO</v>
      </c>
      <c r="D308" s="2">
        <v>2</v>
      </c>
      <c r="E308" s="3">
        <v>2.9999999999999997E-4</v>
      </c>
    </row>
    <row r="309" spans="2:5">
      <c r="B309" s="22"/>
      <c r="C309" s="1" t="str">
        <f>"PONCITLAN"</f>
        <v>PONCITLAN</v>
      </c>
      <c r="D309" s="2">
        <v>10</v>
      </c>
      <c r="E309" s="3">
        <v>1.6999999999999999E-3</v>
      </c>
    </row>
    <row r="310" spans="2:5">
      <c r="B310" s="22"/>
      <c r="C310" s="1" t="str">
        <f>"PUERTO VALLARTA"</f>
        <v>PUERTO VALLARTA</v>
      </c>
      <c r="D310" s="2">
        <v>8</v>
      </c>
      <c r="E310" s="3">
        <v>1.2999999999999999E-3</v>
      </c>
    </row>
    <row r="311" spans="2:5">
      <c r="B311" s="22"/>
      <c r="C311" s="1" t="str">
        <f>"SAN GABRIEL"</f>
        <v>SAN GABRIEL</v>
      </c>
      <c r="D311" s="2">
        <v>2</v>
      </c>
      <c r="E311" s="3">
        <v>2.9999999999999997E-4</v>
      </c>
    </row>
    <row r="312" spans="2:5">
      <c r="B312" s="22"/>
      <c r="C312" s="1" t="str">
        <f>"SAN JULIAN"</f>
        <v>SAN JULIAN</v>
      </c>
      <c r="D312" s="2">
        <v>1</v>
      </c>
      <c r="E312" s="3">
        <v>2.0000000000000001E-4</v>
      </c>
    </row>
    <row r="313" spans="2:5">
      <c r="B313" s="22"/>
      <c r="C313" s="1" t="str">
        <f>"SAN MARTIN DE BOLAÑOS"</f>
        <v>SAN MARTIN DE BOLAÑOS</v>
      </c>
      <c r="D313" s="2">
        <v>1</v>
      </c>
      <c r="E313" s="3">
        <v>2.0000000000000001E-4</v>
      </c>
    </row>
    <row r="314" spans="2:5">
      <c r="B314" s="22"/>
      <c r="C314" s="1" t="str">
        <f>"SAN MARTIN DE HIDALGO"</f>
        <v>SAN MARTIN DE HIDALGO</v>
      </c>
      <c r="D314" s="2">
        <v>1</v>
      </c>
      <c r="E314" s="3">
        <v>2.0000000000000001E-4</v>
      </c>
    </row>
    <row r="315" spans="2:5">
      <c r="B315" s="22"/>
      <c r="C315" s="1" t="str">
        <f>"TALA"</f>
        <v>TALA</v>
      </c>
      <c r="D315" s="2">
        <v>2</v>
      </c>
      <c r="E315" s="3">
        <v>2.9999999999999997E-4</v>
      </c>
    </row>
    <row r="316" spans="2:5">
      <c r="B316" s="22"/>
      <c r="C316" s="1" t="str">
        <f>"TAMAZULA DE GORDIANO"</f>
        <v>TAMAZULA DE GORDIANO</v>
      </c>
      <c r="D316" s="2">
        <v>3</v>
      </c>
      <c r="E316" s="3">
        <v>5.0000000000000001E-4</v>
      </c>
    </row>
    <row r="317" spans="2:5">
      <c r="B317" s="22"/>
      <c r="C317" s="1" t="str">
        <f>"TAPALPA"</f>
        <v>TAPALPA</v>
      </c>
      <c r="D317" s="2">
        <v>2</v>
      </c>
      <c r="E317" s="3">
        <v>2.9999999999999997E-4</v>
      </c>
    </row>
    <row r="318" spans="2:5">
      <c r="B318" s="22"/>
      <c r="C318" s="1" t="str">
        <f>"TECALITLAN"</f>
        <v>TECALITLAN</v>
      </c>
      <c r="D318" s="2">
        <v>3</v>
      </c>
      <c r="E318" s="3">
        <v>5.0000000000000001E-4</v>
      </c>
    </row>
    <row r="319" spans="2:5">
      <c r="B319" s="22"/>
      <c r="C319" s="1" t="str">
        <f>"TECOLOTLAN"</f>
        <v>TECOLOTLAN</v>
      </c>
      <c r="D319" s="2">
        <v>1</v>
      </c>
      <c r="E319" s="3">
        <v>2.0000000000000001E-4</v>
      </c>
    </row>
    <row r="320" spans="2:5">
      <c r="B320" s="22"/>
      <c r="C320" s="1" t="str">
        <f>"TEOCALTICHE"</f>
        <v>TEOCALTICHE</v>
      </c>
      <c r="D320" s="2">
        <v>2</v>
      </c>
      <c r="E320" s="3">
        <v>2.9999999999999997E-4</v>
      </c>
    </row>
    <row r="321" spans="2:5">
      <c r="B321" s="22"/>
      <c r="C321" s="1" t="str">
        <f>"TEPATITLAN DE MORELOS"</f>
        <v>TEPATITLAN DE MORELOS</v>
      </c>
      <c r="D321" s="2">
        <v>2</v>
      </c>
      <c r="E321" s="3">
        <v>2.9999999999999997E-4</v>
      </c>
    </row>
    <row r="322" spans="2:5">
      <c r="B322" s="22"/>
      <c r="C322" s="1" t="str">
        <f>"TEQUILA"</f>
        <v>TEQUILA</v>
      </c>
      <c r="D322" s="2">
        <v>6</v>
      </c>
      <c r="E322" s="3">
        <v>1E-3</v>
      </c>
    </row>
    <row r="323" spans="2:5">
      <c r="B323" s="22"/>
      <c r="C323" s="1" t="str">
        <f>"TLAQUEPAQUE"</f>
        <v>TLAQUEPAQUE</v>
      </c>
      <c r="D323" s="2">
        <v>4</v>
      </c>
      <c r="E323" s="3">
        <v>6.9999999999999999E-4</v>
      </c>
    </row>
    <row r="324" spans="2:5">
      <c r="B324" s="22"/>
      <c r="C324" s="1" t="str">
        <f>"TOLIMAN"</f>
        <v>TOLIMAN</v>
      </c>
      <c r="D324" s="2">
        <v>3</v>
      </c>
      <c r="E324" s="3">
        <v>5.0000000000000001E-4</v>
      </c>
    </row>
    <row r="325" spans="2:5">
      <c r="B325" s="22"/>
      <c r="C325" s="1" t="str">
        <f>"TOMATLAN"</f>
        <v>TOMATLAN</v>
      </c>
      <c r="D325" s="2">
        <v>3</v>
      </c>
      <c r="E325" s="3">
        <v>5.0000000000000001E-4</v>
      </c>
    </row>
    <row r="326" spans="2:5">
      <c r="B326" s="22"/>
      <c r="C326" s="1" t="str">
        <f>"TOTATICHE"</f>
        <v>TOTATICHE</v>
      </c>
      <c r="D326" s="2">
        <v>1</v>
      </c>
      <c r="E326" s="3">
        <v>2.0000000000000001E-4</v>
      </c>
    </row>
    <row r="327" spans="2:5">
      <c r="B327" s="22"/>
      <c r="C327" s="1" t="str">
        <f>"TOTOTLAN"</f>
        <v>TOTOTLAN</v>
      </c>
      <c r="D327" s="2">
        <v>1</v>
      </c>
      <c r="E327" s="3">
        <v>2.0000000000000001E-4</v>
      </c>
    </row>
    <row r="328" spans="2:5">
      <c r="B328" s="22"/>
      <c r="C328" s="1" t="str">
        <f>"TUXCACUESCO"</f>
        <v>TUXCACUESCO</v>
      </c>
      <c r="D328" s="2">
        <v>1</v>
      </c>
      <c r="E328" s="3">
        <v>2.0000000000000001E-4</v>
      </c>
    </row>
    <row r="329" spans="2:5">
      <c r="B329" s="22"/>
      <c r="C329" s="1" t="str">
        <f>"TUXPAN"</f>
        <v>TUXPAN</v>
      </c>
      <c r="D329" s="2">
        <v>1</v>
      </c>
      <c r="E329" s="3">
        <v>2.0000000000000001E-4</v>
      </c>
    </row>
    <row r="330" spans="2:5">
      <c r="B330" s="22"/>
      <c r="C330" s="1" t="str">
        <f>"UNION DE SAN ANTONIO"</f>
        <v>UNION DE SAN ANTONIO</v>
      </c>
      <c r="D330" s="2">
        <v>1</v>
      </c>
      <c r="E330" s="3">
        <v>2.0000000000000001E-4</v>
      </c>
    </row>
    <row r="331" spans="2:5">
      <c r="B331" s="22"/>
      <c r="C331" s="1" t="str">
        <f>"VILLA CORONA"</f>
        <v>VILLA CORONA</v>
      </c>
      <c r="D331" s="2">
        <v>1</v>
      </c>
      <c r="E331" s="3">
        <v>2.0000000000000001E-4</v>
      </c>
    </row>
    <row r="332" spans="2:5">
      <c r="B332" s="22"/>
      <c r="C332" s="1" t="str">
        <f>"VILLA GUERRERO"</f>
        <v>VILLA GUERRERO</v>
      </c>
      <c r="D332" s="2">
        <v>1</v>
      </c>
      <c r="E332" s="3">
        <v>2.0000000000000001E-4</v>
      </c>
    </row>
    <row r="333" spans="2:5">
      <c r="B333" s="22"/>
      <c r="C333" s="1" t="str">
        <f>"VILLA PURIFICACION"</f>
        <v>VILLA PURIFICACION</v>
      </c>
      <c r="D333" s="2">
        <v>3</v>
      </c>
      <c r="E333" s="3">
        <v>5.0000000000000001E-4</v>
      </c>
    </row>
    <row r="334" spans="2:5">
      <c r="B334" s="22"/>
      <c r="C334" s="1" t="str">
        <f>"ZAPOPAN"</f>
        <v>ZAPOPAN</v>
      </c>
      <c r="D334" s="2">
        <v>4</v>
      </c>
      <c r="E334" s="3">
        <v>6.9999999999999999E-4</v>
      </c>
    </row>
    <row r="335" spans="2:5">
      <c r="B335" s="22"/>
      <c r="C335" s="1" t="str">
        <f>"ZAPOTILTIC"</f>
        <v>ZAPOTILTIC</v>
      </c>
      <c r="D335" s="2">
        <v>1</v>
      </c>
      <c r="E335" s="3">
        <v>2.0000000000000001E-4</v>
      </c>
    </row>
    <row r="336" spans="2:5">
      <c r="B336" s="23"/>
      <c r="C336" s="18" t="str">
        <f>"Total"</f>
        <v>Total</v>
      </c>
      <c r="D336" s="19">
        <v>206</v>
      </c>
      <c r="E336" s="20">
        <v>3.4799999999999998E-2</v>
      </c>
    </row>
    <row r="337" spans="2:5">
      <c r="B337" s="21" t="str">
        <f t="shared" ref="B337" si="9">"MEXICO"</f>
        <v>MEXICO</v>
      </c>
      <c r="C337" s="1" t="str">
        <f>"ACULCO"</f>
        <v>ACULCO</v>
      </c>
      <c r="D337" s="2">
        <v>1</v>
      </c>
      <c r="E337" s="3">
        <v>2.0000000000000001E-4</v>
      </c>
    </row>
    <row r="338" spans="2:5">
      <c r="B338" s="22"/>
      <c r="C338" s="1" t="str">
        <f>"ALMOLOYA DE JUAREZ"</f>
        <v>ALMOLOYA DE JUAREZ</v>
      </c>
      <c r="D338" s="2">
        <v>6</v>
      </c>
      <c r="E338" s="3">
        <v>1E-3</v>
      </c>
    </row>
    <row r="339" spans="2:5">
      <c r="B339" s="22"/>
      <c r="C339" s="1" t="str">
        <f>"AMANALCO"</f>
        <v>AMANALCO</v>
      </c>
      <c r="D339" s="2">
        <v>3</v>
      </c>
      <c r="E339" s="3">
        <v>5.0000000000000001E-4</v>
      </c>
    </row>
    <row r="340" spans="2:5">
      <c r="B340" s="22"/>
      <c r="C340" s="1" t="str">
        <f>"AMATEPEC"</f>
        <v>AMATEPEC</v>
      </c>
      <c r="D340" s="2">
        <v>7</v>
      </c>
      <c r="E340" s="3">
        <v>1.1999999999999999E-3</v>
      </c>
    </row>
    <row r="341" spans="2:5">
      <c r="B341" s="22"/>
      <c r="C341" s="1" t="str">
        <f>"ATIZAPAN"</f>
        <v>ATIZAPAN</v>
      </c>
      <c r="D341" s="2">
        <v>2</v>
      </c>
      <c r="E341" s="3">
        <v>2.9999999999999997E-4</v>
      </c>
    </row>
    <row r="342" spans="2:5">
      <c r="B342" s="22"/>
      <c r="C342" s="1" t="str">
        <f>"ATIZAPAN DE ZARAGOZA"</f>
        <v>ATIZAPAN DE ZARAGOZA</v>
      </c>
      <c r="D342" s="2">
        <v>2</v>
      </c>
      <c r="E342" s="3">
        <v>2.9999999999999997E-4</v>
      </c>
    </row>
    <row r="343" spans="2:5">
      <c r="B343" s="22"/>
      <c r="C343" s="1" t="str">
        <f>"ATLACOMULCO"</f>
        <v>ATLACOMULCO</v>
      </c>
      <c r="D343" s="2">
        <v>1</v>
      </c>
      <c r="E343" s="3">
        <v>2.0000000000000001E-4</v>
      </c>
    </row>
    <row r="344" spans="2:5">
      <c r="B344" s="22"/>
      <c r="C344" s="1" t="str">
        <f>"ATLAUTLA"</f>
        <v>ATLAUTLA</v>
      </c>
      <c r="D344" s="2">
        <v>4</v>
      </c>
      <c r="E344" s="3">
        <v>6.9999999999999999E-4</v>
      </c>
    </row>
    <row r="345" spans="2:5">
      <c r="B345" s="22"/>
      <c r="C345" s="1" t="str">
        <f>"CHALCO"</f>
        <v>CHALCO</v>
      </c>
      <c r="D345" s="2">
        <v>10</v>
      </c>
      <c r="E345" s="3">
        <v>1.6999999999999999E-3</v>
      </c>
    </row>
    <row r="346" spans="2:5">
      <c r="B346" s="22"/>
      <c r="C346" s="1" t="str">
        <f>"CHAPA DE MOTA"</f>
        <v>CHAPA DE MOTA</v>
      </c>
      <c r="D346" s="2">
        <v>6</v>
      </c>
      <c r="E346" s="3">
        <v>1E-3</v>
      </c>
    </row>
    <row r="347" spans="2:5">
      <c r="B347" s="22"/>
      <c r="C347" s="1" t="str">
        <f>"CHICOLOAPAN"</f>
        <v>CHICOLOAPAN</v>
      </c>
      <c r="D347" s="2">
        <v>3</v>
      </c>
      <c r="E347" s="3">
        <v>5.0000000000000001E-4</v>
      </c>
    </row>
    <row r="348" spans="2:5">
      <c r="B348" s="22"/>
      <c r="C348" s="1" t="str">
        <f>"CHIMALHUACAN"</f>
        <v>CHIMALHUACAN</v>
      </c>
      <c r="D348" s="2">
        <v>3</v>
      </c>
      <c r="E348" s="3">
        <v>5.0000000000000001E-4</v>
      </c>
    </row>
    <row r="349" spans="2:5">
      <c r="B349" s="22"/>
      <c r="C349" s="1" t="str">
        <f>"COACALCO DE BERRIOZABAL"</f>
        <v>COACALCO DE BERRIOZABAL</v>
      </c>
      <c r="D349" s="2">
        <v>1</v>
      </c>
      <c r="E349" s="3">
        <v>2.0000000000000001E-4</v>
      </c>
    </row>
    <row r="350" spans="2:5">
      <c r="B350" s="22"/>
      <c r="C350" s="1" t="str">
        <f>"COATEPEC HARINAS"</f>
        <v>COATEPEC HARINAS</v>
      </c>
      <c r="D350" s="2">
        <v>1</v>
      </c>
      <c r="E350" s="3">
        <v>2.0000000000000001E-4</v>
      </c>
    </row>
    <row r="351" spans="2:5">
      <c r="B351" s="22"/>
      <c r="C351" s="1" t="str">
        <f>"CUAUTITLAN"</f>
        <v>CUAUTITLAN</v>
      </c>
      <c r="D351" s="2">
        <v>5</v>
      </c>
      <c r="E351" s="3">
        <v>8.0000000000000004E-4</v>
      </c>
    </row>
    <row r="352" spans="2:5">
      <c r="B352" s="22"/>
      <c r="C352" s="1" t="str">
        <f>"CUAUTITLAN IZCALLI"</f>
        <v>CUAUTITLAN IZCALLI</v>
      </c>
      <c r="D352" s="2">
        <v>1</v>
      </c>
      <c r="E352" s="3">
        <v>2.0000000000000001E-4</v>
      </c>
    </row>
    <row r="353" spans="2:5">
      <c r="B353" s="22"/>
      <c r="C353" s="1" t="str">
        <f>"DONATO GUERRA"</f>
        <v>DONATO GUERRA</v>
      </c>
      <c r="D353" s="2">
        <v>1</v>
      </c>
      <c r="E353" s="3">
        <v>2.0000000000000001E-4</v>
      </c>
    </row>
    <row r="354" spans="2:5">
      <c r="B354" s="22"/>
      <c r="C354" s="1" t="str">
        <f>"ECATEPEC DE MORELOS"</f>
        <v>ECATEPEC DE MORELOS</v>
      </c>
      <c r="D354" s="2">
        <v>26</v>
      </c>
      <c r="E354" s="3">
        <v>4.4000000000000003E-3</v>
      </c>
    </row>
    <row r="355" spans="2:5">
      <c r="B355" s="22"/>
      <c r="C355" s="1" t="str">
        <f>"ECATZINGO"</f>
        <v>ECATZINGO</v>
      </c>
      <c r="D355" s="2">
        <v>1</v>
      </c>
      <c r="E355" s="3">
        <v>2.0000000000000001E-4</v>
      </c>
    </row>
    <row r="356" spans="2:5">
      <c r="B356" s="22"/>
      <c r="C356" s="1" t="str">
        <f>"EL ORO"</f>
        <v>EL ORO</v>
      </c>
      <c r="D356" s="2">
        <v>1</v>
      </c>
      <c r="E356" s="3">
        <v>2.0000000000000001E-4</v>
      </c>
    </row>
    <row r="357" spans="2:5">
      <c r="B357" s="22"/>
      <c r="C357" s="1" t="str">
        <f>"HUIXQUILUCAN"</f>
        <v>HUIXQUILUCAN</v>
      </c>
      <c r="D357" s="2">
        <v>1</v>
      </c>
      <c r="E357" s="3">
        <v>2.0000000000000001E-4</v>
      </c>
    </row>
    <row r="358" spans="2:5">
      <c r="B358" s="22"/>
      <c r="C358" s="1" t="str">
        <f>"IXTAPALUCA"</f>
        <v>IXTAPALUCA</v>
      </c>
      <c r="D358" s="2">
        <v>4</v>
      </c>
      <c r="E358" s="3">
        <v>6.9999999999999999E-4</v>
      </c>
    </row>
    <row r="359" spans="2:5">
      <c r="B359" s="22"/>
      <c r="C359" s="1" t="str">
        <f>"IXTAPAN DE LA SAL"</f>
        <v>IXTAPAN DE LA SAL</v>
      </c>
      <c r="D359" s="2">
        <v>1</v>
      </c>
      <c r="E359" s="3">
        <v>2.0000000000000001E-4</v>
      </c>
    </row>
    <row r="360" spans="2:5">
      <c r="B360" s="22"/>
      <c r="C360" s="1" t="str">
        <f>"IXTAPAN DEL ORO"</f>
        <v>IXTAPAN DEL ORO</v>
      </c>
      <c r="D360" s="2">
        <v>1</v>
      </c>
      <c r="E360" s="3">
        <v>2.0000000000000001E-4</v>
      </c>
    </row>
    <row r="361" spans="2:5">
      <c r="B361" s="22"/>
      <c r="C361" s="1" t="str">
        <f>"IXTLAHUACA"</f>
        <v>IXTLAHUACA</v>
      </c>
      <c r="D361" s="2">
        <v>1</v>
      </c>
      <c r="E361" s="3">
        <v>2.0000000000000001E-4</v>
      </c>
    </row>
    <row r="362" spans="2:5">
      <c r="B362" s="22"/>
      <c r="C362" s="1" t="str">
        <f>"JALTENCO"</f>
        <v>JALTENCO</v>
      </c>
      <c r="D362" s="2">
        <v>1</v>
      </c>
      <c r="E362" s="3">
        <v>2.0000000000000001E-4</v>
      </c>
    </row>
    <row r="363" spans="2:5">
      <c r="B363" s="22"/>
      <c r="C363" s="1" t="str">
        <f>"JILOTEPEC"</f>
        <v>JILOTEPEC</v>
      </c>
      <c r="D363" s="2">
        <v>5</v>
      </c>
      <c r="E363" s="3">
        <v>8.0000000000000004E-4</v>
      </c>
    </row>
    <row r="364" spans="2:5">
      <c r="B364" s="22"/>
      <c r="C364" s="1" t="str">
        <f>"JIQUIPILCO"</f>
        <v>JIQUIPILCO</v>
      </c>
      <c r="D364" s="2">
        <v>2</v>
      </c>
      <c r="E364" s="3">
        <v>2.9999999999999997E-4</v>
      </c>
    </row>
    <row r="365" spans="2:5">
      <c r="B365" s="22"/>
      <c r="C365" s="1" t="str">
        <f>"JOCOTITLAN"</f>
        <v>JOCOTITLAN</v>
      </c>
      <c r="D365" s="2">
        <v>2</v>
      </c>
      <c r="E365" s="3">
        <v>2.9999999999999997E-4</v>
      </c>
    </row>
    <row r="366" spans="2:5">
      <c r="B366" s="22"/>
      <c r="C366" s="1" t="str">
        <f>"JUCHITEPEC"</f>
        <v>JUCHITEPEC</v>
      </c>
      <c r="D366" s="2">
        <v>1</v>
      </c>
      <c r="E366" s="3">
        <v>2.0000000000000001E-4</v>
      </c>
    </row>
    <row r="367" spans="2:5">
      <c r="B367" s="22"/>
      <c r="C367" s="1" t="str">
        <f>"LA PAZ"</f>
        <v>LA PAZ</v>
      </c>
      <c r="D367" s="2">
        <v>9</v>
      </c>
      <c r="E367" s="3">
        <v>1.5E-3</v>
      </c>
    </row>
    <row r="368" spans="2:5">
      <c r="B368" s="22"/>
      <c r="C368" s="1" t="str">
        <f>"MORELOS"</f>
        <v>MORELOS</v>
      </c>
      <c r="D368" s="2">
        <v>2</v>
      </c>
      <c r="E368" s="3">
        <v>2.9999999999999997E-4</v>
      </c>
    </row>
    <row r="369" spans="2:5">
      <c r="B369" s="22"/>
      <c r="C369" s="1" t="str">
        <f>"NAUCALPAN DE JUAREZ"</f>
        <v>NAUCALPAN DE JUAREZ</v>
      </c>
      <c r="D369" s="2">
        <v>12</v>
      </c>
      <c r="E369" s="3">
        <v>2E-3</v>
      </c>
    </row>
    <row r="370" spans="2:5">
      <c r="B370" s="22"/>
      <c r="C370" s="1" t="str">
        <f>"NEZAHUALCOYOTL"</f>
        <v>NEZAHUALCOYOTL</v>
      </c>
      <c r="D370" s="2">
        <v>47</v>
      </c>
      <c r="E370" s="3">
        <v>7.9000000000000008E-3</v>
      </c>
    </row>
    <row r="371" spans="2:5">
      <c r="B371" s="22"/>
      <c r="C371" s="1" t="str">
        <f>"NICOLAS ROMERO"</f>
        <v>NICOLAS ROMERO</v>
      </c>
      <c r="D371" s="2">
        <v>1</v>
      </c>
      <c r="E371" s="3">
        <v>2.0000000000000001E-4</v>
      </c>
    </row>
    <row r="372" spans="2:5">
      <c r="B372" s="22"/>
      <c r="C372" s="1" t="str">
        <f>"OCUILAN"</f>
        <v>OCUILAN</v>
      </c>
      <c r="D372" s="2">
        <v>1</v>
      </c>
      <c r="E372" s="3">
        <v>2.0000000000000001E-4</v>
      </c>
    </row>
    <row r="373" spans="2:5">
      <c r="B373" s="22"/>
      <c r="C373" s="1" t="str">
        <f>"OZUMBA"</f>
        <v>OZUMBA</v>
      </c>
      <c r="D373" s="2">
        <v>7</v>
      </c>
      <c r="E373" s="3">
        <v>1.1999999999999999E-3</v>
      </c>
    </row>
    <row r="374" spans="2:5">
      <c r="B374" s="22"/>
      <c r="C374" s="1" t="str">
        <f>"SAN FELIPE DEL PROGRESO"</f>
        <v>SAN FELIPE DEL PROGRESO</v>
      </c>
      <c r="D374" s="2">
        <v>3</v>
      </c>
      <c r="E374" s="3">
        <v>5.0000000000000001E-4</v>
      </c>
    </row>
    <row r="375" spans="2:5">
      <c r="B375" s="22"/>
      <c r="C375" s="1" t="str">
        <f>"SULTEPEC"</f>
        <v>SULTEPEC</v>
      </c>
      <c r="D375" s="2">
        <v>1</v>
      </c>
      <c r="E375" s="3">
        <v>2.0000000000000001E-4</v>
      </c>
    </row>
    <row r="376" spans="2:5">
      <c r="B376" s="22"/>
      <c r="C376" s="1" t="str">
        <f>"TEJUPILCO"</f>
        <v>TEJUPILCO</v>
      </c>
      <c r="D376" s="2">
        <v>1</v>
      </c>
      <c r="E376" s="3">
        <v>2.0000000000000001E-4</v>
      </c>
    </row>
    <row r="377" spans="2:5">
      <c r="B377" s="22"/>
      <c r="C377" s="1" t="str">
        <f>"TEMASCALCINGO"</f>
        <v>TEMASCALCINGO</v>
      </c>
      <c r="D377" s="2">
        <v>5</v>
      </c>
      <c r="E377" s="3">
        <v>8.0000000000000004E-4</v>
      </c>
    </row>
    <row r="378" spans="2:5">
      <c r="B378" s="22"/>
      <c r="C378" s="1" t="str">
        <f>"TEMASCALTEPEC"</f>
        <v>TEMASCALTEPEC</v>
      </c>
      <c r="D378" s="2">
        <v>1</v>
      </c>
      <c r="E378" s="3">
        <v>2.0000000000000001E-4</v>
      </c>
    </row>
    <row r="379" spans="2:5">
      <c r="B379" s="22"/>
      <c r="C379" s="1" t="str">
        <f>"TEMOAYA"</f>
        <v>TEMOAYA</v>
      </c>
      <c r="D379" s="2">
        <v>1</v>
      </c>
      <c r="E379" s="3">
        <v>2.0000000000000001E-4</v>
      </c>
    </row>
    <row r="380" spans="2:5">
      <c r="B380" s="22"/>
      <c r="C380" s="1" t="str">
        <f>"TENANCINGO"</f>
        <v>TENANCINGO</v>
      </c>
      <c r="D380" s="2">
        <v>6</v>
      </c>
      <c r="E380" s="3">
        <v>1E-3</v>
      </c>
    </row>
    <row r="381" spans="2:5">
      <c r="B381" s="22"/>
      <c r="C381" s="1" t="str">
        <f>"TENANGO DEL AIRE"</f>
        <v>TENANGO DEL AIRE</v>
      </c>
      <c r="D381" s="2">
        <v>1</v>
      </c>
      <c r="E381" s="3">
        <v>2.0000000000000001E-4</v>
      </c>
    </row>
    <row r="382" spans="2:5">
      <c r="B382" s="22"/>
      <c r="C382" s="1" t="str">
        <f>"TENANGO DEL VALLE"</f>
        <v>TENANGO DEL VALLE</v>
      </c>
      <c r="D382" s="2">
        <v>5</v>
      </c>
      <c r="E382" s="3">
        <v>8.0000000000000004E-4</v>
      </c>
    </row>
    <row r="383" spans="2:5">
      <c r="B383" s="22"/>
      <c r="C383" s="1" t="str">
        <f>"TEOLOYUCAN"</f>
        <v>TEOLOYUCAN</v>
      </c>
      <c r="D383" s="2">
        <v>1</v>
      </c>
      <c r="E383" s="3">
        <v>2.0000000000000001E-4</v>
      </c>
    </row>
    <row r="384" spans="2:5">
      <c r="B384" s="22"/>
      <c r="C384" s="1" t="str">
        <f>"TEPETLIXPA"</f>
        <v>TEPETLIXPA</v>
      </c>
      <c r="D384" s="2">
        <v>2</v>
      </c>
      <c r="E384" s="3">
        <v>2.9999999999999997E-4</v>
      </c>
    </row>
    <row r="385" spans="2:5">
      <c r="B385" s="22"/>
      <c r="C385" s="1" t="str">
        <f>"TEQUIXQUIAC"</f>
        <v>TEQUIXQUIAC</v>
      </c>
      <c r="D385" s="2">
        <v>1</v>
      </c>
      <c r="E385" s="3">
        <v>2.0000000000000001E-4</v>
      </c>
    </row>
    <row r="386" spans="2:5">
      <c r="B386" s="22"/>
      <c r="C386" s="1" t="str">
        <f>"TEXCALTITLAN"</f>
        <v>TEXCALTITLAN</v>
      </c>
      <c r="D386" s="2">
        <v>1</v>
      </c>
      <c r="E386" s="3">
        <v>2.0000000000000001E-4</v>
      </c>
    </row>
    <row r="387" spans="2:5">
      <c r="B387" s="22"/>
      <c r="C387" s="1" t="str">
        <f>"TEXCOCO"</f>
        <v>TEXCOCO</v>
      </c>
      <c r="D387" s="2">
        <v>6</v>
      </c>
      <c r="E387" s="3">
        <v>1E-3</v>
      </c>
    </row>
    <row r="388" spans="2:5">
      <c r="B388" s="22"/>
      <c r="C388" s="1" t="str">
        <f>"TLALNEPANTLA DE BAZ"</f>
        <v>TLALNEPANTLA DE BAZ</v>
      </c>
      <c r="D388" s="2">
        <v>21</v>
      </c>
      <c r="E388" s="3">
        <v>3.5000000000000001E-3</v>
      </c>
    </row>
    <row r="389" spans="2:5">
      <c r="B389" s="22"/>
      <c r="C389" s="1" t="str">
        <f>"TLATLAYA"</f>
        <v>TLATLAYA</v>
      </c>
      <c r="D389" s="2">
        <v>56</v>
      </c>
      <c r="E389" s="3">
        <v>9.4000000000000004E-3</v>
      </c>
    </row>
    <row r="390" spans="2:5">
      <c r="B390" s="22"/>
      <c r="C390" s="1" t="str">
        <f>"TOLUCA"</f>
        <v>TOLUCA</v>
      </c>
      <c r="D390" s="2">
        <v>7</v>
      </c>
      <c r="E390" s="3">
        <v>1.1999999999999999E-3</v>
      </c>
    </row>
    <row r="391" spans="2:5">
      <c r="B391" s="22"/>
      <c r="C391" s="1" t="str">
        <f>"TULTITLAN"</f>
        <v>TULTITLAN</v>
      </c>
      <c r="D391" s="2">
        <v>4</v>
      </c>
      <c r="E391" s="3">
        <v>6.9999999999999999E-4</v>
      </c>
    </row>
    <row r="392" spans="2:5">
      <c r="B392" s="22"/>
      <c r="C392" s="1" t="str">
        <f>"VILLA DE ALLENDE"</f>
        <v>VILLA DE ALLENDE</v>
      </c>
      <c r="D392" s="2">
        <v>3</v>
      </c>
      <c r="E392" s="3">
        <v>5.0000000000000001E-4</v>
      </c>
    </row>
    <row r="393" spans="2:5">
      <c r="B393" s="22"/>
      <c r="C393" s="1" t="str">
        <f>"VILLA DEL CARBON"</f>
        <v>VILLA DEL CARBON</v>
      </c>
      <c r="D393" s="2">
        <v>1</v>
      </c>
      <c r="E393" s="3">
        <v>2.0000000000000001E-4</v>
      </c>
    </row>
    <row r="394" spans="2:5">
      <c r="B394" s="22"/>
      <c r="C394" s="1" t="str">
        <f>"VILLA GUERRERO"</f>
        <v>VILLA GUERRERO</v>
      </c>
      <c r="D394" s="2">
        <v>5</v>
      </c>
      <c r="E394" s="3">
        <v>8.0000000000000004E-4</v>
      </c>
    </row>
    <row r="395" spans="2:5">
      <c r="B395" s="22"/>
      <c r="C395" s="1" t="str">
        <f>"VILLA VICTORIA"</f>
        <v>VILLA VICTORIA</v>
      </c>
      <c r="D395" s="2">
        <v>2</v>
      </c>
      <c r="E395" s="3">
        <v>2.9999999999999997E-4</v>
      </c>
    </row>
    <row r="396" spans="2:5">
      <c r="B396" s="22"/>
      <c r="C396" s="1" t="str">
        <f>"XALATLACO"</f>
        <v>XALATLACO</v>
      </c>
      <c r="D396" s="2">
        <v>1</v>
      </c>
      <c r="E396" s="3">
        <v>2.0000000000000001E-4</v>
      </c>
    </row>
    <row r="397" spans="2:5">
      <c r="B397" s="22"/>
      <c r="C397" s="1" t="str">
        <f>"XONACATLAN"</f>
        <v>XONACATLAN</v>
      </c>
      <c r="D397" s="2">
        <v>3</v>
      </c>
      <c r="E397" s="3">
        <v>5.0000000000000001E-4</v>
      </c>
    </row>
    <row r="398" spans="2:5">
      <c r="B398" s="22"/>
      <c r="C398" s="1" t="str">
        <f>"ZACUALPAN"</f>
        <v>ZACUALPAN</v>
      </c>
      <c r="D398" s="2">
        <v>6</v>
      </c>
      <c r="E398" s="3">
        <v>1E-3</v>
      </c>
    </row>
    <row r="399" spans="2:5">
      <c r="B399" s="22"/>
      <c r="C399" s="1" t="str">
        <f>"ZINACANTEPEC"</f>
        <v>ZINACANTEPEC</v>
      </c>
      <c r="D399" s="2">
        <v>1</v>
      </c>
      <c r="E399" s="3">
        <v>2.0000000000000001E-4</v>
      </c>
    </row>
    <row r="400" spans="2:5">
      <c r="B400" s="22"/>
      <c r="C400" s="1" t="str">
        <f>"ZUMPAHUACAN"</f>
        <v>ZUMPAHUACAN</v>
      </c>
      <c r="D400" s="2">
        <v>2</v>
      </c>
      <c r="E400" s="3">
        <v>2.9999999999999997E-4</v>
      </c>
    </row>
    <row r="401" spans="2:5">
      <c r="B401" s="22"/>
      <c r="C401" s="1" t="str">
        <f>"ZUMPANGO"</f>
        <v>ZUMPANGO</v>
      </c>
      <c r="D401" s="2">
        <v>2</v>
      </c>
      <c r="E401" s="3">
        <v>2.9999999999999997E-4</v>
      </c>
    </row>
    <row r="402" spans="2:5">
      <c r="B402" s="23"/>
      <c r="C402" s="18" t="str">
        <f>"Total"</f>
        <v>Total</v>
      </c>
      <c r="D402" s="19">
        <v>332</v>
      </c>
      <c r="E402" s="20">
        <v>5.6000000000000001E-2</v>
      </c>
    </row>
    <row r="403" spans="2:5">
      <c r="B403" s="21" t="str">
        <f t="shared" ref="B403" si="10">"MICHOACAN DE OCAMPO"</f>
        <v>MICHOACAN DE OCAMPO</v>
      </c>
      <c r="C403" s="1" t="str">
        <f>"ACUITZIO"</f>
        <v>ACUITZIO</v>
      </c>
      <c r="D403" s="2">
        <v>1</v>
      </c>
      <c r="E403" s="3">
        <v>2.0000000000000001E-4</v>
      </c>
    </row>
    <row r="404" spans="2:5">
      <c r="B404" s="22"/>
      <c r="C404" s="1" t="str">
        <f>"AGUILILLA"</f>
        <v>AGUILILLA</v>
      </c>
      <c r="D404" s="2">
        <v>3</v>
      </c>
      <c r="E404" s="3">
        <v>5.0000000000000001E-4</v>
      </c>
    </row>
    <row r="405" spans="2:5">
      <c r="B405" s="22"/>
      <c r="C405" s="1" t="str">
        <f>"ANGAMACUTIRO"</f>
        <v>ANGAMACUTIRO</v>
      </c>
      <c r="D405" s="2">
        <v>16</v>
      </c>
      <c r="E405" s="3">
        <v>2.7000000000000001E-3</v>
      </c>
    </row>
    <row r="406" spans="2:5">
      <c r="B406" s="22"/>
      <c r="C406" s="1" t="str">
        <f>"APATZINGAN"</f>
        <v>APATZINGAN</v>
      </c>
      <c r="D406" s="2">
        <v>13</v>
      </c>
      <c r="E406" s="3">
        <v>2.2000000000000001E-3</v>
      </c>
    </row>
    <row r="407" spans="2:5">
      <c r="B407" s="22"/>
      <c r="C407" s="1" t="str">
        <f>"AQUILA"</f>
        <v>AQUILA</v>
      </c>
      <c r="D407" s="2">
        <v>3</v>
      </c>
      <c r="E407" s="3">
        <v>5.0000000000000001E-4</v>
      </c>
    </row>
    <row r="408" spans="2:5">
      <c r="B408" s="22"/>
      <c r="C408" s="1" t="str">
        <f>"ARTEAGA"</f>
        <v>ARTEAGA</v>
      </c>
      <c r="D408" s="2">
        <v>6</v>
      </c>
      <c r="E408" s="3">
        <v>1E-3</v>
      </c>
    </row>
    <row r="409" spans="2:5">
      <c r="B409" s="22"/>
      <c r="C409" s="1" t="str">
        <f>"BUENAVISTA"</f>
        <v>BUENAVISTA</v>
      </c>
      <c r="D409" s="2">
        <v>5</v>
      </c>
      <c r="E409" s="3">
        <v>8.0000000000000004E-4</v>
      </c>
    </row>
    <row r="410" spans="2:5">
      <c r="B410" s="22"/>
      <c r="C410" s="1" t="str">
        <f>"CHERAN"</f>
        <v>CHERAN</v>
      </c>
      <c r="D410" s="2">
        <v>1</v>
      </c>
      <c r="E410" s="3">
        <v>2.0000000000000001E-4</v>
      </c>
    </row>
    <row r="411" spans="2:5">
      <c r="B411" s="22"/>
      <c r="C411" s="1" t="str">
        <f>"CHURUMUCO"</f>
        <v>CHURUMUCO</v>
      </c>
      <c r="D411" s="2">
        <v>1</v>
      </c>
      <c r="E411" s="3">
        <v>2.0000000000000001E-4</v>
      </c>
    </row>
    <row r="412" spans="2:5">
      <c r="B412" s="22"/>
      <c r="C412" s="1" t="str">
        <f>"COAHUAYANA"</f>
        <v>COAHUAYANA</v>
      </c>
      <c r="D412" s="2">
        <v>3</v>
      </c>
      <c r="E412" s="3">
        <v>5.0000000000000001E-4</v>
      </c>
    </row>
    <row r="413" spans="2:5">
      <c r="B413" s="22"/>
      <c r="C413" s="1" t="str">
        <f>"CONTEPEC"</f>
        <v>CONTEPEC</v>
      </c>
      <c r="D413" s="2">
        <v>2</v>
      </c>
      <c r="E413" s="3">
        <v>2.9999999999999997E-4</v>
      </c>
    </row>
    <row r="414" spans="2:5">
      <c r="B414" s="22"/>
      <c r="C414" s="1" t="str">
        <f>"COPANDARO"</f>
        <v>COPANDARO</v>
      </c>
      <c r="D414" s="2">
        <v>1</v>
      </c>
      <c r="E414" s="3">
        <v>2.0000000000000001E-4</v>
      </c>
    </row>
    <row r="415" spans="2:5">
      <c r="B415" s="22"/>
      <c r="C415" s="1" t="str">
        <f>"CUITZEO"</f>
        <v>CUITZEO</v>
      </c>
      <c r="D415" s="2">
        <v>1</v>
      </c>
      <c r="E415" s="3">
        <v>2.0000000000000001E-4</v>
      </c>
    </row>
    <row r="416" spans="2:5">
      <c r="B416" s="22"/>
      <c r="C416" s="1" t="str">
        <f>"EPITACIO HUERTA"</f>
        <v>EPITACIO HUERTA</v>
      </c>
      <c r="D416" s="2">
        <v>1</v>
      </c>
      <c r="E416" s="3">
        <v>2.0000000000000001E-4</v>
      </c>
    </row>
    <row r="417" spans="2:5">
      <c r="B417" s="22"/>
      <c r="C417" s="1" t="str">
        <f>"GABRIEL ZAMORA"</f>
        <v>GABRIEL ZAMORA</v>
      </c>
      <c r="D417" s="2">
        <v>1</v>
      </c>
      <c r="E417" s="3">
        <v>2.0000000000000001E-4</v>
      </c>
    </row>
    <row r="418" spans="2:5">
      <c r="B418" s="22"/>
      <c r="C418" s="1" t="str">
        <f>"HIDALGO"</f>
        <v>HIDALGO</v>
      </c>
      <c r="D418" s="2">
        <v>3</v>
      </c>
      <c r="E418" s="3">
        <v>5.0000000000000001E-4</v>
      </c>
    </row>
    <row r="419" spans="2:5">
      <c r="B419" s="22"/>
      <c r="C419" s="1" t="str">
        <f>"HUETAMO"</f>
        <v>HUETAMO</v>
      </c>
      <c r="D419" s="2">
        <v>6</v>
      </c>
      <c r="E419" s="3">
        <v>1E-3</v>
      </c>
    </row>
    <row r="420" spans="2:5">
      <c r="B420" s="22"/>
      <c r="C420" s="1" t="str">
        <f>"INDAPARAPEO"</f>
        <v>INDAPARAPEO</v>
      </c>
      <c r="D420" s="2">
        <v>1</v>
      </c>
      <c r="E420" s="3">
        <v>2.0000000000000001E-4</v>
      </c>
    </row>
    <row r="421" spans="2:5">
      <c r="B421" s="22"/>
      <c r="C421" s="1" t="str">
        <f>"IXTLAN"</f>
        <v>IXTLAN</v>
      </c>
      <c r="D421" s="2">
        <v>1</v>
      </c>
      <c r="E421" s="3">
        <v>2.0000000000000001E-4</v>
      </c>
    </row>
    <row r="422" spans="2:5">
      <c r="B422" s="22"/>
      <c r="C422" s="1" t="str">
        <f>"JACONA"</f>
        <v>JACONA</v>
      </c>
      <c r="D422" s="2">
        <v>3</v>
      </c>
      <c r="E422" s="3">
        <v>5.0000000000000001E-4</v>
      </c>
    </row>
    <row r="423" spans="2:5">
      <c r="B423" s="22"/>
      <c r="C423" s="1" t="str">
        <f>"JIQUILPAN"</f>
        <v>JIQUILPAN</v>
      </c>
      <c r="D423" s="2">
        <v>2</v>
      </c>
      <c r="E423" s="3">
        <v>2.9999999999999997E-4</v>
      </c>
    </row>
    <row r="424" spans="2:5">
      <c r="B424" s="22"/>
      <c r="C424" s="1" t="str">
        <f>"JOSE SIXTO VERDUZCO"</f>
        <v>JOSE SIXTO VERDUZCO</v>
      </c>
      <c r="D424" s="2">
        <v>45</v>
      </c>
      <c r="E424" s="3">
        <v>7.6E-3</v>
      </c>
    </row>
    <row r="425" spans="2:5">
      <c r="B425" s="22"/>
      <c r="C425" s="1" t="str">
        <f>"JUAREZ"</f>
        <v>JUAREZ</v>
      </c>
      <c r="D425" s="2">
        <v>3</v>
      </c>
      <c r="E425" s="3">
        <v>5.0000000000000001E-4</v>
      </c>
    </row>
    <row r="426" spans="2:5">
      <c r="B426" s="22"/>
      <c r="C426" s="1" t="str">
        <f>"LA PIEDAD"</f>
        <v>LA PIEDAD</v>
      </c>
      <c r="D426" s="2">
        <v>21</v>
      </c>
      <c r="E426" s="3">
        <v>3.5000000000000001E-3</v>
      </c>
    </row>
    <row r="427" spans="2:5">
      <c r="B427" s="22"/>
      <c r="C427" s="1" t="str">
        <f>"LAZARO CARDENAS"</f>
        <v>LAZARO CARDENAS</v>
      </c>
      <c r="D427" s="2">
        <v>19</v>
      </c>
      <c r="E427" s="3">
        <v>3.2000000000000002E-3</v>
      </c>
    </row>
    <row r="428" spans="2:5">
      <c r="B428" s="22"/>
      <c r="C428" s="1" t="str">
        <f>"LOS REYES"</f>
        <v>LOS REYES</v>
      </c>
      <c r="D428" s="2">
        <v>1</v>
      </c>
      <c r="E428" s="3">
        <v>2.0000000000000001E-4</v>
      </c>
    </row>
    <row r="429" spans="2:5">
      <c r="B429" s="22"/>
      <c r="C429" s="1" t="str">
        <f>"MADERO"</f>
        <v>MADERO</v>
      </c>
      <c r="D429" s="2">
        <v>1</v>
      </c>
      <c r="E429" s="3">
        <v>2.0000000000000001E-4</v>
      </c>
    </row>
    <row r="430" spans="2:5">
      <c r="B430" s="22"/>
      <c r="C430" s="1" t="str">
        <f>"MARAVATIO"</f>
        <v>MARAVATIO</v>
      </c>
      <c r="D430" s="2">
        <v>6</v>
      </c>
      <c r="E430" s="3">
        <v>1E-3</v>
      </c>
    </row>
    <row r="431" spans="2:5">
      <c r="B431" s="22"/>
      <c r="C431" s="1" t="str">
        <f>"MORELIA"</f>
        <v>MORELIA</v>
      </c>
      <c r="D431" s="2">
        <v>49</v>
      </c>
      <c r="E431" s="3">
        <v>8.3000000000000001E-3</v>
      </c>
    </row>
    <row r="432" spans="2:5">
      <c r="B432" s="22"/>
      <c r="C432" s="1" t="str">
        <f>"NUMARAN"</f>
        <v>NUMARAN</v>
      </c>
      <c r="D432" s="2">
        <v>1</v>
      </c>
      <c r="E432" s="3">
        <v>2.0000000000000001E-4</v>
      </c>
    </row>
    <row r="433" spans="2:5">
      <c r="B433" s="22"/>
      <c r="C433" s="1" t="str">
        <f>"PANINDICUARO"</f>
        <v>PANINDICUARO</v>
      </c>
      <c r="D433" s="2">
        <v>1</v>
      </c>
      <c r="E433" s="3">
        <v>2.0000000000000001E-4</v>
      </c>
    </row>
    <row r="434" spans="2:5">
      <c r="B434" s="22"/>
      <c r="C434" s="1" t="str">
        <f>"PARACHO"</f>
        <v>PARACHO</v>
      </c>
      <c r="D434" s="2">
        <v>39</v>
      </c>
      <c r="E434" s="3">
        <v>6.6E-3</v>
      </c>
    </row>
    <row r="435" spans="2:5">
      <c r="B435" s="22"/>
      <c r="C435" s="1" t="str">
        <f>"PENJAMILLO"</f>
        <v>PENJAMILLO</v>
      </c>
      <c r="D435" s="2">
        <v>14</v>
      </c>
      <c r="E435" s="3">
        <v>2.3999999999999998E-3</v>
      </c>
    </row>
    <row r="436" spans="2:5">
      <c r="B436" s="22"/>
      <c r="C436" s="1" t="str">
        <f>"PUREPERO"</f>
        <v>PUREPERO</v>
      </c>
      <c r="D436" s="2">
        <v>3</v>
      </c>
      <c r="E436" s="3">
        <v>5.0000000000000001E-4</v>
      </c>
    </row>
    <row r="437" spans="2:5">
      <c r="B437" s="22"/>
      <c r="C437" s="1" t="str">
        <f>"PURUANDIRO"</f>
        <v>PURUANDIRO</v>
      </c>
      <c r="D437" s="2">
        <v>59</v>
      </c>
      <c r="E437" s="3">
        <v>0.01</v>
      </c>
    </row>
    <row r="438" spans="2:5">
      <c r="B438" s="22"/>
      <c r="C438" s="1" t="str">
        <f>"SAHUAYO"</f>
        <v>SAHUAYO</v>
      </c>
      <c r="D438" s="2">
        <v>2</v>
      </c>
      <c r="E438" s="3">
        <v>2.9999999999999997E-4</v>
      </c>
    </row>
    <row r="439" spans="2:5">
      <c r="B439" s="22"/>
      <c r="C439" s="1" t="str">
        <f>"SAN LUCAS"</f>
        <v>SAN LUCAS</v>
      </c>
      <c r="D439" s="2">
        <v>2</v>
      </c>
      <c r="E439" s="3">
        <v>2.9999999999999997E-4</v>
      </c>
    </row>
    <row r="440" spans="2:5">
      <c r="B440" s="22"/>
      <c r="C440" s="1" t="str">
        <f>"SENGUIO"</f>
        <v>SENGUIO</v>
      </c>
      <c r="D440" s="2">
        <v>4</v>
      </c>
      <c r="E440" s="3">
        <v>6.9999999999999999E-4</v>
      </c>
    </row>
    <row r="441" spans="2:5">
      <c r="B441" s="22"/>
      <c r="C441" s="1" t="str">
        <f>"SUSUPUATO"</f>
        <v>SUSUPUATO</v>
      </c>
      <c r="D441" s="2">
        <v>3</v>
      </c>
      <c r="E441" s="3">
        <v>5.0000000000000001E-4</v>
      </c>
    </row>
    <row r="442" spans="2:5">
      <c r="B442" s="22"/>
      <c r="C442" s="1" t="str">
        <f>"TACAMBARO"</f>
        <v>TACAMBARO</v>
      </c>
      <c r="D442" s="2">
        <v>3</v>
      </c>
      <c r="E442" s="3">
        <v>5.0000000000000001E-4</v>
      </c>
    </row>
    <row r="443" spans="2:5">
      <c r="B443" s="22"/>
      <c r="C443" s="1" t="str">
        <f>"TANCITARO"</f>
        <v>TANCITARO</v>
      </c>
      <c r="D443" s="2">
        <v>1</v>
      </c>
      <c r="E443" s="3">
        <v>2.0000000000000001E-4</v>
      </c>
    </row>
    <row r="444" spans="2:5">
      <c r="B444" s="22"/>
      <c r="C444" s="1" t="str">
        <f>"TANGAMANDAPIO"</f>
        <v>TANGAMANDAPIO</v>
      </c>
      <c r="D444" s="2">
        <v>1</v>
      </c>
      <c r="E444" s="3">
        <v>2.0000000000000001E-4</v>
      </c>
    </row>
    <row r="445" spans="2:5">
      <c r="B445" s="22"/>
      <c r="C445" s="1" t="str">
        <f>"TANGANCICUARO"</f>
        <v>TANGANCICUARO</v>
      </c>
      <c r="D445" s="2">
        <v>1</v>
      </c>
      <c r="E445" s="3">
        <v>2.0000000000000001E-4</v>
      </c>
    </row>
    <row r="446" spans="2:5">
      <c r="B446" s="22"/>
      <c r="C446" s="1" t="str">
        <f>"TANHUATO"</f>
        <v>TANHUATO</v>
      </c>
      <c r="D446" s="2">
        <v>1</v>
      </c>
      <c r="E446" s="3">
        <v>2.0000000000000001E-4</v>
      </c>
    </row>
    <row r="447" spans="2:5">
      <c r="B447" s="22"/>
      <c r="C447" s="1" t="str">
        <f>"TARIMBARO"</f>
        <v>TARIMBARO</v>
      </c>
      <c r="D447" s="2">
        <v>26</v>
      </c>
      <c r="E447" s="3">
        <v>4.4000000000000003E-3</v>
      </c>
    </row>
    <row r="448" spans="2:5">
      <c r="B448" s="22"/>
      <c r="C448" s="1" t="str">
        <f>"TEPALCATEPEC"</f>
        <v>TEPALCATEPEC</v>
      </c>
      <c r="D448" s="2">
        <v>1</v>
      </c>
      <c r="E448" s="3">
        <v>2.0000000000000001E-4</v>
      </c>
    </row>
    <row r="449" spans="2:5">
      <c r="B449" s="22"/>
      <c r="C449" s="1" t="str">
        <f>"TLALPUJAHUA"</f>
        <v>TLALPUJAHUA</v>
      </c>
      <c r="D449" s="2">
        <v>1</v>
      </c>
      <c r="E449" s="3">
        <v>2.0000000000000001E-4</v>
      </c>
    </row>
    <row r="450" spans="2:5">
      <c r="B450" s="22"/>
      <c r="C450" s="1" t="str">
        <f>"TLAZAZALCA"</f>
        <v>TLAZAZALCA</v>
      </c>
      <c r="D450" s="2">
        <v>3</v>
      </c>
      <c r="E450" s="3">
        <v>5.0000000000000001E-4</v>
      </c>
    </row>
    <row r="451" spans="2:5">
      <c r="B451" s="22"/>
      <c r="C451" s="1" t="str">
        <f>"TUMBISCATIO"</f>
        <v>TUMBISCATIO</v>
      </c>
      <c r="D451" s="2">
        <v>2</v>
      </c>
      <c r="E451" s="3">
        <v>2.9999999999999997E-4</v>
      </c>
    </row>
    <row r="452" spans="2:5">
      <c r="B452" s="22"/>
      <c r="C452" s="1" t="str">
        <f>"TURICATO"</f>
        <v>TURICATO</v>
      </c>
      <c r="D452" s="2">
        <v>2</v>
      </c>
      <c r="E452" s="3">
        <v>2.9999999999999997E-4</v>
      </c>
    </row>
    <row r="453" spans="2:5">
      <c r="B453" s="22"/>
      <c r="C453" s="1" t="str">
        <f>"TUXPAN"</f>
        <v>TUXPAN</v>
      </c>
      <c r="D453" s="2">
        <v>2</v>
      </c>
      <c r="E453" s="3">
        <v>2.9999999999999997E-4</v>
      </c>
    </row>
    <row r="454" spans="2:5">
      <c r="B454" s="22"/>
      <c r="C454" s="1" t="str">
        <f>"TUZANTLA"</f>
        <v>TUZANTLA</v>
      </c>
      <c r="D454" s="2">
        <v>3</v>
      </c>
      <c r="E454" s="3">
        <v>5.0000000000000001E-4</v>
      </c>
    </row>
    <row r="455" spans="2:5">
      <c r="B455" s="22"/>
      <c r="C455" s="1" t="str">
        <f>"TZITZIO"</f>
        <v>TZITZIO</v>
      </c>
      <c r="D455" s="2">
        <v>1</v>
      </c>
      <c r="E455" s="3">
        <v>2.0000000000000001E-4</v>
      </c>
    </row>
    <row r="456" spans="2:5">
      <c r="B456" s="22"/>
      <c r="C456" s="1" t="str">
        <f>"URUAPAN"</f>
        <v>URUAPAN</v>
      </c>
      <c r="D456" s="2">
        <v>5</v>
      </c>
      <c r="E456" s="3">
        <v>8.0000000000000004E-4</v>
      </c>
    </row>
    <row r="457" spans="2:5">
      <c r="B457" s="22"/>
      <c r="C457" s="1" t="str">
        <f>"VISTA HERMOSA"</f>
        <v>VISTA HERMOSA</v>
      </c>
      <c r="D457" s="2">
        <v>1</v>
      </c>
      <c r="E457" s="3">
        <v>2.0000000000000001E-4</v>
      </c>
    </row>
    <row r="458" spans="2:5">
      <c r="B458" s="22"/>
      <c r="C458" s="1" t="str">
        <f>"YURECUARO"</f>
        <v>YURECUARO</v>
      </c>
      <c r="D458" s="2">
        <v>2</v>
      </c>
      <c r="E458" s="3">
        <v>2.9999999999999997E-4</v>
      </c>
    </row>
    <row r="459" spans="2:5">
      <c r="B459" s="22"/>
      <c r="C459" s="1" t="str">
        <f>"ZACAPU"</f>
        <v>ZACAPU</v>
      </c>
      <c r="D459" s="2">
        <v>1</v>
      </c>
      <c r="E459" s="3">
        <v>2.0000000000000001E-4</v>
      </c>
    </row>
    <row r="460" spans="2:5">
      <c r="B460" s="22"/>
      <c r="C460" s="1" t="str">
        <f>"ZAMORA"</f>
        <v>ZAMORA</v>
      </c>
      <c r="D460" s="2">
        <v>19</v>
      </c>
      <c r="E460" s="3">
        <v>3.2000000000000002E-3</v>
      </c>
    </row>
    <row r="461" spans="2:5">
      <c r="B461" s="22"/>
      <c r="C461" s="1" t="str">
        <f>"ZIRACUARETIRO"</f>
        <v>ZIRACUARETIRO</v>
      </c>
      <c r="D461" s="2">
        <v>1</v>
      </c>
      <c r="E461" s="3">
        <v>2.0000000000000001E-4</v>
      </c>
    </row>
    <row r="462" spans="2:5">
      <c r="B462" s="22"/>
      <c r="C462" s="1" t="str">
        <f>"ZITACUARO"</f>
        <v>ZITACUARO</v>
      </c>
      <c r="D462" s="2">
        <v>9</v>
      </c>
      <c r="E462" s="3">
        <v>1.5E-3</v>
      </c>
    </row>
    <row r="463" spans="2:5">
      <c r="B463" s="23"/>
      <c r="C463" s="18" t="str">
        <f>"Total"</f>
        <v>Total</v>
      </c>
      <c r="D463" s="19">
        <v>433</v>
      </c>
      <c r="E463" s="20">
        <v>7.2999999999999995E-2</v>
      </c>
    </row>
    <row r="464" spans="2:5">
      <c r="B464" s="21" t="str">
        <f t="shared" ref="B464" si="11">"MORELOS"</f>
        <v>MORELOS</v>
      </c>
      <c r="C464" s="1" t="str">
        <f>"AMACUZAC"</f>
        <v>AMACUZAC</v>
      </c>
      <c r="D464" s="2">
        <v>3</v>
      </c>
      <c r="E464" s="3">
        <v>5.0000000000000001E-4</v>
      </c>
    </row>
    <row r="465" spans="2:5">
      <c r="B465" s="22"/>
      <c r="C465" s="1" t="str">
        <f>"ATLATLAHUCAN"</f>
        <v>ATLATLAHUCAN</v>
      </c>
      <c r="D465" s="2">
        <v>3</v>
      </c>
      <c r="E465" s="3">
        <v>5.0000000000000001E-4</v>
      </c>
    </row>
    <row r="466" spans="2:5">
      <c r="B466" s="22"/>
      <c r="C466" s="1" t="str">
        <f>"AXOCHIAPAN"</f>
        <v>AXOCHIAPAN</v>
      </c>
      <c r="D466" s="2">
        <v>317</v>
      </c>
      <c r="E466" s="3">
        <v>5.3499999999999999E-2</v>
      </c>
    </row>
    <row r="467" spans="2:5">
      <c r="B467" s="22"/>
      <c r="C467" s="1" t="str">
        <f>"AYALA"</f>
        <v>AYALA</v>
      </c>
      <c r="D467" s="2">
        <v>76</v>
      </c>
      <c r="E467" s="3">
        <v>1.2800000000000001E-2</v>
      </c>
    </row>
    <row r="468" spans="2:5">
      <c r="B468" s="22"/>
      <c r="C468" s="1" t="str">
        <f>"CUAUTLA"</f>
        <v>CUAUTLA</v>
      </c>
      <c r="D468" s="2">
        <v>164</v>
      </c>
      <c r="E468" s="3">
        <v>2.7699999999999999E-2</v>
      </c>
    </row>
    <row r="469" spans="2:5">
      <c r="B469" s="22"/>
      <c r="C469" s="1" t="str">
        <f>"CUERNAVACA"</f>
        <v>CUERNAVACA</v>
      </c>
      <c r="D469" s="2">
        <v>71</v>
      </c>
      <c r="E469" s="3">
        <v>1.2E-2</v>
      </c>
    </row>
    <row r="470" spans="2:5">
      <c r="B470" s="22"/>
      <c r="C470" s="1" t="str">
        <f>"EMILIANO ZAPATA"</f>
        <v>EMILIANO ZAPATA</v>
      </c>
      <c r="D470" s="2">
        <v>5</v>
      </c>
      <c r="E470" s="3">
        <v>8.0000000000000004E-4</v>
      </c>
    </row>
    <row r="471" spans="2:5">
      <c r="B471" s="22"/>
      <c r="C471" s="1" t="str">
        <f>"HUITZILAC"</f>
        <v>HUITZILAC</v>
      </c>
      <c r="D471" s="2">
        <v>1</v>
      </c>
      <c r="E471" s="3">
        <v>2.0000000000000001E-4</v>
      </c>
    </row>
    <row r="472" spans="2:5">
      <c r="B472" s="22"/>
      <c r="C472" s="1" t="str">
        <f>"JANTETELCO"</f>
        <v>JANTETELCO</v>
      </c>
      <c r="D472" s="2">
        <v>66</v>
      </c>
      <c r="E472" s="3">
        <v>1.11E-2</v>
      </c>
    </row>
    <row r="473" spans="2:5">
      <c r="B473" s="22"/>
      <c r="C473" s="1" t="str">
        <f>"JIUTEPEC"</f>
        <v>JIUTEPEC</v>
      </c>
      <c r="D473" s="2">
        <v>4</v>
      </c>
      <c r="E473" s="3">
        <v>6.9999999999999999E-4</v>
      </c>
    </row>
    <row r="474" spans="2:5">
      <c r="B474" s="22"/>
      <c r="C474" s="1" t="str">
        <f>"JOJUTLA"</f>
        <v>JOJUTLA</v>
      </c>
      <c r="D474" s="2">
        <v>10</v>
      </c>
      <c r="E474" s="3">
        <v>1.6999999999999999E-3</v>
      </c>
    </row>
    <row r="475" spans="2:5">
      <c r="B475" s="22"/>
      <c r="C475" s="1" t="str">
        <f>"JONACATEPEC"</f>
        <v>JONACATEPEC</v>
      </c>
      <c r="D475" s="2">
        <v>64</v>
      </c>
      <c r="E475" s="3">
        <v>1.0800000000000001E-2</v>
      </c>
    </row>
    <row r="476" spans="2:5">
      <c r="B476" s="22"/>
      <c r="C476" s="1" t="str">
        <f>"MIACATLAN"</f>
        <v>MIACATLAN</v>
      </c>
      <c r="D476" s="2">
        <v>1</v>
      </c>
      <c r="E476" s="3">
        <v>2.0000000000000001E-4</v>
      </c>
    </row>
    <row r="477" spans="2:5">
      <c r="B477" s="22"/>
      <c r="C477" s="1" t="str">
        <f>"OCUITUCO"</f>
        <v>OCUITUCO</v>
      </c>
      <c r="D477" s="2">
        <v>2</v>
      </c>
      <c r="E477" s="3">
        <v>2.9999999999999997E-4</v>
      </c>
    </row>
    <row r="478" spans="2:5">
      <c r="B478" s="22"/>
      <c r="C478" s="1" t="str">
        <f>"TEMIXCO"</f>
        <v>TEMIXCO</v>
      </c>
      <c r="D478" s="2">
        <v>9</v>
      </c>
      <c r="E478" s="3">
        <v>1.5E-3</v>
      </c>
    </row>
    <row r="479" spans="2:5">
      <c r="B479" s="22"/>
      <c r="C479" s="1" t="str">
        <f>"TEMOAC"</f>
        <v>TEMOAC</v>
      </c>
      <c r="D479" s="2">
        <v>9</v>
      </c>
      <c r="E479" s="3">
        <v>1.5E-3</v>
      </c>
    </row>
    <row r="480" spans="2:5">
      <c r="B480" s="22"/>
      <c r="C480" s="1" t="str">
        <f>"TEPALCINGO"</f>
        <v>TEPALCINGO</v>
      </c>
      <c r="D480" s="2">
        <v>98</v>
      </c>
      <c r="E480" s="3">
        <v>1.6500000000000001E-2</v>
      </c>
    </row>
    <row r="481" spans="2:5">
      <c r="B481" s="22"/>
      <c r="C481" s="1" t="str">
        <f>"TETELA DEL VOLCAN"</f>
        <v>TETELA DEL VOLCAN</v>
      </c>
      <c r="D481" s="2">
        <v>3</v>
      </c>
      <c r="E481" s="3">
        <v>5.0000000000000001E-4</v>
      </c>
    </row>
    <row r="482" spans="2:5">
      <c r="B482" s="22"/>
      <c r="C482" s="1" t="str">
        <f>"TLALTIZAPAN"</f>
        <v>TLALTIZAPAN</v>
      </c>
      <c r="D482" s="2">
        <v>6</v>
      </c>
      <c r="E482" s="3">
        <v>1E-3</v>
      </c>
    </row>
    <row r="483" spans="2:5">
      <c r="B483" s="22"/>
      <c r="C483" s="1" t="str">
        <f>"TLAQUILTENANGO"</f>
        <v>TLAQUILTENANGO</v>
      </c>
      <c r="D483" s="2">
        <v>21</v>
      </c>
      <c r="E483" s="3">
        <v>3.5000000000000001E-3</v>
      </c>
    </row>
    <row r="484" spans="2:5">
      <c r="B484" s="22"/>
      <c r="C484" s="1" t="str">
        <f>"TLAYACAPAN"</f>
        <v>TLAYACAPAN</v>
      </c>
      <c r="D484" s="2">
        <v>2</v>
      </c>
      <c r="E484" s="3">
        <v>2.9999999999999997E-4</v>
      </c>
    </row>
    <row r="485" spans="2:5">
      <c r="B485" s="22"/>
      <c r="C485" s="1" t="str">
        <f>"TOTOLAPAN"</f>
        <v>TOTOLAPAN</v>
      </c>
      <c r="D485" s="2">
        <v>4</v>
      </c>
      <c r="E485" s="3">
        <v>6.9999999999999999E-4</v>
      </c>
    </row>
    <row r="486" spans="2:5">
      <c r="B486" s="22"/>
      <c r="C486" s="1" t="str">
        <f>"XOCHITEPEC"</f>
        <v>XOCHITEPEC</v>
      </c>
      <c r="D486" s="2">
        <v>2</v>
      </c>
      <c r="E486" s="3">
        <v>2.9999999999999997E-4</v>
      </c>
    </row>
    <row r="487" spans="2:5">
      <c r="B487" s="22"/>
      <c r="C487" s="1" t="str">
        <f>"YAUTEPEC"</f>
        <v>YAUTEPEC</v>
      </c>
      <c r="D487" s="2">
        <v>12</v>
      </c>
      <c r="E487" s="3">
        <v>2E-3</v>
      </c>
    </row>
    <row r="488" spans="2:5">
      <c r="B488" s="22"/>
      <c r="C488" s="1" t="str">
        <f>"YECAPIXTLA"</f>
        <v>YECAPIXTLA</v>
      </c>
      <c r="D488" s="2">
        <v>4</v>
      </c>
      <c r="E488" s="3">
        <v>6.9999999999999999E-4</v>
      </c>
    </row>
    <row r="489" spans="2:5">
      <c r="B489" s="22"/>
      <c r="C489" s="1" t="str">
        <f>"ZACATEPEC DE HIDALGO"</f>
        <v>ZACATEPEC DE HIDALGO</v>
      </c>
      <c r="D489" s="2">
        <v>9</v>
      </c>
      <c r="E489" s="3">
        <v>1.5E-3</v>
      </c>
    </row>
    <row r="490" spans="2:5">
      <c r="B490" s="22"/>
      <c r="C490" s="1" t="str">
        <f>"ZACUALPAN DE AMILPAS"</f>
        <v>ZACUALPAN DE AMILPAS</v>
      </c>
      <c r="D490" s="2">
        <v>8</v>
      </c>
      <c r="E490" s="3">
        <v>1.2999999999999999E-3</v>
      </c>
    </row>
    <row r="491" spans="2:5">
      <c r="B491" s="23"/>
      <c r="C491" s="18" t="str">
        <f>"Total"</f>
        <v>Total</v>
      </c>
      <c r="D491" s="19">
        <v>974</v>
      </c>
      <c r="E491" s="20">
        <v>0.1643</v>
      </c>
    </row>
    <row r="492" spans="2:5">
      <c r="B492" s="21" t="str">
        <f t="shared" ref="B492" si="12">"NAYARIT"</f>
        <v>NAYARIT</v>
      </c>
      <c r="C492" s="1" t="str">
        <f>"AHUACATLAN"</f>
        <v>AHUACATLAN</v>
      </c>
      <c r="D492" s="2">
        <v>1</v>
      </c>
      <c r="E492" s="3">
        <v>2.0000000000000001E-4</v>
      </c>
    </row>
    <row r="493" spans="2:5">
      <c r="B493" s="22"/>
      <c r="C493" s="1" t="str">
        <f>"ROSAMORADA"</f>
        <v>ROSAMORADA</v>
      </c>
      <c r="D493" s="2">
        <v>42</v>
      </c>
      <c r="E493" s="3">
        <v>7.1000000000000004E-3</v>
      </c>
    </row>
    <row r="494" spans="2:5">
      <c r="B494" s="22"/>
      <c r="C494" s="1" t="str">
        <f>"SAN BLAS"</f>
        <v>SAN BLAS</v>
      </c>
      <c r="D494" s="2">
        <v>2</v>
      </c>
      <c r="E494" s="3">
        <v>2.9999999999999997E-4</v>
      </c>
    </row>
    <row r="495" spans="2:5">
      <c r="B495" s="22"/>
      <c r="C495" s="1" t="str">
        <f>"SANTIAGO IXCUINTLA"</f>
        <v>SANTIAGO IXCUINTLA</v>
      </c>
      <c r="D495" s="2">
        <v>4</v>
      </c>
      <c r="E495" s="3">
        <v>6.9999999999999999E-4</v>
      </c>
    </row>
    <row r="496" spans="2:5">
      <c r="B496" s="22"/>
      <c r="C496" s="1" t="str">
        <f>"TEPIC"</f>
        <v>TEPIC</v>
      </c>
      <c r="D496" s="2">
        <v>13</v>
      </c>
      <c r="E496" s="3">
        <v>2.2000000000000001E-3</v>
      </c>
    </row>
    <row r="497" spans="2:5">
      <c r="B497" s="22"/>
      <c r="C497" s="1" t="str">
        <f>"TUXPAN"</f>
        <v>TUXPAN</v>
      </c>
      <c r="D497" s="2">
        <v>43</v>
      </c>
      <c r="E497" s="3">
        <v>7.3000000000000001E-3</v>
      </c>
    </row>
    <row r="498" spans="2:5">
      <c r="B498" s="22"/>
      <c r="C498" s="1" t="str">
        <f>"XALISCO"</f>
        <v>XALISCO</v>
      </c>
      <c r="D498" s="2">
        <v>2</v>
      </c>
      <c r="E498" s="3">
        <v>2.9999999999999997E-4</v>
      </c>
    </row>
    <row r="499" spans="2:5">
      <c r="B499" s="23"/>
      <c r="C499" s="18" t="str">
        <f>"Total"</f>
        <v>Total</v>
      </c>
      <c r="D499" s="19">
        <v>107</v>
      </c>
      <c r="E499" s="20">
        <v>1.7999999999999999E-2</v>
      </c>
    </row>
    <row r="500" spans="2:5">
      <c r="B500" s="21" t="str">
        <f t="shared" ref="B500" si="13">"NUEVO LEON"</f>
        <v>NUEVO LEON</v>
      </c>
      <c r="C500" s="1" t="str">
        <f>"ANAHUAC"</f>
        <v>ANAHUAC</v>
      </c>
      <c r="D500" s="2">
        <v>3</v>
      </c>
      <c r="E500" s="3">
        <v>5.0000000000000001E-4</v>
      </c>
    </row>
    <row r="501" spans="2:5">
      <c r="B501" s="22"/>
      <c r="C501" s="1" t="str">
        <f>"ARAMBERRI"</f>
        <v>ARAMBERRI</v>
      </c>
      <c r="D501" s="2">
        <v>1</v>
      </c>
      <c r="E501" s="3">
        <v>2.0000000000000001E-4</v>
      </c>
    </row>
    <row r="502" spans="2:5">
      <c r="B502" s="22"/>
      <c r="C502" s="1" t="str">
        <f>"DR. ARROYO"</f>
        <v>DR. ARROYO</v>
      </c>
      <c r="D502" s="2">
        <v>4</v>
      </c>
      <c r="E502" s="3">
        <v>6.9999999999999999E-4</v>
      </c>
    </row>
    <row r="503" spans="2:5">
      <c r="B503" s="22"/>
      <c r="C503" s="1" t="str">
        <f>"GALEANA"</f>
        <v>GALEANA</v>
      </c>
      <c r="D503" s="2">
        <v>2</v>
      </c>
      <c r="E503" s="3">
        <v>2.9999999999999997E-4</v>
      </c>
    </row>
    <row r="504" spans="2:5">
      <c r="B504" s="22"/>
      <c r="C504" s="1" t="str">
        <f>"GUADALUPE"</f>
        <v>GUADALUPE</v>
      </c>
      <c r="D504" s="2">
        <v>3</v>
      </c>
      <c r="E504" s="3">
        <v>5.0000000000000001E-4</v>
      </c>
    </row>
    <row r="505" spans="2:5">
      <c r="B505" s="22"/>
      <c r="C505" s="1" t="str">
        <f>"LINARES"</f>
        <v>LINARES</v>
      </c>
      <c r="D505" s="2">
        <v>1</v>
      </c>
      <c r="E505" s="3">
        <v>2.0000000000000001E-4</v>
      </c>
    </row>
    <row r="506" spans="2:5">
      <c r="B506" s="22"/>
      <c r="C506" s="1" t="str">
        <f>"MONTERREY"</f>
        <v>MONTERREY</v>
      </c>
      <c r="D506" s="2">
        <v>21</v>
      </c>
      <c r="E506" s="3">
        <v>3.5000000000000001E-3</v>
      </c>
    </row>
    <row r="507" spans="2:5">
      <c r="B507" s="22"/>
      <c r="C507" s="1" t="str">
        <f>"RAYONES"</f>
        <v>RAYONES</v>
      </c>
      <c r="D507" s="2">
        <v>1</v>
      </c>
      <c r="E507" s="3">
        <v>2.0000000000000001E-4</v>
      </c>
    </row>
    <row r="508" spans="2:5">
      <c r="B508" s="22"/>
      <c r="C508" s="1" t="str">
        <f>"SABINAS HIDALGO"</f>
        <v>SABINAS HIDALGO</v>
      </c>
      <c r="D508" s="2">
        <v>2</v>
      </c>
      <c r="E508" s="3">
        <v>2.9999999999999997E-4</v>
      </c>
    </row>
    <row r="509" spans="2:5">
      <c r="B509" s="22"/>
      <c r="C509" s="1" t="str">
        <f>"SAN PEDRO GARZA GARCIA"</f>
        <v>SAN PEDRO GARZA GARCIA</v>
      </c>
      <c r="D509" s="2">
        <v>1</v>
      </c>
      <c r="E509" s="3">
        <v>2.0000000000000001E-4</v>
      </c>
    </row>
    <row r="510" spans="2:5">
      <c r="B510" s="23"/>
      <c r="C510" s="18" t="str">
        <f>"Total"</f>
        <v>Total</v>
      </c>
      <c r="D510" s="19">
        <v>39</v>
      </c>
      <c r="E510" s="20">
        <v>6.6E-3</v>
      </c>
    </row>
    <row r="511" spans="2:5" ht="30">
      <c r="B511" s="21" t="str">
        <f t="shared" ref="B511" si="14">"OAXACA"</f>
        <v>OAXACA</v>
      </c>
      <c r="C511" s="1" t="str">
        <f>"ACATLAN DE PEREZ FIGUEROA"</f>
        <v>ACATLAN DE PEREZ FIGUEROA</v>
      </c>
      <c r="D511" s="2">
        <v>1</v>
      </c>
      <c r="E511" s="3">
        <v>2.0000000000000001E-4</v>
      </c>
    </row>
    <row r="512" spans="2:5">
      <c r="B512" s="22"/>
      <c r="C512" s="1" t="str">
        <f>"ASUNCION IXTALTEPEC"</f>
        <v>ASUNCION IXTALTEPEC</v>
      </c>
      <c r="D512" s="2">
        <v>1</v>
      </c>
      <c r="E512" s="3">
        <v>2.0000000000000001E-4</v>
      </c>
    </row>
    <row r="513" spans="2:5">
      <c r="B513" s="22"/>
      <c r="C513" s="1" t="str">
        <f>"ASUNCION NOCHIXTLAN"</f>
        <v>ASUNCION NOCHIXTLAN</v>
      </c>
      <c r="D513" s="2">
        <v>1</v>
      </c>
      <c r="E513" s="3">
        <v>2.0000000000000001E-4</v>
      </c>
    </row>
    <row r="514" spans="2:5">
      <c r="B514" s="22"/>
      <c r="C514" s="1" t="str">
        <f>"CIUDAD IXTEPEC"</f>
        <v>CIUDAD IXTEPEC</v>
      </c>
      <c r="D514" s="2">
        <v>1</v>
      </c>
      <c r="E514" s="3">
        <v>2.0000000000000001E-4</v>
      </c>
    </row>
    <row r="515" spans="2:5">
      <c r="B515" s="22"/>
      <c r="C515" s="1" t="str">
        <f>"COSOLAPA"</f>
        <v>COSOLAPA</v>
      </c>
      <c r="D515" s="2">
        <v>1</v>
      </c>
      <c r="E515" s="3">
        <v>2.0000000000000001E-4</v>
      </c>
    </row>
    <row r="516" spans="2:5" ht="30">
      <c r="B516" s="22"/>
      <c r="C516" s="1" t="str">
        <f>"HEROICA CIUDAD DE TLAXIACO"</f>
        <v>HEROICA CIUDAD DE TLAXIACO</v>
      </c>
      <c r="D516" s="2">
        <v>2</v>
      </c>
      <c r="E516" s="3">
        <v>2.9999999999999997E-4</v>
      </c>
    </row>
    <row r="517" spans="2:5">
      <c r="B517" s="22"/>
      <c r="C517" s="1" t="str">
        <f>"IXTLAN DE JUAREZ"</f>
        <v>IXTLAN DE JUAREZ</v>
      </c>
      <c r="D517" s="2">
        <v>13</v>
      </c>
      <c r="E517" s="3">
        <v>2.2000000000000001E-3</v>
      </c>
    </row>
    <row r="518" spans="2:5">
      <c r="B518" s="22"/>
      <c r="C518" s="1" t="str">
        <f>"JUCHITAN DE ZARAGOZA"</f>
        <v>JUCHITAN DE ZARAGOZA</v>
      </c>
      <c r="D518" s="2">
        <v>3</v>
      </c>
      <c r="E518" s="3">
        <v>5.0000000000000001E-4</v>
      </c>
    </row>
    <row r="519" spans="2:5">
      <c r="B519" s="22"/>
      <c r="C519" s="1" t="str">
        <f>"MAGDALENA APASCO"</f>
        <v>MAGDALENA APASCO</v>
      </c>
      <c r="D519" s="2">
        <v>1</v>
      </c>
      <c r="E519" s="3">
        <v>2.0000000000000001E-4</v>
      </c>
    </row>
    <row r="520" spans="2:5">
      <c r="B520" s="22"/>
      <c r="C520" s="1" t="str">
        <f>"MAGDALENA PEÑASCO"</f>
        <v>MAGDALENA PEÑASCO</v>
      </c>
      <c r="D520" s="2">
        <v>46</v>
      </c>
      <c r="E520" s="3">
        <v>7.7999999999999996E-3</v>
      </c>
    </row>
    <row r="521" spans="2:5">
      <c r="B521" s="22"/>
      <c r="C521" s="1" t="str">
        <f>"MARTIRES DE TACUBAYA"</f>
        <v>MARTIRES DE TACUBAYA</v>
      </c>
      <c r="D521" s="2">
        <v>1</v>
      </c>
      <c r="E521" s="3">
        <v>2.0000000000000001E-4</v>
      </c>
    </row>
    <row r="522" spans="2:5">
      <c r="B522" s="22"/>
      <c r="C522" s="1" t="str">
        <f>"MAZATLAN VILLA DE FLORES"</f>
        <v>MAZATLAN VILLA DE FLORES</v>
      </c>
      <c r="D522" s="2">
        <v>1</v>
      </c>
      <c r="E522" s="3">
        <v>2.0000000000000001E-4</v>
      </c>
    </row>
    <row r="523" spans="2:5" ht="30">
      <c r="B523" s="22"/>
      <c r="C523" s="1" t="str">
        <f>"MIAHUATLAN DE PORFIRIO DIAZ"</f>
        <v>MIAHUATLAN DE PORFIRIO DIAZ</v>
      </c>
      <c r="D523" s="2">
        <v>1</v>
      </c>
      <c r="E523" s="3">
        <v>2.0000000000000001E-4</v>
      </c>
    </row>
    <row r="524" spans="2:5">
      <c r="B524" s="22"/>
      <c r="C524" s="1" t="str">
        <f>"NAZARENO ETLA"</f>
        <v>NAZARENO ETLA</v>
      </c>
      <c r="D524" s="2">
        <v>1</v>
      </c>
      <c r="E524" s="3">
        <v>2.0000000000000001E-4</v>
      </c>
    </row>
    <row r="525" spans="2:5">
      <c r="B525" s="22"/>
      <c r="C525" s="1" t="str">
        <f>"NEJAPA DE MADERO"</f>
        <v>NEJAPA DE MADERO</v>
      </c>
      <c r="D525" s="2">
        <v>1</v>
      </c>
      <c r="E525" s="3">
        <v>2.0000000000000001E-4</v>
      </c>
    </row>
    <row r="526" spans="2:5">
      <c r="B526" s="22"/>
      <c r="C526" s="1" t="str">
        <f>"OAXACA DE JUAREZ"</f>
        <v>OAXACA DE JUAREZ</v>
      </c>
      <c r="D526" s="2">
        <v>153</v>
      </c>
      <c r="E526" s="3">
        <v>2.58E-2</v>
      </c>
    </row>
    <row r="527" spans="2:5">
      <c r="B527" s="22"/>
      <c r="C527" s="1" t="str">
        <f>"OCOTLAN DE MORELOS"</f>
        <v>OCOTLAN DE MORELOS</v>
      </c>
      <c r="D527" s="2">
        <v>4</v>
      </c>
      <c r="E527" s="3">
        <v>6.9999999999999999E-4</v>
      </c>
    </row>
    <row r="528" spans="2:5">
      <c r="B528" s="22"/>
      <c r="C528" s="1" t="str">
        <f>"PLUMA HIDALGO"</f>
        <v>PLUMA HIDALGO</v>
      </c>
      <c r="D528" s="2">
        <v>2</v>
      </c>
      <c r="E528" s="3">
        <v>2.9999999999999997E-4</v>
      </c>
    </row>
    <row r="529" spans="2:5">
      <c r="B529" s="22"/>
      <c r="C529" s="1" t="str">
        <f>"SALINA CRUZ"</f>
        <v>SALINA CRUZ</v>
      </c>
      <c r="D529" s="2">
        <v>5</v>
      </c>
      <c r="E529" s="3">
        <v>8.0000000000000004E-4</v>
      </c>
    </row>
    <row r="530" spans="2:5">
      <c r="B530" s="22"/>
      <c r="C530" s="1" t="str">
        <f>"SAN AGUSTIN CHAYUCO"</f>
        <v>SAN AGUSTIN CHAYUCO</v>
      </c>
      <c r="D530" s="2">
        <v>1</v>
      </c>
      <c r="E530" s="3">
        <v>2.0000000000000001E-4</v>
      </c>
    </row>
    <row r="531" spans="2:5">
      <c r="B531" s="22"/>
      <c r="C531" s="1" t="str">
        <f>"SAN AGUSTIN LOXICHA"</f>
        <v>SAN AGUSTIN LOXICHA</v>
      </c>
      <c r="D531" s="2">
        <v>1</v>
      </c>
      <c r="E531" s="3">
        <v>2.0000000000000001E-4</v>
      </c>
    </row>
    <row r="532" spans="2:5">
      <c r="B532" s="22"/>
      <c r="C532" s="1" t="str">
        <f>"SAN AGUSTIN TLACOTEPEC"</f>
        <v>SAN AGUSTIN TLACOTEPEC</v>
      </c>
      <c r="D532" s="2">
        <v>4</v>
      </c>
      <c r="E532" s="3">
        <v>6.9999999999999999E-4</v>
      </c>
    </row>
    <row r="533" spans="2:5">
      <c r="B533" s="22"/>
      <c r="C533" s="1" t="str">
        <f>"SAN ANDRES ZABACHE"</f>
        <v>SAN ANDRES ZABACHE</v>
      </c>
      <c r="D533" s="2">
        <v>1</v>
      </c>
      <c r="E533" s="3">
        <v>2.0000000000000001E-4</v>
      </c>
    </row>
    <row r="534" spans="2:5">
      <c r="B534" s="22"/>
      <c r="C534" s="1" t="str">
        <f>"SAN BARTOLO YAUTEPEC"</f>
        <v>SAN BARTOLO YAUTEPEC</v>
      </c>
      <c r="D534" s="2">
        <v>2</v>
      </c>
      <c r="E534" s="3">
        <v>2.9999999999999997E-4</v>
      </c>
    </row>
    <row r="535" spans="2:5">
      <c r="B535" s="22"/>
      <c r="C535" s="1" t="str">
        <f>"SAN CARLOS YAUTEPEC"</f>
        <v>SAN CARLOS YAUTEPEC</v>
      </c>
      <c r="D535" s="2">
        <v>1</v>
      </c>
      <c r="E535" s="3">
        <v>2.0000000000000001E-4</v>
      </c>
    </row>
    <row r="536" spans="2:5">
      <c r="B536" s="22"/>
      <c r="C536" s="1" t="str">
        <f>"SAN DIONISIO OCOTLAN"</f>
        <v>SAN DIONISIO OCOTLAN</v>
      </c>
      <c r="D536" s="2">
        <v>1</v>
      </c>
      <c r="E536" s="3">
        <v>2.0000000000000001E-4</v>
      </c>
    </row>
    <row r="537" spans="2:5">
      <c r="B537" s="22"/>
      <c r="C537" s="1" t="str">
        <f>"SAN ESTEBAN ATATLAHUCA"</f>
        <v>SAN ESTEBAN ATATLAHUCA</v>
      </c>
      <c r="D537" s="2">
        <v>1</v>
      </c>
      <c r="E537" s="3">
        <v>2.0000000000000001E-4</v>
      </c>
    </row>
    <row r="538" spans="2:5" ht="30">
      <c r="B538" s="22"/>
      <c r="C538" s="1" t="str">
        <f>"SAN FRANCISCO OZOLOTEPEC"</f>
        <v>SAN FRANCISCO OZOLOTEPEC</v>
      </c>
      <c r="D538" s="2">
        <v>2</v>
      </c>
      <c r="E538" s="3">
        <v>2.9999999999999997E-4</v>
      </c>
    </row>
    <row r="539" spans="2:5">
      <c r="B539" s="22"/>
      <c r="C539" s="1" t="str">
        <f>"SAN ILDEFONSO AMATLAN"</f>
        <v>SAN ILDEFONSO AMATLAN</v>
      </c>
      <c r="D539" s="2">
        <v>1</v>
      </c>
      <c r="E539" s="3">
        <v>2.0000000000000001E-4</v>
      </c>
    </row>
    <row r="540" spans="2:5">
      <c r="B540" s="22"/>
      <c r="C540" s="1" t="str">
        <f>"SAN JERONIMO SOSOLA"</f>
        <v>SAN JERONIMO SOSOLA</v>
      </c>
      <c r="D540" s="2">
        <v>2</v>
      </c>
      <c r="E540" s="3">
        <v>2.9999999999999997E-4</v>
      </c>
    </row>
    <row r="541" spans="2:5">
      <c r="B541" s="22"/>
      <c r="C541" s="1" t="str">
        <f>"SAN JOSE AYUQUILA"</f>
        <v>SAN JOSE AYUQUILA</v>
      </c>
      <c r="D541" s="2">
        <v>1</v>
      </c>
      <c r="E541" s="3">
        <v>2.0000000000000001E-4</v>
      </c>
    </row>
    <row r="542" spans="2:5">
      <c r="B542" s="22"/>
      <c r="C542" s="1" t="str">
        <f>"SAN JOSE ESTANCIA GRANDE"</f>
        <v>SAN JOSE ESTANCIA GRANDE</v>
      </c>
      <c r="D542" s="2">
        <v>1</v>
      </c>
      <c r="E542" s="3">
        <v>2.0000000000000001E-4</v>
      </c>
    </row>
    <row r="543" spans="2:5">
      <c r="B543" s="22"/>
      <c r="C543" s="1" t="str">
        <f>"SAN JOSE INDEPENDENCIA"</f>
        <v>SAN JOSE INDEPENDENCIA</v>
      </c>
      <c r="D543" s="2">
        <v>1</v>
      </c>
      <c r="E543" s="3">
        <v>2.0000000000000001E-4</v>
      </c>
    </row>
    <row r="544" spans="2:5" ht="30">
      <c r="B544" s="22"/>
      <c r="C544" s="1" t="str">
        <f>"SAN JUAN BAUTISTA TUXTEPEC"</f>
        <v>SAN JUAN BAUTISTA TUXTEPEC</v>
      </c>
      <c r="D544" s="2">
        <v>2</v>
      </c>
      <c r="E544" s="3">
        <v>2.9999999999999997E-4</v>
      </c>
    </row>
    <row r="545" spans="2:5" ht="30">
      <c r="B545" s="22"/>
      <c r="C545" s="1" t="str">
        <f>"SAN JUAN BAUTISTA VALLE NACIONAL"</f>
        <v>SAN JUAN BAUTISTA VALLE NACIONAL</v>
      </c>
      <c r="D545" s="2">
        <v>1</v>
      </c>
      <c r="E545" s="3">
        <v>2.0000000000000001E-4</v>
      </c>
    </row>
    <row r="546" spans="2:5">
      <c r="B546" s="22"/>
      <c r="C546" s="1" t="str">
        <f>"SAN JUAN COLORADO"</f>
        <v>SAN JUAN COLORADO</v>
      </c>
      <c r="D546" s="2">
        <v>1</v>
      </c>
      <c r="E546" s="3">
        <v>2.0000000000000001E-4</v>
      </c>
    </row>
    <row r="547" spans="2:5">
      <c r="B547" s="22"/>
      <c r="C547" s="1" t="str">
        <f>"SAN JUAN QUIOTEPEC"</f>
        <v>SAN JUAN QUIOTEPEC</v>
      </c>
      <c r="D547" s="2">
        <v>8</v>
      </c>
      <c r="E547" s="3">
        <v>1.2999999999999999E-3</v>
      </c>
    </row>
    <row r="548" spans="2:5">
      <c r="B548" s="22"/>
      <c r="C548" s="1" t="str">
        <f>"SAN JUAN TAMAZOLA"</f>
        <v>SAN JUAN TAMAZOLA</v>
      </c>
      <c r="D548" s="2">
        <v>1</v>
      </c>
      <c r="E548" s="3">
        <v>2.0000000000000001E-4</v>
      </c>
    </row>
    <row r="549" spans="2:5">
      <c r="B549" s="22"/>
      <c r="C549" s="1" t="str">
        <f>"SAN LORENZO TEXMELUCAN"</f>
        <v>SAN LORENZO TEXMELUCAN</v>
      </c>
      <c r="D549" s="2">
        <v>1</v>
      </c>
      <c r="E549" s="3">
        <v>2.0000000000000001E-4</v>
      </c>
    </row>
    <row r="550" spans="2:5">
      <c r="B550" s="22"/>
      <c r="C550" s="1" t="str">
        <f>"SAN LUCAS OJITLAN"</f>
        <v>SAN LUCAS OJITLAN</v>
      </c>
      <c r="D550" s="2">
        <v>1</v>
      </c>
      <c r="E550" s="3">
        <v>2.0000000000000001E-4</v>
      </c>
    </row>
    <row r="551" spans="2:5">
      <c r="B551" s="22"/>
      <c r="C551" s="1" t="str">
        <f>"SAN LUIS AMATLAN"</f>
        <v>SAN LUIS AMATLAN</v>
      </c>
      <c r="D551" s="2">
        <v>10</v>
      </c>
      <c r="E551" s="3">
        <v>1.6999999999999999E-3</v>
      </c>
    </row>
    <row r="552" spans="2:5">
      <c r="B552" s="22"/>
      <c r="C552" s="1" t="str">
        <f>"SAN MIGUEL EL GRANDE"</f>
        <v>SAN MIGUEL EL GRANDE</v>
      </c>
      <c r="D552" s="2">
        <v>1</v>
      </c>
      <c r="E552" s="3">
        <v>2.0000000000000001E-4</v>
      </c>
    </row>
    <row r="553" spans="2:5">
      <c r="B553" s="22"/>
      <c r="C553" s="1" t="str">
        <f>"SAN MIGUEL TLACAMAMA"</f>
        <v>SAN MIGUEL TLACAMAMA</v>
      </c>
      <c r="D553" s="2">
        <v>2</v>
      </c>
      <c r="E553" s="3">
        <v>2.9999999999999997E-4</v>
      </c>
    </row>
    <row r="554" spans="2:5">
      <c r="B554" s="22"/>
      <c r="C554" s="1" t="str">
        <f>"SAN PEDRO JICAYAN"</f>
        <v>SAN PEDRO JICAYAN</v>
      </c>
      <c r="D554" s="2">
        <v>1</v>
      </c>
      <c r="E554" s="3">
        <v>2.0000000000000001E-4</v>
      </c>
    </row>
    <row r="555" spans="2:5">
      <c r="B555" s="22"/>
      <c r="C555" s="1" t="str">
        <f>"SAN PEDRO JUCHATENGO"</f>
        <v>SAN PEDRO JUCHATENGO</v>
      </c>
      <c r="D555" s="2">
        <v>5</v>
      </c>
      <c r="E555" s="3">
        <v>8.0000000000000004E-4</v>
      </c>
    </row>
    <row r="556" spans="2:5">
      <c r="B556" s="22"/>
      <c r="C556" s="1" t="str">
        <f>"SAN PEDRO POCHUTLA"</f>
        <v>SAN PEDRO POCHUTLA</v>
      </c>
      <c r="D556" s="2">
        <v>3</v>
      </c>
      <c r="E556" s="3">
        <v>5.0000000000000001E-4</v>
      </c>
    </row>
    <row r="557" spans="2:5">
      <c r="B557" s="22"/>
      <c r="C557" s="1" t="str">
        <f>"SAN PEDRO TAPANATEPEC"</f>
        <v>SAN PEDRO TAPANATEPEC</v>
      </c>
      <c r="D557" s="2">
        <v>1</v>
      </c>
      <c r="E557" s="3">
        <v>2.0000000000000001E-4</v>
      </c>
    </row>
    <row r="558" spans="2:5">
      <c r="B558" s="22"/>
      <c r="C558" s="1" t="str">
        <f>"SAN PEDRO YOLOX"</f>
        <v>SAN PEDRO YOLOX</v>
      </c>
      <c r="D558" s="2">
        <v>1</v>
      </c>
      <c r="E558" s="3">
        <v>2.0000000000000001E-4</v>
      </c>
    </row>
    <row r="559" spans="2:5">
      <c r="B559" s="22"/>
      <c r="C559" s="1" t="str">
        <f>"SAN SEBASTIAN IXCAPA"</f>
        <v>SAN SEBASTIAN IXCAPA</v>
      </c>
      <c r="D559" s="2">
        <v>1</v>
      </c>
      <c r="E559" s="3">
        <v>2.0000000000000001E-4</v>
      </c>
    </row>
    <row r="560" spans="2:5">
      <c r="B560" s="22"/>
      <c r="C560" s="1" t="str">
        <f>"SAN SIMON ALMOLONGAS"</f>
        <v>SAN SIMON ALMOLONGAS</v>
      </c>
      <c r="D560" s="2">
        <v>4</v>
      </c>
      <c r="E560" s="3">
        <v>6.9999999999999999E-4</v>
      </c>
    </row>
    <row r="561" spans="2:5">
      <c r="B561" s="22"/>
      <c r="C561" s="1" t="str">
        <f>"SANTA CATARINA LOXICHA"</f>
        <v>SANTA CATARINA LOXICHA</v>
      </c>
      <c r="D561" s="2">
        <v>1</v>
      </c>
      <c r="E561" s="3">
        <v>2.0000000000000001E-4</v>
      </c>
    </row>
    <row r="562" spans="2:5">
      <c r="B562" s="22"/>
      <c r="C562" s="1" t="str">
        <f>"SANTA CRUZ DE BRAVO"</f>
        <v>SANTA CRUZ DE BRAVO</v>
      </c>
      <c r="D562" s="2">
        <v>1</v>
      </c>
      <c r="E562" s="3">
        <v>2.0000000000000001E-4</v>
      </c>
    </row>
    <row r="563" spans="2:5">
      <c r="B563" s="22"/>
      <c r="C563" s="1" t="str">
        <f>"SANTA CRUZ ITUNDUJIA"</f>
        <v>SANTA CRUZ ITUNDUJIA</v>
      </c>
      <c r="D563" s="2">
        <v>1</v>
      </c>
      <c r="E563" s="3">
        <v>2.0000000000000001E-4</v>
      </c>
    </row>
    <row r="564" spans="2:5">
      <c r="B564" s="22"/>
      <c r="C564" s="1" t="str">
        <f>"SANTA CRUZ MIXTEPEC"</f>
        <v>SANTA CRUZ MIXTEPEC</v>
      </c>
      <c r="D564" s="2">
        <v>1</v>
      </c>
      <c r="E564" s="3">
        <v>2.0000000000000001E-4</v>
      </c>
    </row>
    <row r="565" spans="2:5">
      <c r="B565" s="22"/>
      <c r="C565" s="1" t="str">
        <f>"SANTA CRUZ ZENZONTEPEC"</f>
        <v>SANTA CRUZ ZENZONTEPEC</v>
      </c>
      <c r="D565" s="2">
        <v>1</v>
      </c>
      <c r="E565" s="3">
        <v>2.0000000000000001E-4</v>
      </c>
    </row>
    <row r="566" spans="2:5">
      <c r="B566" s="22"/>
      <c r="C566" s="1" t="str">
        <f>"SANTA MARIA APAZCO"</f>
        <v>SANTA MARIA APAZCO</v>
      </c>
      <c r="D566" s="2">
        <v>1</v>
      </c>
      <c r="E566" s="3">
        <v>2.0000000000000001E-4</v>
      </c>
    </row>
    <row r="567" spans="2:5">
      <c r="B567" s="22"/>
      <c r="C567" s="1" t="str">
        <f>"SANTA MARIA CAMOTLAN"</f>
        <v>SANTA MARIA CAMOTLAN</v>
      </c>
      <c r="D567" s="2">
        <v>1</v>
      </c>
      <c r="E567" s="3">
        <v>2.0000000000000001E-4</v>
      </c>
    </row>
    <row r="568" spans="2:5">
      <c r="B568" s="22"/>
      <c r="C568" s="1" t="str">
        <f>"SANTA MARIA PAPALO"</f>
        <v>SANTA MARIA PAPALO</v>
      </c>
      <c r="D568" s="2">
        <v>1</v>
      </c>
      <c r="E568" s="3">
        <v>2.0000000000000001E-4</v>
      </c>
    </row>
    <row r="569" spans="2:5">
      <c r="B569" s="22"/>
      <c r="C569" s="1" t="str">
        <f>"SANTA MARIA QUIEGOLANI"</f>
        <v>SANTA MARIA QUIEGOLANI</v>
      </c>
      <c r="D569" s="2">
        <v>1</v>
      </c>
      <c r="E569" s="3">
        <v>2.0000000000000001E-4</v>
      </c>
    </row>
    <row r="570" spans="2:5">
      <c r="B570" s="22"/>
      <c r="C570" s="1" t="str">
        <f>"SANTA MARIA YOLOTEPEC"</f>
        <v>SANTA MARIA YOLOTEPEC</v>
      </c>
      <c r="D570" s="2">
        <v>1</v>
      </c>
      <c r="E570" s="3">
        <v>2.0000000000000001E-4</v>
      </c>
    </row>
    <row r="571" spans="2:5">
      <c r="B571" s="22"/>
      <c r="C571" s="1" t="str">
        <f>"SANTIAGO AYUQUILILLA"</f>
        <v>SANTIAGO AYUQUILILLA</v>
      </c>
      <c r="D571" s="2">
        <v>1</v>
      </c>
      <c r="E571" s="3">
        <v>2.0000000000000001E-4</v>
      </c>
    </row>
    <row r="572" spans="2:5">
      <c r="B572" s="22"/>
      <c r="C572" s="1" t="str">
        <f>"SANTIAGO JAMILTEPEC"</f>
        <v>SANTIAGO JAMILTEPEC</v>
      </c>
      <c r="D572" s="2">
        <v>17</v>
      </c>
      <c r="E572" s="3">
        <v>2.8999999999999998E-3</v>
      </c>
    </row>
    <row r="573" spans="2:5">
      <c r="B573" s="22"/>
      <c r="C573" s="1" t="str">
        <f>"SANTIAGO JOCOTEPEC"</f>
        <v>SANTIAGO JOCOTEPEC</v>
      </c>
      <c r="D573" s="2">
        <v>1</v>
      </c>
      <c r="E573" s="3">
        <v>2.0000000000000001E-4</v>
      </c>
    </row>
    <row r="574" spans="2:5">
      <c r="B574" s="22"/>
      <c r="C574" s="1" t="str">
        <f>"SANTIAGO LLANO GRANDE"</f>
        <v>SANTIAGO LLANO GRANDE</v>
      </c>
      <c r="D574" s="2">
        <v>1</v>
      </c>
      <c r="E574" s="3">
        <v>2.0000000000000001E-4</v>
      </c>
    </row>
    <row r="575" spans="2:5" ht="30">
      <c r="B575" s="22"/>
      <c r="C575" s="1" t="str">
        <f>"SANTIAGO PINOTEPA NACIONAL"</f>
        <v>SANTIAGO PINOTEPA NACIONAL</v>
      </c>
      <c r="D575" s="2">
        <v>9</v>
      </c>
      <c r="E575" s="3">
        <v>1.5E-3</v>
      </c>
    </row>
    <row r="576" spans="2:5">
      <c r="B576" s="22"/>
      <c r="C576" s="1" t="str">
        <f>"SANTIAGO TAMAZOLA"</f>
        <v>SANTIAGO TAMAZOLA</v>
      </c>
      <c r="D576" s="2">
        <v>1</v>
      </c>
      <c r="E576" s="3">
        <v>2.0000000000000001E-4</v>
      </c>
    </row>
    <row r="577" spans="2:5">
      <c r="B577" s="22"/>
      <c r="C577" s="1" t="str">
        <f>"SANTIAGO TAPEXTLA"</f>
        <v>SANTIAGO TAPEXTLA</v>
      </c>
      <c r="D577" s="2">
        <v>1</v>
      </c>
      <c r="E577" s="3">
        <v>2.0000000000000001E-4</v>
      </c>
    </row>
    <row r="578" spans="2:5">
      <c r="B578" s="22"/>
      <c r="C578" s="1" t="str">
        <f>"SANTIAGO XIACUI"</f>
        <v>SANTIAGO XIACUI</v>
      </c>
      <c r="D578" s="2">
        <v>1</v>
      </c>
      <c r="E578" s="3">
        <v>2.0000000000000001E-4</v>
      </c>
    </row>
    <row r="579" spans="2:5">
      <c r="B579" s="22"/>
      <c r="C579" s="1" t="str">
        <f>"SANTIAGO YOSONDUA"</f>
        <v>SANTIAGO YOSONDUA</v>
      </c>
      <c r="D579" s="2">
        <v>4</v>
      </c>
      <c r="E579" s="3">
        <v>6.9999999999999999E-4</v>
      </c>
    </row>
    <row r="580" spans="2:5">
      <c r="B580" s="22"/>
      <c r="C580" s="1" t="str">
        <f>"SANTO DOMINGO YODOHINO"</f>
        <v>SANTO DOMINGO YODOHINO</v>
      </c>
      <c r="D580" s="2">
        <v>9</v>
      </c>
      <c r="E580" s="3">
        <v>1.5E-3</v>
      </c>
    </row>
    <row r="581" spans="2:5">
      <c r="B581" s="22"/>
      <c r="C581" s="1" t="str">
        <f>"SANTO TOMAS OCOTEPEC"</f>
        <v>SANTO TOMAS OCOTEPEC</v>
      </c>
      <c r="D581" s="2">
        <v>1</v>
      </c>
      <c r="E581" s="3">
        <v>2.0000000000000001E-4</v>
      </c>
    </row>
    <row r="582" spans="2:5">
      <c r="B582" s="22"/>
      <c r="C582" s="1" t="str">
        <f>"SANTOS REYES NOPALA"</f>
        <v>SANTOS REYES NOPALA</v>
      </c>
      <c r="D582" s="2">
        <v>3</v>
      </c>
      <c r="E582" s="3">
        <v>5.0000000000000001E-4</v>
      </c>
    </row>
    <row r="583" spans="2:5">
      <c r="B583" s="22"/>
      <c r="C583" s="1" t="str">
        <f>"SILACAYOAPAM"</f>
        <v>SILACAYOAPAM</v>
      </c>
      <c r="D583" s="2">
        <v>2</v>
      </c>
      <c r="E583" s="3">
        <v>2.9999999999999997E-4</v>
      </c>
    </row>
    <row r="584" spans="2:5">
      <c r="B584" s="22"/>
      <c r="C584" s="1" t="str">
        <f>"TLACOLULA DE MATAMOROS"</f>
        <v>TLACOLULA DE MATAMOROS</v>
      </c>
      <c r="D584" s="2">
        <v>1</v>
      </c>
      <c r="E584" s="3">
        <v>2.0000000000000001E-4</v>
      </c>
    </row>
    <row r="585" spans="2:5">
      <c r="B585" s="22"/>
      <c r="C585" s="1" t="str">
        <f>"TRINIDAD ZAACHILA"</f>
        <v>TRINIDAD ZAACHILA</v>
      </c>
      <c r="D585" s="2">
        <v>1</v>
      </c>
      <c r="E585" s="3">
        <v>2.0000000000000001E-4</v>
      </c>
    </row>
    <row r="586" spans="2:5">
      <c r="B586" s="22"/>
      <c r="C586" s="1" t="str">
        <f>"UNION HIDALGO"</f>
        <v>UNION HIDALGO</v>
      </c>
      <c r="D586" s="2">
        <v>1</v>
      </c>
      <c r="E586" s="3">
        <v>2.0000000000000001E-4</v>
      </c>
    </row>
    <row r="587" spans="2:5">
      <c r="B587" s="22"/>
      <c r="C587" s="1" t="str">
        <f>"VILLA DE CHILAPA DE DIAZ"</f>
        <v>VILLA DE CHILAPA DE DIAZ</v>
      </c>
      <c r="D587" s="2">
        <v>3</v>
      </c>
      <c r="E587" s="3">
        <v>5.0000000000000001E-4</v>
      </c>
    </row>
    <row r="588" spans="2:5">
      <c r="B588" s="22"/>
      <c r="C588" s="1" t="str">
        <f>"YUTANDUCHI DE GUERRERO"</f>
        <v>YUTANDUCHI DE GUERRERO</v>
      </c>
      <c r="D588" s="2">
        <v>3</v>
      </c>
      <c r="E588" s="3">
        <v>5.0000000000000001E-4</v>
      </c>
    </row>
    <row r="589" spans="2:5">
      <c r="B589" s="22"/>
      <c r="C589" s="1" t="str">
        <f>"ZAPOTITLAN DEL RIO"</f>
        <v>ZAPOTITLAN DEL RIO</v>
      </c>
      <c r="D589" s="2">
        <v>5</v>
      </c>
      <c r="E589" s="3">
        <v>8.0000000000000004E-4</v>
      </c>
    </row>
    <row r="590" spans="2:5">
      <c r="B590" s="22"/>
      <c r="C590" s="1" t="str">
        <f>"ZIMATLAN DE ALVAREZ"</f>
        <v>ZIMATLAN DE ALVAREZ</v>
      </c>
      <c r="D590" s="2">
        <v>3</v>
      </c>
      <c r="E590" s="3">
        <v>5.0000000000000001E-4</v>
      </c>
    </row>
    <row r="591" spans="2:5">
      <c r="B591" s="23"/>
      <c r="C591" s="18" t="str">
        <f>"Total"</f>
        <v>Total</v>
      </c>
      <c r="D591" s="19">
        <v>381</v>
      </c>
      <c r="E591" s="20">
        <v>6.4299999999999996E-2</v>
      </c>
    </row>
    <row r="592" spans="2:5">
      <c r="B592" s="21" t="str">
        <f t="shared" ref="B592" si="15">"PUEBLA"</f>
        <v>PUEBLA</v>
      </c>
      <c r="C592" s="1" t="str">
        <f>"ACAJETE"</f>
        <v>ACAJETE</v>
      </c>
      <c r="D592" s="2">
        <v>2</v>
      </c>
      <c r="E592" s="3">
        <v>2.9999999999999997E-4</v>
      </c>
    </row>
    <row r="593" spans="2:5">
      <c r="B593" s="22"/>
      <c r="C593" s="1" t="str">
        <f>"ACATLAN"</f>
        <v>ACATLAN</v>
      </c>
      <c r="D593" s="2">
        <v>4</v>
      </c>
      <c r="E593" s="3">
        <v>6.9999999999999999E-4</v>
      </c>
    </row>
    <row r="594" spans="2:5">
      <c r="B594" s="22"/>
      <c r="C594" s="1" t="str">
        <f>"ACATZINGO"</f>
        <v>ACATZINGO</v>
      </c>
      <c r="D594" s="2">
        <v>2</v>
      </c>
      <c r="E594" s="3">
        <v>2.9999999999999997E-4</v>
      </c>
    </row>
    <row r="595" spans="2:5">
      <c r="B595" s="22"/>
      <c r="C595" s="1" t="str">
        <f>"ACTEOPAN"</f>
        <v>ACTEOPAN</v>
      </c>
      <c r="D595" s="2">
        <v>2</v>
      </c>
      <c r="E595" s="3">
        <v>2.9999999999999997E-4</v>
      </c>
    </row>
    <row r="596" spans="2:5">
      <c r="B596" s="22"/>
      <c r="C596" s="1" t="str">
        <f>"AHUATLAN"</f>
        <v>AHUATLAN</v>
      </c>
      <c r="D596" s="2">
        <v>1</v>
      </c>
      <c r="E596" s="3">
        <v>2.0000000000000001E-4</v>
      </c>
    </row>
    <row r="597" spans="2:5">
      <c r="B597" s="22"/>
      <c r="C597" s="1" t="str">
        <f>"AHUAZOTEPEC"</f>
        <v>AHUAZOTEPEC</v>
      </c>
      <c r="D597" s="2">
        <v>1</v>
      </c>
      <c r="E597" s="3">
        <v>2.0000000000000001E-4</v>
      </c>
    </row>
    <row r="598" spans="2:5">
      <c r="B598" s="22"/>
      <c r="C598" s="1" t="str">
        <f>"ALJOJUCA"</f>
        <v>ALJOJUCA</v>
      </c>
      <c r="D598" s="2">
        <v>1</v>
      </c>
      <c r="E598" s="3">
        <v>2.0000000000000001E-4</v>
      </c>
    </row>
    <row r="599" spans="2:5">
      <c r="B599" s="22"/>
      <c r="C599" s="1" t="str">
        <f>"AMIXTLAN"</f>
        <v>AMIXTLAN</v>
      </c>
      <c r="D599" s="2">
        <v>1</v>
      </c>
      <c r="E599" s="3">
        <v>2.0000000000000001E-4</v>
      </c>
    </row>
    <row r="600" spans="2:5">
      <c r="B600" s="22"/>
      <c r="C600" s="1" t="str">
        <f>"AMOZOC"</f>
        <v>AMOZOC</v>
      </c>
      <c r="D600" s="2">
        <v>1</v>
      </c>
      <c r="E600" s="3">
        <v>2.0000000000000001E-4</v>
      </c>
    </row>
    <row r="601" spans="2:5">
      <c r="B601" s="22"/>
      <c r="C601" s="1" t="str">
        <f>"ATEMPAN"</f>
        <v>ATEMPAN</v>
      </c>
      <c r="D601" s="2">
        <v>1</v>
      </c>
      <c r="E601" s="3">
        <v>2.0000000000000001E-4</v>
      </c>
    </row>
    <row r="602" spans="2:5">
      <c r="B602" s="22"/>
      <c r="C602" s="1" t="str">
        <f>"ATLIXCO"</f>
        <v>ATLIXCO</v>
      </c>
      <c r="D602" s="2">
        <v>57</v>
      </c>
      <c r="E602" s="3">
        <v>9.5999999999999992E-3</v>
      </c>
    </row>
    <row r="603" spans="2:5">
      <c r="B603" s="22"/>
      <c r="C603" s="1" t="str">
        <f>"ATOYATEMPAN"</f>
        <v>ATOYATEMPAN</v>
      </c>
      <c r="D603" s="2">
        <v>4</v>
      </c>
      <c r="E603" s="3">
        <v>6.9999999999999999E-4</v>
      </c>
    </row>
    <row r="604" spans="2:5">
      <c r="B604" s="22"/>
      <c r="C604" s="1" t="str">
        <f>"ATZALA"</f>
        <v>ATZALA</v>
      </c>
      <c r="D604" s="2">
        <v>1</v>
      </c>
      <c r="E604" s="3">
        <v>2.0000000000000001E-4</v>
      </c>
    </row>
    <row r="605" spans="2:5">
      <c r="B605" s="22"/>
      <c r="C605" s="1" t="str">
        <f>"ATZITZIHUACAN"</f>
        <v>ATZITZIHUACAN</v>
      </c>
      <c r="D605" s="2">
        <v>1</v>
      </c>
      <c r="E605" s="3">
        <v>2.0000000000000001E-4</v>
      </c>
    </row>
    <row r="606" spans="2:5">
      <c r="B606" s="22"/>
      <c r="C606" s="1" t="str">
        <f>"CAÑADA MORELOS"</f>
        <v>CAÑADA MORELOS</v>
      </c>
      <c r="D606" s="2">
        <v>6</v>
      </c>
      <c r="E606" s="3">
        <v>1E-3</v>
      </c>
    </row>
    <row r="607" spans="2:5">
      <c r="B607" s="22"/>
      <c r="C607" s="1" t="str">
        <f>"CHALCHICOMULA DE SESMA"</f>
        <v>CHALCHICOMULA DE SESMA</v>
      </c>
      <c r="D607" s="2">
        <v>3</v>
      </c>
      <c r="E607" s="3">
        <v>5.0000000000000001E-4</v>
      </c>
    </row>
    <row r="608" spans="2:5">
      <c r="B608" s="22"/>
      <c r="C608" s="1" t="str">
        <f>"CHIAUTLA"</f>
        <v>CHIAUTLA</v>
      </c>
      <c r="D608" s="2">
        <v>63</v>
      </c>
      <c r="E608" s="3">
        <v>1.06E-2</v>
      </c>
    </row>
    <row r="609" spans="2:5">
      <c r="B609" s="22"/>
      <c r="C609" s="1" t="str">
        <f>"CHIAUTZINGO"</f>
        <v>CHIAUTZINGO</v>
      </c>
      <c r="D609" s="2">
        <v>19</v>
      </c>
      <c r="E609" s="3">
        <v>3.2000000000000002E-3</v>
      </c>
    </row>
    <row r="610" spans="2:5">
      <c r="B610" s="22"/>
      <c r="C610" s="1" t="str">
        <f>"CHICHIQUILA"</f>
        <v>CHICHIQUILA</v>
      </c>
      <c r="D610" s="2">
        <v>1</v>
      </c>
      <c r="E610" s="3">
        <v>2.0000000000000001E-4</v>
      </c>
    </row>
    <row r="611" spans="2:5">
      <c r="B611" s="22"/>
      <c r="C611" s="1" t="str">
        <f>"CHICONCUAUTLA"</f>
        <v>CHICONCUAUTLA</v>
      </c>
      <c r="D611" s="2">
        <v>3</v>
      </c>
      <c r="E611" s="3">
        <v>5.0000000000000001E-4</v>
      </c>
    </row>
    <row r="612" spans="2:5">
      <c r="B612" s="22"/>
      <c r="C612" s="1" t="str">
        <f>"CHIETLA"</f>
        <v>CHIETLA</v>
      </c>
      <c r="D612" s="2">
        <v>95</v>
      </c>
      <c r="E612" s="3">
        <v>1.6E-2</v>
      </c>
    </row>
    <row r="613" spans="2:5">
      <c r="B613" s="22"/>
      <c r="C613" s="1" t="str">
        <f>"CHILA DE LA SAL"</f>
        <v>CHILA DE LA SAL</v>
      </c>
      <c r="D613" s="2">
        <v>2</v>
      </c>
      <c r="E613" s="3">
        <v>2.9999999999999997E-4</v>
      </c>
    </row>
    <row r="614" spans="2:5">
      <c r="B614" s="22"/>
      <c r="C614" s="1" t="str">
        <f>"COHETZALA"</f>
        <v>COHETZALA</v>
      </c>
      <c r="D614" s="2">
        <v>2</v>
      </c>
      <c r="E614" s="3">
        <v>2.9999999999999997E-4</v>
      </c>
    </row>
    <row r="615" spans="2:5">
      <c r="B615" s="22"/>
      <c r="C615" s="1" t="str">
        <f>"COHUECAN"</f>
        <v>COHUECAN</v>
      </c>
      <c r="D615" s="2">
        <v>1</v>
      </c>
      <c r="E615" s="3">
        <v>2.0000000000000001E-4</v>
      </c>
    </row>
    <row r="616" spans="2:5">
      <c r="B616" s="22"/>
      <c r="C616" s="1" t="str">
        <f>"COXCATLAN"</f>
        <v>COXCATLAN</v>
      </c>
      <c r="D616" s="2">
        <v>1</v>
      </c>
      <c r="E616" s="3">
        <v>2.0000000000000001E-4</v>
      </c>
    </row>
    <row r="617" spans="2:5">
      <c r="B617" s="22"/>
      <c r="C617" s="1" t="str">
        <f>"CUAUTLANCINGO"</f>
        <v>CUAUTLANCINGO</v>
      </c>
      <c r="D617" s="2">
        <v>2</v>
      </c>
      <c r="E617" s="3">
        <v>2.9999999999999997E-4</v>
      </c>
    </row>
    <row r="618" spans="2:5">
      <c r="B618" s="22"/>
      <c r="C618" s="1" t="str">
        <f>"CUAYUCA DE ANDRADE"</f>
        <v>CUAYUCA DE ANDRADE</v>
      </c>
      <c r="D618" s="2">
        <v>3</v>
      </c>
      <c r="E618" s="3">
        <v>5.0000000000000001E-4</v>
      </c>
    </row>
    <row r="619" spans="2:5">
      <c r="B619" s="22"/>
      <c r="C619" s="1" t="str">
        <f>"CUETZALAN DEL PROGRESO"</f>
        <v>CUETZALAN DEL PROGRESO</v>
      </c>
      <c r="D619" s="2">
        <v>2</v>
      </c>
      <c r="E619" s="3">
        <v>2.9999999999999997E-4</v>
      </c>
    </row>
    <row r="620" spans="2:5">
      <c r="B620" s="22"/>
      <c r="C620" s="1" t="str">
        <f>"CUYOACO"</f>
        <v>CUYOACO</v>
      </c>
      <c r="D620" s="2">
        <v>1</v>
      </c>
      <c r="E620" s="3">
        <v>2.0000000000000001E-4</v>
      </c>
    </row>
    <row r="621" spans="2:5">
      <c r="B621" s="22"/>
      <c r="C621" s="1" t="str">
        <f>"EPATLAN"</f>
        <v>EPATLAN</v>
      </c>
      <c r="D621" s="2">
        <v>2</v>
      </c>
      <c r="E621" s="3">
        <v>2.9999999999999997E-4</v>
      </c>
    </row>
    <row r="622" spans="2:5">
      <c r="B622" s="22"/>
      <c r="C622" s="1" t="str">
        <f>"ESPERANZA"</f>
        <v>ESPERANZA</v>
      </c>
      <c r="D622" s="2">
        <v>6</v>
      </c>
      <c r="E622" s="3">
        <v>1E-3</v>
      </c>
    </row>
    <row r="623" spans="2:5">
      <c r="B623" s="22"/>
      <c r="C623" s="1" t="str">
        <f>"GUADALUPE"</f>
        <v>GUADALUPE</v>
      </c>
      <c r="D623" s="2">
        <v>1</v>
      </c>
      <c r="E623" s="3">
        <v>2.0000000000000001E-4</v>
      </c>
    </row>
    <row r="624" spans="2:5">
      <c r="B624" s="22"/>
      <c r="C624" s="1" t="str">
        <f>"HUAQUECHULA"</f>
        <v>HUAQUECHULA</v>
      </c>
      <c r="D624" s="2">
        <v>10</v>
      </c>
      <c r="E624" s="3">
        <v>1.6999999999999999E-3</v>
      </c>
    </row>
    <row r="625" spans="2:5">
      <c r="B625" s="22"/>
      <c r="C625" s="1" t="str">
        <f>"HUAUCHINANGO"</f>
        <v>HUAUCHINANGO</v>
      </c>
      <c r="D625" s="2">
        <v>80</v>
      </c>
      <c r="E625" s="3">
        <v>1.35E-2</v>
      </c>
    </row>
    <row r="626" spans="2:5">
      <c r="B626" s="22"/>
      <c r="C626" s="1" t="str">
        <f>"HUEHUETLA"</f>
        <v>HUEHUETLA</v>
      </c>
      <c r="D626" s="2">
        <v>1</v>
      </c>
      <c r="E626" s="3">
        <v>2.0000000000000001E-4</v>
      </c>
    </row>
    <row r="627" spans="2:5">
      <c r="B627" s="22"/>
      <c r="C627" s="1" t="str">
        <f>"HUEHUETLAN EL CHICO"</f>
        <v>HUEHUETLAN EL CHICO</v>
      </c>
      <c r="D627" s="2">
        <v>58</v>
      </c>
      <c r="E627" s="3">
        <v>9.7999999999999997E-3</v>
      </c>
    </row>
    <row r="628" spans="2:5">
      <c r="B628" s="22"/>
      <c r="C628" s="1" t="str">
        <f>"HUEHUETLAN EL GRANDE"</f>
        <v>HUEHUETLAN EL GRANDE</v>
      </c>
      <c r="D628" s="2">
        <v>1</v>
      </c>
      <c r="E628" s="3">
        <v>2.0000000000000001E-4</v>
      </c>
    </row>
    <row r="629" spans="2:5">
      <c r="B629" s="22"/>
      <c r="C629" s="1" t="str">
        <f>"HUEYTAMALCO"</f>
        <v>HUEYTAMALCO</v>
      </c>
      <c r="D629" s="2">
        <v>1</v>
      </c>
      <c r="E629" s="3">
        <v>2.0000000000000001E-4</v>
      </c>
    </row>
    <row r="630" spans="2:5">
      <c r="B630" s="22"/>
      <c r="C630" s="1" t="str">
        <f>"HUITZILAN DE SERDAN"</f>
        <v>HUITZILAN DE SERDAN</v>
      </c>
      <c r="D630" s="2">
        <v>1</v>
      </c>
      <c r="E630" s="3">
        <v>2.0000000000000001E-4</v>
      </c>
    </row>
    <row r="631" spans="2:5">
      <c r="B631" s="22"/>
      <c r="C631" s="1" t="str">
        <f>"HUITZILTEPEC"</f>
        <v>HUITZILTEPEC</v>
      </c>
      <c r="D631" s="2">
        <v>1</v>
      </c>
      <c r="E631" s="3">
        <v>2.0000000000000001E-4</v>
      </c>
    </row>
    <row r="632" spans="2:5">
      <c r="B632" s="22"/>
      <c r="C632" s="1" t="str">
        <f>"IXTACAMAXTITLAN"</f>
        <v>IXTACAMAXTITLAN</v>
      </c>
      <c r="D632" s="2">
        <v>3</v>
      </c>
      <c r="E632" s="3">
        <v>5.0000000000000001E-4</v>
      </c>
    </row>
    <row r="633" spans="2:5">
      <c r="B633" s="22"/>
      <c r="C633" s="1" t="str">
        <f>"IZUCAR DE MATAMOROS"</f>
        <v>IZUCAR DE MATAMOROS</v>
      </c>
      <c r="D633" s="2">
        <v>81</v>
      </c>
      <c r="E633" s="3">
        <v>1.37E-2</v>
      </c>
    </row>
    <row r="634" spans="2:5">
      <c r="B634" s="22"/>
      <c r="C634" s="1" t="str">
        <f>"JOLALPAN"</f>
        <v>JOLALPAN</v>
      </c>
      <c r="D634" s="2">
        <v>112</v>
      </c>
      <c r="E634" s="3">
        <v>1.89E-2</v>
      </c>
    </row>
    <row r="635" spans="2:5">
      <c r="B635" s="22"/>
      <c r="C635" s="1" t="str">
        <f>"LAFRAGUA"</f>
        <v>LAFRAGUA</v>
      </c>
      <c r="D635" s="2">
        <v>1</v>
      </c>
      <c r="E635" s="3">
        <v>2.0000000000000001E-4</v>
      </c>
    </row>
    <row r="636" spans="2:5">
      <c r="B636" s="22"/>
      <c r="C636" s="1" t="str">
        <f>"LIBRES"</f>
        <v>LIBRES</v>
      </c>
      <c r="D636" s="2">
        <v>4</v>
      </c>
      <c r="E636" s="3">
        <v>6.9999999999999999E-4</v>
      </c>
    </row>
    <row r="637" spans="2:5">
      <c r="B637" s="22"/>
      <c r="C637" s="1" t="str">
        <f>"OCOYUCAN"</f>
        <v>OCOYUCAN</v>
      </c>
      <c r="D637" s="2">
        <v>2</v>
      </c>
      <c r="E637" s="3">
        <v>2.9999999999999997E-4</v>
      </c>
    </row>
    <row r="638" spans="2:5">
      <c r="B638" s="22"/>
      <c r="C638" s="1" t="str">
        <f>"PALMAR DE BRAVO"</f>
        <v>PALMAR DE BRAVO</v>
      </c>
      <c r="D638" s="2">
        <v>2</v>
      </c>
      <c r="E638" s="3">
        <v>2.9999999999999997E-4</v>
      </c>
    </row>
    <row r="639" spans="2:5">
      <c r="B639" s="22"/>
      <c r="C639" s="1" t="str">
        <f>"PETLALCINGO"</f>
        <v>PETLALCINGO</v>
      </c>
      <c r="D639" s="2">
        <v>2</v>
      </c>
      <c r="E639" s="3">
        <v>2.9999999999999997E-4</v>
      </c>
    </row>
    <row r="640" spans="2:5">
      <c r="B640" s="22"/>
      <c r="C640" s="1" t="str">
        <f>"PUEBLA"</f>
        <v>PUEBLA</v>
      </c>
      <c r="D640" s="2">
        <v>86</v>
      </c>
      <c r="E640" s="3">
        <v>1.4500000000000001E-2</v>
      </c>
    </row>
    <row r="641" spans="2:5">
      <c r="B641" s="22"/>
      <c r="C641" s="1" t="str">
        <f>"SAN ANDRES CHOLULA"</f>
        <v>SAN ANDRES CHOLULA</v>
      </c>
      <c r="D641" s="2">
        <v>1</v>
      </c>
      <c r="E641" s="3">
        <v>2.0000000000000001E-4</v>
      </c>
    </row>
    <row r="642" spans="2:5">
      <c r="B642" s="22"/>
      <c r="C642" s="1" t="str">
        <f>"SAN MARTIN TEXMELUCAN"</f>
        <v>SAN MARTIN TEXMELUCAN</v>
      </c>
      <c r="D642" s="2">
        <v>9</v>
      </c>
      <c r="E642" s="3">
        <v>1.5E-3</v>
      </c>
    </row>
    <row r="643" spans="2:5">
      <c r="B643" s="22"/>
      <c r="C643" s="1" t="str">
        <f>"SAN MARTIN TOTOLTEPEC"</f>
        <v>SAN MARTIN TOTOLTEPEC</v>
      </c>
      <c r="D643" s="2">
        <v>1</v>
      </c>
      <c r="E643" s="3">
        <v>2.0000000000000001E-4</v>
      </c>
    </row>
    <row r="644" spans="2:5">
      <c r="B644" s="22"/>
      <c r="C644" s="1" t="str">
        <f>"SAN MATIAS TLALANCALECA"</f>
        <v>SAN MATIAS TLALANCALECA</v>
      </c>
      <c r="D644" s="2">
        <v>2</v>
      </c>
      <c r="E644" s="3">
        <v>2.9999999999999997E-4</v>
      </c>
    </row>
    <row r="645" spans="2:5">
      <c r="B645" s="22"/>
      <c r="C645" s="1" t="str">
        <f>"SAN PEDRO CHOLULA"</f>
        <v>SAN PEDRO CHOLULA</v>
      </c>
      <c r="D645" s="2">
        <v>3</v>
      </c>
      <c r="E645" s="3">
        <v>5.0000000000000001E-4</v>
      </c>
    </row>
    <row r="646" spans="2:5">
      <c r="B646" s="22"/>
      <c r="C646" s="1" t="str">
        <f>"SAN SALVADOR EL VERDE"</f>
        <v>SAN SALVADOR EL VERDE</v>
      </c>
      <c r="D646" s="2">
        <v>5</v>
      </c>
      <c r="E646" s="3">
        <v>8.0000000000000004E-4</v>
      </c>
    </row>
    <row r="647" spans="2:5">
      <c r="B647" s="22"/>
      <c r="C647" s="1" t="str">
        <f>"TECALI DE HERRERA"</f>
        <v>TECALI DE HERRERA</v>
      </c>
      <c r="D647" s="2">
        <v>1</v>
      </c>
      <c r="E647" s="3">
        <v>2.0000000000000001E-4</v>
      </c>
    </row>
    <row r="648" spans="2:5">
      <c r="B648" s="22"/>
      <c r="C648" s="1" t="str">
        <f>"TECAMACHALCO"</f>
        <v>TECAMACHALCO</v>
      </c>
      <c r="D648" s="2">
        <v>4</v>
      </c>
      <c r="E648" s="3">
        <v>6.9999999999999999E-4</v>
      </c>
    </row>
    <row r="649" spans="2:5">
      <c r="B649" s="22"/>
      <c r="C649" s="1" t="str">
        <f>"TECOMATLAN"</f>
        <v>TECOMATLAN</v>
      </c>
      <c r="D649" s="2">
        <v>1</v>
      </c>
      <c r="E649" s="3">
        <v>2.0000000000000001E-4</v>
      </c>
    </row>
    <row r="650" spans="2:5">
      <c r="B650" s="22"/>
      <c r="C650" s="1" t="str">
        <f>"TEHUACAN"</f>
        <v>TEHUACAN</v>
      </c>
      <c r="D650" s="2">
        <v>9</v>
      </c>
      <c r="E650" s="3">
        <v>1.5E-3</v>
      </c>
    </row>
    <row r="651" spans="2:5">
      <c r="B651" s="22"/>
      <c r="C651" s="1" t="str">
        <f>"TEHUITZINGO"</f>
        <v>TEHUITZINGO</v>
      </c>
      <c r="D651" s="2">
        <v>9</v>
      </c>
      <c r="E651" s="3">
        <v>1.5E-3</v>
      </c>
    </row>
    <row r="652" spans="2:5">
      <c r="B652" s="22"/>
      <c r="C652" s="1" t="str">
        <f>"TEOPANTLAN"</f>
        <v>TEOPANTLAN</v>
      </c>
      <c r="D652" s="2">
        <v>2</v>
      </c>
      <c r="E652" s="3">
        <v>2.9999999999999997E-4</v>
      </c>
    </row>
    <row r="653" spans="2:5">
      <c r="B653" s="22"/>
      <c r="C653" s="1" t="str">
        <f>"TEOTLALCO"</f>
        <v>TEOTLALCO</v>
      </c>
      <c r="D653" s="2">
        <v>40</v>
      </c>
      <c r="E653" s="3">
        <v>6.7000000000000002E-3</v>
      </c>
    </row>
    <row r="654" spans="2:5">
      <c r="B654" s="22"/>
      <c r="C654" s="1" t="str">
        <f>"TEPEACA"</f>
        <v>TEPEACA</v>
      </c>
      <c r="D654" s="2">
        <v>1</v>
      </c>
      <c r="E654" s="3">
        <v>2.0000000000000001E-4</v>
      </c>
    </row>
    <row r="655" spans="2:5">
      <c r="B655" s="22"/>
      <c r="C655" s="1" t="str">
        <f>"TEPEMAXALCO"</f>
        <v>TEPEMAXALCO</v>
      </c>
      <c r="D655" s="2">
        <v>1</v>
      </c>
      <c r="E655" s="3">
        <v>2.0000000000000001E-4</v>
      </c>
    </row>
    <row r="656" spans="2:5">
      <c r="B656" s="22"/>
      <c r="C656" s="1" t="str">
        <f>"TEPEOJUMA"</f>
        <v>TEPEOJUMA</v>
      </c>
      <c r="D656" s="2">
        <v>1</v>
      </c>
      <c r="E656" s="3">
        <v>2.0000000000000001E-4</v>
      </c>
    </row>
    <row r="657" spans="2:5">
      <c r="B657" s="22"/>
      <c r="C657" s="1" t="str">
        <f>"TEPEXCO"</f>
        <v>TEPEXCO</v>
      </c>
      <c r="D657" s="2">
        <v>17</v>
      </c>
      <c r="E657" s="3">
        <v>2.8999999999999998E-3</v>
      </c>
    </row>
    <row r="658" spans="2:5">
      <c r="B658" s="22"/>
      <c r="C658" s="1" t="str">
        <f>"TEPEXI DE RODRIGUEZ"</f>
        <v>TEPEXI DE RODRIGUEZ</v>
      </c>
      <c r="D658" s="2">
        <v>3</v>
      </c>
      <c r="E658" s="3">
        <v>5.0000000000000001E-4</v>
      </c>
    </row>
    <row r="659" spans="2:5">
      <c r="B659" s="22"/>
      <c r="C659" s="1" t="str">
        <f>"TETELA DE OCAMPO"</f>
        <v>TETELA DE OCAMPO</v>
      </c>
      <c r="D659" s="2">
        <v>4</v>
      </c>
      <c r="E659" s="3">
        <v>6.9999999999999999E-4</v>
      </c>
    </row>
    <row r="660" spans="2:5">
      <c r="B660" s="22"/>
      <c r="C660" s="1" t="str">
        <f>"TEZIUTLAN"</f>
        <v>TEZIUTLAN</v>
      </c>
      <c r="D660" s="2">
        <v>2</v>
      </c>
      <c r="E660" s="3">
        <v>2.9999999999999997E-4</v>
      </c>
    </row>
    <row r="661" spans="2:5">
      <c r="B661" s="22"/>
      <c r="C661" s="1" t="str">
        <f>"TILAPA"</f>
        <v>TILAPA</v>
      </c>
      <c r="D661" s="2">
        <v>5</v>
      </c>
      <c r="E661" s="3">
        <v>8.0000000000000004E-4</v>
      </c>
    </row>
    <row r="662" spans="2:5">
      <c r="B662" s="22"/>
      <c r="C662" s="1" t="str">
        <f>"TLAHUAPAN"</f>
        <v>TLAHUAPAN</v>
      </c>
      <c r="D662" s="2">
        <v>2</v>
      </c>
      <c r="E662" s="3">
        <v>2.9999999999999997E-4</v>
      </c>
    </row>
    <row r="663" spans="2:5">
      <c r="B663" s="22"/>
      <c r="C663" s="1" t="str">
        <f>"TLANEPANTLA"</f>
        <v>TLANEPANTLA</v>
      </c>
      <c r="D663" s="2">
        <v>1</v>
      </c>
      <c r="E663" s="3">
        <v>2.0000000000000001E-4</v>
      </c>
    </row>
    <row r="664" spans="2:5">
      <c r="B664" s="22"/>
      <c r="C664" s="1" t="str">
        <f>"TLAOLA"</f>
        <v>TLAOLA</v>
      </c>
      <c r="D664" s="2">
        <v>4</v>
      </c>
      <c r="E664" s="3">
        <v>6.9999999999999999E-4</v>
      </c>
    </row>
    <row r="665" spans="2:5">
      <c r="B665" s="22"/>
      <c r="C665" s="1" t="str">
        <f>"TLATLAUQUITEPEC"</f>
        <v>TLATLAUQUITEPEC</v>
      </c>
      <c r="D665" s="2">
        <v>1</v>
      </c>
      <c r="E665" s="3">
        <v>2.0000000000000001E-4</v>
      </c>
    </row>
    <row r="666" spans="2:5">
      <c r="B666" s="22"/>
      <c r="C666" s="1" t="str">
        <f>"TOCHIMILCO"</f>
        <v>TOCHIMILCO</v>
      </c>
      <c r="D666" s="2">
        <v>1</v>
      </c>
      <c r="E666" s="3">
        <v>2.0000000000000001E-4</v>
      </c>
    </row>
    <row r="667" spans="2:5">
      <c r="B667" s="22"/>
      <c r="C667" s="1" t="str">
        <f>"VICENTE GUERRERO"</f>
        <v>VICENTE GUERRERO</v>
      </c>
      <c r="D667" s="2">
        <v>12</v>
      </c>
      <c r="E667" s="3">
        <v>2E-3</v>
      </c>
    </row>
    <row r="668" spans="2:5">
      <c r="B668" s="22"/>
      <c r="C668" s="1" t="str">
        <f>"XAYACATLAN DE BRAVO"</f>
        <v>XAYACATLAN DE BRAVO</v>
      </c>
      <c r="D668" s="2">
        <v>1</v>
      </c>
      <c r="E668" s="3">
        <v>2.0000000000000001E-4</v>
      </c>
    </row>
    <row r="669" spans="2:5">
      <c r="B669" s="22"/>
      <c r="C669" s="1" t="str">
        <f>"XICOTEPEC"</f>
        <v>XICOTEPEC</v>
      </c>
      <c r="D669" s="2">
        <v>4</v>
      </c>
      <c r="E669" s="3">
        <v>6.9999999999999999E-4</v>
      </c>
    </row>
    <row r="670" spans="2:5">
      <c r="B670" s="22"/>
      <c r="C670" s="1" t="str">
        <f>"XIUTETELCO"</f>
        <v>XIUTETELCO</v>
      </c>
      <c r="D670" s="2">
        <v>1</v>
      </c>
      <c r="E670" s="3">
        <v>2.0000000000000001E-4</v>
      </c>
    </row>
    <row r="671" spans="2:5">
      <c r="B671" s="22"/>
      <c r="C671" s="1" t="str">
        <f>"XOCHILTEPEC"</f>
        <v>XOCHILTEPEC</v>
      </c>
      <c r="D671" s="2">
        <v>1</v>
      </c>
      <c r="E671" s="3">
        <v>2.0000000000000001E-4</v>
      </c>
    </row>
    <row r="672" spans="2:5">
      <c r="B672" s="22"/>
      <c r="C672" s="1" t="str">
        <f>"YEHUALTEPEC"</f>
        <v>YEHUALTEPEC</v>
      </c>
      <c r="D672" s="2">
        <v>1</v>
      </c>
      <c r="E672" s="3">
        <v>2.0000000000000001E-4</v>
      </c>
    </row>
    <row r="673" spans="2:5">
      <c r="B673" s="22"/>
      <c r="C673" s="1" t="str">
        <f>"ZACATLAN"</f>
        <v>ZACATLAN</v>
      </c>
      <c r="D673" s="2">
        <v>17</v>
      </c>
      <c r="E673" s="3">
        <v>2.8999999999999998E-3</v>
      </c>
    </row>
    <row r="674" spans="2:5">
      <c r="B674" s="22"/>
      <c r="C674" s="1" t="str">
        <f>"ZAPOTITLAN"</f>
        <v>ZAPOTITLAN</v>
      </c>
      <c r="D674" s="2">
        <v>1</v>
      </c>
      <c r="E674" s="3">
        <v>2.0000000000000001E-4</v>
      </c>
    </row>
    <row r="675" spans="2:5">
      <c r="B675" s="22"/>
      <c r="C675" s="1" t="str">
        <f>"ZAUTLA"</f>
        <v>ZAUTLA</v>
      </c>
      <c r="D675" s="2">
        <v>2</v>
      </c>
      <c r="E675" s="3">
        <v>2.9999999999999997E-4</v>
      </c>
    </row>
    <row r="676" spans="2:5">
      <c r="B676" s="22"/>
      <c r="C676" s="1" t="str">
        <f>"ZOQUITLAN"</f>
        <v>ZOQUITLAN</v>
      </c>
      <c r="D676" s="2">
        <v>1</v>
      </c>
      <c r="E676" s="3">
        <v>2.0000000000000001E-4</v>
      </c>
    </row>
    <row r="677" spans="2:5">
      <c r="B677" s="23"/>
      <c r="C677" s="18" t="str">
        <f>"Total"</f>
        <v>Total</v>
      </c>
      <c r="D677" s="19">
        <v>909</v>
      </c>
      <c r="E677" s="20">
        <v>0.15329999999999999</v>
      </c>
    </row>
    <row r="678" spans="2:5">
      <c r="B678" s="21" t="str">
        <f t="shared" ref="B678" si="16">"QUERETARO DE ARTEAGA"</f>
        <v>QUERETARO DE ARTEAGA</v>
      </c>
      <c r="C678" s="1" t="str">
        <f>"AMEALCO DE BONFIL"</f>
        <v>AMEALCO DE BONFIL</v>
      </c>
      <c r="D678" s="2">
        <v>2</v>
      </c>
      <c r="E678" s="3">
        <v>2.9999999999999997E-4</v>
      </c>
    </row>
    <row r="679" spans="2:5">
      <c r="B679" s="22"/>
      <c r="C679" s="1" t="str">
        <f>"CADEREYTA DE MONTES"</f>
        <v>CADEREYTA DE MONTES</v>
      </c>
      <c r="D679" s="2">
        <v>1</v>
      </c>
      <c r="E679" s="3">
        <v>2.0000000000000001E-4</v>
      </c>
    </row>
    <row r="680" spans="2:5">
      <c r="B680" s="22"/>
      <c r="C680" s="1" t="str">
        <f>"HUIMILPAN"</f>
        <v>HUIMILPAN</v>
      </c>
      <c r="D680" s="2">
        <v>1</v>
      </c>
      <c r="E680" s="3">
        <v>2.0000000000000001E-4</v>
      </c>
    </row>
    <row r="681" spans="2:5">
      <c r="B681" s="22"/>
      <c r="C681" s="1" t="str">
        <f>"LANDA DE MATAMOROS"</f>
        <v>LANDA DE MATAMOROS</v>
      </c>
      <c r="D681" s="2">
        <v>1</v>
      </c>
      <c r="E681" s="3">
        <v>2.0000000000000001E-4</v>
      </c>
    </row>
    <row r="682" spans="2:5">
      <c r="B682" s="22"/>
      <c r="C682" s="1" t="str">
        <f>"PINAL DE AMOLES"</f>
        <v>PINAL DE AMOLES</v>
      </c>
      <c r="D682" s="2">
        <v>1</v>
      </c>
      <c r="E682" s="3">
        <v>2.0000000000000001E-4</v>
      </c>
    </row>
    <row r="683" spans="2:5">
      <c r="B683" s="22"/>
      <c r="C683" s="1" t="str">
        <f>"QUERETARO"</f>
        <v>QUERETARO</v>
      </c>
      <c r="D683" s="2">
        <v>6</v>
      </c>
      <c r="E683" s="3">
        <v>1E-3</v>
      </c>
    </row>
    <row r="684" spans="2:5">
      <c r="B684" s="22"/>
      <c r="C684" s="1" t="str">
        <f>"SAN JUAN DEL RIO"</f>
        <v>SAN JUAN DEL RIO</v>
      </c>
      <c r="D684" s="2">
        <v>2</v>
      </c>
      <c r="E684" s="3">
        <v>2.9999999999999997E-4</v>
      </c>
    </row>
    <row r="685" spans="2:5">
      <c r="B685" s="23"/>
      <c r="C685" s="18" t="str">
        <f>"Total"</f>
        <v>Total</v>
      </c>
      <c r="D685" s="19">
        <v>14</v>
      </c>
      <c r="E685" s="20">
        <v>2.3999999999999998E-3</v>
      </c>
    </row>
    <row r="686" spans="2:5">
      <c r="B686" s="21" t="str">
        <f>"QUINTANA ROO"</f>
        <v>QUINTANA ROO</v>
      </c>
      <c r="C686" s="1" t="str">
        <f>"JOSE MARIA MORELOS"</f>
        <v>JOSE MARIA MORELOS</v>
      </c>
      <c r="D686" s="2">
        <v>1</v>
      </c>
      <c r="E686" s="3">
        <v>2.0000000000000001E-4</v>
      </c>
    </row>
    <row r="687" spans="2:5">
      <c r="B687" s="22"/>
      <c r="C687" s="1" t="str">
        <f>"OTHON P. BLANCO"</f>
        <v>OTHON P. BLANCO</v>
      </c>
      <c r="D687" s="2">
        <v>16</v>
      </c>
      <c r="E687" s="3">
        <v>2.7000000000000001E-3</v>
      </c>
    </row>
    <row r="688" spans="2:5">
      <c r="B688" s="23"/>
      <c r="C688" s="18" t="str">
        <f>"Total"</f>
        <v>Total</v>
      </c>
      <c r="D688" s="19">
        <v>17</v>
      </c>
      <c r="E688" s="20">
        <v>2.8999999999999998E-3</v>
      </c>
    </row>
    <row r="689" spans="2:5">
      <c r="B689" s="21" t="str">
        <f t="shared" ref="B689" si="17">"SAN LUIS POTOSI"</f>
        <v>SAN LUIS POTOSI</v>
      </c>
      <c r="C689" s="1" t="str">
        <f>"AHUALULCO"</f>
        <v>AHUALULCO</v>
      </c>
      <c r="D689" s="2">
        <v>1</v>
      </c>
      <c r="E689" s="3">
        <v>2.0000000000000001E-4</v>
      </c>
    </row>
    <row r="690" spans="2:5">
      <c r="B690" s="22"/>
      <c r="C690" s="1" t="str">
        <f>"ALAQUINES"</f>
        <v>ALAQUINES</v>
      </c>
      <c r="D690" s="2">
        <v>1</v>
      </c>
      <c r="E690" s="3">
        <v>2.0000000000000001E-4</v>
      </c>
    </row>
    <row r="691" spans="2:5">
      <c r="B691" s="22"/>
      <c r="C691" s="1" t="str">
        <f>"CARDENAS"</f>
        <v>CARDENAS</v>
      </c>
      <c r="D691" s="2">
        <v>1</v>
      </c>
      <c r="E691" s="3">
        <v>2.0000000000000001E-4</v>
      </c>
    </row>
    <row r="692" spans="2:5">
      <c r="B692" s="22"/>
      <c r="C692" s="1" t="str">
        <f>"CATORCE"</f>
        <v>CATORCE</v>
      </c>
      <c r="D692" s="2">
        <v>2</v>
      </c>
      <c r="E692" s="3">
        <v>2.9999999999999997E-4</v>
      </c>
    </row>
    <row r="693" spans="2:5">
      <c r="B693" s="22"/>
      <c r="C693" s="1" t="str">
        <f>"CERRITOS"</f>
        <v>CERRITOS</v>
      </c>
      <c r="D693" s="2">
        <v>6</v>
      </c>
      <c r="E693" s="3">
        <v>1E-3</v>
      </c>
    </row>
    <row r="694" spans="2:5">
      <c r="B694" s="22"/>
      <c r="C694" s="1" t="str">
        <f>"CHARCAS"</f>
        <v>CHARCAS</v>
      </c>
      <c r="D694" s="2">
        <v>1</v>
      </c>
      <c r="E694" s="3">
        <v>2.0000000000000001E-4</v>
      </c>
    </row>
    <row r="695" spans="2:5">
      <c r="B695" s="22"/>
      <c r="C695" s="1" t="str">
        <f>"CIUDAD DEL MAIZ"</f>
        <v>CIUDAD DEL MAIZ</v>
      </c>
      <c r="D695" s="2">
        <v>3</v>
      </c>
      <c r="E695" s="3">
        <v>5.0000000000000001E-4</v>
      </c>
    </row>
    <row r="696" spans="2:5">
      <c r="B696" s="22"/>
      <c r="C696" s="1" t="str">
        <f>"CIUDAD FERNANDEZ"</f>
        <v>CIUDAD FERNANDEZ</v>
      </c>
      <c r="D696" s="2">
        <v>1</v>
      </c>
      <c r="E696" s="3">
        <v>2.0000000000000001E-4</v>
      </c>
    </row>
    <row r="697" spans="2:5">
      <c r="B697" s="22"/>
      <c r="C697" s="1" t="str">
        <f>"CIUDAD VALLES"</f>
        <v>CIUDAD VALLES</v>
      </c>
      <c r="D697" s="2">
        <v>5</v>
      </c>
      <c r="E697" s="3">
        <v>8.0000000000000004E-4</v>
      </c>
    </row>
    <row r="698" spans="2:5">
      <c r="B698" s="22"/>
      <c r="C698" s="1" t="str">
        <f>"EBANO"</f>
        <v>EBANO</v>
      </c>
      <c r="D698" s="2">
        <v>5</v>
      </c>
      <c r="E698" s="3">
        <v>8.0000000000000004E-4</v>
      </c>
    </row>
    <row r="699" spans="2:5">
      <c r="B699" s="22"/>
      <c r="C699" s="1" t="str">
        <f>"EL NARANJO"</f>
        <v>EL NARANJO</v>
      </c>
      <c r="D699" s="2">
        <v>1</v>
      </c>
      <c r="E699" s="3">
        <v>2.0000000000000001E-4</v>
      </c>
    </row>
    <row r="700" spans="2:5">
      <c r="B700" s="22"/>
      <c r="C700" s="1" t="str">
        <f>"MATEHUALA"</f>
        <v>MATEHUALA</v>
      </c>
      <c r="D700" s="2">
        <v>4</v>
      </c>
      <c r="E700" s="3">
        <v>6.9999999999999999E-4</v>
      </c>
    </row>
    <row r="701" spans="2:5">
      <c r="B701" s="22"/>
      <c r="C701" s="1" t="str">
        <f>"MEXQUITIC DE CARMONA"</f>
        <v>MEXQUITIC DE CARMONA</v>
      </c>
      <c r="D701" s="2">
        <v>1</v>
      </c>
      <c r="E701" s="3">
        <v>2.0000000000000001E-4</v>
      </c>
    </row>
    <row r="702" spans="2:5">
      <c r="B702" s="22"/>
      <c r="C702" s="1" t="str">
        <f>"MOCTEZUMA"</f>
        <v>MOCTEZUMA</v>
      </c>
      <c r="D702" s="2">
        <v>1</v>
      </c>
      <c r="E702" s="3">
        <v>2.0000000000000001E-4</v>
      </c>
    </row>
    <row r="703" spans="2:5">
      <c r="B703" s="22"/>
      <c r="C703" s="1" t="str">
        <f>"RAYON"</f>
        <v>RAYON</v>
      </c>
      <c r="D703" s="2">
        <v>1</v>
      </c>
      <c r="E703" s="3">
        <v>2.0000000000000001E-4</v>
      </c>
    </row>
    <row r="704" spans="2:5">
      <c r="B704" s="22"/>
      <c r="C704" s="1" t="str">
        <f>"RIOVERDE"</f>
        <v>RIOVERDE</v>
      </c>
      <c r="D704" s="2">
        <v>3</v>
      </c>
      <c r="E704" s="3">
        <v>5.0000000000000001E-4</v>
      </c>
    </row>
    <row r="705" spans="2:5">
      <c r="B705" s="22"/>
      <c r="C705" s="1" t="str">
        <f>"SALINAS"</f>
        <v>SALINAS</v>
      </c>
      <c r="D705" s="2">
        <v>8</v>
      </c>
      <c r="E705" s="3">
        <v>1.2999999999999999E-3</v>
      </c>
    </row>
    <row r="706" spans="2:5">
      <c r="B706" s="22"/>
      <c r="C706" s="1" t="str">
        <f>"SAN CIRO DE ACOSTA"</f>
        <v>SAN CIRO DE ACOSTA</v>
      </c>
      <c r="D706" s="2">
        <v>2</v>
      </c>
      <c r="E706" s="3">
        <v>2.9999999999999997E-4</v>
      </c>
    </row>
    <row r="707" spans="2:5">
      <c r="B707" s="22"/>
      <c r="C707" s="1" t="str">
        <f>"SAN LUIS POTOSI"</f>
        <v>SAN LUIS POTOSI</v>
      </c>
      <c r="D707" s="2">
        <v>14</v>
      </c>
      <c r="E707" s="3">
        <v>2.3999999999999998E-3</v>
      </c>
    </row>
    <row r="708" spans="2:5">
      <c r="B708" s="22"/>
      <c r="C708" s="1" t="str">
        <f>"SANTA MARIA DEL RIO"</f>
        <v>SANTA MARIA DEL RIO</v>
      </c>
      <c r="D708" s="2">
        <v>1</v>
      </c>
      <c r="E708" s="3">
        <v>2.0000000000000001E-4</v>
      </c>
    </row>
    <row r="709" spans="2:5">
      <c r="B709" s="22"/>
      <c r="C709" s="1" t="str">
        <f>"TAMASOPO"</f>
        <v>TAMASOPO</v>
      </c>
      <c r="D709" s="2">
        <v>2</v>
      </c>
      <c r="E709" s="3">
        <v>2.9999999999999997E-4</v>
      </c>
    </row>
    <row r="710" spans="2:5">
      <c r="B710" s="22"/>
      <c r="C710" s="1" t="str">
        <f>"TAMAZUNCHALE"</f>
        <v>TAMAZUNCHALE</v>
      </c>
      <c r="D710" s="2">
        <v>5</v>
      </c>
      <c r="E710" s="3">
        <v>8.0000000000000004E-4</v>
      </c>
    </row>
    <row r="711" spans="2:5">
      <c r="B711" s="22"/>
      <c r="C711" s="1" t="str">
        <f>"TAMPACAN"</f>
        <v>TAMPACAN</v>
      </c>
      <c r="D711" s="2">
        <v>1</v>
      </c>
      <c r="E711" s="3">
        <v>2.0000000000000001E-4</v>
      </c>
    </row>
    <row r="712" spans="2:5">
      <c r="B712" s="22"/>
      <c r="C712" s="1" t="str">
        <f>"TAMUIN"</f>
        <v>TAMUIN</v>
      </c>
      <c r="D712" s="2">
        <v>3</v>
      </c>
      <c r="E712" s="3">
        <v>5.0000000000000001E-4</v>
      </c>
    </row>
    <row r="713" spans="2:5">
      <c r="B713" s="22"/>
      <c r="C713" s="1" t="str">
        <f>"VILLA DE RAMOS"</f>
        <v>VILLA DE RAMOS</v>
      </c>
      <c r="D713" s="2">
        <v>3</v>
      </c>
      <c r="E713" s="3">
        <v>5.0000000000000001E-4</v>
      </c>
    </row>
    <row r="714" spans="2:5">
      <c r="B714" s="22"/>
      <c r="C714" s="1" t="str">
        <f>"VILLA DE REYES"</f>
        <v>VILLA DE REYES</v>
      </c>
      <c r="D714" s="2">
        <v>2</v>
      </c>
      <c r="E714" s="3">
        <v>2.9999999999999997E-4</v>
      </c>
    </row>
    <row r="715" spans="2:5">
      <c r="B715" s="22"/>
      <c r="C715" s="1" t="str">
        <f>"XILITLA"</f>
        <v>XILITLA</v>
      </c>
      <c r="D715" s="2">
        <v>1</v>
      </c>
      <c r="E715" s="3">
        <v>2.0000000000000001E-4</v>
      </c>
    </row>
    <row r="716" spans="2:5">
      <c r="B716" s="22"/>
      <c r="C716" s="1" t="str">
        <f>"ZARAGOZA"</f>
        <v>ZARAGOZA</v>
      </c>
      <c r="D716" s="2">
        <v>1</v>
      </c>
      <c r="E716" s="3">
        <v>2.0000000000000001E-4</v>
      </c>
    </row>
    <row r="717" spans="2:5">
      <c r="B717" s="23"/>
      <c r="C717" s="18" t="str">
        <f>"Total"</f>
        <v>Total</v>
      </c>
      <c r="D717" s="19">
        <v>80</v>
      </c>
      <c r="E717" s="20">
        <v>1.35E-2</v>
      </c>
    </row>
    <row r="718" spans="2:5">
      <c r="B718" s="21" t="str">
        <f t="shared" ref="B718" si="18">"SINALOA"</f>
        <v>SINALOA</v>
      </c>
      <c r="C718" s="1" t="str">
        <f>"AHOME"</f>
        <v>AHOME</v>
      </c>
      <c r="D718" s="2">
        <v>3</v>
      </c>
      <c r="E718" s="3">
        <v>5.0000000000000001E-4</v>
      </c>
    </row>
    <row r="719" spans="2:5">
      <c r="B719" s="22"/>
      <c r="C719" s="1" t="str">
        <f>"ANGOSTURA"</f>
        <v>ANGOSTURA</v>
      </c>
      <c r="D719" s="2">
        <v>2</v>
      </c>
      <c r="E719" s="3">
        <v>2.9999999999999997E-4</v>
      </c>
    </row>
    <row r="720" spans="2:5">
      <c r="B720" s="22"/>
      <c r="C720" s="1" t="str">
        <f>"BADIRAGUATO"</f>
        <v>BADIRAGUATO</v>
      </c>
      <c r="D720" s="2">
        <v>3</v>
      </c>
      <c r="E720" s="3">
        <v>5.0000000000000001E-4</v>
      </c>
    </row>
    <row r="721" spans="2:5">
      <c r="B721" s="22"/>
      <c r="C721" s="1" t="str">
        <f>"CHOIX"</f>
        <v>CHOIX</v>
      </c>
      <c r="D721" s="2">
        <v>1</v>
      </c>
      <c r="E721" s="3">
        <v>2.0000000000000001E-4</v>
      </c>
    </row>
    <row r="722" spans="2:5">
      <c r="B722" s="22"/>
      <c r="C722" s="1" t="str">
        <f>"COSALA"</f>
        <v>COSALA</v>
      </c>
      <c r="D722" s="2">
        <v>1</v>
      </c>
      <c r="E722" s="3">
        <v>2.0000000000000001E-4</v>
      </c>
    </row>
    <row r="723" spans="2:5">
      <c r="B723" s="22"/>
      <c r="C723" s="1" t="str">
        <f>"CULIACAN"</f>
        <v>CULIACAN</v>
      </c>
      <c r="D723" s="2">
        <v>12</v>
      </c>
      <c r="E723" s="3">
        <v>2E-3</v>
      </c>
    </row>
    <row r="724" spans="2:5">
      <c r="B724" s="22"/>
      <c r="C724" s="1" t="str">
        <f>"ELOTA"</f>
        <v>ELOTA</v>
      </c>
      <c r="D724" s="2">
        <v>1</v>
      </c>
      <c r="E724" s="3">
        <v>2.0000000000000001E-4</v>
      </c>
    </row>
    <row r="725" spans="2:5">
      <c r="B725" s="22"/>
      <c r="C725" s="1" t="str">
        <f>"ESCUINAPA"</f>
        <v>ESCUINAPA</v>
      </c>
      <c r="D725" s="2">
        <v>1</v>
      </c>
      <c r="E725" s="3">
        <v>2.0000000000000001E-4</v>
      </c>
    </row>
    <row r="726" spans="2:5">
      <c r="B726" s="22"/>
      <c r="C726" s="1" t="str">
        <f>"GUASAVE"</f>
        <v>GUASAVE</v>
      </c>
      <c r="D726" s="2">
        <v>5</v>
      </c>
      <c r="E726" s="3">
        <v>8.0000000000000004E-4</v>
      </c>
    </row>
    <row r="727" spans="2:5">
      <c r="B727" s="22"/>
      <c r="C727" s="1" t="str">
        <f>"MAZATLAN"</f>
        <v>MAZATLAN</v>
      </c>
      <c r="D727" s="2">
        <v>9</v>
      </c>
      <c r="E727" s="3">
        <v>1.5E-3</v>
      </c>
    </row>
    <row r="728" spans="2:5">
      <c r="B728" s="22"/>
      <c r="C728" s="1" t="str">
        <f>"NAVOLATO"</f>
        <v>NAVOLATO</v>
      </c>
      <c r="D728" s="2">
        <v>1</v>
      </c>
      <c r="E728" s="3">
        <v>2.0000000000000001E-4</v>
      </c>
    </row>
    <row r="729" spans="2:5">
      <c r="B729" s="22"/>
      <c r="C729" s="1" t="str">
        <f>"ROSARIO"</f>
        <v>ROSARIO</v>
      </c>
      <c r="D729" s="2">
        <v>1</v>
      </c>
      <c r="E729" s="3">
        <v>2.0000000000000001E-4</v>
      </c>
    </row>
    <row r="730" spans="2:5">
      <c r="B730" s="22"/>
      <c r="C730" s="1" t="str">
        <f>"SALVADOR ALVARADO"</f>
        <v>SALVADOR ALVARADO</v>
      </c>
      <c r="D730" s="2">
        <v>1</v>
      </c>
      <c r="E730" s="3">
        <v>2.0000000000000001E-4</v>
      </c>
    </row>
    <row r="731" spans="2:5">
      <c r="B731" s="22"/>
      <c r="C731" s="1" t="str">
        <f>"SAN IGNACIO"</f>
        <v>SAN IGNACIO</v>
      </c>
      <c r="D731" s="2">
        <v>2</v>
      </c>
      <c r="E731" s="3">
        <v>2.9999999999999997E-4</v>
      </c>
    </row>
    <row r="732" spans="2:5">
      <c r="B732" s="23"/>
      <c r="C732" s="18" t="str">
        <f>"Total"</f>
        <v>Total</v>
      </c>
      <c r="D732" s="19">
        <v>43</v>
      </c>
      <c r="E732" s="20">
        <v>7.3000000000000001E-3</v>
      </c>
    </row>
    <row r="733" spans="2:5">
      <c r="B733" s="21" t="str">
        <f t="shared" ref="B733" si="19">"SONORA"</f>
        <v>SONORA</v>
      </c>
      <c r="C733" s="1" t="str">
        <f>"CABORCA"</f>
        <v>CABORCA</v>
      </c>
      <c r="D733" s="2">
        <v>2</v>
      </c>
      <c r="E733" s="3">
        <v>2.9999999999999997E-4</v>
      </c>
    </row>
    <row r="734" spans="2:5">
      <c r="B734" s="22"/>
      <c r="C734" s="1" t="str">
        <f>"CAJEME"</f>
        <v>CAJEME</v>
      </c>
      <c r="D734" s="2">
        <v>1</v>
      </c>
      <c r="E734" s="3">
        <v>2.0000000000000001E-4</v>
      </c>
    </row>
    <row r="735" spans="2:5">
      <c r="B735" s="22"/>
      <c r="C735" s="1" t="str">
        <f>"GUAYMAS"</f>
        <v>GUAYMAS</v>
      </c>
      <c r="D735" s="2">
        <v>2</v>
      </c>
      <c r="E735" s="3">
        <v>2.9999999999999997E-4</v>
      </c>
    </row>
    <row r="736" spans="2:5">
      <c r="B736" s="22"/>
      <c r="C736" s="1" t="str">
        <f>"HERMOSILLO"</f>
        <v>HERMOSILLO</v>
      </c>
      <c r="D736" s="2">
        <v>4</v>
      </c>
      <c r="E736" s="3">
        <v>6.9999999999999999E-4</v>
      </c>
    </row>
    <row r="737" spans="2:5">
      <c r="B737" s="22"/>
      <c r="C737" s="1" t="str">
        <f>"HUATABAMPO"</f>
        <v>HUATABAMPO</v>
      </c>
      <c r="D737" s="2">
        <v>1</v>
      </c>
      <c r="E737" s="3">
        <v>2.0000000000000001E-4</v>
      </c>
    </row>
    <row r="738" spans="2:5">
      <c r="B738" s="22"/>
      <c r="C738" s="1" t="str">
        <f>"MAGDALENA"</f>
        <v>MAGDALENA</v>
      </c>
      <c r="D738" s="2">
        <v>1</v>
      </c>
      <c r="E738" s="3">
        <v>2.0000000000000001E-4</v>
      </c>
    </row>
    <row r="739" spans="2:5">
      <c r="B739" s="22"/>
      <c r="C739" s="1" t="str">
        <f>"NACOZARI DE GARCIA"</f>
        <v>NACOZARI DE GARCIA</v>
      </c>
      <c r="D739" s="2">
        <v>2</v>
      </c>
      <c r="E739" s="3">
        <v>2.9999999999999997E-4</v>
      </c>
    </row>
    <row r="740" spans="2:5">
      <c r="B740" s="22"/>
      <c r="C740" s="1" t="str">
        <f>"NAVOJOA"</f>
        <v>NAVOJOA</v>
      </c>
      <c r="D740" s="2">
        <v>1</v>
      </c>
      <c r="E740" s="3">
        <v>2.0000000000000001E-4</v>
      </c>
    </row>
    <row r="741" spans="2:5">
      <c r="B741" s="22"/>
      <c r="C741" s="1" t="str">
        <f>"NOGALES"</f>
        <v>NOGALES</v>
      </c>
      <c r="D741" s="2">
        <v>4</v>
      </c>
      <c r="E741" s="3">
        <v>6.9999999999999999E-4</v>
      </c>
    </row>
    <row r="742" spans="2:5">
      <c r="B742" s="22"/>
      <c r="C742" s="1" t="str">
        <f>"SAN LUIS RIO COLORADO"</f>
        <v>SAN LUIS RIO COLORADO</v>
      </c>
      <c r="D742" s="2">
        <v>1</v>
      </c>
      <c r="E742" s="3">
        <v>2.0000000000000001E-4</v>
      </c>
    </row>
    <row r="743" spans="2:5">
      <c r="B743" s="22"/>
      <c r="C743" s="1" t="str">
        <f>"YECORA"</f>
        <v>YECORA</v>
      </c>
      <c r="D743" s="2">
        <v>1</v>
      </c>
      <c r="E743" s="3">
        <v>2.0000000000000001E-4</v>
      </c>
    </row>
    <row r="744" spans="2:5">
      <c r="B744" s="23"/>
      <c r="C744" s="18" t="str">
        <f>"Total"</f>
        <v>Total</v>
      </c>
      <c r="D744" s="19">
        <v>20</v>
      </c>
      <c r="E744" s="20">
        <v>3.3999999999999998E-3</v>
      </c>
    </row>
    <row r="745" spans="2:5">
      <c r="B745" s="21" t="str">
        <f t="shared" ref="B745" si="20">"TABASCO"</f>
        <v>TABASCO</v>
      </c>
      <c r="C745" s="1" t="str">
        <f>"BALANCAN"</f>
        <v>BALANCAN</v>
      </c>
      <c r="D745" s="2">
        <v>3</v>
      </c>
      <c r="E745" s="3">
        <v>5.0000000000000001E-4</v>
      </c>
    </row>
    <row r="746" spans="2:5">
      <c r="B746" s="22"/>
      <c r="C746" s="1" t="str">
        <f>"CARDENAS"</f>
        <v>CARDENAS</v>
      </c>
      <c r="D746" s="2">
        <v>6</v>
      </c>
      <c r="E746" s="3">
        <v>1E-3</v>
      </c>
    </row>
    <row r="747" spans="2:5">
      <c r="B747" s="22"/>
      <c r="C747" s="1" t="str">
        <f>"CENTRO"</f>
        <v>CENTRO</v>
      </c>
      <c r="D747" s="2">
        <v>2</v>
      </c>
      <c r="E747" s="3">
        <v>2.9999999999999997E-4</v>
      </c>
    </row>
    <row r="748" spans="2:5">
      <c r="B748" s="22"/>
      <c r="C748" s="1" t="str">
        <f>"COMALCALCO"</f>
        <v>COMALCALCO</v>
      </c>
      <c r="D748" s="2">
        <v>2</v>
      </c>
      <c r="E748" s="3">
        <v>2.9999999999999997E-4</v>
      </c>
    </row>
    <row r="749" spans="2:5">
      <c r="B749" s="22"/>
      <c r="C749" s="1" t="str">
        <f>"CUNDUACAN"</f>
        <v>CUNDUACAN</v>
      </c>
      <c r="D749" s="2">
        <v>1</v>
      </c>
      <c r="E749" s="3">
        <v>2.0000000000000001E-4</v>
      </c>
    </row>
    <row r="750" spans="2:5">
      <c r="B750" s="22"/>
      <c r="C750" s="1" t="str">
        <f>"HUIMANGUILLO"</f>
        <v>HUIMANGUILLO</v>
      </c>
      <c r="D750" s="2">
        <v>4</v>
      </c>
      <c r="E750" s="3">
        <v>6.9999999999999999E-4</v>
      </c>
    </row>
    <row r="751" spans="2:5">
      <c r="B751" s="22"/>
      <c r="C751" s="1" t="str">
        <f>"PARAISO"</f>
        <v>PARAISO</v>
      </c>
      <c r="D751" s="2">
        <v>1</v>
      </c>
      <c r="E751" s="3">
        <v>2.0000000000000001E-4</v>
      </c>
    </row>
    <row r="752" spans="2:5">
      <c r="B752" s="22"/>
      <c r="C752" s="1" t="str">
        <f>"TENOSIQUE"</f>
        <v>TENOSIQUE</v>
      </c>
      <c r="D752" s="2">
        <v>1</v>
      </c>
      <c r="E752" s="3">
        <v>2.0000000000000001E-4</v>
      </c>
    </row>
    <row r="753" spans="2:5">
      <c r="B753" s="23"/>
      <c r="C753" s="18" t="str">
        <f>"Total"</f>
        <v>Total</v>
      </c>
      <c r="D753" s="19">
        <v>20</v>
      </c>
      <c r="E753" s="20">
        <v>3.3999999999999998E-3</v>
      </c>
    </row>
    <row r="754" spans="2:5">
      <c r="B754" s="21" t="str">
        <f t="shared" ref="B754" si="21">"TAMAULIPAS"</f>
        <v>TAMAULIPAS</v>
      </c>
      <c r="C754" s="1" t="str">
        <f>"ALDAMA"</f>
        <v>ALDAMA</v>
      </c>
      <c r="D754" s="2">
        <v>1</v>
      </c>
      <c r="E754" s="3">
        <v>2.0000000000000001E-4</v>
      </c>
    </row>
    <row r="755" spans="2:5">
      <c r="B755" s="22"/>
      <c r="C755" s="1" t="str">
        <f>"BUSTAMANTE"</f>
        <v>BUSTAMANTE</v>
      </c>
      <c r="D755" s="2">
        <v>1</v>
      </c>
      <c r="E755" s="3">
        <v>2.0000000000000001E-4</v>
      </c>
    </row>
    <row r="756" spans="2:5">
      <c r="B756" s="22"/>
      <c r="C756" s="1" t="str">
        <f>"CIUDAD MADERO"</f>
        <v>CIUDAD MADERO</v>
      </c>
      <c r="D756" s="2">
        <v>2</v>
      </c>
      <c r="E756" s="3">
        <v>2.9999999999999997E-4</v>
      </c>
    </row>
    <row r="757" spans="2:5">
      <c r="B757" s="22"/>
      <c r="C757" s="1" t="str">
        <f>"EL MANTE"</f>
        <v>EL MANTE</v>
      </c>
      <c r="D757" s="2">
        <v>8</v>
      </c>
      <c r="E757" s="3">
        <v>1.2999999999999999E-3</v>
      </c>
    </row>
    <row r="758" spans="2:5">
      <c r="B758" s="22"/>
      <c r="C758" s="1" t="str">
        <f>"GONZALEZ"</f>
        <v>GONZALEZ</v>
      </c>
      <c r="D758" s="2">
        <v>1</v>
      </c>
      <c r="E758" s="3">
        <v>2.0000000000000001E-4</v>
      </c>
    </row>
    <row r="759" spans="2:5">
      <c r="B759" s="22"/>
      <c r="C759" s="1" t="str">
        <f>"GUEMEZ"</f>
        <v>GUEMEZ</v>
      </c>
      <c r="D759" s="2">
        <v>1</v>
      </c>
      <c r="E759" s="3">
        <v>2.0000000000000001E-4</v>
      </c>
    </row>
    <row r="760" spans="2:5">
      <c r="B760" s="22"/>
      <c r="C760" s="1" t="str">
        <f>"HIDALGO"</f>
        <v>HIDALGO</v>
      </c>
      <c r="D760" s="2">
        <v>1</v>
      </c>
      <c r="E760" s="3">
        <v>2.0000000000000001E-4</v>
      </c>
    </row>
    <row r="761" spans="2:5">
      <c r="B761" s="22"/>
      <c r="C761" s="1" t="str">
        <f>"LLERA"</f>
        <v>LLERA</v>
      </c>
      <c r="D761" s="2">
        <v>1</v>
      </c>
      <c r="E761" s="3">
        <v>2.0000000000000001E-4</v>
      </c>
    </row>
    <row r="762" spans="2:5">
      <c r="B762" s="22"/>
      <c r="C762" s="1" t="str">
        <f>"MATAMOROS"</f>
        <v>MATAMOROS</v>
      </c>
      <c r="D762" s="2">
        <v>19</v>
      </c>
      <c r="E762" s="3">
        <v>3.2000000000000002E-3</v>
      </c>
    </row>
    <row r="763" spans="2:5">
      <c r="B763" s="22"/>
      <c r="C763" s="1" t="str">
        <f>"NUEVO LAREDO"</f>
        <v>NUEVO LAREDO</v>
      </c>
      <c r="D763" s="2">
        <v>5</v>
      </c>
      <c r="E763" s="3">
        <v>8.0000000000000004E-4</v>
      </c>
    </row>
    <row r="764" spans="2:5">
      <c r="B764" s="22"/>
      <c r="C764" s="1" t="str">
        <f>"REYNOSA"</f>
        <v>REYNOSA</v>
      </c>
      <c r="D764" s="2">
        <v>19</v>
      </c>
      <c r="E764" s="3">
        <v>3.2000000000000002E-3</v>
      </c>
    </row>
    <row r="765" spans="2:5">
      <c r="B765" s="22"/>
      <c r="C765" s="1" t="str">
        <f>"RIO BRAVO"</f>
        <v>RIO BRAVO</v>
      </c>
      <c r="D765" s="2">
        <v>10</v>
      </c>
      <c r="E765" s="3">
        <v>1.6999999999999999E-3</v>
      </c>
    </row>
    <row r="766" spans="2:5">
      <c r="B766" s="22"/>
      <c r="C766" s="1" t="str">
        <f>"SAN FERNANDO"</f>
        <v>SAN FERNANDO</v>
      </c>
      <c r="D766" s="2">
        <v>7</v>
      </c>
      <c r="E766" s="3">
        <v>1.1999999999999999E-3</v>
      </c>
    </row>
    <row r="767" spans="2:5">
      <c r="B767" s="22"/>
      <c r="C767" s="1" t="str">
        <f>"TAMPICO"</f>
        <v>TAMPICO</v>
      </c>
      <c r="D767" s="2">
        <v>4</v>
      </c>
      <c r="E767" s="3">
        <v>6.9999999999999999E-4</v>
      </c>
    </row>
    <row r="768" spans="2:5">
      <c r="B768" s="22"/>
      <c r="C768" s="1" t="str">
        <f>"VALLE HERMOSO"</f>
        <v>VALLE HERMOSO</v>
      </c>
      <c r="D768" s="2">
        <v>2</v>
      </c>
      <c r="E768" s="3">
        <v>2.9999999999999997E-4</v>
      </c>
    </row>
    <row r="769" spans="2:5">
      <c r="B769" s="22"/>
      <c r="C769" s="1" t="str">
        <f>"VICTORIA"</f>
        <v>VICTORIA</v>
      </c>
      <c r="D769" s="2">
        <v>2</v>
      </c>
      <c r="E769" s="3">
        <v>2.9999999999999997E-4</v>
      </c>
    </row>
    <row r="770" spans="2:5">
      <c r="B770" s="22"/>
      <c r="C770" s="1" t="str">
        <f>"XICOTENCATL"</f>
        <v>XICOTENCATL</v>
      </c>
      <c r="D770" s="2">
        <v>1</v>
      </c>
      <c r="E770" s="3">
        <v>2.0000000000000001E-4</v>
      </c>
    </row>
    <row r="771" spans="2:5">
      <c r="B771" s="23"/>
      <c r="C771" s="18" t="str">
        <f>"Total"</f>
        <v>Total</v>
      </c>
      <c r="D771" s="19">
        <v>85</v>
      </c>
      <c r="E771" s="20">
        <v>1.43E-2</v>
      </c>
    </row>
    <row r="772" spans="2:5">
      <c r="B772" s="21" t="str">
        <f t="shared" ref="B772" si="22">"TLAXCALA"</f>
        <v>TLAXCALA</v>
      </c>
      <c r="C772" s="1" t="str">
        <f>"APIZACO"</f>
        <v>APIZACO</v>
      </c>
      <c r="D772" s="2">
        <v>2</v>
      </c>
      <c r="E772" s="3">
        <v>2.9999999999999997E-4</v>
      </c>
    </row>
    <row r="773" spans="2:5">
      <c r="B773" s="22"/>
      <c r="C773" s="1" t="str">
        <f>"CALPULALPAN"</f>
        <v>CALPULALPAN</v>
      </c>
      <c r="D773" s="2">
        <v>8</v>
      </c>
      <c r="E773" s="3">
        <v>1.2999999999999999E-3</v>
      </c>
    </row>
    <row r="774" spans="2:5">
      <c r="B774" s="22"/>
      <c r="C774" s="1" t="str">
        <f>"CHIAUTEMPAN"</f>
        <v>CHIAUTEMPAN</v>
      </c>
      <c r="D774" s="2">
        <v>2</v>
      </c>
      <c r="E774" s="3">
        <v>2.9999999999999997E-4</v>
      </c>
    </row>
    <row r="775" spans="2:5">
      <c r="B775" s="22"/>
      <c r="C775" s="1" t="str">
        <f>"CONTLA DE JUAN CUAMATZI"</f>
        <v>CONTLA DE JUAN CUAMATZI</v>
      </c>
      <c r="D775" s="2">
        <v>2</v>
      </c>
      <c r="E775" s="3">
        <v>2.9999999999999997E-4</v>
      </c>
    </row>
    <row r="776" spans="2:5">
      <c r="B776" s="22"/>
      <c r="C776" s="1" t="str">
        <f>"HUAMANTLA"</f>
        <v>HUAMANTLA</v>
      </c>
      <c r="D776" s="2">
        <v>3</v>
      </c>
      <c r="E776" s="3">
        <v>5.0000000000000001E-4</v>
      </c>
    </row>
    <row r="777" spans="2:5">
      <c r="B777" s="22"/>
      <c r="C777" s="1" t="str">
        <f>"HUEYOTLIPAN"</f>
        <v>HUEYOTLIPAN</v>
      </c>
      <c r="D777" s="2">
        <v>1</v>
      </c>
      <c r="E777" s="3">
        <v>2.0000000000000001E-4</v>
      </c>
    </row>
    <row r="778" spans="2:5" ht="30">
      <c r="B778" s="22"/>
      <c r="C778" s="1" t="str">
        <f>"NANACAMILPA DE MARIANO ARISTA"</f>
        <v>NANACAMILPA DE MARIANO ARISTA</v>
      </c>
      <c r="D778" s="2">
        <v>1</v>
      </c>
      <c r="E778" s="3">
        <v>2.0000000000000001E-4</v>
      </c>
    </row>
    <row r="779" spans="2:5">
      <c r="B779" s="22"/>
      <c r="C779" s="1" t="str">
        <f>"SAN PABLO DEL MONTE"</f>
        <v>SAN PABLO DEL MONTE</v>
      </c>
      <c r="D779" s="2">
        <v>2</v>
      </c>
      <c r="E779" s="3">
        <v>2.9999999999999997E-4</v>
      </c>
    </row>
    <row r="780" spans="2:5">
      <c r="B780" s="22"/>
      <c r="C780" s="1" t="str">
        <f>"TENANCINGO"</f>
        <v>TENANCINGO</v>
      </c>
      <c r="D780" s="2">
        <v>1</v>
      </c>
      <c r="E780" s="3">
        <v>2.0000000000000001E-4</v>
      </c>
    </row>
    <row r="781" spans="2:5">
      <c r="B781" s="22"/>
      <c r="C781" s="1" t="str">
        <f>"TEPETITLA DE LARDIZABAL"</f>
        <v>TEPETITLA DE LARDIZABAL</v>
      </c>
      <c r="D781" s="2">
        <v>1</v>
      </c>
      <c r="E781" s="3">
        <v>2.0000000000000001E-4</v>
      </c>
    </row>
    <row r="782" spans="2:5">
      <c r="B782" s="22"/>
      <c r="C782" s="1" t="str">
        <f>"TLAXCALA"</f>
        <v>TLAXCALA</v>
      </c>
      <c r="D782" s="2">
        <v>11</v>
      </c>
      <c r="E782" s="3">
        <v>1.9E-3</v>
      </c>
    </row>
    <row r="783" spans="2:5">
      <c r="B783" s="22"/>
      <c r="C783" s="1" t="str">
        <f>"TLAXCO"</f>
        <v>TLAXCO</v>
      </c>
      <c r="D783" s="2">
        <v>1</v>
      </c>
      <c r="E783" s="3">
        <v>2.0000000000000001E-4</v>
      </c>
    </row>
    <row r="784" spans="2:5">
      <c r="B784" s="22"/>
      <c r="C784" s="1" t="str">
        <f>"XALOZTOC"</f>
        <v>XALOZTOC</v>
      </c>
      <c r="D784" s="2">
        <v>5</v>
      </c>
      <c r="E784" s="3">
        <v>8.0000000000000004E-4</v>
      </c>
    </row>
    <row r="785" spans="2:5">
      <c r="B785" s="22"/>
      <c r="C785" s="1" t="str">
        <f>"XALTOCAN"</f>
        <v>XALTOCAN</v>
      </c>
      <c r="D785" s="2">
        <v>1</v>
      </c>
      <c r="E785" s="3">
        <v>2.0000000000000001E-4</v>
      </c>
    </row>
    <row r="786" spans="2:5">
      <c r="B786" s="23"/>
      <c r="C786" s="18" t="str">
        <f>"Total"</f>
        <v>Total</v>
      </c>
      <c r="D786" s="19">
        <v>41</v>
      </c>
      <c r="E786" s="20">
        <v>6.8999999999999999E-3</v>
      </c>
    </row>
    <row r="787" spans="2:5">
      <c r="B787" s="21" t="str">
        <f t="shared" ref="B787" si="23">"VERACRUZ DE IGNACIO DE LA LLAVE"</f>
        <v>VERACRUZ DE IGNACIO DE LA LLAVE</v>
      </c>
      <c r="C787" s="1" t="str">
        <f>"ACAYUCAN"</f>
        <v>ACAYUCAN</v>
      </c>
      <c r="D787" s="2">
        <v>1</v>
      </c>
      <c r="E787" s="3">
        <v>2.0000000000000001E-4</v>
      </c>
    </row>
    <row r="788" spans="2:5">
      <c r="B788" s="22"/>
      <c r="C788" s="1" t="str">
        <f>"ACTOPAN"</f>
        <v>ACTOPAN</v>
      </c>
      <c r="D788" s="2">
        <v>2</v>
      </c>
      <c r="E788" s="3">
        <v>2.9999999999999997E-4</v>
      </c>
    </row>
    <row r="789" spans="2:5">
      <c r="B789" s="22"/>
      <c r="C789" s="1" t="str">
        <f>"ACULTZINGO"</f>
        <v>ACULTZINGO</v>
      </c>
      <c r="D789" s="2">
        <v>2</v>
      </c>
      <c r="E789" s="3">
        <v>2.9999999999999997E-4</v>
      </c>
    </row>
    <row r="790" spans="2:5">
      <c r="B790" s="22"/>
      <c r="C790" s="1" t="str">
        <f>"AGUA DULCE"</f>
        <v>AGUA DULCE</v>
      </c>
      <c r="D790" s="2">
        <v>3</v>
      </c>
      <c r="E790" s="3">
        <v>5.0000000000000001E-4</v>
      </c>
    </row>
    <row r="791" spans="2:5" ht="30">
      <c r="B791" s="22"/>
      <c r="C791" s="1" t="str">
        <f>"ALTO LUCERO DE GUTIERREZ BARRIOS"</f>
        <v>ALTO LUCERO DE GUTIERREZ BARRIOS</v>
      </c>
      <c r="D791" s="2">
        <v>1</v>
      </c>
      <c r="E791" s="3">
        <v>2.0000000000000001E-4</v>
      </c>
    </row>
    <row r="792" spans="2:5">
      <c r="B792" s="22"/>
      <c r="C792" s="1" t="str">
        <f>"ALVARADO"</f>
        <v>ALVARADO</v>
      </c>
      <c r="D792" s="2">
        <v>2</v>
      </c>
      <c r="E792" s="3">
        <v>2.9999999999999997E-4</v>
      </c>
    </row>
    <row r="793" spans="2:5">
      <c r="B793" s="22"/>
      <c r="C793" s="1" t="str">
        <f>"AMATITLAN"</f>
        <v>AMATITLAN</v>
      </c>
      <c r="D793" s="2">
        <v>1</v>
      </c>
      <c r="E793" s="3">
        <v>2.0000000000000001E-4</v>
      </c>
    </row>
    <row r="794" spans="2:5">
      <c r="B794" s="22"/>
      <c r="C794" s="1" t="str">
        <f>"AMATLAN DE LOS REYES"</f>
        <v>AMATLAN DE LOS REYES</v>
      </c>
      <c r="D794" s="2">
        <v>14</v>
      </c>
      <c r="E794" s="3">
        <v>2.3999999999999998E-3</v>
      </c>
    </row>
    <row r="795" spans="2:5">
      <c r="B795" s="22"/>
      <c r="C795" s="1" t="str">
        <f>"ANGEL R. CABADA"</f>
        <v>ANGEL R. CABADA</v>
      </c>
      <c r="D795" s="2">
        <v>3</v>
      </c>
      <c r="E795" s="3">
        <v>5.0000000000000001E-4</v>
      </c>
    </row>
    <row r="796" spans="2:5">
      <c r="B796" s="22"/>
      <c r="C796" s="1" t="str">
        <f>"APAZAPAN"</f>
        <v>APAZAPAN</v>
      </c>
      <c r="D796" s="2">
        <v>1</v>
      </c>
      <c r="E796" s="3">
        <v>2.0000000000000001E-4</v>
      </c>
    </row>
    <row r="797" spans="2:5">
      <c r="B797" s="22"/>
      <c r="C797" s="1" t="str">
        <f>"ATOYAC"</f>
        <v>ATOYAC</v>
      </c>
      <c r="D797" s="2">
        <v>5</v>
      </c>
      <c r="E797" s="3">
        <v>8.0000000000000004E-4</v>
      </c>
    </row>
    <row r="798" spans="2:5">
      <c r="B798" s="22"/>
      <c r="C798" s="1" t="str">
        <f>"ATZACAN"</f>
        <v>ATZACAN</v>
      </c>
      <c r="D798" s="2">
        <v>1</v>
      </c>
      <c r="E798" s="3">
        <v>2.0000000000000001E-4</v>
      </c>
    </row>
    <row r="799" spans="2:5">
      <c r="B799" s="22"/>
      <c r="C799" s="1" t="str">
        <f>"ATZALAN"</f>
        <v>ATZALAN</v>
      </c>
      <c r="D799" s="2">
        <v>3</v>
      </c>
      <c r="E799" s="3">
        <v>5.0000000000000001E-4</v>
      </c>
    </row>
    <row r="800" spans="2:5">
      <c r="B800" s="22"/>
      <c r="C800" s="1" t="str">
        <f>"BANDERILLA"</f>
        <v>BANDERILLA</v>
      </c>
      <c r="D800" s="2">
        <v>1</v>
      </c>
      <c r="E800" s="3">
        <v>2.0000000000000001E-4</v>
      </c>
    </row>
    <row r="801" spans="2:5">
      <c r="B801" s="22"/>
      <c r="C801" s="1" t="str">
        <f>"CAMERINO Z. MENDOZA"</f>
        <v>CAMERINO Z. MENDOZA</v>
      </c>
      <c r="D801" s="2">
        <v>4</v>
      </c>
      <c r="E801" s="3">
        <v>6.9999999999999999E-4</v>
      </c>
    </row>
    <row r="802" spans="2:5">
      <c r="B802" s="22"/>
      <c r="C802" s="1" t="str">
        <f>"CARLOS A. CARRILLO"</f>
        <v>CARLOS A. CARRILLO</v>
      </c>
      <c r="D802" s="2">
        <v>1</v>
      </c>
      <c r="E802" s="3">
        <v>2.0000000000000001E-4</v>
      </c>
    </row>
    <row r="803" spans="2:5">
      <c r="B803" s="22"/>
      <c r="C803" s="1" t="str">
        <f>"CARRILLO PUERTO"</f>
        <v>CARRILLO PUERTO</v>
      </c>
      <c r="D803" s="2">
        <v>2</v>
      </c>
      <c r="E803" s="3">
        <v>2.9999999999999997E-4</v>
      </c>
    </row>
    <row r="804" spans="2:5">
      <c r="B804" s="22"/>
      <c r="C804" s="1" t="str">
        <f>"CASTILLO DE TEAYO"</f>
        <v>CASTILLO DE TEAYO</v>
      </c>
      <c r="D804" s="2">
        <v>1</v>
      </c>
      <c r="E804" s="3">
        <v>2.0000000000000001E-4</v>
      </c>
    </row>
    <row r="805" spans="2:5">
      <c r="B805" s="22"/>
      <c r="C805" s="1" t="str">
        <f>"CATEMACO"</f>
        <v>CATEMACO</v>
      </c>
      <c r="D805" s="2">
        <v>3</v>
      </c>
      <c r="E805" s="3">
        <v>5.0000000000000001E-4</v>
      </c>
    </row>
    <row r="806" spans="2:5">
      <c r="B806" s="22"/>
      <c r="C806" s="1" t="str">
        <f>"CAZONES"</f>
        <v>CAZONES</v>
      </c>
      <c r="D806" s="2">
        <v>1</v>
      </c>
      <c r="E806" s="3">
        <v>2.0000000000000001E-4</v>
      </c>
    </row>
    <row r="807" spans="2:5">
      <c r="B807" s="22"/>
      <c r="C807" s="1" t="str">
        <f>"CHICONQUIACO"</f>
        <v>CHICONQUIACO</v>
      </c>
      <c r="D807" s="2">
        <v>5</v>
      </c>
      <c r="E807" s="3">
        <v>8.0000000000000004E-4</v>
      </c>
    </row>
    <row r="808" spans="2:5">
      <c r="B808" s="22"/>
      <c r="C808" s="1" t="str">
        <f>"CHONTLA"</f>
        <v>CHONTLA</v>
      </c>
      <c r="D808" s="2">
        <v>1</v>
      </c>
      <c r="E808" s="3">
        <v>2.0000000000000001E-4</v>
      </c>
    </row>
    <row r="809" spans="2:5">
      <c r="B809" s="22"/>
      <c r="C809" s="1" t="str">
        <f>"COATZACOALCOS"</f>
        <v>COATZACOALCOS</v>
      </c>
      <c r="D809" s="2">
        <v>7</v>
      </c>
      <c r="E809" s="3">
        <v>1.1999999999999999E-3</v>
      </c>
    </row>
    <row r="810" spans="2:5">
      <c r="B810" s="22"/>
      <c r="C810" s="1" t="str">
        <f>"COATZINTLA"</f>
        <v>COATZINTLA</v>
      </c>
      <c r="D810" s="2">
        <v>4</v>
      </c>
      <c r="E810" s="3">
        <v>6.9999999999999999E-4</v>
      </c>
    </row>
    <row r="811" spans="2:5">
      <c r="B811" s="22"/>
      <c r="C811" s="1" t="str">
        <f>"COLIPA"</f>
        <v>COLIPA</v>
      </c>
      <c r="D811" s="2">
        <v>1</v>
      </c>
      <c r="E811" s="3">
        <v>2.0000000000000001E-4</v>
      </c>
    </row>
    <row r="812" spans="2:5">
      <c r="B812" s="22"/>
      <c r="C812" s="1" t="str">
        <f>"CORDOBA"</f>
        <v>CORDOBA</v>
      </c>
      <c r="D812" s="2">
        <v>35</v>
      </c>
      <c r="E812" s="3">
        <v>5.8999999999999999E-3</v>
      </c>
    </row>
    <row r="813" spans="2:5">
      <c r="B813" s="22"/>
      <c r="C813" s="1" t="str">
        <f>"COSAMALOAPAN DE CARPIO"</f>
        <v>COSAMALOAPAN DE CARPIO</v>
      </c>
      <c r="D813" s="2">
        <v>4</v>
      </c>
      <c r="E813" s="3">
        <v>6.9999999999999999E-4</v>
      </c>
    </row>
    <row r="814" spans="2:5">
      <c r="B814" s="22"/>
      <c r="C814" s="1" t="str">
        <f>"COSOLEACAQUE"</f>
        <v>COSOLEACAQUE</v>
      </c>
      <c r="D814" s="2">
        <v>1</v>
      </c>
      <c r="E814" s="3">
        <v>2.0000000000000001E-4</v>
      </c>
    </row>
    <row r="815" spans="2:5">
      <c r="B815" s="22"/>
      <c r="C815" s="1" t="str">
        <f>"COYUTLA"</f>
        <v>COYUTLA</v>
      </c>
      <c r="D815" s="2">
        <v>2</v>
      </c>
      <c r="E815" s="3">
        <v>2.9999999999999997E-4</v>
      </c>
    </row>
    <row r="816" spans="2:5">
      <c r="B816" s="22"/>
      <c r="C816" s="1" t="str">
        <f>"CUITLAHUAC"</f>
        <v>CUITLAHUAC</v>
      </c>
      <c r="D816" s="2">
        <v>3</v>
      </c>
      <c r="E816" s="3">
        <v>5.0000000000000001E-4</v>
      </c>
    </row>
    <row r="817" spans="2:5">
      <c r="B817" s="22"/>
      <c r="C817" s="1" t="str">
        <f>"EMILIANO ZAPATA"</f>
        <v>EMILIANO ZAPATA</v>
      </c>
      <c r="D817" s="2">
        <v>1</v>
      </c>
      <c r="E817" s="3">
        <v>2.0000000000000001E-4</v>
      </c>
    </row>
    <row r="818" spans="2:5">
      <c r="B818" s="22"/>
      <c r="C818" s="1" t="str">
        <f>"ESPINAL"</f>
        <v>ESPINAL</v>
      </c>
      <c r="D818" s="2">
        <v>2</v>
      </c>
      <c r="E818" s="3">
        <v>2.9999999999999997E-4</v>
      </c>
    </row>
    <row r="819" spans="2:5">
      <c r="B819" s="22"/>
      <c r="C819" s="1" t="str">
        <f>"GUTIERREZ ZAMORA"</f>
        <v>GUTIERREZ ZAMORA</v>
      </c>
      <c r="D819" s="2">
        <v>1</v>
      </c>
      <c r="E819" s="3">
        <v>2.0000000000000001E-4</v>
      </c>
    </row>
    <row r="820" spans="2:5">
      <c r="B820" s="22"/>
      <c r="C820" s="1" t="str">
        <f>"HUAYACOCOTLA"</f>
        <v>HUAYACOCOTLA</v>
      </c>
      <c r="D820" s="2">
        <v>2</v>
      </c>
      <c r="E820" s="3">
        <v>2.9999999999999997E-4</v>
      </c>
    </row>
    <row r="821" spans="2:5">
      <c r="B821" s="22"/>
      <c r="C821" s="1" t="str">
        <f>"HUEYAPAN DE OCAMPO"</f>
        <v>HUEYAPAN DE OCAMPO</v>
      </c>
      <c r="D821" s="2">
        <v>1</v>
      </c>
      <c r="E821" s="3">
        <v>2.0000000000000001E-4</v>
      </c>
    </row>
    <row r="822" spans="2:5">
      <c r="B822" s="22"/>
      <c r="C822" s="1" t="str">
        <f>"IGNACIO DE LA LLAVE"</f>
        <v>IGNACIO DE LA LLAVE</v>
      </c>
      <c r="D822" s="2">
        <v>2</v>
      </c>
      <c r="E822" s="3">
        <v>2.9999999999999997E-4</v>
      </c>
    </row>
    <row r="823" spans="2:5">
      <c r="B823" s="22"/>
      <c r="C823" s="1" t="str">
        <f>"ISLA"</f>
        <v>ISLA</v>
      </c>
      <c r="D823" s="2">
        <v>1</v>
      </c>
      <c r="E823" s="3">
        <v>2.0000000000000001E-4</v>
      </c>
    </row>
    <row r="824" spans="2:5">
      <c r="B824" s="22"/>
      <c r="C824" s="1" t="str">
        <f>"IXHUATLAN DEL CAFE"</f>
        <v>IXHUATLAN DEL CAFE</v>
      </c>
      <c r="D824" s="2">
        <v>1</v>
      </c>
      <c r="E824" s="3">
        <v>2.0000000000000001E-4</v>
      </c>
    </row>
    <row r="825" spans="2:5">
      <c r="B825" s="22"/>
      <c r="C825" s="1" t="str">
        <f>"IXHUATLAN DEL SURESTE"</f>
        <v>IXHUATLAN DEL SURESTE</v>
      </c>
      <c r="D825" s="2">
        <v>1</v>
      </c>
      <c r="E825" s="3">
        <v>2.0000000000000001E-4</v>
      </c>
    </row>
    <row r="826" spans="2:5">
      <c r="B826" s="22"/>
      <c r="C826" s="1" t="str">
        <f>"IXHUATLANCILLO"</f>
        <v>IXHUATLANCILLO</v>
      </c>
      <c r="D826" s="2">
        <v>1</v>
      </c>
      <c r="E826" s="3">
        <v>2.0000000000000001E-4</v>
      </c>
    </row>
    <row r="827" spans="2:5">
      <c r="B827" s="22"/>
      <c r="C827" s="1" t="str">
        <f>"IXTACZOQUITLAN"</f>
        <v>IXTACZOQUITLAN</v>
      </c>
      <c r="D827" s="2">
        <v>2</v>
      </c>
      <c r="E827" s="3">
        <v>2.9999999999999997E-4</v>
      </c>
    </row>
    <row r="828" spans="2:5">
      <c r="B828" s="22"/>
      <c r="C828" s="1" t="str">
        <f>"JESUS CARRANZA"</f>
        <v>JESUS CARRANZA</v>
      </c>
      <c r="D828" s="2">
        <v>2</v>
      </c>
      <c r="E828" s="3">
        <v>2.9999999999999997E-4</v>
      </c>
    </row>
    <row r="829" spans="2:5">
      <c r="B829" s="22"/>
      <c r="C829" s="1" t="str">
        <f>"JILOTEPEC"</f>
        <v>JILOTEPEC</v>
      </c>
      <c r="D829" s="2">
        <v>4</v>
      </c>
      <c r="E829" s="3">
        <v>6.9999999999999999E-4</v>
      </c>
    </row>
    <row r="830" spans="2:5">
      <c r="B830" s="22"/>
      <c r="C830" s="1" t="str">
        <f>"JUCHIQUE DE FERRER"</f>
        <v>JUCHIQUE DE FERRER</v>
      </c>
      <c r="D830" s="2">
        <v>2</v>
      </c>
      <c r="E830" s="3">
        <v>2.9999999999999997E-4</v>
      </c>
    </row>
    <row r="831" spans="2:5">
      <c r="B831" s="22"/>
      <c r="C831" s="1" t="str">
        <f>"LA ANTIGUA"</f>
        <v>LA ANTIGUA</v>
      </c>
      <c r="D831" s="2">
        <v>4</v>
      </c>
      <c r="E831" s="3">
        <v>6.9999999999999999E-4</v>
      </c>
    </row>
    <row r="832" spans="2:5">
      <c r="B832" s="22"/>
      <c r="C832" s="1" t="str">
        <f>"LAS CHOAPAS"</f>
        <v>LAS CHOAPAS</v>
      </c>
      <c r="D832" s="2">
        <v>5</v>
      </c>
      <c r="E832" s="3">
        <v>8.0000000000000004E-4</v>
      </c>
    </row>
    <row r="833" spans="2:5">
      <c r="B833" s="22"/>
      <c r="C833" s="1" t="str">
        <f>"MALTRATA"</f>
        <v>MALTRATA</v>
      </c>
      <c r="D833" s="2">
        <v>53</v>
      </c>
      <c r="E833" s="3">
        <v>8.8999999999999999E-3</v>
      </c>
    </row>
    <row r="834" spans="2:5">
      <c r="B834" s="22"/>
      <c r="C834" s="1" t="str">
        <f>"MARIANO ESCOBEDO"</f>
        <v>MARIANO ESCOBEDO</v>
      </c>
      <c r="D834" s="2">
        <v>1</v>
      </c>
      <c r="E834" s="3">
        <v>2.0000000000000001E-4</v>
      </c>
    </row>
    <row r="835" spans="2:5">
      <c r="B835" s="22"/>
      <c r="C835" s="1" t="str">
        <f>"MARTINEZ DE LA TORRE"</f>
        <v>MARTINEZ DE LA TORRE</v>
      </c>
      <c r="D835" s="2">
        <v>18</v>
      </c>
      <c r="E835" s="3">
        <v>3.0000000000000001E-3</v>
      </c>
    </row>
    <row r="836" spans="2:5">
      <c r="B836" s="22"/>
      <c r="C836" s="1" t="str">
        <f>"MINATITLAN"</f>
        <v>MINATITLAN</v>
      </c>
      <c r="D836" s="2">
        <v>7</v>
      </c>
      <c r="E836" s="3">
        <v>1.1999999999999999E-3</v>
      </c>
    </row>
    <row r="837" spans="2:5">
      <c r="B837" s="22"/>
      <c r="C837" s="1" t="str">
        <f>"MISANTLA"</f>
        <v>MISANTLA</v>
      </c>
      <c r="D837" s="2">
        <v>63</v>
      </c>
      <c r="E837" s="3">
        <v>1.06E-2</v>
      </c>
    </row>
    <row r="838" spans="2:5">
      <c r="B838" s="22"/>
      <c r="C838" s="1" t="str">
        <f>"NAOLINCO"</f>
        <v>NAOLINCO</v>
      </c>
      <c r="D838" s="2">
        <v>1</v>
      </c>
      <c r="E838" s="3">
        <v>2.0000000000000001E-4</v>
      </c>
    </row>
    <row r="839" spans="2:5">
      <c r="B839" s="22"/>
      <c r="C839" s="1" t="str">
        <f>"NAUTLA"</f>
        <v>NAUTLA</v>
      </c>
      <c r="D839" s="2">
        <v>7</v>
      </c>
      <c r="E839" s="3">
        <v>1.1999999999999999E-3</v>
      </c>
    </row>
    <row r="840" spans="2:5">
      <c r="B840" s="22"/>
      <c r="C840" s="1" t="str">
        <f>"NOGALES"</f>
        <v>NOGALES</v>
      </c>
      <c r="D840" s="2">
        <v>5</v>
      </c>
      <c r="E840" s="3">
        <v>8.0000000000000004E-4</v>
      </c>
    </row>
    <row r="841" spans="2:5">
      <c r="B841" s="22"/>
      <c r="C841" s="1" t="str">
        <f>"OLUTA"</f>
        <v>OLUTA</v>
      </c>
      <c r="D841" s="2">
        <v>1</v>
      </c>
      <c r="E841" s="3">
        <v>2.0000000000000001E-4</v>
      </c>
    </row>
    <row r="842" spans="2:5">
      <c r="B842" s="22"/>
      <c r="C842" s="1" t="str">
        <f>"OMEALCA"</f>
        <v>OMEALCA</v>
      </c>
      <c r="D842" s="2">
        <v>3</v>
      </c>
      <c r="E842" s="3">
        <v>5.0000000000000001E-4</v>
      </c>
    </row>
    <row r="843" spans="2:5">
      <c r="B843" s="22"/>
      <c r="C843" s="1" t="str">
        <f>"ORIZABA"</f>
        <v>ORIZABA</v>
      </c>
      <c r="D843" s="2">
        <v>19</v>
      </c>
      <c r="E843" s="3">
        <v>3.2000000000000002E-3</v>
      </c>
    </row>
    <row r="844" spans="2:5">
      <c r="B844" s="22"/>
      <c r="C844" s="1" t="str">
        <f>"OTATITLAN"</f>
        <v>OTATITLAN</v>
      </c>
      <c r="D844" s="2">
        <v>1</v>
      </c>
      <c r="E844" s="3">
        <v>2.0000000000000001E-4</v>
      </c>
    </row>
    <row r="845" spans="2:5">
      <c r="B845" s="22"/>
      <c r="C845" s="1" t="str">
        <f>"PANUCO"</f>
        <v>PANUCO</v>
      </c>
      <c r="D845" s="2">
        <v>4</v>
      </c>
      <c r="E845" s="3">
        <v>6.9999999999999999E-4</v>
      </c>
    </row>
    <row r="846" spans="2:5">
      <c r="B846" s="22"/>
      <c r="C846" s="1" t="str">
        <f>"PAPANTLA"</f>
        <v>PAPANTLA</v>
      </c>
      <c r="D846" s="2">
        <v>9</v>
      </c>
      <c r="E846" s="3">
        <v>1.5E-3</v>
      </c>
    </row>
    <row r="847" spans="2:5">
      <c r="B847" s="22"/>
      <c r="C847" s="1" t="str">
        <f>"PASO DE OVEJAS"</f>
        <v>PASO DE OVEJAS</v>
      </c>
      <c r="D847" s="2">
        <v>4</v>
      </c>
      <c r="E847" s="3">
        <v>6.9999999999999999E-4</v>
      </c>
    </row>
    <row r="848" spans="2:5">
      <c r="B848" s="22"/>
      <c r="C848" s="1" t="str">
        <f>"PASO DEL MACHO"</f>
        <v>PASO DEL MACHO</v>
      </c>
      <c r="D848" s="2">
        <v>1</v>
      </c>
      <c r="E848" s="3">
        <v>2.0000000000000001E-4</v>
      </c>
    </row>
    <row r="849" spans="2:5">
      <c r="B849" s="22"/>
      <c r="C849" s="1" t="str">
        <f>"PLATON SANCHEZ"</f>
        <v>PLATON SANCHEZ</v>
      </c>
      <c r="D849" s="2">
        <v>2</v>
      </c>
      <c r="E849" s="3">
        <v>2.9999999999999997E-4</v>
      </c>
    </row>
    <row r="850" spans="2:5">
      <c r="B850" s="22"/>
      <c r="C850" s="1" t="str">
        <f>"PLAYA VICENTE"</f>
        <v>PLAYA VICENTE</v>
      </c>
      <c r="D850" s="2">
        <v>4</v>
      </c>
      <c r="E850" s="3">
        <v>6.9999999999999999E-4</v>
      </c>
    </row>
    <row r="851" spans="2:5">
      <c r="B851" s="22"/>
      <c r="C851" s="1" t="str">
        <f>"POZA RICA DE HIDALGO"</f>
        <v>POZA RICA DE HIDALGO</v>
      </c>
      <c r="D851" s="2">
        <v>9</v>
      </c>
      <c r="E851" s="3">
        <v>1.5E-3</v>
      </c>
    </row>
    <row r="852" spans="2:5">
      <c r="B852" s="22"/>
      <c r="C852" s="1" t="str">
        <f>"PUENTE NACIONAL"</f>
        <v>PUENTE NACIONAL</v>
      </c>
      <c r="D852" s="2">
        <v>2</v>
      </c>
      <c r="E852" s="3">
        <v>2.9999999999999997E-4</v>
      </c>
    </row>
    <row r="853" spans="2:5">
      <c r="B853" s="22"/>
      <c r="C853" s="1" t="str">
        <f>"RAFAEL LUCIO"</f>
        <v>RAFAEL LUCIO</v>
      </c>
      <c r="D853" s="2">
        <v>1</v>
      </c>
      <c r="E853" s="3">
        <v>2.0000000000000001E-4</v>
      </c>
    </row>
    <row r="854" spans="2:5">
      <c r="B854" s="22"/>
      <c r="C854" s="1" t="str">
        <f>"RIO BLANCO"</f>
        <v>RIO BLANCO</v>
      </c>
      <c r="D854" s="2">
        <v>6</v>
      </c>
      <c r="E854" s="3">
        <v>1E-3</v>
      </c>
    </row>
    <row r="855" spans="2:5">
      <c r="B855" s="22"/>
      <c r="C855" s="1" t="str">
        <f>"SAN ANDRES TUXTLA"</f>
        <v>SAN ANDRES TUXTLA</v>
      </c>
      <c r="D855" s="2">
        <v>6</v>
      </c>
      <c r="E855" s="3">
        <v>1E-3</v>
      </c>
    </row>
    <row r="856" spans="2:5">
      <c r="B856" s="22"/>
      <c r="C856" s="1" t="str">
        <f>"SAN JUAN EVANGELISTA"</f>
        <v>SAN JUAN EVANGELISTA</v>
      </c>
      <c r="D856" s="2">
        <v>4</v>
      </c>
      <c r="E856" s="3">
        <v>6.9999999999999999E-4</v>
      </c>
    </row>
    <row r="857" spans="2:5">
      <c r="B857" s="22"/>
      <c r="C857" s="1" t="str">
        <f>"SANTIAGO TUXTLA"</f>
        <v>SANTIAGO TUXTLA</v>
      </c>
      <c r="D857" s="2">
        <v>1</v>
      </c>
      <c r="E857" s="3">
        <v>2.0000000000000001E-4</v>
      </c>
    </row>
    <row r="858" spans="2:5">
      <c r="B858" s="22"/>
      <c r="C858" s="1" t="str">
        <f>"SOCONUSCO"</f>
        <v>SOCONUSCO</v>
      </c>
      <c r="D858" s="2">
        <v>1</v>
      </c>
      <c r="E858" s="3">
        <v>2.0000000000000001E-4</v>
      </c>
    </row>
    <row r="859" spans="2:5">
      <c r="B859" s="22"/>
      <c r="C859" s="1" t="str">
        <f>"SOLEDAD DE DOBLADO"</f>
        <v>SOLEDAD DE DOBLADO</v>
      </c>
      <c r="D859" s="2">
        <v>1</v>
      </c>
      <c r="E859" s="3">
        <v>2.0000000000000001E-4</v>
      </c>
    </row>
    <row r="860" spans="2:5">
      <c r="B860" s="22"/>
      <c r="C860" s="1" t="str">
        <f>"TAMIAHUA"</f>
        <v>TAMIAHUA</v>
      </c>
      <c r="D860" s="2">
        <v>1</v>
      </c>
      <c r="E860" s="3">
        <v>2.0000000000000001E-4</v>
      </c>
    </row>
    <row r="861" spans="2:5">
      <c r="B861" s="22"/>
      <c r="C861" s="1" t="str">
        <f>"TATATILA"</f>
        <v>TATATILA</v>
      </c>
      <c r="D861" s="2">
        <v>1</v>
      </c>
      <c r="E861" s="3">
        <v>2.0000000000000001E-4</v>
      </c>
    </row>
    <row r="862" spans="2:5">
      <c r="B862" s="22"/>
      <c r="C862" s="1" t="str">
        <f>"TECOLUTLA"</f>
        <v>TECOLUTLA</v>
      </c>
      <c r="D862" s="2">
        <v>1</v>
      </c>
      <c r="E862" s="3">
        <v>2.0000000000000001E-4</v>
      </c>
    </row>
    <row r="863" spans="2:5">
      <c r="B863" s="22"/>
      <c r="C863" s="1" t="str">
        <f>"TEMAPACHE"</f>
        <v>TEMAPACHE</v>
      </c>
      <c r="D863" s="2">
        <v>4</v>
      </c>
      <c r="E863" s="3">
        <v>6.9999999999999999E-4</v>
      </c>
    </row>
    <row r="864" spans="2:5">
      <c r="B864" s="22"/>
      <c r="C864" s="1" t="str">
        <f>"TEMPOAL"</f>
        <v>TEMPOAL</v>
      </c>
      <c r="D864" s="2">
        <v>2</v>
      </c>
      <c r="E864" s="3">
        <v>2.9999999999999997E-4</v>
      </c>
    </row>
    <row r="865" spans="2:5">
      <c r="B865" s="22"/>
      <c r="C865" s="1" t="str">
        <f>"TENOCHTITLAN"</f>
        <v>TENOCHTITLAN</v>
      </c>
      <c r="D865" s="2">
        <v>1</v>
      </c>
      <c r="E865" s="3">
        <v>2.0000000000000001E-4</v>
      </c>
    </row>
    <row r="866" spans="2:5">
      <c r="B866" s="22"/>
      <c r="C866" s="1" t="str">
        <f>"TEXHUACAN"</f>
        <v>TEXHUACAN</v>
      </c>
      <c r="D866" s="2">
        <v>1</v>
      </c>
      <c r="E866" s="3">
        <v>2.0000000000000001E-4</v>
      </c>
    </row>
    <row r="867" spans="2:5">
      <c r="B867" s="22"/>
      <c r="C867" s="1" t="str">
        <f>"TEXISTEPEC"</f>
        <v>TEXISTEPEC</v>
      </c>
      <c r="D867" s="2">
        <v>1</v>
      </c>
      <c r="E867" s="3">
        <v>2.0000000000000001E-4</v>
      </c>
    </row>
    <row r="868" spans="2:5">
      <c r="B868" s="22"/>
      <c r="C868" s="1" t="str">
        <f>"TIERRA BLANCA"</f>
        <v>TIERRA BLANCA</v>
      </c>
      <c r="D868" s="2">
        <v>5</v>
      </c>
      <c r="E868" s="3">
        <v>8.0000000000000004E-4</v>
      </c>
    </row>
    <row r="869" spans="2:5">
      <c r="B869" s="22"/>
      <c r="C869" s="1" t="str">
        <f>"TIHUATLAN"</f>
        <v>TIHUATLAN</v>
      </c>
      <c r="D869" s="2">
        <v>2</v>
      </c>
      <c r="E869" s="3">
        <v>2.9999999999999997E-4</v>
      </c>
    </row>
    <row r="870" spans="2:5">
      <c r="B870" s="22"/>
      <c r="C870" s="1" t="str">
        <f>"TLACOTALPAN"</f>
        <v>TLACOTALPAN</v>
      </c>
      <c r="D870" s="2">
        <v>1</v>
      </c>
      <c r="E870" s="3">
        <v>2.0000000000000001E-4</v>
      </c>
    </row>
    <row r="871" spans="2:5">
      <c r="B871" s="22"/>
      <c r="C871" s="1" t="str">
        <f>"TLALIXCOYAN"</f>
        <v>TLALIXCOYAN</v>
      </c>
      <c r="D871" s="2">
        <v>2</v>
      </c>
      <c r="E871" s="3">
        <v>2.9999999999999997E-4</v>
      </c>
    </row>
    <row r="872" spans="2:5">
      <c r="B872" s="22"/>
      <c r="C872" s="1" t="str">
        <f>"TLALTETELA"</f>
        <v>TLALTETELA</v>
      </c>
      <c r="D872" s="2">
        <v>1</v>
      </c>
      <c r="E872" s="3">
        <v>2.0000000000000001E-4</v>
      </c>
    </row>
    <row r="873" spans="2:5">
      <c r="B873" s="22"/>
      <c r="C873" s="1" t="str">
        <f>"TLAPACOYAN"</f>
        <v>TLAPACOYAN</v>
      </c>
      <c r="D873" s="2">
        <v>6</v>
      </c>
      <c r="E873" s="3">
        <v>1E-3</v>
      </c>
    </row>
    <row r="874" spans="2:5">
      <c r="B874" s="22"/>
      <c r="C874" s="1" t="str">
        <f>"TLAQUILPA"</f>
        <v>TLAQUILPA</v>
      </c>
      <c r="D874" s="2">
        <v>7</v>
      </c>
      <c r="E874" s="3">
        <v>1.1999999999999999E-3</v>
      </c>
    </row>
    <row r="875" spans="2:5">
      <c r="B875" s="22"/>
      <c r="C875" s="1" t="str">
        <f>"TUXPAM"</f>
        <v>TUXPAM</v>
      </c>
      <c r="D875" s="2">
        <v>3</v>
      </c>
      <c r="E875" s="3">
        <v>5.0000000000000001E-4</v>
      </c>
    </row>
    <row r="876" spans="2:5">
      <c r="B876" s="22"/>
      <c r="C876" s="1" t="str">
        <f>"URSULO GALVAN"</f>
        <v>URSULO GALVAN</v>
      </c>
      <c r="D876" s="2">
        <v>1</v>
      </c>
      <c r="E876" s="3">
        <v>2.0000000000000001E-4</v>
      </c>
    </row>
    <row r="877" spans="2:5">
      <c r="B877" s="22"/>
      <c r="C877" s="1" t="str">
        <f>"VEGA DE ALATORRE"</f>
        <v>VEGA DE ALATORRE</v>
      </c>
      <c r="D877" s="2">
        <v>1</v>
      </c>
      <c r="E877" s="3">
        <v>2.0000000000000001E-4</v>
      </c>
    </row>
    <row r="878" spans="2:5">
      <c r="B878" s="22"/>
      <c r="C878" s="1" t="str">
        <f>"VERACRUZ"</f>
        <v>VERACRUZ</v>
      </c>
      <c r="D878" s="2">
        <v>11</v>
      </c>
      <c r="E878" s="3">
        <v>1.9E-3</v>
      </c>
    </row>
    <row r="879" spans="2:5">
      <c r="B879" s="22"/>
      <c r="C879" s="1" t="str">
        <f>"XALAPA"</f>
        <v>XALAPA</v>
      </c>
      <c r="D879" s="2">
        <v>17</v>
      </c>
      <c r="E879" s="3">
        <v>2.8999999999999998E-3</v>
      </c>
    </row>
    <row r="880" spans="2:5">
      <c r="B880" s="22"/>
      <c r="C880" s="1" t="str">
        <f>"ZENTLA"</f>
        <v>ZENTLA</v>
      </c>
      <c r="D880" s="2">
        <v>1</v>
      </c>
      <c r="E880" s="3">
        <v>2.0000000000000001E-4</v>
      </c>
    </row>
    <row r="881" spans="2:5">
      <c r="B881" s="22"/>
      <c r="C881" s="1" t="str">
        <f>"ZONGOLICA"</f>
        <v>ZONGOLICA</v>
      </c>
      <c r="D881" s="2">
        <v>1</v>
      </c>
      <c r="E881" s="3">
        <v>2.0000000000000001E-4</v>
      </c>
    </row>
    <row r="882" spans="2:5">
      <c r="B882" s="23"/>
      <c r="C882" s="18" t="str">
        <f>"Total"</f>
        <v>Total</v>
      </c>
      <c r="D882" s="19">
        <v>452</v>
      </c>
      <c r="E882" s="20">
        <v>7.6200000000000004E-2</v>
      </c>
    </row>
    <row r="883" spans="2:5">
      <c r="B883" s="21" t="str">
        <f>"YUCATAN"</f>
        <v>YUCATAN</v>
      </c>
      <c r="C883" s="1" t="str">
        <f>"CANSAHCAB"</f>
        <v>CANSAHCAB</v>
      </c>
      <c r="D883" s="2">
        <v>2</v>
      </c>
      <c r="E883" s="3">
        <v>2.9999999999999997E-4</v>
      </c>
    </row>
    <row r="884" spans="2:5">
      <c r="B884" s="22"/>
      <c r="C884" s="1" t="str">
        <f>"MERIDA"</f>
        <v>MERIDA</v>
      </c>
      <c r="D884" s="2">
        <v>1</v>
      </c>
      <c r="E884" s="3">
        <v>2.0000000000000001E-4</v>
      </c>
    </row>
    <row r="885" spans="2:5">
      <c r="B885" s="22"/>
      <c r="C885" s="1" t="str">
        <f>"PROGRESO"</f>
        <v>PROGRESO</v>
      </c>
      <c r="D885" s="2">
        <v>3</v>
      </c>
      <c r="E885" s="3">
        <v>5.0000000000000001E-4</v>
      </c>
    </row>
    <row r="886" spans="2:5">
      <c r="B886" s="23"/>
      <c r="C886" s="18" t="str">
        <f>"Total"</f>
        <v>Total</v>
      </c>
      <c r="D886" s="19">
        <v>6</v>
      </c>
      <c r="E886" s="20">
        <v>1E-3</v>
      </c>
    </row>
    <row r="887" spans="2:5">
      <c r="B887" s="21" t="str">
        <f t="shared" ref="B887" si="24">"ZACATECAS"</f>
        <v>ZACATECAS</v>
      </c>
      <c r="C887" s="1" t="str">
        <f>"APOZOL"</f>
        <v>APOZOL</v>
      </c>
      <c r="D887" s="2">
        <v>1</v>
      </c>
      <c r="E887" s="3">
        <v>2.0000000000000001E-4</v>
      </c>
    </row>
    <row r="888" spans="2:5">
      <c r="B888" s="22"/>
      <c r="C888" s="1" t="str">
        <f>"CONCEPCION DEL ORO"</f>
        <v>CONCEPCION DEL ORO</v>
      </c>
      <c r="D888" s="2">
        <v>1</v>
      </c>
      <c r="E888" s="3">
        <v>2.0000000000000001E-4</v>
      </c>
    </row>
    <row r="889" spans="2:5">
      <c r="B889" s="22"/>
      <c r="C889" s="1" t="str">
        <f>"CUAUHTEMOC"</f>
        <v>CUAUHTEMOC</v>
      </c>
      <c r="D889" s="2">
        <v>2</v>
      </c>
      <c r="E889" s="3">
        <v>2.9999999999999997E-4</v>
      </c>
    </row>
    <row r="890" spans="2:5">
      <c r="B890" s="22"/>
      <c r="C890" s="1" t="str">
        <f>"FRESNILLO"</f>
        <v>FRESNILLO</v>
      </c>
      <c r="D890" s="2">
        <v>44</v>
      </c>
      <c r="E890" s="3">
        <v>7.4000000000000003E-3</v>
      </c>
    </row>
    <row r="891" spans="2:5" ht="30">
      <c r="B891" s="22"/>
      <c r="C891" s="1" t="str">
        <f>"GENERAL FRANCISCO R. MURGUIA"</f>
        <v>GENERAL FRANCISCO R. MURGUIA</v>
      </c>
      <c r="D891" s="2">
        <v>4</v>
      </c>
      <c r="E891" s="3">
        <v>6.9999999999999999E-4</v>
      </c>
    </row>
    <row r="892" spans="2:5">
      <c r="B892" s="22"/>
      <c r="C892" s="1" t="str">
        <f>"GENERAL PANFILO NATERA"</f>
        <v>GENERAL PANFILO NATERA</v>
      </c>
      <c r="D892" s="2">
        <v>1</v>
      </c>
      <c r="E892" s="3">
        <v>2.0000000000000001E-4</v>
      </c>
    </row>
    <row r="893" spans="2:5">
      <c r="B893" s="22"/>
      <c r="C893" s="1" t="str">
        <f>"GUADALUPE"</f>
        <v>GUADALUPE</v>
      </c>
      <c r="D893" s="2">
        <v>3</v>
      </c>
      <c r="E893" s="3">
        <v>5.0000000000000001E-4</v>
      </c>
    </row>
    <row r="894" spans="2:5">
      <c r="B894" s="22"/>
      <c r="C894" s="1" t="str">
        <f>"JEREZ"</f>
        <v>JEREZ</v>
      </c>
      <c r="D894" s="2">
        <v>3</v>
      </c>
      <c r="E894" s="3">
        <v>5.0000000000000001E-4</v>
      </c>
    </row>
    <row r="895" spans="2:5">
      <c r="B895" s="22"/>
      <c r="C895" s="1" t="str">
        <f>"JUAN ALDAMA"</f>
        <v>JUAN ALDAMA</v>
      </c>
      <c r="D895" s="2">
        <v>1</v>
      </c>
      <c r="E895" s="3">
        <v>2.0000000000000001E-4</v>
      </c>
    </row>
    <row r="896" spans="2:5">
      <c r="B896" s="22"/>
      <c r="C896" s="1" t="str">
        <f>"MAZAPIL"</f>
        <v>MAZAPIL</v>
      </c>
      <c r="D896" s="2">
        <v>7</v>
      </c>
      <c r="E896" s="3">
        <v>1.1999999999999999E-3</v>
      </c>
    </row>
    <row r="897" spans="2:5">
      <c r="B897" s="22"/>
      <c r="C897" s="1" t="str">
        <f>"MIGUEL AUZA"</f>
        <v>MIGUEL AUZA</v>
      </c>
      <c r="D897" s="2">
        <v>1</v>
      </c>
      <c r="E897" s="3">
        <v>2.0000000000000001E-4</v>
      </c>
    </row>
    <row r="898" spans="2:5">
      <c r="B898" s="22"/>
      <c r="C898" s="1" t="str">
        <f>"MONTE ESCOBEDO"</f>
        <v>MONTE ESCOBEDO</v>
      </c>
      <c r="D898" s="2">
        <v>1</v>
      </c>
      <c r="E898" s="3">
        <v>2.0000000000000001E-4</v>
      </c>
    </row>
    <row r="899" spans="2:5">
      <c r="B899" s="22"/>
      <c r="C899" s="1" t="str">
        <f>"NOCHISTLAN DE MEJIA"</f>
        <v>NOCHISTLAN DE MEJIA</v>
      </c>
      <c r="D899" s="2">
        <v>1</v>
      </c>
      <c r="E899" s="3">
        <v>2.0000000000000001E-4</v>
      </c>
    </row>
    <row r="900" spans="2:5">
      <c r="B900" s="22"/>
      <c r="C900" s="1" t="str">
        <f>"NORIA DE ANGELES"</f>
        <v>NORIA DE ANGELES</v>
      </c>
      <c r="D900" s="2">
        <v>1</v>
      </c>
      <c r="E900" s="3">
        <v>2.0000000000000001E-4</v>
      </c>
    </row>
    <row r="901" spans="2:5">
      <c r="B901" s="22"/>
      <c r="C901" s="1" t="str">
        <f>"OJOCALIENTE"</f>
        <v>OJOCALIENTE</v>
      </c>
      <c r="D901" s="2">
        <v>2</v>
      </c>
      <c r="E901" s="3">
        <v>2.9999999999999997E-4</v>
      </c>
    </row>
    <row r="902" spans="2:5">
      <c r="B902" s="22"/>
      <c r="C902" s="1" t="str">
        <f>"PANUCO"</f>
        <v>PANUCO</v>
      </c>
      <c r="D902" s="2">
        <v>1</v>
      </c>
      <c r="E902" s="3">
        <v>2.0000000000000001E-4</v>
      </c>
    </row>
    <row r="903" spans="2:5">
      <c r="B903" s="22"/>
      <c r="C903" s="1" t="str">
        <f>"PINOS"</f>
        <v>PINOS</v>
      </c>
      <c r="D903" s="2">
        <v>2</v>
      </c>
      <c r="E903" s="3">
        <v>2.9999999999999997E-4</v>
      </c>
    </row>
    <row r="904" spans="2:5">
      <c r="B904" s="22"/>
      <c r="C904" s="1" t="str">
        <f>"RIO GRANDE"</f>
        <v>RIO GRANDE</v>
      </c>
      <c r="D904" s="2">
        <v>2</v>
      </c>
      <c r="E904" s="3">
        <v>2.9999999999999997E-4</v>
      </c>
    </row>
    <row r="905" spans="2:5">
      <c r="B905" s="22"/>
      <c r="C905" s="1" t="str">
        <f>"SAIN ALTO"</f>
        <v>SAIN ALTO</v>
      </c>
      <c r="D905" s="2">
        <v>1</v>
      </c>
      <c r="E905" s="3">
        <v>2.0000000000000001E-4</v>
      </c>
    </row>
    <row r="906" spans="2:5">
      <c r="B906" s="22"/>
      <c r="C906" s="1" t="str">
        <f>"SOMBRERETE"</f>
        <v>SOMBRERETE</v>
      </c>
      <c r="D906" s="2">
        <v>3</v>
      </c>
      <c r="E906" s="3">
        <v>5.0000000000000001E-4</v>
      </c>
    </row>
    <row r="907" spans="2:5">
      <c r="B907" s="22"/>
      <c r="C907" s="1" t="str">
        <f>"TABASCO"</f>
        <v>TABASCO</v>
      </c>
      <c r="D907" s="2">
        <v>1</v>
      </c>
      <c r="E907" s="3">
        <v>2.0000000000000001E-4</v>
      </c>
    </row>
    <row r="908" spans="2:5">
      <c r="B908" s="22"/>
      <c r="C908" s="1" t="str">
        <f>"TEPETONGO"</f>
        <v>TEPETONGO</v>
      </c>
      <c r="D908" s="2">
        <v>6</v>
      </c>
      <c r="E908" s="3">
        <v>1E-3</v>
      </c>
    </row>
    <row r="909" spans="2:5">
      <c r="B909" s="22"/>
      <c r="C909" s="1" t="str">
        <f>"VALPARAISO"</f>
        <v>VALPARAISO</v>
      </c>
      <c r="D909" s="2">
        <v>5</v>
      </c>
      <c r="E909" s="3">
        <v>8.0000000000000004E-4</v>
      </c>
    </row>
    <row r="910" spans="2:5">
      <c r="B910" s="22"/>
      <c r="C910" s="1" t="str">
        <f>"VILLA HIDALGO"</f>
        <v>VILLA HIDALGO</v>
      </c>
      <c r="D910" s="2">
        <v>1</v>
      </c>
      <c r="E910" s="3">
        <v>2.0000000000000001E-4</v>
      </c>
    </row>
    <row r="911" spans="2:5">
      <c r="B911" s="22"/>
      <c r="C911" s="1" t="str">
        <f>"VILLANUEVA"</f>
        <v>VILLANUEVA</v>
      </c>
      <c r="D911" s="2">
        <v>4</v>
      </c>
      <c r="E911" s="3">
        <v>6.9999999999999999E-4</v>
      </c>
    </row>
    <row r="912" spans="2:5">
      <c r="B912" s="22"/>
      <c r="C912" s="1" t="str">
        <f>"ZACATECAS"</f>
        <v>ZACATECAS</v>
      </c>
      <c r="D912" s="2">
        <v>4</v>
      </c>
      <c r="E912" s="3">
        <v>6.9999999999999999E-4</v>
      </c>
    </row>
    <row r="913" spans="2:5">
      <c r="B913" s="23"/>
      <c r="C913" s="18" t="str">
        <f>"Total"</f>
        <v>Total</v>
      </c>
      <c r="D913" s="19">
        <v>103</v>
      </c>
      <c r="E913" s="20">
        <v>1.7399999999999999E-2</v>
      </c>
    </row>
    <row r="914" spans="2:5">
      <c r="B914" s="14" t="s">
        <v>1</v>
      </c>
      <c r="C914" s="15" t="str">
        <f>" "</f>
        <v> </v>
      </c>
      <c r="D914" s="16">
        <v>5928</v>
      </c>
      <c r="E914" s="17">
        <v>1</v>
      </c>
    </row>
    <row r="916" spans="2:5" ht="16.5">
      <c r="B916" s="12" t="s">
        <v>6</v>
      </c>
      <c r="C916" s="13"/>
    </row>
    <row r="917" spans="2:5" ht="16.5">
      <c r="B917" s="12" t="s">
        <v>7</v>
      </c>
      <c r="C917" s="13"/>
    </row>
    <row r="918" spans="2:5" ht="16.5">
      <c r="B918" s="12" t="s">
        <v>8</v>
      </c>
      <c r="C918" s="13"/>
    </row>
    <row r="919" spans="2:5" ht="16.5">
      <c r="B919" s="12" t="s">
        <v>9</v>
      </c>
      <c r="C919" s="13"/>
    </row>
    <row r="920" spans="2:5">
      <c r="B920" s="12" t="s">
        <v>10</v>
      </c>
    </row>
  </sheetData>
  <mergeCells count="37">
    <mergeCell ref="B6:E7"/>
    <mergeCell ref="B8:B9"/>
    <mergeCell ref="C8:C9"/>
    <mergeCell ref="D8:D9"/>
    <mergeCell ref="E8:E9"/>
    <mergeCell ref="B10:B15"/>
    <mergeCell ref="B16:B19"/>
    <mergeCell ref="B20:B21"/>
    <mergeCell ref="B22:B26"/>
    <mergeCell ref="B27:B60"/>
    <mergeCell ref="B61:B87"/>
    <mergeCell ref="B88:B102"/>
    <mergeCell ref="B103:B107"/>
    <mergeCell ref="B108:B120"/>
    <mergeCell ref="B121:B143"/>
    <mergeCell ref="B144:B181"/>
    <mergeCell ref="B182:B239"/>
    <mergeCell ref="B240:B276"/>
    <mergeCell ref="B277:B336"/>
    <mergeCell ref="B337:B402"/>
    <mergeCell ref="B403:B463"/>
    <mergeCell ref="B464:B491"/>
    <mergeCell ref="B492:B499"/>
    <mergeCell ref="B500:B510"/>
    <mergeCell ref="B511:B591"/>
    <mergeCell ref="B592:B677"/>
    <mergeCell ref="B678:B685"/>
    <mergeCell ref="B686:B688"/>
    <mergeCell ref="B689:B717"/>
    <mergeCell ref="B718:B732"/>
    <mergeCell ref="B883:B886"/>
    <mergeCell ref="B887:B913"/>
    <mergeCell ref="B733:B744"/>
    <mergeCell ref="B745:B753"/>
    <mergeCell ref="B754:B771"/>
    <mergeCell ref="B772:B786"/>
    <mergeCell ref="B787:B882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3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2012-03-09T18:17:48Z</dcterms:created>
  <dcterms:modified xsi:type="dcterms:W3CDTF">2012-03-15T20:23:46Z</dcterms:modified>
</cp:coreProperties>
</file>