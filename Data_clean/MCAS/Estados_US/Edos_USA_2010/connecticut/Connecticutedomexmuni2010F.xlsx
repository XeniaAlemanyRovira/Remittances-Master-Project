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0730" windowHeight="9780"/>
  </bookViews>
  <sheets>
    <sheet name="eas 5 " sheetId="2" r:id="rId1"/>
  </sheets>
  <calcPr calcId="125725"/>
</workbook>
</file>

<file path=xl/calcChain.xml><?xml version="1.0" encoding="utf-8"?>
<calcChain xmlns="http://schemas.openxmlformats.org/spreadsheetml/2006/main">
  <c r="C398" i="2"/>
  <c r="C397"/>
  <c r="C396"/>
  <c r="C395"/>
  <c r="C394"/>
  <c r="B394"/>
  <c r="C393"/>
  <c r="C392"/>
  <c r="C391"/>
  <c r="B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B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B336"/>
  <c r="C335"/>
  <c r="C334"/>
  <c r="C333"/>
  <c r="C332"/>
  <c r="C331"/>
  <c r="B331"/>
  <c r="C330"/>
  <c r="C329"/>
  <c r="C328"/>
  <c r="C327"/>
  <c r="B327"/>
  <c r="C326"/>
  <c r="C325"/>
  <c r="C324"/>
  <c r="B324"/>
  <c r="C323"/>
  <c r="C322"/>
  <c r="C321"/>
  <c r="C320"/>
  <c r="B320"/>
  <c r="C319"/>
  <c r="C318"/>
  <c r="C317"/>
  <c r="C316"/>
  <c r="C315"/>
  <c r="C314"/>
  <c r="C313"/>
  <c r="C312"/>
  <c r="C311"/>
  <c r="C310"/>
  <c r="C309"/>
  <c r="B309"/>
  <c r="C308"/>
  <c r="C307"/>
  <c r="C306"/>
  <c r="B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B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B189"/>
  <c r="C188"/>
  <c r="C187"/>
  <c r="B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B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B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B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B104"/>
  <c r="C103"/>
  <c r="C102"/>
  <c r="C101"/>
  <c r="C100"/>
  <c r="C99"/>
  <c r="C98"/>
  <c r="C97"/>
  <c r="C96"/>
  <c r="C95"/>
  <c r="C94"/>
  <c r="C93"/>
  <c r="C92"/>
  <c r="C91"/>
  <c r="C90"/>
  <c r="B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B68"/>
  <c r="C67"/>
  <c r="C66"/>
  <c r="C65"/>
  <c r="C64"/>
  <c r="C63"/>
  <c r="C62"/>
  <c r="C61"/>
  <c r="C60"/>
  <c r="C59"/>
  <c r="C58"/>
  <c r="C57"/>
  <c r="C56"/>
  <c r="C55"/>
  <c r="C54"/>
  <c r="C53"/>
  <c r="B53"/>
  <c r="C52"/>
  <c r="C51"/>
  <c r="B51"/>
  <c r="C50"/>
  <c r="C49"/>
  <c r="C48"/>
  <c r="C47"/>
  <c r="B47"/>
  <c r="C46"/>
  <c r="C45"/>
  <c r="B45"/>
  <c r="C44"/>
  <c r="C43"/>
  <c r="C42"/>
  <c r="C41"/>
  <c r="C40"/>
  <c r="B40"/>
  <c r="C39"/>
  <c r="C38"/>
  <c r="B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B16"/>
  <c r="C15"/>
  <c r="C14"/>
  <c r="C13"/>
  <c r="B13"/>
  <c r="C12"/>
  <c r="C11"/>
  <c r="C10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<sst xmlns="http://schemas.openxmlformats.org/spreadsheetml/2006/main" count="11" uniqueCount="11">
  <si>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</si>
  <si>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</si>
  <si>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</si>
  <si>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</si>
  <si>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</si>
  <si>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</si>
  <si>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de Origen</t>
  </si>
  <si>
    <t xml:space="preserve"> Municipio de Origen</t>
  </si>
  <si>
    <t>Porcentaje de Matrículas</t>
  </si>
  <si>
    <t>MATRÍCULAS CONSULARES DE ALTA SEGURIDAD EXPEDIDAS EN EL ESTADO DE CONNECTICUT POR ESTADO Y MUNICIPIO DE LA REPÚBLICA MEXICANA, 2010</t>
  </si>
  <si>
    <t>Marzo del 2012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</si>
</sst>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/>
  </cellStyleXfs>
  <cellXfs count="31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42"/>
    <xf numFmtId="0" fontId="23" fillId="0" borderId="0" xfId="42" applyFont="1"/>
    <xf numFmtId="0" fontId="24" fillId="0" borderId="0" xfId="42" applyFont="1"/>
    <xf numFmtId="0" fontId="25" fillId="0" borderId="0" xfId="42" applyFont="1" applyAlignment="1"/>
    <xf numFmtId="0" fontId="0" fillId="0" borderId="0" xfId="0" applyAlignment="1"/>
    <xf numFmtId="0" fontId="18" fillId="0" borderId="0" xfId="0" applyFont="1" applyAlignment="1"/>
    <xf numFmtId="0" fontId="22" fillId="0" borderId="0" xfId="42" applyFill="1"/>
    <xf numFmtId="0" fontId="0" fillId="0" borderId="0" xfId="0" applyFill="1"/>
    <xf numFmtId="0" fontId="13" fillId="34" borderId="10" xfId="0" applyFont="1" applyFill="1" applyBorder="1" applyAlignment="1">
      <alignment wrapText="1"/>
    </xf>
    <xf numFmtId="0" fontId="17" fillId="34" borderId="10" xfId="0" applyFont="1" applyFill="1" applyBorder="1" applyAlignment="1">
      <alignment horizontal="right"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19" fillId="35" borderId="10" xfId="0" applyFont="1" applyFill="1" applyBorder="1" applyAlignment="1">
      <alignment wrapText="1"/>
    </xf>
    <xf numFmtId="0" fontId="18" fillId="35" borderId="10" xfId="0" applyFont="1" applyFill="1" applyBorder="1" applyAlignment="1">
      <alignment horizontal="right" wrapText="1"/>
    </xf>
    <xf numFmtId="10" fontId="18" fillId="35" borderId="10" xfId="0" applyNumberFormat="1" applyFont="1" applyFill="1" applyBorder="1" applyAlignment="1">
      <alignment horizontal="right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5" fillId="0" borderId="0" xfId="42" applyFont="1" applyAlignment="1">
      <alignment horizontal="center" wrapText="1"/>
    </xf>
    <xf numFmtId="0" fontId="25" fillId="0" borderId="11" xfId="42" applyFont="1" applyBorder="1" applyAlignment="1">
      <alignment horizontal="center" wrapText="1"/>
    </xf>
    <xf numFmtId="0" fontId="26" fillId="33" borderId="10" xfId="42" applyFont="1" applyFill="1" applyBorder="1" applyAlignment="1">
      <alignment horizontal="center" vertical="center" wrapText="1"/>
    </xf>
    <xf numFmtId="0" fontId="23" fillId="0" borderId="10" xfId="42" applyFont="1" applyBorder="1" applyAlignment="1"/>
    <xf numFmtId="0" fontId="22" fillId="0" borderId="10" xfId="42" applyFont="1" applyBorder="1" applyAlignment="1"/>
    <xf numFmtId="0" fontId="27" fillId="33" borderId="10" xfId="42" applyFont="1" applyFill="1" applyBorder="1" applyAlignment="1">
      <alignment horizontal="center" vertical="center" wrapText="1"/>
    </xf>
    <xf numFmtId="0" fontId="28" fillId="0" borderId="10" xfId="42" applyFont="1" applyBorder="1" applyAlignme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851648</xdr:colOff>
      <xdr:row>0</xdr:row>
      <xdr:rowOff>67235</xdr:rowOff>
    </xdr:from>
    <xdr:to>
      <xdr:col>5</xdr:col>
      <xdr:colOff>24654</xdr:colOff>
      <xdr:row>3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23773" y="67235"/>
          <a:ext cx="132565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4"/>
  <sheetViews>
    <sheetView showGridLines="0" tabSelected="1" workbookViewId="0">
      <selection activeCell="A8" sqref="A8"/>
    </sheetView>
  </sheetViews>
  <sheetFormatPr baseColWidth="10" defaultRowHeight="15"/>
  <cols>
    <col min="2" max="2" width="44.5703125" customWidth="1"/>
    <col min="3" max="3" width="26.85546875" customWidth="1"/>
    <col min="4" max="5" width="16.140625" bestFit="1" customWidth="1"/>
  </cols>
  <sheetData>
    <row r="1" spans="1:7">
      <c r="A1" s="6"/>
      <c r="B1" s="7"/>
      <c r="C1" s="6"/>
      <c r="D1" s="8"/>
      <c r="E1" s="8"/>
      <c r="F1" s="6"/>
    </row>
    <row r="2" spans="1:7">
      <c r="A2" s="6"/>
      <c r="B2" s="7"/>
      <c r="C2" s="6"/>
      <c r="D2" s="8"/>
      <c r="E2" s="8"/>
      <c r="F2" s="6"/>
    </row>
    <row r="3" spans="1:7">
      <c r="A3" s="6"/>
      <c r="B3" s="7"/>
      <c r="C3" s="6"/>
      <c r="D3" s="8"/>
      <c r="E3" s="8"/>
      <c r="F3" s="6"/>
    </row>
    <row r="4" spans="1:7">
      <c r="A4" s="6"/>
      <c r="B4" s="7"/>
      <c r="C4" s="6"/>
      <c r="D4" s="8"/>
      <c r="E4" s="8"/>
      <c r="F4" s="6"/>
    </row>
    <row r="5" spans="1:7" ht="16.5">
      <c r="B5" s="9"/>
      <c r="C5" s="10"/>
      <c r="D5" s="11"/>
      <c r="E5" s="11"/>
      <c r="F5" s="10"/>
    </row>
    <row r="6" spans="1:7">
      <c r="B6" s="24" t="s">
        <v>9</v>
      </c>
      <c r="C6" s="24"/>
      <c r="D6" s="24"/>
      <c r="E6" s="24"/>
      <c r="F6" s="10"/>
    </row>
    <row r="7" spans="1:7">
      <c r="A7" s="6"/>
      <c r="B7" s="25"/>
      <c r="C7" s="25"/>
      <c r="D7" s="25"/>
      <c r="E7" s="25"/>
      <c r="F7" s="6"/>
    </row>
    <row r="8" spans="1:7">
      <c r="A8" s="6"/>
      <c r="B8" s="26" t="s">
        <v>6</v>
      </c>
      <c r="C8" s="26" t="s">
        <v>7</v>
      </c>
      <c r="D8" s="29" t="s">
        <v>0</v>
      </c>
      <c r="E8" s="29" t="s">
        <v>8</v>
      </c>
      <c r="F8" s="6"/>
    </row>
    <row r="9" spans="1:7" ht="18" customHeight="1">
      <c r="A9" s="6"/>
      <c r="B9" s="27"/>
      <c r="C9" s="28"/>
      <c r="D9" s="30"/>
      <c r="E9" s="30"/>
      <c r="F9" s="12"/>
      <c r="G9" s="13"/>
    </row>
    <row r="10" spans="1:7">
      <c r="B10" s="21" t="str">
        <f>"AGUASCALIENTES"</f>
        <v>AGUASCALIENTES</v>
      </c>
      <c r="C10" s="1" t="str">
        <f>"AGUASCALIENTES"</f>
        <v>AGUASCALIENTES</v>
      </c>
      <c r="D10" s="2">
        <v>5</v>
      </c>
      <c r="E10" s="3">
        <v>2.8E-3</v>
      </c>
    </row>
    <row r="11" spans="1:7">
      <c r="B11" s="22"/>
      <c r="C11" s="1" t="str">
        <f>"RINCON DE ROMOS"</f>
        <v>RINCON DE ROMOS</v>
      </c>
      <c r="D11" s="2">
        <v>2</v>
      </c>
      <c r="E11" s="3">
        <v>1.1000000000000001E-3</v>
      </c>
    </row>
    <row r="12" spans="1:7">
      <c r="B12" s="23"/>
      <c r="C12" s="18" t="str">
        <f>"Total"</f>
        <v>Total</v>
      </c>
      <c r="D12" s="19">
        <v>7</v>
      </c>
      <c r="E12" s="20">
        <v>3.8999999999999998E-3</v>
      </c>
    </row>
    <row r="13" spans="1:7">
      <c r="B13" s="21" t="str">
        <f>"BAJA CALIFORNIA"</f>
        <v>BAJA CALIFORNIA</v>
      </c>
      <c r="C13" s="1" t="str">
        <f>"MEXICALI"</f>
        <v>MEXICALI</v>
      </c>
      <c r="D13" s="2">
        <v>1</v>
      </c>
      <c r="E13" s="3">
        <v>5.9999999999999995E-4</v>
      </c>
    </row>
    <row r="14" spans="1:7">
      <c r="B14" s="22"/>
      <c r="C14" s="1" t="str">
        <f>"TIJUANA"</f>
        <v>TIJUANA</v>
      </c>
      <c r="D14" s="2">
        <v>1</v>
      </c>
      <c r="E14" s="3">
        <v>5.9999999999999995E-4</v>
      </c>
    </row>
    <row r="15" spans="1:7">
      <c r="B15" s="23"/>
      <c r="C15" s="18" t="str">
        <f>"Total"</f>
        <v>Total</v>
      </c>
      <c r="D15" s="19">
        <v>2</v>
      </c>
      <c r="E15" s="20">
        <v>1.1000000000000001E-3</v>
      </c>
    </row>
    <row r="16" spans="1:7" ht="30">
      <c r="B16" s="21" t="str">
        <f t="shared" ref="B16" si="0">"CHIAPAS"</f>
        <v>CHIAPAS</v>
      </c>
      <c r="C16" s="1" t="str">
        <f>"AMATENANGO DE LA FRONTERA"</f>
        <v>AMATENANGO DE LA FRONTERA</v>
      </c>
      <c r="D16" s="2">
        <v>1</v>
      </c>
      <c r="E16" s="3">
        <v>5.9999999999999995E-4</v>
      </c>
    </row>
    <row r="17" spans="2:5">
      <c r="B17" s="22"/>
      <c r="C17" s="1" t="str">
        <f>"ARRIAGA"</f>
        <v>ARRIAGA</v>
      </c>
      <c r="D17" s="2">
        <v>1</v>
      </c>
      <c r="E17" s="3">
        <v>5.9999999999999995E-4</v>
      </c>
    </row>
    <row r="18" spans="2:5">
      <c r="B18" s="22"/>
      <c r="C18" s="1" t="str">
        <f>"BELLA VISTA"</f>
        <v>BELLA VISTA</v>
      </c>
      <c r="D18" s="2">
        <v>2</v>
      </c>
      <c r="E18" s="3">
        <v>1.1000000000000001E-3</v>
      </c>
    </row>
    <row r="19" spans="2:5">
      <c r="B19" s="22"/>
      <c r="C19" s="1" t="str">
        <f>"CACAHOATAN"</f>
        <v>CACAHOATAN</v>
      </c>
      <c r="D19" s="2">
        <v>1</v>
      </c>
      <c r="E19" s="3">
        <v>5.9999999999999995E-4</v>
      </c>
    </row>
    <row r="20" spans="2:5">
      <c r="B20" s="22"/>
      <c r="C20" s="1" t="str">
        <f>"CHILON"</f>
        <v>CHILON</v>
      </c>
      <c r="D20" s="2">
        <v>1</v>
      </c>
      <c r="E20" s="3">
        <v>5.9999999999999995E-4</v>
      </c>
    </row>
    <row r="21" spans="2:5">
      <c r="B21" s="22"/>
      <c r="C21" s="1" t="str">
        <f>"EL PORVENIR"</f>
        <v>EL PORVENIR</v>
      </c>
      <c r="D21" s="2">
        <v>2</v>
      </c>
      <c r="E21" s="3">
        <v>1.1000000000000001E-3</v>
      </c>
    </row>
    <row r="22" spans="2:5">
      <c r="B22" s="22"/>
      <c r="C22" s="1" t="str">
        <f>"FRONTERA COMALAPA"</f>
        <v>FRONTERA COMALAPA</v>
      </c>
      <c r="D22" s="2">
        <v>5</v>
      </c>
      <c r="E22" s="3">
        <v>2.8E-3</v>
      </c>
    </row>
    <row r="23" spans="2:5">
      <c r="B23" s="22"/>
      <c r="C23" s="1" t="str">
        <f>"HUEHUETAN"</f>
        <v>HUEHUETAN</v>
      </c>
      <c r="D23" s="2">
        <v>2</v>
      </c>
      <c r="E23" s="3">
        <v>1.1000000000000001E-3</v>
      </c>
    </row>
    <row r="24" spans="2:5">
      <c r="B24" s="22"/>
      <c r="C24" s="1" t="str">
        <f>"HUIXTLA"</f>
        <v>HUIXTLA</v>
      </c>
      <c r="D24" s="2">
        <v>1</v>
      </c>
      <c r="E24" s="3">
        <v>5.9999999999999995E-4</v>
      </c>
    </row>
    <row r="25" spans="2:5">
      <c r="B25" s="22"/>
      <c r="C25" s="1" t="str">
        <f>"LA CONCORDIA"</f>
        <v>LA CONCORDIA</v>
      </c>
      <c r="D25" s="2">
        <v>2</v>
      </c>
      <c r="E25" s="3">
        <v>1.1000000000000001E-3</v>
      </c>
    </row>
    <row r="26" spans="2:5">
      <c r="B26" s="22"/>
      <c r="C26" s="1" t="str">
        <f>"LA GRANDEZA"</f>
        <v>LA GRANDEZA</v>
      </c>
      <c r="D26" s="2">
        <v>1</v>
      </c>
      <c r="E26" s="3">
        <v>5.9999999999999995E-4</v>
      </c>
    </row>
    <row r="27" spans="2:5">
      <c r="B27" s="22"/>
      <c r="C27" s="1" t="str">
        <f>"MAZAPA DE MADERO"</f>
        <v>MAZAPA DE MADERO</v>
      </c>
      <c r="D27" s="2">
        <v>2</v>
      </c>
      <c r="E27" s="3">
        <v>1.1000000000000001E-3</v>
      </c>
    </row>
    <row r="28" spans="2:5">
      <c r="B28" s="22"/>
      <c r="C28" s="1" t="str">
        <f>"MOTOZINTLA"</f>
        <v>MOTOZINTLA</v>
      </c>
      <c r="D28" s="2">
        <v>2</v>
      </c>
      <c r="E28" s="3">
        <v>1.1000000000000001E-3</v>
      </c>
    </row>
    <row r="29" spans="2:5">
      <c r="B29" s="22"/>
      <c r="C29" s="1" t="str">
        <f>"OCOSINGO"</f>
        <v>OCOSINGO</v>
      </c>
      <c r="D29" s="2">
        <v>3</v>
      </c>
      <c r="E29" s="3">
        <v>1.6999999999999999E-3</v>
      </c>
    </row>
    <row r="30" spans="2:5">
      <c r="B30" s="22"/>
      <c r="C30" s="1" t="str">
        <f>"PIJIJIAPAN"</f>
        <v>PIJIJIAPAN</v>
      </c>
      <c r="D30" s="2">
        <v>1</v>
      </c>
      <c r="E30" s="3">
        <v>5.9999999999999995E-4</v>
      </c>
    </row>
    <row r="31" spans="2:5">
      <c r="B31" s="22"/>
      <c r="C31" s="1" t="str">
        <f>"SILTEPEC"</f>
        <v>SILTEPEC</v>
      </c>
      <c r="D31" s="2">
        <v>6</v>
      </c>
      <c r="E31" s="3">
        <v>3.3999999999999998E-3</v>
      </c>
    </row>
    <row r="32" spans="2:5">
      <c r="B32" s="22"/>
      <c r="C32" s="1" t="str">
        <f>"TAPACHULA"</f>
        <v>TAPACHULA</v>
      </c>
      <c r="D32" s="2">
        <v>5</v>
      </c>
      <c r="E32" s="3">
        <v>2.8E-3</v>
      </c>
    </row>
    <row r="33" spans="2:5">
      <c r="B33" s="22"/>
      <c r="C33" s="1" t="str">
        <f>"TUXTLA CHICO"</f>
        <v>TUXTLA CHICO</v>
      </c>
      <c r="D33" s="2">
        <v>1</v>
      </c>
      <c r="E33" s="3">
        <v>5.9999999999999995E-4</v>
      </c>
    </row>
    <row r="34" spans="2:5">
      <c r="B34" s="22"/>
      <c r="C34" s="1" t="str">
        <f>"TUZANTAN"</f>
        <v>TUZANTAN</v>
      </c>
      <c r="D34" s="2">
        <v>1</v>
      </c>
      <c r="E34" s="3">
        <v>5.9999999999999995E-4</v>
      </c>
    </row>
    <row r="35" spans="2:5">
      <c r="B35" s="22"/>
      <c r="C35" s="1" t="str">
        <f>"VILLA CORZO"</f>
        <v>VILLA CORZO</v>
      </c>
      <c r="D35" s="2">
        <v>1</v>
      </c>
      <c r="E35" s="3">
        <v>5.9999999999999995E-4</v>
      </c>
    </row>
    <row r="36" spans="2:5">
      <c r="B36" s="22"/>
      <c r="C36" s="1" t="str">
        <f>"ZINACANTAN"</f>
        <v>ZINACANTAN</v>
      </c>
      <c r="D36" s="2">
        <v>1</v>
      </c>
      <c r="E36" s="3">
        <v>5.9999999999999995E-4</v>
      </c>
    </row>
    <row r="37" spans="2:5">
      <c r="B37" s="23"/>
      <c r="C37" s="18" t="str">
        <f>"Total"</f>
        <v>Total</v>
      </c>
      <c r="D37" s="19">
        <v>42</v>
      </c>
      <c r="E37" s="20">
        <v>2.3599999999999999E-2</v>
      </c>
    </row>
    <row r="38" spans="2:5">
      <c r="B38" s="21" t="str">
        <f>"CHIHUAHUA"</f>
        <v>CHIHUAHUA</v>
      </c>
      <c r="C38" s="1" t="str">
        <f>"JUAREZ"</f>
        <v>JUAREZ</v>
      </c>
      <c r="D38" s="2">
        <v>9</v>
      </c>
      <c r="E38" s="3">
        <v>5.1000000000000004E-3</v>
      </c>
    </row>
    <row r="39" spans="2:5">
      <c r="B39" s="23"/>
      <c r="C39" s="18" t="str">
        <f>"Total"</f>
        <v>Total</v>
      </c>
      <c r="D39" s="19">
        <v>9</v>
      </c>
      <c r="E39" s="20">
        <v>5.1000000000000004E-3</v>
      </c>
    </row>
    <row r="40" spans="2:5">
      <c r="B40" s="21" t="str">
        <f>"COAHUILA DE ZARAGOZA"</f>
        <v>COAHUILA DE ZARAGOZA</v>
      </c>
      <c r="C40" s="1" t="str">
        <f>"FRANCISCO I. MADERO"</f>
        <v>FRANCISCO I. MADERO</v>
      </c>
      <c r="D40" s="2">
        <v>1</v>
      </c>
      <c r="E40" s="3">
        <v>5.9999999999999995E-4</v>
      </c>
    </row>
    <row r="41" spans="2:5">
      <c r="B41" s="22"/>
      <c r="C41" s="1" t="str">
        <f>"SALTILLO"</f>
        <v>SALTILLO</v>
      </c>
      <c r="D41" s="2">
        <v>1</v>
      </c>
      <c r="E41" s="3">
        <v>5.9999999999999995E-4</v>
      </c>
    </row>
    <row r="42" spans="2:5">
      <c r="B42" s="22"/>
      <c r="C42" s="1" t="str">
        <f>"SAN PEDRO"</f>
        <v>SAN PEDRO</v>
      </c>
      <c r="D42" s="2">
        <v>1</v>
      </c>
      <c r="E42" s="3">
        <v>5.9999999999999995E-4</v>
      </c>
    </row>
    <row r="43" spans="2:5">
      <c r="B43" s="22"/>
      <c r="C43" s="1" t="str">
        <f>"TORREON"</f>
        <v>TORREON</v>
      </c>
      <c r="D43" s="2">
        <v>2</v>
      </c>
      <c r="E43" s="3">
        <v>1.1000000000000001E-3</v>
      </c>
    </row>
    <row r="44" spans="2:5">
      <c r="B44" s="23"/>
      <c r="C44" s="18" t="str">
        <f>"Total"</f>
        <v>Total</v>
      </c>
      <c r="D44" s="19">
        <v>5</v>
      </c>
      <c r="E44" s="20">
        <v>2.8E-3</v>
      </c>
    </row>
    <row r="45" spans="2:5">
      <c r="B45" s="21" t="str">
        <f>"COLIMA"</f>
        <v>COLIMA</v>
      </c>
      <c r="C45" s="1" t="str">
        <f>"COLIMA"</f>
        <v>COLIMA</v>
      </c>
      <c r="D45" s="2">
        <v>2</v>
      </c>
      <c r="E45" s="3">
        <v>1.1000000000000001E-3</v>
      </c>
    </row>
    <row r="46" spans="2:5">
      <c r="B46" s="23"/>
      <c r="C46" s="18" t="str">
        <f>"Total"</f>
        <v>Total</v>
      </c>
      <c r="D46" s="19">
        <v>2</v>
      </c>
      <c r="E46" s="20">
        <v>1.1000000000000001E-3</v>
      </c>
    </row>
    <row r="47" spans="2:5">
      <c r="B47" s="21" t="str">
        <f>"DISTRITO FEDERAL"</f>
        <v>DISTRITO FEDERAL</v>
      </c>
      <c r="C47" s="1" t="str">
        <f>"ALVARO OBREGON"</f>
        <v>ALVARO OBREGON</v>
      </c>
      <c r="D47" s="2">
        <v>1</v>
      </c>
      <c r="E47" s="3">
        <v>5.9999999999999995E-4</v>
      </c>
    </row>
    <row r="48" spans="2:5">
      <c r="B48" s="22"/>
      <c r="C48" s="1" t="str">
        <f>"COYOACAN"</f>
        <v>COYOACAN</v>
      </c>
      <c r="D48" s="2">
        <v>1</v>
      </c>
      <c r="E48" s="3">
        <v>5.9999999999999995E-4</v>
      </c>
    </row>
    <row r="49" spans="2:5">
      <c r="B49" s="22"/>
      <c r="C49" s="1" t="str">
        <f>"GUSTAVO A. MADERO"</f>
        <v>GUSTAVO A. MADERO</v>
      </c>
      <c r="D49" s="2">
        <v>139</v>
      </c>
      <c r="E49" s="3">
        <v>7.8200000000000006E-2</v>
      </c>
    </row>
    <row r="50" spans="2:5">
      <c r="B50" s="23"/>
      <c r="C50" s="18" t="str">
        <f>"Total"</f>
        <v>Total</v>
      </c>
      <c r="D50" s="19">
        <v>141</v>
      </c>
      <c r="E50" s="20">
        <v>7.9299999999999995E-2</v>
      </c>
    </row>
    <row r="51" spans="2:5">
      <c r="B51" s="21" t="str">
        <f>"DURANGO"</f>
        <v>DURANGO</v>
      </c>
      <c r="C51" s="1" t="str">
        <f>"DURANGO"</f>
        <v>DURANGO</v>
      </c>
      <c r="D51" s="2">
        <v>1</v>
      </c>
      <c r="E51" s="3">
        <v>5.9999999999999995E-4</v>
      </c>
    </row>
    <row r="52" spans="2:5">
      <c r="B52" s="23"/>
      <c r="C52" s="18" t="str">
        <f>"Total"</f>
        <v>Total</v>
      </c>
      <c r="D52" s="19">
        <v>1</v>
      </c>
      <c r="E52" s="20">
        <v>5.9999999999999995E-4</v>
      </c>
    </row>
    <row r="53" spans="2:5">
      <c r="B53" s="21" t="str">
        <f t="shared" ref="B53" si="1">"GUANAJUATO"</f>
        <v>GUANAJUATO</v>
      </c>
      <c r="C53" s="1" t="str">
        <f>"APASEO EL ALTO"</f>
        <v>APASEO EL ALTO</v>
      </c>
      <c r="D53" s="2">
        <v>1</v>
      </c>
      <c r="E53" s="3">
        <v>5.9999999999999995E-4</v>
      </c>
    </row>
    <row r="54" spans="2:5">
      <c r="B54" s="22"/>
      <c r="C54" s="1" t="str">
        <f>"ATARJEA"</f>
        <v>ATARJEA</v>
      </c>
      <c r="D54" s="2">
        <v>1</v>
      </c>
      <c r="E54" s="3">
        <v>5.9999999999999995E-4</v>
      </c>
    </row>
    <row r="55" spans="2:5">
      <c r="B55" s="22"/>
      <c r="C55" s="1" t="str">
        <f>"CELAYA"</f>
        <v>CELAYA</v>
      </c>
      <c r="D55" s="2">
        <v>4</v>
      </c>
      <c r="E55" s="3">
        <v>2.2000000000000001E-3</v>
      </c>
    </row>
    <row r="56" spans="2:5">
      <c r="B56" s="22"/>
      <c r="C56" s="1" t="str">
        <f>"CORTAZAR"</f>
        <v>CORTAZAR</v>
      </c>
      <c r="D56" s="2">
        <v>1</v>
      </c>
      <c r="E56" s="3">
        <v>5.9999999999999995E-4</v>
      </c>
    </row>
    <row r="57" spans="2:5">
      <c r="B57" s="22"/>
      <c r="C57" s="1" t="str">
        <f>"DOLORES HIDALGO"</f>
        <v>DOLORES HIDALGO</v>
      </c>
      <c r="D57" s="2">
        <v>2</v>
      </c>
      <c r="E57" s="3">
        <v>1.1000000000000001E-3</v>
      </c>
    </row>
    <row r="58" spans="2:5">
      <c r="B58" s="22"/>
      <c r="C58" s="1" t="str">
        <f>"IRAPUATO"</f>
        <v>IRAPUATO</v>
      </c>
      <c r="D58" s="2">
        <v>1</v>
      </c>
      <c r="E58" s="3">
        <v>5.9999999999999995E-4</v>
      </c>
    </row>
    <row r="59" spans="2:5">
      <c r="B59" s="22"/>
      <c r="C59" s="1" t="str">
        <f>"LEON"</f>
        <v>LEON</v>
      </c>
      <c r="D59" s="2">
        <v>3</v>
      </c>
      <c r="E59" s="3">
        <v>1.6999999999999999E-3</v>
      </c>
    </row>
    <row r="60" spans="2:5">
      <c r="B60" s="22"/>
      <c r="C60" s="1" t="str">
        <f>"PENJAMO"</f>
        <v>PENJAMO</v>
      </c>
      <c r="D60" s="2">
        <v>1</v>
      </c>
      <c r="E60" s="3">
        <v>5.9999999999999995E-4</v>
      </c>
    </row>
    <row r="61" spans="2:5">
      <c r="B61" s="22"/>
      <c r="C61" s="1" t="str">
        <f>"SALAMANCA"</f>
        <v>SALAMANCA</v>
      </c>
      <c r="D61" s="2">
        <v>2</v>
      </c>
      <c r="E61" s="3">
        <v>1.1000000000000001E-3</v>
      </c>
    </row>
    <row r="62" spans="2:5">
      <c r="B62" s="22"/>
      <c r="C62" s="1" t="str">
        <f>"TARANDACUAO"</f>
        <v>TARANDACUAO</v>
      </c>
      <c r="D62" s="2">
        <v>1</v>
      </c>
      <c r="E62" s="3">
        <v>5.9999999999999995E-4</v>
      </c>
    </row>
    <row r="63" spans="2:5">
      <c r="B63" s="22"/>
      <c r="C63" s="1" t="str">
        <f>"TIERRA BLANCA"</f>
        <v>TIERRA BLANCA</v>
      </c>
      <c r="D63" s="2">
        <v>12</v>
      </c>
      <c r="E63" s="3">
        <v>6.7000000000000002E-3</v>
      </c>
    </row>
    <row r="64" spans="2:5">
      <c r="B64" s="22"/>
      <c r="C64" s="1" t="str">
        <f>"VICTORIA"</f>
        <v>VICTORIA</v>
      </c>
      <c r="D64" s="2">
        <v>1</v>
      </c>
      <c r="E64" s="3">
        <v>5.9999999999999995E-4</v>
      </c>
    </row>
    <row r="65" spans="2:5">
      <c r="B65" s="22"/>
      <c r="C65" s="1" t="str">
        <f>"XICHU"</f>
        <v>XICHU</v>
      </c>
      <c r="D65" s="2">
        <v>2</v>
      </c>
      <c r="E65" s="3">
        <v>1.1000000000000001E-3</v>
      </c>
    </row>
    <row r="66" spans="2:5">
      <c r="B66" s="22"/>
      <c r="C66" s="1" t="str">
        <f>"YURIRIA"</f>
        <v>YURIRIA</v>
      </c>
      <c r="D66" s="2">
        <v>4</v>
      </c>
      <c r="E66" s="3">
        <v>2.2000000000000001E-3</v>
      </c>
    </row>
    <row r="67" spans="2:5">
      <c r="B67" s="23"/>
      <c r="C67" s="18" t="str">
        <f>"Total"</f>
        <v>Total</v>
      </c>
      <c r="D67" s="19">
        <v>36</v>
      </c>
      <c r="E67" s="20">
        <v>2.0199999999999999E-2</v>
      </c>
    </row>
    <row r="68" spans="2:5">
      <c r="B68" s="21" t="str">
        <f t="shared" ref="B68" si="2">"GUERRERO"</f>
        <v>GUERRERO</v>
      </c>
      <c r="C68" s="1" t="str">
        <f>"ACAPULCO DE JUAREZ"</f>
        <v>ACAPULCO DE JUAREZ</v>
      </c>
      <c r="D68" s="2">
        <v>25</v>
      </c>
      <c r="E68" s="3">
        <v>1.41E-2</v>
      </c>
    </row>
    <row r="69" spans="2:5">
      <c r="B69" s="22"/>
      <c r="C69" s="1" t="str">
        <f>"AHUACUOTZINGO"</f>
        <v>AHUACUOTZINGO</v>
      </c>
      <c r="D69" s="2">
        <v>9</v>
      </c>
      <c r="E69" s="3">
        <v>5.1000000000000004E-3</v>
      </c>
    </row>
    <row r="70" spans="2:5">
      <c r="B70" s="22"/>
      <c r="C70" s="1" t="str">
        <f>"ALCOZAUCA DE GUERRERO"</f>
        <v>ALCOZAUCA DE GUERRERO</v>
      </c>
      <c r="D70" s="2">
        <v>2</v>
      </c>
      <c r="E70" s="3">
        <v>1.1000000000000001E-3</v>
      </c>
    </row>
    <row r="71" spans="2:5">
      <c r="B71" s="22"/>
      <c r="C71" s="1" t="str">
        <f>"APAXTLA"</f>
        <v>APAXTLA</v>
      </c>
      <c r="D71" s="2">
        <v>1</v>
      </c>
      <c r="E71" s="3">
        <v>5.9999999999999995E-4</v>
      </c>
    </row>
    <row r="72" spans="2:5">
      <c r="B72" s="22"/>
      <c r="C72" s="1" t="str">
        <f>"ATLIXTAC"</f>
        <v>ATLIXTAC</v>
      </c>
      <c r="D72" s="2">
        <v>6</v>
      </c>
      <c r="E72" s="3">
        <v>3.3999999999999998E-3</v>
      </c>
    </row>
    <row r="73" spans="2:5">
      <c r="B73" s="22"/>
      <c r="C73" s="1" t="str">
        <f>"ATOYAC DE ALVAREZ"</f>
        <v>ATOYAC DE ALVAREZ</v>
      </c>
      <c r="D73" s="2">
        <v>1</v>
      </c>
      <c r="E73" s="3">
        <v>5.9999999999999995E-4</v>
      </c>
    </row>
    <row r="74" spans="2:5">
      <c r="B74" s="22"/>
      <c r="C74" s="1" t="str">
        <f>"CHILAPA DE ALVAREZ"</f>
        <v>CHILAPA DE ALVAREZ</v>
      </c>
      <c r="D74" s="2">
        <v>1</v>
      </c>
      <c r="E74" s="3">
        <v>5.9999999999999995E-4</v>
      </c>
    </row>
    <row r="75" spans="2:5">
      <c r="B75" s="22"/>
      <c r="C75" s="1" t="str">
        <f>"COPALA"</f>
        <v>COPALA</v>
      </c>
      <c r="D75" s="2">
        <v>1</v>
      </c>
      <c r="E75" s="3">
        <v>5.9999999999999995E-4</v>
      </c>
    </row>
    <row r="76" spans="2:5">
      <c r="B76" s="22"/>
      <c r="C76" s="1" t="str">
        <f>"CUALAC"</f>
        <v>CUALAC</v>
      </c>
      <c r="D76" s="2">
        <v>1</v>
      </c>
      <c r="E76" s="3">
        <v>5.9999999999999995E-4</v>
      </c>
    </row>
    <row r="77" spans="2:5">
      <c r="B77" s="22"/>
      <c r="C77" s="1" t="str">
        <f>"CUTZAMALA DE PINZON"</f>
        <v>CUTZAMALA DE PINZON</v>
      </c>
      <c r="D77" s="2">
        <v>2</v>
      </c>
      <c r="E77" s="3">
        <v>1.1000000000000001E-3</v>
      </c>
    </row>
    <row r="78" spans="2:5">
      <c r="B78" s="22"/>
      <c r="C78" s="1" t="str">
        <f>"HUAMUXTITLAN"</f>
        <v>HUAMUXTITLAN</v>
      </c>
      <c r="D78" s="2">
        <v>6</v>
      </c>
      <c r="E78" s="3">
        <v>3.3999999999999998E-3</v>
      </c>
    </row>
    <row r="79" spans="2:5" ht="30">
      <c r="B79" s="22"/>
      <c r="C79" s="1" t="str">
        <f>"IGUALA DE LA INDEPENDENCIA"</f>
        <v>IGUALA DE LA INDEPENDENCIA</v>
      </c>
      <c r="D79" s="2">
        <v>2</v>
      </c>
      <c r="E79" s="3">
        <v>1.1000000000000001E-3</v>
      </c>
    </row>
    <row r="80" spans="2:5">
      <c r="B80" s="22"/>
      <c r="C80" s="1" t="str">
        <f>"JUAN R. ESCUDERO"</f>
        <v>JUAN R. ESCUDERO</v>
      </c>
      <c r="D80" s="2">
        <v>2</v>
      </c>
      <c r="E80" s="3">
        <v>1.1000000000000001E-3</v>
      </c>
    </row>
    <row r="81" spans="2:5">
      <c r="B81" s="22"/>
      <c r="C81" s="1" t="str">
        <f>"MALINALTEPEC"</f>
        <v>MALINALTEPEC</v>
      </c>
      <c r="D81" s="2">
        <v>1</v>
      </c>
      <c r="E81" s="3">
        <v>5.9999999999999995E-4</v>
      </c>
    </row>
    <row r="82" spans="2:5">
      <c r="B82" s="22"/>
      <c r="C82" s="1" t="str">
        <f>"METLATONOC"</f>
        <v>METLATONOC</v>
      </c>
      <c r="D82" s="2">
        <v>1</v>
      </c>
      <c r="E82" s="3">
        <v>5.9999999999999995E-4</v>
      </c>
    </row>
    <row r="83" spans="2:5">
      <c r="B83" s="22"/>
      <c r="C83" s="1" t="str">
        <f>"OLINALA"</f>
        <v>OLINALA</v>
      </c>
      <c r="D83" s="2">
        <v>2</v>
      </c>
      <c r="E83" s="3">
        <v>1.1000000000000001E-3</v>
      </c>
    </row>
    <row r="84" spans="2:5">
      <c r="B84" s="22"/>
      <c r="C84" s="1" t="str">
        <f>"PILCAYA"</f>
        <v>PILCAYA</v>
      </c>
      <c r="D84" s="2">
        <v>2</v>
      </c>
      <c r="E84" s="3">
        <v>1.1000000000000001E-3</v>
      </c>
    </row>
    <row r="85" spans="2:5">
      <c r="B85" s="22"/>
      <c r="C85" s="1" t="str">
        <f>"SAN LUIS ACATLAN"</f>
        <v>SAN LUIS ACATLAN</v>
      </c>
      <c r="D85" s="2">
        <v>1</v>
      </c>
      <c r="E85" s="3">
        <v>5.9999999999999995E-4</v>
      </c>
    </row>
    <row r="86" spans="2:5">
      <c r="B86" s="22"/>
      <c r="C86" s="1" t="str">
        <f>"TIXTLA DE GUERRERO"</f>
        <v>TIXTLA DE GUERRERO</v>
      </c>
      <c r="D86" s="2">
        <v>2</v>
      </c>
      <c r="E86" s="3">
        <v>1.1000000000000001E-3</v>
      </c>
    </row>
    <row r="87" spans="2:5">
      <c r="B87" s="22"/>
      <c r="C87" s="1" t="str">
        <f>"TLAPA DE COMONFORT"</f>
        <v>TLAPA DE COMONFORT</v>
      </c>
      <c r="D87" s="2">
        <v>3</v>
      </c>
      <c r="E87" s="3">
        <v>1.6999999999999999E-3</v>
      </c>
    </row>
    <row r="88" spans="2:5">
      <c r="B88" s="22"/>
      <c r="C88" s="1" t="str">
        <f>"XOCHIHUEHUETLAN"</f>
        <v>XOCHIHUEHUETLAN</v>
      </c>
      <c r="D88" s="2">
        <v>19</v>
      </c>
      <c r="E88" s="3">
        <v>1.0699999999999999E-2</v>
      </c>
    </row>
    <row r="89" spans="2:5">
      <c r="B89" s="23"/>
      <c r="C89" s="18" t="str">
        <f>"Total"</f>
        <v>Total</v>
      </c>
      <c r="D89" s="19">
        <v>90</v>
      </c>
      <c r="E89" s="20">
        <v>5.0599999999999999E-2</v>
      </c>
    </row>
    <row r="90" spans="2:5">
      <c r="B90" s="21" t="str">
        <f t="shared" ref="B90" si="3">"HIDALGO"</f>
        <v>HIDALGO</v>
      </c>
      <c r="C90" s="1" t="str">
        <f>"ACTOPAN"</f>
        <v>ACTOPAN</v>
      </c>
      <c r="D90" s="2">
        <v>1</v>
      </c>
      <c r="E90" s="3">
        <v>5.9999999999999995E-4</v>
      </c>
    </row>
    <row r="91" spans="2:5">
      <c r="B91" s="22"/>
      <c r="C91" s="1" t="str">
        <f>"ALFAJAYUCAN"</f>
        <v>ALFAJAYUCAN</v>
      </c>
      <c r="D91" s="2">
        <v>2</v>
      </c>
      <c r="E91" s="3">
        <v>1.1000000000000001E-3</v>
      </c>
    </row>
    <row r="92" spans="2:5">
      <c r="B92" s="22"/>
      <c r="C92" s="1" t="str">
        <f>"APAN"</f>
        <v>APAN</v>
      </c>
      <c r="D92" s="2">
        <v>1</v>
      </c>
      <c r="E92" s="3">
        <v>5.9999999999999995E-4</v>
      </c>
    </row>
    <row r="93" spans="2:5">
      <c r="B93" s="22"/>
      <c r="C93" s="1" t="str">
        <f>"CARDONAL"</f>
        <v>CARDONAL</v>
      </c>
      <c r="D93" s="2">
        <v>2</v>
      </c>
      <c r="E93" s="3">
        <v>1.1000000000000001E-3</v>
      </c>
    </row>
    <row r="94" spans="2:5">
      <c r="B94" s="22"/>
      <c r="C94" s="1" t="str">
        <f>"FRANCISCO I. MADERO"</f>
        <v>FRANCISCO I. MADERO</v>
      </c>
      <c r="D94" s="2">
        <v>1</v>
      </c>
      <c r="E94" s="3">
        <v>5.9999999999999995E-4</v>
      </c>
    </row>
    <row r="95" spans="2:5">
      <c r="B95" s="22"/>
      <c r="C95" s="1" t="str">
        <f>"HUEHUETLA"</f>
        <v>HUEHUETLA</v>
      </c>
      <c r="D95" s="2">
        <v>3</v>
      </c>
      <c r="E95" s="3">
        <v>1.6999999999999999E-3</v>
      </c>
    </row>
    <row r="96" spans="2:5">
      <c r="B96" s="22"/>
      <c r="C96" s="1" t="str">
        <f>"IXMIQUILPAN"</f>
        <v>IXMIQUILPAN</v>
      </c>
      <c r="D96" s="2">
        <v>9</v>
      </c>
      <c r="E96" s="3">
        <v>5.1000000000000004E-3</v>
      </c>
    </row>
    <row r="97" spans="2:5">
      <c r="B97" s="22"/>
      <c r="C97" s="1" t="str">
        <f>"LA MISION"</f>
        <v>LA MISION</v>
      </c>
      <c r="D97" s="2">
        <v>1</v>
      </c>
      <c r="E97" s="3">
        <v>5.9999999999999995E-4</v>
      </c>
    </row>
    <row r="98" spans="2:5">
      <c r="B98" s="22"/>
      <c r="C98" s="1" t="str">
        <f>"LOLOTLA"</f>
        <v>LOLOTLA</v>
      </c>
      <c r="D98" s="2">
        <v>1</v>
      </c>
      <c r="E98" s="3">
        <v>5.9999999999999995E-4</v>
      </c>
    </row>
    <row r="99" spans="2:5">
      <c r="B99" s="22"/>
      <c r="C99" s="1" t="str">
        <f>"MOLANGO DE ESCAMILLA"</f>
        <v>MOLANGO DE ESCAMILLA</v>
      </c>
      <c r="D99" s="2">
        <v>2</v>
      </c>
      <c r="E99" s="3">
        <v>1.1000000000000001E-3</v>
      </c>
    </row>
    <row r="100" spans="2:5">
      <c r="B100" s="22"/>
      <c r="C100" s="1" t="str">
        <f>"SAN SALVADOR"</f>
        <v>SAN SALVADOR</v>
      </c>
      <c r="D100" s="2">
        <v>1</v>
      </c>
      <c r="E100" s="3">
        <v>5.9999999999999995E-4</v>
      </c>
    </row>
    <row r="101" spans="2:5">
      <c r="B101" s="22"/>
      <c r="C101" s="1" t="str">
        <f>"TEPEAPULCO"</f>
        <v>TEPEAPULCO</v>
      </c>
      <c r="D101" s="2">
        <v>4</v>
      </c>
      <c r="E101" s="3">
        <v>2.2000000000000001E-3</v>
      </c>
    </row>
    <row r="102" spans="2:5">
      <c r="B102" s="22"/>
      <c r="C102" s="1" t="str">
        <f>"TIANGUISTENGO"</f>
        <v>TIANGUISTENGO</v>
      </c>
      <c r="D102" s="2">
        <v>1</v>
      </c>
      <c r="E102" s="3">
        <v>5.9999999999999995E-4</v>
      </c>
    </row>
    <row r="103" spans="2:5">
      <c r="B103" s="23"/>
      <c r="C103" s="18" t="str">
        <f>"Total"</f>
        <v>Total</v>
      </c>
      <c r="D103" s="19">
        <v>29</v>
      </c>
      <c r="E103" s="20">
        <v>1.6299999999999999E-2</v>
      </c>
    </row>
    <row r="104" spans="2:5">
      <c r="B104" s="21" t="str">
        <f t="shared" ref="B104" si="4">"JALISCO"</f>
        <v>JALISCO</v>
      </c>
      <c r="C104" s="1" t="str">
        <f>"AHUALULCO DE MERCADO"</f>
        <v>AHUALULCO DE MERCADO</v>
      </c>
      <c r="D104" s="2">
        <v>1</v>
      </c>
      <c r="E104" s="3">
        <v>5.9999999999999995E-4</v>
      </c>
    </row>
    <row r="105" spans="2:5">
      <c r="B105" s="22"/>
      <c r="C105" s="1" t="str">
        <f>"ARANDAS"</f>
        <v>ARANDAS</v>
      </c>
      <c r="D105" s="2">
        <v>2</v>
      </c>
      <c r="E105" s="3">
        <v>1.1000000000000001E-3</v>
      </c>
    </row>
    <row r="106" spans="2:5">
      <c r="B106" s="22"/>
      <c r="C106" s="1" t="str">
        <f>"AUTLAN DE NAVARRO"</f>
        <v>AUTLAN DE NAVARRO</v>
      </c>
      <c r="D106" s="2">
        <v>1</v>
      </c>
      <c r="E106" s="3">
        <v>5.9999999999999995E-4</v>
      </c>
    </row>
    <row r="107" spans="2:5">
      <c r="B107" s="22"/>
      <c r="C107" s="1" t="str">
        <f>"CUAUTLA"</f>
        <v>CUAUTLA</v>
      </c>
      <c r="D107" s="2">
        <v>1</v>
      </c>
      <c r="E107" s="3">
        <v>5.9999999999999995E-4</v>
      </c>
    </row>
    <row r="108" spans="2:5">
      <c r="B108" s="22"/>
      <c r="C108" s="1" t="str">
        <f>"CUQUIO"</f>
        <v>CUQUIO</v>
      </c>
      <c r="D108" s="2">
        <v>8</v>
      </c>
      <c r="E108" s="3">
        <v>4.4999999999999997E-3</v>
      </c>
    </row>
    <row r="109" spans="2:5">
      <c r="B109" s="22"/>
      <c r="C109" s="1" t="str">
        <f>"ENCARNACION DE DIAZ"</f>
        <v>ENCARNACION DE DIAZ</v>
      </c>
      <c r="D109" s="2">
        <v>1</v>
      </c>
      <c r="E109" s="3">
        <v>5.9999999999999995E-4</v>
      </c>
    </row>
    <row r="110" spans="2:5">
      <c r="B110" s="22"/>
      <c r="C110" s="1" t="str">
        <f>"GUADALAJARA"</f>
        <v>GUADALAJARA</v>
      </c>
      <c r="D110" s="2">
        <v>13</v>
      </c>
      <c r="E110" s="3">
        <v>7.3000000000000001E-3</v>
      </c>
    </row>
    <row r="111" spans="2:5">
      <c r="B111" s="22"/>
      <c r="C111" s="1" t="str">
        <f>"IXTLAHUACAN DEL RIO"</f>
        <v>IXTLAHUACAN DEL RIO</v>
      </c>
      <c r="D111" s="2">
        <v>1</v>
      </c>
      <c r="E111" s="3">
        <v>5.9999999999999995E-4</v>
      </c>
    </row>
    <row r="112" spans="2:5">
      <c r="B112" s="22"/>
      <c r="C112" s="1" t="str">
        <f>"LAGOS DE MORENO"</f>
        <v>LAGOS DE MORENO</v>
      </c>
      <c r="D112" s="2">
        <v>2</v>
      </c>
      <c r="E112" s="3">
        <v>1.1000000000000001E-3</v>
      </c>
    </row>
    <row r="113" spans="2:5">
      <c r="B113" s="22"/>
      <c r="C113" s="1" t="str">
        <f>"MAZAMITLA"</f>
        <v>MAZAMITLA</v>
      </c>
      <c r="D113" s="2">
        <v>1</v>
      </c>
      <c r="E113" s="3">
        <v>5.9999999999999995E-4</v>
      </c>
    </row>
    <row r="114" spans="2:5">
      <c r="B114" s="22"/>
      <c r="C114" s="1" t="str">
        <f>"OCOTLAN"</f>
        <v>OCOTLAN</v>
      </c>
      <c r="D114" s="2">
        <v>1</v>
      </c>
      <c r="E114" s="3">
        <v>5.9999999999999995E-4</v>
      </c>
    </row>
    <row r="115" spans="2:5">
      <c r="B115" s="22"/>
      <c r="C115" s="1" t="str">
        <f>"QUITUPAN"</f>
        <v>QUITUPAN</v>
      </c>
      <c r="D115" s="2">
        <v>11</v>
      </c>
      <c r="E115" s="3">
        <v>6.1999999999999998E-3</v>
      </c>
    </row>
    <row r="116" spans="2:5">
      <c r="B116" s="22"/>
      <c r="C116" s="1" t="str">
        <f>"TIZAPAN EL ALTO"</f>
        <v>TIZAPAN EL ALTO</v>
      </c>
      <c r="D116" s="2">
        <v>1</v>
      </c>
      <c r="E116" s="3">
        <v>5.9999999999999995E-4</v>
      </c>
    </row>
    <row r="117" spans="2:5">
      <c r="B117" s="22"/>
      <c r="C117" s="1" t="str">
        <f>"TONALA"</f>
        <v>TONALA</v>
      </c>
      <c r="D117" s="2">
        <v>1</v>
      </c>
      <c r="E117" s="3">
        <v>5.9999999999999995E-4</v>
      </c>
    </row>
    <row r="118" spans="2:5">
      <c r="B118" s="22"/>
      <c r="C118" s="1" t="str">
        <f>"TUXPAN"</f>
        <v>TUXPAN</v>
      </c>
      <c r="D118" s="2">
        <v>1</v>
      </c>
      <c r="E118" s="3">
        <v>5.9999999999999995E-4</v>
      </c>
    </row>
    <row r="119" spans="2:5">
      <c r="B119" s="22"/>
      <c r="C119" s="1" t="str">
        <f>"UNION DE TULA"</f>
        <v>UNION DE TULA</v>
      </c>
      <c r="D119" s="2">
        <v>6</v>
      </c>
      <c r="E119" s="3">
        <v>3.3999999999999998E-3</v>
      </c>
    </row>
    <row r="120" spans="2:5">
      <c r="B120" s="22"/>
      <c r="C120" s="1" t="str">
        <f>"VALLE DE JUAREZ"</f>
        <v>VALLE DE JUAREZ</v>
      </c>
      <c r="D120" s="2">
        <v>1</v>
      </c>
      <c r="E120" s="3">
        <v>5.9999999999999995E-4</v>
      </c>
    </row>
    <row r="121" spans="2:5" ht="30">
      <c r="B121" s="22"/>
      <c r="C121" s="1" t="str">
        <f>"YAHUALICA DE GONZALEZ GALLO"</f>
        <v>YAHUALICA DE GONZALEZ GALLO</v>
      </c>
      <c r="D121" s="2">
        <v>1</v>
      </c>
      <c r="E121" s="3">
        <v>5.9999999999999995E-4</v>
      </c>
    </row>
    <row r="122" spans="2:5">
      <c r="B122" s="22"/>
      <c r="C122" s="1" t="str">
        <f>"ZAPOPAN"</f>
        <v>ZAPOPAN</v>
      </c>
      <c r="D122" s="2">
        <v>1</v>
      </c>
      <c r="E122" s="3">
        <v>5.9999999999999995E-4</v>
      </c>
    </row>
    <row r="123" spans="2:5">
      <c r="B123" s="23"/>
      <c r="C123" s="18" t="str">
        <f>"Total"</f>
        <v>Total</v>
      </c>
      <c r="D123" s="19">
        <v>55</v>
      </c>
      <c r="E123" s="20">
        <v>3.09E-2</v>
      </c>
    </row>
    <row r="124" spans="2:5">
      <c r="B124" s="21" t="str">
        <f t="shared" ref="B124" si="5">"MEXICO"</f>
        <v>MEXICO</v>
      </c>
      <c r="C124" s="1" t="str">
        <f>"ALMOLOYA DE JUAREZ"</f>
        <v>ALMOLOYA DE JUAREZ</v>
      </c>
      <c r="D124" s="2">
        <v>1</v>
      </c>
      <c r="E124" s="3">
        <v>5.9999999999999995E-4</v>
      </c>
    </row>
    <row r="125" spans="2:5">
      <c r="B125" s="22"/>
      <c r="C125" s="1" t="str">
        <f>"CHALCO"</f>
        <v>CHALCO</v>
      </c>
      <c r="D125" s="2">
        <v>1</v>
      </c>
      <c r="E125" s="3">
        <v>5.9999999999999995E-4</v>
      </c>
    </row>
    <row r="126" spans="2:5">
      <c r="B126" s="22"/>
      <c r="C126" s="1" t="str">
        <f>"CHAPA DE MOTA"</f>
        <v>CHAPA DE MOTA</v>
      </c>
      <c r="D126" s="2">
        <v>2</v>
      </c>
      <c r="E126" s="3">
        <v>1.1000000000000001E-3</v>
      </c>
    </row>
    <row r="127" spans="2:5">
      <c r="B127" s="22"/>
      <c r="C127" s="1" t="str">
        <f>"CHIMALHUACAN"</f>
        <v>CHIMALHUACAN</v>
      </c>
      <c r="D127" s="2">
        <v>2</v>
      </c>
      <c r="E127" s="3">
        <v>1.1000000000000001E-3</v>
      </c>
    </row>
    <row r="128" spans="2:5">
      <c r="B128" s="22"/>
      <c r="C128" s="1" t="str">
        <f>"CUAUTITLAN"</f>
        <v>CUAUTITLAN</v>
      </c>
      <c r="D128" s="2">
        <v>1</v>
      </c>
      <c r="E128" s="3">
        <v>5.9999999999999995E-4</v>
      </c>
    </row>
    <row r="129" spans="2:5">
      <c r="B129" s="22"/>
      <c r="C129" s="1" t="str">
        <f>"DONATO GUERRA"</f>
        <v>DONATO GUERRA</v>
      </c>
      <c r="D129" s="2">
        <v>1</v>
      </c>
      <c r="E129" s="3">
        <v>5.9999999999999995E-4</v>
      </c>
    </row>
    <row r="130" spans="2:5">
      <c r="B130" s="22"/>
      <c r="C130" s="1" t="str">
        <f>"ECATEPEC DE MORELOS"</f>
        <v>ECATEPEC DE MORELOS</v>
      </c>
      <c r="D130" s="2">
        <v>4</v>
      </c>
      <c r="E130" s="3">
        <v>2.2000000000000001E-3</v>
      </c>
    </row>
    <row r="131" spans="2:5">
      <c r="B131" s="22"/>
      <c r="C131" s="1" t="str">
        <f>"IXTAPALUCA"</f>
        <v>IXTAPALUCA</v>
      </c>
      <c r="D131" s="2">
        <v>1</v>
      </c>
      <c r="E131" s="3">
        <v>5.9999999999999995E-4</v>
      </c>
    </row>
    <row r="132" spans="2:5">
      <c r="B132" s="22"/>
      <c r="C132" s="1" t="str">
        <f>"JIQUIPILCO"</f>
        <v>JIQUIPILCO</v>
      </c>
      <c r="D132" s="2">
        <v>1</v>
      </c>
      <c r="E132" s="3">
        <v>5.9999999999999995E-4</v>
      </c>
    </row>
    <row r="133" spans="2:5">
      <c r="B133" s="22"/>
      <c r="C133" s="1" t="str">
        <f>"MORELOS"</f>
        <v>MORELOS</v>
      </c>
      <c r="D133" s="2">
        <v>2</v>
      </c>
      <c r="E133" s="3">
        <v>1.1000000000000001E-3</v>
      </c>
    </row>
    <row r="134" spans="2:5">
      <c r="B134" s="22"/>
      <c r="C134" s="1" t="str">
        <f>"NAUCALPAN DE JUAREZ"</f>
        <v>NAUCALPAN DE JUAREZ</v>
      </c>
      <c r="D134" s="2">
        <v>3</v>
      </c>
      <c r="E134" s="3">
        <v>1.6999999999999999E-3</v>
      </c>
    </row>
    <row r="135" spans="2:5">
      <c r="B135" s="22"/>
      <c r="C135" s="1" t="str">
        <f>"NEZAHUALCOYOTL"</f>
        <v>NEZAHUALCOYOTL</v>
      </c>
      <c r="D135" s="2">
        <v>21</v>
      </c>
      <c r="E135" s="3">
        <v>1.18E-2</v>
      </c>
    </row>
    <row r="136" spans="2:5">
      <c r="B136" s="22"/>
      <c r="C136" s="1" t="str">
        <f>"NICOLAS ROMERO"</f>
        <v>NICOLAS ROMERO</v>
      </c>
      <c r="D136" s="2">
        <v>1</v>
      </c>
      <c r="E136" s="3">
        <v>5.9999999999999995E-4</v>
      </c>
    </row>
    <row r="137" spans="2:5">
      <c r="B137" s="22"/>
      <c r="C137" s="1" t="str">
        <f>"SAN FELIPE DEL PROGRESO"</f>
        <v>SAN FELIPE DEL PROGRESO</v>
      </c>
      <c r="D137" s="2">
        <v>3</v>
      </c>
      <c r="E137" s="3">
        <v>1.6999999999999999E-3</v>
      </c>
    </row>
    <row r="138" spans="2:5">
      <c r="B138" s="22"/>
      <c r="C138" s="1" t="str">
        <f>"TEMASCALCINGO"</f>
        <v>TEMASCALCINGO</v>
      </c>
      <c r="D138" s="2">
        <v>1</v>
      </c>
      <c r="E138" s="3">
        <v>5.9999999999999995E-4</v>
      </c>
    </row>
    <row r="139" spans="2:5">
      <c r="B139" s="22"/>
      <c r="C139" s="1" t="str">
        <f>"TENANCINGO"</f>
        <v>TENANCINGO</v>
      </c>
      <c r="D139" s="2">
        <v>1</v>
      </c>
      <c r="E139" s="3">
        <v>5.9999999999999995E-4</v>
      </c>
    </row>
    <row r="140" spans="2:5">
      <c r="B140" s="22"/>
      <c r="C140" s="1" t="str">
        <f>"TEXCALTITLAN"</f>
        <v>TEXCALTITLAN</v>
      </c>
      <c r="D140" s="2">
        <v>1</v>
      </c>
      <c r="E140" s="3">
        <v>5.9999999999999995E-4</v>
      </c>
    </row>
    <row r="141" spans="2:5">
      <c r="B141" s="22"/>
      <c r="C141" s="1" t="str">
        <f>"TEXCOCO"</f>
        <v>TEXCOCO</v>
      </c>
      <c r="D141" s="2">
        <v>2</v>
      </c>
      <c r="E141" s="3">
        <v>1.1000000000000001E-3</v>
      </c>
    </row>
    <row r="142" spans="2:5">
      <c r="B142" s="22"/>
      <c r="C142" s="1" t="str">
        <f>"TLALMANALCO"</f>
        <v>TLALMANALCO</v>
      </c>
      <c r="D142" s="2">
        <v>5</v>
      </c>
      <c r="E142" s="3">
        <v>2.8E-3</v>
      </c>
    </row>
    <row r="143" spans="2:5">
      <c r="B143" s="22"/>
      <c r="C143" s="1" t="str">
        <f>"TOLUCA"</f>
        <v>TOLUCA</v>
      </c>
      <c r="D143" s="2">
        <v>1</v>
      </c>
      <c r="E143" s="3">
        <v>5.9999999999999995E-4</v>
      </c>
    </row>
    <row r="144" spans="2:5">
      <c r="B144" s="22"/>
      <c r="C144" s="1" t="str">
        <f>"VILLA GUERRERO"</f>
        <v>VILLA GUERRERO</v>
      </c>
      <c r="D144" s="2">
        <v>1</v>
      </c>
      <c r="E144" s="3">
        <v>5.9999999999999995E-4</v>
      </c>
    </row>
    <row r="145" spans="2:5">
      <c r="B145" s="22"/>
      <c r="C145" s="1" t="str">
        <f>"VILLA VICTORIA"</f>
        <v>VILLA VICTORIA</v>
      </c>
      <c r="D145" s="2">
        <v>2</v>
      </c>
      <c r="E145" s="3">
        <v>1.1000000000000001E-3</v>
      </c>
    </row>
    <row r="146" spans="2:5">
      <c r="B146" s="23"/>
      <c r="C146" s="18" t="str">
        <f>"Total"</f>
        <v>Total</v>
      </c>
      <c r="D146" s="19">
        <v>58</v>
      </c>
      <c r="E146" s="20">
        <v>3.2599999999999997E-2</v>
      </c>
    </row>
    <row r="147" spans="2:5">
      <c r="B147" s="21" t="str">
        <f t="shared" ref="B147" si="6">"MICHOACAN DE OCAMPO"</f>
        <v>MICHOACAN DE OCAMPO</v>
      </c>
      <c r="C147" s="1" t="str">
        <f>"AGUILILLA"</f>
        <v>AGUILILLA</v>
      </c>
      <c r="D147" s="2">
        <v>1</v>
      </c>
      <c r="E147" s="3">
        <v>5.9999999999999995E-4</v>
      </c>
    </row>
    <row r="148" spans="2:5">
      <c r="B148" s="22"/>
      <c r="C148" s="1" t="str">
        <f>"APATZINGAN"</f>
        <v>APATZINGAN</v>
      </c>
      <c r="D148" s="2">
        <v>22</v>
      </c>
      <c r="E148" s="3">
        <v>1.24E-2</v>
      </c>
    </row>
    <row r="149" spans="2:5">
      <c r="B149" s="22"/>
      <c r="C149" s="1" t="str">
        <f>"APORO"</f>
        <v>APORO</v>
      </c>
      <c r="D149" s="2">
        <v>1</v>
      </c>
      <c r="E149" s="3">
        <v>5.9999999999999995E-4</v>
      </c>
    </row>
    <row r="150" spans="2:5">
      <c r="B150" s="22"/>
      <c r="C150" s="1" t="str">
        <f>"COTIJA"</f>
        <v>COTIJA</v>
      </c>
      <c r="D150" s="2">
        <v>2</v>
      </c>
      <c r="E150" s="3">
        <v>1.1000000000000001E-3</v>
      </c>
    </row>
    <row r="151" spans="2:5">
      <c r="B151" s="22"/>
      <c r="C151" s="1" t="str">
        <f>"HIDALGO"</f>
        <v>HIDALGO</v>
      </c>
      <c r="D151" s="2">
        <v>1</v>
      </c>
      <c r="E151" s="3">
        <v>5.9999999999999995E-4</v>
      </c>
    </row>
    <row r="152" spans="2:5">
      <c r="B152" s="22"/>
      <c r="C152" s="1" t="str">
        <f>"HUIRAMBA"</f>
        <v>HUIRAMBA</v>
      </c>
      <c r="D152" s="2">
        <v>1</v>
      </c>
      <c r="E152" s="3">
        <v>5.9999999999999995E-4</v>
      </c>
    </row>
    <row r="153" spans="2:5">
      <c r="B153" s="22"/>
      <c r="C153" s="1" t="str">
        <f>"JACONA"</f>
        <v>JACONA</v>
      </c>
      <c r="D153" s="2">
        <v>2</v>
      </c>
      <c r="E153" s="3">
        <v>1.1000000000000001E-3</v>
      </c>
    </row>
    <row r="154" spans="2:5">
      <c r="B154" s="22"/>
      <c r="C154" s="1" t="str">
        <f>"JIQUILPAN"</f>
        <v>JIQUILPAN</v>
      </c>
      <c r="D154" s="2">
        <v>34</v>
      </c>
      <c r="E154" s="3">
        <v>1.9099999999999999E-2</v>
      </c>
    </row>
    <row r="155" spans="2:5">
      <c r="B155" s="22"/>
      <c r="C155" s="1" t="str">
        <f>"LA PIEDAD"</f>
        <v>LA PIEDAD</v>
      </c>
      <c r="D155" s="2">
        <v>2</v>
      </c>
      <c r="E155" s="3">
        <v>1.1000000000000001E-3</v>
      </c>
    </row>
    <row r="156" spans="2:5">
      <c r="B156" s="22"/>
      <c r="C156" s="1" t="str">
        <f>"LAGUNILLAS"</f>
        <v>LAGUNILLAS</v>
      </c>
      <c r="D156" s="2">
        <v>14</v>
      </c>
      <c r="E156" s="3">
        <v>7.9000000000000008E-3</v>
      </c>
    </row>
    <row r="157" spans="2:5">
      <c r="B157" s="22"/>
      <c r="C157" s="1" t="str">
        <f>"LOS REYES"</f>
        <v>LOS REYES</v>
      </c>
      <c r="D157" s="2">
        <v>14</v>
      </c>
      <c r="E157" s="3">
        <v>7.9000000000000008E-3</v>
      </c>
    </row>
    <row r="158" spans="2:5">
      <c r="B158" s="22"/>
      <c r="C158" s="1" t="str">
        <f>"MARCOS CASTELLANOS"</f>
        <v>MARCOS CASTELLANOS</v>
      </c>
      <c r="D158" s="2">
        <v>6</v>
      </c>
      <c r="E158" s="3">
        <v>3.3999999999999998E-3</v>
      </c>
    </row>
    <row r="159" spans="2:5">
      <c r="B159" s="22"/>
      <c r="C159" s="1" t="str">
        <f>"MORELIA"</f>
        <v>MORELIA</v>
      </c>
      <c r="D159" s="2">
        <v>17</v>
      </c>
      <c r="E159" s="3">
        <v>9.5999999999999992E-3</v>
      </c>
    </row>
    <row r="160" spans="2:5">
      <c r="B160" s="22"/>
      <c r="C160" s="1" t="str">
        <f>"PATZCUARO"</f>
        <v>PATZCUARO</v>
      </c>
      <c r="D160" s="2">
        <v>2</v>
      </c>
      <c r="E160" s="3">
        <v>1.1000000000000001E-3</v>
      </c>
    </row>
    <row r="161" spans="2:5">
      <c r="B161" s="22"/>
      <c r="C161" s="1" t="str">
        <f>"SAHUAYO"</f>
        <v>SAHUAYO</v>
      </c>
      <c r="D161" s="2">
        <v>6</v>
      </c>
      <c r="E161" s="3">
        <v>3.3999999999999998E-3</v>
      </c>
    </row>
    <row r="162" spans="2:5">
      <c r="B162" s="22"/>
      <c r="C162" s="1" t="str">
        <f>"TANGAMANDAPIO"</f>
        <v>TANGAMANDAPIO</v>
      </c>
      <c r="D162" s="2">
        <v>6</v>
      </c>
      <c r="E162" s="3">
        <v>3.3999999999999998E-3</v>
      </c>
    </row>
    <row r="163" spans="2:5">
      <c r="B163" s="22"/>
      <c r="C163" s="1" t="str">
        <f>"TARETAN"</f>
        <v>TARETAN</v>
      </c>
      <c r="D163" s="2">
        <v>1</v>
      </c>
      <c r="E163" s="3">
        <v>5.9999999999999995E-4</v>
      </c>
    </row>
    <row r="164" spans="2:5">
      <c r="B164" s="22"/>
      <c r="C164" s="1" t="str">
        <f>"TOCUMBO"</f>
        <v>TOCUMBO</v>
      </c>
      <c r="D164" s="2">
        <v>2</v>
      </c>
      <c r="E164" s="3">
        <v>1.1000000000000001E-3</v>
      </c>
    </row>
    <row r="165" spans="2:5">
      <c r="B165" s="22"/>
      <c r="C165" s="1" t="str">
        <f>"TUZANTLA"</f>
        <v>TUZANTLA</v>
      </c>
      <c r="D165" s="2">
        <v>1</v>
      </c>
      <c r="E165" s="3">
        <v>5.9999999999999995E-4</v>
      </c>
    </row>
    <row r="166" spans="2:5">
      <c r="B166" s="22"/>
      <c r="C166" s="1" t="str">
        <f>"VENUSTIANO CARRANZA"</f>
        <v>VENUSTIANO CARRANZA</v>
      </c>
      <c r="D166" s="2">
        <v>1</v>
      </c>
      <c r="E166" s="3">
        <v>5.9999999999999995E-4</v>
      </c>
    </row>
    <row r="167" spans="2:5">
      <c r="B167" s="22"/>
      <c r="C167" s="1" t="str">
        <f>"ZAMORA"</f>
        <v>ZAMORA</v>
      </c>
      <c r="D167" s="2">
        <v>2</v>
      </c>
      <c r="E167" s="3">
        <v>1.1000000000000001E-3</v>
      </c>
    </row>
    <row r="168" spans="2:5">
      <c r="B168" s="23"/>
      <c r="C168" s="18" t="str">
        <f>"Total"</f>
        <v>Total</v>
      </c>
      <c r="D168" s="19">
        <v>138</v>
      </c>
      <c r="E168" s="20">
        <v>7.7600000000000002E-2</v>
      </c>
    </row>
    <row r="169" spans="2:5">
      <c r="B169" s="21" t="str">
        <f t="shared" ref="B169" si="7">"MORELOS"</f>
        <v>MORELOS</v>
      </c>
      <c r="C169" s="1" t="str">
        <f>"AMACUZAC"</f>
        <v>AMACUZAC</v>
      </c>
      <c r="D169" s="2">
        <v>3</v>
      </c>
      <c r="E169" s="3">
        <v>1.6999999999999999E-3</v>
      </c>
    </row>
    <row r="170" spans="2:5">
      <c r="B170" s="22"/>
      <c r="C170" s="1" t="str">
        <f>"AYALA"</f>
        <v>AYALA</v>
      </c>
      <c r="D170" s="2">
        <v>3</v>
      </c>
      <c r="E170" s="3">
        <v>1.6999999999999999E-3</v>
      </c>
    </row>
    <row r="171" spans="2:5">
      <c r="B171" s="22"/>
      <c r="C171" s="1" t="str">
        <f>"CUAUTLA"</f>
        <v>CUAUTLA</v>
      </c>
      <c r="D171" s="2">
        <v>19</v>
      </c>
      <c r="E171" s="3">
        <v>1.0699999999999999E-2</v>
      </c>
    </row>
    <row r="172" spans="2:5">
      <c r="B172" s="22"/>
      <c r="C172" s="1" t="str">
        <f>"CUERNAVACA"</f>
        <v>CUERNAVACA</v>
      </c>
      <c r="D172" s="2">
        <v>12</v>
      </c>
      <c r="E172" s="3">
        <v>6.7000000000000002E-3</v>
      </c>
    </row>
    <row r="173" spans="2:5">
      <c r="B173" s="22"/>
      <c r="C173" s="1" t="str">
        <f>"JANTETELCO"</f>
        <v>JANTETELCO</v>
      </c>
      <c r="D173" s="2">
        <v>1</v>
      </c>
      <c r="E173" s="3">
        <v>5.9999999999999995E-4</v>
      </c>
    </row>
    <row r="174" spans="2:5">
      <c r="B174" s="22"/>
      <c r="C174" s="1" t="str">
        <f>"JIUTEPEC"</f>
        <v>JIUTEPEC</v>
      </c>
      <c r="D174" s="2">
        <v>2</v>
      </c>
      <c r="E174" s="3">
        <v>1.1000000000000001E-3</v>
      </c>
    </row>
    <row r="175" spans="2:5">
      <c r="B175" s="22"/>
      <c r="C175" s="1" t="str">
        <f>"JOJUTLA"</f>
        <v>JOJUTLA</v>
      </c>
      <c r="D175" s="2">
        <v>1</v>
      </c>
      <c r="E175" s="3">
        <v>5.9999999999999995E-4</v>
      </c>
    </row>
    <row r="176" spans="2:5">
      <c r="B176" s="22"/>
      <c r="C176" s="1" t="str">
        <f>"MAZATEPEC"</f>
        <v>MAZATEPEC</v>
      </c>
      <c r="D176" s="2">
        <v>2</v>
      </c>
      <c r="E176" s="3">
        <v>1.1000000000000001E-3</v>
      </c>
    </row>
    <row r="177" spans="2:5">
      <c r="B177" s="22"/>
      <c r="C177" s="1" t="str">
        <f>"MIACATLAN"</f>
        <v>MIACATLAN</v>
      </c>
      <c r="D177" s="2">
        <v>1</v>
      </c>
      <c r="E177" s="3">
        <v>5.9999999999999995E-4</v>
      </c>
    </row>
    <row r="178" spans="2:5">
      <c r="B178" s="22"/>
      <c r="C178" s="1" t="str">
        <f>"TEMOAC"</f>
        <v>TEMOAC</v>
      </c>
      <c r="D178" s="2">
        <v>5</v>
      </c>
      <c r="E178" s="3">
        <v>2.8E-3</v>
      </c>
    </row>
    <row r="179" spans="2:5">
      <c r="B179" s="22"/>
      <c r="C179" s="1" t="str">
        <f>"TEPALCINGO"</f>
        <v>TEPALCINGO</v>
      </c>
      <c r="D179" s="2">
        <v>2</v>
      </c>
      <c r="E179" s="3">
        <v>1.1000000000000001E-3</v>
      </c>
    </row>
    <row r="180" spans="2:5">
      <c r="B180" s="22"/>
      <c r="C180" s="1" t="str">
        <f>"TETELA DEL VOLCAN"</f>
        <v>TETELA DEL VOLCAN</v>
      </c>
      <c r="D180" s="2">
        <v>1</v>
      </c>
      <c r="E180" s="3">
        <v>5.9999999999999995E-4</v>
      </c>
    </row>
    <row r="181" spans="2:5">
      <c r="B181" s="22"/>
      <c r="C181" s="1" t="str">
        <f>"TLAQUILTENANGO"</f>
        <v>TLAQUILTENANGO</v>
      </c>
      <c r="D181" s="2">
        <v>1</v>
      </c>
      <c r="E181" s="3">
        <v>5.9999999999999995E-4</v>
      </c>
    </row>
    <row r="182" spans="2:5">
      <c r="B182" s="22"/>
      <c r="C182" s="1" t="str">
        <f>"TLAYACAPAN"</f>
        <v>TLAYACAPAN</v>
      </c>
      <c r="D182" s="2">
        <v>2</v>
      </c>
      <c r="E182" s="3">
        <v>1.1000000000000001E-3</v>
      </c>
    </row>
    <row r="183" spans="2:5">
      <c r="B183" s="22"/>
      <c r="C183" s="1" t="str">
        <f>"TOTOLAPAN"</f>
        <v>TOTOLAPAN</v>
      </c>
      <c r="D183" s="2">
        <v>1</v>
      </c>
      <c r="E183" s="3">
        <v>5.9999999999999995E-4</v>
      </c>
    </row>
    <row r="184" spans="2:5">
      <c r="B184" s="22"/>
      <c r="C184" s="1" t="str">
        <f>"YAUTEPEC"</f>
        <v>YAUTEPEC</v>
      </c>
      <c r="D184" s="2">
        <v>2</v>
      </c>
      <c r="E184" s="3">
        <v>1.1000000000000001E-3</v>
      </c>
    </row>
    <row r="185" spans="2:5">
      <c r="B185" s="22"/>
      <c r="C185" s="1" t="str">
        <f>"YECAPIXTLA"</f>
        <v>YECAPIXTLA</v>
      </c>
      <c r="D185" s="2">
        <v>2</v>
      </c>
      <c r="E185" s="3">
        <v>1.1000000000000001E-3</v>
      </c>
    </row>
    <row r="186" spans="2:5">
      <c r="B186" s="23"/>
      <c r="C186" s="18" t="str">
        <f>"Total"</f>
        <v>Total</v>
      </c>
      <c r="D186" s="19">
        <v>60</v>
      </c>
      <c r="E186" s="20">
        <v>3.3700000000000001E-2</v>
      </c>
    </row>
    <row r="187" spans="2:5">
      <c r="B187" s="21" t="str">
        <f>"NUEVO LEON"</f>
        <v>NUEVO LEON</v>
      </c>
      <c r="C187" s="1" t="str">
        <f>"MONTERREY"</f>
        <v>MONTERREY</v>
      </c>
      <c r="D187" s="2">
        <v>5</v>
      </c>
      <c r="E187" s="3">
        <v>2.8E-3</v>
      </c>
    </row>
    <row r="188" spans="2:5">
      <c r="B188" s="23"/>
      <c r="C188" s="18" t="str">
        <f>"Total"</f>
        <v>Total</v>
      </c>
      <c r="D188" s="19">
        <v>5</v>
      </c>
      <c r="E188" s="20">
        <v>2.8E-3</v>
      </c>
    </row>
    <row r="189" spans="2:5" ht="15.75" customHeight="1">
      <c r="B189" s="21" t="str">
        <f t="shared" ref="B189" si="8">"OAXACA"</f>
        <v>OAXACA</v>
      </c>
      <c r="C189" s="1" t="str">
        <f>"ACATLAN DE PEREZ FIGUEROA"</f>
        <v>ACATLAN DE PEREZ FIGUEROA</v>
      </c>
      <c r="D189" s="2">
        <v>2</v>
      </c>
      <c r="E189" s="3">
        <v>1.1000000000000001E-3</v>
      </c>
    </row>
    <row r="190" spans="2:5">
      <c r="B190" s="22"/>
      <c r="C190" s="1" t="str">
        <f>"ASUNCION OCOTLAN"</f>
        <v>ASUNCION OCOTLAN</v>
      </c>
      <c r="D190" s="2">
        <v>1</v>
      </c>
      <c r="E190" s="3">
        <v>5.9999999999999995E-4</v>
      </c>
    </row>
    <row r="191" spans="2:5">
      <c r="B191" s="22"/>
      <c r="C191" s="1" t="str">
        <f>"COSOLAPA"</f>
        <v>COSOLAPA</v>
      </c>
      <c r="D191" s="2">
        <v>2</v>
      </c>
      <c r="E191" s="3">
        <v>1.1000000000000001E-3</v>
      </c>
    </row>
    <row r="192" spans="2:5">
      <c r="B192" s="22"/>
      <c r="C192" s="1" t="str">
        <f>"CUILAPAM DE GUERRERO"</f>
        <v>CUILAPAM DE GUERRERO</v>
      </c>
      <c r="D192" s="2">
        <v>1</v>
      </c>
      <c r="E192" s="3">
        <v>5.9999999999999995E-4</v>
      </c>
    </row>
    <row r="193" spans="2:5">
      <c r="B193" s="22"/>
      <c r="C193" s="1" t="str">
        <f>"LOMA BONITA"</f>
        <v>LOMA BONITA</v>
      </c>
      <c r="D193" s="2">
        <v>1</v>
      </c>
      <c r="E193" s="3">
        <v>5.9999999999999995E-4</v>
      </c>
    </row>
    <row r="194" spans="2:5">
      <c r="B194" s="22"/>
      <c r="C194" s="1" t="str">
        <f>"NEJAPA DE MADERO"</f>
        <v>NEJAPA DE MADERO</v>
      </c>
      <c r="D194" s="2">
        <v>2</v>
      </c>
      <c r="E194" s="3">
        <v>1.1000000000000001E-3</v>
      </c>
    </row>
    <row r="195" spans="2:5">
      <c r="B195" s="22"/>
      <c r="C195" s="1" t="str">
        <f>"OAXACA DE JUAREZ"</f>
        <v>OAXACA DE JUAREZ</v>
      </c>
      <c r="D195" s="2">
        <v>60</v>
      </c>
      <c r="E195" s="3">
        <v>3.3700000000000001E-2</v>
      </c>
    </row>
    <row r="196" spans="2:5">
      <c r="B196" s="22"/>
      <c r="C196" s="1" t="str">
        <f>"OCOTLAN DE MORELOS"</f>
        <v>OCOTLAN DE MORELOS</v>
      </c>
      <c r="D196" s="2">
        <v>1</v>
      </c>
      <c r="E196" s="3">
        <v>5.9999999999999995E-4</v>
      </c>
    </row>
    <row r="197" spans="2:5">
      <c r="B197" s="22"/>
      <c r="C197" s="1" t="str">
        <f>"PUTLA VILLA DE GUERRERO"</f>
        <v>PUTLA VILLA DE GUERRERO</v>
      </c>
      <c r="D197" s="2">
        <v>4</v>
      </c>
      <c r="E197" s="3">
        <v>2.2000000000000001E-3</v>
      </c>
    </row>
    <row r="198" spans="2:5">
      <c r="B198" s="22"/>
      <c r="C198" s="1" t="str">
        <f>"SAN AGUSTIN LOXICHA"</f>
        <v>SAN AGUSTIN LOXICHA</v>
      </c>
      <c r="D198" s="2">
        <v>1</v>
      </c>
      <c r="E198" s="3">
        <v>5.9999999999999995E-4</v>
      </c>
    </row>
    <row r="199" spans="2:5">
      <c r="B199" s="22"/>
      <c r="C199" s="1" t="str">
        <f>"SAN AGUSTIN YATARENI"</f>
        <v>SAN AGUSTIN YATARENI</v>
      </c>
      <c r="D199" s="2">
        <v>11</v>
      </c>
      <c r="E199" s="3">
        <v>6.1999999999999998E-3</v>
      </c>
    </row>
    <row r="200" spans="2:5">
      <c r="B200" s="22"/>
      <c r="C200" s="1" t="str">
        <f>"SAN ANDRES PAXTLAN"</f>
        <v>SAN ANDRES PAXTLAN</v>
      </c>
      <c r="D200" s="2">
        <v>1</v>
      </c>
      <c r="E200" s="3">
        <v>5.9999999999999995E-4</v>
      </c>
    </row>
    <row r="201" spans="2:5" ht="30">
      <c r="B201" s="22"/>
      <c r="C201" s="1" t="str">
        <f>"SAN ANTONIO NANAHUATIPAM"</f>
        <v>SAN ANTONIO NANAHUATIPAM</v>
      </c>
      <c r="D201" s="2">
        <v>1</v>
      </c>
      <c r="E201" s="3">
        <v>5.9999999999999995E-4</v>
      </c>
    </row>
    <row r="202" spans="2:5">
      <c r="B202" s="22"/>
      <c r="C202" s="1" t="str">
        <f>"SAN JOSE AYUQUILA"</f>
        <v>SAN JOSE AYUQUILA</v>
      </c>
      <c r="D202" s="2">
        <v>1</v>
      </c>
      <c r="E202" s="3">
        <v>5.9999999999999995E-4</v>
      </c>
    </row>
    <row r="203" spans="2:5">
      <c r="B203" s="22"/>
      <c r="C203" s="1" t="str">
        <f>"SAN JOSE TENANGO"</f>
        <v>SAN JOSE TENANGO</v>
      </c>
      <c r="D203" s="2">
        <v>1</v>
      </c>
      <c r="E203" s="3">
        <v>5.9999999999999995E-4</v>
      </c>
    </row>
    <row r="204" spans="2:5" ht="30">
      <c r="B204" s="22"/>
      <c r="C204" s="1" t="str">
        <f>"SAN JUAN BAUTISTA TUXTEPEC"</f>
        <v>SAN JUAN BAUTISTA TUXTEPEC</v>
      </c>
      <c r="D204" s="2">
        <v>1</v>
      </c>
      <c r="E204" s="3">
        <v>5.9999999999999995E-4</v>
      </c>
    </row>
    <row r="205" spans="2:5">
      <c r="B205" s="22"/>
      <c r="C205" s="1" t="str">
        <f>"SAN JUAN GUICHICOVI"</f>
        <v>SAN JUAN GUICHICOVI</v>
      </c>
      <c r="D205" s="2">
        <v>1</v>
      </c>
      <c r="E205" s="3">
        <v>5.9999999999999995E-4</v>
      </c>
    </row>
    <row r="206" spans="2:5">
      <c r="B206" s="22"/>
      <c r="C206" s="1" t="str">
        <f>"SAN JUAN JUQUILA VIJANOS"</f>
        <v>SAN JUAN JUQUILA VIJANOS</v>
      </c>
      <c r="D206" s="2">
        <v>1</v>
      </c>
      <c r="E206" s="3">
        <v>5.9999999999999995E-4</v>
      </c>
    </row>
    <row r="207" spans="2:5">
      <c r="B207" s="22"/>
      <c r="C207" s="1" t="str">
        <f>"SAN MIGUEL DEL PUERTO"</f>
        <v>SAN MIGUEL DEL PUERTO</v>
      </c>
      <c r="D207" s="2">
        <v>4</v>
      </c>
      <c r="E207" s="3">
        <v>2.2000000000000001E-3</v>
      </c>
    </row>
    <row r="208" spans="2:5">
      <c r="B208" s="22"/>
      <c r="C208" s="1" t="str">
        <f>"SAN PEDRO IXCATLAN"</f>
        <v>SAN PEDRO IXCATLAN</v>
      </c>
      <c r="D208" s="2">
        <v>1</v>
      </c>
      <c r="E208" s="3">
        <v>5.9999999999999995E-4</v>
      </c>
    </row>
    <row r="209" spans="2:5">
      <c r="B209" s="22"/>
      <c r="C209" s="1" t="str">
        <f>"SAN PEDRO OCOTEPEC"</f>
        <v>SAN PEDRO OCOTEPEC</v>
      </c>
      <c r="D209" s="2">
        <v>1</v>
      </c>
      <c r="E209" s="3">
        <v>5.9999999999999995E-4</v>
      </c>
    </row>
    <row r="210" spans="2:5">
      <c r="B210" s="22"/>
      <c r="C210" s="1" t="str">
        <f>"SAN PEDRO POCHUTLA"</f>
        <v>SAN PEDRO POCHUTLA</v>
      </c>
      <c r="D210" s="2">
        <v>3</v>
      </c>
      <c r="E210" s="3">
        <v>1.6999999999999999E-3</v>
      </c>
    </row>
    <row r="211" spans="2:5">
      <c r="B211" s="22"/>
      <c r="C211" s="1" t="str">
        <f>"SANTA CATARINA JUQUILA"</f>
        <v>SANTA CATARINA JUQUILA</v>
      </c>
      <c r="D211" s="2">
        <v>1</v>
      </c>
      <c r="E211" s="3">
        <v>5.9999999999999995E-4</v>
      </c>
    </row>
    <row r="212" spans="2:5">
      <c r="B212" s="22"/>
      <c r="C212" s="1" t="str">
        <f>"SANTIAGO CHAZUMBA"</f>
        <v>SANTIAGO CHAZUMBA</v>
      </c>
      <c r="D212" s="2">
        <v>6</v>
      </c>
      <c r="E212" s="3">
        <v>3.3999999999999998E-3</v>
      </c>
    </row>
    <row r="213" spans="2:5" ht="30">
      <c r="B213" s="22"/>
      <c r="C213" s="1" t="str">
        <f>"SANTIAGO PINOTEPA NACIONAL"</f>
        <v>SANTIAGO PINOTEPA NACIONAL</v>
      </c>
      <c r="D213" s="2">
        <v>2</v>
      </c>
      <c r="E213" s="3">
        <v>1.1000000000000001E-3</v>
      </c>
    </row>
    <row r="214" spans="2:5">
      <c r="B214" s="22"/>
      <c r="C214" s="1" t="str">
        <f>"SILACAYOAPAM"</f>
        <v>SILACAYOAPAM</v>
      </c>
      <c r="D214" s="2">
        <v>3</v>
      </c>
      <c r="E214" s="3">
        <v>1.6999999999999999E-3</v>
      </c>
    </row>
    <row r="215" spans="2:5">
      <c r="B215" s="22"/>
      <c r="C215" s="1" t="str">
        <f>"TLACOLULA DE MATAMOROS"</f>
        <v>TLACOLULA DE MATAMOROS</v>
      </c>
      <c r="D215" s="2">
        <v>1</v>
      </c>
      <c r="E215" s="3">
        <v>5.9999999999999995E-4</v>
      </c>
    </row>
    <row r="216" spans="2:5">
      <c r="B216" s="22"/>
      <c r="C216" s="1" t="str">
        <f>"TLALIXTAC DE CABRERA"</f>
        <v>TLALIXTAC DE CABRERA</v>
      </c>
      <c r="D216" s="2">
        <v>1</v>
      </c>
      <c r="E216" s="3">
        <v>5.9999999999999995E-4</v>
      </c>
    </row>
    <row r="217" spans="2:5">
      <c r="B217" s="22"/>
      <c r="C217" s="1" t="str">
        <f>"VILLA DE ZAACHILA"</f>
        <v>VILLA DE ZAACHILA</v>
      </c>
      <c r="D217" s="2">
        <v>44</v>
      </c>
      <c r="E217" s="3">
        <v>2.47E-2</v>
      </c>
    </row>
    <row r="218" spans="2:5">
      <c r="B218" s="22"/>
      <c r="C218" s="1" t="str">
        <f>"VILLA SOLA DE VEGA"</f>
        <v>VILLA SOLA DE VEGA</v>
      </c>
      <c r="D218" s="2">
        <v>1</v>
      </c>
      <c r="E218" s="3">
        <v>5.9999999999999995E-4</v>
      </c>
    </row>
    <row r="219" spans="2:5">
      <c r="B219" s="23"/>
      <c r="C219" s="18" t="str">
        <f>"Total"</f>
        <v>Total</v>
      </c>
      <c r="D219" s="19">
        <v>161</v>
      </c>
      <c r="E219" s="20">
        <v>9.06E-2</v>
      </c>
    </row>
    <row r="220" spans="2:5">
      <c r="B220" s="21" t="str">
        <f t="shared" ref="B220" si="9">"PUEBLA"</f>
        <v>PUEBLA</v>
      </c>
      <c r="C220" s="1" t="str">
        <f>"ACAJETE"</f>
        <v>ACAJETE</v>
      </c>
      <c r="D220" s="2">
        <v>1</v>
      </c>
      <c r="E220" s="3">
        <v>5.9999999999999995E-4</v>
      </c>
    </row>
    <row r="221" spans="2:5">
      <c r="B221" s="22"/>
      <c r="C221" s="1" t="str">
        <f>"ACATLAN"</f>
        <v>ACATLAN</v>
      </c>
      <c r="D221" s="2">
        <v>15</v>
      </c>
      <c r="E221" s="3">
        <v>8.3999999999999995E-3</v>
      </c>
    </row>
    <row r="222" spans="2:5">
      <c r="B222" s="22"/>
      <c r="C222" s="1" t="str">
        <f>"AJALPAN"</f>
        <v>AJALPAN</v>
      </c>
      <c r="D222" s="2">
        <v>2</v>
      </c>
      <c r="E222" s="3">
        <v>1.1000000000000001E-3</v>
      </c>
    </row>
    <row r="223" spans="2:5">
      <c r="B223" s="22"/>
      <c r="C223" s="1" t="str">
        <f>"ALBINO ZERTUCHE"</f>
        <v>ALBINO ZERTUCHE</v>
      </c>
      <c r="D223" s="2">
        <v>19</v>
      </c>
      <c r="E223" s="3">
        <v>1.0699999999999999E-2</v>
      </c>
    </row>
    <row r="224" spans="2:5">
      <c r="B224" s="22"/>
      <c r="C224" s="1" t="str">
        <f>"AMOZOC"</f>
        <v>AMOZOC</v>
      </c>
      <c r="D224" s="2">
        <v>1</v>
      </c>
      <c r="E224" s="3">
        <v>5.9999999999999995E-4</v>
      </c>
    </row>
    <row r="225" spans="2:5">
      <c r="B225" s="22"/>
      <c r="C225" s="1" t="str">
        <f>"ATLIXCO"</f>
        <v>ATLIXCO</v>
      </c>
      <c r="D225" s="2">
        <v>202</v>
      </c>
      <c r="E225" s="3">
        <v>0.11360000000000001</v>
      </c>
    </row>
    <row r="226" spans="2:5">
      <c r="B226" s="22"/>
      <c r="C226" s="1" t="str">
        <f>"ATZITZIHUACAN"</f>
        <v>ATZITZIHUACAN</v>
      </c>
      <c r="D226" s="2">
        <v>5</v>
      </c>
      <c r="E226" s="3">
        <v>2.8E-3</v>
      </c>
    </row>
    <row r="227" spans="2:5">
      <c r="B227" s="22"/>
      <c r="C227" s="1" t="str">
        <f>"AXUTLA"</f>
        <v>AXUTLA</v>
      </c>
      <c r="D227" s="2">
        <v>1</v>
      </c>
      <c r="E227" s="3">
        <v>5.9999999999999995E-4</v>
      </c>
    </row>
    <row r="228" spans="2:5">
      <c r="B228" s="22"/>
      <c r="C228" s="1" t="str">
        <f>"CHALCHICOMULA DE SESMA"</f>
        <v>CHALCHICOMULA DE SESMA</v>
      </c>
      <c r="D228" s="2">
        <v>1</v>
      </c>
      <c r="E228" s="3">
        <v>5.9999999999999995E-4</v>
      </c>
    </row>
    <row r="229" spans="2:5">
      <c r="B229" s="22"/>
      <c r="C229" s="1" t="str">
        <f>"CHIAUTZINGO"</f>
        <v>CHIAUTZINGO</v>
      </c>
      <c r="D229" s="2">
        <v>6</v>
      </c>
      <c r="E229" s="3">
        <v>3.3999999999999998E-3</v>
      </c>
    </row>
    <row r="230" spans="2:5">
      <c r="B230" s="22"/>
      <c r="C230" s="1" t="str">
        <f>"CHIETLA"</f>
        <v>CHIETLA</v>
      </c>
      <c r="D230" s="2">
        <v>3</v>
      </c>
      <c r="E230" s="3">
        <v>1.6999999999999999E-3</v>
      </c>
    </row>
    <row r="231" spans="2:5">
      <c r="B231" s="22"/>
      <c r="C231" s="1" t="str">
        <f>"COATEPEC"</f>
        <v>COATEPEC</v>
      </c>
      <c r="D231" s="2">
        <v>2</v>
      </c>
      <c r="E231" s="3">
        <v>1.1000000000000001E-3</v>
      </c>
    </row>
    <row r="232" spans="2:5">
      <c r="B232" s="22"/>
      <c r="C232" s="1" t="str">
        <f>"CORONANGO"</f>
        <v>CORONANGO</v>
      </c>
      <c r="D232" s="2">
        <v>3</v>
      </c>
      <c r="E232" s="3">
        <v>1.6999999999999999E-3</v>
      </c>
    </row>
    <row r="233" spans="2:5">
      <c r="B233" s="22"/>
      <c r="C233" s="1" t="str">
        <f>"COXCATLAN"</f>
        <v>COXCATLAN</v>
      </c>
      <c r="D233" s="2">
        <v>1</v>
      </c>
      <c r="E233" s="3">
        <v>5.9999999999999995E-4</v>
      </c>
    </row>
    <row r="234" spans="2:5">
      <c r="B234" s="22"/>
      <c r="C234" s="1" t="str">
        <f>"CUAPIAXTLA DE MADERO"</f>
        <v>CUAPIAXTLA DE MADERO</v>
      </c>
      <c r="D234" s="2">
        <v>1</v>
      </c>
      <c r="E234" s="3">
        <v>5.9999999999999995E-4</v>
      </c>
    </row>
    <row r="235" spans="2:5">
      <c r="B235" s="22"/>
      <c r="C235" s="1" t="str">
        <f>"CUAUTLANCINGO"</f>
        <v>CUAUTLANCINGO</v>
      </c>
      <c r="D235" s="2">
        <v>1</v>
      </c>
      <c r="E235" s="3">
        <v>5.9999999999999995E-4</v>
      </c>
    </row>
    <row r="236" spans="2:5">
      <c r="B236" s="22"/>
      <c r="C236" s="1" t="str">
        <f>"CUYOACO"</f>
        <v>CUYOACO</v>
      </c>
      <c r="D236" s="2">
        <v>1</v>
      </c>
      <c r="E236" s="3">
        <v>5.9999999999999995E-4</v>
      </c>
    </row>
    <row r="237" spans="2:5">
      <c r="B237" s="22"/>
      <c r="C237" s="1" t="str">
        <f>"EPATLAN"</f>
        <v>EPATLAN</v>
      </c>
      <c r="D237" s="2">
        <v>1</v>
      </c>
      <c r="E237" s="3">
        <v>5.9999999999999995E-4</v>
      </c>
    </row>
    <row r="238" spans="2:5">
      <c r="B238" s="22"/>
      <c r="C238" s="1" t="str">
        <f>"GUADALUPE VICTORIA"</f>
        <v>GUADALUPE VICTORIA</v>
      </c>
      <c r="D238" s="2">
        <v>1</v>
      </c>
      <c r="E238" s="3">
        <v>5.9999999999999995E-4</v>
      </c>
    </row>
    <row r="239" spans="2:5">
      <c r="B239" s="22"/>
      <c r="C239" s="1" t="str">
        <f>"HUAQUECHULA"</f>
        <v>HUAQUECHULA</v>
      </c>
      <c r="D239" s="2">
        <v>12</v>
      </c>
      <c r="E239" s="3">
        <v>6.7000000000000002E-3</v>
      </c>
    </row>
    <row r="240" spans="2:5">
      <c r="B240" s="22"/>
      <c r="C240" s="1" t="str">
        <f>"HUATLATLAUCA"</f>
        <v>HUATLATLAUCA</v>
      </c>
      <c r="D240" s="2">
        <v>1</v>
      </c>
      <c r="E240" s="3">
        <v>5.9999999999999995E-4</v>
      </c>
    </row>
    <row r="241" spans="2:5">
      <c r="B241" s="22"/>
      <c r="C241" s="1" t="str">
        <f>"HUAUCHINANGO"</f>
        <v>HUAUCHINANGO</v>
      </c>
      <c r="D241" s="2">
        <v>1</v>
      </c>
      <c r="E241" s="3">
        <v>5.9999999999999995E-4</v>
      </c>
    </row>
    <row r="242" spans="2:5">
      <c r="B242" s="22"/>
      <c r="C242" s="1" t="str">
        <f>"HUEHUETLAN EL GRANDE"</f>
        <v>HUEHUETLAN EL GRANDE</v>
      </c>
      <c r="D242" s="2">
        <v>3</v>
      </c>
      <c r="E242" s="3">
        <v>1.6999999999999999E-3</v>
      </c>
    </row>
    <row r="243" spans="2:5">
      <c r="B243" s="22"/>
      <c r="C243" s="1" t="str">
        <f>"HUEJOTZINGO"</f>
        <v>HUEJOTZINGO</v>
      </c>
      <c r="D243" s="2">
        <v>1</v>
      </c>
      <c r="E243" s="3">
        <v>5.9999999999999995E-4</v>
      </c>
    </row>
    <row r="244" spans="2:5">
      <c r="B244" s="22"/>
      <c r="C244" s="1" t="str">
        <f>"IXTACAMAXTITLAN"</f>
        <v>IXTACAMAXTITLAN</v>
      </c>
      <c r="D244" s="2">
        <v>1</v>
      </c>
      <c r="E244" s="3">
        <v>5.9999999999999995E-4</v>
      </c>
    </row>
    <row r="245" spans="2:5">
      <c r="B245" s="22"/>
      <c r="C245" s="1" t="str">
        <f>"IZUCAR DE MATAMOROS"</f>
        <v>IZUCAR DE MATAMOROS</v>
      </c>
      <c r="D245" s="2">
        <v>13</v>
      </c>
      <c r="E245" s="3">
        <v>7.3000000000000001E-3</v>
      </c>
    </row>
    <row r="246" spans="2:5">
      <c r="B246" s="22"/>
      <c r="C246" s="1" t="str">
        <f>"JUAN C. BONILLA"</f>
        <v>JUAN C. BONILLA</v>
      </c>
      <c r="D246" s="2">
        <v>6</v>
      </c>
      <c r="E246" s="3">
        <v>3.3999999999999998E-3</v>
      </c>
    </row>
    <row r="247" spans="2:5">
      <c r="B247" s="22"/>
      <c r="C247" s="1" t="str">
        <f>"LIBRES"</f>
        <v>LIBRES</v>
      </c>
      <c r="D247" s="2">
        <v>2</v>
      </c>
      <c r="E247" s="3">
        <v>1.1000000000000001E-3</v>
      </c>
    </row>
    <row r="248" spans="2:5">
      <c r="B248" s="22"/>
      <c r="C248" s="1" t="str">
        <f>"LOS REYES DE JUAREZ"</f>
        <v>LOS REYES DE JUAREZ</v>
      </c>
      <c r="D248" s="2">
        <v>1</v>
      </c>
      <c r="E248" s="3">
        <v>5.9999999999999995E-4</v>
      </c>
    </row>
    <row r="249" spans="2:5">
      <c r="B249" s="22"/>
      <c r="C249" s="1" t="str">
        <f>"MOLCAXAC"</f>
        <v>MOLCAXAC</v>
      </c>
      <c r="D249" s="2">
        <v>1</v>
      </c>
      <c r="E249" s="3">
        <v>5.9999999999999995E-4</v>
      </c>
    </row>
    <row r="250" spans="2:5">
      <c r="B250" s="22"/>
      <c r="C250" s="1" t="str">
        <f>"NEALTICAN"</f>
        <v>NEALTICAN</v>
      </c>
      <c r="D250" s="2">
        <v>1</v>
      </c>
      <c r="E250" s="3">
        <v>5.9999999999999995E-4</v>
      </c>
    </row>
    <row r="251" spans="2:5">
      <c r="B251" s="22"/>
      <c r="C251" s="1" t="str">
        <f>"NICOLAS BRAVO"</f>
        <v>NICOLAS BRAVO</v>
      </c>
      <c r="D251" s="2">
        <v>1</v>
      </c>
      <c r="E251" s="3">
        <v>5.9999999999999995E-4</v>
      </c>
    </row>
    <row r="252" spans="2:5">
      <c r="B252" s="22"/>
      <c r="C252" s="1" t="str">
        <f>"NOPALUCAN"</f>
        <v>NOPALUCAN</v>
      </c>
      <c r="D252" s="2">
        <v>1</v>
      </c>
      <c r="E252" s="3">
        <v>5.9999999999999995E-4</v>
      </c>
    </row>
    <row r="253" spans="2:5">
      <c r="B253" s="22"/>
      <c r="C253" s="1" t="str">
        <f>"OCOTEPEC"</f>
        <v>OCOTEPEC</v>
      </c>
      <c r="D253" s="2">
        <v>1</v>
      </c>
      <c r="E253" s="3">
        <v>5.9999999999999995E-4</v>
      </c>
    </row>
    <row r="254" spans="2:5">
      <c r="B254" s="22"/>
      <c r="C254" s="1" t="str">
        <f>"OCOYUCAN"</f>
        <v>OCOYUCAN</v>
      </c>
      <c r="D254" s="2">
        <v>20</v>
      </c>
      <c r="E254" s="3">
        <v>1.12E-2</v>
      </c>
    </row>
    <row r="255" spans="2:5">
      <c r="B255" s="22"/>
      <c r="C255" s="1" t="str">
        <f>"PETLALCINGO"</f>
        <v>PETLALCINGO</v>
      </c>
      <c r="D255" s="2">
        <v>2</v>
      </c>
      <c r="E255" s="3">
        <v>1.1000000000000001E-3</v>
      </c>
    </row>
    <row r="256" spans="2:5">
      <c r="B256" s="22"/>
      <c r="C256" s="1" t="str">
        <f>"PIAXTLA"</f>
        <v>PIAXTLA</v>
      </c>
      <c r="D256" s="2">
        <v>7</v>
      </c>
      <c r="E256" s="3">
        <v>3.8999999999999998E-3</v>
      </c>
    </row>
    <row r="257" spans="2:5">
      <c r="B257" s="22"/>
      <c r="C257" s="1" t="str">
        <f>"PUEBLA"</f>
        <v>PUEBLA</v>
      </c>
      <c r="D257" s="2">
        <v>49</v>
      </c>
      <c r="E257" s="3">
        <v>2.76E-2</v>
      </c>
    </row>
    <row r="258" spans="2:5">
      <c r="B258" s="22"/>
      <c r="C258" s="1" t="str">
        <f>"QUECHOLAC"</f>
        <v>QUECHOLAC</v>
      </c>
      <c r="D258" s="2">
        <v>2</v>
      </c>
      <c r="E258" s="3">
        <v>1.1000000000000001E-3</v>
      </c>
    </row>
    <row r="259" spans="2:5">
      <c r="B259" s="22"/>
      <c r="C259" s="1" t="str">
        <f>"RAFAEL LARA GRAJALES"</f>
        <v>RAFAEL LARA GRAJALES</v>
      </c>
      <c r="D259" s="2">
        <v>1</v>
      </c>
      <c r="E259" s="3">
        <v>5.9999999999999995E-4</v>
      </c>
    </row>
    <row r="260" spans="2:5">
      <c r="B260" s="22"/>
      <c r="C260" s="1" t="str">
        <f>"SAN ANDRES CHOLULA"</f>
        <v>SAN ANDRES CHOLULA</v>
      </c>
      <c r="D260" s="2">
        <v>19</v>
      </c>
      <c r="E260" s="3">
        <v>1.0699999999999999E-2</v>
      </c>
    </row>
    <row r="261" spans="2:5">
      <c r="B261" s="22"/>
      <c r="C261" s="1" t="str">
        <f>"SAN FELIPE TEOTLALCINGO"</f>
        <v>SAN FELIPE TEOTLALCINGO</v>
      </c>
      <c r="D261" s="2">
        <v>4</v>
      </c>
      <c r="E261" s="3">
        <v>2.2000000000000001E-3</v>
      </c>
    </row>
    <row r="262" spans="2:5">
      <c r="B262" s="22"/>
      <c r="C262" s="1" t="str">
        <f>"SAN GABRIEL CHILAC"</f>
        <v>SAN GABRIEL CHILAC</v>
      </c>
      <c r="D262" s="2">
        <v>2</v>
      </c>
      <c r="E262" s="3">
        <v>1.1000000000000001E-3</v>
      </c>
    </row>
    <row r="263" spans="2:5">
      <c r="B263" s="22"/>
      <c r="C263" s="1" t="str">
        <f>"SAN GREGORIO ATZOMPA"</f>
        <v>SAN GREGORIO ATZOMPA</v>
      </c>
      <c r="D263" s="2">
        <v>5</v>
      </c>
      <c r="E263" s="3">
        <v>2.8E-3</v>
      </c>
    </row>
    <row r="264" spans="2:5" ht="15" customHeight="1">
      <c r="B264" s="22"/>
      <c r="C264" s="1" t="str">
        <f>"SAN JERONIMO XAYACATLAN"</f>
        <v>SAN JERONIMO XAYACATLAN</v>
      </c>
      <c r="D264" s="2">
        <v>2</v>
      </c>
      <c r="E264" s="3">
        <v>1.1000000000000001E-3</v>
      </c>
    </row>
    <row r="265" spans="2:5">
      <c r="B265" s="22"/>
      <c r="C265" s="1" t="str">
        <f>"SAN JUAN ATZOMPA"</f>
        <v>SAN JUAN ATZOMPA</v>
      </c>
      <c r="D265" s="2">
        <v>1</v>
      </c>
      <c r="E265" s="3">
        <v>5.9999999999999995E-4</v>
      </c>
    </row>
    <row r="266" spans="2:5">
      <c r="B266" s="22"/>
      <c r="C266" s="1" t="str">
        <f>"SAN MARTIN TEXMELUCAN"</f>
        <v>SAN MARTIN TEXMELUCAN</v>
      </c>
      <c r="D266" s="2">
        <v>3</v>
      </c>
      <c r="E266" s="3">
        <v>1.6999999999999999E-3</v>
      </c>
    </row>
    <row r="267" spans="2:5">
      <c r="B267" s="22"/>
      <c r="C267" s="1" t="str">
        <f>"SAN MARTIN TOTOLTEPEC"</f>
        <v>SAN MARTIN TOTOLTEPEC</v>
      </c>
      <c r="D267" s="2">
        <v>1</v>
      </c>
      <c r="E267" s="3">
        <v>5.9999999999999995E-4</v>
      </c>
    </row>
    <row r="268" spans="2:5">
      <c r="B268" s="22"/>
      <c r="C268" s="1" t="str">
        <f>"SAN MIGUEL XOXTLA"</f>
        <v>SAN MIGUEL XOXTLA</v>
      </c>
      <c r="D268" s="2">
        <v>2</v>
      </c>
      <c r="E268" s="3">
        <v>1.1000000000000001E-3</v>
      </c>
    </row>
    <row r="269" spans="2:5" ht="30">
      <c r="B269" s="22"/>
      <c r="C269" s="1" t="str">
        <f>"SAN NICOLAS DE LOS RANCHOS"</f>
        <v>SAN NICOLAS DE LOS RANCHOS</v>
      </c>
      <c r="D269" s="2">
        <v>1</v>
      </c>
      <c r="E269" s="3">
        <v>5.9999999999999995E-4</v>
      </c>
    </row>
    <row r="270" spans="2:5">
      <c r="B270" s="22"/>
      <c r="C270" s="1" t="str">
        <f>"SAN PEDRO CHOLULA"</f>
        <v>SAN PEDRO CHOLULA</v>
      </c>
      <c r="D270" s="2">
        <v>25</v>
      </c>
      <c r="E270" s="3">
        <v>1.41E-2</v>
      </c>
    </row>
    <row r="271" spans="2:5" ht="15" customHeight="1">
      <c r="B271" s="22"/>
      <c r="C271" s="1" t="str">
        <f>"SAN PEDRO YELOIXTLAHUACA"</f>
        <v>SAN PEDRO YELOIXTLAHUACA</v>
      </c>
      <c r="D271" s="2">
        <v>3</v>
      </c>
      <c r="E271" s="3">
        <v>1.6999999999999999E-3</v>
      </c>
    </row>
    <row r="272" spans="2:5">
      <c r="B272" s="22"/>
      <c r="C272" s="1" t="str">
        <f>"SANTA INES AHUATEMPAN"</f>
        <v>SANTA INES AHUATEMPAN</v>
      </c>
      <c r="D272" s="2">
        <v>3</v>
      </c>
      <c r="E272" s="3">
        <v>1.6999999999999999E-3</v>
      </c>
    </row>
    <row r="273" spans="2:5">
      <c r="B273" s="22"/>
      <c r="C273" s="1" t="str">
        <f>"SANTA ISABEL CHOLULA"</f>
        <v>SANTA ISABEL CHOLULA</v>
      </c>
      <c r="D273" s="2">
        <v>3</v>
      </c>
      <c r="E273" s="3">
        <v>1.6999999999999999E-3</v>
      </c>
    </row>
    <row r="274" spans="2:5" ht="15" customHeight="1">
      <c r="B274" s="22"/>
      <c r="C274" s="1" t="str">
        <f>"SANTO TOMAS HUEYOTLIPAN"</f>
        <v>SANTO TOMAS HUEYOTLIPAN</v>
      </c>
      <c r="D274" s="2">
        <v>1</v>
      </c>
      <c r="E274" s="3">
        <v>5.9999999999999995E-4</v>
      </c>
    </row>
    <row r="275" spans="2:5">
      <c r="B275" s="22"/>
      <c r="C275" s="1" t="str">
        <f>"SOLTEPEC"</f>
        <v>SOLTEPEC</v>
      </c>
      <c r="D275" s="2">
        <v>1</v>
      </c>
      <c r="E275" s="3">
        <v>5.9999999999999995E-4</v>
      </c>
    </row>
    <row r="276" spans="2:5">
      <c r="B276" s="22"/>
      <c r="C276" s="1" t="str">
        <f>"TECALI DE HERRERA"</f>
        <v>TECALI DE HERRERA</v>
      </c>
      <c r="D276" s="2">
        <v>22</v>
      </c>
      <c r="E276" s="3">
        <v>1.24E-2</v>
      </c>
    </row>
    <row r="277" spans="2:5">
      <c r="B277" s="22"/>
      <c r="C277" s="1" t="str">
        <f>"TECAMACHALCO"</f>
        <v>TECAMACHALCO</v>
      </c>
      <c r="D277" s="2">
        <v>3</v>
      </c>
      <c r="E277" s="3">
        <v>1.6999999999999999E-3</v>
      </c>
    </row>
    <row r="278" spans="2:5">
      <c r="B278" s="22"/>
      <c r="C278" s="1" t="str">
        <f>"TECOMATLAN"</f>
        <v>TECOMATLAN</v>
      </c>
      <c r="D278" s="2">
        <v>24</v>
      </c>
      <c r="E278" s="3">
        <v>1.35E-2</v>
      </c>
    </row>
    <row r="279" spans="2:5">
      <c r="B279" s="22"/>
      <c r="C279" s="1" t="str">
        <f>"TEHUACAN"</f>
        <v>TEHUACAN</v>
      </c>
      <c r="D279" s="2">
        <v>1</v>
      </c>
      <c r="E279" s="3">
        <v>5.9999999999999995E-4</v>
      </c>
    </row>
    <row r="280" spans="2:5">
      <c r="B280" s="22"/>
      <c r="C280" s="1" t="str">
        <f>"TEHUITZINGO"</f>
        <v>TEHUITZINGO</v>
      </c>
      <c r="D280" s="2">
        <v>20</v>
      </c>
      <c r="E280" s="3">
        <v>1.12E-2</v>
      </c>
    </row>
    <row r="281" spans="2:5">
      <c r="B281" s="22"/>
      <c r="C281" s="1" t="str">
        <f>"TEPANCO DE LOPEZ"</f>
        <v>TEPANCO DE LOPEZ</v>
      </c>
      <c r="D281" s="2">
        <v>1</v>
      </c>
      <c r="E281" s="3">
        <v>5.9999999999999995E-4</v>
      </c>
    </row>
    <row r="282" spans="2:5">
      <c r="B282" s="22"/>
      <c r="C282" s="1" t="str">
        <f>"TEPEACA"</f>
        <v>TEPEACA</v>
      </c>
      <c r="D282" s="2">
        <v>18</v>
      </c>
      <c r="E282" s="3">
        <v>1.01E-2</v>
      </c>
    </row>
    <row r="283" spans="2:5">
      <c r="B283" s="22"/>
      <c r="C283" s="1" t="str">
        <f>"TEPEMAXALCO"</f>
        <v>TEPEMAXALCO</v>
      </c>
      <c r="D283" s="2">
        <v>1</v>
      </c>
      <c r="E283" s="3">
        <v>5.9999999999999995E-4</v>
      </c>
    </row>
    <row r="284" spans="2:5">
      <c r="B284" s="22"/>
      <c r="C284" s="1" t="str">
        <f>"TEPEOJUMA"</f>
        <v>TEPEOJUMA</v>
      </c>
      <c r="D284" s="2">
        <v>2</v>
      </c>
      <c r="E284" s="3">
        <v>1.1000000000000001E-3</v>
      </c>
    </row>
    <row r="285" spans="2:5">
      <c r="B285" s="22"/>
      <c r="C285" s="1" t="str">
        <f>"TEPEXI DE RODRIGUEZ"</f>
        <v>TEPEXI DE RODRIGUEZ</v>
      </c>
      <c r="D285" s="2">
        <v>1</v>
      </c>
      <c r="E285" s="3">
        <v>5.9999999999999995E-4</v>
      </c>
    </row>
    <row r="286" spans="2:5">
      <c r="B286" s="22"/>
      <c r="C286" s="1" t="str">
        <f>"TEPEYAHUALCO"</f>
        <v>TEPEYAHUALCO</v>
      </c>
      <c r="D286" s="2">
        <v>3</v>
      </c>
      <c r="E286" s="3">
        <v>1.6999999999999999E-3</v>
      </c>
    </row>
    <row r="287" spans="2:5">
      <c r="B287" s="22"/>
      <c r="C287" s="1" t="str">
        <f>"TIANGUISMANALCO"</f>
        <v>TIANGUISMANALCO</v>
      </c>
      <c r="D287" s="2">
        <v>14</v>
      </c>
      <c r="E287" s="3">
        <v>7.9000000000000008E-3</v>
      </c>
    </row>
    <row r="288" spans="2:5">
      <c r="B288" s="22"/>
      <c r="C288" s="1" t="str">
        <f>"TILAPA"</f>
        <v>TILAPA</v>
      </c>
      <c r="D288" s="2">
        <v>1</v>
      </c>
      <c r="E288" s="3">
        <v>5.9999999999999995E-4</v>
      </c>
    </row>
    <row r="289" spans="2:5">
      <c r="B289" s="22"/>
      <c r="C289" s="1" t="str">
        <f>"TLACHICHUCA"</f>
        <v>TLACHICHUCA</v>
      </c>
      <c r="D289" s="2">
        <v>1</v>
      </c>
      <c r="E289" s="3">
        <v>5.9999999999999995E-4</v>
      </c>
    </row>
    <row r="290" spans="2:5">
      <c r="B290" s="22"/>
      <c r="C290" s="1" t="str">
        <f>"TLACUILOTEPEC"</f>
        <v>TLACUILOTEPEC</v>
      </c>
      <c r="D290" s="2">
        <v>1</v>
      </c>
      <c r="E290" s="3">
        <v>5.9999999999999995E-4</v>
      </c>
    </row>
    <row r="291" spans="2:5">
      <c r="B291" s="22"/>
      <c r="C291" s="1" t="str">
        <f>"TLAHUAPAN"</f>
        <v>TLAHUAPAN</v>
      </c>
      <c r="D291" s="2">
        <v>3</v>
      </c>
      <c r="E291" s="3">
        <v>1.6999999999999999E-3</v>
      </c>
    </row>
    <row r="292" spans="2:5">
      <c r="B292" s="22"/>
      <c r="C292" s="1" t="str">
        <f>"TLAPANALA"</f>
        <v>TLAPANALA</v>
      </c>
      <c r="D292" s="2">
        <v>7</v>
      </c>
      <c r="E292" s="3">
        <v>3.8999999999999998E-3</v>
      </c>
    </row>
    <row r="293" spans="2:5">
      <c r="B293" s="22"/>
      <c r="C293" s="1" t="str">
        <f>"TLATLAUQUITEPEC"</f>
        <v>TLATLAUQUITEPEC</v>
      </c>
      <c r="D293" s="2">
        <v>3</v>
      </c>
      <c r="E293" s="3">
        <v>1.6999999999999999E-3</v>
      </c>
    </row>
    <row r="294" spans="2:5">
      <c r="B294" s="22"/>
      <c r="C294" s="1" t="str">
        <f>"TOCHIMILCO"</f>
        <v>TOCHIMILCO</v>
      </c>
      <c r="D294" s="2">
        <v>4</v>
      </c>
      <c r="E294" s="3">
        <v>2.2000000000000001E-3</v>
      </c>
    </row>
    <row r="295" spans="2:5">
      <c r="B295" s="22"/>
      <c r="C295" s="1" t="str">
        <f>"TOCHTEPEC"</f>
        <v>TOCHTEPEC</v>
      </c>
      <c r="D295" s="2">
        <v>3</v>
      </c>
      <c r="E295" s="3">
        <v>1.6999999999999999E-3</v>
      </c>
    </row>
    <row r="296" spans="2:5">
      <c r="B296" s="22"/>
      <c r="C296" s="1" t="str">
        <f>"XAYACATLAN DE BRAVO"</f>
        <v>XAYACATLAN DE BRAVO</v>
      </c>
      <c r="D296" s="2">
        <v>4</v>
      </c>
      <c r="E296" s="3">
        <v>2.2000000000000001E-3</v>
      </c>
    </row>
    <row r="297" spans="2:5">
      <c r="B297" s="22"/>
      <c r="C297" s="1" t="str">
        <f>"XOCHILTEPEC"</f>
        <v>XOCHILTEPEC</v>
      </c>
      <c r="D297" s="2">
        <v>6</v>
      </c>
      <c r="E297" s="3">
        <v>3.3999999999999998E-3</v>
      </c>
    </row>
    <row r="298" spans="2:5">
      <c r="B298" s="22"/>
      <c r="C298" s="1" t="str">
        <f>"XOCHITLAN TODOS SANTOS"</f>
        <v>XOCHITLAN TODOS SANTOS</v>
      </c>
      <c r="D298" s="2">
        <v>3</v>
      </c>
      <c r="E298" s="3">
        <v>1.6999999999999999E-3</v>
      </c>
    </row>
    <row r="299" spans="2:5">
      <c r="B299" s="22"/>
      <c r="C299" s="1" t="str">
        <f>"YEHUALTEPEC"</f>
        <v>YEHUALTEPEC</v>
      </c>
      <c r="D299" s="2">
        <v>4</v>
      </c>
      <c r="E299" s="3">
        <v>2.2000000000000001E-3</v>
      </c>
    </row>
    <row r="300" spans="2:5">
      <c r="B300" s="22"/>
      <c r="C300" s="1" t="str">
        <f>"ZACAPALA"</f>
        <v>ZACAPALA</v>
      </c>
      <c r="D300" s="2">
        <v>1</v>
      </c>
      <c r="E300" s="3">
        <v>5.9999999999999995E-4</v>
      </c>
    </row>
    <row r="301" spans="2:5">
      <c r="B301" s="22"/>
      <c r="C301" s="1" t="str">
        <f>"ZACAPOAXTLA"</f>
        <v>ZACAPOAXTLA</v>
      </c>
      <c r="D301" s="2">
        <v>1</v>
      </c>
      <c r="E301" s="3">
        <v>5.9999999999999995E-4</v>
      </c>
    </row>
    <row r="302" spans="2:5">
      <c r="B302" s="22"/>
      <c r="C302" s="1" t="str">
        <f>"ZARAGOZA"</f>
        <v>ZARAGOZA</v>
      </c>
      <c r="D302" s="2">
        <v>1</v>
      </c>
      <c r="E302" s="3">
        <v>5.9999999999999995E-4</v>
      </c>
    </row>
    <row r="303" spans="2:5">
      <c r="B303" s="22"/>
      <c r="C303" s="1" t="str">
        <f>"ZAUTLA"</f>
        <v>ZAUTLA</v>
      </c>
      <c r="D303" s="2">
        <v>1</v>
      </c>
      <c r="E303" s="3">
        <v>5.9999999999999995E-4</v>
      </c>
    </row>
    <row r="304" spans="2:5">
      <c r="B304" s="22"/>
      <c r="C304" s="1" t="str">
        <f>"ZINACATEPEC"</f>
        <v>ZINACATEPEC</v>
      </c>
      <c r="D304" s="2">
        <v>2</v>
      </c>
      <c r="E304" s="3">
        <v>1.1000000000000001E-3</v>
      </c>
    </row>
    <row r="305" spans="2:5">
      <c r="B305" s="23"/>
      <c r="C305" s="18" t="str">
        <f>"Total"</f>
        <v>Total</v>
      </c>
      <c r="D305" s="19">
        <v>626</v>
      </c>
      <c r="E305" s="20">
        <v>0.35210000000000002</v>
      </c>
    </row>
    <row r="306" spans="2:5">
      <c r="B306" s="21" t="str">
        <f>"QUERETARO DE ARTEAGA"</f>
        <v>QUERETARO DE ARTEAGA</v>
      </c>
      <c r="C306" s="1" t="str">
        <f>"QUERETARO"</f>
        <v>QUERETARO</v>
      </c>
      <c r="D306" s="2">
        <v>2</v>
      </c>
      <c r="E306" s="3">
        <v>1.1000000000000001E-3</v>
      </c>
    </row>
    <row r="307" spans="2:5">
      <c r="B307" s="22"/>
      <c r="C307" s="1" t="str">
        <f>"TOLIMAN"</f>
        <v>TOLIMAN</v>
      </c>
      <c r="D307" s="2">
        <v>1</v>
      </c>
      <c r="E307" s="3">
        <v>5.9999999999999995E-4</v>
      </c>
    </row>
    <row r="308" spans="2:5">
      <c r="B308" s="23"/>
      <c r="C308" s="18" t="str">
        <f>"Total"</f>
        <v>Total</v>
      </c>
      <c r="D308" s="19">
        <v>3</v>
      </c>
      <c r="E308" s="20">
        <v>1.6999999999999999E-3</v>
      </c>
    </row>
    <row r="309" spans="2:5">
      <c r="B309" s="21" t="str">
        <f t="shared" ref="B309" si="10">"SAN LUIS POTOSI"</f>
        <v>SAN LUIS POTOSI</v>
      </c>
      <c r="C309" s="1" t="str">
        <f>"AHUALULCO"</f>
        <v>AHUALULCO</v>
      </c>
      <c r="D309" s="2">
        <v>2</v>
      </c>
      <c r="E309" s="3">
        <v>1.1000000000000001E-3</v>
      </c>
    </row>
    <row r="310" spans="2:5">
      <c r="B310" s="22"/>
      <c r="C310" s="1" t="str">
        <f>"CIUDAD DEL MAIZ"</f>
        <v>CIUDAD DEL MAIZ</v>
      </c>
      <c r="D310" s="2">
        <v>1</v>
      </c>
      <c r="E310" s="3">
        <v>5.9999999999999995E-4</v>
      </c>
    </row>
    <row r="311" spans="2:5">
      <c r="B311" s="22"/>
      <c r="C311" s="1" t="str">
        <f>"CIUDAD VALLES"</f>
        <v>CIUDAD VALLES</v>
      </c>
      <c r="D311" s="2">
        <v>3</v>
      </c>
      <c r="E311" s="3">
        <v>1.6999999999999999E-3</v>
      </c>
    </row>
    <row r="312" spans="2:5">
      <c r="B312" s="22"/>
      <c r="C312" s="1" t="str">
        <f>"GUADALCAZAR"</f>
        <v>GUADALCAZAR</v>
      </c>
      <c r="D312" s="2">
        <v>1</v>
      </c>
      <c r="E312" s="3">
        <v>5.9999999999999995E-4</v>
      </c>
    </row>
    <row r="313" spans="2:5">
      <c r="B313" s="22"/>
      <c r="C313" s="1" t="str">
        <f>"MEXQUITIC DE CARMONA"</f>
        <v>MEXQUITIC DE CARMONA</v>
      </c>
      <c r="D313" s="2">
        <v>3</v>
      </c>
      <c r="E313" s="3">
        <v>1.6999999999999999E-3</v>
      </c>
    </row>
    <row r="314" spans="2:5">
      <c r="B314" s="22"/>
      <c r="C314" s="1" t="str">
        <f>"RAYON"</f>
        <v>RAYON</v>
      </c>
      <c r="D314" s="2">
        <v>3</v>
      </c>
      <c r="E314" s="3">
        <v>1.6999999999999999E-3</v>
      </c>
    </row>
    <row r="315" spans="2:5">
      <c r="B315" s="22"/>
      <c r="C315" s="1" t="str">
        <f>"RIOVERDE"</f>
        <v>RIOVERDE</v>
      </c>
      <c r="D315" s="2">
        <v>3</v>
      </c>
      <c r="E315" s="3">
        <v>1.6999999999999999E-3</v>
      </c>
    </row>
    <row r="316" spans="2:5">
      <c r="B316" s="22"/>
      <c r="C316" s="1" t="str">
        <f>"SAN LUIS POTOSI"</f>
        <v>SAN LUIS POTOSI</v>
      </c>
      <c r="D316" s="2">
        <v>6</v>
      </c>
      <c r="E316" s="3">
        <v>3.3999999999999998E-3</v>
      </c>
    </row>
    <row r="317" spans="2:5">
      <c r="B317" s="22"/>
      <c r="C317" s="1" t="str">
        <f>"TAMAZUNCHALE"</f>
        <v>TAMAZUNCHALE</v>
      </c>
      <c r="D317" s="2">
        <v>1</v>
      </c>
      <c r="E317" s="3">
        <v>5.9999999999999995E-4</v>
      </c>
    </row>
    <row r="318" spans="2:5">
      <c r="B318" s="22"/>
      <c r="C318" s="1" t="str">
        <f>"VENADO"</f>
        <v>VENADO</v>
      </c>
      <c r="D318" s="2">
        <v>1</v>
      </c>
      <c r="E318" s="3">
        <v>5.9999999999999995E-4</v>
      </c>
    </row>
    <row r="319" spans="2:5">
      <c r="B319" s="23"/>
      <c r="C319" s="18" t="str">
        <f>"Total"</f>
        <v>Total</v>
      </c>
      <c r="D319" s="19">
        <v>24</v>
      </c>
      <c r="E319" s="20">
        <v>1.35E-2</v>
      </c>
    </row>
    <row r="320" spans="2:5">
      <c r="B320" s="21" t="str">
        <f>"SINALOA"</f>
        <v>SINALOA</v>
      </c>
      <c r="C320" s="1" t="str">
        <f>"CHOIX"</f>
        <v>CHOIX</v>
      </c>
      <c r="D320" s="2">
        <v>1</v>
      </c>
      <c r="E320" s="3">
        <v>5.9999999999999995E-4</v>
      </c>
    </row>
    <row r="321" spans="2:5">
      <c r="B321" s="22"/>
      <c r="C321" s="1" t="str">
        <f>"CULIACAN"</f>
        <v>CULIACAN</v>
      </c>
      <c r="D321" s="2">
        <v>2</v>
      </c>
      <c r="E321" s="3">
        <v>1.1000000000000001E-3</v>
      </c>
    </row>
    <row r="322" spans="2:5">
      <c r="B322" s="22"/>
      <c r="C322" s="1" t="str">
        <f>"MAZATLAN"</f>
        <v>MAZATLAN</v>
      </c>
      <c r="D322" s="2">
        <v>1</v>
      </c>
      <c r="E322" s="3">
        <v>5.9999999999999995E-4</v>
      </c>
    </row>
    <row r="323" spans="2:5">
      <c r="B323" s="23"/>
      <c r="C323" s="18" t="str">
        <f>"Total"</f>
        <v>Total</v>
      </c>
      <c r="D323" s="19">
        <v>4</v>
      </c>
      <c r="E323" s="20">
        <v>2.2000000000000001E-3</v>
      </c>
    </row>
    <row r="324" spans="2:5">
      <c r="B324" s="21" t="str">
        <f>"SONORA"</f>
        <v>SONORA</v>
      </c>
      <c r="C324" s="1" t="str">
        <f>"ALAMOS"</f>
        <v>ALAMOS</v>
      </c>
      <c r="D324" s="2">
        <v>1</v>
      </c>
      <c r="E324" s="3">
        <v>5.9999999999999995E-4</v>
      </c>
    </row>
    <row r="325" spans="2:5">
      <c r="B325" s="22"/>
      <c r="C325" s="1" t="str">
        <f>"SAN LUIS RIO COLORADO"</f>
        <v>SAN LUIS RIO COLORADO</v>
      </c>
      <c r="D325" s="2">
        <v>1</v>
      </c>
      <c r="E325" s="3">
        <v>5.9999999999999995E-4</v>
      </c>
    </row>
    <row r="326" spans="2:5">
      <c r="B326" s="23"/>
      <c r="C326" s="18" t="str">
        <f>"Total"</f>
        <v>Total</v>
      </c>
      <c r="D326" s="19">
        <v>2</v>
      </c>
      <c r="E326" s="20">
        <v>1.1000000000000001E-3</v>
      </c>
    </row>
    <row r="327" spans="2:5">
      <c r="B327" s="21" t="str">
        <f>"TABASCO"</f>
        <v>TABASCO</v>
      </c>
      <c r="C327" s="1" t="str">
        <f>"BALANCAN"</f>
        <v>BALANCAN</v>
      </c>
      <c r="D327" s="2">
        <v>1</v>
      </c>
      <c r="E327" s="3">
        <v>5.9999999999999995E-4</v>
      </c>
    </row>
    <row r="328" spans="2:5">
      <c r="B328" s="22"/>
      <c r="C328" s="1" t="str">
        <f>"CARDENAS"</f>
        <v>CARDENAS</v>
      </c>
      <c r="D328" s="2">
        <v>7</v>
      </c>
      <c r="E328" s="3">
        <v>3.8999999999999998E-3</v>
      </c>
    </row>
    <row r="329" spans="2:5">
      <c r="B329" s="22"/>
      <c r="C329" s="1" t="str">
        <f>"HUIMANGUILLO"</f>
        <v>HUIMANGUILLO</v>
      </c>
      <c r="D329" s="2">
        <v>1</v>
      </c>
      <c r="E329" s="3">
        <v>5.9999999999999995E-4</v>
      </c>
    </row>
    <row r="330" spans="2:5">
      <c r="B330" s="23"/>
      <c r="C330" s="18" t="str">
        <f>"Total"</f>
        <v>Total</v>
      </c>
      <c r="D330" s="19">
        <v>9</v>
      </c>
      <c r="E330" s="20">
        <v>5.1000000000000004E-3</v>
      </c>
    </row>
    <row r="331" spans="2:5">
      <c r="B331" s="21" t="str">
        <f>"TAMAULIPAS"</f>
        <v>TAMAULIPAS</v>
      </c>
      <c r="C331" s="1" t="str">
        <f>"CIUDAD MADERO"</f>
        <v>CIUDAD MADERO</v>
      </c>
      <c r="D331" s="2">
        <v>2</v>
      </c>
      <c r="E331" s="3">
        <v>1.1000000000000001E-3</v>
      </c>
    </row>
    <row r="332" spans="2:5">
      <c r="B332" s="22"/>
      <c r="C332" s="1" t="str">
        <f>"TAMPICO"</f>
        <v>TAMPICO</v>
      </c>
      <c r="D332" s="2">
        <v>2</v>
      </c>
      <c r="E332" s="3">
        <v>1.1000000000000001E-3</v>
      </c>
    </row>
    <row r="333" spans="2:5">
      <c r="B333" s="22"/>
      <c r="C333" s="1" t="str">
        <f>"VALLE HERMOSO"</f>
        <v>VALLE HERMOSO</v>
      </c>
      <c r="D333" s="2">
        <v>1</v>
      </c>
      <c r="E333" s="3">
        <v>5.9999999999999995E-4</v>
      </c>
    </row>
    <row r="334" spans="2:5">
      <c r="B334" s="22"/>
      <c r="C334" s="1" t="str">
        <f>"VICTORIA"</f>
        <v>VICTORIA</v>
      </c>
      <c r="D334" s="2">
        <v>1</v>
      </c>
      <c r="E334" s="3">
        <v>5.9999999999999995E-4</v>
      </c>
    </row>
    <row r="335" spans="2:5">
      <c r="B335" s="23"/>
      <c r="C335" s="18" t="str">
        <f>"Total"</f>
        <v>Total</v>
      </c>
      <c r="D335" s="19">
        <v>6</v>
      </c>
      <c r="E335" s="20">
        <v>3.3999999999999998E-3</v>
      </c>
    </row>
    <row r="336" spans="2:5">
      <c r="B336" s="21" t="str">
        <f t="shared" ref="B336" si="11">"TLAXCALA"</f>
        <v>TLAXCALA</v>
      </c>
      <c r="C336" s="1" t="str">
        <f>"CALPULALPAN"</f>
        <v>CALPULALPAN</v>
      </c>
      <c r="D336" s="2">
        <v>1</v>
      </c>
      <c r="E336" s="3">
        <v>5.9999999999999995E-4</v>
      </c>
    </row>
    <row r="337" spans="2:5">
      <c r="B337" s="22"/>
      <c r="C337" s="1" t="str">
        <f>"CHIAUTEMPAN"</f>
        <v>CHIAUTEMPAN</v>
      </c>
      <c r="D337" s="2">
        <v>9</v>
      </c>
      <c r="E337" s="3">
        <v>5.1000000000000004E-3</v>
      </c>
    </row>
    <row r="338" spans="2:5">
      <c r="B338" s="22"/>
      <c r="C338" s="1" t="str">
        <f>"HUAMANTLA"</f>
        <v>HUAMANTLA</v>
      </c>
      <c r="D338" s="2">
        <v>3</v>
      </c>
      <c r="E338" s="3">
        <v>1.6999999999999999E-3</v>
      </c>
    </row>
    <row r="339" spans="2:5">
      <c r="B339" s="22"/>
      <c r="C339" s="1" t="str">
        <f>"NATIVITAS"</f>
        <v>NATIVITAS</v>
      </c>
      <c r="D339" s="2">
        <v>21</v>
      </c>
      <c r="E339" s="3">
        <v>1.18E-2</v>
      </c>
    </row>
    <row r="340" spans="2:5">
      <c r="B340" s="22"/>
      <c r="C340" s="1" t="str">
        <f>"PANOTLA"</f>
        <v>PANOTLA</v>
      </c>
      <c r="D340" s="2">
        <v>1</v>
      </c>
      <c r="E340" s="3">
        <v>5.9999999999999995E-4</v>
      </c>
    </row>
    <row r="341" spans="2:5" ht="30">
      <c r="B341" s="22"/>
      <c r="C341" s="1" t="str">
        <f>"PAPALOTLA DE XICOHTENCATL"</f>
        <v>PAPALOTLA DE XICOHTENCATL</v>
      </c>
      <c r="D341" s="2">
        <v>2</v>
      </c>
      <c r="E341" s="3">
        <v>1.1000000000000001E-3</v>
      </c>
    </row>
    <row r="342" spans="2:5">
      <c r="B342" s="22"/>
      <c r="C342" s="1" t="str">
        <f>"SAN JOSE TEACALCO"</f>
        <v>SAN JOSE TEACALCO</v>
      </c>
      <c r="D342" s="2">
        <v>1</v>
      </c>
      <c r="E342" s="3">
        <v>5.9999999999999995E-4</v>
      </c>
    </row>
    <row r="343" spans="2:5">
      <c r="B343" s="22"/>
      <c r="C343" s="1" t="str">
        <f>"SAN JUAN HUACTZINCO"</f>
        <v>SAN JUAN HUACTZINCO</v>
      </c>
      <c r="D343" s="2">
        <v>2</v>
      </c>
      <c r="E343" s="3">
        <v>1.1000000000000001E-3</v>
      </c>
    </row>
    <row r="344" spans="2:5">
      <c r="B344" s="22"/>
      <c r="C344" s="1" t="str">
        <f>"SAN PABLO DEL MONTE"</f>
        <v>SAN PABLO DEL MONTE</v>
      </c>
      <c r="D344" s="2">
        <v>5</v>
      </c>
      <c r="E344" s="3">
        <v>2.8E-3</v>
      </c>
    </row>
    <row r="345" spans="2:5" ht="15" customHeight="1">
      <c r="B345" s="22"/>
      <c r="C345" s="1" t="str">
        <f>"SANTA APOLONIA TEACALCO"</f>
        <v>SANTA APOLONIA TEACALCO</v>
      </c>
      <c r="D345" s="2">
        <v>2</v>
      </c>
      <c r="E345" s="3">
        <v>1.1000000000000001E-3</v>
      </c>
    </row>
    <row r="346" spans="2:5">
      <c r="B346" s="22"/>
      <c r="C346" s="1" t="str">
        <f>"TEOLOCHOLCO"</f>
        <v>TEOLOCHOLCO</v>
      </c>
      <c r="D346" s="2">
        <v>2</v>
      </c>
      <c r="E346" s="3">
        <v>1.1000000000000001E-3</v>
      </c>
    </row>
    <row r="347" spans="2:5">
      <c r="B347" s="22"/>
      <c r="C347" s="1" t="str">
        <f>"TEPEYANCO"</f>
        <v>TEPEYANCO</v>
      </c>
      <c r="D347" s="2">
        <v>4</v>
      </c>
      <c r="E347" s="3">
        <v>2.2000000000000001E-3</v>
      </c>
    </row>
    <row r="348" spans="2:5">
      <c r="B348" s="22"/>
      <c r="C348" s="1" t="str">
        <f>"TERRENATE"</f>
        <v>TERRENATE</v>
      </c>
      <c r="D348" s="2">
        <v>1</v>
      </c>
      <c r="E348" s="3">
        <v>5.9999999999999995E-4</v>
      </c>
    </row>
    <row r="349" spans="2:5">
      <c r="B349" s="22"/>
      <c r="C349" s="1" t="str">
        <f>"TETLATLAHUCA"</f>
        <v>TETLATLAHUCA</v>
      </c>
      <c r="D349" s="2">
        <v>40</v>
      </c>
      <c r="E349" s="3">
        <v>2.2499999999999999E-2</v>
      </c>
    </row>
    <row r="350" spans="2:5">
      <c r="B350" s="22"/>
      <c r="C350" s="1" t="str">
        <f>"TLAXCALA"</f>
        <v>TLAXCALA</v>
      </c>
      <c r="D350" s="2">
        <v>56</v>
      </c>
      <c r="E350" s="3">
        <v>3.15E-2</v>
      </c>
    </row>
    <row r="351" spans="2:5">
      <c r="B351" s="22"/>
      <c r="C351" s="1" t="str">
        <f>"TLAXCO"</f>
        <v>TLAXCO</v>
      </c>
      <c r="D351" s="2">
        <v>3</v>
      </c>
      <c r="E351" s="3">
        <v>1.6999999999999999E-3</v>
      </c>
    </row>
    <row r="352" spans="2:5">
      <c r="B352" s="22"/>
      <c r="C352" s="1" t="str">
        <f>"TOTOLAC"</f>
        <v>TOTOLAC</v>
      </c>
      <c r="D352" s="2">
        <v>1</v>
      </c>
      <c r="E352" s="3">
        <v>5.9999999999999995E-4</v>
      </c>
    </row>
    <row r="353" spans="2:5">
      <c r="B353" s="22"/>
      <c r="C353" s="1" t="str">
        <f>"TZOMPANTEPEC"</f>
        <v>TZOMPANTEPEC</v>
      </c>
      <c r="D353" s="2">
        <v>1</v>
      </c>
      <c r="E353" s="3">
        <v>5.9999999999999995E-4</v>
      </c>
    </row>
    <row r="354" spans="2:5">
      <c r="B354" s="22"/>
      <c r="C354" s="1" t="str">
        <f>"XALTOCAN"</f>
        <v>XALTOCAN</v>
      </c>
      <c r="D354" s="2">
        <v>1</v>
      </c>
      <c r="E354" s="3">
        <v>5.9999999999999995E-4</v>
      </c>
    </row>
    <row r="355" spans="2:5">
      <c r="B355" s="22"/>
      <c r="C355" s="1" t="str">
        <f>"XICOHTZINCO"</f>
        <v>XICOHTZINCO</v>
      </c>
      <c r="D355" s="2">
        <v>3</v>
      </c>
      <c r="E355" s="3">
        <v>1.6999999999999999E-3</v>
      </c>
    </row>
    <row r="356" spans="2:5">
      <c r="B356" s="22"/>
      <c r="C356" s="1" t="str">
        <f>"YAUHQUEMECAN"</f>
        <v>YAUHQUEMECAN</v>
      </c>
      <c r="D356" s="2">
        <v>1</v>
      </c>
      <c r="E356" s="3">
        <v>5.9999999999999995E-4</v>
      </c>
    </row>
    <row r="357" spans="2:5">
      <c r="B357" s="22"/>
      <c r="C357" s="1" t="str">
        <f>"ZACATELCO"</f>
        <v>ZACATELCO</v>
      </c>
      <c r="D357" s="2">
        <v>26</v>
      </c>
      <c r="E357" s="3">
        <v>1.46E-2</v>
      </c>
    </row>
    <row r="358" spans="2:5">
      <c r="B358" s="23"/>
      <c r="C358" s="18" t="str">
        <f>"Total"</f>
        <v>Total</v>
      </c>
      <c r="D358" s="19">
        <v>186</v>
      </c>
      <c r="E358" s="20">
        <v>0.1046</v>
      </c>
    </row>
    <row r="359" spans="2:5">
      <c r="B359" s="21" t="str">
        <f t="shared" ref="B359" si="12">"VERACRUZ DE IGNACIO DE LA LLAVE"</f>
        <v>VERACRUZ DE IGNACIO DE LA LLAVE</v>
      </c>
      <c r="C359" s="1" t="str">
        <f>"ACAYUCAN"</f>
        <v>ACAYUCAN</v>
      </c>
      <c r="D359" s="2">
        <v>1</v>
      </c>
      <c r="E359" s="3">
        <v>5.9999999999999995E-4</v>
      </c>
    </row>
    <row r="360" spans="2:5">
      <c r="B360" s="22"/>
      <c r="C360" s="1" t="str">
        <f>"ACTOPAN"</f>
        <v>ACTOPAN</v>
      </c>
      <c r="D360" s="2">
        <v>1</v>
      </c>
      <c r="E360" s="3">
        <v>5.9999999999999995E-4</v>
      </c>
    </row>
    <row r="361" spans="2:5">
      <c r="B361" s="22"/>
      <c r="C361" s="1" t="str">
        <f>"ACULTZINGO"</f>
        <v>ACULTZINGO</v>
      </c>
      <c r="D361" s="2">
        <v>1</v>
      </c>
      <c r="E361" s="3">
        <v>5.9999999999999995E-4</v>
      </c>
    </row>
    <row r="362" spans="2:5">
      <c r="B362" s="22"/>
      <c r="C362" s="1" t="str">
        <f>"COACOATZINTLA"</f>
        <v>COACOATZINTLA</v>
      </c>
      <c r="D362" s="2">
        <v>1</v>
      </c>
      <c r="E362" s="3">
        <v>5.9999999999999995E-4</v>
      </c>
    </row>
    <row r="363" spans="2:5">
      <c r="B363" s="22"/>
      <c r="C363" s="1" t="str">
        <f>"COATZACOALCOS"</f>
        <v>COATZACOALCOS</v>
      </c>
      <c r="D363" s="2">
        <v>1</v>
      </c>
      <c r="E363" s="3">
        <v>5.9999999999999995E-4</v>
      </c>
    </row>
    <row r="364" spans="2:5">
      <c r="B364" s="22"/>
      <c r="C364" s="1" t="str">
        <f>"CORDOBA"</f>
        <v>CORDOBA</v>
      </c>
      <c r="D364" s="2">
        <v>13</v>
      </c>
      <c r="E364" s="3">
        <v>7.3000000000000001E-3</v>
      </c>
    </row>
    <row r="365" spans="2:5">
      <c r="B365" s="22"/>
      <c r="C365" s="1" t="str">
        <f>"COSCOMATEPEC"</f>
        <v>COSCOMATEPEC</v>
      </c>
      <c r="D365" s="2">
        <v>1</v>
      </c>
      <c r="E365" s="3">
        <v>5.9999999999999995E-4</v>
      </c>
    </row>
    <row r="366" spans="2:5">
      <c r="B366" s="22"/>
      <c r="C366" s="1" t="str">
        <f>"ISLA"</f>
        <v>ISLA</v>
      </c>
      <c r="D366" s="2">
        <v>2</v>
      </c>
      <c r="E366" s="3">
        <v>1.1000000000000001E-3</v>
      </c>
    </row>
    <row r="367" spans="2:5">
      <c r="B367" s="22"/>
      <c r="C367" s="1" t="str">
        <f>"IXHUATLAN DE MADERO"</f>
        <v>IXHUATLAN DE MADERO</v>
      </c>
      <c r="D367" s="2">
        <v>1</v>
      </c>
      <c r="E367" s="3">
        <v>5.9999999999999995E-4</v>
      </c>
    </row>
    <row r="368" spans="2:5">
      <c r="B368" s="22"/>
      <c r="C368" s="1" t="str">
        <f>"JOSE AZUETA"</f>
        <v>JOSE AZUETA</v>
      </c>
      <c r="D368" s="2">
        <v>1</v>
      </c>
      <c r="E368" s="3">
        <v>5.9999999999999995E-4</v>
      </c>
    </row>
    <row r="369" spans="2:5">
      <c r="B369" s="22"/>
      <c r="C369" s="1" t="str">
        <f>"LA ANTIGUA"</f>
        <v>LA ANTIGUA</v>
      </c>
      <c r="D369" s="2">
        <v>8</v>
      </c>
      <c r="E369" s="3">
        <v>4.4999999999999997E-3</v>
      </c>
    </row>
    <row r="370" spans="2:5">
      <c r="B370" s="22"/>
      <c r="C370" s="1" t="str">
        <f>"MARTINEZ DE LA TORRE"</f>
        <v>MARTINEZ DE LA TORRE</v>
      </c>
      <c r="D370" s="2">
        <v>3</v>
      </c>
      <c r="E370" s="3">
        <v>1.6999999999999999E-3</v>
      </c>
    </row>
    <row r="371" spans="2:5">
      <c r="B371" s="22"/>
      <c r="C371" s="1" t="str">
        <f>"MINATITLAN"</f>
        <v>MINATITLAN</v>
      </c>
      <c r="D371" s="2">
        <v>1</v>
      </c>
      <c r="E371" s="3">
        <v>5.9999999999999995E-4</v>
      </c>
    </row>
    <row r="372" spans="2:5">
      <c r="B372" s="22"/>
      <c r="C372" s="1" t="str">
        <f>"MISANTLA"</f>
        <v>MISANTLA</v>
      </c>
      <c r="D372" s="2">
        <v>1</v>
      </c>
      <c r="E372" s="3">
        <v>5.9999999999999995E-4</v>
      </c>
    </row>
    <row r="373" spans="2:5">
      <c r="B373" s="22"/>
      <c r="C373" s="1" t="str">
        <f>"OMEALCA"</f>
        <v>OMEALCA</v>
      </c>
      <c r="D373" s="2">
        <v>1</v>
      </c>
      <c r="E373" s="3">
        <v>5.9999999999999995E-4</v>
      </c>
    </row>
    <row r="374" spans="2:5">
      <c r="B374" s="22"/>
      <c r="C374" s="1" t="str">
        <f>"ORIZABA"</f>
        <v>ORIZABA</v>
      </c>
      <c r="D374" s="2">
        <v>1</v>
      </c>
      <c r="E374" s="3">
        <v>5.9999999999999995E-4</v>
      </c>
    </row>
    <row r="375" spans="2:5">
      <c r="B375" s="22"/>
      <c r="C375" s="1" t="str">
        <f>"PEROTE"</f>
        <v>PEROTE</v>
      </c>
      <c r="D375" s="2">
        <v>1</v>
      </c>
      <c r="E375" s="3">
        <v>5.9999999999999995E-4</v>
      </c>
    </row>
    <row r="376" spans="2:5">
      <c r="B376" s="22"/>
      <c r="C376" s="1" t="str">
        <f>"SAN ANDRES TUXTLA"</f>
        <v>SAN ANDRES TUXTLA</v>
      </c>
      <c r="D376" s="2">
        <v>5</v>
      </c>
      <c r="E376" s="3">
        <v>2.8E-3</v>
      </c>
    </row>
    <row r="377" spans="2:5">
      <c r="B377" s="22"/>
      <c r="C377" s="1" t="str">
        <f>"SAN JUAN EVANGELISTA"</f>
        <v>SAN JUAN EVANGELISTA</v>
      </c>
      <c r="D377" s="2">
        <v>1</v>
      </c>
      <c r="E377" s="3">
        <v>5.9999999999999995E-4</v>
      </c>
    </row>
    <row r="378" spans="2:5">
      <c r="B378" s="22"/>
      <c r="C378" s="1" t="str">
        <f>"SAYULA DE ALEMAN"</f>
        <v>SAYULA DE ALEMAN</v>
      </c>
      <c r="D378" s="2">
        <v>1</v>
      </c>
      <c r="E378" s="3">
        <v>5.9999999999999995E-4</v>
      </c>
    </row>
    <row r="379" spans="2:5">
      <c r="B379" s="22"/>
      <c r="C379" s="1" t="str">
        <f>"SOTEAPAN"</f>
        <v>SOTEAPAN</v>
      </c>
      <c r="D379" s="2">
        <v>1</v>
      </c>
      <c r="E379" s="3">
        <v>5.9999999999999995E-4</v>
      </c>
    </row>
    <row r="380" spans="2:5">
      <c r="B380" s="22"/>
      <c r="C380" s="1" t="str">
        <f>"TANTOYUCA"</f>
        <v>TANTOYUCA</v>
      </c>
      <c r="D380" s="2">
        <v>1</v>
      </c>
      <c r="E380" s="3">
        <v>5.9999999999999995E-4</v>
      </c>
    </row>
    <row r="381" spans="2:5">
      <c r="B381" s="22"/>
      <c r="C381" s="1" t="str">
        <f>"TENAMPA"</f>
        <v>TENAMPA</v>
      </c>
      <c r="D381" s="2">
        <v>1</v>
      </c>
      <c r="E381" s="3">
        <v>5.9999999999999995E-4</v>
      </c>
    </row>
    <row r="382" spans="2:5">
      <c r="B382" s="22"/>
      <c r="C382" s="1" t="str">
        <f>"TIERRA BLANCA"</f>
        <v>TIERRA BLANCA</v>
      </c>
      <c r="D382" s="2">
        <v>1</v>
      </c>
      <c r="E382" s="3">
        <v>5.9999999999999995E-4</v>
      </c>
    </row>
    <row r="383" spans="2:5">
      <c r="B383" s="22"/>
      <c r="C383" s="1" t="str">
        <f>"TLAQUILPA"</f>
        <v>TLAQUILPA</v>
      </c>
      <c r="D383" s="2">
        <v>1</v>
      </c>
      <c r="E383" s="3">
        <v>5.9999999999999995E-4</v>
      </c>
    </row>
    <row r="384" spans="2:5">
      <c r="B384" s="22"/>
      <c r="C384" s="1" t="str">
        <f>"TUXPAM"</f>
        <v>TUXPAM</v>
      </c>
      <c r="D384" s="2">
        <v>2</v>
      </c>
      <c r="E384" s="3">
        <v>1.1000000000000001E-3</v>
      </c>
    </row>
    <row r="385" spans="2:5">
      <c r="B385" s="22"/>
      <c r="C385" s="1" t="str">
        <f>"URSULO GALVAN"</f>
        <v>URSULO GALVAN</v>
      </c>
      <c r="D385" s="2">
        <v>3</v>
      </c>
      <c r="E385" s="3">
        <v>1.6999999999999999E-3</v>
      </c>
    </row>
    <row r="386" spans="2:5">
      <c r="B386" s="22"/>
      <c r="C386" s="1" t="str">
        <f>"VEGA DE ALATORRE"</f>
        <v>VEGA DE ALATORRE</v>
      </c>
      <c r="D386" s="2">
        <v>2</v>
      </c>
      <c r="E386" s="3">
        <v>1.1000000000000001E-3</v>
      </c>
    </row>
    <row r="387" spans="2:5">
      <c r="B387" s="22"/>
      <c r="C387" s="1" t="str">
        <f>"VERACRUZ"</f>
        <v>VERACRUZ</v>
      </c>
      <c r="D387" s="2">
        <v>6</v>
      </c>
      <c r="E387" s="3">
        <v>3.3999999999999998E-3</v>
      </c>
    </row>
    <row r="388" spans="2:5">
      <c r="B388" s="22"/>
      <c r="C388" s="1" t="str">
        <f>"XALAPA"</f>
        <v>XALAPA</v>
      </c>
      <c r="D388" s="2">
        <v>5</v>
      </c>
      <c r="E388" s="3">
        <v>2.8E-3</v>
      </c>
    </row>
    <row r="389" spans="2:5">
      <c r="B389" s="22"/>
      <c r="C389" s="1" t="str">
        <f>"ZACUALPAN"</f>
        <v>ZACUALPAN</v>
      </c>
      <c r="D389" s="2">
        <v>1</v>
      </c>
      <c r="E389" s="3">
        <v>5.9999999999999995E-4</v>
      </c>
    </row>
    <row r="390" spans="2:5">
      <c r="B390" s="23"/>
      <c r="C390" s="18" t="str">
        <f>"Total"</f>
        <v>Total</v>
      </c>
      <c r="D390" s="19">
        <v>70</v>
      </c>
      <c r="E390" s="20">
        <v>3.9399999999999998E-2</v>
      </c>
    </row>
    <row r="391" spans="2:5">
      <c r="B391" s="21" t="str">
        <f>"YUCATAN"</f>
        <v>YUCATAN</v>
      </c>
      <c r="C391" s="1" t="str">
        <f>"MERIDA"</f>
        <v>MERIDA</v>
      </c>
      <c r="D391" s="2">
        <v>2</v>
      </c>
      <c r="E391" s="3">
        <v>1.1000000000000001E-3</v>
      </c>
    </row>
    <row r="392" spans="2:5">
      <c r="B392" s="22"/>
      <c r="C392" s="1" t="str">
        <f>"PROGRESO"</f>
        <v>PROGRESO</v>
      </c>
      <c r="D392" s="2">
        <v>1</v>
      </c>
      <c r="E392" s="3">
        <v>5.9999999999999995E-4</v>
      </c>
    </row>
    <row r="393" spans="2:5">
      <c r="B393" s="23"/>
      <c r="C393" s="18" t="str">
        <f>"Total"</f>
        <v>Total</v>
      </c>
      <c r="D393" s="19">
        <v>3</v>
      </c>
      <c r="E393" s="20">
        <v>1.6999999999999999E-3</v>
      </c>
    </row>
    <row r="394" spans="2:5">
      <c r="B394" s="21" t="str">
        <f>"ZACATECAS"</f>
        <v>ZACATECAS</v>
      </c>
      <c r="C394" s="1" t="str">
        <f>"FRESNILLO"</f>
        <v>FRESNILLO</v>
      </c>
      <c r="D394" s="2">
        <v>2</v>
      </c>
      <c r="E394" s="3">
        <v>1.1000000000000001E-3</v>
      </c>
    </row>
    <row r="395" spans="2:5">
      <c r="B395" s="22"/>
      <c r="C395" s="1" t="str">
        <f>"GUADALUPE"</f>
        <v>GUADALUPE</v>
      </c>
      <c r="D395" s="2">
        <v>1</v>
      </c>
      <c r="E395" s="3">
        <v>5.9999999999999995E-4</v>
      </c>
    </row>
    <row r="396" spans="2:5">
      <c r="B396" s="22"/>
      <c r="C396" s="1" t="str">
        <f>"RIO GRANDE"</f>
        <v>RIO GRANDE</v>
      </c>
      <c r="D396" s="2">
        <v>1</v>
      </c>
      <c r="E396" s="3">
        <v>5.9999999999999995E-4</v>
      </c>
    </row>
    <row r="397" spans="2:5">
      <c r="B397" s="23"/>
      <c r="C397" s="18" t="str">
        <f>"Total"</f>
        <v>Total</v>
      </c>
      <c r="D397" s="19">
        <v>4</v>
      </c>
      <c r="E397" s="20">
        <v>2.2000000000000001E-3</v>
      </c>
    </row>
    <row r="398" spans="2:5">
      <c r="B398" s="14" t="s">
        <v>1</v>
      </c>
      <c r="C398" s="15" t="str">
        <f>" "</f>
        <v> </v>
      </c>
      <c r="D398" s="16">
        <v>1778</v>
      </c>
      <c r="E398" s="17">
        <v>1</v>
      </c>
    </row>
    <row r="400" spans="2:5" ht="16.5">
      <c r="B400" s="4" t="s">
        <v>2</v>
      </c>
      <c r="C400" s="5"/>
    </row>
    <row r="401" spans="2:3" ht="16.5">
      <c r="B401" s="4" t="s">
        <v>3</v>
      </c>
      <c r="C401" s="5"/>
    </row>
    <row r="402" spans="2:3" ht="16.5">
      <c r="B402" s="4" t="s">
        <v>4</v>
      </c>
      <c r="C402" s="5"/>
    </row>
    <row r="403" spans="2:3" ht="16.5">
      <c r="B403" s="4" t="s">
        <v>5</v>
      </c>
      <c r="C403" s="5"/>
    </row>
    <row r="404" spans="2:3">
      <c r="B404" s="4" t="s">
        <v>10</v>
      </c>
    </row>
  </sheetData>
  <mergeCells count="33">
    <mergeCell ref="B10:B12"/>
    <mergeCell ref="B6:E7"/>
    <mergeCell ref="B8:B9"/>
    <mergeCell ref="C8:C9"/>
    <mergeCell ref="D8:D9"/>
    <mergeCell ref="E8:E9"/>
    <mergeCell ref="B13:B15"/>
    <mergeCell ref="B16:B37"/>
    <mergeCell ref="B38:B39"/>
    <mergeCell ref="B40:B44"/>
    <mergeCell ref="B45:B46"/>
    <mergeCell ref="B47:B50"/>
    <mergeCell ref="B51:B52"/>
    <mergeCell ref="B53:B67"/>
    <mergeCell ref="B68:B89"/>
    <mergeCell ref="B90:B103"/>
    <mergeCell ref="B104:B123"/>
    <mergeCell ref="B124:B146"/>
    <mergeCell ref="B147:B168"/>
    <mergeCell ref="B169:B186"/>
    <mergeCell ref="B187:B188"/>
    <mergeCell ref="B189:B219"/>
    <mergeCell ref="B220:B305"/>
    <mergeCell ref="B306:B308"/>
    <mergeCell ref="B309:B319"/>
    <mergeCell ref="B320:B323"/>
    <mergeCell ref="B391:B393"/>
    <mergeCell ref="B394:B397"/>
    <mergeCell ref="B324:B326"/>
    <mergeCell ref="B327:B330"/>
    <mergeCell ref="B331:B335"/>
    <mergeCell ref="B336:B358"/>
    <mergeCell ref="B359:B390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5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2012-03-01T19:54:47Z</dcterms:created>
  <dcterms:modified xsi:type="dcterms:W3CDTF">2012-03-15T20:18:52Z</dcterms:modified>
</cp:coreProperties>
</file>