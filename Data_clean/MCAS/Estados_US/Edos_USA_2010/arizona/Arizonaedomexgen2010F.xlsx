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R5E0E9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<sst xmlns="http://schemas.openxmlformats.org/spreadsheetml/2006/main" count="11" uniqueCount="11">
  <si>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</si>
  <si>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</si>
  <si>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</si>
  <si>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</si>
  <si>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</si>
  <si>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</si>
  <si>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</si>
  <si>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</si>
  <si>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</si>
  <si>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DE ALTA SEGURIDAD EXPEDIDAS DURANTE EL 2010 POR ESTADO DE LA REPÚBLICA MEXICANA Y GÉNERO EN EL ESTADO DE ARIZONA,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</si>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</sst>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10" fontId="18" fillId="0" borderId="10" xfId="0" applyNumberFormat="1" applyFont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37.7109375" customWidth="1"/>
    <col min="3" max="3" width="16.5703125" customWidth="1"/>
    <col min="4" max="5" width="16.140625" bestFit="1" customWidth="1"/>
  </cols>
  <sheetData>
    <row r="1" spans="2:7">
      <c r="B1" s="3"/>
      <c r="C1" s="3"/>
      <c r="D1" s="3"/>
      <c r="E1" s="3"/>
      <c r="F1" s="3"/>
      <c r="G1" s="3"/>
    </row>
    <row r="4" spans="2:7" ht="24" customHeight="1">
      <c r="B4" s="25" t="s">
        <v>9</v>
      </c>
      <c r="C4" s="25"/>
      <c r="D4" s="25"/>
      <c r="E4" s="25"/>
      <c r="F4" s="4"/>
      <c r="G4" s="3"/>
    </row>
    <row r="5" spans="2:7" ht="24" customHeight="1">
      <c r="B5" s="26"/>
      <c r="C5" s="26"/>
      <c r="D5" s="26"/>
      <c r="E5" s="26"/>
      <c r="F5" s="3"/>
      <c r="G5" s="3"/>
    </row>
    <row r="6" spans="2:7" ht="16.5">
      <c r="B6" s="5"/>
      <c r="C6" s="5"/>
      <c r="D6" s="5"/>
      <c r="E6" s="5"/>
      <c r="F6" s="3"/>
      <c r="G6" s="3"/>
    </row>
    <row r="7" spans="2:7" ht="33">
      <c r="B7" s="6" t="s">
        <v>3</v>
      </c>
      <c r="C7" s="7" t="s">
        <v>0</v>
      </c>
      <c r="D7" s="7" t="s">
        <v>1</v>
      </c>
      <c r="E7" s="8" t="s">
        <v>4</v>
      </c>
      <c r="F7" s="3"/>
      <c r="G7" s="3"/>
    </row>
    <row r="8" spans="2:7">
      <c r="B8" s="22" t="str">
        <f>"AGUASCALIENTES"</f>
        <v>AGUASCALIENTES</v>
      </c>
      <c r="C8" s="1" t="str">
        <f>"HOMBRE"</f>
        <v>HOMBRE</v>
      </c>
      <c r="D8" s="2">
        <v>84</v>
      </c>
      <c r="E8" s="17">
        <v>3.3E-3</v>
      </c>
    </row>
    <row r="9" spans="2:7">
      <c r="B9" s="23"/>
      <c r="C9" s="1" t="str">
        <f>"MUJER"</f>
        <v>MUJER</v>
      </c>
      <c r="D9" s="2">
        <v>57</v>
      </c>
      <c r="E9" s="17">
        <v>2.2000000000000001E-3</v>
      </c>
    </row>
    <row r="10" spans="2:7">
      <c r="B10" s="24"/>
      <c r="C10" s="16" t="str">
        <f>"Total"</f>
        <v>Total</v>
      </c>
      <c r="D10" s="18">
        <v>141</v>
      </c>
      <c r="E10" s="19">
        <v>5.4999999999999997E-3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209</v>
      </c>
      <c r="E11" s="17">
        <v>8.2000000000000007E-3</v>
      </c>
    </row>
    <row r="12" spans="2:7">
      <c r="B12" s="23"/>
      <c r="C12" s="1" t="str">
        <f>"MUJER"</f>
        <v>MUJER</v>
      </c>
      <c r="D12" s="2">
        <v>261</v>
      </c>
      <c r="E12" s="17">
        <v>1.0200000000000001E-2</v>
      </c>
    </row>
    <row r="13" spans="2:7">
      <c r="B13" s="24"/>
      <c r="C13" s="16" t="str">
        <f>"Total"</f>
        <v>Total</v>
      </c>
      <c r="D13" s="18">
        <v>470</v>
      </c>
      <c r="E13" s="19">
        <v>1.84E-2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12</v>
      </c>
      <c r="E14" s="17">
        <v>5.0000000000000001E-4</v>
      </c>
    </row>
    <row r="15" spans="2:7">
      <c r="B15" s="23"/>
      <c r="C15" s="1" t="str">
        <f>"MUJER"</f>
        <v>MUJER</v>
      </c>
      <c r="D15" s="2">
        <v>9</v>
      </c>
      <c r="E15" s="17">
        <v>4.0000000000000002E-4</v>
      </c>
    </row>
    <row r="16" spans="2:7">
      <c r="B16" s="24"/>
      <c r="C16" s="16" t="str">
        <f>"Total"</f>
        <v>Total</v>
      </c>
      <c r="D16" s="18">
        <v>21</v>
      </c>
      <c r="E16" s="19">
        <v>8.0000000000000004E-4</v>
      </c>
    </row>
    <row r="17" spans="2:5">
      <c r="B17" s="22" t="str">
        <f>"CAMPECHE"</f>
        <v>CAMPECHE</v>
      </c>
      <c r="C17" s="1" t="str">
        <f>"HOMBRE"</f>
        <v>HOMBRE</v>
      </c>
      <c r="D17" s="2">
        <v>20</v>
      </c>
      <c r="E17" s="17">
        <v>8.0000000000000004E-4</v>
      </c>
    </row>
    <row r="18" spans="2:5">
      <c r="B18" s="23"/>
      <c r="C18" s="1" t="str">
        <f>"MUJER"</f>
        <v>MUJER</v>
      </c>
      <c r="D18" s="2">
        <v>14</v>
      </c>
      <c r="E18" s="17">
        <v>5.0000000000000001E-4</v>
      </c>
    </row>
    <row r="19" spans="2:5">
      <c r="B19" s="24"/>
      <c r="C19" s="16" t="str">
        <f>"Total"</f>
        <v>Total</v>
      </c>
      <c r="D19" s="18">
        <v>34</v>
      </c>
      <c r="E19" s="19">
        <v>1.2999999999999999E-3</v>
      </c>
    </row>
    <row r="20" spans="2:5">
      <c r="B20" s="22" t="str">
        <f>"CHIAPAS"</f>
        <v>CHIAPAS</v>
      </c>
      <c r="C20" s="1" t="str">
        <f>"HOMBRE"</f>
        <v>HOMBRE</v>
      </c>
      <c r="D20" s="2">
        <v>289</v>
      </c>
      <c r="E20" s="17">
        <v>1.1299999999999999E-2</v>
      </c>
    </row>
    <row r="21" spans="2:5">
      <c r="B21" s="23"/>
      <c r="C21" s="1" t="str">
        <f>"MUJER"</f>
        <v>MUJER</v>
      </c>
      <c r="D21" s="2">
        <v>193</v>
      </c>
      <c r="E21" s="17">
        <v>7.6E-3</v>
      </c>
    </row>
    <row r="22" spans="2:5">
      <c r="B22" s="24"/>
      <c r="C22" s="16" t="str">
        <f>"Total"</f>
        <v>Total</v>
      </c>
      <c r="D22" s="18">
        <v>482</v>
      </c>
      <c r="E22" s="19">
        <v>1.89E-2</v>
      </c>
    </row>
    <row r="23" spans="2:5">
      <c r="B23" s="22" t="str">
        <f>"CHIHUAHUA"</f>
        <v>CHIHUAHUA</v>
      </c>
      <c r="C23" s="1" t="str">
        <f>"HOMBRE"</f>
        <v>HOMBRE</v>
      </c>
      <c r="D23" s="20">
        <v>1010</v>
      </c>
      <c r="E23" s="17">
        <v>3.9600000000000003E-2</v>
      </c>
    </row>
    <row r="24" spans="2:5">
      <c r="B24" s="23"/>
      <c r="C24" s="1" t="str">
        <f>"MUJER"</f>
        <v>MUJER</v>
      </c>
      <c r="D24" s="20">
        <v>1210</v>
      </c>
      <c r="E24" s="17">
        <v>4.7399999999999998E-2</v>
      </c>
    </row>
    <row r="25" spans="2:5">
      <c r="B25" s="24"/>
      <c r="C25" s="16" t="str">
        <f>"Total"</f>
        <v>Total</v>
      </c>
      <c r="D25" s="21">
        <v>2220</v>
      </c>
      <c r="E25" s="19">
        <v>8.6900000000000005E-2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83</v>
      </c>
      <c r="E26" s="17">
        <v>3.3E-3</v>
      </c>
    </row>
    <row r="27" spans="2:5">
      <c r="B27" s="23"/>
      <c r="C27" s="1" t="str">
        <f>"MUJER"</f>
        <v>MUJER</v>
      </c>
      <c r="D27" s="2">
        <v>81</v>
      </c>
      <c r="E27" s="17">
        <v>3.2000000000000002E-3</v>
      </c>
    </row>
    <row r="28" spans="2:5">
      <c r="B28" s="24"/>
      <c r="C28" s="16" t="str">
        <f>"Total"</f>
        <v>Total</v>
      </c>
      <c r="D28" s="18">
        <v>164</v>
      </c>
      <c r="E28" s="19">
        <v>6.4000000000000003E-3</v>
      </c>
    </row>
    <row r="29" spans="2:5">
      <c r="B29" s="22" t="str">
        <f>"COLIMA"</f>
        <v>COLIMA</v>
      </c>
      <c r="C29" s="1" t="str">
        <f>"HOMBRE"</f>
        <v>HOMBRE</v>
      </c>
      <c r="D29" s="2">
        <v>86</v>
      </c>
      <c r="E29" s="17">
        <v>3.3999999999999998E-3</v>
      </c>
    </row>
    <row r="30" spans="2:5">
      <c r="B30" s="23"/>
      <c r="C30" s="1" t="str">
        <f>"MUJER"</f>
        <v>MUJER</v>
      </c>
      <c r="D30" s="2">
        <v>74</v>
      </c>
      <c r="E30" s="17">
        <v>2.8999999999999998E-3</v>
      </c>
    </row>
    <row r="31" spans="2:5">
      <c r="B31" s="24"/>
      <c r="C31" s="16" t="str">
        <f>"Total"</f>
        <v>Total</v>
      </c>
      <c r="D31" s="18">
        <v>160</v>
      </c>
      <c r="E31" s="19">
        <v>6.3E-3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595</v>
      </c>
      <c r="E32" s="17">
        <v>2.3300000000000001E-2</v>
      </c>
    </row>
    <row r="33" spans="2:5">
      <c r="B33" s="23"/>
      <c r="C33" s="1" t="str">
        <f>"MUJER"</f>
        <v>MUJER</v>
      </c>
      <c r="D33" s="2">
        <v>562</v>
      </c>
      <c r="E33" s="17">
        <v>2.1999999999999999E-2</v>
      </c>
    </row>
    <row r="34" spans="2:5">
      <c r="B34" s="24"/>
      <c r="C34" s="16" t="str">
        <f>"Total"</f>
        <v>Total</v>
      </c>
      <c r="D34" s="21">
        <v>1157</v>
      </c>
      <c r="E34" s="19">
        <v>4.53E-2</v>
      </c>
    </row>
    <row r="35" spans="2:5">
      <c r="B35" s="22" t="str">
        <f>"DURANGO"</f>
        <v>DURANGO</v>
      </c>
      <c r="C35" s="1" t="str">
        <f>"HOMBRE"</f>
        <v>HOMBRE</v>
      </c>
      <c r="D35" s="2">
        <v>513</v>
      </c>
      <c r="E35" s="17">
        <v>2.01E-2</v>
      </c>
    </row>
    <row r="36" spans="2:5">
      <c r="B36" s="23"/>
      <c r="C36" s="1" t="str">
        <f>"MUJER"</f>
        <v>MUJER</v>
      </c>
      <c r="D36" s="2">
        <v>520</v>
      </c>
      <c r="E36" s="17">
        <v>2.0400000000000001E-2</v>
      </c>
    </row>
    <row r="37" spans="2:5">
      <c r="B37" s="24"/>
      <c r="C37" s="16" t="str">
        <f>"Total"</f>
        <v>Total</v>
      </c>
      <c r="D37" s="21">
        <v>1033</v>
      </c>
      <c r="E37" s="19">
        <v>4.0500000000000001E-2</v>
      </c>
    </row>
    <row r="38" spans="2:5">
      <c r="B38" s="22" t="str">
        <f>"GUANAJUATO"</f>
        <v>GUANAJUATO</v>
      </c>
      <c r="C38" s="1" t="str">
        <f>"HOMBRE"</f>
        <v>HOMBRE</v>
      </c>
      <c r="D38" s="2">
        <v>766</v>
      </c>
      <c r="E38" s="17">
        <v>0.03</v>
      </c>
    </row>
    <row r="39" spans="2:5">
      <c r="B39" s="23"/>
      <c r="C39" s="1" t="str">
        <f>"MUJER"</f>
        <v>MUJER</v>
      </c>
      <c r="D39" s="2">
        <v>592</v>
      </c>
      <c r="E39" s="17">
        <v>2.3199999999999998E-2</v>
      </c>
    </row>
    <row r="40" spans="2:5">
      <c r="B40" s="24"/>
      <c r="C40" s="16" t="str">
        <f>"Total"</f>
        <v>Total</v>
      </c>
      <c r="D40" s="21">
        <v>1358</v>
      </c>
      <c r="E40" s="19">
        <v>5.3199999999999997E-2</v>
      </c>
    </row>
    <row r="41" spans="2:5">
      <c r="B41" s="22" t="str">
        <f>"GUERRERO"</f>
        <v>GUERRERO</v>
      </c>
      <c r="C41" s="1" t="str">
        <f>"HOMBRE"</f>
        <v>HOMBRE</v>
      </c>
      <c r="D41" s="2">
        <v>805</v>
      </c>
      <c r="E41" s="17">
        <v>3.15E-2</v>
      </c>
    </row>
    <row r="42" spans="2:5">
      <c r="B42" s="23"/>
      <c r="C42" s="1" t="str">
        <f>"MUJER"</f>
        <v>MUJER</v>
      </c>
      <c r="D42" s="2">
        <v>732</v>
      </c>
      <c r="E42" s="17">
        <v>2.87E-2</v>
      </c>
    </row>
    <row r="43" spans="2:5">
      <c r="B43" s="24"/>
      <c r="C43" s="16" t="str">
        <f>"Total"</f>
        <v>Total</v>
      </c>
      <c r="D43" s="21">
        <v>1537</v>
      </c>
      <c r="E43" s="19">
        <v>6.0199999999999997E-2</v>
      </c>
    </row>
    <row r="44" spans="2:5">
      <c r="B44" s="22" t="str">
        <f>"HIDALGO"</f>
        <v>HIDALGO</v>
      </c>
      <c r="C44" s="1" t="str">
        <f>"HOMBRE"</f>
        <v>HOMBRE</v>
      </c>
      <c r="D44" s="2">
        <v>412</v>
      </c>
      <c r="E44" s="17">
        <v>1.61E-2</v>
      </c>
    </row>
    <row r="45" spans="2:5">
      <c r="B45" s="23"/>
      <c r="C45" s="1" t="str">
        <f>"MUJER"</f>
        <v>MUJER</v>
      </c>
      <c r="D45" s="2">
        <v>267</v>
      </c>
      <c r="E45" s="17">
        <v>1.0500000000000001E-2</v>
      </c>
    </row>
    <row r="46" spans="2:5">
      <c r="B46" s="24"/>
      <c r="C46" s="16" t="str">
        <f>"Total"</f>
        <v>Total</v>
      </c>
      <c r="D46" s="18">
        <v>679</v>
      </c>
      <c r="E46" s="19">
        <v>2.6599999999999999E-2</v>
      </c>
    </row>
    <row r="47" spans="2:5">
      <c r="B47" s="22" t="str">
        <f>"JALISCO"</f>
        <v>JALISCO</v>
      </c>
      <c r="C47" s="1" t="str">
        <f>"HOMBRE"</f>
        <v>HOMBRE</v>
      </c>
      <c r="D47" s="2">
        <v>729</v>
      </c>
      <c r="E47" s="17">
        <v>2.8500000000000001E-2</v>
      </c>
    </row>
    <row r="48" spans="2:5">
      <c r="B48" s="23"/>
      <c r="C48" s="1" t="str">
        <f>"MUJER"</f>
        <v>MUJER</v>
      </c>
      <c r="D48" s="2">
        <v>669</v>
      </c>
      <c r="E48" s="17">
        <v>2.6200000000000001E-2</v>
      </c>
    </row>
    <row r="49" spans="2:5">
      <c r="B49" s="24"/>
      <c r="C49" s="16" t="str">
        <f>"Total"</f>
        <v>Total</v>
      </c>
      <c r="D49" s="21">
        <v>1398</v>
      </c>
      <c r="E49" s="19">
        <v>5.4699999999999999E-2</v>
      </c>
    </row>
    <row r="50" spans="2:5">
      <c r="B50" s="22" t="str">
        <f>"MEXICO"</f>
        <v>MEXICO</v>
      </c>
      <c r="C50" s="1" t="str">
        <f>"HOMBRE"</f>
        <v>HOMBRE</v>
      </c>
      <c r="D50" s="2">
        <v>590</v>
      </c>
      <c r="E50" s="17">
        <v>2.3099999999999999E-2</v>
      </c>
    </row>
    <row r="51" spans="2:5">
      <c r="B51" s="23"/>
      <c r="C51" s="1" t="str">
        <f>"MUJER"</f>
        <v>MUJER</v>
      </c>
      <c r="D51" s="2">
        <v>430</v>
      </c>
      <c r="E51" s="17">
        <v>1.6799999999999999E-2</v>
      </c>
    </row>
    <row r="52" spans="2:5">
      <c r="B52" s="24"/>
      <c r="C52" s="16" t="str">
        <f>"Total"</f>
        <v>Total</v>
      </c>
      <c r="D52" s="21">
        <v>1020</v>
      </c>
      <c r="E52" s="19">
        <v>3.9899999999999998E-2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2">
        <v>776</v>
      </c>
      <c r="E53" s="17">
        <v>3.04E-2</v>
      </c>
    </row>
    <row r="54" spans="2:5">
      <c r="B54" s="23"/>
      <c r="C54" s="1" t="str">
        <f>"MUJER"</f>
        <v>MUJER</v>
      </c>
      <c r="D54" s="2">
        <v>746</v>
      </c>
      <c r="E54" s="17">
        <v>2.92E-2</v>
      </c>
    </row>
    <row r="55" spans="2:5">
      <c r="B55" s="24"/>
      <c r="C55" s="16" t="str">
        <f>"Total"</f>
        <v>Total</v>
      </c>
      <c r="D55" s="21">
        <v>1522</v>
      </c>
      <c r="E55" s="19">
        <v>5.96E-2</v>
      </c>
    </row>
    <row r="56" spans="2:5">
      <c r="B56" s="22" t="str">
        <f>"MORELOS"</f>
        <v>MORELOS</v>
      </c>
      <c r="C56" s="1" t="str">
        <f>"HOMBRE"</f>
        <v>HOMBRE</v>
      </c>
      <c r="D56" s="2">
        <v>370</v>
      </c>
      <c r="E56" s="17">
        <v>1.4500000000000001E-2</v>
      </c>
    </row>
    <row r="57" spans="2:5">
      <c r="B57" s="23"/>
      <c r="C57" s="1" t="str">
        <f>"MUJER"</f>
        <v>MUJER</v>
      </c>
      <c r="D57" s="2">
        <v>353</v>
      </c>
      <c r="E57" s="17">
        <v>1.38E-2</v>
      </c>
    </row>
    <row r="58" spans="2:5">
      <c r="B58" s="24"/>
      <c r="C58" s="16" t="str">
        <f>"Total"</f>
        <v>Total</v>
      </c>
      <c r="D58" s="18">
        <v>723</v>
      </c>
      <c r="E58" s="19">
        <v>2.8299999999999999E-2</v>
      </c>
    </row>
    <row r="59" spans="2:5">
      <c r="B59" s="22" t="str">
        <f>"NAYARIT"</f>
        <v>NAYARIT</v>
      </c>
      <c r="C59" s="1" t="str">
        <f>"HOMBRE"</f>
        <v>HOMBRE</v>
      </c>
      <c r="D59" s="2">
        <v>246</v>
      </c>
      <c r="E59" s="17">
        <v>9.5999999999999992E-3</v>
      </c>
    </row>
    <row r="60" spans="2:5">
      <c r="B60" s="23"/>
      <c r="C60" s="1" t="str">
        <f>"MUJER"</f>
        <v>MUJER</v>
      </c>
      <c r="D60" s="2">
        <v>240</v>
      </c>
      <c r="E60" s="17">
        <v>9.4000000000000004E-3</v>
      </c>
    </row>
    <row r="61" spans="2:5">
      <c r="B61" s="24"/>
      <c r="C61" s="16" t="str">
        <f>"Total"</f>
        <v>Total</v>
      </c>
      <c r="D61" s="18">
        <v>486</v>
      </c>
      <c r="E61" s="19">
        <v>1.9E-2</v>
      </c>
    </row>
    <row r="62" spans="2:5">
      <c r="B62" s="22" t="str">
        <f>"NUEVO LEON"</f>
        <v>NUEVO LEON</v>
      </c>
      <c r="C62" s="1" t="str">
        <f>"HOMBRE"</f>
        <v>HOMBRE</v>
      </c>
      <c r="D62" s="2">
        <v>37</v>
      </c>
      <c r="E62" s="17">
        <v>1.4E-3</v>
      </c>
    </row>
    <row r="63" spans="2:5">
      <c r="B63" s="23"/>
      <c r="C63" s="1" t="str">
        <f>"MUJER"</f>
        <v>MUJER</v>
      </c>
      <c r="D63" s="2">
        <v>43</v>
      </c>
      <c r="E63" s="17">
        <v>1.6999999999999999E-3</v>
      </c>
    </row>
    <row r="64" spans="2:5">
      <c r="B64" s="24"/>
      <c r="C64" s="16" t="str">
        <f>"Total"</f>
        <v>Total</v>
      </c>
      <c r="D64" s="18">
        <v>80</v>
      </c>
      <c r="E64" s="19">
        <v>3.0999999999999999E-3</v>
      </c>
    </row>
    <row r="65" spans="2:5">
      <c r="B65" s="22" t="str">
        <f>"OAXACA"</f>
        <v>OAXACA</v>
      </c>
      <c r="C65" s="1" t="str">
        <f>"HOMBRE"</f>
        <v>HOMBRE</v>
      </c>
      <c r="D65" s="2">
        <v>508</v>
      </c>
      <c r="E65" s="17">
        <v>1.9900000000000001E-2</v>
      </c>
    </row>
    <row r="66" spans="2:5">
      <c r="B66" s="23"/>
      <c r="C66" s="1" t="str">
        <f>"MUJER"</f>
        <v>MUJER</v>
      </c>
      <c r="D66" s="2">
        <v>374</v>
      </c>
      <c r="E66" s="17">
        <v>1.46E-2</v>
      </c>
    </row>
    <row r="67" spans="2:5">
      <c r="B67" s="24"/>
      <c r="C67" s="16" t="str">
        <f>"Total"</f>
        <v>Total</v>
      </c>
      <c r="D67" s="18">
        <v>882</v>
      </c>
      <c r="E67" s="19">
        <v>3.4500000000000003E-2</v>
      </c>
    </row>
    <row r="68" spans="2:5">
      <c r="B68" s="22" t="str">
        <f>"PUEBLA"</f>
        <v>PUEBLA</v>
      </c>
      <c r="C68" s="1" t="str">
        <f>"HOMBRE"</f>
        <v>HOMBRE</v>
      </c>
      <c r="D68" s="2">
        <v>456</v>
      </c>
      <c r="E68" s="17">
        <v>1.7899999999999999E-2</v>
      </c>
    </row>
    <row r="69" spans="2:5">
      <c r="B69" s="23"/>
      <c r="C69" s="1" t="str">
        <f>"MUJER"</f>
        <v>MUJER</v>
      </c>
      <c r="D69" s="2">
        <v>270</v>
      </c>
      <c r="E69" s="17">
        <v>1.06E-2</v>
      </c>
    </row>
    <row r="70" spans="2:5">
      <c r="B70" s="24"/>
      <c r="C70" s="16" t="str">
        <f>"Total"</f>
        <v>Total</v>
      </c>
      <c r="D70" s="18">
        <v>726</v>
      </c>
      <c r="E70" s="19">
        <v>2.8400000000000002E-2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58</v>
      </c>
      <c r="E71" s="17">
        <v>2.3E-3</v>
      </c>
    </row>
    <row r="72" spans="2:5">
      <c r="B72" s="23"/>
      <c r="C72" s="1" t="str">
        <f>"MUJER"</f>
        <v>MUJER</v>
      </c>
      <c r="D72" s="2">
        <v>28</v>
      </c>
      <c r="E72" s="17">
        <v>1.1000000000000001E-3</v>
      </c>
    </row>
    <row r="73" spans="2:5">
      <c r="B73" s="24"/>
      <c r="C73" s="16" t="str">
        <f>"Total"</f>
        <v>Total</v>
      </c>
      <c r="D73" s="18">
        <v>86</v>
      </c>
      <c r="E73" s="19">
        <v>3.3999999999999998E-3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5</v>
      </c>
      <c r="E74" s="17">
        <v>2.0000000000000001E-4</v>
      </c>
    </row>
    <row r="75" spans="2:5">
      <c r="B75" s="23"/>
      <c r="C75" s="1" t="str">
        <f>"MUJER"</f>
        <v>MUJER</v>
      </c>
      <c r="D75" s="2">
        <v>6</v>
      </c>
      <c r="E75" s="17">
        <v>2.0000000000000001E-4</v>
      </c>
    </row>
    <row r="76" spans="2:5">
      <c r="B76" s="24"/>
      <c r="C76" s="16" t="str">
        <f>"Total"</f>
        <v>Total</v>
      </c>
      <c r="D76" s="18">
        <v>11</v>
      </c>
      <c r="E76" s="19">
        <v>4.0000000000000002E-4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117</v>
      </c>
      <c r="E77" s="17">
        <v>4.5999999999999999E-3</v>
      </c>
    </row>
    <row r="78" spans="2:5">
      <c r="B78" s="23"/>
      <c r="C78" s="1" t="str">
        <f>"MUJER"</f>
        <v>MUJER</v>
      </c>
      <c r="D78" s="2">
        <v>80</v>
      </c>
      <c r="E78" s="17">
        <v>3.0999999999999999E-3</v>
      </c>
    </row>
    <row r="79" spans="2:5">
      <c r="B79" s="24"/>
      <c r="C79" s="16" t="str">
        <f>"Total"</f>
        <v>Total</v>
      </c>
      <c r="D79" s="18">
        <v>197</v>
      </c>
      <c r="E79" s="19">
        <v>7.7000000000000002E-3</v>
      </c>
    </row>
    <row r="80" spans="2:5">
      <c r="B80" s="22" t="str">
        <f>"SINALOA"</f>
        <v>SINALOA</v>
      </c>
      <c r="C80" s="1" t="str">
        <f>"HOMBRE"</f>
        <v>HOMBRE</v>
      </c>
      <c r="D80" s="20">
        <v>1338</v>
      </c>
      <c r="E80" s="17">
        <v>5.2400000000000002E-2</v>
      </c>
    </row>
    <row r="81" spans="2:5">
      <c r="B81" s="23"/>
      <c r="C81" s="1" t="str">
        <f>"MUJER"</f>
        <v>MUJER</v>
      </c>
      <c r="D81" s="20">
        <v>1435</v>
      </c>
      <c r="E81" s="17">
        <v>5.62E-2</v>
      </c>
    </row>
    <row r="82" spans="2:5">
      <c r="B82" s="24"/>
      <c r="C82" s="16" t="str">
        <f>"Total"</f>
        <v>Total</v>
      </c>
      <c r="D82" s="21">
        <v>2773</v>
      </c>
      <c r="E82" s="19">
        <v>0.1086</v>
      </c>
    </row>
    <row r="83" spans="2:5">
      <c r="B83" s="22" t="str">
        <f>"SONORA"</f>
        <v>SONORA</v>
      </c>
      <c r="C83" s="1" t="str">
        <f>"HOMBRE"</f>
        <v>HOMBRE</v>
      </c>
      <c r="D83" s="20">
        <v>1973</v>
      </c>
      <c r="E83" s="17">
        <v>7.7299999999999994E-2</v>
      </c>
    </row>
    <row r="84" spans="2:5">
      <c r="B84" s="23"/>
      <c r="C84" s="1" t="str">
        <f>"MUJER"</f>
        <v>MUJER</v>
      </c>
      <c r="D84" s="20">
        <v>2568</v>
      </c>
      <c r="E84" s="17">
        <v>0.10059999999999999</v>
      </c>
    </row>
    <row r="85" spans="2:5">
      <c r="B85" s="24"/>
      <c r="C85" s="16" t="str">
        <f>"Total"</f>
        <v>Total</v>
      </c>
      <c r="D85" s="21">
        <v>4541</v>
      </c>
      <c r="E85" s="19">
        <v>0.17780000000000001</v>
      </c>
    </row>
    <row r="86" spans="2:5">
      <c r="B86" s="22" t="str">
        <f>"TABASCO"</f>
        <v>TABASCO</v>
      </c>
      <c r="C86" s="1" t="str">
        <f>"HOMBRE"</f>
        <v>HOMBRE</v>
      </c>
      <c r="D86" s="2">
        <v>32</v>
      </c>
      <c r="E86" s="17">
        <v>1.2999999999999999E-3</v>
      </c>
    </row>
    <row r="87" spans="2:5">
      <c r="B87" s="23"/>
      <c r="C87" s="1" t="str">
        <f>"MUJER"</f>
        <v>MUJER</v>
      </c>
      <c r="D87" s="2">
        <v>18</v>
      </c>
      <c r="E87" s="17">
        <v>6.9999999999999999E-4</v>
      </c>
    </row>
    <row r="88" spans="2:5">
      <c r="B88" s="24"/>
      <c r="C88" s="16" t="str">
        <f>"Total"</f>
        <v>Total</v>
      </c>
      <c r="D88" s="18">
        <v>50</v>
      </c>
      <c r="E88" s="19">
        <v>2E-3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23</v>
      </c>
      <c r="E89" s="17">
        <v>8.9999999999999998E-4</v>
      </c>
    </row>
    <row r="90" spans="2:5">
      <c r="B90" s="23"/>
      <c r="C90" s="1" t="str">
        <f>"MUJER"</f>
        <v>MUJER</v>
      </c>
      <c r="D90" s="2">
        <v>24</v>
      </c>
      <c r="E90" s="17">
        <v>8.9999999999999998E-4</v>
      </c>
    </row>
    <row r="91" spans="2:5">
      <c r="B91" s="24"/>
      <c r="C91" s="16" t="str">
        <f>"Total"</f>
        <v>Total</v>
      </c>
      <c r="D91" s="18">
        <v>47</v>
      </c>
      <c r="E91" s="19">
        <v>1.8E-3</v>
      </c>
    </row>
    <row r="92" spans="2:5">
      <c r="B92" s="22" t="str">
        <f>"TLAXCALA"</f>
        <v>TLAXCALA</v>
      </c>
      <c r="C92" s="1" t="str">
        <f>"HOMBRE"</f>
        <v>HOMBRE</v>
      </c>
      <c r="D92" s="2">
        <v>46</v>
      </c>
      <c r="E92" s="17">
        <v>1.8E-3</v>
      </c>
    </row>
    <row r="93" spans="2:5">
      <c r="B93" s="23"/>
      <c r="C93" s="1" t="str">
        <f>"MUJER"</f>
        <v>MUJER</v>
      </c>
      <c r="D93" s="2">
        <v>33</v>
      </c>
      <c r="E93" s="17">
        <v>1.2999999999999999E-3</v>
      </c>
    </row>
    <row r="94" spans="2:5">
      <c r="B94" s="24"/>
      <c r="C94" s="16" t="str">
        <f>"Total"</f>
        <v>Total</v>
      </c>
      <c r="D94" s="18">
        <v>79</v>
      </c>
      <c r="E94" s="19">
        <v>3.0999999999999999E-3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2">
        <v>480</v>
      </c>
      <c r="E95" s="17">
        <v>1.8800000000000001E-2</v>
      </c>
    </row>
    <row r="96" spans="2:5">
      <c r="B96" s="23"/>
      <c r="C96" s="1" t="str">
        <f>"MUJER"</f>
        <v>MUJER</v>
      </c>
      <c r="D96" s="2">
        <v>331</v>
      </c>
      <c r="E96" s="17">
        <v>1.2999999999999999E-2</v>
      </c>
    </row>
    <row r="97" spans="2:5">
      <c r="B97" s="24"/>
      <c r="C97" s="16" t="str">
        <f>"Total"</f>
        <v>Total</v>
      </c>
      <c r="D97" s="18">
        <v>811</v>
      </c>
      <c r="E97" s="19">
        <v>3.1800000000000002E-2</v>
      </c>
    </row>
    <row r="98" spans="2:5">
      <c r="B98" s="22" t="str">
        <f>"YUCATAN"</f>
        <v>YUCATAN</v>
      </c>
      <c r="C98" s="1" t="str">
        <f>"HOMBRE"</f>
        <v>HOMBRE</v>
      </c>
      <c r="D98" s="2">
        <v>4</v>
      </c>
      <c r="E98" s="17">
        <v>2.0000000000000001E-4</v>
      </c>
    </row>
    <row r="99" spans="2:5">
      <c r="B99" s="23"/>
      <c r="C99" s="1" t="str">
        <f>"MUJER"</f>
        <v>MUJER</v>
      </c>
      <c r="D99" s="2">
        <v>4</v>
      </c>
      <c r="E99" s="17">
        <v>2.0000000000000001E-4</v>
      </c>
    </row>
    <row r="100" spans="2:5">
      <c r="B100" s="24"/>
      <c r="C100" s="16" t="str">
        <f>"Total"</f>
        <v>Total</v>
      </c>
      <c r="D100" s="18">
        <v>8</v>
      </c>
      <c r="E100" s="19">
        <v>2.9999999999999997E-4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349</v>
      </c>
      <c r="E101" s="17">
        <v>1.37E-2</v>
      </c>
    </row>
    <row r="102" spans="2:5">
      <c r="B102" s="23"/>
      <c r="C102" s="1" t="str">
        <f>"MUJER"</f>
        <v>MUJER</v>
      </c>
      <c r="D102" s="2">
        <v>291</v>
      </c>
      <c r="E102" s="17">
        <v>1.14E-2</v>
      </c>
    </row>
    <row r="103" spans="2:5">
      <c r="B103" s="24"/>
      <c r="C103" s="16" t="str">
        <f>"Total"</f>
        <v>Total</v>
      </c>
      <c r="D103" s="18">
        <v>640</v>
      </c>
      <c r="E103" s="19">
        <v>2.5100000000000001E-2</v>
      </c>
    </row>
    <row r="104" spans="2:5">
      <c r="B104" s="12" t="s">
        <v>2</v>
      </c>
      <c r="C104" s="13" t="str">
        <f>" "</f>
        <v> </v>
      </c>
      <c r="D104" s="14">
        <v>25536</v>
      </c>
      <c r="E104" s="15">
        <v>1</v>
      </c>
    </row>
    <row r="106" spans="2:5" ht="16.5">
      <c r="B106" s="9" t="s">
        <v>5</v>
      </c>
      <c r="C106" s="10"/>
      <c r="D106" s="11"/>
      <c r="E106" s="11"/>
    </row>
    <row r="107" spans="2:5" ht="16.5">
      <c r="B107" s="9" t="s">
        <v>6</v>
      </c>
      <c r="C107" s="10"/>
      <c r="D107" s="11"/>
      <c r="E107" s="11"/>
    </row>
    <row r="108" spans="2:5" ht="16.5">
      <c r="B108" s="9" t="s">
        <v>7</v>
      </c>
      <c r="C108" s="10"/>
      <c r="D108" s="11"/>
      <c r="E108" s="11"/>
    </row>
    <row r="109" spans="2:5" ht="16.5">
      <c r="B109" s="9" t="s">
        <v>8</v>
      </c>
      <c r="C109" s="10"/>
      <c r="D109" s="11"/>
      <c r="E109" s="11"/>
    </row>
    <row r="110" spans="2:5">
      <c r="B110" s="9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easCAR5E0E9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2012-02-27T18:17:54Z</dcterms:created>
  <dcterms:modified xsi:type="dcterms:W3CDTF">2012-03-15T19:22:28Z</dcterms:modified>
</cp:coreProperties>
</file>