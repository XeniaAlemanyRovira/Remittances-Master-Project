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8B1M1" sheetId="2" r:id="rId1"/>
  </sheets>
  <calcPr calcId="125725"/>
</workbook>
</file>

<file path=xl/calcChain.xml><?xml version="1.0" encoding="utf-8"?>
<calcChain xmlns="http://schemas.openxmlformats.org/spreadsheetml/2006/main">
  <c r="B41" i="2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<sst xmlns="http://schemas.openxmlformats.org/spreadsheetml/2006/main" count="12" uniqueCount="12">
  <si>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</si>
  <si>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</si>
  <si>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</si>
  <si>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</si>
  <si>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</si>
  <si>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</si>
  <si>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</si>
  <si>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</si>
  <si>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</si>
  <si>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</si>
  <si>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</si>
  <si>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KENTUCKY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</si>
</sst>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showGridLines="0" tabSelected="1" workbookViewId="0">
      <selection activeCell="A10" sqref="A10"/>
    </sheetView>
  </sheetViews>
  <sheetFormatPr baseColWidth="10" defaultRowHeight="15"/>
  <cols>
    <col min="2" max="2" width="37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"VERACRUZ DE IGNACIO DE LA LLAVE"</f>
        <v>VERACRUZ DE IGNACIO DE LA LLAVE</v>
      </c>
      <c r="C11" s="2">
        <v>479</v>
      </c>
      <c r="D11" s="3">
        <v>0.15620000000000001</v>
      </c>
    </row>
    <row r="12" spans="1:7">
      <c r="B12" s="1" t="str">
        <f>"OAXACA"</f>
        <v>OAXACA</v>
      </c>
      <c r="C12" s="2">
        <v>260</v>
      </c>
      <c r="D12" s="3">
        <v>8.48E-2</v>
      </c>
    </row>
    <row r="13" spans="1:7">
      <c r="B13" s="1" t="str">
        <f>"CHIAPAS"</f>
        <v>CHIAPAS</v>
      </c>
      <c r="C13" s="2">
        <v>260</v>
      </c>
      <c r="D13" s="3">
        <v>8.48E-2</v>
      </c>
    </row>
    <row r="14" spans="1:7">
      <c r="B14" s="1" t="str">
        <f>"MICHOACAN DE OCAMPO"</f>
        <v>MICHOACAN DE OCAMPO</v>
      </c>
      <c r="C14" s="2">
        <v>240</v>
      </c>
      <c r="D14" s="3">
        <v>7.8299999999999995E-2</v>
      </c>
    </row>
    <row r="15" spans="1:7">
      <c r="B15" s="1" t="str">
        <f>"GUERRERO"</f>
        <v>GUERRERO</v>
      </c>
      <c r="C15" s="2">
        <v>192</v>
      </c>
      <c r="D15" s="3">
        <v>6.2600000000000003E-2</v>
      </c>
    </row>
    <row r="16" spans="1:7">
      <c r="B16" s="1" t="str">
        <f>"MEXICO"</f>
        <v>MEXICO</v>
      </c>
      <c r="C16" s="2">
        <v>185</v>
      </c>
      <c r="D16" s="3">
        <v>6.0299999999999999E-2</v>
      </c>
    </row>
    <row r="17" spans="2:4">
      <c r="B17" s="1" t="str">
        <f>"DISTRITO FEDERAL"</f>
        <v>DISTRITO FEDERAL</v>
      </c>
      <c r="C17" s="2">
        <v>181</v>
      </c>
      <c r="D17" s="3">
        <v>5.8999999999999997E-2</v>
      </c>
    </row>
    <row r="18" spans="2:4">
      <c r="B18" s="1" t="str">
        <f>"GUANAJUATO"</f>
        <v>GUANAJUATO</v>
      </c>
      <c r="C18" s="2">
        <v>153</v>
      </c>
      <c r="D18" s="3">
        <v>4.99E-2</v>
      </c>
    </row>
    <row r="19" spans="2:4">
      <c r="B19" s="1" t="str">
        <f>"HIDALGO"</f>
        <v>HIDALGO</v>
      </c>
      <c r="C19" s="2">
        <v>149</v>
      </c>
      <c r="D19" s="3">
        <v>4.8599999999999997E-2</v>
      </c>
    </row>
    <row r="20" spans="2:4">
      <c r="B20" s="1" t="str">
        <f>"JALISCO"</f>
        <v>JALISCO</v>
      </c>
      <c r="C20" s="2">
        <v>122</v>
      </c>
      <c r="D20" s="3">
        <v>3.9800000000000002E-2</v>
      </c>
    </row>
    <row r="21" spans="2:4">
      <c r="B21" s="1" t="str">
        <f>"SAN LUIS POTOSI"</f>
        <v>SAN LUIS POTOSI</v>
      </c>
      <c r="C21" s="2">
        <v>121</v>
      </c>
      <c r="D21" s="3">
        <v>3.95E-2</v>
      </c>
    </row>
    <row r="22" spans="2:4">
      <c r="B22" s="1" t="str">
        <f>"ZACATECAS"</f>
        <v>ZACATECAS</v>
      </c>
      <c r="C22" s="2">
        <v>110</v>
      </c>
      <c r="D22" s="3">
        <v>3.5900000000000001E-2</v>
      </c>
    </row>
    <row r="23" spans="2:4">
      <c r="B23" s="1" t="str">
        <f>"PUEBLA"</f>
        <v>PUEBLA</v>
      </c>
      <c r="C23" s="2">
        <v>105</v>
      </c>
      <c r="D23" s="3">
        <v>3.4200000000000001E-2</v>
      </c>
    </row>
    <row r="24" spans="2:4">
      <c r="B24" s="1" t="str">
        <f>"AGUASCALIENTES"</f>
        <v>AGUASCALIENTES</v>
      </c>
      <c r="C24" s="2">
        <v>81</v>
      </c>
      <c r="D24" s="3">
        <v>2.64E-2</v>
      </c>
    </row>
    <row r="25" spans="2:4">
      <c r="B25" s="1" t="str">
        <f>"COAHUILA DE ZARAGOZA"</f>
        <v>COAHUILA DE ZARAGOZA</v>
      </c>
      <c r="C25" s="2">
        <v>62</v>
      </c>
      <c r="D25" s="3">
        <v>2.0199999999999999E-2</v>
      </c>
    </row>
    <row r="26" spans="2:4">
      <c r="B26" s="1" t="str">
        <f>"TAMAULIPAS"</f>
        <v>TAMAULIPAS</v>
      </c>
      <c r="C26" s="2">
        <v>61</v>
      </c>
      <c r="D26" s="3">
        <v>1.9900000000000001E-2</v>
      </c>
    </row>
    <row r="27" spans="2:4">
      <c r="B27" s="1" t="str">
        <f>"NAYARIT"</f>
        <v>NAYARIT</v>
      </c>
      <c r="C27" s="2">
        <v>49</v>
      </c>
      <c r="D27" s="3">
        <v>1.6E-2</v>
      </c>
    </row>
    <row r="28" spans="2:4">
      <c r="B28" s="1" t="str">
        <f>"CHIHUAHUA"</f>
        <v>CHIHUAHUA</v>
      </c>
      <c r="C28" s="2">
        <v>41</v>
      </c>
      <c r="D28" s="3">
        <v>1.34E-2</v>
      </c>
    </row>
    <row r="29" spans="2:4">
      <c r="B29" s="1" t="str">
        <f>"MORELOS"</f>
        <v>MORELOS</v>
      </c>
      <c r="C29" s="2">
        <v>40</v>
      </c>
      <c r="D29" s="3">
        <v>1.2999999999999999E-2</v>
      </c>
    </row>
    <row r="30" spans="2:4">
      <c r="B30" s="1" t="str">
        <f>"DURANGO"</f>
        <v>DURANGO</v>
      </c>
      <c r="C30" s="2">
        <v>34</v>
      </c>
      <c r="D30" s="3">
        <v>1.11E-2</v>
      </c>
    </row>
    <row r="31" spans="2:4">
      <c r="B31" s="1" t="str">
        <f>"TLAXCALA"</f>
        <v>TLAXCALA</v>
      </c>
      <c r="C31" s="2">
        <v>33</v>
      </c>
      <c r="D31" s="3">
        <v>1.0800000000000001E-2</v>
      </c>
    </row>
    <row r="32" spans="2:4">
      <c r="B32" s="1" t="str">
        <f>"QUERETARO DE ARTEAGA"</f>
        <v>QUERETARO DE ARTEAGA</v>
      </c>
      <c r="C32" s="2">
        <v>27</v>
      </c>
      <c r="D32" s="3">
        <v>8.8000000000000005E-3</v>
      </c>
    </row>
    <row r="33" spans="2:4">
      <c r="B33" s="1" t="str">
        <f>"SINALOA"</f>
        <v>SINALOA</v>
      </c>
      <c r="C33" s="2">
        <v>20</v>
      </c>
      <c r="D33" s="3">
        <v>6.4999999999999997E-3</v>
      </c>
    </row>
    <row r="34" spans="2:4">
      <c r="B34" s="1" t="str">
        <f>"NUEVO LEON"</f>
        <v>NUEVO LEON</v>
      </c>
      <c r="C34" s="2">
        <v>17</v>
      </c>
      <c r="D34" s="3">
        <v>5.4999999999999997E-3</v>
      </c>
    </row>
    <row r="35" spans="2:4">
      <c r="B35" s="1" t="str">
        <f>"TABASCO"</f>
        <v>TABASCO</v>
      </c>
      <c r="C35" s="2">
        <v>17</v>
      </c>
      <c r="D35" s="3">
        <v>5.4999999999999997E-3</v>
      </c>
    </row>
    <row r="36" spans="2:4">
      <c r="B36" s="1" t="str">
        <f>"BAJA CALIFORNIA"</f>
        <v>BAJA CALIFORNIA</v>
      </c>
      <c r="C36" s="2">
        <v>10</v>
      </c>
      <c r="D36" s="3">
        <v>3.3E-3</v>
      </c>
    </row>
    <row r="37" spans="2:4">
      <c r="B37" s="1" t="str">
        <f>"QUINTANA ROO"</f>
        <v>QUINTANA ROO</v>
      </c>
      <c r="C37" s="2">
        <v>7</v>
      </c>
      <c r="D37" s="3">
        <v>2.3E-3</v>
      </c>
    </row>
    <row r="38" spans="2:4">
      <c r="B38" s="1" t="str">
        <f>"SONORA"</f>
        <v>SONORA</v>
      </c>
      <c r="C38" s="2">
        <v>3</v>
      </c>
      <c r="D38" s="3">
        <v>1E-3</v>
      </c>
    </row>
    <row r="39" spans="2:4">
      <c r="B39" s="1" t="str">
        <f>"COLIMA"</f>
        <v>COLIMA</v>
      </c>
      <c r="C39" s="2">
        <v>3</v>
      </c>
      <c r="D39" s="3">
        <v>1E-3</v>
      </c>
    </row>
    <row r="40" spans="2:4">
      <c r="B40" s="1" t="str">
        <f>"CAMPECHE"</f>
        <v>CAMPECHE</v>
      </c>
      <c r="C40" s="2">
        <v>3</v>
      </c>
      <c r="D40" s="3">
        <v>1E-3</v>
      </c>
    </row>
    <row r="41" spans="2:4">
      <c r="B41" s="1" t="str">
        <f>"YUCATAN"</f>
        <v>YUCATAN</v>
      </c>
      <c r="C41" s="2">
        <v>2</v>
      </c>
      <c r="D41" s="3">
        <v>6.9999999999999999E-4</v>
      </c>
    </row>
    <row r="42" spans="2:4">
      <c r="B42" s="13" t="s">
        <v>0</v>
      </c>
      <c r="C42" s="14">
        <v>3067</v>
      </c>
      <c r="D42" s="15">
        <v>1</v>
      </c>
    </row>
    <row r="44" spans="2:4">
      <c r="B44" s="4" t="s">
        <v>1</v>
      </c>
    </row>
    <row r="45" spans="2:4">
      <c r="B45" s="4" t="s">
        <v>2</v>
      </c>
    </row>
    <row r="46" spans="2:4">
      <c r="B46" s="4" t="s">
        <v>3</v>
      </c>
    </row>
    <row r="47" spans="2:4">
      <c r="B47" s="4" t="s">
        <v>4</v>
      </c>
    </row>
    <row r="48" spans="2:4">
      <c r="B48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easCAI8B1M1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2012-02-23T21:40:00Z</dcterms:created>
  <dcterms:modified xsi:type="dcterms:W3CDTF">2012-03-28T20:22:51Z</dcterms:modified>
</cp:coreProperties>
</file>