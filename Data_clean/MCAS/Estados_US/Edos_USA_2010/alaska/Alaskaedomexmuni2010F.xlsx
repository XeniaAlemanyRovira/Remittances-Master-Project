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Q54376" sheetId="2" r:id="rId1"/>
  </sheets>
  <calcPr calcId="125725"/>
</workbook>
</file>

<file path=xl/calcChain.xml><?xml version="1.0" encoding="utf-8"?>
<calcChain xmlns="http://schemas.openxmlformats.org/spreadsheetml/2006/main">
  <c r="C74" i="2"/>
  <c r="C73"/>
  <c r="C72"/>
  <c r="C71"/>
  <c r="C70"/>
  <c r="C69"/>
  <c r="C68"/>
  <c r="C67"/>
  <c r="B67"/>
  <c r="C66"/>
  <c r="C65"/>
  <c r="B65"/>
  <c r="C64"/>
  <c r="C63"/>
  <c r="C62"/>
  <c r="C61"/>
  <c r="B61"/>
  <c r="C60"/>
  <c r="C59"/>
  <c r="C58"/>
  <c r="B58"/>
  <c r="C57"/>
  <c r="C56"/>
  <c r="B56"/>
  <c r="C55"/>
  <c r="C54"/>
  <c r="C53"/>
  <c r="C52"/>
  <c r="B52"/>
  <c r="C51"/>
  <c r="C50"/>
  <c r="B50"/>
  <c r="C49"/>
  <c r="C48"/>
  <c r="C47"/>
  <c r="C46"/>
  <c r="C45"/>
  <c r="C44"/>
  <c r="C43"/>
  <c r="C42"/>
  <c r="C41"/>
  <c r="C40"/>
  <c r="B40"/>
  <c r="C39"/>
  <c r="C38"/>
  <c r="C37"/>
  <c r="B37"/>
  <c r="C36"/>
  <c r="C35"/>
  <c r="C34"/>
  <c r="C33"/>
  <c r="C32"/>
  <c r="C31"/>
  <c r="C30"/>
  <c r="C29"/>
  <c r="C28"/>
  <c r="B28"/>
  <c r="C27"/>
  <c r="C26"/>
  <c r="B26"/>
  <c r="C25"/>
  <c r="C24"/>
  <c r="C23"/>
  <c r="C22"/>
  <c r="B22"/>
  <c r="C21"/>
  <c r="C20"/>
  <c r="C19"/>
  <c r="B19"/>
  <c r="C18"/>
  <c r="C17"/>
  <c r="C16"/>
  <c r="C15"/>
  <c r="B15"/>
  <c r="C14"/>
  <c r="C13"/>
  <c r="C12"/>
  <c r="B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<sst xmlns="http://schemas.openxmlformats.org/spreadsheetml/2006/main" count="11" uniqueCount="11">
  <si>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</si>
  <si>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</si>
  <si>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</si>
  <si>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</si>
  <si>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</si>
  <si>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</si>
  <si>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de Origen</t>
  </si>
  <si>
    <t xml:space="preserve"> Municipio de Origen</t>
  </si>
  <si>
    <t>Porcentaje de Matrículas</t>
  </si>
  <si>
    <t>MATRÍCULAS CONSULARES DE ALTA SEGURIDAD EXPEDIDAS EN EL ESTADO DE ALASKA POR ESTADO Y MUNICIPIO DE LA REPÚBLICA MEXICANA, 2010</t>
  </si>
  <si>
    <t>Marzo del 2012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</si>
</sst>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1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/>
    <xf numFmtId="0" fontId="24" fillId="0" borderId="0" xfId="42" applyFont="1"/>
    <xf numFmtId="0" fontId="25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2" fillId="0" borderId="0" xfId="42" applyFill="1"/>
    <xf numFmtId="0" fontId="0" fillId="0" borderId="0" xfId="0" applyFill="1"/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0" fontId="13" fillId="34" borderId="10" xfId="0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0" fontId="19" fillId="0" borderId="12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25" fillId="0" borderId="0" xfId="42" applyFont="1" applyAlignment="1">
      <alignment horizontal="center" wrapText="1"/>
    </xf>
    <xf numFmtId="0" fontId="25" fillId="0" borderId="11" xfId="42" applyFont="1" applyBorder="1" applyAlignment="1">
      <alignment horizont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/>
    <xf numFmtId="0" fontId="22" fillId="0" borderId="10" xfId="42" applyFont="1" applyBorder="1" applyAlignment="1"/>
    <xf numFmtId="0" fontId="27" fillId="33" borderId="10" xfId="42" applyFont="1" applyFill="1" applyBorder="1" applyAlignment="1">
      <alignment horizontal="center" vertical="center" wrapText="1"/>
    </xf>
    <xf numFmtId="0" fontId="28" fillId="0" borderId="10" xfId="42" applyFont="1" applyBorder="1" applyAlignme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74762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80"/>
  <sheetViews>
    <sheetView showGridLines="0" tabSelected="1" topLeftCell="A59" workbookViewId="0">
      <selection activeCell="A76" sqref="A76:D80"/>
    </sheetView>
  </sheetViews>
  <sheetFormatPr baseColWidth="10" defaultRowHeight="15"/>
  <cols>
    <col min="2" max="2" width="35.7109375" customWidth="1"/>
    <col min="3" max="3" width="20.42578125" customWidth="1"/>
    <col min="4" max="5" width="16.140625" bestFit="1" customWidth="1"/>
  </cols>
  <sheetData>
    <row r="1" spans="1:7">
      <c r="A1" s="6"/>
      <c r="B1" s="7"/>
      <c r="C1" s="6"/>
      <c r="D1" s="8"/>
      <c r="E1" s="8"/>
      <c r="F1" s="6"/>
    </row>
    <row r="2" spans="1:7">
      <c r="A2" s="6"/>
      <c r="B2" s="7"/>
      <c r="C2" s="6"/>
      <c r="D2" s="8"/>
      <c r="E2" s="8"/>
      <c r="F2" s="6"/>
    </row>
    <row r="3" spans="1:7">
      <c r="A3" s="6"/>
      <c r="B3" s="7"/>
      <c r="C3" s="6"/>
      <c r="D3" s="8"/>
      <c r="E3" s="8"/>
      <c r="F3" s="6"/>
    </row>
    <row r="4" spans="1:7">
      <c r="A4" s="6"/>
      <c r="B4" s="7"/>
      <c r="C4" s="6"/>
      <c r="D4" s="8"/>
      <c r="E4" s="8"/>
      <c r="F4" s="6"/>
    </row>
    <row r="5" spans="1:7" ht="16.5">
      <c r="B5" s="9"/>
      <c r="C5" s="10"/>
      <c r="D5" s="11"/>
      <c r="E5" s="11"/>
      <c r="F5" s="10"/>
    </row>
    <row r="6" spans="1:7">
      <c r="B6" s="24" t="s">
        <v>9</v>
      </c>
      <c r="C6" s="24"/>
      <c r="D6" s="24"/>
      <c r="E6" s="24"/>
      <c r="F6" s="10"/>
    </row>
    <row r="7" spans="1:7">
      <c r="A7" s="6"/>
      <c r="B7" s="25"/>
      <c r="C7" s="25"/>
      <c r="D7" s="25"/>
      <c r="E7" s="25"/>
      <c r="F7" s="6"/>
    </row>
    <row r="8" spans="1:7">
      <c r="A8" s="6"/>
      <c r="B8" s="26" t="s">
        <v>6</v>
      </c>
      <c r="C8" s="26" t="s">
        <v>7</v>
      </c>
      <c r="D8" s="29" t="s">
        <v>0</v>
      </c>
      <c r="E8" s="29" t="s">
        <v>8</v>
      </c>
      <c r="F8" s="6"/>
    </row>
    <row r="9" spans="1:7" ht="18" customHeight="1">
      <c r="A9" s="6"/>
      <c r="B9" s="27"/>
      <c r="C9" s="28"/>
      <c r="D9" s="30"/>
      <c r="E9" s="30"/>
      <c r="F9" s="12"/>
      <c r="G9" s="13"/>
    </row>
    <row r="10" spans="1:7">
      <c r="B10" s="21" t="str">
        <f>"AGUASCALIENTES"</f>
        <v>AGUASCALIENTES</v>
      </c>
      <c r="C10" s="1" t="str">
        <f>"RINCON DE ROMOS"</f>
        <v>RINCON DE ROMOS</v>
      </c>
      <c r="D10" s="2">
        <v>1</v>
      </c>
      <c r="E10" s="3">
        <v>1.2800000000000001E-2</v>
      </c>
    </row>
    <row r="11" spans="1:7">
      <c r="B11" s="23"/>
      <c r="C11" s="18" t="str">
        <f>"Total"</f>
        <v>Total</v>
      </c>
      <c r="D11" s="19">
        <v>1</v>
      </c>
      <c r="E11" s="20">
        <v>1.2800000000000001E-2</v>
      </c>
    </row>
    <row r="12" spans="1:7">
      <c r="B12" s="21" t="str">
        <f>"BAJA CALIFORNIA"</f>
        <v>BAJA CALIFORNIA</v>
      </c>
      <c r="C12" s="1" t="str">
        <f>"ENSENADA"</f>
        <v>ENSENADA</v>
      </c>
      <c r="D12" s="2">
        <v>1</v>
      </c>
      <c r="E12" s="3">
        <v>1.2800000000000001E-2</v>
      </c>
    </row>
    <row r="13" spans="1:7">
      <c r="B13" s="22"/>
      <c r="C13" s="1" t="str">
        <f>"TIJUANA"</f>
        <v>TIJUANA</v>
      </c>
      <c r="D13" s="2">
        <v>1</v>
      </c>
      <c r="E13" s="3">
        <v>1.2800000000000001E-2</v>
      </c>
    </row>
    <row r="14" spans="1:7">
      <c r="B14" s="23"/>
      <c r="C14" s="18" t="str">
        <f>"Total"</f>
        <v>Total</v>
      </c>
      <c r="D14" s="19">
        <v>2</v>
      </c>
      <c r="E14" s="20">
        <v>2.5600000000000001E-2</v>
      </c>
    </row>
    <row r="15" spans="1:7">
      <c r="B15" s="21" t="str">
        <f>"CHIHUAHUA"</f>
        <v>CHIHUAHUA</v>
      </c>
      <c r="C15" s="1" t="str">
        <f>"CHIHUAHUA"</f>
        <v>CHIHUAHUA</v>
      </c>
      <c r="D15" s="2">
        <v>2</v>
      </c>
      <c r="E15" s="3">
        <v>2.5600000000000001E-2</v>
      </c>
    </row>
    <row r="16" spans="1:7">
      <c r="B16" s="22"/>
      <c r="C16" s="1" t="str">
        <f>"DELICIAS"</f>
        <v>DELICIAS</v>
      </c>
      <c r="D16" s="2">
        <v>1</v>
      </c>
      <c r="E16" s="3">
        <v>1.2800000000000001E-2</v>
      </c>
    </row>
    <row r="17" spans="2:5">
      <c r="B17" s="22"/>
      <c r="C17" s="1" t="str">
        <f>"JUAREZ"</f>
        <v>JUAREZ</v>
      </c>
      <c r="D17" s="2">
        <v>1</v>
      </c>
      <c r="E17" s="3">
        <v>1.2800000000000001E-2</v>
      </c>
    </row>
    <row r="18" spans="2:5">
      <c r="B18" s="23"/>
      <c r="C18" s="18" t="str">
        <f>"Total"</f>
        <v>Total</v>
      </c>
      <c r="D18" s="19">
        <v>4</v>
      </c>
      <c r="E18" s="20">
        <v>5.1299999999999998E-2</v>
      </c>
    </row>
    <row r="19" spans="2:5">
      <c r="B19" s="21" t="str">
        <f>"COLIMA"</f>
        <v>COLIMA</v>
      </c>
      <c r="C19" s="1" t="str">
        <f>"COLIMA"</f>
        <v>COLIMA</v>
      </c>
      <c r="D19" s="2">
        <v>2</v>
      </c>
      <c r="E19" s="3">
        <v>2.5600000000000001E-2</v>
      </c>
    </row>
    <row r="20" spans="2:5">
      <c r="B20" s="22"/>
      <c r="C20" s="1" t="str">
        <f>"COMALA"</f>
        <v>COMALA</v>
      </c>
      <c r="D20" s="2">
        <v>2</v>
      </c>
      <c r="E20" s="3">
        <v>2.5600000000000001E-2</v>
      </c>
    </row>
    <row r="21" spans="2:5">
      <c r="B21" s="23"/>
      <c r="C21" s="18" t="str">
        <f>"Total"</f>
        <v>Total</v>
      </c>
      <c r="D21" s="19">
        <v>4</v>
      </c>
      <c r="E21" s="20">
        <v>5.1299999999999998E-2</v>
      </c>
    </row>
    <row r="22" spans="2:5">
      <c r="B22" s="21" t="str">
        <f>"DISTRITO FEDERAL"</f>
        <v>DISTRITO FEDERAL</v>
      </c>
      <c r="C22" s="1" t="str">
        <f>"GUSTAVO A. MADERO"</f>
        <v>GUSTAVO A. MADERO</v>
      </c>
      <c r="D22" s="2">
        <v>1</v>
      </c>
      <c r="E22" s="3">
        <v>1.2800000000000001E-2</v>
      </c>
    </row>
    <row r="23" spans="2:5">
      <c r="B23" s="22"/>
      <c r="C23" s="1" t="str">
        <f>"IZTAPALAPA"</f>
        <v>IZTAPALAPA</v>
      </c>
      <c r="D23" s="2">
        <v>1</v>
      </c>
      <c r="E23" s="3">
        <v>1.2800000000000001E-2</v>
      </c>
    </row>
    <row r="24" spans="2:5" ht="30">
      <c r="B24" s="22"/>
      <c r="C24" s="1" t="str">
        <f>"VENUSTIANO CARRANZA"</f>
        <v>VENUSTIANO CARRANZA</v>
      </c>
      <c r="D24" s="2">
        <v>1</v>
      </c>
      <c r="E24" s="3">
        <v>1.2800000000000001E-2</v>
      </c>
    </row>
    <row r="25" spans="2:5">
      <c r="B25" s="23"/>
      <c r="C25" s="18" t="str">
        <f>"Total"</f>
        <v>Total</v>
      </c>
      <c r="D25" s="19">
        <v>3</v>
      </c>
      <c r="E25" s="20">
        <v>3.85E-2</v>
      </c>
    </row>
    <row r="26" spans="2:5" ht="30">
      <c r="B26" s="21" t="str">
        <f>"GUERRERO"</f>
        <v>GUERRERO</v>
      </c>
      <c r="C26" s="1" t="str">
        <f>"TLAPA DE COMONFORT"</f>
        <v>TLAPA DE COMONFORT</v>
      </c>
      <c r="D26" s="2">
        <v>1</v>
      </c>
      <c r="E26" s="3">
        <v>1.2800000000000001E-2</v>
      </c>
    </row>
    <row r="27" spans="2:5">
      <c r="B27" s="23"/>
      <c r="C27" s="18" t="str">
        <f>"Total"</f>
        <v>Total</v>
      </c>
      <c r="D27" s="19">
        <v>1</v>
      </c>
      <c r="E27" s="20">
        <v>1.2800000000000001E-2</v>
      </c>
    </row>
    <row r="28" spans="2:5">
      <c r="B28" s="21" t="str">
        <f t="shared" ref="B28" si="0">"JALISCO"</f>
        <v>JALISCO</v>
      </c>
      <c r="C28" s="1" t="str">
        <f>"GUADALAJARA"</f>
        <v>GUADALAJARA</v>
      </c>
      <c r="D28" s="2">
        <v>3</v>
      </c>
      <c r="E28" s="3">
        <v>3.85E-2</v>
      </c>
    </row>
    <row r="29" spans="2:5">
      <c r="B29" s="22"/>
      <c r="C29" s="1" t="str">
        <f>"JALOSTOTITLAN"</f>
        <v>JALOSTOTITLAN</v>
      </c>
      <c r="D29" s="2">
        <v>2</v>
      </c>
      <c r="E29" s="3">
        <v>2.5600000000000001E-2</v>
      </c>
    </row>
    <row r="30" spans="2:5">
      <c r="B30" s="22"/>
      <c r="C30" s="1" t="str">
        <f>"AUTLAN DE NAVARRO"</f>
        <v>AUTLAN DE NAVARRO</v>
      </c>
      <c r="D30" s="2">
        <v>1</v>
      </c>
      <c r="E30" s="3">
        <v>1.2800000000000001E-2</v>
      </c>
    </row>
    <row r="31" spans="2:5">
      <c r="B31" s="22"/>
      <c r="C31" s="1" t="str">
        <f>"CASIMIRO CASTILLO"</f>
        <v>CASIMIRO CASTILLO</v>
      </c>
      <c r="D31" s="2">
        <v>1</v>
      </c>
      <c r="E31" s="3">
        <v>1.2800000000000001E-2</v>
      </c>
    </row>
    <row r="32" spans="2:5">
      <c r="B32" s="22"/>
      <c r="C32" s="1" t="str">
        <f>"SAN JULIAN"</f>
        <v>SAN JULIAN</v>
      </c>
      <c r="D32" s="2">
        <v>1</v>
      </c>
      <c r="E32" s="3">
        <v>1.2800000000000001E-2</v>
      </c>
    </row>
    <row r="33" spans="2:5">
      <c r="B33" s="22"/>
      <c r="C33" s="1" t="str">
        <f>"SAN MIGUEL EL ALTO"</f>
        <v>SAN MIGUEL EL ALTO</v>
      </c>
      <c r="D33" s="2">
        <v>1</v>
      </c>
      <c r="E33" s="3">
        <v>1.2800000000000001E-2</v>
      </c>
    </row>
    <row r="34" spans="2:5">
      <c r="B34" s="22"/>
      <c r="C34" s="1" t="str">
        <f>"TEQUILA"</f>
        <v>TEQUILA</v>
      </c>
      <c r="D34" s="2">
        <v>1</v>
      </c>
      <c r="E34" s="3">
        <v>1.2800000000000001E-2</v>
      </c>
    </row>
    <row r="35" spans="2:5">
      <c r="B35" s="22"/>
      <c r="C35" s="1" t="str">
        <f>"TLAQUEPAQUE"</f>
        <v>TLAQUEPAQUE</v>
      </c>
      <c r="D35" s="2">
        <v>1</v>
      </c>
      <c r="E35" s="3">
        <v>1.2800000000000001E-2</v>
      </c>
    </row>
    <row r="36" spans="2:5">
      <c r="B36" s="23"/>
      <c r="C36" s="18" t="str">
        <f>"Total"</f>
        <v>Total</v>
      </c>
      <c r="D36" s="19">
        <v>11</v>
      </c>
      <c r="E36" s="20">
        <v>0.14099999999999999</v>
      </c>
    </row>
    <row r="37" spans="2:5" ht="30">
      <c r="B37" s="21" t="str">
        <f>"MEXICO"</f>
        <v>MEXICO</v>
      </c>
      <c r="C37" s="1" t="str">
        <f>"NAUCALPAN DE JUAREZ"</f>
        <v>NAUCALPAN DE JUAREZ</v>
      </c>
      <c r="D37" s="2">
        <v>1</v>
      </c>
      <c r="E37" s="3">
        <v>1.2800000000000001E-2</v>
      </c>
    </row>
    <row r="38" spans="2:5">
      <c r="B38" s="22"/>
      <c r="C38" s="1" t="str">
        <f>"TEJUPILCO"</f>
        <v>TEJUPILCO</v>
      </c>
      <c r="D38" s="2">
        <v>1</v>
      </c>
      <c r="E38" s="3">
        <v>1.2800000000000001E-2</v>
      </c>
    </row>
    <row r="39" spans="2:5">
      <c r="B39" s="23"/>
      <c r="C39" s="18" t="str">
        <f>"Total"</f>
        <v>Total</v>
      </c>
      <c r="D39" s="19">
        <v>2</v>
      </c>
      <c r="E39" s="20">
        <v>2.5600000000000001E-2</v>
      </c>
    </row>
    <row r="40" spans="2:5">
      <c r="B40" s="21" t="str">
        <f t="shared" ref="B40" si="1">"MICHOACAN DE OCAMPO"</f>
        <v>MICHOACAN DE OCAMPO</v>
      </c>
      <c r="C40" s="1" t="str">
        <f>"ACUITZIO"</f>
        <v>ACUITZIO</v>
      </c>
      <c r="D40" s="2">
        <v>4</v>
      </c>
      <c r="E40" s="3">
        <v>5.1299999999999998E-2</v>
      </c>
    </row>
    <row r="41" spans="2:5">
      <c r="B41" s="22"/>
      <c r="C41" s="1" t="str">
        <f>"MORELIA"</f>
        <v>MORELIA</v>
      </c>
      <c r="D41" s="2">
        <v>4</v>
      </c>
      <c r="E41" s="3">
        <v>5.1299999999999998E-2</v>
      </c>
    </row>
    <row r="42" spans="2:5">
      <c r="B42" s="22"/>
      <c r="C42" s="1" t="str">
        <f>"CARACUARO"</f>
        <v>CARACUARO</v>
      </c>
      <c r="D42" s="2">
        <v>1</v>
      </c>
      <c r="E42" s="3">
        <v>1.2800000000000001E-2</v>
      </c>
    </row>
    <row r="43" spans="2:5">
      <c r="B43" s="22"/>
      <c r="C43" s="1" t="str">
        <f>"CHARO"</f>
        <v>CHARO</v>
      </c>
      <c r="D43" s="2">
        <v>1</v>
      </c>
      <c r="E43" s="3">
        <v>1.2800000000000001E-2</v>
      </c>
    </row>
    <row r="44" spans="2:5">
      <c r="B44" s="22"/>
      <c r="C44" s="1" t="str">
        <f>"ECUANDUREO"</f>
        <v>ECUANDUREO</v>
      </c>
      <c r="D44" s="2">
        <v>1</v>
      </c>
      <c r="E44" s="3">
        <v>1.2800000000000001E-2</v>
      </c>
    </row>
    <row r="45" spans="2:5">
      <c r="B45" s="22"/>
      <c r="C45" s="1" t="str">
        <f>"APATZINGAN"</f>
        <v>APATZINGAN</v>
      </c>
      <c r="D45" s="2">
        <v>1</v>
      </c>
      <c r="E45" s="3">
        <v>1.2800000000000001E-2</v>
      </c>
    </row>
    <row r="46" spans="2:5">
      <c r="B46" s="22"/>
      <c r="C46" s="1" t="str">
        <f>"PURUANDIRO"</f>
        <v>PURUANDIRO</v>
      </c>
      <c r="D46" s="2">
        <v>1</v>
      </c>
      <c r="E46" s="3">
        <v>1.2800000000000001E-2</v>
      </c>
    </row>
    <row r="47" spans="2:5">
      <c r="B47" s="22"/>
      <c r="C47" s="1" t="str">
        <f>"URUAPAN"</f>
        <v>URUAPAN</v>
      </c>
      <c r="D47" s="2">
        <v>1</v>
      </c>
      <c r="E47" s="3">
        <v>1.2800000000000001E-2</v>
      </c>
    </row>
    <row r="48" spans="2:5">
      <c r="B48" s="22"/>
      <c r="C48" s="1" t="str">
        <f>"ZACAPU"</f>
        <v>ZACAPU</v>
      </c>
      <c r="D48" s="2">
        <v>1</v>
      </c>
      <c r="E48" s="3">
        <v>1.2800000000000001E-2</v>
      </c>
    </row>
    <row r="49" spans="2:5">
      <c r="B49" s="23"/>
      <c r="C49" s="18" t="str">
        <f>"Total"</f>
        <v>Total</v>
      </c>
      <c r="D49" s="19">
        <v>15</v>
      </c>
      <c r="E49" s="20">
        <v>0.1923</v>
      </c>
    </row>
    <row r="50" spans="2:5">
      <c r="B50" s="21" t="str">
        <f>"NAYARIT"</f>
        <v>NAYARIT</v>
      </c>
      <c r="C50" s="1" t="str">
        <f>"SAN BLAS"</f>
        <v>SAN BLAS</v>
      </c>
      <c r="D50" s="2">
        <v>1</v>
      </c>
      <c r="E50" s="3">
        <v>1.2800000000000001E-2</v>
      </c>
    </row>
    <row r="51" spans="2:5">
      <c r="B51" s="23"/>
      <c r="C51" s="18" t="str">
        <f>"Total"</f>
        <v>Total</v>
      </c>
      <c r="D51" s="19">
        <v>1</v>
      </c>
      <c r="E51" s="20">
        <v>1.2800000000000001E-2</v>
      </c>
    </row>
    <row r="52" spans="2:5">
      <c r="B52" s="21" t="str">
        <f>"OAXACA"</f>
        <v>OAXACA</v>
      </c>
      <c r="C52" s="1" t="str">
        <f>"OAXACA DE JUAREZ"</f>
        <v>OAXACA DE JUAREZ</v>
      </c>
      <c r="D52" s="2">
        <v>7</v>
      </c>
      <c r="E52" s="3">
        <v>8.9700000000000002E-2</v>
      </c>
    </row>
    <row r="53" spans="2:5" ht="30">
      <c r="B53" s="22"/>
      <c r="C53" s="1" t="str">
        <f>"SANTIAGO JUXTLAHUACA"</f>
        <v>SANTIAGO JUXTLAHUACA</v>
      </c>
      <c r="D53" s="2">
        <v>6</v>
      </c>
      <c r="E53" s="3">
        <v>7.6899999999999996E-2</v>
      </c>
    </row>
    <row r="54" spans="2:5">
      <c r="B54" s="22"/>
      <c r="C54" s="1" t="str">
        <f>"YOGANA"</f>
        <v>YOGANA</v>
      </c>
      <c r="D54" s="2">
        <v>1</v>
      </c>
      <c r="E54" s="3">
        <v>1.2800000000000001E-2</v>
      </c>
    </row>
    <row r="55" spans="2:5">
      <c r="B55" s="23"/>
      <c r="C55" s="18" t="str">
        <f>"Total"</f>
        <v>Total</v>
      </c>
      <c r="D55" s="19">
        <v>14</v>
      </c>
      <c r="E55" s="20">
        <v>0.17949999999999999</v>
      </c>
    </row>
    <row r="56" spans="2:5">
      <c r="B56" s="21" t="str">
        <f>"PUEBLA"</f>
        <v>PUEBLA</v>
      </c>
      <c r="C56" s="1" t="str">
        <f>"LIBRES"</f>
        <v>LIBRES</v>
      </c>
      <c r="D56" s="2">
        <v>1</v>
      </c>
      <c r="E56" s="3">
        <v>1.2800000000000001E-2</v>
      </c>
    </row>
    <row r="57" spans="2:5">
      <c r="B57" s="23"/>
      <c r="C57" s="18" t="str">
        <f>"Total"</f>
        <v>Total</v>
      </c>
      <c r="D57" s="19">
        <v>1</v>
      </c>
      <c r="E57" s="20">
        <v>1.2800000000000001E-2</v>
      </c>
    </row>
    <row r="58" spans="2:5" ht="30">
      <c r="B58" s="21" t="str">
        <f>"QUERETARO DE ARTEAGA"</f>
        <v>QUERETARO DE ARTEAGA</v>
      </c>
      <c r="C58" s="1" t="str">
        <f>"CADEREYTA DE MONTES"</f>
        <v>CADEREYTA DE MONTES</v>
      </c>
      <c r="D58" s="2">
        <v>1</v>
      </c>
      <c r="E58" s="3">
        <v>1.2800000000000001E-2</v>
      </c>
    </row>
    <row r="59" spans="2:5">
      <c r="B59" s="22"/>
      <c r="C59" s="1" t="str">
        <f>"TEQUISQUIAPAN"</f>
        <v>TEQUISQUIAPAN</v>
      </c>
      <c r="D59" s="2">
        <v>1</v>
      </c>
      <c r="E59" s="3">
        <v>1.2800000000000001E-2</v>
      </c>
    </row>
    <row r="60" spans="2:5">
      <c r="B60" s="23"/>
      <c r="C60" s="18" t="str">
        <f>"Total"</f>
        <v>Total</v>
      </c>
      <c r="D60" s="19">
        <v>2</v>
      </c>
      <c r="E60" s="20">
        <v>2.5600000000000001E-2</v>
      </c>
    </row>
    <row r="61" spans="2:5">
      <c r="B61" s="21" t="str">
        <f>"SINALOA"</f>
        <v>SINALOA</v>
      </c>
      <c r="C61" s="1" t="str">
        <f>"GUASAVE"</f>
        <v>GUASAVE</v>
      </c>
      <c r="D61" s="2">
        <v>2</v>
      </c>
      <c r="E61" s="3">
        <v>2.5600000000000001E-2</v>
      </c>
    </row>
    <row r="62" spans="2:5">
      <c r="B62" s="22"/>
      <c r="C62" s="1" t="str">
        <f>"EL FUERTE"</f>
        <v>EL FUERTE</v>
      </c>
      <c r="D62" s="2">
        <v>1</v>
      </c>
      <c r="E62" s="3">
        <v>1.2800000000000001E-2</v>
      </c>
    </row>
    <row r="63" spans="2:5">
      <c r="B63" s="22"/>
      <c r="C63" s="1" t="str">
        <f>"SINALOA"</f>
        <v>SINALOA</v>
      </c>
      <c r="D63" s="2">
        <v>1</v>
      </c>
      <c r="E63" s="3">
        <v>1.2800000000000001E-2</v>
      </c>
    </row>
    <row r="64" spans="2:5">
      <c r="B64" s="23"/>
      <c r="C64" s="18" t="str">
        <f>"Total"</f>
        <v>Total</v>
      </c>
      <c r="D64" s="19">
        <v>4</v>
      </c>
      <c r="E64" s="20">
        <v>5.1299999999999998E-2</v>
      </c>
    </row>
    <row r="65" spans="2:5">
      <c r="B65" s="21" t="str">
        <f>"VERACRUZ DE IGNACIO DE LA LLAVE"</f>
        <v>VERACRUZ DE IGNACIO DE LA LLAVE</v>
      </c>
      <c r="C65" s="1" t="str">
        <f>"MINATITLAN"</f>
        <v>MINATITLAN</v>
      </c>
      <c r="D65" s="2">
        <v>2</v>
      </c>
      <c r="E65" s="3">
        <v>2.5600000000000001E-2</v>
      </c>
    </row>
    <row r="66" spans="2:5">
      <c r="B66" s="23"/>
      <c r="C66" s="18" t="str">
        <f>"Total"</f>
        <v>Total</v>
      </c>
      <c r="D66" s="19">
        <v>2</v>
      </c>
      <c r="E66" s="20">
        <v>2.5600000000000001E-2</v>
      </c>
    </row>
    <row r="67" spans="2:5">
      <c r="B67" s="21" t="str">
        <f t="shared" ref="B67" si="2">"ZACATECAS"</f>
        <v>ZACATECAS</v>
      </c>
      <c r="C67" s="1" t="str">
        <f>"CUAUHTEMOC"</f>
        <v>CUAUHTEMOC</v>
      </c>
      <c r="D67" s="2">
        <v>3</v>
      </c>
      <c r="E67" s="3">
        <v>3.85E-2</v>
      </c>
    </row>
    <row r="68" spans="2:5">
      <c r="B68" s="22"/>
      <c r="C68" s="1" t="str">
        <f>"ZACATECAS"</f>
        <v>ZACATECAS</v>
      </c>
      <c r="D68" s="2">
        <v>3</v>
      </c>
      <c r="E68" s="3">
        <v>3.85E-2</v>
      </c>
    </row>
    <row r="69" spans="2:5">
      <c r="B69" s="22"/>
      <c r="C69" s="1" t="str">
        <f>"SOMBRERETE"</f>
        <v>SOMBRERETE</v>
      </c>
      <c r="D69" s="2">
        <v>2</v>
      </c>
      <c r="E69" s="3">
        <v>2.5600000000000001E-2</v>
      </c>
    </row>
    <row r="70" spans="2:5">
      <c r="B70" s="22"/>
      <c r="C70" s="1" t="str">
        <f>"ATOLINGA"</f>
        <v>ATOLINGA</v>
      </c>
      <c r="D70" s="2">
        <v>1</v>
      </c>
      <c r="E70" s="3">
        <v>1.2800000000000001E-2</v>
      </c>
    </row>
    <row r="71" spans="2:5" ht="30">
      <c r="B71" s="22"/>
      <c r="C71" s="1" t="str">
        <f>"TLALTENANGO DE SANCHEZ ROMAN"</f>
        <v>TLALTENANGO DE SANCHEZ ROMAN</v>
      </c>
      <c r="D71" s="2">
        <v>1</v>
      </c>
      <c r="E71" s="3">
        <v>1.2800000000000001E-2</v>
      </c>
    </row>
    <row r="72" spans="2:5">
      <c r="B72" s="22"/>
      <c r="C72" s="1" t="str">
        <f>"MONTE ESCOBEDO"</f>
        <v>MONTE ESCOBEDO</v>
      </c>
      <c r="D72" s="2">
        <v>1</v>
      </c>
      <c r="E72" s="3">
        <v>1.2800000000000001E-2</v>
      </c>
    </row>
    <row r="73" spans="2:5">
      <c r="B73" s="23"/>
      <c r="C73" s="18" t="str">
        <f>"Total"</f>
        <v>Total</v>
      </c>
      <c r="D73" s="19">
        <v>11</v>
      </c>
      <c r="E73" s="20">
        <v>0.14099999999999999</v>
      </c>
    </row>
    <row r="74" spans="2:5">
      <c r="B74" s="14" t="s">
        <v>1</v>
      </c>
      <c r="C74" s="15" t="str">
        <f>" "</f>
        <v> </v>
      </c>
      <c r="D74" s="16">
        <v>78</v>
      </c>
      <c r="E74" s="17">
        <v>1</v>
      </c>
    </row>
    <row r="76" spans="2:5" ht="16.5">
      <c r="B76" s="4" t="s">
        <v>2</v>
      </c>
      <c r="C76" s="5"/>
    </row>
    <row r="77" spans="2:5" ht="16.5">
      <c r="B77" s="4" t="s">
        <v>3</v>
      </c>
      <c r="C77" s="5"/>
    </row>
    <row r="78" spans="2:5" ht="16.5">
      <c r="B78" s="4" t="s">
        <v>4</v>
      </c>
      <c r="C78" s="5"/>
    </row>
    <row r="79" spans="2:5" ht="16.5">
      <c r="B79" s="4" t="s">
        <v>5</v>
      </c>
      <c r="C79" s="5"/>
    </row>
    <row r="80" spans="2:5">
      <c r="B80" s="4" t="s">
        <v>10</v>
      </c>
    </row>
  </sheetData>
  <mergeCells count="21">
    <mergeCell ref="B6:E7"/>
    <mergeCell ref="B8:B9"/>
    <mergeCell ref="C8:C9"/>
    <mergeCell ref="D8:D9"/>
    <mergeCell ref="E8:E9"/>
    <mergeCell ref="B10:B11"/>
    <mergeCell ref="B12:B14"/>
    <mergeCell ref="B15:B18"/>
    <mergeCell ref="B19:B21"/>
    <mergeCell ref="B22:B25"/>
    <mergeCell ref="B26:B27"/>
    <mergeCell ref="B28:B36"/>
    <mergeCell ref="B37:B39"/>
    <mergeCell ref="B40:B49"/>
    <mergeCell ref="B50:B51"/>
    <mergeCell ref="B67:B73"/>
    <mergeCell ref="B52:B55"/>
    <mergeCell ref="B56:B57"/>
    <mergeCell ref="B58:B60"/>
    <mergeCell ref="B61:B64"/>
    <mergeCell ref="B65:B66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easCAQ54376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2012-02-29T20:27:34Z</dcterms:created>
  <dcterms:modified xsi:type="dcterms:W3CDTF">2012-03-15T20:17:31Z</dcterms:modified>
</cp:coreProperties>
</file>