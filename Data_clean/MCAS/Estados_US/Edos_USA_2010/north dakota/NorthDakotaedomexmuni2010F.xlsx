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EST2TO" sheetId="2" r:id="rId1"/>
  </sheets>
  <calcPr calcId="125725"/>
</workbook>
</file>

<file path=xl/calcChain.xml><?xml version="1.0" encoding="utf-8"?>
<calcChain xmlns="http://schemas.openxmlformats.org/spreadsheetml/2006/main">
  <c r="C39" i="2"/>
  <c r="C38"/>
  <c r="C37"/>
  <c r="C36"/>
  <c r="B36"/>
  <c r="C35"/>
  <c r="C34"/>
  <c r="B34"/>
  <c r="C33"/>
  <c r="C32"/>
  <c r="C31"/>
  <c r="B31"/>
  <c r="C30"/>
  <c r="C29"/>
  <c r="B29"/>
  <c r="C28"/>
  <c r="C27"/>
  <c r="C26"/>
  <c r="C25"/>
  <c r="B25"/>
  <c r="C24"/>
  <c r="C23"/>
  <c r="B23"/>
  <c r="C22"/>
  <c r="C21"/>
  <c r="B21"/>
  <c r="C20"/>
  <c r="C19"/>
  <c r="B19"/>
  <c r="C18"/>
  <c r="C17"/>
  <c r="B17"/>
  <c r="C16"/>
  <c r="C15"/>
  <c r="C14"/>
  <c r="B14"/>
  <c r="C13"/>
  <c r="C12"/>
  <c r="B12"/>
  <c r="C11"/>
  <c r="C10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<sst xmlns="http://schemas.openxmlformats.org/spreadsheetml/2006/main" count="11" uniqueCount="11">
  <si>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</si>
  <si>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</si>
  <si>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</si>
  <si>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</si>
  <si>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</si>
  <si>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</si>
  <si>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Estado de Origen</t>
  </si>
  <si>
    <t xml:space="preserve"> Municipio de Origen</t>
  </si>
  <si>
    <t>Porcentaje de Matrículas</t>
  </si>
  <si>
    <t>MATRÍCULAS CONSULARES DE ALTA SEGURIDAD EXPEDIDAS EN EL ESTADO DE NORTH DAKOTA POR ESTADO Y MUNICIPIO DE LA REPÚBLICA MEXICANA, 2010</t>
  </si>
  <si>
    <t>Marzo del 2012</t>
  </si>
</sst>
</file>

<file path=xl/styles.xml><?xml version="1.0" encoding="utf-8"?>
<styleSheet xmlns="http://schemas.openxmlformats.org/spreadsheetml/2006/main"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b/>
      <sz val="11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/>
  </cellStyleXfs>
  <cellXfs count="31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42"/>
    <xf numFmtId="0" fontId="23" fillId="0" borderId="0" xfId="42" applyFont="1"/>
    <xf numFmtId="0" fontId="24" fillId="0" borderId="0" xfId="42" applyFont="1"/>
    <xf numFmtId="0" fontId="25" fillId="0" borderId="0" xfId="42" applyFont="1" applyAlignment="1"/>
    <xf numFmtId="0" fontId="0" fillId="0" borderId="0" xfId="0" applyAlignment="1"/>
    <xf numFmtId="0" fontId="18" fillId="0" borderId="0" xfId="0" applyFont="1" applyAlignment="1"/>
    <xf numFmtId="0" fontId="22" fillId="0" borderId="0" xfId="42" applyFill="1"/>
    <xf numFmtId="0" fontId="0" fillId="0" borderId="0" xfId="0" applyFill="1"/>
    <xf numFmtId="0" fontId="13" fillId="34" borderId="10" xfId="0" applyFont="1" applyFill="1" applyBorder="1" applyAlignment="1">
      <alignment wrapText="1"/>
    </xf>
    <xf numFmtId="0" fontId="17" fillId="34" borderId="10" xfId="0" applyFont="1" applyFill="1" applyBorder="1" applyAlignment="1">
      <alignment horizontal="right" wrapText="1"/>
    </xf>
    <xf numFmtId="0" fontId="13" fillId="34" borderId="10" xfId="0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19" fillId="35" borderId="10" xfId="0" applyFont="1" applyFill="1" applyBorder="1" applyAlignment="1">
      <alignment wrapText="1"/>
    </xf>
    <xf numFmtId="0" fontId="19" fillId="35" borderId="10" xfId="0" applyFont="1" applyFill="1" applyBorder="1" applyAlignment="1">
      <alignment horizontal="right" wrapText="1"/>
    </xf>
    <xf numFmtId="10" fontId="19" fillId="35" borderId="10" xfId="0" applyNumberFormat="1" applyFont="1" applyFill="1" applyBorder="1" applyAlignment="1">
      <alignment horizontal="right" wrapText="1"/>
    </xf>
    <xf numFmtId="0" fontId="18" fillId="0" borderId="1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25" fillId="0" borderId="0" xfId="42" applyFont="1" applyAlignment="1">
      <alignment horizontal="center" wrapText="1"/>
    </xf>
    <xf numFmtId="0" fontId="25" fillId="0" borderId="11" xfId="42" applyFont="1" applyBorder="1" applyAlignment="1">
      <alignment horizontal="center" wrapText="1"/>
    </xf>
    <xf numFmtId="0" fontId="26" fillId="33" borderId="10" xfId="42" applyFont="1" applyFill="1" applyBorder="1" applyAlignment="1">
      <alignment horizontal="center" vertical="center" wrapText="1"/>
    </xf>
    <xf numFmtId="0" fontId="23" fillId="0" borderId="10" xfId="42" applyFont="1" applyBorder="1" applyAlignment="1"/>
    <xf numFmtId="0" fontId="22" fillId="0" borderId="10" xfId="42" applyFont="1" applyBorder="1" applyAlignment="1"/>
    <xf numFmtId="0" fontId="27" fillId="33" borderId="10" xfId="42" applyFont="1" applyFill="1" applyBorder="1" applyAlignment="1">
      <alignment horizontal="center" vertical="center" wrapText="1"/>
    </xf>
    <xf numFmtId="0" fontId="28" fillId="0" borderId="10" xfId="42" applyFont="1" applyBorder="1" applyAlignme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851648</xdr:colOff>
      <xdr:row>0</xdr:row>
      <xdr:rowOff>67235</xdr:rowOff>
    </xdr:from>
    <xdr:to>
      <xdr:col>5</xdr:col>
      <xdr:colOff>24654</xdr:colOff>
      <xdr:row>3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23773" y="67235"/>
          <a:ext cx="1325656" cy="6684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showGridLines="0" tabSelected="1" workbookViewId="0">
      <selection activeCell="A8" sqref="A8"/>
    </sheetView>
  </sheetViews>
  <sheetFormatPr baseColWidth="10" defaultRowHeight="15"/>
  <cols>
    <col min="2" max="2" width="46" customWidth="1"/>
    <col min="3" max="3" width="26.7109375" customWidth="1"/>
    <col min="4" max="5" width="16.140625" bestFit="1" customWidth="1"/>
  </cols>
  <sheetData>
    <row r="1" spans="1:7">
      <c r="A1" s="6"/>
      <c r="B1" s="7"/>
      <c r="C1" s="6"/>
      <c r="D1" s="8"/>
      <c r="E1" s="8"/>
      <c r="F1" s="6"/>
    </row>
    <row r="2" spans="1:7">
      <c r="A2" s="6"/>
      <c r="B2" s="7"/>
      <c r="C2" s="6"/>
      <c r="D2" s="8"/>
      <c r="E2" s="8"/>
      <c r="F2" s="6"/>
    </row>
    <row r="3" spans="1:7">
      <c r="A3" s="6"/>
      <c r="B3" s="7"/>
      <c r="C3" s="6"/>
      <c r="D3" s="8"/>
      <c r="E3" s="8"/>
      <c r="F3" s="6"/>
    </row>
    <row r="4" spans="1:7">
      <c r="A4" s="6"/>
      <c r="B4" s="7"/>
      <c r="C4" s="6"/>
      <c r="D4" s="8"/>
      <c r="E4" s="8"/>
      <c r="F4" s="6"/>
    </row>
    <row r="5" spans="1:7" ht="16.5">
      <c r="B5" s="9"/>
      <c r="C5" s="10"/>
      <c r="D5" s="11"/>
      <c r="E5" s="11"/>
      <c r="F5" s="10"/>
    </row>
    <row r="6" spans="1:7">
      <c r="B6" s="24" t="s">
        <v>9</v>
      </c>
      <c r="C6" s="24"/>
      <c r="D6" s="24"/>
      <c r="E6" s="24"/>
      <c r="F6" s="10"/>
    </row>
    <row r="7" spans="1:7">
      <c r="A7" s="6"/>
      <c r="B7" s="25"/>
      <c r="C7" s="25"/>
      <c r="D7" s="25"/>
      <c r="E7" s="25"/>
      <c r="F7" s="6"/>
    </row>
    <row r="8" spans="1:7">
      <c r="A8" s="6"/>
      <c r="B8" s="26" t="s">
        <v>6</v>
      </c>
      <c r="C8" s="26" t="s">
        <v>7</v>
      </c>
      <c r="D8" s="29" t="s">
        <v>0</v>
      </c>
      <c r="E8" s="29" t="s">
        <v>8</v>
      </c>
      <c r="F8" s="6"/>
    </row>
    <row r="9" spans="1:7" ht="18" customHeight="1">
      <c r="A9" s="6"/>
      <c r="B9" s="27"/>
      <c r="C9" s="28"/>
      <c r="D9" s="30"/>
      <c r="E9" s="30"/>
      <c r="F9" s="12"/>
      <c r="G9" s="13"/>
    </row>
    <row r="10" spans="1:7">
      <c r="B10" s="21" t="str">
        <f>"CHIHUAHUA"</f>
        <v>CHIHUAHUA</v>
      </c>
      <c r="C10" s="1" t="str">
        <f>"OJINAGA"</f>
        <v>OJINAGA</v>
      </c>
      <c r="D10" s="2">
        <v>1</v>
      </c>
      <c r="E10" s="3">
        <v>0.05</v>
      </c>
    </row>
    <row r="11" spans="1:7">
      <c r="B11" s="23"/>
      <c r="C11" s="18" t="str">
        <f>"Total"</f>
        <v>Total</v>
      </c>
      <c r="D11" s="19">
        <v>1</v>
      </c>
      <c r="E11" s="20">
        <v>0.05</v>
      </c>
    </row>
    <row r="12" spans="1:7">
      <c r="B12" s="21" t="str">
        <f>"COAHUILA DE ZARAGOZA"</f>
        <v>COAHUILA DE ZARAGOZA</v>
      </c>
      <c r="C12" s="1" t="str">
        <f>"SALTILLO"</f>
        <v>SALTILLO</v>
      </c>
      <c r="D12" s="2">
        <v>1</v>
      </c>
      <c r="E12" s="3">
        <v>0.05</v>
      </c>
    </row>
    <row r="13" spans="1:7">
      <c r="B13" s="23"/>
      <c r="C13" s="18" t="str">
        <f>"Total"</f>
        <v>Total</v>
      </c>
      <c r="D13" s="19">
        <v>1</v>
      </c>
      <c r="E13" s="20">
        <v>0.05</v>
      </c>
    </row>
    <row r="14" spans="1:7">
      <c r="B14" s="21" t="str">
        <f>"DISTRITO FEDERAL"</f>
        <v>DISTRITO FEDERAL</v>
      </c>
      <c r="C14" s="1" t="str">
        <f>"GUSTAVO A. MADERO"</f>
        <v>GUSTAVO A. MADERO</v>
      </c>
      <c r="D14" s="2">
        <v>2</v>
      </c>
      <c r="E14" s="3">
        <v>0.1</v>
      </c>
    </row>
    <row r="15" spans="1:7">
      <c r="B15" s="22"/>
      <c r="C15" s="1" t="str">
        <f>"IZTACALCO"</f>
        <v>IZTACALCO</v>
      </c>
      <c r="D15" s="2">
        <v>1</v>
      </c>
      <c r="E15" s="3">
        <v>0.05</v>
      </c>
    </row>
    <row r="16" spans="1:7">
      <c r="B16" s="23"/>
      <c r="C16" s="18" t="str">
        <f>"Total"</f>
        <v>Total</v>
      </c>
      <c r="D16" s="19">
        <v>3</v>
      </c>
      <c r="E16" s="20">
        <v>0.15</v>
      </c>
    </row>
    <row r="17" spans="2:5">
      <c r="B17" s="21" t="str">
        <f>"GUANAJUATO"</f>
        <v>GUANAJUATO</v>
      </c>
      <c r="C17" s="1" t="str">
        <f>"TARIMORO"</f>
        <v>TARIMORO</v>
      </c>
      <c r="D17" s="2">
        <v>2</v>
      </c>
      <c r="E17" s="3">
        <v>0.1</v>
      </c>
    </row>
    <row r="18" spans="2:5">
      <c r="B18" s="23"/>
      <c r="C18" s="18" t="str">
        <f>"Total"</f>
        <v>Total</v>
      </c>
      <c r="D18" s="19">
        <v>2</v>
      </c>
      <c r="E18" s="20">
        <v>0.1</v>
      </c>
    </row>
    <row r="19" spans="2:5">
      <c r="B19" s="21" t="str">
        <f>"GUERRERO"</f>
        <v>GUERRERO</v>
      </c>
      <c r="C19" s="1" t="str">
        <f>"ACAPULCO DE JUAREZ"</f>
        <v>ACAPULCO DE JUAREZ</v>
      </c>
      <c r="D19" s="2">
        <v>1</v>
      </c>
      <c r="E19" s="3">
        <v>0.05</v>
      </c>
    </row>
    <row r="20" spans="2:5">
      <c r="B20" s="23"/>
      <c r="C20" s="18" t="str">
        <f>"Total"</f>
        <v>Total</v>
      </c>
      <c r="D20" s="19">
        <v>1</v>
      </c>
      <c r="E20" s="20">
        <v>0.05</v>
      </c>
    </row>
    <row r="21" spans="2:5">
      <c r="B21" s="21" t="str">
        <f>"JALISCO"</f>
        <v>JALISCO</v>
      </c>
      <c r="C21" s="1" t="str">
        <f>"LAGOS DE MORENO"</f>
        <v>LAGOS DE MORENO</v>
      </c>
      <c r="D21" s="2">
        <v>1</v>
      </c>
      <c r="E21" s="3">
        <v>0.05</v>
      </c>
    </row>
    <row r="22" spans="2:5">
      <c r="B22" s="23"/>
      <c r="C22" s="18" t="str">
        <f>"Total"</f>
        <v>Total</v>
      </c>
      <c r="D22" s="19">
        <v>1</v>
      </c>
      <c r="E22" s="20">
        <v>0.05</v>
      </c>
    </row>
    <row r="23" spans="2:5">
      <c r="B23" s="21" t="str">
        <f>"MICHOACAN DE OCAMPO"</f>
        <v>MICHOACAN DE OCAMPO</v>
      </c>
      <c r="C23" s="1" t="str">
        <f>"ZINAPECUARO"</f>
        <v>ZINAPECUARO</v>
      </c>
      <c r="D23" s="2">
        <v>1</v>
      </c>
      <c r="E23" s="3">
        <v>0.05</v>
      </c>
    </row>
    <row r="24" spans="2:5">
      <c r="B24" s="23"/>
      <c r="C24" s="18" t="str">
        <f>"Total"</f>
        <v>Total</v>
      </c>
      <c r="D24" s="19">
        <v>1</v>
      </c>
      <c r="E24" s="20">
        <v>0.05</v>
      </c>
    </row>
    <row r="25" spans="2:5">
      <c r="B25" s="21" t="str">
        <f>"NUEVO LEON"</f>
        <v>NUEVO LEON</v>
      </c>
      <c r="C25" s="1" t="str">
        <f>"GALEANA"</f>
        <v>GALEANA</v>
      </c>
      <c r="D25" s="2">
        <v>1</v>
      </c>
      <c r="E25" s="3">
        <v>0.05</v>
      </c>
    </row>
    <row r="26" spans="2:5">
      <c r="B26" s="22"/>
      <c r="C26" s="1" t="str">
        <f>"MONTERREY"</f>
        <v>MONTERREY</v>
      </c>
      <c r="D26" s="2">
        <v>1</v>
      </c>
      <c r="E26" s="3">
        <v>0.05</v>
      </c>
    </row>
    <row r="27" spans="2:5">
      <c r="B27" s="22"/>
      <c r="C27" s="1" t="str">
        <f>"SABINAS HIDALGO"</f>
        <v>SABINAS HIDALGO</v>
      </c>
      <c r="D27" s="2">
        <v>1</v>
      </c>
      <c r="E27" s="3">
        <v>0.05</v>
      </c>
    </row>
    <row r="28" spans="2:5">
      <c r="B28" s="23"/>
      <c r="C28" s="18" t="str">
        <f>"Total"</f>
        <v>Total</v>
      </c>
      <c r="D28" s="19">
        <v>3</v>
      </c>
      <c r="E28" s="20">
        <v>0.15</v>
      </c>
    </row>
    <row r="29" spans="2:5">
      <c r="B29" s="21" t="str">
        <f>"OAXACA"</f>
        <v>OAXACA</v>
      </c>
      <c r="C29" s="1" t="str">
        <f>"OAXACA DE JUAREZ"</f>
        <v>OAXACA DE JUAREZ</v>
      </c>
      <c r="D29" s="2">
        <v>1</v>
      </c>
      <c r="E29" s="3">
        <v>0.05</v>
      </c>
    </row>
    <row r="30" spans="2:5">
      <c r="B30" s="23"/>
      <c r="C30" s="18" t="str">
        <f>"Total"</f>
        <v>Total</v>
      </c>
      <c r="D30" s="19">
        <v>1</v>
      </c>
      <c r="E30" s="20">
        <v>0.05</v>
      </c>
    </row>
    <row r="31" spans="2:5">
      <c r="B31" s="21" t="str">
        <f>"SAN LUIS POTOSI"</f>
        <v>SAN LUIS POTOSI</v>
      </c>
      <c r="C31" s="1" t="str">
        <f>"CIUDAD FERNANDEZ"</f>
        <v>CIUDAD FERNANDEZ</v>
      </c>
      <c r="D31" s="2">
        <v>1</v>
      </c>
      <c r="E31" s="3">
        <v>0.05</v>
      </c>
    </row>
    <row r="32" spans="2:5">
      <c r="B32" s="22"/>
      <c r="C32" s="1" t="str">
        <f>"TAMAZUNCHALE"</f>
        <v>TAMAZUNCHALE</v>
      </c>
      <c r="D32" s="2">
        <v>1</v>
      </c>
      <c r="E32" s="3">
        <v>0.05</v>
      </c>
    </row>
    <row r="33" spans="2:5">
      <c r="B33" s="23"/>
      <c r="C33" s="18" t="str">
        <f>"Total"</f>
        <v>Total</v>
      </c>
      <c r="D33" s="19">
        <v>2</v>
      </c>
      <c r="E33" s="20">
        <v>0.1</v>
      </c>
    </row>
    <row r="34" spans="2:5">
      <c r="B34" s="21" t="str">
        <f>"SONORA"</f>
        <v>SONORA</v>
      </c>
      <c r="C34" s="1" t="str">
        <f>"ROSARIO"</f>
        <v>ROSARIO</v>
      </c>
      <c r="D34" s="2">
        <v>1</v>
      </c>
      <c r="E34" s="3">
        <v>0.05</v>
      </c>
    </row>
    <row r="35" spans="2:5">
      <c r="B35" s="23"/>
      <c r="C35" s="18" t="str">
        <f>"Total"</f>
        <v>Total</v>
      </c>
      <c r="D35" s="19">
        <v>1</v>
      </c>
      <c r="E35" s="20">
        <v>0.05</v>
      </c>
    </row>
    <row r="36" spans="2:5">
      <c r="B36" s="21" t="str">
        <f>"TAMAULIPAS"</f>
        <v>TAMAULIPAS</v>
      </c>
      <c r="C36" s="1" t="str">
        <f>"CIUDAD MADERO"</f>
        <v>CIUDAD MADERO</v>
      </c>
      <c r="D36" s="2">
        <v>2</v>
      </c>
      <c r="E36" s="3">
        <v>0.1</v>
      </c>
    </row>
    <row r="37" spans="2:5">
      <c r="B37" s="22"/>
      <c r="C37" s="1" t="str">
        <f>"TAMPICO"</f>
        <v>TAMPICO</v>
      </c>
      <c r="D37" s="2">
        <v>1</v>
      </c>
      <c r="E37" s="3">
        <v>0.05</v>
      </c>
    </row>
    <row r="38" spans="2:5">
      <c r="B38" s="23"/>
      <c r="C38" s="18" t="str">
        <f>"Total"</f>
        <v>Total</v>
      </c>
      <c r="D38" s="19">
        <v>3</v>
      </c>
      <c r="E38" s="20">
        <v>0.15</v>
      </c>
    </row>
    <row r="39" spans="2:5">
      <c r="B39" s="14" t="s">
        <v>1</v>
      </c>
      <c r="C39" s="15" t="str">
        <f>" "</f>
        <v> </v>
      </c>
      <c r="D39" s="16">
        <v>20</v>
      </c>
      <c r="E39" s="17">
        <v>1</v>
      </c>
    </row>
    <row r="41" spans="2:5" ht="16.5">
      <c r="B41" s="4" t="s">
        <v>2</v>
      </c>
      <c r="C41" s="5"/>
    </row>
    <row r="42" spans="2:5" ht="16.5">
      <c r="B42" s="4" t="s">
        <v>3</v>
      </c>
      <c r="C42" s="5"/>
    </row>
    <row r="43" spans="2:5" ht="16.5">
      <c r="B43" s="4" t="s">
        <v>4</v>
      </c>
      <c r="C43" s="5"/>
    </row>
    <row r="44" spans="2:5" ht="16.5">
      <c r="B44" s="4" t="s">
        <v>5</v>
      </c>
      <c r="C44" s="5"/>
    </row>
    <row r="45" spans="2:5">
      <c r="B45" s="4" t="s">
        <v>10</v>
      </c>
    </row>
  </sheetData>
  <mergeCells count="17">
    <mergeCell ref="B10:B11"/>
    <mergeCell ref="B6:E7"/>
    <mergeCell ref="B8:B9"/>
    <mergeCell ref="C8:C9"/>
    <mergeCell ref="D8:D9"/>
    <mergeCell ref="E8:E9"/>
    <mergeCell ref="B12:B13"/>
    <mergeCell ref="B14:B16"/>
    <mergeCell ref="B17:B18"/>
    <mergeCell ref="B19:B20"/>
    <mergeCell ref="B21:B22"/>
    <mergeCell ref="B36:B38"/>
    <mergeCell ref="B23:B24"/>
    <mergeCell ref="B25:B28"/>
    <mergeCell ref="B29:B30"/>
    <mergeCell ref="B31:B33"/>
    <mergeCell ref="B34:B35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easCAEST2TO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2012-03-13T21:05:36Z</dcterms:created>
  <dcterms:modified xsi:type="dcterms:W3CDTF">2012-03-15T20:26:11Z</dcterms:modified>
</cp:coreProperties>
</file>