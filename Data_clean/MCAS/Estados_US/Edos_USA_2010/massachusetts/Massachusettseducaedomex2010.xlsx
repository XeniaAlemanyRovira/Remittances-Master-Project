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J5ALX2" sheetId="2" r:id="rId1"/>
  </sheets>
  <calcPr calcId="125725"/>
</workbook>
</file>

<file path=xl/calcChain.xml><?xml version="1.0" encoding="utf-8"?>
<calcChain xmlns="http://schemas.openxmlformats.org/spreadsheetml/2006/main">
  <c r="B117" i="2"/>
  <c r="B109"/>
  <c r="B93"/>
  <c r="B87"/>
  <c r="B64"/>
  <c r="B61"/>
  <c r="B58"/>
  <c r="B56"/>
  <c r="B42"/>
  <c r="B29"/>
  <c r="B25"/>
  <c r="B22"/>
  <c r="B17"/>
  <c r="B15"/>
  <c r="B13"/>
  <c r="B10"/>
  <c r="C126"/>
  <c r="C125"/>
  <c r="B125"/>
  <c r="C124"/>
  <c r="B124"/>
  <c r="C123"/>
  <c r="B123"/>
  <c r="C122"/>
  <c r="B122"/>
  <c r="C121"/>
  <c r="B121"/>
  <c r="C120"/>
  <c r="B120"/>
  <c r="C119"/>
  <c r="B119"/>
  <c r="C118"/>
  <c r="B118"/>
  <c r="C117"/>
  <c r="C116"/>
  <c r="B116"/>
  <c r="C115"/>
  <c r="B115"/>
  <c r="C114"/>
  <c r="B114"/>
  <c r="C113"/>
  <c r="B113"/>
  <c r="C112"/>
  <c r="B112"/>
  <c r="C111"/>
  <c r="B111"/>
  <c r="C110"/>
  <c r="B110"/>
  <c r="C109"/>
  <c r="C108"/>
  <c r="B108"/>
  <c r="C107"/>
  <c r="B107"/>
  <c r="C106"/>
  <c r="B106"/>
  <c r="C105"/>
  <c r="B105"/>
  <c r="C104"/>
  <c r="B104"/>
  <c r="C103"/>
  <c r="B103"/>
  <c r="C102"/>
  <c r="B102"/>
  <c r="C101"/>
  <c r="B101"/>
  <c r="C100"/>
  <c r="B100"/>
  <c r="C99"/>
  <c r="B99"/>
  <c r="C98"/>
  <c r="B98"/>
  <c r="C97"/>
  <c r="B97"/>
  <c r="C96"/>
  <c r="B96"/>
  <c r="C95"/>
  <c r="B95"/>
  <c r="C94"/>
  <c r="B94"/>
  <c r="C93"/>
  <c r="C92"/>
  <c r="B92"/>
  <c r="C91"/>
  <c r="B91"/>
  <c r="C90"/>
  <c r="B90"/>
  <c r="C89"/>
  <c r="B89"/>
  <c r="C88"/>
  <c r="B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B63"/>
  <c r="C62"/>
  <c r="B62"/>
  <c r="C61"/>
  <c r="C60"/>
  <c r="B60"/>
  <c r="C59"/>
  <c r="B59"/>
  <c r="C58"/>
  <c r="C57"/>
  <c r="B57"/>
  <c r="C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C41"/>
  <c r="B41"/>
  <c r="C40"/>
  <c r="B40"/>
  <c r="C39"/>
  <c r="B39"/>
  <c r="C38"/>
  <c r="B38"/>
  <c r="C37"/>
  <c r="B37"/>
  <c r="C36"/>
  <c r="B36"/>
  <c r="C35"/>
  <c r="B35"/>
  <c r="C34"/>
  <c r="B34"/>
  <c r="C33"/>
  <c r="B33"/>
  <c r="C32"/>
  <c r="B32"/>
  <c r="C31"/>
  <c r="B31"/>
  <c r="C30"/>
  <c r="B30"/>
  <c r="C29"/>
  <c r="C28"/>
  <c r="B28"/>
  <c r="C27"/>
  <c r="B27"/>
  <c r="C26"/>
  <c r="B26"/>
  <c r="C25"/>
  <c r="C24"/>
  <c r="B24"/>
  <c r="C23"/>
  <c r="B23"/>
  <c r="C22"/>
  <c r="C21"/>
  <c r="B21"/>
  <c r="C20"/>
  <c r="B20"/>
  <c r="C19"/>
  <c r="B19"/>
  <c r="C18"/>
  <c r="B18"/>
  <c r="C17"/>
  <c r="C16"/>
  <c r="B16"/>
  <c r="C15"/>
  <c r="C14"/>
  <c r="B14"/>
  <c r="C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<sst xmlns="http://schemas.openxmlformats.org/spreadsheetml/2006/main" count="11" uniqueCount="11">
  <si>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</si>
  <si>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</si>
  <si>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</si>
  <si>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</si>
  <si>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</si>
  <si>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</si>
  <si>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</si>
  <si>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</si>
  <si>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</si>
  <si>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MATRÍCULAS CONSULARES EXPEDIDAS EN EL ESTADO DE MASSACHUSSETTS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</si>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</sst>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22" fillId="33" borderId="14" xfId="0" applyFont="1" applyFill="1" applyBorder="1" applyAlignment="1">
      <alignment wrapText="1"/>
    </xf>
    <xf numFmtId="0" fontId="22" fillId="33" borderId="14" xfId="0" applyFont="1" applyFill="1" applyBorder="1" applyAlignment="1">
      <alignment horizontal="right" wrapText="1"/>
    </xf>
    <xf numFmtId="3" fontId="22" fillId="33" borderId="15" xfId="0" applyNumberFormat="1" applyFont="1" applyFill="1" applyBorder="1" applyAlignment="1">
      <alignment horizontal="right" wrapText="1"/>
    </xf>
    <xf numFmtId="10" fontId="22" fillId="33" borderId="15" xfId="0" applyNumberFormat="1" applyFont="1" applyFill="1" applyBorder="1" applyAlignment="1">
      <alignment horizontal="right" wrapText="1"/>
    </xf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0" y="28575"/>
          <a:ext cx="10953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133"/>
  <sheetViews>
    <sheetView showGridLines="0" tabSelected="1" topLeftCell="A109" workbookViewId="0">
      <selection activeCell="B127" sqref="B127"/>
    </sheetView>
  </sheetViews>
  <sheetFormatPr baseColWidth="10" defaultRowHeight="15"/>
  <cols>
    <col min="2" max="2" width="30" customWidth="1"/>
    <col min="3" max="3" width="36.28515625" customWidth="1"/>
    <col min="4" max="4" width="13.42578125" customWidth="1"/>
    <col min="5" max="5" width="16.140625" bestFit="1" customWidth="1"/>
  </cols>
  <sheetData>
    <row r="6" spans="1:5">
      <c r="B6" s="4" t="s">
        <v>9</v>
      </c>
      <c r="C6" s="4"/>
      <c r="D6" s="4"/>
      <c r="E6" s="4"/>
    </row>
    <row r="7" spans="1:5" ht="16.5">
      <c r="A7" s="5"/>
      <c r="B7" s="4"/>
      <c r="C7" s="4"/>
      <c r="D7" s="4"/>
      <c r="E7" s="4"/>
    </row>
    <row r="9" spans="1:5" ht="33">
      <c r="B9" s="6" t="s">
        <v>0</v>
      </c>
      <c r="C9" s="6" t="s">
        <v>1</v>
      </c>
      <c r="D9" s="6" t="s">
        <v>2</v>
      </c>
      <c r="E9" s="6" t="s">
        <v>3</v>
      </c>
    </row>
    <row r="10" spans="1:5">
      <c r="B10" s="7" t="str">
        <f>"SIN ESTUDIOS"</f>
        <v>SIN ESTUDIOS</v>
      </c>
      <c r="C10" s="1" t="str">
        <f>"DISTRITO FEDERAL"</f>
        <v>DISTRITO FEDERAL</v>
      </c>
      <c r="D10" s="2">
        <v>1</v>
      </c>
      <c r="E10" s="3">
        <v>2.3E-3</v>
      </c>
    </row>
    <row r="11" spans="1:5">
      <c r="B11" s="8" t="str">
        <f>"11SIN ESTUDIOS"</f>
        <v>11SIN ESTUDIOS</v>
      </c>
      <c r="C11" s="1" t="str">
        <f>"VERACRUZ DE IGNACIO DE LA LLAVE"</f>
        <v>VERACRUZ DE IGNACIO DE LA LLAVE</v>
      </c>
      <c r="D11" s="2">
        <v>2</v>
      </c>
      <c r="E11" s="3">
        <v>4.5999999999999999E-3</v>
      </c>
    </row>
    <row r="12" spans="1:5" ht="16.5">
      <c r="B12" s="8" t="str">
        <f>"11SIN ESTUDIOS"</f>
        <v>11SIN ESTUDIOS</v>
      </c>
      <c r="C12" s="10" t="str">
        <f>"Total"</f>
        <v>Total</v>
      </c>
      <c r="D12" s="11">
        <v>3</v>
      </c>
      <c r="E12" s="12">
        <v>6.8999999999999999E-3</v>
      </c>
    </row>
    <row r="13" spans="1:5">
      <c r="B13" s="7" t="str">
        <f>"1o. PRIMARIA"</f>
        <v>1o. PRIMARIA</v>
      </c>
      <c r="C13" s="1" t="str">
        <f>"CHIAPAS"</f>
        <v>CHIAPAS</v>
      </c>
      <c r="D13" s="2">
        <v>1</v>
      </c>
      <c r="E13" s="3">
        <v>2.3E-3</v>
      </c>
    </row>
    <row r="14" spans="1:5" ht="16.5">
      <c r="B14" s="8" t="str">
        <f>"211o. PRIMARIA"</f>
        <v>211o. PRIMARIA</v>
      </c>
      <c r="C14" s="10" t="str">
        <f>"Total"</f>
        <v>Total</v>
      </c>
      <c r="D14" s="11">
        <v>1</v>
      </c>
      <c r="E14" s="12">
        <v>2.3E-3</v>
      </c>
    </row>
    <row r="15" spans="1:5">
      <c r="B15" s="7" t="str">
        <f>"2o. PRIMARIA"</f>
        <v>2o. PRIMARIA</v>
      </c>
      <c r="C15" s="1" t="str">
        <f>"CHIAPAS"</f>
        <v>CHIAPAS</v>
      </c>
      <c r="D15" s="2">
        <v>1</v>
      </c>
      <c r="E15" s="3">
        <v>2.3E-3</v>
      </c>
    </row>
    <row r="16" spans="1:5" ht="16.5">
      <c r="B16" s="8" t="str">
        <f>"222o. PRIMARIA"</f>
        <v>222o. PRIMARIA</v>
      </c>
      <c r="C16" s="10" t="str">
        <f>"Total"</f>
        <v>Total</v>
      </c>
      <c r="D16" s="11">
        <v>1</v>
      </c>
      <c r="E16" s="12">
        <v>2.3E-3</v>
      </c>
    </row>
    <row r="17" spans="2:5">
      <c r="B17" s="7" t="str">
        <f>"3o. PRIMARIA"</f>
        <v>3o. PRIMARIA</v>
      </c>
      <c r="C17" s="1" t="str">
        <f>"CHIAPAS"</f>
        <v>CHIAPAS</v>
      </c>
      <c r="D17" s="2">
        <v>1</v>
      </c>
      <c r="E17" s="3">
        <v>2.3E-3</v>
      </c>
    </row>
    <row r="18" spans="2:5">
      <c r="B18" s="8" t="str">
        <f>"233o. PRIMARIA"</f>
        <v>233o. PRIMARIA</v>
      </c>
      <c r="C18" s="1" t="str">
        <f>"JALISCO"</f>
        <v>JALISCO</v>
      </c>
      <c r="D18" s="2">
        <v>1</v>
      </c>
      <c r="E18" s="3">
        <v>2.3E-3</v>
      </c>
    </row>
    <row r="19" spans="2:5">
      <c r="B19" s="8" t="str">
        <f>"233o. PRIMARIA"</f>
        <v>233o. PRIMARIA</v>
      </c>
      <c r="C19" s="1" t="str">
        <f>"MEXICO"</f>
        <v>MEXICO</v>
      </c>
      <c r="D19" s="2">
        <v>1</v>
      </c>
      <c r="E19" s="3">
        <v>2.3E-3</v>
      </c>
    </row>
    <row r="20" spans="2:5">
      <c r="B20" s="8" t="str">
        <f>"233o. PRIMARIA"</f>
        <v>233o. PRIMARIA</v>
      </c>
      <c r="C20" s="1" t="str">
        <f>"VERACRUZ DE IGNACIO DE LA LLAVE"</f>
        <v>VERACRUZ DE IGNACIO DE LA LLAVE</v>
      </c>
      <c r="D20" s="2">
        <v>1</v>
      </c>
      <c r="E20" s="3">
        <v>2.3E-3</v>
      </c>
    </row>
    <row r="21" spans="2:5" ht="16.5">
      <c r="B21" s="8" t="str">
        <f>"233o. PRIMARIA"</f>
        <v>233o. PRIMARIA</v>
      </c>
      <c r="C21" s="10" t="str">
        <f>"Total"</f>
        <v>Total</v>
      </c>
      <c r="D21" s="11">
        <v>4</v>
      </c>
      <c r="E21" s="12">
        <v>9.2999999999999992E-3</v>
      </c>
    </row>
    <row r="22" spans="2:5">
      <c r="B22" s="7" t="str">
        <f>"4o. PRIMARIA"</f>
        <v>4o. PRIMARIA</v>
      </c>
      <c r="C22" s="1" t="str">
        <f>"GUERRERO"</f>
        <v>GUERRERO</v>
      </c>
      <c r="D22" s="2">
        <v>1</v>
      </c>
      <c r="E22" s="3">
        <v>2.3E-3</v>
      </c>
    </row>
    <row r="23" spans="2:5">
      <c r="B23" s="8" t="str">
        <f>"244o. PRIMARIA"</f>
        <v>244o. PRIMARIA</v>
      </c>
      <c r="C23" s="1" t="str">
        <f>"VERACRUZ DE IGNACIO DE LA LLAVE"</f>
        <v>VERACRUZ DE IGNACIO DE LA LLAVE</v>
      </c>
      <c r="D23" s="2">
        <v>1</v>
      </c>
      <c r="E23" s="3">
        <v>2.3E-3</v>
      </c>
    </row>
    <row r="24" spans="2:5" ht="16.5">
      <c r="B24" s="8" t="str">
        <f>"244o. PRIMARIA"</f>
        <v>244o. PRIMARIA</v>
      </c>
      <c r="C24" s="10" t="str">
        <f>"Total"</f>
        <v>Total</v>
      </c>
      <c r="D24" s="11">
        <v>2</v>
      </c>
      <c r="E24" s="12">
        <v>4.5999999999999999E-3</v>
      </c>
    </row>
    <row r="25" spans="2:5">
      <c r="B25" s="7" t="str">
        <f>"5o. PRIMARIA"</f>
        <v>5o. PRIMARIA</v>
      </c>
      <c r="C25" s="1" t="str">
        <f>"CHIAPAS"</f>
        <v>CHIAPAS</v>
      </c>
      <c r="D25" s="2">
        <v>1</v>
      </c>
      <c r="E25" s="3">
        <v>2.3E-3</v>
      </c>
    </row>
    <row r="26" spans="2:5">
      <c r="B26" s="8" t="str">
        <f>"255o. PRIMARIA"</f>
        <v>255o. PRIMARIA</v>
      </c>
      <c r="C26" s="1" t="str">
        <f>"MICHOACAN DE OCAMPO"</f>
        <v>MICHOACAN DE OCAMPO</v>
      </c>
      <c r="D26" s="2">
        <v>1</v>
      </c>
      <c r="E26" s="3">
        <v>2.3E-3</v>
      </c>
    </row>
    <row r="27" spans="2:5">
      <c r="B27" s="8" t="str">
        <f>"255o. PRIMARIA"</f>
        <v>255o. PRIMARIA</v>
      </c>
      <c r="C27" s="1" t="str">
        <f>"OAXACA"</f>
        <v>OAXACA</v>
      </c>
      <c r="D27" s="2">
        <v>1</v>
      </c>
      <c r="E27" s="3">
        <v>2.3E-3</v>
      </c>
    </row>
    <row r="28" spans="2:5" ht="16.5">
      <c r="B28" s="8" t="str">
        <f>"255o. PRIMARIA"</f>
        <v>255o. PRIMARIA</v>
      </c>
      <c r="C28" s="10" t="str">
        <f>"Total"</f>
        <v>Total</v>
      </c>
      <c r="D28" s="11">
        <v>3</v>
      </c>
      <c r="E28" s="12">
        <v>6.8999999999999999E-3</v>
      </c>
    </row>
    <row r="29" spans="2:5">
      <c r="B29" s="7" t="str">
        <f>"6o. PRIMARIA"</f>
        <v>6o. PRIMARIA</v>
      </c>
      <c r="C29" s="1" t="str">
        <f>"CHIAPAS"</f>
        <v>CHIAPAS</v>
      </c>
      <c r="D29" s="2">
        <v>7</v>
      </c>
      <c r="E29" s="3">
        <v>1.6199999999999999E-2</v>
      </c>
    </row>
    <row r="30" spans="2:5">
      <c r="B30" s="8" t="str">
        <f t="shared" ref="B29:B41" si="0">"266o. PRIMARIA"</f>
        <v>266o. PRIMARIA</v>
      </c>
      <c r="C30" s="1" t="str">
        <f>"DISTRITO FEDERAL"</f>
        <v>DISTRITO FEDERAL</v>
      </c>
      <c r="D30" s="2">
        <v>4</v>
      </c>
      <c r="E30" s="3">
        <v>9.2999999999999992E-3</v>
      </c>
    </row>
    <row r="31" spans="2:5">
      <c r="B31" s="8" t="str">
        <f t="shared" si="0"/>
        <v>266o. PRIMARIA</v>
      </c>
      <c r="C31" s="1" t="str">
        <f>"GUERRERO"</f>
        <v>GUERRERO</v>
      </c>
      <c r="D31" s="2">
        <v>1</v>
      </c>
      <c r="E31" s="3">
        <v>2.3E-3</v>
      </c>
    </row>
    <row r="32" spans="2:5">
      <c r="B32" s="8" t="str">
        <f t="shared" si="0"/>
        <v>266o. PRIMARIA</v>
      </c>
      <c r="C32" s="1" t="str">
        <f>"HIDALGO"</f>
        <v>HIDALGO</v>
      </c>
      <c r="D32" s="2">
        <v>1</v>
      </c>
      <c r="E32" s="3">
        <v>2.3E-3</v>
      </c>
    </row>
    <row r="33" spans="2:5">
      <c r="B33" s="8" t="str">
        <f t="shared" si="0"/>
        <v>266o. PRIMARIA</v>
      </c>
      <c r="C33" s="1" t="str">
        <f>"JALISCO"</f>
        <v>JALISCO</v>
      </c>
      <c r="D33" s="2">
        <v>6</v>
      </c>
      <c r="E33" s="3">
        <v>1.3899999999999999E-2</v>
      </c>
    </row>
    <row r="34" spans="2:5">
      <c r="B34" s="8" t="str">
        <f t="shared" si="0"/>
        <v>266o. PRIMARIA</v>
      </c>
      <c r="C34" s="1" t="str">
        <f>"MEXICO"</f>
        <v>MEXICO</v>
      </c>
      <c r="D34" s="2">
        <v>2</v>
      </c>
      <c r="E34" s="3">
        <v>4.5999999999999999E-3</v>
      </c>
    </row>
    <row r="35" spans="2:5">
      <c r="B35" s="8" t="str">
        <f t="shared" si="0"/>
        <v>266o. PRIMARIA</v>
      </c>
      <c r="C35" s="1" t="str">
        <f>"MICHOACAN DE OCAMPO"</f>
        <v>MICHOACAN DE OCAMPO</v>
      </c>
      <c r="D35" s="2">
        <v>2</v>
      </c>
      <c r="E35" s="3">
        <v>4.5999999999999999E-3</v>
      </c>
    </row>
    <row r="36" spans="2:5">
      <c r="B36" s="8" t="str">
        <f t="shared" si="0"/>
        <v>266o. PRIMARIA</v>
      </c>
      <c r="C36" s="1" t="str">
        <f>"OAXACA"</f>
        <v>OAXACA</v>
      </c>
      <c r="D36" s="2">
        <v>8</v>
      </c>
      <c r="E36" s="3">
        <v>1.8499999999999999E-2</v>
      </c>
    </row>
    <row r="37" spans="2:5">
      <c r="B37" s="8" t="str">
        <f t="shared" si="0"/>
        <v>266o. PRIMARIA</v>
      </c>
      <c r="C37" s="1" t="str">
        <f>"PUEBLA"</f>
        <v>PUEBLA</v>
      </c>
      <c r="D37" s="2">
        <v>3</v>
      </c>
      <c r="E37" s="3">
        <v>6.8999999999999999E-3</v>
      </c>
    </row>
    <row r="38" spans="2:5">
      <c r="B38" s="8" t="str">
        <f t="shared" si="0"/>
        <v>266o. PRIMARIA</v>
      </c>
      <c r="C38" s="1" t="str">
        <f>"SAN LUIS POTOSI"</f>
        <v>SAN LUIS POTOSI</v>
      </c>
      <c r="D38" s="2">
        <v>1</v>
      </c>
      <c r="E38" s="3">
        <v>2.3E-3</v>
      </c>
    </row>
    <row r="39" spans="2:5">
      <c r="B39" s="8" t="str">
        <f t="shared" si="0"/>
        <v>266o. PRIMARIA</v>
      </c>
      <c r="C39" s="1" t="str">
        <f>"TAMAULIPAS"</f>
        <v>TAMAULIPAS</v>
      </c>
      <c r="D39" s="2">
        <v>1</v>
      </c>
      <c r="E39" s="3">
        <v>2.3E-3</v>
      </c>
    </row>
    <row r="40" spans="2:5">
      <c r="B40" s="8" t="str">
        <f t="shared" si="0"/>
        <v>266o. PRIMARIA</v>
      </c>
      <c r="C40" s="1" t="str">
        <f>"VERACRUZ DE IGNACIO DE LA LLAVE"</f>
        <v>VERACRUZ DE IGNACIO DE LA LLAVE</v>
      </c>
      <c r="D40" s="2">
        <v>2</v>
      </c>
      <c r="E40" s="3">
        <v>4.5999999999999999E-3</v>
      </c>
    </row>
    <row r="41" spans="2:5" ht="16.5">
      <c r="B41" s="8" t="str">
        <f t="shared" si="0"/>
        <v>266o. PRIMARIA</v>
      </c>
      <c r="C41" s="10" t="str">
        <f>"Total"</f>
        <v>Total</v>
      </c>
      <c r="D41" s="11">
        <v>38</v>
      </c>
      <c r="E41" s="12">
        <v>8.7999999999999995E-2</v>
      </c>
    </row>
    <row r="42" spans="2:5">
      <c r="B42" s="7" t="str">
        <f>"PRIMARIA CON CERTIFICADO"</f>
        <v>PRIMARIA CON CERTIFICADO</v>
      </c>
      <c r="C42" s="1" t="str">
        <f>"CHIAPAS"</f>
        <v>CHIAPAS</v>
      </c>
      <c r="D42" s="2">
        <v>15</v>
      </c>
      <c r="E42" s="3">
        <v>3.4700000000000002E-2</v>
      </c>
    </row>
    <row r="43" spans="2:5">
      <c r="B43" s="8" t="str">
        <f t="shared" ref="B42:B55" si="1">"27PRIMARIA CON CERTIFICADO"</f>
        <v>27PRIMARIA CON CERTIFICADO</v>
      </c>
      <c r="C43" s="1" t="str">
        <f>"DURANGO"</f>
        <v>DURANGO</v>
      </c>
      <c r="D43" s="2">
        <v>1</v>
      </c>
      <c r="E43" s="3">
        <v>2.3E-3</v>
      </c>
    </row>
    <row r="44" spans="2:5">
      <c r="B44" s="8" t="str">
        <f t="shared" si="1"/>
        <v>27PRIMARIA CON CERTIFICADO</v>
      </c>
      <c r="C44" s="1" t="str">
        <f>"GUANAJUATO"</f>
        <v>GUANAJUATO</v>
      </c>
      <c r="D44" s="2">
        <v>1</v>
      </c>
      <c r="E44" s="3">
        <v>2.3E-3</v>
      </c>
    </row>
    <row r="45" spans="2:5">
      <c r="B45" s="8" t="str">
        <f t="shared" si="1"/>
        <v>27PRIMARIA CON CERTIFICADO</v>
      </c>
      <c r="C45" s="1" t="str">
        <f>"JALISCO"</f>
        <v>JALISCO</v>
      </c>
      <c r="D45" s="2">
        <v>9</v>
      </c>
      <c r="E45" s="3">
        <v>2.0799999999999999E-2</v>
      </c>
    </row>
    <row r="46" spans="2:5">
      <c r="B46" s="8" t="str">
        <f t="shared" si="1"/>
        <v>27PRIMARIA CON CERTIFICADO</v>
      </c>
      <c r="C46" s="1" t="str">
        <f>"MEXICO"</f>
        <v>MEXICO</v>
      </c>
      <c r="D46" s="2">
        <v>2</v>
      </c>
      <c r="E46" s="3">
        <v>4.5999999999999999E-3</v>
      </c>
    </row>
    <row r="47" spans="2:5">
      <c r="B47" s="8" t="str">
        <f t="shared" si="1"/>
        <v>27PRIMARIA CON CERTIFICADO</v>
      </c>
      <c r="C47" s="1" t="str">
        <f>"MICHOACAN DE OCAMPO"</f>
        <v>MICHOACAN DE OCAMPO</v>
      </c>
      <c r="D47" s="2">
        <v>2</v>
      </c>
      <c r="E47" s="3">
        <v>4.5999999999999999E-3</v>
      </c>
    </row>
    <row r="48" spans="2:5">
      <c r="B48" s="8" t="str">
        <f t="shared" si="1"/>
        <v>27PRIMARIA CON CERTIFICADO</v>
      </c>
      <c r="C48" s="1" t="str">
        <f>"MORELOS"</f>
        <v>MORELOS</v>
      </c>
      <c r="D48" s="2">
        <v>1</v>
      </c>
      <c r="E48" s="3">
        <v>2.3E-3</v>
      </c>
    </row>
    <row r="49" spans="2:5">
      <c r="B49" s="8" t="str">
        <f t="shared" si="1"/>
        <v>27PRIMARIA CON CERTIFICADO</v>
      </c>
      <c r="C49" s="1" t="str">
        <f>"OAXACA"</f>
        <v>OAXACA</v>
      </c>
      <c r="D49" s="2">
        <v>2</v>
      </c>
      <c r="E49" s="3">
        <v>4.5999999999999999E-3</v>
      </c>
    </row>
    <row r="50" spans="2:5">
      <c r="B50" s="8" t="str">
        <f t="shared" si="1"/>
        <v>27PRIMARIA CON CERTIFICADO</v>
      </c>
      <c r="C50" s="1" t="str">
        <f>"PUEBLA"</f>
        <v>PUEBLA</v>
      </c>
      <c r="D50" s="2">
        <v>8</v>
      </c>
      <c r="E50" s="3">
        <v>1.8499999999999999E-2</v>
      </c>
    </row>
    <row r="51" spans="2:5">
      <c r="B51" s="8" t="str">
        <f t="shared" si="1"/>
        <v>27PRIMARIA CON CERTIFICADO</v>
      </c>
      <c r="C51" s="1" t="str">
        <f>"SAN LUIS POTOSI"</f>
        <v>SAN LUIS POTOSI</v>
      </c>
      <c r="D51" s="2">
        <v>1</v>
      </c>
      <c r="E51" s="3">
        <v>2.3E-3</v>
      </c>
    </row>
    <row r="52" spans="2:5">
      <c r="B52" s="8" t="str">
        <f t="shared" si="1"/>
        <v>27PRIMARIA CON CERTIFICADO</v>
      </c>
      <c r="C52" s="1" t="str">
        <f>"SINALOA"</f>
        <v>SINALOA</v>
      </c>
      <c r="D52" s="2">
        <v>1</v>
      </c>
      <c r="E52" s="3">
        <v>2.3E-3</v>
      </c>
    </row>
    <row r="53" spans="2:5">
      <c r="B53" s="8" t="str">
        <f t="shared" si="1"/>
        <v>27PRIMARIA CON CERTIFICADO</v>
      </c>
      <c r="C53" s="1" t="str">
        <f>"TABASCO"</f>
        <v>TABASCO</v>
      </c>
      <c r="D53" s="2">
        <v>1</v>
      </c>
      <c r="E53" s="3">
        <v>2.3E-3</v>
      </c>
    </row>
    <row r="54" spans="2:5">
      <c r="B54" s="8" t="str">
        <f t="shared" si="1"/>
        <v>27PRIMARIA CON CERTIFICADO</v>
      </c>
      <c r="C54" s="1" t="str">
        <f>"VERACRUZ DE IGNACIO DE LA LLAVE"</f>
        <v>VERACRUZ DE IGNACIO DE LA LLAVE</v>
      </c>
      <c r="D54" s="2">
        <v>4</v>
      </c>
      <c r="E54" s="3">
        <v>9.2999999999999992E-3</v>
      </c>
    </row>
    <row r="55" spans="2:5" ht="16.5">
      <c r="B55" s="8" t="str">
        <f t="shared" si="1"/>
        <v>27PRIMARIA CON CERTIFICADO</v>
      </c>
      <c r="C55" s="10" t="str">
        <f>"Total"</f>
        <v>Total</v>
      </c>
      <c r="D55" s="11">
        <v>48</v>
      </c>
      <c r="E55" s="12">
        <v>0.1111</v>
      </c>
    </row>
    <row r="56" spans="2:5">
      <c r="B56" s="7" t="str">
        <f>"1o. SECUNDARIA"</f>
        <v>1o. SECUNDARIA</v>
      </c>
      <c r="C56" s="1" t="str">
        <f>"DISTRITO FEDERAL"</f>
        <v>DISTRITO FEDERAL</v>
      </c>
      <c r="D56" s="2">
        <v>1</v>
      </c>
      <c r="E56" s="3">
        <v>2.3E-3</v>
      </c>
    </row>
    <row r="57" spans="2:5" ht="16.5">
      <c r="B57" s="8" t="str">
        <f>"311o. SECUNDARIA"</f>
        <v>311o. SECUNDARIA</v>
      </c>
      <c r="C57" s="10" t="str">
        <f>"Total"</f>
        <v>Total</v>
      </c>
      <c r="D57" s="11">
        <v>1</v>
      </c>
      <c r="E57" s="12">
        <v>2.3E-3</v>
      </c>
    </row>
    <row r="58" spans="2:5">
      <c r="B58" s="7" t="str">
        <f>"2o. SECUNDARIA"</f>
        <v>2o. SECUNDARIA</v>
      </c>
      <c r="C58" s="1" t="str">
        <f>"DISTRITO FEDERAL"</f>
        <v>DISTRITO FEDERAL</v>
      </c>
      <c r="D58" s="2">
        <v>1</v>
      </c>
      <c r="E58" s="3">
        <v>2.3E-3</v>
      </c>
    </row>
    <row r="59" spans="2:5">
      <c r="B59" s="8" t="str">
        <f>"322o. SECUNDARIA"</f>
        <v>322o. SECUNDARIA</v>
      </c>
      <c r="C59" s="1" t="str">
        <f>"MICHOACAN DE OCAMPO"</f>
        <v>MICHOACAN DE OCAMPO</v>
      </c>
      <c r="D59" s="2">
        <v>1</v>
      </c>
      <c r="E59" s="3">
        <v>2.3E-3</v>
      </c>
    </row>
    <row r="60" spans="2:5" ht="16.5">
      <c r="B60" s="8" t="str">
        <f>"322o. SECUNDARIA"</f>
        <v>322o. SECUNDARIA</v>
      </c>
      <c r="C60" s="10" t="str">
        <f>"Total"</f>
        <v>Total</v>
      </c>
      <c r="D60" s="11">
        <v>2</v>
      </c>
      <c r="E60" s="12">
        <v>4.5999999999999999E-3</v>
      </c>
    </row>
    <row r="61" spans="2:5">
      <c r="B61" s="7" t="str">
        <f>"3o. SECUNDARIA"</f>
        <v>3o. SECUNDARIA</v>
      </c>
      <c r="C61" s="1" t="str">
        <f>"HIDALGO"</f>
        <v>HIDALGO</v>
      </c>
      <c r="D61" s="2">
        <v>1</v>
      </c>
      <c r="E61" s="3">
        <v>2.3E-3</v>
      </c>
    </row>
    <row r="62" spans="2:5">
      <c r="B62" s="8" t="str">
        <f>"333o. SECUNDARIA"</f>
        <v>333o. SECUNDARIA</v>
      </c>
      <c r="C62" s="1" t="str">
        <f>"PUEBLA"</f>
        <v>PUEBLA</v>
      </c>
      <c r="D62" s="2">
        <v>1</v>
      </c>
      <c r="E62" s="3">
        <v>2.3E-3</v>
      </c>
    </row>
    <row r="63" spans="2:5" ht="16.5">
      <c r="B63" s="8" t="str">
        <f>"333o. SECUNDARIA"</f>
        <v>333o. SECUNDARIA</v>
      </c>
      <c r="C63" s="10" t="str">
        <f>"Total"</f>
        <v>Total</v>
      </c>
      <c r="D63" s="11">
        <v>2</v>
      </c>
      <c r="E63" s="12">
        <v>4.5999999999999999E-3</v>
      </c>
    </row>
    <row r="64" spans="2:5" ht="15" customHeight="1">
      <c r="B64" s="7" t="str">
        <f>"SECUNDARIA CON CERTIFICADO"</f>
        <v>SECUNDARIA CON CERTIFICADO</v>
      </c>
      <c r="C64" s="1" t="str">
        <f>"BAJA CALIFORNIA"</f>
        <v>BAJA CALIFORNIA</v>
      </c>
      <c r="D64" s="2">
        <v>1</v>
      </c>
      <c r="E64" s="3">
        <v>2.3E-3</v>
      </c>
    </row>
    <row r="65" spans="2:5" ht="15" customHeight="1">
      <c r="B65" s="8"/>
      <c r="C65" s="1" t="str">
        <f>"CHIAPAS"</f>
        <v>CHIAPAS</v>
      </c>
      <c r="D65" s="2">
        <v>34</v>
      </c>
      <c r="E65" s="3">
        <v>7.8700000000000006E-2</v>
      </c>
    </row>
    <row r="66" spans="2:5" ht="15" customHeight="1">
      <c r="B66" s="8"/>
      <c r="C66" s="1" t="str">
        <f>"CHIHUAHUA"</f>
        <v>CHIHUAHUA</v>
      </c>
      <c r="D66" s="2">
        <v>2</v>
      </c>
      <c r="E66" s="3">
        <v>4.5999999999999999E-3</v>
      </c>
    </row>
    <row r="67" spans="2:5" ht="15" customHeight="1">
      <c r="B67" s="8"/>
      <c r="C67" s="1" t="str">
        <f>"COLIMA"</f>
        <v>COLIMA</v>
      </c>
      <c r="D67" s="2">
        <v>1</v>
      </c>
      <c r="E67" s="3">
        <v>2.3E-3</v>
      </c>
    </row>
    <row r="68" spans="2:5" ht="15" customHeight="1">
      <c r="B68" s="8"/>
      <c r="C68" s="1" t="str">
        <f>"DISTRITO FEDERAL"</f>
        <v>DISTRITO FEDERAL</v>
      </c>
      <c r="D68" s="2">
        <v>15</v>
      </c>
      <c r="E68" s="3">
        <v>3.4700000000000002E-2</v>
      </c>
    </row>
    <row r="69" spans="2:5" ht="15" customHeight="1">
      <c r="B69" s="8"/>
      <c r="C69" s="1" t="str">
        <f>"GUANAJUATO"</f>
        <v>GUANAJUATO</v>
      </c>
      <c r="D69" s="2">
        <v>7</v>
      </c>
      <c r="E69" s="3">
        <v>1.6199999999999999E-2</v>
      </c>
    </row>
    <row r="70" spans="2:5" ht="15" customHeight="1">
      <c r="B70" s="8"/>
      <c r="C70" s="1" t="str">
        <f>"GUERRERO"</f>
        <v>GUERRERO</v>
      </c>
      <c r="D70" s="2">
        <v>14</v>
      </c>
      <c r="E70" s="3">
        <v>3.2399999999999998E-2</v>
      </c>
    </row>
    <row r="71" spans="2:5" ht="15" customHeight="1">
      <c r="B71" s="8"/>
      <c r="C71" s="1" t="str">
        <f>"HIDALGO"</f>
        <v>HIDALGO</v>
      </c>
      <c r="D71" s="2">
        <v>4</v>
      </c>
      <c r="E71" s="3">
        <v>9.2999999999999992E-3</v>
      </c>
    </row>
    <row r="72" spans="2:5" ht="15" customHeight="1">
      <c r="B72" s="8"/>
      <c r="C72" s="1" t="str">
        <f>"JALISCO"</f>
        <v>JALISCO</v>
      </c>
      <c r="D72" s="2">
        <v>31</v>
      </c>
      <c r="E72" s="3">
        <v>7.1800000000000003E-2</v>
      </c>
    </row>
    <row r="73" spans="2:5" ht="15" customHeight="1">
      <c r="B73" s="8"/>
      <c r="C73" s="1" t="str">
        <f>"MEXICO"</f>
        <v>MEXICO</v>
      </c>
      <c r="D73" s="2">
        <v>9</v>
      </c>
      <c r="E73" s="3">
        <v>2.0799999999999999E-2</v>
      </c>
    </row>
    <row r="74" spans="2:5" ht="15" customHeight="1">
      <c r="B74" s="8"/>
      <c r="C74" s="1" t="str">
        <f>"MICHOACAN DE OCAMPO"</f>
        <v>MICHOACAN DE OCAMPO</v>
      </c>
      <c r="D74" s="2">
        <v>10</v>
      </c>
      <c r="E74" s="3">
        <v>2.3099999999999999E-2</v>
      </c>
    </row>
    <row r="75" spans="2:5" ht="15" customHeight="1">
      <c r="B75" s="8"/>
      <c r="C75" s="1" t="str">
        <f>"MORELOS"</f>
        <v>MORELOS</v>
      </c>
      <c r="D75" s="2">
        <v>7</v>
      </c>
      <c r="E75" s="3">
        <v>1.6199999999999999E-2</v>
      </c>
    </row>
    <row r="76" spans="2:5" ht="15" customHeight="1">
      <c r="B76" s="8"/>
      <c r="C76" s="1" t="str">
        <f>"OAXACA"</f>
        <v>OAXACA</v>
      </c>
      <c r="D76" s="2">
        <v>19</v>
      </c>
      <c r="E76" s="3">
        <v>4.3999999999999997E-2</v>
      </c>
    </row>
    <row r="77" spans="2:5" ht="15" customHeight="1">
      <c r="B77" s="8"/>
      <c r="C77" s="1" t="str">
        <f>"PUEBLA"</f>
        <v>PUEBLA</v>
      </c>
      <c r="D77" s="2">
        <v>34</v>
      </c>
      <c r="E77" s="3">
        <v>7.8700000000000006E-2</v>
      </c>
    </row>
    <row r="78" spans="2:5" ht="15" customHeight="1">
      <c r="B78" s="8"/>
      <c r="C78" s="1" t="str">
        <f>"QUERETARO DE ARTEAGA"</f>
        <v>QUERETARO DE ARTEAGA</v>
      </c>
      <c r="D78" s="2">
        <v>1</v>
      </c>
      <c r="E78" s="3">
        <v>2.3E-3</v>
      </c>
    </row>
    <row r="79" spans="2:5" ht="15" customHeight="1">
      <c r="B79" s="8"/>
      <c r="C79" s="1" t="str">
        <f>"SAN LUIS POTOSI"</f>
        <v>SAN LUIS POTOSI</v>
      </c>
      <c r="D79" s="2">
        <v>7</v>
      </c>
      <c r="E79" s="3">
        <v>1.6199999999999999E-2</v>
      </c>
    </row>
    <row r="80" spans="2:5" ht="15" customHeight="1">
      <c r="B80" s="8"/>
      <c r="C80" s="1" t="str">
        <f>"SINALOA"</f>
        <v>SINALOA</v>
      </c>
      <c r="D80" s="2">
        <v>3</v>
      </c>
      <c r="E80" s="3">
        <v>6.8999999999999999E-3</v>
      </c>
    </row>
    <row r="81" spans="2:5" ht="15" customHeight="1">
      <c r="B81" s="8"/>
      <c r="C81" s="1" t="str">
        <f>"SONORA"</f>
        <v>SONORA</v>
      </c>
      <c r="D81" s="2">
        <v>2</v>
      </c>
      <c r="E81" s="3">
        <v>4.5999999999999999E-3</v>
      </c>
    </row>
    <row r="82" spans="2:5" ht="15" customHeight="1">
      <c r="B82" s="8"/>
      <c r="C82" s="1" t="str">
        <f>"TAMAULIPAS"</f>
        <v>TAMAULIPAS</v>
      </c>
      <c r="D82" s="2">
        <v>1</v>
      </c>
      <c r="E82" s="3">
        <v>2.3E-3</v>
      </c>
    </row>
    <row r="83" spans="2:5" ht="15" customHeight="1">
      <c r="B83" s="8"/>
      <c r="C83" s="1" t="str">
        <f>"TLAXCALA"</f>
        <v>TLAXCALA</v>
      </c>
      <c r="D83" s="2">
        <v>4</v>
      </c>
      <c r="E83" s="3">
        <v>9.2999999999999992E-3</v>
      </c>
    </row>
    <row r="84" spans="2:5" ht="15" customHeight="1">
      <c r="B84" s="8"/>
      <c r="C84" s="1" t="str">
        <f>"VERACRUZ DE IGNACIO DE LA LLAVE"</f>
        <v>VERACRUZ DE IGNACIO DE LA LLAVE</v>
      </c>
      <c r="D84" s="2">
        <v>17</v>
      </c>
      <c r="E84" s="3">
        <v>3.9399999999999998E-2</v>
      </c>
    </row>
    <row r="85" spans="2:5" ht="15" customHeight="1">
      <c r="B85" s="8"/>
      <c r="C85" s="1" t="str">
        <f>"ZACATECAS"</f>
        <v>ZACATECAS</v>
      </c>
      <c r="D85" s="2">
        <v>1</v>
      </c>
      <c r="E85" s="3">
        <v>2.3E-3</v>
      </c>
    </row>
    <row r="86" spans="2:5" ht="18.75" customHeight="1">
      <c r="B86" s="9"/>
      <c r="C86" s="10" t="str">
        <f>"Total"</f>
        <v>Total</v>
      </c>
      <c r="D86" s="11">
        <v>224</v>
      </c>
      <c r="E86" s="12">
        <v>0.51849999999999996</v>
      </c>
    </row>
    <row r="87" spans="2:5">
      <c r="B87" s="7" t="str">
        <f>"PREPARATORIA SIN CERTIFICADO"</f>
        <v>PREPARATORIA SIN CERTIFICADO</v>
      </c>
      <c r="C87" s="1" t="str">
        <f>"CHIAPAS"</f>
        <v>CHIAPAS</v>
      </c>
      <c r="D87" s="2">
        <v>1</v>
      </c>
      <c r="E87" s="3">
        <v>2.3E-3</v>
      </c>
    </row>
    <row r="88" spans="2:5">
      <c r="B88" s="8" t="str">
        <f t="shared" ref="B87:B92" si="2">"51PREPARATORIA SIN CERTIFICADO"</f>
        <v>51PREPARATORIA SIN CERTIFICADO</v>
      </c>
      <c r="C88" s="1" t="str">
        <f>"GUERRERO"</f>
        <v>GUERRERO</v>
      </c>
      <c r="D88" s="2">
        <v>1</v>
      </c>
      <c r="E88" s="3">
        <v>2.3E-3</v>
      </c>
    </row>
    <row r="89" spans="2:5">
      <c r="B89" s="8" t="str">
        <f t="shared" si="2"/>
        <v>51PREPARATORIA SIN CERTIFICADO</v>
      </c>
      <c r="C89" s="1" t="str">
        <f>"HIDALGO"</f>
        <v>HIDALGO</v>
      </c>
      <c r="D89" s="2">
        <v>2</v>
      </c>
      <c r="E89" s="3">
        <v>4.5999999999999999E-3</v>
      </c>
    </row>
    <row r="90" spans="2:5">
      <c r="B90" s="8" t="str">
        <f t="shared" si="2"/>
        <v>51PREPARATORIA SIN CERTIFICADO</v>
      </c>
      <c r="C90" s="1" t="str">
        <f>"MEXICO"</f>
        <v>MEXICO</v>
      </c>
      <c r="D90" s="2">
        <v>1</v>
      </c>
      <c r="E90" s="3">
        <v>2.3E-3</v>
      </c>
    </row>
    <row r="91" spans="2:5">
      <c r="B91" s="8" t="str">
        <f t="shared" si="2"/>
        <v>51PREPARATORIA SIN CERTIFICADO</v>
      </c>
      <c r="C91" s="1" t="str">
        <f>"VERACRUZ DE IGNACIO DE LA LLAVE"</f>
        <v>VERACRUZ DE IGNACIO DE LA LLAVE</v>
      </c>
      <c r="D91" s="2">
        <v>1</v>
      </c>
      <c r="E91" s="3">
        <v>2.3E-3</v>
      </c>
    </row>
    <row r="92" spans="2:5" ht="16.5">
      <c r="B92" s="8" t="str">
        <f t="shared" si="2"/>
        <v>51PREPARATORIA SIN CERTIFICADO</v>
      </c>
      <c r="C92" s="10" t="str">
        <f>"Total"</f>
        <v>Total</v>
      </c>
      <c r="D92" s="11">
        <v>6</v>
      </c>
      <c r="E92" s="12">
        <v>1.3899999999999999E-2</v>
      </c>
    </row>
    <row r="93" spans="2:5">
      <c r="B93" s="7" t="str">
        <f>"PREPARATORIA CON CERTIFICADO"</f>
        <v>PREPARATORIA CON CERTIFICADO</v>
      </c>
      <c r="C93" s="1" t="str">
        <f>"CAMPECHE"</f>
        <v>CAMPECHE</v>
      </c>
      <c r="D93" s="2">
        <v>1</v>
      </c>
      <c r="E93" s="3">
        <v>2.3E-3</v>
      </c>
    </row>
    <row r="94" spans="2:5">
      <c r="B94" s="8" t="str">
        <f t="shared" ref="B93:B108" si="3">"52PREPARATORIA CON CERTIFICADO"</f>
        <v>52PREPARATORIA CON CERTIFICADO</v>
      </c>
      <c r="C94" s="1" t="str">
        <f>"CHIAPAS"</f>
        <v>CHIAPAS</v>
      </c>
      <c r="D94" s="2">
        <v>8</v>
      </c>
      <c r="E94" s="3">
        <v>1.8499999999999999E-2</v>
      </c>
    </row>
    <row r="95" spans="2:5">
      <c r="B95" s="8" t="str">
        <f t="shared" si="3"/>
        <v>52PREPARATORIA CON CERTIFICADO</v>
      </c>
      <c r="C95" s="1" t="str">
        <f>"CHIHUAHUA"</f>
        <v>CHIHUAHUA</v>
      </c>
      <c r="D95" s="2">
        <v>1</v>
      </c>
      <c r="E95" s="3">
        <v>2.3E-3</v>
      </c>
    </row>
    <row r="96" spans="2:5">
      <c r="B96" s="8" t="str">
        <f t="shared" si="3"/>
        <v>52PREPARATORIA CON CERTIFICADO</v>
      </c>
      <c r="C96" s="1" t="str">
        <f>"DISTRITO FEDERAL"</f>
        <v>DISTRITO FEDERAL</v>
      </c>
      <c r="D96" s="2">
        <v>9</v>
      </c>
      <c r="E96" s="3">
        <v>2.0799999999999999E-2</v>
      </c>
    </row>
    <row r="97" spans="2:5">
      <c r="B97" s="8" t="str">
        <f t="shared" si="3"/>
        <v>52PREPARATORIA CON CERTIFICADO</v>
      </c>
      <c r="C97" s="1" t="str">
        <f>"GUANAJUATO"</f>
        <v>GUANAJUATO</v>
      </c>
      <c r="D97" s="2">
        <v>3</v>
      </c>
      <c r="E97" s="3">
        <v>6.8999999999999999E-3</v>
      </c>
    </row>
    <row r="98" spans="2:5">
      <c r="B98" s="8" t="str">
        <f t="shared" si="3"/>
        <v>52PREPARATORIA CON CERTIFICADO</v>
      </c>
      <c r="C98" s="1" t="str">
        <f>"GUERRERO"</f>
        <v>GUERRERO</v>
      </c>
      <c r="D98" s="2">
        <v>4</v>
      </c>
      <c r="E98" s="3">
        <v>9.2999999999999992E-3</v>
      </c>
    </row>
    <row r="99" spans="2:5">
      <c r="B99" s="8" t="str">
        <f t="shared" si="3"/>
        <v>52PREPARATORIA CON CERTIFICADO</v>
      </c>
      <c r="C99" s="1" t="str">
        <f>"HIDALGO"</f>
        <v>HIDALGO</v>
      </c>
      <c r="D99" s="2">
        <v>2</v>
      </c>
      <c r="E99" s="3">
        <v>4.5999999999999999E-3</v>
      </c>
    </row>
    <row r="100" spans="2:5">
      <c r="B100" s="8" t="str">
        <f t="shared" si="3"/>
        <v>52PREPARATORIA CON CERTIFICADO</v>
      </c>
      <c r="C100" s="1" t="str">
        <f>"JALISCO"</f>
        <v>JALISCO</v>
      </c>
      <c r="D100" s="2">
        <v>11</v>
      </c>
      <c r="E100" s="3">
        <v>2.5499999999999998E-2</v>
      </c>
    </row>
    <row r="101" spans="2:5">
      <c r="B101" s="8" t="str">
        <f t="shared" si="3"/>
        <v>52PREPARATORIA CON CERTIFICADO</v>
      </c>
      <c r="C101" s="1" t="str">
        <f>"MEXICO"</f>
        <v>MEXICO</v>
      </c>
      <c r="D101" s="2">
        <v>3</v>
      </c>
      <c r="E101" s="3">
        <v>6.8999999999999999E-3</v>
      </c>
    </row>
    <row r="102" spans="2:5">
      <c r="B102" s="8" t="str">
        <f t="shared" si="3"/>
        <v>52PREPARATORIA CON CERTIFICADO</v>
      </c>
      <c r="C102" s="1" t="str">
        <f>"MICHOACAN DE OCAMPO"</f>
        <v>MICHOACAN DE OCAMPO</v>
      </c>
      <c r="D102" s="2">
        <v>10</v>
      </c>
      <c r="E102" s="3">
        <v>2.3099999999999999E-2</v>
      </c>
    </row>
    <row r="103" spans="2:5">
      <c r="B103" s="8" t="str">
        <f t="shared" si="3"/>
        <v>52PREPARATORIA CON CERTIFICADO</v>
      </c>
      <c r="C103" s="1" t="str">
        <f>"OAXACA"</f>
        <v>OAXACA</v>
      </c>
      <c r="D103" s="2">
        <v>3</v>
      </c>
      <c r="E103" s="3">
        <v>6.8999999999999999E-3</v>
      </c>
    </row>
    <row r="104" spans="2:5">
      <c r="B104" s="8" t="str">
        <f t="shared" si="3"/>
        <v>52PREPARATORIA CON CERTIFICADO</v>
      </c>
      <c r="C104" s="1" t="str">
        <f>"PUEBLA"</f>
        <v>PUEBLA</v>
      </c>
      <c r="D104" s="2">
        <v>13</v>
      </c>
      <c r="E104" s="3">
        <v>3.0099999999999998E-2</v>
      </c>
    </row>
    <row r="105" spans="2:5">
      <c r="B105" s="8" t="str">
        <f t="shared" si="3"/>
        <v>52PREPARATORIA CON CERTIFICADO</v>
      </c>
      <c r="C105" s="1" t="str">
        <f>"SAN LUIS POTOSI"</f>
        <v>SAN LUIS POTOSI</v>
      </c>
      <c r="D105" s="2">
        <v>1</v>
      </c>
      <c r="E105" s="3">
        <v>2.3E-3</v>
      </c>
    </row>
    <row r="106" spans="2:5">
      <c r="B106" s="8" t="str">
        <f t="shared" si="3"/>
        <v>52PREPARATORIA CON CERTIFICADO</v>
      </c>
      <c r="C106" s="1" t="str">
        <f>"TAMAULIPAS"</f>
        <v>TAMAULIPAS</v>
      </c>
      <c r="D106" s="2">
        <v>2</v>
      </c>
      <c r="E106" s="3">
        <v>4.5999999999999999E-3</v>
      </c>
    </row>
    <row r="107" spans="2:5">
      <c r="B107" s="8" t="str">
        <f t="shared" si="3"/>
        <v>52PREPARATORIA CON CERTIFICADO</v>
      </c>
      <c r="C107" s="1" t="str">
        <f>"VERACRUZ DE IGNACIO DE LA LLAVE"</f>
        <v>VERACRUZ DE IGNACIO DE LA LLAVE</v>
      </c>
      <c r="D107" s="2">
        <v>6</v>
      </c>
      <c r="E107" s="3">
        <v>1.3899999999999999E-2</v>
      </c>
    </row>
    <row r="108" spans="2:5" ht="16.5">
      <c r="B108" s="8" t="str">
        <f t="shared" si="3"/>
        <v>52PREPARATORIA CON CERTIFICADO</v>
      </c>
      <c r="C108" s="10" t="str">
        <f>"Total"</f>
        <v>Total</v>
      </c>
      <c r="D108" s="11">
        <v>77</v>
      </c>
      <c r="E108" s="12">
        <v>0.1782</v>
      </c>
    </row>
    <row r="109" spans="2:5">
      <c r="B109" s="7" t="str">
        <f>"PROFESIONAL PASANTE"</f>
        <v>PROFESIONAL PASANTE</v>
      </c>
      <c r="C109" s="1" t="str">
        <f>"DISTRITO FEDERAL"</f>
        <v>DISTRITO FEDERAL</v>
      </c>
      <c r="D109" s="2">
        <v>1</v>
      </c>
      <c r="E109" s="3">
        <v>2.3E-3</v>
      </c>
    </row>
    <row r="110" spans="2:5">
      <c r="B110" s="8" t="str">
        <f t="shared" ref="B109:B116" si="4">"65PROFESIONAL PASANTE"</f>
        <v>65PROFESIONAL PASANTE</v>
      </c>
      <c r="C110" s="1" t="str">
        <f>"GUANAJUATO"</f>
        <v>GUANAJUATO</v>
      </c>
      <c r="D110" s="2">
        <v>1</v>
      </c>
      <c r="E110" s="3">
        <v>2.3E-3</v>
      </c>
    </row>
    <row r="111" spans="2:5">
      <c r="B111" s="8" t="str">
        <f t="shared" si="4"/>
        <v>65PROFESIONAL PASANTE</v>
      </c>
      <c r="C111" s="1" t="str">
        <f>"MEXICO"</f>
        <v>MEXICO</v>
      </c>
      <c r="D111" s="2">
        <v>1</v>
      </c>
      <c r="E111" s="3">
        <v>2.3E-3</v>
      </c>
    </row>
    <row r="112" spans="2:5">
      <c r="B112" s="8" t="str">
        <f t="shared" si="4"/>
        <v>65PROFESIONAL PASANTE</v>
      </c>
      <c r="C112" s="1" t="str">
        <f>"MICHOACAN DE OCAMPO"</f>
        <v>MICHOACAN DE OCAMPO</v>
      </c>
      <c r="D112" s="2">
        <v>2</v>
      </c>
      <c r="E112" s="3">
        <v>4.5999999999999999E-3</v>
      </c>
    </row>
    <row r="113" spans="2:5">
      <c r="B113" s="8" t="str">
        <f t="shared" si="4"/>
        <v>65PROFESIONAL PASANTE</v>
      </c>
      <c r="C113" s="1" t="str">
        <f>"NUEVO LEON"</f>
        <v>NUEVO LEON</v>
      </c>
      <c r="D113" s="2">
        <v>1</v>
      </c>
      <c r="E113" s="3">
        <v>2.3E-3</v>
      </c>
    </row>
    <row r="114" spans="2:5">
      <c r="B114" s="8" t="str">
        <f t="shared" si="4"/>
        <v>65PROFESIONAL PASANTE</v>
      </c>
      <c r="C114" s="1" t="str">
        <f>"TLAXCALA"</f>
        <v>TLAXCALA</v>
      </c>
      <c r="D114" s="2">
        <v>1</v>
      </c>
      <c r="E114" s="3">
        <v>2.3E-3</v>
      </c>
    </row>
    <row r="115" spans="2:5">
      <c r="B115" s="8" t="str">
        <f t="shared" si="4"/>
        <v>65PROFESIONAL PASANTE</v>
      </c>
      <c r="C115" s="1" t="str">
        <f>"VERACRUZ DE IGNACIO DE LA LLAVE"</f>
        <v>VERACRUZ DE IGNACIO DE LA LLAVE</v>
      </c>
      <c r="D115" s="2">
        <v>1</v>
      </c>
      <c r="E115" s="3">
        <v>2.3E-3</v>
      </c>
    </row>
    <row r="116" spans="2:5" ht="16.5">
      <c r="B116" s="8" t="str">
        <f t="shared" si="4"/>
        <v>65PROFESIONAL PASANTE</v>
      </c>
      <c r="C116" s="10" t="str">
        <f>"Total"</f>
        <v>Total</v>
      </c>
      <c r="D116" s="11">
        <v>8</v>
      </c>
      <c r="E116" s="12">
        <v>1.8499999999999999E-2</v>
      </c>
    </row>
    <row r="117" spans="2:5">
      <c r="B117" s="7" t="str">
        <f>"PROFESIONAL TITULADO"</f>
        <v>PROFESIONAL TITULADO</v>
      </c>
      <c r="C117" s="1" t="str">
        <f>"CHIAPAS"</f>
        <v>CHIAPAS</v>
      </c>
      <c r="D117" s="2">
        <v>1</v>
      </c>
      <c r="E117" s="3">
        <v>2.3E-3</v>
      </c>
    </row>
    <row r="118" spans="2:5">
      <c r="B118" s="8" t="str">
        <f t="shared" ref="B117:B125" si="5">"66PROFESIONAL TITULADO"</f>
        <v>66PROFESIONAL TITULADO</v>
      </c>
      <c r="C118" s="1" t="str">
        <f>"CHIHUAHUA"</f>
        <v>CHIHUAHUA</v>
      </c>
      <c r="D118" s="2">
        <v>1</v>
      </c>
      <c r="E118" s="3">
        <v>2.3E-3</v>
      </c>
    </row>
    <row r="119" spans="2:5">
      <c r="B119" s="8" t="str">
        <f t="shared" si="5"/>
        <v>66PROFESIONAL TITULADO</v>
      </c>
      <c r="C119" s="1" t="str">
        <f>"DISTRITO FEDERAL"</f>
        <v>DISTRITO FEDERAL</v>
      </c>
      <c r="D119" s="2">
        <v>4</v>
      </c>
      <c r="E119" s="3">
        <v>9.2999999999999992E-3</v>
      </c>
    </row>
    <row r="120" spans="2:5">
      <c r="B120" s="8" t="str">
        <f t="shared" si="5"/>
        <v>66PROFESIONAL TITULADO</v>
      </c>
      <c r="C120" s="1" t="str">
        <f>"MEXICO"</f>
        <v>MEXICO</v>
      </c>
      <c r="D120" s="2">
        <v>1</v>
      </c>
      <c r="E120" s="3">
        <v>2.3E-3</v>
      </c>
    </row>
    <row r="121" spans="2:5">
      <c r="B121" s="8" t="str">
        <f t="shared" si="5"/>
        <v>66PROFESIONAL TITULADO</v>
      </c>
      <c r="C121" s="1" t="str">
        <f>"NUEVO LEON"</f>
        <v>NUEVO LEON</v>
      </c>
      <c r="D121" s="2">
        <v>2</v>
      </c>
      <c r="E121" s="3">
        <v>4.5999999999999999E-3</v>
      </c>
    </row>
    <row r="122" spans="2:5">
      <c r="B122" s="8" t="str">
        <f t="shared" si="5"/>
        <v>66PROFESIONAL TITULADO</v>
      </c>
      <c r="C122" s="1" t="str">
        <f>"PUEBLA"</f>
        <v>PUEBLA</v>
      </c>
      <c r="D122" s="2">
        <v>1</v>
      </c>
      <c r="E122" s="3">
        <v>2.3E-3</v>
      </c>
    </row>
    <row r="123" spans="2:5">
      <c r="B123" s="8" t="str">
        <f t="shared" si="5"/>
        <v>66PROFESIONAL TITULADO</v>
      </c>
      <c r="C123" s="1" t="str">
        <f>"SAN LUIS POTOSI"</f>
        <v>SAN LUIS POTOSI</v>
      </c>
      <c r="D123" s="2">
        <v>1</v>
      </c>
      <c r="E123" s="3">
        <v>2.3E-3</v>
      </c>
    </row>
    <row r="124" spans="2:5">
      <c r="B124" s="8" t="str">
        <f t="shared" si="5"/>
        <v>66PROFESIONAL TITULADO</v>
      </c>
      <c r="C124" s="1" t="str">
        <f>"TAMAULIPAS"</f>
        <v>TAMAULIPAS</v>
      </c>
      <c r="D124" s="2">
        <v>1</v>
      </c>
      <c r="E124" s="3">
        <v>2.3E-3</v>
      </c>
    </row>
    <row r="125" spans="2:5" ht="16.5">
      <c r="B125" s="8" t="str">
        <f t="shared" si="5"/>
        <v>66PROFESIONAL TITULADO</v>
      </c>
      <c r="C125" s="10" t="str">
        <f>"Total"</f>
        <v>Total</v>
      </c>
      <c r="D125" s="11">
        <v>12</v>
      </c>
      <c r="E125" s="12">
        <v>2.7799999999999998E-2</v>
      </c>
    </row>
    <row r="126" spans="2:5" ht="16.5">
      <c r="B126" s="13" t="s">
        <v>10</v>
      </c>
      <c r="C126" s="14" t="str">
        <f>" "</f>
        <v> </v>
      </c>
      <c r="D126" s="15">
        <v>432</v>
      </c>
      <c r="E126" s="16">
        <v>1</v>
      </c>
    </row>
    <row r="129" spans="2:2">
      <c r="B129" s="17" t="s">
        <v>4</v>
      </c>
    </row>
    <row r="130" spans="2:2">
      <c r="B130" s="17" t="s">
        <v>5</v>
      </c>
    </row>
    <row r="131" spans="2:2">
      <c r="B131" s="17" t="s">
        <v>6</v>
      </c>
    </row>
    <row r="132" spans="2:2">
      <c r="B132" s="17" t="s">
        <v>7</v>
      </c>
    </row>
    <row r="133" spans="2:2">
      <c r="B133" s="17" t="s">
        <v>8</v>
      </c>
    </row>
  </sheetData>
  <mergeCells count="17">
    <mergeCell ref="B87:B92"/>
    <mergeCell ref="B93:B108"/>
    <mergeCell ref="B109:B116"/>
    <mergeCell ref="B117:B125"/>
    <mergeCell ref="B42:B55"/>
    <mergeCell ref="B56:B57"/>
    <mergeCell ref="B58:B60"/>
    <mergeCell ref="B61:B63"/>
    <mergeCell ref="B64:B86"/>
    <mergeCell ref="B15:B16"/>
    <mergeCell ref="B17:B21"/>
    <mergeCell ref="B22:B24"/>
    <mergeCell ref="B25:B28"/>
    <mergeCell ref="B29:B41"/>
    <mergeCell ref="B6:E7"/>
    <mergeCell ref="B10:B12"/>
    <mergeCell ref="B13:B14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easCAJ5ALX2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2012-03-22T22:56:15Z</dcterms:created>
  <dcterms:modified xsi:type="dcterms:W3CDTF">2012-03-23T20:14:32Z</dcterms:modified>
</cp:coreProperties>
</file>