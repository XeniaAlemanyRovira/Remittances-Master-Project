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Q0AA28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<sst xmlns="http://schemas.openxmlformats.org/spreadsheetml/2006/main" count="12" uniqueCount="12">
  <si>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</si>
  <si>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</si>
  <si>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</si>
  <si>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</si>
  <si>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</si>
  <si>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</si>
  <si>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</si>
  <si>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</si>
  <si>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</si>
  <si>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</si>
  <si>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</si>
  <si>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OREGON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</si>
</sst>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6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"MICHOACAN DE OCAMPO"</f>
        <v>MICHOACAN DE OCAMPO</v>
      </c>
      <c r="C11" s="2">
        <v>2417</v>
      </c>
      <c r="D11" s="3">
        <v>0.21740000000000001</v>
      </c>
    </row>
    <row r="12" spans="1:7">
      <c r="B12" s="1" t="str">
        <f>"OAXACA"</f>
        <v>OAXACA</v>
      </c>
      <c r="C12" s="2">
        <v>1359</v>
      </c>
      <c r="D12" s="3">
        <v>0.12230000000000001</v>
      </c>
    </row>
    <row r="13" spans="1:7">
      <c r="B13" s="1" t="str">
        <f>"JALISCO"</f>
        <v>JALISCO</v>
      </c>
      <c r="C13" s="2">
        <v>1021</v>
      </c>
      <c r="D13" s="3">
        <v>9.1800000000000007E-2</v>
      </c>
    </row>
    <row r="14" spans="1:7">
      <c r="B14" s="1" t="str">
        <f>"GUERRERO"</f>
        <v>GUERRERO</v>
      </c>
      <c r="C14" s="4">
        <v>785</v>
      </c>
      <c r="D14" s="3">
        <v>7.0599999999999996E-2</v>
      </c>
    </row>
    <row r="15" spans="1:7">
      <c r="B15" s="1" t="str">
        <f>"GUANAJUATO"</f>
        <v>GUANAJUATO</v>
      </c>
      <c r="C15" s="4">
        <v>679</v>
      </c>
      <c r="D15" s="3">
        <v>6.1100000000000002E-2</v>
      </c>
    </row>
    <row r="16" spans="1:7">
      <c r="B16" s="1" t="str">
        <f>"PUEBLA"</f>
        <v>PUEBLA</v>
      </c>
      <c r="C16" s="4">
        <v>598</v>
      </c>
      <c r="D16" s="3">
        <v>5.3800000000000001E-2</v>
      </c>
    </row>
    <row r="17" spans="2:4">
      <c r="B17" s="1" t="str">
        <f>"VERACRUZ DE IGNACIO DE LA LLAVE"</f>
        <v>VERACRUZ DE IGNACIO DE LA LLAVE</v>
      </c>
      <c r="C17" s="4">
        <v>596</v>
      </c>
      <c r="D17" s="3">
        <v>5.3600000000000002E-2</v>
      </c>
    </row>
    <row r="18" spans="2:4">
      <c r="B18" s="1" t="str">
        <f>"DISTRITO FEDERAL"</f>
        <v>DISTRITO FEDERAL</v>
      </c>
      <c r="C18" s="4">
        <v>586</v>
      </c>
      <c r="D18" s="3">
        <v>5.2699999999999997E-2</v>
      </c>
    </row>
    <row r="19" spans="2:4">
      <c r="B19" s="1" t="str">
        <f>"MEXICO"</f>
        <v>MEXICO</v>
      </c>
      <c r="C19" s="4">
        <v>455</v>
      </c>
      <c r="D19" s="3">
        <v>4.0899999999999999E-2</v>
      </c>
    </row>
    <row r="20" spans="2:4">
      <c r="B20" s="1" t="str">
        <f>"NAYARIT"</f>
        <v>NAYARIT</v>
      </c>
      <c r="C20" s="4">
        <v>422</v>
      </c>
      <c r="D20" s="3">
        <v>3.7999999999999999E-2</v>
      </c>
    </row>
    <row r="21" spans="2:4">
      <c r="B21" s="1" t="str">
        <f>"HIDALGO"</f>
        <v>HIDALGO</v>
      </c>
      <c r="C21" s="4">
        <v>278</v>
      </c>
      <c r="D21" s="3">
        <v>2.5000000000000001E-2</v>
      </c>
    </row>
    <row r="22" spans="2:4">
      <c r="B22" s="1" t="str">
        <f>"YUCATAN"</f>
        <v>YUCATAN</v>
      </c>
      <c r="C22" s="4">
        <v>231</v>
      </c>
      <c r="D22" s="3">
        <v>2.0799999999999999E-2</v>
      </c>
    </row>
    <row r="23" spans="2:4">
      <c r="B23" s="1" t="str">
        <f>"MORELOS"</f>
        <v>MORELOS</v>
      </c>
      <c r="C23" s="4">
        <v>228</v>
      </c>
      <c r="D23" s="3">
        <v>2.0500000000000001E-2</v>
      </c>
    </row>
    <row r="24" spans="2:4">
      <c r="B24" s="1" t="str">
        <f>"SINALOA"</f>
        <v>SINALOA</v>
      </c>
      <c r="C24" s="4">
        <v>210</v>
      </c>
      <c r="D24" s="3">
        <v>1.89E-2</v>
      </c>
    </row>
    <row r="25" spans="2:4">
      <c r="B25" s="1" t="str">
        <f>"ZACATECAS"</f>
        <v>ZACATECAS</v>
      </c>
      <c r="C25" s="4">
        <v>186</v>
      </c>
      <c r="D25" s="3">
        <v>1.67E-2</v>
      </c>
    </row>
    <row r="26" spans="2:4">
      <c r="B26" s="1" t="str">
        <f>"COLIMA"</f>
        <v>COLIMA</v>
      </c>
      <c r="C26" s="4">
        <v>153</v>
      </c>
      <c r="D26" s="3">
        <v>1.38E-2</v>
      </c>
    </row>
    <row r="27" spans="2:4">
      <c r="B27" s="1" t="str">
        <f>"BAJA CALIFORNIA"</f>
        <v>BAJA CALIFORNIA</v>
      </c>
      <c r="C27" s="4">
        <v>143</v>
      </c>
      <c r="D27" s="3">
        <v>1.29E-2</v>
      </c>
    </row>
    <row r="28" spans="2:4">
      <c r="B28" s="1" t="str">
        <f>"DURANGO"</f>
        <v>DURANGO</v>
      </c>
      <c r="C28" s="4">
        <v>132</v>
      </c>
      <c r="D28" s="3">
        <v>1.1900000000000001E-2</v>
      </c>
    </row>
    <row r="29" spans="2:4">
      <c r="B29" s="1" t="str">
        <f>"CHIAPAS"</f>
        <v>CHIAPAS</v>
      </c>
      <c r="C29" s="4">
        <v>127</v>
      </c>
      <c r="D29" s="3">
        <v>1.14E-2</v>
      </c>
    </row>
    <row r="30" spans="2:4">
      <c r="B30" s="1" t="str">
        <f>"TLAXCALA"</f>
        <v>TLAXCALA</v>
      </c>
      <c r="C30" s="4">
        <v>119</v>
      </c>
      <c r="D30" s="3">
        <v>1.0699999999999999E-2</v>
      </c>
    </row>
    <row r="31" spans="2:4">
      <c r="B31" s="1" t="str">
        <f>"QUERETARO DE ARTEAGA"</f>
        <v>QUERETARO DE ARTEAGA</v>
      </c>
      <c r="C31" s="4">
        <v>86</v>
      </c>
      <c r="D31" s="3">
        <v>7.7000000000000002E-3</v>
      </c>
    </row>
    <row r="32" spans="2:4">
      <c r="B32" s="1" t="str">
        <f>"SONORA"</f>
        <v>SONORA</v>
      </c>
      <c r="C32" s="4">
        <v>64</v>
      </c>
      <c r="D32" s="3">
        <v>5.7999999999999996E-3</v>
      </c>
    </row>
    <row r="33" spans="2:4">
      <c r="B33" s="1" t="str">
        <f>"SAN LUIS POTOSI"</f>
        <v>SAN LUIS POTOSI</v>
      </c>
      <c r="C33" s="4">
        <v>56</v>
      </c>
      <c r="D33" s="3">
        <v>5.0000000000000001E-3</v>
      </c>
    </row>
    <row r="34" spans="2:4">
      <c r="B34" s="1" t="str">
        <f>"CHIHUAHUA"</f>
        <v>CHIHUAHUA</v>
      </c>
      <c r="C34" s="4">
        <v>48</v>
      </c>
      <c r="D34" s="3">
        <v>4.3E-3</v>
      </c>
    </row>
    <row r="35" spans="2:4">
      <c r="B35" s="1" t="str">
        <f>"TAMAULIPAS"</f>
        <v>TAMAULIPAS</v>
      </c>
      <c r="C35" s="4">
        <v>25</v>
      </c>
      <c r="D35" s="3">
        <v>2.2000000000000001E-3</v>
      </c>
    </row>
    <row r="36" spans="2:4">
      <c r="B36" s="1" t="str">
        <f>"AGUASCALIENTES"</f>
        <v>AGUASCALIENTES</v>
      </c>
      <c r="C36" s="4">
        <v>22</v>
      </c>
      <c r="D36" s="3">
        <v>2E-3</v>
      </c>
    </row>
    <row r="37" spans="2:4">
      <c r="B37" s="1" t="str">
        <f>"COAHUILA DE ZARAGOZA"</f>
        <v>COAHUILA DE ZARAGOZA</v>
      </c>
      <c r="C37" s="4">
        <v>19</v>
      </c>
      <c r="D37" s="3">
        <v>1.6999999999999999E-3</v>
      </c>
    </row>
    <row r="38" spans="2:4">
      <c r="B38" s="1" t="str">
        <f>"QUINTANA ROO"</f>
        <v>QUINTANA ROO</v>
      </c>
      <c r="C38" s="4">
        <v>19</v>
      </c>
      <c r="D38" s="3">
        <v>1.6999999999999999E-3</v>
      </c>
    </row>
    <row r="39" spans="2:4">
      <c r="B39" s="1" t="str">
        <f>"NUEVO LEON"</f>
        <v>NUEVO LEON</v>
      </c>
      <c r="C39" s="4">
        <v>18</v>
      </c>
      <c r="D39" s="3">
        <v>1.6000000000000001E-3</v>
      </c>
    </row>
    <row r="40" spans="2:4">
      <c r="B40" s="1" t="str">
        <f>"TABASCO"</f>
        <v>TABASCO</v>
      </c>
      <c r="C40" s="4">
        <v>14</v>
      </c>
      <c r="D40" s="3">
        <v>1.2999999999999999E-3</v>
      </c>
    </row>
    <row r="41" spans="2:4">
      <c r="B41" s="1" t="str">
        <f>"CAMPECHE"</f>
        <v>CAMPECHE</v>
      </c>
      <c r="C41" s="4">
        <v>11</v>
      </c>
      <c r="D41" s="3">
        <v>1E-3</v>
      </c>
    </row>
    <row r="42" spans="2:4">
      <c r="B42" s="1" t="str">
        <f>"BAJA CALIFORNIA SUR"</f>
        <v>BAJA CALIFORNIA SUR</v>
      </c>
      <c r="C42" s="4">
        <v>9</v>
      </c>
      <c r="D42" s="3">
        <v>8.0000000000000004E-4</v>
      </c>
    </row>
    <row r="43" spans="2:4">
      <c r="B43" s="14" t="s">
        <v>0</v>
      </c>
      <c r="C43" s="15">
        <v>11116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easCAQ0AA28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2012-02-29T19:42:49Z</dcterms:created>
  <dcterms:modified xsi:type="dcterms:W3CDTF">2012-03-28T20:55:34Z</dcterms:modified>
</cp:coreProperties>
</file>