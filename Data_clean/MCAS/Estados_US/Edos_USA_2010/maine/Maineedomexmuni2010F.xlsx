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KGMPXJ" sheetId="2" r:id="rId1"/>
  </sheets>
  <calcPr calcId="125725"/>
</workbook>
</file>

<file path=xl/calcChain.xml><?xml version="1.0" encoding="utf-8"?>
<calcChain xmlns="http://schemas.openxmlformats.org/spreadsheetml/2006/main">
  <c r="C49" i="2"/>
  <c r="C48"/>
  <c r="C47"/>
  <c r="B47"/>
  <c r="C46"/>
  <c r="C45"/>
  <c r="B45"/>
  <c r="C44"/>
  <c r="C43"/>
  <c r="B43"/>
  <c r="C42"/>
  <c r="C41"/>
  <c r="C40"/>
  <c r="C39"/>
  <c r="C38"/>
  <c r="C37"/>
  <c r="B37"/>
  <c r="C36"/>
  <c r="C35"/>
  <c r="C34"/>
  <c r="C33"/>
  <c r="B33"/>
  <c r="C32"/>
  <c r="C31"/>
  <c r="C30"/>
  <c r="B30"/>
  <c r="C29"/>
  <c r="C28"/>
  <c r="B28"/>
  <c r="C27"/>
  <c r="C26"/>
  <c r="B26"/>
  <c r="C25"/>
  <c r="C24"/>
  <c r="C23"/>
  <c r="C22"/>
  <c r="B22"/>
  <c r="C21"/>
  <c r="C20"/>
  <c r="B20"/>
  <c r="C19"/>
  <c r="C18"/>
  <c r="C17"/>
  <c r="C16"/>
  <c r="B16"/>
  <c r="C15"/>
  <c r="C14"/>
  <c r="B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<sst xmlns="http://schemas.openxmlformats.org/spreadsheetml/2006/main" count="11" uniqueCount="11">
  <si>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</si>
  <si>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Estado de Origen</t>
  </si>
  <si>
    <t xml:space="preserve"> Municipio de Origen</t>
  </si>
  <si>
    <t>Porcentaje de Matrículas</t>
  </si>
  <si>
    <t>MATRÍCULAS CONSULARES DE ALTA SEGURIDAD EXPEDIDAS EN EL ESTADO DE MAINE POR ESTADO Y MUNICIPIO DE LA REPÚBLICA MEXICANA, 2010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</si>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</sst>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/>
    <xf numFmtId="0" fontId="22" fillId="0" borderId="0" xfId="42" applyFont="1"/>
    <xf numFmtId="0" fontId="23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0" fillId="0" borderId="0" xfId="42" applyFill="1"/>
    <xf numFmtId="0" fontId="0" fillId="0" borderId="0" xfId="0" applyFill="1"/>
    <xf numFmtId="0" fontId="27" fillId="0" borderId="0" xfId="0" applyFont="1"/>
    <xf numFmtId="0" fontId="28" fillId="0" borderId="0" xfId="0" applyFo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9" fillId="35" borderId="10" xfId="0" applyFont="1" applyFill="1" applyBorder="1" applyAlignment="1">
      <alignment horizontal="right" wrapText="1"/>
    </xf>
    <xf numFmtId="10" fontId="19" fillId="35" borderId="10" xfId="0" applyNumberFormat="1" applyFont="1" applyFill="1" applyBorder="1" applyAlignment="1">
      <alignment horizontal="right" wrapText="1"/>
    </xf>
    <xf numFmtId="0" fontId="18" fillId="0" borderId="12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23" fillId="0" borderId="0" xfId="42" applyFont="1" applyAlignment="1">
      <alignment horizontal="center" wrapText="1"/>
    </xf>
    <xf numFmtId="0" fontId="23" fillId="0" borderId="11" xfId="42" applyFont="1" applyBorder="1" applyAlignment="1">
      <alignment horizontal="center" wrapText="1"/>
    </xf>
    <xf numFmtId="0" fontId="24" fillId="33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/>
    <xf numFmtId="0" fontId="20" fillId="0" borderId="10" xfId="42" applyFont="1" applyBorder="1" applyAlignment="1"/>
    <xf numFmtId="0" fontId="25" fillId="33" borderId="10" xfId="42" applyFont="1" applyFill="1" applyBorder="1" applyAlignment="1">
      <alignment horizontal="center" vertical="center" wrapText="1"/>
    </xf>
    <xf numFmtId="0" fontId="26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55"/>
  <sheetViews>
    <sheetView showGridLines="0" tabSelected="1" workbookViewId="0">
      <selection activeCell="A8" sqref="A8"/>
    </sheetView>
  </sheetViews>
  <sheetFormatPr baseColWidth="10" defaultRowHeight="15"/>
  <cols>
    <col min="2" max="2" width="45.28515625" customWidth="1"/>
    <col min="3" max="3" width="27.140625" customWidth="1"/>
    <col min="4" max="5" width="16.140625" bestFit="1" customWidth="1"/>
  </cols>
  <sheetData>
    <row r="1" spans="1:7">
      <c r="A1" s="4"/>
      <c r="B1" s="5"/>
      <c r="C1" s="4"/>
      <c r="D1" s="6"/>
      <c r="E1" s="6"/>
      <c r="F1" s="4"/>
    </row>
    <row r="2" spans="1:7">
      <c r="A2" s="4"/>
      <c r="B2" s="5"/>
      <c r="C2" s="4"/>
      <c r="D2" s="6"/>
      <c r="E2" s="6"/>
      <c r="F2" s="4"/>
    </row>
    <row r="3" spans="1:7">
      <c r="A3" s="4"/>
      <c r="B3" s="5"/>
      <c r="C3" s="4"/>
      <c r="D3" s="6"/>
      <c r="E3" s="6"/>
      <c r="F3" s="4"/>
    </row>
    <row r="4" spans="1:7">
      <c r="A4" s="4"/>
      <c r="B4" s="5"/>
      <c r="C4" s="4"/>
      <c r="D4" s="6"/>
      <c r="E4" s="6"/>
      <c r="F4" s="4"/>
    </row>
    <row r="5" spans="1:7" ht="16.5">
      <c r="B5" s="7"/>
      <c r="C5" s="8"/>
      <c r="D5" s="9"/>
      <c r="E5" s="9"/>
      <c r="F5" s="8"/>
    </row>
    <row r="6" spans="1:7">
      <c r="B6" s="24" t="s">
        <v>4</v>
      </c>
      <c r="C6" s="24"/>
      <c r="D6" s="24"/>
      <c r="E6" s="24"/>
      <c r="F6" s="8"/>
    </row>
    <row r="7" spans="1:7">
      <c r="A7" s="4"/>
      <c r="B7" s="25"/>
      <c r="C7" s="25"/>
      <c r="D7" s="25"/>
      <c r="E7" s="25"/>
      <c r="F7" s="4"/>
    </row>
    <row r="8" spans="1:7">
      <c r="A8" s="4"/>
      <c r="B8" s="26" t="s">
        <v>1</v>
      </c>
      <c r="C8" s="26" t="s">
        <v>2</v>
      </c>
      <c r="D8" s="29" t="s">
        <v>0</v>
      </c>
      <c r="E8" s="29" t="s">
        <v>3</v>
      </c>
      <c r="F8" s="4"/>
    </row>
    <row r="9" spans="1:7" ht="18" customHeight="1">
      <c r="A9" s="4"/>
      <c r="B9" s="27"/>
      <c r="C9" s="28"/>
      <c r="D9" s="30"/>
      <c r="E9" s="30"/>
      <c r="F9" s="10"/>
      <c r="G9" s="11"/>
    </row>
    <row r="10" spans="1:7">
      <c r="B10" s="21" t="str">
        <f>"BAJA CALIFORNIA"</f>
        <v>BAJA CALIFORNIA</v>
      </c>
      <c r="C10" s="1" t="str">
        <f>"TIJUANA"</f>
        <v>TIJUANA</v>
      </c>
      <c r="D10" s="2">
        <v>1</v>
      </c>
      <c r="E10" s="3">
        <v>2.63E-2</v>
      </c>
    </row>
    <row r="11" spans="1:7">
      <c r="B11" s="23"/>
      <c r="C11" s="18" t="str">
        <f>"Total"</f>
        <v>Total</v>
      </c>
      <c r="D11" s="19">
        <v>1</v>
      </c>
      <c r="E11" s="20">
        <v>2.63E-2</v>
      </c>
    </row>
    <row r="12" spans="1:7">
      <c r="B12" s="21" t="str">
        <f>"CHIAPAS"</f>
        <v>CHIAPAS</v>
      </c>
      <c r="C12" s="1" t="str">
        <f>"HUEHUETAN"</f>
        <v>HUEHUETAN</v>
      </c>
      <c r="D12" s="2">
        <v>1</v>
      </c>
      <c r="E12" s="3">
        <v>2.63E-2</v>
      </c>
    </row>
    <row r="13" spans="1:7">
      <c r="B13" s="23"/>
      <c r="C13" s="18" t="str">
        <f>"Total"</f>
        <v>Total</v>
      </c>
      <c r="D13" s="19">
        <v>1</v>
      </c>
      <c r="E13" s="20">
        <v>2.63E-2</v>
      </c>
    </row>
    <row r="14" spans="1:7">
      <c r="B14" s="21" t="str">
        <f>"CHIHUAHUA"</f>
        <v>CHIHUAHUA</v>
      </c>
      <c r="C14" s="1" t="str">
        <f>"JUAREZ"</f>
        <v>JUAREZ</v>
      </c>
      <c r="D14" s="2">
        <v>1</v>
      </c>
      <c r="E14" s="3">
        <v>2.63E-2</v>
      </c>
    </row>
    <row r="15" spans="1:7">
      <c r="B15" s="23"/>
      <c r="C15" s="18" t="str">
        <f>"Total"</f>
        <v>Total</v>
      </c>
      <c r="D15" s="19">
        <v>1</v>
      </c>
      <c r="E15" s="20">
        <v>2.63E-2</v>
      </c>
    </row>
    <row r="16" spans="1:7">
      <c r="B16" s="21" t="str">
        <f>"COLIMA"</f>
        <v>COLIMA</v>
      </c>
      <c r="C16" s="1" t="str">
        <f>"COLIMA"</f>
        <v>COLIMA</v>
      </c>
      <c r="D16" s="2">
        <v>1</v>
      </c>
      <c r="E16" s="3">
        <v>2.63E-2</v>
      </c>
    </row>
    <row r="17" spans="2:5">
      <c r="B17" s="22"/>
      <c r="C17" s="1" t="str">
        <f>"MANZANILLO"</f>
        <v>MANZANILLO</v>
      </c>
      <c r="D17" s="2">
        <v>1</v>
      </c>
      <c r="E17" s="3">
        <v>2.63E-2</v>
      </c>
    </row>
    <row r="18" spans="2:5">
      <c r="B18" s="22"/>
      <c r="C18" s="1" t="str">
        <f>"MINATITLAN"</f>
        <v>MINATITLAN</v>
      </c>
      <c r="D18" s="2">
        <v>2</v>
      </c>
      <c r="E18" s="3">
        <v>5.2600000000000001E-2</v>
      </c>
    </row>
    <row r="19" spans="2:5">
      <c r="B19" s="23"/>
      <c r="C19" s="18" t="str">
        <f>"Total"</f>
        <v>Total</v>
      </c>
      <c r="D19" s="19">
        <v>4</v>
      </c>
      <c r="E19" s="20">
        <v>0.1053</v>
      </c>
    </row>
    <row r="20" spans="2:5">
      <c r="B20" s="21" t="str">
        <f>"DISTRITO FEDERAL"</f>
        <v>DISTRITO FEDERAL</v>
      </c>
      <c r="C20" s="1" t="str">
        <f>"GUSTAVO A. MADERO"</f>
        <v>GUSTAVO A. MADERO</v>
      </c>
      <c r="D20" s="2">
        <v>2</v>
      </c>
      <c r="E20" s="3">
        <v>5.2600000000000001E-2</v>
      </c>
    </row>
    <row r="21" spans="2:5">
      <c r="B21" s="23"/>
      <c r="C21" s="18" t="str">
        <f>"Total"</f>
        <v>Total</v>
      </c>
      <c r="D21" s="19">
        <v>2</v>
      </c>
      <c r="E21" s="20">
        <v>5.2600000000000001E-2</v>
      </c>
    </row>
    <row r="22" spans="2:5">
      <c r="B22" s="21" t="str">
        <f>"GUANAJUATO"</f>
        <v>GUANAJUATO</v>
      </c>
      <c r="C22" s="1" t="str">
        <f>"CELAYA"</f>
        <v>CELAYA</v>
      </c>
      <c r="D22" s="2">
        <v>1</v>
      </c>
      <c r="E22" s="3">
        <v>2.63E-2</v>
      </c>
    </row>
    <row r="23" spans="2:5">
      <c r="B23" s="22"/>
      <c r="C23" s="1" t="str">
        <f>"TARIMORO"</f>
        <v>TARIMORO</v>
      </c>
      <c r="D23" s="2">
        <v>3</v>
      </c>
      <c r="E23" s="3">
        <v>7.8899999999999998E-2</v>
      </c>
    </row>
    <row r="24" spans="2:5">
      <c r="B24" s="22"/>
      <c r="C24" s="1" t="str">
        <f>"VALLE DE SANTIAGO"</f>
        <v>VALLE DE SANTIAGO</v>
      </c>
      <c r="D24" s="2">
        <v>1</v>
      </c>
      <c r="E24" s="3">
        <v>2.63E-2</v>
      </c>
    </row>
    <row r="25" spans="2:5">
      <c r="B25" s="23"/>
      <c r="C25" s="18" t="str">
        <f>"Total"</f>
        <v>Total</v>
      </c>
      <c r="D25" s="19">
        <v>5</v>
      </c>
      <c r="E25" s="20">
        <v>0.13159999999999999</v>
      </c>
    </row>
    <row r="26" spans="2:5">
      <c r="B26" s="21" t="str">
        <f>"JALISCO"</f>
        <v>JALISCO</v>
      </c>
      <c r="C26" s="1" t="str">
        <f>"IXTLAHUACAN DEL RIO"</f>
        <v>IXTLAHUACAN DEL RIO</v>
      </c>
      <c r="D26" s="2">
        <v>1</v>
      </c>
      <c r="E26" s="3">
        <v>2.63E-2</v>
      </c>
    </row>
    <row r="27" spans="2:5">
      <c r="B27" s="23"/>
      <c r="C27" s="18" t="str">
        <f>"Total"</f>
        <v>Total</v>
      </c>
      <c r="D27" s="19">
        <v>1</v>
      </c>
      <c r="E27" s="20">
        <v>2.63E-2</v>
      </c>
    </row>
    <row r="28" spans="2:5">
      <c r="B28" s="21" t="str">
        <f>"MEXICO"</f>
        <v>MEXICO</v>
      </c>
      <c r="C28" s="1" t="str">
        <f>"IXTLAHUACA"</f>
        <v>IXTLAHUACA</v>
      </c>
      <c r="D28" s="2">
        <v>2</v>
      </c>
      <c r="E28" s="3">
        <v>5.2600000000000001E-2</v>
      </c>
    </row>
    <row r="29" spans="2:5">
      <c r="B29" s="23"/>
      <c r="C29" s="18" t="str">
        <f>"Total"</f>
        <v>Total</v>
      </c>
      <c r="D29" s="19">
        <v>2</v>
      </c>
      <c r="E29" s="20">
        <v>5.2600000000000001E-2</v>
      </c>
    </row>
    <row r="30" spans="2:5">
      <c r="B30" s="21" t="str">
        <f>"MICHOACAN DE OCAMPO"</f>
        <v>MICHOACAN DE OCAMPO</v>
      </c>
      <c r="C30" s="1" t="str">
        <f>"LAZARO CARDENAS"</f>
        <v>LAZARO CARDENAS</v>
      </c>
      <c r="D30" s="2">
        <v>1</v>
      </c>
      <c r="E30" s="3">
        <v>2.63E-2</v>
      </c>
    </row>
    <row r="31" spans="2:5">
      <c r="B31" s="22"/>
      <c r="C31" s="1" t="str">
        <f>"MORELIA"</f>
        <v>MORELIA</v>
      </c>
      <c r="D31" s="2">
        <v>3</v>
      </c>
      <c r="E31" s="3">
        <v>7.8899999999999998E-2</v>
      </c>
    </row>
    <row r="32" spans="2:5">
      <c r="B32" s="23"/>
      <c r="C32" s="18" t="str">
        <f>"Total"</f>
        <v>Total</v>
      </c>
      <c r="D32" s="19">
        <v>4</v>
      </c>
      <c r="E32" s="20">
        <v>0.1053</v>
      </c>
    </row>
    <row r="33" spans="2:5">
      <c r="B33" s="21" t="str">
        <f>"OAXACA"</f>
        <v>OAXACA</v>
      </c>
      <c r="C33" s="1" t="str">
        <f>"OAXACA DE JUAREZ"</f>
        <v>OAXACA DE JUAREZ</v>
      </c>
      <c r="D33" s="2">
        <v>3</v>
      </c>
      <c r="E33" s="3">
        <v>7.8899999999999998E-2</v>
      </c>
    </row>
    <row r="34" spans="2:5" ht="30">
      <c r="B34" s="22"/>
      <c r="C34" s="1" t="str">
        <f>"SANTO DOMINGO TOMALTEPEC"</f>
        <v>SANTO DOMINGO TOMALTEPEC</v>
      </c>
      <c r="D34" s="2">
        <v>1</v>
      </c>
      <c r="E34" s="3">
        <v>2.63E-2</v>
      </c>
    </row>
    <row r="35" spans="2:5">
      <c r="B35" s="22"/>
      <c r="C35" s="1" t="str">
        <f>"VILLA DE CHILAPA DE DIAZ"</f>
        <v>VILLA DE CHILAPA DE DIAZ</v>
      </c>
      <c r="D35" s="2">
        <v>1</v>
      </c>
      <c r="E35" s="3">
        <v>2.63E-2</v>
      </c>
    </row>
    <row r="36" spans="2:5">
      <c r="B36" s="23"/>
      <c r="C36" s="18" t="str">
        <f>"Total"</f>
        <v>Total</v>
      </c>
      <c r="D36" s="19">
        <v>5</v>
      </c>
      <c r="E36" s="20">
        <v>0.13159999999999999</v>
      </c>
    </row>
    <row r="37" spans="2:5">
      <c r="B37" s="21" t="str">
        <f t="shared" ref="B37" si="0">"PUEBLA"</f>
        <v>PUEBLA</v>
      </c>
      <c r="C37" s="1" t="str">
        <f>"ATLIXCO"</f>
        <v>ATLIXCO</v>
      </c>
      <c r="D37" s="2">
        <v>1</v>
      </c>
      <c r="E37" s="3">
        <v>2.63E-2</v>
      </c>
    </row>
    <row r="38" spans="2:5">
      <c r="B38" s="22"/>
      <c r="C38" s="1" t="str">
        <f>"HUAQUECHULA"</f>
        <v>HUAQUECHULA</v>
      </c>
      <c r="D38" s="2">
        <v>1</v>
      </c>
      <c r="E38" s="3">
        <v>2.63E-2</v>
      </c>
    </row>
    <row r="39" spans="2:5">
      <c r="B39" s="22"/>
      <c r="C39" s="1" t="str">
        <f>"PUEBLA"</f>
        <v>PUEBLA</v>
      </c>
      <c r="D39" s="2">
        <v>2</v>
      </c>
      <c r="E39" s="3">
        <v>5.2600000000000001E-2</v>
      </c>
    </row>
    <row r="40" spans="2:5">
      <c r="B40" s="22"/>
      <c r="C40" s="1" t="str">
        <f>"SAN ANDRES CHOLULA"</f>
        <v>SAN ANDRES CHOLULA</v>
      </c>
      <c r="D40" s="2">
        <v>1</v>
      </c>
      <c r="E40" s="3">
        <v>2.63E-2</v>
      </c>
    </row>
    <row r="41" spans="2:5">
      <c r="B41" s="22"/>
      <c r="C41" s="1" t="str">
        <f>"TEZIUTLAN"</f>
        <v>TEZIUTLAN</v>
      </c>
      <c r="D41" s="2">
        <v>1</v>
      </c>
      <c r="E41" s="3">
        <v>2.63E-2</v>
      </c>
    </row>
    <row r="42" spans="2:5">
      <c r="B42" s="23"/>
      <c r="C42" s="18" t="str">
        <f>"Total"</f>
        <v>Total</v>
      </c>
      <c r="D42" s="19">
        <v>6</v>
      </c>
      <c r="E42" s="20">
        <v>0.15790000000000001</v>
      </c>
    </row>
    <row r="43" spans="2:5">
      <c r="B43" s="21" t="str">
        <f>"SAN LUIS POTOSI"</f>
        <v>SAN LUIS POTOSI</v>
      </c>
      <c r="C43" s="1" t="str">
        <f>"CIUDAD DEL MAIZ"</f>
        <v>CIUDAD DEL MAIZ</v>
      </c>
      <c r="D43" s="2">
        <v>4</v>
      </c>
      <c r="E43" s="3">
        <v>0.1053</v>
      </c>
    </row>
    <row r="44" spans="2:5">
      <c r="B44" s="23"/>
      <c r="C44" s="18" t="str">
        <f>"Total"</f>
        <v>Total</v>
      </c>
      <c r="D44" s="19">
        <v>4</v>
      </c>
      <c r="E44" s="20">
        <v>0.1053</v>
      </c>
    </row>
    <row r="45" spans="2:5">
      <c r="B45" s="21" t="str">
        <f>"VERACRUZ DE IGNACIO DE LA LLAVE"</f>
        <v>VERACRUZ DE IGNACIO DE LA LLAVE</v>
      </c>
      <c r="C45" s="1" t="str">
        <f>"MINATITLAN"</f>
        <v>MINATITLAN</v>
      </c>
      <c r="D45" s="2">
        <v>1</v>
      </c>
      <c r="E45" s="3">
        <v>2.63E-2</v>
      </c>
    </row>
    <row r="46" spans="2:5">
      <c r="B46" s="23"/>
      <c r="C46" s="18" t="str">
        <f>"Total"</f>
        <v>Total</v>
      </c>
      <c r="D46" s="19">
        <v>1</v>
      </c>
      <c r="E46" s="20">
        <v>2.63E-2</v>
      </c>
    </row>
    <row r="47" spans="2:5">
      <c r="B47" s="21" t="str">
        <f>"ZACATECAS"</f>
        <v>ZACATECAS</v>
      </c>
      <c r="C47" s="1" t="str">
        <f>"CHALCHIHUITES"</f>
        <v>CHALCHIHUITES</v>
      </c>
      <c r="D47" s="2">
        <v>1</v>
      </c>
      <c r="E47" s="3">
        <v>2.63E-2</v>
      </c>
    </row>
    <row r="48" spans="2:5">
      <c r="B48" s="23"/>
      <c r="C48" s="18" t="str">
        <f>"Total"</f>
        <v>Total</v>
      </c>
      <c r="D48" s="19">
        <v>1</v>
      </c>
      <c r="E48" s="20">
        <v>2.63E-2</v>
      </c>
    </row>
    <row r="49" spans="2:5">
      <c r="B49" s="14" t="s">
        <v>5</v>
      </c>
      <c r="C49" s="15" t="str">
        <f>" "</f>
        <v> </v>
      </c>
      <c r="D49" s="16">
        <v>38</v>
      </c>
      <c r="E49" s="17">
        <v>1</v>
      </c>
    </row>
    <row r="51" spans="2:5" ht="16.5">
      <c r="B51" s="12" t="s">
        <v>6</v>
      </c>
      <c r="C51" s="13"/>
    </row>
    <row r="52" spans="2:5" ht="16.5">
      <c r="B52" s="12" t="s">
        <v>7</v>
      </c>
      <c r="C52" s="13"/>
    </row>
    <row r="53" spans="2:5" ht="16.5">
      <c r="B53" s="12" t="s">
        <v>8</v>
      </c>
      <c r="C53" s="13"/>
    </row>
    <row r="54" spans="2:5" ht="16.5">
      <c r="B54" s="12" t="s">
        <v>9</v>
      </c>
      <c r="C54" s="13"/>
    </row>
    <row r="55" spans="2:5">
      <c r="B55" s="12" t="s">
        <v>10</v>
      </c>
    </row>
  </sheetData>
  <mergeCells count="19">
    <mergeCell ref="B6:E7"/>
    <mergeCell ref="B8:B9"/>
    <mergeCell ref="C8:C9"/>
    <mergeCell ref="D8:D9"/>
    <mergeCell ref="E8:E9"/>
    <mergeCell ref="B10:B11"/>
    <mergeCell ref="B12:B13"/>
    <mergeCell ref="B14:B15"/>
    <mergeCell ref="B16:B19"/>
    <mergeCell ref="B20:B21"/>
    <mergeCell ref="B37:B42"/>
    <mergeCell ref="B43:B44"/>
    <mergeCell ref="B45:B46"/>
    <mergeCell ref="B47:B48"/>
    <mergeCell ref="B22:B25"/>
    <mergeCell ref="B26:B27"/>
    <mergeCell ref="B28:B29"/>
    <mergeCell ref="B30:B32"/>
    <mergeCell ref="B33:B36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easCAKGMPXJ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2012-03-09T17:49:43Z</dcterms:created>
  <dcterms:modified xsi:type="dcterms:W3CDTF">2012-03-15T20:22:48Z</dcterms:modified>
</cp:coreProperties>
</file>