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ISY8UO" sheetId="2" r:id="rId1"/>
  </sheets>
  <calcPr calcId="125725"/>
</workbook>
</file>

<file path=xl/calcChain.xml><?xml version="1.0" encoding="utf-8"?>
<calcChain xmlns="http://schemas.openxmlformats.org/spreadsheetml/2006/main">
  <c r="C39" i="2"/>
  <c r="C38"/>
  <c r="C37"/>
  <c r="B37"/>
  <c r="C36"/>
  <c r="C35"/>
  <c r="B35"/>
  <c r="C34"/>
  <c r="C33"/>
  <c r="B33"/>
  <c r="C32"/>
  <c r="C31"/>
  <c r="B31"/>
  <c r="C30"/>
  <c r="C29"/>
  <c r="C28"/>
  <c r="B28"/>
  <c r="C27"/>
  <c r="C26"/>
  <c r="C25"/>
  <c r="B25"/>
  <c r="C24"/>
  <c r="C23"/>
  <c r="B23"/>
  <c r="C22"/>
  <c r="C21"/>
  <c r="B21"/>
  <c r="C20"/>
  <c r="C19"/>
  <c r="B19"/>
  <c r="C18"/>
  <c r="C17"/>
  <c r="B17"/>
  <c r="C16"/>
  <c r="C15"/>
  <c r="C14"/>
  <c r="B14"/>
  <c r="C13"/>
  <c r="C12"/>
  <c r="B12"/>
  <c r="C11"/>
  <c r="C10"/>
  <c r="B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<sst xmlns="http://schemas.openxmlformats.org/spreadsheetml/2006/main" count="11" uniqueCount="11">
  <si>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</si>
  <si>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</si>
  <si>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</si>
  <si>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</si>
  <si>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</si>
  <si>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</si>
  <si>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</si>
  <si>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</si>
  <si>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</si>
  <si>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MAINE,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</si>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</sst>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0" fontId="13" fillId="36" borderId="10" xfId="0" applyFont="1" applyFill="1" applyBorder="1" applyAlignment="1">
      <alignment wrapText="1"/>
    </xf>
    <xf numFmtId="0" fontId="17" fillId="36" borderId="10" xfId="0" applyFont="1" applyFill="1" applyBorder="1" applyAlignment="1">
      <alignment horizontal="right" wrapText="1"/>
    </xf>
    <xf numFmtId="0" fontId="13" fillId="36" borderId="10" xfId="0" applyFont="1" applyFill="1" applyBorder="1" applyAlignment="1">
      <alignment horizontal="right" wrapText="1"/>
    </xf>
    <xf numFmtId="10" fontId="13" fillId="36" borderId="10" xfId="0" applyNumberFormat="1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5"/>
  <sheetViews>
    <sheetView showGridLines="0" tabSelected="1" workbookViewId="0">
      <selection activeCell="A7" sqref="A7"/>
    </sheetView>
  </sheetViews>
  <sheetFormatPr baseColWidth="10" defaultRowHeight="15"/>
  <cols>
    <col min="2" max="2" width="36.140625" customWidth="1"/>
    <col min="3" max="3" width="14.8554687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9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0" t="str">
        <f>"BAJA CALIFORNIA"</f>
        <v>BAJA CALIFORNIA</v>
      </c>
      <c r="C8" s="1" t="str">
        <f>"HOMBRE"</f>
        <v>HOMBRE</v>
      </c>
      <c r="D8" s="2">
        <v>1</v>
      </c>
      <c r="E8" s="3">
        <v>2.63E-2</v>
      </c>
    </row>
    <row r="9" spans="2:7">
      <c r="B9" s="21"/>
      <c r="C9" s="13" t="str">
        <f>"Total"</f>
        <v>Total</v>
      </c>
      <c r="D9" s="14">
        <v>1</v>
      </c>
      <c r="E9" s="19">
        <v>2.63E-2</v>
      </c>
    </row>
    <row r="10" spans="2:7">
      <c r="B10" s="20" t="str">
        <f>"CHIAPAS"</f>
        <v>CHIAPAS</v>
      </c>
      <c r="C10" s="1" t="str">
        <f>"HOMBRE"</f>
        <v>HOMBRE</v>
      </c>
      <c r="D10" s="2">
        <v>1</v>
      </c>
      <c r="E10" s="3">
        <v>2.63E-2</v>
      </c>
    </row>
    <row r="11" spans="2:7">
      <c r="B11" s="21"/>
      <c r="C11" s="13" t="str">
        <f>"Total"</f>
        <v>Total</v>
      </c>
      <c r="D11" s="14">
        <v>1</v>
      </c>
      <c r="E11" s="19">
        <v>2.63E-2</v>
      </c>
    </row>
    <row r="12" spans="2:7">
      <c r="B12" s="20" t="str">
        <f>"CHIHUAHUA"</f>
        <v>CHIHUAHUA</v>
      </c>
      <c r="C12" s="1" t="str">
        <f>"HOMBRE"</f>
        <v>HOMBRE</v>
      </c>
      <c r="D12" s="2">
        <v>1</v>
      </c>
      <c r="E12" s="3">
        <v>2.63E-2</v>
      </c>
    </row>
    <row r="13" spans="2:7">
      <c r="B13" s="21"/>
      <c r="C13" s="13" t="str">
        <f>"Total"</f>
        <v>Total</v>
      </c>
      <c r="D13" s="14">
        <v>1</v>
      </c>
      <c r="E13" s="19">
        <v>2.63E-2</v>
      </c>
    </row>
    <row r="14" spans="2:7">
      <c r="B14" s="20" t="str">
        <f>"COLIMA"</f>
        <v>COLIMA</v>
      </c>
      <c r="C14" s="1" t="str">
        <f>"HOMBRE"</f>
        <v>HOMBRE</v>
      </c>
      <c r="D14" s="2">
        <v>3</v>
      </c>
      <c r="E14" s="3">
        <v>7.8899999999999998E-2</v>
      </c>
    </row>
    <row r="15" spans="2:7">
      <c r="B15" s="22"/>
      <c r="C15" s="1" t="str">
        <f>"MUJER"</f>
        <v>MUJER</v>
      </c>
      <c r="D15" s="2">
        <v>1</v>
      </c>
      <c r="E15" s="3">
        <v>2.63E-2</v>
      </c>
    </row>
    <row r="16" spans="2:7">
      <c r="B16" s="21"/>
      <c r="C16" s="13" t="str">
        <f>"Total"</f>
        <v>Total</v>
      </c>
      <c r="D16" s="14">
        <v>4</v>
      </c>
      <c r="E16" s="19">
        <v>0.1053</v>
      </c>
    </row>
    <row r="17" spans="2:5">
      <c r="B17" s="20" t="str">
        <f>"DISTRITO FEDERAL"</f>
        <v>DISTRITO FEDERAL</v>
      </c>
      <c r="C17" s="1" t="str">
        <f>"HOMBRE"</f>
        <v>HOMBRE</v>
      </c>
      <c r="D17" s="2">
        <v>2</v>
      </c>
      <c r="E17" s="3">
        <v>5.2600000000000001E-2</v>
      </c>
    </row>
    <row r="18" spans="2:5">
      <c r="B18" s="21"/>
      <c r="C18" s="13" t="str">
        <f>"Total"</f>
        <v>Total</v>
      </c>
      <c r="D18" s="14">
        <v>2</v>
      </c>
      <c r="E18" s="19">
        <v>5.2600000000000001E-2</v>
      </c>
    </row>
    <row r="19" spans="2:5">
      <c r="B19" s="20" t="str">
        <f>"GUANAJUATO"</f>
        <v>GUANAJUATO</v>
      </c>
      <c r="C19" s="1" t="str">
        <f>"HOMBRE"</f>
        <v>HOMBRE</v>
      </c>
      <c r="D19" s="2">
        <v>5</v>
      </c>
      <c r="E19" s="3">
        <v>0.13159999999999999</v>
      </c>
    </row>
    <row r="20" spans="2:5">
      <c r="B20" s="21"/>
      <c r="C20" s="13" t="str">
        <f>"Total"</f>
        <v>Total</v>
      </c>
      <c r="D20" s="14">
        <v>5</v>
      </c>
      <c r="E20" s="19">
        <v>0.13159999999999999</v>
      </c>
    </row>
    <row r="21" spans="2:5">
      <c r="B21" s="20" t="str">
        <f>"JALISCO"</f>
        <v>JALISCO</v>
      </c>
      <c r="C21" s="1" t="str">
        <f>"MUJER"</f>
        <v>MUJER</v>
      </c>
      <c r="D21" s="2">
        <v>1</v>
      </c>
      <c r="E21" s="3">
        <v>2.63E-2</v>
      </c>
    </row>
    <row r="22" spans="2:5">
      <c r="B22" s="21"/>
      <c r="C22" s="13" t="str">
        <f>"Total"</f>
        <v>Total</v>
      </c>
      <c r="D22" s="14">
        <v>1</v>
      </c>
      <c r="E22" s="19">
        <v>2.63E-2</v>
      </c>
    </row>
    <row r="23" spans="2:5">
      <c r="B23" s="20" t="str">
        <f>"MEXICO"</f>
        <v>MEXICO</v>
      </c>
      <c r="C23" s="1" t="str">
        <f>"HOMBRE"</f>
        <v>HOMBRE</v>
      </c>
      <c r="D23" s="2">
        <v>2</v>
      </c>
      <c r="E23" s="3">
        <v>5.2600000000000001E-2</v>
      </c>
    </row>
    <row r="24" spans="2:5">
      <c r="B24" s="21"/>
      <c r="C24" s="13" t="str">
        <f>"Total"</f>
        <v>Total</v>
      </c>
      <c r="D24" s="14">
        <v>2</v>
      </c>
      <c r="E24" s="19">
        <v>5.2600000000000001E-2</v>
      </c>
    </row>
    <row r="25" spans="2:5">
      <c r="B25" s="20" t="str">
        <f>"MICHOACAN DE OCAMPO"</f>
        <v>MICHOACAN DE OCAMPO</v>
      </c>
      <c r="C25" s="1" t="str">
        <f>"HOMBRE"</f>
        <v>HOMBRE</v>
      </c>
      <c r="D25" s="2">
        <v>1</v>
      </c>
      <c r="E25" s="3">
        <v>2.63E-2</v>
      </c>
    </row>
    <row r="26" spans="2:5">
      <c r="B26" s="22"/>
      <c r="C26" s="1" t="str">
        <f>"MUJER"</f>
        <v>MUJER</v>
      </c>
      <c r="D26" s="2">
        <v>3</v>
      </c>
      <c r="E26" s="3">
        <v>7.8899999999999998E-2</v>
      </c>
    </row>
    <row r="27" spans="2:5">
      <c r="B27" s="21"/>
      <c r="C27" s="13" t="str">
        <f>"Total"</f>
        <v>Total</v>
      </c>
      <c r="D27" s="14">
        <v>4</v>
      </c>
      <c r="E27" s="19">
        <v>0.1053</v>
      </c>
    </row>
    <row r="28" spans="2:5">
      <c r="B28" s="20" t="str">
        <f>"OAXACA"</f>
        <v>OAXACA</v>
      </c>
      <c r="C28" s="1" t="str">
        <f>"HOMBRE"</f>
        <v>HOMBRE</v>
      </c>
      <c r="D28" s="2">
        <v>4</v>
      </c>
      <c r="E28" s="3">
        <v>0.1053</v>
      </c>
    </row>
    <row r="29" spans="2:5">
      <c r="B29" s="22"/>
      <c r="C29" s="1" t="str">
        <f>"MUJER"</f>
        <v>MUJER</v>
      </c>
      <c r="D29" s="2">
        <v>1</v>
      </c>
      <c r="E29" s="3">
        <v>2.63E-2</v>
      </c>
    </row>
    <row r="30" spans="2:5">
      <c r="B30" s="21"/>
      <c r="C30" s="13" t="str">
        <f>"Total"</f>
        <v>Total</v>
      </c>
      <c r="D30" s="14">
        <v>5</v>
      </c>
      <c r="E30" s="19">
        <v>0.13159999999999999</v>
      </c>
    </row>
    <row r="31" spans="2:5">
      <c r="B31" s="20" t="str">
        <f>"PUEBLA"</f>
        <v>PUEBLA</v>
      </c>
      <c r="C31" s="1" t="str">
        <f>"HOMBRE"</f>
        <v>HOMBRE</v>
      </c>
      <c r="D31" s="2">
        <v>6</v>
      </c>
      <c r="E31" s="3">
        <v>0.15790000000000001</v>
      </c>
    </row>
    <row r="32" spans="2:5">
      <c r="B32" s="21"/>
      <c r="C32" s="13" t="str">
        <f>"Total"</f>
        <v>Total</v>
      </c>
      <c r="D32" s="14">
        <v>6</v>
      </c>
      <c r="E32" s="19">
        <v>0.15790000000000001</v>
      </c>
    </row>
    <row r="33" spans="2:5">
      <c r="B33" s="20" t="str">
        <f>"SAN LUIS POTOSI"</f>
        <v>SAN LUIS POTOSI</v>
      </c>
      <c r="C33" s="1" t="str">
        <f>"HOMBRE"</f>
        <v>HOMBRE</v>
      </c>
      <c r="D33" s="2">
        <v>4</v>
      </c>
      <c r="E33" s="3">
        <v>0.1053</v>
      </c>
    </row>
    <row r="34" spans="2:5">
      <c r="B34" s="21"/>
      <c r="C34" s="13" t="str">
        <f>"Total"</f>
        <v>Total</v>
      </c>
      <c r="D34" s="14">
        <v>4</v>
      </c>
      <c r="E34" s="19">
        <v>0.1053</v>
      </c>
    </row>
    <row r="35" spans="2:5">
      <c r="B35" s="20" t="str">
        <f>"VERACRUZ DE IGNACIO DE LA LLAVE"</f>
        <v>VERACRUZ DE IGNACIO DE LA LLAVE</v>
      </c>
      <c r="C35" s="1" t="str">
        <f>"HOMBRE"</f>
        <v>HOMBRE</v>
      </c>
      <c r="D35" s="2">
        <v>1</v>
      </c>
      <c r="E35" s="3">
        <v>2.63E-2</v>
      </c>
    </row>
    <row r="36" spans="2:5">
      <c r="B36" s="21"/>
      <c r="C36" s="13" t="str">
        <f>"Total"</f>
        <v>Total</v>
      </c>
      <c r="D36" s="14">
        <v>1</v>
      </c>
      <c r="E36" s="19">
        <v>2.63E-2</v>
      </c>
    </row>
    <row r="37" spans="2:5">
      <c r="B37" s="20" t="str">
        <f>"ZACATECAS"</f>
        <v>ZACATECAS</v>
      </c>
      <c r="C37" s="1" t="str">
        <f>"HOMBRE"</f>
        <v>HOMBRE</v>
      </c>
      <c r="D37" s="2">
        <v>1</v>
      </c>
      <c r="E37" s="3">
        <v>2.63E-2</v>
      </c>
    </row>
    <row r="38" spans="2:5">
      <c r="B38" s="21"/>
      <c r="C38" s="13" t="str">
        <f>"Total"</f>
        <v>Total</v>
      </c>
      <c r="D38" s="14">
        <v>1</v>
      </c>
      <c r="E38" s="19">
        <v>2.63E-2</v>
      </c>
    </row>
    <row r="39" spans="2:5">
      <c r="B39" s="15" t="s">
        <v>2</v>
      </c>
      <c r="C39" s="16" t="str">
        <f>" "</f>
        <v> </v>
      </c>
      <c r="D39" s="17">
        <v>38</v>
      </c>
      <c r="E39" s="18">
        <v>1</v>
      </c>
    </row>
    <row r="41" spans="2:5" ht="16.5">
      <c r="B41" s="4" t="s">
        <v>3</v>
      </c>
      <c r="C41" s="5"/>
      <c r="D41" s="6"/>
      <c r="E41" s="6"/>
    </row>
    <row r="42" spans="2:5" ht="16.5">
      <c r="B42" s="4" t="s">
        <v>4</v>
      </c>
      <c r="C42" s="5"/>
      <c r="D42" s="6"/>
      <c r="E42" s="6"/>
    </row>
    <row r="43" spans="2:5" ht="16.5">
      <c r="B43" s="4" t="s">
        <v>5</v>
      </c>
      <c r="C43" s="5"/>
      <c r="D43" s="6"/>
      <c r="E43" s="6"/>
    </row>
    <row r="44" spans="2:5" ht="16.5">
      <c r="B44" s="4" t="s">
        <v>6</v>
      </c>
      <c r="C44" s="5"/>
      <c r="D44" s="6"/>
      <c r="E44" s="6"/>
    </row>
    <row r="45" spans="2:5">
      <c r="B45" s="4" t="s">
        <v>10</v>
      </c>
    </row>
  </sheetData>
  <mergeCells count="15">
    <mergeCell ref="B4:E5"/>
    <mergeCell ref="B8:B9"/>
    <mergeCell ref="B10:B11"/>
    <mergeCell ref="B12:B13"/>
    <mergeCell ref="B14:B16"/>
    <mergeCell ref="B17:B18"/>
    <mergeCell ref="B19:B20"/>
    <mergeCell ref="B21:B22"/>
    <mergeCell ref="B35:B36"/>
    <mergeCell ref="B37:B38"/>
    <mergeCell ref="B23:B24"/>
    <mergeCell ref="B25:B27"/>
    <mergeCell ref="B28:B30"/>
    <mergeCell ref="B31:B32"/>
    <mergeCell ref="B33:B34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easCAISY8UO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2012-02-27T20:09:54Z</dcterms:created>
  <dcterms:modified xsi:type="dcterms:W3CDTF">2012-03-15T19:28:29Z</dcterms:modified>
</cp:coreProperties>
</file>