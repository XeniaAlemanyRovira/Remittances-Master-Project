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11880" windowHeight="7320" firstSheet="5" activeTab="8"/>
  </bookViews>
  <sheets>
    <sheet name="Índice" sheetId="1" r:id="rId1"/>
    <sheet name="Missouri_Edomexgral" sheetId="2" r:id="rId2"/>
    <sheet name="Missouri_EDOMEX" sheetId="11" r:id="rId3"/>
    <sheet name="Missouri_Educagral" sheetId="4" r:id="rId4"/>
    <sheet name="Missouri_Eduedo" sheetId="10" r:id="rId5"/>
    <sheet name="Missouri_gengral" sheetId="6" r:id="rId6"/>
    <sheet name="Missouri_edomexgen" sheetId="7" r:id="rId7"/>
    <sheet name="Missouri_edadgen" sheetId="8" r:id="rId8"/>
    <sheet name="Missouri_ocupgral" sheetId="9" r:id="rId9"/>
  </sheets>
  <definedNames>
    <definedName name="_xlnm._FilterDatabase" localSheetId="7" hidden="1">Missouri_edadgen!$B$9:$E$9</definedName>
    <definedName name="_xlnm._FilterDatabase" localSheetId="2" hidden="1">Missouri_EDOMEX!$B$9:$E$9</definedName>
    <definedName name="_xlnm._FilterDatabase" localSheetId="6" hidden="1">Missouri_edomexgen!$B$9:$E$9</definedName>
    <definedName name="_xlnm._FilterDatabase" localSheetId="1" hidden="1">Missouri_Edomexgral!$B$11:$D$11</definedName>
    <definedName name="_xlnm._FilterDatabase" localSheetId="3" hidden="1">Missouri_Educagral!$B$11:$D$11</definedName>
    <definedName name="_xlnm._FilterDatabase" localSheetId="4" hidden="1">Missouri_Eduedo!$B$9:$E$9</definedName>
    <definedName name="_xlnm._FilterDatabase" localSheetId="5" hidden="1">Missouri_gengral!$B$11:$D$11</definedName>
    <definedName name="_xlnm._FilterDatabase" localSheetId="8" hidden="1">Missouri_ocupgral!$B$11:$D$11</definedName>
    <definedName name="_xlnm.Print_Area" localSheetId="7">Missouri_edadgen!$A$1:$E$9</definedName>
    <definedName name="_xlnm.Print_Area" localSheetId="2">Missouri_EDOMEX!$A$1:$E$9</definedName>
    <definedName name="_xlnm.Print_Area" localSheetId="6">Missouri_edomexgen!$A$1:$E$9</definedName>
    <definedName name="_xlnm.Print_Area" localSheetId="4">Missouri_Eduedo!$A$1:$E$9</definedName>
    <definedName name="_xlnm.Print_Titles" localSheetId="7">Missouri_edadgen!$1:$9</definedName>
    <definedName name="_xlnm.Print_Titles" localSheetId="2">Missouri_EDOMEX!$1:$9</definedName>
    <definedName name="_xlnm.Print_Titles" localSheetId="6">Missouri_edomexgen!$1:$9</definedName>
    <definedName name="_xlnm.Print_Titles" localSheetId="1">Missouri_Edomexgral!$1:$11</definedName>
    <definedName name="_xlnm.Print_Titles" localSheetId="3">Missouri_Educagral!$1:$11</definedName>
    <definedName name="_xlnm.Print_Titles" localSheetId="4">Missouri_Eduedo!$1:$9</definedName>
    <definedName name="_xlnm.Print_Titles" localSheetId="5">Missouri_gengral!$1:$11</definedName>
    <definedName name="_xlnm.Print_Titles" localSheetId="8">Missouri_ocupgral!$1:$11</definedName>
  </definedNames>
  <calcPr calcId="152511"/>
</workbook>
</file>

<file path=xl/calcChain.xml><?xml version="1.0" encoding="utf-8"?>
<calcChain xmlns="http://schemas.openxmlformats.org/spreadsheetml/2006/main">
  <c r="D100" i="7" l="1"/>
  <c r="D662" i="11" l="1"/>
</calcChain>
</file>

<file path=xl/sharedStrings.xml><?xml version="1.0" encoding="utf-8"?>
<sst xmlns="http://schemas.openxmlformats.org/spreadsheetml/2006/main" count="1382" uniqueCount="703">
  <si>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</si>
  <si>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</si>
  <si>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</si>
  <si>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</si>
  <si>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</si>
  <si>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</si>
  <si>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</si>
  <si>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</si>
  <si>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</si>
  <si>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</si>
  <si>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</si>
  <si>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</si>
  <si>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</si>
  <si>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</si>
  <si>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</si>
  <si>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</si>
  <si>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</si>
  <si>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Sonora</t>
  </si>
  <si>
    <t>Nayarit</t>
  </si>
  <si>
    <t>Campeche</t>
  </si>
  <si>
    <t>Baja California</t>
  </si>
  <si>
    <t>Colima</t>
  </si>
  <si>
    <t>Tabasco</t>
  </si>
  <si>
    <t>Sinaloa</t>
  </si>
  <si>
    <t>Querétaro</t>
  </si>
  <si>
    <t>Aguascalientes</t>
  </si>
  <si>
    <t>Nuevo León</t>
  </si>
  <si>
    <t>Morelos</t>
  </si>
  <si>
    <t>Tlaxcala</t>
  </si>
  <si>
    <t>Coahuila</t>
  </si>
  <si>
    <t>Tamaulipas</t>
  </si>
  <si>
    <t>Chiapas</t>
  </si>
  <si>
    <t>Hidalgo</t>
  </si>
  <si>
    <t>San Luis Potosí</t>
  </si>
  <si>
    <t>Zacatecas</t>
  </si>
  <si>
    <t>Puebla</t>
  </si>
  <si>
    <t>Durango</t>
  </si>
  <si>
    <t>Ciudad de México</t>
  </si>
  <si>
    <t>Jalisco</t>
  </si>
  <si>
    <t>Veracruz</t>
  </si>
  <si>
    <t>Guanajuato</t>
  </si>
  <si>
    <t>Estado de México</t>
  </si>
  <si>
    <t>Oaxaca</t>
  </si>
  <si>
    <t>Guerrero</t>
  </si>
  <si>
    <t>Chihuahua</t>
  </si>
  <si>
    <t>Michoacán</t>
  </si>
  <si>
    <t>Porcentaje de Matrículas</t>
  </si>
  <si>
    <t>Número de Matrículas</t>
  </si>
  <si>
    <t>Estado de Origen</t>
  </si>
  <si>
    <t>Villanueva</t>
  </si>
  <si>
    <t>Valparaíso</t>
  </si>
  <si>
    <t>Sombrerete</t>
  </si>
  <si>
    <t>Sain Alto</t>
  </si>
  <si>
    <t>Río Grande</t>
  </si>
  <si>
    <t>Pinos</t>
  </si>
  <si>
    <t>Ojocaliente</t>
  </si>
  <si>
    <t>Noria de Ángeles</t>
  </si>
  <si>
    <t>Monte Escobedo</t>
  </si>
  <si>
    <t>Jerez</t>
  </si>
  <si>
    <t>Jalpa</t>
  </si>
  <si>
    <t>Guadalupe</t>
  </si>
  <si>
    <t>General Francisco R. Murguía</t>
  </si>
  <si>
    <t>Fresnillo</t>
  </si>
  <si>
    <t>Calera</t>
  </si>
  <si>
    <t>Xalapa</t>
  </si>
  <si>
    <t>Tres Valles</t>
  </si>
  <si>
    <t>Tlacotalpan</t>
  </si>
  <si>
    <t>Tierra Blanca</t>
  </si>
  <si>
    <t>Tepetzintla</t>
  </si>
  <si>
    <t>Soledad de Doblado</t>
  </si>
  <si>
    <t>Santiago Tuxtla</t>
  </si>
  <si>
    <t>San Andrés Tuxtla</t>
  </si>
  <si>
    <t>Poza Rica de Hidalgo</t>
  </si>
  <si>
    <t>Playa Vicente</t>
  </si>
  <si>
    <t>Misantla</t>
  </si>
  <si>
    <t>Minatitlán</t>
  </si>
  <si>
    <t>Medellín de Bravo</t>
  </si>
  <si>
    <t>Martínez de la Torre</t>
  </si>
  <si>
    <t>Lerdo de Tejada</t>
  </si>
  <si>
    <t>Las Choapas</t>
  </si>
  <si>
    <t>Juan Rodríguez Clara</t>
  </si>
  <si>
    <t>José Azueta</t>
  </si>
  <si>
    <t>Jesús Carranza</t>
  </si>
  <si>
    <t>Jáltipan</t>
  </si>
  <si>
    <t>Isla</t>
  </si>
  <si>
    <t>Ignacio de la Llave</t>
  </si>
  <si>
    <t>Hidalgotitlán</t>
  </si>
  <si>
    <t>Fortín</t>
  </si>
  <si>
    <t>Cuichapa</t>
  </si>
  <si>
    <t>Cosamaloapan de Carpio</t>
  </si>
  <si>
    <t>Córdoba</t>
  </si>
  <si>
    <t>Coatzacoalcos</t>
  </si>
  <si>
    <t>Coatepec</t>
  </si>
  <si>
    <t>Calcahualco</t>
  </si>
  <si>
    <t>Actopan</t>
  </si>
  <si>
    <t>Acayucan</t>
  </si>
  <si>
    <t>Teolocholco</t>
  </si>
  <si>
    <t>San Francisco Tetlanohcan</t>
  </si>
  <si>
    <t>La Magdalena Tlaltelulco</t>
  </si>
  <si>
    <t>Ixtacuixtla de Mariano Matamoros</t>
  </si>
  <si>
    <t>Huamantla</t>
  </si>
  <si>
    <t>Chiautempan</t>
  </si>
  <si>
    <t>Apizaco</t>
  </si>
  <si>
    <t>Victoria</t>
  </si>
  <si>
    <t>Tampico</t>
  </si>
  <si>
    <t>Río Bravo</t>
  </si>
  <si>
    <t>Reynosa</t>
  </si>
  <si>
    <t>Palmillas</t>
  </si>
  <si>
    <t>Ocampo</t>
  </si>
  <si>
    <t>Nuevo Laredo</t>
  </si>
  <si>
    <t>Matamoros</t>
  </si>
  <si>
    <t>Jiménez</t>
  </si>
  <si>
    <t>Jaumave</t>
  </si>
  <si>
    <t>Gustavo Díaz Ordaz</t>
  </si>
  <si>
    <t>González</t>
  </si>
  <si>
    <t>El Mante</t>
  </si>
  <si>
    <t>Ciudad Madero</t>
  </si>
  <si>
    <t>Altamira</t>
  </si>
  <si>
    <t>Huimanguillo</t>
  </si>
  <si>
    <t>Cunduacán</t>
  </si>
  <si>
    <t>Centro</t>
  </si>
  <si>
    <t>Cárdenas</t>
  </si>
  <si>
    <t>Balancán</t>
  </si>
  <si>
    <t>Tepache</t>
  </si>
  <si>
    <t>Hermosillo</t>
  </si>
  <si>
    <t>Cajeme</t>
  </si>
  <si>
    <t>Caborca</t>
  </si>
  <si>
    <t>Mazatlán</t>
  </si>
  <si>
    <t>Guasave</t>
  </si>
  <si>
    <t>Culiacán</t>
  </si>
  <si>
    <t>Ahome</t>
  </si>
  <si>
    <t>Zaragoza</t>
  </si>
  <si>
    <t>Xilitla</t>
  </si>
  <si>
    <t>Tierra Nueva</t>
  </si>
  <si>
    <t>Tamazunchale</t>
  </si>
  <si>
    <t>Tamasopo</t>
  </si>
  <si>
    <t>Santo Domingo</t>
  </si>
  <si>
    <t>Santa María del Río</t>
  </si>
  <si>
    <t>Salinas</t>
  </si>
  <si>
    <t>Rioverde</t>
  </si>
  <si>
    <t>Ciudad Valles</t>
  </si>
  <si>
    <t>Axtla de Terrazas</t>
  </si>
  <si>
    <t>Aquismón</t>
  </si>
  <si>
    <t>Ahualulco</t>
  </si>
  <si>
    <t>Benito Juárez</t>
  </si>
  <si>
    <t>San Juan del Río</t>
  </si>
  <si>
    <t>Pinal de Amoles</t>
  </si>
  <si>
    <t>Pedro Escobedo</t>
  </si>
  <si>
    <t>Huimilpan</t>
  </si>
  <si>
    <t>Cadereyta de Montes</t>
  </si>
  <si>
    <t>Amealco de Bonfil</t>
  </si>
  <si>
    <t>Zapotitlán</t>
  </si>
  <si>
    <t>Tlapacoya</t>
  </si>
  <si>
    <t>Tepeaca</t>
  </si>
  <si>
    <t>Tecamachalco</t>
  </si>
  <si>
    <t>Tecali de Herrera</t>
  </si>
  <si>
    <t>Santo Tomás Hueyotlipan</t>
  </si>
  <si>
    <t>San Pedro Cholula</t>
  </si>
  <si>
    <t>San Martín Texmelucan</t>
  </si>
  <si>
    <t>Quimixtlán</t>
  </si>
  <si>
    <t>Libres</t>
  </si>
  <si>
    <t>Jopala</t>
  </si>
  <si>
    <t>Izúcar de Matamoros</t>
  </si>
  <si>
    <t>Ixtacamaxtitlán</t>
  </si>
  <si>
    <t>Huauchinango</t>
  </si>
  <si>
    <t>Cuetzalan del Progreso</t>
  </si>
  <si>
    <t>Chietla</t>
  </si>
  <si>
    <t>Caltepec</t>
  </si>
  <si>
    <t>Atlixco</t>
  </si>
  <si>
    <t>Acajete</t>
  </si>
  <si>
    <t>Zimatlán de Álvarez</t>
  </si>
  <si>
    <t>Villa Hidalgo</t>
  </si>
  <si>
    <t>Villa de Tututepec de Melchor Ocampo</t>
  </si>
  <si>
    <t>Tlacolula de Matamoros</t>
  </si>
  <si>
    <t>Tezoatlán de Segura y Luna</t>
  </si>
  <si>
    <t>Tataltepec de Valdés</t>
  </si>
  <si>
    <t>Santos Reyes Nopala</t>
  </si>
  <si>
    <t>Santo Domingo Tehuantepec</t>
  </si>
  <si>
    <t>Santo Domingo Nuxaá</t>
  </si>
  <si>
    <t>Santiago Yaitepec</t>
  </si>
  <si>
    <t>Santiago Pinotepa Nacional</t>
  </si>
  <si>
    <t>Santiago Llano Grande</t>
  </si>
  <si>
    <t>Santiago Jamiltepec</t>
  </si>
  <si>
    <t>Santa María Yolotepec</t>
  </si>
  <si>
    <t>Santa María Tonameca</t>
  </si>
  <si>
    <t>Santa María Colotepec</t>
  </si>
  <si>
    <t>Santa Cruz Mixtepec</t>
  </si>
  <si>
    <t>Santa Catarina Juquila</t>
  </si>
  <si>
    <t>San Sebastián Ixcapa</t>
  </si>
  <si>
    <t>San Pedro Sochiápam</t>
  </si>
  <si>
    <t>San Pedro Pochutla</t>
  </si>
  <si>
    <t>San Pedro Mixtepec - Distr. 22 -</t>
  </si>
  <si>
    <t>San Miguel Panixtlahuaca</t>
  </si>
  <si>
    <t>San Juan Lachao</t>
  </si>
  <si>
    <t>San Juan Cotzocón</t>
  </si>
  <si>
    <t>San Juan Bautista Tuxtepec</t>
  </si>
  <si>
    <t>San Jerónimo Coatlán</t>
  </si>
  <si>
    <t>San Agustín Loxicha</t>
  </si>
  <si>
    <t>Oaxaca de Juárez</t>
  </si>
  <si>
    <t>Miahuatlán de Porfirio Díaz</t>
  </si>
  <si>
    <t>Matías Romero Avendaño</t>
  </si>
  <si>
    <t>Magdalena Tequisistlán</t>
  </si>
  <si>
    <t>Loma Bonita</t>
  </si>
  <si>
    <t>La Compañía</t>
  </si>
  <si>
    <t>Heroica Ciudad de Juchitán de Zaragoza</t>
  </si>
  <si>
    <t>Heroica Ciudad de Ejutla de Crespo</t>
  </si>
  <si>
    <t>San Pedro Garza García</t>
  </si>
  <si>
    <t>San Nicolás de los Garza</t>
  </si>
  <si>
    <t>Monterrey</t>
  </si>
  <si>
    <t>Abasolo</t>
  </si>
  <si>
    <t>Tepic</t>
  </si>
  <si>
    <t>Tecuala</t>
  </si>
  <si>
    <t>Santiago Ixcuintla</t>
  </si>
  <si>
    <t>Rosamorada</t>
  </si>
  <si>
    <t>Acaponeta</t>
  </si>
  <si>
    <t>Zacatepec</t>
  </si>
  <si>
    <t>Yecapixtla</t>
  </si>
  <si>
    <t>Yautepec</t>
  </si>
  <si>
    <t>Tlaquiltenango</t>
  </si>
  <si>
    <t>Tepoztlán</t>
  </si>
  <si>
    <t>Temixco</t>
  </si>
  <si>
    <t>Ocuituco</t>
  </si>
  <si>
    <t>Miacatlán</t>
  </si>
  <si>
    <t>Jojutla</t>
  </si>
  <si>
    <t>Jiutepec</t>
  </si>
  <si>
    <t>Cuernavaca</t>
  </si>
  <si>
    <t>Cuautla</t>
  </si>
  <si>
    <t>Ayala</t>
  </si>
  <si>
    <t>Zitácuaro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</si>
  <si>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</si>
  <si>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</si>
  <si>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</si>
  <si>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</si>
  <si>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</si>
  <si>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</si>
  <si>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</si>
  <si>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Tuzantla</t>
  </si>
  <si>
    <t>Tuxpan</t>
  </si>
  <si>
    <t>Tocumbo</t>
  </si>
  <si>
    <t>Tlalpujahua</t>
  </si>
  <si>
    <t>Tiquicheo de Nicolás Romero</t>
  </si>
  <si>
    <t>Tepalcatepec</t>
  </si>
  <si>
    <t>Tangamandapio</t>
  </si>
  <si>
    <t>Senguio</t>
  </si>
  <si>
    <t>Puruándiro</t>
  </si>
  <si>
    <t>Paracho</t>
  </si>
  <si>
    <t>Panindícuaro</t>
  </si>
  <si>
    <t>Pajacuarán</t>
  </si>
  <si>
    <t>Nuevo Parangaricutiro</t>
  </si>
  <si>
    <t>Nahuatzen</t>
  </si>
  <si>
    <t>Morelia</t>
  </si>
  <si>
    <t>Maravatío</t>
  </si>
  <si>
    <t>Lázaro Cárdenas</t>
  </si>
  <si>
    <t>La Piedad</t>
  </si>
  <si>
    <t>Jacona</t>
  </si>
  <si>
    <t>Irimbo</t>
  </si>
  <si>
    <t>Huetamo</t>
  </si>
  <si>
    <t>Huaniqueo</t>
  </si>
  <si>
    <t>Huandacareo</t>
  </si>
  <si>
    <t>Erongarícuaro</t>
  </si>
  <si>
    <t>Epitacio Huerta</t>
  </si>
  <si>
    <t>Copándaro</t>
  </si>
  <si>
    <t>Cherán</t>
  </si>
  <si>
    <t>Buenavista</t>
  </si>
  <si>
    <t>Briseñas</t>
  </si>
  <si>
    <t>Ario</t>
  </si>
  <si>
    <t>Aquila</t>
  </si>
  <si>
    <t>Apatzingán</t>
  </si>
  <si>
    <t>Aguililla</t>
  </si>
  <si>
    <t>Acuitzio</t>
  </si>
  <si>
    <t>Zapotlanejo</t>
  </si>
  <si>
    <t>Zapotlán el Grande</t>
  </si>
  <si>
    <t>Zapopan</t>
  </si>
  <si>
    <t>Villa Purificación</t>
  </si>
  <si>
    <t>Unión de San Antonio</t>
  </si>
  <si>
    <t>Tepatitlán de Morelos</t>
  </si>
  <si>
    <t>Teocaltiche</t>
  </si>
  <si>
    <t>Tecalitlán</t>
  </si>
  <si>
    <t>Tala</t>
  </si>
  <si>
    <t>San Miguel el Alto</t>
  </si>
  <si>
    <t>San Juan de los Lagos</t>
  </si>
  <si>
    <t>Puerto Vallarta</t>
  </si>
  <si>
    <t>Lagos de Moreno</t>
  </si>
  <si>
    <t>La Barca</t>
  </si>
  <si>
    <t>Jocotepec</t>
  </si>
  <si>
    <t>Jesús María</t>
  </si>
  <si>
    <t>Jamay</t>
  </si>
  <si>
    <t>Guadalajara</t>
  </si>
  <si>
    <t>Gómez Farías</t>
  </si>
  <si>
    <t>Encarnación de Díaz</t>
  </si>
  <si>
    <t>Degollado</t>
  </si>
  <si>
    <t>Casimiro Castillo</t>
  </si>
  <si>
    <t>Atotonilco el Alto</t>
  </si>
  <si>
    <t>Arandas</t>
  </si>
  <si>
    <t>Ahualulco de Mercado</t>
  </si>
  <si>
    <t>Acatic</t>
  </si>
  <si>
    <t>Zacualtipán de Ángeles</t>
  </si>
  <si>
    <t>Tulancingo de Bravo</t>
  </si>
  <si>
    <t>Tula de Allende</t>
  </si>
  <si>
    <t>Tlahuiltepa</t>
  </si>
  <si>
    <t>Tenango de Doria</t>
  </si>
  <si>
    <t>Tasquillo</t>
  </si>
  <si>
    <t>Singuilucan</t>
  </si>
  <si>
    <t>Santiago de Anaya</t>
  </si>
  <si>
    <t>Pachuca de Soto</t>
  </si>
  <si>
    <t>Omitlán de Juárez</t>
  </si>
  <si>
    <t>Mixquiahuala de Juárez</t>
  </si>
  <si>
    <t>Metepec</t>
  </si>
  <si>
    <t>Ixmiquilpan</t>
  </si>
  <si>
    <t>Huichapan</t>
  </si>
  <si>
    <t>Huejutla de Reyes</t>
  </si>
  <si>
    <t>Huehuetla</t>
  </si>
  <si>
    <t>Francisco I. Madero</t>
  </si>
  <si>
    <t>Cuautepec de Hinojosa</t>
  </si>
  <si>
    <t>Chapulhuacán</t>
  </si>
  <si>
    <t>Acaxochitlán</t>
  </si>
  <si>
    <t>Tlapehuala</t>
  </si>
  <si>
    <t>Tlapa de Comonfort</t>
  </si>
  <si>
    <t>Tepecoacuilco de Trujano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</si>
  <si>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</si>
  <si>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</si>
  <si>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</si>
  <si>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</si>
  <si>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</si>
  <si>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</si>
  <si>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Pungarabato</t>
  </si>
  <si>
    <t>Petatlán</t>
  </si>
  <si>
    <t>Ometepec</t>
  </si>
  <si>
    <t>Metlatónoc</t>
  </si>
  <si>
    <t>Malinaltepec</t>
  </si>
  <si>
    <t>La Unión de Isidoro Montes de Oca</t>
  </si>
  <si>
    <t>Iguala de la Independencia</t>
  </si>
  <si>
    <t>Huitzuco de los Figueroa</t>
  </si>
  <si>
    <t>General Heliodoro Castillo</t>
  </si>
  <si>
    <t>Cutzamala de Pinzón</t>
  </si>
  <si>
    <t>Cuetzala del Progreso</t>
  </si>
  <si>
    <t>Coyuca de Benítez</t>
  </si>
  <si>
    <t>Copanatoyac</t>
  </si>
  <si>
    <t>Chilpancingo de los Bravo</t>
  </si>
  <si>
    <t>Azoyú</t>
  </si>
  <si>
    <t>Atoyac de Álvarez</t>
  </si>
  <si>
    <t>Ajuchitlán del Progreso</t>
  </si>
  <si>
    <t>Acatepec</t>
  </si>
  <si>
    <t>Acapulco de Juárez</t>
  </si>
  <si>
    <t>Xichú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</si>
  <si>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</si>
  <si>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</si>
  <si>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</si>
  <si>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</si>
  <si>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</si>
  <si>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</si>
  <si>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</si>
  <si>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</si>
  <si>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</si>
  <si>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</si>
  <si>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</si>
  <si>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</si>
  <si>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</si>
  <si>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</si>
  <si>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</si>
  <si>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</si>
  <si>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</si>
  <si>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</si>
  <si>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</si>
  <si>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</si>
  <si>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Cuerámaro</t>
  </si>
  <si>
    <t>Cortazar</t>
  </si>
  <si>
    <t>Comonfort</t>
  </si>
  <si>
    <t>Celaya</t>
  </si>
  <si>
    <t>Apaseo el Grande</t>
  </si>
  <si>
    <t>Apaseo el Alto</t>
  </si>
  <si>
    <t>Acámbaro</t>
  </si>
  <si>
    <t>Zumpango</t>
  </si>
  <si>
    <t>Zumpahuacán</t>
  </si>
  <si>
    <t>Zacualpan</t>
  </si>
  <si>
    <t>Villa del Carbón</t>
  </si>
  <si>
    <t>Toluca</t>
  </si>
  <si>
    <t>Tlatlaya</t>
  </si>
  <si>
    <t>Tlalnepantla de Baz</t>
  </si>
  <si>
    <t>Tenancingo</t>
  </si>
  <si>
    <t>Temascalcingo</t>
  </si>
  <si>
    <t>Tejupilco</t>
  </si>
  <si>
    <t>Sultepec</t>
  </si>
  <si>
    <t>San Felipe del Progreso</t>
  </si>
  <si>
    <t>Ocuilan</t>
  </si>
  <si>
    <t>Nezahualcóyotl</t>
  </si>
  <si>
    <t>Naucalpan de Juárez</t>
  </si>
  <si>
    <t>Jocotitlán</t>
  </si>
  <si>
    <t>Jiquipilco</t>
  </si>
  <si>
    <t>Jilotepec</t>
  </si>
  <si>
    <t>Ixtlahuaca</t>
  </si>
  <si>
    <t>El Oro</t>
  </si>
  <si>
    <t>Ecatzingo</t>
  </si>
  <si>
    <t>Ecatepec de Morelos</t>
  </si>
  <si>
    <t>Donato Guerra</t>
  </si>
  <si>
    <t>Cuautitlán</t>
  </si>
  <si>
    <t>Chimalhuacán</t>
  </si>
  <si>
    <t>Chicoloapan</t>
  </si>
  <si>
    <t>Chalco</t>
  </si>
  <si>
    <t>Capulhuac</t>
  </si>
  <si>
    <t>Calimaya</t>
  </si>
  <si>
    <t>Atizapán de Zaragoza</t>
  </si>
  <si>
    <t>Amatepec</t>
  </si>
  <si>
    <t>Aculco</t>
  </si>
  <si>
    <t>Acambay de Ruíz Castañeda</t>
  </si>
  <si>
    <t>Santiago Papasquiaro</t>
  </si>
  <si>
    <t>Santa Clara</t>
  </si>
  <si>
    <t>Rodeo</t>
  </si>
  <si>
    <t>Nazas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</si>
  <si>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</si>
  <si>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</si>
  <si>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</si>
  <si>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</si>
  <si>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</si>
  <si>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</si>
  <si>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</si>
  <si>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Canatlán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</si>
  <si>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</si>
  <si>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</si>
  <si>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</si>
  <si>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</si>
  <si>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</si>
  <si>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</si>
  <si>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</si>
  <si>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</si>
  <si>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</si>
  <si>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</si>
  <si>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</si>
  <si>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Armería</t>
  </si>
  <si>
    <t>Torreón</t>
  </si>
  <si>
    <t>Sierra Mojada</t>
  </si>
  <si>
    <t>San Pedro</t>
  </si>
  <si>
    <t>Saltillo</t>
  </si>
  <si>
    <t>Monclova</t>
  </si>
  <si>
    <t>Allende</t>
  </si>
  <si>
    <t>Saucillo</t>
  </si>
  <si>
    <t>Satevó</t>
  </si>
  <si>
    <t>Ojinaga</t>
  </si>
  <si>
    <t>Meoqui</t>
  </si>
  <si>
    <t>Madera</t>
  </si>
  <si>
    <t>Juárez</t>
  </si>
  <si>
    <t>Hidalgo del Parral</t>
  </si>
  <si>
    <t>Delicias</t>
  </si>
  <si>
    <t>Coronado</t>
  </si>
  <si>
    <t>Camargo</t>
  </si>
  <si>
    <t>Bocoyna</t>
  </si>
  <si>
    <t>Balleza</t>
  </si>
  <si>
    <t>Aldama</t>
  </si>
  <si>
    <t>Ahumada</t>
  </si>
  <si>
    <t>Villa Corzo</t>
  </si>
  <si>
    <t>Tuxtla Chico</t>
  </si>
  <si>
    <t>Tenejapa</t>
  </si>
  <si>
    <t>Tapachula</t>
  </si>
  <si>
    <t>Pijijiapan</t>
  </si>
  <si>
    <t>Ocozocoautla de Espinosa</t>
  </si>
  <si>
    <t>Ocotepec</t>
  </si>
  <si>
    <t>Ocosingo</t>
  </si>
  <si>
    <t>Mapastepec</t>
  </si>
  <si>
    <t>La Trinitaria</t>
  </si>
  <si>
    <t>La Concordia</t>
  </si>
  <si>
    <t>Jiquipilas</t>
  </si>
  <si>
    <t>Huitiupán</t>
  </si>
  <si>
    <t>Frontera Comalapa</t>
  </si>
  <si>
    <t>El Bosque</t>
  </si>
  <si>
    <t>Cintalapa</t>
  </si>
  <si>
    <t>Chiapa de Corzo</t>
  </si>
  <si>
    <t>Angel Albino Corzo</t>
  </si>
  <si>
    <t>Acapetahua</t>
  </si>
  <si>
    <t>Escárcega</t>
  </si>
  <si>
    <t>Tijuana</t>
  </si>
  <si>
    <t>Mexicali</t>
  </si>
  <si>
    <t>Ensenada</t>
  </si>
  <si>
    <t>Rincón de Romos</t>
  </si>
  <si>
    <t>Calvillo</t>
  </si>
  <si>
    <t>Municipio Origen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</si>
  <si>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</si>
  <si>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</si>
  <si>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</si>
  <si>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</si>
  <si>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</si>
  <si>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</si>
  <si>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</si>
  <si>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</si>
  <si>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</si>
  <si>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</si>
  <si>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</si>
  <si>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</si>
  <si>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</si>
  <si>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</si>
  <si>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</si>
  <si>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</si>
  <si>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</si>
  <si>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</si>
  <si>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</si>
  <si>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</si>
  <si>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</si>
  <si>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</si>
  <si>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</si>
  <si>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MISSOURI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</si>
  <si>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</si>
  <si>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</si>
  <si>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</si>
  <si>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</si>
  <si>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</si>
  <si>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</si>
  <si>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</si>
  <si>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</si>
  <si>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</si>
  <si>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</si>
  <si>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</si>
  <si>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</si>
  <si>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</si>
  <si>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</si>
  <si>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</si>
  <si>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</si>
  <si>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Cajero(a)</t>
  </si>
  <si>
    <t>Chofer</t>
  </si>
  <si>
    <t>Operario(a)</t>
  </si>
  <si>
    <t>Comerciante</t>
  </si>
  <si>
    <t>Campesino(a)</t>
  </si>
  <si>
    <t>Albañil</t>
  </si>
  <si>
    <t>Pintor(a)</t>
  </si>
  <si>
    <t>Jardinero(a)</t>
  </si>
  <si>
    <t>Mesero(a)</t>
  </si>
  <si>
    <t>Otro</t>
  </si>
  <si>
    <t>Estudiante</t>
  </si>
  <si>
    <t>Cocinero(a)</t>
  </si>
  <si>
    <t>Obrero(a)</t>
  </si>
  <si>
    <t>Hogar</t>
  </si>
  <si>
    <t>Empleado(a)</t>
  </si>
  <si>
    <t>Ocupación</t>
  </si>
  <si>
    <t>Matrículas consulares expedidas a mexicanos  en el estado de Missouri en el 2019</t>
  </si>
  <si>
    <t>Menores De Edad</t>
  </si>
  <si>
    <t>Profesional titulado</t>
  </si>
  <si>
    <t>Capacitación técnica</t>
  </si>
  <si>
    <t>Pueblo Nuevo</t>
  </si>
  <si>
    <t>MATRÍCULAS CONSULARES DE ALTA SEGURIDAD EXPEDIDAS EN EL ESTADO DE MISSOURI EN EE.UU. POR ESTADO DE LA REPÚBLICA MEXICANA DURANTE EL 2020</t>
  </si>
  <si>
    <t>Tamaño de la muestra: 497,795</t>
  </si>
  <si>
    <t>Octubre de 2021</t>
  </si>
  <si>
    <t>Tecate</t>
  </si>
  <si>
    <t>Cacahoatán</t>
  </si>
  <si>
    <t>Chamula</t>
  </si>
  <si>
    <t>Frontera Hidalgo</t>
  </si>
  <si>
    <t>Ixhuatán</t>
  </si>
  <si>
    <t>Mazatán</t>
  </si>
  <si>
    <t>Unión Juárez</t>
  </si>
  <si>
    <t>Aquiles Serdán</t>
  </si>
  <si>
    <t>Bachíniva</t>
  </si>
  <si>
    <t>Chínipas</t>
  </si>
  <si>
    <t>Guerero</t>
  </si>
  <si>
    <t>Matachí</t>
  </si>
  <si>
    <t>Rosales</t>
  </si>
  <si>
    <t>San Francisco de Borja</t>
  </si>
  <si>
    <t>Santa Isabel</t>
  </si>
  <si>
    <t>Acuña</t>
  </si>
  <si>
    <t>Piedras Negras</t>
  </si>
  <si>
    <t>Ramos Arizpe</t>
  </si>
  <si>
    <t>San Buenaventura</t>
  </si>
  <si>
    <t>Milpa Alta</t>
  </si>
  <si>
    <t>Pánuco de Coronado</t>
  </si>
  <si>
    <t>Tlahualilo</t>
  </si>
  <si>
    <t>Vicente Guerero</t>
  </si>
  <si>
    <t>Almoloya de Juárez</t>
  </si>
  <si>
    <t>Amecameca</t>
  </si>
  <si>
    <t>Ixtapaluca</t>
  </si>
  <si>
    <t>La Paz</t>
  </si>
  <si>
    <t>Mexicaltzingo</t>
  </si>
  <si>
    <t>Tenango del Valle</t>
  </si>
  <si>
    <t>Tlalmanalco</t>
  </si>
  <si>
    <t>Valle de Chalco Solidaridad</t>
  </si>
  <si>
    <t>Villa Guerero</t>
  </si>
  <si>
    <t>Villa Victoria</t>
  </si>
  <si>
    <t>GUANAJUATO</t>
  </si>
  <si>
    <t>Atarjea</t>
  </si>
  <si>
    <t>Jaral del Progreso</t>
  </si>
  <si>
    <t>Alcozauca de Guerero</t>
  </si>
  <si>
    <t>Atlixtac</t>
  </si>
  <si>
    <t>Buenavista de Cuéllar</t>
  </si>
  <si>
    <t>Florencio Villarreal</t>
  </si>
  <si>
    <t>Igualapa</t>
  </si>
  <si>
    <t>Pilcaya</t>
  </si>
  <si>
    <t>Tlacoapa</t>
  </si>
  <si>
    <t>Tlalchapa</t>
  </si>
  <si>
    <t>Xalpatláhuac</t>
  </si>
  <si>
    <t>Xochistlahuaca</t>
  </si>
  <si>
    <t>Zirándaro</t>
  </si>
  <si>
    <t>Ajacuba</t>
  </si>
  <si>
    <t>El Arenal</t>
  </si>
  <si>
    <t>Epazoyucan</t>
  </si>
  <si>
    <t>Jacala de Ledezma</t>
  </si>
  <si>
    <t>La Misión</t>
  </si>
  <si>
    <t>Mineral de la Reforma</t>
  </si>
  <si>
    <t>San Bartolo Tutotepec</t>
  </si>
  <si>
    <t>Tepehuacán de Guerero</t>
  </si>
  <si>
    <t>Tezontepec de Aldama</t>
  </si>
  <si>
    <t>Tlahuelilpan</t>
  </si>
  <si>
    <t>Tolcayuca</t>
  </si>
  <si>
    <t>Zapotlán de Juárez</t>
  </si>
  <si>
    <t>Zimapán</t>
  </si>
  <si>
    <t>Ayotlán</t>
  </si>
  <si>
    <t>Cihuatlán</t>
  </si>
  <si>
    <t>Ixtlahuacán de los Membrillos</t>
  </si>
  <si>
    <t>Jalostotitlán</t>
  </si>
  <si>
    <t>Jilotlán de los Dolores</t>
  </si>
  <si>
    <t>La Huerta</t>
  </si>
  <si>
    <t>Tamazula de Gordiano</t>
  </si>
  <si>
    <t>Tomatlán</t>
  </si>
  <si>
    <t>Villa Corona</t>
  </si>
  <si>
    <t>Zacoalco de Torres</t>
  </si>
  <si>
    <t>Angamacutiro</t>
  </si>
  <si>
    <t>Carácuaro</t>
  </si>
  <si>
    <t>Ecuandureo</t>
  </si>
  <si>
    <t>Parácuaro</t>
  </si>
  <si>
    <t>Tacámbaro</t>
  </si>
  <si>
    <t>Tarímbaro</t>
  </si>
  <si>
    <t>Atlatlahucan</t>
  </si>
  <si>
    <t>Jantetelco</t>
  </si>
  <si>
    <t>Mazatepec</t>
  </si>
  <si>
    <t>Tepalcingo</t>
  </si>
  <si>
    <t>Tetela del Volcán</t>
  </si>
  <si>
    <t>Tlaltizapán de Zapata</t>
  </si>
  <si>
    <t>Ixtlán del Río</t>
  </si>
  <si>
    <t>San Blas</t>
  </si>
  <si>
    <t>Linares</t>
  </si>
  <si>
    <t>Mina</t>
  </si>
  <si>
    <t>MonteMorelos</t>
  </si>
  <si>
    <t>Magdalena Jaltepec</t>
  </si>
  <si>
    <t>Mesones Hidalgo</t>
  </si>
  <si>
    <t>Mixistlán de la Reforma</t>
  </si>
  <si>
    <t>Monjas</t>
  </si>
  <si>
    <t>Putla Villa de Guerero</t>
  </si>
  <si>
    <t>Salina Cruz</t>
  </si>
  <si>
    <t>San Agustín Chayuco</t>
  </si>
  <si>
    <t>San Andrés Paxtlán</t>
  </si>
  <si>
    <t>San Antonio Tepetlapa</t>
  </si>
  <si>
    <t>San Dionisio del Mar</t>
  </si>
  <si>
    <t>San Lorenzo</t>
  </si>
  <si>
    <t>San Miguel Quetzaltepec</t>
  </si>
  <si>
    <t>San Pedro y San Pablo Ayutla</t>
  </si>
  <si>
    <t>Santa Ana Tlapacoyan</t>
  </si>
  <si>
    <t>Santa María Atzompa</t>
  </si>
  <si>
    <t>Santa María Petapa</t>
  </si>
  <si>
    <t>Santa María Temaxcaltepec</t>
  </si>
  <si>
    <t>Santiago Jocotepec</t>
  </si>
  <si>
    <t>Santiago Yaveo</t>
  </si>
  <si>
    <t>Santo Domingo Armenta</t>
  </si>
  <si>
    <t>Atzitzintla</t>
  </si>
  <si>
    <t>Cañada Morelos</t>
  </si>
  <si>
    <t>Hermenegildo Galeana</t>
  </si>
  <si>
    <t>Huaquechula</t>
  </si>
  <si>
    <t>Jolalpan</t>
  </si>
  <si>
    <t>Los Reyes de Juárez</t>
  </si>
  <si>
    <t>Molcaxac</t>
  </si>
  <si>
    <t>Pantepec</t>
  </si>
  <si>
    <t>Quecholac</t>
  </si>
  <si>
    <t>Teotlalco</t>
  </si>
  <si>
    <t>Tlanepantla</t>
  </si>
  <si>
    <t>Tochtepec</t>
  </si>
  <si>
    <t>Xochiltepec</t>
  </si>
  <si>
    <t>Tolimán</t>
  </si>
  <si>
    <t>Catorce</t>
  </si>
  <si>
    <t>El Naranjo</t>
  </si>
  <si>
    <t>Matehuala</t>
  </si>
  <si>
    <t>Choix</t>
  </si>
  <si>
    <t>Mocorito</t>
  </si>
  <si>
    <t>Nogales</t>
  </si>
  <si>
    <t>San Luis Río Colorado</t>
  </si>
  <si>
    <t>Jalapa</t>
  </si>
  <si>
    <t>Jalpa de Méndez</t>
  </si>
  <si>
    <t>Tula</t>
  </si>
  <si>
    <t>Valle Hermoso</t>
  </si>
  <si>
    <t>Contla de Juan Cuamatzi</t>
  </si>
  <si>
    <t>Panotla</t>
  </si>
  <si>
    <t>San José Teacalco</t>
  </si>
  <si>
    <t>San Pablo del Monte</t>
  </si>
  <si>
    <t>Xaloztoc</t>
  </si>
  <si>
    <t>Zacatelco</t>
  </si>
  <si>
    <t>Astacinga</t>
  </si>
  <si>
    <t>Atzalan</t>
  </si>
  <si>
    <t>Cazones de Herrera</t>
  </si>
  <si>
    <t>Cosautlán de Carvajal</t>
  </si>
  <si>
    <t>Coscomatepec</t>
  </si>
  <si>
    <t>Cuitláhuac</t>
  </si>
  <si>
    <t>Huayacocotla</t>
  </si>
  <si>
    <t>Huiloapan de Cuauhtémoc</t>
  </si>
  <si>
    <t>Jalcomulco</t>
  </si>
  <si>
    <t>Paso de Ovejas</t>
  </si>
  <si>
    <t>Paso del Macho</t>
  </si>
  <si>
    <t>Sayula de Alemán</t>
  </si>
  <si>
    <t>Tempoal</t>
  </si>
  <si>
    <t>Tlalixcoyan</t>
  </si>
  <si>
    <t>Tlapacoyan</t>
  </si>
  <si>
    <t>Dzilam González</t>
  </si>
  <si>
    <t>Mérida</t>
  </si>
  <si>
    <t>Cañitas de Felipe Pescador</t>
  </si>
  <si>
    <t>Chalchihuites</t>
  </si>
  <si>
    <t>El Plateado de Joaquín Amaro</t>
  </si>
  <si>
    <t>Juchipila</t>
  </si>
  <si>
    <t>Luis Moya</t>
  </si>
  <si>
    <t>Moyahua de Estrada</t>
  </si>
  <si>
    <t>MATRÍCULAS CONSULARES DE ALTA SEGURIDAD EXPEDIDAS EN EE.UU A MEXICANOS EN EL ESTADO DE  MISSOURI, POR PERFIL OCUPACIONAL 2020</t>
  </si>
  <si>
    <t>Panadero(a)</t>
  </si>
  <si>
    <t>MATRÍCULAS CONSULARES DE ALTA SEGURIDAD EXPEDIDAS EN EE.UU A MEXICANOS EN EL ESTADO DE MISSOURI, POR GÉNERO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</si>
</sst>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4" fillId="0" borderId="0"/>
  </cellStyleXfs>
  <cellXfs count="78">
    <xf numFmtId="0" fontId="0" fillId="0" borderId="0" xfId="0"/>
    <xf numFmtId="0" fontId="1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5" fontId="7" fillId="6" borderId="9" xfId="3" applyNumberFormat="1" applyFont="1" applyFill="1" applyBorder="1" applyAlignment="1">
      <alignment vertical="center" wrapText="1"/>
    </xf>
    <xf numFmtId="3" fontId="7" fillId="6" borderId="9" xfId="2" applyNumberFormat="1" applyFont="1" applyFill="1" applyBorder="1" applyAlignment="1">
      <alignment horizontal="right" vertical="center" wrapText="1"/>
    </xf>
    <xf numFmtId="49" fontId="7" fillId="6" borderId="9" xfId="2" applyNumberFormat="1" applyFont="1" applyFill="1" applyBorder="1" applyAlignment="1">
      <alignment vertical="center" wrapText="1"/>
    </xf>
    <xf numFmtId="164" fontId="16" fillId="3" borderId="9" xfId="2" applyNumberFormat="1" applyFont="1" applyFill="1" applyBorder="1" applyAlignment="1">
      <alignment horizontal="right" vertical="center" wrapText="1"/>
    </xf>
    <xf numFmtId="166" fontId="16" fillId="3" borderId="9" xfId="2" applyNumberFormat="1" applyFont="1" applyFill="1" applyBorder="1" applyAlignment="1">
      <alignment horizontal="right" vertical="center" wrapText="1"/>
    </xf>
    <xf numFmtId="49" fontId="16" fillId="3" borderId="9" xfId="2" applyNumberFormat="1" applyFont="1" applyFill="1" applyBorder="1" applyAlignment="1">
      <alignment vertical="center" wrapText="1"/>
    </xf>
    <xf numFmtId="0" fontId="17" fillId="3" borderId="0" xfId="0" applyFont="1" applyFill="1"/>
    <xf numFmtId="0" fontId="18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19" fillId="3" borderId="0" xfId="0" applyFont="1" applyFill="1" applyAlignment="1"/>
    <xf numFmtId="0" fontId="17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7" fillId="3" borderId="0" xfId="0" applyFont="1" applyFill="1" applyBorder="1"/>
    <xf numFmtId="0" fontId="17" fillId="3" borderId="0" xfId="0" applyFont="1" applyFill="1" applyBorder="1" applyAlignment="1">
      <alignment vertical="center"/>
    </xf>
    <xf numFmtId="3" fontId="10" fillId="3" borderId="0" xfId="0" applyNumberFormat="1" applyFont="1" applyFill="1"/>
    <xf numFmtId="0" fontId="20" fillId="0" borderId="0" xfId="0" applyFont="1" applyBorder="1"/>
    <xf numFmtId="0" fontId="20" fillId="0" borderId="0" xfId="0" applyFont="1" applyBorder="1" applyAlignment="1">
      <alignment vertical="top"/>
    </xf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49" fontId="16" fillId="3" borderId="9" xfId="2" applyNumberFormat="1" applyFont="1" applyFill="1" applyBorder="1" applyAlignment="1">
      <alignment horizontal="center" vertical="center" wrapText="1"/>
    </xf>
    <xf numFmtId="0" fontId="23" fillId="0" borderId="0" xfId="1" applyFont="1" applyBorder="1" applyAlignment="1">
      <alignment horizontal="left"/>
    </xf>
    <xf numFmtId="0" fontId="23" fillId="0" borderId="4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 wrapText="1"/>
    </xf>
    <xf numFmtId="49" fontId="16" fillId="3" borderId="10" xfId="2" applyNumberFormat="1" applyFont="1" applyFill="1" applyBorder="1" applyAlignment="1">
      <alignment horizontal="center" vertical="center" wrapText="1"/>
    </xf>
    <xf numFmtId="49" fontId="16" fillId="3" borderId="15" xfId="2" applyNumberFormat="1" applyFont="1" applyFill="1" applyBorder="1" applyAlignment="1">
      <alignment horizontal="center" vertical="center" wrapText="1"/>
    </xf>
    <xf numFmtId="49" fontId="16" fillId="3" borderId="14" xfId="2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399434</xdr:colOff>
      <xdr:row>2</xdr:row>
      <xdr:rowOff>41792</xdr:rowOff>
    </xdr:from>
    <xdr:to>
      <xdr:col>3</xdr:col>
      <xdr:colOff>911531</xdr:colOff>
      <xdr:row>3</xdr:row>
      <xdr:rowOff>41793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27581" y="77017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85725</xdr:rowOff>
    </xdr:from>
    <xdr:to>
      <xdr:col>5</xdr:col>
      <xdr:colOff>112047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MISSOURI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177362</xdr:rowOff>
    </xdr:from>
    <xdr:to>
      <xdr:col>4</xdr:col>
      <xdr:colOff>1063890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468" y="192043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152401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30542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MISSOURI,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124810</xdr:rowOff>
    </xdr:from>
    <xdr:to>
      <xdr:col>4</xdr:col>
      <xdr:colOff>1050752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6</xdr:row>
      <xdr:rowOff>95250</xdr:rowOff>
    </xdr:from>
    <xdr:to>
      <xdr:col>5</xdr:col>
      <xdr:colOff>207297</xdr:colOff>
      <xdr:row>7</xdr:row>
      <xdr:rowOff>84046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43450" y="14287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MISSOURI,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323813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MISSOURI,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72259</xdr:rowOff>
    </xdr:from>
    <xdr:to>
      <xdr:col>4</xdr:col>
      <xdr:colOff>991631</xdr:colOff>
      <xdr:row>7</xdr:row>
      <xdr:rowOff>251555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1303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28575</xdr:rowOff>
    </xdr:from>
    <xdr:to>
      <xdr:col>5</xdr:col>
      <xdr:colOff>188247</xdr:colOff>
      <xdr:row>8</xdr:row>
      <xdr:rowOff>17371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55257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5" t="s">
        <v>531</v>
      </c>
      <c r="B1" s="66"/>
      <c r="C1" s="66"/>
      <c r="D1" s="67"/>
    </row>
    <row r="2" spans="1:4" ht="18.75">
      <c r="A2" s="46"/>
      <c r="B2" s="47"/>
      <c r="C2" s="47"/>
      <c r="D2" s="48"/>
    </row>
    <row r="3" spans="1:4">
      <c r="A3" s="68" t="s">
        <v>11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49"/>
      <c r="B5" s="50"/>
      <c r="C5" s="50"/>
      <c r="D5" s="51"/>
    </row>
    <row r="6" spans="1:4" ht="18.75">
      <c r="A6" s="64" t="s">
        <v>10</v>
      </c>
      <c r="B6" s="62"/>
      <c r="C6" s="62"/>
      <c r="D6" s="63"/>
    </row>
    <row r="7" spans="1:4" ht="18.75">
      <c r="A7" s="52"/>
      <c r="B7" s="53"/>
      <c r="C7" s="53"/>
      <c r="D7" s="54"/>
    </row>
    <row r="8" spans="1:4" ht="18.75">
      <c r="A8" s="55" t="s">
        <v>9</v>
      </c>
      <c r="B8" s="56"/>
      <c r="C8" s="56"/>
      <c r="D8" s="57"/>
    </row>
    <row r="9" spans="1:4" ht="18.75">
      <c r="A9" s="55"/>
      <c r="B9" s="62" t="s">
        <v>8</v>
      </c>
      <c r="C9" s="62"/>
      <c r="D9" s="63"/>
    </row>
    <row r="10" spans="1:4" ht="18.75">
      <c r="A10" s="55" t="s">
        <v>7</v>
      </c>
      <c r="B10" s="56"/>
      <c r="C10" s="56"/>
      <c r="D10" s="57"/>
    </row>
    <row r="11" spans="1:4" ht="18.75">
      <c r="A11" s="55"/>
      <c r="B11" s="62" t="s">
        <v>6</v>
      </c>
      <c r="C11" s="62"/>
      <c r="D11" s="63"/>
    </row>
    <row r="12" spans="1:4" ht="18.75">
      <c r="A12" s="55"/>
      <c r="B12" s="62" t="s">
        <v>5</v>
      </c>
      <c r="C12" s="62"/>
      <c r="D12" s="63"/>
    </row>
    <row r="13" spans="1:4" ht="18.75">
      <c r="A13" s="55"/>
      <c r="B13" s="56"/>
      <c r="C13" s="56"/>
      <c r="D13" s="57"/>
    </row>
    <row r="14" spans="1:4" ht="18.75">
      <c r="A14" s="55" t="s">
        <v>4</v>
      </c>
      <c r="B14" s="56"/>
      <c r="C14" s="56"/>
      <c r="D14" s="57"/>
    </row>
    <row r="15" spans="1:4" ht="18.75">
      <c r="A15" s="55"/>
      <c r="B15" s="62" t="s">
        <v>3</v>
      </c>
      <c r="C15" s="62"/>
      <c r="D15" s="63"/>
    </row>
    <row r="16" spans="1:4" ht="18.75">
      <c r="A16" s="55"/>
      <c r="B16" s="62" t="s">
        <v>2</v>
      </c>
      <c r="C16" s="62"/>
      <c r="D16" s="63"/>
    </row>
    <row r="17" spans="1:4" ht="18.75">
      <c r="A17" s="55"/>
      <c r="B17" s="56"/>
      <c r="C17" s="56"/>
      <c r="D17" s="57"/>
    </row>
    <row r="18" spans="1:4" ht="18.75">
      <c r="A18" s="64" t="s">
        <v>1</v>
      </c>
      <c r="B18" s="62"/>
      <c r="C18" s="62"/>
      <c r="D18" s="63"/>
    </row>
    <row r="19" spans="1:4" ht="18.75">
      <c r="A19" s="55"/>
      <c r="B19" s="56"/>
      <c r="C19" s="56"/>
      <c r="D19" s="57"/>
    </row>
    <row r="20" spans="1:4" ht="18.75">
      <c r="A20" s="64" t="s">
        <v>0</v>
      </c>
      <c r="B20" s="62"/>
      <c r="C20" s="62"/>
      <c r="D20" s="63"/>
    </row>
    <row r="21" spans="1:4" ht="19.5" thickBot="1">
      <c r="A21" s="58"/>
      <c r="B21" s="59"/>
      <c r="C21" s="59"/>
      <c r="D21" s="6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ssouri_Edomexgral!A1" display="1. Por Estados de la República Mexicana"/>
    <hyperlink ref="B9" location="Alabama_EDOMEX!Área_de_impresión" display="2.1 Por estado de la República Mexicana y municipio de origen"/>
    <hyperlink ref="B11:D11" location="Missouri_Educagral!A1" display="3.1 Educación general"/>
    <hyperlink ref="B12:D12" location="Missouri_Eduedo!A1" display="3.2 Por Estado de la República Mexicana"/>
    <hyperlink ref="B15:D15" location="Missouri_gengral!A1" display="4.1 Género General"/>
    <hyperlink ref="B16:D16" location="Missouri_edomexgen!A1" display="4.2 Por Estados de la República Mexicana"/>
    <hyperlink ref="A18:D18" location="Missouri_edadgen!A1" display="5. Por estructura de Edad"/>
    <hyperlink ref="A20:D20" location="Missouri_ocupgral!A1" display="6. Por Ocupación"/>
    <hyperlink ref="B9:D9" location="Missouri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E48"/>
  <sheetViews>
    <sheetView showGridLines="0" topLeftCell="A22" zoomScaleNormal="100" zoomScaleSheetLayoutView="115" workbookViewId="0">
      <selection activeCell="D39" sqref="D39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1" t="s">
        <v>536</v>
      </c>
      <c r="C7" s="71"/>
      <c r="D7" s="71"/>
    </row>
    <row r="8" spans="1:5" s="14" customFormat="1" ht="15" customHeight="1">
      <c r="B8" s="71"/>
      <c r="C8" s="71"/>
      <c r="D8" s="71"/>
    </row>
    <row r="9" spans="1:5" s="14" customFormat="1" ht="33" customHeight="1">
      <c r="B9" s="71"/>
      <c r="C9" s="71"/>
      <c r="D9" s="71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48</v>
      </c>
      <c r="C11" s="16" t="s">
        <v>47</v>
      </c>
      <c r="D11" s="15" t="s">
        <v>46</v>
      </c>
    </row>
    <row r="12" spans="1:5">
      <c r="B12" s="12" t="s">
        <v>45</v>
      </c>
      <c r="C12" s="11">
        <v>223</v>
      </c>
      <c r="D12" s="10">
        <v>0.10333642261353104</v>
      </c>
    </row>
    <row r="13" spans="1:5">
      <c r="B13" s="12" t="s">
        <v>44</v>
      </c>
      <c r="C13" s="11">
        <v>197</v>
      </c>
      <c r="D13" s="10">
        <v>9.1288229842446708E-2</v>
      </c>
    </row>
    <row r="14" spans="1:5">
      <c r="A14" s="13"/>
      <c r="B14" s="12" t="s">
        <v>40</v>
      </c>
      <c r="C14" s="11">
        <v>175</v>
      </c>
      <c r="D14" s="10">
        <v>8.1093605189990731E-2</v>
      </c>
      <c r="E14" s="13"/>
    </row>
    <row r="15" spans="1:5">
      <c r="A15" s="13"/>
      <c r="B15" s="12" t="s">
        <v>42</v>
      </c>
      <c r="C15" s="11">
        <v>166</v>
      </c>
      <c r="D15" s="10">
        <v>7.6923076923076927E-2</v>
      </c>
      <c r="E15" s="13"/>
    </row>
    <row r="16" spans="1:5">
      <c r="B16" s="12" t="s">
        <v>39</v>
      </c>
      <c r="C16" s="11">
        <v>160</v>
      </c>
      <c r="D16" s="10">
        <v>7.4142724745134378E-2</v>
      </c>
    </row>
    <row r="17" spans="2:4">
      <c r="B17" s="12" t="s">
        <v>43</v>
      </c>
      <c r="C17" s="11">
        <v>149</v>
      </c>
      <c r="D17" s="10">
        <v>6.9045412418906396E-2</v>
      </c>
    </row>
    <row r="18" spans="2:4">
      <c r="B18" s="12" t="s">
        <v>41</v>
      </c>
      <c r="C18" s="11">
        <v>143</v>
      </c>
      <c r="D18" s="10">
        <v>6.6265060240963861E-2</v>
      </c>
    </row>
    <row r="19" spans="2:4">
      <c r="B19" s="12" t="s">
        <v>38</v>
      </c>
      <c r="C19" s="11">
        <v>128</v>
      </c>
      <c r="D19" s="10">
        <v>5.9314179796107508E-2</v>
      </c>
    </row>
    <row r="20" spans="2:4">
      <c r="B20" s="12" t="s">
        <v>37</v>
      </c>
      <c r="C20" s="11">
        <v>96</v>
      </c>
      <c r="D20" s="10">
        <v>4.4485634847080631E-2</v>
      </c>
    </row>
    <row r="21" spans="2:4">
      <c r="B21" s="12" t="s">
        <v>32</v>
      </c>
      <c r="C21" s="11">
        <v>84</v>
      </c>
      <c r="D21" s="10">
        <v>3.8924930491195553E-2</v>
      </c>
    </row>
    <row r="22" spans="2:4">
      <c r="B22" s="12" t="s">
        <v>36</v>
      </c>
      <c r="C22" s="11">
        <v>83</v>
      </c>
      <c r="D22" s="10">
        <v>3.8461538461538464E-2</v>
      </c>
    </row>
    <row r="23" spans="2:4">
      <c r="B23" s="12" t="s">
        <v>35</v>
      </c>
      <c r="C23" s="11">
        <v>76</v>
      </c>
      <c r="D23" s="10">
        <v>3.5217794253938832E-2</v>
      </c>
    </row>
    <row r="24" spans="2:4">
      <c r="B24" s="12" t="s">
        <v>34</v>
      </c>
      <c r="C24" s="11">
        <v>68</v>
      </c>
      <c r="D24" s="10">
        <v>3.1510658016682111E-2</v>
      </c>
    </row>
    <row r="25" spans="2:4">
      <c r="B25" s="12" t="s">
        <v>30</v>
      </c>
      <c r="C25" s="11">
        <v>46</v>
      </c>
      <c r="D25" s="10">
        <v>2.1316033364226137E-2</v>
      </c>
    </row>
    <row r="26" spans="2:4">
      <c r="B26" s="12" t="s">
        <v>33</v>
      </c>
      <c r="C26" s="11">
        <v>45</v>
      </c>
      <c r="D26" s="10">
        <v>2.0852641334569044E-2</v>
      </c>
    </row>
    <row r="27" spans="2:4">
      <c r="B27" s="12" t="s">
        <v>31</v>
      </c>
      <c r="C27" s="11">
        <v>44</v>
      </c>
      <c r="D27" s="10">
        <v>2.0389249304911955E-2</v>
      </c>
    </row>
    <row r="28" spans="2:4">
      <c r="B28" s="12" t="s">
        <v>28</v>
      </c>
      <c r="C28" s="11">
        <v>43</v>
      </c>
      <c r="D28" s="10">
        <v>1.9925857275254866E-2</v>
      </c>
    </row>
    <row r="29" spans="2:4">
      <c r="B29" s="12" t="s">
        <v>27</v>
      </c>
      <c r="C29" s="11">
        <v>38</v>
      </c>
      <c r="D29" s="10">
        <v>1.7608897126969416E-2</v>
      </c>
    </row>
    <row r="30" spans="2:4">
      <c r="B30" s="12" t="s">
        <v>29</v>
      </c>
      <c r="C30" s="11">
        <v>28</v>
      </c>
      <c r="D30" s="10">
        <v>1.2974976830398516E-2</v>
      </c>
    </row>
    <row r="31" spans="2:4">
      <c r="B31" s="12" t="s">
        <v>26</v>
      </c>
      <c r="C31" s="11">
        <v>28</v>
      </c>
      <c r="D31" s="10">
        <v>1.2974976830398516E-2</v>
      </c>
    </row>
    <row r="32" spans="2:4">
      <c r="B32" s="12" t="s">
        <v>23</v>
      </c>
      <c r="C32" s="11">
        <v>26</v>
      </c>
      <c r="D32" s="10">
        <v>1.2048192771084338E-2</v>
      </c>
    </row>
    <row r="33" spans="2:4">
      <c r="B33" s="12" t="s">
        <v>22</v>
      </c>
      <c r="C33" s="11">
        <v>22</v>
      </c>
      <c r="D33" s="10">
        <v>1.0194624652455977E-2</v>
      </c>
    </row>
    <row r="34" spans="2:4">
      <c r="B34" s="12" t="s">
        <v>25</v>
      </c>
      <c r="C34" s="11">
        <v>18</v>
      </c>
      <c r="D34" s="10">
        <v>8.3410565338276187E-3</v>
      </c>
    </row>
    <row r="35" spans="2:4">
      <c r="B35" s="12" t="s">
        <v>21</v>
      </c>
      <c r="C35" s="11">
        <v>18</v>
      </c>
      <c r="D35" s="10">
        <v>8.3410565338276187E-3</v>
      </c>
    </row>
    <row r="36" spans="2:4">
      <c r="B36" s="12" t="s">
        <v>24</v>
      </c>
      <c r="C36" s="11">
        <v>17</v>
      </c>
      <c r="D36" s="10">
        <v>7.8776645041705277E-3</v>
      </c>
    </row>
    <row r="37" spans="2:4">
      <c r="B37" s="12" t="s">
        <v>20</v>
      </c>
      <c r="C37" s="11">
        <v>11</v>
      </c>
      <c r="D37" s="10">
        <v>5.0973123262279887E-3</v>
      </c>
    </row>
    <row r="38" spans="2:4">
      <c r="B38" s="12" t="s">
        <v>18</v>
      </c>
      <c r="C38" s="11">
        <v>9</v>
      </c>
      <c r="D38" s="10">
        <v>4.1705282669138094E-3</v>
      </c>
    </row>
    <row r="39" spans="2:4">
      <c r="B39" s="12" t="s">
        <v>17</v>
      </c>
      <c r="C39" s="11">
        <v>8</v>
      </c>
      <c r="D39" s="10">
        <v>3.7071362372567192E-3</v>
      </c>
    </row>
    <row r="40" spans="2:4">
      <c r="B40" s="12" t="s">
        <v>19</v>
      </c>
      <c r="C40" s="11">
        <v>7</v>
      </c>
      <c r="D40" s="10">
        <v>3.2437442075996291E-3</v>
      </c>
    </row>
    <row r="41" spans="2:4">
      <c r="B41" s="12" t="s">
        <v>16</v>
      </c>
      <c r="C41" s="11">
        <v>2</v>
      </c>
      <c r="D41" s="10">
        <v>9.2678405931417981E-4</v>
      </c>
    </row>
    <row r="42" spans="2:4">
      <c r="B42" s="9" t="s">
        <v>15</v>
      </c>
      <c r="C42" s="8">
        <v>2158</v>
      </c>
      <c r="D42" s="7">
        <v>1</v>
      </c>
    </row>
    <row r="44" spans="2:4">
      <c r="B44" s="4" t="s">
        <v>537</v>
      </c>
      <c r="C44"/>
      <c r="D44"/>
    </row>
    <row r="45" spans="2:4">
      <c r="B45" s="6" t="s">
        <v>14</v>
      </c>
      <c r="C45"/>
      <c r="D45"/>
    </row>
    <row r="46" spans="2:4">
      <c r="B46" s="5" t="s">
        <v>13</v>
      </c>
      <c r="C46"/>
      <c r="D46"/>
    </row>
    <row r="47" spans="2:4">
      <c r="B47" s="4" t="s">
        <v>12</v>
      </c>
      <c r="C47"/>
      <c r="D47"/>
    </row>
    <row r="48" spans="2:4">
      <c r="B48" s="4" t="s">
        <v>538</v>
      </c>
      <c r="C48"/>
      <c r="D4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68"/>
  <sheetViews>
    <sheetView zoomScaleNormal="100" zoomScaleSheetLayoutView="100" workbookViewId="0">
      <selection activeCell="E9" sqref="E9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>
      <c r="B1" s="42"/>
      <c r="C1" s="41"/>
      <c r="D1" s="41"/>
      <c r="E1" s="41"/>
    </row>
    <row r="2" spans="1:5" s="38" customFormat="1" ht="15" customHeight="1">
      <c r="C2" s="40"/>
    </row>
    <row r="3" spans="1:5" s="38" customFormat="1" ht="15" customHeight="1">
      <c r="C3" s="40"/>
    </row>
    <row r="4" spans="1:5" s="38" customFormat="1" ht="30" customHeight="1">
      <c r="C4" s="40"/>
      <c r="D4" s="39"/>
    </row>
    <row r="5" spans="1:5" s="38" customFormat="1" ht="15" customHeight="1">
      <c r="C5" s="40"/>
      <c r="D5" s="39"/>
    </row>
    <row r="6" spans="1:5" s="35" customFormat="1" ht="24" customHeight="1">
      <c r="B6" s="37"/>
      <c r="C6" s="31"/>
      <c r="D6" s="31"/>
      <c r="E6" s="31"/>
    </row>
    <row r="7" spans="1:5" s="35" customFormat="1" ht="26.25" customHeight="1">
      <c r="A7" s="36"/>
      <c r="B7" s="77"/>
      <c r="C7" s="77"/>
      <c r="D7" s="77"/>
      <c r="E7" s="77"/>
    </row>
    <row r="8" spans="1:5" s="35" customFormat="1" ht="33" customHeight="1">
      <c r="A8" s="36"/>
      <c r="B8" s="77"/>
      <c r="C8" s="77"/>
      <c r="D8" s="77"/>
      <c r="E8" s="77"/>
    </row>
    <row r="9" spans="1:5" s="14" customFormat="1" ht="40.5" customHeight="1">
      <c r="B9" s="32" t="s">
        <v>48</v>
      </c>
      <c r="C9" s="34" t="s">
        <v>474</v>
      </c>
      <c r="D9" s="33" t="s">
        <v>47</v>
      </c>
      <c r="E9" s="32" t="s">
        <v>46</v>
      </c>
    </row>
    <row r="10" spans="1:5" ht="15" customHeight="1">
      <c r="B10" s="72" t="s">
        <v>25</v>
      </c>
      <c r="C10" s="30" t="s">
        <v>25</v>
      </c>
      <c r="D10" s="29">
        <v>11</v>
      </c>
      <c r="E10" s="28">
        <v>5.0973123262279887E-3</v>
      </c>
    </row>
    <row r="11" spans="1:5" ht="15" customHeight="1">
      <c r="B11" s="73"/>
      <c r="C11" s="30" t="s">
        <v>473</v>
      </c>
      <c r="D11" s="29">
        <v>1</v>
      </c>
      <c r="E11" s="28">
        <v>4.6339202965708991E-4</v>
      </c>
    </row>
    <row r="12" spans="1:5" ht="15" customHeight="1">
      <c r="B12" s="73"/>
      <c r="C12" s="30" t="s">
        <v>472</v>
      </c>
      <c r="D12" s="29">
        <v>6</v>
      </c>
      <c r="E12" s="28">
        <v>2.7803521779425394E-3</v>
      </c>
    </row>
    <row r="13" spans="1:5" ht="15" customHeight="1">
      <c r="B13" s="74"/>
      <c r="C13" s="27" t="s">
        <v>15</v>
      </c>
      <c r="D13" s="26">
        <v>18</v>
      </c>
      <c r="E13" s="25">
        <v>8.3410565338276187E-3</v>
      </c>
    </row>
    <row r="14" spans="1:5" ht="15" customHeight="1">
      <c r="B14" s="72" t="s">
        <v>20</v>
      </c>
      <c r="C14" s="30" t="s">
        <v>471</v>
      </c>
      <c r="D14" s="29">
        <v>1</v>
      </c>
      <c r="E14" s="28">
        <v>4.6339202965708991E-4</v>
      </c>
    </row>
    <row r="15" spans="1:5" ht="15" customHeight="1">
      <c r="B15" s="73"/>
      <c r="C15" s="30" t="s">
        <v>470</v>
      </c>
      <c r="D15" s="29">
        <v>1</v>
      </c>
      <c r="E15" s="28">
        <v>4.6339202965708991E-4</v>
      </c>
    </row>
    <row r="16" spans="1:5" ht="15" customHeight="1">
      <c r="B16" s="73"/>
      <c r="C16" s="30" t="s">
        <v>539</v>
      </c>
      <c r="D16" s="29">
        <v>1</v>
      </c>
      <c r="E16" s="28">
        <v>4.6339202965708991E-4</v>
      </c>
    </row>
    <row r="17" spans="2:5" ht="15" customHeight="1">
      <c r="B17" s="73"/>
      <c r="C17" s="30" t="s">
        <v>469</v>
      </c>
      <c r="D17" s="29">
        <v>8</v>
      </c>
      <c r="E17" s="28">
        <v>3.7071362372567192E-3</v>
      </c>
    </row>
    <row r="18" spans="2:5" ht="15" customHeight="1">
      <c r="B18" s="74"/>
      <c r="C18" s="27" t="s">
        <v>15</v>
      </c>
      <c r="D18" s="26">
        <v>11</v>
      </c>
      <c r="E18" s="25">
        <v>5.0973123262279887E-3</v>
      </c>
    </row>
    <row r="19" spans="2:5" ht="15" customHeight="1">
      <c r="B19" s="72" t="s">
        <v>19</v>
      </c>
      <c r="C19" s="30" t="s">
        <v>19</v>
      </c>
      <c r="D19" s="29">
        <v>4</v>
      </c>
      <c r="E19" s="28">
        <v>1.8535681186283596E-3</v>
      </c>
    </row>
    <row r="20" spans="2:5" ht="15" customHeight="1">
      <c r="B20" s="73"/>
      <c r="C20" s="30" t="s">
        <v>468</v>
      </c>
      <c r="D20" s="29">
        <v>3</v>
      </c>
      <c r="E20" s="28">
        <v>1.3901760889712697E-3</v>
      </c>
    </row>
    <row r="21" spans="2:5" ht="15" customHeight="1">
      <c r="B21" s="74"/>
      <c r="C21" s="27" t="s">
        <v>15</v>
      </c>
      <c r="D21" s="26">
        <v>7</v>
      </c>
      <c r="E21" s="25">
        <v>3.2437442075996291E-3</v>
      </c>
    </row>
    <row r="22" spans="2:5" ht="15" customHeight="1">
      <c r="B22" s="72" t="s">
        <v>31</v>
      </c>
      <c r="C22" s="30" t="s">
        <v>467</v>
      </c>
      <c r="D22" s="29">
        <v>1</v>
      </c>
      <c r="E22" s="28">
        <v>4.6339202965708991E-4</v>
      </c>
    </row>
    <row r="23" spans="2:5" ht="15" customHeight="1">
      <c r="B23" s="73"/>
      <c r="C23" s="30" t="s">
        <v>466</v>
      </c>
      <c r="D23" s="29">
        <v>1</v>
      </c>
      <c r="E23" s="28">
        <v>4.6339202965708991E-4</v>
      </c>
    </row>
    <row r="24" spans="2:5" ht="15" customHeight="1">
      <c r="B24" s="73"/>
      <c r="C24" s="30" t="s">
        <v>540</v>
      </c>
      <c r="D24" s="29">
        <v>1</v>
      </c>
      <c r="E24" s="28">
        <v>4.6339202965708991E-4</v>
      </c>
    </row>
    <row r="25" spans="2:5" ht="15" customHeight="1">
      <c r="B25" s="73"/>
      <c r="C25" s="30" t="s">
        <v>541</v>
      </c>
      <c r="D25" s="29">
        <v>1</v>
      </c>
      <c r="E25" s="28">
        <v>4.6339202965708991E-4</v>
      </c>
    </row>
    <row r="26" spans="2:5" ht="15" customHeight="1">
      <c r="B26" s="73"/>
      <c r="C26" s="30" t="s">
        <v>465</v>
      </c>
      <c r="D26" s="29">
        <v>1</v>
      </c>
      <c r="E26" s="28">
        <v>4.6339202965708991E-4</v>
      </c>
    </row>
    <row r="27" spans="2:5" ht="15" customHeight="1">
      <c r="B27" s="73"/>
      <c r="C27" s="30" t="s">
        <v>464</v>
      </c>
      <c r="D27" s="29">
        <v>3</v>
      </c>
      <c r="E27" s="28">
        <v>1.3901760889712697E-3</v>
      </c>
    </row>
    <row r="28" spans="2:5" ht="15" customHeight="1">
      <c r="B28" s="73"/>
      <c r="C28" s="30" t="s">
        <v>463</v>
      </c>
      <c r="D28" s="29">
        <v>1</v>
      </c>
      <c r="E28" s="28">
        <v>4.6339202965708991E-4</v>
      </c>
    </row>
    <row r="29" spans="2:5" ht="15" customHeight="1">
      <c r="B29" s="73"/>
      <c r="C29" s="30" t="s">
        <v>462</v>
      </c>
      <c r="D29" s="29">
        <v>2</v>
      </c>
      <c r="E29" s="28">
        <v>9.2678405931417981E-4</v>
      </c>
    </row>
    <row r="30" spans="2:5" ht="15" customHeight="1">
      <c r="B30" s="73"/>
      <c r="C30" s="30" t="s">
        <v>542</v>
      </c>
      <c r="D30" s="29">
        <v>1</v>
      </c>
      <c r="E30" s="28">
        <v>4.6339202965708991E-4</v>
      </c>
    </row>
    <row r="31" spans="2:5" ht="15" customHeight="1">
      <c r="B31" s="73"/>
      <c r="C31" s="30" t="s">
        <v>461</v>
      </c>
      <c r="D31" s="29">
        <v>1</v>
      </c>
      <c r="E31" s="28">
        <v>4.6339202965708991E-4</v>
      </c>
    </row>
    <row r="32" spans="2:5" ht="15" customHeight="1">
      <c r="B32" s="73"/>
      <c r="C32" s="30" t="s">
        <v>543</v>
      </c>
      <c r="D32" s="29">
        <v>1</v>
      </c>
      <c r="E32" s="28">
        <v>4.6339202965708991E-4</v>
      </c>
    </row>
    <row r="33" spans="2:5" ht="15" customHeight="1">
      <c r="B33" s="73"/>
      <c r="C33" s="30" t="s">
        <v>460</v>
      </c>
      <c r="D33" s="29">
        <v>1</v>
      </c>
      <c r="E33" s="28">
        <v>4.6339202965708991E-4</v>
      </c>
    </row>
    <row r="34" spans="2:5" ht="15" customHeight="1">
      <c r="B34" s="73"/>
      <c r="C34" s="30" t="s">
        <v>459</v>
      </c>
      <c r="D34" s="29">
        <v>1</v>
      </c>
      <c r="E34" s="28">
        <v>4.6339202965708991E-4</v>
      </c>
    </row>
    <row r="35" spans="2:5" ht="15" customHeight="1">
      <c r="B35" s="73"/>
      <c r="C35" s="30" t="s">
        <v>458</v>
      </c>
      <c r="D35" s="29">
        <v>4</v>
      </c>
      <c r="E35" s="28">
        <v>1.8535681186283596E-3</v>
      </c>
    </row>
    <row r="36" spans="2:5" ht="15" customHeight="1">
      <c r="B36" s="73"/>
      <c r="C36" s="30" t="s">
        <v>457</v>
      </c>
      <c r="D36" s="29">
        <v>1</v>
      </c>
      <c r="E36" s="28">
        <v>4.6339202965708991E-4</v>
      </c>
    </row>
    <row r="37" spans="2:5" ht="15" customHeight="1">
      <c r="B37" s="73"/>
      <c r="C37" s="30" t="s">
        <v>544</v>
      </c>
      <c r="D37" s="29">
        <v>1</v>
      </c>
      <c r="E37" s="28">
        <v>4.6339202965708991E-4</v>
      </c>
    </row>
    <row r="38" spans="2:5" ht="15" customHeight="1">
      <c r="B38" s="73"/>
      <c r="C38" s="30" t="s">
        <v>456</v>
      </c>
      <c r="D38" s="29">
        <v>1</v>
      </c>
      <c r="E38" s="28">
        <v>4.6339202965708991E-4</v>
      </c>
    </row>
    <row r="39" spans="2:5" ht="15" customHeight="1">
      <c r="B39" s="73"/>
      <c r="C39" s="30" t="s">
        <v>455</v>
      </c>
      <c r="D39" s="29">
        <v>5</v>
      </c>
      <c r="E39" s="28">
        <v>2.3169601482854493E-3</v>
      </c>
    </row>
    <row r="40" spans="2:5" ht="15" customHeight="1">
      <c r="B40" s="73"/>
      <c r="C40" s="30" t="s">
        <v>454</v>
      </c>
      <c r="D40" s="29">
        <v>1</v>
      </c>
      <c r="E40" s="28">
        <v>4.6339202965708991E-4</v>
      </c>
    </row>
    <row r="41" spans="2:5" ht="15" customHeight="1">
      <c r="B41" s="73"/>
      <c r="C41" s="30" t="s">
        <v>453</v>
      </c>
      <c r="D41" s="29">
        <v>1</v>
      </c>
      <c r="E41" s="28">
        <v>4.6339202965708991E-4</v>
      </c>
    </row>
    <row r="42" spans="2:5" ht="15" customHeight="1">
      <c r="B42" s="73"/>
      <c r="C42" s="30" t="s">
        <v>452</v>
      </c>
      <c r="D42" s="29">
        <v>2</v>
      </c>
      <c r="E42" s="28">
        <v>9.2678405931417981E-4</v>
      </c>
    </row>
    <row r="43" spans="2:5" ht="15" customHeight="1">
      <c r="B43" s="73"/>
      <c r="C43" s="30" t="s">
        <v>451</v>
      </c>
      <c r="D43" s="29">
        <v>9</v>
      </c>
      <c r="E43" s="28">
        <v>4.1705282669138094E-3</v>
      </c>
    </row>
    <row r="44" spans="2:5" ht="15" customHeight="1">
      <c r="B44" s="73"/>
      <c r="C44" s="30" t="s">
        <v>450</v>
      </c>
      <c r="D44" s="29">
        <v>1</v>
      </c>
      <c r="E44" s="28">
        <v>4.6339202965708991E-4</v>
      </c>
    </row>
    <row r="45" spans="2:5" ht="15" customHeight="1">
      <c r="B45" s="73"/>
      <c r="C45" s="30" t="s">
        <v>545</v>
      </c>
      <c r="D45" s="29">
        <v>1</v>
      </c>
      <c r="E45" s="28">
        <v>4.6339202965708991E-4</v>
      </c>
    </row>
    <row r="46" spans="2:5" ht="15" customHeight="1">
      <c r="B46" s="73"/>
      <c r="C46" s="30" t="s">
        <v>449</v>
      </c>
      <c r="D46" s="29">
        <v>1</v>
      </c>
      <c r="E46" s="28">
        <v>4.6339202965708991E-4</v>
      </c>
    </row>
    <row r="47" spans="2:5" ht="15" customHeight="1">
      <c r="B47" s="74"/>
      <c r="C47" s="27" t="s">
        <v>15</v>
      </c>
      <c r="D47" s="26">
        <v>44</v>
      </c>
      <c r="E47" s="25">
        <v>2.0389249304911955E-2</v>
      </c>
    </row>
    <row r="48" spans="2:5" ht="15" customHeight="1">
      <c r="B48" s="72" t="s">
        <v>44</v>
      </c>
      <c r="C48" s="30" t="s">
        <v>448</v>
      </c>
      <c r="D48" s="29">
        <v>2</v>
      </c>
      <c r="E48" s="28">
        <v>9.2678405931417981E-4</v>
      </c>
    </row>
    <row r="49" spans="2:5" ht="15" customHeight="1">
      <c r="B49" s="73"/>
      <c r="C49" s="30" t="s">
        <v>447</v>
      </c>
      <c r="D49" s="29">
        <v>1</v>
      </c>
      <c r="E49" s="28">
        <v>4.6339202965708991E-4</v>
      </c>
    </row>
    <row r="50" spans="2:5" ht="15" customHeight="1">
      <c r="B50" s="73"/>
      <c r="C50" s="30" t="s">
        <v>546</v>
      </c>
      <c r="D50" s="29">
        <v>2</v>
      </c>
      <c r="E50" s="28">
        <v>9.2678405931417981E-4</v>
      </c>
    </row>
    <row r="51" spans="2:5" ht="15" customHeight="1">
      <c r="B51" s="73"/>
      <c r="C51" s="30" t="s">
        <v>547</v>
      </c>
      <c r="D51" s="29">
        <v>1</v>
      </c>
      <c r="E51" s="28">
        <v>4.6339202965708991E-4</v>
      </c>
    </row>
    <row r="52" spans="2:5" ht="15" customHeight="1">
      <c r="B52" s="73"/>
      <c r="C52" s="30" t="s">
        <v>446</v>
      </c>
      <c r="D52" s="29">
        <v>1</v>
      </c>
      <c r="E52" s="28">
        <v>4.6339202965708991E-4</v>
      </c>
    </row>
    <row r="53" spans="2:5" ht="15" customHeight="1">
      <c r="B53" s="73"/>
      <c r="C53" s="30" t="s">
        <v>445</v>
      </c>
      <c r="D53" s="29">
        <v>1</v>
      </c>
      <c r="E53" s="28">
        <v>4.6339202965708991E-4</v>
      </c>
    </row>
    <row r="54" spans="2:5" ht="15" customHeight="1">
      <c r="B54" s="73"/>
      <c r="C54" s="30" t="s">
        <v>444</v>
      </c>
      <c r="D54" s="29">
        <v>31</v>
      </c>
      <c r="E54" s="28">
        <v>1.4365152919369786E-2</v>
      </c>
    </row>
    <row r="55" spans="2:5" ht="15" customHeight="1">
      <c r="B55" s="73"/>
      <c r="C55" s="30" t="s">
        <v>44</v>
      </c>
      <c r="D55" s="29">
        <v>31</v>
      </c>
      <c r="E55" s="28">
        <v>1.4365152919369786E-2</v>
      </c>
    </row>
    <row r="56" spans="2:5" ht="15" customHeight="1">
      <c r="B56" s="73"/>
      <c r="C56" s="30" t="s">
        <v>548</v>
      </c>
      <c r="D56" s="29">
        <v>2</v>
      </c>
      <c r="E56" s="28">
        <v>9.2678405931417981E-4</v>
      </c>
    </row>
    <row r="57" spans="2:5" ht="15" customHeight="1">
      <c r="B57" s="73"/>
      <c r="C57" s="30" t="s">
        <v>443</v>
      </c>
      <c r="D57" s="29">
        <v>1</v>
      </c>
      <c r="E57" s="28">
        <v>4.6339202965708991E-4</v>
      </c>
    </row>
    <row r="58" spans="2:5" ht="15" customHeight="1">
      <c r="B58" s="73"/>
      <c r="C58" s="30" t="s">
        <v>421</v>
      </c>
      <c r="D58" s="29">
        <v>7</v>
      </c>
      <c r="E58" s="28">
        <v>3.2437442075996291E-3</v>
      </c>
    </row>
    <row r="59" spans="2:5" ht="15" customHeight="1">
      <c r="B59" s="73"/>
      <c r="C59" s="30" t="s">
        <v>442</v>
      </c>
      <c r="D59" s="29">
        <v>23</v>
      </c>
      <c r="E59" s="28">
        <v>1.0658016682113068E-2</v>
      </c>
    </row>
    <row r="60" spans="2:5" ht="15" customHeight="1">
      <c r="B60" s="73"/>
      <c r="C60" s="30" t="s">
        <v>288</v>
      </c>
      <c r="D60" s="29">
        <v>1</v>
      </c>
      <c r="E60" s="28">
        <v>4.6339202965708991E-4</v>
      </c>
    </row>
    <row r="61" spans="2:5" ht="15" customHeight="1">
      <c r="B61" s="73"/>
      <c r="C61" s="30" t="s">
        <v>60</v>
      </c>
      <c r="D61" s="29">
        <v>1</v>
      </c>
      <c r="E61" s="28">
        <v>4.6339202965708991E-4</v>
      </c>
    </row>
    <row r="62" spans="2:5" ht="15" customHeight="1">
      <c r="B62" s="73"/>
      <c r="C62" s="30" t="s">
        <v>549</v>
      </c>
      <c r="D62" s="29">
        <v>1</v>
      </c>
      <c r="E62" s="28">
        <v>4.6339202965708991E-4</v>
      </c>
    </row>
    <row r="63" spans="2:5" ht="15" customHeight="1">
      <c r="B63" s="73"/>
      <c r="C63" s="30" t="s">
        <v>441</v>
      </c>
      <c r="D63" s="29">
        <v>15</v>
      </c>
      <c r="E63" s="28">
        <v>6.9508804448563484E-3</v>
      </c>
    </row>
    <row r="64" spans="2:5" ht="15" customHeight="1">
      <c r="B64" s="73"/>
      <c r="C64" s="30" t="s">
        <v>111</v>
      </c>
      <c r="D64" s="29">
        <v>4</v>
      </c>
      <c r="E64" s="28">
        <v>1.8535681186283596E-3</v>
      </c>
    </row>
    <row r="65" spans="2:5" ht="15" customHeight="1">
      <c r="B65" s="73"/>
      <c r="C65" s="30" t="s">
        <v>440</v>
      </c>
      <c r="D65" s="29">
        <v>49</v>
      </c>
      <c r="E65" s="28">
        <v>2.2706209453197405E-2</v>
      </c>
    </row>
    <row r="66" spans="2:5" ht="15" customHeight="1">
      <c r="B66" s="73"/>
      <c r="C66" s="30" t="s">
        <v>439</v>
      </c>
      <c r="D66" s="29">
        <v>10</v>
      </c>
      <c r="E66" s="28">
        <v>4.6339202965708986E-3</v>
      </c>
    </row>
    <row r="67" spans="2:5" ht="15" customHeight="1">
      <c r="B67" s="73"/>
      <c r="C67" s="30" t="s">
        <v>550</v>
      </c>
      <c r="D67" s="29">
        <v>1</v>
      </c>
      <c r="E67" s="28">
        <v>4.6339202965708991E-4</v>
      </c>
    </row>
    <row r="68" spans="2:5" ht="15" customHeight="1">
      <c r="B68" s="73"/>
      <c r="C68" s="30" t="s">
        <v>438</v>
      </c>
      <c r="D68" s="29">
        <v>4</v>
      </c>
      <c r="E68" s="28">
        <v>1.8535681186283596E-3</v>
      </c>
    </row>
    <row r="69" spans="2:5" ht="15" customHeight="1">
      <c r="B69" s="73"/>
      <c r="C69" s="30" t="s">
        <v>108</v>
      </c>
      <c r="D69" s="29">
        <v>1</v>
      </c>
      <c r="E69" s="28">
        <v>4.6339202965708991E-4</v>
      </c>
    </row>
    <row r="70" spans="2:5" ht="15" customHeight="1">
      <c r="B70" s="73"/>
      <c r="C70" s="30" t="s">
        <v>437</v>
      </c>
      <c r="D70" s="29">
        <v>1</v>
      </c>
      <c r="E70" s="28">
        <v>4.6339202965708991E-4</v>
      </c>
    </row>
    <row r="71" spans="2:5" ht="15" customHeight="1">
      <c r="B71" s="73"/>
      <c r="C71" s="30" t="s">
        <v>551</v>
      </c>
      <c r="D71" s="29">
        <v>1</v>
      </c>
      <c r="E71" s="28">
        <v>4.6339202965708991E-4</v>
      </c>
    </row>
    <row r="72" spans="2:5" ht="15" customHeight="1">
      <c r="B72" s="73"/>
      <c r="C72" s="30" t="s">
        <v>552</v>
      </c>
      <c r="D72" s="29">
        <v>1</v>
      </c>
      <c r="E72" s="28">
        <v>4.6339202965708991E-4</v>
      </c>
    </row>
    <row r="73" spans="2:5" ht="15" customHeight="1">
      <c r="B73" s="73"/>
      <c r="C73" s="30" t="s">
        <v>553</v>
      </c>
      <c r="D73" s="29">
        <v>1</v>
      </c>
      <c r="E73" s="28">
        <v>4.6339202965708991E-4</v>
      </c>
    </row>
    <row r="74" spans="2:5" ht="15" customHeight="1">
      <c r="B74" s="73"/>
      <c r="C74" s="30" t="s">
        <v>436</v>
      </c>
      <c r="D74" s="29">
        <v>2</v>
      </c>
      <c r="E74" s="28">
        <v>9.2678405931417981E-4</v>
      </c>
    </row>
    <row r="75" spans="2:5" ht="15" customHeight="1">
      <c r="B75" s="73"/>
      <c r="C75" s="30" t="s">
        <v>435</v>
      </c>
      <c r="D75" s="29">
        <v>1</v>
      </c>
      <c r="E75" s="28">
        <v>4.6339202965708991E-4</v>
      </c>
    </row>
    <row r="76" spans="2:5" ht="15" customHeight="1">
      <c r="B76" s="74"/>
      <c r="C76" s="27" t="s">
        <v>15</v>
      </c>
      <c r="D76" s="26">
        <v>197</v>
      </c>
      <c r="E76" s="25">
        <v>9.1288229842446708E-2</v>
      </c>
    </row>
    <row r="77" spans="2:5" ht="15" customHeight="1">
      <c r="B77" s="72" t="s">
        <v>29</v>
      </c>
      <c r="C77" s="30" t="s">
        <v>554</v>
      </c>
      <c r="D77" s="29">
        <v>1</v>
      </c>
      <c r="E77" s="28">
        <v>4.6339202965708991E-4</v>
      </c>
    </row>
    <row r="78" spans="2:5" ht="15" customHeight="1">
      <c r="B78" s="73"/>
      <c r="C78" s="30" t="s">
        <v>312</v>
      </c>
      <c r="D78" s="29">
        <v>1</v>
      </c>
      <c r="E78" s="28">
        <v>4.6339202965708991E-4</v>
      </c>
    </row>
    <row r="79" spans="2:5" ht="15" customHeight="1">
      <c r="B79" s="73"/>
      <c r="C79" s="30" t="s">
        <v>110</v>
      </c>
      <c r="D79" s="29">
        <v>5</v>
      </c>
      <c r="E79" s="28">
        <v>2.3169601482854493E-3</v>
      </c>
    </row>
    <row r="80" spans="2:5" ht="15" customHeight="1">
      <c r="B80" s="73"/>
      <c r="C80" s="30" t="s">
        <v>433</v>
      </c>
      <c r="D80" s="29">
        <v>1</v>
      </c>
      <c r="E80" s="28">
        <v>4.6339202965708991E-4</v>
      </c>
    </row>
    <row r="81" spans="2:5" ht="15" customHeight="1">
      <c r="B81" s="73"/>
      <c r="C81" s="30" t="s">
        <v>555</v>
      </c>
      <c r="D81" s="29">
        <v>1</v>
      </c>
      <c r="E81" s="28">
        <v>4.6339202965708991E-4</v>
      </c>
    </row>
    <row r="82" spans="2:5" ht="15" customHeight="1">
      <c r="B82" s="73"/>
      <c r="C82" s="30" t="s">
        <v>556</v>
      </c>
      <c r="D82" s="29">
        <v>1</v>
      </c>
      <c r="E82" s="28">
        <v>4.6339202965708991E-4</v>
      </c>
    </row>
    <row r="83" spans="2:5" ht="15" customHeight="1">
      <c r="B83" s="73"/>
      <c r="C83" s="30" t="s">
        <v>432</v>
      </c>
      <c r="D83" s="29">
        <v>1</v>
      </c>
      <c r="E83" s="28">
        <v>4.6339202965708991E-4</v>
      </c>
    </row>
    <row r="84" spans="2:5" ht="15" customHeight="1">
      <c r="B84" s="73"/>
      <c r="C84" s="30" t="s">
        <v>557</v>
      </c>
      <c r="D84" s="29">
        <v>1</v>
      </c>
      <c r="E84" s="28">
        <v>4.6339202965708991E-4</v>
      </c>
    </row>
    <row r="85" spans="2:5" ht="15" customHeight="1">
      <c r="B85" s="73"/>
      <c r="C85" s="30" t="s">
        <v>431</v>
      </c>
      <c r="D85" s="29">
        <v>1</v>
      </c>
      <c r="E85" s="28">
        <v>4.6339202965708991E-4</v>
      </c>
    </row>
    <row r="86" spans="2:5" ht="15" customHeight="1">
      <c r="B86" s="73"/>
      <c r="C86" s="30" t="s">
        <v>430</v>
      </c>
      <c r="D86" s="29">
        <v>1</v>
      </c>
      <c r="E86" s="28">
        <v>4.6339202965708991E-4</v>
      </c>
    </row>
    <row r="87" spans="2:5" ht="15" customHeight="1">
      <c r="B87" s="73"/>
      <c r="C87" s="30" t="s">
        <v>429</v>
      </c>
      <c r="D87" s="29">
        <v>14</v>
      </c>
      <c r="E87" s="28">
        <v>6.4874884151992582E-3</v>
      </c>
    </row>
    <row r="88" spans="2:5" ht="15" customHeight="1">
      <c r="B88" s="74"/>
      <c r="C88" s="27" t="s">
        <v>15</v>
      </c>
      <c r="D88" s="26">
        <v>28</v>
      </c>
      <c r="E88" s="25">
        <v>1.2974976830398516E-2</v>
      </c>
    </row>
    <row r="89" spans="2:5" ht="15" customHeight="1">
      <c r="B89" s="72" t="s">
        <v>21</v>
      </c>
      <c r="C89" s="30" t="s">
        <v>428</v>
      </c>
      <c r="D89" s="29">
        <v>5</v>
      </c>
      <c r="E89" s="28">
        <v>2.3169601482854493E-3</v>
      </c>
    </row>
    <row r="90" spans="2:5" ht="15" customHeight="1">
      <c r="B90" s="73"/>
      <c r="C90" s="30" t="s">
        <v>21</v>
      </c>
      <c r="D90" s="29">
        <v>1</v>
      </c>
      <c r="E90" s="28">
        <v>4.6339202965708991E-4</v>
      </c>
    </row>
    <row r="91" spans="2:5" ht="15" customHeight="1">
      <c r="B91" s="73"/>
      <c r="C91" s="30" t="s">
        <v>427</v>
      </c>
      <c r="D91" s="29">
        <v>1</v>
      </c>
      <c r="E91" s="28">
        <v>4.6339202965708991E-4</v>
      </c>
    </row>
    <row r="92" spans="2:5" ht="15" customHeight="1">
      <c r="B92" s="73"/>
      <c r="C92" s="30" t="s">
        <v>426</v>
      </c>
      <c r="D92" s="29">
        <v>11</v>
      </c>
      <c r="E92" s="28">
        <v>5.0973123262279887E-3</v>
      </c>
    </row>
    <row r="93" spans="2:5" ht="15" customHeight="1">
      <c r="B93" s="74"/>
      <c r="C93" s="27" t="s">
        <v>15</v>
      </c>
      <c r="D93" s="26">
        <v>18</v>
      </c>
      <c r="E93" s="25">
        <v>8.3410565338276187E-3</v>
      </c>
    </row>
    <row r="94" spans="2:5" ht="15" customHeight="1">
      <c r="B94" s="72" t="s">
        <v>37</v>
      </c>
      <c r="C94" s="30" t="s">
        <v>425</v>
      </c>
      <c r="D94" s="29">
        <v>8</v>
      </c>
      <c r="E94" s="28">
        <v>3.7071362372567192E-3</v>
      </c>
    </row>
    <row r="95" spans="2:5" ht="15" customHeight="1">
      <c r="B95" s="73"/>
      <c r="C95" s="30" t="s">
        <v>424</v>
      </c>
      <c r="D95" s="29">
        <v>13</v>
      </c>
      <c r="E95" s="28">
        <v>6.024096385542169E-3</v>
      </c>
    </row>
    <row r="96" spans="2:5" ht="15" customHeight="1">
      <c r="B96" s="73"/>
      <c r="C96" s="30" t="s">
        <v>144</v>
      </c>
      <c r="D96" s="29">
        <v>17</v>
      </c>
      <c r="E96" s="28">
        <v>7.8776645041705277E-3</v>
      </c>
    </row>
    <row r="97" spans="2:5" ht="15" customHeight="1">
      <c r="B97" s="73"/>
      <c r="C97" s="30" t="s">
        <v>423</v>
      </c>
      <c r="D97" s="29">
        <v>3</v>
      </c>
      <c r="E97" s="28">
        <v>1.3901760889712697E-3</v>
      </c>
    </row>
    <row r="98" spans="2:5" ht="15" customHeight="1">
      <c r="B98" s="73"/>
      <c r="C98" s="30" t="s">
        <v>422</v>
      </c>
      <c r="D98" s="29">
        <v>3</v>
      </c>
      <c r="E98" s="28">
        <v>1.3901760889712697E-3</v>
      </c>
    </row>
    <row r="99" spans="2:5" ht="15" customHeight="1">
      <c r="B99" s="73"/>
      <c r="C99" s="30" t="s">
        <v>421</v>
      </c>
      <c r="D99" s="29">
        <v>9</v>
      </c>
      <c r="E99" s="28">
        <v>4.1705282669138094E-3</v>
      </c>
    </row>
    <row r="100" spans="2:5" ht="15" customHeight="1">
      <c r="B100" s="73"/>
      <c r="C100" s="30" t="s">
        <v>420</v>
      </c>
      <c r="D100" s="29">
        <v>16</v>
      </c>
      <c r="E100" s="28">
        <v>7.4142724745134385E-3</v>
      </c>
    </row>
    <row r="101" spans="2:5" ht="15" customHeight="1">
      <c r="B101" s="73"/>
      <c r="C101" s="30" t="s">
        <v>419</v>
      </c>
      <c r="D101" s="29">
        <v>5</v>
      </c>
      <c r="E101" s="28">
        <v>2.3169601482854493E-3</v>
      </c>
    </row>
    <row r="102" spans="2:5" ht="15" customHeight="1">
      <c r="B102" s="73"/>
      <c r="C102" s="30" t="s">
        <v>418</v>
      </c>
      <c r="D102" s="29">
        <v>10</v>
      </c>
      <c r="E102" s="28">
        <v>4.6339202965708986E-3</v>
      </c>
    </row>
    <row r="103" spans="2:5" ht="15" customHeight="1">
      <c r="B103" s="73"/>
      <c r="C103" s="30" t="s">
        <v>417</v>
      </c>
      <c r="D103" s="29">
        <v>4</v>
      </c>
      <c r="E103" s="28">
        <v>1.8535681186283596E-3</v>
      </c>
    </row>
    <row r="104" spans="2:5" ht="15" customHeight="1">
      <c r="B104" s="73"/>
      <c r="C104" s="30" t="s">
        <v>558</v>
      </c>
      <c r="D104" s="29">
        <v>1</v>
      </c>
      <c r="E104" s="28">
        <v>4.6339202965708991E-4</v>
      </c>
    </row>
    <row r="105" spans="2:5" ht="15" customHeight="1">
      <c r="B105" s="73"/>
      <c r="C105" s="30" t="s">
        <v>233</v>
      </c>
      <c r="D105" s="29">
        <v>7</v>
      </c>
      <c r="E105" s="28">
        <v>3.2437442075996291E-3</v>
      </c>
    </row>
    <row r="106" spans="2:5" ht="15" customHeight="1">
      <c r="B106" s="74"/>
      <c r="C106" s="27" t="s">
        <v>15</v>
      </c>
      <c r="D106" s="26">
        <v>96</v>
      </c>
      <c r="E106" s="25">
        <v>4.4485634847080631E-2</v>
      </c>
    </row>
    <row r="107" spans="2:5" ht="15" customHeight="1">
      <c r="B107" s="72" t="s">
        <v>36</v>
      </c>
      <c r="C107" s="30" t="s">
        <v>416</v>
      </c>
      <c r="D107" s="29">
        <v>4</v>
      </c>
      <c r="E107" s="28">
        <v>1.8535681186283596E-3</v>
      </c>
    </row>
    <row r="108" spans="2:5" ht="15" customHeight="1">
      <c r="B108" s="73"/>
      <c r="C108" s="30" t="s">
        <v>415</v>
      </c>
      <c r="D108" s="29">
        <v>1</v>
      </c>
      <c r="E108" s="28">
        <v>4.6339202965708991E-4</v>
      </c>
    </row>
    <row r="109" spans="2:5" ht="15" customHeight="1">
      <c r="B109" s="73"/>
      <c r="C109" s="30" t="s">
        <v>36</v>
      </c>
      <c r="D109" s="29">
        <v>18</v>
      </c>
      <c r="E109" s="28">
        <v>8.3410565338276187E-3</v>
      </c>
    </row>
    <row r="110" spans="2:5" ht="15" customHeight="1">
      <c r="B110" s="73"/>
      <c r="C110" s="30" t="s">
        <v>391</v>
      </c>
      <c r="D110" s="29">
        <v>4</v>
      </c>
      <c r="E110" s="28">
        <v>1.8535681186283596E-3</v>
      </c>
    </row>
    <row r="111" spans="2:5" ht="15" customHeight="1">
      <c r="B111" s="73"/>
      <c r="C111" s="30" t="s">
        <v>414</v>
      </c>
      <c r="D111" s="29">
        <v>18</v>
      </c>
      <c r="E111" s="28">
        <v>8.3410565338276187E-3</v>
      </c>
    </row>
    <row r="112" spans="2:5" ht="15" customHeight="1">
      <c r="B112" s="73"/>
      <c r="C112" s="30" t="s">
        <v>413</v>
      </c>
      <c r="D112" s="29">
        <v>1</v>
      </c>
      <c r="E112" s="28">
        <v>4.6339202965708991E-4</v>
      </c>
    </row>
    <row r="113" spans="2:5" ht="15" customHeight="1">
      <c r="B113" s="73"/>
      <c r="C113" s="30" t="s">
        <v>412</v>
      </c>
      <c r="D113" s="29">
        <v>1</v>
      </c>
      <c r="E113" s="28">
        <v>4.6339202965708991E-4</v>
      </c>
    </row>
    <row r="114" spans="2:5" ht="15" customHeight="1">
      <c r="B114" s="73"/>
      <c r="C114" s="30" t="s">
        <v>411</v>
      </c>
      <c r="D114" s="29">
        <v>2</v>
      </c>
      <c r="E114" s="28">
        <v>9.2678405931417981E-4</v>
      </c>
    </row>
    <row r="115" spans="2:5" ht="15" customHeight="1">
      <c r="B115" s="73"/>
      <c r="C115" s="30" t="s">
        <v>410</v>
      </c>
      <c r="D115" s="29">
        <v>1</v>
      </c>
      <c r="E115" s="28">
        <v>4.6339202965708991E-4</v>
      </c>
    </row>
    <row r="116" spans="2:5" ht="15" customHeight="1">
      <c r="B116" s="73"/>
      <c r="C116" s="30" t="s">
        <v>409</v>
      </c>
      <c r="D116" s="29">
        <v>12</v>
      </c>
      <c r="E116" s="28">
        <v>5.5607043558850789E-3</v>
      </c>
    </row>
    <row r="117" spans="2:5" ht="15" customHeight="1">
      <c r="B117" s="73"/>
      <c r="C117" s="30" t="s">
        <v>408</v>
      </c>
      <c r="D117" s="29">
        <v>2</v>
      </c>
      <c r="E117" s="28">
        <v>9.2678405931417981E-4</v>
      </c>
    </row>
    <row r="118" spans="2:5" ht="15" customHeight="1">
      <c r="B118" s="73"/>
      <c r="C118" s="30" t="s">
        <v>108</v>
      </c>
      <c r="D118" s="29">
        <v>1</v>
      </c>
      <c r="E118" s="28">
        <v>4.6339202965708991E-4</v>
      </c>
    </row>
    <row r="119" spans="2:5" ht="15" customHeight="1">
      <c r="B119" s="73"/>
      <c r="C119" s="30" t="s">
        <v>559</v>
      </c>
      <c r="D119" s="29">
        <v>1</v>
      </c>
      <c r="E119" s="28">
        <v>4.6339202965708991E-4</v>
      </c>
    </row>
    <row r="120" spans="2:5" ht="15" customHeight="1">
      <c r="B120" s="73"/>
      <c r="C120" s="30" t="s">
        <v>535</v>
      </c>
      <c r="D120" s="29">
        <v>4</v>
      </c>
      <c r="E120" s="28">
        <v>1.8535681186283596E-3</v>
      </c>
    </row>
    <row r="121" spans="2:5" ht="15" customHeight="1">
      <c r="B121" s="73"/>
      <c r="C121" s="30" t="s">
        <v>407</v>
      </c>
      <c r="D121" s="29">
        <v>4</v>
      </c>
      <c r="E121" s="28">
        <v>1.8535681186283596E-3</v>
      </c>
    </row>
    <row r="122" spans="2:5" ht="15" customHeight="1">
      <c r="B122" s="73"/>
      <c r="C122" s="30" t="s">
        <v>406</v>
      </c>
      <c r="D122" s="29">
        <v>3</v>
      </c>
      <c r="E122" s="28">
        <v>1.3901760889712697E-3</v>
      </c>
    </row>
    <row r="123" spans="2:5" ht="15" customHeight="1">
      <c r="B123" s="73"/>
      <c r="C123" s="30" t="s">
        <v>405</v>
      </c>
      <c r="D123" s="29">
        <v>1</v>
      </c>
      <c r="E123" s="28">
        <v>4.6339202965708991E-4</v>
      </c>
    </row>
    <row r="124" spans="2:5" ht="15" customHeight="1">
      <c r="B124" s="73"/>
      <c r="C124" s="30" t="s">
        <v>560</v>
      </c>
      <c r="D124" s="29">
        <v>1</v>
      </c>
      <c r="E124" s="28">
        <v>4.6339202965708991E-4</v>
      </c>
    </row>
    <row r="125" spans="2:5" ht="15" customHeight="1">
      <c r="B125" s="73"/>
      <c r="C125" s="30" t="s">
        <v>561</v>
      </c>
      <c r="D125" s="29">
        <v>4</v>
      </c>
      <c r="E125" s="28">
        <v>1.8535681186283596E-3</v>
      </c>
    </row>
    <row r="126" spans="2:5" ht="15" customHeight="1">
      <c r="B126" s="74"/>
      <c r="C126" s="27" t="s">
        <v>15</v>
      </c>
      <c r="D126" s="26">
        <v>83</v>
      </c>
      <c r="E126" s="25">
        <v>3.8461538461538464E-2</v>
      </c>
    </row>
    <row r="127" spans="2:5" ht="15" customHeight="1">
      <c r="B127" s="72" t="s">
        <v>41</v>
      </c>
      <c r="C127" s="30" t="s">
        <v>404</v>
      </c>
      <c r="D127" s="29">
        <v>5</v>
      </c>
      <c r="E127" s="28">
        <v>2.3169601482854493E-3</v>
      </c>
    </row>
    <row r="128" spans="2:5" ht="15" customHeight="1">
      <c r="B128" s="73"/>
      <c r="C128" s="30" t="s">
        <v>403</v>
      </c>
      <c r="D128" s="29">
        <v>1</v>
      </c>
      <c r="E128" s="28">
        <v>4.6339202965708991E-4</v>
      </c>
    </row>
    <row r="129" spans="2:5" ht="15" customHeight="1">
      <c r="B129" s="73"/>
      <c r="C129" s="30" t="s">
        <v>562</v>
      </c>
      <c r="D129" s="29">
        <v>3</v>
      </c>
      <c r="E129" s="28">
        <v>1.3901760889712697E-3</v>
      </c>
    </row>
    <row r="130" spans="2:5" ht="15" customHeight="1">
      <c r="B130" s="73"/>
      <c r="C130" s="30" t="s">
        <v>402</v>
      </c>
      <c r="D130" s="29">
        <v>2</v>
      </c>
      <c r="E130" s="28">
        <v>9.2678405931417981E-4</v>
      </c>
    </row>
    <row r="131" spans="2:5" ht="15" customHeight="1">
      <c r="B131" s="73"/>
      <c r="C131" s="30" t="s">
        <v>563</v>
      </c>
      <c r="D131" s="29">
        <v>1</v>
      </c>
      <c r="E131" s="28">
        <v>4.6339202965708991E-4</v>
      </c>
    </row>
    <row r="132" spans="2:5" ht="15" customHeight="1">
      <c r="B132" s="73"/>
      <c r="C132" s="30" t="s">
        <v>401</v>
      </c>
      <c r="D132" s="29">
        <v>1</v>
      </c>
      <c r="E132" s="28">
        <v>4.6339202965708991E-4</v>
      </c>
    </row>
    <row r="133" spans="2:5" ht="15" customHeight="1">
      <c r="B133" s="73"/>
      <c r="C133" s="30" t="s">
        <v>400</v>
      </c>
      <c r="D133" s="29">
        <v>2</v>
      </c>
      <c r="E133" s="28">
        <v>9.2678405931417981E-4</v>
      </c>
    </row>
    <row r="134" spans="2:5" ht="15" customHeight="1">
      <c r="B134" s="73"/>
      <c r="C134" s="30" t="s">
        <v>399</v>
      </c>
      <c r="D134" s="29">
        <v>1</v>
      </c>
      <c r="E134" s="28">
        <v>4.6339202965708991E-4</v>
      </c>
    </row>
    <row r="135" spans="2:5" ht="15" customHeight="1">
      <c r="B135" s="73"/>
      <c r="C135" s="30" t="s">
        <v>398</v>
      </c>
      <c r="D135" s="29">
        <v>1</v>
      </c>
      <c r="E135" s="28">
        <v>4.6339202965708991E-4</v>
      </c>
    </row>
    <row r="136" spans="2:5" ht="15" customHeight="1">
      <c r="B136" s="73"/>
      <c r="C136" s="30" t="s">
        <v>397</v>
      </c>
      <c r="D136" s="29">
        <v>2</v>
      </c>
      <c r="E136" s="28">
        <v>9.2678405931417981E-4</v>
      </c>
    </row>
    <row r="137" spans="2:5" ht="15" customHeight="1">
      <c r="B137" s="73"/>
      <c r="C137" s="30" t="s">
        <v>396</v>
      </c>
      <c r="D137" s="29">
        <v>1</v>
      </c>
      <c r="E137" s="28">
        <v>4.6339202965708991E-4</v>
      </c>
    </row>
    <row r="138" spans="2:5" ht="15" customHeight="1">
      <c r="B138" s="73"/>
      <c r="C138" s="30" t="s">
        <v>395</v>
      </c>
      <c r="D138" s="29">
        <v>1</v>
      </c>
      <c r="E138" s="28">
        <v>4.6339202965708991E-4</v>
      </c>
    </row>
    <row r="139" spans="2:5" ht="15" customHeight="1">
      <c r="B139" s="73"/>
      <c r="C139" s="30" t="s">
        <v>394</v>
      </c>
      <c r="D139" s="29">
        <v>1</v>
      </c>
      <c r="E139" s="28">
        <v>4.6339202965708991E-4</v>
      </c>
    </row>
    <row r="140" spans="2:5" ht="15" customHeight="1">
      <c r="B140" s="73"/>
      <c r="C140" s="30" t="s">
        <v>393</v>
      </c>
      <c r="D140" s="29">
        <v>3</v>
      </c>
      <c r="E140" s="28">
        <v>1.3901760889712697E-3</v>
      </c>
    </row>
    <row r="141" spans="2:5" ht="15" customHeight="1">
      <c r="B141" s="73"/>
      <c r="C141" s="30" t="s">
        <v>392</v>
      </c>
      <c r="D141" s="29">
        <v>1</v>
      </c>
      <c r="E141" s="28">
        <v>4.6339202965708991E-4</v>
      </c>
    </row>
    <row r="142" spans="2:5" ht="15" customHeight="1">
      <c r="B142" s="73"/>
      <c r="C142" s="30" t="s">
        <v>564</v>
      </c>
      <c r="D142" s="29">
        <v>1</v>
      </c>
      <c r="E142" s="28">
        <v>4.6339202965708991E-4</v>
      </c>
    </row>
    <row r="143" spans="2:5" ht="15" customHeight="1">
      <c r="B143" s="73"/>
      <c r="C143" s="30" t="s">
        <v>390</v>
      </c>
      <c r="D143" s="29">
        <v>7</v>
      </c>
      <c r="E143" s="28">
        <v>3.2437442075996291E-3</v>
      </c>
    </row>
    <row r="144" spans="2:5" ht="15" customHeight="1">
      <c r="B144" s="73"/>
      <c r="C144" s="30" t="s">
        <v>389</v>
      </c>
      <c r="D144" s="29">
        <v>1</v>
      </c>
      <c r="E144" s="28">
        <v>4.6339202965708991E-4</v>
      </c>
    </row>
    <row r="145" spans="2:5" ht="15" customHeight="1">
      <c r="B145" s="73"/>
      <c r="C145" s="30" t="s">
        <v>388</v>
      </c>
      <c r="D145" s="29">
        <v>5</v>
      </c>
      <c r="E145" s="28">
        <v>2.3169601482854493E-3</v>
      </c>
    </row>
    <row r="146" spans="2:5" ht="15" customHeight="1">
      <c r="B146" s="73"/>
      <c r="C146" s="30" t="s">
        <v>387</v>
      </c>
      <c r="D146" s="29">
        <v>2</v>
      </c>
      <c r="E146" s="28">
        <v>9.2678405931417981E-4</v>
      </c>
    </row>
    <row r="147" spans="2:5" ht="15" customHeight="1">
      <c r="B147" s="73"/>
      <c r="C147" s="30" t="s">
        <v>565</v>
      </c>
      <c r="D147" s="29">
        <v>2</v>
      </c>
      <c r="E147" s="28">
        <v>9.2678405931417981E-4</v>
      </c>
    </row>
    <row r="148" spans="2:5" ht="15" customHeight="1">
      <c r="B148" s="73"/>
      <c r="C148" s="30" t="s">
        <v>566</v>
      </c>
      <c r="D148" s="29">
        <v>1</v>
      </c>
      <c r="E148" s="28">
        <v>4.6339202965708991E-4</v>
      </c>
    </row>
    <row r="149" spans="2:5" ht="15" customHeight="1">
      <c r="B149" s="73"/>
      <c r="C149" s="30" t="s">
        <v>27</v>
      </c>
      <c r="D149" s="29">
        <v>1</v>
      </c>
      <c r="E149" s="28">
        <v>4.6339202965708991E-4</v>
      </c>
    </row>
    <row r="150" spans="2:5" ht="15" customHeight="1">
      <c r="B150" s="73"/>
      <c r="C150" s="30" t="s">
        <v>386</v>
      </c>
      <c r="D150" s="29">
        <v>4</v>
      </c>
      <c r="E150" s="28">
        <v>1.8535681186283596E-3</v>
      </c>
    </row>
    <row r="151" spans="2:5" ht="15" customHeight="1">
      <c r="B151" s="73"/>
      <c r="C151" s="30" t="s">
        <v>385</v>
      </c>
      <c r="D151" s="29">
        <v>11</v>
      </c>
      <c r="E151" s="28">
        <v>5.0973123262279887E-3</v>
      </c>
    </row>
    <row r="152" spans="2:5" ht="15" customHeight="1">
      <c r="B152" s="73"/>
      <c r="C152" s="30" t="s">
        <v>384</v>
      </c>
      <c r="D152" s="29">
        <v>3</v>
      </c>
      <c r="E152" s="28">
        <v>1.3901760889712697E-3</v>
      </c>
    </row>
    <row r="153" spans="2:5" ht="15" customHeight="1">
      <c r="B153" s="73"/>
      <c r="C153" s="30" t="s">
        <v>383</v>
      </c>
      <c r="D153" s="29">
        <v>3</v>
      </c>
      <c r="E153" s="28">
        <v>1.3901760889712697E-3</v>
      </c>
    </row>
    <row r="154" spans="2:5" ht="15" customHeight="1">
      <c r="B154" s="73"/>
      <c r="C154" s="30" t="s">
        <v>382</v>
      </c>
      <c r="D154" s="29">
        <v>1</v>
      </c>
      <c r="E154" s="28">
        <v>4.6339202965708991E-4</v>
      </c>
    </row>
    <row r="155" spans="2:5" ht="15" customHeight="1">
      <c r="B155" s="73"/>
      <c r="C155" s="30" t="s">
        <v>381</v>
      </c>
      <c r="D155" s="29">
        <v>2</v>
      </c>
      <c r="E155" s="28">
        <v>9.2678405931417981E-4</v>
      </c>
    </row>
    <row r="156" spans="2:5" ht="15" customHeight="1">
      <c r="B156" s="73"/>
      <c r="C156" s="30" t="s">
        <v>380</v>
      </c>
      <c r="D156" s="29">
        <v>4</v>
      </c>
      <c r="E156" s="28">
        <v>1.8535681186283596E-3</v>
      </c>
    </row>
    <row r="157" spans="2:5" ht="15" customHeight="1">
      <c r="B157" s="73"/>
      <c r="C157" s="30" t="s">
        <v>379</v>
      </c>
      <c r="D157" s="29">
        <v>4</v>
      </c>
      <c r="E157" s="28">
        <v>1.8535681186283596E-3</v>
      </c>
    </row>
    <row r="158" spans="2:5" ht="15" customHeight="1">
      <c r="B158" s="73"/>
      <c r="C158" s="30" t="s">
        <v>567</v>
      </c>
      <c r="D158" s="29">
        <v>1</v>
      </c>
      <c r="E158" s="28">
        <v>4.6339202965708991E-4</v>
      </c>
    </row>
    <row r="159" spans="2:5" ht="15" customHeight="1">
      <c r="B159" s="73"/>
      <c r="C159" s="30" t="s">
        <v>568</v>
      </c>
      <c r="D159" s="29">
        <v>1</v>
      </c>
      <c r="E159" s="28">
        <v>4.6339202965708991E-4</v>
      </c>
    </row>
    <row r="160" spans="2:5" ht="15" customHeight="1">
      <c r="B160" s="73"/>
      <c r="C160" s="30" t="s">
        <v>378</v>
      </c>
      <c r="D160" s="29">
        <v>8</v>
      </c>
      <c r="E160" s="28">
        <v>3.7071362372567192E-3</v>
      </c>
    </row>
    <row r="161" spans="2:5" ht="15" customHeight="1">
      <c r="B161" s="73"/>
      <c r="C161" s="30" t="s">
        <v>377</v>
      </c>
      <c r="D161" s="29">
        <v>9</v>
      </c>
      <c r="E161" s="28">
        <v>4.1705282669138094E-3</v>
      </c>
    </row>
    <row r="162" spans="2:5" ht="15" customHeight="1">
      <c r="B162" s="73"/>
      <c r="C162" s="30" t="s">
        <v>376</v>
      </c>
      <c r="D162" s="29">
        <v>7</v>
      </c>
      <c r="E162" s="28">
        <v>3.2437442075996291E-3</v>
      </c>
    </row>
    <row r="163" spans="2:5" ht="15" customHeight="1">
      <c r="B163" s="73"/>
      <c r="C163" s="30" t="s">
        <v>569</v>
      </c>
      <c r="D163" s="29">
        <v>1</v>
      </c>
      <c r="E163" s="28">
        <v>4.6339202965708991E-4</v>
      </c>
    </row>
    <row r="164" spans="2:5" ht="15" customHeight="1">
      <c r="B164" s="73"/>
      <c r="C164" s="30" t="s">
        <v>375</v>
      </c>
      <c r="D164" s="29">
        <v>1</v>
      </c>
      <c r="E164" s="28">
        <v>4.6339202965708991E-4</v>
      </c>
    </row>
    <row r="165" spans="2:5" ht="15" customHeight="1">
      <c r="B165" s="73"/>
      <c r="C165" s="30" t="s">
        <v>570</v>
      </c>
      <c r="D165" s="29">
        <v>24</v>
      </c>
      <c r="E165" s="28">
        <v>1.1121408711770158E-2</v>
      </c>
    </row>
    <row r="166" spans="2:5" ht="15" customHeight="1">
      <c r="B166" s="73"/>
      <c r="C166" s="30" t="s">
        <v>571</v>
      </c>
      <c r="D166" s="29">
        <v>1</v>
      </c>
      <c r="E166" s="28">
        <v>4.6339202965708991E-4</v>
      </c>
    </row>
    <row r="167" spans="2:5" ht="15" customHeight="1">
      <c r="B167" s="73"/>
      <c r="C167" s="30" t="s">
        <v>374</v>
      </c>
      <c r="D167" s="29">
        <v>1</v>
      </c>
      <c r="E167" s="28">
        <v>4.6339202965708991E-4</v>
      </c>
    </row>
    <row r="168" spans="2:5" ht="15" customHeight="1">
      <c r="B168" s="73"/>
      <c r="C168" s="30" t="s">
        <v>373</v>
      </c>
      <c r="D168" s="29">
        <v>10</v>
      </c>
      <c r="E168" s="28">
        <v>4.6339202965708986E-3</v>
      </c>
    </row>
    <row r="169" spans="2:5" ht="15" customHeight="1">
      <c r="B169" s="73"/>
      <c r="C169" s="30" t="s">
        <v>372</v>
      </c>
      <c r="D169" s="29">
        <v>1</v>
      </c>
      <c r="E169" s="28">
        <v>4.6339202965708991E-4</v>
      </c>
    </row>
    <row r="170" spans="2:5" ht="15" customHeight="1">
      <c r="B170" s="74"/>
      <c r="C170" s="27" t="s">
        <v>15</v>
      </c>
      <c r="D170" s="26">
        <v>143</v>
      </c>
      <c r="E170" s="25">
        <v>6.6265060240963861E-2</v>
      </c>
    </row>
    <row r="171" spans="2:5" ht="15" customHeight="1">
      <c r="B171" s="72" t="s">
        <v>572</v>
      </c>
      <c r="C171" s="30" t="s">
        <v>209</v>
      </c>
      <c r="D171" s="29">
        <v>1</v>
      </c>
      <c r="E171" s="28">
        <v>4.6339202965708991E-4</v>
      </c>
    </row>
    <row r="172" spans="2:5" ht="15" customHeight="1">
      <c r="B172" s="73"/>
      <c r="C172" s="30" t="s">
        <v>371</v>
      </c>
      <c r="D172" s="29">
        <v>2</v>
      </c>
      <c r="E172" s="28">
        <v>9.2678405931417981E-4</v>
      </c>
    </row>
    <row r="173" spans="2:5" ht="15" customHeight="1">
      <c r="B173" s="73"/>
      <c r="C173" s="30" t="s">
        <v>434</v>
      </c>
      <c r="D173" s="29">
        <v>12</v>
      </c>
      <c r="E173" s="28">
        <v>5.5607043558850789E-3</v>
      </c>
    </row>
    <row r="174" spans="2:5" ht="15" customHeight="1">
      <c r="B174" s="73"/>
      <c r="C174" s="30" t="s">
        <v>370</v>
      </c>
      <c r="D174" s="29">
        <v>1</v>
      </c>
      <c r="E174" s="28">
        <v>4.6339202965708991E-4</v>
      </c>
    </row>
    <row r="175" spans="2:5" ht="15" customHeight="1">
      <c r="B175" s="73"/>
      <c r="C175" s="30" t="s">
        <v>369</v>
      </c>
      <c r="D175" s="29">
        <v>2</v>
      </c>
      <c r="E175" s="28">
        <v>9.2678405931417981E-4</v>
      </c>
    </row>
    <row r="176" spans="2:5" ht="15" customHeight="1">
      <c r="B176" s="73"/>
      <c r="C176" s="30" t="s">
        <v>573</v>
      </c>
      <c r="D176" s="29">
        <v>2</v>
      </c>
      <c r="E176" s="28">
        <v>9.2678405931417981E-4</v>
      </c>
    </row>
    <row r="177" spans="2:5" ht="15" customHeight="1">
      <c r="B177" s="73"/>
      <c r="C177" s="30" t="s">
        <v>368</v>
      </c>
      <c r="D177" s="29">
        <v>7</v>
      </c>
      <c r="E177" s="28">
        <v>3.2437442075996291E-3</v>
      </c>
    </row>
    <row r="178" spans="2:5" ht="15" customHeight="1">
      <c r="B178" s="73"/>
      <c r="C178" s="30" t="s">
        <v>367</v>
      </c>
      <c r="D178" s="29">
        <v>1</v>
      </c>
      <c r="E178" s="28">
        <v>4.6339202965708991E-4</v>
      </c>
    </row>
    <row r="179" spans="2:5" ht="15" customHeight="1">
      <c r="B179" s="73"/>
      <c r="C179" s="30" t="s">
        <v>366</v>
      </c>
      <c r="D179" s="29">
        <v>2</v>
      </c>
      <c r="E179" s="28">
        <v>9.2678405931417981E-4</v>
      </c>
    </row>
    <row r="180" spans="2:5" ht="15" customHeight="1">
      <c r="B180" s="73"/>
      <c r="C180" s="30" t="s">
        <v>365</v>
      </c>
      <c r="D180" s="29">
        <v>1</v>
      </c>
      <c r="E180" s="28">
        <v>4.6339202965708991E-4</v>
      </c>
    </row>
    <row r="181" spans="2:5" ht="15" customHeight="1">
      <c r="B181" s="73"/>
      <c r="C181" s="30" t="s">
        <v>364</v>
      </c>
      <c r="D181" s="29">
        <v>5</v>
      </c>
      <c r="E181" s="28">
        <v>2.3169601482854493E-3</v>
      </c>
    </row>
    <row r="182" spans="2:5" ht="15" customHeight="1">
      <c r="B182" s="73"/>
      <c r="C182" s="30" t="s">
        <v>40</v>
      </c>
      <c r="D182" s="29">
        <v>1</v>
      </c>
      <c r="E182" s="28">
        <v>4.6339202965708991E-4</v>
      </c>
    </row>
    <row r="183" spans="2:5" ht="15" customHeight="1">
      <c r="B183" s="73"/>
      <c r="C183" s="30" t="s">
        <v>363</v>
      </c>
      <c r="D183" s="29">
        <v>5</v>
      </c>
      <c r="E183" s="28">
        <v>2.3169601482854493E-3</v>
      </c>
    </row>
    <row r="184" spans="2:5" ht="15" customHeight="1">
      <c r="B184" s="73"/>
      <c r="C184" s="30" t="s">
        <v>574</v>
      </c>
      <c r="D184" s="29">
        <v>2</v>
      </c>
      <c r="E184" s="28">
        <v>9.2678405931417981E-4</v>
      </c>
    </row>
    <row r="185" spans="2:5" ht="15" customHeight="1">
      <c r="B185" s="73"/>
      <c r="C185" s="30" t="s">
        <v>362</v>
      </c>
      <c r="D185" s="29">
        <v>10</v>
      </c>
      <c r="E185" s="28">
        <v>4.6339202965708986E-3</v>
      </c>
    </row>
    <row r="186" spans="2:5" ht="15" customHeight="1">
      <c r="B186" s="73"/>
      <c r="C186" s="30" t="s">
        <v>361</v>
      </c>
      <c r="D186" s="29">
        <v>10</v>
      </c>
      <c r="E186" s="28">
        <v>4.6339202965708986E-3</v>
      </c>
    </row>
    <row r="187" spans="2:5" ht="15" customHeight="1">
      <c r="B187" s="73"/>
      <c r="C187" s="30" t="s">
        <v>360</v>
      </c>
      <c r="D187" s="29">
        <v>1</v>
      </c>
      <c r="E187" s="28">
        <v>4.6339202965708991E-4</v>
      </c>
    </row>
    <row r="188" spans="2:5" ht="15" customHeight="1">
      <c r="B188" s="73"/>
      <c r="C188" s="30" t="s">
        <v>359</v>
      </c>
      <c r="D188" s="29">
        <v>3</v>
      </c>
      <c r="E188" s="28">
        <v>1.3901760889712697E-3</v>
      </c>
    </row>
    <row r="189" spans="2:5" ht="15" customHeight="1">
      <c r="B189" s="73"/>
      <c r="C189" s="30" t="s">
        <v>358</v>
      </c>
      <c r="D189" s="29">
        <v>5</v>
      </c>
      <c r="E189" s="28">
        <v>2.3169601482854493E-3</v>
      </c>
    </row>
    <row r="190" spans="2:5" ht="15" customHeight="1">
      <c r="B190" s="73"/>
      <c r="C190" s="30" t="s">
        <v>535</v>
      </c>
      <c r="D190" s="29">
        <v>2</v>
      </c>
      <c r="E190" s="28">
        <v>9.2678405931417981E-4</v>
      </c>
    </row>
    <row r="191" spans="2:5" ht="15" customHeight="1">
      <c r="B191" s="73"/>
      <c r="C191" s="30" t="s">
        <v>357</v>
      </c>
      <c r="D191" s="29">
        <v>10</v>
      </c>
      <c r="E191" s="28">
        <v>4.6339202965708986E-3</v>
      </c>
    </row>
    <row r="192" spans="2:5" ht="15" customHeight="1">
      <c r="B192" s="73"/>
      <c r="C192" s="30" t="s">
        <v>356</v>
      </c>
      <c r="D192" s="29">
        <v>6</v>
      </c>
      <c r="E192" s="28">
        <v>2.7803521779425394E-3</v>
      </c>
    </row>
    <row r="193" spans="2:5" ht="15" customHeight="1">
      <c r="B193" s="73"/>
      <c r="C193" s="30" t="s">
        <v>355</v>
      </c>
      <c r="D193" s="29">
        <v>2</v>
      </c>
      <c r="E193" s="28">
        <v>9.2678405931417981E-4</v>
      </c>
    </row>
    <row r="194" spans="2:5" ht="15" customHeight="1">
      <c r="B194" s="73"/>
      <c r="C194" s="30" t="s">
        <v>354</v>
      </c>
      <c r="D194" s="29">
        <v>1</v>
      </c>
      <c r="E194" s="28">
        <v>4.6339202965708991E-4</v>
      </c>
    </row>
    <row r="195" spans="2:5" ht="15" customHeight="1">
      <c r="B195" s="73"/>
      <c r="C195" s="30" t="s">
        <v>353</v>
      </c>
      <c r="D195" s="29">
        <v>3</v>
      </c>
      <c r="E195" s="28">
        <v>1.3901760889712697E-3</v>
      </c>
    </row>
    <row r="196" spans="2:5" ht="15" customHeight="1">
      <c r="B196" s="73"/>
      <c r="C196" s="30" t="s">
        <v>352</v>
      </c>
      <c r="D196" s="29">
        <v>5</v>
      </c>
      <c r="E196" s="28">
        <v>2.3169601482854493E-3</v>
      </c>
    </row>
    <row r="197" spans="2:5" ht="15" customHeight="1">
      <c r="B197" s="73"/>
      <c r="C197" s="30" t="s">
        <v>351</v>
      </c>
      <c r="D197" s="29">
        <v>35</v>
      </c>
      <c r="E197" s="28">
        <v>1.6218721037998145E-2</v>
      </c>
    </row>
    <row r="198" spans="2:5" ht="15" customHeight="1">
      <c r="B198" s="73"/>
      <c r="C198" s="30" t="s">
        <v>350</v>
      </c>
      <c r="D198" s="29">
        <v>1</v>
      </c>
      <c r="E198" s="28">
        <v>4.6339202965708991E-4</v>
      </c>
    </row>
    <row r="199" spans="2:5" ht="15" customHeight="1">
      <c r="B199" s="73"/>
      <c r="C199" s="30" t="s">
        <v>349</v>
      </c>
      <c r="D199" s="29">
        <v>3</v>
      </c>
      <c r="E199" s="28">
        <v>1.3901760889712697E-3</v>
      </c>
    </row>
    <row r="200" spans="2:5" ht="15" customHeight="1">
      <c r="B200" s="73"/>
      <c r="C200" s="30" t="s">
        <v>348</v>
      </c>
      <c r="D200" s="29">
        <v>3</v>
      </c>
      <c r="E200" s="28">
        <v>1.3901760889712697E-3</v>
      </c>
    </row>
    <row r="201" spans="2:5" ht="15" customHeight="1">
      <c r="B201" s="73"/>
      <c r="C201" s="30" t="s">
        <v>67</v>
      </c>
      <c r="D201" s="29">
        <v>1</v>
      </c>
      <c r="E201" s="28">
        <v>4.6339202965708991E-4</v>
      </c>
    </row>
    <row r="202" spans="2:5" ht="15" customHeight="1">
      <c r="B202" s="73"/>
      <c r="C202" s="30" t="s">
        <v>347</v>
      </c>
      <c r="D202" s="29">
        <v>18</v>
      </c>
      <c r="E202" s="28">
        <v>8.3410565338276187E-3</v>
      </c>
    </row>
    <row r="203" spans="2:5" ht="15" customHeight="1">
      <c r="B203" s="73"/>
      <c r="C203" s="30" t="s">
        <v>346</v>
      </c>
      <c r="D203" s="29">
        <v>2</v>
      </c>
      <c r="E203" s="28">
        <v>9.2678405931417981E-4</v>
      </c>
    </row>
    <row r="204" spans="2:5" ht="15" customHeight="1">
      <c r="B204" s="73"/>
      <c r="C204" s="30" t="s">
        <v>345</v>
      </c>
      <c r="D204" s="29">
        <v>3</v>
      </c>
      <c r="E204" s="28">
        <v>1.3901760889712697E-3</v>
      </c>
    </row>
    <row r="205" spans="2:5" ht="15" customHeight="1">
      <c r="B205" s="74"/>
      <c r="C205" s="30" t="s">
        <v>344</v>
      </c>
      <c r="D205" s="29">
        <v>7</v>
      </c>
      <c r="E205" s="28">
        <v>3.2437442075996291E-3</v>
      </c>
    </row>
    <row r="206" spans="2:5" ht="15" customHeight="1">
      <c r="B206" s="61" t="s">
        <v>40</v>
      </c>
      <c r="C206" s="27" t="s">
        <v>15</v>
      </c>
      <c r="D206" s="26">
        <v>175</v>
      </c>
      <c r="E206" s="25">
        <v>8.1093605189990731E-2</v>
      </c>
    </row>
    <row r="207" spans="2:5" ht="15" customHeight="1">
      <c r="B207" s="72" t="s">
        <v>549</v>
      </c>
      <c r="C207" s="30" t="s">
        <v>343</v>
      </c>
      <c r="D207" s="29">
        <v>8</v>
      </c>
      <c r="E207" s="28">
        <v>3.7071362372567192E-3</v>
      </c>
    </row>
    <row r="208" spans="2:5" ht="15" customHeight="1">
      <c r="B208" s="73"/>
      <c r="C208" s="30" t="s">
        <v>342</v>
      </c>
      <c r="D208" s="29">
        <v>1</v>
      </c>
      <c r="E208" s="28">
        <v>4.6339202965708991E-4</v>
      </c>
    </row>
    <row r="209" spans="2:5" ht="15" customHeight="1">
      <c r="B209" s="73"/>
      <c r="C209" s="30" t="s">
        <v>341</v>
      </c>
      <c r="D209" s="29">
        <v>3</v>
      </c>
      <c r="E209" s="28">
        <v>1.3901760889712697E-3</v>
      </c>
    </row>
    <row r="210" spans="2:5" ht="15" customHeight="1">
      <c r="B210" s="73"/>
      <c r="C210" s="30" t="s">
        <v>575</v>
      </c>
      <c r="D210" s="29">
        <v>32</v>
      </c>
      <c r="E210" s="28">
        <v>1.4828544949026877E-2</v>
      </c>
    </row>
    <row r="211" spans="2:5" ht="15" customHeight="1">
      <c r="B211" s="73"/>
      <c r="C211" s="30" t="s">
        <v>576</v>
      </c>
      <c r="D211" s="29">
        <v>2</v>
      </c>
      <c r="E211" s="28">
        <v>9.2678405931417981E-4</v>
      </c>
    </row>
    <row r="212" spans="2:5" ht="15" customHeight="1">
      <c r="B212" s="73"/>
      <c r="C212" s="30" t="s">
        <v>340</v>
      </c>
      <c r="D212" s="29">
        <v>2</v>
      </c>
      <c r="E212" s="28">
        <v>9.2678405931417981E-4</v>
      </c>
    </row>
    <row r="213" spans="2:5" ht="15" customHeight="1">
      <c r="B213" s="73"/>
      <c r="C213" s="30" t="s">
        <v>339</v>
      </c>
      <c r="D213" s="29">
        <v>1</v>
      </c>
      <c r="E213" s="28">
        <v>4.6339202965708991E-4</v>
      </c>
    </row>
    <row r="214" spans="2:5" ht="15" customHeight="1">
      <c r="B214" s="73"/>
      <c r="C214" s="30" t="s">
        <v>577</v>
      </c>
      <c r="D214" s="29">
        <v>1</v>
      </c>
      <c r="E214" s="28">
        <v>4.6339202965708991E-4</v>
      </c>
    </row>
    <row r="215" spans="2:5" ht="15" customHeight="1">
      <c r="B215" s="73"/>
      <c r="C215" s="30" t="s">
        <v>338</v>
      </c>
      <c r="D215" s="29">
        <v>30</v>
      </c>
      <c r="E215" s="28">
        <v>1.3901760889712697E-2</v>
      </c>
    </row>
    <row r="216" spans="2:5" ht="15" customHeight="1">
      <c r="B216" s="73"/>
      <c r="C216" s="30" t="s">
        <v>337</v>
      </c>
      <c r="D216" s="29">
        <v>4</v>
      </c>
      <c r="E216" s="28">
        <v>1.8535681186283596E-3</v>
      </c>
    </row>
    <row r="217" spans="2:5" ht="15" customHeight="1">
      <c r="B217" s="73"/>
      <c r="C217" s="30" t="s">
        <v>336</v>
      </c>
      <c r="D217" s="29">
        <v>1</v>
      </c>
      <c r="E217" s="28">
        <v>4.6339202965708991E-4</v>
      </c>
    </row>
    <row r="218" spans="2:5" ht="15" customHeight="1">
      <c r="B218" s="73"/>
      <c r="C218" s="30" t="s">
        <v>335</v>
      </c>
      <c r="D218" s="29">
        <v>1</v>
      </c>
      <c r="E218" s="28">
        <v>4.6339202965708991E-4</v>
      </c>
    </row>
    <row r="219" spans="2:5" ht="15" customHeight="1">
      <c r="B219" s="73"/>
      <c r="C219" s="30" t="s">
        <v>334</v>
      </c>
      <c r="D219" s="29">
        <v>1</v>
      </c>
      <c r="E219" s="28">
        <v>4.6339202965708991E-4</v>
      </c>
    </row>
    <row r="220" spans="2:5" ht="15" customHeight="1">
      <c r="B220" s="73"/>
      <c r="C220" s="30" t="s">
        <v>578</v>
      </c>
      <c r="D220" s="29">
        <v>2</v>
      </c>
      <c r="E220" s="28">
        <v>9.2678405931417981E-4</v>
      </c>
    </row>
    <row r="221" spans="2:5" ht="15" customHeight="1">
      <c r="B221" s="73"/>
      <c r="C221" s="30" t="s">
        <v>333</v>
      </c>
      <c r="D221" s="29">
        <v>2</v>
      </c>
      <c r="E221" s="28">
        <v>9.2678405931417981E-4</v>
      </c>
    </row>
    <row r="222" spans="2:5" ht="15" customHeight="1">
      <c r="B222" s="73"/>
      <c r="C222" s="30" t="s">
        <v>332</v>
      </c>
      <c r="D222" s="29">
        <v>8</v>
      </c>
      <c r="E222" s="28">
        <v>3.7071362372567192E-3</v>
      </c>
    </row>
    <row r="223" spans="2:5" ht="15" customHeight="1">
      <c r="B223" s="73"/>
      <c r="C223" s="30" t="s">
        <v>331</v>
      </c>
      <c r="D223" s="29">
        <v>3</v>
      </c>
      <c r="E223" s="28">
        <v>1.3901760889712697E-3</v>
      </c>
    </row>
    <row r="224" spans="2:5" ht="15" customHeight="1">
      <c r="B224" s="73"/>
      <c r="C224" s="30" t="s">
        <v>579</v>
      </c>
      <c r="D224" s="29">
        <v>1</v>
      </c>
      <c r="E224" s="28">
        <v>4.6339202965708991E-4</v>
      </c>
    </row>
    <row r="225" spans="2:5" ht="15" customHeight="1">
      <c r="B225" s="73"/>
      <c r="C225" s="30" t="s">
        <v>330</v>
      </c>
      <c r="D225" s="29">
        <v>1</v>
      </c>
      <c r="E225" s="28">
        <v>4.6339202965708991E-4</v>
      </c>
    </row>
    <row r="226" spans="2:5" ht="15" customHeight="1">
      <c r="B226" s="73"/>
      <c r="C226" s="30" t="s">
        <v>329</v>
      </c>
      <c r="D226" s="29">
        <v>13</v>
      </c>
      <c r="E226" s="28">
        <v>6.024096385542169E-3</v>
      </c>
    </row>
    <row r="227" spans="2:5" ht="15" customHeight="1">
      <c r="B227" s="73"/>
      <c r="C227" s="30" t="s">
        <v>328</v>
      </c>
      <c r="D227" s="29">
        <v>5</v>
      </c>
      <c r="E227" s="28">
        <v>2.3169601482854493E-3</v>
      </c>
    </row>
    <row r="228" spans="2:5" ht="15" customHeight="1">
      <c r="B228" s="73"/>
      <c r="C228" s="30" t="s">
        <v>327</v>
      </c>
      <c r="D228" s="29">
        <v>2</v>
      </c>
      <c r="E228" s="28">
        <v>9.2678405931417981E-4</v>
      </c>
    </row>
    <row r="229" spans="2:5" ht="15" customHeight="1">
      <c r="B229" s="73"/>
      <c r="C229" s="30" t="s">
        <v>326</v>
      </c>
      <c r="D229" s="29">
        <v>1</v>
      </c>
      <c r="E229" s="28">
        <v>4.6339202965708991E-4</v>
      </c>
    </row>
    <row r="230" spans="2:5" ht="15" customHeight="1">
      <c r="B230" s="73"/>
      <c r="C230" s="30" t="s">
        <v>580</v>
      </c>
      <c r="D230" s="29">
        <v>1</v>
      </c>
      <c r="E230" s="28">
        <v>4.6339202965708991E-4</v>
      </c>
    </row>
    <row r="231" spans="2:5" ht="15" customHeight="1">
      <c r="B231" s="73"/>
      <c r="C231" s="30" t="s">
        <v>325</v>
      </c>
      <c r="D231" s="29">
        <v>1</v>
      </c>
      <c r="E231" s="28">
        <v>4.6339202965708991E-4</v>
      </c>
    </row>
    <row r="232" spans="2:5" ht="15" customHeight="1">
      <c r="B232" s="73"/>
      <c r="C232" s="30" t="s">
        <v>324</v>
      </c>
      <c r="D232" s="29">
        <v>1</v>
      </c>
      <c r="E232" s="28">
        <v>4.6339202965708991E-4</v>
      </c>
    </row>
    <row r="233" spans="2:5" ht="15" customHeight="1">
      <c r="B233" s="73"/>
      <c r="C233" s="30" t="s">
        <v>323</v>
      </c>
      <c r="D233" s="29">
        <v>1</v>
      </c>
      <c r="E233" s="28">
        <v>4.6339202965708991E-4</v>
      </c>
    </row>
    <row r="234" spans="2:5" ht="15" customHeight="1">
      <c r="B234" s="73"/>
      <c r="C234" s="30" t="s">
        <v>322</v>
      </c>
      <c r="D234" s="29">
        <v>1</v>
      </c>
      <c r="E234" s="28">
        <v>4.6339202965708991E-4</v>
      </c>
    </row>
    <row r="235" spans="2:5" ht="15" customHeight="1">
      <c r="B235" s="73"/>
      <c r="C235" s="30" t="s">
        <v>321</v>
      </c>
      <c r="D235" s="29">
        <v>3</v>
      </c>
      <c r="E235" s="28">
        <v>1.3901760889712697E-3</v>
      </c>
    </row>
    <row r="236" spans="2:5" ht="15" customHeight="1">
      <c r="B236" s="73"/>
      <c r="C236" s="30" t="s">
        <v>320</v>
      </c>
      <c r="D236" s="29">
        <v>1</v>
      </c>
      <c r="E236" s="28">
        <v>4.6339202965708991E-4</v>
      </c>
    </row>
    <row r="237" spans="2:5" ht="15" customHeight="1">
      <c r="B237" s="73"/>
      <c r="C237" s="30" t="s">
        <v>319</v>
      </c>
      <c r="D237" s="29">
        <v>5</v>
      </c>
      <c r="E237" s="28">
        <v>2.3169601482854493E-3</v>
      </c>
    </row>
    <row r="238" spans="2:5" ht="15" customHeight="1">
      <c r="B238" s="73"/>
      <c r="C238" s="30" t="s">
        <v>318</v>
      </c>
      <c r="D238" s="29">
        <v>1</v>
      </c>
      <c r="E238" s="28">
        <v>4.6339202965708991E-4</v>
      </c>
    </row>
    <row r="239" spans="2:5" ht="15" customHeight="1">
      <c r="B239" s="73"/>
      <c r="C239" s="30" t="s">
        <v>581</v>
      </c>
      <c r="D239" s="29">
        <v>1</v>
      </c>
      <c r="E239" s="28">
        <v>4.6339202965708991E-4</v>
      </c>
    </row>
    <row r="240" spans="2:5" ht="15" customHeight="1">
      <c r="B240" s="73"/>
      <c r="C240" s="30" t="s">
        <v>582</v>
      </c>
      <c r="D240" s="29">
        <v>1</v>
      </c>
      <c r="E240" s="28">
        <v>4.6339202965708991E-4</v>
      </c>
    </row>
    <row r="241" spans="2:5" ht="15" customHeight="1">
      <c r="B241" s="73"/>
      <c r="C241" s="30" t="s">
        <v>317</v>
      </c>
      <c r="D241" s="29">
        <v>3</v>
      </c>
      <c r="E241" s="28">
        <v>1.3901760889712697E-3</v>
      </c>
    </row>
    <row r="242" spans="2:5" ht="15" customHeight="1">
      <c r="B242" s="73"/>
      <c r="C242" s="30" t="s">
        <v>316</v>
      </c>
      <c r="D242" s="29">
        <v>1</v>
      </c>
      <c r="E242" s="28">
        <v>4.6339202965708991E-4</v>
      </c>
    </row>
    <row r="243" spans="2:5" ht="15" customHeight="1">
      <c r="B243" s="73"/>
      <c r="C243" s="30" t="s">
        <v>583</v>
      </c>
      <c r="D243" s="29">
        <v>1</v>
      </c>
      <c r="E243" s="28">
        <v>4.6339202965708991E-4</v>
      </c>
    </row>
    <row r="244" spans="2:5" ht="15" customHeight="1">
      <c r="B244" s="73"/>
      <c r="C244" s="30" t="s">
        <v>584</v>
      </c>
      <c r="D244" s="29">
        <v>1</v>
      </c>
      <c r="E244" s="28">
        <v>4.6339202965708991E-4</v>
      </c>
    </row>
    <row r="245" spans="2:5" ht="15" customHeight="1">
      <c r="B245" s="73"/>
      <c r="C245" s="30" t="s">
        <v>585</v>
      </c>
      <c r="D245" s="29">
        <v>1</v>
      </c>
      <c r="E245" s="28">
        <v>4.6339202965708991E-4</v>
      </c>
    </row>
    <row r="246" spans="2:5" ht="15" customHeight="1">
      <c r="B246" s="74"/>
      <c r="C246" s="27" t="s">
        <v>15</v>
      </c>
      <c r="D246" s="26">
        <v>149</v>
      </c>
      <c r="E246" s="25">
        <v>6.9045412418906396E-2</v>
      </c>
    </row>
    <row r="247" spans="2:5" ht="15" customHeight="1">
      <c r="B247" s="72" t="s">
        <v>32</v>
      </c>
      <c r="C247" s="30" t="s">
        <v>315</v>
      </c>
      <c r="D247" s="29">
        <v>1</v>
      </c>
      <c r="E247" s="28">
        <v>4.6339202965708991E-4</v>
      </c>
    </row>
    <row r="248" spans="2:5" ht="15" customHeight="1">
      <c r="B248" s="73"/>
      <c r="C248" s="30" t="s">
        <v>94</v>
      </c>
      <c r="D248" s="29">
        <v>9</v>
      </c>
      <c r="E248" s="28">
        <v>4.1705282669138094E-3</v>
      </c>
    </row>
    <row r="249" spans="2:5" ht="15" customHeight="1">
      <c r="B249" s="73"/>
      <c r="C249" s="30" t="s">
        <v>586</v>
      </c>
      <c r="D249" s="29">
        <v>1</v>
      </c>
      <c r="E249" s="28">
        <v>4.6339202965708991E-4</v>
      </c>
    </row>
    <row r="250" spans="2:5" ht="15" customHeight="1">
      <c r="B250" s="73"/>
      <c r="C250" s="30" t="s">
        <v>314</v>
      </c>
      <c r="D250" s="29">
        <v>2</v>
      </c>
      <c r="E250" s="28">
        <v>9.2678405931417981E-4</v>
      </c>
    </row>
    <row r="251" spans="2:5" ht="15" customHeight="1">
      <c r="B251" s="73"/>
      <c r="C251" s="30" t="s">
        <v>313</v>
      </c>
      <c r="D251" s="29">
        <v>1</v>
      </c>
      <c r="E251" s="28">
        <v>4.6339202965708991E-4</v>
      </c>
    </row>
    <row r="252" spans="2:5" ht="15" customHeight="1">
      <c r="B252" s="73"/>
      <c r="C252" s="30" t="s">
        <v>587</v>
      </c>
      <c r="D252" s="29">
        <v>2</v>
      </c>
      <c r="E252" s="28">
        <v>9.2678405931417981E-4</v>
      </c>
    </row>
    <row r="253" spans="2:5" ht="15" customHeight="1">
      <c r="B253" s="73"/>
      <c r="C253" s="30" t="s">
        <v>588</v>
      </c>
      <c r="D253" s="29">
        <v>1</v>
      </c>
      <c r="E253" s="28">
        <v>4.6339202965708991E-4</v>
      </c>
    </row>
    <row r="254" spans="2:5" ht="15" customHeight="1">
      <c r="B254" s="73"/>
      <c r="C254" s="30" t="s">
        <v>312</v>
      </c>
      <c r="D254" s="29">
        <v>10</v>
      </c>
      <c r="E254" s="28">
        <v>4.6339202965708986E-3</v>
      </c>
    </row>
    <row r="255" spans="2:5" ht="15" customHeight="1">
      <c r="B255" s="73"/>
      <c r="C255" s="30" t="s">
        <v>311</v>
      </c>
      <c r="D255" s="29">
        <v>4</v>
      </c>
      <c r="E255" s="28">
        <v>1.8535681186283596E-3</v>
      </c>
    </row>
    <row r="256" spans="2:5" ht="15" customHeight="1">
      <c r="B256" s="73"/>
      <c r="C256" s="30" t="s">
        <v>310</v>
      </c>
      <c r="D256" s="29">
        <v>2</v>
      </c>
      <c r="E256" s="28">
        <v>9.2678405931417981E-4</v>
      </c>
    </row>
    <row r="257" spans="2:5" ht="15" customHeight="1">
      <c r="B257" s="73"/>
      <c r="C257" s="30" t="s">
        <v>309</v>
      </c>
      <c r="D257" s="29">
        <v>3</v>
      </c>
      <c r="E257" s="28">
        <v>1.3901760889712697E-3</v>
      </c>
    </row>
    <row r="258" spans="2:5" ht="15" customHeight="1">
      <c r="B258" s="73"/>
      <c r="C258" s="30" t="s">
        <v>308</v>
      </c>
      <c r="D258" s="29">
        <v>1</v>
      </c>
      <c r="E258" s="28">
        <v>4.6339202965708991E-4</v>
      </c>
    </row>
    <row r="259" spans="2:5" ht="15" customHeight="1">
      <c r="B259" s="73"/>
      <c r="C259" s="30" t="s">
        <v>589</v>
      </c>
      <c r="D259" s="29">
        <v>1</v>
      </c>
      <c r="E259" s="28">
        <v>4.6339202965708991E-4</v>
      </c>
    </row>
    <row r="260" spans="2:5" ht="15" customHeight="1">
      <c r="B260" s="73"/>
      <c r="C260" s="30" t="s">
        <v>590</v>
      </c>
      <c r="D260" s="29">
        <v>3</v>
      </c>
      <c r="E260" s="28">
        <v>1.3901760889712697E-3</v>
      </c>
    </row>
    <row r="261" spans="2:5" ht="15" customHeight="1">
      <c r="B261" s="73"/>
      <c r="C261" s="30" t="s">
        <v>307</v>
      </c>
      <c r="D261" s="29">
        <v>1</v>
      </c>
      <c r="E261" s="28">
        <v>4.6339202965708991E-4</v>
      </c>
    </row>
    <row r="262" spans="2:5" ht="15" customHeight="1">
      <c r="B262" s="73"/>
      <c r="C262" s="30" t="s">
        <v>591</v>
      </c>
      <c r="D262" s="29">
        <v>1</v>
      </c>
      <c r="E262" s="28">
        <v>4.6339202965708991E-4</v>
      </c>
    </row>
    <row r="263" spans="2:5" ht="15" customHeight="1">
      <c r="B263" s="73"/>
      <c r="C263" s="30" t="s">
        <v>306</v>
      </c>
      <c r="D263" s="29">
        <v>1</v>
      </c>
      <c r="E263" s="28">
        <v>4.6339202965708991E-4</v>
      </c>
    </row>
    <row r="264" spans="2:5" ht="15" customHeight="1">
      <c r="B264" s="73"/>
      <c r="C264" s="30" t="s">
        <v>305</v>
      </c>
      <c r="D264" s="29">
        <v>2</v>
      </c>
      <c r="E264" s="28">
        <v>9.2678405931417981E-4</v>
      </c>
    </row>
    <row r="265" spans="2:5" ht="15" customHeight="1">
      <c r="B265" s="73"/>
      <c r="C265" s="30" t="s">
        <v>304</v>
      </c>
      <c r="D265" s="29">
        <v>6</v>
      </c>
      <c r="E265" s="28">
        <v>2.7803521779425394E-3</v>
      </c>
    </row>
    <row r="266" spans="2:5" ht="15" customHeight="1">
      <c r="B266" s="73"/>
      <c r="C266" s="30" t="s">
        <v>592</v>
      </c>
      <c r="D266" s="29">
        <v>2</v>
      </c>
      <c r="E266" s="28">
        <v>9.2678405931417981E-4</v>
      </c>
    </row>
    <row r="267" spans="2:5" ht="15" customHeight="1">
      <c r="B267" s="73"/>
      <c r="C267" s="30" t="s">
        <v>303</v>
      </c>
      <c r="D267" s="29">
        <v>1</v>
      </c>
      <c r="E267" s="28">
        <v>4.6339202965708991E-4</v>
      </c>
    </row>
    <row r="268" spans="2:5" ht="15" customHeight="1">
      <c r="B268" s="73"/>
      <c r="C268" s="30" t="s">
        <v>302</v>
      </c>
      <c r="D268" s="29">
        <v>3</v>
      </c>
      <c r="E268" s="28">
        <v>1.3901760889712697E-3</v>
      </c>
    </row>
    <row r="269" spans="2:5" ht="15" customHeight="1">
      <c r="B269" s="73"/>
      <c r="C269" s="30" t="s">
        <v>301</v>
      </c>
      <c r="D269" s="29">
        <v>5</v>
      </c>
      <c r="E269" s="28">
        <v>2.3169601482854493E-3</v>
      </c>
    </row>
    <row r="270" spans="2:5" ht="15" customHeight="1">
      <c r="B270" s="73"/>
      <c r="C270" s="30" t="s">
        <v>300</v>
      </c>
      <c r="D270" s="29">
        <v>2</v>
      </c>
      <c r="E270" s="28">
        <v>9.2678405931417981E-4</v>
      </c>
    </row>
    <row r="271" spans="2:5" ht="15" customHeight="1">
      <c r="B271" s="73"/>
      <c r="C271" s="30" t="s">
        <v>593</v>
      </c>
      <c r="D271" s="29">
        <v>2</v>
      </c>
      <c r="E271" s="28">
        <v>9.2678405931417981E-4</v>
      </c>
    </row>
    <row r="272" spans="2:5" ht="15" customHeight="1">
      <c r="B272" s="73"/>
      <c r="C272" s="30" t="s">
        <v>594</v>
      </c>
      <c r="D272" s="29">
        <v>1</v>
      </c>
      <c r="E272" s="28">
        <v>4.6339202965708991E-4</v>
      </c>
    </row>
    <row r="273" spans="2:5" ht="15" customHeight="1">
      <c r="B273" s="73"/>
      <c r="C273" s="30" t="s">
        <v>595</v>
      </c>
      <c r="D273" s="29">
        <v>1</v>
      </c>
      <c r="E273" s="28">
        <v>4.6339202965708991E-4</v>
      </c>
    </row>
    <row r="274" spans="2:5" ht="15" customHeight="1">
      <c r="B274" s="73"/>
      <c r="C274" s="30" t="s">
        <v>299</v>
      </c>
      <c r="D274" s="29">
        <v>2</v>
      </c>
      <c r="E274" s="28">
        <v>9.2678405931417981E-4</v>
      </c>
    </row>
    <row r="275" spans="2:5" ht="15" customHeight="1">
      <c r="B275" s="73"/>
      <c r="C275" s="30" t="s">
        <v>596</v>
      </c>
      <c r="D275" s="29">
        <v>1</v>
      </c>
      <c r="E275" s="28">
        <v>4.6339202965708991E-4</v>
      </c>
    </row>
    <row r="276" spans="2:5" ht="15" customHeight="1">
      <c r="B276" s="73"/>
      <c r="C276" s="30" t="s">
        <v>298</v>
      </c>
      <c r="D276" s="29">
        <v>3</v>
      </c>
      <c r="E276" s="28">
        <v>1.3901760889712697E-3</v>
      </c>
    </row>
    <row r="277" spans="2:5" ht="15" customHeight="1">
      <c r="B277" s="73"/>
      <c r="C277" s="30" t="s">
        <v>297</v>
      </c>
      <c r="D277" s="29">
        <v>6</v>
      </c>
      <c r="E277" s="28">
        <v>2.7803521779425394E-3</v>
      </c>
    </row>
    <row r="278" spans="2:5" ht="15" customHeight="1">
      <c r="B278" s="73"/>
      <c r="C278" s="30" t="s">
        <v>296</v>
      </c>
      <c r="D278" s="29">
        <v>1</v>
      </c>
      <c r="E278" s="28">
        <v>4.6339202965708991E-4</v>
      </c>
    </row>
    <row r="279" spans="2:5" ht="15" customHeight="1">
      <c r="B279" s="73"/>
      <c r="C279" s="30" t="s">
        <v>597</v>
      </c>
      <c r="D279" s="29">
        <v>1</v>
      </c>
      <c r="E279" s="28">
        <v>4.6339202965708991E-4</v>
      </c>
    </row>
    <row r="280" spans="2:5" ht="15" customHeight="1">
      <c r="B280" s="73"/>
      <c r="C280" s="30" t="s">
        <v>598</v>
      </c>
      <c r="D280" s="29">
        <v>1</v>
      </c>
      <c r="E280" s="28">
        <v>4.6339202965708991E-4</v>
      </c>
    </row>
    <row r="281" spans="2:5" ht="15" customHeight="1">
      <c r="B281" s="74"/>
      <c r="C281" s="27" t="s">
        <v>15</v>
      </c>
      <c r="D281" s="26">
        <v>84</v>
      </c>
      <c r="E281" s="25">
        <v>3.8924930491195553E-2</v>
      </c>
    </row>
    <row r="282" spans="2:5" ht="15" customHeight="1">
      <c r="B282" s="72" t="s">
        <v>38</v>
      </c>
      <c r="C282" s="30" t="s">
        <v>295</v>
      </c>
      <c r="D282" s="29">
        <v>3</v>
      </c>
      <c r="E282" s="28">
        <v>1.3901760889712697E-3</v>
      </c>
    </row>
    <row r="283" spans="2:5" ht="15" customHeight="1">
      <c r="B283" s="73"/>
      <c r="C283" s="30" t="s">
        <v>294</v>
      </c>
      <c r="D283" s="29">
        <v>7</v>
      </c>
      <c r="E283" s="28">
        <v>3.2437442075996291E-3</v>
      </c>
    </row>
    <row r="284" spans="2:5" ht="15" customHeight="1">
      <c r="B284" s="73"/>
      <c r="C284" s="30" t="s">
        <v>293</v>
      </c>
      <c r="D284" s="29">
        <v>14</v>
      </c>
      <c r="E284" s="28">
        <v>6.4874884151992582E-3</v>
      </c>
    </row>
    <row r="285" spans="2:5" ht="15" customHeight="1">
      <c r="B285" s="73"/>
      <c r="C285" s="30" t="s">
        <v>292</v>
      </c>
      <c r="D285" s="29">
        <v>1</v>
      </c>
      <c r="E285" s="28">
        <v>4.6339202965708991E-4</v>
      </c>
    </row>
    <row r="286" spans="2:5" ht="15" customHeight="1">
      <c r="B286" s="73"/>
      <c r="C286" s="30" t="s">
        <v>599</v>
      </c>
      <c r="D286" s="29">
        <v>3</v>
      </c>
      <c r="E286" s="28">
        <v>1.3901760889712697E-3</v>
      </c>
    </row>
    <row r="287" spans="2:5" ht="15" customHeight="1">
      <c r="B287" s="73"/>
      <c r="C287" s="30" t="s">
        <v>291</v>
      </c>
      <c r="D287" s="29">
        <v>1</v>
      </c>
      <c r="E287" s="28">
        <v>4.6339202965708991E-4</v>
      </c>
    </row>
    <row r="288" spans="2:5" ht="15" customHeight="1">
      <c r="B288" s="73"/>
      <c r="C288" s="30" t="s">
        <v>600</v>
      </c>
      <c r="D288" s="29">
        <v>2</v>
      </c>
      <c r="E288" s="28">
        <v>9.2678405931417981E-4</v>
      </c>
    </row>
    <row r="289" spans="2:5" ht="15" customHeight="1">
      <c r="B289" s="73"/>
      <c r="C289" s="30" t="s">
        <v>290</v>
      </c>
      <c r="D289" s="29">
        <v>18</v>
      </c>
      <c r="E289" s="28">
        <v>8.3410565338276187E-3</v>
      </c>
    </row>
    <row r="290" spans="2:5" ht="15" customHeight="1">
      <c r="B290" s="73"/>
      <c r="C290" s="30" t="s">
        <v>289</v>
      </c>
      <c r="D290" s="29">
        <v>1</v>
      </c>
      <c r="E290" s="28">
        <v>4.6339202965708991E-4</v>
      </c>
    </row>
    <row r="291" spans="2:5" ht="15" customHeight="1">
      <c r="B291" s="73"/>
      <c r="C291" s="30" t="s">
        <v>287</v>
      </c>
      <c r="D291" s="29">
        <v>24</v>
      </c>
      <c r="E291" s="28">
        <v>1.1121408711770158E-2</v>
      </c>
    </row>
    <row r="292" spans="2:5" ht="15" customHeight="1">
      <c r="B292" s="73"/>
      <c r="C292" s="30" t="s">
        <v>601</v>
      </c>
      <c r="D292" s="29">
        <v>1</v>
      </c>
      <c r="E292" s="28">
        <v>4.6339202965708991E-4</v>
      </c>
    </row>
    <row r="293" spans="2:5" ht="15" customHeight="1">
      <c r="B293" s="73"/>
      <c r="C293" s="30" t="s">
        <v>602</v>
      </c>
      <c r="D293" s="29">
        <v>1</v>
      </c>
      <c r="E293" s="28">
        <v>4.6339202965708991E-4</v>
      </c>
    </row>
    <row r="294" spans="2:5" ht="15" customHeight="1">
      <c r="B294" s="73"/>
      <c r="C294" s="30" t="s">
        <v>286</v>
      </c>
      <c r="D294" s="29">
        <v>4</v>
      </c>
      <c r="E294" s="28">
        <v>1.8535681186283596E-3</v>
      </c>
    </row>
    <row r="295" spans="2:5" ht="15" customHeight="1">
      <c r="B295" s="73"/>
      <c r="C295" s="30" t="s">
        <v>285</v>
      </c>
      <c r="D295" s="29">
        <v>11</v>
      </c>
      <c r="E295" s="28">
        <v>5.0973123262279887E-3</v>
      </c>
    </row>
    <row r="296" spans="2:5" ht="15" customHeight="1">
      <c r="B296" s="73"/>
      <c r="C296" s="30" t="s">
        <v>603</v>
      </c>
      <c r="D296" s="29">
        <v>1</v>
      </c>
      <c r="E296" s="28">
        <v>4.6339202965708991E-4</v>
      </c>
    </row>
    <row r="297" spans="2:5" ht="15" customHeight="1">
      <c r="B297" s="73"/>
      <c r="C297" s="30" t="s">
        <v>284</v>
      </c>
      <c r="D297" s="29">
        <v>1</v>
      </c>
      <c r="E297" s="28">
        <v>4.6339202965708991E-4</v>
      </c>
    </row>
    <row r="298" spans="2:5" ht="15" customHeight="1">
      <c r="B298" s="73"/>
      <c r="C298" s="30" t="s">
        <v>283</v>
      </c>
      <c r="D298" s="29">
        <v>2</v>
      </c>
      <c r="E298" s="28">
        <v>9.2678405931417981E-4</v>
      </c>
    </row>
    <row r="299" spans="2:5" ht="15" customHeight="1">
      <c r="B299" s="73"/>
      <c r="C299" s="30" t="s">
        <v>604</v>
      </c>
      <c r="D299" s="29">
        <v>1</v>
      </c>
      <c r="E299" s="28">
        <v>4.6339202965708991E-4</v>
      </c>
    </row>
    <row r="300" spans="2:5" ht="15" customHeight="1">
      <c r="B300" s="73"/>
      <c r="C300" s="30" t="s">
        <v>282</v>
      </c>
      <c r="D300" s="29">
        <v>3</v>
      </c>
      <c r="E300" s="28">
        <v>1.3901760889712697E-3</v>
      </c>
    </row>
    <row r="301" spans="2:5" ht="15" customHeight="1">
      <c r="B301" s="73"/>
      <c r="C301" s="30" t="s">
        <v>281</v>
      </c>
      <c r="D301" s="29">
        <v>2</v>
      </c>
      <c r="E301" s="28">
        <v>9.2678405931417981E-4</v>
      </c>
    </row>
    <row r="302" spans="2:5" ht="15" customHeight="1">
      <c r="B302" s="73"/>
      <c r="C302" s="30" t="s">
        <v>280</v>
      </c>
      <c r="D302" s="29">
        <v>3</v>
      </c>
      <c r="E302" s="28">
        <v>1.3901760889712697E-3</v>
      </c>
    </row>
    <row r="303" spans="2:5" ht="15" customHeight="1">
      <c r="B303" s="73"/>
      <c r="C303" s="30" t="s">
        <v>279</v>
      </c>
      <c r="D303" s="29">
        <v>1</v>
      </c>
      <c r="E303" s="28">
        <v>4.6339202965708991E-4</v>
      </c>
    </row>
    <row r="304" spans="2:5" ht="15" customHeight="1">
      <c r="B304" s="73"/>
      <c r="C304" s="30" t="s">
        <v>278</v>
      </c>
      <c r="D304" s="29">
        <v>1</v>
      </c>
      <c r="E304" s="28">
        <v>4.6339202965708991E-4</v>
      </c>
    </row>
    <row r="305" spans="2:5" ht="15" customHeight="1">
      <c r="B305" s="73"/>
      <c r="C305" s="30" t="s">
        <v>605</v>
      </c>
      <c r="D305" s="29">
        <v>1</v>
      </c>
      <c r="E305" s="28">
        <v>4.6339202965708991E-4</v>
      </c>
    </row>
    <row r="306" spans="2:5" ht="15" customHeight="1">
      <c r="B306" s="73"/>
      <c r="C306" s="30" t="s">
        <v>277</v>
      </c>
      <c r="D306" s="29">
        <v>2</v>
      </c>
      <c r="E306" s="28">
        <v>9.2678405931417981E-4</v>
      </c>
    </row>
    <row r="307" spans="2:5" ht="15" customHeight="1">
      <c r="B307" s="73"/>
      <c r="C307" s="30" t="s">
        <v>276</v>
      </c>
      <c r="D307" s="29">
        <v>1</v>
      </c>
      <c r="E307" s="28">
        <v>4.6339202965708991E-4</v>
      </c>
    </row>
    <row r="308" spans="2:5" ht="15" customHeight="1">
      <c r="B308" s="73"/>
      <c r="C308" s="30" t="s">
        <v>275</v>
      </c>
      <c r="D308" s="29">
        <v>5</v>
      </c>
      <c r="E308" s="28">
        <v>2.3169601482854493E-3</v>
      </c>
    </row>
    <row r="309" spans="2:5" ht="15" customHeight="1">
      <c r="B309" s="73"/>
      <c r="C309" s="30" t="s">
        <v>606</v>
      </c>
      <c r="D309" s="29">
        <v>1</v>
      </c>
      <c r="E309" s="28">
        <v>4.6339202965708991E-4</v>
      </c>
    </row>
    <row r="310" spans="2:5" ht="15" customHeight="1">
      <c r="B310" s="73"/>
      <c r="C310" s="30" t="s">
        <v>274</v>
      </c>
      <c r="D310" s="29">
        <v>1</v>
      </c>
      <c r="E310" s="28">
        <v>4.6339202965708991E-4</v>
      </c>
    </row>
    <row r="311" spans="2:5" ht="15" customHeight="1">
      <c r="B311" s="73"/>
      <c r="C311" s="30" t="s">
        <v>607</v>
      </c>
      <c r="D311" s="29">
        <v>2</v>
      </c>
      <c r="E311" s="28">
        <v>9.2678405931417981E-4</v>
      </c>
    </row>
    <row r="312" spans="2:5" ht="15" customHeight="1">
      <c r="B312" s="73"/>
      <c r="C312" s="30" t="s">
        <v>171</v>
      </c>
      <c r="D312" s="29">
        <v>1</v>
      </c>
      <c r="E312" s="28">
        <v>4.6339202965708991E-4</v>
      </c>
    </row>
    <row r="313" spans="2:5" ht="15" customHeight="1">
      <c r="B313" s="73"/>
      <c r="C313" s="30" t="s">
        <v>273</v>
      </c>
      <c r="D313" s="29">
        <v>1</v>
      </c>
      <c r="E313" s="28">
        <v>4.6339202965708991E-4</v>
      </c>
    </row>
    <row r="314" spans="2:5" ht="15" customHeight="1">
      <c r="B314" s="73"/>
      <c r="C314" s="30" t="s">
        <v>608</v>
      </c>
      <c r="D314" s="29">
        <v>1</v>
      </c>
      <c r="E314" s="28">
        <v>4.6339202965708991E-4</v>
      </c>
    </row>
    <row r="315" spans="2:5" ht="15" customHeight="1">
      <c r="B315" s="73"/>
      <c r="C315" s="30" t="s">
        <v>272</v>
      </c>
      <c r="D315" s="29">
        <v>4</v>
      </c>
      <c r="E315" s="28">
        <v>1.8535681186283596E-3</v>
      </c>
    </row>
    <row r="316" spans="2:5" ht="15" customHeight="1">
      <c r="B316" s="73"/>
      <c r="C316" s="30" t="s">
        <v>271</v>
      </c>
      <c r="D316" s="29">
        <v>1</v>
      </c>
      <c r="E316" s="28">
        <v>4.6339202965708991E-4</v>
      </c>
    </row>
    <row r="317" spans="2:5" ht="15" customHeight="1">
      <c r="B317" s="73"/>
      <c r="C317" s="30" t="s">
        <v>270</v>
      </c>
      <c r="D317" s="29">
        <v>1</v>
      </c>
      <c r="E317" s="28">
        <v>4.6339202965708991E-4</v>
      </c>
    </row>
    <row r="318" spans="2:5" ht="15" customHeight="1">
      <c r="B318" s="74"/>
      <c r="C318" s="27" t="s">
        <v>15</v>
      </c>
      <c r="D318" s="26">
        <v>128</v>
      </c>
      <c r="E318" s="25">
        <v>5.9314179796107508E-2</v>
      </c>
    </row>
    <row r="319" spans="2:5" ht="15" customHeight="1">
      <c r="B319" s="72" t="s">
        <v>45</v>
      </c>
      <c r="C319" s="30" t="s">
        <v>269</v>
      </c>
      <c r="D319" s="29">
        <v>1</v>
      </c>
      <c r="E319" s="28">
        <v>4.6339202965708991E-4</v>
      </c>
    </row>
    <row r="320" spans="2:5" ht="15" customHeight="1">
      <c r="B320" s="73"/>
      <c r="C320" s="30" t="s">
        <v>268</v>
      </c>
      <c r="D320" s="29">
        <v>1</v>
      </c>
      <c r="E320" s="28">
        <v>4.6339202965708991E-4</v>
      </c>
    </row>
    <row r="321" spans="2:5" ht="15" customHeight="1">
      <c r="B321" s="73"/>
      <c r="C321" s="30" t="s">
        <v>425</v>
      </c>
      <c r="D321" s="29">
        <v>1</v>
      </c>
      <c r="E321" s="28">
        <v>4.6339202965708991E-4</v>
      </c>
    </row>
    <row r="322" spans="2:5" ht="15" customHeight="1">
      <c r="B322" s="73"/>
      <c r="C322" s="30" t="s">
        <v>609</v>
      </c>
      <c r="D322" s="29">
        <v>2</v>
      </c>
      <c r="E322" s="28">
        <v>9.2678405931417981E-4</v>
      </c>
    </row>
    <row r="323" spans="2:5" ht="15" customHeight="1">
      <c r="B323" s="73"/>
      <c r="C323" s="30" t="s">
        <v>267</v>
      </c>
      <c r="D323" s="29">
        <v>2</v>
      </c>
      <c r="E323" s="28">
        <v>9.2678405931417981E-4</v>
      </c>
    </row>
    <row r="324" spans="2:5" ht="15" customHeight="1">
      <c r="B324" s="73"/>
      <c r="C324" s="30" t="s">
        <v>266</v>
      </c>
      <c r="D324" s="29">
        <v>1</v>
      </c>
      <c r="E324" s="28">
        <v>4.6339202965708991E-4</v>
      </c>
    </row>
    <row r="325" spans="2:5" ht="15" customHeight="1">
      <c r="B325" s="73"/>
      <c r="C325" s="30" t="s">
        <v>265</v>
      </c>
      <c r="D325" s="29">
        <v>3</v>
      </c>
      <c r="E325" s="28">
        <v>1.3901760889712697E-3</v>
      </c>
    </row>
    <row r="326" spans="2:5" ht="15" customHeight="1">
      <c r="B326" s="73"/>
      <c r="C326" s="30" t="s">
        <v>264</v>
      </c>
      <c r="D326" s="29">
        <v>1</v>
      </c>
      <c r="E326" s="28">
        <v>4.6339202965708991E-4</v>
      </c>
    </row>
    <row r="327" spans="2:5" ht="15" customHeight="1">
      <c r="B327" s="73"/>
      <c r="C327" s="30" t="s">
        <v>263</v>
      </c>
      <c r="D327" s="29">
        <v>2</v>
      </c>
      <c r="E327" s="28">
        <v>9.2678405931417981E-4</v>
      </c>
    </row>
    <row r="328" spans="2:5" ht="15" customHeight="1">
      <c r="B328" s="73"/>
      <c r="C328" s="30" t="s">
        <v>610</v>
      </c>
      <c r="D328" s="29">
        <v>2</v>
      </c>
      <c r="E328" s="28">
        <v>9.2678405931417981E-4</v>
      </c>
    </row>
    <row r="329" spans="2:5" ht="15" customHeight="1">
      <c r="B329" s="73"/>
      <c r="C329" s="30" t="s">
        <v>262</v>
      </c>
      <c r="D329" s="29">
        <v>10</v>
      </c>
      <c r="E329" s="28">
        <v>4.6339202965708986E-3</v>
      </c>
    </row>
    <row r="330" spans="2:5" ht="15" customHeight="1">
      <c r="B330" s="73"/>
      <c r="C330" s="30" t="s">
        <v>261</v>
      </c>
      <c r="D330" s="29">
        <v>26</v>
      </c>
      <c r="E330" s="28">
        <v>1.2048192771084338E-2</v>
      </c>
    </row>
    <row r="331" spans="2:5" ht="15" customHeight="1">
      <c r="B331" s="73"/>
      <c r="C331" s="30" t="s">
        <v>611</v>
      </c>
      <c r="D331" s="29">
        <v>2</v>
      </c>
      <c r="E331" s="28">
        <v>9.2678405931417981E-4</v>
      </c>
    </row>
    <row r="332" spans="2:5" ht="15" customHeight="1">
      <c r="B332" s="73"/>
      <c r="C332" s="30" t="s">
        <v>260</v>
      </c>
      <c r="D332" s="29">
        <v>1</v>
      </c>
      <c r="E332" s="28">
        <v>4.6339202965708991E-4</v>
      </c>
    </row>
    <row r="333" spans="2:5" ht="15" customHeight="1">
      <c r="B333" s="73"/>
      <c r="C333" s="30" t="s">
        <v>259</v>
      </c>
      <c r="D333" s="29">
        <v>2</v>
      </c>
      <c r="E333" s="28">
        <v>9.2678405931417981E-4</v>
      </c>
    </row>
    <row r="334" spans="2:5" ht="15" customHeight="1">
      <c r="B334" s="73"/>
      <c r="C334" s="30" t="s">
        <v>32</v>
      </c>
      <c r="D334" s="29">
        <v>30</v>
      </c>
      <c r="E334" s="28">
        <v>1.3901760889712697E-2</v>
      </c>
    </row>
    <row r="335" spans="2:5" ht="15" customHeight="1">
      <c r="B335" s="73"/>
      <c r="C335" s="30" t="s">
        <v>258</v>
      </c>
      <c r="D335" s="29">
        <v>1</v>
      </c>
      <c r="E335" s="28">
        <v>4.6339202965708991E-4</v>
      </c>
    </row>
    <row r="336" spans="2:5" ht="15" customHeight="1">
      <c r="B336" s="73"/>
      <c r="C336" s="30" t="s">
        <v>257</v>
      </c>
      <c r="D336" s="29">
        <v>2</v>
      </c>
      <c r="E336" s="28">
        <v>9.2678405931417981E-4</v>
      </c>
    </row>
    <row r="337" spans="2:5" ht="15" customHeight="1">
      <c r="B337" s="73"/>
      <c r="C337" s="30" t="s">
        <v>256</v>
      </c>
      <c r="D337" s="29">
        <v>3</v>
      </c>
      <c r="E337" s="28">
        <v>1.3901760889712697E-3</v>
      </c>
    </row>
    <row r="338" spans="2:5" ht="15" customHeight="1">
      <c r="B338" s="73"/>
      <c r="C338" s="30" t="s">
        <v>255</v>
      </c>
      <c r="D338" s="29">
        <v>3</v>
      </c>
      <c r="E338" s="28">
        <v>1.3901760889712697E-3</v>
      </c>
    </row>
    <row r="339" spans="2:5" ht="15" customHeight="1">
      <c r="B339" s="73"/>
      <c r="C339" s="30" t="s">
        <v>254</v>
      </c>
      <c r="D339" s="29">
        <v>1</v>
      </c>
      <c r="E339" s="28">
        <v>4.6339202965708991E-4</v>
      </c>
    </row>
    <row r="340" spans="2:5" ht="15" customHeight="1">
      <c r="B340" s="73"/>
      <c r="C340" s="30" t="s">
        <v>253</v>
      </c>
      <c r="D340" s="29">
        <v>9</v>
      </c>
      <c r="E340" s="28">
        <v>4.1705282669138094E-3</v>
      </c>
    </row>
    <row r="341" spans="2:5" ht="15" customHeight="1">
      <c r="B341" s="73"/>
      <c r="C341" s="30" t="s">
        <v>252</v>
      </c>
      <c r="D341" s="29">
        <v>2</v>
      </c>
      <c r="E341" s="28">
        <v>9.2678405931417981E-4</v>
      </c>
    </row>
    <row r="342" spans="2:5" ht="15" customHeight="1">
      <c r="B342" s="73"/>
      <c r="C342" s="30" t="s">
        <v>251</v>
      </c>
      <c r="D342" s="29">
        <v>17</v>
      </c>
      <c r="E342" s="28">
        <v>7.8776645041705277E-3</v>
      </c>
    </row>
    <row r="343" spans="2:5" ht="15" customHeight="1">
      <c r="B343" s="73"/>
      <c r="C343" s="30" t="s">
        <v>250</v>
      </c>
      <c r="D343" s="29">
        <v>6</v>
      </c>
      <c r="E343" s="28">
        <v>2.7803521779425394E-3</v>
      </c>
    </row>
    <row r="344" spans="2:5" ht="15" customHeight="1">
      <c r="B344" s="73"/>
      <c r="C344" s="30" t="s">
        <v>249</v>
      </c>
      <c r="D344" s="29">
        <v>3</v>
      </c>
      <c r="E344" s="28">
        <v>1.3901760889712697E-3</v>
      </c>
    </row>
    <row r="345" spans="2:5" ht="15" customHeight="1">
      <c r="B345" s="73"/>
      <c r="C345" s="30" t="s">
        <v>248</v>
      </c>
      <c r="D345" s="29">
        <v>1</v>
      </c>
      <c r="E345" s="28">
        <v>4.6339202965708991E-4</v>
      </c>
    </row>
    <row r="346" spans="2:5" ht="15" customHeight="1">
      <c r="B346" s="73"/>
      <c r="C346" s="30" t="s">
        <v>108</v>
      </c>
      <c r="D346" s="29">
        <v>1</v>
      </c>
      <c r="E346" s="28">
        <v>4.6339202965708991E-4</v>
      </c>
    </row>
    <row r="347" spans="2:5" ht="15" customHeight="1">
      <c r="B347" s="73"/>
      <c r="C347" s="30" t="s">
        <v>247</v>
      </c>
      <c r="D347" s="29">
        <v>2</v>
      </c>
      <c r="E347" s="28">
        <v>9.2678405931417981E-4</v>
      </c>
    </row>
    <row r="348" spans="2:5" ht="15" customHeight="1">
      <c r="B348" s="73"/>
      <c r="C348" s="30" t="s">
        <v>246</v>
      </c>
      <c r="D348" s="29">
        <v>2</v>
      </c>
      <c r="E348" s="28">
        <v>9.2678405931417981E-4</v>
      </c>
    </row>
    <row r="349" spans="2:5" ht="15" customHeight="1">
      <c r="B349" s="73"/>
      <c r="C349" s="30" t="s">
        <v>245</v>
      </c>
      <c r="D349" s="29">
        <v>34</v>
      </c>
      <c r="E349" s="28">
        <v>1.5755329008341055E-2</v>
      </c>
    </row>
    <row r="350" spans="2:5" ht="15" customHeight="1">
      <c r="B350" s="73"/>
      <c r="C350" s="30" t="s">
        <v>612</v>
      </c>
      <c r="D350" s="29">
        <v>1</v>
      </c>
      <c r="E350" s="28">
        <v>4.6339202965708991E-4</v>
      </c>
    </row>
    <row r="351" spans="2:5" ht="15" customHeight="1">
      <c r="B351" s="73"/>
      <c r="C351" s="30" t="s">
        <v>244</v>
      </c>
      <c r="D351" s="29">
        <v>3</v>
      </c>
      <c r="E351" s="28">
        <v>1.3901760889712697E-3</v>
      </c>
    </row>
    <row r="352" spans="2:5" ht="15" customHeight="1">
      <c r="B352" s="73"/>
      <c r="C352" s="30" t="s">
        <v>243</v>
      </c>
      <c r="D352" s="29">
        <v>2</v>
      </c>
      <c r="E352" s="28">
        <v>9.2678405931417981E-4</v>
      </c>
    </row>
    <row r="353" spans="2:5" ht="15" customHeight="1">
      <c r="B353" s="73"/>
      <c r="C353" s="30" t="s">
        <v>613</v>
      </c>
      <c r="D353" s="29">
        <v>1</v>
      </c>
      <c r="E353" s="28">
        <v>4.6339202965708991E-4</v>
      </c>
    </row>
    <row r="354" spans="2:5" ht="15" customHeight="1">
      <c r="B354" s="73"/>
      <c r="C354" s="30" t="s">
        <v>242</v>
      </c>
      <c r="D354" s="29">
        <v>2</v>
      </c>
      <c r="E354" s="28">
        <v>9.2678405931417981E-4</v>
      </c>
    </row>
    <row r="355" spans="2:5" ht="15" customHeight="1">
      <c r="B355" s="73"/>
      <c r="C355" s="30" t="s">
        <v>614</v>
      </c>
      <c r="D355" s="29">
        <v>2</v>
      </c>
      <c r="E355" s="28">
        <v>9.2678405931417981E-4</v>
      </c>
    </row>
    <row r="356" spans="2:5" ht="15" customHeight="1">
      <c r="B356" s="73"/>
      <c r="C356" s="30" t="s">
        <v>241</v>
      </c>
      <c r="D356" s="29">
        <v>2</v>
      </c>
      <c r="E356" s="28">
        <v>9.2678405931417981E-4</v>
      </c>
    </row>
    <row r="357" spans="2:5" ht="15" customHeight="1">
      <c r="B357" s="73"/>
      <c r="C357" s="30" t="s">
        <v>240</v>
      </c>
      <c r="D357" s="29">
        <v>1</v>
      </c>
      <c r="E357" s="28">
        <v>4.6339202965708991E-4</v>
      </c>
    </row>
    <row r="358" spans="2:5" ht="15" customHeight="1">
      <c r="B358" s="73"/>
      <c r="C358" s="30" t="s">
        <v>239</v>
      </c>
      <c r="D358" s="29">
        <v>4</v>
      </c>
      <c r="E358" s="28">
        <v>1.8535681186283596E-3</v>
      </c>
    </row>
    <row r="359" spans="2:5" ht="15" customHeight="1">
      <c r="B359" s="73"/>
      <c r="C359" s="30" t="s">
        <v>238</v>
      </c>
      <c r="D359" s="29">
        <v>1</v>
      </c>
      <c r="E359" s="28">
        <v>4.6339202965708991E-4</v>
      </c>
    </row>
    <row r="360" spans="2:5" ht="15" customHeight="1">
      <c r="B360" s="73"/>
      <c r="C360" s="30" t="s">
        <v>237</v>
      </c>
      <c r="D360" s="29">
        <v>5</v>
      </c>
      <c r="E360" s="28">
        <v>2.3169601482854493E-3</v>
      </c>
    </row>
    <row r="361" spans="2:5" ht="15" customHeight="1">
      <c r="B361" s="73"/>
      <c r="C361" s="30" t="s">
        <v>236</v>
      </c>
      <c r="D361" s="29">
        <v>1</v>
      </c>
      <c r="E361" s="28">
        <v>4.6339202965708991E-4</v>
      </c>
    </row>
    <row r="362" spans="2:5" ht="15" customHeight="1">
      <c r="B362" s="73"/>
      <c r="C362" s="30" t="s">
        <v>235</v>
      </c>
      <c r="D362" s="29">
        <v>1</v>
      </c>
      <c r="E362" s="28">
        <v>4.6339202965708991E-4</v>
      </c>
    </row>
    <row r="363" spans="2:5" ht="15" customHeight="1">
      <c r="B363" s="73"/>
      <c r="C363" s="30" t="s">
        <v>234</v>
      </c>
      <c r="D363" s="29">
        <v>2</v>
      </c>
      <c r="E363" s="28">
        <v>9.2678405931417981E-4</v>
      </c>
    </row>
    <row r="364" spans="2:5" ht="15" customHeight="1">
      <c r="B364" s="73"/>
      <c r="C364" s="30" t="s">
        <v>232</v>
      </c>
      <c r="D364" s="29">
        <v>1</v>
      </c>
      <c r="E364" s="28">
        <v>4.6339202965708991E-4</v>
      </c>
    </row>
    <row r="365" spans="2:5" ht="15" customHeight="1">
      <c r="B365" s="73"/>
      <c r="C365" s="30" t="s">
        <v>231</v>
      </c>
      <c r="D365" s="29">
        <v>7</v>
      </c>
      <c r="E365" s="28">
        <v>3.2437442075996291E-3</v>
      </c>
    </row>
    <row r="366" spans="2:5" ht="15" customHeight="1">
      <c r="B366" s="73"/>
      <c r="C366" s="30" t="s">
        <v>230</v>
      </c>
      <c r="D366" s="29">
        <v>9</v>
      </c>
      <c r="E366" s="28">
        <v>4.1705282669138094E-3</v>
      </c>
    </row>
    <row r="367" spans="2:5" ht="15" customHeight="1">
      <c r="B367" s="73"/>
      <c r="C367" s="30" t="s">
        <v>229</v>
      </c>
      <c r="D367" s="29">
        <v>2</v>
      </c>
      <c r="E367" s="28">
        <v>9.2678405931417981E-4</v>
      </c>
    </row>
    <row r="368" spans="2:5" ht="15" customHeight="1">
      <c r="B368" s="73"/>
      <c r="C368" s="30" t="s">
        <v>228</v>
      </c>
      <c r="D368" s="29">
        <v>2</v>
      </c>
      <c r="E368" s="28">
        <v>9.2678405931417981E-4</v>
      </c>
    </row>
    <row r="369" spans="2:5" ht="15" customHeight="1">
      <c r="B369" s="74"/>
      <c r="C369" s="27" t="s">
        <v>15</v>
      </c>
      <c r="D369" s="26">
        <v>223</v>
      </c>
      <c r="E369" s="25">
        <v>0.10333642261353104</v>
      </c>
    </row>
    <row r="370" spans="2:5" ht="15" customHeight="1">
      <c r="B370" s="72" t="s">
        <v>27</v>
      </c>
      <c r="C370" s="30" t="s">
        <v>615</v>
      </c>
      <c r="D370" s="29">
        <v>1</v>
      </c>
      <c r="E370" s="28">
        <v>4.6339202965708991E-4</v>
      </c>
    </row>
    <row r="371" spans="2:5" ht="15" customHeight="1">
      <c r="B371" s="73"/>
      <c r="C371" s="30" t="s">
        <v>227</v>
      </c>
      <c r="D371" s="29">
        <v>2</v>
      </c>
      <c r="E371" s="28">
        <v>9.2678405931417981E-4</v>
      </c>
    </row>
    <row r="372" spans="2:5" ht="15" customHeight="1">
      <c r="B372" s="73"/>
      <c r="C372" s="30" t="s">
        <v>226</v>
      </c>
      <c r="D372" s="29">
        <v>5</v>
      </c>
      <c r="E372" s="28">
        <v>2.3169601482854493E-3</v>
      </c>
    </row>
    <row r="373" spans="2:5" ht="15" customHeight="1">
      <c r="B373" s="73"/>
      <c r="C373" s="30" t="s">
        <v>225</v>
      </c>
      <c r="D373" s="29">
        <v>7</v>
      </c>
      <c r="E373" s="28">
        <v>3.2437442075996291E-3</v>
      </c>
    </row>
    <row r="374" spans="2:5" ht="15" customHeight="1">
      <c r="B374" s="73"/>
      <c r="C374" s="30" t="s">
        <v>616</v>
      </c>
      <c r="D374" s="29">
        <v>1</v>
      </c>
      <c r="E374" s="28">
        <v>4.6339202965708991E-4</v>
      </c>
    </row>
    <row r="375" spans="2:5" ht="15" customHeight="1">
      <c r="B375" s="73"/>
      <c r="C375" s="30" t="s">
        <v>224</v>
      </c>
      <c r="D375" s="29">
        <v>1</v>
      </c>
      <c r="E375" s="28">
        <v>4.6339202965708991E-4</v>
      </c>
    </row>
    <row r="376" spans="2:5" ht="15" customHeight="1">
      <c r="B376" s="73"/>
      <c r="C376" s="30" t="s">
        <v>223</v>
      </c>
      <c r="D376" s="29">
        <v>2</v>
      </c>
      <c r="E376" s="28">
        <v>9.2678405931417981E-4</v>
      </c>
    </row>
    <row r="377" spans="2:5" ht="15" customHeight="1">
      <c r="B377" s="73"/>
      <c r="C377" s="30" t="s">
        <v>617</v>
      </c>
      <c r="D377" s="29">
        <v>1</v>
      </c>
      <c r="E377" s="28">
        <v>4.6339202965708991E-4</v>
      </c>
    </row>
    <row r="378" spans="2:5" ht="15" customHeight="1">
      <c r="B378" s="73"/>
      <c r="C378" s="30" t="s">
        <v>222</v>
      </c>
      <c r="D378" s="29">
        <v>1</v>
      </c>
      <c r="E378" s="28">
        <v>4.6339202965708991E-4</v>
      </c>
    </row>
    <row r="379" spans="2:5" ht="15" customHeight="1">
      <c r="B379" s="73"/>
      <c r="C379" s="30" t="s">
        <v>221</v>
      </c>
      <c r="D379" s="29">
        <v>2</v>
      </c>
      <c r="E379" s="28">
        <v>9.2678405931417981E-4</v>
      </c>
    </row>
    <row r="380" spans="2:5" ht="15" customHeight="1">
      <c r="B380" s="73"/>
      <c r="C380" s="30" t="s">
        <v>220</v>
      </c>
      <c r="D380" s="29">
        <v>4</v>
      </c>
      <c r="E380" s="28">
        <v>1.8535681186283596E-3</v>
      </c>
    </row>
    <row r="381" spans="2:5" ht="15" customHeight="1">
      <c r="B381" s="73"/>
      <c r="C381" s="30" t="s">
        <v>618</v>
      </c>
      <c r="D381" s="29">
        <v>1</v>
      </c>
      <c r="E381" s="28">
        <v>4.6339202965708991E-4</v>
      </c>
    </row>
    <row r="382" spans="2:5" ht="15" customHeight="1">
      <c r="B382" s="73"/>
      <c r="C382" s="30" t="s">
        <v>219</v>
      </c>
      <c r="D382" s="29">
        <v>2</v>
      </c>
      <c r="E382" s="28">
        <v>9.2678405931417981E-4</v>
      </c>
    </row>
    <row r="383" spans="2:5" ht="15" customHeight="1">
      <c r="B383" s="73"/>
      <c r="C383" s="30" t="s">
        <v>619</v>
      </c>
      <c r="D383" s="29">
        <v>1</v>
      </c>
      <c r="E383" s="28">
        <v>4.6339202965708991E-4</v>
      </c>
    </row>
    <row r="384" spans="2:5" ht="15" customHeight="1">
      <c r="B384" s="73"/>
      <c r="C384" s="30" t="s">
        <v>620</v>
      </c>
      <c r="D384" s="29">
        <v>1</v>
      </c>
      <c r="E384" s="28">
        <v>4.6339202965708991E-4</v>
      </c>
    </row>
    <row r="385" spans="2:5" ht="15" customHeight="1">
      <c r="B385" s="73"/>
      <c r="C385" s="30" t="s">
        <v>218</v>
      </c>
      <c r="D385" s="29">
        <v>2</v>
      </c>
      <c r="E385" s="28">
        <v>9.2678405931417981E-4</v>
      </c>
    </row>
    <row r="386" spans="2:5" ht="15" customHeight="1">
      <c r="B386" s="73"/>
      <c r="C386" s="30" t="s">
        <v>217</v>
      </c>
      <c r="D386" s="29">
        <v>1</v>
      </c>
      <c r="E386" s="28">
        <v>4.6339202965708991E-4</v>
      </c>
    </row>
    <row r="387" spans="2:5" ht="15" customHeight="1">
      <c r="B387" s="73"/>
      <c r="C387" s="30" t="s">
        <v>216</v>
      </c>
      <c r="D387" s="29">
        <v>2</v>
      </c>
      <c r="E387" s="28">
        <v>9.2678405931417981E-4</v>
      </c>
    </row>
    <row r="388" spans="2:5" ht="15" customHeight="1">
      <c r="B388" s="73"/>
      <c r="C388" s="30" t="s">
        <v>215</v>
      </c>
      <c r="D388" s="29">
        <v>1</v>
      </c>
      <c r="E388" s="28">
        <v>4.6339202965708991E-4</v>
      </c>
    </row>
    <row r="389" spans="2:5" ht="15" customHeight="1">
      <c r="B389" s="74"/>
      <c r="C389" s="27" t="s">
        <v>15</v>
      </c>
      <c r="D389" s="26">
        <v>38</v>
      </c>
      <c r="E389" s="25">
        <v>1.7608897126969416E-2</v>
      </c>
    </row>
    <row r="390" spans="2:5" ht="15" customHeight="1">
      <c r="B390" s="72" t="s">
        <v>18</v>
      </c>
      <c r="C390" s="30" t="s">
        <v>214</v>
      </c>
      <c r="D390" s="29">
        <v>1</v>
      </c>
      <c r="E390" s="28">
        <v>4.6339202965708991E-4</v>
      </c>
    </row>
    <row r="391" spans="2:5" ht="15" customHeight="1">
      <c r="B391" s="73"/>
      <c r="C391" s="30" t="s">
        <v>621</v>
      </c>
      <c r="D391" s="29">
        <v>1</v>
      </c>
      <c r="E391" s="28">
        <v>4.6339202965708991E-4</v>
      </c>
    </row>
    <row r="392" spans="2:5" ht="15" customHeight="1">
      <c r="B392" s="73"/>
      <c r="C392" s="30" t="s">
        <v>213</v>
      </c>
      <c r="D392" s="29">
        <v>1</v>
      </c>
      <c r="E392" s="28">
        <v>4.6339202965708991E-4</v>
      </c>
    </row>
    <row r="393" spans="2:5" ht="15" customHeight="1">
      <c r="B393" s="73"/>
      <c r="C393" s="30" t="s">
        <v>622</v>
      </c>
      <c r="D393" s="29">
        <v>1</v>
      </c>
      <c r="E393" s="28">
        <v>4.6339202965708991E-4</v>
      </c>
    </row>
    <row r="394" spans="2:5" ht="15" customHeight="1">
      <c r="B394" s="73"/>
      <c r="C394" s="30" t="s">
        <v>212</v>
      </c>
      <c r="D394" s="29">
        <v>2</v>
      </c>
      <c r="E394" s="28">
        <v>9.2678405931417981E-4</v>
      </c>
    </row>
    <row r="395" spans="2:5" ht="15" customHeight="1">
      <c r="B395" s="73"/>
      <c r="C395" s="30" t="s">
        <v>211</v>
      </c>
      <c r="D395" s="29">
        <v>1</v>
      </c>
      <c r="E395" s="28">
        <v>4.6339202965708991E-4</v>
      </c>
    </row>
    <row r="396" spans="2:5" ht="15" customHeight="1">
      <c r="B396" s="73"/>
      <c r="C396" s="30" t="s">
        <v>210</v>
      </c>
      <c r="D396" s="29">
        <v>2</v>
      </c>
      <c r="E396" s="28">
        <v>9.2678405931417981E-4</v>
      </c>
    </row>
    <row r="397" spans="2:5" ht="15" customHeight="1">
      <c r="B397" s="74"/>
      <c r="C397" s="27" t="s">
        <v>15</v>
      </c>
      <c r="D397" s="26">
        <v>9</v>
      </c>
      <c r="E397" s="25">
        <v>4.1705282669138094E-3</v>
      </c>
    </row>
    <row r="398" spans="2:5" ht="15" customHeight="1">
      <c r="B398" s="72" t="s">
        <v>26</v>
      </c>
      <c r="C398" s="30" t="s">
        <v>60</v>
      </c>
      <c r="D398" s="29">
        <v>4</v>
      </c>
      <c r="E398" s="28">
        <v>1.8535681186283596E-3</v>
      </c>
    </row>
    <row r="399" spans="2:5" ht="15" customHeight="1">
      <c r="B399" s="73"/>
      <c r="C399" s="30" t="s">
        <v>623</v>
      </c>
      <c r="D399" s="29">
        <v>4</v>
      </c>
      <c r="E399" s="28">
        <v>1.8535681186283596E-3</v>
      </c>
    </row>
    <row r="400" spans="2:5" ht="15" customHeight="1">
      <c r="B400" s="73"/>
      <c r="C400" s="30" t="s">
        <v>624</v>
      </c>
      <c r="D400" s="29">
        <v>1</v>
      </c>
      <c r="E400" s="28">
        <v>4.6339202965708991E-4</v>
      </c>
    </row>
    <row r="401" spans="2:5" ht="15" customHeight="1">
      <c r="B401" s="73"/>
      <c r="C401" s="30" t="s">
        <v>625</v>
      </c>
      <c r="D401" s="29">
        <v>4</v>
      </c>
      <c r="E401" s="28">
        <v>1.8535681186283596E-3</v>
      </c>
    </row>
    <row r="402" spans="2:5" ht="15" customHeight="1">
      <c r="B402" s="73"/>
      <c r="C402" s="30" t="s">
        <v>208</v>
      </c>
      <c r="D402" s="29">
        <v>12</v>
      </c>
      <c r="E402" s="28">
        <v>5.5607043558850789E-3</v>
      </c>
    </row>
    <row r="403" spans="2:5" ht="15" customHeight="1">
      <c r="B403" s="73"/>
      <c r="C403" s="30" t="s">
        <v>207</v>
      </c>
      <c r="D403" s="29">
        <v>2</v>
      </c>
      <c r="E403" s="28">
        <v>9.2678405931417981E-4</v>
      </c>
    </row>
    <row r="404" spans="2:5" ht="15" customHeight="1">
      <c r="B404" s="73"/>
      <c r="C404" s="30" t="s">
        <v>206</v>
      </c>
      <c r="D404" s="29">
        <v>1</v>
      </c>
      <c r="E404" s="28">
        <v>4.6339202965708991E-4</v>
      </c>
    </row>
    <row r="405" spans="2:5" ht="15" customHeight="1">
      <c r="B405" s="74"/>
      <c r="C405" s="27" t="s">
        <v>15</v>
      </c>
      <c r="D405" s="26">
        <v>28</v>
      </c>
      <c r="E405" s="25">
        <v>1.2974976830398516E-2</v>
      </c>
    </row>
    <row r="406" spans="2:5" ht="15" customHeight="1">
      <c r="B406" s="72" t="s">
        <v>42</v>
      </c>
      <c r="C406" s="30" t="s">
        <v>205</v>
      </c>
      <c r="D406" s="29">
        <v>8</v>
      </c>
      <c r="E406" s="28">
        <v>3.7071362372567192E-3</v>
      </c>
    </row>
    <row r="407" spans="2:5" ht="15" customHeight="1">
      <c r="B407" s="73"/>
      <c r="C407" s="30" t="s">
        <v>204</v>
      </c>
      <c r="D407" s="29">
        <v>3</v>
      </c>
      <c r="E407" s="28">
        <v>1.3901760889712697E-3</v>
      </c>
    </row>
    <row r="408" spans="2:5" ht="15" customHeight="1">
      <c r="B408" s="73"/>
      <c r="C408" s="30" t="s">
        <v>203</v>
      </c>
      <c r="D408" s="29">
        <v>8</v>
      </c>
      <c r="E408" s="28">
        <v>3.7071362372567192E-3</v>
      </c>
    </row>
    <row r="409" spans="2:5" ht="15" customHeight="1">
      <c r="B409" s="73"/>
      <c r="C409" s="30" t="s">
        <v>202</v>
      </c>
      <c r="D409" s="29">
        <v>3</v>
      </c>
      <c r="E409" s="28">
        <v>1.3901760889712697E-3</v>
      </c>
    </row>
    <row r="410" spans="2:5" ht="15" customHeight="1">
      <c r="B410" s="73"/>
      <c r="C410" s="30" t="s">
        <v>626</v>
      </c>
      <c r="D410" s="29">
        <v>1</v>
      </c>
      <c r="E410" s="28">
        <v>4.6339202965708991E-4</v>
      </c>
    </row>
    <row r="411" spans="2:5" ht="15" customHeight="1">
      <c r="B411" s="73"/>
      <c r="C411" s="30" t="s">
        <v>201</v>
      </c>
      <c r="D411" s="29">
        <v>1</v>
      </c>
      <c r="E411" s="28">
        <v>4.6339202965708991E-4</v>
      </c>
    </row>
    <row r="412" spans="2:5" ht="15" customHeight="1">
      <c r="B412" s="73"/>
      <c r="C412" s="30" t="s">
        <v>200</v>
      </c>
      <c r="D412" s="29">
        <v>2</v>
      </c>
      <c r="E412" s="28">
        <v>9.2678405931417981E-4</v>
      </c>
    </row>
    <row r="413" spans="2:5" ht="15" customHeight="1">
      <c r="B413" s="73"/>
      <c r="C413" s="30" t="s">
        <v>627</v>
      </c>
      <c r="D413" s="29">
        <v>1</v>
      </c>
      <c r="E413" s="28">
        <v>4.6339202965708991E-4</v>
      </c>
    </row>
    <row r="414" spans="2:5" ht="15" customHeight="1">
      <c r="B414" s="73"/>
      <c r="C414" s="30" t="s">
        <v>199</v>
      </c>
      <c r="D414" s="29">
        <v>1</v>
      </c>
      <c r="E414" s="28">
        <v>4.6339202965708991E-4</v>
      </c>
    </row>
    <row r="415" spans="2:5" ht="15" customHeight="1">
      <c r="B415" s="73"/>
      <c r="C415" s="30" t="s">
        <v>628</v>
      </c>
      <c r="D415" s="29">
        <v>1</v>
      </c>
      <c r="E415" s="28">
        <v>4.6339202965708991E-4</v>
      </c>
    </row>
    <row r="416" spans="2:5" ht="15" customHeight="1">
      <c r="B416" s="73"/>
      <c r="C416" s="30" t="s">
        <v>629</v>
      </c>
      <c r="D416" s="29">
        <v>2</v>
      </c>
      <c r="E416" s="28">
        <v>9.2678405931417981E-4</v>
      </c>
    </row>
    <row r="417" spans="2:5" ht="15" customHeight="1">
      <c r="B417" s="73"/>
      <c r="C417" s="30" t="s">
        <v>198</v>
      </c>
      <c r="D417" s="29">
        <v>3</v>
      </c>
      <c r="E417" s="28">
        <v>1.3901760889712697E-3</v>
      </c>
    </row>
    <row r="418" spans="2:5" ht="15" customHeight="1">
      <c r="B418" s="73"/>
      <c r="C418" s="30" t="s">
        <v>630</v>
      </c>
      <c r="D418" s="29">
        <v>1</v>
      </c>
      <c r="E418" s="28">
        <v>4.6339202965708991E-4</v>
      </c>
    </row>
    <row r="419" spans="2:5" ht="15" customHeight="1">
      <c r="B419" s="73"/>
      <c r="C419" s="30" t="s">
        <v>631</v>
      </c>
      <c r="D419" s="29">
        <v>1</v>
      </c>
      <c r="E419" s="28">
        <v>4.6339202965708991E-4</v>
      </c>
    </row>
    <row r="420" spans="2:5" ht="15" customHeight="1">
      <c r="B420" s="73"/>
      <c r="C420" s="30" t="s">
        <v>632</v>
      </c>
      <c r="D420" s="29">
        <v>1</v>
      </c>
      <c r="E420" s="28">
        <v>4.6339202965708991E-4</v>
      </c>
    </row>
    <row r="421" spans="2:5" ht="15" customHeight="1">
      <c r="B421" s="73"/>
      <c r="C421" s="30" t="s">
        <v>197</v>
      </c>
      <c r="D421" s="29">
        <v>10</v>
      </c>
      <c r="E421" s="28">
        <v>4.6339202965708986E-3</v>
      </c>
    </row>
    <row r="422" spans="2:5" ht="15" customHeight="1">
      <c r="B422" s="73"/>
      <c r="C422" s="30" t="s">
        <v>633</v>
      </c>
      <c r="D422" s="29">
        <v>1</v>
      </c>
      <c r="E422" s="28">
        <v>4.6339202965708991E-4</v>
      </c>
    </row>
    <row r="423" spans="2:5" ht="15" customHeight="1">
      <c r="B423" s="73"/>
      <c r="C423" s="30" t="s">
        <v>634</v>
      </c>
      <c r="D423" s="29">
        <v>1</v>
      </c>
      <c r="E423" s="28">
        <v>4.6339202965708991E-4</v>
      </c>
    </row>
    <row r="424" spans="2:5" ht="15" customHeight="1">
      <c r="B424" s="73"/>
      <c r="C424" s="30" t="s">
        <v>635</v>
      </c>
      <c r="D424" s="29">
        <v>1</v>
      </c>
      <c r="E424" s="28">
        <v>4.6339202965708991E-4</v>
      </c>
    </row>
    <row r="425" spans="2:5" ht="15" customHeight="1">
      <c r="B425" s="73"/>
      <c r="C425" s="30" t="s">
        <v>196</v>
      </c>
      <c r="D425" s="29">
        <v>1</v>
      </c>
      <c r="E425" s="28">
        <v>4.6339202965708991E-4</v>
      </c>
    </row>
    <row r="426" spans="2:5" ht="15" customHeight="1">
      <c r="B426" s="73"/>
      <c r="C426" s="30" t="s">
        <v>195</v>
      </c>
      <c r="D426" s="29">
        <v>7</v>
      </c>
      <c r="E426" s="28">
        <v>3.2437442075996291E-3</v>
      </c>
    </row>
    <row r="427" spans="2:5" ht="15" customHeight="1">
      <c r="B427" s="73"/>
      <c r="C427" s="30" t="s">
        <v>194</v>
      </c>
      <c r="D427" s="29">
        <v>2</v>
      </c>
      <c r="E427" s="28">
        <v>9.2678405931417981E-4</v>
      </c>
    </row>
    <row r="428" spans="2:5" ht="15" customHeight="1">
      <c r="B428" s="73"/>
      <c r="C428" s="30" t="s">
        <v>193</v>
      </c>
      <c r="D428" s="29">
        <v>2</v>
      </c>
      <c r="E428" s="28">
        <v>9.2678405931417981E-4</v>
      </c>
    </row>
    <row r="429" spans="2:5" ht="15" customHeight="1">
      <c r="B429" s="73"/>
      <c r="C429" s="30" t="s">
        <v>636</v>
      </c>
      <c r="D429" s="29">
        <v>2</v>
      </c>
      <c r="E429" s="28">
        <v>9.2678405931417981E-4</v>
      </c>
    </row>
    <row r="430" spans="2:5" ht="15" customHeight="1">
      <c r="B430" s="73"/>
      <c r="C430" s="30" t="s">
        <v>192</v>
      </c>
      <c r="D430" s="29">
        <v>2</v>
      </c>
      <c r="E430" s="28">
        <v>9.2678405931417981E-4</v>
      </c>
    </row>
    <row r="431" spans="2:5" ht="15" customHeight="1">
      <c r="B431" s="73"/>
      <c r="C431" s="30" t="s">
        <v>637</v>
      </c>
      <c r="D431" s="29">
        <v>3</v>
      </c>
      <c r="E431" s="28">
        <v>1.3901760889712697E-3</v>
      </c>
    </row>
    <row r="432" spans="2:5" ht="15" customHeight="1">
      <c r="B432" s="73"/>
      <c r="C432" s="30" t="s">
        <v>191</v>
      </c>
      <c r="D432" s="29">
        <v>7</v>
      </c>
      <c r="E432" s="28">
        <v>3.2437442075996291E-3</v>
      </c>
    </row>
    <row r="433" spans="2:5" ht="15" customHeight="1">
      <c r="B433" s="73"/>
      <c r="C433" s="30" t="s">
        <v>190</v>
      </c>
      <c r="D433" s="29">
        <v>10</v>
      </c>
      <c r="E433" s="28">
        <v>4.6339202965708986E-3</v>
      </c>
    </row>
    <row r="434" spans="2:5" ht="15" customHeight="1">
      <c r="B434" s="73"/>
      <c r="C434" s="30" t="s">
        <v>189</v>
      </c>
      <c r="D434" s="29">
        <v>3</v>
      </c>
      <c r="E434" s="28">
        <v>1.3901760889712697E-3</v>
      </c>
    </row>
    <row r="435" spans="2:5" ht="15" customHeight="1">
      <c r="B435" s="73"/>
      <c r="C435" s="30" t="s">
        <v>638</v>
      </c>
      <c r="D435" s="29">
        <v>1</v>
      </c>
      <c r="E435" s="28">
        <v>4.6339202965708991E-4</v>
      </c>
    </row>
    <row r="436" spans="2:5" ht="15" customHeight="1">
      <c r="B436" s="73"/>
      <c r="C436" s="30" t="s">
        <v>188</v>
      </c>
      <c r="D436" s="29">
        <v>1</v>
      </c>
      <c r="E436" s="28">
        <v>4.6339202965708991E-4</v>
      </c>
    </row>
    <row r="437" spans="2:5" ht="15" customHeight="1">
      <c r="B437" s="73"/>
      <c r="C437" s="30" t="s">
        <v>639</v>
      </c>
      <c r="D437" s="29">
        <v>1</v>
      </c>
      <c r="E437" s="28">
        <v>4.6339202965708991E-4</v>
      </c>
    </row>
    <row r="438" spans="2:5" ht="15" customHeight="1">
      <c r="B438" s="73"/>
      <c r="C438" s="30" t="s">
        <v>187</v>
      </c>
      <c r="D438" s="29">
        <v>7</v>
      </c>
      <c r="E438" s="28">
        <v>3.2437442075996291E-3</v>
      </c>
    </row>
    <row r="439" spans="2:5" ht="15" customHeight="1">
      <c r="B439" s="73"/>
      <c r="C439" s="30" t="s">
        <v>186</v>
      </c>
      <c r="D439" s="29">
        <v>2</v>
      </c>
      <c r="E439" s="28">
        <v>9.2678405931417981E-4</v>
      </c>
    </row>
    <row r="440" spans="2:5" ht="15" customHeight="1">
      <c r="B440" s="73"/>
      <c r="C440" s="30" t="s">
        <v>640</v>
      </c>
      <c r="D440" s="29">
        <v>1</v>
      </c>
      <c r="E440" s="28">
        <v>4.6339202965708991E-4</v>
      </c>
    </row>
    <row r="441" spans="2:5" ht="15" customHeight="1">
      <c r="B441" s="73"/>
      <c r="C441" s="30" t="s">
        <v>185</v>
      </c>
      <c r="D441" s="29">
        <v>2</v>
      </c>
      <c r="E441" s="28">
        <v>9.2678405931417981E-4</v>
      </c>
    </row>
    <row r="442" spans="2:5" ht="15" customHeight="1">
      <c r="B442" s="73"/>
      <c r="C442" s="30" t="s">
        <v>641</v>
      </c>
      <c r="D442" s="29">
        <v>1</v>
      </c>
      <c r="E442" s="28">
        <v>4.6339202965708991E-4</v>
      </c>
    </row>
    <row r="443" spans="2:5" ht="15" customHeight="1">
      <c r="B443" s="73"/>
      <c r="C443" s="30" t="s">
        <v>642</v>
      </c>
      <c r="D443" s="29">
        <v>2</v>
      </c>
      <c r="E443" s="28">
        <v>9.2678405931417981E-4</v>
      </c>
    </row>
    <row r="444" spans="2:5" ht="15" customHeight="1">
      <c r="B444" s="73"/>
      <c r="C444" s="30" t="s">
        <v>184</v>
      </c>
      <c r="D444" s="29">
        <v>10</v>
      </c>
      <c r="E444" s="28">
        <v>4.6339202965708986E-3</v>
      </c>
    </row>
    <row r="445" spans="2:5" ht="15" customHeight="1">
      <c r="B445" s="73"/>
      <c r="C445" s="30" t="s">
        <v>183</v>
      </c>
      <c r="D445" s="29">
        <v>1</v>
      </c>
      <c r="E445" s="28">
        <v>4.6339202965708991E-4</v>
      </c>
    </row>
    <row r="446" spans="2:5" ht="15" customHeight="1">
      <c r="B446" s="73"/>
      <c r="C446" s="30" t="s">
        <v>182</v>
      </c>
      <c r="D446" s="29">
        <v>2</v>
      </c>
      <c r="E446" s="28">
        <v>9.2678405931417981E-4</v>
      </c>
    </row>
    <row r="447" spans="2:5" ht="15" customHeight="1">
      <c r="B447" s="73"/>
      <c r="C447" s="30" t="s">
        <v>643</v>
      </c>
      <c r="D447" s="29">
        <v>1</v>
      </c>
      <c r="E447" s="28">
        <v>4.6339202965708991E-4</v>
      </c>
    </row>
    <row r="448" spans="2:5" ht="15" customHeight="1">
      <c r="B448" s="73"/>
      <c r="C448" s="30" t="s">
        <v>181</v>
      </c>
      <c r="D448" s="29">
        <v>1</v>
      </c>
      <c r="E448" s="28">
        <v>4.6339202965708991E-4</v>
      </c>
    </row>
    <row r="449" spans="2:5" ht="15" customHeight="1">
      <c r="B449" s="73"/>
      <c r="C449" s="30" t="s">
        <v>180</v>
      </c>
      <c r="D449" s="29">
        <v>1</v>
      </c>
      <c r="E449" s="28">
        <v>4.6339202965708991E-4</v>
      </c>
    </row>
    <row r="450" spans="2:5" ht="15" customHeight="1">
      <c r="B450" s="73"/>
      <c r="C450" s="30" t="s">
        <v>179</v>
      </c>
      <c r="D450" s="29">
        <v>19</v>
      </c>
      <c r="E450" s="28">
        <v>8.804448563484708E-3</v>
      </c>
    </row>
    <row r="451" spans="2:5" ht="15" customHeight="1">
      <c r="B451" s="73"/>
      <c r="C451" s="30" t="s">
        <v>644</v>
      </c>
      <c r="D451" s="29">
        <v>3</v>
      </c>
      <c r="E451" s="28">
        <v>1.3901760889712697E-3</v>
      </c>
    </row>
    <row r="452" spans="2:5" ht="15" customHeight="1">
      <c r="B452" s="73"/>
      <c r="C452" s="30" t="s">
        <v>645</v>
      </c>
      <c r="D452" s="29">
        <v>1</v>
      </c>
      <c r="E452" s="28">
        <v>4.6339202965708991E-4</v>
      </c>
    </row>
    <row r="453" spans="2:5" ht="15" customHeight="1">
      <c r="B453" s="73"/>
      <c r="C453" s="30" t="s">
        <v>178</v>
      </c>
      <c r="D453" s="29">
        <v>2</v>
      </c>
      <c r="E453" s="28">
        <v>9.2678405931417981E-4</v>
      </c>
    </row>
    <row r="454" spans="2:5" ht="15" customHeight="1">
      <c r="B454" s="73"/>
      <c r="C454" s="30" t="s">
        <v>177</v>
      </c>
      <c r="D454" s="29">
        <v>1</v>
      </c>
      <c r="E454" s="28">
        <v>4.6339202965708991E-4</v>
      </c>
    </row>
    <row r="455" spans="2:5" ht="15" customHeight="1">
      <c r="B455" s="73"/>
      <c r="C455" s="30" t="s">
        <v>176</v>
      </c>
      <c r="D455" s="29">
        <v>1</v>
      </c>
      <c r="E455" s="28">
        <v>4.6339202965708991E-4</v>
      </c>
    </row>
    <row r="456" spans="2:5" ht="15" customHeight="1">
      <c r="B456" s="73"/>
      <c r="C456" s="30" t="s">
        <v>175</v>
      </c>
      <c r="D456" s="29">
        <v>3</v>
      </c>
      <c r="E456" s="28">
        <v>1.3901760889712697E-3</v>
      </c>
    </row>
    <row r="457" spans="2:5" ht="15" customHeight="1">
      <c r="B457" s="73"/>
      <c r="C457" s="30" t="s">
        <v>174</v>
      </c>
      <c r="D457" s="29">
        <v>2</v>
      </c>
      <c r="E457" s="28">
        <v>9.2678405931417981E-4</v>
      </c>
    </row>
    <row r="458" spans="2:5" ht="15" customHeight="1">
      <c r="B458" s="73"/>
      <c r="C458" s="30" t="s">
        <v>173</v>
      </c>
      <c r="D458" s="29">
        <v>3</v>
      </c>
      <c r="E458" s="28">
        <v>1.3901760889712697E-3</v>
      </c>
    </row>
    <row r="459" spans="2:5" ht="15" customHeight="1">
      <c r="B459" s="73"/>
      <c r="C459" s="30" t="s">
        <v>172</v>
      </c>
      <c r="D459" s="29">
        <v>2</v>
      </c>
      <c r="E459" s="28">
        <v>9.2678405931417981E-4</v>
      </c>
    </row>
    <row r="460" spans="2:5" ht="15" customHeight="1">
      <c r="B460" s="73"/>
      <c r="C460" s="30" t="s">
        <v>170</v>
      </c>
      <c r="D460" s="29">
        <v>6</v>
      </c>
      <c r="E460" s="28">
        <v>2.7803521779425394E-3</v>
      </c>
    </row>
    <row r="461" spans="2:5" ht="15" customHeight="1">
      <c r="B461" s="74"/>
      <c r="C461" s="27" t="s">
        <v>15</v>
      </c>
      <c r="D461" s="26">
        <v>166</v>
      </c>
      <c r="E461" s="25">
        <v>7.6923076923076927E-2</v>
      </c>
    </row>
    <row r="462" spans="2:5" ht="15" customHeight="1">
      <c r="B462" s="72" t="s">
        <v>35</v>
      </c>
      <c r="C462" s="30" t="s">
        <v>169</v>
      </c>
      <c r="D462" s="29">
        <v>1</v>
      </c>
      <c r="E462" s="28">
        <v>4.6339202965708991E-4</v>
      </c>
    </row>
    <row r="463" spans="2:5" ht="15" customHeight="1">
      <c r="B463" s="73"/>
      <c r="C463" s="30" t="s">
        <v>168</v>
      </c>
      <c r="D463" s="29">
        <v>6</v>
      </c>
      <c r="E463" s="28">
        <v>2.7803521779425394E-3</v>
      </c>
    </row>
    <row r="464" spans="2:5" ht="15" customHeight="1">
      <c r="B464" s="73"/>
      <c r="C464" s="30" t="s">
        <v>646</v>
      </c>
      <c r="D464" s="29">
        <v>1</v>
      </c>
      <c r="E464" s="28">
        <v>4.6339202965708991E-4</v>
      </c>
    </row>
    <row r="465" spans="2:5" ht="15" customHeight="1">
      <c r="B465" s="73"/>
      <c r="C465" s="30" t="s">
        <v>167</v>
      </c>
      <c r="D465" s="29">
        <v>2</v>
      </c>
      <c r="E465" s="28">
        <v>9.2678405931417981E-4</v>
      </c>
    </row>
    <row r="466" spans="2:5" ht="15" customHeight="1">
      <c r="B466" s="73"/>
      <c r="C466" s="30" t="s">
        <v>647</v>
      </c>
      <c r="D466" s="29">
        <v>1</v>
      </c>
      <c r="E466" s="28">
        <v>4.6339202965708991E-4</v>
      </c>
    </row>
    <row r="467" spans="2:5" ht="15" customHeight="1">
      <c r="B467" s="73"/>
      <c r="C467" s="30" t="s">
        <v>166</v>
      </c>
      <c r="D467" s="29">
        <v>6</v>
      </c>
      <c r="E467" s="28">
        <v>2.7803521779425394E-3</v>
      </c>
    </row>
    <row r="468" spans="2:5" ht="15" customHeight="1">
      <c r="B468" s="73"/>
      <c r="C468" s="30" t="s">
        <v>165</v>
      </c>
      <c r="D468" s="29">
        <v>2</v>
      </c>
      <c r="E468" s="28">
        <v>9.2678405931417981E-4</v>
      </c>
    </row>
    <row r="469" spans="2:5" ht="15" customHeight="1">
      <c r="B469" s="73"/>
      <c r="C469" s="30" t="s">
        <v>412</v>
      </c>
      <c r="D469" s="29">
        <v>1</v>
      </c>
      <c r="E469" s="28">
        <v>4.6339202965708991E-4</v>
      </c>
    </row>
    <row r="470" spans="2:5" ht="15" customHeight="1">
      <c r="B470" s="73"/>
      <c r="C470" s="30" t="s">
        <v>648</v>
      </c>
      <c r="D470" s="29">
        <v>1</v>
      </c>
      <c r="E470" s="28">
        <v>4.6339202965708991E-4</v>
      </c>
    </row>
    <row r="471" spans="2:5" ht="15" customHeight="1">
      <c r="B471" s="73"/>
      <c r="C471" s="30" t="s">
        <v>649</v>
      </c>
      <c r="D471" s="29">
        <v>1</v>
      </c>
      <c r="E471" s="28">
        <v>4.6339202965708991E-4</v>
      </c>
    </row>
    <row r="472" spans="2:5" ht="15" customHeight="1">
      <c r="B472" s="73"/>
      <c r="C472" s="30" t="s">
        <v>164</v>
      </c>
      <c r="D472" s="29">
        <v>2</v>
      </c>
      <c r="E472" s="28">
        <v>9.2678405931417981E-4</v>
      </c>
    </row>
    <row r="473" spans="2:5" ht="15" customHeight="1">
      <c r="B473" s="73"/>
      <c r="C473" s="30" t="s">
        <v>163</v>
      </c>
      <c r="D473" s="29">
        <v>1</v>
      </c>
      <c r="E473" s="28">
        <v>4.6339202965708991E-4</v>
      </c>
    </row>
    <row r="474" spans="2:5" ht="15" customHeight="1">
      <c r="B474" s="73"/>
      <c r="C474" s="30" t="s">
        <v>162</v>
      </c>
      <c r="D474" s="29">
        <v>10</v>
      </c>
      <c r="E474" s="28">
        <v>4.6339202965708986E-3</v>
      </c>
    </row>
    <row r="475" spans="2:5" ht="15" customHeight="1">
      <c r="B475" s="73"/>
      <c r="C475" s="30" t="s">
        <v>650</v>
      </c>
      <c r="D475" s="29">
        <v>1</v>
      </c>
      <c r="E475" s="28">
        <v>4.6339202965708991E-4</v>
      </c>
    </row>
    <row r="476" spans="2:5" ht="15" customHeight="1">
      <c r="B476" s="73"/>
      <c r="C476" s="30" t="s">
        <v>161</v>
      </c>
      <c r="D476" s="29">
        <v>3</v>
      </c>
      <c r="E476" s="28">
        <v>1.3901760889712697E-3</v>
      </c>
    </row>
    <row r="477" spans="2:5" ht="15" customHeight="1">
      <c r="B477" s="73"/>
      <c r="C477" s="30" t="s">
        <v>160</v>
      </c>
      <c r="D477" s="29">
        <v>2</v>
      </c>
      <c r="E477" s="28">
        <v>9.2678405931417981E-4</v>
      </c>
    </row>
    <row r="478" spans="2:5" ht="15" customHeight="1">
      <c r="B478" s="73"/>
      <c r="C478" s="30" t="s">
        <v>651</v>
      </c>
      <c r="D478" s="29">
        <v>1</v>
      </c>
      <c r="E478" s="28">
        <v>4.6339202965708991E-4</v>
      </c>
    </row>
    <row r="479" spans="2:5" ht="15" customHeight="1">
      <c r="B479" s="73"/>
      <c r="C479" s="30" t="s">
        <v>652</v>
      </c>
      <c r="D479" s="29">
        <v>1</v>
      </c>
      <c r="E479" s="28">
        <v>4.6339202965708991E-4</v>
      </c>
    </row>
    <row r="480" spans="2:5" ht="15" customHeight="1">
      <c r="B480" s="73"/>
      <c r="C480" s="30" t="s">
        <v>455</v>
      </c>
      <c r="D480" s="29">
        <v>1</v>
      </c>
      <c r="E480" s="28">
        <v>4.6339202965708991E-4</v>
      </c>
    </row>
    <row r="481" spans="2:5" ht="15" customHeight="1">
      <c r="B481" s="73"/>
      <c r="C481" s="30" t="s">
        <v>653</v>
      </c>
      <c r="D481" s="29">
        <v>1</v>
      </c>
      <c r="E481" s="28">
        <v>4.6339202965708991E-4</v>
      </c>
    </row>
    <row r="482" spans="2:5" ht="15" customHeight="1">
      <c r="B482" s="73"/>
      <c r="C482" s="30" t="s">
        <v>35</v>
      </c>
      <c r="D482" s="29">
        <v>6</v>
      </c>
      <c r="E482" s="28">
        <v>2.7803521779425394E-3</v>
      </c>
    </row>
    <row r="483" spans="2:5" ht="15" customHeight="1">
      <c r="B483" s="73"/>
      <c r="C483" s="30" t="s">
        <v>654</v>
      </c>
      <c r="D483" s="29">
        <v>1</v>
      </c>
      <c r="E483" s="28">
        <v>4.6339202965708991E-4</v>
      </c>
    </row>
    <row r="484" spans="2:5" ht="15" customHeight="1">
      <c r="B484" s="73"/>
      <c r="C484" s="30" t="s">
        <v>159</v>
      </c>
      <c r="D484" s="29">
        <v>2</v>
      </c>
      <c r="E484" s="28">
        <v>9.2678405931417981E-4</v>
      </c>
    </row>
    <row r="485" spans="2:5" ht="15" customHeight="1">
      <c r="B485" s="73"/>
      <c r="C485" s="30" t="s">
        <v>158</v>
      </c>
      <c r="D485" s="29">
        <v>1</v>
      </c>
      <c r="E485" s="28">
        <v>4.6339202965708991E-4</v>
      </c>
    </row>
    <row r="486" spans="2:5" ht="15" customHeight="1">
      <c r="B486" s="73"/>
      <c r="C486" s="30" t="s">
        <v>157</v>
      </c>
      <c r="D486" s="29">
        <v>1</v>
      </c>
      <c r="E486" s="28">
        <v>4.6339202965708991E-4</v>
      </c>
    </row>
    <row r="487" spans="2:5" ht="15" customHeight="1">
      <c r="B487" s="73"/>
      <c r="C487" s="30" t="s">
        <v>156</v>
      </c>
      <c r="D487" s="29">
        <v>2</v>
      </c>
      <c r="E487" s="28">
        <v>9.2678405931417981E-4</v>
      </c>
    </row>
    <row r="488" spans="2:5" ht="15" customHeight="1">
      <c r="B488" s="73"/>
      <c r="C488" s="30" t="s">
        <v>155</v>
      </c>
      <c r="D488" s="29">
        <v>2</v>
      </c>
      <c r="E488" s="28">
        <v>9.2678405931417981E-4</v>
      </c>
    </row>
    <row r="489" spans="2:5" ht="15" customHeight="1">
      <c r="B489" s="73"/>
      <c r="C489" s="30" t="s">
        <v>154</v>
      </c>
      <c r="D489" s="29">
        <v>1</v>
      </c>
      <c r="E489" s="28">
        <v>4.6339202965708991E-4</v>
      </c>
    </row>
    <row r="490" spans="2:5" ht="15" customHeight="1">
      <c r="B490" s="73"/>
      <c r="C490" s="30" t="s">
        <v>655</v>
      </c>
      <c r="D490" s="29">
        <v>1</v>
      </c>
      <c r="E490" s="28">
        <v>4.6339202965708991E-4</v>
      </c>
    </row>
    <row r="491" spans="2:5" ht="15" customHeight="1">
      <c r="B491" s="73"/>
      <c r="C491" s="30" t="s">
        <v>153</v>
      </c>
      <c r="D491" s="29">
        <v>5</v>
      </c>
      <c r="E491" s="28">
        <v>2.3169601482854493E-3</v>
      </c>
    </row>
    <row r="492" spans="2:5" ht="15" customHeight="1">
      <c r="B492" s="73"/>
      <c r="C492" s="30" t="s">
        <v>68</v>
      </c>
      <c r="D492" s="29">
        <v>1</v>
      </c>
      <c r="E492" s="28">
        <v>4.6339202965708991E-4</v>
      </c>
    </row>
    <row r="493" spans="2:5" ht="15" customHeight="1">
      <c r="B493" s="73"/>
      <c r="C493" s="30" t="s">
        <v>656</v>
      </c>
      <c r="D493" s="29">
        <v>1</v>
      </c>
      <c r="E493" s="28">
        <v>4.6339202965708991E-4</v>
      </c>
    </row>
    <row r="494" spans="2:5" ht="15" customHeight="1">
      <c r="B494" s="73"/>
      <c r="C494" s="30" t="s">
        <v>152</v>
      </c>
      <c r="D494" s="29">
        <v>1</v>
      </c>
      <c r="E494" s="28">
        <v>4.6339202965708991E-4</v>
      </c>
    </row>
    <row r="495" spans="2:5" ht="15" customHeight="1">
      <c r="B495" s="73"/>
      <c r="C495" s="30" t="s">
        <v>657</v>
      </c>
      <c r="D495" s="29">
        <v>1</v>
      </c>
      <c r="E495" s="28">
        <v>4.6339202965708991E-4</v>
      </c>
    </row>
    <row r="496" spans="2:5" ht="15" customHeight="1">
      <c r="B496" s="73"/>
      <c r="C496" s="30" t="s">
        <v>658</v>
      </c>
      <c r="D496" s="29">
        <v>1</v>
      </c>
      <c r="E496" s="28">
        <v>4.6339202965708991E-4</v>
      </c>
    </row>
    <row r="497" spans="2:5" ht="15" customHeight="1">
      <c r="B497" s="73"/>
      <c r="C497" s="30" t="s">
        <v>151</v>
      </c>
      <c r="D497" s="29">
        <v>3</v>
      </c>
      <c r="E497" s="28">
        <v>1.3901760889712697E-3</v>
      </c>
    </row>
    <row r="498" spans="2:5" ht="15" customHeight="1">
      <c r="B498" s="73"/>
      <c r="C498" s="30" t="s">
        <v>131</v>
      </c>
      <c r="D498" s="29">
        <v>1</v>
      </c>
      <c r="E498" s="28">
        <v>4.6339202965708991E-4</v>
      </c>
    </row>
    <row r="499" spans="2:5" ht="15" customHeight="1">
      <c r="B499" s="74"/>
      <c r="C499" s="27" t="s">
        <v>15</v>
      </c>
      <c r="D499" s="26">
        <v>76</v>
      </c>
      <c r="E499" s="25">
        <v>3.5217794253938832E-2</v>
      </c>
    </row>
    <row r="500" spans="2:5" ht="15" customHeight="1">
      <c r="B500" s="72" t="s">
        <v>24</v>
      </c>
      <c r="C500" s="30" t="s">
        <v>150</v>
      </c>
      <c r="D500" s="29">
        <v>1</v>
      </c>
      <c r="E500" s="28">
        <v>4.6339202965708991E-4</v>
      </c>
    </row>
    <row r="501" spans="2:5" ht="15" customHeight="1">
      <c r="B501" s="73"/>
      <c r="C501" s="30" t="s">
        <v>149</v>
      </c>
      <c r="D501" s="29">
        <v>2</v>
      </c>
      <c r="E501" s="28">
        <v>9.2678405931417981E-4</v>
      </c>
    </row>
    <row r="502" spans="2:5" ht="15" customHeight="1">
      <c r="B502" s="73"/>
      <c r="C502" s="30" t="s">
        <v>148</v>
      </c>
      <c r="D502" s="29">
        <v>2</v>
      </c>
      <c r="E502" s="28">
        <v>9.2678405931417981E-4</v>
      </c>
    </row>
    <row r="503" spans="2:5" ht="15" customHeight="1">
      <c r="B503" s="73"/>
      <c r="C503" s="30" t="s">
        <v>147</v>
      </c>
      <c r="D503" s="29">
        <v>1</v>
      </c>
      <c r="E503" s="28">
        <v>4.6339202965708991E-4</v>
      </c>
    </row>
    <row r="504" spans="2:5" ht="15" customHeight="1">
      <c r="B504" s="73"/>
      <c r="C504" s="30" t="s">
        <v>146</v>
      </c>
      <c r="D504" s="29">
        <v>2</v>
      </c>
      <c r="E504" s="28">
        <v>9.2678405931417981E-4</v>
      </c>
    </row>
    <row r="505" spans="2:5" ht="15" customHeight="1">
      <c r="B505" s="73"/>
      <c r="C505" s="30" t="s">
        <v>24</v>
      </c>
      <c r="D505" s="29">
        <v>7</v>
      </c>
      <c r="E505" s="28">
        <v>3.2437442075996291E-3</v>
      </c>
    </row>
    <row r="506" spans="2:5" ht="15" customHeight="1">
      <c r="B506" s="73"/>
      <c r="C506" s="30" t="s">
        <v>145</v>
      </c>
      <c r="D506" s="29">
        <v>1</v>
      </c>
      <c r="E506" s="28">
        <v>4.6339202965708991E-4</v>
      </c>
    </row>
    <row r="507" spans="2:5" ht="15" customHeight="1">
      <c r="B507" s="73"/>
      <c r="C507" s="30" t="s">
        <v>659</v>
      </c>
      <c r="D507" s="29">
        <v>1</v>
      </c>
      <c r="E507" s="28">
        <v>4.6339202965708991E-4</v>
      </c>
    </row>
    <row r="508" spans="2:5" ht="15" customHeight="1">
      <c r="B508" s="74"/>
      <c r="C508" s="27" t="s">
        <v>15</v>
      </c>
      <c r="D508" s="26">
        <v>17</v>
      </c>
      <c r="E508" s="25">
        <v>7.8776645041705277E-3</v>
      </c>
    </row>
    <row r="509" spans="2:5" ht="15" customHeight="1">
      <c r="B509" s="72" t="s">
        <v>33</v>
      </c>
      <c r="C509" s="30" t="s">
        <v>143</v>
      </c>
      <c r="D509" s="29">
        <v>1</v>
      </c>
      <c r="E509" s="28">
        <v>4.6339202965708991E-4</v>
      </c>
    </row>
    <row r="510" spans="2:5" ht="15" customHeight="1">
      <c r="B510" s="73"/>
      <c r="C510" s="30" t="s">
        <v>142</v>
      </c>
      <c r="D510" s="29">
        <v>2</v>
      </c>
      <c r="E510" s="28">
        <v>9.2678405931417981E-4</v>
      </c>
    </row>
    <row r="511" spans="2:5" ht="15" customHeight="1">
      <c r="B511" s="73"/>
      <c r="C511" s="30" t="s">
        <v>141</v>
      </c>
      <c r="D511" s="29">
        <v>1</v>
      </c>
      <c r="E511" s="28">
        <v>4.6339202965708991E-4</v>
      </c>
    </row>
    <row r="512" spans="2:5" ht="15" customHeight="1">
      <c r="B512" s="73"/>
      <c r="C512" s="30" t="s">
        <v>660</v>
      </c>
      <c r="D512" s="29">
        <v>1</v>
      </c>
      <c r="E512" s="28">
        <v>4.6339202965708991E-4</v>
      </c>
    </row>
    <row r="513" spans="2:5" ht="15" customHeight="1">
      <c r="B513" s="73"/>
      <c r="C513" s="30" t="s">
        <v>140</v>
      </c>
      <c r="D513" s="29">
        <v>1</v>
      </c>
      <c r="E513" s="28">
        <v>4.6339202965708991E-4</v>
      </c>
    </row>
    <row r="514" spans="2:5" ht="15" customHeight="1">
      <c r="B514" s="73"/>
      <c r="C514" s="30" t="s">
        <v>661</v>
      </c>
      <c r="D514" s="29">
        <v>1</v>
      </c>
      <c r="E514" s="28">
        <v>4.6339202965708991E-4</v>
      </c>
    </row>
    <row r="515" spans="2:5" ht="15" customHeight="1">
      <c r="B515" s="73"/>
      <c r="C515" s="30" t="s">
        <v>662</v>
      </c>
      <c r="D515" s="29">
        <v>2</v>
      </c>
      <c r="E515" s="28">
        <v>9.2678405931417981E-4</v>
      </c>
    </row>
    <row r="516" spans="2:5" ht="15" customHeight="1">
      <c r="B516" s="73"/>
      <c r="C516" s="30" t="s">
        <v>139</v>
      </c>
      <c r="D516" s="29">
        <v>5</v>
      </c>
      <c r="E516" s="28">
        <v>2.3169601482854493E-3</v>
      </c>
    </row>
    <row r="517" spans="2:5" ht="15" customHeight="1">
      <c r="B517" s="73"/>
      <c r="C517" s="30" t="s">
        <v>138</v>
      </c>
      <c r="D517" s="29">
        <v>5</v>
      </c>
      <c r="E517" s="28">
        <v>2.3169601482854493E-3</v>
      </c>
    </row>
    <row r="518" spans="2:5" ht="15" customHeight="1">
      <c r="B518" s="73"/>
      <c r="C518" s="30" t="s">
        <v>33</v>
      </c>
      <c r="D518" s="29">
        <v>10</v>
      </c>
      <c r="E518" s="28">
        <v>4.6339202965708986E-3</v>
      </c>
    </row>
    <row r="519" spans="2:5" ht="15" customHeight="1">
      <c r="B519" s="73"/>
      <c r="C519" s="30" t="s">
        <v>137</v>
      </c>
      <c r="D519" s="29">
        <v>3</v>
      </c>
      <c r="E519" s="28">
        <v>1.3901760889712697E-3</v>
      </c>
    </row>
    <row r="520" spans="2:5" ht="15" customHeight="1">
      <c r="B520" s="73"/>
      <c r="C520" s="30" t="s">
        <v>136</v>
      </c>
      <c r="D520" s="29">
        <v>1</v>
      </c>
      <c r="E520" s="28">
        <v>4.6339202965708991E-4</v>
      </c>
    </row>
    <row r="521" spans="2:5" ht="15" customHeight="1">
      <c r="B521" s="73"/>
      <c r="C521" s="30" t="s">
        <v>135</v>
      </c>
      <c r="D521" s="29">
        <v>4</v>
      </c>
      <c r="E521" s="28">
        <v>1.8535681186283596E-3</v>
      </c>
    </row>
    <row r="522" spans="2:5" ht="15" customHeight="1">
      <c r="B522" s="73"/>
      <c r="C522" s="30" t="s">
        <v>134</v>
      </c>
      <c r="D522" s="29">
        <v>1</v>
      </c>
      <c r="E522" s="28">
        <v>4.6339202965708991E-4</v>
      </c>
    </row>
    <row r="523" spans="2:5" ht="15" customHeight="1">
      <c r="B523" s="73"/>
      <c r="C523" s="30" t="s">
        <v>133</v>
      </c>
      <c r="D523" s="29">
        <v>3</v>
      </c>
      <c r="E523" s="28">
        <v>1.3901760889712697E-3</v>
      </c>
    </row>
    <row r="524" spans="2:5" ht="15" customHeight="1">
      <c r="B524" s="73"/>
      <c r="C524" s="30" t="s">
        <v>132</v>
      </c>
      <c r="D524" s="29">
        <v>4</v>
      </c>
      <c r="E524" s="28">
        <v>1.8535681186283596E-3</v>
      </c>
    </row>
    <row r="525" spans="2:5" ht="15" customHeight="1">
      <c r="B525" s="74"/>
      <c r="C525" s="27" t="s">
        <v>15</v>
      </c>
      <c r="D525" s="26">
        <v>45</v>
      </c>
      <c r="E525" s="25">
        <v>2.0852641334569044E-2</v>
      </c>
    </row>
    <row r="526" spans="2:5" ht="15" customHeight="1">
      <c r="B526" s="72" t="s">
        <v>23</v>
      </c>
      <c r="C526" s="30" t="s">
        <v>130</v>
      </c>
      <c r="D526" s="29">
        <v>11</v>
      </c>
      <c r="E526" s="28">
        <v>5.0973123262279887E-3</v>
      </c>
    </row>
    <row r="527" spans="2:5" ht="15" customHeight="1">
      <c r="B527" s="73"/>
      <c r="C527" s="30" t="s">
        <v>663</v>
      </c>
      <c r="D527" s="29">
        <v>2</v>
      </c>
      <c r="E527" s="28">
        <v>9.2678405931417981E-4</v>
      </c>
    </row>
    <row r="528" spans="2:5" ht="15" customHeight="1">
      <c r="B528" s="73"/>
      <c r="C528" s="30" t="s">
        <v>129</v>
      </c>
      <c r="D528" s="29">
        <v>6</v>
      </c>
      <c r="E528" s="28">
        <v>2.7803521779425394E-3</v>
      </c>
    </row>
    <row r="529" spans="2:5" ht="15" customHeight="1">
      <c r="B529" s="73"/>
      <c r="C529" s="30" t="s">
        <v>128</v>
      </c>
      <c r="D529" s="29">
        <v>1</v>
      </c>
      <c r="E529" s="28">
        <v>4.6339202965708991E-4</v>
      </c>
    </row>
    <row r="530" spans="2:5" ht="15" customHeight="1">
      <c r="B530" s="73"/>
      <c r="C530" s="30" t="s">
        <v>127</v>
      </c>
      <c r="D530" s="29">
        <v>5</v>
      </c>
      <c r="E530" s="28">
        <v>2.3169601482854493E-3</v>
      </c>
    </row>
    <row r="531" spans="2:5" ht="15" customHeight="1">
      <c r="B531" s="73"/>
      <c r="C531" s="30" t="s">
        <v>664</v>
      </c>
      <c r="D531" s="29">
        <v>1</v>
      </c>
      <c r="E531" s="28">
        <v>4.6339202965708991E-4</v>
      </c>
    </row>
    <row r="532" spans="2:5" ht="15" customHeight="1">
      <c r="B532" s="74"/>
      <c r="C532" s="27" t="s">
        <v>15</v>
      </c>
      <c r="D532" s="26">
        <v>26</v>
      </c>
      <c r="E532" s="25">
        <v>1.2048192771084338E-2</v>
      </c>
    </row>
    <row r="533" spans="2:5" ht="15" customHeight="1">
      <c r="B533" s="72" t="s">
        <v>17</v>
      </c>
      <c r="C533" s="30" t="s">
        <v>126</v>
      </c>
      <c r="D533" s="29">
        <v>1</v>
      </c>
      <c r="E533" s="28">
        <v>4.6339202965708991E-4</v>
      </c>
    </row>
    <row r="534" spans="2:5" ht="15" customHeight="1">
      <c r="B534" s="73"/>
      <c r="C534" s="30" t="s">
        <v>125</v>
      </c>
      <c r="D534" s="29">
        <v>2</v>
      </c>
      <c r="E534" s="28">
        <v>9.2678405931417981E-4</v>
      </c>
    </row>
    <row r="535" spans="2:5" ht="15" customHeight="1">
      <c r="B535" s="73"/>
      <c r="C535" s="30" t="s">
        <v>124</v>
      </c>
      <c r="D535" s="29">
        <v>1</v>
      </c>
      <c r="E535" s="28">
        <v>4.6339202965708991E-4</v>
      </c>
    </row>
    <row r="536" spans="2:5" ht="15" customHeight="1">
      <c r="B536" s="73"/>
      <c r="C536" s="30" t="s">
        <v>665</v>
      </c>
      <c r="D536" s="29">
        <v>2</v>
      </c>
      <c r="E536" s="28">
        <v>9.2678405931417981E-4</v>
      </c>
    </row>
    <row r="537" spans="2:5" ht="15" customHeight="1">
      <c r="B537" s="73"/>
      <c r="C537" s="30" t="s">
        <v>666</v>
      </c>
      <c r="D537" s="29">
        <v>1</v>
      </c>
      <c r="E537" s="28">
        <v>4.6339202965708991E-4</v>
      </c>
    </row>
    <row r="538" spans="2:5" ht="15" customHeight="1">
      <c r="B538" s="73"/>
      <c r="C538" s="30" t="s">
        <v>123</v>
      </c>
      <c r="D538" s="29">
        <v>1</v>
      </c>
      <c r="E538" s="28">
        <v>4.6339202965708991E-4</v>
      </c>
    </row>
    <row r="539" spans="2:5" ht="15" customHeight="1">
      <c r="B539" s="74"/>
      <c r="C539" s="27" t="s">
        <v>15</v>
      </c>
      <c r="D539" s="26">
        <v>8</v>
      </c>
      <c r="E539" s="25">
        <v>3.7071362372567192E-3</v>
      </c>
    </row>
    <row r="540" spans="2:5" ht="15" customHeight="1">
      <c r="B540" s="72" t="s">
        <v>22</v>
      </c>
      <c r="C540" s="30" t="s">
        <v>122</v>
      </c>
      <c r="D540" s="29">
        <v>5</v>
      </c>
      <c r="E540" s="28">
        <v>2.3169601482854493E-3</v>
      </c>
    </row>
    <row r="541" spans="2:5" ht="15" customHeight="1">
      <c r="B541" s="73"/>
      <c r="C541" s="30" t="s">
        <v>121</v>
      </c>
      <c r="D541" s="29">
        <v>2</v>
      </c>
      <c r="E541" s="28">
        <v>9.2678405931417981E-4</v>
      </c>
    </row>
    <row r="542" spans="2:5" ht="15" customHeight="1">
      <c r="B542" s="73"/>
      <c r="C542" s="30" t="s">
        <v>120</v>
      </c>
      <c r="D542" s="29">
        <v>6</v>
      </c>
      <c r="E542" s="28">
        <v>2.7803521779425394E-3</v>
      </c>
    </row>
    <row r="543" spans="2:5" ht="15" customHeight="1">
      <c r="B543" s="73"/>
      <c r="C543" s="30" t="s">
        <v>119</v>
      </c>
      <c r="D543" s="29">
        <v>6</v>
      </c>
      <c r="E543" s="28">
        <v>2.7803521779425394E-3</v>
      </c>
    </row>
    <row r="544" spans="2:5" ht="15" customHeight="1">
      <c r="B544" s="73"/>
      <c r="C544" s="30" t="s">
        <v>118</v>
      </c>
      <c r="D544" s="29">
        <v>1</v>
      </c>
      <c r="E544" s="28">
        <v>4.6339202965708991E-4</v>
      </c>
    </row>
    <row r="545" spans="2:5" ht="15" customHeight="1">
      <c r="B545" s="73"/>
      <c r="C545" s="30" t="s">
        <v>667</v>
      </c>
      <c r="D545" s="29">
        <v>1</v>
      </c>
      <c r="E545" s="28">
        <v>4.6339202965708991E-4</v>
      </c>
    </row>
    <row r="546" spans="2:5" ht="15" customHeight="1">
      <c r="B546" s="73"/>
      <c r="C546" s="30" t="s">
        <v>668</v>
      </c>
      <c r="D546" s="29">
        <v>1</v>
      </c>
      <c r="E546" s="28">
        <v>4.6339202965708991E-4</v>
      </c>
    </row>
    <row r="547" spans="2:5" ht="15" customHeight="1">
      <c r="B547" s="74"/>
      <c r="C547" s="27" t="s">
        <v>15</v>
      </c>
      <c r="D547" s="26">
        <v>22</v>
      </c>
      <c r="E547" s="25">
        <v>1.0194624652455977E-2</v>
      </c>
    </row>
    <row r="548" spans="2:5" ht="15" customHeight="1">
      <c r="B548" s="72" t="s">
        <v>30</v>
      </c>
      <c r="C548" s="30" t="s">
        <v>209</v>
      </c>
      <c r="D548" s="29">
        <v>1</v>
      </c>
      <c r="E548" s="28">
        <v>4.6339202965708991E-4</v>
      </c>
    </row>
    <row r="549" spans="2:5" ht="15" customHeight="1">
      <c r="B549" s="73"/>
      <c r="C549" s="30" t="s">
        <v>447</v>
      </c>
      <c r="D549" s="29">
        <v>1</v>
      </c>
      <c r="E549" s="28">
        <v>4.6339202965708991E-4</v>
      </c>
    </row>
    <row r="550" spans="2:5" ht="15" customHeight="1">
      <c r="B550" s="73"/>
      <c r="C550" s="30" t="s">
        <v>117</v>
      </c>
      <c r="D550" s="29">
        <v>2</v>
      </c>
      <c r="E550" s="28">
        <v>9.2678405931417981E-4</v>
      </c>
    </row>
    <row r="551" spans="2:5" ht="15" customHeight="1">
      <c r="B551" s="73"/>
      <c r="C551" s="30" t="s">
        <v>444</v>
      </c>
      <c r="D551" s="29">
        <v>1</v>
      </c>
      <c r="E551" s="28">
        <v>4.6339202965708991E-4</v>
      </c>
    </row>
    <row r="552" spans="2:5" ht="15" customHeight="1">
      <c r="B552" s="73"/>
      <c r="C552" s="30" t="s">
        <v>116</v>
      </c>
      <c r="D552" s="29">
        <v>2</v>
      </c>
      <c r="E552" s="28">
        <v>9.2678405931417981E-4</v>
      </c>
    </row>
    <row r="553" spans="2:5" ht="15" customHeight="1">
      <c r="B553" s="73"/>
      <c r="C553" s="30" t="s">
        <v>115</v>
      </c>
      <c r="D553" s="29">
        <v>1</v>
      </c>
      <c r="E553" s="28">
        <v>4.6339202965708991E-4</v>
      </c>
    </row>
    <row r="554" spans="2:5" ht="15" customHeight="1">
      <c r="B554" s="73"/>
      <c r="C554" s="30" t="s">
        <v>114</v>
      </c>
      <c r="D554" s="29">
        <v>2</v>
      </c>
      <c r="E554" s="28">
        <v>9.2678405931417981E-4</v>
      </c>
    </row>
    <row r="555" spans="2:5" ht="15" customHeight="1">
      <c r="B555" s="73"/>
      <c r="C555" s="30" t="s">
        <v>113</v>
      </c>
      <c r="D555" s="29">
        <v>1</v>
      </c>
      <c r="E555" s="28">
        <v>4.6339202965708991E-4</v>
      </c>
    </row>
    <row r="556" spans="2:5" ht="15" customHeight="1">
      <c r="B556" s="73"/>
      <c r="C556" s="30" t="s">
        <v>112</v>
      </c>
      <c r="D556" s="29">
        <v>1</v>
      </c>
      <c r="E556" s="28">
        <v>4.6339202965708991E-4</v>
      </c>
    </row>
    <row r="557" spans="2:5" ht="15" customHeight="1">
      <c r="B557" s="73"/>
      <c r="C557" s="30" t="s">
        <v>111</v>
      </c>
      <c r="D557" s="29">
        <v>1</v>
      </c>
      <c r="E557" s="28">
        <v>4.6339202965708991E-4</v>
      </c>
    </row>
    <row r="558" spans="2:5" ht="15" customHeight="1">
      <c r="B558" s="73"/>
      <c r="C558" s="30" t="s">
        <v>110</v>
      </c>
      <c r="D558" s="29">
        <v>2</v>
      </c>
      <c r="E558" s="28">
        <v>9.2678405931417981E-4</v>
      </c>
    </row>
    <row r="559" spans="2:5" ht="15" customHeight="1">
      <c r="B559" s="73"/>
      <c r="C559" s="30" t="s">
        <v>109</v>
      </c>
      <c r="D559" s="29">
        <v>4</v>
      </c>
      <c r="E559" s="28">
        <v>1.8535681186283596E-3</v>
      </c>
    </row>
    <row r="560" spans="2:5" ht="15" customHeight="1">
      <c r="B560" s="73"/>
      <c r="C560" s="30" t="s">
        <v>108</v>
      </c>
      <c r="D560" s="29">
        <v>4</v>
      </c>
      <c r="E560" s="28">
        <v>1.8535681186283596E-3</v>
      </c>
    </row>
    <row r="561" spans="2:5" ht="15" customHeight="1">
      <c r="B561" s="73"/>
      <c r="C561" s="30" t="s">
        <v>107</v>
      </c>
      <c r="D561" s="29">
        <v>1</v>
      </c>
      <c r="E561" s="28">
        <v>4.6339202965708991E-4</v>
      </c>
    </row>
    <row r="562" spans="2:5" ht="15" customHeight="1">
      <c r="B562" s="73"/>
      <c r="C562" s="30" t="s">
        <v>106</v>
      </c>
      <c r="D562" s="29">
        <v>2</v>
      </c>
      <c r="E562" s="28">
        <v>9.2678405931417981E-4</v>
      </c>
    </row>
    <row r="563" spans="2:5" ht="15" customHeight="1">
      <c r="B563" s="73"/>
      <c r="C563" s="30" t="s">
        <v>105</v>
      </c>
      <c r="D563" s="29">
        <v>3</v>
      </c>
      <c r="E563" s="28">
        <v>1.3901760889712697E-3</v>
      </c>
    </row>
    <row r="564" spans="2:5" ht="15" customHeight="1">
      <c r="B564" s="73"/>
      <c r="C564" s="30" t="s">
        <v>104</v>
      </c>
      <c r="D564" s="29">
        <v>1</v>
      </c>
      <c r="E564" s="28">
        <v>4.6339202965708991E-4</v>
      </c>
    </row>
    <row r="565" spans="2:5" ht="15" customHeight="1">
      <c r="B565" s="73"/>
      <c r="C565" s="30" t="s">
        <v>669</v>
      </c>
      <c r="D565" s="29">
        <v>2</v>
      </c>
      <c r="E565" s="28">
        <v>9.2678405931417981E-4</v>
      </c>
    </row>
    <row r="566" spans="2:5" ht="15" customHeight="1">
      <c r="B566" s="73"/>
      <c r="C566" s="30" t="s">
        <v>670</v>
      </c>
      <c r="D566" s="29">
        <v>2</v>
      </c>
      <c r="E566" s="28">
        <v>9.2678405931417981E-4</v>
      </c>
    </row>
    <row r="567" spans="2:5" ht="15" customHeight="1">
      <c r="B567" s="73"/>
      <c r="C567" s="30" t="s">
        <v>103</v>
      </c>
      <c r="D567" s="29">
        <v>12</v>
      </c>
      <c r="E567" s="28">
        <v>5.5607043558850789E-3</v>
      </c>
    </row>
    <row r="568" spans="2:5" ht="15" customHeight="1">
      <c r="B568" s="74"/>
      <c r="C568" s="27" t="s">
        <v>15</v>
      </c>
      <c r="D568" s="26">
        <v>46</v>
      </c>
      <c r="E568" s="25">
        <v>2.1316033364226137E-2</v>
      </c>
    </row>
    <row r="569" spans="2:5" ht="15" customHeight="1">
      <c r="B569" s="72" t="s">
        <v>28</v>
      </c>
      <c r="C569" s="30" t="s">
        <v>102</v>
      </c>
      <c r="D569" s="29">
        <v>1</v>
      </c>
      <c r="E569" s="28">
        <v>4.6339202965708991E-4</v>
      </c>
    </row>
    <row r="570" spans="2:5" ht="15" customHeight="1">
      <c r="B570" s="73"/>
      <c r="C570" s="30" t="s">
        <v>101</v>
      </c>
      <c r="D570" s="29">
        <v>20</v>
      </c>
      <c r="E570" s="28">
        <v>9.2678405931417972E-3</v>
      </c>
    </row>
    <row r="571" spans="2:5" ht="15" customHeight="1">
      <c r="B571" s="73"/>
      <c r="C571" s="30" t="s">
        <v>671</v>
      </c>
      <c r="D571" s="29">
        <v>3</v>
      </c>
      <c r="E571" s="28">
        <v>1.3901760889712697E-3</v>
      </c>
    </row>
    <row r="572" spans="2:5" ht="15" customHeight="1">
      <c r="B572" s="73"/>
      <c r="C572" s="30" t="s">
        <v>100</v>
      </c>
      <c r="D572" s="29">
        <v>1</v>
      </c>
      <c r="E572" s="28">
        <v>4.6339202965708991E-4</v>
      </c>
    </row>
    <row r="573" spans="2:5" ht="15" customHeight="1">
      <c r="B573" s="73"/>
      <c r="C573" s="30" t="s">
        <v>99</v>
      </c>
      <c r="D573" s="29">
        <v>1</v>
      </c>
      <c r="E573" s="28">
        <v>4.6339202965708991E-4</v>
      </c>
    </row>
    <row r="574" spans="2:5" ht="15" customHeight="1">
      <c r="B574" s="73"/>
      <c r="C574" s="30" t="s">
        <v>98</v>
      </c>
      <c r="D574" s="29">
        <v>2</v>
      </c>
      <c r="E574" s="28">
        <v>9.2678405931417981E-4</v>
      </c>
    </row>
    <row r="575" spans="2:5" ht="15" customHeight="1">
      <c r="B575" s="73"/>
      <c r="C575" s="30" t="s">
        <v>672</v>
      </c>
      <c r="D575" s="29">
        <v>1</v>
      </c>
      <c r="E575" s="28">
        <v>4.6339202965708991E-4</v>
      </c>
    </row>
    <row r="576" spans="2:5" ht="15" customHeight="1">
      <c r="B576" s="73"/>
      <c r="C576" s="30" t="s">
        <v>97</v>
      </c>
      <c r="D576" s="29">
        <v>1</v>
      </c>
      <c r="E576" s="28">
        <v>4.6339202965708991E-4</v>
      </c>
    </row>
    <row r="577" spans="2:5" ht="15" customHeight="1">
      <c r="B577" s="73"/>
      <c r="C577" s="30" t="s">
        <v>673</v>
      </c>
      <c r="D577" s="29">
        <v>1</v>
      </c>
      <c r="E577" s="28">
        <v>4.6339202965708991E-4</v>
      </c>
    </row>
    <row r="578" spans="2:5" ht="15" customHeight="1">
      <c r="B578" s="73"/>
      <c r="C578" s="30" t="s">
        <v>674</v>
      </c>
      <c r="D578" s="29">
        <v>1</v>
      </c>
      <c r="E578" s="28">
        <v>4.6339202965708991E-4</v>
      </c>
    </row>
    <row r="579" spans="2:5" ht="15" customHeight="1">
      <c r="B579" s="73"/>
      <c r="C579" s="30" t="s">
        <v>96</v>
      </c>
      <c r="D579" s="29">
        <v>4</v>
      </c>
      <c r="E579" s="28">
        <v>1.8535681186283596E-3</v>
      </c>
    </row>
    <row r="580" spans="2:5" ht="15" customHeight="1">
      <c r="B580" s="73"/>
      <c r="C580" s="30" t="s">
        <v>28</v>
      </c>
      <c r="D580" s="29">
        <v>5</v>
      </c>
      <c r="E580" s="28">
        <v>2.3169601482854493E-3</v>
      </c>
    </row>
    <row r="581" spans="2:5" ht="15" customHeight="1">
      <c r="B581" s="73"/>
      <c r="C581" s="30" t="s">
        <v>675</v>
      </c>
      <c r="D581" s="29">
        <v>1</v>
      </c>
      <c r="E581" s="28">
        <v>4.6339202965708991E-4</v>
      </c>
    </row>
    <row r="582" spans="2:5" ht="15" customHeight="1">
      <c r="B582" s="73"/>
      <c r="C582" s="30" t="s">
        <v>676</v>
      </c>
      <c r="D582" s="29">
        <v>1</v>
      </c>
      <c r="E582" s="28">
        <v>4.6339202965708991E-4</v>
      </c>
    </row>
    <row r="583" spans="2:5" ht="15" customHeight="1">
      <c r="B583" s="74"/>
      <c r="C583" s="27" t="s">
        <v>15</v>
      </c>
      <c r="D583" s="26">
        <v>43</v>
      </c>
      <c r="E583" s="25">
        <v>1.9925857275254866E-2</v>
      </c>
    </row>
    <row r="584" spans="2:5" ht="15" customHeight="1">
      <c r="B584" s="72" t="s">
        <v>39</v>
      </c>
      <c r="C584" s="30" t="s">
        <v>169</v>
      </c>
      <c r="D584" s="29">
        <v>1</v>
      </c>
      <c r="E584" s="28">
        <v>4.6339202965708991E-4</v>
      </c>
    </row>
    <row r="585" spans="2:5" ht="15" customHeight="1">
      <c r="B585" s="73"/>
      <c r="C585" s="30" t="s">
        <v>95</v>
      </c>
      <c r="D585" s="29">
        <v>1</v>
      </c>
      <c r="E585" s="28">
        <v>4.6339202965708991E-4</v>
      </c>
    </row>
    <row r="586" spans="2:5" ht="15" customHeight="1">
      <c r="B586" s="73"/>
      <c r="C586" s="30" t="s">
        <v>94</v>
      </c>
      <c r="D586" s="29">
        <v>8</v>
      </c>
      <c r="E586" s="28">
        <v>3.7071362372567192E-3</v>
      </c>
    </row>
    <row r="587" spans="2:5" ht="15" customHeight="1">
      <c r="B587" s="73"/>
      <c r="C587" s="30" t="s">
        <v>677</v>
      </c>
      <c r="D587" s="29">
        <v>2</v>
      </c>
      <c r="E587" s="28">
        <v>9.2678405931417981E-4</v>
      </c>
    </row>
    <row r="588" spans="2:5" ht="15" customHeight="1">
      <c r="B588" s="73"/>
      <c r="C588" s="30" t="s">
        <v>678</v>
      </c>
      <c r="D588" s="29">
        <v>1</v>
      </c>
      <c r="E588" s="28">
        <v>4.6339202965708991E-4</v>
      </c>
    </row>
    <row r="589" spans="2:5" ht="15" customHeight="1">
      <c r="B589" s="73"/>
      <c r="C589" s="30" t="s">
        <v>93</v>
      </c>
      <c r="D589" s="29">
        <v>1</v>
      </c>
      <c r="E589" s="28">
        <v>4.6339202965708991E-4</v>
      </c>
    </row>
    <row r="590" spans="2:5" ht="15" customHeight="1">
      <c r="B590" s="73"/>
      <c r="C590" s="30" t="s">
        <v>679</v>
      </c>
      <c r="D590" s="29">
        <v>1</v>
      </c>
      <c r="E590" s="28">
        <v>4.6339202965708991E-4</v>
      </c>
    </row>
    <row r="591" spans="2:5" ht="15" customHeight="1">
      <c r="B591" s="73"/>
      <c r="C591" s="30" t="s">
        <v>92</v>
      </c>
      <c r="D591" s="29">
        <v>1</v>
      </c>
      <c r="E591" s="28">
        <v>4.6339202965708991E-4</v>
      </c>
    </row>
    <row r="592" spans="2:5" ht="15" customHeight="1">
      <c r="B592" s="73"/>
      <c r="C592" s="30" t="s">
        <v>91</v>
      </c>
      <c r="D592" s="29">
        <v>12</v>
      </c>
      <c r="E592" s="28">
        <v>5.5607043558850789E-3</v>
      </c>
    </row>
    <row r="593" spans="2:5" ht="15" customHeight="1">
      <c r="B593" s="73"/>
      <c r="C593" s="30" t="s">
        <v>90</v>
      </c>
      <c r="D593" s="29">
        <v>6</v>
      </c>
      <c r="E593" s="28">
        <v>2.7803521779425394E-3</v>
      </c>
    </row>
    <row r="594" spans="2:5" ht="15" customHeight="1">
      <c r="B594" s="73"/>
      <c r="C594" s="30" t="s">
        <v>89</v>
      </c>
      <c r="D594" s="29">
        <v>8</v>
      </c>
      <c r="E594" s="28">
        <v>3.7071362372567192E-3</v>
      </c>
    </row>
    <row r="595" spans="2:5" ht="15" customHeight="1">
      <c r="B595" s="73"/>
      <c r="C595" s="30" t="s">
        <v>680</v>
      </c>
      <c r="D595" s="29">
        <v>1</v>
      </c>
      <c r="E595" s="28">
        <v>4.6339202965708991E-4</v>
      </c>
    </row>
    <row r="596" spans="2:5" ht="15" customHeight="1">
      <c r="B596" s="73"/>
      <c r="C596" s="30" t="s">
        <v>681</v>
      </c>
      <c r="D596" s="29">
        <v>1</v>
      </c>
      <c r="E596" s="28">
        <v>4.6339202965708991E-4</v>
      </c>
    </row>
    <row r="597" spans="2:5" ht="15" customHeight="1">
      <c r="B597" s="73"/>
      <c r="C597" s="30" t="s">
        <v>88</v>
      </c>
      <c r="D597" s="29">
        <v>4</v>
      </c>
      <c r="E597" s="28">
        <v>1.8535681186283596E-3</v>
      </c>
    </row>
    <row r="598" spans="2:5" ht="15" customHeight="1">
      <c r="B598" s="73"/>
      <c r="C598" s="30" t="s">
        <v>682</v>
      </c>
      <c r="D598" s="29">
        <v>1</v>
      </c>
      <c r="E598" s="28">
        <v>4.6339202965708991E-4</v>
      </c>
    </row>
    <row r="599" spans="2:5" ht="15" customHeight="1">
      <c r="B599" s="73"/>
      <c r="C599" s="30" t="s">
        <v>87</v>
      </c>
      <c r="D599" s="29">
        <v>1</v>
      </c>
      <c r="E599" s="28">
        <v>4.6339202965708991E-4</v>
      </c>
    </row>
    <row r="600" spans="2:5" ht="15" customHeight="1">
      <c r="B600" s="73"/>
      <c r="C600" s="30" t="s">
        <v>86</v>
      </c>
      <c r="D600" s="29">
        <v>2</v>
      </c>
      <c r="E600" s="28">
        <v>9.2678405931417981E-4</v>
      </c>
    </row>
    <row r="601" spans="2:5" ht="15" customHeight="1">
      <c r="B601" s="73"/>
      <c r="C601" s="30" t="s">
        <v>683</v>
      </c>
      <c r="D601" s="29">
        <v>1</v>
      </c>
      <c r="E601" s="28">
        <v>4.6339202965708991E-4</v>
      </c>
    </row>
    <row r="602" spans="2:5" ht="15" customHeight="1">
      <c r="B602" s="73"/>
      <c r="C602" s="30" t="s">
        <v>684</v>
      </c>
      <c r="D602" s="29">
        <v>1</v>
      </c>
      <c r="E602" s="28">
        <v>4.6339202965708991E-4</v>
      </c>
    </row>
    <row r="603" spans="2:5" ht="15" customHeight="1">
      <c r="B603" s="73"/>
      <c r="C603" s="30" t="s">
        <v>85</v>
      </c>
      <c r="D603" s="29">
        <v>4</v>
      </c>
      <c r="E603" s="28">
        <v>1.8535681186283596E-3</v>
      </c>
    </row>
    <row r="604" spans="2:5" ht="15" customHeight="1">
      <c r="B604" s="73"/>
      <c r="C604" s="30" t="s">
        <v>84</v>
      </c>
      <c r="D604" s="29">
        <v>3</v>
      </c>
      <c r="E604" s="28">
        <v>1.3901760889712697E-3</v>
      </c>
    </row>
    <row r="605" spans="2:5" ht="15" customHeight="1">
      <c r="B605" s="73"/>
      <c r="C605" s="30" t="s">
        <v>685</v>
      </c>
      <c r="D605" s="29">
        <v>1</v>
      </c>
      <c r="E605" s="28">
        <v>4.6339202965708991E-4</v>
      </c>
    </row>
    <row r="606" spans="2:5" ht="15" customHeight="1">
      <c r="B606" s="73"/>
      <c r="C606" s="30" t="s">
        <v>83</v>
      </c>
      <c r="D606" s="29">
        <v>1</v>
      </c>
      <c r="E606" s="28">
        <v>4.6339202965708991E-4</v>
      </c>
    </row>
    <row r="607" spans="2:5" ht="15" customHeight="1">
      <c r="B607" s="73"/>
      <c r="C607" s="30" t="s">
        <v>82</v>
      </c>
      <c r="D607" s="29">
        <v>1</v>
      </c>
      <c r="E607" s="28">
        <v>4.6339202965708991E-4</v>
      </c>
    </row>
    <row r="608" spans="2:5" ht="15" customHeight="1">
      <c r="B608" s="73"/>
      <c r="C608" s="30" t="s">
        <v>81</v>
      </c>
      <c r="D608" s="29">
        <v>1</v>
      </c>
      <c r="E608" s="28">
        <v>4.6339202965708991E-4</v>
      </c>
    </row>
    <row r="609" spans="2:5" ht="15" customHeight="1">
      <c r="B609" s="73"/>
      <c r="C609" s="30" t="s">
        <v>80</v>
      </c>
      <c r="D609" s="29">
        <v>1</v>
      </c>
      <c r="E609" s="28">
        <v>4.6339202965708991E-4</v>
      </c>
    </row>
    <row r="610" spans="2:5" ht="15" customHeight="1">
      <c r="B610" s="73"/>
      <c r="C610" s="30" t="s">
        <v>79</v>
      </c>
      <c r="D610" s="29">
        <v>7</v>
      </c>
      <c r="E610" s="28">
        <v>3.2437442075996291E-3</v>
      </c>
    </row>
    <row r="611" spans="2:5" ht="15" customHeight="1">
      <c r="B611" s="73"/>
      <c r="C611" s="30" t="s">
        <v>78</v>
      </c>
      <c r="D611" s="29">
        <v>3</v>
      </c>
      <c r="E611" s="28">
        <v>1.3901760889712697E-3</v>
      </c>
    </row>
    <row r="612" spans="2:5" ht="15" customHeight="1">
      <c r="B612" s="73"/>
      <c r="C612" s="30" t="s">
        <v>77</v>
      </c>
      <c r="D612" s="29">
        <v>2</v>
      </c>
      <c r="E612" s="28">
        <v>9.2678405931417981E-4</v>
      </c>
    </row>
    <row r="613" spans="2:5" ht="15" customHeight="1">
      <c r="B613" s="73"/>
      <c r="C613" s="30" t="s">
        <v>76</v>
      </c>
      <c r="D613" s="29">
        <v>1</v>
      </c>
      <c r="E613" s="28">
        <v>4.6339202965708991E-4</v>
      </c>
    </row>
    <row r="614" spans="2:5" ht="15" customHeight="1">
      <c r="B614" s="73"/>
      <c r="C614" s="30" t="s">
        <v>75</v>
      </c>
      <c r="D614" s="29">
        <v>4</v>
      </c>
      <c r="E614" s="28">
        <v>1.8535681186283596E-3</v>
      </c>
    </row>
    <row r="615" spans="2:5" ht="15" customHeight="1">
      <c r="B615" s="73"/>
      <c r="C615" s="30" t="s">
        <v>74</v>
      </c>
      <c r="D615" s="29">
        <v>1</v>
      </c>
      <c r="E615" s="28">
        <v>4.6339202965708991E-4</v>
      </c>
    </row>
    <row r="616" spans="2:5" ht="15" customHeight="1">
      <c r="B616" s="73"/>
      <c r="C616" s="30" t="s">
        <v>686</v>
      </c>
      <c r="D616" s="29">
        <v>3</v>
      </c>
      <c r="E616" s="28">
        <v>1.3901760889712697E-3</v>
      </c>
    </row>
    <row r="617" spans="2:5" ht="15" customHeight="1">
      <c r="B617" s="73"/>
      <c r="C617" s="30" t="s">
        <v>687</v>
      </c>
      <c r="D617" s="29">
        <v>1</v>
      </c>
      <c r="E617" s="28">
        <v>4.6339202965708991E-4</v>
      </c>
    </row>
    <row r="618" spans="2:5" ht="15" customHeight="1">
      <c r="B618" s="73"/>
      <c r="C618" s="30" t="s">
        <v>73</v>
      </c>
      <c r="D618" s="29">
        <v>13</v>
      </c>
      <c r="E618" s="28">
        <v>6.024096385542169E-3</v>
      </c>
    </row>
    <row r="619" spans="2:5" ht="15" customHeight="1">
      <c r="B619" s="73"/>
      <c r="C619" s="30" t="s">
        <v>72</v>
      </c>
      <c r="D619" s="29">
        <v>2</v>
      </c>
      <c r="E619" s="28">
        <v>9.2678405931417981E-4</v>
      </c>
    </row>
    <row r="620" spans="2:5" ht="15" customHeight="1">
      <c r="B620" s="73"/>
      <c r="C620" s="30" t="s">
        <v>71</v>
      </c>
      <c r="D620" s="29">
        <v>11</v>
      </c>
      <c r="E620" s="28">
        <v>5.0973123262279887E-3</v>
      </c>
    </row>
    <row r="621" spans="2:5" ht="15" customHeight="1">
      <c r="B621" s="73"/>
      <c r="C621" s="30" t="s">
        <v>70</v>
      </c>
      <c r="D621" s="29">
        <v>2</v>
      </c>
      <c r="E621" s="28">
        <v>9.2678405931417981E-4</v>
      </c>
    </row>
    <row r="622" spans="2:5" ht="15" customHeight="1">
      <c r="B622" s="73"/>
      <c r="C622" s="30" t="s">
        <v>688</v>
      </c>
      <c r="D622" s="29">
        <v>2</v>
      </c>
      <c r="E622" s="28">
        <v>9.2678405931417981E-4</v>
      </c>
    </row>
    <row r="623" spans="2:5" ht="15" customHeight="1">
      <c r="B623" s="73"/>
      <c r="C623" s="30" t="s">
        <v>69</v>
      </c>
      <c r="D623" s="29">
        <v>7</v>
      </c>
      <c r="E623" s="28">
        <v>3.2437442075996291E-3</v>
      </c>
    </row>
    <row r="624" spans="2:5" ht="15" customHeight="1">
      <c r="B624" s="73"/>
      <c r="C624" s="30" t="s">
        <v>689</v>
      </c>
      <c r="D624" s="29">
        <v>1</v>
      </c>
      <c r="E624" s="28">
        <v>4.6339202965708991E-4</v>
      </c>
    </row>
    <row r="625" spans="2:5" ht="15" customHeight="1">
      <c r="B625" s="73"/>
      <c r="C625" s="30" t="s">
        <v>67</v>
      </c>
      <c r="D625" s="29">
        <v>7</v>
      </c>
      <c r="E625" s="28">
        <v>3.2437442075996291E-3</v>
      </c>
    </row>
    <row r="626" spans="2:5" ht="15" customHeight="1">
      <c r="B626" s="73"/>
      <c r="C626" s="30" t="s">
        <v>66</v>
      </c>
      <c r="D626" s="29">
        <v>1</v>
      </c>
      <c r="E626" s="28">
        <v>4.6339202965708991E-4</v>
      </c>
    </row>
    <row r="627" spans="2:5" ht="15" customHeight="1">
      <c r="B627" s="73"/>
      <c r="C627" s="30" t="s">
        <v>690</v>
      </c>
      <c r="D627" s="29">
        <v>1</v>
      </c>
      <c r="E627" s="28">
        <v>4.6339202965708991E-4</v>
      </c>
    </row>
    <row r="628" spans="2:5" ht="15" customHeight="1">
      <c r="B628" s="73"/>
      <c r="C628" s="30" t="s">
        <v>691</v>
      </c>
      <c r="D628" s="29">
        <v>1</v>
      </c>
      <c r="E628" s="28">
        <v>4.6339202965708991E-4</v>
      </c>
    </row>
    <row r="629" spans="2:5" ht="15" customHeight="1">
      <c r="B629" s="73"/>
      <c r="C629" s="30" t="s">
        <v>65</v>
      </c>
      <c r="D629" s="29">
        <v>3</v>
      </c>
      <c r="E629" s="28">
        <v>1.3901760889712697E-3</v>
      </c>
    </row>
    <row r="630" spans="2:5" ht="15" customHeight="1">
      <c r="B630" s="73"/>
      <c r="C630" s="30" t="s">
        <v>237</v>
      </c>
      <c r="D630" s="29">
        <v>2</v>
      </c>
      <c r="E630" s="28">
        <v>9.2678405931417981E-4</v>
      </c>
    </row>
    <row r="631" spans="2:5" ht="15" customHeight="1">
      <c r="B631" s="73"/>
      <c r="C631" s="30" t="s">
        <v>39</v>
      </c>
      <c r="D631" s="29">
        <v>15</v>
      </c>
      <c r="E631" s="28">
        <v>6.9508804448563484E-3</v>
      </c>
    </row>
    <row r="632" spans="2:5" ht="15" customHeight="1">
      <c r="B632" s="73"/>
      <c r="C632" s="30" t="s">
        <v>64</v>
      </c>
      <c r="D632" s="29">
        <v>4</v>
      </c>
      <c r="E632" s="28">
        <v>1.8535681186283596E-3</v>
      </c>
    </row>
    <row r="633" spans="2:5" ht="15" customHeight="1">
      <c r="B633" s="74"/>
      <c r="C633" s="27" t="s">
        <v>15</v>
      </c>
      <c r="D633" s="26">
        <v>160</v>
      </c>
      <c r="E633" s="25">
        <v>7.4142724745134378E-2</v>
      </c>
    </row>
    <row r="634" spans="2:5" ht="15" customHeight="1">
      <c r="B634" s="72" t="s">
        <v>16</v>
      </c>
      <c r="C634" s="30" t="s">
        <v>692</v>
      </c>
      <c r="D634" s="29">
        <v>1</v>
      </c>
      <c r="E634" s="28">
        <v>4.6339202965708991E-4</v>
      </c>
    </row>
    <row r="635" spans="2:5" ht="15" customHeight="1">
      <c r="B635" s="73"/>
      <c r="C635" s="30" t="s">
        <v>693</v>
      </c>
      <c r="D635" s="29">
        <v>1</v>
      </c>
      <c r="E635" s="28">
        <v>4.6339202965708991E-4</v>
      </c>
    </row>
    <row r="636" spans="2:5" ht="15" customHeight="1">
      <c r="B636" s="74"/>
      <c r="C636" s="27" t="s">
        <v>15</v>
      </c>
      <c r="D636" s="26">
        <v>2</v>
      </c>
      <c r="E636" s="25">
        <v>9.2678405931417981E-4</v>
      </c>
    </row>
    <row r="637" spans="2:5" ht="15" customHeight="1">
      <c r="B637" s="72" t="s">
        <v>34</v>
      </c>
      <c r="C637" s="30" t="s">
        <v>63</v>
      </c>
      <c r="D637" s="29">
        <v>2</v>
      </c>
      <c r="E637" s="28">
        <v>9.2678405931417981E-4</v>
      </c>
    </row>
    <row r="638" spans="2:5" ht="15" customHeight="1">
      <c r="B638" s="73"/>
      <c r="C638" s="30" t="s">
        <v>694</v>
      </c>
      <c r="D638" s="29">
        <v>1</v>
      </c>
      <c r="E638" s="28">
        <v>4.6339202965708991E-4</v>
      </c>
    </row>
    <row r="639" spans="2:5" ht="15" customHeight="1">
      <c r="B639" s="73"/>
      <c r="C639" s="30" t="s">
        <v>695</v>
      </c>
      <c r="D639" s="29">
        <v>2</v>
      </c>
      <c r="E639" s="28">
        <v>9.2678405931417981E-4</v>
      </c>
    </row>
    <row r="640" spans="2:5" ht="15" customHeight="1">
      <c r="B640" s="73"/>
      <c r="C640" s="30" t="s">
        <v>696</v>
      </c>
      <c r="D640" s="29">
        <v>1</v>
      </c>
      <c r="E640" s="28">
        <v>4.6339202965708991E-4</v>
      </c>
    </row>
    <row r="641" spans="2:5" ht="15" customHeight="1">
      <c r="B641" s="73"/>
      <c r="C641" s="30" t="s">
        <v>62</v>
      </c>
      <c r="D641" s="29">
        <v>7</v>
      </c>
      <c r="E641" s="28">
        <v>3.2437442075996291E-3</v>
      </c>
    </row>
    <row r="642" spans="2:5" ht="15" customHeight="1">
      <c r="B642" s="73"/>
      <c r="C642" s="30" t="s">
        <v>61</v>
      </c>
      <c r="D642" s="29">
        <v>2</v>
      </c>
      <c r="E642" s="28">
        <v>9.2678405931417981E-4</v>
      </c>
    </row>
    <row r="643" spans="2:5" ht="15" customHeight="1">
      <c r="B643" s="73"/>
      <c r="C643" s="30" t="s">
        <v>60</v>
      </c>
      <c r="D643" s="29">
        <v>8</v>
      </c>
      <c r="E643" s="28">
        <v>3.7071362372567192E-3</v>
      </c>
    </row>
    <row r="644" spans="2:5" ht="15" customHeight="1">
      <c r="B644" s="73"/>
      <c r="C644" s="30" t="s">
        <v>59</v>
      </c>
      <c r="D644" s="29">
        <v>1</v>
      </c>
      <c r="E644" s="28">
        <v>4.6339202965708991E-4</v>
      </c>
    </row>
    <row r="645" spans="2:5" ht="15" customHeight="1">
      <c r="B645" s="73"/>
      <c r="C645" s="30" t="s">
        <v>58</v>
      </c>
      <c r="D645" s="29">
        <v>4</v>
      </c>
      <c r="E645" s="28">
        <v>1.8535681186283596E-3</v>
      </c>
    </row>
    <row r="646" spans="2:5" ht="15" customHeight="1">
      <c r="B646" s="73"/>
      <c r="C646" s="30" t="s">
        <v>697</v>
      </c>
      <c r="D646" s="29">
        <v>1</v>
      </c>
      <c r="E646" s="28">
        <v>4.6339202965708991E-4</v>
      </c>
    </row>
    <row r="647" spans="2:5" ht="15" customHeight="1">
      <c r="B647" s="73"/>
      <c r="C647" s="30" t="s">
        <v>698</v>
      </c>
      <c r="D647" s="29">
        <v>1</v>
      </c>
      <c r="E647" s="28">
        <v>4.6339202965708991E-4</v>
      </c>
    </row>
    <row r="648" spans="2:5" ht="15" customHeight="1">
      <c r="B648" s="73"/>
      <c r="C648" s="30" t="s">
        <v>57</v>
      </c>
      <c r="D648" s="29">
        <v>2</v>
      </c>
      <c r="E648" s="28">
        <v>9.2678405931417981E-4</v>
      </c>
    </row>
    <row r="649" spans="2:5" ht="15" customHeight="1">
      <c r="B649" s="73"/>
      <c r="C649" s="30" t="s">
        <v>27</v>
      </c>
      <c r="D649" s="29">
        <v>5</v>
      </c>
      <c r="E649" s="28">
        <v>2.3169601482854493E-3</v>
      </c>
    </row>
    <row r="650" spans="2:5" ht="15" customHeight="1">
      <c r="B650" s="73"/>
      <c r="C650" s="30" t="s">
        <v>699</v>
      </c>
      <c r="D650" s="29">
        <v>1</v>
      </c>
      <c r="E650" s="28">
        <v>4.6339202965708991E-4</v>
      </c>
    </row>
    <row r="651" spans="2:5" ht="15" customHeight="1">
      <c r="B651" s="73"/>
      <c r="C651" s="30" t="s">
        <v>56</v>
      </c>
      <c r="D651" s="29">
        <v>1</v>
      </c>
      <c r="E651" s="28">
        <v>4.6339202965708991E-4</v>
      </c>
    </row>
    <row r="652" spans="2:5" ht="15" customHeight="1">
      <c r="B652" s="73"/>
      <c r="C652" s="30" t="s">
        <v>55</v>
      </c>
      <c r="D652" s="29">
        <v>7</v>
      </c>
      <c r="E652" s="28">
        <v>3.2437442075996291E-3</v>
      </c>
    </row>
    <row r="653" spans="2:5" ht="15" customHeight="1">
      <c r="B653" s="73"/>
      <c r="C653" s="30" t="s">
        <v>54</v>
      </c>
      <c r="D653" s="29">
        <v>2</v>
      </c>
      <c r="E653" s="28">
        <v>9.2678405931417981E-4</v>
      </c>
    </row>
    <row r="654" spans="2:5" ht="15" customHeight="1">
      <c r="B654" s="73"/>
      <c r="C654" s="30" t="s">
        <v>53</v>
      </c>
      <c r="D654" s="29">
        <v>3</v>
      </c>
      <c r="E654" s="28">
        <v>1.3901760889712697E-3</v>
      </c>
    </row>
    <row r="655" spans="2:5" ht="15" customHeight="1">
      <c r="B655" s="73"/>
      <c r="C655" s="30" t="s">
        <v>52</v>
      </c>
      <c r="D655" s="29">
        <v>1</v>
      </c>
      <c r="E655" s="28">
        <v>4.6339202965708991E-4</v>
      </c>
    </row>
    <row r="656" spans="2:5" ht="15" customHeight="1">
      <c r="B656" s="73"/>
      <c r="C656" s="30" t="s">
        <v>51</v>
      </c>
      <c r="D656" s="29">
        <v>4</v>
      </c>
      <c r="E656" s="28">
        <v>1.8535681186283596E-3</v>
      </c>
    </row>
    <row r="657" spans="2:6" ht="15" customHeight="1">
      <c r="B657" s="73"/>
      <c r="C657" s="30" t="s">
        <v>22</v>
      </c>
      <c r="D657" s="29">
        <v>1</v>
      </c>
      <c r="E657" s="28">
        <v>4.6339202965708991E-4</v>
      </c>
    </row>
    <row r="658" spans="2:6" ht="15" customHeight="1">
      <c r="B658" s="73"/>
      <c r="C658" s="30" t="s">
        <v>50</v>
      </c>
      <c r="D658" s="29">
        <v>1</v>
      </c>
      <c r="E658" s="28">
        <v>4.6339202965708991E-4</v>
      </c>
    </row>
    <row r="659" spans="2:6" ht="15" customHeight="1">
      <c r="B659" s="73"/>
      <c r="C659" s="30" t="s">
        <v>49</v>
      </c>
      <c r="D659" s="29">
        <v>4</v>
      </c>
      <c r="E659" s="28">
        <v>1.8535681186283596E-3</v>
      </c>
    </row>
    <row r="660" spans="2:6" ht="15" customHeight="1">
      <c r="B660" s="73"/>
      <c r="C660" s="30" t="s">
        <v>34</v>
      </c>
      <c r="D660" s="29">
        <v>6</v>
      </c>
      <c r="E660" s="28">
        <v>2.7803521779425394E-3</v>
      </c>
    </row>
    <row r="661" spans="2:6" ht="15" customHeight="1">
      <c r="B661" s="74"/>
      <c r="C661" s="27" t="s">
        <v>15</v>
      </c>
      <c r="D661" s="26">
        <v>68</v>
      </c>
      <c r="E661" s="25">
        <v>3.1510658016682111E-2</v>
      </c>
    </row>
    <row r="662" spans="2:6" ht="15" customHeight="1">
      <c r="B662" s="75" t="s">
        <v>15</v>
      </c>
      <c r="C662" s="76"/>
      <c r="D662" s="24">
        <f>SUMIF(C$10:C661,"Total",D$10:D661)</f>
        <v>2158</v>
      </c>
      <c r="E662" s="23">
        <v>1</v>
      </c>
    </row>
    <row r="664" spans="2:6" ht="15" customHeight="1">
      <c r="B664" s="2"/>
      <c r="C664" s="4" t="s">
        <v>537</v>
      </c>
      <c r="D664"/>
      <c r="E664"/>
      <c r="F664" s="2"/>
    </row>
    <row r="665" spans="2:6" ht="15" customHeight="1">
      <c r="B665" s="2"/>
      <c r="C665" s="6" t="s">
        <v>14</v>
      </c>
      <c r="D665"/>
      <c r="E665"/>
      <c r="F665" s="2"/>
    </row>
    <row r="666" spans="2:6" ht="15" customHeight="1">
      <c r="B666" s="2"/>
      <c r="C666" s="5" t="s">
        <v>13</v>
      </c>
      <c r="D666"/>
      <c r="E666"/>
      <c r="F666" s="2"/>
    </row>
    <row r="667" spans="2:6" ht="15" customHeight="1">
      <c r="B667" s="2"/>
      <c r="C667" s="4" t="s">
        <v>12</v>
      </c>
      <c r="D667"/>
      <c r="E667"/>
      <c r="F667" s="2"/>
    </row>
    <row r="668" spans="2:6" ht="15" customHeight="1">
      <c r="B668" s="2"/>
      <c r="C668" s="4" t="s">
        <v>538</v>
      </c>
      <c r="D668"/>
      <c r="E668"/>
      <c r="F668" s="2"/>
    </row>
  </sheetData>
  <mergeCells count="32">
    <mergeCell ref="B319:B369"/>
    <mergeCell ref="B370:B389"/>
    <mergeCell ref="B390:B397"/>
    <mergeCell ref="B398:B405"/>
    <mergeCell ref="B7:E8"/>
    <mergeCell ref="B10:B13"/>
    <mergeCell ref="B14:B18"/>
    <mergeCell ref="B19:B21"/>
    <mergeCell ref="B22:B47"/>
    <mergeCell ref="B48:B76"/>
    <mergeCell ref="B77:B88"/>
    <mergeCell ref="B89:B93"/>
    <mergeCell ref="B94:B106"/>
    <mergeCell ref="B107:B126"/>
    <mergeCell ref="B127:B170"/>
    <mergeCell ref="B171:B205"/>
    <mergeCell ref="B207:B246"/>
    <mergeCell ref="B247:B281"/>
    <mergeCell ref="B282:B318"/>
    <mergeCell ref="B406:B461"/>
    <mergeCell ref="B462:B499"/>
    <mergeCell ref="B500:B508"/>
    <mergeCell ref="B509:B525"/>
    <mergeCell ref="B526:B532"/>
    <mergeCell ref="B634:B636"/>
    <mergeCell ref="B637:B661"/>
    <mergeCell ref="B662:C662"/>
    <mergeCell ref="B533:B539"/>
    <mergeCell ref="B540:B547"/>
    <mergeCell ref="B548:B568"/>
    <mergeCell ref="B569:B583"/>
    <mergeCell ref="B584:B63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0"/>
  <sheetViews>
    <sheetView showGridLines="0" zoomScaleNormal="100" zoomScaleSheetLayoutView="115" workbookViewId="0">
      <selection activeCell="D11" sqref="D11"/>
    </sheetView>
  </sheetViews>
  <sheetFormatPr baseColWidth="10" defaultColWidth="11.42578125" defaultRowHeight="15"/>
  <cols>
    <col min="1" max="1" width="9.28515625" style="2" customWidth="1"/>
    <col min="2" max="2" width="30.57031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4" s="14" customFormat="1" ht="15" customHeight="1">
      <c r="C1" s="20"/>
    </row>
    <row r="2" spans="1:4" s="14" customFormat="1" ht="15" customHeight="1">
      <c r="C2" s="20"/>
    </row>
    <row r="3" spans="1:4" s="14" customFormat="1" ht="15" customHeight="1">
      <c r="C3" s="20"/>
    </row>
    <row r="4" spans="1:4" s="14" customFormat="1" ht="30" customHeight="1">
      <c r="C4" s="20"/>
      <c r="D4" s="19"/>
    </row>
    <row r="5" spans="1:4" s="14" customFormat="1" ht="15" customHeight="1">
      <c r="C5" s="20"/>
      <c r="D5" s="19"/>
    </row>
    <row r="6" spans="1:4" s="14" customFormat="1" ht="15" customHeight="1">
      <c r="C6" s="20"/>
      <c r="D6" s="19"/>
    </row>
    <row r="7" spans="1:4" s="14" customFormat="1" ht="15" customHeight="1">
      <c r="B7" s="71" t="s">
        <v>498</v>
      </c>
      <c r="C7" s="71"/>
      <c r="D7" s="71"/>
    </row>
    <row r="8" spans="1:4" s="14" customFormat="1" ht="15" customHeight="1">
      <c r="B8" s="71"/>
      <c r="C8" s="71"/>
      <c r="D8" s="71"/>
    </row>
    <row r="9" spans="1:4" s="14" customFormat="1" ht="33" customHeight="1">
      <c r="B9" s="71"/>
      <c r="C9" s="71"/>
      <c r="D9" s="71"/>
    </row>
    <row r="10" spans="1:4" s="14" customFormat="1" ht="4.5" customHeight="1">
      <c r="B10" s="18"/>
      <c r="C10" s="18"/>
      <c r="D10" s="18"/>
    </row>
    <row r="11" spans="1:4" s="14" customFormat="1" ht="33" customHeight="1">
      <c r="B11" s="17" t="s">
        <v>497</v>
      </c>
      <c r="C11" s="16" t="s">
        <v>47</v>
      </c>
      <c r="D11" s="15" t="s">
        <v>46</v>
      </c>
    </row>
    <row r="12" spans="1:4">
      <c r="B12" s="12" t="s">
        <v>496</v>
      </c>
      <c r="C12" s="11">
        <v>26</v>
      </c>
      <c r="D12" s="10">
        <v>1.2048192771084338E-2</v>
      </c>
    </row>
    <row r="13" spans="1:4">
      <c r="B13" s="12" t="s">
        <v>495</v>
      </c>
      <c r="C13" s="11">
        <v>16</v>
      </c>
      <c r="D13" s="10">
        <v>7.4142724745134385E-3</v>
      </c>
    </row>
    <row r="14" spans="1:4">
      <c r="A14" s="13"/>
      <c r="B14" s="12" t="s">
        <v>494</v>
      </c>
      <c r="C14" s="11">
        <v>29</v>
      </c>
      <c r="D14" s="10">
        <v>1.3438368860055607E-2</v>
      </c>
    </row>
    <row r="15" spans="1:4">
      <c r="A15" s="13"/>
      <c r="B15" s="12" t="s">
        <v>493</v>
      </c>
      <c r="C15" s="11">
        <v>53</v>
      </c>
      <c r="D15" s="10">
        <v>2.4559777571825765E-2</v>
      </c>
    </row>
    <row r="16" spans="1:4">
      <c r="B16" s="12" t="s">
        <v>492</v>
      </c>
      <c r="C16" s="11">
        <v>33</v>
      </c>
      <c r="D16" s="10">
        <v>1.5291936978683966E-2</v>
      </c>
    </row>
    <row r="17" spans="2:4">
      <c r="B17" s="12" t="s">
        <v>491</v>
      </c>
      <c r="C17" s="11">
        <v>43</v>
      </c>
      <c r="D17" s="10">
        <v>1.9925857275254866E-2</v>
      </c>
    </row>
    <row r="18" spans="2:4">
      <c r="B18" s="12" t="s">
        <v>490</v>
      </c>
      <c r="C18" s="11">
        <v>188</v>
      </c>
      <c r="D18" s="10">
        <v>8.7117701575532905E-2</v>
      </c>
    </row>
    <row r="19" spans="2:4">
      <c r="B19" s="12" t="s">
        <v>489</v>
      </c>
      <c r="C19" s="11">
        <v>282</v>
      </c>
      <c r="D19" s="10">
        <v>0.13067655236329936</v>
      </c>
    </row>
    <row r="20" spans="2:4">
      <c r="B20" s="12" t="s">
        <v>488</v>
      </c>
      <c r="C20" s="11">
        <v>40</v>
      </c>
      <c r="D20" s="10">
        <v>1.8535681186283594E-2</v>
      </c>
    </row>
    <row r="21" spans="2:4">
      <c r="B21" s="12" t="s">
        <v>487</v>
      </c>
      <c r="C21" s="11">
        <v>89</v>
      </c>
      <c r="D21" s="10">
        <v>4.1241890639480999E-2</v>
      </c>
    </row>
    <row r="22" spans="2:4">
      <c r="B22" s="12" t="s">
        <v>486</v>
      </c>
      <c r="C22" s="11">
        <v>120</v>
      </c>
      <c r="D22" s="10">
        <v>5.5607043558850787E-2</v>
      </c>
    </row>
    <row r="23" spans="2:4">
      <c r="B23" s="12" t="s">
        <v>485</v>
      </c>
      <c r="C23" s="11">
        <v>532</v>
      </c>
      <c r="D23" s="10">
        <v>0.24652455977757182</v>
      </c>
    </row>
    <row r="24" spans="2:4">
      <c r="B24" s="12" t="s">
        <v>484</v>
      </c>
      <c r="C24" s="11">
        <v>39</v>
      </c>
      <c r="D24" s="10">
        <v>1.8072289156626505E-2</v>
      </c>
    </row>
    <row r="25" spans="2:4">
      <c r="B25" s="12" t="s">
        <v>483</v>
      </c>
      <c r="C25" s="11">
        <v>174</v>
      </c>
      <c r="D25" s="10">
        <v>8.0630213160333641E-2</v>
      </c>
    </row>
    <row r="26" spans="2:4">
      <c r="B26" s="12" t="s">
        <v>482</v>
      </c>
      <c r="C26" s="11">
        <v>376</v>
      </c>
      <c r="D26" s="10">
        <v>0.17423540315106581</v>
      </c>
    </row>
    <row r="27" spans="2:4">
      <c r="B27" s="12" t="s">
        <v>481</v>
      </c>
      <c r="C27" s="11">
        <v>10</v>
      </c>
      <c r="D27" s="10">
        <v>4.6339202965708986E-3</v>
      </c>
    </row>
    <row r="28" spans="2:4">
      <c r="B28" s="12" t="s">
        <v>480</v>
      </c>
      <c r="C28" s="11">
        <v>13</v>
      </c>
      <c r="D28" s="10">
        <v>6.024096385542169E-3</v>
      </c>
    </row>
    <row r="29" spans="2:4">
      <c r="B29" s="12" t="s">
        <v>479</v>
      </c>
      <c r="C29" s="11">
        <v>9</v>
      </c>
      <c r="D29" s="10">
        <v>4.1705282669138094E-3</v>
      </c>
    </row>
    <row r="30" spans="2:4">
      <c r="B30" s="12" t="s">
        <v>478</v>
      </c>
      <c r="C30" s="11">
        <v>3</v>
      </c>
      <c r="D30" s="10">
        <v>1.3901760889712697E-3</v>
      </c>
    </row>
    <row r="31" spans="2:4">
      <c r="B31" s="12" t="s">
        <v>477</v>
      </c>
      <c r="C31" s="11">
        <v>25</v>
      </c>
      <c r="D31" s="10">
        <v>1.1584800741427247E-2</v>
      </c>
    </row>
    <row r="32" spans="2:4">
      <c r="B32" s="12" t="s">
        <v>476</v>
      </c>
      <c r="C32" s="11">
        <v>53</v>
      </c>
      <c r="D32" s="10">
        <v>2.4559777571825765E-2</v>
      </c>
    </row>
    <row r="33" spans="2:4">
      <c r="B33" s="12" t="s">
        <v>475</v>
      </c>
      <c r="C33" s="11">
        <v>5</v>
      </c>
      <c r="D33" s="10">
        <v>2.3169601482854493E-3</v>
      </c>
    </row>
    <row r="34" spans="2:4">
      <c r="B34" s="9" t="s">
        <v>15</v>
      </c>
      <c r="C34" s="8">
        <v>2158</v>
      </c>
      <c r="D34" s="7">
        <v>1</v>
      </c>
    </row>
    <row r="36" spans="2:4">
      <c r="B36" s="4" t="s">
        <v>537</v>
      </c>
      <c r="C36"/>
      <c r="D36"/>
    </row>
    <row r="37" spans="2:4">
      <c r="B37" s="6" t="s">
        <v>14</v>
      </c>
      <c r="C37"/>
      <c r="D37"/>
    </row>
    <row r="38" spans="2:4">
      <c r="B38" s="5" t="s">
        <v>13</v>
      </c>
      <c r="C38"/>
      <c r="D38"/>
    </row>
    <row r="39" spans="2:4">
      <c r="B39" s="4" t="s">
        <v>12</v>
      </c>
      <c r="C39"/>
      <c r="D39"/>
    </row>
    <row r="40" spans="2:4">
      <c r="B40" s="4" t="s">
        <v>538</v>
      </c>
      <c r="C40"/>
      <c r="D4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91"/>
  <sheetViews>
    <sheetView zoomScale="106" zoomScaleNormal="106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>
      <c r="B1" s="42"/>
      <c r="C1" s="41"/>
      <c r="D1" s="41"/>
      <c r="E1" s="41"/>
    </row>
    <row r="2" spans="1:5" s="38" customFormat="1" ht="15" customHeight="1">
      <c r="C2" s="40"/>
    </row>
    <row r="3" spans="1:5" s="38" customFormat="1" ht="15" customHeight="1">
      <c r="C3" s="40"/>
    </row>
    <row r="4" spans="1:5" s="38" customFormat="1" ht="30" customHeight="1">
      <c r="C4" s="40"/>
      <c r="D4" s="39"/>
    </row>
    <row r="5" spans="1:5" s="38" customFormat="1" ht="15" customHeight="1">
      <c r="C5" s="40"/>
      <c r="D5" s="39"/>
    </row>
    <row r="6" spans="1:5" s="35" customFormat="1" ht="24" customHeight="1">
      <c r="B6" s="37"/>
      <c r="C6" s="31"/>
      <c r="D6" s="31"/>
      <c r="E6" s="31"/>
    </row>
    <row r="7" spans="1:5" s="35" customFormat="1" ht="26.25" customHeight="1">
      <c r="A7" s="36"/>
      <c r="B7" s="77"/>
      <c r="C7" s="77"/>
      <c r="D7" s="77"/>
      <c r="E7" s="77"/>
    </row>
    <row r="8" spans="1:5" s="35" customFormat="1" ht="33" customHeight="1">
      <c r="A8" s="36"/>
      <c r="B8" s="77"/>
      <c r="C8" s="77"/>
      <c r="D8" s="77"/>
      <c r="E8" s="77"/>
    </row>
    <row r="9" spans="1:5" s="14" customFormat="1" ht="40.5" customHeight="1">
      <c r="B9" s="32" t="s">
        <v>497</v>
      </c>
      <c r="C9" s="34" t="s">
        <v>48</v>
      </c>
      <c r="D9" s="33" t="s">
        <v>47</v>
      </c>
      <c r="E9" s="32" t="s">
        <v>46</v>
      </c>
    </row>
    <row r="10" spans="1:5" ht="15" customHeight="1">
      <c r="B10" s="72" t="s">
        <v>496</v>
      </c>
      <c r="C10" s="30" t="s">
        <v>19</v>
      </c>
      <c r="D10" s="29">
        <v>1</v>
      </c>
      <c r="E10" s="28">
        <v>4.6339202965708991E-4</v>
      </c>
    </row>
    <row r="11" spans="1:5" ht="15" customHeight="1">
      <c r="B11" s="73"/>
      <c r="C11" s="30" t="s">
        <v>44</v>
      </c>
      <c r="D11" s="29">
        <v>1</v>
      </c>
      <c r="E11" s="28">
        <v>4.6339202965708991E-4</v>
      </c>
    </row>
    <row r="12" spans="1:5" ht="15" customHeight="1">
      <c r="B12" s="73"/>
      <c r="C12" s="30" t="s">
        <v>41</v>
      </c>
      <c r="D12" s="29">
        <v>1</v>
      </c>
      <c r="E12" s="28">
        <v>4.6339202965708991E-4</v>
      </c>
    </row>
    <row r="13" spans="1:5" ht="15" customHeight="1">
      <c r="B13" s="73"/>
      <c r="C13" s="30" t="s">
        <v>40</v>
      </c>
      <c r="D13" s="29">
        <v>3</v>
      </c>
      <c r="E13" s="28">
        <v>1.3901760889712697E-3</v>
      </c>
    </row>
    <row r="14" spans="1:5" ht="15" customHeight="1">
      <c r="B14" s="73"/>
      <c r="C14" s="30" t="s">
        <v>43</v>
      </c>
      <c r="D14" s="29">
        <v>6</v>
      </c>
      <c r="E14" s="28">
        <v>2.7803521779425394E-3</v>
      </c>
    </row>
    <row r="15" spans="1:5" ht="15" customHeight="1">
      <c r="B15" s="73"/>
      <c r="C15" s="30" t="s">
        <v>32</v>
      </c>
      <c r="D15" s="29">
        <v>2</v>
      </c>
      <c r="E15" s="28">
        <v>9.2678405931417981E-4</v>
      </c>
    </row>
    <row r="16" spans="1:5" ht="15" customHeight="1">
      <c r="B16" s="73"/>
      <c r="C16" s="30" t="s">
        <v>38</v>
      </c>
      <c r="D16" s="29">
        <v>1</v>
      </c>
      <c r="E16" s="28">
        <v>4.6339202965708991E-4</v>
      </c>
    </row>
    <row r="17" spans="2:5" ht="15" customHeight="1">
      <c r="B17" s="73"/>
      <c r="C17" s="30" t="s">
        <v>45</v>
      </c>
      <c r="D17" s="29">
        <v>3</v>
      </c>
      <c r="E17" s="28">
        <v>1.3901760889712697E-3</v>
      </c>
    </row>
    <row r="18" spans="2:5" ht="15" customHeight="1">
      <c r="B18" s="73"/>
      <c r="C18" s="30" t="s">
        <v>27</v>
      </c>
      <c r="D18" s="29">
        <v>2</v>
      </c>
      <c r="E18" s="28">
        <v>9.2678405931417981E-4</v>
      </c>
    </row>
    <row r="19" spans="2:5" ht="15" customHeight="1">
      <c r="B19" s="73"/>
      <c r="C19" s="30" t="s">
        <v>42</v>
      </c>
      <c r="D19" s="29">
        <v>3</v>
      </c>
      <c r="E19" s="28">
        <v>1.3901760889712697E-3</v>
      </c>
    </row>
    <row r="20" spans="2:5" ht="15" customHeight="1">
      <c r="B20" s="73"/>
      <c r="C20" s="30" t="s">
        <v>33</v>
      </c>
      <c r="D20" s="29">
        <v>1</v>
      </c>
      <c r="E20" s="28">
        <v>4.6339202965708991E-4</v>
      </c>
    </row>
    <row r="21" spans="2:5" ht="15" customHeight="1">
      <c r="B21" s="73"/>
      <c r="C21" s="30" t="s">
        <v>22</v>
      </c>
      <c r="D21" s="29">
        <v>1</v>
      </c>
      <c r="E21" s="28">
        <v>4.6339202965708991E-4</v>
      </c>
    </row>
    <row r="22" spans="2:5" ht="15" customHeight="1">
      <c r="B22" s="73"/>
      <c r="C22" s="30" t="s">
        <v>39</v>
      </c>
      <c r="D22" s="29">
        <v>1</v>
      </c>
      <c r="E22" s="28">
        <v>4.6339202965708991E-4</v>
      </c>
    </row>
    <row r="23" spans="2:5" ht="15" customHeight="1">
      <c r="B23" s="74"/>
      <c r="C23" s="27" t="s">
        <v>15</v>
      </c>
      <c r="D23" s="26">
        <v>26</v>
      </c>
      <c r="E23" s="25">
        <v>1.2048192771084338E-2</v>
      </c>
    </row>
    <row r="24" spans="2:5" ht="15" customHeight="1">
      <c r="B24" s="72" t="s">
        <v>495</v>
      </c>
      <c r="C24" s="30" t="s">
        <v>31</v>
      </c>
      <c r="D24" s="29">
        <v>2</v>
      </c>
      <c r="E24" s="28">
        <v>9.2678405931417981E-4</v>
      </c>
    </row>
    <row r="25" spans="2:5" ht="15" customHeight="1">
      <c r="B25" s="73"/>
      <c r="C25" s="30" t="s">
        <v>44</v>
      </c>
      <c r="D25" s="29">
        <v>1</v>
      </c>
      <c r="E25" s="28">
        <v>4.6339202965708991E-4</v>
      </c>
    </row>
    <row r="26" spans="2:5" ht="15" customHeight="1">
      <c r="B26" s="73"/>
      <c r="C26" s="30" t="s">
        <v>21</v>
      </c>
      <c r="D26" s="29">
        <v>1</v>
      </c>
      <c r="E26" s="28">
        <v>4.6339202965708991E-4</v>
      </c>
    </row>
    <row r="27" spans="2:5" ht="15" customHeight="1">
      <c r="B27" s="73"/>
      <c r="C27" s="30" t="s">
        <v>36</v>
      </c>
      <c r="D27" s="29">
        <v>1</v>
      </c>
      <c r="E27" s="28">
        <v>4.6339202965708991E-4</v>
      </c>
    </row>
    <row r="28" spans="2:5" ht="15" customHeight="1">
      <c r="B28" s="73"/>
      <c r="C28" s="30" t="s">
        <v>41</v>
      </c>
      <c r="D28" s="29">
        <v>2</v>
      </c>
      <c r="E28" s="28">
        <v>9.2678405931417981E-4</v>
      </c>
    </row>
    <row r="29" spans="2:5" ht="15" customHeight="1">
      <c r="B29" s="73"/>
      <c r="C29" s="30" t="s">
        <v>40</v>
      </c>
      <c r="D29" s="29">
        <v>1</v>
      </c>
      <c r="E29" s="28">
        <v>4.6339202965708991E-4</v>
      </c>
    </row>
    <row r="30" spans="2:5" ht="15" customHeight="1">
      <c r="B30" s="73"/>
      <c r="C30" s="30" t="s">
        <v>43</v>
      </c>
      <c r="D30" s="29">
        <v>1</v>
      </c>
      <c r="E30" s="28">
        <v>4.6339202965708991E-4</v>
      </c>
    </row>
    <row r="31" spans="2:5" ht="15" customHeight="1">
      <c r="B31" s="73"/>
      <c r="C31" s="30" t="s">
        <v>38</v>
      </c>
      <c r="D31" s="29">
        <v>1</v>
      </c>
      <c r="E31" s="28">
        <v>4.6339202965708991E-4</v>
      </c>
    </row>
    <row r="32" spans="2:5" ht="15" customHeight="1">
      <c r="B32" s="73"/>
      <c r="C32" s="30" t="s">
        <v>45</v>
      </c>
      <c r="D32" s="29">
        <v>2</v>
      </c>
      <c r="E32" s="28">
        <v>9.2678405931417981E-4</v>
      </c>
    </row>
    <row r="33" spans="2:5" ht="15" customHeight="1">
      <c r="B33" s="73"/>
      <c r="C33" s="30" t="s">
        <v>27</v>
      </c>
      <c r="D33" s="29">
        <v>1</v>
      </c>
      <c r="E33" s="28">
        <v>4.6339202965708991E-4</v>
      </c>
    </row>
    <row r="34" spans="2:5" ht="15" customHeight="1">
      <c r="B34" s="73"/>
      <c r="C34" s="30" t="s">
        <v>42</v>
      </c>
      <c r="D34" s="29">
        <v>1</v>
      </c>
      <c r="E34" s="28">
        <v>4.6339202965708991E-4</v>
      </c>
    </row>
    <row r="35" spans="2:5" ht="15" customHeight="1">
      <c r="B35" s="73"/>
      <c r="C35" s="30" t="s">
        <v>39</v>
      </c>
      <c r="D35" s="29">
        <v>2</v>
      </c>
      <c r="E35" s="28">
        <v>9.2678405931417981E-4</v>
      </c>
    </row>
    <row r="36" spans="2:5" ht="15" customHeight="1">
      <c r="B36" s="74"/>
      <c r="C36" s="27" t="s">
        <v>15</v>
      </c>
      <c r="D36" s="26">
        <v>16</v>
      </c>
      <c r="E36" s="25">
        <v>7.4142724745134385E-3</v>
      </c>
    </row>
    <row r="37" spans="2:5" ht="15" customHeight="1">
      <c r="B37" s="72" t="s">
        <v>494</v>
      </c>
      <c r="C37" s="30" t="s">
        <v>44</v>
      </c>
      <c r="D37" s="29">
        <v>3</v>
      </c>
      <c r="E37" s="28">
        <v>1.3901760889712697E-3</v>
      </c>
    </row>
    <row r="38" spans="2:5" ht="15" customHeight="1">
      <c r="B38" s="73"/>
      <c r="C38" s="30" t="s">
        <v>29</v>
      </c>
      <c r="D38" s="29">
        <v>1</v>
      </c>
      <c r="E38" s="28">
        <v>4.6339202965708991E-4</v>
      </c>
    </row>
    <row r="39" spans="2:5" ht="15" customHeight="1">
      <c r="B39" s="73"/>
      <c r="C39" s="30" t="s">
        <v>37</v>
      </c>
      <c r="D39" s="29">
        <v>1</v>
      </c>
      <c r="E39" s="28">
        <v>4.6339202965708991E-4</v>
      </c>
    </row>
    <row r="40" spans="2:5" ht="15" customHeight="1">
      <c r="B40" s="73"/>
      <c r="C40" s="30" t="s">
        <v>36</v>
      </c>
      <c r="D40" s="29">
        <v>1</v>
      </c>
      <c r="E40" s="28">
        <v>4.6339202965708991E-4</v>
      </c>
    </row>
    <row r="41" spans="2:5" ht="15" customHeight="1">
      <c r="B41" s="73"/>
      <c r="C41" s="30" t="s">
        <v>41</v>
      </c>
      <c r="D41" s="29">
        <v>1</v>
      </c>
      <c r="E41" s="28">
        <v>4.6339202965708991E-4</v>
      </c>
    </row>
    <row r="42" spans="2:5" ht="15" customHeight="1">
      <c r="B42" s="73"/>
      <c r="C42" s="30" t="s">
        <v>40</v>
      </c>
      <c r="D42" s="29">
        <v>3</v>
      </c>
      <c r="E42" s="28">
        <v>1.3901760889712697E-3</v>
      </c>
    </row>
    <row r="43" spans="2:5" ht="15" customHeight="1">
      <c r="B43" s="73"/>
      <c r="C43" s="30" t="s">
        <v>43</v>
      </c>
      <c r="D43" s="29">
        <v>2</v>
      </c>
      <c r="E43" s="28">
        <v>9.2678405931417981E-4</v>
      </c>
    </row>
    <row r="44" spans="2:5" ht="15" customHeight="1">
      <c r="B44" s="73"/>
      <c r="C44" s="30" t="s">
        <v>45</v>
      </c>
      <c r="D44" s="29">
        <v>7</v>
      </c>
      <c r="E44" s="28">
        <v>3.2437442075996291E-3</v>
      </c>
    </row>
    <row r="45" spans="2:5" ht="15" customHeight="1">
      <c r="B45" s="73"/>
      <c r="C45" s="30" t="s">
        <v>42</v>
      </c>
      <c r="D45" s="29">
        <v>2</v>
      </c>
      <c r="E45" s="28">
        <v>9.2678405931417981E-4</v>
      </c>
    </row>
    <row r="46" spans="2:5" ht="15" customHeight="1">
      <c r="B46" s="73"/>
      <c r="C46" s="30" t="s">
        <v>35</v>
      </c>
      <c r="D46" s="29">
        <v>1</v>
      </c>
      <c r="E46" s="28">
        <v>4.6339202965708991E-4</v>
      </c>
    </row>
    <row r="47" spans="2:5" ht="15" customHeight="1">
      <c r="B47" s="73"/>
      <c r="C47" s="30" t="s">
        <v>33</v>
      </c>
      <c r="D47" s="29">
        <v>1</v>
      </c>
      <c r="E47" s="28">
        <v>4.6339202965708991E-4</v>
      </c>
    </row>
    <row r="48" spans="2:5" ht="15" customHeight="1">
      <c r="B48" s="73"/>
      <c r="C48" s="30" t="s">
        <v>39</v>
      </c>
      <c r="D48" s="29">
        <v>3</v>
      </c>
      <c r="E48" s="28">
        <v>1.3901760889712697E-3</v>
      </c>
    </row>
    <row r="49" spans="2:5" ht="15" customHeight="1">
      <c r="B49" s="73"/>
      <c r="C49" s="30" t="s">
        <v>34</v>
      </c>
      <c r="D49" s="29">
        <v>3</v>
      </c>
      <c r="E49" s="28">
        <v>1.3901760889712697E-3</v>
      </c>
    </row>
    <row r="50" spans="2:5" ht="15" customHeight="1">
      <c r="B50" s="74"/>
      <c r="C50" s="27" t="s">
        <v>15</v>
      </c>
      <c r="D50" s="26">
        <v>29</v>
      </c>
      <c r="E50" s="25">
        <v>1.3438368860055607E-2</v>
      </c>
    </row>
    <row r="51" spans="2:5" ht="15" customHeight="1">
      <c r="B51" s="72" t="s">
        <v>493</v>
      </c>
      <c r="C51" s="30" t="s">
        <v>31</v>
      </c>
      <c r="D51" s="29">
        <v>1</v>
      </c>
      <c r="E51" s="28">
        <v>4.6339202965708991E-4</v>
      </c>
    </row>
    <row r="52" spans="2:5" ht="15" customHeight="1">
      <c r="B52" s="73"/>
      <c r="C52" s="30" t="s">
        <v>44</v>
      </c>
      <c r="D52" s="29">
        <v>1</v>
      </c>
      <c r="E52" s="28">
        <v>4.6339202965708991E-4</v>
      </c>
    </row>
    <row r="53" spans="2:5" ht="15" customHeight="1">
      <c r="B53" s="73"/>
      <c r="C53" s="30" t="s">
        <v>21</v>
      </c>
      <c r="D53" s="29">
        <v>1</v>
      </c>
      <c r="E53" s="28">
        <v>4.6339202965708991E-4</v>
      </c>
    </row>
    <row r="54" spans="2:5" ht="15" customHeight="1">
      <c r="B54" s="73"/>
      <c r="C54" s="30" t="s">
        <v>41</v>
      </c>
      <c r="D54" s="29">
        <v>4</v>
      </c>
      <c r="E54" s="28">
        <v>1.8535681186283596E-3</v>
      </c>
    </row>
    <row r="55" spans="2:5" ht="15" customHeight="1">
      <c r="B55" s="73"/>
      <c r="C55" s="30" t="s">
        <v>40</v>
      </c>
      <c r="D55" s="29">
        <v>3</v>
      </c>
      <c r="E55" s="28">
        <v>1.3901760889712697E-3</v>
      </c>
    </row>
    <row r="56" spans="2:5" ht="15" customHeight="1">
      <c r="B56" s="73"/>
      <c r="C56" s="30" t="s">
        <v>43</v>
      </c>
      <c r="D56" s="29">
        <v>7</v>
      </c>
      <c r="E56" s="28">
        <v>3.2437442075996291E-3</v>
      </c>
    </row>
    <row r="57" spans="2:5" ht="15" customHeight="1">
      <c r="B57" s="73"/>
      <c r="C57" s="30" t="s">
        <v>38</v>
      </c>
      <c r="D57" s="29">
        <v>4</v>
      </c>
      <c r="E57" s="28">
        <v>1.8535681186283596E-3</v>
      </c>
    </row>
    <row r="58" spans="2:5" ht="15" customHeight="1">
      <c r="B58" s="73"/>
      <c r="C58" s="30" t="s">
        <v>45</v>
      </c>
      <c r="D58" s="29">
        <v>8</v>
      </c>
      <c r="E58" s="28">
        <v>3.7071362372567192E-3</v>
      </c>
    </row>
    <row r="59" spans="2:5" ht="15" customHeight="1">
      <c r="B59" s="73"/>
      <c r="C59" s="30" t="s">
        <v>27</v>
      </c>
      <c r="D59" s="29">
        <v>1</v>
      </c>
      <c r="E59" s="28">
        <v>4.6339202965708991E-4</v>
      </c>
    </row>
    <row r="60" spans="2:5" ht="15" customHeight="1">
      <c r="B60" s="73"/>
      <c r="C60" s="30" t="s">
        <v>26</v>
      </c>
      <c r="D60" s="29">
        <v>2</v>
      </c>
      <c r="E60" s="28">
        <v>9.2678405931417981E-4</v>
      </c>
    </row>
    <row r="61" spans="2:5" ht="15" customHeight="1">
      <c r="B61" s="73"/>
      <c r="C61" s="30" t="s">
        <v>42</v>
      </c>
      <c r="D61" s="29">
        <v>5</v>
      </c>
      <c r="E61" s="28">
        <v>2.3169601482854493E-3</v>
      </c>
    </row>
    <row r="62" spans="2:5" ht="15" customHeight="1">
      <c r="B62" s="73"/>
      <c r="C62" s="30" t="s">
        <v>35</v>
      </c>
      <c r="D62" s="29">
        <v>2</v>
      </c>
      <c r="E62" s="28">
        <v>9.2678405931417981E-4</v>
      </c>
    </row>
    <row r="63" spans="2:5" ht="15" customHeight="1">
      <c r="B63" s="73"/>
      <c r="C63" s="30" t="s">
        <v>24</v>
      </c>
      <c r="D63" s="29">
        <v>1</v>
      </c>
      <c r="E63" s="28">
        <v>4.6339202965708991E-4</v>
      </c>
    </row>
    <row r="64" spans="2:5" ht="15" customHeight="1">
      <c r="B64" s="73"/>
      <c r="C64" s="30" t="s">
        <v>30</v>
      </c>
      <c r="D64" s="29">
        <v>3</v>
      </c>
      <c r="E64" s="28">
        <v>1.3901760889712697E-3</v>
      </c>
    </row>
    <row r="65" spans="2:5" ht="15" customHeight="1">
      <c r="B65" s="73"/>
      <c r="C65" s="30" t="s">
        <v>39</v>
      </c>
      <c r="D65" s="29">
        <v>7</v>
      </c>
      <c r="E65" s="28">
        <v>3.2437442075996291E-3</v>
      </c>
    </row>
    <row r="66" spans="2:5" ht="15" customHeight="1">
      <c r="B66" s="73"/>
      <c r="C66" s="30" t="s">
        <v>34</v>
      </c>
      <c r="D66" s="29">
        <v>3</v>
      </c>
      <c r="E66" s="28">
        <v>1.3901760889712697E-3</v>
      </c>
    </row>
    <row r="67" spans="2:5" ht="15" customHeight="1">
      <c r="B67" s="74"/>
      <c r="C67" s="27" t="s">
        <v>15</v>
      </c>
      <c r="D67" s="26">
        <v>53</v>
      </c>
      <c r="E67" s="25">
        <v>2.4559777571825765E-2</v>
      </c>
    </row>
    <row r="68" spans="2:5" ht="15" customHeight="1">
      <c r="B68" s="72" t="s">
        <v>492</v>
      </c>
      <c r="C68" s="30" t="s">
        <v>31</v>
      </c>
      <c r="D68" s="29">
        <v>1</v>
      </c>
      <c r="E68" s="28">
        <v>4.6339202965708991E-4</v>
      </c>
    </row>
    <row r="69" spans="2:5" ht="15" customHeight="1">
      <c r="B69" s="73"/>
      <c r="C69" s="30" t="s">
        <v>21</v>
      </c>
      <c r="D69" s="29">
        <v>1</v>
      </c>
      <c r="E69" s="28">
        <v>4.6339202965708991E-4</v>
      </c>
    </row>
    <row r="70" spans="2:5" ht="15" customHeight="1">
      <c r="B70" s="73"/>
      <c r="C70" s="30" t="s">
        <v>36</v>
      </c>
      <c r="D70" s="29">
        <v>4</v>
      </c>
      <c r="E70" s="28">
        <v>1.8535681186283596E-3</v>
      </c>
    </row>
    <row r="71" spans="2:5" ht="15" customHeight="1">
      <c r="B71" s="73"/>
      <c r="C71" s="30" t="s">
        <v>41</v>
      </c>
      <c r="D71" s="29">
        <v>2</v>
      </c>
      <c r="E71" s="28">
        <v>9.2678405931417981E-4</v>
      </c>
    </row>
    <row r="72" spans="2:5" ht="15" customHeight="1">
      <c r="B72" s="73"/>
      <c r="C72" s="30" t="s">
        <v>40</v>
      </c>
      <c r="D72" s="29">
        <v>4</v>
      </c>
      <c r="E72" s="28">
        <v>1.8535681186283596E-3</v>
      </c>
    </row>
    <row r="73" spans="2:5" ht="15" customHeight="1">
      <c r="B73" s="73"/>
      <c r="C73" s="30" t="s">
        <v>43</v>
      </c>
      <c r="D73" s="29">
        <v>4</v>
      </c>
      <c r="E73" s="28">
        <v>1.8535681186283596E-3</v>
      </c>
    </row>
    <row r="74" spans="2:5" ht="15" customHeight="1">
      <c r="B74" s="73"/>
      <c r="C74" s="30" t="s">
        <v>38</v>
      </c>
      <c r="D74" s="29">
        <v>1</v>
      </c>
      <c r="E74" s="28">
        <v>4.6339202965708991E-4</v>
      </c>
    </row>
    <row r="75" spans="2:5" ht="15" customHeight="1">
      <c r="B75" s="73"/>
      <c r="C75" s="30" t="s">
        <v>45</v>
      </c>
      <c r="D75" s="29">
        <v>3</v>
      </c>
      <c r="E75" s="28">
        <v>1.3901760889712697E-3</v>
      </c>
    </row>
    <row r="76" spans="2:5" ht="15" customHeight="1">
      <c r="B76" s="73"/>
      <c r="C76" s="30" t="s">
        <v>42</v>
      </c>
      <c r="D76" s="29">
        <v>4</v>
      </c>
      <c r="E76" s="28">
        <v>1.8535681186283596E-3</v>
      </c>
    </row>
    <row r="77" spans="2:5" ht="15" customHeight="1">
      <c r="B77" s="73"/>
      <c r="C77" s="30" t="s">
        <v>35</v>
      </c>
      <c r="D77" s="29">
        <v>2</v>
      </c>
      <c r="E77" s="28">
        <v>9.2678405931417981E-4</v>
      </c>
    </row>
    <row r="78" spans="2:5" ht="15" customHeight="1">
      <c r="B78" s="73"/>
      <c r="C78" s="30" t="s">
        <v>23</v>
      </c>
      <c r="D78" s="29">
        <v>1</v>
      </c>
      <c r="E78" s="28">
        <v>4.6339202965708991E-4</v>
      </c>
    </row>
    <row r="79" spans="2:5" ht="15" customHeight="1">
      <c r="B79" s="73"/>
      <c r="C79" s="30" t="s">
        <v>30</v>
      </c>
      <c r="D79" s="29">
        <v>1</v>
      </c>
      <c r="E79" s="28">
        <v>4.6339202965708991E-4</v>
      </c>
    </row>
    <row r="80" spans="2:5" ht="15" customHeight="1">
      <c r="B80" s="73"/>
      <c r="C80" s="30" t="s">
        <v>28</v>
      </c>
      <c r="D80" s="29">
        <v>2</v>
      </c>
      <c r="E80" s="28">
        <v>9.2678405931417981E-4</v>
      </c>
    </row>
    <row r="81" spans="2:5" ht="15" customHeight="1">
      <c r="B81" s="73"/>
      <c r="C81" s="30" t="s">
        <v>34</v>
      </c>
      <c r="D81" s="29">
        <v>3</v>
      </c>
      <c r="E81" s="28">
        <v>1.3901760889712697E-3</v>
      </c>
    </row>
    <row r="82" spans="2:5" ht="15" customHeight="1">
      <c r="B82" s="74"/>
      <c r="C82" s="27" t="s">
        <v>15</v>
      </c>
      <c r="D82" s="26">
        <v>33</v>
      </c>
      <c r="E82" s="25">
        <v>1.5291936978683966E-2</v>
      </c>
    </row>
    <row r="83" spans="2:5" ht="15" customHeight="1">
      <c r="B83" s="72" t="s">
        <v>491</v>
      </c>
      <c r="C83" s="30" t="s">
        <v>31</v>
      </c>
      <c r="D83" s="29">
        <v>1</v>
      </c>
      <c r="E83" s="28">
        <v>4.6339202965708991E-4</v>
      </c>
    </row>
    <row r="84" spans="2:5" ht="15" customHeight="1">
      <c r="B84" s="73"/>
      <c r="C84" s="30" t="s">
        <v>44</v>
      </c>
      <c r="D84" s="29">
        <v>3</v>
      </c>
      <c r="E84" s="28">
        <v>1.3901760889712697E-3</v>
      </c>
    </row>
    <row r="85" spans="2:5" ht="15" customHeight="1">
      <c r="B85" s="73"/>
      <c r="C85" s="30" t="s">
        <v>29</v>
      </c>
      <c r="D85" s="29">
        <v>1</v>
      </c>
      <c r="E85" s="28">
        <v>4.6339202965708991E-4</v>
      </c>
    </row>
    <row r="86" spans="2:5" ht="15" customHeight="1">
      <c r="B86" s="73"/>
      <c r="C86" s="30" t="s">
        <v>21</v>
      </c>
      <c r="D86" s="29">
        <v>2</v>
      </c>
      <c r="E86" s="28">
        <v>9.2678405931417981E-4</v>
      </c>
    </row>
    <row r="87" spans="2:5" ht="15" customHeight="1">
      <c r="B87" s="73"/>
      <c r="C87" s="30" t="s">
        <v>36</v>
      </c>
      <c r="D87" s="29">
        <v>1</v>
      </c>
      <c r="E87" s="28">
        <v>4.6339202965708991E-4</v>
      </c>
    </row>
    <row r="88" spans="2:5" ht="15" customHeight="1">
      <c r="B88" s="73"/>
      <c r="C88" s="30" t="s">
        <v>41</v>
      </c>
      <c r="D88" s="29">
        <v>2</v>
      </c>
      <c r="E88" s="28">
        <v>9.2678405931417981E-4</v>
      </c>
    </row>
    <row r="89" spans="2:5" ht="15" customHeight="1">
      <c r="B89" s="73"/>
      <c r="C89" s="30" t="s">
        <v>40</v>
      </c>
      <c r="D89" s="29">
        <v>4</v>
      </c>
      <c r="E89" s="28">
        <v>1.8535681186283596E-3</v>
      </c>
    </row>
    <row r="90" spans="2:5" ht="15" customHeight="1">
      <c r="B90" s="73"/>
      <c r="C90" s="30" t="s">
        <v>43</v>
      </c>
      <c r="D90" s="29">
        <v>4</v>
      </c>
      <c r="E90" s="28">
        <v>1.8535681186283596E-3</v>
      </c>
    </row>
    <row r="91" spans="2:5" ht="15" customHeight="1">
      <c r="B91" s="73"/>
      <c r="C91" s="30" t="s">
        <v>38</v>
      </c>
      <c r="D91" s="29">
        <v>4</v>
      </c>
      <c r="E91" s="28">
        <v>1.8535681186283596E-3</v>
      </c>
    </row>
    <row r="92" spans="2:5" ht="15" customHeight="1">
      <c r="B92" s="73"/>
      <c r="C92" s="30" t="s">
        <v>45</v>
      </c>
      <c r="D92" s="29">
        <v>9</v>
      </c>
      <c r="E92" s="28">
        <v>4.1705282669138094E-3</v>
      </c>
    </row>
    <row r="93" spans="2:5" ht="15" customHeight="1">
      <c r="B93" s="73"/>
      <c r="C93" s="30" t="s">
        <v>27</v>
      </c>
      <c r="D93" s="29">
        <v>2</v>
      </c>
      <c r="E93" s="28">
        <v>9.2678405931417981E-4</v>
      </c>
    </row>
    <row r="94" spans="2:5" ht="15" customHeight="1">
      <c r="B94" s="73"/>
      <c r="C94" s="30" t="s">
        <v>26</v>
      </c>
      <c r="D94" s="29">
        <v>1</v>
      </c>
      <c r="E94" s="28">
        <v>4.6339202965708991E-4</v>
      </c>
    </row>
    <row r="95" spans="2:5" ht="15" customHeight="1">
      <c r="B95" s="73"/>
      <c r="C95" s="30" t="s">
        <v>42</v>
      </c>
      <c r="D95" s="29">
        <v>4</v>
      </c>
      <c r="E95" s="28">
        <v>1.8535681186283596E-3</v>
      </c>
    </row>
    <row r="96" spans="2:5" ht="15" customHeight="1">
      <c r="B96" s="73"/>
      <c r="C96" s="30" t="s">
        <v>35</v>
      </c>
      <c r="D96" s="29">
        <v>1</v>
      </c>
      <c r="E96" s="28">
        <v>4.6339202965708991E-4</v>
      </c>
    </row>
    <row r="97" spans="2:5" ht="15" customHeight="1">
      <c r="B97" s="73"/>
      <c r="C97" s="30" t="s">
        <v>33</v>
      </c>
      <c r="D97" s="29">
        <v>1</v>
      </c>
      <c r="E97" s="28">
        <v>4.6339202965708991E-4</v>
      </c>
    </row>
    <row r="98" spans="2:5" ht="15" customHeight="1">
      <c r="B98" s="73"/>
      <c r="C98" s="30" t="s">
        <v>39</v>
      </c>
      <c r="D98" s="29">
        <v>2</v>
      </c>
      <c r="E98" s="28">
        <v>9.2678405931417981E-4</v>
      </c>
    </row>
    <row r="99" spans="2:5" ht="15" customHeight="1">
      <c r="B99" s="73"/>
      <c r="C99" s="30" t="s">
        <v>34</v>
      </c>
      <c r="D99" s="29">
        <v>1</v>
      </c>
      <c r="E99" s="28">
        <v>4.6339202965708991E-4</v>
      </c>
    </row>
    <row r="100" spans="2:5" ht="15" customHeight="1">
      <c r="B100" s="74"/>
      <c r="C100" s="27" t="s">
        <v>15</v>
      </c>
      <c r="D100" s="26">
        <v>43</v>
      </c>
      <c r="E100" s="25">
        <v>1.9925857275254866E-2</v>
      </c>
    </row>
    <row r="101" spans="2:5" ht="15" customHeight="1">
      <c r="B101" s="72" t="s">
        <v>490</v>
      </c>
      <c r="C101" s="30" t="s">
        <v>25</v>
      </c>
      <c r="D101" s="29">
        <v>4</v>
      </c>
      <c r="E101" s="28">
        <v>1.8535681186283596E-3</v>
      </c>
    </row>
    <row r="102" spans="2:5" ht="15" customHeight="1">
      <c r="B102" s="73"/>
      <c r="C102" s="30" t="s">
        <v>31</v>
      </c>
      <c r="D102" s="29">
        <v>10</v>
      </c>
      <c r="E102" s="28">
        <v>4.6339202965708986E-3</v>
      </c>
    </row>
    <row r="103" spans="2:5" ht="15" customHeight="1">
      <c r="B103" s="73"/>
      <c r="C103" s="30" t="s">
        <v>44</v>
      </c>
      <c r="D103" s="29">
        <v>8</v>
      </c>
      <c r="E103" s="28">
        <v>3.7071362372567192E-3</v>
      </c>
    </row>
    <row r="104" spans="2:5" ht="15" customHeight="1">
      <c r="B104" s="73"/>
      <c r="C104" s="30" t="s">
        <v>29</v>
      </c>
      <c r="D104" s="29">
        <v>1</v>
      </c>
      <c r="E104" s="28">
        <v>4.6339202965708991E-4</v>
      </c>
    </row>
    <row r="105" spans="2:5" ht="15" customHeight="1">
      <c r="B105" s="73"/>
      <c r="C105" s="30" t="s">
        <v>21</v>
      </c>
      <c r="D105" s="29">
        <v>3</v>
      </c>
      <c r="E105" s="28">
        <v>1.3901760889712697E-3</v>
      </c>
    </row>
    <row r="106" spans="2:5" ht="15" customHeight="1">
      <c r="B106" s="73"/>
      <c r="C106" s="30" t="s">
        <v>37</v>
      </c>
      <c r="D106" s="29">
        <v>9</v>
      </c>
      <c r="E106" s="28">
        <v>4.1705282669138094E-3</v>
      </c>
    </row>
    <row r="107" spans="2:5" ht="15" customHeight="1">
      <c r="B107" s="73"/>
      <c r="C107" s="30" t="s">
        <v>36</v>
      </c>
      <c r="D107" s="29">
        <v>10</v>
      </c>
      <c r="E107" s="28">
        <v>4.6339202965708986E-3</v>
      </c>
    </row>
    <row r="108" spans="2:5" ht="15" customHeight="1">
      <c r="B108" s="73"/>
      <c r="C108" s="30" t="s">
        <v>41</v>
      </c>
      <c r="D108" s="29">
        <v>9</v>
      </c>
      <c r="E108" s="28">
        <v>4.1705282669138094E-3</v>
      </c>
    </row>
    <row r="109" spans="2:5" ht="15" customHeight="1">
      <c r="B109" s="73"/>
      <c r="C109" s="30" t="s">
        <v>40</v>
      </c>
      <c r="D109" s="29">
        <v>22</v>
      </c>
      <c r="E109" s="28">
        <v>1.0194624652455977E-2</v>
      </c>
    </row>
    <row r="110" spans="2:5" ht="15" customHeight="1">
      <c r="B110" s="73"/>
      <c r="C110" s="30" t="s">
        <v>43</v>
      </c>
      <c r="D110" s="29">
        <v>13</v>
      </c>
      <c r="E110" s="28">
        <v>6.024096385542169E-3</v>
      </c>
    </row>
    <row r="111" spans="2:5" ht="15" customHeight="1">
      <c r="B111" s="73"/>
      <c r="C111" s="30" t="s">
        <v>32</v>
      </c>
      <c r="D111" s="29">
        <v>6</v>
      </c>
      <c r="E111" s="28">
        <v>2.7803521779425394E-3</v>
      </c>
    </row>
    <row r="112" spans="2:5" ht="15" customHeight="1">
      <c r="B112" s="73"/>
      <c r="C112" s="30" t="s">
        <v>38</v>
      </c>
      <c r="D112" s="29">
        <v>12</v>
      </c>
      <c r="E112" s="28">
        <v>5.5607043558850789E-3</v>
      </c>
    </row>
    <row r="113" spans="2:5" ht="15" customHeight="1">
      <c r="B113" s="73"/>
      <c r="C113" s="30" t="s">
        <v>45</v>
      </c>
      <c r="D113" s="29">
        <v>29</v>
      </c>
      <c r="E113" s="28">
        <v>1.3438368860055607E-2</v>
      </c>
    </row>
    <row r="114" spans="2:5" ht="15" customHeight="1">
      <c r="B114" s="73"/>
      <c r="C114" s="30" t="s">
        <v>27</v>
      </c>
      <c r="D114" s="29">
        <v>4</v>
      </c>
      <c r="E114" s="28">
        <v>1.8535681186283596E-3</v>
      </c>
    </row>
    <row r="115" spans="2:5" ht="15" customHeight="1">
      <c r="B115" s="73"/>
      <c r="C115" s="30" t="s">
        <v>18</v>
      </c>
      <c r="D115" s="29">
        <v>1</v>
      </c>
      <c r="E115" s="28">
        <v>4.6339202965708991E-4</v>
      </c>
    </row>
    <row r="116" spans="2:5" ht="15" customHeight="1">
      <c r="B116" s="73"/>
      <c r="C116" s="30" t="s">
        <v>42</v>
      </c>
      <c r="D116" s="29">
        <v>12</v>
      </c>
      <c r="E116" s="28">
        <v>5.5607043558850789E-3</v>
      </c>
    </row>
    <row r="117" spans="2:5" ht="15" customHeight="1">
      <c r="B117" s="73"/>
      <c r="C117" s="30" t="s">
        <v>35</v>
      </c>
      <c r="D117" s="29">
        <v>5</v>
      </c>
      <c r="E117" s="28">
        <v>2.3169601482854493E-3</v>
      </c>
    </row>
    <row r="118" spans="2:5" ht="15" customHeight="1">
      <c r="B118" s="73"/>
      <c r="C118" s="30" t="s">
        <v>24</v>
      </c>
      <c r="D118" s="29">
        <v>2</v>
      </c>
      <c r="E118" s="28">
        <v>9.2678405931417981E-4</v>
      </c>
    </row>
    <row r="119" spans="2:5" ht="15" customHeight="1">
      <c r="B119" s="73"/>
      <c r="C119" s="30" t="s">
        <v>33</v>
      </c>
      <c r="D119" s="29">
        <v>5</v>
      </c>
      <c r="E119" s="28">
        <v>2.3169601482854493E-3</v>
      </c>
    </row>
    <row r="120" spans="2:5" ht="15" customHeight="1">
      <c r="B120" s="73"/>
      <c r="C120" s="30" t="s">
        <v>22</v>
      </c>
      <c r="D120" s="29">
        <v>1</v>
      </c>
      <c r="E120" s="28">
        <v>4.6339202965708991E-4</v>
      </c>
    </row>
    <row r="121" spans="2:5" ht="15" customHeight="1">
      <c r="B121" s="73"/>
      <c r="C121" s="30" t="s">
        <v>30</v>
      </c>
      <c r="D121" s="29">
        <v>3</v>
      </c>
      <c r="E121" s="28">
        <v>1.3901760889712697E-3</v>
      </c>
    </row>
    <row r="122" spans="2:5" ht="15" customHeight="1">
      <c r="B122" s="73"/>
      <c r="C122" s="30" t="s">
        <v>28</v>
      </c>
      <c r="D122" s="29">
        <v>3</v>
      </c>
      <c r="E122" s="28">
        <v>1.3901760889712697E-3</v>
      </c>
    </row>
    <row r="123" spans="2:5" ht="15" customHeight="1">
      <c r="B123" s="73"/>
      <c r="C123" s="30" t="s">
        <v>39</v>
      </c>
      <c r="D123" s="29">
        <v>11</v>
      </c>
      <c r="E123" s="28">
        <v>5.0973123262279887E-3</v>
      </c>
    </row>
    <row r="124" spans="2:5" ht="15" customHeight="1">
      <c r="B124" s="73"/>
      <c r="C124" s="30" t="s">
        <v>34</v>
      </c>
      <c r="D124" s="29">
        <v>5</v>
      </c>
      <c r="E124" s="28">
        <v>2.3169601482854493E-3</v>
      </c>
    </row>
    <row r="125" spans="2:5" ht="15" customHeight="1">
      <c r="B125" s="74"/>
      <c r="C125" s="27" t="s">
        <v>15</v>
      </c>
      <c r="D125" s="26">
        <v>188</v>
      </c>
      <c r="E125" s="25">
        <v>8.7117701575532905E-2</v>
      </c>
    </row>
    <row r="126" spans="2:5" ht="15" customHeight="1">
      <c r="B126" s="72" t="s">
        <v>489</v>
      </c>
      <c r="C126" s="30" t="s">
        <v>25</v>
      </c>
      <c r="D126" s="29">
        <v>2</v>
      </c>
      <c r="E126" s="28">
        <v>9.2678405931417981E-4</v>
      </c>
    </row>
    <row r="127" spans="2:5" ht="15" customHeight="1">
      <c r="B127" s="73"/>
      <c r="C127" s="30" t="s">
        <v>19</v>
      </c>
      <c r="D127" s="29">
        <v>1</v>
      </c>
      <c r="E127" s="28">
        <v>4.6339202965708991E-4</v>
      </c>
    </row>
    <row r="128" spans="2:5" ht="15" customHeight="1">
      <c r="B128" s="73"/>
      <c r="C128" s="30" t="s">
        <v>31</v>
      </c>
      <c r="D128" s="29">
        <v>6</v>
      </c>
      <c r="E128" s="28">
        <v>2.7803521779425394E-3</v>
      </c>
    </row>
    <row r="129" spans="2:5" ht="15" customHeight="1">
      <c r="B129" s="73"/>
      <c r="C129" s="30" t="s">
        <v>44</v>
      </c>
      <c r="D129" s="29">
        <v>23</v>
      </c>
      <c r="E129" s="28">
        <v>1.0658016682113068E-2</v>
      </c>
    </row>
    <row r="130" spans="2:5" ht="15" customHeight="1">
      <c r="B130" s="73"/>
      <c r="C130" s="30" t="s">
        <v>29</v>
      </c>
      <c r="D130" s="29">
        <v>1</v>
      </c>
      <c r="E130" s="28">
        <v>4.6339202965708991E-4</v>
      </c>
    </row>
    <row r="131" spans="2:5" ht="15" customHeight="1">
      <c r="B131" s="73"/>
      <c r="C131" s="30" t="s">
        <v>21</v>
      </c>
      <c r="D131" s="29">
        <v>1</v>
      </c>
      <c r="E131" s="28">
        <v>4.6339202965708991E-4</v>
      </c>
    </row>
    <row r="132" spans="2:5" ht="15" customHeight="1">
      <c r="B132" s="73"/>
      <c r="C132" s="30" t="s">
        <v>37</v>
      </c>
      <c r="D132" s="29">
        <v>7</v>
      </c>
      <c r="E132" s="28">
        <v>3.2437442075996291E-3</v>
      </c>
    </row>
    <row r="133" spans="2:5" ht="15" customHeight="1">
      <c r="B133" s="73"/>
      <c r="C133" s="30" t="s">
        <v>36</v>
      </c>
      <c r="D133" s="29">
        <v>9</v>
      </c>
      <c r="E133" s="28">
        <v>4.1705282669138094E-3</v>
      </c>
    </row>
    <row r="134" spans="2:5" ht="15" customHeight="1">
      <c r="B134" s="73"/>
      <c r="C134" s="30" t="s">
        <v>41</v>
      </c>
      <c r="D134" s="29">
        <v>23</v>
      </c>
      <c r="E134" s="28">
        <v>1.0658016682113068E-2</v>
      </c>
    </row>
    <row r="135" spans="2:5" ht="15" customHeight="1">
      <c r="B135" s="73"/>
      <c r="C135" s="30" t="s">
        <v>40</v>
      </c>
      <c r="D135" s="29">
        <v>32</v>
      </c>
      <c r="E135" s="28">
        <v>1.4828544949026877E-2</v>
      </c>
    </row>
    <row r="136" spans="2:5" ht="15" customHeight="1">
      <c r="B136" s="73"/>
      <c r="C136" s="30" t="s">
        <v>43</v>
      </c>
      <c r="D136" s="29">
        <v>24</v>
      </c>
      <c r="E136" s="28">
        <v>1.1121408711770158E-2</v>
      </c>
    </row>
    <row r="137" spans="2:5" ht="15" customHeight="1">
      <c r="B137" s="73"/>
      <c r="C137" s="30" t="s">
        <v>32</v>
      </c>
      <c r="D137" s="29">
        <v>8</v>
      </c>
      <c r="E137" s="28">
        <v>3.7071362372567192E-3</v>
      </c>
    </row>
    <row r="138" spans="2:5" ht="15" customHeight="1">
      <c r="B138" s="73"/>
      <c r="C138" s="30" t="s">
        <v>38</v>
      </c>
      <c r="D138" s="29">
        <v>29</v>
      </c>
      <c r="E138" s="28">
        <v>1.3438368860055607E-2</v>
      </c>
    </row>
    <row r="139" spans="2:5" ht="15" customHeight="1">
      <c r="B139" s="73"/>
      <c r="C139" s="30" t="s">
        <v>45</v>
      </c>
      <c r="D139" s="29">
        <v>38</v>
      </c>
      <c r="E139" s="28">
        <v>1.7608897126969416E-2</v>
      </c>
    </row>
    <row r="140" spans="2:5" ht="15" customHeight="1">
      <c r="B140" s="73"/>
      <c r="C140" s="30" t="s">
        <v>27</v>
      </c>
      <c r="D140" s="29">
        <v>1</v>
      </c>
      <c r="E140" s="28">
        <v>4.6339202965708991E-4</v>
      </c>
    </row>
    <row r="141" spans="2:5" ht="15" customHeight="1">
      <c r="B141" s="73"/>
      <c r="C141" s="30" t="s">
        <v>26</v>
      </c>
      <c r="D141" s="29">
        <v>1</v>
      </c>
      <c r="E141" s="28">
        <v>4.6339202965708991E-4</v>
      </c>
    </row>
    <row r="142" spans="2:5" ht="15" customHeight="1">
      <c r="B142" s="73"/>
      <c r="C142" s="30" t="s">
        <v>42</v>
      </c>
      <c r="D142" s="29">
        <v>18</v>
      </c>
      <c r="E142" s="28">
        <v>8.3410565338276187E-3</v>
      </c>
    </row>
    <row r="143" spans="2:5" ht="15" customHeight="1">
      <c r="B143" s="73"/>
      <c r="C143" s="30" t="s">
        <v>35</v>
      </c>
      <c r="D143" s="29">
        <v>9</v>
      </c>
      <c r="E143" s="28">
        <v>4.1705282669138094E-3</v>
      </c>
    </row>
    <row r="144" spans="2:5" ht="15" customHeight="1">
      <c r="B144" s="73"/>
      <c r="C144" s="30" t="s">
        <v>24</v>
      </c>
      <c r="D144" s="29">
        <v>5</v>
      </c>
      <c r="E144" s="28">
        <v>2.3169601482854493E-3</v>
      </c>
    </row>
    <row r="145" spans="2:5" ht="15" customHeight="1">
      <c r="B145" s="73"/>
      <c r="C145" s="30" t="s">
        <v>33</v>
      </c>
      <c r="D145" s="29">
        <v>8</v>
      </c>
      <c r="E145" s="28">
        <v>3.7071362372567192E-3</v>
      </c>
    </row>
    <row r="146" spans="2:5" ht="15" customHeight="1">
      <c r="B146" s="73"/>
      <c r="C146" s="30" t="s">
        <v>23</v>
      </c>
      <c r="D146" s="29">
        <v>1</v>
      </c>
      <c r="E146" s="28">
        <v>4.6339202965708991E-4</v>
      </c>
    </row>
    <row r="147" spans="2:5" ht="15" customHeight="1">
      <c r="B147" s="73"/>
      <c r="C147" s="30" t="s">
        <v>22</v>
      </c>
      <c r="D147" s="29">
        <v>1</v>
      </c>
      <c r="E147" s="28">
        <v>4.6339202965708991E-4</v>
      </c>
    </row>
    <row r="148" spans="2:5" ht="15" customHeight="1">
      <c r="B148" s="73"/>
      <c r="C148" s="30" t="s">
        <v>30</v>
      </c>
      <c r="D148" s="29">
        <v>5</v>
      </c>
      <c r="E148" s="28">
        <v>2.3169601482854493E-3</v>
      </c>
    </row>
    <row r="149" spans="2:5" ht="15" customHeight="1">
      <c r="B149" s="73"/>
      <c r="C149" s="30" t="s">
        <v>28</v>
      </c>
      <c r="D149" s="29">
        <v>2</v>
      </c>
      <c r="E149" s="28">
        <v>9.2678405931417981E-4</v>
      </c>
    </row>
    <row r="150" spans="2:5" ht="15" customHeight="1">
      <c r="B150" s="73"/>
      <c r="C150" s="30" t="s">
        <v>39</v>
      </c>
      <c r="D150" s="29">
        <v>18</v>
      </c>
      <c r="E150" s="28">
        <v>8.3410565338276187E-3</v>
      </c>
    </row>
    <row r="151" spans="2:5" ht="15" customHeight="1">
      <c r="B151" s="73"/>
      <c r="C151" s="30" t="s">
        <v>34</v>
      </c>
      <c r="D151" s="29">
        <v>9</v>
      </c>
      <c r="E151" s="28">
        <v>4.1705282669138094E-3</v>
      </c>
    </row>
    <row r="152" spans="2:5" ht="15" customHeight="1">
      <c r="B152" s="74"/>
      <c r="C152" s="27" t="s">
        <v>15</v>
      </c>
      <c r="D152" s="26">
        <v>282</v>
      </c>
      <c r="E152" s="25">
        <v>0.13067655236329936</v>
      </c>
    </row>
    <row r="153" spans="2:5" ht="15" customHeight="1">
      <c r="B153" s="72" t="s">
        <v>488</v>
      </c>
      <c r="C153" s="30" t="s">
        <v>25</v>
      </c>
      <c r="D153" s="29">
        <v>1</v>
      </c>
      <c r="E153" s="28">
        <v>4.6339202965708991E-4</v>
      </c>
    </row>
    <row r="154" spans="2:5" ht="15" customHeight="1">
      <c r="B154" s="73"/>
      <c r="C154" s="30" t="s">
        <v>20</v>
      </c>
      <c r="D154" s="29">
        <v>1</v>
      </c>
      <c r="E154" s="28">
        <v>4.6339202965708991E-4</v>
      </c>
    </row>
    <row r="155" spans="2:5" ht="15" customHeight="1">
      <c r="B155" s="73"/>
      <c r="C155" s="30" t="s">
        <v>44</v>
      </c>
      <c r="D155" s="29">
        <v>5</v>
      </c>
      <c r="E155" s="28">
        <v>2.3169601482854493E-3</v>
      </c>
    </row>
    <row r="156" spans="2:5" ht="15" customHeight="1">
      <c r="B156" s="73"/>
      <c r="C156" s="30" t="s">
        <v>37</v>
      </c>
      <c r="D156" s="29">
        <v>1</v>
      </c>
      <c r="E156" s="28">
        <v>4.6339202965708991E-4</v>
      </c>
    </row>
    <row r="157" spans="2:5" ht="15" customHeight="1">
      <c r="B157" s="73"/>
      <c r="C157" s="30" t="s">
        <v>41</v>
      </c>
      <c r="D157" s="29">
        <v>2</v>
      </c>
      <c r="E157" s="28">
        <v>9.2678405931417981E-4</v>
      </c>
    </row>
    <row r="158" spans="2:5" ht="15" customHeight="1">
      <c r="B158" s="73"/>
      <c r="C158" s="30" t="s">
        <v>40</v>
      </c>
      <c r="D158" s="29">
        <v>3</v>
      </c>
      <c r="E158" s="28">
        <v>1.3901760889712697E-3</v>
      </c>
    </row>
    <row r="159" spans="2:5" ht="15" customHeight="1">
      <c r="B159" s="73"/>
      <c r="C159" s="30" t="s">
        <v>43</v>
      </c>
      <c r="D159" s="29">
        <v>3</v>
      </c>
      <c r="E159" s="28">
        <v>1.3901760889712697E-3</v>
      </c>
    </row>
    <row r="160" spans="2:5" ht="15" customHeight="1">
      <c r="B160" s="73"/>
      <c r="C160" s="30" t="s">
        <v>38</v>
      </c>
      <c r="D160" s="29">
        <v>5</v>
      </c>
      <c r="E160" s="28">
        <v>2.3169601482854493E-3</v>
      </c>
    </row>
    <row r="161" spans="2:5" ht="15" customHeight="1">
      <c r="B161" s="73"/>
      <c r="C161" s="30" t="s">
        <v>45</v>
      </c>
      <c r="D161" s="29">
        <v>7</v>
      </c>
      <c r="E161" s="28">
        <v>3.2437442075996291E-3</v>
      </c>
    </row>
    <row r="162" spans="2:5" ht="15" customHeight="1">
      <c r="B162" s="73"/>
      <c r="C162" s="30" t="s">
        <v>27</v>
      </c>
      <c r="D162" s="29">
        <v>2</v>
      </c>
      <c r="E162" s="28">
        <v>9.2678405931417981E-4</v>
      </c>
    </row>
    <row r="163" spans="2:5" ht="15" customHeight="1">
      <c r="B163" s="73"/>
      <c r="C163" s="30" t="s">
        <v>42</v>
      </c>
      <c r="D163" s="29">
        <v>4</v>
      </c>
      <c r="E163" s="28">
        <v>1.8535681186283596E-3</v>
      </c>
    </row>
    <row r="164" spans="2:5" ht="15" customHeight="1">
      <c r="B164" s="73"/>
      <c r="C164" s="30" t="s">
        <v>28</v>
      </c>
      <c r="D164" s="29">
        <v>1</v>
      </c>
      <c r="E164" s="28">
        <v>4.6339202965708991E-4</v>
      </c>
    </row>
    <row r="165" spans="2:5" ht="15" customHeight="1">
      <c r="B165" s="73"/>
      <c r="C165" s="30" t="s">
        <v>39</v>
      </c>
      <c r="D165" s="29">
        <v>3</v>
      </c>
      <c r="E165" s="28">
        <v>1.3901760889712697E-3</v>
      </c>
    </row>
    <row r="166" spans="2:5" ht="15" customHeight="1">
      <c r="B166" s="73"/>
      <c r="C166" s="30" t="s">
        <v>34</v>
      </c>
      <c r="D166" s="29">
        <v>2</v>
      </c>
      <c r="E166" s="28">
        <v>9.2678405931417981E-4</v>
      </c>
    </row>
    <row r="167" spans="2:5" ht="15" customHeight="1">
      <c r="B167" s="74"/>
      <c r="C167" s="27" t="s">
        <v>15</v>
      </c>
      <c r="D167" s="26">
        <v>40</v>
      </c>
      <c r="E167" s="25">
        <v>1.8535681186283594E-2</v>
      </c>
    </row>
    <row r="168" spans="2:5" ht="15" customHeight="1">
      <c r="B168" s="72" t="s">
        <v>487</v>
      </c>
      <c r="C168" s="30" t="s">
        <v>44</v>
      </c>
      <c r="D168" s="29">
        <v>9</v>
      </c>
      <c r="E168" s="28">
        <v>4.1705282669138094E-3</v>
      </c>
    </row>
    <row r="169" spans="2:5" ht="15" customHeight="1">
      <c r="B169" s="73"/>
      <c r="C169" s="30" t="s">
        <v>29</v>
      </c>
      <c r="D169" s="29">
        <v>3</v>
      </c>
      <c r="E169" s="28">
        <v>1.3901760889712697E-3</v>
      </c>
    </row>
    <row r="170" spans="2:5" ht="15" customHeight="1">
      <c r="B170" s="73"/>
      <c r="C170" s="30" t="s">
        <v>21</v>
      </c>
      <c r="D170" s="29">
        <v>1</v>
      </c>
      <c r="E170" s="28">
        <v>4.6339202965708991E-4</v>
      </c>
    </row>
    <row r="171" spans="2:5" ht="15" customHeight="1">
      <c r="B171" s="73"/>
      <c r="C171" s="30" t="s">
        <v>37</v>
      </c>
      <c r="D171" s="29">
        <v>6</v>
      </c>
      <c r="E171" s="28">
        <v>2.7803521779425394E-3</v>
      </c>
    </row>
    <row r="172" spans="2:5" ht="15" customHeight="1">
      <c r="B172" s="73"/>
      <c r="C172" s="30" t="s">
        <v>36</v>
      </c>
      <c r="D172" s="29">
        <v>6</v>
      </c>
      <c r="E172" s="28">
        <v>2.7803521779425394E-3</v>
      </c>
    </row>
    <row r="173" spans="2:5" ht="15" customHeight="1">
      <c r="B173" s="73"/>
      <c r="C173" s="30" t="s">
        <v>41</v>
      </c>
      <c r="D173" s="29">
        <v>6</v>
      </c>
      <c r="E173" s="28">
        <v>2.7803521779425394E-3</v>
      </c>
    </row>
    <row r="174" spans="2:5" ht="15" customHeight="1">
      <c r="B174" s="73"/>
      <c r="C174" s="30" t="s">
        <v>40</v>
      </c>
      <c r="D174" s="29">
        <v>14</v>
      </c>
      <c r="E174" s="28">
        <v>6.4874884151992582E-3</v>
      </c>
    </row>
    <row r="175" spans="2:5" ht="15" customHeight="1">
      <c r="B175" s="73"/>
      <c r="C175" s="30" t="s">
        <v>43</v>
      </c>
      <c r="D175" s="29">
        <v>5</v>
      </c>
      <c r="E175" s="28">
        <v>2.3169601482854493E-3</v>
      </c>
    </row>
    <row r="176" spans="2:5" ht="15" customHeight="1">
      <c r="B176" s="73"/>
      <c r="C176" s="30" t="s">
        <v>32</v>
      </c>
      <c r="D176" s="29">
        <v>1</v>
      </c>
      <c r="E176" s="28">
        <v>4.6339202965708991E-4</v>
      </c>
    </row>
    <row r="177" spans="2:5" ht="15" customHeight="1">
      <c r="B177" s="73"/>
      <c r="C177" s="30" t="s">
        <v>38</v>
      </c>
      <c r="D177" s="29">
        <v>7</v>
      </c>
      <c r="E177" s="28">
        <v>3.2437442075996291E-3</v>
      </c>
    </row>
    <row r="178" spans="2:5" ht="15" customHeight="1">
      <c r="B178" s="73"/>
      <c r="C178" s="30" t="s">
        <v>45</v>
      </c>
      <c r="D178" s="29">
        <v>11</v>
      </c>
      <c r="E178" s="28">
        <v>5.0973123262279887E-3</v>
      </c>
    </row>
    <row r="179" spans="2:5" ht="15" customHeight="1">
      <c r="B179" s="73"/>
      <c r="C179" s="30" t="s">
        <v>42</v>
      </c>
      <c r="D179" s="29">
        <v>7</v>
      </c>
      <c r="E179" s="28">
        <v>3.2437442075996291E-3</v>
      </c>
    </row>
    <row r="180" spans="2:5" ht="15" customHeight="1">
      <c r="B180" s="73"/>
      <c r="C180" s="30" t="s">
        <v>35</v>
      </c>
      <c r="D180" s="29">
        <v>5</v>
      </c>
      <c r="E180" s="28">
        <v>2.3169601482854493E-3</v>
      </c>
    </row>
    <row r="181" spans="2:5" ht="15" customHeight="1">
      <c r="B181" s="73"/>
      <c r="C181" s="30" t="s">
        <v>23</v>
      </c>
      <c r="D181" s="29">
        <v>1</v>
      </c>
      <c r="E181" s="28">
        <v>4.6339202965708991E-4</v>
      </c>
    </row>
    <row r="182" spans="2:5" ht="15" customHeight="1">
      <c r="B182" s="73"/>
      <c r="C182" s="30" t="s">
        <v>30</v>
      </c>
      <c r="D182" s="29">
        <v>2</v>
      </c>
      <c r="E182" s="28">
        <v>9.2678405931417981E-4</v>
      </c>
    </row>
    <row r="183" spans="2:5" ht="15" customHeight="1">
      <c r="B183" s="73"/>
      <c r="C183" s="30" t="s">
        <v>28</v>
      </c>
      <c r="D183" s="29">
        <v>2</v>
      </c>
      <c r="E183" s="28">
        <v>9.2678405931417981E-4</v>
      </c>
    </row>
    <row r="184" spans="2:5" ht="15" customHeight="1">
      <c r="B184" s="73"/>
      <c r="C184" s="30" t="s">
        <v>39</v>
      </c>
      <c r="D184" s="29">
        <v>2</v>
      </c>
      <c r="E184" s="28">
        <v>9.2678405931417981E-4</v>
      </c>
    </row>
    <row r="185" spans="2:5" ht="15" customHeight="1">
      <c r="B185" s="73"/>
      <c r="C185" s="30" t="s">
        <v>34</v>
      </c>
      <c r="D185" s="29">
        <v>1</v>
      </c>
      <c r="E185" s="28">
        <v>4.6339202965708991E-4</v>
      </c>
    </row>
    <row r="186" spans="2:5" ht="15" customHeight="1">
      <c r="B186" s="74"/>
      <c r="C186" s="27" t="s">
        <v>15</v>
      </c>
      <c r="D186" s="26">
        <v>89</v>
      </c>
      <c r="E186" s="25">
        <v>4.1241890639480999E-2</v>
      </c>
    </row>
    <row r="187" spans="2:5" ht="15" customHeight="1">
      <c r="B187" s="72" t="s">
        <v>486</v>
      </c>
      <c r="C187" s="30" t="s">
        <v>25</v>
      </c>
      <c r="D187" s="29">
        <v>4</v>
      </c>
      <c r="E187" s="28">
        <v>1.8535681186283596E-3</v>
      </c>
    </row>
    <row r="188" spans="2:5" ht="15" customHeight="1">
      <c r="B188" s="73"/>
      <c r="C188" s="30" t="s">
        <v>20</v>
      </c>
      <c r="D188" s="29">
        <v>1</v>
      </c>
      <c r="E188" s="28">
        <v>4.6339202965708991E-4</v>
      </c>
    </row>
    <row r="189" spans="2:5" ht="15" customHeight="1">
      <c r="B189" s="73"/>
      <c r="C189" s="30" t="s">
        <v>31</v>
      </c>
      <c r="D189" s="29">
        <v>1</v>
      </c>
      <c r="E189" s="28">
        <v>4.6339202965708991E-4</v>
      </c>
    </row>
    <row r="190" spans="2:5" ht="15" customHeight="1">
      <c r="B190" s="73"/>
      <c r="C190" s="30" t="s">
        <v>44</v>
      </c>
      <c r="D190" s="29">
        <v>6</v>
      </c>
      <c r="E190" s="28">
        <v>2.7803521779425394E-3</v>
      </c>
    </row>
    <row r="191" spans="2:5" ht="15" customHeight="1">
      <c r="B191" s="73"/>
      <c r="C191" s="30" t="s">
        <v>29</v>
      </c>
      <c r="D191" s="29">
        <v>2</v>
      </c>
      <c r="E191" s="28">
        <v>9.2678405931417981E-4</v>
      </c>
    </row>
    <row r="192" spans="2:5" ht="15" customHeight="1">
      <c r="B192" s="73"/>
      <c r="C192" s="30" t="s">
        <v>37</v>
      </c>
      <c r="D192" s="29">
        <v>5</v>
      </c>
      <c r="E192" s="28">
        <v>2.3169601482854493E-3</v>
      </c>
    </row>
    <row r="193" spans="2:5" ht="15" customHeight="1">
      <c r="B193" s="73"/>
      <c r="C193" s="30" t="s">
        <v>36</v>
      </c>
      <c r="D193" s="29">
        <v>6</v>
      </c>
      <c r="E193" s="28">
        <v>2.7803521779425394E-3</v>
      </c>
    </row>
    <row r="194" spans="2:5" ht="15" customHeight="1">
      <c r="B194" s="73"/>
      <c r="C194" s="30" t="s">
        <v>41</v>
      </c>
      <c r="D194" s="29">
        <v>14</v>
      </c>
      <c r="E194" s="28">
        <v>6.4874884151992582E-3</v>
      </c>
    </row>
    <row r="195" spans="2:5" ht="15" customHeight="1">
      <c r="B195" s="73"/>
      <c r="C195" s="30" t="s">
        <v>40</v>
      </c>
      <c r="D195" s="29">
        <v>12</v>
      </c>
      <c r="E195" s="28">
        <v>5.5607043558850789E-3</v>
      </c>
    </row>
    <row r="196" spans="2:5" ht="15" customHeight="1">
      <c r="B196" s="73"/>
      <c r="C196" s="30" t="s">
        <v>43</v>
      </c>
      <c r="D196" s="29">
        <v>5</v>
      </c>
      <c r="E196" s="28">
        <v>2.3169601482854493E-3</v>
      </c>
    </row>
    <row r="197" spans="2:5" ht="15" customHeight="1">
      <c r="B197" s="73"/>
      <c r="C197" s="30" t="s">
        <v>32</v>
      </c>
      <c r="D197" s="29">
        <v>7</v>
      </c>
      <c r="E197" s="28">
        <v>3.2437442075996291E-3</v>
      </c>
    </row>
    <row r="198" spans="2:5" ht="15" customHeight="1">
      <c r="B198" s="73"/>
      <c r="C198" s="30" t="s">
        <v>38</v>
      </c>
      <c r="D198" s="29">
        <v>8</v>
      </c>
      <c r="E198" s="28">
        <v>3.7071362372567192E-3</v>
      </c>
    </row>
    <row r="199" spans="2:5" ht="15" customHeight="1">
      <c r="B199" s="73"/>
      <c r="C199" s="30" t="s">
        <v>45</v>
      </c>
      <c r="D199" s="29">
        <v>8</v>
      </c>
      <c r="E199" s="28">
        <v>3.7071362372567192E-3</v>
      </c>
    </row>
    <row r="200" spans="2:5" ht="15" customHeight="1">
      <c r="B200" s="73"/>
      <c r="C200" s="30" t="s">
        <v>27</v>
      </c>
      <c r="D200" s="29">
        <v>1</v>
      </c>
      <c r="E200" s="28">
        <v>4.6339202965708991E-4</v>
      </c>
    </row>
    <row r="201" spans="2:5" ht="15" customHeight="1">
      <c r="B201" s="73"/>
      <c r="C201" s="30" t="s">
        <v>18</v>
      </c>
      <c r="D201" s="29">
        <v>1</v>
      </c>
      <c r="E201" s="28">
        <v>4.6339202965708991E-4</v>
      </c>
    </row>
    <row r="202" spans="2:5" ht="15" customHeight="1">
      <c r="B202" s="73"/>
      <c r="C202" s="30" t="s">
        <v>26</v>
      </c>
      <c r="D202" s="29">
        <v>3</v>
      </c>
      <c r="E202" s="28">
        <v>1.3901760889712697E-3</v>
      </c>
    </row>
    <row r="203" spans="2:5" ht="15" customHeight="1">
      <c r="B203" s="73"/>
      <c r="C203" s="30" t="s">
        <v>42</v>
      </c>
      <c r="D203" s="29">
        <v>14</v>
      </c>
      <c r="E203" s="28">
        <v>6.4874884151992582E-3</v>
      </c>
    </row>
    <row r="204" spans="2:5" ht="15" customHeight="1">
      <c r="B204" s="73"/>
      <c r="C204" s="30" t="s">
        <v>35</v>
      </c>
      <c r="D204" s="29">
        <v>5</v>
      </c>
      <c r="E204" s="28">
        <v>2.3169601482854493E-3</v>
      </c>
    </row>
    <row r="205" spans="2:5" ht="15" customHeight="1">
      <c r="B205" s="73"/>
      <c r="C205" s="30" t="s">
        <v>24</v>
      </c>
      <c r="D205" s="29">
        <v>1</v>
      </c>
      <c r="E205" s="28">
        <v>4.6339202965708991E-4</v>
      </c>
    </row>
    <row r="206" spans="2:5" ht="15" customHeight="1">
      <c r="B206" s="73"/>
      <c r="C206" s="30" t="s">
        <v>33</v>
      </c>
      <c r="D206" s="29">
        <v>1</v>
      </c>
      <c r="E206" s="28">
        <v>4.6339202965708991E-4</v>
      </c>
    </row>
    <row r="207" spans="2:5" ht="15" customHeight="1">
      <c r="B207" s="73"/>
      <c r="C207" s="30" t="s">
        <v>23</v>
      </c>
      <c r="D207" s="29">
        <v>2</v>
      </c>
      <c r="E207" s="28">
        <v>9.2678405931417981E-4</v>
      </c>
    </row>
    <row r="208" spans="2:5" ht="15" customHeight="1">
      <c r="B208" s="73"/>
      <c r="C208" s="30" t="s">
        <v>30</v>
      </c>
      <c r="D208" s="29">
        <v>1</v>
      </c>
      <c r="E208" s="28">
        <v>4.6339202965708991E-4</v>
      </c>
    </row>
    <row r="209" spans="2:5" ht="15" customHeight="1">
      <c r="B209" s="73"/>
      <c r="C209" s="30" t="s">
        <v>28</v>
      </c>
      <c r="D209" s="29">
        <v>1</v>
      </c>
      <c r="E209" s="28">
        <v>4.6339202965708991E-4</v>
      </c>
    </row>
    <row r="210" spans="2:5" ht="15" customHeight="1">
      <c r="B210" s="73"/>
      <c r="C210" s="30" t="s">
        <v>39</v>
      </c>
      <c r="D210" s="29">
        <v>9</v>
      </c>
      <c r="E210" s="28">
        <v>4.1705282669138094E-3</v>
      </c>
    </row>
    <row r="211" spans="2:5" ht="15" customHeight="1">
      <c r="B211" s="73"/>
      <c r="C211" s="30" t="s">
        <v>34</v>
      </c>
      <c r="D211" s="29">
        <v>2</v>
      </c>
      <c r="E211" s="28">
        <v>9.2678405931417981E-4</v>
      </c>
    </row>
    <row r="212" spans="2:5" ht="15" customHeight="1">
      <c r="B212" s="74"/>
      <c r="C212" s="27" t="s">
        <v>15</v>
      </c>
      <c r="D212" s="26">
        <v>120</v>
      </c>
      <c r="E212" s="25">
        <v>5.5607043558850787E-2</v>
      </c>
    </row>
    <row r="213" spans="2:5" ht="15" customHeight="1">
      <c r="B213" s="72" t="s">
        <v>485</v>
      </c>
      <c r="C213" s="30" t="s">
        <v>25</v>
      </c>
      <c r="D213" s="29">
        <v>5</v>
      </c>
      <c r="E213" s="28">
        <v>2.3169601482854493E-3</v>
      </c>
    </row>
    <row r="214" spans="2:5" ht="15" customHeight="1">
      <c r="B214" s="73"/>
      <c r="C214" s="30" t="s">
        <v>20</v>
      </c>
      <c r="D214" s="29">
        <v>2</v>
      </c>
      <c r="E214" s="28">
        <v>9.2678405931417981E-4</v>
      </c>
    </row>
    <row r="215" spans="2:5" ht="15" customHeight="1">
      <c r="B215" s="73"/>
      <c r="C215" s="30" t="s">
        <v>19</v>
      </c>
      <c r="D215" s="29">
        <v>2</v>
      </c>
      <c r="E215" s="28">
        <v>9.2678405931417981E-4</v>
      </c>
    </row>
    <row r="216" spans="2:5" ht="15" customHeight="1">
      <c r="B216" s="73"/>
      <c r="C216" s="30" t="s">
        <v>31</v>
      </c>
      <c r="D216" s="29">
        <v>8</v>
      </c>
      <c r="E216" s="28">
        <v>3.7071362372567192E-3</v>
      </c>
    </row>
    <row r="217" spans="2:5" ht="15" customHeight="1">
      <c r="B217" s="73"/>
      <c r="C217" s="30" t="s">
        <v>44</v>
      </c>
      <c r="D217" s="29">
        <v>47</v>
      </c>
      <c r="E217" s="28">
        <v>2.1779425393883226E-2</v>
      </c>
    </row>
    <row r="218" spans="2:5" ht="15" customHeight="1">
      <c r="B218" s="73"/>
      <c r="C218" s="30" t="s">
        <v>29</v>
      </c>
      <c r="D218" s="29">
        <v>3</v>
      </c>
      <c r="E218" s="28">
        <v>1.3901760889712697E-3</v>
      </c>
    </row>
    <row r="219" spans="2:5" ht="15" customHeight="1">
      <c r="B219" s="73"/>
      <c r="C219" s="30" t="s">
        <v>21</v>
      </c>
      <c r="D219" s="29">
        <v>7</v>
      </c>
      <c r="E219" s="28">
        <v>3.2437442075996291E-3</v>
      </c>
    </row>
    <row r="220" spans="2:5" ht="15" customHeight="1">
      <c r="B220" s="73"/>
      <c r="C220" s="30" t="s">
        <v>37</v>
      </c>
      <c r="D220" s="29">
        <v>24</v>
      </c>
      <c r="E220" s="28">
        <v>1.1121408711770158E-2</v>
      </c>
    </row>
    <row r="221" spans="2:5" ht="15" customHeight="1">
      <c r="B221" s="73"/>
      <c r="C221" s="30" t="s">
        <v>36</v>
      </c>
      <c r="D221" s="29">
        <v>21</v>
      </c>
      <c r="E221" s="28">
        <v>9.7312326227988882E-3</v>
      </c>
    </row>
    <row r="222" spans="2:5" ht="15" customHeight="1">
      <c r="B222" s="73"/>
      <c r="C222" s="30" t="s">
        <v>41</v>
      </c>
      <c r="D222" s="29">
        <v>39</v>
      </c>
      <c r="E222" s="28">
        <v>1.8072289156626505E-2</v>
      </c>
    </row>
    <row r="223" spans="2:5" ht="15" customHeight="1">
      <c r="B223" s="73"/>
      <c r="C223" s="30" t="s">
        <v>40</v>
      </c>
      <c r="D223" s="29">
        <v>35</v>
      </c>
      <c r="E223" s="28">
        <v>1.6218721037998145E-2</v>
      </c>
    </row>
    <row r="224" spans="2:5" ht="15" customHeight="1">
      <c r="B224" s="73"/>
      <c r="C224" s="30" t="s">
        <v>43</v>
      </c>
      <c r="D224" s="29">
        <v>37</v>
      </c>
      <c r="E224" s="28">
        <v>1.7145505097312327E-2</v>
      </c>
    </row>
    <row r="225" spans="2:5" ht="15" customHeight="1">
      <c r="B225" s="73"/>
      <c r="C225" s="30" t="s">
        <v>32</v>
      </c>
      <c r="D225" s="29">
        <v>31</v>
      </c>
      <c r="E225" s="28">
        <v>1.4365152919369786E-2</v>
      </c>
    </row>
    <row r="226" spans="2:5" ht="15" customHeight="1">
      <c r="B226" s="73"/>
      <c r="C226" s="30" t="s">
        <v>38</v>
      </c>
      <c r="D226" s="29">
        <v>22</v>
      </c>
      <c r="E226" s="28">
        <v>1.0194624652455977E-2</v>
      </c>
    </row>
    <row r="227" spans="2:5" ht="15" customHeight="1">
      <c r="B227" s="73"/>
      <c r="C227" s="30" t="s">
        <v>45</v>
      </c>
      <c r="D227" s="29">
        <v>47</v>
      </c>
      <c r="E227" s="28">
        <v>2.1779425393883226E-2</v>
      </c>
    </row>
    <row r="228" spans="2:5" ht="15" customHeight="1">
      <c r="B228" s="73"/>
      <c r="C228" s="30" t="s">
        <v>27</v>
      </c>
      <c r="D228" s="29">
        <v>7</v>
      </c>
      <c r="E228" s="28">
        <v>3.2437442075996291E-3</v>
      </c>
    </row>
    <row r="229" spans="2:5" ht="15" customHeight="1">
      <c r="B229" s="73"/>
      <c r="C229" s="30" t="s">
        <v>18</v>
      </c>
      <c r="D229" s="29">
        <v>5</v>
      </c>
      <c r="E229" s="28">
        <v>2.3169601482854493E-3</v>
      </c>
    </row>
    <row r="230" spans="2:5" ht="15" customHeight="1">
      <c r="B230" s="73"/>
      <c r="C230" s="30" t="s">
        <v>26</v>
      </c>
      <c r="D230" s="29">
        <v>9</v>
      </c>
      <c r="E230" s="28">
        <v>4.1705282669138094E-3</v>
      </c>
    </row>
    <row r="231" spans="2:5" ht="15" customHeight="1">
      <c r="B231" s="73"/>
      <c r="C231" s="30" t="s">
        <v>42</v>
      </c>
      <c r="D231" s="29">
        <v>42</v>
      </c>
      <c r="E231" s="28">
        <v>1.9462465245597776E-2</v>
      </c>
    </row>
    <row r="232" spans="2:5" ht="15" customHeight="1">
      <c r="B232" s="73"/>
      <c r="C232" s="30" t="s">
        <v>35</v>
      </c>
      <c r="D232" s="29">
        <v>19</v>
      </c>
      <c r="E232" s="28">
        <v>8.804448563484708E-3</v>
      </c>
    </row>
    <row r="233" spans="2:5" ht="15" customHeight="1">
      <c r="B233" s="73"/>
      <c r="C233" s="30" t="s">
        <v>24</v>
      </c>
      <c r="D233" s="29">
        <v>5</v>
      </c>
      <c r="E233" s="28">
        <v>2.3169601482854493E-3</v>
      </c>
    </row>
    <row r="234" spans="2:5" ht="15" customHeight="1">
      <c r="B234" s="73"/>
      <c r="C234" s="30" t="s">
        <v>33</v>
      </c>
      <c r="D234" s="29">
        <v>13</v>
      </c>
      <c r="E234" s="28">
        <v>6.024096385542169E-3</v>
      </c>
    </row>
    <row r="235" spans="2:5" ht="15" customHeight="1">
      <c r="B235" s="73"/>
      <c r="C235" s="30" t="s">
        <v>23</v>
      </c>
      <c r="D235" s="29">
        <v>5</v>
      </c>
      <c r="E235" s="28">
        <v>2.3169601482854493E-3</v>
      </c>
    </row>
    <row r="236" spans="2:5" ht="15" customHeight="1">
      <c r="B236" s="73"/>
      <c r="C236" s="30" t="s">
        <v>17</v>
      </c>
      <c r="D236" s="29">
        <v>3</v>
      </c>
      <c r="E236" s="28">
        <v>1.3901760889712697E-3</v>
      </c>
    </row>
    <row r="237" spans="2:5" ht="15" customHeight="1">
      <c r="B237" s="73"/>
      <c r="C237" s="30" t="s">
        <v>22</v>
      </c>
      <c r="D237" s="29">
        <v>4</v>
      </c>
      <c r="E237" s="28">
        <v>1.8535681186283596E-3</v>
      </c>
    </row>
    <row r="238" spans="2:5" ht="15" customHeight="1">
      <c r="B238" s="73"/>
      <c r="C238" s="30" t="s">
        <v>30</v>
      </c>
      <c r="D238" s="29">
        <v>10</v>
      </c>
      <c r="E238" s="28">
        <v>4.6339202965708986E-3</v>
      </c>
    </row>
    <row r="239" spans="2:5" ht="15" customHeight="1">
      <c r="B239" s="73"/>
      <c r="C239" s="30" t="s">
        <v>28</v>
      </c>
      <c r="D239" s="29">
        <v>16</v>
      </c>
      <c r="E239" s="28">
        <v>7.4142724745134385E-3</v>
      </c>
    </row>
    <row r="240" spans="2:5" ht="15" customHeight="1">
      <c r="B240" s="73"/>
      <c r="C240" s="30" t="s">
        <v>39</v>
      </c>
      <c r="D240" s="29">
        <v>46</v>
      </c>
      <c r="E240" s="28">
        <v>2.1316033364226137E-2</v>
      </c>
    </row>
    <row r="241" spans="2:5" ht="15" customHeight="1">
      <c r="B241" s="73"/>
      <c r="C241" s="30" t="s">
        <v>34</v>
      </c>
      <c r="D241" s="29">
        <v>18</v>
      </c>
      <c r="E241" s="28">
        <v>8.3410565338276187E-3</v>
      </c>
    </row>
    <row r="242" spans="2:5" ht="15" customHeight="1">
      <c r="B242" s="74"/>
      <c r="C242" s="27" t="s">
        <v>15</v>
      </c>
      <c r="D242" s="26">
        <v>532</v>
      </c>
      <c r="E242" s="25">
        <v>0.24652455977757182</v>
      </c>
    </row>
    <row r="243" spans="2:5" ht="15" customHeight="1">
      <c r="B243" s="72" t="s">
        <v>534</v>
      </c>
      <c r="C243" s="30" t="s">
        <v>44</v>
      </c>
      <c r="D243" s="29">
        <v>6</v>
      </c>
      <c r="E243" s="28">
        <v>2.7803521779425394E-3</v>
      </c>
    </row>
    <row r="244" spans="2:5" ht="15" customHeight="1">
      <c r="B244" s="73"/>
      <c r="C244" s="30" t="s">
        <v>21</v>
      </c>
      <c r="D244" s="29">
        <v>1</v>
      </c>
      <c r="E244" s="28">
        <v>4.6339202965708991E-4</v>
      </c>
    </row>
    <row r="245" spans="2:5" ht="15" customHeight="1">
      <c r="B245" s="73"/>
      <c r="C245" s="30" t="s">
        <v>37</v>
      </c>
      <c r="D245" s="29">
        <v>2</v>
      </c>
      <c r="E245" s="28">
        <v>9.2678405931417981E-4</v>
      </c>
    </row>
    <row r="246" spans="2:5" ht="15" customHeight="1">
      <c r="B246" s="73"/>
      <c r="C246" s="30" t="s">
        <v>36</v>
      </c>
      <c r="D246" s="29">
        <v>3</v>
      </c>
      <c r="E246" s="28">
        <v>1.3901760889712697E-3</v>
      </c>
    </row>
    <row r="247" spans="2:5" ht="15" customHeight="1">
      <c r="B247" s="73"/>
      <c r="C247" s="30" t="s">
        <v>40</v>
      </c>
      <c r="D247" s="29">
        <v>2</v>
      </c>
      <c r="E247" s="28">
        <v>9.2678405931417981E-4</v>
      </c>
    </row>
    <row r="248" spans="2:5" ht="15" customHeight="1">
      <c r="B248" s="73"/>
      <c r="C248" s="30" t="s">
        <v>43</v>
      </c>
      <c r="D248" s="29">
        <v>5</v>
      </c>
      <c r="E248" s="28">
        <v>2.3169601482854493E-3</v>
      </c>
    </row>
    <row r="249" spans="2:5" ht="15" customHeight="1">
      <c r="B249" s="73"/>
      <c r="C249" s="30" t="s">
        <v>32</v>
      </c>
      <c r="D249" s="29">
        <v>4</v>
      </c>
      <c r="E249" s="28">
        <v>1.8535681186283596E-3</v>
      </c>
    </row>
    <row r="250" spans="2:5" ht="15" customHeight="1">
      <c r="B250" s="73"/>
      <c r="C250" s="30" t="s">
        <v>38</v>
      </c>
      <c r="D250" s="29">
        <v>3</v>
      </c>
      <c r="E250" s="28">
        <v>1.3901760889712697E-3</v>
      </c>
    </row>
    <row r="251" spans="2:5" ht="15" customHeight="1">
      <c r="B251" s="73"/>
      <c r="C251" s="30" t="s">
        <v>45</v>
      </c>
      <c r="D251" s="29">
        <v>3</v>
      </c>
      <c r="E251" s="28">
        <v>1.3901760889712697E-3</v>
      </c>
    </row>
    <row r="252" spans="2:5" ht="15" customHeight="1">
      <c r="B252" s="73"/>
      <c r="C252" s="30" t="s">
        <v>27</v>
      </c>
      <c r="D252" s="29">
        <v>1</v>
      </c>
      <c r="E252" s="28">
        <v>4.6339202965708991E-4</v>
      </c>
    </row>
    <row r="253" spans="2:5" ht="15" customHeight="1">
      <c r="B253" s="73"/>
      <c r="C253" s="30" t="s">
        <v>42</v>
      </c>
      <c r="D253" s="29">
        <v>2</v>
      </c>
      <c r="E253" s="28">
        <v>9.2678405931417981E-4</v>
      </c>
    </row>
    <row r="254" spans="2:5" ht="15" customHeight="1">
      <c r="B254" s="73"/>
      <c r="C254" s="30" t="s">
        <v>35</v>
      </c>
      <c r="D254" s="29">
        <v>2</v>
      </c>
      <c r="E254" s="28">
        <v>9.2678405931417981E-4</v>
      </c>
    </row>
    <row r="255" spans="2:5" ht="15" customHeight="1">
      <c r="B255" s="73"/>
      <c r="C255" s="30" t="s">
        <v>22</v>
      </c>
      <c r="D255" s="29">
        <v>1</v>
      </c>
      <c r="E255" s="28">
        <v>4.6339202965708991E-4</v>
      </c>
    </row>
    <row r="256" spans="2:5" ht="15" customHeight="1">
      <c r="B256" s="73"/>
      <c r="C256" s="30" t="s">
        <v>30</v>
      </c>
      <c r="D256" s="29">
        <v>1</v>
      </c>
      <c r="E256" s="28">
        <v>4.6339202965708991E-4</v>
      </c>
    </row>
    <row r="257" spans="2:5" ht="15" customHeight="1">
      <c r="B257" s="73"/>
      <c r="C257" s="30" t="s">
        <v>39</v>
      </c>
      <c r="D257" s="29">
        <v>2</v>
      </c>
      <c r="E257" s="28">
        <v>9.2678405931417981E-4</v>
      </c>
    </row>
    <row r="258" spans="2:5" ht="15" customHeight="1">
      <c r="B258" s="73"/>
      <c r="C258" s="30" t="s">
        <v>34</v>
      </c>
      <c r="D258" s="29">
        <v>1</v>
      </c>
      <c r="E258" s="28">
        <v>4.6339202965708991E-4</v>
      </c>
    </row>
    <row r="259" spans="2:5" ht="15" customHeight="1">
      <c r="B259" s="74"/>
      <c r="C259" s="27" t="s">
        <v>15</v>
      </c>
      <c r="D259" s="26">
        <v>39</v>
      </c>
      <c r="E259" s="25">
        <v>1.8072289156626505E-2</v>
      </c>
    </row>
    <row r="260" spans="2:5" ht="15" customHeight="1">
      <c r="B260" s="72" t="s">
        <v>483</v>
      </c>
      <c r="C260" s="30" t="s">
        <v>25</v>
      </c>
      <c r="D260" s="29">
        <v>1</v>
      </c>
      <c r="E260" s="28">
        <v>4.6339202965708991E-4</v>
      </c>
    </row>
    <row r="261" spans="2:5" ht="15" customHeight="1">
      <c r="B261" s="73"/>
      <c r="C261" s="30" t="s">
        <v>20</v>
      </c>
      <c r="D261" s="29">
        <v>3</v>
      </c>
      <c r="E261" s="28">
        <v>1.3901760889712697E-3</v>
      </c>
    </row>
    <row r="262" spans="2:5" ht="15" customHeight="1">
      <c r="B262" s="73"/>
      <c r="C262" s="30" t="s">
        <v>19</v>
      </c>
      <c r="D262" s="29">
        <v>3</v>
      </c>
      <c r="E262" s="28">
        <v>1.3901760889712697E-3</v>
      </c>
    </row>
    <row r="263" spans="2:5" ht="15" customHeight="1">
      <c r="B263" s="73"/>
      <c r="C263" s="30" t="s">
        <v>31</v>
      </c>
      <c r="D263" s="29">
        <v>2</v>
      </c>
      <c r="E263" s="28">
        <v>9.2678405931417981E-4</v>
      </c>
    </row>
    <row r="264" spans="2:5" ht="15" customHeight="1">
      <c r="B264" s="73"/>
      <c r="C264" s="30" t="s">
        <v>44</v>
      </c>
      <c r="D264" s="29">
        <v>26</v>
      </c>
      <c r="E264" s="28">
        <v>1.2048192771084338E-2</v>
      </c>
    </row>
    <row r="265" spans="2:5" ht="15" customHeight="1">
      <c r="B265" s="73"/>
      <c r="C265" s="30" t="s">
        <v>29</v>
      </c>
      <c r="D265" s="29">
        <v>5</v>
      </c>
      <c r="E265" s="28">
        <v>2.3169601482854493E-3</v>
      </c>
    </row>
    <row r="266" spans="2:5" ht="15" customHeight="1">
      <c r="B266" s="73"/>
      <c r="C266" s="30" t="s">
        <v>37</v>
      </c>
      <c r="D266" s="29">
        <v>9</v>
      </c>
      <c r="E266" s="28">
        <v>4.1705282669138094E-3</v>
      </c>
    </row>
    <row r="267" spans="2:5" ht="15" customHeight="1">
      <c r="B267" s="73"/>
      <c r="C267" s="30" t="s">
        <v>36</v>
      </c>
      <c r="D267" s="29">
        <v>8</v>
      </c>
      <c r="E267" s="28">
        <v>3.7071362372567192E-3</v>
      </c>
    </row>
    <row r="268" spans="2:5" ht="15" customHeight="1">
      <c r="B268" s="73"/>
      <c r="C268" s="30" t="s">
        <v>41</v>
      </c>
      <c r="D268" s="29">
        <v>9</v>
      </c>
      <c r="E268" s="28">
        <v>4.1705282669138094E-3</v>
      </c>
    </row>
    <row r="269" spans="2:5" ht="15" customHeight="1">
      <c r="B269" s="73"/>
      <c r="C269" s="30" t="s">
        <v>40</v>
      </c>
      <c r="D269" s="29">
        <v>8</v>
      </c>
      <c r="E269" s="28">
        <v>3.7071362372567192E-3</v>
      </c>
    </row>
    <row r="270" spans="2:5" ht="15" customHeight="1">
      <c r="B270" s="73"/>
      <c r="C270" s="30" t="s">
        <v>43</v>
      </c>
      <c r="D270" s="29">
        <v>6</v>
      </c>
      <c r="E270" s="28">
        <v>2.7803521779425394E-3</v>
      </c>
    </row>
    <row r="271" spans="2:5" ht="15" customHeight="1">
      <c r="B271" s="73"/>
      <c r="C271" s="30" t="s">
        <v>32</v>
      </c>
      <c r="D271" s="29">
        <v>7</v>
      </c>
      <c r="E271" s="28">
        <v>3.2437442075996291E-3</v>
      </c>
    </row>
    <row r="272" spans="2:5" ht="15" customHeight="1">
      <c r="B272" s="73"/>
      <c r="C272" s="30" t="s">
        <v>38</v>
      </c>
      <c r="D272" s="29">
        <v>6</v>
      </c>
      <c r="E272" s="28">
        <v>2.7803521779425394E-3</v>
      </c>
    </row>
    <row r="273" spans="2:5" ht="15" customHeight="1">
      <c r="B273" s="73"/>
      <c r="C273" s="30" t="s">
        <v>45</v>
      </c>
      <c r="D273" s="29">
        <v>26</v>
      </c>
      <c r="E273" s="28">
        <v>1.2048192771084338E-2</v>
      </c>
    </row>
    <row r="274" spans="2:5" ht="15" customHeight="1">
      <c r="B274" s="73"/>
      <c r="C274" s="30" t="s">
        <v>27</v>
      </c>
      <c r="D274" s="29">
        <v>7</v>
      </c>
      <c r="E274" s="28">
        <v>3.2437442075996291E-3</v>
      </c>
    </row>
    <row r="275" spans="2:5" ht="15" customHeight="1">
      <c r="B275" s="73"/>
      <c r="C275" s="30" t="s">
        <v>18</v>
      </c>
      <c r="D275" s="29">
        <v>1</v>
      </c>
      <c r="E275" s="28">
        <v>4.6339202965708991E-4</v>
      </c>
    </row>
    <row r="276" spans="2:5" ht="15" customHeight="1">
      <c r="B276" s="73"/>
      <c r="C276" s="30" t="s">
        <v>26</v>
      </c>
      <c r="D276" s="29">
        <v>1</v>
      </c>
      <c r="E276" s="28">
        <v>4.6339202965708991E-4</v>
      </c>
    </row>
    <row r="277" spans="2:5" ht="15" customHeight="1">
      <c r="B277" s="73"/>
      <c r="C277" s="30" t="s">
        <v>42</v>
      </c>
      <c r="D277" s="29">
        <v>7</v>
      </c>
      <c r="E277" s="28">
        <v>3.2437442075996291E-3</v>
      </c>
    </row>
    <row r="278" spans="2:5" ht="15" customHeight="1">
      <c r="B278" s="73"/>
      <c r="C278" s="30" t="s">
        <v>35</v>
      </c>
      <c r="D278" s="29">
        <v>2</v>
      </c>
      <c r="E278" s="28">
        <v>9.2678405931417981E-4</v>
      </c>
    </row>
    <row r="279" spans="2:5" ht="15" customHeight="1">
      <c r="B279" s="73"/>
      <c r="C279" s="30" t="s">
        <v>24</v>
      </c>
      <c r="D279" s="29">
        <v>1</v>
      </c>
      <c r="E279" s="28">
        <v>4.6339202965708991E-4</v>
      </c>
    </row>
    <row r="280" spans="2:5" ht="15" customHeight="1">
      <c r="B280" s="73"/>
      <c r="C280" s="30" t="s">
        <v>33</v>
      </c>
      <c r="D280" s="29">
        <v>2</v>
      </c>
      <c r="E280" s="28">
        <v>9.2678405931417981E-4</v>
      </c>
    </row>
    <row r="281" spans="2:5" ht="15" customHeight="1">
      <c r="B281" s="73"/>
      <c r="C281" s="30" t="s">
        <v>23</v>
      </c>
      <c r="D281" s="29">
        <v>4</v>
      </c>
      <c r="E281" s="28">
        <v>1.8535681186283596E-3</v>
      </c>
    </row>
    <row r="282" spans="2:5" ht="15" customHeight="1">
      <c r="B282" s="73"/>
      <c r="C282" s="30" t="s">
        <v>17</v>
      </c>
      <c r="D282" s="29">
        <v>1</v>
      </c>
      <c r="E282" s="28">
        <v>4.6339202965708991E-4</v>
      </c>
    </row>
    <row r="283" spans="2:5" ht="15" customHeight="1">
      <c r="B283" s="73"/>
      <c r="C283" s="30" t="s">
        <v>22</v>
      </c>
      <c r="D283" s="29">
        <v>3</v>
      </c>
      <c r="E283" s="28">
        <v>1.3901760889712697E-3</v>
      </c>
    </row>
    <row r="284" spans="2:5" ht="15" customHeight="1">
      <c r="B284" s="73"/>
      <c r="C284" s="30" t="s">
        <v>30</v>
      </c>
      <c r="D284" s="29">
        <v>4</v>
      </c>
      <c r="E284" s="28">
        <v>1.8535681186283596E-3</v>
      </c>
    </row>
    <row r="285" spans="2:5" ht="15" customHeight="1">
      <c r="B285" s="73"/>
      <c r="C285" s="30" t="s">
        <v>28</v>
      </c>
      <c r="D285" s="29">
        <v>3</v>
      </c>
      <c r="E285" s="28">
        <v>1.3901760889712697E-3</v>
      </c>
    </row>
    <row r="286" spans="2:5" ht="15" customHeight="1">
      <c r="B286" s="73"/>
      <c r="C286" s="30" t="s">
        <v>39</v>
      </c>
      <c r="D286" s="29">
        <v>14</v>
      </c>
      <c r="E286" s="28">
        <v>6.4874884151992582E-3</v>
      </c>
    </row>
    <row r="287" spans="2:5" ht="15" customHeight="1">
      <c r="B287" s="73"/>
      <c r="C287" s="30" t="s">
        <v>16</v>
      </c>
      <c r="D287" s="29">
        <v>1</v>
      </c>
      <c r="E287" s="28">
        <v>4.6339202965708991E-4</v>
      </c>
    </row>
    <row r="288" spans="2:5" ht="15" customHeight="1">
      <c r="B288" s="73"/>
      <c r="C288" s="30" t="s">
        <v>34</v>
      </c>
      <c r="D288" s="29">
        <v>4</v>
      </c>
      <c r="E288" s="28">
        <v>1.8535681186283596E-3</v>
      </c>
    </row>
    <row r="289" spans="2:5" ht="15" customHeight="1">
      <c r="B289" s="74"/>
      <c r="C289" s="27" t="s">
        <v>15</v>
      </c>
      <c r="D289" s="26">
        <v>174</v>
      </c>
      <c r="E289" s="25">
        <v>8.0630213160333641E-2</v>
      </c>
    </row>
    <row r="290" spans="2:5" ht="15" customHeight="1">
      <c r="B290" s="72" t="s">
        <v>482</v>
      </c>
      <c r="C290" s="30" t="s">
        <v>25</v>
      </c>
      <c r="D290" s="29">
        <v>1</v>
      </c>
      <c r="E290" s="28">
        <v>4.6339202965708991E-4</v>
      </c>
    </row>
    <row r="291" spans="2:5" ht="15" customHeight="1">
      <c r="B291" s="73"/>
      <c r="C291" s="30" t="s">
        <v>20</v>
      </c>
      <c r="D291" s="29">
        <v>3</v>
      </c>
      <c r="E291" s="28">
        <v>1.3901760889712697E-3</v>
      </c>
    </row>
    <row r="292" spans="2:5" ht="15" customHeight="1">
      <c r="B292" s="73"/>
      <c r="C292" s="30" t="s">
        <v>31</v>
      </c>
      <c r="D292" s="29">
        <v>11</v>
      </c>
      <c r="E292" s="28">
        <v>5.0973123262279887E-3</v>
      </c>
    </row>
    <row r="293" spans="2:5" ht="15" customHeight="1">
      <c r="B293" s="73"/>
      <c r="C293" s="30" t="s">
        <v>44</v>
      </c>
      <c r="D293" s="29">
        <v>40</v>
      </c>
      <c r="E293" s="28">
        <v>1.8535681186283594E-2</v>
      </c>
    </row>
    <row r="294" spans="2:5" ht="15" customHeight="1">
      <c r="B294" s="73"/>
      <c r="C294" s="30" t="s">
        <v>29</v>
      </c>
      <c r="D294" s="29">
        <v>7</v>
      </c>
      <c r="E294" s="28">
        <v>3.2437442075996291E-3</v>
      </c>
    </row>
    <row r="295" spans="2:5" ht="15" customHeight="1">
      <c r="B295" s="73"/>
      <c r="C295" s="30" t="s">
        <v>37</v>
      </c>
      <c r="D295" s="29">
        <v>23</v>
      </c>
      <c r="E295" s="28">
        <v>1.0658016682113068E-2</v>
      </c>
    </row>
    <row r="296" spans="2:5" ht="15" customHeight="1">
      <c r="B296" s="73"/>
      <c r="C296" s="30" t="s">
        <v>36</v>
      </c>
      <c r="D296" s="29">
        <v>13</v>
      </c>
      <c r="E296" s="28">
        <v>6.024096385542169E-3</v>
      </c>
    </row>
    <row r="297" spans="2:5" ht="15" customHeight="1">
      <c r="B297" s="73"/>
      <c r="C297" s="30" t="s">
        <v>41</v>
      </c>
      <c r="D297" s="29">
        <v>25</v>
      </c>
      <c r="E297" s="28">
        <v>1.1584800741427247E-2</v>
      </c>
    </row>
    <row r="298" spans="2:5" ht="15" customHeight="1">
      <c r="B298" s="73"/>
      <c r="C298" s="30" t="s">
        <v>40</v>
      </c>
      <c r="D298" s="29">
        <v>25</v>
      </c>
      <c r="E298" s="28">
        <v>1.1584800741427247E-2</v>
      </c>
    </row>
    <row r="299" spans="2:5" ht="15" customHeight="1">
      <c r="B299" s="73"/>
      <c r="C299" s="30" t="s">
        <v>43</v>
      </c>
      <c r="D299" s="29">
        <v>20</v>
      </c>
      <c r="E299" s="28">
        <v>9.2678405931417972E-3</v>
      </c>
    </row>
    <row r="300" spans="2:5" ht="15" customHeight="1">
      <c r="B300" s="73"/>
      <c r="C300" s="30" t="s">
        <v>32</v>
      </c>
      <c r="D300" s="29">
        <v>14</v>
      </c>
      <c r="E300" s="28">
        <v>6.4874884151992582E-3</v>
      </c>
    </row>
    <row r="301" spans="2:5" ht="15" customHeight="1">
      <c r="B301" s="73"/>
      <c r="C301" s="30" t="s">
        <v>38</v>
      </c>
      <c r="D301" s="29">
        <v>19</v>
      </c>
      <c r="E301" s="28">
        <v>8.804448563484708E-3</v>
      </c>
    </row>
    <row r="302" spans="2:5" ht="15" customHeight="1">
      <c r="B302" s="73"/>
      <c r="C302" s="30" t="s">
        <v>45</v>
      </c>
      <c r="D302" s="29">
        <v>16</v>
      </c>
      <c r="E302" s="28">
        <v>7.4142724745134385E-3</v>
      </c>
    </row>
    <row r="303" spans="2:5" ht="15" customHeight="1">
      <c r="B303" s="73"/>
      <c r="C303" s="30" t="s">
        <v>27</v>
      </c>
      <c r="D303" s="29">
        <v>8</v>
      </c>
      <c r="E303" s="28">
        <v>3.7071362372567192E-3</v>
      </c>
    </row>
    <row r="304" spans="2:5" ht="15" customHeight="1">
      <c r="B304" s="73"/>
      <c r="C304" s="30" t="s">
        <v>18</v>
      </c>
      <c r="D304" s="29">
        <v>1</v>
      </c>
      <c r="E304" s="28">
        <v>4.6339202965708991E-4</v>
      </c>
    </row>
    <row r="305" spans="2:5" ht="15" customHeight="1">
      <c r="B305" s="73"/>
      <c r="C305" s="30" t="s">
        <v>26</v>
      </c>
      <c r="D305" s="29">
        <v>8</v>
      </c>
      <c r="E305" s="28">
        <v>3.7071362372567192E-3</v>
      </c>
    </row>
    <row r="306" spans="2:5" ht="15" customHeight="1">
      <c r="B306" s="73"/>
      <c r="C306" s="30" t="s">
        <v>42</v>
      </c>
      <c r="D306" s="29">
        <v>36</v>
      </c>
      <c r="E306" s="28">
        <v>1.6682113067655237E-2</v>
      </c>
    </row>
    <row r="307" spans="2:5" ht="15" customHeight="1">
      <c r="B307" s="73"/>
      <c r="C307" s="30" t="s">
        <v>35</v>
      </c>
      <c r="D307" s="29">
        <v>15</v>
      </c>
      <c r="E307" s="28">
        <v>6.9508804448563484E-3</v>
      </c>
    </row>
    <row r="308" spans="2:5" ht="15" customHeight="1">
      <c r="B308" s="73"/>
      <c r="C308" s="30" t="s">
        <v>24</v>
      </c>
      <c r="D308" s="29">
        <v>2</v>
      </c>
      <c r="E308" s="28">
        <v>9.2678405931417981E-4</v>
      </c>
    </row>
    <row r="309" spans="2:5" ht="15" customHeight="1">
      <c r="B309" s="73"/>
      <c r="C309" s="30" t="s">
        <v>33</v>
      </c>
      <c r="D309" s="29">
        <v>11</v>
      </c>
      <c r="E309" s="28">
        <v>5.0973123262279887E-3</v>
      </c>
    </row>
    <row r="310" spans="2:5" ht="15" customHeight="1">
      <c r="B310" s="73"/>
      <c r="C310" s="30" t="s">
        <v>23</v>
      </c>
      <c r="D310" s="29">
        <v>6</v>
      </c>
      <c r="E310" s="28">
        <v>2.7803521779425394E-3</v>
      </c>
    </row>
    <row r="311" spans="2:5" ht="15" customHeight="1">
      <c r="B311" s="73"/>
      <c r="C311" s="30" t="s">
        <v>17</v>
      </c>
      <c r="D311" s="29">
        <v>4</v>
      </c>
      <c r="E311" s="28">
        <v>1.8535681186283596E-3</v>
      </c>
    </row>
    <row r="312" spans="2:5" ht="15" customHeight="1">
      <c r="B312" s="73"/>
      <c r="C312" s="30" t="s">
        <v>22</v>
      </c>
      <c r="D312" s="29">
        <v>6</v>
      </c>
      <c r="E312" s="28">
        <v>2.7803521779425394E-3</v>
      </c>
    </row>
    <row r="313" spans="2:5" ht="15" customHeight="1">
      <c r="B313" s="73"/>
      <c r="C313" s="30" t="s">
        <v>30</v>
      </c>
      <c r="D313" s="29">
        <v>11</v>
      </c>
      <c r="E313" s="28">
        <v>5.0973123262279887E-3</v>
      </c>
    </row>
    <row r="314" spans="2:5" ht="15" customHeight="1">
      <c r="B314" s="73"/>
      <c r="C314" s="30" t="s">
        <v>28</v>
      </c>
      <c r="D314" s="29">
        <v>11</v>
      </c>
      <c r="E314" s="28">
        <v>5.0973123262279887E-3</v>
      </c>
    </row>
    <row r="315" spans="2:5" ht="15" customHeight="1">
      <c r="B315" s="73"/>
      <c r="C315" s="30" t="s">
        <v>39</v>
      </c>
      <c r="D315" s="29">
        <v>28</v>
      </c>
      <c r="E315" s="28">
        <v>1.2974976830398516E-2</v>
      </c>
    </row>
    <row r="316" spans="2:5" ht="15" customHeight="1">
      <c r="B316" s="73"/>
      <c r="C316" s="30" t="s">
        <v>34</v>
      </c>
      <c r="D316" s="29">
        <v>12</v>
      </c>
      <c r="E316" s="28">
        <v>5.5607043558850789E-3</v>
      </c>
    </row>
    <row r="317" spans="2:5" ht="15" customHeight="1">
      <c r="B317" s="74"/>
      <c r="C317" s="27" t="s">
        <v>15</v>
      </c>
      <c r="D317" s="26">
        <v>376</v>
      </c>
      <c r="E317" s="25">
        <v>0.17423540315106581</v>
      </c>
    </row>
    <row r="318" spans="2:5" ht="15" customHeight="1">
      <c r="B318" s="72" t="s">
        <v>481</v>
      </c>
      <c r="C318" s="30" t="s">
        <v>44</v>
      </c>
      <c r="D318" s="29">
        <v>2</v>
      </c>
      <c r="E318" s="28">
        <v>9.2678405931417981E-4</v>
      </c>
    </row>
    <row r="319" spans="2:5" ht="15" customHeight="1">
      <c r="B319" s="73"/>
      <c r="C319" s="30" t="s">
        <v>37</v>
      </c>
      <c r="D319" s="29">
        <v>2</v>
      </c>
      <c r="E319" s="28">
        <v>9.2678405931417981E-4</v>
      </c>
    </row>
    <row r="320" spans="2:5" ht="15" customHeight="1">
      <c r="B320" s="73"/>
      <c r="C320" s="30" t="s">
        <v>41</v>
      </c>
      <c r="D320" s="29">
        <v>1</v>
      </c>
      <c r="E320" s="28">
        <v>4.6339202965708991E-4</v>
      </c>
    </row>
    <row r="321" spans="2:5" ht="15" customHeight="1">
      <c r="B321" s="73"/>
      <c r="C321" s="30" t="s">
        <v>38</v>
      </c>
      <c r="D321" s="29">
        <v>1</v>
      </c>
      <c r="E321" s="28">
        <v>4.6339202965708991E-4</v>
      </c>
    </row>
    <row r="322" spans="2:5" ht="15" customHeight="1">
      <c r="B322" s="73"/>
      <c r="C322" s="30" t="s">
        <v>26</v>
      </c>
      <c r="D322" s="29">
        <v>1</v>
      </c>
      <c r="E322" s="28">
        <v>4.6339202965708991E-4</v>
      </c>
    </row>
    <row r="323" spans="2:5" ht="15" customHeight="1">
      <c r="B323" s="73"/>
      <c r="C323" s="30" t="s">
        <v>39</v>
      </c>
      <c r="D323" s="29">
        <v>3</v>
      </c>
      <c r="E323" s="28">
        <v>1.3901760889712697E-3</v>
      </c>
    </row>
    <row r="324" spans="2:5" ht="15" customHeight="1">
      <c r="B324" s="74"/>
      <c r="C324" s="27" t="s">
        <v>15</v>
      </c>
      <c r="D324" s="26">
        <v>10</v>
      </c>
      <c r="E324" s="25">
        <v>4.6339202965708986E-3</v>
      </c>
    </row>
    <row r="325" spans="2:5" ht="15" customHeight="1">
      <c r="B325" s="72" t="s">
        <v>480</v>
      </c>
      <c r="C325" s="30" t="s">
        <v>44</v>
      </c>
      <c r="D325" s="29">
        <v>1</v>
      </c>
      <c r="E325" s="28">
        <v>4.6339202965708991E-4</v>
      </c>
    </row>
    <row r="326" spans="2:5" ht="15" customHeight="1">
      <c r="B326" s="73"/>
      <c r="C326" s="30" t="s">
        <v>29</v>
      </c>
      <c r="D326" s="29">
        <v>1</v>
      </c>
      <c r="E326" s="28">
        <v>4.6339202965708991E-4</v>
      </c>
    </row>
    <row r="327" spans="2:5" ht="15" customHeight="1">
      <c r="B327" s="73"/>
      <c r="C327" s="30" t="s">
        <v>37</v>
      </c>
      <c r="D327" s="29">
        <v>2</v>
      </c>
      <c r="E327" s="28">
        <v>9.2678405931417981E-4</v>
      </c>
    </row>
    <row r="328" spans="2:5" ht="15" customHeight="1">
      <c r="B328" s="73"/>
      <c r="C328" s="30" t="s">
        <v>43</v>
      </c>
      <c r="D328" s="29">
        <v>1</v>
      </c>
      <c r="E328" s="28">
        <v>4.6339202965708991E-4</v>
      </c>
    </row>
    <row r="329" spans="2:5" ht="15" customHeight="1">
      <c r="B329" s="73"/>
      <c r="C329" s="30" t="s">
        <v>32</v>
      </c>
      <c r="D329" s="29">
        <v>1</v>
      </c>
      <c r="E329" s="28">
        <v>4.6339202965708991E-4</v>
      </c>
    </row>
    <row r="330" spans="2:5" ht="15" customHeight="1">
      <c r="B330" s="73"/>
      <c r="C330" s="30" t="s">
        <v>45</v>
      </c>
      <c r="D330" s="29">
        <v>1</v>
      </c>
      <c r="E330" s="28">
        <v>4.6339202965708991E-4</v>
      </c>
    </row>
    <row r="331" spans="2:5" ht="15" customHeight="1">
      <c r="B331" s="73"/>
      <c r="C331" s="30" t="s">
        <v>35</v>
      </c>
      <c r="D331" s="29">
        <v>2</v>
      </c>
      <c r="E331" s="28">
        <v>9.2678405931417981E-4</v>
      </c>
    </row>
    <row r="332" spans="2:5" ht="15" customHeight="1">
      <c r="B332" s="73"/>
      <c r="C332" s="30" t="s">
        <v>33</v>
      </c>
      <c r="D332" s="29">
        <v>1</v>
      </c>
      <c r="E332" s="28">
        <v>4.6339202965708991E-4</v>
      </c>
    </row>
    <row r="333" spans="2:5" ht="15" customHeight="1">
      <c r="B333" s="73"/>
      <c r="C333" s="30" t="s">
        <v>23</v>
      </c>
      <c r="D333" s="29">
        <v>1</v>
      </c>
      <c r="E333" s="28">
        <v>4.6339202965708991E-4</v>
      </c>
    </row>
    <row r="334" spans="2:5" ht="15" customHeight="1">
      <c r="B334" s="73"/>
      <c r="C334" s="30" t="s">
        <v>28</v>
      </c>
      <c r="D334" s="29">
        <v>1</v>
      </c>
      <c r="E334" s="28">
        <v>4.6339202965708991E-4</v>
      </c>
    </row>
    <row r="335" spans="2:5" ht="15" customHeight="1">
      <c r="B335" s="73"/>
      <c r="C335" s="30" t="s">
        <v>39</v>
      </c>
      <c r="D335" s="29">
        <v>1</v>
      </c>
      <c r="E335" s="28">
        <v>4.6339202965708991E-4</v>
      </c>
    </row>
    <row r="336" spans="2:5" ht="15" customHeight="1">
      <c r="B336" s="74"/>
      <c r="C336" s="27" t="s">
        <v>15</v>
      </c>
      <c r="D336" s="26">
        <v>13</v>
      </c>
      <c r="E336" s="25">
        <v>6.024096385542169E-3</v>
      </c>
    </row>
    <row r="337" spans="2:5" ht="15" customHeight="1">
      <c r="B337" s="72" t="s">
        <v>479</v>
      </c>
      <c r="C337" s="30" t="s">
        <v>20</v>
      </c>
      <c r="D337" s="29">
        <v>1</v>
      </c>
      <c r="E337" s="28">
        <v>4.6339202965708991E-4</v>
      </c>
    </row>
    <row r="338" spans="2:5" ht="15" customHeight="1">
      <c r="B338" s="73"/>
      <c r="C338" s="30" t="s">
        <v>44</v>
      </c>
      <c r="D338" s="29">
        <v>1</v>
      </c>
      <c r="E338" s="28">
        <v>4.6339202965708991E-4</v>
      </c>
    </row>
    <row r="339" spans="2:5" ht="15" customHeight="1">
      <c r="B339" s="73"/>
      <c r="C339" s="30" t="s">
        <v>40</v>
      </c>
      <c r="D339" s="29">
        <v>2</v>
      </c>
      <c r="E339" s="28">
        <v>9.2678405931417981E-4</v>
      </c>
    </row>
    <row r="340" spans="2:5" ht="15" customHeight="1">
      <c r="B340" s="73"/>
      <c r="C340" s="30" t="s">
        <v>45</v>
      </c>
      <c r="D340" s="29">
        <v>1</v>
      </c>
      <c r="E340" s="28">
        <v>4.6339202965708991E-4</v>
      </c>
    </row>
    <row r="341" spans="2:5" ht="15" customHeight="1">
      <c r="B341" s="73"/>
      <c r="C341" s="30" t="s">
        <v>22</v>
      </c>
      <c r="D341" s="29">
        <v>2</v>
      </c>
      <c r="E341" s="28">
        <v>9.2678405931417981E-4</v>
      </c>
    </row>
    <row r="342" spans="2:5" ht="15" customHeight="1">
      <c r="B342" s="73"/>
      <c r="C342" s="30" t="s">
        <v>39</v>
      </c>
      <c r="D342" s="29">
        <v>2</v>
      </c>
      <c r="E342" s="28">
        <v>9.2678405931417981E-4</v>
      </c>
    </row>
    <row r="343" spans="2:5" ht="15" customHeight="1">
      <c r="B343" s="74"/>
      <c r="C343" s="27" t="s">
        <v>15</v>
      </c>
      <c r="D343" s="26">
        <v>9</v>
      </c>
      <c r="E343" s="25">
        <v>4.1705282669138094E-3</v>
      </c>
    </row>
    <row r="344" spans="2:5" ht="15" customHeight="1">
      <c r="B344" s="72" t="s">
        <v>478</v>
      </c>
      <c r="C344" s="30" t="s">
        <v>44</v>
      </c>
      <c r="D344" s="29">
        <v>2</v>
      </c>
      <c r="E344" s="28">
        <v>9.2678405931417981E-4</v>
      </c>
    </row>
    <row r="345" spans="2:5" ht="15" customHeight="1">
      <c r="B345" s="73"/>
      <c r="C345" s="30" t="s">
        <v>35</v>
      </c>
      <c r="D345" s="29">
        <v>1</v>
      </c>
      <c r="E345" s="28">
        <v>4.6339202965708991E-4</v>
      </c>
    </row>
    <row r="346" spans="2:5" ht="15" customHeight="1">
      <c r="B346" s="74"/>
      <c r="C346" s="27" t="s">
        <v>15</v>
      </c>
      <c r="D346" s="26">
        <v>3</v>
      </c>
      <c r="E346" s="25">
        <v>1.3901760889712697E-3</v>
      </c>
    </row>
    <row r="347" spans="2:5" ht="15" customHeight="1">
      <c r="B347" s="72" t="s">
        <v>477</v>
      </c>
      <c r="C347" s="30" t="s">
        <v>44</v>
      </c>
      <c r="D347" s="29">
        <v>5</v>
      </c>
      <c r="E347" s="28">
        <v>2.3169601482854493E-3</v>
      </c>
    </row>
    <row r="348" spans="2:5" ht="15" customHeight="1">
      <c r="B348" s="73"/>
      <c r="C348" s="30" t="s">
        <v>37</v>
      </c>
      <c r="D348" s="29">
        <v>2</v>
      </c>
      <c r="E348" s="28">
        <v>9.2678405931417981E-4</v>
      </c>
    </row>
    <row r="349" spans="2:5" ht="15" customHeight="1">
      <c r="B349" s="73"/>
      <c r="C349" s="30" t="s">
        <v>41</v>
      </c>
      <c r="D349" s="29">
        <v>1</v>
      </c>
      <c r="E349" s="28">
        <v>4.6339202965708991E-4</v>
      </c>
    </row>
    <row r="350" spans="2:5" ht="15" customHeight="1">
      <c r="B350" s="73"/>
      <c r="C350" s="30" t="s">
        <v>40</v>
      </c>
      <c r="D350" s="29">
        <v>1</v>
      </c>
      <c r="E350" s="28">
        <v>4.6339202965708991E-4</v>
      </c>
    </row>
    <row r="351" spans="2:5" ht="15" customHeight="1">
      <c r="B351" s="73"/>
      <c r="C351" s="30" t="s">
        <v>43</v>
      </c>
      <c r="D351" s="29">
        <v>3</v>
      </c>
      <c r="E351" s="28">
        <v>1.3901760889712697E-3</v>
      </c>
    </row>
    <row r="352" spans="2:5" ht="15" customHeight="1">
      <c r="B352" s="73"/>
      <c r="C352" s="30" t="s">
        <v>32</v>
      </c>
      <c r="D352" s="29">
        <v>2</v>
      </c>
      <c r="E352" s="28">
        <v>9.2678405931417981E-4</v>
      </c>
    </row>
    <row r="353" spans="2:5" ht="15" customHeight="1">
      <c r="B353" s="73"/>
      <c r="C353" s="30" t="s">
        <v>38</v>
      </c>
      <c r="D353" s="29">
        <v>2</v>
      </c>
      <c r="E353" s="28">
        <v>9.2678405931417981E-4</v>
      </c>
    </row>
    <row r="354" spans="2:5" ht="15" customHeight="1">
      <c r="B354" s="73"/>
      <c r="C354" s="30" t="s">
        <v>45</v>
      </c>
      <c r="D354" s="29">
        <v>1</v>
      </c>
      <c r="E354" s="28">
        <v>4.6339202965708991E-4</v>
      </c>
    </row>
    <row r="355" spans="2:5" ht="15" customHeight="1">
      <c r="B355" s="73"/>
      <c r="C355" s="30" t="s">
        <v>35</v>
      </c>
      <c r="D355" s="29">
        <v>2</v>
      </c>
      <c r="E355" s="28">
        <v>9.2678405931417981E-4</v>
      </c>
    </row>
    <row r="356" spans="2:5" ht="15" customHeight="1">
      <c r="B356" s="73"/>
      <c r="C356" s="30" t="s">
        <v>33</v>
      </c>
      <c r="D356" s="29">
        <v>1</v>
      </c>
      <c r="E356" s="28">
        <v>4.6339202965708991E-4</v>
      </c>
    </row>
    <row r="357" spans="2:5" ht="15" customHeight="1">
      <c r="B357" s="73"/>
      <c r="C357" s="30" t="s">
        <v>23</v>
      </c>
      <c r="D357" s="29">
        <v>2</v>
      </c>
      <c r="E357" s="28">
        <v>9.2678405931417981E-4</v>
      </c>
    </row>
    <row r="358" spans="2:5" ht="15" customHeight="1">
      <c r="B358" s="73"/>
      <c r="C358" s="30" t="s">
        <v>28</v>
      </c>
      <c r="D358" s="29">
        <v>1</v>
      </c>
      <c r="E358" s="28">
        <v>4.6339202965708991E-4</v>
      </c>
    </row>
    <row r="359" spans="2:5" ht="15" customHeight="1">
      <c r="B359" s="73"/>
      <c r="C359" s="30" t="s">
        <v>39</v>
      </c>
      <c r="D359" s="29">
        <v>2</v>
      </c>
      <c r="E359" s="28">
        <v>9.2678405931417981E-4</v>
      </c>
    </row>
    <row r="360" spans="2:5" ht="15" customHeight="1">
      <c r="B360" s="74"/>
      <c r="C360" s="27" t="s">
        <v>15</v>
      </c>
      <c r="D360" s="26">
        <v>25</v>
      </c>
      <c r="E360" s="25">
        <v>1.1584800741427247E-2</v>
      </c>
    </row>
    <row r="361" spans="2:5" ht="15" customHeight="1">
      <c r="B361" s="72" t="s">
        <v>533</v>
      </c>
      <c r="C361" s="30" t="s">
        <v>31</v>
      </c>
      <c r="D361" s="29">
        <v>1</v>
      </c>
      <c r="E361" s="28">
        <v>4.6339202965708991E-4</v>
      </c>
    </row>
    <row r="362" spans="2:5" ht="15" customHeight="1">
      <c r="B362" s="73"/>
      <c r="C362" s="30" t="s">
        <v>44</v>
      </c>
      <c r="D362" s="29">
        <v>7</v>
      </c>
      <c r="E362" s="28">
        <v>3.2437442075996291E-3</v>
      </c>
    </row>
    <row r="363" spans="2:5" ht="15" customHeight="1">
      <c r="B363" s="73"/>
      <c r="C363" s="30" t="s">
        <v>29</v>
      </c>
      <c r="D363" s="29">
        <v>3</v>
      </c>
      <c r="E363" s="28">
        <v>1.3901760889712697E-3</v>
      </c>
    </row>
    <row r="364" spans="2:5" ht="15" customHeight="1">
      <c r="B364" s="73"/>
      <c r="C364" s="30" t="s">
        <v>37</v>
      </c>
      <c r="D364" s="29">
        <v>3</v>
      </c>
      <c r="E364" s="28">
        <v>1.3901760889712697E-3</v>
      </c>
    </row>
    <row r="365" spans="2:5" ht="15" customHeight="1">
      <c r="B365" s="73"/>
      <c r="C365" s="30" t="s">
        <v>41</v>
      </c>
      <c r="D365" s="29">
        <v>2</v>
      </c>
      <c r="E365" s="28">
        <v>9.2678405931417981E-4</v>
      </c>
    </row>
    <row r="366" spans="2:5" ht="15" customHeight="1">
      <c r="B366" s="73"/>
      <c r="C366" s="30" t="s">
        <v>40</v>
      </c>
      <c r="D366" s="29">
        <v>1</v>
      </c>
      <c r="E366" s="28">
        <v>4.6339202965708991E-4</v>
      </c>
    </row>
    <row r="367" spans="2:5" ht="15" customHeight="1">
      <c r="B367" s="73"/>
      <c r="C367" s="30" t="s">
        <v>43</v>
      </c>
      <c r="D367" s="29">
        <v>3</v>
      </c>
      <c r="E367" s="28">
        <v>1.3901760889712697E-3</v>
      </c>
    </row>
    <row r="368" spans="2:5" ht="15" customHeight="1">
      <c r="B368" s="73"/>
      <c r="C368" s="30" t="s">
        <v>32</v>
      </c>
      <c r="D368" s="29">
        <v>1</v>
      </c>
      <c r="E368" s="28">
        <v>4.6339202965708991E-4</v>
      </c>
    </row>
    <row r="369" spans="2:5" ht="15" customHeight="1">
      <c r="B369" s="73"/>
      <c r="C369" s="30" t="s">
        <v>38</v>
      </c>
      <c r="D369" s="29">
        <v>2</v>
      </c>
      <c r="E369" s="28">
        <v>9.2678405931417981E-4</v>
      </c>
    </row>
    <row r="370" spans="2:5" ht="15" customHeight="1">
      <c r="B370" s="73"/>
      <c r="C370" s="30" t="s">
        <v>45</v>
      </c>
      <c r="D370" s="29">
        <v>3</v>
      </c>
      <c r="E370" s="28">
        <v>1.3901760889712697E-3</v>
      </c>
    </row>
    <row r="371" spans="2:5" ht="15" customHeight="1">
      <c r="B371" s="73"/>
      <c r="C371" s="30" t="s">
        <v>26</v>
      </c>
      <c r="D371" s="29">
        <v>2</v>
      </c>
      <c r="E371" s="28">
        <v>9.2678405931417981E-4</v>
      </c>
    </row>
    <row r="372" spans="2:5" ht="15" customHeight="1">
      <c r="B372" s="73"/>
      <c r="C372" s="30" t="s">
        <v>42</v>
      </c>
      <c r="D372" s="29">
        <v>2</v>
      </c>
      <c r="E372" s="28">
        <v>9.2678405931417981E-4</v>
      </c>
    </row>
    <row r="373" spans="2:5" ht="15" customHeight="1">
      <c r="B373" s="73"/>
      <c r="C373" s="30" t="s">
        <v>35</v>
      </c>
      <c r="D373" s="29">
        <v>3</v>
      </c>
      <c r="E373" s="28">
        <v>1.3901760889712697E-3</v>
      </c>
    </row>
    <row r="374" spans="2:5" ht="15" customHeight="1">
      <c r="B374" s="73"/>
      <c r="C374" s="30" t="s">
        <v>23</v>
      </c>
      <c r="D374" s="29">
        <v>3</v>
      </c>
      <c r="E374" s="28">
        <v>1.3901760889712697E-3</v>
      </c>
    </row>
    <row r="375" spans="2:5" ht="15" customHeight="1">
      <c r="B375" s="73"/>
      <c r="C375" s="30" t="s">
        <v>22</v>
      </c>
      <c r="D375" s="29">
        <v>3</v>
      </c>
      <c r="E375" s="28">
        <v>1.3901760889712697E-3</v>
      </c>
    </row>
    <row r="376" spans="2:5" ht="15" customHeight="1">
      <c r="B376" s="73"/>
      <c r="C376" s="30" t="s">
        <v>30</v>
      </c>
      <c r="D376" s="29">
        <v>5</v>
      </c>
      <c r="E376" s="28">
        <v>2.3169601482854493E-3</v>
      </c>
    </row>
    <row r="377" spans="2:5" ht="15" customHeight="1">
      <c r="B377" s="73"/>
      <c r="C377" s="30" t="s">
        <v>39</v>
      </c>
      <c r="D377" s="29">
        <v>4</v>
      </c>
      <c r="E377" s="28">
        <v>1.8535681186283596E-3</v>
      </c>
    </row>
    <row r="378" spans="2:5" ht="15" customHeight="1">
      <c r="B378" s="73"/>
      <c r="C378" s="30" t="s">
        <v>16</v>
      </c>
      <c r="D378" s="29">
        <v>1</v>
      </c>
      <c r="E378" s="28">
        <v>4.6339202965708991E-4</v>
      </c>
    </row>
    <row r="379" spans="2:5" ht="15" customHeight="1">
      <c r="B379" s="73"/>
      <c r="C379" s="30" t="s">
        <v>34</v>
      </c>
      <c r="D379" s="29">
        <v>4</v>
      </c>
      <c r="E379" s="28">
        <v>1.8535681186283596E-3</v>
      </c>
    </row>
    <row r="380" spans="2:5" ht="15" customHeight="1">
      <c r="B380" s="74"/>
      <c r="C380" s="27" t="s">
        <v>15</v>
      </c>
      <c r="D380" s="26">
        <v>53</v>
      </c>
      <c r="E380" s="25">
        <v>2.4559777571825765E-2</v>
      </c>
    </row>
    <row r="381" spans="2:5" ht="15" customHeight="1">
      <c r="B381" s="72" t="s">
        <v>532</v>
      </c>
      <c r="C381" s="30" t="s">
        <v>38</v>
      </c>
      <c r="D381" s="29">
        <v>1</v>
      </c>
      <c r="E381" s="28">
        <v>4.6339202965708991E-4</v>
      </c>
    </row>
    <row r="382" spans="2:5" ht="15" customHeight="1">
      <c r="B382" s="73"/>
      <c r="C382" s="30" t="s">
        <v>27</v>
      </c>
      <c r="D382" s="29">
        <v>1</v>
      </c>
      <c r="E382" s="28">
        <v>4.6339202965708991E-4</v>
      </c>
    </row>
    <row r="383" spans="2:5" ht="15" customHeight="1">
      <c r="B383" s="73"/>
      <c r="C383" s="30" t="s">
        <v>42</v>
      </c>
      <c r="D383" s="29">
        <v>3</v>
      </c>
      <c r="E383" s="28">
        <v>1.3901760889712697E-3</v>
      </c>
    </row>
    <row r="384" spans="2:5" ht="15" customHeight="1">
      <c r="B384" s="74"/>
      <c r="C384" s="27" t="s">
        <v>15</v>
      </c>
      <c r="D384" s="26">
        <v>5</v>
      </c>
      <c r="E384" s="25">
        <v>2.3169601482854493E-3</v>
      </c>
    </row>
    <row r="385" spans="2:6" ht="15" customHeight="1">
      <c r="B385" s="75" t="s">
        <v>15</v>
      </c>
      <c r="C385" s="76"/>
      <c r="D385" s="24">
        <v>2158</v>
      </c>
      <c r="E385" s="23">
        <v>1</v>
      </c>
    </row>
    <row r="387" spans="2:6" ht="15" customHeight="1">
      <c r="B387" s="2"/>
      <c r="C387" s="4" t="s">
        <v>537</v>
      </c>
      <c r="D387"/>
      <c r="E387"/>
      <c r="F387" s="2"/>
    </row>
    <row r="388" spans="2:6" ht="15" customHeight="1">
      <c r="B388" s="2"/>
      <c r="C388" s="6" t="s">
        <v>14</v>
      </c>
      <c r="D388"/>
      <c r="E388"/>
      <c r="F388" s="2"/>
    </row>
    <row r="389" spans="2:6" ht="15" customHeight="1">
      <c r="B389" s="2"/>
      <c r="C389" s="5" t="s">
        <v>13</v>
      </c>
      <c r="D389"/>
      <c r="E389"/>
      <c r="F389" s="2"/>
    </row>
    <row r="390" spans="2:6" ht="15" customHeight="1">
      <c r="B390" s="2"/>
      <c r="C390" s="4" t="s">
        <v>12</v>
      </c>
      <c r="D390"/>
      <c r="E390"/>
      <c r="F390" s="2"/>
    </row>
    <row r="391" spans="2:6" ht="15" customHeight="1">
      <c r="B391" s="2"/>
      <c r="C391" s="4" t="s">
        <v>538</v>
      </c>
      <c r="D391"/>
      <c r="E391"/>
      <c r="F391" s="2"/>
    </row>
  </sheetData>
  <mergeCells count="24">
    <mergeCell ref="B7:E8"/>
    <mergeCell ref="B10:B23"/>
    <mergeCell ref="B24:B36"/>
    <mergeCell ref="B37:B50"/>
    <mergeCell ref="B51:B67"/>
    <mergeCell ref="B68:B82"/>
    <mergeCell ref="B83:B100"/>
    <mergeCell ref="B101:B125"/>
    <mergeCell ref="B126:B152"/>
    <mergeCell ref="B153:B167"/>
    <mergeCell ref="B168:B186"/>
    <mergeCell ref="B381:B384"/>
    <mergeCell ref="B385:C385"/>
    <mergeCell ref="B187:B212"/>
    <mergeCell ref="B213:B242"/>
    <mergeCell ref="B243:B259"/>
    <mergeCell ref="B260:B289"/>
    <mergeCell ref="B290:B317"/>
    <mergeCell ref="B318:B324"/>
    <mergeCell ref="B325:B336"/>
    <mergeCell ref="B337:B343"/>
    <mergeCell ref="B344:B346"/>
    <mergeCell ref="B347:B360"/>
    <mergeCell ref="B361:B38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E1" sqref="E1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1" t="s">
        <v>702</v>
      </c>
      <c r="C7" s="71"/>
      <c r="D7" s="71"/>
    </row>
    <row r="8" spans="1:5" s="14" customFormat="1" ht="15" customHeight="1">
      <c r="B8" s="71"/>
      <c r="C8" s="71"/>
      <c r="D8" s="71"/>
    </row>
    <row r="9" spans="1:5" s="14" customFormat="1" ht="33" customHeight="1">
      <c r="B9" s="71"/>
      <c r="C9" s="71"/>
      <c r="D9" s="71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502</v>
      </c>
      <c r="C11" s="16" t="s">
        <v>47</v>
      </c>
      <c r="D11" s="15" t="s">
        <v>46</v>
      </c>
    </row>
    <row r="12" spans="1:5">
      <c r="B12" s="12" t="s">
        <v>501</v>
      </c>
      <c r="C12" s="11">
        <v>1331</v>
      </c>
      <c r="D12" s="10">
        <v>0.6167747914735866</v>
      </c>
    </row>
    <row r="13" spans="1:5">
      <c r="B13" s="12" t="s">
        <v>500</v>
      </c>
      <c r="C13" s="11">
        <v>827</v>
      </c>
      <c r="D13" s="10">
        <v>0.38322520852641334</v>
      </c>
    </row>
    <row r="14" spans="1:5">
      <c r="B14" s="9" t="s">
        <v>499</v>
      </c>
      <c r="C14" s="8">
        <v>2158</v>
      </c>
      <c r="D14" s="7">
        <v>1</v>
      </c>
    </row>
    <row r="15" spans="1:5">
      <c r="A15" s="13"/>
      <c r="B15" s="13"/>
      <c r="C15" s="43"/>
      <c r="D15" s="13"/>
      <c r="E15" s="13"/>
    </row>
    <row r="16" spans="1:5">
      <c r="B16" s="4" t="s">
        <v>537</v>
      </c>
      <c r="C16"/>
      <c r="D16"/>
    </row>
    <row r="17" spans="2:4">
      <c r="B17" s="6" t="s">
        <v>14</v>
      </c>
      <c r="C17"/>
      <c r="D17"/>
    </row>
    <row r="18" spans="2:4">
      <c r="B18" s="5" t="s">
        <v>13</v>
      </c>
      <c r="C18"/>
      <c r="D18"/>
    </row>
    <row r="19" spans="2:4">
      <c r="B19" s="4" t="s">
        <v>12</v>
      </c>
      <c r="C19"/>
      <c r="D19"/>
    </row>
    <row r="20" spans="2:4">
      <c r="B20" s="4" t="s">
        <v>538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90" zoomScaleNormal="90" zoomScaleSheetLayoutView="100" workbookViewId="0">
      <selection activeCell="E9" sqref="E9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>
      <c r="B1" s="42"/>
      <c r="C1" s="41"/>
      <c r="D1" s="41"/>
      <c r="E1" s="41"/>
    </row>
    <row r="2" spans="1:5" s="38" customFormat="1" ht="15" customHeight="1">
      <c r="C2" s="40"/>
    </row>
    <row r="3" spans="1:5" s="38" customFormat="1" ht="15" customHeight="1">
      <c r="C3" s="40"/>
    </row>
    <row r="4" spans="1:5" s="38" customFormat="1" ht="30" customHeight="1">
      <c r="C4" s="40"/>
      <c r="D4" s="39"/>
    </row>
    <row r="5" spans="1:5" s="38" customFormat="1" ht="15" customHeight="1">
      <c r="C5" s="40"/>
      <c r="D5" s="39"/>
    </row>
    <row r="6" spans="1:5" s="35" customFormat="1" ht="24" customHeight="1">
      <c r="B6" s="37"/>
      <c r="C6" s="31"/>
      <c r="D6" s="31"/>
      <c r="E6" s="31"/>
    </row>
    <row r="7" spans="1:5" s="35" customFormat="1" ht="26.25" customHeight="1">
      <c r="A7" s="36"/>
      <c r="B7" s="77"/>
      <c r="C7" s="77"/>
      <c r="D7" s="77"/>
      <c r="E7" s="77"/>
    </row>
    <row r="8" spans="1:5" s="35" customFormat="1" ht="33" customHeight="1">
      <c r="A8" s="36"/>
      <c r="B8" s="77"/>
      <c r="C8" s="77"/>
      <c r="D8" s="77"/>
      <c r="E8" s="77"/>
    </row>
    <row r="9" spans="1:5" s="14" customFormat="1" ht="40.5" customHeight="1">
      <c r="B9" s="32" t="s">
        <v>48</v>
      </c>
      <c r="C9" s="34" t="s">
        <v>502</v>
      </c>
      <c r="D9" s="33" t="s">
        <v>47</v>
      </c>
      <c r="E9" s="32" t="s">
        <v>46</v>
      </c>
    </row>
    <row r="10" spans="1:5" ht="15" customHeight="1">
      <c r="B10" s="72" t="s">
        <v>25</v>
      </c>
      <c r="C10" s="30" t="s">
        <v>504</v>
      </c>
      <c r="D10" s="29">
        <v>12</v>
      </c>
      <c r="E10" s="28">
        <v>5.5607043558850789E-3</v>
      </c>
    </row>
    <row r="11" spans="1:5" ht="15" customHeight="1">
      <c r="B11" s="73"/>
      <c r="C11" s="30" t="s">
        <v>503</v>
      </c>
      <c r="D11" s="29">
        <v>6</v>
      </c>
      <c r="E11" s="28">
        <v>2.7803521779425394E-3</v>
      </c>
    </row>
    <row r="12" spans="1:5" ht="15" customHeight="1">
      <c r="B12" s="74"/>
      <c r="C12" s="27" t="s">
        <v>15</v>
      </c>
      <c r="D12" s="26">
        <v>18</v>
      </c>
      <c r="E12" s="25">
        <v>8.3410565338276187E-3</v>
      </c>
    </row>
    <row r="13" spans="1:5" ht="15" customHeight="1">
      <c r="B13" s="72" t="s">
        <v>20</v>
      </c>
      <c r="C13" s="30" t="s">
        <v>504</v>
      </c>
      <c r="D13" s="29">
        <v>5</v>
      </c>
      <c r="E13" s="28">
        <v>2.3169601482854493E-3</v>
      </c>
    </row>
    <row r="14" spans="1:5" ht="15" customHeight="1">
      <c r="B14" s="73"/>
      <c r="C14" s="30" t="s">
        <v>503</v>
      </c>
      <c r="D14" s="29">
        <v>6</v>
      </c>
      <c r="E14" s="28">
        <v>2.7803521779425394E-3</v>
      </c>
    </row>
    <row r="15" spans="1:5" ht="15" customHeight="1">
      <c r="B15" s="74"/>
      <c r="C15" s="27" t="s">
        <v>15</v>
      </c>
      <c r="D15" s="26">
        <v>11</v>
      </c>
      <c r="E15" s="25">
        <v>5.0973123262279887E-3</v>
      </c>
    </row>
    <row r="16" spans="1:5" ht="15" customHeight="1">
      <c r="B16" s="72" t="s">
        <v>19</v>
      </c>
      <c r="C16" s="30" t="s">
        <v>504</v>
      </c>
      <c r="D16" s="29">
        <v>5</v>
      </c>
      <c r="E16" s="28">
        <v>2.3169601482854493E-3</v>
      </c>
    </row>
    <row r="17" spans="2:5" ht="15" customHeight="1">
      <c r="B17" s="73"/>
      <c r="C17" s="30" t="s">
        <v>503</v>
      </c>
      <c r="D17" s="29">
        <v>2</v>
      </c>
      <c r="E17" s="28">
        <v>9.2678405931417981E-4</v>
      </c>
    </row>
    <row r="18" spans="2:5" ht="15" customHeight="1">
      <c r="B18" s="74"/>
      <c r="C18" s="27" t="s">
        <v>15</v>
      </c>
      <c r="D18" s="26">
        <v>7</v>
      </c>
      <c r="E18" s="25">
        <v>3.2437442075996291E-3</v>
      </c>
    </row>
    <row r="19" spans="2:5" ht="15" customHeight="1">
      <c r="B19" s="72" t="s">
        <v>31</v>
      </c>
      <c r="C19" s="30" t="s">
        <v>504</v>
      </c>
      <c r="D19" s="29">
        <v>33</v>
      </c>
      <c r="E19" s="28">
        <v>1.5291936978683966E-2</v>
      </c>
    </row>
    <row r="20" spans="2:5" ht="15" customHeight="1">
      <c r="B20" s="73"/>
      <c r="C20" s="30" t="s">
        <v>503</v>
      </c>
      <c r="D20" s="29">
        <v>11</v>
      </c>
      <c r="E20" s="28">
        <v>5.0973123262279887E-3</v>
      </c>
    </row>
    <row r="21" spans="2:5" ht="15" customHeight="1">
      <c r="B21" s="74"/>
      <c r="C21" s="27" t="s">
        <v>15</v>
      </c>
      <c r="D21" s="26">
        <v>44</v>
      </c>
      <c r="E21" s="25">
        <v>2.0389249304911955E-2</v>
      </c>
    </row>
    <row r="22" spans="2:5" ht="15" customHeight="1">
      <c r="B22" s="72" t="s">
        <v>44</v>
      </c>
      <c r="C22" s="30" t="s">
        <v>504</v>
      </c>
      <c r="D22" s="29">
        <v>100</v>
      </c>
      <c r="E22" s="28">
        <v>4.6339202965708988E-2</v>
      </c>
    </row>
    <row r="23" spans="2:5" ht="15" customHeight="1">
      <c r="B23" s="73"/>
      <c r="C23" s="30" t="s">
        <v>503</v>
      </c>
      <c r="D23" s="29">
        <v>97</v>
      </c>
      <c r="E23" s="28">
        <v>4.494902687673772E-2</v>
      </c>
    </row>
    <row r="24" spans="2:5" ht="15" customHeight="1">
      <c r="B24" s="74"/>
      <c r="C24" s="27" t="s">
        <v>15</v>
      </c>
      <c r="D24" s="26">
        <v>197</v>
      </c>
      <c r="E24" s="25">
        <v>9.1288229842446708E-2</v>
      </c>
    </row>
    <row r="25" spans="2:5" ht="15" customHeight="1">
      <c r="B25" s="72" t="s">
        <v>29</v>
      </c>
      <c r="C25" s="30" t="s">
        <v>504</v>
      </c>
      <c r="D25" s="29">
        <v>17</v>
      </c>
      <c r="E25" s="28">
        <v>7.8776645041705277E-3</v>
      </c>
    </row>
    <row r="26" spans="2:5" ht="15" customHeight="1">
      <c r="B26" s="73"/>
      <c r="C26" s="30" t="s">
        <v>503</v>
      </c>
      <c r="D26" s="29">
        <v>11</v>
      </c>
      <c r="E26" s="28">
        <v>5.0973123262279887E-3</v>
      </c>
    </row>
    <row r="27" spans="2:5" ht="15" customHeight="1">
      <c r="B27" s="74"/>
      <c r="C27" s="27" t="s">
        <v>15</v>
      </c>
      <c r="D27" s="26">
        <v>28</v>
      </c>
      <c r="E27" s="25">
        <v>1.2974976830398516E-2</v>
      </c>
    </row>
    <row r="28" spans="2:5" ht="15" customHeight="1">
      <c r="B28" s="72" t="s">
        <v>21</v>
      </c>
      <c r="C28" s="30" t="s">
        <v>504</v>
      </c>
      <c r="D28" s="29">
        <v>11</v>
      </c>
      <c r="E28" s="28">
        <v>5.0973123262279887E-3</v>
      </c>
    </row>
    <row r="29" spans="2:5" ht="15" customHeight="1">
      <c r="B29" s="73"/>
      <c r="C29" s="30" t="s">
        <v>503</v>
      </c>
      <c r="D29" s="29">
        <v>7</v>
      </c>
      <c r="E29" s="28">
        <v>3.2437442075996291E-3</v>
      </c>
    </row>
    <row r="30" spans="2:5" ht="15" customHeight="1">
      <c r="B30" s="74"/>
      <c r="C30" s="27" t="s">
        <v>15</v>
      </c>
      <c r="D30" s="26">
        <v>18</v>
      </c>
      <c r="E30" s="25">
        <v>8.3410565338276187E-3</v>
      </c>
    </row>
    <row r="31" spans="2:5" ht="15" customHeight="1">
      <c r="B31" s="72" t="s">
        <v>37</v>
      </c>
      <c r="C31" s="30" t="s">
        <v>504</v>
      </c>
      <c r="D31" s="29">
        <v>66</v>
      </c>
      <c r="E31" s="28">
        <v>3.0583873957367932E-2</v>
      </c>
    </row>
    <row r="32" spans="2:5" ht="15" customHeight="1">
      <c r="B32" s="73"/>
      <c r="C32" s="30" t="s">
        <v>503</v>
      </c>
      <c r="D32" s="29">
        <v>30</v>
      </c>
      <c r="E32" s="28">
        <v>1.3901760889712697E-2</v>
      </c>
    </row>
    <row r="33" spans="2:5" ht="15" customHeight="1">
      <c r="B33" s="74"/>
      <c r="C33" s="27" t="s">
        <v>15</v>
      </c>
      <c r="D33" s="26">
        <v>96</v>
      </c>
      <c r="E33" s="25">
        <v>4.4485634847080631E-2</v>
      </c>
    </row>
    <row r="34" spans="2:5" ht="15" customHeight="1">
      <c r="B34" s="72" t="s">
        <v>36</v>
      </c>
      <c r="C34" s="30" t="s">
        <v>504</v>
      </c>
      <c r="D34" s="29">
        <v>50</v>
      </c>
      <c r="E34" s="28">
        <v>2.3169601482854494E-2</v>
      </c>
    </row>
    <row r="35" spans="2:5" ht="15" customHeight="1">
      <c r="B35" s="73"/>
      <c r="C35" s="30" t="s">
        <v>503</v>
      </c>
      <c r="D35" s="29">
        <v>33</v>
      </c>
      <c r="E35" s="28">
        <v>1.5291936978683966E-2</v>
      </c>
    </row>
    <row r="36" spans="2:5" ht="15" customHeight="1">
      <c r="B36" s="74"/>
      <c r="C36" s="27" t="s">
        <v>15</v>
      </c>
      <c r="D36" s="26">
        <v>83</v>
      </c>
      <c r="E36" s="25">
        <v>3.8461538461538464E-2</v>
      </c>
    </row>
    <row r="37" spans="2:5" ht="15" customHeight="1">
      <c r="B37" s="72" t="s">
        <v>41</v>
      </c>
      <c r="C37" s="30" t="s">
        <v>504</v>
      </c>
      <c r="D37" s="29">
        <v>95</v>
      </c>
      <c r="E37" s="28">
        <v>4.4022242817423542E-2</v>
      </c>
    </row>
    <row r="38" spans="2:5" ht="15" customHeight="1">
      <c r="B38" s="73"/>
      <c r="C38" s="30" t="s">
        <v>503</v>
      </c>
      <c r="D38" s="29">
        <v>48</v>
      </c>
      <c r="E38" s="28">
        <v>2.2242817423540315E-2</v>
      </c>
    </row>
    <row r="39" spans="2:5" ht="15" customHeight="1">
      <c r="B39" s="74"/>
      <c r="C39" s="27" t="s">
        <v>15</v>
      </c>
      <c r="D39" s="26">
        <v>143</v>
      </c>
      <c r="E39" s="25">
        <v>6.6265060240963861E-2</v>
      </c>
    </row>
    <row r="40" spans="2:5" ht="15" customHeight="1">
      <c r="B40" s="72" t="s">
        <v>40</v>
      </c>
      <c r="C40" s="30" t="s">
        <v>504</v>
      </c>
      <c r="D40" s="29">
        <v>122</v>
      </c>
      <c r="E40" s="28">
        <v>5.6533827618164965E-2</v>
      </c>
    </row>
    <row r="41" spans="2:5" ht="15" customHeight="1">
      <c r="B41" s="73"/>
      <c r="C41" s="30" t="s">
        <v>503</v>
      </c>
      <c r="D41" s="29">
        <v>53</v>
      </c>
      <c r="E41" s="28">
        <v>2.4559777571825765E-2</v>
      </c>
    </row>
    <row r="42" spans="2:5" ht="15" customHeight="1">
      <c r="B42" s="74"/>
      <c r="C42" s="27" t="s">
        <v>15</v>
      </c>
      <c r="D42" s="26">
        <v>175</v>
      </c>
      <c r="E42" s="25">
        <v>8.1093605189990731E-2</v>
      </c>
    </row>
    <row r="43" spans="2:5" ht="15" customHeight="1">
      <c r="B43" s="72" t="s">
        <v>43</v>
      </c>
      <c r="C43" s="30" t="s">
        <v>504</v>
      </c>
      <c r="D43" s="29">
        <v>90</v>
      </c>
      <c r="E43" s="28">
        <v>4.1705282669138088E-2</v>
      </c>
    </row>
    <row r="44" spans="2:5" ht="15" customHeight="1">
      <c r="B44" s="73"/>
      <c r="C44" s="30" t="s">
        <v>503</v>
      </c>
      <c r="D44" s="29">
        <v>59</v>
      </c>
      <c r="E44" s="28">
        <v>2.7340129749768304E-2</v>
      </c>
    </row>
    <row r="45" spans="2:5" ht="15" customHeight="1">
      <c r="B45" s="74"/>
      <c r="C45" s="27" t="s">
        <v>15</v>
      </c>
      <c r="D45" s="26">
        <v>149</v>
      </c>
      <c r="E45" s="25">
        <v>6.9045412418906396E-2</v>
      </c>
    </row>
    <row r="46" spans="2:5" ht="15" customHeight="1">
      <c r="B46" s="72" t="s">
        <v>32</v>
      </c>
      <c r="C46" s="30" t="s">
        <v>504</v>
      </c>
      <c r="D46" s="29">
        <v>58</v>
      </c>
      <c r="E46" s="28">
        <v>2.6876737720111215E-2</v>
      </c>
    </row>
    <row r="47" spans="2:5" ht="15" customHeight="1">
      <c r="B47" s="73"/>
      <c r="C47" s="30" t="s">
        <v>503</v>
      </c>
      <c r="D47" s="29">
        <v>26</v>
      </c>
      <c r="E47" s="28">
        <v>1.2048192771084338E-2</v>
      </c>
    </row>
    <row r="48" spans="2:5" ht="15" customHeight="1">
      <c r="B48" s="74"/>
      <c r="C48" s="27" t="s">
        <v>15</v>
      </c>
      <c r="D48" s="26">
        <v>84</v>
      </c>
      <c r="E48" s="25">
        <v>3.8924930491195553E-2</v>
      </c>
    </row>
    <row r="49" spans="2:5" ht="15" customHeight="1">
      <c r="B49" s="72" t="s">
        <v>38</v>
      </c>
      <c r="C49" s="30" t="s">
        <v>504</v>
      </c>
      <c r="D49" s="29">
        <v>73</v>
      </c>
      <c r="E49" s="28">
        <v>3.3827618164967564E-2</v>
      </c>
    </row>
    <row r="50" spans="2:5" ht="15" customHeight="1">
      <c r="B50" s="73"/>
      <c r="C50" s="30" t="s">
        <v>503</v>
      </c>
      <c r="D50" s="29">
        <v>55</v>
      </c>
      <c r="E50" s="28">
        <v>2.5486561631139944E-2</v>
      </c>
    </row>
    <row r="51" spans="2:5" ht="15" customHeight="1">
      <c r="B51" s="74"/>
      <c r="C51" s="27" t="s">
        <v>15</v>
      </c>
      <c r="D51" s="26">
        <v>128</v>
      </c>
      <c r="E51" s="25">
        <v>5.9314179796107508E-2</v>
      </c>
    </row>
    <row r="52" spans="2:5" ht="15" customHeight="1">
      <c r="B52" s="72" t="s">
        <v>45</v>
      </c>
      <c r="C52" s="30" t="s">
        <v>504</v>
      </c>
      <c r="D52" s="29">
        <v>124</v>
      </c>
      <c r="E52" s="28">
        <v>5.7460611677479144E-2</v>
      </c>
    </row>
    <row r="53" spans="2:5" ht="15" customHeight="1">
      <c r="B53" s="73"/>
      <c r="C53" s="30" t="s">
        <v>503</v>
      </c>
      <c r="D53" s="29">
        <v>99</v>
      </c>
      <c r="E53" s="28">
        <v>4.5875810936051899E-2</v>
      </c>
    </row>
    <row r="54" spans="2:5" ht="15" customHeight="1">
      <c r="B54" s="74"/>
      <c r="C54" s="27" t="s">
        <v>15</v>
      </c>
      <c r="D54" s="26">
        <v>223</v>
      </c>
      <c r="E54" s="25">
        <v>0.10333642261353104</v>
      </c>
    </row>
    <row r="55" spans="2:5" ht="15" customHeight="1">
      <c r="B55" s="72" t="s">
        <v>27</v>
      </c>
      <c r="C55" s="30" t="s">
        <v>504</v>
      </c>
      <c r="D55" s="29">
        <v>23</v>
      </c>
      <c r="E55" s="28">
        <v>1.0658016682113068E-2</v>
      </c>
    </row>
    <row r="56" spans="2:5" ht="15" customHeight="1">
      <c r="B56" s="73"/>
      <c r="C56" s="30" t="s">
        <v>503</v>
      </c>
      <c r="D56" s="29">
        <v>15</v>
      </c>
      <c r="E56" s="28">
        <v>6.9508804448563484E-3</v>
      </c>
    </row>
    <row r="57" spans="2:5" ht="15" customHeight="1">
      <c r="B57" s="74"/>
      <c r="C57" s="27" t="s">
        <v>15</v>
      </c>
      <c r="D57" s="26">
        <v>38</v>
      </c>
      <c r="E57" s="25">
        <v>1.7608897126969416E-2</v>
      </c>
    </row>
    <row r="58" spans="2:5" ht="15" customHeight="1">
      <c r="B58" s="72" t="s">
        <v>18</v>
      </c>
      <c r="C58" s="30" t="s">
        <v>504</v>
      </c>
      <c r="D58" s="29">
        <v>7</v>
      </c>
      <c r="E58" s="28">
        <v>3.2437442075996291E-3</v>
      </c>
    </row>
    <row r="59" spans="2:5" ht="15" customHeight="1">
      <c r="B59" s="73"/>
      <c r="C59" s="30" t="s">
        <v>503</v>
      </c>
      <c r="D59" s="29">
        <v>2</v>
      </c>
      <c r="E59" s="28">
        <v>9.2678405931417981E-4</v>
      </c>
    </row>
    <row r="60" spans="2:5" ht="15" customHeight="1">
      <c r="B60" s="74"/>
      <c r="C60" s="27" t="s">
        <v>15</v>
      </c>
      <c r="D60" s="26">
        <v>9</v>
      </c>
      <c r="E60" s="25">
        <v>4.1705282669138094E-3</v>
      </c>
    </row>
    <row r="61" spans="2:5" ht="15" customHeight="1">
      <c r="B61" s="72" t="s">
        <v>26</v>
      </c>
      <c r="C61" s="30" t="s">
        <v>504</v>
      </c>
      <c r="D61" s="29">
        <v>14</v>
      </c>
      <c r="E61" s="28">
        <v>6.4874884151992582E-3</v>
      </c>
    </row>
    <row r="62" spans="2:5" ht="15" customHeight="1">
      <c r="B62" s="73"/>
      <c r="C62" s="30" t="s">
        <v>503</v>
      </c>
      <c r="D62" s="29">
        <v>14</v>
      </c>
      <c r="E62" s="28">
        <v>6.4874884151992582E-3</v>
      </c>
    </row>
    <row r="63" spans="2:5" ht="15" customHeight="1">
      <c r="B63" s="74"/>
      <c r="C63" s="27" t="s">
        <v>15</v>
      </c>
      <c r="D63" s="26">
        <v>28</v>
      </c>
      <c r="E63" s="25">
        <v>1.2974976830398516E-2</v>
      </c>
    </row>
    <row r="64" spans="2:5" ht="15" customHeight="1">
      <c r="B64" s="72" t="s">
        <v>42</v>
      </c>
      <c r="C64" s="30" t="s">
        <v>504</v>
      </c>
      <c r="D64" s="29">
        <v>100</v>
      </c>
      <c r="E64" s="28">
        <v>4.6339202965708988E-2</v>
      </c>
    </row>
    <row r="65" spans="2:5" ht="15" customHeight="1">
      <c r="B65" s="73"/>
      <c r="C65" s="30" t="s">
        <v>503</v>
      </c>
      <c r="D65" s="29">
        <v>66</v>
      </c>
      <c r="E65" s="28">
        <v>3.0583873957367932E-2</v>
      </c>
    </row>
    <row r="66" spans="2:5" ht="15" customHeight="1">
      <c r="B66" s="74"/>
      <c r="C66" s="27" t="s">
        <v>15</v>
      </c>
      <c r="D66" s="26">
        <v>166</v>
      </c>
      <c r="E66" s="25">
        <v>7.6923076923076927E-2</v>
      </c>
    </row>
    <row r="67" spans="2:5" ht="15" customHeight="1">
      <c r="B67" s="72" t="s">
        <v>35</v>
      </c>
      <c r="C67" s="30" t="s">
        <v>504</v>
      </c>
      <c r="D67" s="29">
        <v>52</v>
      </c>
      <c r="E67" s="28">
        <v>2.4096385542168676E-2</v>
      </c>
    </row>
    <row r="68" spans="2:5" ht="15" customHeight="1">
      <c r="B68" s="73"/>
      <c r="C68" s="30" t="s">
        <v>503</v>
      </c>
      <c r="D68" s="29">
        <v>24</v>
      </c>
      <c r="E68" s="28">
        <v>1.1121408711770158E-2</v>
      </c>
    </row>
    <row r="69" spans="2:5" ht="15" customHeight="1">
      <c r="B69" s="74"/>
      <c r="C69" s="27" t="s">
        <v>15</v>
      </c>
      <c r="D69" s="26">
        <v>76</v>
      </c>
      <c r="E69" s="25">
        <v>3.5217794253938832E-2</v>
      </c>
    </row>
    <row r="70" spans="2:5" ht="15" customHeight="1">
      <c r="B70" s="72" t="s">
        <v>24</v>
      </c>
      <c r="C70" s="30" t="s">
        <v>504</v>
      </c>
      <c r="D70" s="29">
        <v>11</v>
      </c>
      <c r="E70" s="28">
        <v>5.0973123262279887E-3</v>
      </c>
    </row>
    <row r="71" spans="2:5" ht="15" customHeight="1">
      <c r="B71" s="73"/>
      <c r="C71" s="30" t="s">
        <v>503</v>
      </c>
      <c r="D71" s="29">
        <v>6</v>
      </c>
      <c r="E71" s="28">
        <v>2.7803521779425394E-3</v>
      </c>
    </row>
    <row r="72" spans="2:5" ht="15" customHeight="1">
      <c r="B72" s="74"/>
      <c r="C72" s="27" t="s">
        <v>15</v>
      </c>
      <c r="D72" s="26">
        <v>17</v>
      </c>
      <c r="E72" s="25">
        <v>7.8776645041705277E-3</v>
      </c>
    </row>
    <row r="73" spans="2:5" ht="15" customHeight="1">
      <c r="B73" s="72" t="s">
        <v>33</v>
      </c>
      <c r="C73" s="30" t="s">
        <v>504</v>
      </c>
      <c r="D73" s="29">
        <v>31</v>
      </c>
      <c r="E73" s="28">
        <v>1.4365152919369786E-2</v>
      </c>
    </row>
    <row r="74" spans="2:5" ht="15" customHeight="1">
      <c r="B74" s="73"/>
      <c r="C74" s="30" t="s">
        <v>503</v>
      </c>
      <c r="D74" s="29">
        <v>14</v>
      </c>
      <c r="E74" s="28">
        <v>6.4874884151992582E-3</v>
      </c>
    </row>
    <row r="75" spans="2:5" ht="15" customHeight="1">
      <c r="B75" s="74"/>
      <c r="C75" s="27" t="s">
        <v>15</v>
      </c>
      <c r="D75" s="26">
        <v>45</v>
      </c>
      <c r="E75" s="25">
        <v>2.0852641334569044E-2</v>
      </c>
    </row>
    <row r="76" spans="2:5" ht="15" customHeight="1">
      <c r="B76" s="72" t="s">
        <v>23</v>
      </c>
      <c r="C76" s="30" t="s">
        <v>504</v>
      </c>
      <c r="D76" s="29">
        <v>16</v>
      </c>
      <c r="E76" s="28">
        <v>7.4142724745134385E-3</v>
      </c>
    </row>
    <row r="77" spans="2:5" ht="15" customHeight="1">
      <c r="B77" s="73"/>
      <c r="C77" s="30" t="s">
        <v>503</v>
      </c>
      <c r="D77" s="29">
        <v>10</v>
      </c>
      <c r="E77" s="28">
        <v>4.6339202965708986E-3</v>
      </c>
    </row>
    <row r="78" spans="2:5" ht="15" customHeight="1">
      <c r="B78" s="74"/>
      <c r="C78" s="27" t="s">
        <v>15</v>
      </c>
      <c r="D78" s="26">
        <v>26</v>
      </c>
      <c r="E78" s="25">
        <v>1.2048192771084338E-2</v>
      </c>
    </row>
    <row r="79" spans="2:5" ht="15" customHeight="1">
      <c r="B79" s="72" t="s">
        <v>17</v>
      </c>
      <c r="C79" s="30" t="s">
        <v>504</v>
      </c>
      <c r="D79" s="29">
        <v>3</v>
      </c>
      <c r="E79" s="28">
        <v>1.3901760889712697E-3</v>
      </c>
    </row>
    <row r="80" spans="2:5" ht="15" customHeight="1">
      <c r="B80" s="73"/>
      <c r="C80" s="30" t="s">
        <v>503</v>
      </c>
      <c r="D80" s="29">
        <v>5</v>
      </c>
      <c r="E80" s="28">
        <v>2.3169601482854493E-3</v>
      </c>
    </row>
    <row r="81" spans="2:5" ht="15" customHeight="1">
      <c r="B81" s="74"/>
      <c r="C81" s="27" t="s">
        <v>15</v>
      </c>
      <c r="D81" s="26">
        <v>8</v>
      </c>
      <c r="E81" s="25">
        <v>3.7071362372567192E-3</v>
      </c>
    </row>
    <row r="82" spans="2:5" ht="15" customHeight="1">
      <c r="B82" s="72" t="s">
        <v>22</v>
      </c>
      <c r="C82" s="30" t="s">
        <v>504</v>
      </c>
      <c r="D82" s="29">
        <v>13</v>
      </c>
      <c r="E82" s="28">
        <v>6.024096385542169E-3</v>
      </c>
    </row>
    <row r="83" spans="2:5" ht="15" customHeight="1">
      <c r="B83" s="73"/>
      <c r="C83" s="30" t="s">
        <v>503</v>
      </c>
      <c r="D83" s="29">
        <v>9</v>
      </c>
      <c r="E83" s="28">
        <v>4.1705282669138094E-3</v>
      </c>
    </row>
    <row r="84" spans="2:5" ht="15" customHeight="1">
      <c r="B84" s="74"/>
      <c r="C84" s="27" t="s">
        <v>15</v>
      </c>
      <c r="D84" s="26">
        <v>22</v>
      </c>
      <c r="E84" s="25">
        <v>1.0194624652455977E-2</v>
      </c>
    </row>
    <row r="85" spans="2:5" ht="15" customHeight="1">
      <c r="B85" s="72" t="s">
        <v>30</v>
      </c>
      <c r="C85" s="30" t="s">
        <v>504</v>
      </c>
      <c r="D85" s="29">
        <v>27</v>
      </c>
      <c r="E85" s="28">
        <v>1.2511584800741427E-2</v>
      </c>
    </row>
    <row r="86" spans="2:5" ht="15" customHeight="1">
      <c r="B86" s="73"/>
      <c r="C86" s="30" t="s">
        <v>503</v>
      </c>
      <c r="D86" s="29">
        <v>19</v>
      </c>
      <c r="E86" s="28">
        <v>8.804448563484708E-3</v>
      </c>
    </row>
    <row r="87" spans="2:5" ht="15" customHeight="1">
      <c r="B87" s="74"/>
      <c r="C87" s="27" t="s">
        <v>15</v>
      </c>
      <c r="D87" s="26">
        <v>46</v>
      </c>
      <c r="E87" s="25">
        <v>2.1316033364226137E-2</v>
      </c>
    </row>
    <row r="88" spans="2:5" ht="15" customHeight="1">
      <c r="B88" s="72" t="s">
        <v>28</v>
      </c>
      <c r="C88" s="30" t="s">
        <v>504</v>
      </c>
      <c r="D88" s="29">
        <v>25</v>
      </c>
      <c r="E88" s="28">
        <v>1.1584800741427247E-2</v>
      </c>
    </row>
    <row r="89" spans="2:5" ht="15" customHeight="1">
      <c r="B89" s="73"/>
      <c r="C89" s="30" t="s">
        <v>503</v>
      </c>
      <c r="D89" s="29">
        <v>18</v>
      </c>
      <c r="E89" s="28">
        <v>8.3410565338276187E-3</v>
      </c>
    </row>
    <row r="90" spans="2:5" ht="15" customHeight="1">
      <c r="B90" s="74"/>
      <c r="C90" s="27" t="s">
        <v>15</v>
      </c>
      <c r="D90" s="26">
        <v>43</v>
      </c>
      <c r="E90" s="25">
        <v>1.9925857275254866E-2</v>
      </c>
    </row>
    <row r="91" spans="2:5" ht="15" customHeight="1">
      <c r="B91" s="72" t="s">
        <v>39</v>
      </c>
      <c r="C91" s="30" t="s">
        <v>504</v>
      </c>
      <c r="D91" s="29">
        <v>104</v>
      </c>
      <c r="E91" s="28">
        <v>4.8192771084337352E-2</v>
      </c>
    </row>
    <row r="92" spans="2:5" ht="15" customHeight="1">
      <c r="B92" s="73"/>
      <c r="C92" s="30" t="s">
        <v>503</v>
      </c>
      <c r="D92" s="29">
        <v>56</v>
      </c>
      <c r="E92" s="28">
        <v>2.5949953660797033E-2</v>
      </c>
    </row>
    <row r="93" spans="2:5" ht="15" customHeight="1">
      <c r="B93" s="74"/>
      <c r="C93" s="27" t="s">
        <v>15</v>
      </c>
      <c r="D93" s="26">
        <v>160</v>
      </c>
      <c r="E93" s="25">
        <v>7.4142724745134378E-2</v>
      </c>
    </row>
    <row r="94" spans="2:5" ht="15" customHeight="1">
      <c r="B94" s="72" t="s">
        <v>16</v>
      </c>
      <c r="C94" s="30" t="s">
        <v>504</v>
      </c>
      <c r="D94" s="29">
        <v>1</v>
      </c>
      <c r="E94" s="28">
        <v>4.6339202965708991E-4</v>
      </c>
    </row>
    <row r="95" spans="2:5" ht="15" customHeight="1">
      <c r="B95" s="73"/>
      <c r="C95" s="30" t="s">
        <v>503</v>
      </c>
      <c r="D95" s="29">
        <v>1</v>
      </c>
      <c r="E95" s="28">
        <v>4.6339202965708991E-4</v>
      </c>
    </row>
    <row r="96" spans="2:5" ht="15" customHeight="1">
      <c r="B96" s="74"/>
      <c r="C96" s="27" t="s">
        <v>15</v>
      </c>
      <c r="D96" s="26">
        <v>2</v>
      </c>
      <c r="E96" s="25">
        <v>9.2678405931417981E-4</v>
      </c>
    </row>
    <row r="97" spans="2:6" ht="15" customHeight="1">
      <c r="B97" s="72" t="s">
        <v>34</v>
      </c>
      <c r="C97" s="30" t="s">
        <v>504</v>
      </c>
      <c r="D97" s="29">
        <v>43</v>
      </c>
      <c r="E97" s="28">
        <v>1.9925857275254866E-2</v>
      </c>
    </row>
    <row r="98" spans="2:6" ht="15" customHeight="1">
      <c r="B98" s="73"/>
      <c r="C98" s="30" t="s">
        <v>503</v>
      </c>
      <c r="D98" s="29">
        <v>25</v>
      </c>
      <c r="E98" s="28">
        <v>1.1584800741427247E-2</v>
      </c>
    </row>
    <row r="99" spans="2:6" ht="15" customHeight="1">
      <c r="B99" s="74"/>
      <c r="C99" s="27" t="s">
        <v>15</v>
      </c>
      <c r="D99" s="26">
        <v>68</v>
      </c>
      <c r="E99" s="25">
        <v>3.1510658016682111E-2</v>
      </c>
    </row>
    <row r="100" spans="2:6" ht="15" customHeight="1">
      <c r="B100" s="75" t="s">
        <v>15</v>
      </c>
      <c r="C100" s="76"/>
      <c r="D100" s="24">
        <f>SUMIF(C10:C99,"TOTAL",D10:D99)</f>
        <v>2158</v>
      </c>
      <c r="E100" s="23">
        <v>1</v>
      </c>
    </row>
    <row r="102" spans="2:6" ht="15" customHeight="1">
      <c r="B102" s="2"/>
      <c r="C102" s="4" t="s">
        <v>537</v>
      </c>
      <c r="D102"/>
      <c r="E102"/>
      <c r="F102" s="2"/>
    </row>
    <row r="103" spans="2:6" ht="15" customHeight="1">
      <c r="B103" s="2"/>
      <c r="C103" s="6" t="s">
        <v>14</v>
      </c>
      <c r="D103"/>
      <c r="E103"/>
      <c r="F103" s="2"/>
    </row>
    <row r="104" spans="2:6" ht="15" customHeight="1">
      <c r="B104" s="2"/>
      <c r="C104" s="5" t="s">
        <v>13</v>
      </c>
      <c r="D104"/>
      <c r="E104"/>
      <c r="F104" s="2"/>
    </row>
    <row r="105" spans="2:6" ht="15" customHeight="1">
      <c r="B105" s="2"/>
      <c r="C105" s="4" t="s">
        <v>12</v>
      </c>
      <c r="D105"/>
      <c r="E105"/>
      <c r="F105" s="2"/>
    </row>
    <row r="106" spans="2:6" ht="15" customHeight="1">
      <c r="B106" s="2"/>
      <c r="C106" s="4" t="s">
        <v>538</v>
      </c>
      <c r="D106"/>
      <c r="E106"/>
      <c r="F106" s="2"/>
    </row>
    <row r="377" spans="2:2" s="22" customFormat="1" ht="15" customHeight="1">
      <c r="B377" s="44"/>
    </row>
    <row r="378" spans="2:2" s="22" customFormat="1" ht="15" customHeight="1">
      <c r="B378" s="45"/>
    </row>
    <row r="379" spans="2:2" s="22" customFormat="1" ht="15" customHeight="1">
      <c r="B379" s="45"/>
    </row>
    <row r="380" spans="2:2" s="22" customFormat="1" ht="15" customHeight="1">
      <c r="B380" s="44"/>
    </row>
    <row r="381" spans="2:2" s="22" customFormat="1" ht="15" customHeight="1">
      <c r="B381" s="44"/>
    </row>
  </sheetData>
  <mergeCells count="32">
    <mergeCell ref="B7:E8"/>
    <mergeCell ref="B73:B75"/>
    <mergeCell ref="B97:B99"/>
    <mergeCell ref="B25:B27"/>
    <mergeCell ref="B28:B30"/>
    <mergeCell ref="B31:B33"/>
    <mergeCell ref="B34:B36"/>
    <mergeCell ref="B37:B39"/>
    <mergeCell ref="B40:B42"/>
    <mergeCell ref="B43:B45"/>
    <mergeCell ref="B46:B48"/>
    <mergeCell ref="B58:B60"/>
    <mergeCell ref="B61:B63"/>
    <mergeCell ref="B64:B66"/>
    <mergeCell ref="B67:B69"/>
    <mergeCell ref="B70:B72"/>
    <mergeCell ref="B100:C100"/>
    <mergeCell ref="B10:B12"/>
    <mergeCell ref="B13:B15"/>
    <mergeCell ref="B16:B18"/>
    <mergeCell ref="B19:B21"/>
    <mergeCell ref="B22:B24"/>
    <mergeCell ref="B76:B78"/>
    <mergeCell ref="B79:B81"/>
    <mergeCell ref="B82:B84"/>
    <mergeCell ref="B85:B87"/>
    <mergeCell ref="B88:B90"/>
    <mergeCell ref="B91:B93"/>
    <mergeCell ref="B94:B96"/>
    <mergeCell ref="B49:B51"/>
    <mergeCell ref="B52:B54"/>
    <mergeCell ref="B55:B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topLeftCell="A11" zoomScale="145" zoomScaleNormal="145" zoomScaleSheetLayoutView="100" workbookViewId="0">
      <selection activeCell="C25" sqref="C25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>
      <c r="B1" s="42"/>
      <c r="C1" s="41"/>
      <c r="D1" s="41"/>
      <c r="E1" s="41"/>
    </row>
    <row r="2" spans="1:5" s="38" customFormat="1" ht="15" customHeight="1">
      <c r="C2" s="40"/>
    </row>
    <row r="3" spans="1:5" s="38" customFormat="1" ht="15" customHeight="1">
      <c r="C3" s="40"/>
    </row>
    <row r="4" spans="1:5" s="38" customFormat="1" ht="30" customHeight="1">
      <c r="C4" s="40"/>
      <c r="D4" s="39"/>
    </row>
    <row r="5" spans="1:5" s="38" customFormat="1" ht="15" customHeight="1">
      <c r="C5" s="40"/>
      <c r="D5" s="39"/>
    </row>
    <row r="6" spans="1:5" s="35" customFormat="1" ht="24" customHeight="1">
      <c r="B6" s="37"/>
      <c r="C6" s="31"/>
      <c r="D6" s="31"/>
      <c r="E6" s="31"/>
    </row>
    <row r="7" spans="1:5" s="35" customFormat="1" ht="26.25" customHeight="1">
      <c r="A7" s="36"/>
      <c r="B7" s="77"/>
      <c r="C7" s="77"/>
      <c r="D7" s="77"/>
      <c r="E7" s="77"/>
    </row>
    <row r="8" spans="1:5" s="35" customFormat="1" ht="33" customHeight="1">
      <c r="A8" s="36"/>
      <c r="B8" s="77"/>
      <c r="C8" s="77"/>
      <c r="D8" s="77"/>
      <c r="E8" s="77"/>
    </row>
    <row r="9" spans="1:5" s="14" customFormat="1" ht="40.5" customHeight="1">
      <c r="B9" s="32" t="s">
        <v>502</v>
      </c>
      <c r="C9" s="34" t="s">
        <v>513</v>
      </c>
      <c r="D9" s="33" t="s">
        <v>47</v>
      </c>
      <c r="E9" s="32" t="s">
        <v>46</v>
      </c>
    </row>
    <row r="10" spans="1:5" ht="15" customHeight="1">
      <c r="B10" s="72" t="s">
        <v>504</v>
      </c>
      <c r="C10" s="30" t="s">
        <v>512</v>
      </c>
      <c r="D10" s="29">
        <v>3</v>
      </c>
      <c r="E10" s="28">
        <v>1.3901760889712697E-3</v>
      </c>
    </row>
    <row r="11" spans="1:5" ht="15" customHeight="1">
      <c r="B11" s="73"/>
      <c r="C11" s="30" t="s">
        <v>511</v>
      </c>
      <c r="D11" s="29">
        <v>16</v>
      </c>
      <c r="E11" s="28">
        <v>7.4142724745134385E-3</v>
      </c>
    </row>
    <row r="12" spans="1:5" ht="15" customHeight="1">
      <c r="B12" s="73"/>
      <c r="C12" s="30" t="s">
        <v>510</v>
      </c>
      <c r="D12" s="29">
        <v>271</v>
      </c>
      <c r="E12" s="28">
        <v>0.12557924003707135</v>
      </c>
    </row>
    <row r="13" spans="1:5" ht="15" customHeight="1">
      <c r="B13" s="73"/>
      <c r="C13" s="30" t="s">
        <v>509</v>
      </c>
      <c r="D13" s="29">
        <v>473</v>
      </c>
      <c r="E13" s="28">
        <v>0.21918443002780352</v>
      </c>
    </row>
    <row r="14" spans="1:5" ht="15" customHeight="1">
      <c r="B14" s="73"/>
      <c r="C14" s="30" t="s">
        <v>508</v>
      </c>
      <c r="D14" s="29">
        <v>396</v>
      </c>
      <c r="E14" s="28">
        <v>0.18350324374420759</v>
      </c>
    </row>
    <row r="15" spans="1:5" ht="15" customHeight="1">
      <c r="B15" s="73"/>
      <c r="C15" s="30" t="s">
        <v>507</v>
      </c>
      <c r="D15" s="29">
        <v>154</v>
      </c>
      <c r="E15" s="28">
        <v>7.1362372567191842E-2</v>
      </c>
    </row>
    <row r="16" spans="1:5" ht="15" customHeight="1">
      <c r="B16" s="73"/>
      <c r="C16" s="30" t="s">
        <v>506</v>
      </c>
      <c r="D16" s="29">
        <v>16</v>
      </c>
      <c r="E16" s="28">
        <v>7.4142724745134385E-3</v>
      </c>
    </row>
    <row r="17" spans="2:6" ht="15" customHeight="1">
      <c r="B17" s="74"/>
      <c r="C17" s="30" t="s">
        <v>505</v>
      </c>
      <c r="D17" s="29">
        <v>2</v>
      </c>
      <c r="E17" s="28">
        <v>9.2678405931417981E-4</v>
      </c>
    </row>
    <row r="18" spans="2:6" ht="15" customHeight="1">
      <c r="B18" s="72" t="s">
        <v>503</v>
      </c>
      <c r="C18" s="30" t="s">
        <v>512</v>
      </c>
      <c r="D18" s="29">
        <v>4</v>
      </c>
      <c r="E18" s="28">
        <v>1.8535681186283596E-3</v>
      </c>
    </row>
    <row r="19" spans="2:6" ht="15" customHeight="1">
      <c r="B19" s="73"/>
      <c r="C19" s="30" t="s">
        <v>511</v>
      </c>
      <c r="D19" s="29">
        <v>14</v>
      </c>
      <c r="E19" s="28">
        <v>6.4874884151992582E-3</v>
      </c>
    </row>
    <row r="20" spans="2:6" ht="15" customHeight="1">
      <c r="B20" s="73"/>
      <c r="C20" s="30" t="s">
        <v>510</v>
      </c>
      <c r="D20" s="29">
        <v>110</v>
      </c>
      <c r="E20" s="28">
        <v>5.0973123262279887E-2</v>
      </c>
    </row>
    <row r="21" spans="2:6" ht="15" customHeight="1">
      <c r="B21" s="73"/>
      <c r="C21" s="30" t="s">
        <v>509</v>
      </c>
      <c r="D21" s="29">
        <v>287</v>
      </c>
      <c r="E21" s="28">
        <v>0.13299351251158481</v>
      </c>
    </row>
    <row r="22" spans="2:6" ht="15" customHeight="1">
      <c r="B22" s="73"/>
      <c r="C22" s="30" t="s">
        <v>508</v>
      </c>
      <c r="D22" s="29">
        <v>276</v>
      </c>
      <c r="E22" s="28">
        <v>0.1278962001853568</v>
      </c>
    </row>
    <row r="23" spans="2:6" ht="15" customHeight="1">
      <c r="B23" s="73"/>
      <c r="C23" s="30" t="s">
        <v>507</v>
      </c>
      <c r="D23" s="29">
        <v>124</v>
      </c>
      <c r="E23" s="28">
        <v>5.7460611677479144E-2</v>
      </c>
    </row>
    <row r="24" spans="2:6" ht="15" customHeight="1">
      <c r="B24" s="73"/>
      <c r="C24" s="30" t="s">
        <v>506</v>
      </c>
      <c r="D24" s="29">
        <v>9</v>
      </c>
      <c r="E24" s="28">
        <v>4.1705282669138094E-3</v>
      </c>
    </row>
    <row r="25" spans="2:6" ht="15" customHeight="1">
      <c r="B25" s="74"/>
      <c r="C25" s="30" t="s">
        <v>505</v>
      </c>
      <c r="D25" s="29">
        <v>3</v>
      </c>
      <c r="E25" s="28">
        <v>1.3901760889712697E-3</v>
      </c>
    </row>
    <row r="26" spans="2:6" ht="15" customHeight="1">
      <c r="B26" s="75" t="s">
        <v>15</v>
      </c>
      <c r="C26" s="76"/>
      <c r="D26" s="24">
        <v>2158</v>
      </c>
      <c r="E26" s="23">
        <v>1</v>
      </c>
    </row>
    <row r="28" spans="2:6" ht="15" customHeight="1">
      <c r="B28" s="2"/>
      <c r="C28" s="4" t="s">
        <v>537</v>
      </c>
      <c r="D28"/>
      <c r="E28"/>
      <c r="F28" s="2"/>
    </row>
    <row r="29" spans="2:6" ht="15" customHeight="1">
      <c r="B29" s="2"/>
      <c r="C29" s="6" t="s">
        <v>14</v>
      </c>
      <c r="D29"/>
      <c r="E29"/>
      <c r="F29" s="2"/>
    </row>
    <row r="30" spans="2:6" ht="15" customHeight="1">
      <c r="B30" s="2"/>
      <c r="C30" s="5" t="s">
        <v>13</v>
      </c>
      <c r="D30"/>
      <c r="E30"/>
      <c r="F30" s="2"/>
    </row>
    <row r="31" spans="2:6" ht="15" customHeight="1">
      <c r="B31" s="2"/>
      <c r="C31" s="4" t="s">
        <v>12</v>
      </c>
      <c r="D31"/>
      <c r="E31"/>
      <c r="F31" s="2"/>
    </row>
    <row r="32" spans="2:6" ht="15" customHeight="1">
      <c r="B32" s="2"/>
      <c r="C32" s="4" t="s">
        <v>538</v>
      </c>
      <c r="D32"/>
      <c r="E32"/>
      <c r="F32" s="2"/>
    </row>
    <row r="457" spans="2:2" s="22" customFormat="1" ht="15" customHeight="1">
      <c r="B457" s="44"/>
    </row>
    <row r="458" spans="2:2" s="22" customFormat="1" ht="15" customHeight="1">
      <c r="B458" s="45"/>
    </row>
    <row r="459" spans="2:2" s="22" customFormat="1" ht="15" customHeight="1">
      <c r="B459" s="45"/>
    </row>
    <row r="460" spans="2:2" s="22" customFormat="1" ht="15" customHeight="1">
      <c r="B460" s="44"/>
    </row>
    <row r="461" spans="2:2" s="22" customFormat="1" ht="15" customHeight="1">
      <c r="B461" s="44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5"/>
  <sheetViews>
    <sheetView showGridLines="0" tabSelected="1" zoomScale="130" zoomScaleNormal="130" zoomScaleSheetLayoutView="115" workbookViewId="0">
      <selection activeCell="F21" sqref="F21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1" t="s">
        <v>700</v>
      </c>
      <c r="C7" s="71"/>
      <c r="D7" s="71"/>
    </row>
    <row r="8" spans="1:5" s="14" customFormat="1" ht="15" customHeight="1">
      <c r="B8" s="71"/>
      <c r="C8" s="71"/>
      <c r="D8" s="71"/>
    </row>
    <row r="9" spans="1:5" s="14" customFormat="1" ht="33" customHeight="1">
      <c r="B9" s="71"/>
      <c r="C9" s="71"/>
      <c r="D9" s="71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530</v>
      </c>
      <c r="C11" s="16" t="s">
        <v>47</v>
      </c>
      <c r="D11" s="15" t="s">
        <v>46</v>
      </c>
    </row>
    <row r="12" spans="1:5">
      <c r="B12" s="12" t="s">
        <v>529</v>
      </c>
      <c r="C12" s="11">
        <v>1174</v>
      </c>
      <c r="D12" s="10">
        <v>0.54402224281742351</v>
      </c>
    </row>
    <row r="13" spans="1:5">
      <c r="B13" s="12" t="s">
        <v>528</v>
      </c>
      <c r="C13" s="11">
        <v>443</v>
      </c>
      <c r="D13" s="10">
        <v>0.20528266913809082</v>
      </c>
    </row>
    <row r="14" spans="1:5">
      <c r="A14" s="13"/>
      <c r="B14" s="12" t="s">
        <v>527</v>
      </c>
      <c r="C14" s="11">
        <v>165</v>
      </c>
      <c r="D14" s="10">
        <v>7.6459684893419838E-2</v>
      </c>
      <c r="E14" s="13"/>
    </row>
    <row r="15" spans="1:5">
      <c r="A15" s="13"/>
      <c r="B15" s="12" t="s">
        <v>526</v>
      </c>
      <c r="C15" s="11">
        <v>124</v>
      </c>
      <c r="D15" s="10">
        <v>5.7460611677479144E-2</v>
      </c>
      <c r="E15" s="13"/>
    </row>
    <row r="16" spans="1:5">
      <c r="B16" s="12" t="s">
        <v>525</v>
      </c>
      <c r="C16" s="11">
        <v>91</v>
      </c>
      <c r="D16" s="10">
        <v>4.2168674698795178E-2</v>
      </c>
    </row>
    <row r="17" spans="2:4">
      <c r="B17" s="12" t="s">
        <v>524</v>
      </c>
      <c r="C17" s="11">
        <v>43</v>
      </c>
      <c r="D17" s="10">
        <v>1.9925857275254866E-2</v>
      </c>
    </row>
    <row r="18" spans="2:4">
      <c r="B18" s="12" t="s">
        <v>522</v>
      </c>
      <c r="C18" s="11">
        <v>32</v>
      </c>
      <c r="D18" s="10">
        <v>1.4828544949026877E-2</v>
      </c>
    </row>
    <row r="19" spans="2:4">
      <c r="B19" s="12" t="s">
        <v>523</v>
      </c>
      <c r="C19" s="11">
        <v>29</v>
      </c>
      <c r="D19" s="10">
        <v>1.3438368860055607E-2</v>
      </c>
    </row>
    <row r="20" spans="2:4">
      <c r="B20" s="12" t="s">
        <v>521</v>
      </c>
      <c r="C20" s="11">
        <v>13</v>
      </c>
      <c r="D20" s="10">
        <v>6.024096385542169E-3</v>
      </c>
    </row>
    <row r="21" spans="2:4">
      <c r="B21" s="12" t="s">
        <v>520</v>
      </c>
      <c r="C21" s="11">
        <v>12</v>
      </c>
      <c r="D21" s="10">
        <v>5.5607043558850789E-3</v>
      </c>
    </row>
    <row r="22" spans="2:4">
      <c r="B22" s="12" t="s">
        <v>519</v>
      </c>
      <c r="C22" s="11">
        <v>12</v>
      </c>
      <c r="D22" s="10">
        <v>5.5607043558850789E-3</v>
      </c>
    </row>
    <row r="23" spans="2:4">
      <c r="B23" s="12" t="s">
        <v>518</v>
      </c>
      <c r="C23" s="11">
        <v>9</v>
      </c>
      <c r="D23" s="10">
        <v>4.1705282669138094E-3</v>
      </c>
    </row>
    <row r="24" spans="2:4">
      <c r="B24" s="12" t="s">
        <v>517</v>
      </c>
      <c r="C24" s="11">
        <v>4</v>
      </c>
      <c r="D24" s="10">
        <v>1.8535681186283596E-3</v>
      </c>
    </row>
    <row r="25" spans="2:4">
      <c r="B25" s="12" t="s">
        <v>515</v>
      </c>
      <c r="C25" s="11">
        <v>3</v>
      </c>
      <c r="D25" s="10">
        <v>1.3901760889712697E-3</v>
      </c>
    </row>
    <row r="26" spans="2:4">
      <c r="B26" s="12" t="s">
        <v>701</v>
      </c>
      <c r="C26" s="11">
        <v>2</v>
      </c>
      <c r="D26" s="10">
        <v>9.2678405931417981E-4</v>
      </c>
    </row>
    <row r="27" spans="2:4">
      <c r="B27" s="12" t="s">
        <v>516</v>
      </c>
      <c r="C27" s="11">
        <v>1</v>
      </c>
      <c r="D27" s="10">
        <v>4.6339202965708991E-4</v>
      </c>
    </row>
    <row r="28" spans="2:4">
      <c r="B28" s="12" t="s">
        <v>514</v>
      </c>
      <c r="C28" s="11">
        <v>1</v>
      </c>
      <c r="D28" s="10">
        <v>4.6339202965708991E-4</v>
      </c>
    </row>
    <row r="29" spans="2:4">
      <c r="B29" s="9" t="s">
        <v>15</v>
      </c>
      <c r="C29" s="8">
        <v>2158</v>
      </c>
      <c r="D29" s="7">
        <v>1</v>
      </c>
    </row>
    <row r="31" spans="2:4">
      <c r="B31" s="4" t="s">
        <v>537</v>
      </c>
      <c r="C31"/>
      <c r="D31"/>
    </row>
    <row r="32" spans="2:4">
      <c r="B32" s="6" t="s">
        <v>14</v>
      </c>
      <c r="C32"/>
      <c r="D32"/>
    </row>
    <row r="33" spans="2:4">
      <c r="B33" s="5" t="s">
        <v>13</v>
      </c>
      <c r="C33"/>
      <c r="D33"/>
    </row>
    <row r="34" spans="2:4">
      <c r="B34" s="4" t="s">
        <v>12</v>
      </c>
      <c r="C34"/>
      <c r="D34"/>
    </row>
    <row r="35" spans="2:4">
      <c r="B35" s="4" t="s">
        <v>538</v>
      </c>
      <c r="C35"/>
      <c r="D3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Missouri_Edomexgral</vt:lpstr>
      <vt:lpstr>Missouri_EDOMEX</vt:lpstr>
      <vt:lpstr>Missouri_Educagral</vt:lpstr>
      <vt:lpstr>Missouri_Eduedo</vt:lpstr>
      <vt:lpstr>Missouri_gengral</vt:lpstr>
      <vt:lpstr>Missouri_edomexgen</vt:lpstr>
      <vt:lpstr>Missouri_edadgen</vt:lpstr>
      <vt:lpstr>Missouri_ocupgral</vt:lpstr>
      <vt:lpstr>Missouri_edadgen!Área_de_impresión</vt:lpstr>
      <vt:lpstr>Missouri_EDOMEX!Área_de_impresión</vt:lpstr>
      <vt:lpstr>Missouri_edomexgen!Área_de_impresión</vt:lpstr>
      <vt:lpstr>Missouri_Eduedo!Área_de_impresión</vt:lpstr>
      <vt:lpstr>Missouri_edadgen!Títulos_a_imprimir</vt:lpstr>
      <vt:lpstr>Missouri_EDOMEX!Títulos_a_imprimir</vt:lpstr>
      <vt:lpstr>Missouri_edomexgen!Títulos_a_imprimir</vt:lpstr>
      <vt:lpstr>Missouri_Edomexgral!Títulos_a_imprimir</vt:lpstr>
      <vt:lpstr>Missouri_Educagral!Títulos_a_imprimir</vt:lpstr>
      <vt:lpstr>Missouri_Eduedo!Títulos_a_imprimir</vt:lpstr>
      <vt:lpstr>Missouri_gengral!Títulos_a_imprimir</vt:lpstr>
      <vt:lpstr>Missouri_ocupgral!Títulos_a_imprimir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2020-05-14T20:20:55Z</dcterms:created>
  <dcterms:modified xsi:type="dcterms:W3CDTF">2023-09-14T18:07:31Z</dcterms:modified>
</cp:coreProperties>
</file>