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firstSheet="7" activeTab="8"/>
  </bookViews>
  <sheets>
    <sheet name="Índice" sheetId="1" r:id="rId1"/>
    <sheet name="South Dakota_Edomexgral" sheetId="2" r:id="rId2"/>
    <sheet name="South Dakota_EDOMEX" sheetId="11" r:id="rId3"/>
    <sheet name="South Dakota_Educagral" sheetId="4" r:id="rId4"/>
    <sheet name="South Dakota_Eduedo" sheetId="10" r:id="rId5"/>
    <sheet name="South Dakota_gengral" sheetId="6" r:id="rId6"/>
    <sheet name="South Dakota_edomexgen" sheetId="7" r:id="rId7"/>
    <sheet name="South Dakota_edadgen" sheetId="8" r:id="rId8"/>
    <sheet name="South Dakota_ocupgral" sheetId="9" r:id="rId9"/>
  </sheets>
  <definedNames>
    <definedName name="_xlnm._FilterDatabase" localSheetId="7" hidden="1">'South Dakota_edadgen'!$B$9:$E$9</definedName>
    <definedName name="_xlnm._FilterDatabase" localSheetId="2" hidden="1">'South Dakota_EDOMEX'!$B$9:$E$9</definedName>
    <definedName name="_xlnm._FilterDatabase" localSheetId="6" hidden="1">'South Dakota_edomexgen'!$B$9:$E$9</definedName>
    <definedName name="_xlnm._FilterDatabase" localSheetId="1" hidden="1">'South Dakota_Edomexgral'!$B$11:$D$11</definedName>
    <definedName name="_xlnm._FilterDatabase" localSheetId="3" hidden="1">'South Dakota_Educagral'!$B$11:$D$11</definedName>
    <definedName name="_xlnm._FilterDatabase" localSheetId="4" hidden="1">'South Dakota_Eduedo'!$B$9:$E$9</definedName>
    <definedName name="_xlnm._FilterDatabase" localSheetId="5" hidden="1">'South Dakota_gengral'!$B$11:$D$11</definedName>
    <definedName name="_xlnm._FilterDatabase" localSheetId="8" hidden="1">'South Dakota_ocupgral'!$B$11:$D$11</definedName>
    <definedName name="_xlnm.Print_Area" localSheetId="0">Índice!$A$1:$D$21</definedName>
    <definedName name="_xlnm.Print_Area" localSheetId="7">'South Dakota_edadgen'!$A$1:$E$9</definedName>
    <definedName name="_xlnm.Print_Area" localSheetId="2">'South Dakota_EDOMEX'!$A$1:$E$9</definedName>
    <definedName name="_xlnm.Print_Area" localSheetId="6">'South Dakota_edomexgen'!$A$1:$E$9</definedName>
    <definedName name="_xlnm.Print_Area" localSheetId="4">'South Dakota_Eduedo'!$A$1:$E$9</definedName>
    <definedName name="_xlnm.Print_Titles" localSheetId="7">'South Dakota_edadgen'!$1:$9</definedName>
    <definedName name="_xlnm.Print_Titles" localSheetId="2">'South Dakota_EDOMEX'!$1:$9</definedName>
    <definedName name="_xlnm.Print_Titles" localSheetId="6">'South Dakota_edomexgen'!$1:$9</definedName>
    <definedName name="_xlnm.Print_Titles" localSheetId="1">'South Dakota_Edomexgral'!$1:$11</definedName>
    <definedName name="_xlnm.Print_Titles" localSheetId="3">'South Dakota_Educagral'!$1:$11</definedName>
    <definedName name="_xlnm.Print_Titles" localSheetId="4">'South Dakota_Eduedo'!$1:$9</definedName>
    <definedName name="_xlnm.Print_Titles" localSheetId="5">'South Dakota_gengral'!$1:$11</definedName>
    <definedName name="_xlnm.Print_Titles" localSheetId="8">'South Dakota_ocupgral'!$1:$11</definedName>
  </definedNames>
  <calcPr calcId="152511"/>
</workbook>
</file>

<file path=xl/calcChain.xml><?xml version="1.0" encoding="utf-8"?>
<calcChain xmlns="http://schemas.openxmlformats.org/spreadsheetml/2006/main">
  <c r="D80" i="7" l="1"/>
  <c r="D141" i="11" l="1"/>
</calcChain>
</file>

<file path=xl/sharedStrings.xml><?xml version="1.0" encoding="utf-8"?>
<sst xmlns="http://schemas.openxmlformats.org/spreadsheetml/2006/main" count="533" uniqueCount="199">
  <si>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</si>
  <si>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</si>
  <si>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</si>
  <si>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</si>
  <si>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</si>
  <si>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</si>
  <si>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</si>
  <si>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</si>
  <si>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</si>
  <si>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</si>
  <si>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</si>
  <si>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</si>
  <si>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</si>
  <si>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</si>
  <si>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</si>
  <si>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</si>
  <si>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Sonora</t>
  </si>
  <si>
    <t>Nuevo León</t>
  </si>
  <si>
    <t>Hidalgo</t>
  </si>
  <si>
    <t>Colima</t>
  </si>
  <si>
    <t>Nayarit</t>
  </si>
  <si>
    <t>Aguascalientes</t>
  </si>
  <si>
    <t>Baja California</t>
  </si>
  <si>
    <t>Tabasco</t>
  </si>
  <si>
    <t>Sinaloa</t>
  </si>
  <si>
    <t>Durango</t>
  </si>
  <si>
    <t>Zacatecas</t>
  </si>
  <si>
    <t>San Luis Potosí</t>
  </si>
  <si>
    <t>Morelos</t>
  </si>
  <si>
    <t>Tamaulipas</t>
  </si>
  <si>
    <t>Puebla</t>
  </si>
  <si>
    <t>Chihuahua</t>
  </si>
  <si>
    <t>Chiapas</t>
  </si>
  <si>
    <t>Oaxaca</t>
  </si>
  <si>
    <t>Guanajuato</t>
  </si>
  <si>
    <t>Ciudad de México</t>
  </si>
  <si>
    <t>Veracruz</t>
  </si>
  <si>
    <t>Michoacán</t>
  </si>
  <si>
    <t>Estado de México</t>
  </si>
  <si>
    <t>Guerrero</t>
  </si>
  <si>
    <t>Jalisco</t>
  </si>
  <si>
    <t>Porcentaje de Matrículas</t>
  </si>
  <si>
    <t>Número de Matrículas</t>
  </si>
  <si>
    <t>Estado de Origen</t>
  </si>
  <si>
    <t>Valparaíso</t>
  </si>
  <si>
    <t>Martínez de la Torre</t>
  </si>
  <si>
    <t>Reynosa</t>
  </si>
  <si>
    <t>Abasolo</t>
  </si>
  <si>
    <t>Balancán</t>
  </si>
  <si>
    <t>Cajeme</t>
  </si>
  <si>
    <t>Ahome</t>
  </si>
  <si>
    <t>Zacatlán</t>
  </si>
  <si>
    <t>Jolalpan</t>
  </si>
  <si>
    <t>San Lorenzo Texmelúcan</t>
  </si>
  <si>
    <t>Cuautla</t>
  </si>
  <si>
    <t>Uruapan</t>
  </si>
  <si>
    <t>La Piedad</t>
  </si>
  <si>
    <t>Zapotlanejo</t>
  </si>
  <si>
    <t>Tlajomulco de Zúñiga</t>
  </si>
  <si>
    <t>Tamazula de Gordiano</t>
  </si>
  <si>
    <t>Tala</t>
  </si>
  <si>
    <t>Jesús María</t>
  </si>
  <si>
    <t>Guadalajara</t>
  </si>
  <si>
    <t>Ayutla</t>
  </si>
  <si>
    <t>Ayotlán</t>
  </si>
  <si>
    <t>Tlapehuala</t>
  </si>
  <si>
    <t>Técpan de Galeana</t>
  </si>
  <si>
    <t>Zihuatanejo de Azueta</t>
  </si>
  <si>
    <t>Acapulco de Juárez</t>
  </si>
  <si>
    <t>León</t>
  </si>
  <si>
    <t>Tlalpan</t>
  </si>
  <si>
    <t>Miguel Hidalgo</t>
  </si>
  <si>
    <t>Gustavo A. Madero</t>
  </si>
  <si>
    <t>Cuauhtémoc</t>
  </si>
  <si>
    <t>Arriaga</t>
  </si>
  <si>
    <t>Tijuana</t>
  </si>
  <si>
    <t>Ensenada</t>
  </si>
  <si>
    <t>Calvillo</t>
  </si>
  <si>
    <t>Municipio Origen</t>
  </si>
  <si>
    <t>Profesional Titulado</t>
  </si>
  <si>
    <t>Profesional pasante</t>
  </si>
  <si>
    <t>4° Año de profesional</t>
  </si>
  <si>
    <t>Preparatoria con certificado</t>
  </si>
  <si>
    <t>Preparatoria sin certificado</t>
  </si>
  <si>
    <t>Capacitación Técnica</t>
  </si>
  <si>
    <t>Secundaria con certificado</t>
  </si>
  <si>
    <t>Primaria con certificado</t>
  </si>
  <si>
    <t>6° Primaria</t>
  </si>
  <si>
    <t>5° Primaria</t>
  </si>
  <si>
    <t>2° Primaria</t>
  </si>
  <si>
    <t>Sin Estudios</t>
  </si>
  <si>
    <t>Nivel de Estudios</t>
  </si>
  <si>
    <t>MATRÍCULAS CONSULARES EXPEDIDAS EN EL ESTADO DE SOUTH DAKOTA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</si>
  <si>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</si>
  <si>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</si>
  <si>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</si>
  <si>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</si>
  <si>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</si>
  <si>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</si>
  <si>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</si>
  <si>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</si>
  <si>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</si>
  <si>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</si>
  <si>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</si>
  <si>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</si>
  <si>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Pintor(a)</t>
  </si>
  <si>
    <t>Mesero(a)</t>
  </si>
  <si>
    <t>Jardinero(a)</t>
  </si>
  <si>
    <t>Albañil</t>
  </si>
  <si>
    <t>Obrero(a)</t>
  </si>
  <si>
    <t>Estudiante</t>
  </si>
  <si>
    <t>Hogar</t>
  </si>
  <si>
    <t>Empleado(a)</t>
  </si>
  <si>
    <t>Ocupación</t>
  </si>
  <si>
    <t>Profesional titulado</t>
  </si>
  <si>
    <t>Capacitación técnica</t>
  </si>
  <si>
    <t>Matrículas consulares expedidas a mexicanos  en el estado de South Dakota en el 2020</t>
  </si>
  <si>
    <t>MATRÍCULAS CONSULARES DE ALTA SEGURIDAD EXPEDIDAS EN EL ESTADO DE SOUTH DAKOTA EN EE.UU. POR ESTADO DE LA REPÚBLICA MEXICANA DURANTE EL 2020</t>
  </si>
  <si>
    <t>Coahuila</t>
  </si>
  <si>
    <t>Campeche</t>
  </si>
  <si>
    <t>Tamaño de la muestra: 497,795</t>
  </si>
  <si>
    <t>Octubre de 2021</t>
  </si>
  <si>
    <t>Champotón</t>
  </si>
  <si>
    <t>Cacahoatán</t>
  </si>
  <si>
    <t>Chilón</t>
  </si>
  <si>
    <t>Mapastepec</t>
  </si>
  <si>
    <t>Juárez</t>
  </si>
  <si>
    <t>Santa Isabel</t>
  </si>
  <si>
    <t>San Pedro</t>
  </si>
  <si>
    <t>Torreón</t>
  </si>
  <si>
    <t>Manzanillo</t>
  </si>
  <si>
    <t>Álvaro Obregón</t>
  </si>
  <si>
    <t>Coyoacán</t>
  </si>
  <si>
    <t>Cuencamé</t>
  </si>
  <si>
    <t>La Paz</t>
  </si>
  <si>
    <t>Nezahualcóyotl</t>
  </si>
  <si>
    <t>Toluca</t>
  </si>
  <si>
    <t>GUANAJUATO</t>
  </si>
  <si>
    <t>Apaseo el Alto</t>
  </si>
  <si>
    <t>Celaya</t>
  </si>
  <si>
    <t>Dolores Hidalgo Cuna de la Independencia Nacional</t>
  </si>
  <si>
    <t>Purísima del Rincón</t>
  </si>
  <si>
    <t>Salvatierra</t>
  </si>
  <si>
    <t>Tarimoro</t>
  </si>
  <si>
    <t>Guerero</t>
  </si>
  <si>
    <t>Ahuacuotzingo</t>
  </si>
  <si>
    <t>Arcelia</t>
  </si>
  <si>
    <t>Copalillo</t>
  </si>
  <si>
    <t>Iguala de la Independencia</t>
  </si>
  <si>
    <t>Alfajayucan</t>
  </si>
  <si>
    <t>Unión de Tula</t>
  </si>
  <si>
    <t>Churumuco</t>
  </si>
  <si>
    <t>Coalcomán de Vázquez Pallares</t>
  </si>
  <si>
    <t>Contepec</t>
  </si>
  <si>
    <t>Lázaro Cárdenas</t>
  </si>
  <si>
    <t>Morelia</t>
  </si>
  <si>
    <t>Nuevo Urecho</t>
  </si>
  <si>
    <t>Cuernavaca</t>
  </si>
  <si>
    <t>Temixco</t>
  </si>
  <si>
    <t>Tepalcingo</t>
  </si>
  <si>
    <t>Del Nayar</t>
  </si>
  <si>
    <t>Santiago Ixcuintla</t>
  </si>
  <si>
    <t>Mier y Noriega</t>
  </si>
  <si>
    <t>San Nicolás de los Garza</t>
  </si>
  <si>
    <t>Chahuites</t>
  </si>
  <si>
    <t>San Agustín Loxicha</t>
  </si>
  <si>
    <t>San Jerónimo Sosola</t>
  </si>
  <si>
    <t>Zapotitlán del Río</t>
  </si>
  <si>
    <t>Libres</t>
  </si>
  <si>
    <t>Quimixtlán</t>
  </si>
  <si>
    <t>Soltepec</t>
  </si>
  <si>
    <t>Zautla</t>
  </si>
  <si>
    <t>Ciudad del Maíz</t>
  </si>
  <si>
    <t>Ciudad Valles</t>
  </si>
  <si>
    <t>Rayón</t>
  </si>
  <si>
    <t>Villa de Ramos</t>
  </si>
  <si>
    <t>Culiacán</t>
  </si>
  <si>
    <t>Elota</t>
  </si>
  <si>
    <t>Navolato</t>
  </si>
  <si>
    <t>Guaymas</t>
  </si>
  <si>
    <t>Huatabampo</t>
  </si>
  <si>
    <t>Atzalan</t>
  </si>
  <si>
    <t>Cuitláhuac</t>
  </si>
  <si>
    <t>Espinal</t>
  </si>
  <si>
    <t>José Azueta</t>
  </si>
  <si>
    <t>Misantla</t>
  </si>
  <si>
    <t>Playa Vicente</t>
  </si>
  <si>
    <t>San Juan Evangelista</t>
  </si>
  <si>
    <t>Tihuatlán</t>
  </si>
  <si>
    <t>Jiménez del Teul</t>
  </si>
  <si>
    <t>Villa de Cos</t>
  </si>
  <si>
    <t>4° Primaria</t>
  </si>
  <si>
    <t>3° Secundaria</t>
  </si>
  <si>
    <t>Menores de edad</t>
  </si>
  <si>
    <t>Menores De Edad</t>
  </si>
  <si>
    <t>MATRÍCULAS CONSULARES DE ALTA SEGURIDAD EXPEDIDAS EN EE.UU A MEXICANOS EN EL ESTADO DE SOUTH DAKOTA, POR GÉNERO 2020</t>
  </si>
  <si>
    <t>MATRÍCULAS CONSULARES DE ALTA SEGURIDAD EXPEDIDAS EN EE.UU A MEXICANOS EN EL ESTADO DE  SOUTH DAKOTA, POR PERFIL OCUPACIONAL 2020</t>
  </si>
  <si>
    <t>Campesino(a)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</si>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</sst>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21" fillId="0" borderId="0"/>
  </cellStyleXfs>
  <cellXfs count="78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4" fontId="9" fillId="5" borderId="9" xfId="0" applyNumberFormat="1" applyFont="1" applyFill="1" applyBorder="1" applyAlignment="1">
      <alignment horizontal="right" vertical="center" wrapText="1"/>
    </xf>
    <xf numFmtId="3" fontId="9" fillId="5" borderId="9" xfId="0" applyNumberFormat="1" applyFont="1" applyFill="1" applyBorder="1" applyAlignment="1">
      <alignment horizontal="right" vertical="center" wrapText="1"/>
    </xf>
    <xf numFmtId="165" fontId="9" fillId="6" borderId="9" xfId="1" applyNumberFormat="1" applyFont="1" applyFill="1" applyBorder="1" applyAlignment="1">
      <alignment vertical="center" wrapText="1"/>
    </xf>
    <xf numFmtId="3" fontId="9" fillId="6" borderId="9" xfId="3" applyNumberFormat="1" applyFont="1" applyFill="1" applyBorder="1" applyAlignment="1">
      <alignment horizontal="right" vertical="center" wrapText="1"/>
    </xf>
    <xf numFmtId="49" fontId="9" fillId="6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12" fillId="3" borderId="0" xfId="0" applyNumberFormat="1" applyFont="1" applyFill="1"/>
    <xf numFmtId="49" fontId="19" fillId="3" borderId="9" xfId="3" applyNumberFormat="1" applyFont="1" applyFill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9" fillId="5" borderId="13" xfId="0" applyNumberFormat="1" applyFont="1" applyFill="1" applyBorder="1" applyAlignment="1">
      <alignment horizontal="center" vertical="center" wrapText="1"/>
    </xf>
    <xf numFmtId="49" fontId="9" fillId="5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2562171" y="400379"/>
          <a:ext cx="4835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67235</xdr:colOff>
      <xdr:row>0</xdr:row>
      <xdr:rowOff>280147</xdr:rowOff>
    </xdr:from>
    <xdr:ext cx="184731" cy="264560"/>
    <xdr:sp macro="" textlink="">
      <xdr:nvSpPr>
        <xdr:cNvPr id="4" name="3 CuadroTexto"/>
        <xdr:cNvSpPr txBox="1"/>
      </xdr:nvSpPr>
      <xdr:spPr>
        <a:xfrm>
          <a:off x="67235" y="28014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161925</xdr:rowOff>
    </xdr:from>
    <xdr:to>
      <xdr:col>5</xdr:col>
      <xdr:colOff>54897</xdr:colOff>
      <xdr:row>8</xdr:row>
      <xdr:rowOff>352426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8764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SOUTH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619125</xdr:colOff>
      <xdr:row>7</xdr:row>
      <xdr:rowOff>161925</xdr:rowOff>
    </xdr:from>
    <xdr:to>
      <xdr:col>4</xdr:col>
      <xdr:colOff>1105229</xdr:colOff>
      <xdr:row>7</xdr:row>
      <xdr:rowOff>341220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7800" y="1905000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SOUTH DAKOTA,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118241</xdr:rowOff>
    </xdr:from>
    <xdr:to>
      <xdr:col>4</xdr:col>
      <xdr:colOff>1031045</xdr:colOff>
      <xdr:row>7</xdr:row>
      <xdr:rowOff>308742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590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57150</xdr:rowOff>
    </xdr:from>
    <xdr:to>
      <xdr:col>5</xdr:col>
      <xdr:colOff>150147</xdr:colOff>
      <xdr:row>8</xdr:row>
      <xdr:rowOff>247651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716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SOUTH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144517</xdr:rowOff>
    </xdr:from>
    <xdr:to>
      <xdr:col>4</xdr:col>
      <xdr:colOff>991631</xdr:colOff>
      <xdr:row>7</xdr:row>
      <xdr:rowOff>335018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85293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SOUTH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604345</xdr:colOff>
      <xdr:row>7</xdr:row>
      <xdr:rowOff>144517</xdr:rowOff>
    </xdr:from>
    <xdr:to>
      <xdr:col>4</xdr:col>
      <xdr:colOff>1116442</xdr:colOff>
      <xdr:row>7</xdr:row>
      <xdr:rowOff>335018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2035" y="1885293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123825</xdr:rowOff>
    </xdr:from>
    <xdr:to>
      <xdr:col>5</xdr:col>
      <xdr:colOff>83472</xdr:colOff>
      <xdr:row>8</xdr:row>
      <xdr:rowOff>314326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8383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5" t="s">
        <v>116</v>
      </c>
      <c r="B1" s="66"/>
      <c r="C1" s="66"/>
      <c r="D1" s="67"/>
    </row>
    <row r="2" spans="1:4" ht="18.75">
      <c r="A2" s="16"/>
      <c r="B2" s="15"/>
      <c r="C2" s="15"/>
      <c r="D2" s="14"/>
    </row>
    <row r="3" spans="1:4">
      <c r="A3" s="68" t="s">
        <v>11</v>
      </c>
      <c r="B3" s="69"/>
      <c r="C3" s="69"/>
      <c r="D3" s="70"/>
    </row>
    <row r="4" spans="1:4">
      <c r="A4" s="68"/>
      <c r="B4" s="69"/>
      <c r="C4" s="69"/>
      <c r="D4" s="70"/>
    </row>
    <row r="5" spans="1:4" ht="18.75">
      <c r="A5" s="13"/>
      <c r="B5" s="12"/>
      <c r="C5" s="12"/>
      <c r="D5" s="11"/>
    </row>
    <row r="6" spans="1:4" ht="18.75">
      <c r="A6" s="64" t="s">
        <v>10</v>
      </c>
      <c r="B6" s="62"/>
      <c r="C6" s="62"/>
      <c r="D6" s="63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2" t="s">
        <v>8</v>
      </c>
      <c r="C9" s="62"/>
      <c r="D9" s="63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2" t="s">
        <v>6</v>
      </c>
      <c r="C11" s="62"/>
      <c r="D11" s="63"/>
    </row>
    <row r="12" spans="1:4" ht="18.75">
      <c r="A12" s="7"/>
      <c r="B12" s="62" t="s">
        <v>5</v>
      </c>
      <c r="C12" s="62"/>
      <c r="D12" s="63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2" t="s">
        <v>3</v>
      </c>
      <c r="C15" s="62"/>
      <c r="D15" s="63"/>
    </row>
    <row r="16" spans="1:4" ht="18.75">
      <c r="A16" s="7"/>
      <c r="B16" s="62" t="s">
        <v>2</v>
      </c>
      <c r="C16" s="62"/>
      <c r="D16" s="63"/>
    </row>
    <row r="17" spans="1:4" ht="18.75">
      <c r="A17" s="7"/>
      <c r="B17" s="6"/>
      <c r="C17" s="6"/>
      <c r="D17" s="5"/>
    </row>
    <row r="18" spans="1:4" ht="18.75">
      <c r="A18" s="64" t="s">
        <v>1</v>
      </c>
      <c r="B18" s="62"/>
      <c r="C18" s="62"/>
      <c r="D18" s="63"/>
    </row>
    <row r="19" spans="1:4" ht="18.75">
      <c r="A19" s="7"/>
      <c r="B19" s="6"/>
      <c r="C19" s="6"/>
      <c r="D19" s="5"/>
    </row>
    <row r="20" spans="1:4" ht="18.75">
      <c r="A20" s="64" t="s">
        <v>0</v>
      </c>
      <c r="B20" s="62"/>
      <c r="C20" s="62"/>
      <c r="D20" s="63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South Dakota_Edomexgral'!A1" display="1. Por Estados de la República Mexicana"/>
    <hyperlink ref="B9" location="'New Jersey_EDOMEX'!A1" display="2.1 Por estado de la República Mexicana y municipio de origen"/>
    <hyperlink ref="B11:D11" location="'South Dakota_Educagral'!A1" display="3.1 Educación general"/>
    <hyperlink ref="B12:D12" location="'South Dakota_Eduedo'!A1" display="3.2 Por Estado de la República Mexicana"/>
    <hyperlink ref="B15:D15" location="'South Dakota_gengral'!A1" display="4.1 Género General"/>
    <hyperlink ref="B16:D16" location="'South Dakota_edomexgen'!A1" display="4.2 Por Estados de la República Mexicana"/>
    <hyperlink ref="A18:D18" location="'South Dakota_edadgen'!A1" display="5. Por estructura de Edad"/>
    <hyperlink ref="A20:D20" location="'South Dakota_ocupgral'!A1" display="6. Por Ocupación"/>
    <hyperlink ref="B9:D9" location="'South Dakot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5"/>
  <sheetViews>
    <sheetView showGridLines="0" zoomScaleNormal="100" zoomScaleSheetLayoutView="115" workbookViewId="0">
      <selection activeCell="C11" sqref="C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117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43</v>
      </c>
      <c r="C11" s="31" t="s">
        <v>42</v>
      </c>
      <c r="D11" s="30" t="s">
        <v>41</v>
      </c>
    </row>
    <row r="12" spans="1:5">
      <c r="B12" s="27" t="s">
        <v>39</v>
      </c>
      <c r="C12" s="26">
        <v>15</v>
      </c>
      <c r="D12" s="25">
        <v>9.8039215686274508E-2</v>
      </c>
    </row>
    <row r="13" spans="1:5">
      <c r="B13" s="27" t="s">
        <v>40</v>
      </c>
      <c r="C13" s="26">
        <v>14</v>
      </c>
      <c r="D13" s="25">
        <v>9.1503267973856203E-2</v>
      </c>
    </row>
    <row r="14" spans="1:5">
      <c r="A14" s="28"/>
      <c r="B14" s="27" t="s">
        <v>34</v>
      </c>
      <c r="C14" s="26">
        <v>12</v>
      </c>
      <c r="D14" s="25">
        <v>7.8431372549019607E-2</v>
      </c>
      <c r="E14" s="28"/>
    </row>
    <row r="15" spans="1:5">
      <c r="A15" s="28"/>
      <c r="B15" s="27" t="s">
        <v>36</v>
      </c>
      <c r="C15" s="26">
        <v>12</v>
      </c>
      <c r="D15" s="25">
        <v>7.8431372549019607E-2</v>
      </c>
      <c r="E15" s="28"/>
    </row>
    <row r="16" spans="1:5">
      <c r="B16" s="27" t="s">
        <v>31</v>
      </c>
      <c r="C16" s="26">
        <v>11</v>
      </c>
      <c r="D16" s="25">
        <v>7.1895424836601302E-2</v>
      </c>
    </row>
    <row r="17" spans="2:4">
      <c r="B17" s="27" t="s">
        <v>37</v>
      </c>
      <c r="C17" s="26">
        <v>11</v>
      </c>
      <c r="D17" s="25">
        <v>7.1895424836601302E-2</v>
      </c>
    </row>
    <row r="18" spans="2:4">
      <c r="B18" s="27" t="s">
        <v>30</v>
      </c>
      <c r="C18" s="26">
        <v>9</v>
      </c>
      <c r="D18" s="25">
        <v>5.8823529411764705E-2</v>
      </c>
    </row>
    <row r="19" spans="2:4">
      <c r="B19" s="27" t="s">
        <v>21</v>
      </c>
      <c r="C19" s="26">
        <v>7</v>
      </c>
      <c r="D19" s="25">
        <v>4.5751633986928102E-2</v>
      </c>
    </row>
    <row r="20" spans="2:4">
      <c r="B20" s="27" t="s">
        <v>33</v>
      </c>
      <c r="C20" s="26">
        <v>7</v>
      </c>
      <c r="D20" s="25">
        <v>4.5751633986928102E-2</v>
      </c>
    </row>
    <row r="21" spans="2:4">
      <c r="B21" s="27" t="s">
        <v>35</v>
      </c>
      <c r="C21" s="26">
        <v>6</v>
      </c>
      <c r="D21" s="25">
        <v>3.9215686274509803E-2</v>
      </c>
    </row>
    <row r="22" spans="2:4">
      <c r="B22" s="27" t="s">
        <v>24</v>
      </c>
      <c r="C22" s="26">
        <v>6</v>
      </c>
      <c r="D22" s="25">
        <v>3.9215686274509803E-2</v>
      </c>
    </row>
    <row r="23" spans="2:4">
      <c r="B23" s="27" t="s">
        <v>32</v>
      </c>
      <c r="C23" s="26">
        <v>5</v>
      </c>
      <c r="D23" s="25">
        <v>3.2679738562091505E-2</v>
      </c>
    </row>
    <row r="24" spans="2:4">
      <c r="B24" s="27" t="s">
        <v>118</v>
      </c>
      <c r="C24" s="26">
        <v>5</v>
      </c>
      <c r="D24" s="25">
        <v>3.2679738562091505E-2</v>
      </c>
    </row>
    <row r="25" spans="2:4">
      <c r="B25" s="27" t="s">
        <v>38</v>
      </c>
      <c r="C25" s="26">
        <v>5</v>
      </c>
      <c r="D25" s="25">
        <v>3.2679738562091505E-2</v>
      </c>
    </row>
    <row r="26" spans="2:4">
      <c r="B26" s="27" t="s">
        <v>16</v>
      </c>
      <c r="C26" s="26">
        <v>5</v>
      </c>
      <c r="D26" s="25">
        <v>3.2679738562091505E-2</v>
      </c>
    </row>
    <row r="27" spans="2:4">
      <c r="B27" s="27" t="s">
        <v>27</v>
      </c>
      <c r="C27" s="26">
        <v>4</v>
      </c>
      <c r="D27" s="25">
        <v>2.6143790849673203E-2</v>
      </c>
    </row>
    <row r="28" spans="2:4">
      <c r="B28" s="27" t="s">
        <v>28</v>
      </c>
      <c r="C28" s="26">
        <v>3</v>
      </c>
      <c r="D28" s="25">
        <v>1.9607843137254902E-2</v>
      </c>
    </row>
    <row r="29" spans="2:4">
      <c r="B29" s="27" t="s">
        <v>26</v>
      </c>
      <c r="C29" s="26">
        <v>3</v>
      </c>
      <c r="D29" s="25">
        <v>1.9607843137254902E-2</v>
      </c>
    </row>
    <row r="30" spans="2:4">
      <c r="B30" s="27" t="s">
        <v>22</v>
      </c>
      <c r="C30" s="26">
        <v>2</v>
      </c>
      <c r="D30" s="25">
        <v>1.3071895424836602E-2</v>
      </c>
    </row>
    <row r="31" spans="2:4">
      <c r="B31" s="27" t="s">
        <v>20</v>
      </c>
      <c r="C31" s="26">
        <v>2</v>
      </c>
      <c r="D31" s="25">
        <v>1.3071895424836602E-2</v>
      </c>
    </row>
    <row r="32" spans="2:4">
      <c r="B32" s="27" t="s">
        <v>17</v>
      </c>
      <c r="C32" s="26">
        <v>2</v>
      </c>
      <c r="D32" s="25">
        <v>1.3071895424836602E-2</v>
      </c>
    </row>
    <row r="33" spans="2:4">
      <c r="B33" s="27" t="s">
        <v>23</v>
      </c>
      <c r="C33" s="26">
        <v>2</v>
      </c>
      <c r="D33" s="25">
        <v>1.3071895424836602E-2</v>
      </c>
    </row>
    <row r="34" spans="2:4">
      <c r="B34" s="27" t="s">
        <v>119</v>
      </c>
      <c r="C34" s="26">
        <v>1</v>
      </c>
      <c r="D34" s="25">
        <v>6.5359477124183009E-3</v>
      </c>
    </row>
    <row r="35" spans="2:4">
      <c r="B35" s="27" t="s">
        <v>19</v>
      </c>
      <c r="C35" s="26">
        <v>1</v>
      </c>
      <c r="D35" s="25">
        <v>6.5359477124183009E-3</v>
      </c>
    </row>
    <row r="36" spans="2:4">
      <c r="B36" s="27" t="s">
        <v>25</v>
      </c>
      <c r="C36" s="26">
        <v>1</v>
      </c>
      <c r="D36" s="25">
        <v>6.5359477124183009E-3</v>
      </c>
    </row>
    <row r="37" spans="2:4">
      <c r="B37" s="27" t="s">
        <v>18</v>
      </c>
      <c r="C37" s="26">
        <v>1</v>
      </c>
      <c r="D37" s="25">
        <v>6.5359477124183009E-3</v>
      </c>
    </row>
    <row r="38" spans="2:4">
      <c r="B38" s="27" t="s">
        <v>29</v>
      </c>
      <c r="C38" s="26">
        <v>1</v>
      </c>
      <c r="D38" s="25">
        <v>6.5359477124183009E-3</v>
      </c>
    </row>
    <row r="39" spans="2:4">
      <c r="B39" s="24" t="s">
        <v>15</v>
      </c>
      <c r="C39" s="23">
        <v>153</v>
      </c>
      <c r="D39" s="22">
        <v>1</v>
      </c>
    </row>
    <row r="41" spans="2:4">
      <c r="B41" s="19" t="s">
        <v>120</v>
      </c>
      <c r="C41"/>
      <c r="D41"/>
    </row>
    <row r="42" spans="2:4">
      <c r="B42" s="21" t="s">
        <v>14</v>
      </c>
      <c r="C42"/>
      <c r="D42"/>
    </row>
    <row r="43" spans="2:4">
      <c r="B43" s="20" t="s">
        <v>13</v>
      </c>
      <c r="C43"/>
      <c r="D43"/>
    </row>
    <row r="44" spans="2:4">
      <c r="B44" s="19" t="s">
        <v>12</v>
      </c>
      <c r="C44"/>
      <c r="D44"/>
    </row>
    <row r="45" spans="2:4">
      <c r="B45" s="19" t="s">
        <v>121</v>
      </c>
      <c r="C45"/>
      <c r="D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10"/>
  <sheetViews>
    <sheetView topLeftCell="A118" zoomScaleNormal="100" zoomScaleSheetLayoutView="100" workbookViewId="0">
      <selection activeCell="C140" sqref="C14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43</v>
      </c>
      <c r="C9" s="51" t="s">
        <v>78</v>
      </c>
      <c r="D9" s="50" t="s">
        <v>42</v>
      </c>
      <c r="E9" s="49" t="s">
        <v>41</v>
      </c>
    </row>
    <row r="10" spans="1:5" ht="15" customHeight="1">
      <c r="B10" s="72" t="s">
        <v>21</v>
      </c>
      <c r="C10" s="47" t="s">
        <v>21</v>
      </c>
      <c r="D10" s="46">
        <v>1</v>
      </c>
      <c r="E10" s="45">
        <v>6.5359477124183009E-3</v>
      </c>
    </row>
    <row r="11" spans="1:5" ht="15" customHeight="1">
      <c r="B11" s="73"/>
      <c r="C11" s="47" t="s">
        <v>77</v>
      </c>
      <c r="D11" s="46">
        <v>6</v>
      </c>
      <c r="E11" s="45">
        <v>3.9215686274509803E-2</v>
      </c>
    </row>
    <row r="12" spans="1:5" ht="15" customHeight="1">
      <c r="B12" s="74"/>
      <c r="C12" s="44" t="s">
        <v>15</v>
      </c>
      <c r="D12" s="43">
        <v>7</v>
      </c>
      <c r="E12" s="42">
        <v>4.5751633986928102E-2</v>
      </c>
    </row>
    <row r="13" spans="1:5" ht="15" customHeight="1">
      <c r="B13" s="72" t="s">
        <v>22</v>
      </c>
      <c r="C13" s="47" t="s">
        <v>76</v>
      </c>
      <c r="D13" s="46">
        <v>1</v>
      </c>
      <c r="E13" s="45">
        <v>6.5359477124183009E-3</v>
      </c>
    </row>
    <row r="14" spans="1:5" ht="15" customHeight="1">
      <c r="B14" s="73"/>
      <c r="C14" s="47" t="s">
        <v>75</v>
      </c>
      <c r="D14" s="46">
        <v>1</v>
      </c>
      <c r="E14" s="45">
        <v>6.5359477124183009E-3</v>
      </c>
    </row>
    <row r="15" spans="1:5" ht="15" customHeight="1">
      <c r="B15" s="74"/>
      <c r="C15" s="44" t="s">
        <v>15</v>
      </c>
      <c r="D15" s="43">
        <v>2</v>
      </c>
      <c r="E15" s="42">
        <v>1.3071895424836602E-2</v>
      </c>
    </row>
    <row r="16" spans="1:5" ht="15" customHeight="1">
      <c r="B16" s="72" t="s">
        <v>119</v>
      </c>
      <c r="C16" s="47" t="s">
        <v>122</v>
      </c>
      <c r="D16" s="46">
        <v>1</v>
      </c>
      <c r="E16" s="45">
        <v>6.5359477124183009E-3</v>
      </c>
    </row>
    <row r="17" spans="2:5" ht="15" customHeight="1">
      <c r="B17" s="74"/>
      <c r="C17" s="44" t="s">
        <v>15</v>
      </c>
      <c r="D17" s="43">
        <v>1</v>
      </c>
      <c r="E17" s="42">
        <v>6.5359477124183009E-3</v>
      </c>
    </row>
    <row r="18" spans="2:5" ht="15" customHeight="1">
      <c r="B18" s="72" t="s">
        <v>32</v>
      </c>
      <c r="C18" s="47" t="s">
        <v>74</v>
      </c>
      <c r="D18" s="46">
        <v>2</v>
      </c>
      <c r="E18" s="45">
        <v>1.3071895424836602E-2</v>
      </c>
    </row>
    <row r="19" spans="2:5" ht="15" customHeight="1">
      <c r="B19" s="73"/>
      <c r="C19" s="47" t="s">
        <v>123</v>
      </c>
      <c r="D19" s="46">
        <v>1</v>
      </c>
      <c r="E19" s="45">
        <v>6.5359477124183009E-3</v>
      </c>
    </row>
    <row r="20" spans="2:5" ht="15" customHeight="1">
      <c r="B20" s="73"/>
      <c r="C20" s="47" t="s">
        <v>124</v>
      </c>
      <c r="D20" s="46">
        <v>1</v>
      </c>
      <c r="E20" s="45">
        <v>6.5359477124183009E-3</v>
      </c>
    </row>
    <row r="21" spans="2:5" ht="15" customHeight="1">
      <c r="B21" s="73"/>
      <c r="C21" s="47" t="s">
        <v>125</v>
      </c>
      <c r="D21" s="46">
        <v>1</v>
      </c>
      <c r="E21" s="45">
        <v>6.5359477124183009E-3</v>
      </c>
    </row>
    <row r="22" spans="2:5" ht="15" customHeight="1">
      <c r="B22" s="74"/>
      <c r="C22" s="44" t="s">
        <v>15</v>
      </c>
      <c r="D22" s="43">
        <v>5</v>
      </c>
      <c r="E22" s="42">
        <v>3.2679738562091505E-2</v>
      </c>
    </row>
    <row r="23" spans="2:5" ht="15" customHeight="1">
      <c r="B23" s="72" t="s">
        <v>31</v>
      </c>
      <c r="C23" s="47" t="s">
        <v>73</v>
      </c>
      <c r="D23" s="46">
        <v>6</v>
      </c>
      <c r="E23" s="45">
        <v>3.9215686274509803E-2</v>
      </c>
    </row>
    <row r="24" spans="2:5" ht="15" customHeight="1">
      <c r="B24" s="73"/>
      <c r="C24" s="47" t="s">
        <v>126</v>
      </c>
      <c r="D24" s="46">
        <v>4</v>
      </c>
      <c r="E24" s="45">
        <v>2.6143790849673203E-2</v>
      </c>
    </row>
    <row r="25" spans="2:5" ht="15" customHeight="1">
      <c r="B25" s="73"/>
      <c r="C25" s="47" t="s">
        <v>127</v>
      </c>
      <c r="D25" s="46">
        <v>1</v>
      </c>
      <c r="E25" s="45">
        <v>6.5359477124183009E-3</v>
      </c>
    </row>
    <row r="26" spans="2:5" ht="15" customHeight="1">
      <c r="B26" s="74"/>
      <c r="C26" s="44" t="s">
        <v>15</v>
      </c>
      <c r="D26" s="43">
        <v>11</v>
      </c>
      <c r="E26" s="42">
        <v>7.1895424836601302E-2</v>
      </c>
    </row>
    <row r="27" spans="2:5" ht="15" customHeight="1">
      <c r="B27" s="72" t="s">
        <v>118</v>
      </c>
      <c r="C27" s="47" t="s">
        <v>47</v>
      </c>
      <c r="D27" s="46">
        <v>1</v>
      </c>
      <c r="E27" s="45">
        <v>6.5359477124183009E-3</v>
      </c>
    </row>
    <row r="28" spans="2:5" ht="15" customHeight="1">
      <c r="B28" s="73"/>
      <c r="C28" s="47" t="s">
        <v>18</v>
      </c>
      <c r="D28" s="46">
        <v>1</v>
      </c>
      <c r="E28" s="45">
        <v>6.5359477124183009E-3</v>
      </c>
    </row>
    <row r="29" spans="2:5" ht="15" customHeight="1">
      <c r="B29" s="73"/>
      <c r="C29" s="47" t="s">
        <v>128</v>
      </c>
      <c r="D29" s="46">
        <v>1</v>
      </c>
      <c r="E29" s="45">
        <v>6.5359477124183009E-3</v>
      </c>
    </row>
    <row r="30" spans="2:5" ht="15" customHeight="1">
      <c r="B30" s="73"/>
      <c r="C30" s="47" t="s">
        <v>129</v>
      </c>
      <c r="D30" s="46">
        <v>2</v>
      </c>
      <c r="E30" s="45">
        <v>1.3071895424836602E-2</v>
      </c>
    </row>
    <row r="31" spans="2:5" ht="15" customHeight="1">
      <c r="B31" s="74"/>
      <c r="C31" s="44" t="s">
        <v>15</v>
      </c>
      <c r="D31" s="43">
        <v>5</v>
      </c>
      <c r="E31" s="42">
        <v>3.2679738562091505E-2</v>
      </c>
    </row>
    <row r="32" spans="2:5" ht="15" customHeight="1">
      <c r="B32" s="72" t="s">
        <v>19</v>
      </c>
      <c r="C32" s="47" t="s">
        <v>130</v>
      </c>
      <c r="D32" s="46">
        <v>1</v>
      </c>
      <c r="E32" s="45">
        <v>6.5359477124183009E-3</v>
      </c>
    </row>
    <row r="33" spans="2:5" ht="15" customHeight="1">
      <c r="B33" s="74"/>
      <c r="C33" s="44" t="s">
        <v>15</v>
      </c>
      <c r="D33" s="43">
        <v>1</v>
      </c>
      <c r="E33" s="42">
        <v>6.5359477124183009E-3</v>
      </c>
    </row>
    <row r="34" spans="2:5" ht="15" customHeight="1">
      <c r="B34" s="72" t="s">
        <v>35</v>
      </c>
      <c r="C34" s="47" t="s">
        <v>131</v>
      </c>
      <c r="D34" s="46">
        <v>1</v>
      </c>
      <c r="E34" s="45">
        <v>6.5359477124183009E-3</v>
      </c>
    </row>
    <row r="35" spans="2:5" ht="15" customHeight="1">
      <c r="B35" s="73"/>
      <c r="C35" s="47" t="s">
        <v>132</v>
      </c>
      <c r="D35" s="46">
        <v>1</v>
      </c>
      <c r="E35" s="45">
        <v>6.5359477124183009E-3</v>
      </c>
    </row>
    <row r="36" spans="2:5" ht="15" customHeight="1">
      <c r="B36" s="73"/>
      <c r="C36" s="47" t="s">
        <v>72</v>
      </c>
      <c r="D36" s="46">
        <v>1</v>
      </c>
      <c r="E36" s="45">
        <v>6.5359477124183009E-3</v>
      </c>
    </row>
    <row r="37" spans="2:5" ht="15" customHeight="1">
      <c r="B37" s="73"/>
      <c r="C37" s="47" t="s">
        <v>71</v>
      </c>
      <c r="D37" s="46">
        <v>2</v>
      </c>
      <c r="E37" s="45">
        <v>1.3071895424836602E-2</v>
      </c>
    </row>
    <row r="38" spans="2:5" ht="15" customHeight="1">
      <c r="B38" s="73"/>
      <c r="C38" s="47" t="s">
        <v>70</v>
      </c>
      <c r="D38" s="46">
        <v>1</v>
      </c>
      <c r="E38" s="45">
        <v>6.5359477124183009E-3</v>
      </c>
    </row>
    <row r="39" spans="2:5" ht="15" customHeight="1">
      <c r="B39" s="74"/>
      <c r="C39" s="44" t="s">
        <v>15</v>
      </c>
      <c r="D39" s="43">
        <v>6</v>
      </c>
      <c r="E39" s="42">
        <v>3.9215686274509803E-2</v>
      </c>
    </row>
    <row r="40" spans="2:5" ht="15" customHeight="1">
      <c r="B40" s="72" t="s">
        <v>25</v>
      </c>
      <c r="C40" s="47" t="s">
        <v>133</v>
      </c>
      <c r="D40" s="46">
        <v>1</v>
      </c>
      <c r="E40" s="45">
        <v>6.5359477124183009E-3</v>
      </c>
    </row>
    <row r="41" spans="2:5" ht="15" customHeight="1">
      <c r="B41" s="74"/>
      <c r="C41" s="44" t="s">
        <v>15</v>
      </c>
      <c r="D41" s="43">
        <v>1</v>
      </c>
      <c r="E41" s="42">
        <v>6.5359477124183009E-3</v>
      </c>
    </row>
    <row r="42" spans="2:5" ht="15" customHeight="1">
      <c r="B42" s="72" t="s">
        <v>38</v>
      </c>
      <c r="C42" s="47" t="s">
        <v>134</v>
      </c>
      <c r="D42" s="46">
        <v>1</v>
      </c>
      <c r="E42" s="45">
        <v>6.5359477124183009E-3</v>
      </c>
    </row>
    <row r="43" spans="2:5" ht="15" customHeight="1">
      <c r="B43" s="73"/>
      <c r="C43" s="47" t="s">
        <v>135</v>
      </c>
      <c r="D43" s="46">
        <v>1</v>
      </c>
      <c r="E43" s="45">
        <v>6.5359477124183009E-3</v>
      </c>
    </row>
    <row r="44" spans="2:5" ht="15" customHeight="1">
      <c r="B44" s="73"/>
      <c r="C44" s="47" t="s">
        <v>136</v>
      </c>
      <c r="D44" s="46">
        <v>3</v>
      </c>
      <c r="E44" s="45">
        <v>1.9607843137254902E-2</v>
      </c>
    </row>
    <row r="45" spans="2:5" ht="15" customHeight="1">
      <c r="B45" s="74"/>
      <c r="C45" s="44" t="s">
        <v>15</v>
      </c>
      <c r="D45" s="43">
        <v>5</v>
      </c>
      <c r="E45" s="42">
        <v>3.2679738562091505E-2</v>
      </c>
    </row>
    <row r="46" spans="2:5" ht="15" customHeight="1">
      <c r="B46" s="72" t="s">
        <v>137</v>
      </c>
      <c r="C46" s="47" t="s">
        <v>138</v>
      </c>
      <c r="D46" s="46">
        <v>1</v>
      </c>
      <c r="E46" s="45">
        <v>6.5359477124183009E-3</v>
      </c>
    </row>
    <row r="47" spans="2:5" ht="15" customHeight="1">
      <c r="B47" s="73"/>
      <c r="C47" s="47" t="s">
        <v>139</v>
      </c>
      <c r="D47" s="46">
        <v>1</v>
      </c>
      <c r="E47" s="45">
        <v>6.5359477124183009E-3</v>
      </c>
    </row>
    <row r="48" spans="2:5" ht="15" customHeight="1">
      <c r="B48" s="73"/>
      <c r="C48" s="47" t="s">
        <v>140</v>
      </c>
      <c r="D48" s="46">
        <v>1</v>
      </c>
      <c r="E48" s="45">
        <v>6.5359477124183009E-3</v>
      </c>
    </row>
    <row r="49" spans="2:5" ht="15" customHeight="1">
      <c r="B49" s="73"/>
      <c r="C49" s="47" t="s">
        <v>69</v>
      </c>
      <c r="D49" s="46">
        <v>6</v>
      </c>
      <c r="E49" s="45">
        <v>3.9215686274509803E-2</v>
      </c>
    </row>
    <row r="50" spans="2:5" ht="15" customHeight="1">
      <c r="B50" s="73"/>
      <c r="C50" s="47" t="s">
        <v>141</v>
      </c>
      <c r="D50" s="46">
        <v>1</v>
      </c>
      <c r="E50" s="45">
        <v>6.5359477124183009E-3</v>
      </c>
    </row>
    <row r="51" spans="2:5" ht="15" customHeight="1">
      <c r="B51" s="73"/>
      <c r="C51" s="47" t="s">
        <v>142</v>
      </c>
      <c r="D51" s="46">
        <v>1</v>
      </c>
      <c r="E51" s="45">
        <v>6.5359477124183009E-3</v>
      </c>
    </row>
    <row r="52" spans="2:5" ht="15" customHeight="1">
      <c r="B52" s="74"/>
      <c r="C52" s="47" t="s">
        <v>143</v>
      </c>
      <c r="D52" s="46">
        <v>1</v>
      </c>
      <c r="E52" s="45">
        <v>6.5359477124183009E-3</v>
      </c>
    </row>
    <row r="53" spans="2:5" ht="15" customHeight="1">
      <c r="B53" s="61" t="s">
        <v>34</v>
      </c>
      <c r="C53" s="44" t="s">
        <v>15</v>
      </c>
      <c r="D53" s="43">
        <v>12</v>
      </c>
      <c r="E53" s="42">
        <v>7.8431372549019607E-2</v>
      </c>
    </row>
    <row r="54" spans="2:5" ht="15" customHeight="1">
      <c r="B54" s="72" t="s">
        <v>144</v>
      </c>
      <c r="C54" s="47" t="s">
        <v>68</v>
      </c>
      <c r="D54" s="46">
        <v>2</v>
      </c>
      <c r="E54" s="45">
        <v>1.3071895424836602E-2</v>
      </c>
    </row>
    <row r="55" spans="2:5" ht="15" customHeight="1">
      <c r="B55" s="73"/>
      <c r="C55" s="47" t="s">
        <v>145</v>
      </c>
      <c r="D55" s="46">
        <v>1</v>
      </c>
      <c r="E55" s="45">
        <v>6.5359477124183009E-3</v>
      </c>
    </row>
    <row r="56" spans="2:5" ht="15" customHeight="1">
      <c r="B56" s="73"/>
      <c r="C56" s="47" t="s">
        <v>146</v>
      </c>
      <c r="D56" s="46">
        <v>1</v>
      </c>
      <c r="E56" s="45">
        <v>6.5359477124183009E-3</v>
      </c>
    </row>
    <row r="57" spans="2:5" ht="15" customHeight="1">
      <c r="B57" s="73"/>
      <c r="C57" s="47" t="s">
        <v>147</v>
      </c>
      <c r="D57" s="46">
        <v>1</v>
      </c>
      <c r="E57" s="45">
        <v>6.5359477124183009E-3</v>
      </c>
    </row>
    <row r="58" spans="2:5" ht="15" customHeight="1">
      <c r="B58" s="73"/>
      <c r="C58" s="47" t="s">
        <v>148</v>
      </c>
      <c r="D58" s="46">
        <v>2</v>
      </c>
      <c r="E58" s="45">
        <v>1.3071895424836602E-2</v>
      </c>
    </row>
    <row r="59" spans="2:5" ht="15" customHeight="1">
      <c r="B59" s="73"/>
      <c r="C59" s="47" t="s">
        <v>67</v>
      </c>
      <c r="D59" s="46">
        <v>1</v>
      </c>
      <c r="E59" s="45">
        <v>6.5359477124183009E-3</v>
      </c>
    </row>
    <row r="60" spans="2:5" ht="15" customHeight="1">
      <c r="B60" s="73"/>
      <c r="C60" s="47" t="s">
        <v>66</v>
      </c>
      <c r="D60" s="46">
        <v>6</v>
      </c>
      <c r="E60" s="45">
        <v>3.9215686274509803E-2</v>
      </c>
    </row>
    <row r="61" spans="2:5" ht="15" customHeight="1">
      <c r="B61" s="73"/>
      <c r="C61" s="47" t="s">
        <v>65</v>
      </c>
      <c r="D61" s="46">
        <v>1</v>
      </c>
      <c r="E61" s="45">
        <v>6.5359477124183009E-3</v>
      </c>
    </row>
    <row r="62" spans="2:5" ht="15" customHeight="1">
      <c r="B62" s="74"/>
      <c r="C62" s="44" t="s">
        <v>15</v>
      </c>
      <c r="D62" s="43">
        <v>15</v>
      </c>
      <c r="E62" s="42">
        <v>9.8039215686274508E-2</v>
      </c>
    </row>
    <row r="63" spans="2:5" ht="15" customHeight="1">
      <c r="B63" s="72" t="s">
        <v>18</v>
      </c>
      <c r="C63" s="47" t="s">
        <v>149</v>
      </c>
      <c r="D63" s="46">
        <v>1</v>
      </c>
      <c r="E63" s="45">
        <v>6.5359477124183009E-3</v>
      </c>
    </row>
    <row r="64" spans="2:5" ht="15" customHeight="1">
      <c r="B64" s="74"/>
      <c r="C64" s="44" t="s">
        <v>15</v>
      </c>
      <c r="D64" s="43">
        <v>1</v>
      </c>
      <c r="E64" s="42">
        <v>6.5359477124183009E-3</v>
      </c>
    </row>
    <row r="65" spans="2:5" ht="15" customHeight="1">
      <c r="B65" s="72" t="s">
        <v>40</v>
      </c>
      <c r="C65" s="47" t="s">
        <v>64</v>
      </c>
      <c r="D65" s="46">
        <v>1</v>
      </c>
      <c r="E65" s="45">
        <v>6.5359477124183009E-3</v>
      </c>
    </row>
    <row r="66" spans="2:5" ht="15" customHeight="1">
      <c r="B66" s="73"/>
      <c r="C66" s="47" t="s">
        <v>63</v>
      </c>
      <c r="D66" s="46">
        <v>1</v>
      </c>
      <c r="E66" s="45">
        <v>6.5359477124183009E-3</v>
      </c>
    </row>
    <row r="67" spans="2:5" ht="15" customHeight="1">
      <c r="B67" s="73"/>
      <c r="C67" s="47" t="s">
        <v>54</v>
      </c>
      <c r="D67" s="46">
        <v>1</v>
      </c>
      <c r="E67" s="45">
        <v>6.5359477124183009E-3</v>
      </c>
    </row>
    <row r="68" spans="2:5" ht="15" customHeight="1">
      <c r="B68" s="73"/>
      <c r="C68" s="47" t="s">
        <v>62</v>
      </c>
      <c r="D68" s="46">
        <v>3</v>
      </c>
      <c r="E68" s="45">
        <v>1.9607843137254902E-2</v>
      </c>
    </row>
    <row r="69" spans="2:5" ht="15" customHeight="1">
      <c r="B69" s="73"/>
      <c r="C69" s="47" t="s">
        <v>61</v>
      </c>
      <c r="D69" s="46">
        <v>2</v>
      </c>
      <c r="E69" s="45">
        <v>1.3071895424836602E-2</v>
      </c>
    </row>
    <row r="70" spans="2:5" ht="15" customHeight="1">
      <c r="B70" s="73"/>
      <c r="C70" s="47" t="s">
        <v>60</v>
      </c>
      <c r="D70" s="46">
        <v>1</v>
      </c>
      <c r="E70" s="45">
        <v>6.5359477124183009E-3</v>
      </c>
    </row>
    <row r="71" spans="2:5" ht="15" customHeight="1">
      <c r="B71" s="73"/>
      <c r="C71" s="47" t="s">
        <v>59</v>
      </c>
      <c r="D71" s="46">
        <v>1</v>
      </c>
      <c r="E71" s="45">
        <v>6.5359477124183009E-3</v>
      </c>
    </row>
    <row r="72" spans="2:5" ht="15" customHeight="1">
      <c r="B72" s="73"/>
      <c r="C72" s="47" t="s">
        <v>58</v>
      </c>
      <c r="D72" s="46">
        <v>2</v>
      </c>
      <c r="E72" s="45">
        <v>1.3071895424836602E-2</v>
      </c>
    </row>
    <row r="73" spans="2:5" ht="15" customHeight="1">
      <c r="B73" s="73"/>
      <c r="C73" s="47" t="s">
        <v>150</v>
      </c>
      <c r="D73" s="46">
        <v>1</v>
      </c>
      <c r="E73" s="45">
        <v>6.5359477124183009E-3</v>
      </c>
    </row>
    <row r="74" spans="2:5" ht="15" customHeight="1">
      <c r="B74" s="73"/>
      <c r="C74" s="47" t="s">
        <v>57</v>
      </c>
      <c r="D74" s="46">
        <v>1</v>
      </c>
      <c r="E74" s="45">
        <v>6.5359477124183009E-3</v>
      </c>
    </row>
    <row r="75" spans="2:5" ht="15" customHeight="1">
      <c r="B75" s="74"/>
      <c r="C75" s="44" t="s">
        <v>15</v>
      </c>
      <c r="D75" s="43">
        <v>14</v>
      </c>
      <c r="E75" s="42">
        <v>9.1503267973856203E-2</v>
      </c>
    </row>
    <row r="76" spans="2:5" ht="15" customHeight="1">
      <c r="B76" s="72" t="s">
        <v>37</v>
      </c>
      <c r="C76" s="47" t="s">
        <v>151</v>
      </c>
      <c r="D76" s="46">
        <v>1</v>
      </c>
      <c r="E76" s="45">
        <v>6.5359477124183009E-3</v>
      </c>
    </row>
    <row r="77" spans="2:5" ht="15" customHeight="1">
      <c r="B77" s="73"/>
      <c r="C77" s="47" t="s">
        <v>152</v>
      </c>
      <c r="D77" s="46">
        <v>2</v>
      </c>
      <c r="E77" s="45">
        <v>1.3071895424836602E-2</v>
      </c>
    </row>
    <row r="78" spans="2:5" ht="15" customHeight="1">
      <c r="B78" s="73"/>
      <c r="C78" s="47" t="s">
        <v>153</v>
      </c>
      <c r="D78" s="46">
        <v>1</v>
      </c>
      <c r="E78" s="45">
        <v>6.5359477124183009E-3</v>
      </c>
    </row>
    <row r="79" spans="2:5" ht="15" customHeight="1">
      <c r="B79" s="73"/>
      <c r="C79" s="47" t="s">
        <v>56</v>
      </c>
      <c r="D79" s="46">
        <v>2</v>
      </c>
      <c r="E79" s="45">
        <v>1.3071895424836602E-2</v>
      </c>
    </row>
    <row r="80" spans="2:5" ht="15" customHeight="1">
      <c r="B80" s="73"/>
      <c r="C80" s="47" t="s">
        <v>154</v>
      </c>
      <c r="D80" s="46">
        <v>1</v>
      </c>
      <c r="E80" s="45">
        <v>6.5359477124183009E-3</v>
      </c>
    </row>
    <row r="81" spans="2:5" ht="15" customHeight="1">
      <c r="B81" s="73"/>
      <c r="C81" s="47" t="s">
        <v>155</v>
      </c>
      <c r="D81" s="46">
        <v>1</v>
      </c>
      <c r="E81" s="45">
        <v>6.5359477124183009E-3</v>
      </c>
    </row>
    <row r="82" spans="2:5" ht="15" customHeight="1">
      <c r="B82" s="73"/>
      <c r="C82" s="47" t="s">
        <v>156</v>
      </c>
      <c r="D82" s="46">
        <v>1</v>
      </c>
      <c r="E82" s="45">
        <v>6.5359477124183009E-3</v>
      </c>
    </row>
    <row r="83" spans="2:5" ht="15" customHeight="1">
      <c r="B83" s="73"/>
      <c r="C83" s="47" t="s">
        <v>55</v>
      </c>
      <c r="D83" s="46">
        <v>2</v>
      </c>
      <c r="E83" s="45">
        <v>1.3071895424836602E-2</v>
      </c>
    </row>
    <row r="84" spans="2:5" ht="15" customHeight="1">
      <c r="B84" s="74"/>
      <c r="C84" s="44" t="s">
        <v>15</v>
      </c>
      <c r="D84" s="43">
        <v>11</v>
      </c>
      <c r="E84" s="42">
        <v>7.1895424836601302E-2</v>
      </c>
    </row>
    <row r="85" spans="2:5" ht="15" customHeight="1">
      <c r="B85" s="72" t="s">
        <v>28</v>
      </c>
      <c r="C85" s="47" t="s">
        <v>157</v>
      </c>
      <c r="D85" s="46">
        <v>1</v>
      </c>
      <c r="E85" s="45">
        <v>6.5359477124183009E-3</v>
      </c>
    </row>
    <row r="86" spans="2:5" ht="15" customHeight="1">
      <c r="B86" s="73"/>
      <c r="C86" s="47" t="s">
        <v>158</v>
      </c>
      <c r="D86" s="46">
        <v>1</v>
      </c>
      <c r="E86" s="45">
        <v>6.5359477124183009E-3</v>
      </c>
    </row>
    <row r="87" spans="2:5" ht="15" customHeight="1">
      <c r="B87" s="73"/>
      <c r="C87" s="47" t="s">
        <v>159</v>
      </c>
      <c r="D87" s="46">
        <v>1</v>
      </c>
      <c r="E87" s="45">
        <v>6.5359477124183009E-3</v>
      </c>
    </row>
    <row r="88" spans="2:5" ht="15" customHeight="1">
      <c r="B88" s="74"/>
      <c r="C88" s="44" t="s">
        <v>15</v>
      </c>
      <c r="D88" s="43">
        <v>3</v>
      </c>
      <c r="E88" s="42">
        <v>1.9607843137254902E-2</v>
      </c>
    </row>
    <row r="89" spans="2:5" ht="15" customHeight="1">
      <c r="B89" s="72" t="s">
        <v>20</v>
      </c>
      <c r="C89" s="47" t="s">
        <v>160</v>
      </c>
      <c r="D89" s="46">
        <v>1</v>
      </c>
      <c r="E89" s="45">
        <v>6.5359477124183009E-3</v>
      </c>
    </row>
    <row r="90" spans="2:5" ht="15" customHeight="1">
      <c r="B90" s="73"/>
      <c r="C90" s="47" t="s">
        <v>161</v>
      </c>
      <c r="D90" s="46">
        <v>1</v>
      </c>
      <c r="E90" s="45">
        <v>6.5359477124183009E-3</v>
      </c>
    </row>
    <row r="91" spans="2:5" ht="15" customHeight="1">
      <c r="B91" s="74"/>
      <c r="C91" s="44" t="s">
        <v>15</v>
      </c>
      <c r="D91" s="43">
        <v>2</v>
      </c>
      <c r="E91" s="42">
        <v>1.3071895424836602E-2</v>
      </c>
    </row>
    <row r="92" spans="2:5" ht="15" customHeight="1">
      <c r="B92" s="72" t="s">
        <v>17</v>
      </c>
      <c r="C92" s="47" t="s">
        <v>162</v>
      </c>
      <c r="D92" s="46">
        <v>1</v>
      </c>
      <c r="E92" s="45">
        <v>6.5359477124183009E-3</v>
      </c>
    </row>
    <row r="93" spans="2:5" ht="15" customHeight="1">
      <c r="B93" s="73"/>
      <c r="C93" s="47" t="s">
        <v>163</v>
      </c>
      <c r="D93" s="46">
        <v>1</v>
      </c>
      <c r="E93" s="45">
        <v>6.5359477124183009E-3</v>
      </c>
    </row>
    <row r="94" spans="2:5" ht="15" customHeight="1">
      <c r="B94" s="74"/>
      <c r="C94" s="44" t="s">
        <v>15</v>
      </c>
      <c r="D94" s="43">
        <v>2</v>
      </c>
      <c r="E94" s="42">
        <v>1.3071895424836602E-2</v>
      </c>
    </row>
    <row r="95" spans="2:5" ht="15" customHeight="1">
      <c r="B95" s="72" t="s">
        <v>33</v>
      </c>
      <c r="C95" s="47" t="s">
        <v>164</v>
      </c>
      <c r="D95" s="46">
        <v>1</v>
      </c>
      <c r="E95" s="45">
        <v>6.5359477124183009E-3</v>
      </c>
    </row>
    <row r="96" spans="2:5" ht="15" customHeight="1">
      <c r="B96" s="73"/>
      <c r="C96" s="47" t="s">
        <v>165</v>
      </c>
      <c r="D96" s="46">
        <v>1</v>
      </c>
      <c r="E96" s="45">
        <v>6.5359477124183009E-3</v>
      </c>
    </row>
    <row r="97" spans="2:5" ht="15" customHeight="1">
      <c r="B97" s="73"/>
      <c r="C97" s="47" t="s">
        <v>166</v>
      </c>
      <c r="D97" s="46">
        <v>1</v>
      </c>
      <c r="E97" s="45">
        <v>6.5359477124183009E-3</v>
      </c>
    </row>
    <row r="98" spans="2:5" ht="15" customHeight="1">
      <c r="B98" s="73"/>
      <c r="C98" s="47" t="s">
        <v>53</v>
      </c>
      <c r="D98" s="46">
        <v>3</v>
      </c>
      <c r="E98" s="45">
        <v>1.9607843137254902E-2</v>
      </c>
    </row>
    <row r="99" spans="2:5" ht="15" customHeight="1">
      <c r="B99" s="73"/>
      <c r="C99" s="47" t="s">
        <v>167</v>
      </c>
      <c r="D99" s="46">
        <v>1</v>
      </c>
      <c r="E99" s="45">
        <v>6.5359477124183009E-3</v>
      </c>
    </row>
    <row r="100" spans="2:5" ht="15" customHeight="1">
      <c r="B100" s="74"/>
      <c r="C100" s="44" t="s">
        <v>15</v>
      </c>
      <c r="D100" s="43">
        <v>7</v>
      </c>
      <c r="E100" s="42">
        <v>4.5751633986928102E-2</v>
      </c>
    </row>
    <row r="101" spans="2:5" ht="15" customHeight="1">
      <c r="B101" s="72" t="s">
        <v>30</v>
      </c>
      <c r="C101" s="47" t="s">
        <v>52</v>
      </c>
      <c r="D101" s="46">
        <v>1</v>
      </c>
      <c r="E101" s="45">
        <v>6.5359477124183009E-3</v>
      </c>
    </row>
    <row r="102" spans="2:5" ht="15" customHeight="1">
      <c r="B102" s="73"/>
      <c r="C102" s="47" t="s">
        <v>168</v>
      </c>
      <c r="D102" s="46">
        <v>1</v>
      </c>
      <c r="E102" s="45">
        <v>6.5359477124183009E-3</v>
      </c>
    </row>
    <row r="103" spans="2:5" ht="15" customHeight="1">
      <c r="B103" s="73"/>
      <c r="C103" s="47" t="s">
        <v>30</v>
      </c>
      <c r="D103" s="46">
        <v>1</v>
      </c>
      <c r="E103" s="45">
        <v>6.5359477124183009E-3</v>
      </c>
    </row>
    <row r="104" spans="2:5" ht="15" customHeight="1">
      <c r="B104" s="73"/>
      <c r="C104" s="47" t="s">
        <v>169</v>
      </c>
      <c r="D104" s="46">
        <v>1</v>
      </c>
      <c r="E104" s="45">
        <v>6.5359477124183009E-3</v>
      </c>
    </row>
    <row r="105" spans="2:5" ht="15" customHeight="1">
      <c r="B105" s="73"/>
      <c r="C105" s="47" t="s">
        <v>170</v>
      </c>
      <c r="D105" s="46">
        <v>1</v>
      </c>
      <c r="E105" s="45">
        <v>6.5359477124183009E-3</v>
      </c>
    </row>
    <row r="106" spans="2:5" ht="15" customHeight="1">
      <c r="B106" s="73"/>
      <c r="C106" s="47" t="s">
        <v>51</v>
      </c>
      <c r="D106" s="46">
        <v>3</v>
      </c>
      <c r="E106" s="45">
        <v>1.9607843137254902E-2</v>
      </c>
    </row>
    <row r="107" spans="2:5" ht="15" customHeight="1">
      <c r="B107" s="73"/>
      <c r="C107" s="47" t="s">
        <v>171</v>
      </c>
      <c r="D107" s="46">
        <v>1</v>
      </c>
      <c r="E107" s="45">
        <v>6.5359477124183009E-3</v>
      </c>
    </row>
    <row r="108" spans="2:5" ht="15" customHeight="1">
      <c r="B108" s="74"/>
      <c r="C108" s="44" t="s">
        <v>15</v>
      </c>
      <c r="D108" s="43">
        <v>9</v>
      </c>
      <c r="E108" s="42">
        <v>5.8823529411764705E-2</v>
      </c>
    </row>
    <row r="109" spans="2:5" ht="15" customHeight="1">
      <c r="B109" s="72" t="s">
        <v>27</v>
      </c>
      <c r="C109" s="47" t="s">
        <v>172</v>
      </c>
      <c r="D109" s="46">
        <v>1</v>
      </c>
      <c r="E109" s="45">
        <v>6.5359477124183009E-3</v>
      </c>
    </row>
    <row r="110" spans="2:5" ht="15" customHeight="1">
      <c r="B110" s="73"/>
      <c r="C110" s="47" t="s">
        <v>173</v>
      </c>
      <c r="D110" s="46">
        <v>1</v>
      </c>
      <c r="E110" s="45">
        <v>6.5359477124183009E-3</v>
      </c>
    </row>
    <row r="111" spans="2:5" ht="15" customHeight="1">
      <c r="B111" s="73"/>
      <c r="C111" s="47" t="s">
        <v>174</v>
      </c>
      <c r="D111" s="46">
        <v>1</v>
      </c>
      <c r="E111" s="45">
        <v>6.5359477124183009E-3</v>
      </c>
    </row>
    <row r="112" spans="2:5" ht="15" customHeight="1">
      <c r="B112" s="73"/>
      <c r="C112" s="47" t="s">
        <v>175</v>
      </c>
      <c r="D112" s="46">
        <v>1</v>
      </c>
      <c r="E112" s="45">
        <v>6.5359477124183009E-3</v>
      </c>
    </row>
    <row r="113" spans="2:5" ht="15" customHeight="1">
      <c r="B113" s="74"/>
      <c r="C113" s="44" t="s">
        <v>15</v>
      </c>
      <c r="D113" s="43">
        <v>4</v>
      </c>
      <c r="E113" s="42">
        <v>2.6143790849673203E-2</v>
      </c>
    </row>
    <row r="114" spans="2:5" ht="15" customHeight="1">
      <c r="B114" s="72" t="s">
        <v>24</v>
      </c>
      <c r="C114" s="47" t="s">
        <v>50</v>
      </c>
      <c r="D114" s="46">
        <v>2</v>
      </c>
      <c r="E114" s="45">
        <v>1.3071895424836602E-2</v>
      </c>
    </row>
    <row r="115" spans="2:5" ht="15" customHeight="1">
      <c r="B115" s="73"/>
      <c r="C115" s="47" t="s">
        <v>176</v>
      </c>
      <c r="D115" s="46">
        <v>2</v>
      </c>
      <c r="E115" s="45">
        <v>1.3071895424836602E-2</v>
      </c>
    </row>
    <row r="116" spans="2:5" ht="15" customHeight="1">
      <c r="B116" s="73"/>
      <c r="C116" s="47" t="s">
        <v>177</v>
      </c>
      <c r="D116" s="46">
        <v>1</v>
      </c>
      <c r="E116" s="45">
        <v>6.5359477124183009E-3</v>
      </c>
    </row>
    <row r="117" spans="2:5" ht="15" customHeight="1">
      <c r="B117" s="73"/>
      <c r="C117" s="47" t="s">
        <v>178</v>
      </c>
      <c r="D117" s="46">
        <v>1</v>
      </c>
      <c r="E117" s="45">
        <v>6.5359477124183009E-3</v>
      </c>
    </row>
    <row r="118" spans="2:5" ht="15" customHeight="1">
      <c r="B118" s="74"/>
      <c r="C118" s="44" t="s">
        <v>15</v>
      </c>
      <c r="D118" s="43">
        <v>6</v>
      </c>
      <c r="E118" s="42">
        <v>3.9215686274509803E-2</v>
      </c>
    </row>
    <row r="119" spans="2:5" ht="15" customHeight="1">
      <c r="B119" s="72" t="s">
        <v>16</v>
      </c>
      <c r="C119" s="47" t="s">
        <v>49</v>
      </c>
      <c r="D119" s="46">
        <v>2</v>
      </c>
      <c r="E119" s="45">
        <v>1.3071895424836602E-2</v>
      </c>
    </row>
    <row r="120" spans="2:5" ht="15" customHeight="1">
      <c r="B120" s="73"/>
      <c r="C120" s="47" t="s">
        <v>179</v>
      </c>
      <c r="D120" s="46">
        <v>1</v>
      </c>
      <c r="E120" s="45">
        <v>6.5359477124183009E-3</v>
      </c>
    </row>
    <row r="121" spans="2:5" ht="15" customHeight="1">
      <c r="B121" s="73"/>
      <c r="C121" s="47" t="s">
        <v>180</v>
      </c>
      <c r="D121" s="46">
        <v>2</v>
      </c>
      <c r="E121" s="45">
        <v>1.3071895424836602E-2</v>
      </c>
    </row>
    <row r="122" spans="2:5" ht="15" customHeight="1">
      <c r="B122" s="74"/>
      <c r="C122" s="44" t="s">
        <v>15</v>
      </c>
      <c r="D122" s="43">
        <v>5</v>
      </c>
      <c r="E122" s="42">
        <v>3.2679738562091505E-2</v>
      </c>
    </row>
    <row r="123" spans="2:5" ht="15" customHeight="1">
      <c r="B123" s="72" t="s">
        <v>23</v>
      </c>
      <c r="C123" s="47" t="s">
        <v>48</v>
      </c>
      <c r="D123" s="46">
        <v>2</v>
      </c>
      <c r="E123" s="45">
        <v>1.3071895424836602E-2</v>
      </c>
    </row>
    <row r="124" spans="2:5" ht="15" customHeight="1">
      <c r="B124" s="74"/>
      <c r="C124" s="44" t="s">
        <v>15</v>
      </c>
      <c r="D124" s="43">
        <v>2</v>
      </c>
      <c r="E124" s="42">
        <v>1.3071895424836602E-2</v>
      </c>
    </row>
    <row r="125" spans="2:5" ht="15" customHeight="1">
      <c r="B125" s="72" t="s">
        <v>29</v>
      </c>
      <c r="C125" s="47" t="s">
        <v>46</v>
      </c>
      <c r="D125" s="46">
        <v>1</v>
      </c>
      <c r="E125" s="45">
        <v>6.5359477124183009E-3</v>
      </c>
    </row>
    <row r="126" spans="2:5" ht="15" customHeight="1">
      <c r="B126" s="74"/>
      <c r="C126" s="44" t="s">
        <v>15</v>
      </c>
      <c r="D126" s="43">
        <v>1</v>
      </c>
      <c r="E126" s="42">
        <v>6.5359477124183009E-3</v>
      </c>
    </row>
    <row r="127" spans="2:5" ht="15" customHeight="1">
      <c r="B127" s="72" t="s">
        <v>36</v>
      </c>
      <c r="C127" s="47" t="s">
        <v>181</v>
      </c>
      <c r="D127" s="46">
        <v>2</v>
      </c>
      <c r="E127" s="45">
        <v>1.3071895424836602E-2</v>
      </c>
    </row>
    <row r="128" spans="2:5" ht="15" customHeight="1">
      <c r="B128" s="73"/>
      <c r="C128" s="47" t="s">
        <v>182</v>
      </c>
      <c r="D128" s="46">
        <v>1</v>
      </c>
      <c r="E128" s="45">
        <v>6.5359477124183009E-3</v>
      </c>
    </row>
    <row r="129" spans="2:6" ht="15" customHeight="1">
      <c r="B129" s="73"/>
      <c r="C129" s="47" t="s">
        <v>183</v>
      </c>
      <c r="D129" s="46">
        <v>1</v>
      </c>
      <c r="E129" s="45">
        <v>6.5359477124183009E-3</v>
      </c>
    </row>
    <row r="130" spans="2:6" ht="15" customHeight="1">
      <c r="B130" s="73"/>
      <c r="C130" s="47" t="s">
        <v>184</v>
      </c>
      <c r="D130" s="46">
        <v>1</v>
      </c>
      <c r="E130" s="45">
        <v>6.5359477124183009E-3</v>
      </c>
    </row>
    <row r="131" spans="2:6" ht="15" customHeight="1">
      <c r="B131" s="73"/>
      <c r="C131" s="47" t="s">
        <v>45</v>
      </c>
      <c r="D131" s="46">
        <v>1</v>
      </c>
      <c r="E131" s="45">
        <v>6.5359477124183009E-3</v>
      </c>
    </row>
    <row r="132" spans="2:6" ht="15" customHeight="1">
      <c r="B132" s="73"/>
      <c r="C132" s="47" t="s">
        <v>185</v>
      </c>
      <c r="D132" s="46">
        <v>3</v>
      </c>
      <c r="E132" s="45">
        <v>1.9607843137254902E-2</v>
      </c>
    </row>
    <row r="133" spans="2:6" ht="15" customHeight="1">
      <c r="B133" s="73"/>
      <c r="C133" s="47" t="s">
        <v>186</v>
      </c>
      <c r="D133" s="46">
        <v>1</v>
      </c>
      <c r="E133" s="45">
        <v>6.5359477124183009E-3</v>
      </c>
    </row>
    <row r="134" spans="2:6" ht="15" customHeight="1">
      <c r="B134" s="73"/>
      <c r="C134" s="47" t="s">
        <v>187</v>
      </c>
      <c r="D134" s="46">
        <v>1</v>
      </c>
      <c r="E134" s="45">
        <v>6.5359477124183009E-3</v>
      </c>
    </row>
    <row r="135" spans="2:6" ht="15" customHeight="1">
      <c r="B135" s="73"/>
      <c r="C135" s="47" t="s">
        <v>188</v>
      </c>
      <c r="D135" s="46">
        <v>1</v>
      </c>
      <c r="E135" s="45">
        <v>6.5359477124183009E-3</v>
      </c>
    </row>
    <row r="136" spans="2:6" ht="15" customHeight="1">
      <c r="B136" s="74"/>
      <c r="C136" s="44" t="s">
        <v>15</v>
      </c>
      <c r="D136" s="43">
        <v>12</v>
      </c>
      <c r="E136" s="42">
        <v>7.8431372549019607E-2</v>
      </c>
    </row>
    <row r="137" spans="2:6" ht="15" customHeight="1">
      <c r="B137" s="72" t="s">
        <v>26</v>
      </c>
      <c r="C137" s="47" t="s">
        <v>189</v>
      </c>
      <c r="D137" s="46">
        <v>1</v>
      </c>
      <c r="E137" s="45">
        <v>6.5359477124183009E-3</v>
      </c>
    </row>
    <row r="138" spans="2:6" ht="15" customHeight="1">
      <c r="B138" s="73"/>
      <c r="C138" s="47" t="s">
        <v>44</v>
      </c>
      <c r="D138" s="46">
        <v>1</v>
      </c>
      <c r="E138" s="45">
        <v>6.5359477124183009E-3</v>
      </c>
    </row>
    <row r="139" spans="2:6" ht="15" customHeight="1">
      <c r="B139" s="73"/>
      <c r="C139" s="47" t="s">
        <v>190</v>
      </c>
      <c r="D139" s="46">
        <v>1</v>
      </c>
      <c r="E139" s="45">
        <v>6.5359477124183009E-3</v>
      </c>
    </row>
    <row r="140" spans="2:6" ht="15" customHeight="1">
      <c r="B140" s="74"/>
      <c r="C140" s="44" t="s">
        <v>15</v>
      </c>
      <c r="D140" s="43">
        <v>3</v>
      </c>
      <c r="E140" s="42">
        <v>1.9607843137254902E-2</v>
      </c>
    </row>
    <row r="141" spans="2:6" ht="15" customHeight="1">
      <c r="B141" s="75" t="s">
        <v>15</v>
      </c>
      <c r="C141" s="76"/>
      <c r="D141" s="41">
        <f>SUMIF(C$10:C140,"Total",D$10:D140)</f>
        <v>153</v>
      </c>
      <c r="E141" s="40">
        <v>1</v>
      </c>
    </row>
    <row r="143" spans="2:6" ht="15" customHeight="1">
      <c r="B143" s="17"/>
      <c r="C143" s="19" t="s">
        <v>120</v>
      </c>
      <c r="D143"/>
      <c r="E143"/>
      <c r="F143" s="17"/>
    </row>
    <row r="144" spans="2:6" ht="15" customHeight="1">
      <c r="B144" s="17"/>
      <c r="C144" s="21" t="s">
        <v>14</v>
      </c>
      <c r="D144"/>
      <c r="E144"/>
      <c r="F144" s="17"/>
    </row>
    <row r="145" spans="2:6" ht="15" customHeight="1">
      <c r="B145" s="17"/>
      <c r="C145" s="20" t="s">
        <v>13</v>
      </c>
      <c r="D145"/>
      <c r="E145"/>
      <c r="F145" s="17"/>
    </row>
    <row r="146" spans="2:6" ht="15" customHeight="1">
      <c r="B146" s="17"/>
      <c r="C146" s="19" t="s">
        <v>12</v>
      </c>
      <c r="D146"/>
      <c r="E146"/>
      <c r="F146" s="17"/>
    </row>
    <row r="147" spans="2:6" ht="15" customHeight="1">
      <c r="B147" s="17"/>
      <c r="C147" s="19" t="s">
        <v>121</v>
      </c>
      <c r="D147"/>
      <c r="E147"/>
      <c r="F147" s="17"/>
    </row>
    <row r="306" spans="1:2" s="37" customFormat="1" ht="15" customHeight="1">
      <c r="A306" s="36"/>
      <c r="B306" s="38"/>
    </row>
    <row r="307" spans="1:2" s="37" customFormat="1" ht="15" customHeight="1">
      <c r="A307" s="36"/>
      <c r="B307" s="39"/>
    </row>
    <row r="308" spans="1:2" s="37" customFormat="1" ht="15" customHeight="1">
      <c r="A308" s="36"/>
      <c r="B308" s="39"/>
    </row>
    <row r="309" spans="1:2" s="37" customFormat="1" ht="15" customHeight="1">
      <c r="A309" s="36"/>
      <c r="B309" s="38"/>
    </row>
    <row r="310" spans="1:2" s="37" customFormat="1" ht="15" customHeight="1">
      <c r="A310" s="36"/>
      <c r="B310" s="38"/>
    </row>
  </sheetData>
  <mergeCells count="29">
    <mergeCell ref="B23:B26"/>
    <mergeCell ref="B7:E8"/>
    <mergeCell ref="B10:B12"/>
    <mergeCell ref="B13:B15"/>
    <mergeCell ref="B16:B17"/>
    <mergeCell ref="B18:B22"/>
    <mergeCell ref="B125:B126"/>
    <mergeCell ref="B127:B136"/>
    <mergeCell ref="B137:B140"/>
    <mergeCell ref="B141:C141"/>
    <mergeCell ref="B27:B31"/>
    <mergeCell ref="B32:B33"/>
    <mergeCell ref="B34:B39"/>
    <mergeCell ref="B40:B41"/>
    <mergeCell ref="B42:B45"/>
    <mergeCell ref="B46:B52"/>
    <mergeCell ref="B54:B62"/>
    <mergeCell ref="B63:B64"/>
    <mergeCell ref="B65:B75"/>
    <mergeCell ref="B76:B84"/>
    <mergeCell ref="B85:B88"/>
    <mergeCell ref="B89:B91"/>
    <mergeCell ref="B92:B94"/>
    <mergeCell ref="B95:B100"/>
    <mergeCell ref="B101:B108"/>
    <mergeCell ref="B109:B113"/>
    <mergeCell ref="B114:B118"/>
    <mergeCell ref="B119:B122"/>
    <mergeCell ref="B123:B124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3"/>
  <sheetViews>
    <sheetView showGridLines="0" topLeftCell="A10" zoomScaleNormal="100" zoomScaleSheetLayoutView="115" workbookViewId="0">
      <selection activeCell="C36" sqref="C36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1" t="s">
        <v>92</v>
      </c>
      <c r="C7" s="71"/>
      <c r="D7" s="71"/>
    </row>
    <row r="8" spans="1:4" s="29" customFormat="1" ht="15" customHeight="1">
      <c r="B8" s="71"/>
      <c r="C8" s="71"/>
      <c r="D8" s="71"/>
    </row>
    <row r="9" spans="1:4" s="29" customFormat="1" ht="33" customHeight="1">
      <c r="B9" s="71"/>
      <c r="C9" s="71"/>
      <c r="D9" s="7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91</v>
      </c>
      <c r="C11" s="31" t="s">
        <v>42</v>
      </c>
      <c r="D11" s="30" t="s">
        <v>41</v>
      </c>
    </row>
    <row r="12" spans="1:4">
      <c r="B12" s="27" t="s">
        <v>90</v>
      </c>
      <c r="C12" s="26">
        <v>2</v>
      </c>
      <c r="D12" s="25">
        <v>1.3071895424836602E-2</v>
      </c>
    </row>
    <row r="13" spans="1:4">
      <c r="B13" s="27" t="s">
        <v>89</v>
      </c>
      <c r="C13" s="26">
        <v>1</v>
      </c>
      <c r="D13" s="25">
        <v>6.5359477124183009E-3</v>
      </c>
    </row>
    <row r="14" spans="1:4">
      <c r="A14" s="28"/>
      <c r="B14" s="27" t="s">
        <v>191</v>
      </c>
      <c r="C14" s="26">
        <v>1</v>
      </c>
      <c r="D14" s="25">
        <v>6.5359477124183009E-3</v>
      </c>
    </row>
    <row r="15" spans="1:4">
      <c r="A15" s="28"/>
      <c r="B15" s="27" t="s">
        <v>88</v>
      </c>
      <c r="C15" s="26">
        <v>4</v>
      </c>
      <c r="D15" s="25">
        <v>2.6143790849673203E-2</v>
      </c>
    </row>
    <row r="16" spans="1:4">
      <c r="B16" s="27" t="s">
        <v>87</v>
      </c>
      <c r="C16" s="26">
        <v>9</v>
      </c>
      <c r="D16" s="25">
        <v>5.8823529411764705E-2</v>
      </c>
    </row>
    <row r="17" spans="2:4">
      <c r="B17" s="27" t="s">
        <v>86</v>
      </c>
      <c r="C17" s="26">
        <v>32</v>
      </c>
      <c r="D17" s="25">
        <v>0.20915032679738563</v>
      </c>
    </row>
    <row r="18" spans="2:4">
      <c r="B18" s="27" t="s">
        <v>192</v>
      </c>
      <c r="C18" s="26">
        <v>4</v>
      </c>
      <c r="D18" s="25">
        <v>2.6143790849673203E-2</v>
      </c>
    </row>
    <row r="19" spans="2:4">
      <c r="B19" s="27" t="s">
        <v>85</v>
      </c>
      <c r="C19" s="26">
        <v>55</v>
      </c>
      <c r="D19" s="25">
        <v>0.35947712418300654</v>
      </c>
    </row>
    <row r="20" spans="2:4">
      <c r="B20" s="27" t="s">
        <v>84</v>
      </c>
      <c r="C20" s="26">
        <v>1</v>
      </c>
      <c r="D20" s="25">
        <v>6.5359477124183009E-3</v>
      </c>
    </row>
    <row r="21" spans="2:4">
      <c r="B21" s="27" t="s">
        <v>83</v>
      </c>
      <c r="C21" s="26">
        <v>4</v>
      </c>
      <c r="D21" s="25">
        <v>2.6143790849673203E-2</v>
      </c>
    </row>
    <row r="22" spans="2:4">
      <c r="B22" s="27" t="s">
        <v>82</v>
      </c>
      <c r="C22" s="26">
        <v>30</v>
      </c>
      <c r="D22" s="25">
        <v>0.19607843137254902</v>
      </c>
    </row>
    <row r="23" spans="2:4">
      <c r="B23" s="27" t="s">
        <v>81</v>
      </c>
      <c r="C23" s="26">
        <v>1</v>
      </c>
      <c r="D23" s="25">
        <v>6.5359477124183009E-3</v>
      </c>
    </row>
    <row r="24" spans="2:4">
      <c r="B24" s="27" t="s">
        <v>80</v>
      </c>
      <c r="C24" s="26">
        <v>2</v>
      </c>
      <c r="D24" s="25">
        <v>1.3071895424836602E-2</v>
      </c>
    </row>
    <row r="25" spans="2:4">
      <c r="B25" s="27" t="s">
        <v>79</v>
      </c>
      <c r="C25" s="26">
        <v>6</v>
      </c>
      <c r="D25" s="25">
        <v>3.9215686274509803E-2</v>
      </c>
    </row>
    <row r="26" spans="2:4">
      <c r="B26" s="27" t="s">
        <v>193</v>
      </c>
      <c r="C26" s="26">
        <v>1</v>
      </c>
      <c r="D26" s="25">
        <v>6.5359477124183009E-3</v>
      </c>
    </row>
    <row r="27" spans="2:4">
      <c r="B27" s="24" t="s">
        <v>15</v>
      </c>
      <c r="C27" s="23">
        <v>153</v>
      </c>
      <c r="D27" s="22">
        <v>1</v>
      </c>
    </row>
    <row r="29" spans="2:4">
      <c r="B29" s="19" t="s">
        <v>120</v>
      </c>
      <c r="C29"/>
      <c r="D29"/>
    </row>
    <row r="30" spans="2:4">
      <c r="B30" s="21" t="s">
        <v>14</v>
      </c>
      <c r="C30"/>
      <c r="D30"/>
    </row>
    <row r="31" spans="2:4">
      <c r="B31" s="20" t="s">
        <v>13</v>
      </c>
      <c r="C31"/>
      <c r="D31"/>
    </row>
    <row r="32" spans="2:4">
      <c r="B32" s="19" t="s">
        <v>12</v>
      </c>
      <c r="C32"/>
      <c r="D32"/>
    </row>
    <row r="33" spans="2:4">
      <c r="B33" s="19" t="s">
        <v>121</v>
      </c>
      <c r="C33"/>
      <c r="D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20"/>
  <sheetViews>
    <sheetView topLeftCell="A95" zoomScale="110" zoomScaleNormal="110" zoomScaleSheetLayoutView="100" workbookViewId="0">
      <selection activeCell="D114" sqref="D1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91</v>
      </c>
      <c r="C9" s="51" t="s">
        <v>43</v>
      </c>
      <c r="D9" s="50" t="s">
        <v>42</v>
      </c>
      <c r="E9" s="49" t="s">
        <v>41</v>
      </c>
    </row>
    <row r="10" spans="1:5" ht="15" customHeight="1">
      <c r="B10" s="72" t="s">
        <v>90</v>
      </c>
      <c r="C10" s="47" t="s">
        <v>39</v>
      </c>
      <c r="D10" s="46">
        <v>1</v>
      </c>
      <c r="E10" s="45">
        <v>6.5359477124183009E-3</v>
      </c>
    </row>
    <row r="11" spans="1:5" ht="15" customHeight="1">
      <c r="B11" s="73"/>
      <c r="C11" s="47" t="s">
        <v>33</v>
      </c>
      <c r="D11" s="46">
        <v>1</v>
      </c>
      <c r="E11" s="45">
        <v>6.5359477124183009E-3</v>
      </c>
    </row>
    <row r="12" spans="1:5" ht="15" customHeight="1">
      <c r="B12" s="74"/>
      <c r="C12" s="44" t="s">
        <v>15</v>
      </c>
      <c r="D12" s="43">
        <v>2</v>
      </c>
      <c r="E12" s="42">
        <v>1.3071895424836602E-2</v>
      </c>
    </row>
    <row r="13" spans="1:5" ht="15" customHeight="1">
      <c r="B13" s="72" t="s">
        <v>89</v>
      </c>
      <c r="C13" s="47" t="s">
        <v>40</v>
      </c>
      <c r="D13" s="46">
        <v>1</v>
      </c>
      <c r="E13" s="45">
        <v>6.5359477124183009E-3</v>
      </c>
    </row>
    <row r="14" spans="1:5" ht="15" customHeight="1">
      <c r="B14" s="74"/>
      <c r="C14" s="44" t="s">
        <v>15</v>
      </c>
      <c r="D14" s="43">
        <v>1</v>
      </c>
      <c r="E14" s="42">
        <v>6.5359477124183009E-3</v>
      </c>
    </row>
    <row r="15" spans="1:5" ht="15" customHeight="1">
      <c r="B15" s="72" t="s">
        <v>191</v>
      </c>
      <c r="C15" s="47" t="s">
        <v>40</v>
      </c>
      <c r="D15" s="46">
        <v>1</v>
      </c>
      <c r="E15" s="45">
        <v>6.5359477124183009E-3</v>
      </c>
    </row>
    <row r="16" spans="1:5" ht="15" customHeight="1">
      <c r="B16" s="74"/>
      <c r="C16" s="44" t="s">
        <v>15</v>
      </c>
      <c r="D16" s="43">
        <v>1</v>
      </c>
      <c r="E16" s="42">
        <v>6.5359477124183009E-3</v>
      </c>
    </row>
    <row r="17" spans="2:5" ht="15" customHeight="1">
      <c r="B17" s="72" t="s">
        <v>88</v>
      </c>
      <c r="C17" s="47" t="s">
        <v>39</v>
      </c>
      <c r="D17" s="46">
        <v>2</v>
      </c>
      <c r="E17" s="45">
        <v>1.3071895424836602E-2</v>
      </c>
    </row>
    <row r="18" spans="2:5" ht="15" customHeight="1">
      <c r="B18" s="73"/>
      <c r="C18" s="47" t="s">
        <v>40</v>
      </c>
      <c r="D18" s="46">
        <v>1</v>
      </c>
      <c r="E18" s="45">
        <v>6.5359477124183009E-3</v>
      </c>
    </row>
    <row r="19" spans="2:5" ht="15" customHeight="1">
      <c r="B19" s="73"/>
      <c r="C19" s="47" t="s">
        <v>28</v>
      </c>
      <c r="D19" s="46">
        <v>1</v>
      </c>
      <c r="E19" s="45">
        <v>6.5359477124183009E-3</v>
      </c>
    </row>
    <row r="20" spans="2:5" ht="15" customHeight="1">
      <c r="B20" s="74"/>
      <c r="C20" s="44" t="s">
        <v>15</v>
      </c>
      <c r="D20" s="43">
        <v>4</v>
      </c>
      <c r="E20" s="42">
        <v>2.6143790849673203E-2</v>
      </c>
    </row>
    <row r="21" spans="2:5" ht="15" customHeight="1">
      <c r="B21" s="72" t="s">
        <v>87</v>
      </c>
      <c r="C21" s="47" t="s">
        <v>21</v>
      </c>
      <c r="D21" s="46">
        <v>1</v>
      </c>
      <c r="E21" s="45">
        <v>6.5359477124183009E-3</v>
      </c>
    </row>
    <row r="22" spans="2:5" ht="15" customHeight="1">
      <c r="B22" s="73"/>
      <c r="C22" s="47" t="s">
        <v>39</v>
      </c>
      <c r="D22" s="46">
        <v>1</v>
      </c>
      <c r="E22" s="45">
        <v>6.5359477124183009E-3</v>
      </c>
    </row>
    <row r="23" spans="2:5" ht="15" customHeight="1">
      <c r="B23" s="73"/>
      <c r="C23" s="47" t="s">
        <v>40</v>
      </c>
      <c r="D23" s="46">
        <v>1</v>
      </c>
      <c r="E23" s="45">
        <v>6.5359477124183009E-3</v>
      </c>
    </row>
    <row r="24" spans="2:5" ht="15" customHeight="1">
      <c r="B24" s="73"/>
      <c r="C24" s="47" t="s">
        <v>37</v>
      </c>
      <c r="D24" s="46">
        <v>2</v>
      </c>
      <c r="E24" s="45">
        <v>1.3071895424836602E-2</v>
      </c>
    </row>
    <row r="25" spans="2:5" ht="15" customHeight="1">
      <c r="B25" s="73"/>
      <c r="C25" s="47" t="s">
        <v>20</v>
      </c>
      <c r="D25" s="46">
        <v>1</v>
      </c>
      <c r="E25" s="45">
        <v>6.5359477124183009E-3</v>
      </c>
    </row>
    <row r="26" spans="2:5" ht="15" customHeight="1">
      <c r="B26" s="73"/>
      <c r="C26" s="47" t="s">
        <v>33</v>
      </c>
      <c r="D26" s="46">
        <v>1</v>
      </c>
      <c r="E26" s="45">
        <v>6.5359477124183009E-3</v>
      </c>
    </row>
    <row r="27" spans="2:5" ht="15" customHeight="1">
      <c r="B27" s="73"/>
      <c r="C27" s="47" t="s">
        <v>30</v>
      </c>
      <c r="D27" s="46">
        <v>1</v>
      </c>
      <c r="E27" s="45">
        <v>6.5359477124183009E-3</v>
      </c>
    </row>
    <row r="28" spans="2:5" ht="15" customHeight="1">
      <c r="B28" s="73"/>
      <c r="C28" s="47" t="s">
        <v>36</v>
      </c>
      <c r="D28" s="46">
        <v>1</v>
      </c>
      <c r="E28" s="45">
        <v>6.5359477124183009E-3</v>
      </c>
    </row>
    <row r="29" spans="2:5" ht="15" customHeight="1">
      <c r="B29" s="74"/>
      <c r="C29" s="44" t="s">
        <v>15</v>
      </c>
      <c r="D29" s="43">
        <v>9</v>
      </c>
      <c r="E29" s="42">
        <v>5.8823529411764705E-2</v>
      </c>
    </row>
    <row r="30" spans="2:5" ht="15" customHeight="1">
      <c r="B30" s="72" t="s">
        <v>86</v>
      </c>
      <c r="C30" s="47" t="s">
        <v>21</v>
      </c>
      <c r="D30" s="46">
        <v>2</v>
      </c>
      <c r="E30" s="45">
        <v>1.3071895424836602E-2</v>
      </c>
    </row>
    <row r="31" spans="2:5" ht="15" customHeight="1">
      <c r="B31" s="73"/>
      <c r="C31" s="47" t="s">
        <v>32</v>
      </c>
      <c r="D31" s="46">
        <v>1</v>
      </c>
      <c r="E31" s="45">
        <v>6.5359477124183009E-3</v>
      </c>
    </row>
    <row r="32" spans="2:5" ht="15" customHeight="1">
      <c r="B32" s="73"/>
      <c r="C32" s="47" t="s">
        <v>31</v>
      </c>
      <c r="D32" s="46">
        <v>3</v>
      </c>
      <c r="E32" s="45">
        <v>1.9607843137254902E-2</v>
      </c>
    </row>
    <row r="33" spans="2:5" ht="15" customHeight="1">
      <c r="B33" s="73"/>
      <c r="C33" s="47" t="s">
        <v>38</v>
      </c>
      <c r="D33" s="46">
        <v>1</v>
      </c>
      <c r="E33" s="45">
        <v>6.5359477124183009E-3</v>
      </c>
    </row>
    <row r="34" spans="2:5" ht="15" customHeight="1">
      <c r="B34" s="73"/>
      <c r="C34" s="47" t="s">
        <v>34</v>
      </c>
      <c r="D34" s="46">
        <v>3</v>
      </c>
      <c r="E34" s="45">
        <v>1.9607843137254902E-2</v>
      </c>
    </row>
    <row r="35" spans="2:5" ht="15" customHeight="1">
      <c r="B35" s="73"/>
      <c r="C35" s="47" t="s">
        <v>39</v>
      </c>
      <c r="D35" s="46">
        <v>6</v>
      </c>
      <c r="E35" s="45">
        <v>3.9215686274509803E-2</v>
      </c>
    </row>
    <row r="36" spans="2:5" ht="15" customHeight="1">
      <c r="B36" s="73"/>
      <c r="C36" s="47" t="s">
        <v>40</v>
      </c>
      <c r="D36" s="46">
        <v>1</v>
      </c>
      <c r="E36" s="45">
        <v>6.5359477124183009E-3</v>
      </c>
    </row>
    <row r="37" spans="2:5" ht="15" customHeight="1">
      <c r="B37" s="73"/>
      <c r="C37" s="47" t="s">
        <v>37</v>
      </c>
      <c r="D37" s="46">
        <v>2</v>
      </c>
      <c r="E37" s="45">
        <v>1.3071895424836602E-2</v>
      </c>
    </row>
    <row r="38" spans="2:5" ht="15" customHeight="1">
      <c r="B38" s="73"/>
      <c r="C38" s="47" t="s">
        <v>28</v>
      </c>
      <c r="D38" s="46">
        <v>1</v>
      </c>
      <c r="E38" s="45">
        <v>6.5359477124183009E-3</v>
      </c>
    </row>
    <row r="39" spans="2:5" ht="15" customHeight="1">
      <c r="B39" s="73"/>
      <c r="C39" s="47" t="s">
        <v>17</v>
      </c>
      <c r="D39" s="46">
        <v>1</v>
      </c>
      <c r="E39" s="45">
        <v>6.5359477124183009E-3</v>
      </c>
    </row>
    <row r="40" spans="2:5" ht="15" customHeight="1">
      <c r="B40" s="73"/>
      <c r="C40" s="47" t="s">
        <v>33</v>
      </c>
      <c r="D40" s="46">
        <v>1</v>
      </c>
      <c r="E40" s="45">
        <v>6.5359477124183009E-3</v>
      </c>
    </row>
    <row r="41" spans="2:5" ht="15" customHeight="1">
      <c r="B41" s="73"/>
      <c r="C41" s="47" t="s">
        <v>30</v>
      </c>
      <c r="D41" s="46">
        <v>2</v>
      </c>
      <c r="E41" s="45">
        <v>1.3071895424836602E-2</v>
      </c>
    </row>
    <row r="42" spans="2:5" ht="15" customHeight="1">
      <c r="B42" s="73"/>
      <c r="C42" s="47" t="s">
        <v>27</v>
      </c>
      <c r="D42" s="46">
        <v>2</v>
      </c>
      <c r="E42" s="45">
        <v>1.3071895424836602E-2</v>
      </c>
    </row>
    <row r="43" spans="2:5" ht="15" customHeight="1">
      <c r="B43" s="73"/>
      <c r="C43" s="47" t="s">
        <v>24</v>
      </c>
      <c r="D43" s="46">
        <v>2</v>
      </c>
      <c r="E43" s="45">
        <v>1.3071895424836602E-2</v>
      </c>
    </row>
    <row r="44" spans="2:5" ht="15" customHeight="1">
      <c r="B44" s="73"/>
      <c r="C44" s="47" t="s">
        <v>36</v>
      </c>
      <c r="D44" s="46">
        <v>2</v>
      </c>
      <c r="E44" s="45">
        <v>1.3071895424836602E-2</v>
      </c>
    </row>
    <row r="45" spans="2:5" ht="15" customHeight="1">
      <c r="B45" s="73"/>
      <c r="C45" s="47" t="s">
        <v>26</v>
      </c>
      <c r="D45" s="46">
        <v>2</v>
      </c>
      <c r="E45" s="45">
        <v>1.3071895424836602E-2</v>
      </c>
    </row>
    <row r="46" spans="2:5" ht="15" customHeight="1">
      <c r="B46" s="74"/>
      <c r="C46" s="44" t="s">
        <v>15</v>
      </c>
      <c r="D46" s="43">
        <v>32</v>
      </c>
      <c r="E46" s="42">
        <v>0.20915032679738563</v>
      </c>
    </row>
    <row r="47" spans="2:5" ht="15" customHeight="1">
      <c r="B47" s="72" t="s">
        <v>192</v>
      </c>
      <c r="C47" s="47" t="s">
        <v>22</v>
      </c>
      <c r="D47" s="46">
        <v>1</v>
      </c>
      <c r="E47" s="45">
        <v>6.5359477124183009E-3</v>
      </c>
    </row>
    <row r="48" spans="2:5" ht="15" customHeight="1">
      <c r="B48" s="73"/>
      <c r="C48" s="47" t="s">
        <v>38</v>
      </c>
      <c r="D48" s="46">
        <v>1</v>
      </c>
      <c r="E48" s="45">
        <v>6.5359477124183009E-3</v>
      </c>
    </row>
    <row r="49" spans="2:5" ht="15" customHeight="1">
      <c r="B49" s="73"/>
      <c r="C49" s="47" t="s">
        <v>40</v>
      </c>
      <c r="D49" s="46">
        <v>1</v>
      </c>
      <c r="E49" s="45">
        <v>6.5359477124183009E-3</v>
      </c>
    </row>
    <row r="50" spans="2:5" ht="15" customHeight="1">
      <c r="B50" s="73"/>
      <c r="C50" s="47" t="s">
        <v>30</v>
      </c>
      <c r="D50" s="46">
        <v>1</v>
      </c>
      <c r="E50" s="45">
        <v>6.5359477124183009E-3</v>
      </c>
    </row>
    <row r="51" spans="2:5" ht="15" customHeight="1">
      <c r="B51" s="74"/>
      <c r="C51" s="44" t="s">
        <v>15</v>
      </c>
      <c r="D51" s="43">
        <v>4</v>
      </c>
      <c r="E51" s="42">
        <v>2.6143790849673203E-2</v>
      </c>
    </row>
    <row r="52" spans="2:5" ht="15" customHeight="1">
      <c r="B52" s="72" t="s">
        <v>85</v>
      </c>
      <c r="C52" s="47" t="s">
        <v>21</v>
      </c>
      <c r="D52" s="46">
        <v>3</v>
      </c>
      <c r="E52" s="45">
        <v>1.9607843137254902E-2</v>
      </c>
    </row>
    <row r="53" spans="2:5" ht="15" customHeight="1">
      <c r="B53" s="73"/>
      <c r="C53" s="47" t="s">
        <v>32</v>
      </c>
      <c r="D53" s="46">
        <v>2</v>
      </c>
      <c r="E53" s="45">
        <v>1.3071895424836602E-2</v>
      </c>
    </row>
    <row r="54" spans="2:5" ht="15" customHeight="1">
      <c r="B54" s="73"/>
      <c r="C54" s="47" t="s">
        <v>31</v>
      </c>
      <c r="D54" s="46">
        <v>2</v>
      </c>
      <c r="E54" s="45">
        <v>1.3071895424836602E-2</v>
      </c>
    </row>
    <row r="55" spans="2:5" ht="15" customHeight="1">
      <c r="B55" s="73"/>
      <c r="C55" s="47" t="s">
        <v>118</v>
      </c>
      <c r="D55" s="46">
        <v>4</v>
      </c>
      <c r="E55" s="45">
        <v>2.6143790849673203E-2</v>
      </c>
    </row>
    <row r="56" spans="2:5" ht="15" customHeight="1">
      <c r="B56" s="73"/>
      <c r="C56" s="47" t="s">
        <v>19</v>
      </c>
      <c r="D56" s="46">
        <v>1</v>
      </c>
      <c r="E56" s="45">
        <v>6.5359477124183009E-3</v>
      </c>
    </row>
    <row r="57" spans="2:5" ht="15" customHeight="1">
      <c r="B57" s="73"/>
      <c r="C57" s="47" t="s">
        <v>35</v>
      </c>
      <c r="D57" s="46">
        <v>2</v>
      </c>
      <c r="E57" s="45">
        <v>1.3071895424836602E-2</v>
      </c>
    </row>
    <row r="58" spans="2:5" ht="15" customHeight="1">
      <c r="B58" s="73"/>
      <c r="C58" s="47" t="s">
        <v>25</v>
      </c>
      <c r="D58" s="46">
        <v>1</v>
      </c>
      <c r="E58" s="45">
        <v>6.5359477124183009E-3</v>
      </c>
    </row>
    <row r="59" spans="2:5" ht="15" customHeight="1">
      <c r="B59" s="73"/>
      <c r="C59" s="47" t="s">
        <v>38</v>
      </c>
      <c r="D59" s="46">
        <v>1</v>
      </c>
      <c r="E59" s="45">
        <v>6.5359477124183009E-3</v>
      </c>
    </row>
    <row r="60" spans="2:5" ht="15" customHeight="1">
      <c r="B60" s="73"/>
      <c r="C60" s="47" t="s">
        <v>34</v>
      </c>
      <c r="D60" s="46">
        <v>8</v>
      </c>
      <c r="E60" s="45">
        <v>5.2287581699346407E-2</v>
      </c>
    </row>
    <row r="61" spans="2:5" ht="15" customHeight="1">
      <c r="B61" s="73"/>
      <c r="C61" s="47" t="s">
        <v>39</v>
      </c>
      <c r="D61" s="46">
        <v>4</v>
      </c>
      <c r="E61" s="45">
        <v>2.6143790849673203E-2</v>
      </c>
    </row>
    <row r="62" spans="2:5" ht="15" customHeight="1">
      <c r="B62" s="73"/>
      <c r="C62" s="47" t="s">
        <v>18</v>
      </c>
      <c r="D62" s="46">
        <v>1</v>
      </c>
      <c r="E62" s="45">
        <v>6.5359477124183009E-3</v>
      </c>
    </row>
    <row r="63" spans="2:5" ht="15" customHeight="1">
      <c r="B63" s="73"/>
      <c r="C63" s="47" t="s">
        <v>40</v>
      </c>
      <c r="D63" s="46">
        <v>5</v>
      </c>
      <c r="E63" s="45">
        <v>3.2679738562091505E-2</v>
      </c>
    </row>
    <row r="64" spans="2:5" ht="15" customHeight="1">
      <c r="B64" s="73"/>
      <c r="C64" s="47" t="s">
        <v>37</v>
      </c>
      <c r="D64" s="46">
        <v>3</v>
      </c>
      <c r="E64" s="45">
        <v>1.9607843137254902E-2</v>
      </c>
    </row>
    <row r="65" spans="2:5" ht="15" customHeight="1">
      <c r="B65" s="73"/>
      <c r="C65" s="47" t="s">
        <v>28</v>
      </c>
      <c r="D65" s="46">
        <v>1</v>
      </c>
      <c r="E65" s="45">
        <v>6.5359477124183009E-3</v>
      </c>
    </row>
    <row r="66" spans="2:5" ht="15" customHeight="1">
      <c r="B66" s="73"/>
      <c r="C66" s="47" t="s">
        <v>17</v>
      </c>
      <c r="D66" s="46">
        <v>1</v>
      </c>
      <c r="E66" s="45">
        <v>6.5359477124183009E-3</v>
      </c>
    </row>
    <row r="67" spans="2:5" ht="15" customHeight="1">
      <c r="B67" s="73"/>
      <c r="C67" s="47" t="s">
        <v>33</v>
      </c>
      <c r="D67" s="46">
        <v>3</v>
      </c>
      <c r="E67" s="45">
        <v>1.9607843137254902E-2</v>
      </c>
    </row>
    <row r="68" spans="2:5" ht="15" customHeight="1">
      <c r="B68" s="73"/>
      <c r="C68" s="47" t="s">
        <v>30</v>
      </c>
      <c r="D68" s="46">
        <v>3</v>
      </c>
      <c r="E68" s="45">
        <v>1.9607843137254902E-2</v>
      </c>
    </row>
    <row r="69" spans="2:5" ht="15" customHeight="1">
      <c r="B69" s="73"/>
      <c r="C69" s="47" t="s">
        <v>27</v>
      </c>
      <c r="D69" s="46">
        <v>1</v>
      </c>
      <c r="E69" s="45">
        <v>6.5359477124183009E-3</v>
      </c>
    </row>
    <row r="70" spans="2:5" ht="15" customHeight="1">
      <c r="B70" s="73"/>
      <c r="C70" s="47" t="s">
        <v>16</v>
      </c>
      <c r="D70" s="46">
        <v>2</v>
      </c>
      <c r="E70" s="45">
        <v>1.3071895424836602E-2</v>
      </c>
    </row>
    <row r="71" spans="2:5" ht="15" customHeight="1">
      <c r="B71" s="73"/>
      <c r="C71" s="47" t="s">
        <v>23</v>
      </c>
      <c r="D71" s="46">
        <v>1</v>
      </c>
      <c r="E71" s="45">
        <v>6.5359477124183009E-3</v>
      </c>
    </row>
    <row r="72" spans="2:5" ht="15" customHeight="1">
      <c r="B72" s="73"/>
      <c r="C72" s="47" t="s">
        <v>36</v>
      </c>
      <c r="D72" s="46">
        <v>5</v>
      </c>
      <c r="E72" s="45">
        <v>3.2679738562091505E-2</v>
      </c>
    </row>
    <row r="73" spans="2:5" ht="15" customHeight="1">
      <c r="B73" s="73"/>
      <c r="C73" s="47" t="s">
        <v>26</v>
      </c>
      <c r="D73" s="46">
        <v>1</v>
      </c>
      <c r="E73" s="45">
        <v>6.5359477124183009E-3</v>
      </c>
    </row>
    <row r="74" spans="2:5" ht="15" customHeight="1">
      <c r="B74" s="74"/>
      <c r="C74" s="44" t="s">
        <v>15</v>
      </c>
      <c r="D74" s="43">
        <v>55</v>
      </c>
      <c r="E74" s="42">
        <v>0.35947712418300654</v>
      </c>
    </row>
    <row r="75" spans="2:5" ht="15" customHeight="1">
      <c r="B75" s="72" t="s">
        <v>115</v>
      </c>
      <c r="C75" s="47" t="s">
        <v>40</v>
      </c>
      <c r="D75" s="46">
        <v>1</v>
      </c>
      <c r="E75" s="45">
        <v>6.5359477124183009E-3</v>
      </c>
    </row>
    <row r="76" spans="2:5" ht="15" customHeight="1">
      <c r="B76" s="74"/>
      <c r="C76" s="44" t="s">
        <v>15</v>
      </c>
      <c r="D76" s="43">
        <v>1</v>
      </c>
      <c r="E76" s="42">
        <v>6.5359477124183009E-3</v>
      </c>
    </row>
    <row r="77" spans="2:5" ht="15" customHeight="1">
      <c r="B77" s="72" t="s">
        <v>83</v>
      </c>
      <c r="C77" s="47" t="s">
        <v>38</v>
      </c>
      <c r="D77" s="46">
        <v>1</v>
      </c>
      <c r="E77" s="45">
        <v>6.5359477124183009E-3</v>
      </c>
    </row>
    <row r="78" spans="2:5" ht="15" customHeight="1">
      <c r="B78" s="73"/>
      <c r="C78" s="47" t="s">
        <v>34</v>
      </c>
      <c r="D78" s="46">
        <v>1</v>
      </c>
      <c r="E78" s="45">
        <v>6.5359477124183009E-3</v>
      </c>
    </row>
    <row r="79" spans="2:5" ht="15" customHeight="1">
      <c r="B79" s="73"/>
      <c r="C79" s="47" t="s">
        <v>40</v>
      </c>
      <c r="D79" s="46">
        <v>1</v>
      </c>
      <c r="E79" s="45">
        <v>6.5359477124183009E-3</v>
      </c>
    </row>
    <row r="80" spans="2:5" ht="15" customHeight="1">
      <c r="B80" s="73"/>
      <c r="C80" s="47" t="s">
        <v>16</v>
      </c>
      <c r="D80" s="46">
        <v>1</v>
      </c>
      <c r="E80" s="45">
        <v>6.5359477124183009E-3</v>
      </c>
    </row>
    <row r="81" spans="2:5" ht="15" customHeight="1">
      <c r="B81" s="74"/>
      <c r="C81" s="44" t="s">
        <v>15</v>
      </c>
      <c r="D81" s="43">
        <v>4</v>
      </c>
      <c r="E81" s="42">
        <v>2.6143790849673203E-2</v>
      </c>
    </row>
    <row r="82" spans="2:5" ht="15" customHeight="1">
      <c r="B82" s="72" t="s">
        <v>82</v>
      </c>
      <c r="C82" s="47" t="s">
        <v>21</v>
      </c>
      <c r="D82" s="46">
        <v>1</v>
      </c>
      <c r="E82" s="45">
        <v>6.5359477124183009E-3</v>
      </c>
    </row>
    <row r="83" spans="2:5" ht="15" customHeight="1">
      <c r="B83" s="73"/>
      <c r="C83" s="47" t="s">
        <v>22</v>
      </c>
      <c r="D83" s="46">
        <v>1</v>
      </c>
      <c r="E83" s="45">
        <v>6.5359477124183009E-3</v>
      </c>
    </row>
    <row r="84" spans="2:5" ht="15" customHeight="1">
      <c r="B84" s="73"/>
      <c r="C84" s="47" t="s">
        <v>32</v>
      </c>
      <c r="D84" s="46">
        <v>1</v>
      </c>
      <c r="E84" s="45">
        <v>6.5359477124183009E-3</v>
      </c>
    </row>
    <row r="85" spans="2:5" ht="15" customHeight="1">
      <c r="B85" s="73"/>
      <c r="C85" s="47" t="s">
        <v>31</v>
      </c>
      <c r="D85" s="46">
        <v>5</v>
      </c>
      <c r="E85" s="45">
        <v>3.2679738562091505E-2</v>
      </c>
    </row>
    <row r="86" spans="2:5" ht="15" customHeight="1">
      <c r="B86" s="73"/>
      <c r="C86" s="47" t="s">
        <v>118</v>
      </c>
      <c r="D86" s="46">
        <v>1</v>
      </c>
      <c r="E86" s="45">
        <v>6.5359477124183009E-3</v>
      </c>
    </row>
    <row r="87" spans="2:5" ht="15" customHeight="1">
      <c r="B87" s="73"/>
      <c r="C87" s="47" t="s">
        <v>35</v>
      </c>
      <c r="D87" s="46">
        <v>3</v>
      </c>
      <c r="E87" s="45">
        <v>1.9607843137254902E-2</v>
      </c>
    </row>
    <row r="88" spans="2:5" ht="15" customHeight="1">
      <c r="B88" s="73"/>
      <c r="C88" s="47" t="s">
        <v>38</v>
      </c>
      <c r="D88" s="46">
        <v>1</v>
      </c>
      <c r="E88" s="45">
        <v>6.5359477124183009E-3</v>
      </c>
    </row>
    <row r="89" spans="2:5" ht="15" customHeight="1">
      <c r="B89" s="73"/>
      <c r="C89" s="47" t="s">
        <v>39</v>
      </c>
      <c r="D89" s="46">
        <v>1</v>
      </c>
      <c r="E89" s="45">
        <v>6.5359477124183009E-3</v>
      </c>
    </row>
    <row r="90" spans="2:5" ht="15" customHeight="1">
      <c r="B90" s="73"/>
      <c r="C90" s="47" t="s">
        <v>40</v>
      </c>
      <c r="D90" s="46">
        <v>1</v>
      </c>
      <c r="E90" s="45">
        <v>6.5359477124183009E-3</v>
      </c>
    </row>
    <row r="91" spans="2:5" ht="15" customHeight="1">
      <c r="B91" s="73"/>
      <c r="C91" s="47" t="s">
        <v>37</v>
      </c>
      <c r="D91" s="46">
        <v>4</v>
      </c>
      <c r="E91" s="45">
        <v>2.6143790849673203E-2</v>
      </c>
    </row>
    <row r="92" spans="2:5" ht="15" customHeight="1">
      <c r="B92" s="73"/>
      <c r="C92" s="47" t="s">
        <v>20</v>
      </c>
      <c r="D92" s="46">
        <v>1</v>
      </c>
      <c r="E92" s="45">
        <v>6.5359477124183009E-3</v>
      </c>
    </row>
    <row r="93" spans="2:5" ht="15" customHeight="1">
      <c r="B93" s="73"/>
      <c r="C93" s="47" t="s">
        <v>30</v>
      </c>
      <c r="D93" s="46">
        <v>2</v>
      </c>
      <c r="E93" s="45">
        <v>1.3071895424836602E-2</v>
      </c>
    </row>
    <row r="94" spans="2:5" ht="15" customHeight="1">
      <c r="B94" s="73"/>
      <c r="C94" s="47" t="s">
        <v>27</v>
      </c>
      <c r="D94" s="46">
        <v>1</v>
      </c>
      <c r="E94" s="45">
        <v>6.5359477124183009E-3</v>
      </c>
    </row>
    <row r="95" spans="2:5" ht="15" customHeight="1">
      <c r="B95" s="73"/>
      <c r="C95" s="47" t="s">
        <v>24</v>
      </c>
      <c r="D95" s="46">
        <v>2</v>
      </c>
      <c r="E95" s="45">
        <v>1.3071895424836602E-2</v>
      </c>
    </row>
    <row r="96" spans="2:5" ht="15" customHeight="1">
      <c r="B96" s="73"/>
      <c r="C96" s="47" t="s">
        <v>16</v>
      </c>
      <c r="D96" s="46">
        <v>1</v>
      </c>
      <c r="E96" s="45">
        <v>6.5359477124183009E-3</v>
      </c>
    </row>
    <row r="97" spans="2:5" ht="15" customHeight="1">
      <c r="B97" s="73"/>
      <c r="C97" s="47" t="s">
        <v>23</v>
      </c>
      <c r="D97" s="46">
        <v>1</v>
      </c>
      <c r="E97" s="45">
        <v>6.5359477124183009E-3</v>
      </c>
    </row>
    <row r="98" spans="2:5" ht="15" customHeight="1">
      <c r="B98" s="73"/>
      <c r="C98" s="47" t="s">
        <v>29</v>
      </c>
      <c r="D98" s="46">
        <v>1</v>
      </c>
      <c r="E98" s="45">
        <v>6.5359477124183009E-3</v>
      </c>
    </row>
    <row r="99" spans="2:5" ht="15" customHeight="1">
      <c r="B99" s="73"/>
      <c r="C99" s="47" t="s">
        <v>36</v>
      </c>
      <c r="D99" s="46">
        <v>2</v>
      </c>
      <c r="E99" s="45">
        <v>1.3071895424836602E-2</v>
      </c>
    </row>
    <row r="100" spans="2:5" ht="15" customHeight="1">
      <c r="B100" s="74"/>
      <c r="C100" s="44" t="s">
        <v>15</v>
      </c>
      <c r="D100" s="43">
        <v>30</v>
      </c>
      <c r="E100" s="42">
        <v>0.19607843137254902</v>
      </c>
    </row>
    <row r="101" spans="2:5" ht="15" customHeight="1">
      <c r="B101" s="72" t="s">
        <v>81</v>
      </c>
      <c r="C101" s="47" t="s">
        <v>35</v>
      </c>
      <c r="D101" s="46">
        <v>1</v>
      </c>
      <c r="E101" s="45">
        <v>6.5359477124183009E-3</v>
      </c>
    </row>
    <row r="102" spans="2:5" ht="15" customHeight="1">
      <c r="B102" s="74"/>
      <c r="C102" s="44" t="s">
        <v>15</v>
      </c>
      <c r="D102" s="43">
        <v>1</v>
      </c>
      <c r="E102" s="42">
        <v>6.5359477124183009E-3</v>
      </c>
    </row>
    <row r="103" spans="2:5" ht="15" customHeight="1">
      <c r="B103" s="72" t="s">
        <v>80</v>
      </c>
      <c r="C103" s="47" t="s">
        <v>33</v>
      </c>
      <c r="D103" s="46">
        <v>1</v>
      </c>
      <c r="E103" s="45">
        <v>6.5359477124183009E-3</v>
      </c>
    </row>
    <row r="104" spans="2:5" ht="15" customHeight="1">
      <c r="B104" s="73"/>
      <c r="C104" s="47" t="s">
        <v>36</v>
      </c>
      <c r="D104" s="46">
        <v>1</v>
      </c>
      <c r="E104" s="45">
        <v>6.5359477124183009E-3</v>
      </c>
    </row>
    <row r="105" spans="2:5" ht="15" customHeight="1">
      <c r="B105" s="74"/>
      <c r="C105" s="44" t="s">
        <v>15</v>
      </c>
      <c r="D105" s="43">
        <v>2</v>
      </c>
      <c r="E105" s="42">
        <v>1.3071895424836602E-2</v>
      </c>
    </row>
    <row r="106" spans="2:5" ht="15" customHeight="1">
      <c r="B106" s="72" t="s">
        <v>114</v>
      </c>
      <c r="C106" s="47" t="s">
        <v>32</v>
      </c>
      <c r="D106" s="46">
        <v>1</v>
      </c>
      <c r="E106" s="45">
        <v>6.5359477124183009E-3</v>
      </c>
    </row>
    <row r="107" spans="2:5" ht="15" customHeight="1">
      <c r="B107" s="73"/>
      <c r="C107" s="47" t="s">
        <v>31</v>
      </c>
      <c r="D107" s="46">
        <v>1</v>
      </c>
      <c r="E107" s="45">
        <v>6.5359477124183009E-3</v>
      </c>
    </row>
    <row r="108" spans="2:5" ht="15" customHeight="1">
      <c r="B108" s="73"/>
      <c r="C108" s="47" t="s">
        <v>24</v>
      </c>
      <c r="D108" s="46">
        <v>2</v>
      </c>
      <c r="E108" s="45">
        <v>1.3071895424836602E-2</v>
      </c>
    </row>
    <row r="109" spans="2:5" ht="15" customHeight="1">
      <c r="B109" s="73"/>
      <c r="C109" s="47" t="s">
        <v>16</v>
      </c>
      <c r="D109" s="46">
        <v>1</v>
      </c>
      <c r="E109" s="45">
        <v>6.5359477124183009E-3</v>
      </c>
    </row>
    <row r="110" spans="2:5" ht="15" customHeight="1">
      <c r="B110" s="73"/>
      <c r="C110" s="47" t="s">
        <v>36</v>
      </c>
      <c r="D110" s="46">
        <v>1</v>
      </c>
      <c r="E110" s="45">
        <v>6.5359477124183009E-3</v>
      </c>
    </row>
    <row r="111" spans="2:5" ht="15" customHeight="1">
      <c r="B111" s="74"/>
      <c r="C111" s="44" t="s">
        <v>15</v>
      </c>
      <c r="D111" s="43">
        <v>6</v>
      </c>
      <c r="E111" s="42">
        <v>3.9215686274509803E-2</v>
      </c>
    </row>
    <row r="112" spans="2:5" ht="15" customHeight="1">
      <c r="B112" s="72" t="s">
        <v>194</v>
      </c>
      <c r="C112" s="47" t="s">
        <v>119</v>
      </c>
      <c r="D112" s="46">
        <v>1</v>
      </c>
      <c r="E112" s="45">
        <v>6.5359477124183009E-3</v>
      </c>
    </row>
    <row r="113" spans="2:6" ht="15" customHeight="1">
      <c r="B113" s="74"/>
      <c r="C113" s="44" t="s">
        <v>15</v>
      </c>
      <c r="D113" s="43">
        <v>1</v>
      </c>
      <c r="E113" s="42">
        <v>6.5359477124183009E-3</v>
      </c>
    </row>
    <row r="114" spans="2:6" ht="15" customHeight="1">
      <c r="B114" s="75" t="s">
        <v>15</v>
      </c>
      <c r="C114" s="76"/>
      <c r="D114" s="41">
        <v>153</v>
      </c>
      <c r="E114" s="40">
        <v>1</v>
      </c>
    </row>
    <row r="116" spans="2:6" ht="15" customHeight="1">
      <c r="B116" s="17"/>
      <c r="C116" s="19" t="s">
        <v>120</v>
      </c>
      <c r="D116"/>
      <c r="E116"/>
      <c r="F116" s="17"/>
    </row>
    <row r="117" spans="2:6" ht="15" customHeight="1">
      <c r="B117" s="17"/>
      <c r="C117" s="21" t="s">
        <v>14</v>
      </c>
      <c r="D117"/>
      <c r="E117"/>
      <c r="F117" s="17"/>
    </row>
    <row r="118" spans="2:6" ht="15" customHeight="1">
      <c r="B118" s="17"/>
      <c r="C118" s="20" t="s">
        <v>13</v>
      </c>
      <c r="D118"/>
      <c r="E118"/>
      <c r="F118" s="17"/>
    </row>
    <row r="119" spans="2:6" ht="15" customHeight="1">
      <c r="B119" s="17"/>
      <c r="C119" s="19" t="s">
        <v>12</v>
      </c>
      <c r="D119"/>
      <c r="E119"/>
      <c r="F119" s="17"/>
    </row>
    <row r="120" spans="2:6" ht="15" customHeight="1">
      <c r="B120" s="17"/>
      <c r="C120" s="19" t="s">
        <v>121</v>
      </c>
      <c r="D120"/>
      <c r="E120"/>
      <c r="F120" s="17"/>
    </row>
  </sheetData>
  <mergeCells count="17">
    <mergeCell ref="B7:E8"/>
    <mergeCell ref="B30:B46"/>
    <mergeCell ref="B47:B51"/>
    <mergeCell ref="B106:B111"/>
    <mergeCell ref="B112:B113"/>
    <mergeCell ref="B114:C114"/>
    <mergeCell ref="B10:B12"/>
    <mergeCell ref="B13:B14"/>
    <mergeCell ref="B15:B16"/>
    <mergeCell ref="B17:B20"/>
    <mergeCell ref="B21:B29"/>
    <mergeCell ref="B52:B74"/>
    <mergeCell ref="B75:B76"/>
    <mergeCell ref="B77:B81"/>
    <mergeCell ref="B82:B100"/>
    <mergeCell ref="B101:B102"/>
    <mergeCell ref="B103:B10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B22" sqref="B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195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96</v>
      </c>
      <c r="C11" s="31" t="s">
        <v>42</v>
      </c>
      <c r="D11" s="30" t="s">
        <v>41</v>
      </c>
    </row>
    <row r="12" spans="1:5">
      <c r="B12" s="27" t="s">
        <v>95</v>
      </c>
      <c r="C12" s="26">
        <v>119</v>
      </c>
      <c r="D12" s="25">
        <v>0.77777777777777779</v>
      </c>
    </row>
    <row r="13" spans="1:5">
      <c r="B13" s="27" t="s">
        <v>94</v>
      </c>
      <c r="C13" s="26">
        <v>34</v>
      </c>
      <c r="D13" s="25">
        <v>0.22222222222222221</v>
      </c>
    </row>
    <row r="14" spans="1:5">
      <c r="B14" s="24" t="s">
        <v>93</v>
      </c>
      <c r="C14" s="23">
        <v>153</v>
      </c>
      <c r="D14" s="22">
        <v>1</v>
      </c>
    </row>
    <row r="15" spans="1:5">
      <c r="A15" s="28"/>
      <c r="B15" s="28"/>
      <c r="C15" s="60"/>
      <c r="D15" s="28"/>
      <c r="E15" s="28"/>
    </row>
    <row r="16" spans="1:5">
      <c r="B16" s="19" t="s">
        <v>120</v>
      </c>
      <c r="C16"/>
      <c r="D16"/>
    </row>
    <row r="17" spans="2:4">
      <c r="B17" s="21" t="s">
        <v>14</v>
      </c>
      <c r="C17"/>
      <c r="D17"/>
    </row>
    <row r="18" spans="2:4">
      <c r="B18" s="20" t="s">
        <v>13</v>
      </c>
      <c r="C18"/>
      <c r="D18"/>
    </row>
    <row r="19" spans="2:4">
      <c r="B19" s="19" t="s">
        <v>12</v>
      </c>
      <c r="C19"/>
      <c r="D19"/>
    </row>
    <row r="20" spans="2:4">
      <c r="B20" s="19" t="s">
        <v>121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63" zoomScale="120" zoomScaleNormal="120" zoomScaleSheetLayoutView="100" workbookViewId="0">
      <selection activeCell="C79" sqref="C7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43</v>
      </c>
      <c r="C9" s="51" t="s">
        <v>96</v>
      </c>
      <c r="D9" s="50" t="s">
        <v>42</v>
      </c>
      <c r="E9" s="49" t="s">
        <v>41</v>
      </c>
    </row>
    <row r="10" spans="1:5" ht="15" customHeight="1">
      <c r="B10" s="72" t="s">
        <v>21</v>
      </c>
      <c r="C10" s="47" t="s">
        <v>98</v>
      </c>
      <c r="D10" s="46">
        <v>4</v>
      </c>
      <c r="E10" s="45">
        <v>2.6143790849673203E-2</v>
      </c>
    </row>
    <row r="11" spans="1:5" ht="15" customHeight="1">
      <c r="B11" s="73"/>
      <c r="C11" s="47" t="s">
        <v>97</v>
      </c>
      <c r="D11" s="46">
        <v>3</v>
      </c>
      <c r="E11" s="45">
        <v>1.9607843137254902E-2</v>
      </c>
    </row>
    <row r="12" spans="1:5" ht="15" customHeight="1">
      <c r="B12" s="74"/>
      <c r="C12" s="44" t="s">
        <v>15</v>
      </c>
      <c r="D12" s="43">
        <v>7</v>
      </c>
      <c r="E12" s="42">
        <v>4.5751633986928102E-2</v>
      </c>
    </row>
    <row r="13" spans="1:5" ht="15" customHeight="1">
      <c r="B13" s="72" t="s">
        <v>22</v>
      </c>
      <c r="C13" s="47" t="s">
        <v>98</v>
      </c>
      <c r="D13" s="46">
        <v>1</v>
      </c>
      <c r="E13" s="45">
        <v>6.5359477124183009E-3</v>
      </c>
    </row>
    <row r="14" spans="1:5" ht="15" customHeight="1">
      <c r="B14" s="73"/>
      <c r="C14" s="47" t="s">
        <v>97</v>
      </c>
      <c r="D14" s="46">
        <v>1</v>
      </c>
      <c r="E14" s="45">
        <v>6.5359477124183009E-3</v>
      </c>
    </row>
    <row r="15" spans="1:5" ht="15" customHeight="1">
      <c r="B15" s="74"/>
      <c r="C15" s="44" t="s">
        <v>15</v>
      </c>
      <c r="D15" s="43">
        <v>2</v>
      </c>
      <c r="E15" s="42">
        <v>1.3071895424836602E-2</v>
      </c>
    </row>
    <row r="16" spans="1:5" ht="15" customHeight="1">
      <c r="B16" s="72" t="s">
        <v>119</v>
      </c>
      <c r="C16" s="47" t="s">
        <v>98</v>
      </c>
      <c r="D16" s="46">
        <v>1</v>
      </c>
      <c r="E16" s="45">
        <v>6.5359477124183009E-3</v>
      </c>
    </row>
    <row r="17" spans="2:5" ht="15" customHeight="1">
      <c r="B17" s="74"/>
      <c r="C17" s="44" t="s">
        <v>15</v>
      </c>
      <c r="D17" s="43">
        <v>1</v>
      </c>
      <c r="E17" s="42">
        <v>6.5359477124183009E-3</v>
      </c>
    </row>
    <row r="18" spans="2:5" ht="15" customHeight="1">
      <c r="B18" s="72" t="s">
        <v>32</v>
      </c>
      <c r="C18" s="47" t="s">
        <v>98</v>
      </c>
      <c r="D18" s="46">
        <v>4</v>
      </c>
      <c r="E18" s="45">
        <v>2.6143790849673203E-2</v>
      </c>
    </row>
    <row r="19" spans="2:5" ht="15" customHeight="1">
      <c r="B19" s="73"/>
      <c r="C19" s="47" t="s">
        <v>97</v>
      </c>
      <c r="D19" s="46">
        <v>1</v>
      </c>
      <c r="E19" s="45">
        <v>6.5359477124183009E-3</v>
      </c>
    </row>
    <row r="20" spans="2:5" ht="15" customHeight="1">
      <c r="B20" s="74"/>
      <c r="C20" s="44" t="s">
        <v>15</v>
      </c>
      <c r="D20" s="43">
        <v>5</v>
      </c>
      <c r="E20" s="42">
        <v>3.2679738562091505E-2</v>
      </c>
    </row>
    <row r="21" spans="2:5" ht="15" customHeight="1">
      <c r="B21" s="72" t="s">
        <v>31</v>
      </c>
      <c r="C21" s="47" t="s">
        <v>98</v>
      </c>
      <c r="D21" s="46">
        <v>7</v>
      </c>
      <c r="E21" s="45">
        <v>4.5751633986928102E-2</v>
      </c>
    </row>
    <row r="22" spans="2:5" ht="15" customHeight="1">
      <c r="B22" s="73"/>
      <c r="C22" s="47" t="s">
        <v>97</v>
      </c>
      <c r="D22" s="46">
        <v>4</v>
      </c>
      <c r="E22" s="45">
        <v>2.6143790849673203E-2</v>
      </c>
    </row>
    <row r="23" spans="2:5" ht="15" customHeight="1">
      <c r="B23" s="74"/>
      <c r="C23" s="44" t="s">
        <v>15</v>
      </c>
      <c r="D23" s="43">
        <v>11</v>
      </c>
      <c r="E23" s="42">
        <v>7.1895424836601302E-2</v>
      </c>
    </row>
    <row r="24" spans="2:5" ht="15" customHeight="1">
      <c r="B24" s="72" t="s">
        <v>118</v>
      </c>
      <c r="C24" s="47" t="s">
        <v>98</v>
      </c>
      <c r="D24" s="46">
        <v>3</v>
      </c>
      <c r="E24" s="45">
        <v>1.9607843137254902E-2</v>
      </c>
    </row>
    <row r="25" spans="2:5" ht="15" customHeight="1">
      <c r="B25" s="73"/>
      <c r="C25" s="47" t="s">
        <v>97</v>
      </c>
      <c r="D25" s="46">
        <v>2</v>
      </c>
      <c r="E25" s="45">
        <v>1.3071895424836602E-2</v>
      </c>
    </row>
    <row r="26" spans="2:5" ht="15" customHeight="1">
      <c r="B26" s="74"/>
      <c r="C26" s="44" t="s">
        <v>15</v>
      </c>
      <c r="D26" s="43">
        <v>5</v>
      </c>
      <c r="E26" s="42">
        <v>3.2679738562091505E-2</v>
      </c>
    </row>
    <row r="27" spans="2:5" ht="15" customHeight="1">
      <c r="B27" s="72" t="s">
        <v>19</v>
      </c>
      <c r="C27" s="47" t="s">
        <v>98</v>
      </c>
      <c r="D27" s="46">
        <v>1</v>
      </c>
      <c r="E27" s="45">
        <v>6.5359477124183009E-3</v>
      </c>
    </row>
    <row r="28" spans="2:5" ht="15" customHeight="1">
      <c r="B28" s="74"/>
      <c r="C28" s="44" t="s">
        <v>15</v>
      </c>
      <c r="D28" s="43">
        <v>1</v>
      </c>
      <c r="E28" s="42">
        <v>6.5359477124183009E-3</v>
      </c>
    </row>
    <row r="29" spans="2:5" ht="15" customHeight="1">
      <c r="B29" s="72" t="s">
        <v>35</v>
      </c>
      <c r="C29" s="47" t="s">
        <v>98</v>
      </c>
      <c r="D29" s="46">
        <v>5</v>
      </c>
      <c r="E29" s="45">
        <v>3.2679738562091505E-2</v>
      </c>
    </row>
    <row r="30" spans="2:5" ht="15" customHeight="1">
      <c r="B30" s="73"/>
      <c r="C30" s="47" t="s">
        <v>97</v>
      </c>
      <c r="D30" s="46">
        <v>1</v>
      </c>
      <c r="E30" s="45">
        <v>6.5359477124183009E-3</v>
      </c>
    </row>
    <row r="31" spans="2:5" ht="15" customHeight="1">
      <c r="B31" s="74"/>
      <c r="C31" s="44" t="s">
        <v>15</v>
      </c>
      <c r="D31" s="43">
        <v>6</v>
      </c>
      <c r="E31" s="42">
        <v>3.9215686274509803E-2</v>
      </c>
    </row>
    <row r="32" spans="2:5" ht="15" customHeight="1">
      <c r="B32" s="72" t="s">
        <v>25</v>
      </c>
      <c r="C32" s="47" t="s">
        <v>97</v>
      </c>
      <c r="D32" s="46">
        <v>1</v>
      </c>
      <c r="E32" s="45">
        <v>6.5359477124183009E-3</v>
      </c>
    </row>
    <row r="33" spans="2:5" ht="15" customHeight="1">
      <c r="B33" s="74"/>
      <c r="C33" s="44" t="s">
        <v>15</v>
      </c>
      <c r="D33" s="43">
        <v>1</v>
      </c>
      <c r="E33" s="42">
        <v>6.5359477124183009E-3</v>
      </c>
    </row>
    <row r="34" spans="2:5" ht="15" customHeight="1">
      <c r="B34" s="72" t="s">
        <v>38</v>
      </c>
      <c r="C34" s="47" t="s">
        <v>98</v>
      </c>
      <c r="D34" s="46">
        <v>4</v>
      </c>
      <c r="E34" s="45">
        <v>2.6143790849673203E-2</v>
      </c>
    </row>
    <row r="35" spans="2:5" ht="15" customHeight="1">
      <c r="B35" s="73"/>
      <c r="C35" s="47" t="s">
        <v>97</v>
      </c>
      <c r="D35" s="46">
        <v>1</v>
      </c>
      <c r="E35" s="45">
        <v>6.5359477124183009E-3</v>
      </c>
    </row>
    <row r="36" spans="2:5" ht="15" customHeight="1">
      <c r="B36" s="74"/>
      <c r="C36" s="44" t="s">
        <v>15</v>
      </c>
      <c r="D36" s="43">
        <v>5</v>
      </c>
      <c r="E36" s="42">
        <v>3.2679738562091505E-2</v>
      </c>
    </row>
    <row r="37" spans="2:5" ht="15" customHeight="1">
      <c r="B37" s="72" t="s">
        <v>34</v>
      </c>
      <c r="C37" s="47" t="s">
        <v>98</v>
      </c>
      <c r="D37" s="46">
        <v>10</v>
      </c>
      <c r="E37" s="45">
        <v>6.535947712418301E-2</v>
      </c>
    </row>
    <row r="38" spans="2:5" ht="15" customHeight="1">
      <c r="B38" s="73"/>
      <c r="C38" s="47" t="s">
        <v>97</v>
      </c>
      <c r="D38" s="46">
        <v>2</v>
      </c>
      <c r="E38" s="45">
        <v>1.3071895424836602E-2</v>
      </c>
    </row>
    <row r="39" spans="2:5" ht="15" customHeight="1">
      <c r="B39" s="74"/>
      <c r="C39" s="44" t="s">
        <v>15</v>
      </c>
      <c r="D39" s="43">
        <v>12</v>
      </c>
      <c r="E39" s="42">
        <v>7.8431372549019607E-2</v>
      </c>
    </row>
    <row r="40" spans="2:5" ht="15" customHeight="1">
      <c r="B40" s="72" t="s">
        <v>39</v>
      </c>
      <c r="C40" s="47" t="s">
        <v>98</v>
      </c>
      <c r="D40" s="46">
        <v>11</v>
      </c>
      <c r="E40" s="45">
        <v>7.1895424836601302E-2</v>
      </c>
    </row>
    <row r="41" spans="2:5" ht="15" customHeight="1">
      <c r="B41" s="73"/>
      <c r="C41" s="47" t="s">
        <v>97</v>
      </c>
      <c r="D41" s="46">
        <v>4</v>
      </c>
      <c r="E41" s="45">
        <v>2.6143790849673203E-2</v>
      </c>
    </row>
    <row r="42" spans="2:5" ht="15" customHeight="1">
      <c r="B42" s="74"/>
      <c r="C42" s="44" t="s">
        <v>15</v>
      </c>
      <c r="D42" s="43">
        <v>15</v>
      </c>
      <c r="E42" s="42">
        <v>9.8039215686274508E-2</v>
      </c>
    </row>
    <row r="43" spans="2:5" ht="15" customHeight="1">
      <c r="B43" s="72" t="s">
        <v>18</v>
      </c>
      <c r="C43" s="47" t="s">
        <v>97</v>
      </c>
      <c r="D43" s="46">
        <v>1</v>
      </c>
      <c r="E43" s="45">
        <v>6.5359477124183009E-3</v>
      </c>
    </row>
    <row r="44" spans="2:5" ht="15" customHeight="1">
      <c r="B44" s="74"/>
      <c r="C44" s="44" t="s">
        <v>15</v>
      </c>
      <c r="D44" s="43">
        <v>1</v>
      </c>
      <c r="E44" s="42">
        <v>6.5359477124183009E-3</v>
      </c>
    </row>
    <row r="45" spans="2:5" ht="15" customHeight="1">
      <c r="B45" s="72" t="s">
        <v>40</v>
      </c>
      <c r="C45" s="47" t="s">
        <v>98</v>
      </c>
      <c r="D45" s="46">
        <v>11</v>
      </c>
      <c r="E45" s="45">
        <v>7.1895424836601302E-2</v>
      </c>
    </row>
    <row r="46" spans="2:5" ht="15" customHeight="1">
      <c r="B46" s="73"/>
      <c r="C46" s="47" t="s">
        <v>97</v>
      </c>
      <c r="D46" s="46">
        <v>3</v>
      </c>
      <c r="E46" s="45">
        <v>1.9607843137254902E-2</v>
      </c>
    </row>
    <row r="47" spans="2:5" ht="15" customHeight="1">
      <c r="B47" s="74"/>
      <c r="C47" s="44" t="s">
        <v>15</v>
      </c>
      <c r="D47" s="43">
        <v>14</v>
      </c>
      <c r="E47" s="42">
        <v>9.1503267973856203E-2</v>
      </c>
    </row>
    <row r="48" spans="2:5" ht="15" customHeight="1">
      <c r="B48" s="72" t="s">
        <v>37</v>
      </c>
      <c r="C48" s="47" t="s">
        <v>98</v>
      </c>
      <c r="D48" s="46">
        <v>7</v>
      </c>
      <c r="E48" s="45">
        <v>4.5751633986928102E-2</v>
      </c>
    </row>
    <row r="49" spans="2:5" ht="15" customHeight="1">
      <c r="B49" s="73"/>
      <c r="C49" s="47" t="s">
        <v>97</v>
      </c>
      <c r="D49" s="46">
        <v>4</v>
      </c>
      <c r="E49" s="45">
        <v>2.6143790849673203E-2</v>
      </c>
    </row>
    <row r="50" spans="2:5" ht="15" customHeight="1">
      <c r="B50" s="74"/>
      <c r="C50" s="44" t="s">
        <v>15</v>
      </c>
      <c r="D50" s="43">
        <v>11</v>
      </c>
      <c r="E50" s="42">
        <v>7.1895424836601302E-2</v>
      </c>
    </row>
    <row r="51" spans="2:5" ht="15" customHeight="1">
      <c r="B51" s="72" t="s">
        <v>28</v>
      </c>
      <c r="C51" s="47" t="s">
        <v>98</v>
      </c>
      <c r="D51" s="46">
        <v>3</v>
      </c>
      <c r="E51" s="45">
        <v>1.9607843137254902E-2</v>
      </c>
    </row>
    <row r="52" spans="2:5" ht="15" customHeight="1">
      <c r="B52" s="74"/>
      <c r="C52" s="44" t="s">
        <v>15</v>
      </c>
      <c r="D52" s="43">
        <v>3</v>
      </c>
      <c r="E52" s="42">
        <v>1.9607843137254902E-2</v>
      </c>
    </row>
    <row r="53" spans="2:5" ht="15" customHeight="1">
      <c r="B53" s="72" t="s">
        <v>20</v>
      </c>
      <c r="C53" s="47" t="s">
        <v>98</v>
      </c>
      <c r="D53" s="46">
        <v>2</v>
      </c>
      <c r="E53" s="45">
        <v>1.3071895424836602E-2</v>
      </c>
    </row>
    <row r="54" spans="2:5" ht="15" customHeight="1">
      <c r="B54" s="74"/>
      <c r="C54" s="44" t="s">
        <v>15</v>
      </c>
      <c r="D54" s="43">
        <v>2</v>
      </c>
      <c r="E54" s="42">
        <v>1.3071895424836602E-2</v>
      </c>
    </row>
    <row r="55" spans="2:5" ht="15" customHeight="1">
      <c r="B55" s="72" t="s">
        <v>17</v>
      </c>
      <c r="C55" s="47" t="s">
        <v>98</v>
      </c>
      <c r="D55" s="46">
        <v>2</v>
      </c>
      <c r="E55" s="45">
        <v>1.3071895424836602E-2</v>
      </c>
    </row>
    <row r="56" spans="2:5" ht="15" customHeight="1">
      <c r="B56" s="74"/>
      <c r="C56" s="44" t="s">
        <v>15</v>
      </c>
      <c r="D56" s="43">
        <v>2</v>
      </c>
      <c r="E56" s="42">
        <v>1.3071895424836602E-2</v>
      </c>
    </row>
    <row r="57" spans="2:5" ht="15" customHeight="1">
      <c r="B57" s="72" t="s">
        <v>33</v>
      </c>
      <c r="C57" s="47" t="s">
        <v>98</v>
      </c>
      <c r="D57" s="46">
        <v>6</v>
      </c>
      <c r="E57" s="45">
        <v>3.9215686274509803E-2</v>
      </c>
    </row>
    <row r="58" spans="2:5" ht="15" customHeight="1">
      <c r="B58" s="73"/>
      <c r="C58" s="47" t="s">
        <v>97</v>
      </c>
      <c r="D58" s="46">
        <v>1</v>
      </c>
      <c r="E58" s="45">
        <v>6.5359477124183009E-3</v>
      </c>
    </row>
    <row r="59" spans="2:5" ht="15" customHeight="1">
      <c r="B59" s="74"/>
      <c r="C59" s="44" t="s">
        <v>15</v>
      </c>
      <c r="D59" s="43">
        <v>7</v>
      </c>
      <c r="E59" s="42">
        <v>4.5751633986928102E-2</v>
      </c>
    </row>
    <row r="60" spans="2:5" ht="15" customHeight="1">
      <c r="B60" s="72" t="s">
        <v>30</v>
      </c>
      <c r="C60" s="47" t="s">
        <v>98</v>
      </c>
      <c r="D60" s="46">
        <v>9</v>
      </c>
      <c r="E60" s="45">
        <v>5.8823529411764705E-2</v>
      </c>
    </row>
    <row r="61" spans="2:5" ht="15" customHeight="1">
      <c r="B61" s="74"/>
      <c r="C61" s="44" t="s">
        <v>15</v>
      </c>
      <c r="D61" s="43">
        <v>9</v>
      </c>
      <c r="E61" s="42">
        <v>5.8823529411764705E-2</v>
      </c>
    </row>
    <row r="62" spans="2:5" ht="15" customHeight="1">
      <c r="B62" s="72" t="s">
        <v>27</v>
      </c>
      <c r="C62" s="47" t="s">
        <v>98</v>
      </c>
      <c r="D62" s="46">
        <v>4</v>
      </c>
      <c r="E62" s="45">
        <v>2.6143790849673203E-2</v>
      </c>
    </row>
    <row r="63" spans="2:5" ht="15" customHeight="1">
      <c r="B63" s="74"/>
      <c r="C63" s="44" t="s">
        <v>15</v>
      </c>
      <c r="D63" s="43">
        <v>4</v>
      </c>
      <c r="E63" s="42">
        <v>2.6143790849673203E-2</v>
      </c>
    </row>
    <row r="64" spans="2:5" ht="15" customHeight="1">
      <c r="B64" s="72" t="s">
        <v>24</v>
      </c>
      <c r="C64" s="47" t="s">
        <v>98</v>
      </c>
      <c r="D64" s="46">
        <v>4</v>
      </c>
      <c r="E64" s="45">
        <v>2.6143790849673203E-2</v>
      </c>
    </row>
    <row r="65" spans="2:5" ht="15" customHeight="1">
      <c r="B65" s="73"/>
      <c r="C65" s="47" t="s">
        <v>97</v>
      </c>
      <c r="D65" s="46">
        <v>2</v>
      </c>
      <c r="E65" s="45">
        <v>1.3071895424836602E-2</v>
      </c>
    </row>
    <row r="66" spans="2:5" ht="15" customHeight="1">
      <c r="B66" s="74"/>
      <c r="C66" s="44" t="s">
        <v>15</v>
      </c>
      <c r="D66" s="43">
        <v>6</v>
      </c>
      <c r="E66" s="42">
        <v>3.9215686274509803E-2</v>
      </c>
    </row>
    <row r="67" spans="2:5" ht="15" customHeight="1">
      <c r="B67" s="72" t="s">
        <v>16</v>
      </c>
      <c r="C67" s="47" t="s">
        <v>98</v>
      </c>
      <c r="D67" s="46">
        <v>4</v>
      </c>
      <c r="E67" s="45">
        <v>2.6143790849673203E-2</v>
      </c>
    </row>
    <row r="68" spans="2:5" ht="15" customHeight="1">
      <c r="B68" s="73"/>
      <c r="C68" s="47" t="s">
        <v>97</v>
      </c>
      <c r="D68" s="46">
        <v>1</v>
      </c>
      <c r="E68" s="45">
        <v>6.5359477124183009E-3</v>
      </c>
    </row>
    <row r="69" spans="2:5" ht="15" customHeight="1">
      <c r="B69" s="74"/>
      <c r="C69" s="44" t="s">
        <v>15</v>
      </c>
      <c r="D69" s="43">
        <v>5</v>
      </c>
      <c r="E69" s="42">
        <v>3.2679738562091505E-2</v>
      </c>
    </row>
    <row r="70" spans="2:5" ht="15" customHeight="1">
      <c r="B70" s="72" t="s">
        <v>23</v>
      </c>
      <c r="C70" s="47" t="s">
        <v>98</v>
      </c>
      <c r="D70" s="46">
        <v>1</v>
      </c>
      <c r="E70" s="45">
        <v>6.5359477124183009E-3</v>
      </c>
    </row>
    <row r="71" spans="2:5" ht="15" customHeight="1">
      <c r="B71" s="73"/>
      <c r="C71" s="47" t="s">
        <v>97</v>
      </c>
      <c r="D71" s="46">
        <v>1</v>
      </c>
      <c r="E71" s="45">
        <v>6.5359477124183009E-3</v>
      </c>
    </row>
    <row r="72" spans="2:5" ht="15" customHeight="1">
      <c r="B72" s="74"/>
      <c r="C72" s="44" t="s">
        <v>15</v>
      </c>
      <c r="D72" s="43">
        <v>2</v>
      </c>
      <c r="E72" s="42">
        <v>1.3071895424836602E-2</v>
      </c>
    </row>
    <row r="73" spans="2:5" ht="15" customHeight="1">
      <c r="B73" s="72" t="s">
        <v>29</v>
      </c>
      <c r="C73" s="47" t="s">
        <v>98</v>
      </c>
      <c r="D73" s="46">
        <v>1</v>
      </c>
      <c r="E73" s="45">
        <v>6.5359477124183009E-3</v>
      </c>
    </row>
    <row r="74" spans="2:5" ht="15" customHeight="1">
      <c r="B74" s="74"/>
      <c r="C74" s="44" t="s">
        <v>15</v>
      </c>
      <c r="D74" s="43">
        <v>1</v>
      </c>
      <c r="E74" s="42">
        <v>6.5359477124183009E-3</v>
      </c>
    </row>
    <row r="75" spans="2:5" ht="15" customHeight="1">
      <c r="B75" s="72" t="s">
        <v>36</v>
      </c>
      <c r="C75" s="47" t="s">
        <v>98</v>
      </c>
      <c r="D75" s="46">
        <v>11</v>
      </c>
      <c r="E75" s="45">
        <v>7.1895424836601302E-2</v>
      </c>
    </row>
    <row r="76" spans="2:5" ht="15" customHeight="1">
      <c r="B76" s="73"/>
      <c r="C76" s="47" t="s">
        <v>97</v>
      </c>
      <c r="D76" s="46">
        <v>1</v>
      </c>
      <c r="E76" s="45">
        <v>6.5359477124183009E-3</v>
      </c>
    </row>
    <row r="77" spans="2:5" ht="15" customHeight="1">
      <c r="B77" s="74"/>
      <c r="C77" s="44" t="s">
        <v>15</v>
      </c>
      <c r="D77" s="43">
        <v>12</v>
      </c>
      <c r="E77" s="42">
        <v>7.8431372549019607E-2</v>
      </c>
    </row>
    <row r="78" spans="2:5" ht="15" customHeight="1">
      <c r="B78" s="72" t="s">
        <v>26</v>
      </c>
      <c r="C78" s="47" t="s">
        <v>98</v>
      </c>
      <c r="D78" s="46">
        <v>3</v>
      </c>
      <c r="E78" s="45">
        <v>1.9607843137254902E-2</v>
      </c>
    </row>
    <row r="79" spans="2:5" ht="15" customHeight="1">
      <c r="B79" s="74"/>
      <c r="C79" s="44" t="s">
        <v>15</v>
      </c>
      <c r="D79" s="43">
        <v>3</v>
      </c>
      <c r="E79" s="42">
        <v>1.9607843137254902E-2</v>
      </c>
    </row>
    <row r="80" spans="2:5" ht="15" customHeight="1">
      <c r="B80" s="75" t="s">
        <v>15</v>
      </c>
      <c r="C80" s="76"/>
      <c r="D80" s="41">
        <f>SUMIF(C10:C79,"TOTAL",D10:D79)</f>
        <v>153</v>
      </c>
      <c r="E80" s="40">
        <v>1</v>
      </c>
    </row>
    <row r="82" spans="2:6" ht="15" customHeight="1">
      <c r="B82" s="17"/>
      <c r="C82" s="19" t="s">
        <v>120</v>
      </c>
      <c r="D82"/>
      <c r="E82"/>
      <c r="F82" s="17"/>
    </row>
    <row r="83" spans="2:6" ht="15" customHeight="1">
      <c r="B83" s="17"/>
      <c r="C83" s="21" t="s">
        <v>14</v>
      </c>
      <c r="D83"/>
      <c r="E83"/>
      <c r="F83" s="17"/>
    </row>
    <row r="84" spans="2:6" ht="15" customHeight="1">
      <c r="B84" s="17"/>
      <c r="C84" s="20" t="s">
        <v>13</v>
      </c>
      <c r="D84"/>
      <c r="E84"/>
      <c r="F84" s="17"/>
    </row>
    <row r="85" spans="2:6" ht="15" customHeight="1">
      <c r="B85" s="17"/>
      <c r="C85" s="19" t="s">
        <v>12</v>
      </c>
      <c r="D85"/>
      <c r="E85"/>
      <c r="F85" s="17"/>
    </row>
    <row r="86" spans="2:6" ht="15" customHeight="1">
      <c r="B86" s="17"/>
      <c r="C86" s="19" t="s">
        <v>121</v>
      </c>
      <c r="D86"/>
      <c r="E86"/>
      <c r="F86" s="17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29">
    <mergeCell ref="B7:E8"/>
    <mergeCell ref="B34:B36"/>
    <mergeCell ref="B37:B39"/>
    <mergeCell ref="B24:B26"/>
    <mergeCell ref="B27:B28"/>
    <mergeCell ref="B29:B31"/>
    <mergeCell ref="B32:B33"/>
    <mergeCell ref="B80:C80"/>
    <mergeCell ref="B45:B47"/>
    <mergeCell ref="B48:B50"/>
    <mergeCell ref="B40:B42"/>
    <mergeCell ref="B43:B44"/>
    <mergeCell ref="B51:B52"/>
    <mergeCell ref="B53:B54"/>
    <mergeCell ref="B55:B56"/>
    <mergeCell ref="B57:B59"/>
    <mergeCell ref="B60:B61"/>
    <mergeCell ref="B62:B63"/>
    <mergeCell ref="B64:B66"/>
    <mergeCell ref="B67:B69"/>
    <mergeCell ref="B70:B72"/>
    <mergeCell ref="B73:B74"/>
    <mergeCell ref="B75:B77"/>
    <mergeCell ref="B78:B79"/>
    <mergeCell ref="B10:B12"/>
    <mergeCell ref="B13:B15"/>
    <mergeCell ref="B16:B17"/>
    <mergeCell ref="B18:B20"/>
    <mergeCell ref="B21:B2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5"/>
  <sheetViews>
    <sheetView zoomScaleNormal="100" zoomScaleSheetLayoutView="100" workbookViewId="0">
      <selection activeCell="C14" sqref="C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96</v>
      </c>
      <c r="C9" s="51" t="s">
        <v>104</v>
      </c>
      <c r="D9" s="50" t="s">
        <v>42</v>
      </c>
      <c r="E9" s="49" t="s">
        <v>41</v>
      </c>
    </row>
    <row r="10" spans="1:5" ht="15" customHeight="1">
      <c r="B10" s="72" t="s">
        <v>98</v>
      </c>
      <c r="C10" s="47" t="s">
        <v>103</v>
      </c>
      <c r="D10" s="46">
        <v>3</v>
      </c>
      <c r="E10" s="45">
        <v>1.9607843137254902E-2</v>
      </c>
    </row>
    <row r="11" spans="1:5" ht="15" customHeight="1">
      <c r="B11" s="73"/>
      <c r="C11" s="47" t="s">
        <v>102</v>
      </c>
      <c r="D11" s="46">
        <v>31</v>
      </c>
      <c r="E11" s="45">
        <v>0.20261437908496732</v>
      </c>
    </row>
    <row r="12" spans="1:5" ht="15" customHeight="1">
      <c r="B12" s="73"/>
      <c r="C12" s="47" t="s">
        <v>101</v>
      </c>
      <c r="D12" s="46">
        <v>52</v>
      </c>
      <c r="E12" s="45">
        <v>0.33986928104575165</v>
      </c>
    </row>
    <row r="13" spans="1:5" ht="15" customHeight="1">
      <c r="B13" s="73"/>
      <c r="C13" s="47" t="s">
        <v>100</v>
      </c>
      <c r="D13" s="46">
        <v>22</v>
      </c>
      <c r="E13" s="45">
        <v>0.1437908496732026</v>
      </c>
    </row>
    <row r="14" spans="1:5" ht="15" customHeight="1">
      <c r="B14" s="74"/>
      <c r="C14" s="47" t="s">
        <v>99</v>
      </c>
      <c r="D14" s="46">
        <v>11</v>
      </c>
      <c r="E14" s="45">
        <v>7.1895424836601302E-2</v>
      </c>
    </row>
    <row r="15" spans="1:5" ht="15" customHeight="1">
      <c r="B15" s="72" t="s">
        <v>97</v>
      </c>
      <c r="C15" s="47" t="s">
        <v>102</v>
      </c>
      <c r="D15" s="46">
        <v>2</v>
      </c>
      <c r="E15" s="45">
        <v>1.3071895424836602E-2</v>
      </c>
    </row>
    <row r="16" spans="1:5" ht="15" customHeight="1">
      <c r="B16" s="73"/>
      <c r="C16" s="47" t="s">
        <v>101</v>
      </c>
      <c r="D16" s="46">
        <v>18</v>
      </c>
      <c r="E16" s="45">
        <v>0.11764705882352941</v>
      </c>
    </row>
    <row r="17" spans="2:6" ht="15" customHeight="1">
      <c r="B17" s="73"/>
      <c r="C17" s="47" t="s">
        <v>100</v>
      </c>
      <c r="D17" s="46">
        <v>9</v>
      </c>
      <c r="E17" s="45">
        <v>5.8823529411764705E-2</v>
      </c>
    </row>
    <row r="18" spans="2:6" ht="15" customHeight="1">
      <c r="B18" s="74"/>
      <c r="C18" s="47" t="s">
        <v>99</v>
      </c>
      <c r="D18" s="46">
        <v>5</v>
      </c>
      <c r="E18" s="45">
        <v>3.2679738562091505E-2</v>
      </c>
    </row>
    <row r="19" spans="2:6" ht="15" customHeight="1">
      <c r="B19" s="75" t="s">
        <v>15</v>
      </c>
      <c r="C19" s="76"/>
      <c r="D19" s="41">
        <v>153</v>
      </c>
      <c r="E19" s="40">
        <v>1</v>
      </c>
    </row>
    <row r="21" spans="2:6" ht="15" customHeight="1">
      <c r="B21" s="17"/>
      <c r="C21" s="19" t="s">
        <v>120</v>
      </c>
      <c r="D21"/>
      <c r="E21"/>
      <c r="F21" s="17"/>
    </row>
    <row r="22" spans="2:6" ht="15" customHeight="1">
      <c r="B22" s="17"/>
      <c r="C22" s="21" t="s">
        <v>14</v>
      </c>
      <c r="D22"/>
      <c r="E22"/>
      <c r="F22" s="17"/>
    </row>
    <row r="23" spans="2:6" ht="15" customHeight="1">
      <c r="B23" s="17"/>
      <c r="C23" s="20" t="s">
        <v>13</v>
      </c>
      <c r="D23"/>
      <c r="E23"/>
      <c r="F23" s="17"/>
    </row>
    <row r="24" spans="2:6" ht="15" customHeight="1">
      <c r="B24" s="17"/>
      <c r="C24" s="19" t="s">
        <v>12</v>
      </c>
      <c r="D24"/>
      <c r="E24"/>
      <c r="F24" s="17"/>
    </row>
    <row r="25" spans="2:6" ht="15" customHeight="1">
      <c r="B25" s="17"/>
      <c r="C25" s="19" t="s">
        <v>121</v>
      </c>
      <c r="D25"/>
      <c r="E25"/>
      <c r="F25" s="17"/>
    </row>
    <row r="461" spans="2:2" s="37" customFormat="1" ht="15" customHeight="1">
      <c r="B461" s="38"/>
    </row>
    <row r="462" spans="2:2" s="37" customFormat="1" ht="15" customHeight="1">
      <c r="B462" s="39"/>
    </row>
    <row r="463" spans="2:2" s="37" customFormat="1" ht="15" customHeight="1">
      <c r="B463" s="39"/>
    </row>
    <row r="464" spans="2:2" s="37" customFormat="1" ht="15" customHeight="1">
      <c r="B464" s="38"/>
    </row>
    <row r="465" spans="2:2" s="37" customFormat="1" ht="15" customHeight="1">
      <c r="B465" s="38"/>
    </row>
  </sheetData>
  <mergeCells count="4">
    <mergeCell ref="B15:B18"/>
    <mergeCell ref="B19:C19"/>
    <mergeCell ref="B7:E8"/>
    <mergeCell ref="B10:B1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8"/>
  <sheetViews>
    <sheetView showGridLines="0" tabSelected="1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196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113</v>
      </c>
      <c r="C11" s="31" t="s">
        <v>42</v>
      </c>
      <c r="D11" s="30" t="s">
        <v>41</v>
      </c>
    </row>
    <row r="12" spans="1:5">
      <c r="B12" s="27" t="s">
        <v>112</v>
      </c>
      <c r="C12" s="26">
        <v>109</v>
      </c>
      <c r="D12" s="25">
        <v>0.71241830065359479</v>
      </c>
    </row>
    <row r="13" spans="1:5">
      <c r="B13" s="27" t="s">
        <v>111</v>
      </c>
      <c r="C13" s="26">
        <v>24</v>
      </c>
      <c r="D13" s="25">
        <v>0.15686274509803921</v>
      </c>
    </row>
    <row r="14" spans="1:5">
      <c r="A14" s="28"/>
      <c r="B14" s="27" t="s">
        <v>110</v>
      </c>
      <c r="C14" s="26">
        <v>5</v>
      </c>
      <c r="D14" s="25">
        <v>3.2679738562091505E-2</v>
      </c>
      <c r="E14" s="28"/>
    </row>
    <row r="15" spans="1:5">
      <c r="A15" s="28"/>
      <c r="B15" s="27" t="s">
        <v>109</v>
      </c>
      <c r="C15" s="26">
        <v>4</v>
      </c>
      <c r="D15" s="25">
        <v>2.6143790849673203E-2</v>
      </c>
      <c r="E15" s="28"/>
    </row>
    <row r="16" spans="1:5">
      <c r="B16" s="27" t="s">
        <v>105</v>
      </c>
      <c r="C16" s="26">
        <v>3</v>
      </c>
      <c r="D16" s="25">
        <v>1.9607843137254902E-2</v>
      </c>
    </row>
    <row r="17" spans="2:4">
      <c r="B17" s="27" t="s">
        <v>108</v>
      </c>
      <c r="C17" s="26">
        <v>2</v>
      </c>
      <c r="D17" s="25">
        <v>1.3071895424836602E-2</v>
      </c>
    </row>
    <row r="18" spans="2:4">
      <c r="B18" s="27" t="s">
        <v>197</v>
      </c>
      <c r="C18" s="26">
        <v>2</v>
      </c>
      <c r="D18" s="25">
        <v>1.3071895424836602E-2</v>
      </c>
    </row>
    <row r="19" spans="2:4">
      <c r="B19" s="27" t="s">
        <v>107</v>
      </c>
      <c r="C19" s="26">
        <v>2</v>
      </c>
      <c r="D19" s="25">
        <v>1.3071895424836602E-2</v>
      </c>
    </row>
    <row r="20" spans="2:4">
      <c r="B20" s="27" t="s">
        <v>106</v>
      </c>
      <c r="C20" s="26">
        <v>1</v>
      </c>
      <c r="D20" s="25">
        <v>6.5359477124183009E-3</v>
      </c>
    </row>
    <row r="21" spans="2:4">
      <c r="B21" s="27" t="s">
        <v>198</v>
      </c>
      <c r="C21" s="26">
        <v>1</v>
      </c>
      <c r="D21" s="25">
        <v>6.5359477124183009E-3</v>
      </c>
    </row>
    <row r="22" spans="2:4">
      <c r="B22" s="24" t="s">
        <v>15</v>
      </c>
      <c r="C22" s="23">
        <v>153</v>
      </c>
      <c r="D22" s="22">
        <v>1</v>
      </c>
    </row>
    <row r="24" spans="2:4">
      <c r="B24" s="19" t="s">
        <v>120</v>
      </c>
      <c r="C24"/>
      <c r="D24"/>
    </row>
    <row r="25" spans="2:4">
      <c r="B25" s="21" t="s">
        <v>14</v>
      </c>
      <c r="C25"/>
      <c r="D25"/>
    </row>
    <row r="26" spans="2:4">
      <c r="B26" s="20" t="s">
        <v>13</v>
      </c>
      <c r="C26"/>
      <c r="D26"/>
    </row>
    <row r="27" spans="2:4">
      <c r="B27" s="19" t="s">
        <v>12</v>
      </c>
      <c r="C27"/>
      <c r="D27"/>
    </row>
    <row r="28" spans="2:4">
      <c r="B28" s="19" t="s">
        <v>121</v>
      </c>
      <c r="C28"/>
      <c r="D2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South Dakota_Edomexgral</vt:lpstr>
      <vt:lpstr>South Dakota_EDOMEX</vt:lpstr>
      <vt:lpstr>South Dakota_Educagral</vt:lpstr>
      <vt:lpstr>South Dakota_Eduedo</vt:lpstr>
      <vt:lpstr>South Dakota_gengral</vt:lpstr>
      <vt:lpstr>South Dakota_edomexgen</vt:lpstr>
      <vt:lpstr>South Dakota_edadgen</vt:lpstr>
      <vt:lpstr>South Dakota_ocupgral</vt:lpstr>
      <vt:lpstr>Índice!Área_de_impresión</vt:lpstr>
      <vt:lpstr>'South Dakota_edadgen'!Área_de_impresión</vt:lpstr>
      <vt:lpstr>'South Dakota_EDOMEX'!Área_de_impresión</vt:lpstr>
      <vt:lpstr>'South Dakota_edomexgen'!Área_de_impresión</vt:lpstr>
      <vt:lpstr>'South Dakota_Eduedo'!Área_de_impresión</vt:lpstr>
      <vt:lpstr>'South Dakota_edadgen'!Títulos_a_imprimir</vt:lpstr>
      <vt:lpstr>'South Dakota_EDOMEX'!Títulos_a_imprimir</vt:lpstr>
      <vt:lpstr>'South Dakota_edomexgen'!Títulos_a_imprimir</vt:lpstr>
      <vt:lpstr>'South Dakota_Edomexgral'!Títulos_a_imprimir</vt:lpstr>
      <vt:lpstr>'South Dakota_Educagral'!Títulos_a_imprimir</vt:lpstr>
      <vt:lpstr>'South Dakota_Eduedo'!Títulos_a_imprimir</vt:lpstr>
      <vt:lpstr>'South Dakota_gengral'!Títulos_a_imprimir</vt:lpstr>
      <vt:lpstr>'South Dakota_ocupgral'!Títulos_a_imprimir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2020-05-18T08:53:17Z</dcterms:created>
  <dcterms:modified xsi:type="dcterms:W3CDTF">2023-09-14T18:31:41Z</dcterms:modified>
</cp:coreProperties>
</file>