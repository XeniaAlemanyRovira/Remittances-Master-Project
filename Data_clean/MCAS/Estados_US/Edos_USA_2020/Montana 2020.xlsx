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2020\USA\Finales_USA\"/>
    </mc:Choice>
  </mc:AlternateContent>
  <bookViews>
    <workbookView xWindow="0" yWindow="0" windowWidth="24000" windowHeight="9735" tabRatio="823" activeTab="1"/>
  </bookViews>
  <sheets>
    <sheet name="Índice" sheetId="1" r:id="rId1"/>
    <sheet name="Montana_Edomexgral" sheetId="2" r:id="rId2"/>
    <sheet name="Montana_EDOMEX" sheetId="11" r:id="rId3"/>
    <sheet name="Montana_Educagral" sheetId="4" r:id="rId4"/>
    <sheet name="Montana_Eduedo" sheetId="10" r:id="rId5"/>
    <sheet name="Montana_gengral" sheetId="6" r:id="rId6"/>
    <sheet name="Montana_edomexgen" sheetId="7" r:id="rId7"/>
    <sheet name="Montana_edadgen" sheetId="8" r:id="rId8"/>
    <sheet name="Montana_ocupgral" sheetId="9" r:id="rId9"/>
  </sheets>
  <definedNames>
    <definedName name="_xlnm._FilterDatabase" localSheetId="7" hidden="1">Montana_edadgen!$B$9:$E$9</definedName>
    <definedName name="_xlnm._FilterDatabase" localSheetId="2" hidden="1">Montana_EDOMEX!$B$9:$E$9</definedName>
    <definedName name="_xlnm._FilterDatabase" localSheetId="6" hidden="1">Montana_edomexgen!$B$9:$E$9</definedName>
    <definedName name="_xlnm._FilterDatabase" localSheetId="1" hidden="1">Montana_Edomexgral!$B$11:$D$11</definedName>
    <definedName name="_xlnm._FilterDatabase" localSheetId="3" hidden="1">Montana_Educagral!$B$11:$D$11</definedName>
    <definedName name="_xlnm._FilterDatabase" localSheetId="4" hidden="1">Montana_Eduedo!$B$9:$E$9</definedName>
    <definedName name="_xlnm._FilterDatabase" localSheetId="5" hidden="1">Montana_gengral!$B$11:$D$11</definedName>
    <definedName name="_xlnm._FilterDatabase" localSheetId="8" hidden="1">Montana_ocupgral!$B$11:$D$11</definedName>
    <definedName name="_xlnm.Print_Area" localSheetId="7">Montana_edadgen!$A$1:$E$9</definedName>
    <definedName name="_xlnm.Print_Area" localSheetId="2">Montana_EDOMEX!$A$1:$E$9</definedName>
    <definedName name="_xlnm.Print_Area" localSheetId="6">Montana_edomexgen!$A$1:$E$9</definedName>
    <definedName name="_xlnm.Print_Area" localSheetId="4">Montana_Eduedo!$A$1:$E$9</definedName>
    <definedName name="_xlnm.Print_Titles" localSheetId="7">Montana_edadgen!$1:$9</definedName>
    <definedName name="_xlnm.Print_Titles" localSheetId="2">Montana_EDOMEX!$1:$9</definedName>
    <definedName name="_xlnm.Print_Titles" localSheetId="6">Montana_edomexgen!$1:$9</definedName>
    <definedName name="_xlnm.Print_Titles" localSheetId="1">Montana_Edomexgral!$1:$11</definedName>
    <definedName name="_xlnm.Print_Titles" localSheetId="3">Montana_Educagral!$1:$11</definedName>
    <definedName name="_xlnm.Print_Titles" localSheetId="4">Montana_Eduedo!$1:$9</definedName>
    <definedName name="_xlnm.Print_Titles" localSheetId="5">Montana_gengral!$1:$11</definedName>
    <definedName name="_xlnm.Print_Titles" localSheetId="8">Montana_ocupgral!$1:$11</definedName>
  </definedNames>
  <calcPr calcId="152511"/>
</workbook>
</file>

<file path=xl/calcChain.xml><?xml version="1.0" encoding="utf-8"?>
<calcChain xmlns="http://schemas.openxmlformats.org/spreadsheetml/2006/main">
  <c r="D49" i="7" l="1"/>
  <c r="D73" i="11" l="1"/>
</calcChain>
</file>

<file path=xl/sharedStrings.xml><?xml version="1.0" encoding="utf-8"?>
<sst xmlns="http://schemas.openxmlformats.org/spreadsheetml/2006/main" count="342" uniqueCount="118">
  <si>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</si>
  <si>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</si>
  <si>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</si>
  <si>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</si>
  <si>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</si>
  <si>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</si>
  <si>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</si>
  <si>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</si>
  <si>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</si>
  <si>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</si>
  <si>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</si>
  <si>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</si>
  <si>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</si>
  <si>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</si>
  <si>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</si>
  <si>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</si>
  <si>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Hidalgo</t>
  </si>
  <si>
    <t>Durango</t>
  </si>
  <si>
    <t>Puebla</t>
  </si>
  <si>
    <t>Oaxaca</t>
  </si>
  <si>
    <t>Ciudad de México</t>
  </si>
  <si>
    <t>Chiapas</t>
  </si>
  <si>
    <t>San Luis Potosí</t>
  </si>
  <si>
    <t>Guerrero</t>
  </si>
  <si>
    <t>Guanajuato</t>
  </si>
  <si>
    <t>Estado de México</t>
  </si>
  <si>
    <t>Chihuahua</t>
  </si>
  <si>
    <t>Veracruz</t>
  </si>
  <si>
    <t>Michoacán</t>
  </si>
  <si>
    <t>Jalisco</t>
  </si>
  <si>
    <t>Porcentaje de Matrículas</t>
  </si>
  <si>
    <t>Número de Matrículas</t>
  </si>
  <si>
    <t>Estado de Origen</t>
  </si>
  <si>
    <t>Coscomatepec</t>
  </si>
  <si>
    <t>Zapopan</t>
  </si>
  <si>
    <t>Ayutla</t>
  </si>
  <si>
    <t>Arandas</t>
  </si>
  <si>
    <t>Atoyac de Álvarez</t>
  </si>
  <si>
    <t>Gustavo A. Madero</t>
  </si>
  <si>
    <t>Nuevo Casas Grandes</t>
  </si>
  <si>
    <t>Camargo</t>
  </si>
  <si>
    <t>Mapastepec</t>
  </si>
  <si>
    <t>Municipio Origen</t>
  </si>
  <si>
    <t>Profesional Titulado</t>
  </si>
  <si>
    <t>Profesional pasante</t>
  </si>
  <si>
    <t>Preparatoria con certificado</t>
  </si>
  <si>
    <t>Preparatoria sin certificado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</si>
  <si>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</si>
  <si>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</si>
  <si>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</si>
  <si>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</si>
  <si>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</si>
  <si>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</si>
  <si>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Nivel de Estudios</t>
  </si>
  <si>
    <t>MATRÍCULAS CONSULARES EXPEDIDAS EN EL ESTADO DE MONTANA EN EE.UU. POR NIVEL DE EDUCACIÓN</t>
  </si>
  <si>
    <t>TOTAL</t>
  </si>
  <si>
    <t>MUJER</t>
  </si>
  <si>
    <t>HOMBRE</t>
  </si>
  <si>
    <t>Género</t>
  </si>
  <si>
    <t>Mujer</t>
  </si>
  <si>
    <t>Hombre</t>
  </si>
  <si>
    <t>Entre 50 y 65 Años</t>
  </si>
  <si>
    <t>Entre 40 y 49 Años</t>
  </si>
  <si>
    <t>Entre 29 y 39 Años</t>
  </si>
  <si>
    <t>Entre 18 y 28 Años</t>
  </si>
  <si>
    <t>Edad cumplida</t>
  </si>
  <si>
    <t>Cocinero(a)</t>
  </si>
  <si>
    <t>Campesino(a)</t>
  </si>
  <si>
    <t>Hogar</t>
  </si>
  <si>
    <t>Empleado(a)</t>
  </si>
  <si>
    <t>Ocupación</t>
  </si>
  <si>
    <t>Profesional titulado</t>
  </si>
  <si>
    <t>Matrículas consulares expedidas a mexicanos  en el estado de Montana en el 2020</t>
  </si>
  <si>
    <t>MATRÍCULAS CONSULARES DE ALTA SEGURIDAD EXPEDIDAS EN EL ESTADO DE MONTANA EN EE.UU. POR ESTADO DE LA REPÚBLICA MEXICANA DURANTE EL 2020</t>
  </si>
  <si>
    <t>Baja California</t>
  </si>
  <si>
    <t>Querétaro</t>
  </si>
  <si>
    <t>Tamaño de la muestra: 497,795</t>
  </si>
  <si>
    <t>Octubre de 2021</t>
  </si>
  <si>
    <t>Tijuana</t>
  </si>
  <si>
    <t>Ocosingo</t>
  </si>
  <si>
    <t>Tonalá</t>
  </si>
  <si>
    <t>Tuxtla Gutiérrez</t>
  </si>
  <si>
    <t>Allende</t>
  </si>
  <si>
    <t>Ignacio Zaragoza</t>
  </si>
  <si>
    <t>Jiménez</t>
  </si>
  <si>
    <t>Saucillo</t>
  </si>
  <si>
    <t>Álvaro Obregón</t>
  </si>
  <si>
    <t>Cuauhtémoc</t>
  </si>
  <si>
    <t>Canatlán</t>
  </si>
  <si>
    <t>Pánuco de Coronado</t>
  </si>
  <si>
    <t>Vicente Guerero</t>
  </si>
  <si>
    <t>Tepotzotlán</t>
  </si>
  <si>
    <t>GUANAJUATO</t>
  </si>
  <si>
    <t>Doctor Mora</t>
  </si>
  <si>
    <t>León</t>
  </si>
  <si>
    <t>Guerero</t>
  </si>
  <si>
    <t>Atlixtac</t>
  </si>
  <si>
    <t>Juan R. Escudero</t>
  </si>
  <si>
    <t>Apan</t>
  </si>
  <si>
    <t>Pachuca de Soto</t>
  </si>
  <si>
    <t>Casimiro Castillo</t>
  </si>
  <si>
    <t>Cocula</t>
  </si>
  <si>
    <t>Cuautla</t>
  </si>
  <si>
    <t>Hostotipaquillo</t>
  </si>
  <si>
    <t>Huejuquilla el Alto</t>
  </si>
  <si>
    <t>Jalostotitlán</t>
  </si>
  <si>
    <t>Lázaro Cárdenas</t>
  </si>
  <si>
    <t>Los Reyes</t>
  </si>
  <si>
    <t>Oaxaca de Juárez</t>
  </si>
  <si>
    <t>Ocotlán de Morelos</t>
  </si>
  <si>
    <t>Cuautlancingo</t>
  </si>
  <si>
    <t>Cuyoaco</t>
  </si>
  <si>
    <t>Calcahualco</t>
  </si>
  <si>
    <t>3° Primaria</t>
  </si>
  <si>
    <t>Posgrado [Maestría]</t>
  </si>
  <si>
    <t>MATRÍCULAS CONSULARES DE ALTA SEGURIDAD EXPEDIDAS EN EE.UU A MEXICANOS EN EL ESTADO DE MONTANA, POR GÉNERO 2020</t>
  </si>
  <si>
    <t>Operario(a)</t>
  </si>
  <si>
    <t>MATRÍCULAS CONSULARES DE ALTA SEGURIDAD EXPEDIDAS EN EE.UU A MEXICANOS EN EL ESTADO DE  MONTANA, POR PERFIL OCUPACIONAL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</si>
</sst>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b/>
      <sz val="12"/>
      <color theme="0"/>
      <name val="Montserrat"/>
    </font>
    <font>
      <sz val="12"/>
      <color theme="1"/>
      <name val="Montserrat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5" fillId="0" borderId="0"/>
  </cellStyleXfs>
  <cellXfs count="80">
    <xf numFmtId="0" fontId="0" fillId="0" borderId="0" xfId="0"/>
    <xf numFmtId="0" fontId="2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vertical="center"/>
    </xf>
    <xf numFmtId="164" fontId="7" fillId="4" borderId="9" xfId="0" applyNumberFormat="1" applyFont="1" applyFill="1" applyBorder="1" applyAlignment="1">
      <alignment horizontal="right" vertical="top" wrapText="1"/>
    </xf>
    <xf numFmtId="3" fontId="7" fillId="4" borderId="9" xfId="0" applyNumberFormat="1" applyFont="1" applyFill="1" applyBorder="1" applyAlignment="1">
      <alignment horizontal="right" vertical="top" wrapText="1"/>
    </xf>
    <xf numFmtId="49" fontId="7" fillId="4" borderId="9" xfId="0" applyNumberFormat="1" applyFont="1" applyFill="1" applyBorder="1" applyAlignment="1">
      <alignment vertical="top" wrapText="1"/>
    </xf>
    <xf numFmtId="164" fontId="8" fillId="3" borderId="9" xfId="0" applyNumberFormat="1" applyFont="1" applyFill="1" applyBorder="1" applyAlignment="1">
      <alignment horizontal="right" vertical="top" wrapText="1"/>
    </xf>
    <xf numFmtId="3" fontId="8" fillId="3" borderId="9" xfId="0" applyNumberFormat="1" applyFont="1" applyFill="1" applyBorder="1" applyAlignment="1">
      <alignment horizontal="right" vertical="top" wrapText="1"/>
    </xf>
    <xf numFmtId="49" fontId="9" fillId="3" borderId="9" xfId="0" applyNumberFormat="1" applyFont="1" applyFill="1" applyBorder="1" applyAlignment="1">
      <alignment vertical="top" wrapText="1"/>
    </xf>
    <xf numFmtId="0" fontId="10" fillId="3" borderId="0" xfId="0" applyFont="1" applyFill="1"/>
    <xf numFmtId="0" fontId="11" fillId="0" borderId="0" xfId="0" applyFont="1"/>
    <xf numFmtId="0" fontId="7" fillId="2" borderId="10" xfId="0" applyFont="1" applyFill="1" applyBorder="1" applyAlignment="1">
      <alignment horizontal="center" vertical="center" wrapText="1"/>
    </xf>
    <xf numFmtId="1" fontId="7" fillId="2" borderId="10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3" fontId="11" fillId="0" borderId="0" xfId="0" applyNumberFormat="1" applyFont="1"/>
    <xf numFmtId="1" fontId="11" fillId="0" borderId="0" xfId="0" applyNumberFormat="1" applyFont="1"/>
    <xf numFmtId="0" fontId="14" fillId="3" borderId="0" xfId="0" applyFont="1" applyFill="1"/>
    <xf numFmtId="0" fontId="15" fillId="3" borderId="0" xfId="0" applyFont="1" applyFill="1"/>
    <xf numFmtId="0" fontId="16" fillId="0" borderId="0" xfId="0" applyFont="1" applyBorder="1"/>
    <xf numFmtId="0" fontId="16" fillId="0" borderId="0" xfId="0" applyFont="1" applyBorder="1" applyAlignment="1">
      <alignment vertical="top"/>
    </xf>
    <xf numFmtId="164" fontId="7" fillId="5" borderId="9" xfId="0" applyNumberFormat="1" applyFont="1" applyFill="1" applyBorder="1" applyAlignment="1">
      <alignment horizontal="right" vertical="center" wrapText="1"/>
    </xf>
    <xf numFmtId="3" fontId="7" fillId="5" borderId="9" xfId="0" applyNumberFormat="1" applyFont="1" applyFill="1" applyBorder="1" applyAlignment="1">
      <alignment horizontal="right" vertical="center" wrapText="1"/>
    </xf>
    <xf numFmtId="165" fontId="7" fillId="6" borderId="9" xfId="1" applyNumberFormat="1" applyFont="1" applyFill="1" applyBorder="1" applyAlignment="1">
      <alignment vertical="center" wrapText="1"/>
    </xf>
    <xf numFmtId="3" fontId="7" fillId="6" borderId="9" xfId="3" applyNumberFormat="1" applyFont="1" applyFill="1" applyBorder="1" applyAlignment="1">
      <alignment horizontal="right" vertical="center" wrapText="1"/>
    </xf>
    <xf numFmtId="49" fontId="7" fillId="6" borderId="9" xfId="3" applyNumberFormat="1" applyFont="1" applyFill="1" applyBorder="1" applyAlignment="1">
      <alignment vertical="center" wrapText="1"/>
    </xf>
    <xf numFmtId="164" fontId="17" fillId="3" borderId="9" xfId="3" applyNumberFormat="1" applyFont="1" applyFill="1" applyBorder="1" applyAlignment="1">
      <alignment horizontal="right" vertical="center" wrapText="1"/>
    </xf>
    <xf numFmtId="166" fontId="17" fillId="3" borderId="9" xfId="3" applyNumberFormat="1" applyFont="1" applyFill="1" applyBorder="1" applyAlignment="1">
      <alignment horizontal="right" vertical="center" wrapText="1"/>
    </xf>
    <xf numFmtId="49" fontId="17" fillId="3" borderId="9" xfId="3" applyNumberFormat="1" applyFont="1" applyFill="1" applyBorder="1" applyAlignment="1">
      <alignment vertical="center" wrapText="1"/>
    </xf>
    <xf numFmtId="0" fontId="18" fillId="3" borderId="0" xfId="0" applyFont="1" applyFill="1"/>
    <xf numFmtId="0" fontId="19" fillId="2" borderId="10" xfId="4" applyFont="1" applyFill="1" applyBorder="1" applyAlignment="1">
      <alignment horizontal="center" vertical="center" wrapText="1"/>
    </xf>
    <xf numFmtId="1" fontId="19" fillId="2" borderId="10" xfId="4" applyNumberFormat="1" applyFont="1" applyFill="1" applyBorder="1" applyAlignment="1">
      <alignment horizontal="center" vertical="center" wrapText="1"/>
    </xf>
    <xf numFmtId="0" fontId="7" fillId="2" borderId="10" xfId="4" applyFont="1" applyFill="1" applyBorder="1" applyAlignment="1">
      <alignment horizontal="center" vertical="center" wrapText="1"/>
    </xf>
    <xf numFmtId="0" fontId="11" fillId="3" borderId="0" xfId="0" applyFont="1" applyFill="1"/>
    <xf numFmtId="0" fontId="20" fillId="3" borderId="0" xfId="0" applyFont="1" applyFill="1" applyAlignment="1"/>
    <xf numFmtId="0" fontId="18" fillId="3" borderId="0" xfId="0" applyFont="1" applyFill="1" applyAlignment="1">
      <alignment vertical="center"/>
    </xf>
    <xf numFmtId="0" fontId="11" fillId="3" borderId="0" xfId="0" applyFont="1" applyFill="1" applyBorder="1"/>
    <xf numFmtId="3" fontId="11" fillId="3" borderId="0" xfId="0" applyNumberFormat="1" applyFont="1" applyFill="1" applyBorder="1"/>
    <xf numFmtId="1" fontId="11" fillId="3" borderId="0" xfId="0" applyNumberFormat="1" applyFont="1" applyFill="1" applyBorder="1"/>
    <xf numFmtId="0" fontId="18" fillId="3" borderId="0" xfId="0" applyFont="1" applyFill="1" applyBorder="1"/>
    <xf numFmtId="0" fontId="18" fillId="3" borderId="0" xfId="0" applyFont="1" applyFill="1" applyBorder="1" applyAlignment="1">
      <alignment vertical="center"/>
    </xf>
    <xf numFmtId="3" fontId="10" fillId="3" borderId="0" xfId="0" applyNumberFormat="1" applyFont="1" applyFill="1"/>
    <xf numFmtId="0" fontId="22" fillId="0" borderId="5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4" xfId="0" applyFont="1" applyBorder="1" applyAlignment="1">
      <alignment horizontal="left"/>
    </xf>
    <xf numFmtId="0" fontId="22" fillId="0" borderId="5" xfId="0" applyFont="1" applyBorder="1" applyAlignment="1">
      <alignment horizontal="left" wrapText="1"/>
    </xf>
    <xf numFmtId="0" fontId="22" fillId="0" borderId="0" xfId="0" applyFont="1" applyBorder="1" applyAlignment="1">
      <alignment horizontal="left" wrapText="1"/>
    </xf>
    <xf numFmtId="0" fontId="22" fillId="0" borderId="4" xfId="0" applyFont="1" applyBorder="1" applyAlignment="1">
      <alignment horizontal="left" wrapText="1"/>
    </xf>
    <xf numFmtId="0" fontId="22" fillId="0" borderId="5" xfId="0" applyFont="1" applyBorder="1" applyAlignment="1"/>
    <xf numFmtId="0" fontId="22" fillId="0" borderId="0" xfId="0" applyFont="1" applyBorder="1" applyAlignment="1"/>
    <xf numFmtId="0" fontId="22" fillId="0" borderId="4" xfId="0" applyFont="1" applyBorder="1" applyAlignment="1"/>
    <xf numFmtId="0" fontId="22" fillId="0" borderId="5" xfId="0" applyFont="1" applyBorder="1"/>
    <xf numFmtId="0" fontId="22" fillId="0" borderId="0" xfId="0" applyFont="1" applyBorder="1"/>
    <xf numFmtId="0" fontId="22" fillId="0" borderId="4" xfId="0" applyFont="1" applyBorder="1"/>
    <xf numFmtId="0" fontId="22" fillId="0" borderId="3" xfId="0" applyFont="1" applyBorder="1"/>
    <xf numFmtId="0" fontId="22" fillId="0" borderId="2" xfId="0" applyFont="1" applyBorder="1"/>
    <xf numFmtId="0" fontId="22" fillId="0" borderId="1" xfId="0" applyFont="1" applyBorder="1"/>
    <xf numFmtId="49" fontId="17" fillId="3" borderId="9" xfId="3" applyNumberFormat="1" applyFont="1" applyFill="1" applyBorder="1" applyAlignment="1">
      <alignment horizontal="center" vertical="center" wrapText="1"/>
    </xf>
    <xf numFmtId="0" fontId="23" fillId="0" borderId="0" xfId="2" applyFont="1" applyBorder="1" applyAlignment="1">
      <alignment horizontal="left"/>
    </xf>
    <xf numFmtId="0" fontId="23" fillId="0" borderId="4" xfId="2" applyFont="1" applyBorder="1" applyAlignment="1">
      <alignment horizontal="left"/>
    </xf>
    <xf numFmtId="0" fontId="23" fillId="0" borderId="5" xfId="2" applyFont="1" applyBorder="1" applyAlignment="1">
      <alignment horizontal="left"/>
    </xf>
    <xf numFmtId="0" fontId="21" fillId="2" borderId="8" xfId="0" applyFont="1" applyFill="1" applyBorder="1" applyAlignment="1">
      <alignment horizontal="center" wrapText="1"/>
    </xf>
    <xf numFmtId="0" fontId="21" fillId="2" borderId="7" xfId="0" applyFont="1" applyFill="1" applyBorder="1" applyAlignment="1">
      <alignment horizontal="center" wrapText="1"/>
    </xf>
    <xf numFmtId="0" fontId="21" fillId="2" borderId="6" xfId="0" applyFont="1" applyFill="1" applyBorder="1" applyAlignment="1">
      <alignment horizontal="center" wrapText="1"/>
    </xf>
    <xf numFmtId="0" fontId="22" fillId="0" borderId="5" xfId="0" applyFont="1" applyBorder="1" applyAlignment="1">
      <alignment horizontal="left" wrapText="1"/>
    </xf>
    <xf numFmtId="0" fontId="22" fillId="0" borderId="0" xfId="0" applyFont="1" applyBorder="1" applyAlignment="1">
      <alignment horizontal="left" wrapText="1"/>
    </xf>
    <xf numFmtId="0" fontId="22" fillId="0" borderId="4" xfId="0" applyFont="1" applyBorder="1" applyAlignment="1">
      <alignment horizontal="left" wrapText="1"/>
    </xf>
    <xf numFmtId="0" fontId="23" fillId="0" borderId="0" xfId="2" applyFont="1" applyBorder="1" applyAlignment="1">
      <alignment horizontal="center"/>
    </xf>
    <xf numFmtId="0" fontId="23" fillId="0" borderId="4" xfId="2" applyFont="1" applyBorder="1" applyAlignment="1">
      <alignment horizontal="center"/>
    </xf>
    <xf numFmtId="0" fontId="13" fillId="0" borderId="0" xfId="0" applyFont="1" applyBorder="1" applyAlignment="1">
      <alignment horizontal="center" vertical="center" wrapText="1"/>
    </xf>
    <xf numFmtId="0" fontId="10" fillId="3" borderId="0" xfId="0" applyFont="1" applyFill="1" applyAlignment="1">
      <alignment horizontal="center" wrapText="1"/>
    </xf>
    <xf numFmtId="49" fontId="17" fillId="3" borderId="10" xfId="3" applyNumberFormat="1" applyFont="1" applyFill="1" applyBorder="1" applyAlignment="1">
      <alignment horizontal="center" vertical="center" wrapText="1"/>
    </xf>
    <xf numFmtId="49" fontId="17" fillId="3" borderId="14" xfId="3" applyNumberFormat="1" applyFont="1" applyFill="1" applyBorder="1" applyAlignment="1">
      <alignment horizontal="center" vertical="center" wrapText="1"/>
    </xf>
    <xf numFmtId="49" fontId="17" fillId="3" borderId="15" xfId="3" applyNumberFormat="1" applyFont="1" applyFill="1" applyBorder="1" applyAlignment="1">
      <alignment horizontal="center" vertical="center" wrapText="1"/>
    </xf>
    <xf numFmtId="49" fontId="7" fillId="5" borderId="13" xfId="0" applyNumberFormat="1" applyFont="1" applyFill="1" applyBorder="1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365817</xdr:colOff>
      <xdr:row>2</xdr:row>
      <xdr:rowOff>8175</xdr:rowOff>
    </xdr:from>
    <xdr:to>
      <xdr:col>3</xdr:col>
      <xdr:colOff>877914</xdr:colOff>
      <xdr:row>3</xdr:row>
      <xdr:rowOff>8176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93964" y="736557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7</xdr:row>
      <xdr:rowOff>47625</xdr:rowOff>
    </xdr:from>
    <xdr:to>
      <xdr:col>5</xdr:col>
      <xdr:colOff>169197</xdr:colOff>
      <xdr:row>8</xdr:row>
      <xdr:rowOff>36420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05350" y="15716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MONTANA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552450</xdr:colOff>
      <xdr:row>7</xdr:row>
      <xdr:rowOff>161925</xdr:rowOff>
    </xdr:from>
    <xdr:to>
      <xdr:col>4</xdr:col>
      <xdr:colOff>1064547</xdr:colOff>
      <xdr:row>7</xdr:row>
      <xdr:rowOff>352426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1125" y="19050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342900</xdr:colOff>
      <xdr:row>7</xdr:row>
      <xdr:rowOff>171450</xdr:rowOff>
    </xdr:from>
    <xdr:to>
      <xdr:col>5</xdr:col>
      <xdr:colOff>235872</xdr:colOff>
      <xdr:row>8</xdr:row>
      <xdr:rowOff>160245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362575" y="16954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MONTANA, POR NIVEL DE EDUCACIÓN Y ESTADO DE LA REPÚBLICA, DURANTE EL 2020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472966</xdr:colOff>
      <xdr:row>7</xdr:row>
      <xdr:rowOff>118241</xdr:rowOff>
    </xdr:from>
    <xdr:to>
      <xdr:col>4</xdr:col>
      <xdr:colOff>985063</xdr:colOff>
      <xdr:row>7</xdr:row>
      <xdr:rowOff>308742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0656" y="185901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285750</xdr:colOff>
      <xdr:row>7</xdr:row>
      <xdr:rowOff>152400</xdr:rowOff>
    </xdr:from>
    <xdr:to>
      <xdr:col>5</xdr:col>
      <xdr:colOff>178722</xdr:colOff>
      <xdr:row>8</xdr:row>
      <xdr:rowOff>141195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14875" y="16764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MONTANA,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564931</xdr:colOff>
      <xdr:row>7</xdr:row>
      <xdr:rowOff>151086</xdr:rowOff>
    </xdr:from>
    <xdr:to>
      <xdr:col>4</xdr:col>
      <xdr:colOff>1077028</xdr:colOff>
      <xdr:row>7</xdr:row>
      <xdr:rowOff>330381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02621" y="1891862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MONTANA,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111672</xdr:rowOff>
    </xdr:from>
    <xdr:to>
      <xdr:col>4</xdr:col>
      <xdr:colOff>1037614</xdr:colOff>
      <xdr:row>7</xdr:row>
      <xdr:rowOff>290967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3207" y="1852448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419100</xdr:colOff>
      <xdr:row>6</xdr:row>
      <xdr:rowOff>161925</xdr:rowOff>
    </xdr:from>
    <xdr:to>
      <xdr:col>5</xdr:col>
      <xdr:colOff>312072</xdr:colOff>
      <xdr:row>7</xdr:row>
      <xdr:rowOff>150720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848225" y="14954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zoomScaleNormal="100" zoomScaleSheetLayoutView="100" workbookViewId="0">
      <selection activeCell="A6" sqref="A6:D6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5" t="s">
        <v>72</v>
      </c>
      <c r="B1" s="66"/>
      <c r="C1" s="66"/>
      <c r="D1" s="67"/>
    </row>
    <row r="2" spans="1:4" ht="18.75">
      <c r="A2" s="46"/>
      <c r="B2" s="47"/>
      <c r="C2" s="47"/>
      <c r="D2" s="48"/>
    </row>
    <row r="3" spans="1:4">
      <c r="A3" s="68" t="s">
        <v>11</v>
      </c>
      <c r="B3" s="69"/>
      <c r="C3" s="69"/>
      <c r="D3" s="70"/>
    </row>
    <row r="4" spans="1:4">
      <c r="A4" s="68"/>
      <c r="B4" s="69"/>
      <c r="C4" s="69"/>
      <c r="D4" s="70"/>
    </row>
    <row r="5" spans="1:4" ht="18.75">
      <c r="A5" s="49"/>
      <c r="B5" s="50"/>
      <c r="C5" s="50"/>
      <c r="D5" s="51"/>
    </row>
    <row r="6" spans="1:4" ht="18.75">
      <c r="A6" s="64" t="s">
        <v>10</v>
      </c>
      <c r="B6" s="62"/>
      <c r="C6" s="62"/>
      <c r="D6" s="63"/>
    </row>
    <row r="7" spans="1:4" ht="18.75">
      <c r="A7" s="52"/>
      <c r="B7" s="53"/>
      <c r="C7" s="53"/>
      <c r="D7" s="54"/>
    </row>
    <row r="8" spans="1:4" ht="18.75">
      <c r="A8" s="55" t="s">
        <v>9</v>
      </c>
      <c r="B8" s="56"/>
      <c r="C8" s="56"/>
      <c r="D8" s="57"/>
    </row>
    <row r="9" spans="1:4" ht="18.75">
      <c r="A9" s="55"/>
      <c r="B9" s="71" t="s">
        <v>8</v>
      </c>
      <c r="C9" s="71"/>
      <c r="D9" s="72"/>
    </row>
    <row r="10" spans="1:4" ht="18.75">
      <c r="A10" s="55" t="s">
        <v>7</v>
      </c>
      <c r="B10" s="56"/>
      <c r="C10" s="56"/>
      <c r="D10" s="57"/>
    </row>
    <row r="11" spans="1:4" ht="18.75">
      <c r="A11" s="55"/>
      <c r="B11" s="62" t="s">
        <v>6</v>
      </c>
      <c r="C11" s="62"/>
      <c r="D11" s="63"/>
    </row>
    <row r="12" spans="1:4" ht="18.75">
      <c r="A12" s="55"/>
      <c r="B12" s="62" t="s">
        <v>5</v>
      </c>
      <c r="C12" s="62"/>
      <c r="D12" s="63"/>
    </row>
    <row r="13" spans="1:4" ht="18.75">
      <c r="A13" s="55"/>
      <c r="B13" s="56"/>
      <c r="C13" s="56"/>
      <c r="D13" s="57"/>
    </row>
    <row r="14" spans="1:4" ht="18.75">
      <c r="A14" s="55" t="s">
        <v>4</v>
      </c>
      <c r="B14" s="56"/>
      <c r="C14" s="56"/>
      <c r="D14" s="57"/>
    </row>
    <row r="15" spans="1:4" ht="18.75">
      <c r="A15" s="55"/>
      <c r="B15" s="62" t="s">
        <v>3</v>
      </c>
      <c r="C15" s="62"/>
      <c r="D15" s="63"/>
    </row>
    <row r="16" spans="1:4" ht="18.75">
      <c r="A16" s="55"/>
      <c r="B16" s="62" t="s">
        <v>2</v>
      </c>
      <c r="C16" s="62"/>
      <c r="D16" s="63"/>
    </row>
    <row r="17" spans="1:4" ht="18.75">
      <c r="A17" s="55"/>
      <c r="B17" s="56"/>
      <c r="C17" s="56"/>
      <c r="D17" s="57"/>
    </row>
    <row r="18" spans="1:4" ht="18.75">
      <c r="A18" s="64" t="s">
        <v>1</v>
      </c>
      <c r="B18" s="62"/>
      <c r="C18" s="62"/>
      <c r="D18" s="63"/>
    </row>
    <row r="19" spans="1:4" ht="18.75">
      <c r="A19" s="55"/>
      <c r="B19" s="56"/>
      <c r="C19" s="56"/>
      <c r="D19" s="57"/>
    </row>
    <row r="20" spans="1:4" ht="18.75">
      <c r="A20" s="64" t="s">
        <v>0</v>
      </c>
      <c r="B20" s="62"/>
      <c r="C20" s="62"/>
      <c r="D20" s="63"/>
    </row>
    <row r="21" spans="1:4" ht="19.5" thickBot="1">
      <c r="A21" s="58"/>
      <c r="B21" s="59"/>
      <c r="C21" s="59"/>
      <c r="D21" s="60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Montana_Edomexgral!A1" display="1. Por Estados de la República Mexicana"/>
    <hyperlink ref="B9" location="Montana_EDOMEX!A1" display="2.1 Por estado de la República Mexicana y municipio de origen"/>
    <hyperlink ref="B11:D11" location="Montana_Educagral!A1" display="3.1 Educación general"/>
    <hyperlink ref="B12:D12" location="Montana_Eduedo!A1" display="3.2 Por Estado de la República Mexicana"/>
    <hyperlink ref="B15:D15" location="Montana_gengral!A1" display="4.1 Género General"/>
    <hyperlink ref="B16:D16" location="Montana_edomexgen!A1" display="4.2 Por Estados de la República Mexicana"/>
    <hyperlink ref="A18:D18" location="Montana_edadgen!A1" display="5. Por estructura de Edad"/>
    <hyperlink ref="A20:D20" location="Montana_ocupgral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34"/>
  <sheetViews>
    <sheetView showGridLines="0" tabSelected="1" topLeftCell="A19" zoomScaleNormal="100" zoomScaleSheetLayoutView="115" workbookViewId="0">
      <selection activeCell="C40" sqref="C40"/>
    </sheetView>
  </sheetViews>
  <sheetFormatPr baseColWidth="10" defaultColWidth="11.42578125" defaultRowHeight="15"/>
  <cols>
    <col min="1" max="1" width="9.28515625" style="2" customWidth="1"/>
    <col min="2" max="2" width="21.710937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1:5" s="14" customFormat="1" ht="15" customHeight="1">
      <c r="C1" s="20"/>
    </row>
    <row r="2" spans="1:5" s="14" customFormat="1" ht="15" customHeight="1">
      <c r="C2" s="20"/>
    </row>
    <row r="3" spans="1:5" s="14" customFormat="1" ht="15" customHeight="1">
      <c r="C3" s="20"/>
    </row>
    <row r="4" spans="1:5" s="14" customFormat="1" ht="30" customHeight="1">
      <c r="C4" s="20"/>
      <c r="D4" s="19"/>
    </row>
    <row r="5" spans="1:5" s="14" customFormat="1" ht="15" customHeight="1">
      <c r="C5" s="20"/>
      <c r="D5" s="19"/>
    </row>
    <row r="6" spans="1:5" s="14" customFormat="1" ht="15" customHeight="1">
      <c r="C6" s="20"/>
      <c r="D6" s="19"/>
    </row>
    <row r="7" spans="1:5" s="14" customFormat="1" ht="15" customHeight="1">
      <c r="B7" s="73" t="s">
        <v>73</v>
      </c>
      <c r="C7" s="73"/>
      <c r="D7" s="73"/>
    </row>
    <row r="8" spans="1:5" s="14" customFormat="1" ht="15" customHeight="1">
      <c r="B8" s="73"/>
      <c r="C8" s="73"/>
      <c r="D8" s="73"/>
    </row>
    <row r="9" spans="1:5" s="14" customFormat="1" ht="33" customHeight="1">
      <c r="B9" s="73"/>
      <c r="C9" s="73"/>
      <c r="D9" s="73"/>
    </row>
    <row r="10" spans="1:5" s="14" customFormat="1" ht="4.5" customHeight="1">
      <c r="B10" s="18"/>
      <c r="C10" s="18"/>
      <c r="D10" s="18"/>
    </row>
    <row r="11" spans="1:5" s="14" customFormat="1" ht="33" customHeight="1">
      <c r="B11" s="17" t="s">
        <v>32</v>
      </c>
      <c r="C11" s="16" t="s">
        <v>31</v>
      </c>
      <c r="D11" s="15" t="s">
        <v>30</v>
      </c>
    </row>
    <row r="12" spans="1:5">
      <c r="B12" s="12" t="s">
        <v>29</v>
      </c>
      <c r="C12" s="11">
        <v>10</v>
      </c>
      <c r="D12" s="10">
        <v>0.15873015873015872</v>
      </c>
    </row>
    <row r="13" spans="1:5">
      <c r="B13" s="12" t="s">
        <v>17</v>
      </c>
      <c r="C13" s="11">
        <v>9</v>
      </c>
      <c r="D13" s="10">
        <v>0.14285714285714285</v>
      </c>
    </row>
    <row r="14" spans="1:5">
      <c r="A14" s="13"/>
      <c r="B14" s="12" t="s">
        <v>21</v>
      </c>
      <c r="C14" s="11">
        <v>8</v>
      </c>
      <c r="D14" s="10">
        <v>0.12698412698412698</v>
      </c>
      <c r="E14" s="13"/>
    </row>
    <row r="15" spans="1:5">
      <c r="A15" s="13"/>
      <c r="B15" s="12" t="s">
        <v>26</v>
      </c>
      <c r="C15" s="11">
        <v>6</v>
      </c>
      <c r="D15" s="10">
        <v>9.5238095238095233E-2</v>
      </c>
      <c r="E15" s="13"/>
    </row>
    <row r="16" spans="1:5">
      <c r="B16" s="12" t="s">
        <v>20</v>
      </c>
      <c r="C16" s="11">
        <v>6</v>
      </c>
      <c r="D16" s="10">
        <v>9.5238095238095233E-2</v>
      </c>
    </row>
    <row r="17" spans="2:4">
      <c r="B17" s="12" t="s">
        <v>23</v>
      </c>
      <c r="C17" s="11">
        <v>3</v>
      </c>
      <c r="D17" s="10">
        <v>4.7619047619047616E-2</v>
      </c>
    </row>
    <row r="18" spans="2:4">
      <c r="B18" s="12" t="s">
        <v>16</v>
      </c>
      <c r="C18" s="11">
        <v>3</v>
      </c>
      <c r="D18" s="10">
        <v>4.7619047619047616E-2</v>
      </c>
    </row>
    <row r="19" spans="2:4">
      <c r="B19" s="12" t="s">
        <v>28</v>
      </c>
      <c r="C19" s="11">
        <v>3</v>
      </c>
      <c r="D19" s="10">
        <v>4.7619047619047616E-2</v>
      </c>
    </row>
    <row r="20" spans="2:4">
      <c r="B20" s="12" t="s">
        <v>19</v>
      </c>
      <c r="C20" s="11">
        <v>3</v>
      </c>
      <c r="D20" s="10">
        <v>4.7619047619047616E-2</v>
      </c>
    </row>
    <row r="21" spans="2:4">
      <c r="B21" s="12" t="s">
        <v>18</v>
      </c>
      <c r="C21" s="11">
        <v>3</v>
      </c>
      <c r="D21" s="10">
        <v>4.7619047619047616E-2</v>
      </c>
    </row>
    <row r="22" spans="2:4">
      <c r="B22" s="12" t="s">
        <v>27</v>
      </c>
      <c r="C22" s="11">
        <v>3</v>
      </c>
      <c r="D22" s="10">
        <v>4.7619047619047616E-2</v>
      </c>
    </row>
    <row r="23" spans="2:4">
      <c r="B23" s="12" t="s">
        <v>24</v>
      </c>
      <c r="C23" s="11">
        <v>2</v>
      </c>
      <c r="D23" s="10">
        <v>3.1746031746031744E-2</v>
      </c>
    </row>
    <row r="24" spans="2:4">
      <c r="B24" s="12" t="s">
        <v>74</v>
      </c>
      <c r="C24" s="11">
        <v>1</v>
      </c>
      <c r="D24" s="10">
        <v>1.5873015873015872E-2</v>
      </c>
    </row>
    <row r="25" spans="2:4">
      <c r="B25" s="12" t="s">
        <v>25</v>
      </c>
      <c r="C25" s="11">
        <v>1</v>
      </c>
      <c r="D25" s="10">
        <v>1.5873015873015872E-2</v>
      </c>
    </row>
    <row r="26" spans="2:4">
      <c r="B26" s="12" t="s">
        <v>75</v>
      </c>
      <c r="C26" s="11">
        <v>1</v>
      </c>
      <c r="D26" s="10">
        <v>1.5873015873015872E-2</v>
      </c>
    </row>
    <row r="27" spans="2:4">
      <c r="B27" s="12" t="s">
        <v>22</v>
      </c>
      <c r="C27" s="11">
        <v>1</v>
      </c>
      <c r="D27" s="10">
        <v>1.5873015873015872E-2</v>
      </c>
    </row>
    <row r="28" spans="2:4">
      <c r="B28" s="9" t="s">
        <v>15</v>
      </c>
      <c r="C28" s="8">
        <v>63</v>
      </c>
      <c r="D28" s="7">
        <v>1</v>
      </c>
    </row>
    <row r="30" spans="2:4">
      <c r="B30" s="4" t="s">
        <v>76</v>
      </c>
      <c r="C30"/>
      <c r="D30"/>
    </row>
    <row r="31" spans="2:4">
      <c r="B31" s="6" t="s">
        <v>14</v>
      </c>
      <c r="C31"/>
      <c r="D31"/>
    </row>
    <row r="32" spans="2:4">
      <c r="B32" s="5" t="s">
        <v>13</v>
      </c>
      <c r="C32"/>
      <c r="D32"/>
    </row>
    <row r="33" spans="2:4">
      <c r="B33" s="4" t="s">
        <v>12</v>
      </c>
      <c r="C33"/>
      <c r="D33"/>
    </row>
    <row r="34" spans="2:4">
      <c r="B34" s="4" t="s">
        <v>77</v>
      </c>
      <c r="C34"/>
      <c r="D34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396"/>
  <sheetViews>
    <sheetView topLeftCell="A52" zoomScaleNormal="100" zoomScaleSheetLayoutView="100" workbookViewId="0">
      <selection activeCell="G67" sqref="G67"/>
    </sheetView>
  </sheetViews>
  <sheetFormatPr baseColWidth="10" defaultColWidth="35" defaultRowHeight="15" customHeight="1"/>
  <cols>
    <col min="1" max="1" width="1" style="21" customWidth="1"/>
    <col min="2" max="2" width="22.85546875" style="22" customWidth="1"/>
    <col min="3" max="3" width="31.42578125" style="22" customWidth="1"/>
    <col min="4" max="4" width="14.28515625" style="22" customWidth="1"/>
    <col min="5" max="5" width="16.85546875" style="22" customWidth="1"/>
    <col min="6" max="16384" width="35" style="21"/>
  </cols>
  <sheetData>
    <row r="1" spans="1:5" s="40" customFormat="1" ht="12" customHeight="1">
      <c r="B1" s="44"/>
      <c r="C1" s="43"/>
      <c r="D1" s="43"/>
      <c r="E1" s="43"/>
    </row>
    <row r="2" spans="1:5" s="40" customFormat="1" ht="15" customHeight="1">
      <c r="C2" s="42"/>
    </row>
    <row r="3" spans="1:5" s="40" customFormat="1" ht="15" customHeight="1">
      <c r="C3" s="42"/>
    </row>
    <row r="4" spans="1:5" s="40" customFormat="1" ht="30" customHeight="1">
      <c r="C4" s="42"/>
      <c r="D4" s="41"/>
    </row>
    <row r="5" spans="1:5" s="40" customFormat="1" ht="15" customHeight="1">
      <c r="C5" s="42"/>
      <c r="D5" s="41"/>
    </row>
    <row r="6" spans="1:5" s="37" customFormat="1" ht="24" customHeight="1">
      <c r="B6" s="39"/>
      <c r="C6" s="33"/>
      <c r="D6" s="33"/>
      <c r="E6" s="33"/>
    </row>
    <row r="7" spans="1:5" s="37" customFormat="1" ht="26.25" customHeight="1">
      <c r="A7" s="38"/>
      <c r="B7" s="74"/>
      <c r="C7" s="74"/>
      <c r="D7" s="74"/>
      <c r="E7" s="74"/>
    </row>
    <row r="8" spans="1:5" s="37" customFormat="1" ht="33" customHeight="1">
      <c r="A8" s="38"/>
      <c r="B8" s="74"/>
      <c r="C8" s="74"/>
      <c r="D8" s="74"/>
      <c r="E8" s="74"/>
    </row>
    <row r="9" spans="1:5" s="14" customFormat="1" ht="40.5" customHeight="1">
      <c r="B9" s="34" t="s">
        <v>32</v>
      </c>
      <c r="C9" s="36" t="s">
        <v>42</v>
      </c>
      <c r="D9" s="35" t="s">
        <v>31</v>
      </c>
      <c r="E9" s="34" t="s">
        <v>30</v>
      </c>
    </row>
    <row r="10" spans="1:5" ht="15" customHeight="1">
      <c r="B10" s="75" t="s">
        <v>74</v>
      </c>
      <c r="C10" s="32" t="s">
        <v>78</v>
      </c>
      <c r="D10" s="31">
        <v>1</v>
      </c>
      <c r="E10" s="30">
        <v>1.5873015873015872E-2</v>
      </c>
    </row>
    <row r="11" spans="1:5" ht="15" customHeight="1">
      <c r="B11" s="76"/>
      <c r="C11" s="29" t="s">
        <v>15</v>
      </c>
      <c r="D11" s="28">
        <v>1</v>
      </c>
      <c r="E11" s="27">
        <v>1.5873015873015872E-2</v>
      </c>
    </row>
    <row r="12" spans="1:5" ht="15" customHeight="1">
      <c r="B12" s="75" t="s">
        <v>21</v>
      </c>
      <c r="C12" s="32" t="s">
        <v>41</v>
      </c>
      <c r="D12" s="31">
        <v>3</v>
      </c>
      <c r="E12" s="30">
        <v>4.7619047619047616E-2</v>
      </c>
    </row>
    <row r="13" spans="1:5" ht="15" customHeight="1">
      <c r="B13" s="77"/>
      <c r="C13" s="32" t="s">
        <v>79</v>
      </c>
      <c r="D13" s="31">
        <v>2</v>
      </c>
      <c r="E13" s="30">
        <v>3.1746031746031744E-2</v>
      </c>
    </row>
    <row r="14" spans="1:5" ht="15" customHeight="1">
      <c r="B14" s="77"/>
      <c r="C14" s="32" t="s">
        <v>80</v>
      </c>
      <c r="D14" s="31">
        <v>2</v>
      </c>
      <c r="E14" s="30">
        <v>3.1746031746031744E-2</v>
      </c>
    </row>
    <row r="15" spans="1:5" ht="15" customHeight="1">
      <c r="B15" s="77"/>
      <c r="C15" s="32" t="s">
        <v>81</v>
      </c>
      <c r="D15" s="31">
        <v>1</v>
      </c>
      <c r="E15" s="30">
        <v>1.5873015873015872E-2</v>
      </c>
    </row>
    <row r="16" spans="1:5" ht="15" customHeight="1">
      <c r="B16" s="76"/>
      <c r="C16" s="29" t="s">
        <v>15</v>
      </c>
      <c r="D16" s="28">
        <v>8</v>
      </c>
      <c r="E16" s="27">
        <v>0.12698412698412698</v>
      </c>
    </row>
    <row r="17" spans="2:5" ht="15" customHeight="1">
      <c r="B17" s="75" t="s">
        <v>26</v>
      </c>
      <c r="C17" s="32" t="s">
        <v>82</v>
      </c>
      <c r="D17" s="31">
        <v>1</v>
      </c>
      <c r="E17" s="30">
        <v>1.5873015873015872E-2</v>
      </c>
    </row>
    <row r="18" spans="2:5" ht="15" customHeight="1">
      <c r="B18" s="77"/>
      <c r="C18" s="32" t="s">
        <v>40</v>
      </c>
      <c r="D18" s="31">
        <v>1</v>
      </c>
      <c r="E18" s="30">
        <v>1.5873015873015872E-2</v>
      </c>
    </row>
    <row r="19" spans="2:5" ht="15" customHeight="1">
      <c r="B19" s="77"/>
      <c r="C19" s="32" t="s">
        <v>83</v>
      </c>
      <c r="D19" s="31">
        <v>1</v>
      </c>
      <c r="E19" s="30">
        <v>1.5873015873015872E-2</v>
      </c>
    </row>
    <row r="20" spans="2:5" ht="15" customHeight="1">
      <c r="B20" s="77"/>
      <c r="C20" s="32" t="s">
        <v>84</v>
      </c>
      <c r="D20" s="31">
        <v>1</v>
      </c>
      <c r="E20" s="30">
        <v>1.5873015873015872E-2</v>
      </c>
    </row>
    <row r="21" spans="2:5" ht="15" customHeight="1">
      <c r="B21" s="77"/>
      <c r="C21" s="32" t="s">
        <v>39</v>
      </c>
      <c r="D21" s="31">
        <v>1</v>
      </c>
      <c r="E21" s="30">
        <v>1.5873015873015872E-2</v>
      </c>
    </row>
    <row r="22" spans="2:5" ht="15" customHeight="1">
      <c r="B22" s="77"/>
      <c r="C22" s="32" t="s">
        <v>85</v>
      </c>
      <c r="D22" s="31">
        <v>1</v>
      </c>
      <c r="E22" s="30">
        <v>1.5873015873015872E-2</v>
      </c>
    </row>
    <row r="23" spans="2:5" ht="15" customHeight="1">
      <c r="B23" s="76"/>
      <c r="C23" s="29" t="s">
        <v>15</v>
      </c>
      <c r="D23" s="28">
        <v>6</v>
      </c>
      <c r="E23" s="27">
        <v>9.5238095238095233E-2</v>
      </c>
    </row>
    <row r="24" spans="2:5" ht="15" customHeight="1">
      <c r="B24" s="75" t="s">
        <v>20</v>
      </c>
      <c r="C24" s="32" t="s">
        <v>86</v>
      </c>
      <c r="D24" s="31">
        <v>1</v>
      </c>
      <c r="E24" s="30">
        <v>1.5873015873015872E-2</v>
      </c>
    </row>
    <row r="25" spans="2:5" ht="15" customHeight="1">
      <c r="B25" s="77"/>
      <c r="C25" s="32" t="s">
        <v>87</v>
      </c>
      <c r="D25" s="31">
        <v>3</v>
      </c>
      <c r="E25" s="30">
        <v>4.7619047619047616E-2</v>
      </c>
    </row>
    <row r="26" spans="2:5" ht="15" customHeight="1">
      <c r="B26" s="77"/>
      <c r="C26" s="32" t="s">
        <v>38</v>
      </c>
      <c r="D26" s="31">
        <v>2</v>
      </c>
      <c r="E26" s="30">
        <v>3.1746031746031744E-2</v>
      </c>
    </row>
    <row r="27" spans="2:5" ht="15" customHeight="1">
      <c r="B27" s="76"/>
      <c r="C27" s="29" t="s">
        <v>15</v>
      </c>
      <c r="D27" s="28">
        <v>6</v>
      </c>
      <c r="E27" s="27">
        <v>9.5238095238095233E-2</v>
      </c>
    </row>
    <row r="28" spans="2:5" ht="15" customHeight="1">
      <c r="B28" s="75" t="s">
        <v>17</v>
      </c>
      <c r="C28" s="32" t="s">
        <v>88</v>
      </c>
      <c r="D28" s="31">
        <v>2</v>
      </c>
      <c r="E28" s="30">
        <v>3.1746031746031744E-2</v>
      </c>
    </row>
    <row r="29" spans="2:5" ht="15" customHeight="1">
      <c r="B29" s="77"/>
      <c r="C29" s="32" t="s">
        <v>17</v>
      </c>
      <c r="D29" s="31">
        <v>5</v>
      </c>
      <c r="E29" s="30">
        <v>7.9365079365079361E-2</v>
      </c>
    </row>
    <row r="30" spans="2:5" ht="15" customHeight="1">
      <c r="B30" s="77"/>
      <c r="C30" s="32" t="s">
        <v>89</v>
      </c>
      <c r="D30" s="31">
        <v>1</v>
      </c>
      <c r="E30" s="30">
        <v>1.5873015873015872E-2</v>
      </c>
    </row>
    <row r="31" spans="2:5" ht="15" customHeight="1">
      <c r="B31" s="77"/>
      <c r="C31" s="32" t="s">
        <v>90</v>
      </c>
      <c r="D31" s="31">
        <v>1</v>
      </c>
      <c r="E31" s="30">
        <v>1.5873015873015872E-2</v>
      </c>
    </row>
    <row r="32" spans="2:5" ht="15" customHeight="1">
      <c r="B32" s="76"/>
      <c r="C32" s="29" t="s">
        <v>15</v>
      </c>
      <c r="D32" s="28">
        <v>9</v>
      </c>
      <c r="E32" s="27">
        <v>0.14285714285714285</v>
      </c>
    </row>
    <row r="33" spans="2:5" ht="15" customHeight="1">
      <c r="B33" s="75" t="s">
        <v>25</v>
      </c>
      <c r="C33" s="32" t="s">
        <v>91</v>
      </c>
      <c r="D33" s="31">
        <v>1</v>
      </c>
      <c r="E33" s="30">
        <v>1.5873015873015872E-2</v>
      </c>
    </row>
    <row r="34" spans="2:5" ht="15" customHeight="1">
      <c r="B34" s="76"/>
      <c r="C34" s="29" t="s">
        <v>15</v>
      </c>
      <c r="D34" s="28">
        <v>1</v>
      </c>
      <c r="E34" s="27">
        <v>1.5873015873015872E-2</v>
      </c>
    </row>
    <row r="35" spans="2:5" ht="15" customHeight="1">
      <c r="B35" s="75" t="s">
        <v>92</v>
      </c>
      <c r="C35" s="32" t="s">
        <v>93</v>
      </c>
      <c r="D35" s="31">
        <v>1</v>
      </c>
      <c r="E35" s="30">
        <v>1.5873015873015872E-2</v>
      </c>
    </row>
    <row r="36" spans="2:5" ht="15" customHeight="1">
      <c r="B36" s="76"/>
      <c r="C36" s="32" t="s">
        <v>94</v>
      </c>
      <c r="D36" s="31">
        <v>1</v>
      </c>
      <c r="E36" s="30">
        <v>1.5873015873015872E-2</v>
      </c>
    </row>
    <row r="37" spans="2:5" ht="15" customHeight="1">
      <c r="B37" s="61" t="s">
        <v>24</v>
      </c>
      <c r="C37" s="29" t="s">
        <v>15</v>
      </c>
      <c r="D37" s="28">
        <v>2</v>
      </c>
      <c r="E37" s="27">
        <v>3.1746031746031744E-2</v>
      </c>
    </row>
    <row r="38" spans="2:5" ht="15" customHeight="1">
      <c r="B38" s="75" t="s">
        <v>95</v>
      </c>
      <c r="C38" s="32" t="s">
        <v>96</v>
      </c>
      <c r="D38" s="31">
        <v>1</v>
      </c>
      <c r="E38" s="30">
        <v>1.5873015873015872E-2</v>
      </c>
    </row>
    <row r="39" spans="2:5" ht="15" customHeight="1">
      <c r="B39" s="77"/>
      <c r="C39" s="32" t="s">
        <v>37</v>
      </c>
      <c r="D39" s="31">
        <v>1</v>
      </c>
      <c r="E39" s="30">
        <v>1.5873015873015872E-2</v>
      </c>
    </row>
    <row r="40" spans="2:5" ht="15" customHeight="1">
      <c r="B40" s="77"/>
      <c r="C40" s="32" t="s">
        <v>97</v>
      </c>
      <c r="D40" s="31">
        <v>1</v>
      </c>
      <c r="E40" s="30">
        <v>1.5873015873015872E-2</v>
      </c>
    </row>
    <row r="41" spans="2:5" ht="15" customHeight="1">
      <c r="B41" s="76"/>
      <c r="C41" s="29" t="s">
        <v>15</v>
      </c>
      <c r="D41" s="28">
        <v>3</v>
      </c>
      <c r="E41" s="27">
        <v>4.7619047619047616E-2</v>
      </c>
    </row>
    <row r="42" spans="2:5" ht="15" customHeight="1">
      <c r="B42" s="75" t="s">
        <v>16</v>
      </c>
      <c r="C42" s="32" t="s">
        <v>98</v>
      </c>
      <c r="D42" s="31">
        <v>1</v>
      </c>
      <c r="E42" s="30">
        <v>1.5873015873015872E-2</v>
      </c>
    </row>
    <row r="43" spans="2:5" ht="15" customHeight="1">
      <c r="B43" s="77"/>
      <c r="C43" s="32" t="s">
        <v>99</v>
      </c>
      <c r="D43" s="31">
        <v>2</v>
      </c>
      <c r="E43" s="30">
        <v>3.1746031746031744E-2</v>
      </c>
    </row>
    <row r="44" spans="2:5" ht="15" customHeight="1">
      <c r="B44" s="76"/>
      <c r="C44" s="29" t="s">
        <v>15</v>
      </c>
      <c r="D44" s="28">
        <v>3</v>
      </c>
      <c r="E44" s="27">
        <v>4.7619047619047616E-2</v>
      </c>
    </row>
    <row r="45" spans="2:5" ht="15" customHeight="1">
      <c r="B45" s="75" t="s">
        <v>29</v>
      </c>
      <c r="C45" s="32" t="s">
        <v>36</v>
      </c>
      <c r="D45" s="31">
        <v>1</v>
      </c>
      <c r="E45" s="30">
        <v>1.5873015873015872E-2</v>
      </c>
    </row>
    <row r="46" spans="2:5" ht="15" customHeight="1">
      <c r="B46" s="77"/>
      <c r="C46" s="32" t="s">
        <v>35</v>
      </c>
      <c r="D46" s="31">
        <v>2</v>
      </c>
      <c r="E46" s="30">
        <v>3.1746031746031744E-2</v>
      </c>
    </row>
    <row r="47" spans="2:5" ht="15" customHeight="1">
      <c r="B47" s="77"/>
      <c r="C47" s="32" t="s">
        <v>100</v>
      </c>
      <c r="D47" s="31">
        <v>1</v>
      </c>
      <c r="E47" s="30">
        <v>1.5873015873015872E-2</v>
      </c>
    </row>
    <row r="48" spans="2:5" ht="15" customHeight="1">
      <c r="B48" s="77"/>
      <c r="C48" s="32" t="s">
        <v>101</v>
      </c>
      <c r="D48" s="31">
        <v>1</v>
      </c>
      <c r="E48" s="30">
        <v>1.5873015873015872E-2</v>
      </c>
    </row>
    <row r="49" spans="2:5" ht="15" customHeight="1">
      <c r="B49" s="77"/>
      <c r="C49" s="32" t="s">
        <v>102</v>
      </c>
      <c r="D49" s="31">
        <v>1</v>
      </c>
      <c r="E49" s="30">
        <v>1.5873015873015872E-2</v>
      </c>
    </row>
    <row r="50" spans="2:5" ht="15" customHeight="1">
      <c r="B50" s="77"/>
      <c r="C50" s="32" t="s">
        <v>103</v>
      </c>
      <c r="D50" s="31">
        <v>1</v>
      </c>
      <c r="E50" s="30">
        <v>1.5873015873015872E-2</v>
      </c>
    </row>
    <row r="51" spans="2:5" ht="15" customHeight="1">
      <c r="B51" s="77"/>
      <c r="C51" s="32" t="s">
        <v>104</v>
      </c>
      <c r="D51" s="31">
        <v>1</v>
      </c>
      <c r="E51" s="30">
        <v>1.5873015873015872E-2</v>
      </c>
    </row>
    <row r="52" spans="2:5" ht="15" customHeight="1">
      <c r="B52" s="77"/>
      <c r="C52" s="32" t="s">
        <v>105</v>
      </c>
      <c r="D52" s="31">
        <v>1</v>
      </c>
      <c r="E52" s="30">
        <v>1.5873015873015872E-2</v>
      </c>
    </row>
    <row r="53" spans="2:5" ht="15" customHeight="1">
      <c r="B53" s="77"/>
      <c r="C53" s="32" t="s">
        <v>34</v>
      </c>
      <c r="D53" s="31">
        <v>1</v>
      </c>
      <c r="E53" s="30">
        <v>1.5873015873015872E-2</v>
      </c>
    </row>
    <row r="54" spans="2:5" ht="15" customHeight="1">
      <c r="B54" s="76"/>
      <c r="C54" s="29" t="s">
        <v>15</v>
      </c>
      <c r="D54" s="28">
        <v>10</v>
      </c>
      <c r="E54" s="27">
        <v>0.15873015873015872</v>
      </c>
    </row>
    <row r="55" spans="2:5" ht="15" customHeight="1">
      <c r="B55" s="75" t="s">
        <v>28</v>
      </c>
      <c r="C55" s="32" t="s">
        <v>84</v>
      </c>
      <c r="D55" s="31">
        <v>1</v>
      </c>
      <c r="E55" s="30">
        <v>1.5873015873015872E-2</v>
      </c>
    </row>
    <row r="56" spans="2:5" ht="15" customHeight="1">
      <c r="B56" s="77"/>
      <c r="C56" s="32" t="s">
        <v>106</v>
      </c>
      <c r="D56" s="31">
        <v>1</v>
      </c>
      <c r="E56" s="30">
        <v>1.5873015873015872E-2</v>
      </c>
    </row>
    <row r="57" spans="2:5" ht="15" customHeight="1">
      <c r="B57" s="77"/>
      <c r="C57" s="32" t="s">
        <v>107</v>
      </c>
      <c r="D57" s="31">
        <v>1</v>
      </c>
      <c r="E57" s="30">
        <v>1.5873015873015872E-2</v>
      </c>
    </row>
    <row r="58" spans="2:5" ht="15" customHeight="1">
      <c r="B58" s="76"/>
      <c r="C58" s="29" t="s">
        <v>15</v>
      </c>
      <c r="D58" s="28">
        <v>3</v>
      </c>
      <c r="E58" s="27">
        <v>4.7619047619047616E-2</v>
      </c>
    </row>
    <row r="59" spans="2:5" ht="15" customHeight="1">
      <c r="B59" s="75" t="s">
        <v>19</v>
      </c>
      <c r="C59" s="32" t="s">
        <v>108</v>
      </c>
      <c r="D59" s="31">
        <v>1</v>
      </c>
      <c r="E59" s="30">
        <v>1.5873015873015872E-2</v>
      </c>
    </row>
    <row r="60" spans="2:5" ht="15" customHeight="1">
      <c r="B60" s="77"/>
      <c r="C60" s="32" t="s">
        <v>109</v>
      </c>
      <c r="D60" s="31">
        <v>2</v>
      </c>
      <c r="E60" s="30">
        <v>3.1746031746031744E-2</v>
      </c>
    </row>
    <row r="61" spans="2:5" ht="15" customHeight="1">
      <c r="B61" s="76"/>
      <c r="C61" s="29" t="s">
        <v>15</v>
      </c>
      <c r="D61" s="28">
        <v>3</v>
      </c>
      <c r="E61" s="27">
        <v>4.7619047619047616E-2</v>
      </c>
    </row>
    <row r="62" spans="2:5" ht="15" customHeight="1">
      <c r="B62" s="75" t="s">
        <v>18</v>
      </c>
      <c r="C62" s="32" t="s">
        <v>110</v>
      </c>
      <c r="D62" s="31">
        <v>1</v>
      </c>
      <c r="E62" s="30">
        <v>1.5873015873015872E-2</v>
      </c>
    </row>
    <row r="63" spans="2:5" ht="15" customHeight="1">
      <c r="B63" s="77"/>
      <c r="C63" s="32" t="s">
        <v>111</v>
      </c>
      <c r="D63" s="31">
        <v>1</v>
      </c>
      <c r="E63" s="30">
        <v>1.5873015873015872E-2</v>
      </c>
    </row>
    <row r="64" spans="2:5" ht="15" customHeight="1">
      <c r="B64" s="77"/>
      <c r="C64" s="32" t="s">
        <v>18</v>
      </c>
      <c r="D64" s="31">
        <v>1</v>
      </c>
      <c r="E64" s="30">
        <v>1.5873015873015872E-2</v>
      </c>
    </row>
    <row r="65" spans="2:6" ht="15" customHeight="1">
      <c r="B65" s="76"/>
      <c r="C65" s="29" t="s">
        <v>15</v>
      </c>
      <c r="D65" s="28">
        <v>3</v>
      </c>
      <c r="E65" s="27">
        <v>4.7619047619047616E-2</v>
      </c>
    </row>
    <row r="66" spans="2:6" ht="15" customHeight="1">
      <c r="B66" s="75" t="s">
        <v>75</v>
      </c>
      <c r="C66" s="32" t="s">
        <v>75</v>
      </c>
      <c r="D66" s="31">
        <v>1</v>
      </c>
      <c r="E66" s="30">
        <v>1.5873015873015872E-2</v>
      </c>
    </row>
    <row r="67" spans="2:6" ht="15" customHeight="1">
      <c r="B67" s="76"/>
      <c r="C67" s="29" t="s">
        <v>15</v>
      </c>
      <c r="D67" s="28">
        <v>1</v>
      </c>
      <c r="E67" s="27">
        <v>1.5873015873015872E-2</v>
      </c>
    </row>
    <row r="68" spans="2:6" ht="15" customHeight="1">
      <c r="B68" s="75" t="s">
        <v>22</v>
      </c>
      <c r="C68" s="32" t="s">
        <v>22</v>
      </c>
      <c r="D68" s="31">
        <v>1</v>
      </c>
      <c r="E68" s="30">
        <v>1.5873015873015872E-2</v>
      </c>
    </row>
    <row r="69" spans="2:6" ht="15" customHeight="1">
      <c r="B69" s="76"/>
      <c r="C69" s="29" t="s">
        <v>15</v>
      </c>
      <c r="D69" s="28">
        <v>1</v>
      </c>
      <c r="E69" s="27">
        <v>1.5873015873015872E-2</v>
      </c>
    </row>
    <row r="70" spans="2:6" ht="15" customHeight="1">
      <c r="B70" s="75" t="s">
        <v>27</v>
      </c>
      <c r="C70" s="32" t="s">
        <v>112</v>
      </c>
      <c r="D70" s="31">
        <v>2</v>
      </c>
      <c r="E70" s="30">
        <v>3.1746031746031744E-2</v>
      </c>
    </row>
    <row r="71" spans="2:6" ht="15" customHeight="1">
      <c r="B71" s="77"/>
      <c r="C71" s="32" t="s">
        <v>33</v>
      </c>
      <c r="D71" s="31">
        <v>1</v>
      </c>
      <c r="E71" s="30">
        <v>1.5873015873015872E-2</v>
      </c>
    </row>
    <row r="72" spans="2:6" ht="15" customHeight="1">
      <c r="B72" s="76"/>
      <c r="C72" s="29" t="s">
        <v>15</v>
      </c>
      <c r="D72" s="28">
        <v>3</v>
      </c>
      <c r="E72" s="27">
        <v>4.7619047619047616E-2</v>
      </c>
    </row>
    <row r="73" spans="2:6" ht="15" customHeight="1">
      <c r="B73" s="78" t="s">
        <v>15</v>
      </c>
      <c r="C73" s="79"/>
      <c r="D73" s="26">
        <f>SUMIF(C$10:C72,"Total",D$10:D72)</f>
        <v>63</v>
      </c>
      <c r="E73" s="25">
        <v>1</v>
      </c>
    </row>
    <row r="75" spans="2:6" ht="15" customHeight="1">
      <c r="B75" s="2"/>
      <c r="C75" s="4" t="s">
        <v>76</v>
      </c>
      <c r="D75"/>
      <c r="E75"/>
      <c r="F75" s="2"/>
    </row>
    <row r="76" spans="2:6" ht="15" customHeight="1">
      <c r="B76" s="2"/>
      <c r="C76" s="6" t="s">
        <v>14</v>
      </c>
      <c r="D76"/>
      <c r="E76"/>
      <c r="F76" s="2"/>
    </row>
    <row r="77" spans="2:6" ht="15" customHeight="1">
      <c r="B77" s="2"/>
      <c r="C77" s="5" t="s">
        <v>13</v>
      </c>
      <c r="D77"/>
      <c r="E77"/>
      <c r="F77" s="2"/>
    </row>
    <row r="78" spans="2:6" ht="15" customHeight="1">
      <c r="B78" s="2"/>
      <c r="C78" s="4" t="s">
        <v>12</v>
      </c>
      <c r="D78"/>
      <c r="E78"/>
      <c r="F78" s="2"/>
    </row>
    <row r="79" spans="2:6" ht="15" customHeight="1">
      <c r="B79" s="2"/>
      <c r="C79" s="4" t="s">
        <v>77</v>
      </c>
      <c r="D79"/>
      <c r="E79"/>
      <c r="F79" s="2"/>
    </row>
    <row r="392" spans="1:2" s="22" customFormat="1" ht="15" customHeight="1">
      <c r="A392" s="21"/>
      <c r="B392" s="23"/>
    </row>
    <row r="393" spans="1:2" s="22" customFormat="1" ht="15" customHeight="1">
      <c r="A393" s="21"/>
      <c r="B393" s="24"/>
    </row>
    <row r="394" spans="1:2" s="22" customFormat="1" ht="15" customHeight="1">
      <c r="A394" s="21"/>
      <c r="B394" s="24"/>
    </row>
    <row r="395" spans="1:2" s="22" customFormat="1" ht="15" customHeight="1">
      <c r="A395" s="21"/>
      <c r="B395" s="23"/>
    </row>
    <row r="396" spans="1:2" s="22" customFormat="1" ht="15" customHeight="1">
      <c r="A396" s="21"/>
      <c r="B396" s="23"/>
    </row>
  </sheetData>
  <mergeCells count="18">
    <mergeCell ref="B70:B72"/>
    <mergeCell ref="B73:C73"/>
    <mergeCell ref="B45:B54"/>
    <mergeCell ref="B55:B58"/>
    <mergeCell ref="B62:B65"/>
    <mergeCell ref="B66:B67"/>
    <mergeCell ref="B68:B69"/>
    <mergeCell ref="B38:B41"/>
    <mergeCell ref="B59:B61"/>
    <mergeCell ref="B24:B27"/>
    <mergeCell ref="B33:B34"/>
    <mergeCell ref="B35:B36"/>
    <mergeCell ref="B42:B44"/>
    <mergeCell ref="B7:E8"/>
    <mergeCell ref="B10:B11"/>
    <mergeCell ref="B12:B16"/>
    <mergeCell ref="B17:B23"/>
    <mergeCell ref="B28:B32"/>
  </mergeCells>
  <printOptions horizontalCentered="1"/>
  <pageMargins left="0.70866141732283472" right="0.70866141732283472" top="0.74803149606299213" bottom="0.74803149606299213" header="0.31496062992125984" footer="0.31496062992125984"/>
  <pageSetup scale="79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30"/>
  <sheetViews>
    <sheetView showGridLines="0" zoomScaleNormal="100" zoomScaleSheetLayoutView="115" workbookViewId="0">
      <selection activeCell="A12" sqref="A12"/>
    </sheetView>
  </sheetViews>
  <sheetFormatPr baseColWidth="10" defaultColWidth="11.42578125" defaultRowHeight="15"/>
  <cols>
    <col min="1" max="1" width="9.28515625" style="2" customWidth="1"/>
    <col min="2" max="2" width="30.570312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1:4" s="14" customFormat="1" ht="15" customHeight="1">
      <c r="C1" s="20"/>
    </row>
    <row r="2" spans="1:4" s="14" customFormat="1" ht="15" customHeight="1">
      <c r="C2" s="20"/>
    </row>
    <row r="3" spans="1:4" s="14" customFormat="1" ht="15" customHeight="1">
      <c r="C3" s="20"/>
    </row>
    <row r="4" spans="1:4" s="14" customFormat="1" ht="30" customHeight="1">
      <c r="C4" s="20"/>
      <c r="D4" s="19"/>
    </row>
    <row r="5" spans="1:4" s="14" customFormat="1" ht="15" customHeight="1">
      <c r="C5" s="20"/>
      <c r="D5" s="19"/>
    </row>
    <row r="6" spans="1:4" s="14" customFormat="1" ht="15" customHeight="1">
      <c r="C6" s="20"/>
      <c r="D6" s="19"/>
    </row>
    <row r="7" spans="1:4" s="14" customFormat="1" ht="15" customHeight="1">
      <c r="B7" s="73" t="s">
        <v>54</v>
      </c>
      <c r="C7" s="73"/>
      <c r="D7" s="73"/>
    </row>
    <row r="8" spans="1:4" s="14" customFormat="1" ht="15" customHeight="1">
      <c r="B8" s="73"/>
      <c r="C8" s="73"/>
      <c r="D8" s="73"/>
    </row>
    <row r="9" spans="1:4" s="14" customFormat="1" ht="33" customHeight="1">
      <c r="B9" s="73"/>
      <c r="C9" s="73"/>
      <c r="D9" s="73"/>
    </row>
    <row r="10" spans="1:4" s="14" customFormat="1" ht="4.5" customHeight="1">
      <c r="B10" s="18"/>
      <c r="C10" s="18"/>
      <c r="D10" s="18"/>
    </row>
    <row r="11" spans="1:4" s="14" customFormat="1" ht="33" customHeight="1">
      <c r="B11" s="17" t="s">
        <v>53</v>
      </c>
      <c r="C11" s="16" t="s">
        <v>31</v>
      </c>
      <c r="D11" s="15" t="s">
        <v>30</v>
      </c>
    </row>
    <row r="12" spans="1:4">
      <c r="B12" s="12" t="s">
        <v>113</v>
      </c>
      <c r="C12" s="11">
        <v>4</v>
      </c>
      <c r="D12" s="10">
        <v>6.3492063492063489E-2</v>
      </c>
    </row>
    <row r="13" spans="1:4">
      <c r="B13" s="12" t="s">
        <v>52</v>
      </c>
      <c r="C13" s="11">
        <v>5</v>
      </c>
      <c r="D13" s="10">
        <v>7.9365079365079361E-2</v>
      </c>
    </row>
    <row r="14" spans="1:4">
      <c r="A14" s="13"/>
      <c r="B14" s="12" t="s">
        <v>51</v>
      </c>
      <c r="C14" s="11">
        <v>7</v>
      </c>
      <c r="D14" s="10">
        <v>0.1111111111111111</v>
      </c>
    </row>
    <row r="15" spans="1:4">
      <c r="A15" s="13"/>
      <c r="B15" s="12" t="s">
        <v>50</v>
      </c>
      <c r="C15" s="11">
        <v>1</v>
      </c>
      <c r="D15" s="10">
        <v>1.5873015873015872E-2</v>
      </c>
    </row>
    <row r="16" spans="1:4">
      <c r="B16" s="12" t="s">
        <v>49</v>
      </c>
      <c r="C16" s="11">
        <v>4</v>
      </c>
      <c r="D16" s="10">
        <v>6.3492063492063489E-2</v>
      </c>
    </row>
    <row r="17" spans="2:4">
      <c r="B17" s="12" t="s">
        <v>48</v>
      </c>
      <c r="C17" s="11">
        <v>1</v>
      </c>
      <c r="D17" s="10">
        <v>1.5873015873015872E-2</v>
      </c>
    </row>
    <row r="18" spans="2:4">
      <c r="B18" s="12" t="s">
        <v>47</v>
      </c>
      <c r="C18" s="11">
        <v>21</v>
      </c>
      <c r="D18" s="10">
        <v>0.33333333333333331</v>
      </c>
    </row>
    <row r="19" spans="2:4">
      <c r="B19" s="12" t="s">
        <v>46</v>
      </c>
      <c r="C19" s="11">
        <v>1</v>
      </c>
      <c r="D19" s="10">
        <v>1.5873015873015872E-2</v>
      </c>
    </row>
    <row r="20" spans="2:4">
      <c r="B20" s="12" t="s">
        <v>45</v>
      </c>
      <c r="C20" s="11">
        <v>12</v>
      </c>
      <c r="D20" s="10">
        <v>0.19047619047619047</v>
      </c>
    </row>
    <row r="21" spans="2:4">
      <c r="B21" s="12" t="s">
        <v>44</v>
      </c>
      <c r="C21" s="11">
        <v>1</v>
      </c>
      <c r="D21" s="10">
        <v>1.5873015873015872E-2</v>
      </c>
    </row>
    <row r="22" spans="2:4">
      <c r="B22" s="12" t="s">
        <v>43</v>
      </c>
      <c r="C22" s="11">
        <v>5</v>
      </c>
      <c r="D22" s="10">
        <v>7.9365079365079361E-2</v>
      </c>
    </row>
    <row r="23" spans="2:4">
      <c r="B23" s="12" t="s">
        <v>114</v>
      </c>
      <c r="C23" s="11">
        <v>1</v>
      </c>
      <c r="D23" s="10">
        <v>1.5873015873015872E-2</v>
      </c>
    </row>
    <row r="24" spans="2:4">
      <c r="B24" s="9" t="s">
        <v>15</v>
      </c>
      <c r="C24" s="8">
        <v>63</v>
      </c>
      <c r="D24" s="7">
        <v>1</v>
      </c>
    </row>
    <row r="26" spans="2:4">
      <c r="B26" s="4" t="s">
        <v>76</v>
      </c>
      <c r="C26"/>
      <c r="D26"/>
    </row>
    <row r="27" spans="2:4">
      <c r="B27" s="6" t="s">
        <v>14</v>
      </c>
      <c r="C27"/>
      <c r="D27"/>
    </row>
    <row r="28" spans="2:4">
      <c r="B28" s="5" t="s">
        <v>13</v>
      </c>
      <c r="C28"/>
      <c r="D28"/>
    </row>
    <row r="29" spans="2:4">
      <c r="B29" s="4" t="s">
        <v>12</v>
      </c>
      <c r="C29"/>
      <c r="D29"/>
    </row>
    <row r="30" spans="2:4">
      <c r="B30" s="4" t="s">
        <v>77</v>
      </c>
      <c r="C30"/>
      <c r="D3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4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73"/>
  <sheetViews>
    <sheetView topLeftCell="A55" zoomScale="145" zoomScaleNormal="145" zoomScaleSheetLayoutView="100" workbookViewId="0">
      <selection activeCell="D76" sqref="D76"/>
    </sheetView>
  </sheetViews>
  <sheetFormatPr baseColWidth="10" defaultColWidth="35" defaultRowHeight="15" customHeight="1"/>
  <cols>
    <col min="1" max="1" width="1" style="21" customWidth="1"/>
    <col min="2" max="2" width="22.85546875" style="22" customWidth="1"/>
    <col min="3" max="3" width="31.42578125" style="22" customWidth="1"/>
    <col min="4" max="4" width="14.28515625" style="22" customWidth="1"/>
    <col min="5" max="5" width="16.85546875" style="22" customWidth="1"/>
    <col min="6" max="16384" width="35" style="21"/>
  </cols>
  <sheetData>
    <row r="1" spans="1:5" s="40" customFormat="1" ht="12" customHeight="1">
      <c r="B1" s="44"/>
      <c r="C1" s="43"/>
      <c r="D1" s="43"/>
      <c r="E1" s="43"/>
    </row>
    <row r="2" spans="1:5" s="40" customFormat="1" ht="15" customHeight="1">
      <c r="C2" s="42"/>
    </row>
    <row r="3" spans="1:5" s="40" customFormat="1" ht="15" customHeight="1">
      <c r="C3" s="42"/>
    </row>
    <row r="4" spans="1:5" s="40" customFormat="1" ht="30" customHeight="1">
      <c r="C4" s="42"/>
      <c r="D4" s="41"/>
    </row>
    <row r="5" spans="1:5" s="40" customFormat="1" ht="15" customHeight="1">
      <c r="C5" s="42"/>
      <c r="D5" s="41"/>
    </row>
    <row r="6" spans="1:5" s="37" customFormat="1" ht="24" customHeight="1">
      <c r="B6" s="39"/>
      <c r="C6" s="33"/>
      <c r="D6" s="33"/>
      <c r="E6" s="33"/>
    </row>
    <row r="7" spans="1:5" s="37" customFormat="1" ht="26.25" customHeight="1">
      <c r="A7" s="38"/>
      <c r="B7" s="74"/>
      <c r="C7" s="74"/>
      <c r="D7" s="74"/>
      <c r="E7" s="74"/>
    </row>
    <row r="8" spans="1:5" s="37" customFormat="1" ht="33" customHeight="1">
      <c r="A8" s="38"/>
      <c r="B8" s="74"/>
      <c r="C8" s="74"/>
      <c r="D8" s="74"/>
      <c r="E8" s="74"/>
    </row>
    <row r="9" spans="1:5" s="14" customFormat="1" ht="40.5" customHeight="1">
      <c r="B9" s="34" t="s">
        <v>53</v>
      </c>
      <c r="C9" s="36" t="s">
        <v>32</v>
      </c>
      <c r="D9" s="35" t="s">
        <v>31</v>
      </c>
      <c r="E9" s="34" t="s">
        <v>30</v>
      </c>
    </row>
    <row r="10" spans="1:5" ht="15" customHeight="1">
      <c r="B10" s="75" t="s">
        <v>113</v>
      </c>
      <c r="C10" s="32" t="s">
        <v>21</v>
      </c>
      <c r="D10" s="31">
        <v>2</v>
      </c>
      <c r="E10" s="30">
        <v>3.1746031746031744E-2</v>
      </c>
    </row>
    <row r="11" spans="1:5" ht="15" customHeight="1">
      <c r="B11" s="77"/>
      <c r="C11" s="32" t="s">
        <v>17</v>
      </c>
      <c r="D11" s="31">
        <v>1</v>
      </c>
      <c r="E11" s="30">
        <v>1.5873015873015872E-2</v>
      </c>
    </row>
    <row r="12" spans="1:5" ht="15" customHeight="1">
      <c r="B12" s="77"/>
      <c r="C12" s="32" t="s">
        <v>19</v>
      </c>
      <c r="D12" s="31">
        <v>1</v>
      </c>
      <c r="E12" s="30">
        <v>1.5873015873015872E-2</v>
      </c>
    </row>
    <row r="13" spans="1:5" ht="15" customHeight="1">
      <c r="B13" s="76"/>
      <c r="C13" s="29" t="s">
        <v>15</v>
      </c>
      <c r="D13" s="28">
        <v>4</v>
      </c>
      <c r="E13" s="27">
        <v>6.3492063492063489E-2</v>
      </c>
    </row>
    <row r="14" spans="1:5" ht="15" customHeight="1">
      <c r="B14" s="75" t="s">
        <v>52</v>
      </c>
      <c r="C14" s="32" t="s">
        <v>26</v>
      </c>
      <c r="D14" s="31">
        <v>1</v>
      </c>
      <c r="E14" s="30">
        <v>1.5873015873015872E-2</v>
      </c>
    </row>
    <row r="15" spans="1:5" ht="15" customHeight="1">
      <c r="B15" s="77"/>
      <c r="C15" s="32" t="s">
        <v>16</v>
      </c>
      <c r="D15" s="31">
        <v>1</v>
      </c>
      <c r="E15" s="30">
        <v>1.5873015873015872E-2</v>
      </c>
    </row>
    <row r="16" spans="1:5" ht="15" customHeight="1">
      <c r="B16" s="77"/>
      <c r="C16" s="32" t="s">
        <v>29</v>
      </c>
      <c r="D16" s="31">
        <v>2</v>
      </c>
      <c r="E16" s="30">
        <v>3.1746031746031744E-2</v>
      </c>
    </row>
    <row r="17" spans="2:5" ht="15" customHeight="1">
      <c r="B17" s="77"/>
      <c r="C17" s="32" t="s">
        <v>27</v>
      </c>
      <c r="D17" s="31">
        <v>1</v>
      </c>
      <c r="E17" s="30">
        <v>1.5873015873015872E-2</v>
      </c>
    </row>
    <row r="18" spans="2:5" ht="15" customHeight="1">
      <c r="B18" s="76"/>
      <c r="C18" s="29" t="s">
        <v>15</v>
      </c>
      <c r="D18" s="28">
        <v>5</v>
      </c>
      <c r="E18" s="27">
        <v>7.9365079365079361E-2</v>
      </c>
    </row>
    <row r="19" spans="2:5" ht="15" customHeight="1">
      <c r="B19" s="75" t="s">
        <v>51</v>
      </c>
      <c r="C19" s="32" t="s">
        <v>20</v>
      </c>
      <c r="D19" s="31">
        <v>1</v>
      </c>
      <c r="E19" s="30">
        <v>1.5873015873015872E-2</v>
      </c>
    </row>
    <row r="20" spans="2:5" ht="15" customHeight="1">
      <c r="B20" s="77"/>
      <c r="C20" s="32" t="s">
        <v>24</v>
      </c>
      <c r="D20" s="31">
        <v>1</v>
      </c>
      <c r="E20" s="30">
        <v>1.5873015873015872E-2</v>
      </c>
    </row>
    <row r="21" spans="2:5" ht="15" customHeight="1">
      <c r="B21" s="77"/>
      <c r="C21" s="32" t="s">
        <v>23</v>
      </c>
      <c r="D21" s="31">
        <v>1</v>
      </c>
      <c r="E21" s="30">
        <v>1.5873015873015872E-2</v>
      </c>
    </row>
    <row r="22" spans="2:5" ht="15" customHeight="1">
      <c r="B22" s="77"/>
      <c r="C22" s="32" t="s">
        <v>16</v>
      </c>
      <c r="D22" s="31">
        <v>1</v>
      </c>
      <c r="E22" s="30">
        <v>1.5873015873015872E-2</v>
      </c>
    </row>
    <row r="23" spans="2:5" ht="15" customHeight="1">
      <c r="B23" s="77"/>
      <c r="C23" s="32" t="s">
        <v>29</v>
      </c>
      <c r="D23" s="31">
        <v>2</v>
      </c>
      <c r="E23" s="30">
        <v>3.1746031746031744E-2</v>
      </c>
    </row>
    <row r="24" spans="2:5" ht="15" customHeight="1">
      <c r="B24" s="77"/>
      <c r="C24" s="32" t="s">
        <v>19</v>
      </c>
      <c r="D24" s="31">
        <v>1</v>
      </c>
      <c r="E24" s="30">
        <v>1.5873015873015872E-2</v>
      </c>
    </row>
    <row r="25" spans="2:5" ht="15" customHeight="1">
      <c r="B25" s="76"/>
      <c r="C25" s="29" t="s">
        <v>15</v>
      </c>
      <c r="D25" s="28">
        <v>7</v>
      </c>
      <c r="E25" s="27">
        <v>0.1111111111111111</v>
      </c>
    </row>
    <row r="26" spans="2:5" ht="15" customHeight="1">
      <c r="B26" s="75" t="s">
        <v>50</v>
      </c>
      <c r="C26" s="32" t="s">
        <v>29</v>
      </c>
      <c r="D26" s="31">
        <v>1</v>
      </c>
      <c r="E26" s="30">
        <v>1.5873015873015872E-2</v>
      </c>
    </row>
    <row r="27" spans="2:5" ht="15" customHeight="1">
      <c r="B27" s="76"/>
      <c r="C27" s="29" t="s">
        <v>15</v>
      </c>
      <c r="D27" s="28">
        <v>1</v>
      </c>
      <c r="E27" s="27">
        <v>1.5873015873015872E-2</v>
      </c>
    </row>
    <row r="28" spans="2:5" ht="15" customHeight="1">
      <c r="B28" s="75" t="s">
        <v>49</v>
      </c>
      <c r="C28" s="32" t="s">
        <v>26</v>
      </c>
      <c r="D28" s="31">
        <v>1</v>
      </c>
      <c r="E28" s="30">
        <v>1.5873015873015872E-2</v>
      </c>
    </row>
    <row r="29" spans="2:5" ht="15" customHeight="1">
      <c r="B29" s="77"/>
      <c r="C29" s="32" t="s">
        <v>17</v>
      </c>
      <c r="D29" s="31">
        <v>1</v>
      </c>
      <c r="E29" s="30">
        <v>1.5873015873015872E-2</v>
      </c>
    </row>
    <row r="30" spans="2:5" ht="15" customHeight="1">
      <c r="B30" s="77"/>
      <c r="C30" s="32" t="s">
        <v>29</v>
      </c>
      <c r="D30" s="31">
        <v>1</v>
      </c>
      <c r="E30" s="30">
        <v>1.5873015873015872E-2</v>
      </c>
    </row>
    <row r="31" spans="2:5" ht="15" customHeight="1">
      <c r="B31" s="77"/>
      <c r="C31" s="32" t="s">
        <v>28</v>
      </c>
      <c r="D31" s="31">
        <v>1</v>
      </c>
      <c r="E31" s="30">
        <v>1.5873015873015872E-2</v>
      </c>
    </row>
    <row r="32" spans="2:5" ht="15" customHeight="1">
      <c r="B32" s="76"/>
      <c r="C32" s="29" t="s">
        <v>15</v>
      </c>
      <c r="D32" s="28">
        <v>4</v>
      </c>
      <c r="E32" s="27">
        <v>6.3492063492063489E-2</v>
      </c>
    </row>
    <row r="33" spans="2:5" ht="15" customHeight="1">
      <c r="B33" s="75" t="s">
        <v>48</v>
      </c>
      <c r="C33" s="32" t="s">
        <v>28</v>
      </c>
      <c r="D33" s="31">
        <v>1</v>
      </c>
      <c r="E33" s="30">
        <v>1.5873015873015872E-2</v>
      </c>
    </row>
    <row r="34" spans="2:5" ht="15" customHeight="1">
      <c r="B34" s="76"/>
      <c r="C34" s="29" t="s">
        <v>15</v>
      </c>
      <c r="D34" s="28">
        <v>1</v>
      </c>
      <c r="E34" s="27">
        <v>1.5873015873015872E-2</v>
      </c>
    </row>
    <row r="35" spans="2:5" ht="15" customHeight="1">
      <c r="B35" s="75" t="s">
        <v>47</v>
      </c>
      <c r="C35" s="32" t="s">
        <v>21</v>
      </c>
      <c r="D35" s="31">
        <v>4</v>
      </c>
      <c r="E35" s="30">
        <v>6.3492063492063489E-2</v>
      </c>
    </row>
    <row r="36" spans="2:5" ht="15" customHeight="1">
      <c r="B36" s="77"/>
      <c r="C36" s="32" t="s">
        <v>26</v>
      </c>
      <c r="D36" s="31">
        <v>1</v>
      </c>
      <c r="E36" s="30">
        <v>1.5873015873015872E-2</v>
      </c>
    </row>
    <row r="37" spans="2:5" ht="15" customHeight="1">
      <c r="B37" s="77"/>
      <c r="C37" s="32" t="s">
        <v>20</v>
      </c>
      <c r="D37" s="31">
        <v>1</v>
      </c>
      <c r="E37" s="30">
        <v>1.5873015873015872E-2</v>
      </c>
    </row>
    <row r="38" spans="2:5" ht="15" customHeight="1">
      <c r="B38" s="77"/>
      <c r="C38" s="32" t="s">
        <v>17</v>
      </c>
      <c r="D38" s="31">
        <v>3</v>
      </c>
      <c r="E38" s="30">
        <v>4.7619047619047616E-2</v>
      </c>
    </row>
    <row r="39" spans="2:5" ht="15" customHeight="1">
      <c r="B39" s="77"/>
      <c r="C39" s="32" t="s">
        <v>25</v>
      </c>
      <c r="D39" s="31">
        <v>1</v>
      </c>
      <c r="E39" s="30">
        <v>1.5873015873015872E-2</v>
      </c>
    </row>
    <row r="40" spans="2:5" ht="15" customHeight="1">
      <c r="B40" s="77"/>
      <c r="C40" s="32" t="s">
        <v>24</v>
      </c>
      <c r="D40" s="31">
        <v>1</v>
      </c>
      <c r="E40" s="30">
        <v>1.5873015873015872E-2</v>
      </c>
    </row>
    <row r="41" spans="2:5" ht="15" customHeight="1">
      <c r="B41" s="77"/>
      <c r="C41" s="32" t="s">
        <v>23</v>
      </c>
      <c r="D41" s="31">
        <v>2</v>
      </c>
      <c r="E41" s="30">
        <v>3.1746031746031744E-2</v>
      </c>
    </row>
    <row r="42" spans="2:5" ht="15" customHeight="1">
      <c r="B42" s="77"/>
      <c r="C42" s="32" t="s">
        <v>16</v>
      </c>
      <c r="D42" s="31">
        <v>1</v>
      </c>
      <c r="E42" s="30">
        <v>1.5873015873015872E-2</v>
      </c>
    </row>
    <row r="43" spans="2:5" ht="15" customHeight="1">
      <c r="B43" s="77"/>
      <c r="C43" s="32" t="s">
        <v>29</v>
      </c>
      <c r="D43" s="31">
        <v>3</v>
      </c>
      <c r="E43" s="30">
        <v>4.7619047619047616E-2</v>
      </c>
    </row>
    <row r="44" spans="2:5" ht="15" customHeight="1">
      <c r="B44" s="77"/>
      <c r="C44" s="32" t="s">
        <v>18</v>
      </c>
      <c r="D44" s="31">
        <v>3</v>
      </c>
      <c r="E44" s="30">
        <v>4.7619047619047616E-2</v>
      </c>
    </row>
    <row r="45" spans="2:5" ht="15" customHeight="1">
      <c r="B45" s="77"/>
      <c r="C45" s="32" t="s">
        <v>22</v>
      </c>
      <c r="D45" s="31">
        <v>1</v>
      </c>
      <c r="E45" s="30">
        <v>1.5873015873015872E-2</v>
      </c>
    </row>
    <row r="46" spans="2:5" ht="15" customHeight="1">
      <c r="B46" s="76"/>
      <c r="C46" s="29" t="s">
        <v>15</v>
      </c>
      <c r="D46" s="28">
        <v>21</v>
      </c>
      <c r="E46" s="27">
        <v>0.33333333333333331</v>
      </c>
    </row>
    <row r="47" spans="2:5" ht="15" customHeight="1">
      <c r="B47" s="75" t="s">
        <v>46</v>
      </c>
      <c r="C47" s="32" t="s">
        <v>29</v>
      </c>
      <c r="D47" s="31">
        <v>1</v>
      </c>
      <c r="E47" s="30">
        <v>1.5873015873015872E-2</v>
      </c>
    </row>
    <row r="48" spans="2:5" ht="15" customHeight="1">
      <c r="B48" s="76"/>
      <c r="C48" s="29" t="s">
        <v>15</v>
      </c>
      <c r="D48" s="28">
        <v>1</v>
      </c>
      <c r="E48" s="27">
        <v>1.5873015873015872E-2</v>
      </c>
    </row>
    <row r="49" spans="2:5" ht="15" customHeight="1">
      <c r="B49" s="75" t="s">
        <v>45</v>
      </c>
      <c r="C49" s="32" t="s">
        <v>74</v>
      </c>
      <c r="D49" s="31">
        <v>1</v>
      </c>
      <c r="E49" s="30">
        <v>1.5873015873015872E-2</v>
      </c>
    </row>
    <row r="50" spans="2:5" ht="15" customHeight="1">
      <c r="B50" s="77"/>
      <c r="C50" s="32" t="s">
        <v>21</v>
      </c>
      <c r="D50" s="31">
        <v>1</v>
      </c>
      <c r="E50" s="30">
        <v>1.5873015873015872E-2</v>
      </c>
    </row>
    <row r="51" spans="2:5" ht="15" customHeight="1">
      <c r="B51" s="77"/>
      <c r="C51" s="32" t="s">
        <v>26</v>
      </c>
      <c r="D51" s="31">
        <v>1</v>
      </c>
      <c r="E51" s="30">
        <v>1.5873015873015872E-2</v>
      </c>
    </row>
    <row r="52" spans="2:5" ht="15" customHeight="1">
      <c r="B52" s="77"/>
      <c r="C52" s="32" t="s">
        <v>20</v>
      </c>
      <c r="D52" s="31">
        <v>2</v>
      </c>
      <c r="E52" s="30">
        <v>3.1746031746031744E-2</v>
      </c>
    </row>
    <row r="53" spans="2:5" ht="15" customHeight="1">
      <c r="B53" s="77"/>
      <c r="C53" s="32" t="s">
        <v>17</v>
      </c>
      <c r="D53" s="31">
        <v>3</v>
      </c>
      <c r="E53" s="30">
        <v>4.7619047619047616E-2</v>
      </c>
    </row>
    <row r="54" spans="2:5" ht="15" customHeight="1">
      <c r="B54" s="77"/>
      <c r="C54" s="32" t="s">
        <v>28</v>
      </c>
      <c r="D54" s="31">
        <v>1</v>
      </c>
      <c r="E54" s="30">
        <v>1.5873015873015872E-2</v>
      </c>
    </row>
    <row r="55" spans="2:5" ht="15" customHeight="1">
      <c r="B55" s="77"/>
      <c r="C55" s="32" t="s">
        <v>75</v>
      </c>
      <c r="D55" s="31">
        <v>1</v>
      </c>
      <c r="E55" s="30">
        <v>1.5873015873015872E-2</v>
      </c>
    </row>
    <row r="56" spans="2:5" ht="15" customHeight="1">
      <c r="B56" s="77"/>
      <c r="C56" s="32" t="s">
        <v>27</v>
      </c>
      <c r="D56" s="31">
        <v>2</v>
      </c>
      <c r="E56" s="30">
        <v>3.1746031746031744E-2</v>
      </c>
    </row>
    <row r="57" spans="2:5" ht="15" customHeight="1">
      <c r="B57" s="76"/>
      <c r="C57" s="29" t="s">
        <v>15</v>
      </c>
      <c r="D57" s="28">
        <v>12</v>
      </c>
      <c r="E57" s="27">
        <v>0.19047619047619047</v>
      </c>
    </row>
    <row r="58" spans="2:5" ht="15" customHeight="1">
      <c r="B58" s="75" t="s">
        <v>44</v>
      </c>
      <c r="C58" s="32" t="s">
        <v>20</v>
      </c>
      <c r="D58" s="31">
        <v>1</v>
      </c>
      <c r="E58" s="30">
        <v>1.5873015873015872E-2</v>
      </c>
    </row>
    <row r="59" spans="2:5" ht="15" customHeight="1">
      <c r="B59" s="76"/>
      <c r="C59" s="29" t="s">
        <v>15</v>
      </c>
      <c r="D59" s="28">
        <v>1</v>
      </c>
      <c r="E59" s="27">
        <v>1.5873015873015872E-2</v>
      </c>
    </row>
    <row r="60" spans="2:5" ht="15" customHeight="1">
      <c r="B60" s="75" t="s">
        <v>71</v>
      </c>
      <c r="C60" s="32" t="s">
        <v>21</v>
      </c>
      <c r="D60" s="31">
        <v>1</v>
      </c>
      <c r="E60" s="30">
        <v>1.5873015873015872E-2</v>
      </c>
    </row>
    <row r="61" spans="2:5" ht="15" customHeight="1">
      <c r="B61" s="77"/>
      <c r="C61" s="32" t="s">
        <v>26</v>
      </c>
      <c r="D61" s="31">
        <v>2</v>
      </c>
      <c r="E61" s="30">
        <v>3.1746031746031744E-2</v>
      </c>
    </row>
    <row r="62" spans="2:5" ht="15" customHeight="1">
      <c r="B62" s="77"/>
      <c r="C62" s="32" t="s">
        <v>20</v>
      </c>
      <c r="D62" s="31">
        <v>1</v>
      </c>
      <c r="E62" s="30">
        <v>1.5873015873015872E-2</v>
      </c>
    </row>
    <row r="63" spans="2:5" ht="15" customHeight="1">
      <c r="B63" s="77"/>
      <c r="C63" s="32" t="s">
        <v>17</v>
      </c>
      <c r="D63" s="31">
        <v>1</v>
      </c>
      <c r="E63" s="30">
        <v>1.5873015873015872E-2</v>
      </c>
    </row>
    <row r="64" spans="2:5" ht="15" customHeight="1">
      <c r="B64" s="76"/>
      <c r="C64" s="29" t="s">
        <v>15</v>
      </c>
      <c r="D64" s="28">
        <v>5</v>
      </c>
      <c r="E64" s="27">
        <v>7.9365079365079361E-2</v>
      </c>
    </row>
    <row r="65" spans="2:6" ht="15" customHeight="1">
      <c r="B65" s="75" t="s">
        <v>114</v>
      </c>
      <c r="C65" s="32" t="s">
        <v>19</v>
      </c>
      <c r="D65" s="31">
        <v>1</v>
      </c>
      <c r="E65" s="30">
        <v>1.5873015873015872E-2</v>
      </c>
    </row>
    <row r="66" spans="2:6" ht="15" customHeight="1">
      <c r="B66" s="76"/>
      <c r="C66" s="29" t="s">
        <v>15</v>
      </c>
      <c r="D66" s="28">
        <v>1</v>
      </c>
      <c r="E66" s="27">
        <v>1.5873015873015872E-2</v>
      </c>
    </row>
    <row r="67" spans="2:6" ht="15" customHeight="1">
      <c r="B67" s="78" t="s">
        <v>15</v>
      </c>
      <c r="C67" s="79"/>
      <c r="D67" s="26">
        <v>63</v>
      </c>
      <c r="E67" s="25">
        <v>1</v>
      </c>
    </row>
    <row r="69" spans="2:6" ht="15" customHeight="1">
      <c r="B69" s="2"/>
      <c r="C69" s="4" t="s">
        <v>76</v>
      </c>
      <c r="D69"/>
      <c r="E69"/>
      <c r="F69" s="2"/>
    </row>
    <row r="70" spans="2:6" ht="15" customHeight="1">
      <c r="B70" s="2"/>
      <c r="C70" s="6" t="s">
        <v>14</v>
      </c>
      <c r="D70"/>
      <c r="E70"/>
      <c r="F70" s="2"/>
    </row>
    <row r="71" spans="2:6" ht="15" customHeight="1">
      <c r="B71" s="2"/>
      <c r="C71" s="5" t="s">
        <v>13</v>
      </c>
      <c r="D71"/>
      <c r="E71"/>
      <c r="F71" s="2"/>
    </row>
    <row r="72" spans="2:6" ht="15" customHeight="1">
      <c r="B72" s="2"/>
      <c r="C72" s="4" t="s">
        <v>12</v>
      </c>
      <c r="D72"/>
      <c r="E72"/>
      <c r="F72" s="2"/>
    </row>
    <row r="73" spans="2:6" ht="15" customHeight="1">
      <c r="B73" s="2"/>
      <c r="C73" s="4" t="s">
        <v>77</v>
      </c>
      <c r="D73"/>
      <c r="E73"/>
      <c r="F73" s="2"/>
    </row>
  </sheetData>
  <mergeCells count="14">
    <mergeCell ref="B7:E8"/>
    <mergeCell ref="B67:C67"/>
    <mergeCell ref="B10:B13"/>
    <mergeCell ref="B14:B18"/>
    <mergeCell ref="B19:B25"/>
    <mergeCell ref="B26:B27"/>
    <mergeCell ref="B28:B32"/>
    <mergeCell ref="B33:B34"/>
    <mergeCell ref="B35:B46"/>
    <mergeCell ref="B47:B48"/>
    <mergeCell ref="B49:B57"/>
    <mergeCell ref="B58:B59"/>
    <mergeCell ref="B60:B64"/>
    <mergeCell ref="B65:B6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C25" sqref="C25"/>
    </sheetView>
  </sheetViews>
  <sheetFormatPr baseColWidth="10" defaultColWidth="11.42578125" defaultRowHeight="15"/>
  <cols>
    <col min="1" max="1" width="9.28515625" style="2" customWidth="1"/>
    <col min="2" max="2" width="21.710937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1:5" s="14" customFormat="1" ht="15" customHeight="1">
      <c r="C1" s="20"/>
    </row>
    <row r="2" spans="1:5" s="14" customFormat="1" ht="15" customHeight="1">
      <c r="C2" s="20"/>
    </row>
    <row r="3" spans="1:5" s="14" customFormat="1" ht="15" customHeight="1">
      <c r="C3" s="20"/>
    </row>
    <row r="4" spans="1:5" s="14" customFormat="1" ht="30" customHeight="1">
      <c r="C4" s="20"/>
      <c r="D4" s="19"/>
    </row>
    <row r="5" spans="1:5" s="14" customFormat="1" ht="15" customHeight="1">
      <c r="C5" s="20"/>
      <c r="D5" s="19"/>
    </row>
    <row r="6" spans="1:5" s="14" customFormat="1" ht="15" customHeight="1">
      <c r="C6" s="20"/>
      <c r="D6" s="19"/>
    </row>
    <row r="7" spans="1:5" s="14" customFormat="1" ht="15" customHeight="1">
      <c r="B7" s="73" t="s">
        <v>115</v>
      </c>
      <c r="C7" s="73"/>
      <c r="D7" s="73"/>
    </row>
    <row r="8" spans="1:5" s="14" customFormat="1" ht="15" customHeight="1">
      <c r="B8" s="73"/>
      <c r="C8" s="73"/>
      <c r="D8" s="73"/>
    </row>
    <row r="9" spans="1:5" s="14" customFormat="1" ht="33" customHeight="1">
      <c r="B9" s="73"/>
      <c r="C9" s="73"/>
      <c r="D9" s="73"/>
    </row>
    <row r="10" spans="1:5" s="14" customFormat="1" ht="4.5" customHeight="1">
      <c r="B10" s="18"/>
      <c r="C10" s="18"/>
      <c r="D10" s="18"/>
    </row>
    <row r="11" spans="1:5" s="14" customFormat="1" ht="33" customHeight="1">
      <c r="B11" s="17" t="s">
        <v>58</v>
      </c>
      <c r="C11" s="16" t="s">
        <v>31</v>
      </c>
      <c r="D11" s="15" t="s">
        <v>30</v>
      </c>
    </row>
    <row r="12" spans="1:5">
      <c r="B12" s="12" t="s">
        <v>57</v>
      </c>
      <c r="C12" s="11">
        <v>44</v>
      </c>
      <c r="D12" s="10">
        <v>0.69841269841269837</v>
      </c>
    </row>
    <row r="13" spans="1:5">
      <c r="B13" s="12" t="s">
        <v>56</v>
      </c>
      <c r="C13" s="11">
        <v>19</v>
      </c>
      <c r="D13" s="10">
        <v>0.30158730158730157</v>
      </c>
    </row>
    <row r="14" spans="1:5">
      <c r="B14" s="9" t="s">
        <v>55</v>
      </c>
      <c r="C14" s="8">
        <v>63</v>
      </c>
      <c r="D14" s="7">
        <v>1</v>
      </c>
    </row>
    <row r="15" spans="1:5">
      <c r="A15" s="13"/>
      <c r="B15" s="13"/>
      <c r="C15" s="45"/>
      <c r="D15" s="13"/>
      <c r="E15" s="13"/>
    </row>
    <row r="16" spans="1:5">
      <c r="B16" s="4" t="s">
        <v>76</v>
      </c>
      <c r="C16"/>
      <c r="D16"/>
    </row>
    <row r="17" spans="2:4">
      <c r="B17" s="6" t="s">
        <v>14</v>
      </c>
      <c r="C17"/>
      <c r="D17"/>
    </row>
    <row r="18" spans="2:4">
      <c r="B18" s="5" t="s">
        <v>13</v>
      </c>
      <c r="C18"/>
      <c r="D18"/>
    </row>
    <row r="19" spans="2:4">
      <c r="B19" s="4" t="s">
        <v>12</v>
      </c>
      <c r="C19"/>
      <c r="D19"/>
    </row>
    <row r="20" spans="2:4">
      <c r="B20" s="4" t="s">
        <v>77</v>
      </c>
      <c r="C20"/>
      <c r="D2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zoomScale="90" zoomScaleNormal="90" zoomScaleSheetLayoutView="100" workbookViewId="0">
      <selection activeCell="F9" sqref="F9"/>
    </sheetView>
  </sheetViews>
  <sheetFormatPr baseColWidth="10" defaultColWidth="35" defaultRowHeight="15" customHeight="1"/>
  <cols>
    <col min="1" max="1" width="1" style="21" customWidth="1"/>
    <col min="2" max="2" width="22.85546875" style="22" customWidth="1"/>
    <col min="3" max="3" width="31.42578125" style="22" customWidth="1"/>
    <col min="4" max="4" width="14.28515625" style="22" customWidth="1"/>
    <col min="5" max="5" width="16.85546875" style="22" customWidth="1"/>
    <col min="6" max="16384" width="35" style="21"/>
  </cols>
  <sheetData>
    <row r="1" spans="1:5" s="40" customFormat="1" ht="12" customHeight="1">
      <c r="B1" s="44"/>
      <c r="C1" s="43"/>
      <c r="D1" s="43"/>
      <c r="E1" s="43"/>
    </row>
    <row r="2" spans="1:5" s="40" customFormat="1" ht="15" customHeight="1">
      <c r="C2" s="42"/>
    </row>
    <row r="3" spans="1:5" s="40" customFormat="1" ht="15" customHeight="1">
      <c r="C3" s="42"/>
    </row>
    <row r="4" spans="1:5" s="40" customFormat="1" ht="30" customHeight="1">
      <c r="C4" s="42"/>
      <c r="D4" s="41"/>
    </row>
    <row r="5" spans="1:5" s="40" customFormat="1" ht="15" customHeight="1">
      <c r="C5" s="42"/>
      <c r="D5" s="41"/>
    </row>
    <row r="6" spans="1:5" s="37" customFormat="1" ht="24" customHeight="1">
      <c r="B6" s="39"/>
      <c r="C6" s="33"/>
      <c r="D6" s="33"/>
      <c r="E6" s="33"/>
    </row>
    <row r="7" spans="1:5" s="37" customFormat="1" ht="26.25" customHeight="1">
      <c r="A7" s="38"/>
      <c r="B7" s="74"/>
      <c r="C7" s="74"/>
      <c r="D7" s="74"/>
      <c r="E7" s="74"/>
    </row>
    <row r="8" spans="1:5" s="37" customFormat="1" ht="33" customHeight="1">
      <c r="A8" s="38"/>
      <c r="B8" s="74"/>
      <c r="C8" s="74"/>
      <c r="D8" s="74"/>
      <c r="E8" s="74"/>
    </row>
    <row r="9" spans="1:5" s="14" customFormat="1" ht="40.5" customHeight="1">
      <c r="B9" s="34" t="s">
        <v>32</v>
      </c>
      <c r="C9" s="36" t="s">
        <v>58</v>
      </c>
      <c r="D9" s="35" t="s">
        <v>31</v>
      </c>
      <c r="E9" s="34" t="s">
        <v>30</v>
      </c>
    </row>
    <row r="10" spans="1:5" ht="15" customHeight="1">
      <c r="B10" s="75" t="s">
        <v>74</v>
      </c>
      <c r="C10" s="32" t="s">
        <v>59</v>
      </c>
      <c r="D10" s="31">
        <v>1</v>
      </c>
      <c r="E10" s="30">
        <v>1.5873015873015872E-2</v>
      </c>
    </row>
    <row r="11" spans="1:5" ht="15" customHeight="1">
      <c r="B11" s="76"/>
      <c r="C11" s="29" t="s">
        <v>15</v>
      </c>
      <c r="D11" s="28">
        <v>1</v>
      </c>
      <c r="E11" s="27">
        <v>1.5873015873015872E-2</v>
      </c>
    </row>
    <row r="12" spans="1:5" ht="15" customHeight="1">
      <c r="B12" s="75" t="s">
        <v>21</v>
      </c>
      <c r="C12" s="32" t="s">
        <v>60</v>
      </c>
      <c r="D12" s="31">
        <v>8</v>
      </c>
      <c r="E12" s="30">
        <v>0.12698412698412698</v>
      </c>
    </row>
    <row r="13" spans="1:5" ht="15" customHeight="1">
      <c r="B13" s="76"/>
      <c r="C13" s="29" t="s">
        <v>15</v>
      </c>
      <c r="D13" s="28">
        <v>8</v>
      </c>
      <c r="E13" s="27">
        <v>0.12698412698412698</v>
      </c>
    </row>
    <row r="14" spans="1:5" ht="15" customHeight="1">
      <c r="B14" s="75" t="s">
        <v>26</v>
      </c>
      <c r="C14" s="32" t="s">
        <v>60</v>
      </c>
      <c r="D14" s="31">
        <v>4</v>
      </c>
      <c r="E14" s="30">
        <v>6.3492063492063489E-2</v>
      </c>
    </row>
    <row r="15" spans="1:5" ht="15" customHeight="1">
      <c r="B15" s="77"/>
      <c r="C15" s="32" t="s">
        <v>59</v>
      </c>
      <c r="D15" s="31">
        <v>2</v>
      </c>
      <c r="E15" s="30">
        <v>3.1746031746031744E-2</v>
      </c>
    </row>
    <row r="16" spans="1:5" ht="15" customHeight="1">
      <c r="B16" s="76"/>
      <c r="C16" s="29" t="s">
        <v>15</v>
      </c>
      <c r="D16" s="28">
        <v>6</v>
      </c>
      <c r="E16" s="27">
        <v>9.5238095238095233E-2</v>
      </c>
    </row>
    <row r="17" spans="2:5" ht="15" customHeight="1">
      <c r="B17" s="75" t="s">
        <v>20</v>
      </c>
      <c r="C17" s="32" t="s">
        <v>60</v>
      </c>
      <c r="D17" s="31">
        <v>3</v>
      </c>
      <c r="E17" s="30">
        <v>4.7619047619047616E-2</v>
      </c>
    </row>
    <row r="18" spans="2:5" ht="15" customHeight="1">
      <c r="B18" s="77"/>
      <c r="C18" s="32" t="s">
        <v>59</v>
      </c>
      <c r="D18" s="31">
        <v>3</v>
      </c>
      <c r="E18" s="30">
        <v>4.7619047619047616E-2</v>
      </c>
    </row>
    <row r="19" spans="2:5" ht="15" customHeight="1">
      <c r="B19" s="76"/>
      <c r="C19" s="29" t="s">
        <v>15</v>
      </c>
      <c r="D19" s="28">
        <v>6</v>
      </c>
      <c r="E19" s="27">
        <v>9.5238095238095233E-2</v>
      </c>
    </row>
    <row r="20" spans="2:5" ht="15" customHeight="1">
      <c r="B20" s="75" t="s">
        <v>17</v>
      </c>
      <c r="C20" s="32" t="s">
        <v>60</v>
      </c>
      <c r="D20" s="31">
        <v>8</v>
      </c>
      <c r="E20" s="30">
        <v>0.12698412698412698</v>
      </c>
    </row>
    <row r="21" spans="2:5" ht="15" customHeight="1">
      <c r="B21" s="77"/>
      <c r="C21" s="32" t="s">
        <v>59</v>
      </c>
      <c r="D21" s="31">
        <v>1</v>
      </c>
      <c r="E21" s="30">
        <v>1.5873015873015872E-2</v>
      </c>
    </row>
    <row r="22" spans="2:5" ht="15" customHeight="1">
      <c r="B22" s="76"/>
      <c r="C22" s="29" t="s">
        <v>15</v>
      </c>
      <c r="D22" s="28">
        <v>9</v>
      </c>
      <c r="E22" s="27">
        <v>0.14285714285714285</v>
      </c>
    </row>
    <row r="23" spans="2:5" ht="15" customHeight="1">
      <c r="B23" s="75" t="s">
        <v>25</v>
      </c>
      <c r="C23" s="32" t="s">
        <v>60</v>
      </c>
      <c r="D23" s="31">
        <v>1</v>
      </c>
      <c r="E23" s="30">
        <v>1.5873015873015872E-2</v>
      </c>
    </row>
    <row r="24" spans="2:5" ht="15" customHeight="1">
      <c r="B24" s="76"/>
      <c r="C24" s="29" t="s">
        <v>15</v>
      </c>
      <c r="D24" s="28">
        <v>1</v>
      </c>
      <c r="E24" s="27">
        <v>1.5873015873015872E-2</v>
      </c>
    </row>
    <row r="25" spans="2:5" ht="15" customHeight="1">
      <c r="B25" s="75" t="s">
        <v>24</v>
      </c>
      <c r="C25" s="32" t="s">
        <v>60</v>
      </c>
      <c r="D25" s="31">
        <v>2</v>
      </c>
      <c r="E25" s="30">
        <v>3.1746031746031744E-2</v>
      </c>
    </row>
    <row r="26" spans="2:5" ht="15" customHeight="1">
      <c r="B26" s="76"/>
      <c r="C26" s="29" t="s">
        <v>15</v>
      </c>
      <c r="D26" s="28">
        <v>2</v>
      </c>
      <c r="E26" s="27">
        <v>3.1746031746031744E-2</v>
      </c>
    </row>
    <row r="27" spans="2:5" ht="15" customHeight="1">
      <c r="B27" s="75" t="s">
        <v>23</v>
      </c>
      <c r="C27" s="32" t="s">
        <v>59</v>
      </c>
      <c r="D27" s="31">
        <v>3</v>
      </c>
      <c r="E27" s="30">
        <v>4.7619047619047616E-2</v>
      </c>
    </row>
    <row r="28" spans="2:5" ht="15" customHeight="1">
      <c r="B28" s="76"/>
      <c r="C28" s="29" t="s">
        <v>15</v>
      </c>
      <c r="D28" s="28">
        <v>3</v>
      </c>
      <c r="E28" s="27">
        <v>4.7619047619047616E-2</v>
      </c>
    </row>
    <row r="29" spans="2:5" ht="15" customHeight="1">
      <c r="B29" s="75" t="s">
        <v>16</v>
      </c>
      <c r="C29" s="32" t="s">
        <v>60</v>
      </c>
      <c r="D29" s="31">
        <v>2</v>
      </c>
      <c r="E29" s="30">
        <v>3.1746031746031744E-2</v>
      </c>
    </row>
    <row r="30" spans="2:5" ht="15" customHeight="1">
      <c r="B30" s="77"/>
      <c r="C30" s="32" t="s">
        <v>59</v>
      </c>
      <c r="D30" s="31">
        <v>1</v>
      </c>
      <c r="E30" s="30">
        <v>1.5873015873015872E-2</v>
      </c>
    </row>
    <row r="31" spans="2:5" ht="15" customHeight="1">
      <c r="B31" s="76"/>
      <c r="C31" s="29" t="s">
        <v>15</v>
      </c>
      <c r="D31" s="28">
        <v>3</v>
      </c>
      <c r="E31" s="27">
        <v>4.7619047619047616E-2</v>
      </c>
    </row>
    <row r="32" spans="2:5" ht="15" customHeight="1">
      <c r="B32" s="75" t="s">
        <v>29</v>
      </c>
      <c r="C32" s="32" t="s">
        <v>60</v>
      </c>
      <c r="D32" s="31">
        <v>7</v>
      </c>
      <c r="E32" s="30">
        <v>0.1111111111111111</v>
      </c>
    </row>
    <row r="33" spans="2:5" ht="15" customHeight="1">
      <c r="B33" s="77"/>
      <c r="C33" s="32" t="s">
        <v>59</v>
      </c>
      <c r="D33" s="31">
        <v>3</v>
      </c>
      <c r="E33" s="30">
        <v>4.7619047619047616E-2</v>
      </c>
    </row>
    <row r="34" spans="2:5" ht="15" customHeight="1">
      <c r="B34" s="76"/>
      <c r="C34" s="29" t="s">
        <v>15</v>
      </c>
      <c r="D34" s="28">
        <v>10</v>
      </c>
      <c r="E34" s="27">
        <v>0.15873015873015872</v>
      </c>
    </row>
    <row r="35" spans="2:5" ht="15" customHeight="1">
      <c r="B35" s="75" t="s">
        <v>28</v>
      </c>
      <c r="C35" s="32" t="s">
        <v>60</v>
      </c>
      <c r="D35" s="31">
        <v>1</v>
      </c>
      <c r="E35" s="30">
        <v>1.5873015873015872E-2</v>
      </c>
    </row>
    <row r="36" spans="2:5" ht="15" customHeight="1">
      <c r="B36" s="77"/>
      <c r="C36" s="32" t="s">
        <v>59</v>
      </c>
      <c r="D36" s="31">
        <v>2</v>
      </c>
      <c r="E36" s="30">
        <v>3.1746031746031744E-2</v>
      </c>
    </row>
    <row r="37" spans="2:5" ht="15" customHeight="1">
      <c r="B37" s="76"/>
      <c r="C37" s="29" t="s">
        <v>15</v>
      </c>
      <c r="D37" s="28">
        <v>3</v>
      </c>
      <c r="E37" s="27">
        <v>4.7619047619047616E-2</v>
      </c>
    </row>
    <row r="38" spans="2:5" ht="15" customHeight="1">
      <c r="B38" s="75" t="s">
        <v>19</v>
      </c>
      <c r="C38" s="32" t="s">
        <v>60</v>
      </c>
      <c r="D38" s="31">
        <v>1</v>
      </c>
      <c r="E38" s="30">
        <v>1.5873015873015872E-2</v>
      </c>
    </row>
    <row r="39" spans="2:5" ht="15" customHeight="1">
      <c r="B39" s="77"/>
      <c r="C39" s="32" t="s">
        <v>59</v>
      </c>
      <c r="D39" s="31">
        <v>2</v>
      </c>
      <c r="E39" s="30">
        <v>3.1746031746031744E-2</v>
      </c>
    </row>
    <row r="40" spans="2:5" ht="15" customHeight="1">
      <c r="B40" s="76"/>
      <c r="C40" s="29" t="s">
        <v>15</v>
      </c>
      <c r="D40" s="28">
        <v>3</v>
      </c>
      <c r="E40" s="27">
        <v>4.7619047619047616E-2</v>
      </c>
    </row>
    <row r="41" spans="2:5" ht="15" customHeight="1">
      <c r="B41" s="75" t="s">
        <v>18</v>
      </c>
      <c r="C41" s="32" t="s">
        <v>60</v>
      </c>
      <c r="D41" s="31">
        <v>3</v>
      </c>
      <c r="E41" s="30">
        <v>4.7619047619047616E-2</v>
      </c>
    </row>
    <row r="42" spans="2:5" ht="15" customHeight="1">
      <c r="B42" s="76"/>
      <c r="C42" s="29" t="s">
        <v>15</v>
      </c>
      <c r="D42" s="28">
        <v>3</v>
      </c>
      <c r="E42" s="27">
        <v>4.7619047619047616E-2</v>
      </c>
    </row>
    <row r="43" spans="2:5" ht="15" customHeight="1">
      <c r="B43" s="75" t="s">
        <v>75</v>
      </c>
      <c r="C43" s="32" t="s">
        <v>59</v>
      </c>
      <c r="D43" s="31">
        <v>1</v>
      </c>
      <c r="E43" s="30">
        <v>1.5873015873015872E-2</v>
      </c>
    </row>
    <row r="44" spans="2:5" ht="15" customHeight="1">
      <c r="B44" s="76"/>
      <c r="C44" s="29" t="s">
        <v>15</v>
      </c>
      <c r="D44" s="28">
        <v>1</v>
      </c>
      <c r="E44" s="27">
        <v>1.5873015873015872E-2</v>
      </c>
    </row>
    <row r="45" spans="2:5" ht="15" customHeight="1">
      <c r="B45" s="75" t="s">
        <v>22</v>
      </c>
      <c r="C45" s="32" t="s">
        <v>60</v>
      </c>
      <c r="D45" s="31">
        <v>1</v>
      </c>
      <c r="E45" s="30">
        <v>1.5873015873015872E-2</v>
      </c>
    </row>
    <row r="46" spans="2:5" ht="15" customHeight="1">
      <c r="B46" s="76"/>
      <c r="C46" s="29" t="s">
        <v>15</v>
      </c>
      <c r="D46" s="28">
        <v>1</v>
      </c>
      <c r="E46" s="27">
        <v>1.5873015873015872E-2</v>
      </c>
    </row>
    <row r="47" spans="2:5" ht="15" customHeight="1">
      <c r="B47" s="75" t="s">
        <v>27</v>
      </c>
      <c r="C47" s="32" t="s">
        <v>60</v>
      </c>
      <c r="D47" s="31">
        <v>3</v>
      </c>
      <c r="E47" s="30">
        <v>4.7619047619047616E-2</v>
      </c>
    </row>
    <row r="48" spans="2:5" ht="15" customHeight="1">
      <c r="B48" s="76"/>
      <c r="C48" s="29" t="s">
        <v>15</v>
      </c>
      <c r="D48" s="28">
        <v>3</v>
      </c>
      <c r="E48" s="27">
        <v>4.7619047619047616E-2</v>
      </c>
    </row>
    <row r="49" spans="2:6" ht="15" customHeight="1">
      <c r="B49" s="78" t="s">
        <v>15</v>
      </c>
      <c r="C49" s="79"/>
      <c r="D49" s="26">
        <f>SUMIF(C10:C48,"TOTAL",D10:D48)</f>
        <v>63</v>
      </c>
      <c r="E49" s="25">
        <v>1</v>
      </c>
    </row>
    <row r="51" spans="2:6" ht="15" customHeight="1">
      <c r="B51" s="2"/>
      <c r="C51" s="4" t="s">
        <v>76</v>
      </c>
      <c r="D51"/>
      <c r="E51"/>
      <c r="F51" s="2"/>
    </row>
    <row r="52" spans="2:6" ht="15" customHeight="1">
      <c r="B52" s="2"/>
      <c r="C52" s="6" t="s">
        <v>14</v>
      </c>
      <c r="D52"/>
      <c r="E52"/>
      <c r="F52" s="2"/>
    </row>
    <row r="53" spans="2:6" ht="15" customHeight="1">
      <c r="B53" s="2"/>
      <c r="C53" s="5" t="s">
        <v>13</v>
      </c>
      <c r="D53"/>
      <c r="E53"/>
      <c r="F53" s="2"/>
    </row>
    <row r="54" spans="2:6" ht="15" customHeight="1">
      <c r="B54" s="2"/>
      <c r="C54" s="4" t="s">
        <v>12</v>
      </c>
      <c r="D54"/>
      <c r="E54"/>
      <c r="F54" s="2"/>
    </row>
    <row r="55" spans="2:6" ht="15" customHeight="1">
      <c r="B55" s="2"/>
      <c r="C55" s="4" t="s">
        <v>77</v>
      </c>
      <c r="D55"/>
      <c r="E55"/>
      <c r="F55" s="2"/>
    </row>
    <row r="377" spans="2:2" s="22" customFormat="1" ht="15" customHeight="1">
      <c r="B377" s="23"/>
    </row>
    <row r="378" spans="2:2" s="22" customFormat="1" ht="15" customHeight="1">
      <c r="B378" s="24"/>
    </row>
    <row r="379" spans="2:2" s="22" customFormat="1" ht="15" customHeight="1">
      <c r="B379" s="24"/>
    </row>
    <row r="380" spans="2:2" s="22" customFormat="1" ht="15" customHeight="1">
      <c r="B380" s="23"/>
    </row>
    <row r="381" spans="2:2" s="22" customFormat="1" ht="15" customHeight="1">
      <c r="B381" s="23"/>
    </row>
  </sheetData>
  <mergeCells count="18">
    <mergeCell ref="B17:B19"/>
    <mergeCell ref="B20:B22"/>
    <mergeCell ref="B7:E8"/>
    <mergeCell ref="B47:B48"/>
    <mergeCell ref="B49:C49"/>
    <mergeCell ref="B23:B24"/>
    <mergeCell ref="B25:B26"/>
    <mergeCell ref="B27:B28"/>
    <mergeCell ref="B29:B31"/>
    <mergeCell ref="B32:B34"/>
    <mergeCell ref="B35:B37"/>
    <mergeCell ref="B38:B40"/>
    <mergeCell ref="B41:B42"/>
    <mergeCell ref="B43:B44"/>
    <mergeCell ref="B45:B46"/>
    <mergeCell ref="B10:B11"/>
    <mergeCell ref="B12:B13"/>
    <mergeCell ref="B14:B1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8"/>
  <sheetViews>
    <sheetView zoomScale="115" zoomScaleNormal="115" zoomScaleSheetLayoutView="100" workbookViewId="0">
      <selection activeCell="B23" sqref="B23"/>
    </sheetView>
  </sheetViews>
  <sheetFormatPr baseColWidth="10" defaultColWidth="35" defaultRowHeight="15" customHeight="1"/>
  <cols>
    <col min="1" max="1" width="1" style="21" customWidth="1"/>
    <col min="2" max="2" width="22.85546875" style="22" customWidth="1"/>
    <col min="3" max="3" width="31.42578125" style="22" customWidth="1"/>
    <col min="4" max="4" width="14.28515625" style="22" customWidth="1"/>
    <col min="5" max="5" width="16.85546875" style="22" customWidth="1"/>
    <col min="6" max="16384" width="35" style="21"/>
  </cols>
  <sheetData>
    <row r="1" spans="1:5" s="40" customFormat="1" ht="12" customHeight="1">
      <c r="B1" s="44"/>
      <c r="C1" s="43"/>
      <c r="D1" s="43"/>
      <c r="E1" s="43"/>
    </row>
    <row r="2" spans="1:5" s="40" customFormat="1" ht="15" customHeight="1">
      <c r="C2" s="42"/>
    </row>
    <row r="3" spans="1:5" s="40" customFormat="1" ht="15" customHeight="1">
      <c r="C3" s="42"/>
    </row>
    <row r="4" spans="1:5" s="40" customFormat="1" ht="30" customHeight="1">
      <c r="C4" s="42"/>
      <c r="D4" s="41"/>
    </row>
    <row r="5" spans="1:5" s="40" customFormat="1" ht="15" customHeight="1">
      <c r="C5" s="42"/>
      <c r="D5" s="41"/>
    </row>
    <row r="6" spans="1:5" s="37" customFormat="1" ht="24" customHeight="1">
      <c r="B6" s="39"/>
      <c r="C6" s="33"/>
      <c r="D6" s="33"/>
      <c r="E6" s="33"/>
    </row>
    <row r="7" spans="1:5" s="37" customFormat="1" ht="26.25" customHeight="1">
      <c r="A7" s="38"/>
      <c r="B7" s="74"/>
      <c r="C7" s="74"/>
      <c r="D7" s="74"/>
      <c r="E7" s="74"/>
    </row>
    <row r="8" spans="1:5" s="37" customFormat="1" ht="33" customHeight="1">
      <c r="A8" s="38"/>
      <c r="B8" s="74"/>
      <c r="C8" s="74"/>
      <c r="D8" s="74"/>
      <c r="E8" s="74"/>
    </row>
    <row r="9" spans="1:5" s="14" customFormat="1" ht="40.5" customHeight="1">
      <c r="B9" s="34" t="s">
        <v>58</v>
      </c>
      <c r="C9" s="36" t="s">
        <v>65</v>
      </c>
      <c r="D9" s="35" t="s">
        <v>31</v>
      </c>
      <c r="E9" s="34" t="s">
        <v>30</v>
      </c>
    </row>
    <row r="10" spans="1:5" ht="15" customHeight="1">
      <c r="B10" s="75" t="s">
        <v>60</v>
      </c>
      <c r="C10" s="32" t="s">
        <v>64</v>
      </c>
      <c r="D10" s="31">
        <v>10</v>
      </c>
      <c r="E10" s="30">
        <v>0.15873015873015872</v>
      </c>
    </row>
    <row r="11" spans="1:5" ht="15" customHeight="1">
      <c r="B11" s="77"/>
      <c r="C11" s="32" t="s">
        <v>63</v>
      </c>
      <c r="D11" s="31">
        <v>17</v>
      </c>
      <c r="E11" s="30">
        <v>0.26984126984126983</v>
      </c>
    </row>
    <row r="12" spans="1:5" ht="15" customHeight="1">
      <c r="B12" s="77"/>
      <c r="C12" s="32" t="s">
        <v>62</v>
      </c>
      <c r="D12" s="31">
        <v>14</v>
      </c>
      <c r="E12" s="30">
        <v>0.22222222222222221</v>
      </c>
    </row>
    <row r="13" spans="1:5" ht="15" customHeight="1">
      <c r="B13" s="76"/>
      <c r="C13" s="32" t="s">
        <v>61</v>
      </c>
      <c r="D13" s="31">
        <v>3</v>
      </c>
      <c r="E13" s="30">
        <v>4.7619047619047616E-2</v>
      </c>
    </row>
    <row r="14" spans="1:5" ht="15" customHeight="1">
      <c r="B14" s="75" t="s">
        <v>59</v>
      </c>
      <c r="C14" s="32" t="s">
        <v>64</v>
      </c>
      <c r="D14" s="31">
        <v>3</v>
      </c>
      <c r="E14" s="30">
        <v>4.7619047619047616E-2</v>
      </c>
    </row>
    <row r="15" spans="1:5" ht="15" customHeight="1">
      <c r="B15" s="77"/>
      <c r="C15" s="32" t="s">
        <v>63</v>
      </c>
      <c r="D15" s="31">
        <v>6</v>
      </c>
      <c r="E15" s="30">
        <v>9.5238095238095233E-2</v>
      </c>
    </row>
    <row r="16" spans="1:5" ht="15" customHeight="1">
      <c r="B16" s="77"/>
      <c r="C16" s="32" t="s">
        <v>62</v>
      </c>
      <c r="D16" s="31">
        <v>6</v>
      </c>
      <c r="E16" s="30">
        <v>9.5238095238095233E-2</v>
      </c>
    </row>
    <row r="17" spans="2:6" ht="15" customHeight="1">
      <c r="B17" s="76"/>
      <c r="C17" s="32" t="s">
        <v>61</v>
      </c>
      <c r="D17" s="31">
        <v>4</v>
      </c>
      <c r="E17" s="30">
        <v>6.3492063492063489E-2</v>
      </c>
    </row>
    <row r="18" spans="2:6" ht="15" customHeight="1">
      <c r="B18" s="78" t="s">
        <v>15</v>
      </c>
      <c r="C18" s="79"/>
      <c r="D18" s="26">
        <v>63</v>
      </c>
      <c r="E18" s="25">
        <v>1</v>
      </c>
    </row>
    <row r="19" spans="2:6" ht="15" customHeight="1">
      <c r="B19" s="4"/>
      <c r="C19" s="33"/>
      <c r="D19" s="33"/>
      <c r="E19" s="33"/>
    </row>
    <row r="20" spans="2:6" ht="15" customHeight="1">
      <c r="B20" s="2"/>
      <c r="C20" s="4" t="s">
        <v>76</v>
      </c>
      <c r="D20"/>
      <c r="E20"/>
      <c r="F20" s="2"/>
    </row>
    <row r="21" spans="2:6" ht="15" customHeight="1">
      <c r="B21" s="2"/>
      <c r="C21" s="6" t="s">
        <v>14</v>
      </c>
      <c r="D21"/>
      <c r="E21"/>
      <c r="F21" s="2"/>
    </row>
    <row r="22" spans="2:6" ht="15" customHeight="1">
      <c r="B22" s="2"/>
      <c r="C22" s="5" t="s">
        <v>13</v>
      </c>
      <c r="D22"/>
      <c r="E22"/>
      <c r="F22" s="2"/>
    </row>
    <row r="23" spans="2:6" ht="15" customHeight="1">
      <c r="B23" s="2"/>
      <c r="C23" s="4" t="s">
        <v>12</v>
      </c>
      <c r="D23"/>
      <c r="E23"/>
      <c r="F23" s="2"/>
    </row>
    <row r="24" spans="2:6" ht="15" customHeight="1">
      <c r="B24" s="2"/>
      <c r="C24" s="4" t="s">
        <v>77</v>
      </c>
      <c r="D24"/>
      <c r="E24"/>
      <c r="F24" s="2"/>
    </row>
    <row r="464" spans="2:2" s="22" customFormat="1" ht="15" customHeight="1">
      <c r="B464" s="23"/>
    </row>
    <row r="465" spans="2:2" s="22" customFormat="1" ht="15" customHeight="1">
      <c r="B465" s="24"/>
    </row>
    <row r="466" spans="2:2" s="22" customFormat="1" ht="15" customHeight="1">
      <c r="B466" s="24"/>
    </row>
    <row r="467" spans="2:2" s="22" customFormat="1" ht="15" customHeight="1">
      <c r="B467" s="23"/>
    </row>
    <row r="468" spans="2:2" s="22" customFormat="1" ht="15" customHeight="1">
      <c r="B468" s="23"/>
    </row>
  </sheetData>
  <mergeCells count="4">
    <mergeCell ref="B18:C18"/>
    <mergeCell ref="B7:E8"/>
    <mergeCell ref="B10:B13"/>
    <mergeCell ref="B14:B1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23"/>
  <sheetViews>
    <sheetView showGridLines="0" zoomScaleNormal="100" zoomScaleSheetLayoutView="115" workbookViewId="0">
      <selection activeCell="F1" sqref="F1"/>
    </sheetView>
  </sheetViews>
  <sheetFormatPr baseColWidth="10" defaultColWidth="11.42578125" defaultRowHeight="15"/>
  <cols>
    <col min="1" max="1" width="9.28515625" style="2" customWidth="1"/>
    <col min="2" max="2" width="21.710937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1:5" s="14" customFormat="1" ht="15" customHeight="1">
      <c r="C1" s="20"/>
    </row>
    <row r="2" spans="1:5" s="14" customFormat="1" ht="15" customHeight="1">
      <c r="C2" s="20"/>
    </row>
    <row r="3" spans="1:5" s="14" customFormat="1" ht="15" customHeight="1">
      <c r="C3" s="20"/>
    </row>
    <row r="4" spans="1:5" s="14" customFormat="1" ht="30" customHeight="1">
      <c r="C4" s="20"/>
      <c r="D4" s="19"/>
    </row>
    <row r="5" spans="1:5" s="14" customFormat="1" ht="15" customHeight="1">
      <c r="C5" s="20"/>
      <c r="D5" s="19"/>
    </row>
    <row r="6" spans="1:5" s="14" customFormat="1" ht="15" customHeight="1">
      <c r="C6" s="20"/>
      <c r="D6" s="19"/>
    </row>
    <row r="7" spans="1:5" s="14" customFormat="1" ht="15" customHeight="1">
      <c r="B7" s="73" t="s">
        <v>117</v>
      </c>
      <c r="C7" s="73"/>
      <c r="D7" s="73"/>
    </row>
    <row r="8" spans="1:5" s="14" customFormat="1" ht="15" customHeight="1">
      <c r="B8" s="73"/>
      <c r="C8" s="73"/>
      <c r="D8" s="73"/>
    </row>
    <row r="9" spans="1:5" s="14" customFormat="1" ht="33" customHeight="1">
      <c r="B9" s="73"/>
      <c r="C9" s="73"/>
      <c r="D9" s="73"/>
    </row>
    <row r="10" spans="1:5" s="14" customFormat="1" ht="4.5" customHeight="1">
      <c r="B10" s="18"/>
      <c r="C10" s="18"/>
      <c r="D10" s="18"/>
    </row>
    <row r="11" spans="1:5" s="14" customFormat="1" ht="33" customHeight="1">
      <c r="B11" s="17" t="s">
        <v>70</v>
      </c>
      <c r="C11" s="16" t="s">
        <v>31</v>
      </c>
      <c r="D11" s="15" t="s">
        <v>30</v>
      </c>
    </row>
    <row r="12" spans="1:5">
      <c r="B12" s="12" t="s">
        <v>69</v>
      </c>
      <c r="C12" s="11">
        <v>51</v>
      </c>
      <c r="D12" s="10">
        <v>0.80952380952380953</v>
      </c>
    </row>
    <row r="13" spans="1:5">
      <c r="B13" s="12" t="s">
        <v>68</v>
      </c>
      <c r="C13" s="11">
        <v>8</v>
      </c>
      <c r="D13" s="10">
        <v>0.12698412698412698</v>
      </c>
    </row>
    <row r="14" spans="1:5">
      <c r="A14" s="13"/>
      <c r="B14" s="12" t="s">
        <v>66</v>
      </c>
      <c r="C14" s="11">
        <v>2</v>
      </c>
      <c r="D14" s="10">
        <v>3.1746031746031744E-2</v>
      </c>
      <c r="E14" s="13"/>
    </row>
    <row r="15" spans="1:5">
      <c r="A15" s="13"/>
      <c r="B15" s="12" t="s">
        <v>67</v>
      </c>
      <c r="C15" s="11">
        <v>1</v>
      </c>
      <c r="D15" s="10">
        <v>1.5873015873015872E-2</v>
      </c>
      <c r="E15" s="13"/>
    </row>
    <row r="16" spans="1:5">
      <c r="B16" s="12" t="s">
        <v>116</v>
      </c>
      <c r="C16" s="11">
        <v>1</v>
      </c>
      <c r="D16" s="10">
        <v>1.5873015873015872E-2</v>
      </c>
    </row>
    <row r="17" spans="2:4">
      <c r="B17" s="9" t="s">
        <v>15</v>
      </c>
      <c r="C17" s="8">
        <v>63</v>
      </c>
      <c r="D17" s="7">
        <v>1</v>
      </c>
    </row>
    <row r="18" spans="2:4">
      <c r="B18" s="4"/>
    </row>
    <row r="19" spans="2:4">
      <c r="B19" s="4" t="s">
        <v>76</v>
      </c>
      <c r="C19"/>
      <c r="D19"/>
    </row>
    <row r="20" spans="2:4">
      <c r="B20" s="6" t="s">
        <v>14</v>
      </c>
      <c r="C20"/>
      <c r="D20"/>
    </row>
    <row r="21" spans="2:4">
      <c r="B21" s="5" t="s">
        <v>13</v>
      </c>
      <c r="C21"/>
      <c r="D21"/>
    </row>
    <row r="22" spans="2:4">
      <c r="B22" s="4" t="s">
        <v>12</v>
      </c>
      <c r="C22"/>
      <c r="D22"/>
    </row>
    <row r="23" spans="2:4">
      <c r="B23" s="4" t="s">
        <v>77</v>
      </c>
      <c r="C23"/>
      <c r="D23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Montana_Edomexgral</vt:lpstr>
      <vt:lpstr>Montana_EDOMEX</vt:lpstr>
      <vt:lpstr>Montana_Educagral</vt:lpstr>
      <vt:lpstr>Montana_Eduedo</vt:lpstr>
      <vt:lpstr>Montana_gengral</vt:lpstr>
      <vt:lpstr>Montana_edomexgen</vt:lpstr>
      <vt:lpstr>Montana_edadgen</vt:lpstr>
      <vt:lpstr>Montana_ocupgral</vt:lpstr>
      <vt:lpstr>Montana_edadgen!Área_de_impresión</vt:lpstr>
      <vt:lpstr>Montana_EDOMEX!Área_de_impresión</vt:lpstr>
      <vt:lpstr>Montana_edomexgen!Área_de_impresión</vt:lpstr>
      <vt:lpstr>Montana_Eduedo!Área_de_impresión</vt:lpstr>
      <vt:lpstr>Montana_edadgen!Títulos_a_imprimir</vt:lpstr>
      <vt:lpstr>Montana_EDOMEX!Títulos_a_imprimir</vt:lpstr>
      <vt:lpstr>Montana_edomexgen!Títulos_a_imprimir</vt:lpstr>
      <vt:lpstr>Montana_Edomexgral!Títulos_a_imprimir</vt:lpstr>
      <vt:lpstr>Montana_Educagral!Títulos_a_imprimir</vt:lpstr>
      <vt:lpstr>Montana_Eduedo!Títulos_a_imprimir</vt:lpstr>
      <vt:lpstr>Montana_gengral!Títulos_a_imprimir</vt:lpstr>
      <vt:lpstr>Montana_ocupgral!Títulos_a_imprimir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2020-05-14T21:43:19Z</dcterms:created>
  <dcterms:modified xsi:type="dcterms:W3CDTF">2023-11-03T19:16:26Z</dcterms:modified>
</cp:coreProperties>
</file>