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2020\USA\Finales_USA\"/>
    </mc:Choice>
  </mc:AlternateContent>
  <bookViews>
    <workbookView xWindow="0" yWindow="0" windowWidth="24000" windowHeight="9735" activeTab="1"/>
  </bookViews>
  <sheets>
    <sheet name="Índice" sheetId="10" r:id="rId1"/>
    <sheet name="West Virginia_Edomexgral" sheetId="2" r:id="rId2"/>
    <sheet name="West Virginia_EDOMEX" sheetId="12" r:id="rId3"/>
    <sheet name="West Virginia_Educagral" sheetId="4" r:id="rId4"/>
    <sheet name="West Virginia_Eduedo" sheetId="11" r:id="rId5"/>
    <sheet name="West Virginia_gengral" sheetId="6" r:id="rId6"/>
    <sheet name="West Virginia_edomexgen" sheetId="7" r:id="rId7"/>
    <sheet name="West Virginia_edadgen" sheetId="8" r:id="rId8"/>
    <sheet name="West Virginia_ocupgral" sheetId="9" r:id="rId9"/>
  </sheets>
  <definedNames>
    <definedName name="_xlnm._FilterDatabase" localSheetId="7" hidden="1">'West Virginia_edadgen'!$B$9:$E$9</definedName>
    <definedName name="_xlnm._FilterDatabase" localSheetId="2" hidden="1">'West Virginia_EDOMEX'!$B$9:$E$9</definedName>
    <definedName name="_xlnm._FilterDatabase" localSheetId="6" hidden="1">'West Virginia_edomexgen'!$B$9:$E$9</definedName>
    <definedName name="_xlnm._FilterDatabase" localSheetId="1" hidden="1">'West Virginia_Edomexgral'!$B$11:$D$11</definedName>
    <definedName name="_xlnm._FilterDatabase" localSheetId="3" hidden="1">'West Virginia_Educagral'!$B$11:$D$11</definedName>
    <definedName name="_xlnm._FilterDatabase" localSheetId="4" hidden="1">'West Virginia_Eduedo'!$B$9:$E$9</definedName>
    <definedName name="_xlnm._FilterDatabase" localSheetId="5" hidden="1">'West Virginia_gengral'!$B$11:$D$11</definedName>
    <definedName name="_xlnm._FilterDatabase" localSheetId="8" hidden="1">'West Virginia_ocupgral'!$B$11:$D$11</definedName>
    <definedName name="_xlnm.Print_Area" localSheetId="0">Índice!$A$1:$D$21</definedName>
    <definedName name="_xlnm.Print_Area" localSheetId="7">'West Virginia_edadgen'!$A$1:$E$9</definedName>
    <definedName name="_xlnm.Print_Area" localSheetId="2">'West Virginia_EDOMEX'!$A$1:$E$9</definedName>
    <definedName name="_xlnm.Print_Area" localSheetId="6">'West Virginia_edomexgen'!$A$1:$E$9</definedName>
    <definedName name="_xlnm.Print_Area" localSheetId="4">'West Virginia_Eduedo'!$A$1:$E$9</definedName>
    <definedName name="_xlnm.Print_Titles" localSheetId="7">'West Virginia_edadgen'!$1:$9</definedName>
    <definedName name="_xlnm.Print_Titles" localSheetId="2">'West Virginia_EDOMEX'!$1:$9</definedName>
    <definedName name="_xlnm.Print_Titles" localSheetId="6">'West Virginia_edomexgen'!$1:$9</definedName>
    <definedName name="_xlnm.Print_Titles" localSheetId="1">'West Virginia_Edomexgral'!$1:$11</definedName>
    <definedName name="_xlnm.Print_Titles" localSheetId="3">'West Virginia_Educagral'!$1:$11</definedName>
    <definedName name="_xlnm.Print_Titles" localSheetId="4">'West Virginia_Eduedo'!$1:$9</definedName>
    <definedName name="_xlnm.Print_Titles" localSheetId="5">'West Virginia_gengral'!$1:$11</definedName>
    <definedName name="_xlnm.Print_Titles" localSheetId="8">'West Virginia_ocupgral'!$1:$11</definedName>
  </definedNames>
  <calcPr calcId="152511"/>
</workbook>
</file>

<file path=xl/calcChain.xml><?xml version="1.0" encoding="utf-8"?>
<calcChain xmlns="http://schemas.openxmlformats.org/spreadsheetml/2006/main">
  <c r="D52" i="7" l="1"/>
  <c r="D75" i="12" l="1"/>
</calcChain>
</file>

<file path=xl/sharedStrings.xml><?xml version="1.0" encoding="utf-8"?>
<sst xmlns="http://schemas.openxmlformats.org/spreadsheetml/2006/main" count="363" uniqueCount="128">
  <si>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</si>
  <si>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</si>
  <si>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</si>
  <si>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</si>
  <si>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Quintana Roo</t>
  </si>
  <si>
    <t>Morelos</t>
  </si>
  <si>
    <t>Tamaulipas</t>
  </si>
  <si>
    <t>Jalisco</t>
  </si>
  <si>
    <t>Chihuahua</t>
  </si>
  <si>
    <t>Chiapas</t>
  </si>
  <si>
    <t>Puebla</t>
  </si>
  <si>
    <t>Ciudad de México</t>
  </si>
  <si>
    <t>Veracruz</t>
  </si>
  <si>
    <t>San Luis Potosí</t>
  </si>
  <si>
    <t>Michoacán</t>
  </si>
  <si>
    <t>Guerrero</t>
  </si>
  <si>
    <t>Estado de México</t>
  </si>
  <si>
    <t>Guanajuato</t>
  </si>
  <si>
    <t>Oaxaca</t>
  </si>
  <si>
    <t>Porcentaje de Matrículas</t>
  </si>
  <si>
    <t>Número de Matrículas</t>
  </si>
  <si>
    <t>Estado de Origen</t>
  </si>
  <si>
    <t>Hidalgotitlán</t>
  </si>
  <si>
    <t>Mainero</t>
  </si>
  <si>
    <t>Aquismón</t>
  </si>
  <si>
    <t>Benito Juárez</t>
  </si>
  <si>
    <t>Paracho</t>
  </si>
  <si>
    <t>Degollado</t>
  </si>
  <si>
    <t>Irapuato</t>
  </si>
  <si>
    <t>Dolores Hidalgo Cuna de la Independencia Nacional</t>
  </si>
  <si>
    <t>Sultepec</t>
  </si>
  <si>
    <t>Iztacalco</t>
  </si>
  <si>
    <t>Chamula</t>
  </si>
  <si>
    <t>Municipio Origen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</si>
  <si>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</si>
  <si>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</si>
  <si>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</si>
  <si>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</si>
  <si>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</si>
  <si>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</si>
  <si>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Primaria con certificado</t>
  </si>
  <si>
    <t>6° Primaria</t>
  </si>
  <si>
    <t>3° Primaria</t>
  </si>
  <si>
    <t>Sin Estudios</t>
  </si>
  <si>
    <t>Nivel de Estudios</t>
  </si>
  <si>
    <t>MATRÍCULAS CONSULARES EXPEDIDAS EN EL ESTADO DE WEST VIRGINIA EN EE.UU. POR NIVEL DE EDUCACIÓN</t>
  </si>
  <si>
    <t>TOTAL</t>
  </si>
  <si>
    <t>MUJER</t>
  </si>
  <si>
    <t>HOMBRE</t>
  </si>
  <si>
    <t>Género</t>
  </si>
  <si>
    <t>Mujer</t>
  </si>
  <si>
    <t>Hombre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</si>
  <si>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</si>
  <si>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</si>
  <si>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</si>
  <si>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</si>
  <si>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</si>
  <si>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</si>
  <si>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Edad cumplida</t>
  </si>
  <si>
    <t>Operario(a)</t>
  </si>
  <si>
    <t>Jardinero(a)</t>
  </si>
  <si>
    <t>Estudiante</t>
  </si>
  <si>
    <t>Albañil</t>
  </si>
  <si>
    <t>Campesino(a)</t>
  </si>
  <si>
    <t>Obrero(a)</t>
  </si>
  <si>
    <t>Mesero(a)</t>
  </si>
  <si>
    <t>Cocinero(a)</t>
  </si>
  <si>
    <t>Otro</t>
  </si>
  <si>
    <t>Hogar</t>
  </si>
  <si>
    <t>Empleado(a)</t>
  </si>
  <si>
    <t>Ocupación</t>
  </si>
  <si>
    <t xml:space="preserve">Da clic al texto para ir a la información, selecciona                 para regresar. </t>
  </si>
  <si>
    <t>1. Por Estados de la República Mexicana</t>
  </si>
  <si>
    <t>2. Por Municipio de origen</t>
  </si>
  <si>
    <t>2.1 Por estado de la República Mexicana y municipio de origen</t>
  </si>
  <si>
    <t>3. Por Nivel Educativo</t>
  </si>
  <si>
    <t>3.1 Educación general</t>
  </si>
  <si>
    <t>3.2 Por Estado de la República Mexicana</t>
  </si>
  <si>
    <t>4. Por Género</t>
  </si>
  <si>
    <t>4.1 Género General</t>
  </si>
  <si>
    <t>4.2 Por Estados de la República Mexicana</t>
  </si>
  <si>
    <t>5. Por estructura de Edad</t>
  </si>
  <si>
    <t>6. Por Ocupación</t>
  </si>
  <si>
    <t>Capacitación técnica</t>
  </si>
  <si>
    <t>Matrículas consulares expedidas a mexicanos  en el estado de West Virginia  en el 2020</t>
  </si>
  <si>
    <t>MATRÍCULAS CONSULARES DE ALTA SEGURIDAD EXPEDIDAS EN EL ESTADO DE WEST VIRGINIA EN EE.UU. POR ESTADO DE LA REPÚBLICA MEXICANA DURANTE EL 2020</t>
  </si>
  <si>
    <t>Sinaloa</t>
  </si>
  <si>
    <t>Tlaxcala</t>
  </si>
  <si>
    <t>Tamaño de la muestra: 497,795</t>
  </si>
  <si>
    <t>Octubre de 2021</t>
  </si>
  <si>
    <t>Amatenango de la Frontera</t>
  </si>
  <si>
    <t>Cusihuiriachi</t>
  </si>
  <si>
    <t>Coyoacán</t>
  </si>
  <si>
    <t>Gustavo A. Madero</t>
  </si>
  <si>
    <t>Iztapalapa</t>
  </si>
  <si>
    <t>Amatepec</t>
  </si>
  <si>
    <t>Ixtapan de la Sal</t>
  </si>
  <si>
    <t>GUANAJUATO</t>
  </si>
  <si>
    <t>Huanímaro</t>
  </si>
  <si>
    <t>León</t>
  </si>
  <si>
    <t>Manuel Doblado</t>
  </si>
  <si>
    <t>San José Iturbide</t>
  </si>
  <si>
    <t>Guerero</t>
  </si>
  <si>
    <t>Cutzamala de Pinzón</t>
  </si>
  <si>
    <t>Tlapehuala</t>
  </si>
  <si>
    <t>Cuquío</t>
  </si>
  <si>
    <t>Jesús María</t>
  </si>
  <si>
    <t>Lázaro Cárdenas</t>
  </si>
  <si>
    <t>Santa Ana Maya</t>
  </si>
  <si>
    <t>Tiquicheo de Nicolás Romero</t>
  </si>
  <si>
    <t>Tzitzio</t>
  </si>
  <si>
    <t>Uruapan</t>
  </si>
  <si>
    <t>Cuernavaca</t>
  </si>
  <si>
    <t>Ayotzintepec</t>
  </si>
  <si>
    <t>Rojas de Cuauhtémoc</t>
  </si>
  <si>
    <t>San Miguel Soyaltepec</t>
  </si>
  <si>
    <t>Santos Reyes Pápalo</t>
  </si>
  <si>
    <t>San Martín Texmelucan</t>
  </si>
  <si>
    <t>Zaragoza</t>
  </si>
  <si>
    <t>Mazatlán</t>
  </si>
  <si>
    <t>Tenancingo</t>
  </si>
  <si>
    <t>Tlaxco</t>
  </si>
  <si>
    <t>Calcahualco</t>
  </si>
  <si>
    <t>San Andrés Tuxtla</t>
  </si>
  <si>
    <t>Álamo Temapache</t>
  </si>
  <si>
    <t>Profesional pasante</t>
  </si>
  <si>
    <t>MATRÍCULAS CONSULARES DE ALTA SEGURIDAD EXPEDIDAS EN EE.UU A MEXICANOS EN EL ESTADO DE WEST VIRGINIA, POR GÉNERO 2020</t>
  </si>
  <si>
    <t>MATRÍCULAS CONSULARES DE ALTA SEGURIDAD EXPEDIDAS EN EE.UU A MEXICANOS EN EL ESTADO DE  WEST VIRGINIA, POR PERFIL OCUPACIONAL 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</si>
</sst>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#.0%"/>
    <numFmt numFmtId="165" formatCode="0.0%"/>
    <numFmt numFmtId="166" formatCode="#,###"/>
  </numFmts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8"/>
      <color indexed="8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b/>
      <sz val="12"/>
      <color theme="0"/>
      <name val="Montserrat"/>
    </font>
    <font>
      <sz val="11"/>
      <color theme="1"/>
      <name val="Montserrat"/>
    </font>
    <font>
      <sz val="12"/>
      <color theme="1"/>
      <name val="Montserrat"/>
    </font>
    <font>
      <u/>
      <sz val="11"/>
      <color theme="10"/>
      <name val="Calibri"/>
      <family val="2"/>
      <scheme val="minor"/>
    </font>
    <font>
      <u/>
      <sz val="12"/>
      <color theme="10"/>
      <name val="Montserrat"/>
    </font>
  </fonts>
  <fills count="7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2" fillId="0" borderId="0"/>
    <xf numFmtId="0" fontId="16" fillId="0" borderId="0"/>
    <xf numFmtId="0" fontId="22" fillId="0" borderId="0" applyNumberFormat="0" applyFill="0" applyBorder="0" applyAlignment="0" applyProtection="0"/>
  </cellStyleXfs>
  <cellXfs count="79">
    <xf numFmtId="0" fontId="0" fillId="0" borderId="0" xfId="0"/>
    <xf numFmtId="0" fontId="0" fillId="3" borderId="0" xfId="0" applyFont="1" applyFill="1"/>
    <xf numFmtId="3" fontId="0" fillId="3" borderId="0" xfId="0" applyNumberFormat="1" applyFont="1" applyFill="1"/>
    <xf numFmtId="0" fontId="3" fillId="3" borderId="0" xfId="0" applyFont="1" applyFill="1"/>
    <xf numFmtId="0" fontId="3" fillId="3" borderId="0" xfId="0" applyFont="1" applyFill="1" applyAlignment="1">
      <alignment vertical="top"/>
    </xf>
    <xf numFmtId="0" fontId="3" fillId="3" borderId="0" xfId="0" applyFont="1" applyFill="1" applyAlignment="1">
      <alignment vertical="center"/>
    </xf>
    <xf numFmtId="164" fontId="4" fillId="4" borderId="1" xfId="0" applyNumberFormat="1" applyFont="1" applyFill="1" applyBorder="1" applyAlignment="1">
      <alignment horizontal="right" vertical="top" wrapText="1"/>
    </xf>
    <xf numFmtId="3" fontId="4" fillId="4" borderId="1" xfId="0" applyNumberFormat="1" applyFont="1" applyFill="1" applyBorder="1" applyAlignment="1">
      <alignment horizontal="right" vertical="top" wrapText="1"/>
    </xf>
    <xf numFmtId="49" fontId="4" fillId="4" borderId="1" xfId="0" applyNumberFormat="1" applyFont="1" applyFill="1" applyBorder="1" applyAlignment="1">
      <alignment vertical="top" wrapText="1"/>
    </xf>
    <xf numFmtId="164" fontId="5" fillId="3" borderId="1" xfId="0" applyNumberFormat="1" applyFont="1" applyFill="1" applyBorder="1" applyAlignment="1">
      <alignment horizontal="right" vertical="top" wrapText="1"/>
    </xf>
    <xf numFmtId="3" fontId="5" fillId="3" borderId="1" xfId="0" applyNumberFormat="1" applyFont="1" applyFill="1" applyBorder="1" applyAlignment="1">
      <alignment horizontal="right" vertical="top" wrapText="1"/>
    </xf>
    <xf numFmtId="49" fontId="6" fillId="3" borderId="1" xfId="0" applyNumberFormat="1" applyFont="1" applyFill="1" applyBorder="1" applyAlignment="1">
      <alignment vertical="top" wrapText="1"/>
    </xf>
    <xf numFmtId="0" fontId="7" fillId="3" borderId="0" xfId="0" applyFont="1" applyFill="1"/>
    <xf numFmtId="0" fontId="8" fillId="0" borderId="0" xfId="0" applyFont="1"/>
    <xf numFmtId="0" fontId="4" fillId="2" borderId="2" xfId="0" applyFont="1" applyFill="1" applyBorder="1" applyAlignment="1">
      <alignment horizontal="center" vertical="center" wrapText="1"/>
    </xf>
    <xf numFmtId="1" fontId="4" fillId="2" borderId="2" xfId="0" applyNumberFormat="1" applyFont="1" applyFill="1" applyBorder="1" applyAlignment="1">
      <alignment horizontal="center" vertical="center" wrapText="1"/>
    </xf>
    <xf numFmtId="0" fontId="4" fillId="2" borderId="3" xfId="0" applyFont="1" applyFill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3" fontId="8" fillId="0" borderId="0" xfId="0" applyNumberFormat="1" applyFont="1"/>
    <xf numFmtId="1" fontId="8" fillId="0" borderId="0" xfId="0" applyNumberFormat="1" applyFont="1"/>
    <xf numFmtId="0" fontId="11" fillId="3" borderId="0" xfId="0" applyFont="1" applyFill="1"/>
    <xf numFmtId="0" fontId="12" fillId="3" borderId="0" xfId="0" applyFont="1" applyFill="1"/>
    <xf numFmtId="0" fontId="13" fillId="0" borderId="0" xfId="0" applyFont="1" applyBorder="1"/>
    <xf numFmtId="0" fontId="13" fillId="0" borderId="0" xfId="0" applyFont="1" applyBorder="1" applyAlignment="1">
      <alignment vertical="top"/>
    </xf>
    <xf numFmtId="164" fontId="4" fillId="5" borderId="1" xfId="0" applyNumberFormat="1" applyFont="1" applyFill="1" applyBorder="1" applyAlignment="1">
      <alignment horizontal="right" vertical="center" wrapText="1"/>
    </xf>
    <xf numFmtId="3" fontId="4" fillId="5" borderId="1" xfId="0" applyNumberFormat="1" applyFont="1" applyFill="1" applyBorder="1" applyAlignment="1">
      <alignment horizontal="right" vertical="center" wrapText="1"/>
    </xf>
    <xf numFmtId="165" fontId="4" fillId="6" borderId="1" xfId="1" applyNumberFormat="1" applyFont="1" applyFill="1" applyBorder="1" applyAlignment="1">
      <alignment vertical="center" wrapText="1"/>
    </xf>
    <xf numFmtId="3" fontId="4" fillId="6" borderId="1" xfId="2" applyNumberFormat="1" applyFont="1" applyFill="1" applyBorder="1" applyAlignment="1">
      <alignment horizontal="right" vertical="center" wrapText="1"/>
    </xf>
    <xf numFmtId="49" fontId="4" fillId="6" borderId="1" xfId="2" applyNumberFormat="1" applyFont="1" applyFill="1" applyBorder="1" applyAlignment="1">
      <alignment vertical="center" wrapText="1"/>
    </xf>
    <xf numFmtId="164" fontId="14" fillId="3" borderId="1" xfId="2" applyNumberFormat="1" applyFont="1" applyFill="1" applyBorder="1" applyAlignment="1">
      <alignment horizontal="right" vertical="center" wrapText="1"/>
    </xf>
    <xf numFmtId="166" fontId="14" fillId="3" borderId="1" xfId="2" applyNumberFormat="1" applyFont="1" applyFill="1" applyBorder="1" applyAlignment="1">
      <alignment horizontal="right" vertical="center" wrapText="1"/>
    </xf>
    <xf numFmtId="49" fontId="14" fillId="3" borderId="1" xfId="2" applyNumberFormat="1" applyFont="1" applyFill="1" applyBorder="1" applyAlignment="1">
      <alignment vertical="center" wrapText="1"/>
    </xf>
    <xf numFmtId="0" fontId="15" fillId="3" borderId="0" xfId="0" applyFont="1" applyFill="1"/>
    <xf numFmtId="0" fontId="17" fillId="2" borderId="2" xfId="3" applyFont="1" applyFill="1" applyBorder="1" applyAlignment="1">
      <alignment horizontal="center" vertical="center" wrapText="1"/>
    </xf>
    <xf numFmtId="1" fontId="17" fillId="2" borderId="2" xfId="3" applyNumberFormat="1" applyFont="1" applyFill="1" applyBorder="1" applyAlignment="1">
      <alignment horizontal="center" vertical="center" wrapText="1"/>
    </xf>
    <xf numFmtId="0" fontId="4" fillId="2" borderId="2" xfId="3" applyFont="1" applyFill="1" applyBorder="1" applyAlignment="1">
      <alignment horizontal="center" vertical="center" wrapText="1"/>
    </xf>
    <xf numFmtId="0" fontId="8" fillId="3" borderId="0" xfId="0" applyFont="1" applyFill="1"/>
    <xf numFmtId="0" fontId="18" fillId="3" borderId="0" xfId="0" applyFont="1" applyFill="1" applyAlignment="1"/>
    <xf numFmtId="0" fontId="15" fillId="3" borderId="0" xfId="0" applyFont="1" applyFill="1" applyAlignment="1">
      <alignment vertical="center"/>
    </xf>
    <xf numFmtId="0" fontId="8" fillId="3" borderId="0" xfId="0" applyFont="1" applyFill="1" applyBorder="1"/>
    <xf numFmtId="3" fontId="8" fillId="3" borderId="0" xfId="0" applyNumberFormat="1" applyFont="1" applyFill="1" applyBorder="1"/>
    <xf numFmtId="1" fontId="8" fillId="3" borderId="0" xfId="0" applyNumberFormat="1" applyFont="1" applyFill="1" applyBorder="1"/>
    <xf numFmtId="0" fontId="15" fillId="3" borderId="0" xfId="0" applyFont="1" applyFill="1" applyBorder="1"/>
    <xf numFmtId="0" fontId="15" fillId="3" borderId="0" xfId="0" applyFont="1" applyFill="1" applyBorder="1" applyAlignment="1">
      <alignment vertical="center"/>
    </xf>
    <xf numFmtId="3" fontId="7" fillId="3" borderId="0" xfId="0" applyNumberFormat="1" applyFont="1" applyFill="1"/>
    <xf numFmtId="0" fontId="20" fillId="0" borderId="0" xfId="0" applyFont="1"/>
    <xf numFmtId="0" fontId="21" fillId="0" borderId="11" xfId="0" applyFont="1" applyBorder="1" applyAlignment="1">
      <alignment horizontal="left"/>
    </xf>
    <xf numFmtId="0" fontId="21" fillId="0" borderId="0" xfId="0" applyFont="1" applyBorder="1" applyAlignment="1">
      <alignment horizontal="left"/>
    </xf>
    <xf numFmtId="0" fontId="21" fillId="0" borderId="12" xfId="0" applyFont="1" applyBorder="1" applyAlignment="1">
      <alignment horizontal="left"/>
    </xf>
    <xf numFmtId="0" fontId="21" fillId="0" borderId="11" xfId="0" applyFont="1" applyBorder="1" applyAlignment="1">
      <alignment horizontal="left" wrapText="1"/>
    </xf>
    <xf numFmtId="0" fontId="21" fillId="0" borderId="0" xfId="0" applyFont="1" applyBorder="1" applyAlignment="1">
      <alignment horizontal="left" wrapText="1"/>
    </xf>
    <xf numFmtId="0" fontId="21" fillId="0" borderId="12" xfId="0" applyFont="1" applyBorder="1" applyAlignment="1">
      <alignment horizontal="left" wrapText="1"/>
    </xf>
    <xf numFmtId="0" fontId="21" fillId="0" borderId="11" xfId="0" applyFont="1" applyBorder="1" applyAlignment="1"/>
    <xf numFmtId="0" fontId="21" fillId="0" borderId="0" xfId="0" applyFont="1" applyBorder="1" applyAlignment="1"/>
    <xf numFmtId="0" fontId="21" fillId="0" borderId="12" xfId="0" applyFont="1" applyBorder="1" applyAlignment="1"/>
    <xf numFmtId="0" fontId="21" fillId="0" borderId="11" xfId="0" applyFont="1" applyBorder="1"/>
    <xf numFmtId="0" fontId="21" fillId="0" borderId="0" xfId="0" applyFont="1" applyBorder="1"/>
    <xf numFmtId="0" fontId="21" fillId="0" borderId="12" xfId="0" applyFont="1" applyBorder="1"/>
    <xf numFmtId="0" fontId="21" fillId="0" borderId="13" xfId="0" applyFont="1" applyBorder="1"/>
    <xf numFmtId="0" fontId="21" fillId="0" borderId="14" xfId="0" applyFont="1" applyBorder="1"/>
    <xf numFmtId="0" fontId="21" fillId="0" borderId="15" xfId="0" applyFont="1" applyBorder="1"/>
    <xf numFmtId="0" fontId="21" fillId="0" borderId="0" xfId="0" applyFont="1"/>
    <xf numFmtId="49" fontId="14" fillId="3" borderId="1" xfId="2" applyNumberFormat="1" applyFont="1" applyFill="1" applyBorder="1" applyAlignment="1">
      <alignment horizontal="center" vertical="center" wrapText="1"/>
    </xf>
    <xf numFmtId="0" fontId="23" fillId="0" borderId="0" xfId="4" applyFont="1" applyBorder="1" applyAlignment="1">
      <alignment horizontal="left"/>
    </xf>
    <xf numFmtId="0" fontId="23" fillId="0" borderId="12" xfId="4" applyFont="1" applyBorder="1" applyAlignment="1">
      <alignment horizontal="left"/>
    </xf>
    <xf numFmtId="0" fontId="23" fillId="0" borderId="11" xfId="4" applyFont="1" applyBorder="1" applyAlignment="1">
      <alignment horizontal="left"/>
    </xf>
    <xf numFmtId="0" fontId="19" fillId="2" borderId="8" xfId="0" applyFont="1" applyFill="1" applyBorder="1" applyAlignment="1">
      <alignment horizontal="center" wrapText="1"/>
    </xf>
    <xf numFmtId="0" fontId="19" fillId="2" borderId="9" xfId="0" applyFont="1" applyFill="1" applyBorder="1" applyAlignment="1">
      <alignment horizontal="center" wrapText="1"/>
    </xf>
    <xf numFmtId="0" fontId="19" fillId="2" borderId="10" xfId="0" applyFont="1" applyFill="1" applyBorder="1" applyAlignment="1">
      <alignment horizontal="center" wrapText="1"/>
    </xf>
    <xf numFmtId="0" fontId="21" fillId="0" borderId="11" xfId="0" applyFont="1" applyBorder="1" applyAlignment="1">
      <alignment horizontal="left" wrapText="1"/>
    </xf>
    <xf numFmtId="0" fontId="21" fillId="0" borderId="0" xfId="0" applyFont="1" applyBorder="1" applyAlignment="1">
      <alignment horizontal="left" wrapText="1"/>
    </xf>
    <xf numFmtId="0" fontId="21" fillId="0" borderId="12" xfId="0" applyFont="1" applyBorder="1" applyAlignment="1">
      <alignment horizontal="left" wrapText="1"/>
    </xf>
    <xf numFmtId="0" fontId="10" fillId="0" borderId="0" xfId="0" applyFont="1" applyBorder="1" applyAlignment="1">
      <alignment horizontal="center" vertical="center" wrapText="1"/>
    </xf>
    <xf numFmtId="49" fontId="14" fillId="3" borderId="2" xfId="2" applyNumberFormat="1" applyFont="1" applyFill="1" applyBorder="1" applyAlignment="1">
      <alignment horizontal="center" vertical="center" wrapText="1"/>
    </xf>
    <xf numFmtId="49" fontId="14" fillId="3" borderId="6" xfId="2" applyNumberFormat="1" applyFont="1" applyFill="1" applyBorder="1" applyAlignment="1">
      <alignment horizontal="center" vertical="center" wrapText="1"/>
    </xf>
    <xf numFmtId="49" fontId="14" fillId="3" borderId="7" xfId="2" applyNumberFormat="1" applyFont="1" applyFill="1" applyBorder="1" applyAlignment="1">
      <alignment horizontal="center" vertical="center" wrapText="1"/>
    </xf>
    <xf numFmtId="49" fontId="4" fillId="5" borderId="5" xfId="0" applyNumberFormat="1" applyFont="1" applyFill="1" applyBorder="1" applyAlignment="1">
      <alignment horizontal="center" vertical="center" wrapText="1"/>
    </xf>
    <xf numFmtId="49" fontId="4" fillId="5" borderId="4" xfId="0" applyNumberFormat="1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wrapText="1"/>
    </xf>
  </cellXfs>
  <cellStyles count="5">
    <cellStyle name="Hipervínculo" xfId="4" builtinId="8"/>
    <cellStyle name="Normal" xfId="0" builtinId="0"/>
    <cellStyle name="Normal 2" xfId="2"/>
    <cellStyle name="Normal_Hoja1" xfId="3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276171</xdr:colOff>
      <xdr:row>2</xdr:row>
      <xdr:rowOff>19379</xdr:rowOff>
    </xdr:from>
    <xdr:to>
      <xdr:col>3</xdr:col>
      <xdr:colOff>788268</xdr:colOff>
      <xdr:row>3</xdr:row>
      <xdr:rowOff>19380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600396" y="743279"/>
          <a:ext cx="512097" cy="18097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  <xdr:oneCellAnchor>
    <xdr:from>
      <xdr:col>2</xdr:col>
      <xdr:colOff>1143000</xdr:colOff>
      <xdr:row>15</xdr:row>
      <xdr:rowOff>123265</xdr:rowOff>
    </xdr:from>
    <xdr:ext cx="184731" cy="264560"/>
    <xdr:sp macro="" textlink="">
      <xdr:nvSpPr>
        <xdr:cNvPr id="3" name="2 CuadroTexto"/>
        <xdr:cNvSpPr txBox="1"/>
      </xdr:nvSpPr>
      <xdr:spPr>
        <a:xfrm>
          <a:off x="2819400" y="330461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 sz="1100"/>
        </a:p>
      </xdr:txBody>
    </xdr:sp>
    <xdr:clientData/>
  </xdr:oneCellAnchor>
  <xdr:oneCellAnchor>
    <xdr:from>
      <xdr:col>0</xdr:col>
      <xdr:colOff>67235</xdr:colOff>
      <xdr:row>0</xdr:row>
      <xdr:rowOff>280147</xdr:rowOff>
    </xdr:from>
    <xdr:ext cx="184731" cy="264560"/>
    <xdr:sp macro="" textlink="">
      <xdr:nvSpPr>
        <xdr:cNvPr id="4" name="3 CuadroTexto"/>
        <xdr:cNvSpPr txBox="1"/>
      </xdr:nvSpPr>
      <xdr:spPr>
        <a:xfrm>
          <a:off x="67235" y="280147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s-MX" sz="1100"/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WEST VIRGINIA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76200</xdr:colOff>
      <xdr:row>7</xdr:row>
      <xdr:rowOff>180975</xdr:rowOff>
    </xdr:from>
    <xdr:to>
      <xdr:col>4</xdr:col>
      <xdr:colOff>588297</xdr:colOff>
      <xdr:row>8</xdr:row>
      <xdr:rowOff>180976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05325" y="1704975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EL ESTADO DE WEST VIRGINIA DE EE.UU. POR ESTADO Y MUNICIPIO DE LA REPÚBLICA MEXICANA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5657435" cy="10774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WEST VIRGINIA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728403" y="2028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465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609600</xdr:colOff>
      <xdr:row>7</xdr:row>
      <xdr:rowOff>104775</xdr:rowOff>
    </xdr:from>
    <xdr:to>
      <xdr:col>4</xdr:col>
      <xdr:colOff>1095704</xdr:colOff>
      <xdr:row>7</xdr:row>
      <xdr:rowOff>284070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48275" y="1847850"/>
          <a:ext cx="486104" cy="17929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WEST VIRGINIA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019675" y="17145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 WEST VIRGINIA, POR NIVEL DE EDUCACIÓN Y ESTADO DE LA REPÚBLICA, DURANTE EL 2020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WEST VIRGINIA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558362</xdr:colOff>
      <xdr:row>7</xdr:row>
      <xdr:rowOff>151086</xdr:rowOff>
    </xdr:from>
    <xdr:to>
      <xdr:col>4</xdr:col>
      <xdr:colOff>1070459</xdr:colOff>
      <xdr:row>7</xdr:row>
      <xdr:rowOff>341587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96052" y="1891862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WEST VIRGINIA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190501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7145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WEST VIRGINIA, POR ESTADO DE LA REPÚBLICA MEXICANA Y GÉNERO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WEST VIRGINIA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190501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60983" y="1740776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2" name="subtitulo">
          <a:extLst>
            <a:ext uri="{FF2B5EF4-FFF2-40B4-BE49-F238E27FC236}">
              <a16:creationId xmlns="" xmlns:a16="http://schemas.microsoft.com/office/drawing/2014/main" id="{00000000-0008-0000-0A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100">
              <a:latin typeface="Montserrat" panose="00000500000000000000" pitchFamily="2" charset="0"/>
            </a:rPr>
            <a:t>MATRÍCULAS CONSULARES DE ALTA SEGURIDAD EXPEDIDAS EN EE.UU A MEXICANOS EN EL ESTADO DE WEST VIRGINIA, POR GÉNERO Y RANGO DE EDAD</a:t>
          </a:r>
        </a:p>
      </xdr:txBody>
    </xdr:sp>
    <xdr:clientData/>
  </xdr:twoCellAnchor>
  <xdr:twoCellAnchor>
    <xdr:from>
      <xdr:col>0</xdr:col>
      <xdr:colOff>57978</xdr:colOff>
      <xdr:row>0</xdr:row>
      <xdr:rowOff>41414</xdr:rowOff>
    </xdr:from>
    <xdr:to>
      <xdr:col>4</xdr:col>
      <xdr:colOff>1076738</xdr:colOff>
      <xdr:row>5</xdr:row>
      <xdr:rowOff>13955</xdr:rowOff>
    </xdr:to>
    <xdr:sp macro="" textlink="">
      <xdr:nvSpPr>
        <xdr:cNvPr id="3" name="Encabezado">
          <a:extLst>
            <a:ext uri="{FF2B5EF4-FFF2-40B4-BE49-F238E27FC236}">
              <a16:creationId xmlns="" xmlns:a16="http://schemas.microsoft.com/office/drawing/2014/main" id="{00000000-0008-0000-0A00-000007000000}"/>
            </a:ext>
          </a:extLst>
        </xdr:cNvPr>
        <xdr:cNvSpPr txBox="1"/>
      </xdr:nvSpPr>
      <xdr:spPr>
        <a:xfrm>
          <a:off x="57978" y="41414"/>
          <a:ext cx="10353260" cy="925041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WEST VIRGINIA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89728</xdr:colOff>
      <xdr:row>1</xdr:row>
      <xdr:rowOff>50485</xdr:rowOff>
    </xdr:from>
    <xdr:ext cx="853107" cy="35160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4228" y="240985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57978</xdr:colOff>
      <xdr:row>0</xdr:row>
      <xdr:rowOff>48974</xdr:rowOff>
    </xdr:from>
    <xdr:ext cx="1097650" cy="623357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A00-00000A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91603" y="48974"/>
          <a:ext cx="1097650" cy="623357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0</xdr:colOff>
      <xdr:row>7</xdr:row>
      <xdr:rowOff>0</xdr:rowOff>
    </xdr:from>
    <xdr:to>
      <xdr:col>5</xdr:col>
      <xdr:colOff>512097</xdr:colOff>
      <xdr:row>7</xdr:row>
      <xdr:rowOff>190501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760983" y="1740776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WEST VIRGINIA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1152527</xdr:colOff>
      <xdr:row>1</xdr:row>
      <xdr:rowOff>152401</xdr:rowOff>
    </xdr:from>
    <xdr:ext cx="930411" cy="355614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9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2" y="342901"/>
          <a:ext cx="930411" cy="35561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57152</xdr:colOff>
      <xdr:row>1</xdr:row>
      <xdr:rowOff>1</xdr:rowOff>
    </xdr:from>
    <xdr:ext cx="1122497" cy="624646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9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7152" y="190501"/>
          <a:ext cx="1122497" cy="62464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142875</xdr:colOff>
      <xdr:row>8</xdr:row>
      <xdr:rowOff>152400</xdr:rowOff>
    </xdr:from>
    <xdr:to>
      <xdr:col>5</xdr:col>
      <xdr:colOff>35847</xdr:colOff>
      <xdr:row>8</xdr:row>
      <xdr:rowOff>342901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72000" y="1866900"/>
          <a:ext cx="512097" cy="190501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INICIOccccccc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Views>
    <sheetView showGridLines="0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45" customWidth="1"/>
    <col min="2" max="2" width="20" style="45" customWidth="1"/>
    <col min="3" max="3" width="24.7109375" style="45" customWidth="1"/>
    <col min="4" max="4" width="28.85546875" style="45" customWidth="1"/>
    <col min="5" max="16384" width="11.42578125" style="45"/>
  </cols>
  <sheetData>
    <row r="1" spans="1:4" ht="42" customHeight="1" thickBot="1">
      <c r="A1" s="66" t="s">
        <v>84</v>
      </c>
      <c r="B1" s="67"/>
      <c r="C1" s="67"/>
      <c r="D1" s="68"/>
    </row>
    <row r="2" spans="1:4" ht="18.75">
      <c r="A2" s="46"/>
      <c r="B2" s="47"/>
      <c r="C2" s="47"/>
      <c r="D2" s="48"/>
    </row>
    <row r="3" spans="1:4">
      <c r="A3" s="69" t="s">
        <v>71</v>
      </c>
      <c r="B3" s="70"/>
      <c r="C3" s="70"/>
      <c r="D3" s="71"/>
    </row>
    <row r="4" spans="1:4">
      <c r="A4" s="69"/>
      <c r="B4" s="70"/>
      <c r="C4" s="70"/>
      <c r="D4" s="71"/>
    </row>
    <row r="5" spans="1:4" ht="18.75">
      <c r="A5" s="49"/>
      <c r="B5" s="50"/>
      <c r="C5" s="50"/>
      <c r="D5" s="51"/>
    </row>
    <row r="6" spans="1:4" ht="18.75">
      <c r="A6" s="65" t="s">
        <v>72</v>
      </c>
      <c r="B6" s="63"/>
      <c r="C6" s="63"/>
      <c r="D6" s="64"/>
    </row>
    <row r="7" spans="1:4" ht="18.75">
      <c r="A7" s="52"/>
      <c r="B7" s="53"/>
      <c r="C7" s="53"/>
      <c r="D7" s="54"/>
    </row>
    <row r="8" spans="1:4" ht="18.75">
      <c r="A8" s="55" t="s">
        <v>73</v>
      </c>
      <c r="B8" s="56"/>
      <c r="C8" s="56"/>
      <c r="D8" s="57"/>
    </row>
    <row r="9" spans="1:4" ht="18.75">
      <c r="A9" s="55"/>
      <c r="B9" s="63" t="s">
        <v>74</v>
      </c>
      <c r="C9" s="63"/>
      <c r="D9" s="64"/>
    </row>
    <row r="10" spans="1:4" ht="18.75">
      <c r="A10" s="55" t="s">
        <v>75</v>
      </c>
      <c r="B10" s="56"/>
      <c r="C10" s="56"/>
      <c r="D10" s="57"/>
    </row>
    <row r="11" spans="1:4" ht="18.75">
      <c r="A11" s="55"/>
      <c r="B11" s="63" t="s">
        <v>76</v>
      </c>
      <c r="C11" s="63"/>
      <c r="D11" s="64"/>
    </row>
    <row r="12" spans="1:4" ht="18.75">
      <c r="A12" s="55"/>
      <c r="B12" s="63" t="s">
        <v>77</v>
      </c>
      <c r="C12" s="63"/>
      <c r="D12" s="64"/>
    </row>
    <row r="13" spans="1:4" ht="18.75">
      <c r="A13" s="55"/>
      <c r="B13" s="56"/>
      <c r="C13" s="56"/>
      <c r="D13" s="57"/>
    </row>
    <row r="14" spans="1:4" ht="18.75">
      <c r="A14" s="55" t="s">
        <v>78</v>
      </c>
      <c r="B14" s="56"/>
      <c r="C14" s="56"/>
      <c r="D14" s="57"/>
    </row>
    <row r="15" spans="1:4" ht="18.75">
      <c r="A15" s="55"/>
      <c r="B15" s="63" t="s">
        <v>79</v>
      </c>
      <c r="C15" s="63"/>
      <c r="D15" s="64"/>
    </row>
    <row r="16" spans="1:4" ht="18.75">
      <c r="A16" s="55"/>
      <c r="B16" s="63" t="s">
        <v>80</v>
      </c>
      <c r="C16" s="63"/>
      <c r="D16" s="64"/>
    </row>
    <row r="17" spans="1:4" ht="18.75">
      <c r="A17" s="55"/>
      <c r="B17" s="56"/>
      <c r="C17" s="56"/>
      <c r="D17" s="57"/>
    </row>
    <row r="18" spans="1:4" ht="18.75">
      <c r="A18" s="65" t="s">
        <v>81</v>
      </c>
      <c r="B18" s="63"/>
      <c r="C18" s="63"/>
      <c r="D18" s="64"/>
    </row>
    <row r="19" spans="1:4" ht="18.75">
      <c r="A19" s="55"/>
      <c r="B19" s="56"/>
      <c r="C19" s="56"/>
      <c r="D19" s="57"/>
    </row>
    <row r="20" spans="1:4" ht="18.75">
      <c r="A20" s="65" t="s">
        <v>82</v>
      </c>
      <c r="B20" s="63"/>
      <c r="C20" s="63"/>
      <c r="D20" s="64"/>
    </row>
    <row r="21" spans="1:4" ht="19.5" thickBot="1">
      <c r="A21" s="58"/>
      <c r="B21" s="59"/>
      <c r="C21" s="59"/>
      <c r="D21" s="60"/>
    </row>
    <row r="22" spans="1:4" ht="18.75">
      <c r="A22" s="61"/>
      <c r="B22" s="61"/>
      <c r="C22" s="61"/>
      <c r="D22" s="61"/>
    </row>
  </sheetData>
  <mergeCells count="10">
    <mergeCell ref="B15:D15"/>
    <mergeCell ref="B16:D16"/>
    <mergeCell ref="A18:D18"/>
    <mergeCell ref="A20:D20"/>
    <mergeCell ref="A1:D1"/>
    <mergeCell ref="A3:D4"/>
    <mergeCell ref="A6:D6"/>
    <mergeCell ref="B9:D9"/>
    <mergeCell ref="B11:D11"/>
    <mergeCell ref="B12:D12"/>
  </mergeCells>
  <hyperlinks>
    <hyperlink ref="A6" location="Aguascalientes_EdoUsa!A1" display="1. Por Estados de USA"/>
    <hyperlink ref="B11" location="Aguascalientes_educ_gral!A1" display="4.1 Educación general"/>
    <hyperlink ref="B12" location="Aguascalientes_NivelE_Cons!A1" display="4.2 Por Estado de USA"/>
    <hyperlink ref="B15" location="Aguascalientes_GenGral!A1" display="5.1 Género General"/>
    <hyperlink ref="B16" location="Aguascalientes_GENERO!A1" display="5.3 Por Circunscripción Consular"/>
    <hyperlink ref="A18" location="Aguascalientes_Gen_Edad!A1" display="6. Por estructura de Edad"/>
    <hyperlink ref="A20" location="Aguascalientes_ocup_gral!A1" display="7. Por Ocupación"/>
    <hyperlink ref="A6:D6" location="'West Virginia_Edomexgral'!A1" display="1. Por Estados de la República Mexicana"/>
    <hyperlink ref="B9" location="'New Jersey_EDOMEX'!A1" display="2.1 Por estado de la República Mexicana y municipio de origen"/>
    <hyperlink ref="B11:D11" location="'West Virginia_Educagral'!A1" display="3.1 Educación general"/>
    <hyperlink ref="B12:D12" location="'West Virginia_Eduedo'!A1" display="3.2 Por Estado de la República Mexicana"/>
    <hyperlink ref="B15:D15" location="'West Virginia_gengral'!A1" display="4.1 Género General"/>
    <hyperlink ref="B16:D16" location="'West Virginia_edomexgen'!A1" display="4.2 Por Estados de la República Mexicana"/>
    <hyperlink ref="A18:D18" location="'West Virginia_edadgen'!A1" display="5. Por estructura de Edad"/>
    <hyperlink ref="A20:D20" location="'West Virginia_ocupgral'!A1" display="6. Por Ocupación"/>
    <hyperlink ref="B9:D9" location="'West Virginia_EDOMEX'!A1" display="2.1 Por estado de la República Mexicana y municipio de orige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  <pageSetUpPr fitToPage="1"/>
  </sheetPr>
  <dimension ref="A1:E35"/>
  <sheetViews>
    <sheetView showGridLines="0" tabSelected="1" zoomScaleNormal="100" zoomScaleSheetLayoutView="115" workbookViewId="0">
      <selection activeCell="F1" sqref="F1"/>
    </sheetView>
  </sheetViews>
  <sheetFormatPr baseColWidth="10" defaultColWidth="11.42578125" defaultRowHeight="1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5" s="13" customFormat="1" ht="15" customHeight="1">
      <c r="C1" s="19"/>
    </row>
    <row r="2" spans="1:5" s="13" customFormat="1" ht="15" customHeight="1">
      <c r="C2" s="19"/>
    </row>
    <row r="3" spans="1:5" s="13" customFormat="1" ht="15" customHeight="1">
      <c r="C3" s="19"/>
    </row>
    <row r="4" spans="1:5" s="13" customFormat="1" ht="30" customHeight="1">
      <c r="C4" s="19"/>
      <c r="D4" s="18"/>
    </row>
    <row r="5" spans="1:5" s="13" customFormat="1" ht="15" customHeight="1">
      <c r="C5" s="19"/>
      <c r="D5" s="18"/>
    </row>
    <row r="6" spans="1:5" s="13" customFormat="1" ht="15" customHeight="1">
      <c r="C6" s="19"/>
      <c r="D6" s="18"/>
    </row>
    <row r="7" spans="1:5" s="13" customFormat="1" ht="15" customHeight="1">
      <c r="B7" s="72" t="s">
        <v>85</v>
      </c>
      <c r="C7" s="72"/>
      <c r="D7" s="72"/>
    </row>
    <row r="8" spans="1:5" s="13" customFormat="1" ht="15" customHeight="1">
      <c r="B8" s="72"/>
      <c r="C8" s="72"/>
      <c r="D8" s="72"/>
    </row>
    <row r="9" spans="1:5" s="13" customFormat="1" ht="33" customHeight="1">
      <c r="B9" s="72"/>
      <c r="C9" s="72"/>
      <c r="D9" s="72"/>
    </row>
    <row r="10" spans="1:5" s="13" customFormat="1" ht="4.5" customHeight="1">
      <c r="B10" s="17"/>
      <c r="C10" s="17"/>
      <c r="D10" s="17"/>
    </row>
    <row r="11" spans="1:5" s="13" customFormat="1" ht="33" customHeight="1">
      <c r="B11" s="16" t="s">
        <v>21</v>
      </c>
      <c r="C11" s="15" t="s">
        <v>20</v>
      </c>
      <c r="D11" s="14" t="s">
        <v>19</v>
      </c>
    </row>
    <row r="12" spans="1:5">
      <c r="B12" s="11" t="s">
        <v>18</v>
      </c>
      <c r="C12" s="10">
        <v>9</v>
      </c>
      <c r="D12" s="9">
        <v>0.125</v>
      </c>
    </row>
    <row r="13" spans="1:5">
      <c r="B13" s="11" t="s">
        <v>17</v>
      </c>
      <c r="C13" s="10">
        <v>8</v>
      </c>
      <c r="D13" s="9">
        <v>0.1111111111111111</v>
      </c>
    </row>
    <row r="14" spans="1:5">
      <c r="A14" s="12"/>
      <c r="B14" s="11" t="s">
        <v>7</v>
      </c>
      <c r="C14" s="10">
        <v>8</v>
      </c>
      <c r="D14" s="9">
        <v>0.1111111111111111</v>
      </c>
      <c r="E14" s="12"/>
    </row>
    <row r="15" spans="1:5">
      <c r="A15" s="12"/>
      <c r="B15" s="11" t="s">
        <v>14</v>
      </c>
      <c r="C15" s="10">
        <v>8</v>
      </c>
      <c r="D15" s="9">
        <v>0.1111111111111111</v>
      </c>
      <c r="E15" s="12"/>
    </row>
    <row r="16" spans="1:5">
      <c r="B16" s="11" t="s">
        <v>12</v>
      </c>
      <c r="C16" s="10">
        <v>7</v>
      </c>
      <c r="D16" s="9">
        <v>9.7222222222222224E-2</v>
      </c>
    </row>
    <row r="17" spans="2:4">
      <c r="B17" s="11" t="s">
        <v>11</v>
      </c>
      <c r="C17" s="10">
        <v>6</v>
      </c>
      <c r="D17" s="9">
        <v>8.3333333333333329E-2</v>
      </c>
    </row>
    <row r="18" spans="2:4">
      <c r="B18" s="11" t="s">
        <v>16</v>
      </c>
      <c r="C18" s="10">
        <v>6</v>
      </c>
      <c r="D18" s="9">
        <v>8.3333333333333329E-2</v>
      </c>
    </row>
    <row r="19" spans="2:4">
      <c r="B19" s="11" t="s">
        <v>15</v>
      </c>
      <c r="C19" s="10">
        <v>5</v>
      </c>
      <c r="D19" s="9">
        <v>6.9444444444444448E-2</v>
      </c>
    </row>
    <row r="20" spans="2:4">
      <c r="B20" s="11" t="s">
        <v>13</v>
      </c>
      <c r="C20" s="10">
        <v>3</v>
      </c>
      <c r="D20" s="9">
        <v>4.1666666666666664E-2</v>
      </c>
    </row>
    <row r="21" spans="2:4">
      <c r="B21" s="11" t="s">
        <v>9</v>
      </c>
      <c r="C21" s="10">
        <v>2</v>
      </c>
      <c r="D21" s="9">
        <v>2.7777777777777776E-2</v>
      </c>
    </row>
    <row r="22" spans="2:4">
      <c r="B22" s="11" t="s">
        <v>10</v>
      </c>
      <c r="C22" s="10">
        <v>2</v>
      </c>
      <c r="D22" s="9">
        <v>2.7777777777777801E-2</v>
      </c>
    </row>
    <row r="23" spans="2:4">
      <c r="B23" s="11" t="s">
        <v>86</v>
      </c>
      <c r="C23" s="10">
        <v>2</v>
      </c>
      <c r="D23" s="9">
        <v>2.7777777777777776E-2</v>
      </c>
    </row>
    <row r="24" spans="2:4">
      <c r="B24" s="11" t="s">
        <v>87</v>
      </c>
      <c r="C24" s="10">
        <v>2</v>
      </c>
      <c r="D24" s="9">
        <v>2.7777777777777776E-2</v>
      </c>
    </row>
    <row r="25" spans="2:4">
      <c r="B25" s="11" t="s">
        <v>8</v>
      </c>
      <c r="C25" s="10">
        <v>1</v>
      </c>
      <c r="D25" s="9">
        <v>1.3888888888888888E-2</v>
      </c>
    </row>
    <row r="26" spans="2:4">
      <c r="B26" s="11" t="s">
        <v>5</v>
      </c>
      <c r="C26" s="10">
        <v>1</v>
      </c>
      <c r="D26" s="9">
        <v>1.3888888888888888E-2</v>
      </c>
    </row>
    <row r="27" spans="2:4">
      <c r="B27" s="11" t="s">
        <v>4</v>
      </c>
      <c r="C27" s="10">
        <v>1</v>
      </c>
      <c r="D27" s="9">
        <v>1.3888888888888888E-2</v>
      </c>
    </row>
    <row r="28" spans="2:4">
      <c r="B28" s="11" t="s">
        <v>6</v>
      </c>
      <c r="C28" s="10">
        <v>1</v>
      </c>
      <c r="D28" s="9">
        <v>1.3888888888888888E-2</v>
      </c>
    </row>
    <row r="29" spans="2:4">
      <c r="B29" s="8" t="s">
        <v>3</v>
      </c>
      <c r="C29" s="7">
        <v>72</v>
      </c>
      <c r="D29" s="6">
        <v>1</v>
      </c>
    </row>
    <row r="31" spans="2:4">
      <c r="B31" s="3" t="s">
        <v>88</v>
      </c>
      <c r="C31"/>
      <c r="D31"/>
    </row>
    <row r="32" spans="2:4">
      <c r="B32" s="5" t="s">
        <v>2</v>
      </c>
      <c r="C32"/>
      <c r="D32"/>
    </row>
    <row r="33" spans="2:4">
      <c r="B33" s="4" t="s">
        <v>1</v>
      </c>
      <c r="C33"/>
      <c r="D33"/>
    </row>
    <row r="34" spans="2:4">
      <c r="B34" s="3" t="s">
        <v>0</v>
      </c>
      <c r="C34"/>
      <c r="D34"/>
    </row>
    <row r="35" spans="2:4">
      <c r="B35" s="3" t="s">
        <v>89</v>
      </c>
      <c r="C35"/>
      <c r="D35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F353"/>
  <sheetViews>
    <sheetView zoomScaleNormal="100" zoomScaleSheetLayoutView="100" workbookViewId="0">
      <selection activeCell="C28" sqref="C28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9" customFormat="1" ht="12" customHeight="1">
      <c r="B1" s="43"/>
      <c r="C1" s="42"/>
      <c r="D1" s="42"/>
      <c r="E1" s="42"/>
    </row>
    <row r="2" spans="1:5" s="39" customFormat="1" ht="15" customHeight="1">
      <c r="C2" s="41"/>
    </row>
    <row r="3" spans="1:5" s="39" customFormat="1" ht="15" customHeight="1">
      <c r="C3" s="41"/>
    </row>
    <row r="4" spans="1:5" s="39" customFormat="1" ht="30" customHeight="1">
      <c r="C4" s="41"/>
      <c r="D4" s="40"/>
    </row>
    <row r="5" spans="1:5" s="39" customFormat="1" ht="15" customHeight="1">
      <c r="C5" s="41"/>
      <c r="D5" s="40"/>
    </row>
    <row r="6" spans="1:5" s="36" customFormat="1" ht="24" customHeight="1">
      <c r="B6" s="38"/>
      <c r="C6" s="32"/>
      <c r="D6" s="32"/>
      <c r="E6" s="32"/>
    </row>
    <row r="7" spans="1:5" s="36" customFormat="1" ht="26.25" customHeight="1">
      <c r="A7" s="37"/>
      <c r="B7" s="78"/>
      <c r="C7" s="78"/>
      <c r="D7" s="78"/>
      <c r="E7" s="78"/>
    </row>
    <row r="8" spans="1:5" s="36" customFormat="1" ht="33" customHeight="1">
      <c r="A8" s="37"/>
      <c r="B8" s="78"/>
      <c r="C8" s="78"/>
      <c r="D8" s="78"/>
      <c r="E8" s="78"/>
    </row>
    <row r="9" spans="1:5" s="13" customFormat="1" ht="40.5" customHeight="1">
      <c r="B9" s="33" t="s">
        <v>21</v>
      </c>
      <c r="C9" s="35" t="s">
        <v>33</v>
      </c>
      <c r="D9" s="34" t="s">
        <v>20</v>
      </c>
      <c r="E9" s="33" t="s">
        <v>19</v>
      </c>
    </row>
    <row r="10" spans="1:5" ht="15" customHeight="1">
      <c r="B10" s="73" t="s">
        <v>9</v>
      </c>
      <c r="C10" s="31" t="s">
        <v>90</v>
      </c>
      <c r="D10" s="30">
        <v>1</v>
      </c>
      <c r="E10" s="29">
        <v>1.3888888888888888E-2</v>
      </c>
    </row>
    <row r="11" spans="1:5" ht="15" customHeight="1">
      <c r="B11" s="75"/>
      <c r="C11" s="31" t="s">
        <v>32</v>
      </c>
      <c r="D11" s="30">
        <v>1</v>
      </c>
      <c r="E11" s="29">
        <v>1.3888888888888888E-2</v>
      </c>
    </row>
    <row r="12" spans="1:5" ht="15" customHeight="1">
      <c r="B12" s="74"/>
      <c r="C12" s="28" t="s">
        <v>3</v>
      </c>
      <c r="D12" s="27">
        <v>2</v>
      </c>
      <c r="E12" s="26">
        <v>2.7777777777777776E-2</v>
      </c>
    </row>
    <row r="13" spans="1:5" ht="15" customHeight="1">
      <c r="B13" s="73" t="s">
        <v>8</v>
      </c>
      <c r="C13" s="31" t="s">
        <v>91</v>
      </c>
      <c r="D13" s="30">
        <v>1</v>
      </c>
      <c r="E13" s="29">
        <v>1.3888888888888888E-2</v>
      </c>
    </row>
    <row r="14" spans="1:5" ht="15" customHeight="1">
      <c r="B14" s="74"/>
      <c r="C14" s="28" t="s">
        <v>3</v>
      </c>
      <c r="D14" s="27">
        <v>1</v>
      </c>
      <c r="E14" s="26">
        <v>1.3888888888888888E-2</v>
      </c>
    </row>
    <row r="15" spans="1:5" ht="15" customHeight="1">
      <c r="B15" s="73" t="s">
        <v>11</v>
      </c>
      <c r="C15" s="31" t="s">
        <v>25</v>
      </c>
      <c r="D15" s="30">
        <v>1</v>
      </c>
      <c r="E15" s="29">
        <v>1.3888888888888888E-2</v>
      </c>
    </row>
    <row r="16" spans="1:5" ht="15" customHeight="1">
      <c r="B16" s="75"/>
      <c r="C16" s="31" t="s">
        <v>92</v>
      </c>
      <c r="D16" s="30">
        <v>1</v>
      </c>
      <c r="E16" s="29">
        <v>1.3888888888888888E-2</v>
      </c>
    </row>
    <row r="17" spans="2:5" ht="15" customHeight="1">
      <c r="B17" s="75"/>
      <c r="C17" s="31" t="s">
        <v>93</v>
      </c>
      <c r="D17" s="30">
        <v>1</v>
      </c>
      <c r="E17" s="29">
        <v>1.3888888888888888E-2</v>
      </c>
    </row>
    <row r="18" spans="2:5" ht="15" customHeight="1">
      <c r="B18" s="75"/>
      <c r="C18" s="31" t="s">
        <v>31</v>
      </c>
      <c r="D18" s="30">
        <v>1</v>
      </c>
      <c r="E18" s="29">
        <v>1.3888888888888888E-2</v>
      </c>
    </row>
    <row r="19" spans="2:5" ht="15" customHeight="1">
      <c r="B19" s="75"/>
      <c r="C19" s="31" t="s">
        <v>94</v>
      </c>
      <c r="D19" s="30">
        <v>2</v>
      </c>
      <c r="E19" s="29">
        <v>2.7777777777777776E-2</v>
      </c>
    </row>
    <row r="20" spans="2:5" ht="15" customHeight="1">
      <c r="B20" s="74"/>
      <c r="C20" s="28" t="s">
        <v>3</v>
      </c>
      <c r="D20" s="27">
        <v>6</v>
      </c>
      <c r="E20" s="26">
        <v>8.3333333333333329E-2</v>
      </c>
    </row>
    <row r="21" spans="2:5" ht="15" customHeight="1">
      <c r="B21" s="73" t="s">
        <v>16</v>
      </c>
      <c r="C21" s="31" t="s">
        <v>95</v>
      </c>
      <c r="D21" s="30">
        <v>1</v>
      </c>
      <c r="E21" s="29">
        <v>1.3888888888888888E-2</v>
      </c>
    </row>
    <row r="22" spans="2:5" ht="15" customHeight="1">
      <c r="B22" s="75"/>
      <c r="C22" s="31" t="s">
        <v>96</v>
      </c>
      <c r="D22" s="30">
        <v>1</v>
      </c>
      <c r="E22" s="29">
        <v>1.3888888888888888E-2</v>
      </c>
    </row>
    <row r="23" spans="2:5" ht="15" customHeight="1">
      <c r="B23" s="75"/>
      <c r="C23" s="31" t="s">
        <v>5</v>
      </c>
      <c r="D23" s="30">
        <v>1</v>
      </c>
      <c r="E23" s="29">
        <v>1.3888888888888888E-2</v>
      </c>
    </row>
    <row r="24" spans="2:5" ht="15" customHeight="1">
      <c r="B24" s="75"/>
      <c r="C24" s="31" t="s">
        <v>30</v>
      </c>
      <c r="D24" s="30">
        <v>3</v>
      </c>
      <c r="E24" s="29">
        <v>4.1666666666666664E-2</v>
      </c>
    </row>
    <row r="25" spans="2:5" ht="15" customHeight="1">
      <c r="B25" s="74"/>
      <c r="C25" s="28" t="s">
        <v>3</v>
      </c>
      <c r="D25" s="27">
        <v>6</v>
      </c>
      <c r="E25" s="26">
        <v>8.3333333333333329E-2</v>
      </c>
    </row>
    <row r="26" spans="2:5" ht="15" customHeight="1">
      <c r="B26" s="73" t="s">
        <v>97</v>
      </c>
      <c r="C26" s="31" t="s">
        <v>29</v>
      </c>
      <c r="D26" s="30">
        <v>1</v>
      </c>
      <c r="E26" s="29">
        <v>1.3888888888888888E-2</v>
      </c>
    </row>
    <row r="27" spans="2:5" ht="15" customHeight="1">
      <c r="B27" s="75"/>
      <c r="C27" s="31" t="s">
        <v>98</v>
      </c>
      <c r="D27" s="30">
        <v>1</v>
      </c>
      <c r="E27" s="29">
        <v>1.3888888888888888E-2</v>
      </c>
    </row>
    <row r="28" spans="2:5" ht="15" customHeight="1">
      <c r="B28" s="75"/>
      <c r="C28" s="31" t="s">
        <v>28</v>
      </c>
      <c r="D28" s="30">
        <v>1</v>
      </c>
      <c r="E28" s="29">
        <v>1.3888888888888888E-2</v>
      </c>
    </row>
    <row r="29" spans="2:5" ht="15" customHeight="1">
      <c r="B29" s="75"/>
      <c r="C29" s="31" t="s">
        <v>99</v>
      </c>
      <c r="D29" s="30">
        <v>2</v>
      </c>
      <c r="E29" s="29">
        <v>2.7777777777777776E-2</v>
      </c>
    </row>
    <row r="30" spans="2:5" ht="15" customHeight="1">
      <c r="B30" s="75"/>
      <c r="C30" s="31" t="s">
        <v>100</v>
      </c>
      <c r="D30" s="30">
        <v>2</v>
      </c>
      <c r="E30" s="29">
        <v>2.7777777777777776E-2</v>
      </c>
    </row>
    <row r="31" spans="2:5" ht="15" customHeight="1">
      <c r="B31" s="74"/>
      <c r="C31" s="31" t="s">
        <v>101</v>
      </c>
      <c r="D31" s="30">
        <v>1</v>
      </c>
      <c r="E31" s="29">
        <v>1.3888888888888888E-2</v>
      </c>
    </row>
    <row r="32" spans="2:5" ht="15" customHeight="1">
      <c r="B32" s="62" t="s">
        <v>17</v>
      </c>
      <c r="C32" s="28" t="s">
        <v>3</v>
      </c>
      <c r="D32" s="27">
        <v>8</v>
      </c>
      <c r="E32" s="26">
        <v>0.1111111111111111</v>
      </c>
    </row>
    <row r="33" spans="2:5" ht="15" customHeight="1">
      <c r="B33" s="73" t="s">
        <v>102</v>
      </c>
      <c r="C33" s="31" t="s">
        <v>103</v>
      </c>
      <c r="D33" s="30">
        <v>3</v>
      </c>
      <c r="E33" s="29">
        <v>4.1666666666666664E-2</v>
      </c>
    </row>
    <row r="34" spans="2:5" ht="15" customHeight="1">
      <c r="B34" s="75"/>
      <c r="C34" s="31" t="s">
        <v>104</v>
      </c>
      <c r="D34" s="30">
        <v>2</v>
      </c>
      <c r="E34" s="29">
        <v>2.7777777777777776E-2</v>
      </c>
    </row>
    <row r="35" spans="2:5" ht="15" customHeight="1">
      <c r="B35" s="74"/>
      <c r="C35" s="28" t="s">
        <v>3</v>
      </c>
      <c r="D35" s="27">
        <v>5</v>
      </c>
      <c r="E35" s="26">
        <v>6.9444444444444448E-2</v>
      </c>
    </row>
    <row r="36" spans="2:5" ht="15" customHeight="1">
      <c r="B36" s="73" t="s">
        <v>7</v>
      </c>
      <c r="C36" s="31" t="s">
        <v>105</v>
      </c>
      <c r="D36" s="30">
        <v>1</v>
      </c>
      <c r="E36" s="29">
        <v>1.3888888888888888E-2</v>
      </c>
    </row>
    <row r="37" spans="2:5" ht="15" customHeight="1">
      <c r="B37" s="75"/>
      <c r="C37" s="31" t="s">
        <v>27</v>
      </c>
      <c r="D37" s="30">
        <v>4</v>
      </c>
      <c r="E37" s="29">
        <v>5.5555555555555552E-2</v>
      </c>
    </row>
    <row r="38" spans="2:5" ht="15" customHeight="1">
      <c r="B38" s="75"/>
      <c r="C38" s="31" t="s">
        <v>106</v>
      </c>
      <c r="D38" s="30">
        <v>3</v>
      </c>
      <c r="E38" s="29">
        <v>4.1666666666666664E-2</v>
      </c>
    </row>
    <row r="39" spans="2:5" ht="15" customHeight="1">
      <c r="B39" s="74"/>
      <c r="C39" s="28" t="s">
        <v>3</v>
      </c>
      <c r="D39" s="27">
        <v>8</v>
      </c>
      <c r="E39" s="26">
        <v>0.1111111111111111</v>
      </c>
    </row>
    <row r="40" spans="2:5" ht="15" customHeight="1">
      <c r="B40" s="73" t="s">
        <v>14</v>
      </c>
      <c r="C40" s="31" t="s">
        <v>107</v>
      </c>
      <c r="D40" s="30">
        <v>1</v>
      </c>
      <c r="E40" s="29">
        <v>1.3888888888888888E-2</v>
      </c>
    </row>
    <row r="41" spans="2:5" ht="15" customHeight="1">
      <c r="B41" s="75"/>
      <c r="C41" s="31" t="s">
        <v>26</v>
      </c>
      <c r="D41" s="30">
        <v>3</v>
      </c>
      <c r="E41" s="29">
        <v>4.1666666666666664E-2</v>
      </c>
    </row>
    <row r="42" spans="2:5" ht="15" customHeight="1">
      <c r="B42" s="75"/>
      <c r="C42" s="31" t="s">
        <v>108</v>
      </c>
      <c r="D42" s="30">
        <v>1</v>
      </c>
      <c r="E42" s="29">
        <v>1.3888888888888888E-2</v>
      </c>
    </row>
    <row r="43" spans="2:5" ht="15" customHeight="1">
      <c r="B43" s="75"/>
      <c r="C43" s="31" t="s">
        <v>109</v>
      </c>
      <c r="D43" s="30">
        <v>1</v>
      </c>
      <c r="E43" s="29">
        <v>1.3888888888888888E-2</v>
      </c>
    </row>
    <row r="44" spans="2:5" ht="15" customHeight="1">
      <c r="B44" s="75"/>
      <c r="C44" s="31" t="s">
        <v>110</v>
      </c>
      <c r="D44" s="30">
        <v>1</v>
      </c>
      <c r="E44" s="29">
        <v>1.3888888888888888E-2</v>
      </c>
    </row>
    <row r="45" spans="2:5" ht="15" customHeight="1">
      <c r="B45" s="75"/>
      <c r="C45" s="31" t="s">
        <v>111</v>
      </c>
      <c r="D45" s="30">
        <v>1</v>
      </c>
      <c r="E45" s="29">
        <v>1.3888888888888888E-2</v>
      </c>
    </row>
    <row r="46" spans="2:5" ht="15" customHeight="1">
      <c r="B46" s="74"/>
      <c r="C46" s="28" t="s">
        <v>3</v>
      </c>
      <c r="D46" s="27">
        <v>8</v>
      </c>
      <c r="E46" s="26">
        <v>0.1111111111111111</v>
      </c>
    </row>
    <row r="47" spans="2:5" ht="15" customHeight="1">
      <c r="B47" s="73" t="s">
        <v>5</v>
      </c>
      <c r="C47" s="31" t="s">
        <v>112</v>
      </c>
      <c r="D47" s="30">
        <v>1</v>
      </c>
      <c r="E47" s="29">
        <v>1.3888888888888888E-2</v>
      </c>
    </row>
    <row r="48" spans="2:5" ht="15" customHeight="1">
      <c r="B48" s="74"/>
      <c r="C48" s="28" t="s">
        <v>3</v>
      </c>
      <c r="D48" s="27">
        <v>1</v>
      </c>
      <c r="E48" s="26">
        <v>1.3888888888888888E-2</v>
      </c>
    </row>
    <row r="49" spans="2:5" ht="15" customHeight="1">
      <c r="B49" s="73" t="s">
        <v>18</v>
      </c>
      <c r="C49" s="31" t="s">
        <v>113</v>
      </c>
      <c r="D49" s="30">
        <v>3</v>
      </c>
      <c r="E49" s="29">
        <v>4.1666666666666664E-2</v>
      </c>
    </row>
    <row r="50" spans="2:5" ht="15" customHeight="1">
      <c r="B50" s="75"/>
      <c r="C50" s="31" t="s">
        <v>114</v>
      </c>
      <c r="D50" s="30">
        <v>2</v>
      </c>
      <c r="E50" s="29">
        <v>2.7777777777777776E-2</v>
      </c>
    </row>
    <row r="51" spans="2:5" ht="15" customHeight="1">
      <c r="B51" s="75"/>
      <c r="C51" s="31" t="s">
        <v>115</v>
      </c>
      <c r="D51" s="30">
        <v>3</v>
      </c>
      <c r="E51" s="29">
        <v>4.1666666666666664E-2</v>
      </c>
    </row>
    <row r="52" spans="2:5" ht="15" customHeight="1">
      <c r="B52" s="75"/>
      <c r="C52" s="31" t="s">
        <v>116</v>
      </c>
      <c r="D52" s="30">
        <v>1</v>
      </c>
      <c r="E52" s="29">
        <v>1.3888888888888888E-2</v>
      </c>
    </row>
    <row r="53" spans="2:5" ht="15" customHeight="1">
      <c r="B53" s="74"/>
      <c r="C53" s="28" t="s">
        <v>3</v>
      </c>
      <c r="D53" s="27">
        <v>9</v>
      </c>
      <c r="E53" s="26">
        <v>0.125</v>
      </c>
    </row>
    <row r="54" spans="2:5" ht="15" customHeight="1">
      <c r="B54" s="73" t="s">
        <v>10</v>
      </c>
      <c r="C54" s="31" t="s">
        <v>10</v>
      </c>
      <c r="D54" s="30">
        <v>1</v>
      </c>
      <c r="E54" s="29">
        <v>1.3888888888888888E-2</v>
      </c>
    </row>
    <row r="55" spans="2:5" ht="15" customHeight="1">
      <c r="B55" s="75"/>
      <c r="C55" s="31" t="s">
        <v>117</v>
      </c>
      <c r="D55" s="30">
        <v>1</v>
      </c>
      <c r="E55" s="29">
        <v>1.3888888888888888E-2</v>
      </c>
    </row>
    <row r="56" spans="2:5" ht="15" customHeight="1">
      <c r="B56" s="74"/>
      <c r="C56" s="28" t="s">
        <v>3</v>
      </c>
      <c r="D56" s="27">
        <v>2</v>
      </c>
      <c r="E56" s="26">
        <v>2.7777777777777776E-2</v>
      </c>
    </row>
    <row r="57" spans="2:5" ht="15" customHeight="1">
      <c r="B57" s="73" t="s">
        <v>4</v>
      </c>
      <c r="C57" s="31" t="s">
        <v>25</v>
      </c>
      <c r="D57" s="30">
        <v>1</v>
      </c>
      <c r="E57" s="29">
        <v>1.3888888888888888E-2</v>
      </c>
    </row>
    <row r="58" spans="2:5" ht="15" customHeight="1">
      <c r="B58" s="74"/>
      <c r="C58" s="28" t="s">
        <v>3</v>
      </c>
      <c r="D58" s="27">
        <v>1</v>
      </c>
      <c r="E58" s="26">
        <v>1.3888888888888888E-2</v>
      </c>
    </row>
    <row r="59" spans="2:5" ht="15" customHeight="1">
      <c r="B59" s="73" t="s">
        <v>13</v>
      </c>
      <c r="C59" s="31" t="s">
        <v>24</v>
      </c>
      <c r="D59" s="30">
        <v>2</v>
      </c>
      <c r="E59" s="29">
        <v>2.7777777777777776E-2</v>
      </c>
    </row>
    <row r="60" spans="2:5" ht="15" customHeight="1">
      <c r="B60" s="75"/>
      <c r="C60" s="31" t="s">
        <v>118</v>
      </c>
      <c r="D60" s="30">
        <v>1</v>
      </c>
      <c r="E60" s="29">
        <v>1.3888888888888888E-2</v>
      </c>
    </row>
    <row r="61" spans="2:5" ht="15" customHeight="1">
      <c r="B61" s="74"/>
      <c r="C61" s="28" t="s">
        <v>3</v>
      </c>
      <c r="D61" s="27">
        <v>3</v>
      </c>
      <c r="E61" s="26">
        <v>4.1666666666666664E-2</v>
      </c>
    </row>
    <row r="62" spans="2:5" ht="15" customHeight="1">
      <c r="B62" s="73" t="s">
        <v>86</v>
      </c>
      <c r="C62" s="31" t="s">
        <v>119</v>
      </c>
      <c r="D62" s="30">
        <v>2</v>
      </c>
      <c r="E62" s="29">
        <v>2.7777777777777776E-2</v>
      </c>
    </row>
    <row r="63" spans="2:5" ht="15" customHeight="1">
      <c r="B63" s="74"/>
      <c r="C63" s="28" t="s">
        <v>3</v>
      </c>
      <c r="D63" s="27">
        <v>2</v>
      </c>
      <c r="E63" s="26">
        <v>2.7777777777777776E-2</v>
      </c>
    </row>
    <row r="64" spans="2:5" ht="15" customHeight="1">
      <c r="B64" s="73" t="s">
        <v>6</v>
      </c>
      <c r="C64" s="31" t="s">
        <v>23</v>
      </c>
      <c r="D64" s="30">
        <v>1</v>
      </c>
      <c r="E64" s="29">
        <v>1.3888888888888888E-2</v>
      </c>
    </row>
    <row r="65" spans="2:6" ht="15" customHeight="1">
      <c r="B65" s="74"/>
      <c r="C65" s="28" t="s">
        <v>3</v>
      </c>
      <c r="D65" s="27">
        <v>1</v>
      </c>
      <c r="E65" s="26">
        <v>1.3888888888888888E-2</v>
      </c>
    </row>
    <row r="66" spans="2:6" ht="15" customHeight="1">
      <c r="B66" s="73" t="s">
        <v>87</v>
      </c>
      <c r="C66" s="31" t="s">
        <v>120</v>
      </c>
      <c r="D66" s="30">
        <v>1</v>
      </c>
      <c r="E66" s="29">
        <v>1.3888888888888888E-2</v>
      </c>
    </row>
    <row r="67" spans="2:6" ht="15" customHeight="1">
      <c r="B67" s="75"/>
      <c r="C67" s="31" t="s">
        <v>121</v>
      </c>
      <c r="D67" s="30">
        <v>1</v>
      </c>
      <c r="E67" s="29">
        <v>1.3888888888888888E-2</v>
      </c>
    </row>
    <row r="68" spans="2:6" ht="15" customHeight="1">
      <c r="B68" s="74"/>
      <c r="C68" s="28" t="s">
        <v>3</v>
      </c>
      <c r="D68" s="27">
        <v>2</v>
      </c>
      <c r="E68" s="26">
        <v>2.7777777777777776E-2</v>
      </c>
    </row>
    <row r="69" spans="2:6" ht="15" customHeight="1">
      <c r="B69" s="73" t="s">
        <v>12</v>
      </c>
      <c r="C69" s="31" t="s">
        <v>122</v>
      </c>
      <c r="D69" s="30">
        <v>1</v>
      </c>
      <c r="E69" s="29">
        <v>1.3888888888888888E-2</v>
      </c>
    </row>
    <row r="70" spans="2:6" ht="15" customHeight="1">
      <c r="B70" s="75"/>
      <c r="C70" s="31" t="s">
        <v>22</v>
      </c>
      <c r="D70" s="30">
        <v>1</v>
      </c>
      <c r="E70" s="29">
        <v>1.3888888888888888E-2</v>
      </c>
    </row>
    <row r="71" spans="2:6" ht="15" customHeight="1">
      <c r="B71" s="75"/>
      <c r="C71" s="31" t="s">
        <v>123</v>
      </c>
      <c r="D71" s="30">
        <v>3</v>
      </c>
      <c r="E71" s="29">
        <v>4.1666666666666664E-2</v>
      </c>
    </row>
    <row r="72" spans="2:6" ht="15" customHeight="1">
      <c r="B72" s="75"/>
      <c r="C72" s="31" t="s">
        <v>124</v>
      </c>
      <c r="D72" s="30">
        <v>1</v>
      </c>
      <c r="E72" s="29">
        <v>1.3888888888888888E-2</v>
      </c>
    </row>
    <row r="73" spans="2:6" ht="15" customHeight="1">
      <c r="B73" s="75"/>
      <c r="C73" s="31" t="s">
        <v>12</v>
      </c>
      <c r="D73" s="30">
        <v>1</v>
      </c>
      <c r="E73" s="29">
        <v>1.3888888888888888E-2</v>
      </c>
    </row>
    <row r="74" spans="2:6" ht="15" customHeight="1">
      <c r="B74" s="74"/>
      <c r="C74" s="28" t="s">
        <v>3</v>
      </c>
      <c r="D74" s="27">
        <v>7</v>
      </c>
      <c r="E74" s="26">
        <v>9.7222222222222224E-2</v>
      </c>
    </row>
    <row r="75" spans="2:6" ht="15" customHeight="1">
      <c r="B75" s="76" t="s">
        <v>3</v>
      </c>
      <c r="C75" s="77"/>
      <c r="D75" s="25">
        <f>SUMIF(C$10:C74,"Total",D$10:D74)</f>
        <v>72</v>
      </c>
      <c r="E75" s="24">
        <v>1</v>
      </c>
    </row>
    <row r="77" spans="2:6" ht="15" customHeight="1">
      <c r="B77" s="1"/>
      <c r="C77" s="3" t="s">
        <v>88</v>
      </c>
      <c r="D77"/>
      <c r="E77"/>
      <c r="F77" s="1"/>
    </row>
    <row r="78" spans="2:6" ht="15" customHeight="1">
      <c r="B78" s="1"/>
      <c r="C78" s="5" t="s">
        <v>2</v>
      </c>
      <c r="D78"/>
      <c r="E78"/>
      <c r="F78" s="1"/>
    </row>
    <row r="79" spans="2:6" ht="15" customHeight="1">
      <c r="B79" s="1"/>
      <c r="C79" s="4" t="s">
        <v>1</v>
      </c>
      <c r="D79"/>
      <c r="E79"/>
      <c r="F79" s="1"/>
    </row>
    <row r="80" spans="2:6" ht="15" customHeight="1">
      <c r="B80" s="1"/>
      <c r="C80" s="3" t="s">
        <v>0</v>
      </c>
      <c r="D80"/>
      <c r="E80"/>
      <c r="F80" s="1"/>
    </row>
    <row r="81" spans="2:6" ht="15" customHeight="1">
      <c r="B81" s="1"/>
      <c r="C81" s="3" t="s">
        <v>89</v>
      </c>
      <c r="D81"/>
      <c r="E81"/>
      <c r="F81" s="1"/>
    </row>
    <row r="349" spans="1:2" s="21" customFormat="1" ht="15" customHeight="1">
      <c r="A349" s="20"/>
      <c r="B349" s="22"/>
    </row>
    <row r="350" spans="1:2" s="21" customFormat="1" ht="15" customHeight="1">
      <c r="A350" s="20"/>
      <c r="B350" s="23"/>
    </row>
    <row r="351" spans="1:2" s="21" customFormat="1" ht="15" customHeight="1">
      <c r="A351" s="20"/>
      <c r="B351" s="23"/>
    </row>
    <row r="352" spans="1:2" s="21" customFormat="1" ht="15" customHeight="1">
      <c r="A352" s="20"/>
      <c r="B352" s="22"/>
    </row>
    <row r="353" spans="1:2" s="21" customFormat="1" ht="15" customHeight="1">
      <c r="A353" s="20"/>
      <c r="B353" s="22"/>
    </row>
  </sheetData>
  <mergeCells count="19">
    <mergeCell ref="B33:B35"/>
    <mergeCell ref="B36:B39"/>
    <mergeCell ref="B40:B46"/>
    <mergeCell ref="B47:B48"/>
    <mergeCell ref="B7:E8"/>
    <mergeCell ref="B10:B12"/>
    <mergeCell ref="B13:B14"/>
    <mergeCell ref="B15:B20"/>
    <mergeCell ref="B21:B25"/>
    <mergeCell ref="B26:B31"/>
    <mergeCell ref="B64:B65"/>
    <mergeCell ref="B66:B68"/>
    <mergeCell ref="B69:B74"/>
    <mergeCell ref="B75:C75"/>
    <mergeCell ref="B49:B53"/>
    <mergeCell ref="B54:B56"/>
    <mergeCell ref="B57:B58"/>
    <mergeCell ref="B59:B61"/>
    <mergeCell ref="B62:B63"/>
  </mergeCells>
  <printOptions horizont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  <pageSetUpPr fitToPage="1"/>
  </sheetPr>
  <dimension ref="A1:D29"/>
  <sheetViews>
    <sheetView showGridLines="0" zoomScaleNormal="100" zoomScaleSheetLayoutView="115" workbookViewId="0">
      <selection activeCell="D11" sqref="D11"/>
    </sheetView>
  </sheetViews>
  <sheetFormatPr baseColWidth="10" defaultColWidth="11.42578125" defaultRowHeight="15"/>
  <cols>
    <col min="1" max="1" width="9.28515625" style="1" customWidth="1"/>
    <col min="2" max="2" width="30.570312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4" s="13" customFormat="1" ht="15" customHeight="1">
      <c r="C1" s="19"/>
    </row>
    <row r="2" spans="1:4" s="13" customFormat="1" ht="15" customHeight="1">
      <c r="C2" s="19"/>
    </row>
    <row r="3" spans="1:4" s="13" customFormat="1" ht="15" customHeight="1">
      <c r="C3" s="19"/>
    </row>
    <row r="4" spans="1:4" s="13" customFormat="1" ht="30" customHeight="1">
      <c r="C4" s="19"/>
      <c r="D4" s="18"/>
    </row>
    <row r="5" spans="1:4" s="13" customFormat="1" ht="15" customHeight="1">
      <c r="C5" s="19"/>
      <c r="D5" s="18"/>
    </row>
    <row r="6" spans="1:4" s="13" customFormat="1" ht="15" customHeight="1">
      <c r="C6" s="19"/>
      <c r="D6" s="18"/>
    </row>
    <row r="7" spans="1:4" s="13" customFormat="1" ht="15" customHeight="1">
      <c r="B7" s="72" t="s">
        <v>45</v>
      </c>
      <c r="C7" s="72"/>
      <c r="D7" s="72"/>
    </row>
    <row r="8" spans="1:4" s="13" customFormat="1" ht="15" customHeight="1">
      <c r="B8" s="72"/>
      <c r="C8" s="72"/>
      <c r="D8" s="72"/>
    </row>
    <row r="9" spans="1:4" s="13" customFormat="1" ht="33" customHeight="1">
      <c r="B9" s="72"/>
      <c r="C9" s="72"/>
      <c r="D9" s="72"/>
    </row>
    <row r="10" spans="1:4" s="13" customFormat="1" ht="4.5" customHeight="1">
      <c r="B10" s="17"/>
      <c r="C10" s="17"/>
      <c r="D10" s="17"/>
    </row>
    <row r="11" spans="1:4" s="13" customFormat="1" ht="33" customHeight="1">
      <c r="B11" s="16" t="s">
        <v>44</v>
      </c>
      <c r="C11" s="15" t="s">
        <v>20</v>
      </c>
      <c r="D11" s="14" t="s">
        <v>19</v>
      </c>
    </row>
    <row r="12" spans="1:4">
      <c r="B12" s="11" t="s">
        <v>43</v>
      </c>
      <c r="C12" s="10">
        <v>1</v>
      </c>
      <c r="D12" s="9">
        <v>1.3888888888888888E-2</v>
      </c>
    </row>
    <row r="13" spans="1:4">
      <c r="B13" s="11" t="s">
        <v>42</v>
      </c>
      <c r="C13" s="10">
        <v>3</v>
      </c>
      <c r="D13" s="9">
        <v>4.1666666666666664E-2</v>
      </c>
    </row>
    <row r="14" spans="1:4">
      <c r="A14" s="12"/>
      <c r="B14" s="11" t="s">
        <v>41</v>
      </c>
      <c r="C14" s="10">
        <v>6</v>
      </c>
      <c r="D14" s="9">
        <v>8.3333333333333329E-2</v>
      </c>
    </row>
    <row r="15" spans="1:4">
      <c r="A15" s="12"/>
      <c r="B15" s="11" t="s">
        <v>40</v>
      </c>
      <c r="C15" s="10">
        <v>11</v>
      </c>
      <c r="D15" s="9">
        <v>0.15277777777777779</v>
      </c>
    </row>
    <row r="16" spans="1:4">
      <c r="B16" s="11" t="s">
        <v>39</v>
      </c>
      <c r="C16" s="10">
        <v>4</v>
      </c>
      <c r="D16" s="9">
        <v>5.5555555555555552E-2</v>
      </c>
    </row>
    <row r="17" spans="2:4">
      <c r="B17" s="11" t="s">
        <v>38</v>
      </c>
      <c r="C17" s="10">
        <v>4</v>
      </c>
      <c r="D17" s="9">
        <v>5.5555555555555552E-2</v>
      </c>
    </row>
    <row r="18" spans="2:4">
      <c r="B18" s="11" t="s">
        <v>37</v>
      </c>
      <c r="C18" s="10">
        <v>22</v>
      </c>
      <c r="D18" s="9">
        <v>0.30555555555555558</v>
      </c>
    </row>
    <row r="19" spans="2:4">
      <c r="B19" s="11" t="s">
        <v>36</v>
      </c>
      <c r="C19" s="10">
        <v>1</v>
      </c>
      <c r="D19" s="9">
        <v>1.3888888888888888E-2</v>
      </c>
    </row>
    <row r="20" spans="2:4">
      <c r="B20" s="11" t="s">
        <v>35</v>
      </c>
      <c r="C20" s="10">
        <v>8</v>
      </c>
      <c r="D20" s="9">
        <v>0.1111111111111111</v>
      </c>
    </row>
    <row r="21" spans="2:4">
      <c r="B21" s="11" t="s">
        <v>34</v>
      </c>
      <c r="C21" s="10">
        <v>11</v>
      </c>
      <c r="D21" s="9">
        <v>0.15277777777777779</v>
      </c>
    </row>
    <row r="22" spans="2:4">
      <c r="B22" s="11" t="s">
        <v>125</v>
      </c>
      <c r="C22" s="10">
        <v>1</v>
      </c>
      <c r="D22" s="9">
        <v>1.3888888888888888E-2</v>
      </c>
    </row>
    <row r="23" spans="2:4">
      <c r="B23" s="8" t="s">
        <v>3</v>
      </c>
      <c r="C23" s="7">
        <v>72</v>
      </c>
      <c r="D23" s="6">
        <v>1</v>
      </c>
    </row>
    <row r="25" spans="2:4">
      <c r="B25" s="3" t="s">
        <v>88</v>
      </c>
      <c r="C25"/>
      <c r="D25"/>
    </row>
    <row r="26" spans="2:4">
      <c r="B26" s="5" t="s">
        <v>2</v>
      </c>
      <c r="C26"/>
      <c r="D26"/>
    </row>
    <row r="27" spans="2:4">
      <c r="B27" s="4" t="s">
        <v>1</v>
      </c>
      <c r="C27"/>
      <c r="D27"/>
    </row>
    <row r="28" spans="2:4">
      <c r="B28" s="3" t="s">
        <v>0</v>
      </c>
      <c r="C28"/>
      <c r="D28"/>
    </row>
    <row r="29" spans="2:4">
      <c r="B29" s="3" t="s">
        <v>89</v>
      </c>
      <c r="C29"/>
      <c r="D29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2" orientation="portrait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F80"/>
  <sheetViews>
    <sheetView topLeftCell="A51" zoomScaleNormal="100" zoomScaleSheetLayoutView="100" workbookViewId="0">
      <selection activeCell="C73" sqref="C73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9" customFormat="1" ht="12" customHeight="1">
      <c r="B1" s="43"/>
      <c r="C1" s="42"/>
      <c r="D1" s="42"/>
      <c r="E1" s="42"/>
    </row>
    <row r="2" spans="1:5" s="39" customFormat="1" ht="15" customHeight="1">
      <c r="C2" s="41"/>
    </row>
    <row r="3" spans="1:5" s="39" customFormat="1" ht="15" customHeight="1">
      <c r="C3" s="41"/>
    </row>
    <row r="4" spans="1:5" s="39" customFormat="1" ht="30" customHeight="1">
      <c r="C4" s="41"/>
      <c r="D4" s="40"/>
    </row>
    <row r="5" spans="1:5" s="39" customFormat="1" ht="15" customHeight="1">
      <c r="C5" s="41"/>
      <c r="D5" s="40"/>
    </row>
    <row r="6" spans="1:5" s="36" customFormat="1" ht="24" customHeight="1">
      <c r="B6" s="38"/>
      <c r="C6" s="32"/>
      <c r="D6" s="32"/>
      <c r="E6" s="32"/>
    </row>
    <row r="7" spans="1:5" s="36" customFormat="1" ht="26.25" customHeight="1">
      <c r="A7" s="37"/>
      <c r="B7" s="78"/>
      <c r="C7" s="78"/>
      <c r="D7" s="78"/>
      <c r="E7" s="78"/>
    </row>
    <row r="8" spans="1:5" s="36" customFormat="1" ht="33" customHeight="1">
      <c r="A8" s="37"/>
      <c r="B8" s="78"/>
      <c r="C8" s="78"/>
      <c r="D8" s="78"/>
      <c r="E8" s="78"/>
    </row>
    <row r="9" spans="1:5" s="13" customFormat="1" ht="40.5" customHeight="1">
      <c r="B9" s="33" t="s">
        <v>44</v>
      </c>
      <c r="C9" s="35" t="s">
        <v>21</v>
      </c>
      <c r="D9" s="34" t="s">
        <v>20</v>
      </c>
      <c r="E9" s="33" t="s">
        <v>19</v>
      </c>
    </row>
    <row r="10" spans="1:5" ht="15" customHeight="1">
      <c r="B10" s="73" t="s">
        <v>43</v>
      </c>
      <c r="C10" s="31" t="s">
        <v>15</v>
      </c>
      <c r="D10" s="30">
        <v>1</v>
      </c>
      <c r="E10" s="29">
        <v>1.3888888888888888E-2</v>
      </c>
    </row>
    <row r="11" spans="1:5" ht="15" customHeight="1">
      <c r="B11" s="74"/>
      <c r="C11" s="28" t="s">
        <v>3</v>
      </c>
      <c r="D11" s="27">
        <v>1</v>
      </c>
      <c r="E11" s="26">
        <v>1.3888888888888888E-2</v>
      </c>
    </row>
    <row r="12" spans="1:5" ht="15" customHeight="1">
      <c r="B12" s="73" t="s">
        <v>42</v>
      </c>
      <c r="C12" s="31" t="s">
        <v>7</v>
      </c>
      <c r="D12" s="30">
        <v>1</v>
      </c>
      <c r="E12" s="29">
        <v>1.3888888888888888E-2</v>
      </c>
    </row>
    <row r="13" spans="1:5" ht="15" customHeight="1">
      <c r="B13" s="75"/>
      <c r="C13" s="31" t="s">
        <v>14</v>
      </c>
      <c r="D13" s="30">
        <v>2</v>
      </c>
      <c r="E13" s="29">
        <v>2.7777777777777776E-2</v>
      </c>
    </row>
    <row r="14" spans="1:5" ht="15" customHeight="1">
      <c r="B14" s="74"/>
      <c r="C14" s="28" t="s">
        <v>3</v>
      </c>
      <c r="D14" s="27">
        <v>3</v>
      </c>
      <c r="E14" s="26">
        <v>4.1666666666666664E-2</v>
      </c>
    </row>
    <row r="15" spans="1:5" ht="15" customHeight="1">
      <c r="B15" s="73" t="s">
        <v>41</v>
      </c>
      <c r="C15" s="31" t="s">
        <v>16</v>
      </c>
      <c r="D15" s="30">
        <v>3</v>
      </c>
      <c r="E15" s="29">
        <v>4.1666666666666664E-2</v>
      </c>
    </row>
    <row r="16" spans="1:5" ht="15" customHeight="1">
      <c r="B16" s="75"/>
      <c r="C16" s="31" t="s">
        <v>15</v>
      </c>
      <c r="D16" s="30">
        <v>1</v>
      </c>
      <c r="E16" s="29">
        <v>1.3888888888888888E-2</v>
      </c>
    </row>
    <row r="17" spans="2:5" ht="15" customHeight="1">
      <c r="B17" s="75"/>
      <c r="C17" s="31" t="s">
        <v>18</v>
      </c>
      <c r="D17" s="30">
        <v>1</v>
      </c>
      <c r="E17" s="29">
        <v>1.3888888888888888E-2</v>
      </c>
    </row>
    <row r="18" spans="2:5" ht="15" customHeight="1">
      <c r="B18" s="75"/>
      <c r="C18" s="31" t="s">
        <v>86</v>
      </c>
      <c r="D18" s="30">
        <v>1</v>
      </c>
      <c r="E18" s="29">
        <v>1.3888888888888888E-2</v>
      </c>
    </row>
    <row r="19" spans="2:5" ht="15" customHeight="1">
      <c r="B19" s="74"/>
      <c r="C19" s="28" t="s">
        <v>3</v>
      </c>
      <c r="D19" s="27">
        <v>6</v>
      </c>
      <c r="E19" s="26">
        <v>8.3333333333333329E-2</v>
      </c>
    </row>
    <row r="20" spans="2:5" ht="15" customHeight="1">
      <c r="B20" s="73" t="s">
        <v>40</v>
      </c>
      <c r="C20" s="31" t="s">
        <v>9</v>
      </c>
      <c r="D20" s="30">
        <v>1</v>
      </c>
      <c r="E20" s="29">
        <v>1.3888888888888888E-2</v>
      </c>
    </row>
    <row r="21" spans="2:5" ht="15" customHeight="1">
      <c r="B21" s="75"/>
      <c r="C21" s="31" t="s">
        <v>16</v>
      </c>
      <c r="D21" s="30">
        <v>1</v>
      </c>
      <c r="E21" s="29">
        <v>1.3888888888888888E-2</v>
      </c>
    </row>
    <row r="22" spans="2:5" ht="15" customHeight="1">
      <c r="B22" s="75"/>
      <c r="C22" s="31" t="s">
        <v>15</v>
      </c>
      <c r="D22" s="30">
        <v>1</v>
      </c>
      <c r="E22" s="29">
        <v>1.3888888888888888E-2</v>
      </c>
    </row>
    <row r="23" spans="2:5" ht="15" customHeight="1">
      <c r="B23" s="75"/>
      <c r="C23" s="31" t="s">
        <v>7</v>
      </c>
      <c r="D23" s="30">
        <v>4</v>
      </c>
      <c r="E23" s="29">
        <v>5.5555555555555552E-2</v>
      </c>
    </row>
    <row r="24" spans="2:5" ht="15" customHeight="1">
      <c r="B24" s="75"/>
      <c r="C24" s="31" t="s">
        <v>18</v>
      </c>
      <c r="D24" s="30">
        <v>1</v>
      </c>
      <c r="E24" s="29">
        <v>1.3888888888888888E-2</v>
      </c>
    </row>
    <row r="25" spans="2:5" ht="15" customHeight="1">
      <c r="B25" s="75"/>
      <c r="C25" s="31" t="s">
        <v>10</v>
      </c>
      <c r="D25" s="30">
        <v>1</v>
      </c>
      <c r="E25" s="29">
        <v>1.3888888888888888E-2</v>
      </c>
    </row>
    <row r="26" spans="2:5" ht="15" customHeight="1">
      <c r="B26" s="75"/>
      <c r="C26" s="31" t="s">
        <v>12</v>
      </c>
      <c r="D26" s="30">
        <v>2</v>
      </c>
      <c r="E26" s="29">
        <v>2.7777777777777776E-2</v>
      </c>
    </row>
    <row r="27" spans="2:5" ht="15" customHeight="1">
      <c r="B27" s="74"/>
      <c r="C27" s="28" t="s">
        <v>3</v>
      </c>
      <c r="D27" s="27">
        <v>11</v>
      </c>
      <c r="E27" s="26">
        <v>0.15277777777777779</v>
      </c>
    </row>
    <row r="28" spans="2:5" ht="15" customHeight="1">
      <c r="B28" s="73" t="s">
        <v>39</v>
      </c>
      <c r="C28" s="31" t="s">
        <v>16</v>
      </c>
      <c r="D28" s="30">
        <v>1</v>
      </c>
      <c r="E28" s="29">
        <v>1.3888888888888888E-2</v>
      </c>
    </row>
    <row r="29" spans="2:5" ht="15" customHeight="1">
      <c r="B29" s="75"/>
      <c r="C29" s="31" t="s">
        <v>14</v>
      </c>
      <c r="D29" s="30">
        <v>1</v>
      </c>
      <c r="E29" s="29">
        <v>1.3888888888888888E-2</v>
      </c>
    </row>
    <row r="30" spans="2:5" ht="15" customHeight="1">
      <c r="B30" s="75"/>
      <c r="C30" s="31" t="s">
        <v>18</v>
      </c>
      <c r="D30" s="30">
        <v>1</v>
      </c>
      <c r="E30" s="29">
        <v>1.3888888888888888E-2</v>
      </c>
    </row>
    <row r="31" spans="2:5" ht="15" customHeight="1">
      <c r="B31" s="75"/>
      <c r="C31" s="31" t="s">
        <v>10</v>
      </c>
      <c r="D31" s="30">
        <v>1</v>
      </c>
      <c r="E31" s="29">
        <v>1.3888888888888888E-2</v>
      </c>
    </row>
    <row r="32" spans="2:5" ht="15" customHeight="1">
      <c r="B32" s="74"/>
      <c r="C32" s="28" t="s">
        <v>3</v>
      </c>
      <c r="D32" s="27">
        <v>4</v>
      </c>
      <c r="E32" s="26">
        <v>5.5555555555555552E-2</v>
      </c>
    </row>
    <row r="33" spans="2:5" ht="15" customHeight="1">
      <c r="B33" s="73" t="s">
        <v>38</v>
      </c>
      <c r="C33" s="31" t="s">
        <v>17</v>
      </c>
      <c r="D33" s="30">
        <v>1</v>
      </c>
      <c r="E33" s="29">
        <v>1.3888888888888888E-2</v>
      </c>
    </row>
    <row r="34" spans="2:5" ht="15" customHeight="1">
      <c r="B34" s="75"/>
      <c r="C34" s="31" t="s">
        <v>15</v>
      </c>
      <c r="D34" s="30">
        <v>1</v>
      </c>
      <c r="E34" s="29">
        <v>1.3888888888888888E-2</v>
      </c>
    </row>
    <row r="35" spans="2:5" ht="15" customHeight="1">
      <c r="B35" s="75"/>
      <c r="C35" s="31" t="s">
        <v>14</v>
      </c>
      <c r="D35" s="30">
        <v>1</v>
      </c>
      <c r="E35" s="29">
        <v>1.3888888888888888E-2</v>
      </c>
    </row>
    <row r="36" spans="2:5" ht="15" customHeight="1">
      <c r="B36" s="75"/>
      <c r="C36" s="31" t="s">
        <v>18</v>
      </c>
      <c r="D36" s="30">
        <v>1</v>
      </c>
      <c r="E36" s="29">
        <v>1.3888888888888888E-2</v>
      </c>
    </row>
    <row r="37" spans="2:5" ht="15" customHeight="1">
      <c r="B37" s="74"/>
      <c r="C37" s="28" t="s">
        <v>3</v>
      </c>
      <c r="D37" s="27">
        <v>4</v>
      </c>
      <c r="E37" s="26">
        <v>5.5555555555555552E-2</v>
      </c>
    </row>
    <row r="38" spans="2:5" ht="15" customHeight="1">
      <c r="B38" s="73" t="s">
        <v>37</v>
      </c>
      <c r="C38" s="31" t="s">
        <v>9</v>
      </c>
      <c r="D38" s="30">
        <v>1</v>
      </c>
      <c r="E38" s="29">
        <v>1.3888888888888888E-2</v>
      </c>
    </row>
    <row r="39" spans="2:5" ht="15" customHeight="1">
      <c r="B39" s="75"/>
      <c r="C39" s="31" t="s">
        <v>8</v>
      </c>
      <c r="D39" s="30">
        <v>1</v>
      </c>
      <c r="E39" s="29">
        <v>1.3888888888888888E-2</v>
      </c>
    </row>
    <row r="40" spans="2:5" ht="15" customHeight="1">
      <c r="B40" s="75"/>
      <c r="C40" s="31" t="s">
        <v>11</v>
      </c>
      <c r="D40" s="30">
        <v>2</v>
      </c>
      <c r="E40" s="29">
        <v>2.7777777777777776E-2</v>
      </c>
    </row>
    <row r="41" spans="2:5" ht="15" customHeight="1">
      <c r="B41" s="75"/>
      <c r="C41" s="31" t="s">
        <v>16</v>
      </c>
      <c r="D41" s="30">
        <v>1</v>
      </c>
      <c r="E41" s="29">
        <v>1.3888888888888888E-2</v>
      </c>
    </row>
    <row r="42" spans="2:5" ht="15" customHeight="1">
      <c r="B42" s="75"/>
      <c r="C42" s="31" t="s">
        <v>17</v>
      </c>
      <c r="D42" s="30">
        <v>2</v>
      </c>
      <c r="E42" s="29">
        <v>2.7777777777777776E-2</v>
      </c>
    </row>
    <row r="43" spans="2:5" ht="15" customHeight="1">
      <c r="B43" s="75"/>
      <c r="C43" s="31" t="s">
        <v>15</v>
      </c>
      <c r="D43" s="30">
        <v>1</v>
      </c>
      <c r="E43" s="29">
        <v>1.3888888888888888E-2</v>
      </c>
    </row>
    <row r="44" spans="2:5" ht="15" customHeight="1">
      <c r="B44" s="75"/>
      <c r="C44" s="31" t="s">
        <v>7</v>
      </c>
      <c r="D44" s="30">
        <v>2</v>
      </c>
      <c r="E44" s="29">
        <v>2.7777777777777776E-2</v>
      </c>
    </row>
    <row r="45" spans="2:5" ht="15" customHeight="1">
      <c r="B45" s="75"/>
      <c r="C45" s="31" t="s">
        <v>14</v>
      </c>
      <c r="D45" s="30">
        <v>2</v>
      </c>
      <c r="E45" s="29">
        <v>2.7777777777777776E-2</v>
      </c>
    </row>
    <row r="46" spans="2:5" ht="15" customHeight="1">
      <c r="B46" s="75"/>
      <c r="C46" s="31" t="s">
        <v>18</v>
      </c>
      <c r="D46" s="30">
        <v>2</v>
      </c>
      <c r="E46" s="29">
        <v>2.7777777777777776E-2</v>
      </c>
    </row>
    <row r="47" spans="2:5" ht="15" customHeight="1">
      <c r="B47" s="75"/>
      <c r="C47" s="31" t="s">
        <v>4</v>
      </c>
      <c r="D47" s="30">
        <v>1</v>
      </c>
      <c r="E47" s="29">
        <v>1.3888888888888888E-2</v>
      </c>
    </row>
    <row r="48" spans="2:5" ht="15" customHeight="1">
      <c r="B48" s="75"/>
      <c r="C48" s="31" t="s">
        <v>13</v>
      </c>
      <c r="D48" s="30">
        <v>2</v>
      </c>
      <c r="E48" s="29">
        <v>2.7777777777777776E-2</v>
      </c>
    </row>
    <row r="49" spans="2:5" ht="15" customHeight="1">
      <c r="B49" s="75"/>
      <c r="C49" s="31" t="s">
        <v>86</v>
      </c>
      <c r="D49" s="30">
        <v>1</v>
      </c>
      <c r="E49" s="29">
        <v>1.3888888888888888E-2</v>
      </c>
    </row>
    <row r="50" spans="2:5" ht="15" customHeight="1">
      <c r="B50" s="75"/>
      <c r="C50" s="31" t="s">
        <v>6</v>
      </c>
      <c r="D50" s="30">
        <v>1</v>
      </c>
      <c r="E50" s="29">
        <v>1.3888888888888888E-2</v>
      </c>
    </row>
    <row r="51" spans="2:5" ht="15" customHeight="1">
      <c r="B51" s="75"/>
      <c r="C51" s="31" t="s">
        <v>87</v>
      </c>
      <c r="D51" s="30">
        <v>1</v>
      </c>
      <c r="E51" s="29">
        <v>1.3888888888888888E-2</v>
      </c>
    </row>
    <row r="52" spans="2:5" ht="15" customHeight="1">
      <c r="B52" s="75"/>
      <c r="C52" s="31" t="s">
        <v>12</v>
      </c>
      <c r="D52" s="30">
        <v>2</v>
      </c>
      <c r="E52" s="29">
        <v>2.7777777777777776E-2</v>
      </c>
    </row>
    <row r="53" spans="2:5" ht="15" customHeight="1">
      <c r="B53" s="74"/>
      <c r="C53" s="28" t="s">
        <v>3</v>
      </c>
      <c r="D53" s="27">
        <v>22</v>
      </c>
      <c r="E53" s="26">
        <v>0.30555555555555558</v>
      </c>
    </row>
    <row r="54" spans="2:5" ht="15" customHeight="1">
      <c r="B54" s="73" t="s">
        <v>83</v>
      </c>
      <c r="C54" s="31" t="s">
        <v>11</v>
      </c>
      <c r="D54" s="30">
        <v>1</v>
      </c>
      <c r="E54" s="29">
        <v>1.3888888888888888E-2</v>
      </c>
    </row>
    <row r="55" spans="2:5" ht="15" customHeight="1">
      <c r="B55" s="74"/>
      <c r="C55" s="28" t="s">
        <v>3</v>
      </c>
      <c r="D55" s="27">
        <v>1</v>
      </c>
      <c r="E55" s="26">
        <v>1.3888888888888888E-2</v>
      </c>
    </row>
    <row r="56" spans="2:5" ht="15" customHeight="1">
      <c r="B56" s="73" t="s">
        <v>35</v>
      </c>
      <c r="C56" s="31" t="s">
        <v>11</v>
      </c>
      <c r="D56" s="30">
        <v>2</v>
      </c>
      <c r="E56" s="29">
        <v>2.7777777777777776E-2</v>
      </c>
    </row>
    <row r="57" spans="2:5" ht="15" customHeight="1">
      <c r="B57" s="75"/>
      <c r="C57" s="31" t="s">
        <v>17</v>
      </c>
      <c r="D57" s="30">
        <v>2</v>
      </c>
      <c r="E57" s="29">
        <v>2.7777777777777776E-2</v>
      </c>
    </row>
    <row r="58" spans="2:5" ht="15" customHeight="1">
      <c r="B58" s="75"/>
      <c r="C58" s="31" t="s">
        <v>14</v>
      </c>
      <c r="D58" s="30">
        <v>1</v>
      </c>
      <c r="E58" s="29">
        <v>1.3888888888888888E-2</v>
      </c>
    </row>
    <row r="59" spans="2:5" ht="15" customHeight="1">
      <c r="B59" s="75"/>
      <c r="C59" s="31" t="s">
        <v>18</v>
      </c>
      <c r="D59" s="30">
        <v>1</v>
      </c>
      <c r="E59" s="29">
        <v>1.3888888888888888E-2</v>
      </c>
    </row>
    <row r="60" spans="2:5" ht="15" customHeight="1">
      <c r="B60" s="75"/>
      <c r="C60" s="31" t="s">
        <v>13</v>
      </c>
      <c r="D60" s="30">
        <v>1</v>
      </c>
      <c r="E60" s="29">
        <v>1.3888888888888888E-2</v>
      </c>
    </row>
    <row r="61" spans="2:5" ht="15" customHeight="1">
      <c r="B61" s="75"/>
      <c r="C61" s="31" t="s">
        <v>12</v>
      </c>
      <c r="D61" s="30">
        <v>1</v>
      </c>
      <c r="E61" s="29">
        <v>1.3888888888888888E-2</v>
      </c>
    </row>
    <row r="62" spans="2:5" ht="15" customHeight="1">
      <c r="B62" s="74"/>
      <c r="C62" s="28" t="s">
        <v>3</v>
      </c>
      <c r="D62" s="27">
        <v>8</v>
      </c>
      <c r="E62" s="26">
        <v>0.1111111111111111</v>
      </c>
    </row>
    <row r="63" spans="2:5" ht="15" customHeight="1">
      <c r="B63" s="73" t="s">
        <v>34</v>
      </c>
      <c r="C63" s="31" t="s">
        <v>11</v>
      </c>
      <c r="D63" s="30">
        <v>1</v>
      </c>
      <c r="E63" s="29">
        <v>1.3888888888888888E-2</v>
      </c>
    </row>
    <row r="64" spans="2:5" ht="15" customHeight="1">
      <c r="B64" s="75"/>
      <c r="C64" s="31" t="s">
        <v>17</v>
      </c>
      <c r="D64" s="30">
        <v>2</v>
      </c>
      <c r="E64" s="29">
        <v>2.7777777777777776E-2</v>
      </c>
    </row>
    <row r="65" spans="2:6" ht="15" customHeight="1">
      <c r="B65" s="75"/>
      <c r="C65" s="31" t="s">
        <v>7</v>
      </c>
      <c r="D65" s="30">
        <v>1</v>
      </c>
      <c r="E65" s="29">
        <v>1.3888888888888888E-2</v>
      </c>
    </row>
    <row r="66" spans="2:6" ht="15" customHeight="1">
      <c r="B66" s="75"/>
      <c r="C66" s="31" t="s">
        <v>14</v>
      </c>
      <c r="D66" s="30">
        <v>1</v>
      </c>
      <c r="E66" s="29">
        <v>1.3888888888888888E-2</v>
      </c>
    </row>
    <row r="67" spans="2:6" ht="15" customHeight="1">
      <c r="B67" s="75"/>
      <c r="C67" s="31" t="s">
        <v>5</v>
      </c>
      <c r="D67" s="30">
        <v>1</v>
      </c>
      <c r="E67" s="29">
        <v>1.3888888888888888E-2</v>
      </c>
    </row>
    <row r="68" spans="2:6" ht="15" customHeight="1">
      <c r="B68" s="75"/>
      <c r="C68" s="31" t="s">
        <v>18</v>
      </c>
      <c r="D68" s="30">
        <v>2</v>
      </c>
      <c r="E68" s="29">
        <v>2.7777777777777776E-2</v>
      </c>
    </row>
    <row r="69" spans="2:6" ht="15" customHeight="1">
      <c r="B69" s="75"/>
      <c r="C69" s="31" t="s">
        <v>87</v>
      </c>
      <c r="D69" s="30">
        <v>1</v>
      </c>
      <c r="E69" s="29">
        <v>1.3888888888888888E-2</v>
      </c>
    </row>
    <row r="70" spans="2:6" ht="15" customHeight="1">
      <c r="B70" s="75"/>
      <c r="C70" s="31" t="s">
        <v>12</v>
      </c>
      <c r="D70" s="30">
        <v>2</v>
      </c>
      <c r="E70" s="29">
        <v>2.7777777777777776E-2</v>
      </c>
    </row>
    <row r="71" spans="2:6" ht="15" customHeight="1">
      <c r="B71" s="74"/>
      <c r="C71" s="28" t="s">
        <v>3</v>
      </c>
      <c r="D71" s="27">
        <v>11</v>
      </c>
      <c r="E71" s="26">
        <v>0.15277777777777779</v>
      </c>
    </row>
    <row r="72" spans="2:6" ht="15" customHeight="1">
      <c r="B72" s="73" t="s">
        <v>125</v>
      </c>
      <c r="C72" s="31" t="s">
        <v>17</v>
      </c>
      <c r="D72" s="30">
        <v>1</v>
      </c>
      <c r="E72" s="29">
        <v>1.3888888888888888E-2</v>
      </c>
    </row>
    <row r="73" spans="2:6" ht="15" customHeight="1">
      <c r="B73" s="74"/>
      <c r="C73" s="28" t="s">
        <v>3</v>
      </c>
      <c r="D73" s="27">
        <v>1</v>
      </c>
      <c r="E73" s="26">
        <v>1.3888888888888888E-2</v>
      </c>
    </row>
    <row r="74" spans="2:6" ht="15" customHeight="1">
      <c r="B74" s="76" t="s">
        <v>3</v>
      </c>
      <c r="C74" s="77"/>
      <c r="D74" s="25">
        <v>72</v>
      </c>
      <c r="E74" s="24">
        <v>1</v>
      </c>
    </row>
    <row r="76" spans="2:6" ht="15" customHeight="1">
      <c r="B76" s="1"/>
      <c r="C76" s="3" t="s">
        <v>88</v>
      </c>
      <c r="D76"/>
      <c r="E76"/>
      <c r="F76" s="1"/>
    </row>
    <row r="77" spans="2:6" ht="15" customHeight="1">
      <c r="B77" s="1"/>
      <c r="C77" s="5" t="s">
        <v>2</v>
      </c>
      <c r="D77"/>
      <c r="E77"/>
      <c r="F77" s="1"/>
    </row>
    <row r="78" spans="2:6" ht="15" customHeight="1">
      <c r="B78" s="1"/>
      <c r="C78" s="4" t="s">
        <v>1</v>
      </c>
      <c r="D78"/>
      <c r="E78"/>
      <c r="F78" s="1"/>
    </row>
    <row r="79" spans="2:6" ht="15" customHeight="1">
      <c r="B79" s="1"/>
      <c r="C79" s="3" t="s">
        <v>0</v>
      </c>
      <c r="D79"/>
      <c r="E79"/>
      <c r="F79" s="1"/>
    </row>
    <row r="80" spans="2:6" ht="15" customHeight="1">
      <c r="B80" s="1"/>
      <c r="C80" s="3" t="s">
        <v>89</v>
      </c>
      <c r="D80"/>
      <c r="E80"/>
      <c r="F80" s="1"/>
    </row>
  </sheetData>
  <mergeCells count="13">
    <mergeCell ref="B7:E8"/>
    <mergeCell ref="B74:C74"/>
    <mergeCell ref="B10:B11"/>
    <mergeCell ref="B12:B14"/>
    <mergeCell ref="B15:B19"/>
    <mergeCell ref="B20:B27"/>
    <mergeCell ref="B28:B32"/>
    <mergeCell ref="B33:B37"/>
    <mergeCell ref="B38:B53"/>
    <mergeCell ref="B54:B55"/>
    <mergeCell ref="B56:B62"/>
    <mergeCell ref="B63:B71"/>
    <mergeCell ref="B72:B73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  <pageSetUpPr fitToPage="1"/>
  </sheetPr>
  <dimension ref="A1:E20"/>
  <sheetViews>
    <sheetView showGridLines="0" zoomScaleNormal="100" zoomScaleSheetLayoutView="115" workbookViewId="0">
      <selection activeCell="D14" sqref="D14"/>
    </sheetView>
  </sheetViews>
  <sheetFormatPr baseColWidth="10" defaultColWidth="11.42578125" defaultRowHeight="1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5" s="13" customFormat="1" ht="15" customHeight="1">
      <c r="C1" s="19"/>
    </row>
    <row r="2" spans="1:5" s="13" customFormat="1" ht="15" customHeight="1">
      <c r="C2" s="19"/>
    </row>
    <row r="3" spans="1:5" s="13" customFormat="1" ht="15" customHeight="1">
      <c r="C3" s="19"/>
    </row>
    <row r="4" spans="1:5" s="13" customFormat="1" ht="30" customHeight="1">
      <c r="C4" s="19"/>
      <c r="D4" s="18"/>
    </row>
    <row r="5" spans="1:5" s="13" customFormat="1" ht="15" customHeight="1">
      <c r="C5" s="19"/>
      <c r="D5" s="18"/>
    </row>
    <row r="6" spans="1:5" s="13" customFormat="1" ht="15" customHeight="1">
      <c r="C6" s="19"/>
      <c r="D6" s="18"/>
    </row>
    <row r="7" spans="1:5" s="13" customFormat="1" ht="15" customHeight="1">
      <c r="B7" s="72" t="s">
        <v>126</v>
      </c>
      <c r="C7" s="72"/>
      <c r="D7" s="72"/>
    </row>
    <row r="8" spans="1:5" s="13" customFormat="1" ht="15" customHeight="1">
      <c r="B8" s="72"/>
      <c r="C8" s="72"/>
      <c r="D8" s="72"/>
    </row>
    <row r="9" spans="1:5" s="13" customFormat="1" ht="33" customHeight="1">
      <c r="B9" s="72"/>
      <c r="C9" s="72"/>
      <c r="D9" s="72"/>
    </row>
    <row r="10" spans="1:5" s="13" customFormat="1" ht="4.5" customHeight="1">
      <c r="B10" s="17"/>
      <c r="C10" s="17"/>
      <c r="D10" s="17"/>
    </row>
    <row r="11" spans="1:5" s="13" customFormat="1" ht="33" customHeight="1">
      <c r="B11" s="16" t="s">
        <v>49</v>
      </c>
      <c r="C11" s="15" t="s">
        <v>20</v>
      </c>
      <c r="D11" s="14" t="s">
        <v>19</v>
      </c>
    </row>
    <row r="12" spans="1:5">
      <c r="B12" s="11" t="s">
        <v>48</v>
      </c>
      <c r="C12" s="10">
        <v>56</v>
      </c>
      <c r="D12" s="9">
        <v>0.77777777777777779</v>
      </c>
    </row>
    <row r="13" spans="1:5">
      <c r="B13" s="11" t="s">
        <v>47</v>
      </c>
      <c r="C13" s="10">
        <v>16</v>
      </c>
      <c r="D13" s="9">
        <v>0.22222222222222221</v>
      </c>
    </row>
    <row r="14" spans="1:5">
      <c r="B14" s="8" t="s">
        <v>46</v>
      </c>
      <c r="C14" s="7">
        <v>72</v>
      </c>
      <c r="D14" s="6">
        <v>1</v>
      </c>
    </row>
    <row r="15" spans="1:5">
      <c r="A15" s="12"/>
      <c r="B15" s="12"/>
      <c r="C15" s="44"/>
      <c r="D15" s="12"/>
      <c r="E15" s="12"/>
    </row>
    <row r="16" spans="1:5">
      <c r="B16" s="3" t="s">
        <v>88</v>
      </c>
      <c r="C16"/>
      <c r="D16"/>
    </row>
    <row r="17" spans="2:4">
      <c r="B17" s="5" t="s">
        <v>2</v>
      </c>
      <c r="C17"/>
      <c r="D17"/>
    </row>
    <row r="18" spans="2:4">
      <c r="B18" s="4" t="s">
        <v>1</v>
      </c>
      <c r="C18"/>
      <c r="D18"/>
    </row>
    <row r="19" spans="2:4">
      <c r="B19" s="3" t="s">
        <v>0</v>
      </c>
      <c r="C19"/>
      <c r="D19"/>
    </row>
    <row r="20" spans="2:4">
      <c r="B20" s="3" t="s">
        <v>89</v>
      </c>
      <c r="C20"/>
      <c r="D20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orientation="portrait" r:id="rId1"/>
  <headerFooter>
    <oddFooter>&amp;C&amp;P de &amp;N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381"/>
  <sheetViews>
    <sheetView topLeftCell="A26" zoomScale="112" zoomScaleNormal="112" zoomScaleSheetLayoutView="100" workbookViewId="0">
      <selection activeCell="C51" sqref="C51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9" customFormat="1" ht="12" customHeight="1">
      <c r="B1" s="43"/>
      <c r="C1" s="42"/>
      <c r="D1" s="42"/>
      <c r="E1" s="42"/>
    </row>
    <row r="2" spans="1:5" s="39" customFormat="1" ht="15" customHeight="1">
      <c r="C2" s="41"/>
    </row>
    <row r="3" spans="1:5" s="39" customFormat="1" ht="15" customHeight="1">
      <c r="C3" s="41"/>
    </row>
    <row r="4" spans="1:5" s="39" customFormat="1" ht="30" customHeight="1">
      <c r="C4" s="41"/>
      <c r="D4" s="40"/>
    </row>
    <row r="5" spans="1:5" s="39" customFormat="1" ht="15" customHeight="1">
      <c r="C5" s="41"/>
      <c r="D5" s="40"/>
    </row>
    <row r="6" spans="1:5" s="36" customFormat="1" ht="24" customHeight="1">
      <c r="B6" s="38"/>
      <c r="C6" s="32"/>
      <c r="D6" s="32"/>
      <c r="E6" s="32"/>
    </row>
    <row r="7" spans="1:5" s="36" customFormat="1" ht="26.25" customHeight="1">
      <c r="A7" s="37"/>
      <c r="B7" s="78"/>
      <c r="C7" s="78"/>
      <c r="D7" s="78"/>
      <c r="E7" s="78"/>
    </row>
    <row r="8" spans="1:5" s="36" customFormat="1" ht="33" customHeight="1">
      <c r="A8" s="37"/>
      <c r="B8" s="78"/>
      <c r="C8" s="78"/>
      <c r="D8" s="78"/>
      <c r="E8" s="78"/>
    </row>
    <row r="9" spans="1:5" s="13" customFormat="1" ht="40.5" customHeight="1">
      <c r="B9" s="33" t="s">
        <v>21</v>
      </c>
      <c r="C9" s="35" t="s">
        <v>49</v>
      </c>
      <c r="D9" s="34" t="s">
        <v>20</v>
      </c>
      <c r="E9" s="33" t="s">
        <v>19</v>
      </c>
    </row>
    <row r="10" spans="1:5" ht="15" customHeight="1">
      <c r="B10" s="73" t="s">
        <v>9</v>
      </c>
      <c r="C10" s="31" t="s">
        <v>51</v>
      </c>
      <c r="D10" s="30">
        <v>2</v>
      </c>
      <c r="E10" s="29">
        <v>2.7777777777777776E-2</v>
      </c>
    </row>
    <row r="11" spans="1:5" ht="15" customHeight="1">
      <c r="B11" s="74"/>
      <c r="C11" s="28" t="s">
        <v>3</v>
      </c>
      <c r="D11" s="27">
        <v>2</v>
      </c>
      <c r="E11" s="26">
        <v>2.7777777777777776E-2</v>
      </c>
    </row>
    <row r="12" spans="1:5" ht="15" customHeight="1">
      <c r="B12" s="73" t="s">
        <v>8</v>
      </c>
      <c r="C12" s="31" t="s">
        <v>51</v>
      </c>
      <c r="D12" s="30">
        <v>1</v>
      </c>
      <c r="E12" s="29">
        <v>1.3888888888888888E-2</v>
      </c>
    </row>
    <row r="13" spans="1:5" ht="15" customHeight="1">
      <c r="B13" s="74"/>
      <c r="C13" s="28" t="s">
        <v>3</v>
      </c>
      <c r="D13" s="27">
        <v>1</v>
      </c>
      <c r="E13" s="26">
        <v>1.3888888888888888E-2</v>
      </c>
    </row>
    <row r="14" spans="1:5" ht="15" customHeight="1">
      <c r="B14" s="73" t="s">
        <v>11</v>
      </c>
      <c r="C14" s="31" t="s">
        <v>51</v>
      </c>
      <c r="D14" s="30">
        <v>5</v>
      </c>
      <c r="E14" s="29">
        <v>6.9444444444444448E-2</v>
      </c>
    </row>
    <row r="15" spans="1:5" ht="15" customHeight="1">
      <c r="B15" s="75"/>
      <c r="C15" s="31" t="s">
        <v>50</v>
      </c>
      <c r="D15" s="30">
        <v>1</v>
      </c>
      <c r="E15" s="29">
        <v>1.3888888888888888E-2</v>
      </c>
    </row>
    <row r="16" spans="1:5" ht="15" customHeight="1">
      <c r="B16" s="74"/>
      <c r="C16" s="28" t="s">
        <v>3</v>
      </c>
      <c r="D16" s="27">
        <v>6</v>
      </c>
      <c r="E16" s="26">
        <v>8.3333333333333329E-2</v>
      </c>
    </row>
    <row r="17" spans="2:5" ht="15" customHeight="1">
      <c r="B17" s="73" t="s">
        <v>16</v>
      </c>
      <c r="C17" s="31" t="s">
        <v>51</v>
      </c>
      <c r="D17" s="30">
        <v>4</v>
      </c>
      <c r="E17" s="29">
        <v>5.5555555555555552E-2</v>
      </c>
    </row>
    <row r="18" spans="2:5" ht="15" customHeight="1">
      <c r="B18" s="75"/>
      <c r="C18" s="31" t="s">
        <v>50</v>
      </c>
      <c r="D18" s="30">
        <v>2</v>
      </c>
      <c r="E18" s="29">
        <v>2.7777777777777776E-2</v>
      </c>
    </row>
    <row r="19" spans="2:5" ht="15" customHeight="1">
      <c r="B19" s="74"/>
      <c r="C19" s="28" t="s">
        <v>3</v>
      </c>
      <c r="D19" s="27">
        <v>6</v>
      </c>
      <c r="E19" s="26">
        <v>8.3333333333333329E-2</v>
      </c>
    </row>
    <row r="20" spans="2:5" ht="15" customHeight="1">
      <c r="B20" s="73" t="s">
        <v>17</v>
      </c>
      <c r="C20" s="31" t="s">
        <v>51</v>
      </c>
      <c r="D20" s="30">
        <v>6</v>
      </c>
      <c r="E20" s="29">
        <v>8.3333333333333329E-2</v>
      </c>
    </row>
    <row r="21" spans="2:5" ht="15" customHeight="1">
      <c r="B21" s="75"/>
      <c r="C21" s="31" t="s">
        <v>50</v>
      </c>
      <c r="D21" s="30">
        <v>2</v>
      </c>
      <c r="E21" s="29">
        <v>2.7777777777777776E-2</v>
      </c>
    </row>
    <row r="22" spans="2:5" ht="15" customHeight="1">
      <c r="B22" s="74"/>
      <c r="C22" s="28" t="s">
        <v>3</v>
      </c>
      <c r="D22" s="27">
        <v>8</v>
      </c>
      <c r="E22" s="26">
        <v>0.1111111111111111</v>
      </c>
    </row>
    <row r="23" spans="2:5" ht="15" customHeight="1">
      <c r="B23" s="73" t="s">
        <v>15</v>
      </c>
      <c r="C23" s="31" t="s">
        <v>51</v>
      </c>
      <c r="D23" s="30">
        <v>5</v>
      </c>
      <c r="E23" s="29">
        <v>6.9444444444444448E-2</v>
      </c>
    </row>
    <row r="24" spans="2:5" ht="15" customHeight="1">
      <c r="B24" s="74"/>
      <c r="C24" s="28" t="s">
        <v>3</v>
      </c>
      <c r="D24" s="27">
        <v>5</v>
      </c>
      <c r="E24" s="26">
        <v>6.9444444444444448E-2</v>
      </c>
    </row>
    <row r="25" spans="2:5" ht="15" customHeight="1">
      <c r="B25" s="73" t="s">
        <v>7</v>
      </c>
      <c r="C25" s="31" t="s">
        <v>51</v>
      </c>
      <c r="D25" s="30">
        <v>5</v>
      </c>
      <c r="E25" s="29">
        <v>6.9444444444444448E-2</v>
      </c>
    </row>
    <row r="26" spans="2:5" ht="15" customHeight="1">
      <c r="B26" s="75"/>
      <c r="C26" s="31" t="s">
        <v>50</v>
      </c>
      <c r="D26" s="30">
        <v>3</v>
      </c>
      <c r="E26" s="29">
        <v>4.1666666666666664E-2</v>
      </c>
    </row>
    <row r="27" spans="2:5" ht="15" customHeight="1">
      <c r="B27" s="74"/>
      <c r="C27" s="28" t="s">
        <v>3</v>
      </c>
      <c r="D27" s="27">
        <v>8</v>
      </c>
      <c r="E27" s="26">
        <v>0.1111111111111111</v>
      </c>
    </row>
    <row r="28" spans="2:5" ht="15" customHeight="1">
      <c r="B28" s="73" t="s">
        <v>14</v>
      </c>
      <c r="C28" s="31" t="s">
        <v>51</v>
      </c>
      <c r="D28" s="30">
        <v>7</v>
      </c>
      <c r="E28" s="29">
        <v>9.7222222222222224E-2</v>
      </c>
    </row>
    <row r="29" spans="2:5" ht="15" customHeight="1">
      <c r="B29" s="75"/>
      <c r="C29" s="31" t="s">
        <v>50</v>
      </c>
      <c r="D29" s="30">
        <v>1</v>
      </c>
      <c r="E29" s="29">
        <v>1.3888888888888888E-2</v>
      </c>
    </row>
    <row r="30" spans="2:5" ht="15" customHeight="1">
      <c r="B30" s="74"/>
      <c r="C30" s="28" t="s">
        <v>3</v>
      </c>
      <c r="D30" s="27">
        <v>8</v>
      </c>
      <c r="E30" s="26">
        <v>0.1111111111111111</v>
      </c>
    </row>
    <row r="31" spans="2:5" ht="15" customHeight="1">
      <c r="B31" s="73" t="s">
        <v>5</v>
      </c>
      <c r="C31" s="31" t="s">
        <v>51</v>
      </c>
      <c r="D31" s="30">
        <v>1</v>
      </c>
      <c r="E31" s="29">
        <v>1.3888888888888888E-2</v>
      </c>
    </row>
    <row r="32" spans="2:5" ht="15" customHeight="1">
      <c r="B32" s="74"/>
      <c r="C32" s="28" t="s">
        <v>3</v>
      </c>
      <c r="D32" s="27">
        <v>1</v>
      </c>
      <c r="E32" s="26">
        <v>1.3888888888888888E-2</v>
      </c>
    </row>
    <row r="33" spans="2:5" ht="15" customHeight="1">
      <c r="B33" s="73" t="s">
        <v>18</v>
      </c>
      <c r="C33" s="31" t="s">
        <v>51</v>
      </c>
      <c r="D33" s="30">
        <v>9</v>
      </c>
      <c r="E33" s="29">
        <v>0.125</v>
      </c>
    </row>
    <row r="34" spans="2:5" ht="15" customHeight="1">
      <c r="B34" s="74"/>
      <c r="C34" s="28" t="s">
        <v>3</v>
      </c>
      <c r="D34" s="27">
        <v>9</v>
      </c>
      <c r="E34" s="26">
        <v>0.125</v>
      </c>
    </row>
    <row r="35" spans="2:5" ht="15" customHeight="1">
      <c r="B35" s="73" t="s">
        <v>10</v>
      </c>
      <c r="C35" s="31" t="s">
        <v>51</v>
      </c>
      <c r="D35" s="30">
        <v>1</v>
      </c>
      <c r="E35" s="29">
        <v>1.3888888888888888E-2</v>
      </c>
    </row>
    <row r="36" spans="2:5" ht="15" customHeight="1">
      <c r="B36" s="75"/>
      <c r="C36" s="31" t="s">
        <v>50</v>
      </c>
      <c r="D36" s="30">
        <v>1</v>
      </c>
      <c r="E36" s="29">
        <v>1.3888888888888888E-2</v>
      </c>
    </row>
    <row r="37" spans="2:5" ht="15" customHeight="1">
      <c r="B37" s="74"/>
      <c r="C37" s="28" t="s">
        <v>3</v>
      </c>
      <c r="D37" s="27">
        <v>2</v>
      </c>
      <c r="E37" s="26">
        <v>2.7777777777777776E-2</v>
      </c>
    </row>
    <row r="38" spans="2:5" ht="15" customHeight="1">
      <c r="B38" s="73" t="s">
        <v>4</v>
      </c>
      <c r="C38" s="31" t="s">
        <v>51</v>
      </c>
      <c r="D38" s="30">
        <v>1</v>
      </c>
      <c r="E38" s="29">
        <v>1.3888888888888888E-2</v>
      </c>
    </row>
    <row r="39" spans="2:5" ht="15" customHeight="1">
      <c r="B39" s="74"/>
      <c r="C39" s="28" t="s">
        <v>3</v>
      </c>
      <c r="D39" s="27">
        <v>1</v>
      </c>
      <c r="E39" s="26">
        <v>1.3888888888888888E-2</v>
      </c>
    </row>
    <row r="40" spans="2:5" ht="15" customHeight="1">
      <c r="B40" s="73" t="s">
        <v>13</v>
      </c>
      <c r="C40" s="31" t="s">
        <v>51</v>
      </c>
      <c r="D40" s="30">
        <v>1</v>
      </c>
      <c r="E40" s="29">
        <v>1.3888888888888888E-2</v>
      </c>
    </row>
    <row r="41" spans="2:5" ht="15" customHeight="1">
      <c r="B41" s="75"/>
      <c r="C41" s="31" t="s">
        <v>50</v>
      </c>
      <c r="D41" s="30">
        <v>2</v>
      </c>
      <c r="E41" s="29">
        <v>2.7777777777777776E-2</v>
      </c>
    </row>
    <row r="42" spans="2:5" ht="15" customHeight="1">
      <c r="B42" s="74"/>
      <c r="C42" s="28" t="s">
        <v>3</v>
      </c>
      <c r="D42" s="27">
        <v>3</v>
      </c>
      <c r="E42" s="26">
        <v>4.1666666666666664E-2</v>
      </c>
    </row>
    <row r="43" spans="2:5" ht="15" customHeight="1">
      <c r="B43" s="73" t="s">
        <v>86</v>
      </c>
      <c r="C43" s="31" t="s">
        <v>51</v>
      </c>
      <c r="D43" s="30">
        <v>2</v>
      </c>
      <c r="E43" s="29">
        <v>2.7777777777777776E-2</v>
      </c>
    </row>
    <row r="44" spans="2:5" ht="15" customHeight="1">
      <c r="B44" s="74"/>
      <c r="C44" s="28" t="s">
        <v>3</v>
      </c>
      <c r="D44" s="27">
        <v>2</v>
      </c>
      <c r="E44" s="26">
        <v>2.7777777777777776E-2</v>
      </c>
    </row>
    <row r="45" spans="2:5" ht="15" customHeight="1">
      <c r="B45" s="73" t="s">
        <v>6</v>
      </c>
      <c r="C45" s="31" t="s">
        <v>51</v>
      </c>
      <c r="D45" s="30">
        <v>1</v>
      </c>
      <c r="E45" s="29">
        <v>1.3888888888888888E-2</v>
      </c>
    </row>
    <row r="46" spans="2:5" ht="15" customHeight="1">
      <c r="B46" s="74"/>
      <c r="C46" s="28" t="s">
        <v>3</v>
      </c>
      <c r="D46" s="27">
        <v>1</v>
      </c>
      <c r="E46" s="26">
        <v>1.3888888888888888E-2</v>
      </c>
    </row>
    <row r="47" spans="2:5" ht="15" customHeight="1">
      <c r="B47" s="73" t="s">
        <v>87</v>
      </c>
      <c r="C47" s="31" t="s">
        <v>50</v>
      </c>
      <c r="D47" s="30">
        <v>2</v>
      </c>
      <c r="E47" s="29">
        <v>2.7777777777777776E-2</v>
      </c>
    </row>
    <row r="48" spans="2:5" ht="15" customHeight="1">
      <c r="B48" s="74"/>
      <c r="C48" s="28" t="s">
        <v>3</v>
      </c>
      <c r="D48" s="27">
        <v>2</v>
      </c>
      <c r="E48" s="26">
        <v>2.7777777777777776E-2</v>
      </c>
    </row>
    <row r="49" spans="2:6" ht="15" customHeight="1">
      <c r="B49" s="73" t="s">
        <v>12</v>
      </c>
      <c r="C49" s="31" t="s">
        <v>51</v>
      </c>
      <c r="D49" s="30">
        <v>5</v>
      </c>
      <c r="E49" s="29">
        <v>6.9444444444444448E-2</v>
      </c>
    </row>
    <row r="50" spans="2:6" ht="15" customHeight="1">
      <c r="B50" s="75"/>
      <c r="C50" s="31" t="s">
        <v>50</v>
      </c>
      <c r="D50" s="30">
        <v>2</v>
      </c>
      <c r="E50" s="29">
        <v>2.7777777777777776E-2</v>
      </c>
    </row>
    <row r="51" spans="2:6" ht="15" customHeight="1">
      <c r="B51" s="74"/>
      <c r="C51" s="28" t="s">
        <v>3</v>
      </c>
      <c r="D51" s="27">
        <v>7</v>
      </c>
      <c r="E51" s="26">
        <v>9.7222222222222224E-2</v>
      </c>
    </row>
    <row r="52" spans="2:6" ht="15" customHeight="1">
      <c r="B52" s="76" t="s">
        <v>3</v>
      </c>
      <c r="C52" s="77"/>
      <c r="D52" s="25">
        <f>SUMIF(C10:C51,"TOTAL",D10:D51)</f>
        <v>72</v>
      </c>
      <c r="E52" s="24">
        <v>1</v>
      </c>
    </row>
    <row r="54" spans="2:6" ht="15" customHeight="1">
      <c r="B54" s="1"/>
      <c r="C54" s="3" t="s">
        <v>88</v>
      </c>
      <c r="D54"/>
      <c r="E54"/>
      <c r="F54" s="1"/>
    </row>
    <row r="55" spans="2:6" ht="15" customHeight="1">
      <c r="B55" s="1"/>
      <c r="C55" s="5" t="s">
        <v>2</v>
      </c>
      <c r="D55"/>
      <c r="E55"/>
      <c r="F55" s="1"/>
    </row>
    <row r="56" spans="2:6" ht="15" customHeight="1">
      <c r="B56" s="1"/>
      <c r="C56" s="4" t="s">
        <v>1</v>
      </c>
      <c r="D56"/>
      <c r="E56"/>
      <c r="F56" s="1"/>
    </row>
    <row r="57" spans="2:6" ht="15" customHeight="1">
      <c r="B57" s="1"/>
      <c r="C57" s="3" t="s">
        <v>0</v>
      </c>
      <c r="D57"/>
      <c r="E57"/>
      <c r="F57" s="1"/>
    </row>
    <row r="58" spans="2:6" ht="15" customHeight="1">
      <c r="B58" s="1"/>
      <c r="C58" s="3" t="s">
        <v>89</v>
      </c>
      <c r="D58"/>
      <c r="E58"/>
      <c r="F58" s="1"/>
    </row>
    <row r="377" spans="2:2" s="21" customFormat="1" ht="15" customHeight="1">
      <c r="B377" s="22"/>
    </row>
    <row r="378" spans="2:2" s="21" customFormat="1" ht="15" customHeight="1">
      <c r="B378" s="23"/>
    </row>
    <row r="379" spans="2:2" s="21" customFormat="1" ht="15" customHeight="1">
      <c r="B379" s="23"/>
    </row>
    <row r="380" spans="2:2" s="21" customFormat="1" ht="15" customHeight="1">
      <c r="B380" s="22"/>
    </row>
    <row r="381" spans="2:2" s="21" customFormat="1" ht="15" customHeight="1">
      <c r="B381" s="22"/>
    </row>
  </sheetData>
  <mergeCells count="19">
    <mergeCell ref="B49:B51"/>
    <mergeCell ref="B52:C52"/>
    <mergeCell ref="B28:B30"/>
    <mergeCell ref="B7:E8"/>
    <mergeCell ref="B38:B39"/>
    <mergeCell ref="B40:B42"/>
    <mergeCell ref="B47:B48"/>
    <mergeCell ref="B43:B44"/>
    <mergeCell ref="B45:B46"/>
    <mergeCell ref="B23:B24"/>
    <mergeCell ref="B25:B27"/>
    <mergeCell ref="B31:B32"/>
    <mergeCell ref="B33:B34"/>
    <mergeCell ref="B35:B37"/>
    <mergeCell ref="B10:B11"/>
    <mergeCell ref="B12:B13"/>
    <mergeCell ref="B14:B16"/>
    <mergeCell ref="B17:B19"/>
    <mergeCell ref="B20:B22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F466"/>
  <sheetViews>
    <sheetView zoomScale="115" zoomScaleNormal="115" zoomScaleSheetLayoutView="100" workbookViewId="0">
      <selection activeCell="C19" sqref="C19"/>
    </sheetView>
  </sheetViews>
  <sheetFormatPr baseColWidth="10" defaultColWidth="35" defaultRowHeight="15" customHeight="1"/>
  <cols>
    <col min="1" max="1" width="1" style="20" customWidth="1"/>
    <col min="2" max="2" width="22.85546875" style="21" customWidth="1"/>
    <col min="3" max="3" width="31.42578125" style="21" customWidth="1"/>
    <col min="4" max="4" width="14.28515625" style="21" customWidth="1"/>
    <col min="5" max="5" width="16.85546875" style="21" customWidth="1"/>
    <col min="6" max="16384" width="35" style="20"/>
  </cols>
  <sheetData>
    <row r="1" spans="1:5" s="39" customFormat="1" ht="12" customHeight="1">
      <c r="B1" s="43"/>
      <c r="C1" s="42"/>
      <c r="D1" s="42"/>
      <c r="E1" s="42"/>
    </row>
    <row r="2" spans="1:5" s="39" customFormat="1" ht="15" customHeight="1">
      <c r="C2" s="41"/>
    </row>
    <row r="3" spans="1:5" s="39" customFormat="1" ht="15" customHeight="1">
      <c r="C3" s="41"/>
    </row>
    <row r="4" spans="1:5" s="39" customFormat="1" ht="30" customHeight="1">
      <c r="C4" s="41"/>
      <c r="D4" s="40"/>
    </row>
    <row r="5" spans="1:5" s="39" customFormat="1" ht="15" customHeight="1">
      <c r="C5" s="41"/>
      <c r="D5" s="40"/>
    </row>
    <row r="6" spans="1:5" s="36" customFormat="1" ht="24" customHeight="1">
      <c r="B6" s="38"/>
      <c r="C6" s="32"/>
      <c r="D6" s="32"/>
      <c r="E6" s="32"/>
    </row>
    <row r="7" spans="1:5" s="36" customFormat="1" ht="26.25" customHeight="1">
      <c r="A7" s="37"/>
      <c r="B7" s="78"/>
      <c r="C7" s="78"/>
      <c r="D7" s="78"/>
      <c r="E7" s="78"/>
    </row>
    <row r="8" spans="1:5" s="36" customFormat="1" ht="33" customHeight="1">
      <c r="A8" s="37"/>
      <c r="B8" s="78"/>
      <c r="C8" s="78"/>
      <c r="D8" s="78"/>
      <c r="E8" s="78"/>
    </row>
    <row r="9" spans="1:5" s="13" customFormat="1" ht="40.5" customHeight="1">
      <c r="B9" s="33" t="s">
        <v>49</v>
      </c>
      <c r="C9" s="35" t="s">
        <v>58</v>
      </c>
      <c r="D9" s="34" t="s">
        <v>20</v>
      </c>
      <c r="E9" s="33" t="s">
        <v>19</v>
      </c>
    </row>
    <row r="10" spans="1:5" ht="15" customHeight="1">
      <c r="B10" s="73" t="s">
        <v>51</v>
      </c>
      <c r="C10" s="31" t="s">
        <v>57</v>
      </c>
      <c r="D10" s="30">
        <v>3</v>
      </c>
      <c r="E10" s="29">
        <v>4.1666666666666664E-2</v>
      </c>
    </row>
    <row r="11" spans="1:5" ht="15" customHeight="1">
      <c r="B11" s="75"/>
      <c r="C11" s="31" t="s">
        <v>56</v>
      </c>
      <c r="D11" s="30">
        <v>15</v>
      </c>
      <c r="E11" s="29">
        <v>0.20833333333333334</v>
      </c>
    </row>
    <row r="12" spans="1:5" ht="15" customHeight="1">
      <c r="B12" s="75"/>
      <c r="C12" s="31" t="s">
        <v>55</v>
      </c>
      <c r="D12" s="30">
        <v>22</v>
      </c>
      <c r="E12" s="29">
        <v>0.30555555555555558</v>
      </c>
    </row>
    <row r="13" spans="1:5" ht="15" customHeight="1">
      <c r="B13" s="75"/>
      <c r="C13" s="31" t="s">
        <v>54</v>
      </c>
      <c r="D13" s="30">
        <v>10</v>
      </c>
      <c r="E13" s="29">
        <v>0.1388888888888889</v>
      </c>
    </row>
    <row r="14" spans="1:5" ht="15" customHeight="1">
      <c r="B14" s="75"/>
      <c r="C14" s="31" t="s">
        <v>53</v>
      </c>
      <c r="D14" s="30">
        <v>5</v>
      </c>
      <c r="E14" s="29">
        <v>6.9444444444444448E-2</v>
      </c>
    </row>
    <row r="15" spans="1:5" ht="15" customHeight="1">
      <c r="B15" s="74"/>
      <c r="C15" s="31" t="s">
        <v>52</v>
      </c>
      <c r="D15" s="30">
        <v>1</v>
      </c>
      <c r="E15" s="29">
        <v>1.3888888888888888E-2</v>
      </c>
    </row>
    <row r="16" spans="1:5" ht="15" customHeight="1">
      <c r="B16" s="73" t="s">
        <v>50</v>
      </c>
      <c r="C16" s="31" t="s">
        <v>56</v>
      </c>
      <c r="D16" s="30">
        <v>3</v>
      </c>
      <c r="E16" s="29">
        <v>4.1666666666666664E-2</v>
      </c>
    </row>
    <row r="17" spans="2:6" ht="15" customHeight="1">
      <c r="B17" s="75"/>
      <c r="C17" s="31" t="s">
        <v>55</v>
      </c>
      <c r="D17" s="30">
        <v>5</v>
      </c>
      <c r="E17" s="29">
        <v>6.9444444444444448E-2</v>
      </c>
    </row>
    <row r="18" spans="2:6" ht="15" customHeight="1">
      <c r="B18" s="75"/>
      <c r="C18" s="31" t="s">
        <v>54</v>
      </c>
      <c r="D18" s="30">
        <v>7</v>
      </c>
      <c r="E18" s="29">
        <v>9.7222222222222224E-2</v>
      </c>
    </row>
    <row r="19" spans="2:6" ht="15" customHeight="1">
      <c r="B19" s="74"/>
      <c r="C19" s="31" t="s">
        <v>53</v>
      </c>
      <c r="D19" s="30">
        <v>1</v>
      </c>
      <c r="E19" s="29">
        <v>1.3888888888888888E-2</v>
      </c>
    </row>
    <row r="20" spans="2:6" ht="15" customHeight="1">
      <c r="B20" s="76" t="s">
        <v>3</v>
      </c>
      <c r="C20" s="77"/>
      <c r="D20" s="25">
        <v>72</v>
      </c>
      <c r="E20" s="24">
        <v>1</v>
      </c>
    </row>
    <row r="22" spans="2:6" ht="15" customHeight="1">
      <c r="B22" s="1"/>
      <c r="C22" s="3" t="s">
        <v>88</v>
      </c>
      <c r="D22"/>
      <c r="E22"/>
      <c r="F22" s="1"/>
    </row>
    <row r="23" spans="2:6" ht="15" customHeight="1">
      <c r="B23" s="1"/>
      <c r="C23" s="5" t="s">
        <v>2</v>
      </c>
      <c r="D23"/>
      <c r="E23"/>
      <c r="F23" s="1"/>
    </row>
    <row r="24" spans="2:6" ht="15" customHeight="1">
      <c r="B24" s="1"/>
      <c r="C24" s="4" t="s">
        <v>1</v>
      </c>
      <c r="D24"/>
      <c r="E24"/>
      <c r="F24" s="1"/>
    </row>
    <row r="25" spans="2:6" ht="15" customHeight="1">
      <c r="B25" s="1"/>
      <c r="C25" s="3" t="s">
        <v>0</v>
      </c>
      <c r="D25"/>
      <c r="E25"/>
      <c r="F25" s="1"/>
    </row>
    <row r="26" spans="2:6" ht="15" customHeight="1">
      <c r="B26" s="1"/>
      <c r="C26" s="3" t="s">
        <v>89</v>
      </c>
      <c r="D26"/>
      <c r="E26"/>
      <c r="F26" s="1"/>
    </row>
    <row r="462" spans="2:2" s="21" customFormat="1" ht="15" customHeight="1">
      <c r="B462" s="22"/>
    </row>
    <row r="463" spans="2:2" s="21" customFormat="1" ht="15" customHeight="1">
      <c r="B463" s="23"/>
    </row>
    <row r="464" spans="2:2" s="21" customFormat="1" ht="15" customHeight="1">
      <c r="B464" s="23"/>
    </row>
    <row r="465" spans="2:2" s="21" customFormat="1" ht="15" customHeight="1">
      <c r="B465" s="22"/>
    </row>
    <row r="466" spans="2:2" s="21" customFormat="1" ht="15" customHeight="1">
      <c r="B466" s="22"/>
    </row>
  </sheetData>
  <mergeCells count="4">
    <mergeCell ref="B20:C20"/>
    <mergeCell ref="B7:E8"/>
    <mergeCell ref="B10:B15"/>
    <mergeCell ref="B16:B19"/>
  </mergeCells>
  <printOptions horizont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  <pageSetUpPr fitToPage="1"/>
  </sheetPr>
  <dimension ref="A1:E29"/>
  <sheetViews>
    <sheetView showGridLines="0" zoomScaleNormal="100" zoomScaleSheetLayoutView="115" workbookViewId="0">
      <selection activeCell="D11" sqref="D11"/>
    </sheetView>
  </sheetViews>
  <sheetFormatPr baseColWidth="10" defaultColWidth="11.42578125" defaultRowHeight="1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1:5" s="13" customFormat="1" ht="15" customHeight="1">
      <c r="C1" s="19"/>
    </row>
    <row r="2" spans="1:5" s="13" customFormat="1" ht="15" customHeight="1">
      <c r="C2" s="19"/>
    </row>
    <row r="3" spans="1:5" s="13" customFormat="1" ht="15" customHeight="1">
      <c r="C3" s="19"/>
    </row>
    <row r="4" spans="1:5" s="13" customFormat="1" ht="30" customHeight="1">
      <c r="C4" s="19"/>
      <c r="D4" s="18"/>
    </row>
    <row r="5" spans="1:5" s="13" customFormat="1" ht="15" customHeight="1">
      <c r="C5" s="19"/>
      <c r="D5" s="18"/>
    </row>
    <row r="6" spans="1:5" s="13" customFormat="1" ht="15" customHeight="1">
      <c r="C6" s="19"/>
      <c r="D6" s="18"/>
    </row>
    <row r="7" spans="1:5" s="13" customFormat="1" ht="15" customHeight="1">
      <c r="B7" s="72" t="s">
        <v>127</v>
      </c>
      <c r="C7" s="72"/>
      <c r="D7" s="72"/>
    </row>
    <row r="8" spans="1:5" s="13" customFormat="1" ht="15" customHeight="1">
      <c r="B8" s="72"/>
      <c r="C8" s="72"/>
      <c r="D8" s="72"/>
    </row>
    <row r="9" spans="1:5" s="13" customFormat="1" ht="33" customHeight="1">
      <c r="B9" s="72"/>
      <c r="C9" s="72"/>
      <c r="D9" s="72"/>
    </row>
    <row r="10" spans="1:5" s="13" customFormat="1" ht="4.5" customHeight="1">
      <c r="B10" s="17"/>
      <c r="C10" s="17"/>
      <c r="D10" s="17"/>
    </row>
    <row r="11" spans="1:5" s="13" customFormat="1" ht="33" customHeight="1">
      <c r="B11" s="16" t="s">
        <v>70</v>
      </c>
      <c r="C11" s="15" t="s">
        <v>20</v>
      </c>
      <c r="D11" s="14" t="s">
        <v>19</v>
      </c>
    </row>
    <row r="12" spans="1:5">
      <c r="B12" s="11" t="s">
        <v>69</v>
      </c>
      <c r="C12" s="10">
        <v>18</v>
      </c>
      <c r="D12" s="9">
        <v>0.25</v>
      </c>
    </row>
    <row r="13" spans="1:5">
      <c r="B13" s="11" t="s">
        <v>65</v>
      </c>
      <c r="C13" s="10">
        <v>13</v>
      </c>
      <c r="D13" s="9">
        <v>0.18055555555555555</v>
      </c>
    </row>
    <row r="14" spans="1:5">
      <c r="A14" s="12"/>
      <c r="B14" s="11" t="s">
        <v>68</v>
      </c>
      <c r="C14" s="10">
        <v>11</v>
      </c>
      <c r="D14" s="9">
        <v>0.15277777777777779</v>
      </c>
      <c r="E14" s="12"/>
    </row>
    <row r="15" spans="1:5">
      <c r="A15" s="12"/>
      <c r="B15" s="11" t="s">
        <v>66</v>
      </c>
      <c r="C15" s="10">
        <v>9</v>
      </c>
      <c r="D15" s="9">
        <v>0.125</v>
      </c>
      <c r="E15" s="12"/>
    </row>
    <row r="16" spans="1:5">
      <c r="B16" s="11" t="s">
        <v>67</v>
      </c>
      <c r="C16" s="10">
        <v>6</v>
      </c>
      <c r="D16" s="9">
        <v>8.3333333333333329E-2</v>
      </c>
    </row>
    <row r="17" spans="2:4">
      <c r="B17" s="11" t="s">
        <v>61</v>
      </c>
      <c r="C17" s="10">
        <v>5</v>
      </c>
      <c r="D17" s="9">
        <v>6.9444444444444448E-2</v>
      </c>
    </row>
    <row r="18" spans="2:4">
      <c r="B18" s="11" t="s">
        <v>64</v>
      </c>
      <c r="C18" s="10">
        <v>4</v>
      </c>
      <c r="D18" s="9">
        <v>5.5555555555555552E-2</v>
      </c>
    </row>
    <row r="19" spans="2:4">
      <c r="B19" s="11" t="s">
        <v>63</v>
      </c>
      <c r="C19" s="10">
        <v>2</v>
      </c>
      <c r="D19" s="9">
        <v>2.7777777777777776E-2</v>
      </c>
    </row>
    <row r="20" spans="2:4">
      <c r="B20" s="11" t="s">
        <v>59</v>
      </c>
      <c r="C20" s="10">
        <v>2</v>
      </c>
      <c r="D20" s="9">
        <v>2.7777777777777776E-2</v>
      </c>
    </row>
    <row r="21" spans="2:4">
      <c r="B21" s="11" t="s">
        <v>62</v>
      </c>
      <c r="C21" s="10">
        <v>1</v>
      </c>
      <c r="D21" s="9">
        <v>1.3888888888888888E-2</v>
      </c>
    </row>
    <row r="22" spans="2:4">
      <c r="B22" s="11" t="s">
        <v>60</v>
      </c>
      <c r="C22" s="10">
        <v>1</v>
      </c>
      <c r="D22" s="9">
        <v>1.3888888888888888E-2</v>
      </c>
    </row>
    <row r="23" spans="2:4">
      <c r="B23" s="8" t="s">
        <v>3</v>
      </c>
      <c r="C23" s="7">
        <v>72</v>
      </c>
      <c r="D23" s="6">
        <v>1</v>
      </c>
    </row>
    <row r="25" spans="2:4">
      <c r="B25" s="3" t="s">
        <v>88</v>
      </c>
      <c r="C25"/>
      <c r="D25"/>
    </row>
    <row r="26" spans="2:4">
      <c r="B26" s="5" t="s">
        <v>2</v>
      </c>
      <c r="C26"/>
      <c r="D26"/>
    </row>
    <row r="27" spans="2:4">
      <c r="B27" s="4" t="s">
        <v>1</v>
      </c>
      <c r="C27"/>
      <c r="D27"/>
    </row>
    <row r="28" spans="2:4">
      <c r="B28" s="3" t="s">
        <v>0</v>
      </c>
      <c r="C28"/>
      <c r="D28"/>
    </row>
    <row r="29" spans="2:4">
      <c r="B29" s="3" t="s">
        <v>89</v>
      </c>
      <c r="C29"/>
      <c r="D29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2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13</vt:i4>
      </vt:variant>
    </vt:vector>
  </HeadingPairs>
  <TitlesOfParts>
    <vt:vector size="22" baseType="lpstr">
      <vt:lpstr>Índice</vt:lpstr>
      <vt:lpstr>West Virginia_Edomexgral</vt:lpstr>
      <vt:lpstr>West Virginia_EDOMEX</vt:lpstr>
      <vt:lpstr>West Virginia_Educagral</vt:lpstr>
      <vt:lpstr>West Virginia_Eduedo</vt:lpstr>
      <vt:lpstr>West Virginia_gengral</vt:lpstr>
      <vt:lpstr>West Virginia_edomexgen</vt:lpstr>
      <vt:lpstr>West Virginia_edadgen</vt:lpstr>
      <vt:lpstr>West Virginia_ocupgral</vt:lpstr>
      <vt:lpstr>Índice!Área_de_impresión</vt:lpstr>
      <vt:lpstr>'West Virginia_edadgen'!Área_de_impresión</vt:lpstr>
      <vt:lpstr>'West Virginia_EDOMEX'!Área_de_impresión</vt:lpstr>
      <vt:lpstr>'West Virginia_edomexgen'!Área_de_impresión</vt:lpstr>
      <vt:lpstr>'West Virginia_Eduedo'!Área_de_impresión</vt:lpstr>
      <vt:lpstr>'West Virginia_edadgen'!Títulos_a_imprimir</vt:lpstr>
      <vt:lpstr>'West Virginia_EDOMEX'!Títulos_a_imprimir</vt:lpstr>
      <vt:lpstr>'West Virginia_edomexgen'!Títulos_a_imprimir</vt:lpstr>
      <vt:lpstr>'West Virginia_Edomexgral'!Títulos_a_imprimir</vt:lpstr>
      <vt:lpstr>'West Virginia_Educagral'!Títulos_a_imprimir</vt:lpstr>
      <vt:lpstr>'West Virginia_Eduedo'!Títulos_a_imprimir</vt:lpstr>
      <vt:lpstr>'West Virginia_gengral'!Títulos_a_imprimir</vt:lpstr>
      <vt:lpstr>'West Virginia_ocupgral'!Títulos_a_imprimir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2020-05-18T09:52:18Z</dcterms:created>
  <dcterms:modified xsi:type="dcterms:W3CDTF">2023-09-14T18:37:20Z</dcterms:modified>
</cp:coreProperties>
</file>