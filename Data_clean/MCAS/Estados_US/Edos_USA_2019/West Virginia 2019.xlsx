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álisisInfo2.7\Matrículas\Anual\Matrículas2019\Tablas_estadísticas 2019\USA\Finales_USA 4.8.20\"/>
    </mc:Choice>
  </mc:AlternateContent>
  <bookViews>
    <workbookView xWindow="0" yWindow="0" windowWidth="11880" windowHeight="7320" firstSheet="5" activeTab="8"/>
  </bookViews>
  <sheets>
    <sheet name="Índice" sheetId="10" r:id="rId1"/>
    <sheet name="West Virginia_Edomexgral" sheetId="2" r:id="rId2"/>
    <sheet name="West Virginia_EDOMEX" sheetId="12" r:id="rId3"/>
    <sheet name="West Virginia_Educagral" sheetId="4" r:id="rId4"/>
    <sheet name="West Virginia_Eduedo" sheetId="11" r:id="rId5"/>
    <sheet name="West Virginia_gengral" sheetId="6" r:id="rId6"/>
    <sheet name="West Virginia_edomexgen" sheetId="7" r:id="rId7"/>
    <sheet name="West Virginia_edadgen" sheetId="8" r:id="rId8"/>
    <sheet name="West Virginia_ocupgral" sheetId="9" r:id="rId9"/>
  </sheets>
  <definedNames>
    <definedName name="_xlnm._FilterDatabase" localSheetId="7" hidden="1">'West Virginia_edadgen'!$B$9:$E$13</definedName>
    <definedName name="_xlnm._FilterDatabase" localSheetId="2" hidden="1">'West Virginia_EDOMEX'!$B$9:$E$13</definedName>
    <definedName name="_xlnm._FilterDatabase" localSheetId="6" hidden="1">'West Virginia_edomexgen'!$B$9:$E$10</definedName>
    <definedName name="_xlnm._FilterDatabase" localSheetId="1" hidden="1">'West Virginia_Edomexgral'!$B$11:$D$12</definedName>
    <definedName name="_xlnm._FilterDatabase" localSheetId="3" hidden="1">'West Virginia_Educagral'!$B$11:$D$12</definedName>
    <definedName name="_xlnm._FilterDatabase" localSheetId="4" hidden="1">'West Virginia_Eduedo'!$B$9:$E$13</definedName>
    <definedName name="_xlnm._FilterDatabase" localSheetId="5" hidden="1">'West Virginia_gengral'!$B$11:$D$12</definedName>
    <definedName name="_xlnm._FilterDatabase" localSheetId="8" hidden="1">'West Virginia_ocupgral'!$B$11:$D$12</definedName>
    <definedName name="_xlnm.Print_Area" localSheetId="0">Índice!$A$1:$D$21</definedName>
    <definedName name="_xlnm.Print_Area" localSheetId="7">'West Virginia_edadgen'!$A$1:$E$27</definedName>
    <definedName name="_xlnm.Print_Area" localSheetId="2">'West Virginia_EDOMEX'!$A$1:$E$139</definedName>
    <definedName name="_xlnm.Print_Area" localSheetId="6">'West Virginia_edomexgen'!$A$1:$E$76</definedName>
    <definedName name="_xlnm.Print_Area" localSheetId="4">'West Virginia_Eduedo'!$A$1:$E$107</definedName>
    <definedName name="_xlnm.Print_Titles" localSheetId="7">'West Virginia_edadgen'!$1:$9</definedName>
    <definedName name="_xlnm.Print_Titles" localSheetId="2">'West Virginia_EDOMEX'!$1:$9</definedName>
    <definedName name="_xlnm.Print_Titles" localSheetId="6">'West Virginia_edomexgen'!$1:$9</definedName>
    <definedName name="_xlnm.Print_Titles" localSheetId="1">'West Virginia_Edomexgral'!$1:$11</definedName>
    <definedName name="_xlnm.Print_Titles" localSheetId="3">'West Virginia_Educagral'!$1:$11</definedName>
    <definedName name="_xlnm.Print_Titles" localSheetId="4">'West Virginia_Eduedo'!$1:$9</definedName>
    <definedName name="_xlnm.Print_Titles" localSheetId="5">'West Virginia_gengral'!$1:$11</definedName>
    <definedName name="_xlnm.Print_Titles" localSheetId="8">'West Virginia_ocupgral'!$1:$11</definedName>
  </definedNames>
  <calcPr calcId="152511"/>
</workbook>
</file>

<file path=xl/calcChain.xml><?xml version="1.0" encoding="utf-8"?>
<calcChain xmlns="http://schemas.openxmlformats.org/spreadsheetml/2006/main">
  <c r="D133" i="12" l="1"/>
  <c r="D70" i="7" l="1"/>
</calcChain>
</file>

<file path=xl/sharedStrings.xml><?xml version="1.0" encoding="utf-8"?>
<sst xmlns="http://schemas.openxmlformats.org/spreadsheetml/2006/main" count="490" uniqueCount="187">
  <si>
    <t>Abril de 2020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</si>
  <si>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</si>
  <si>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</si>
  <si>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</si>
  <si>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800,811</t>
  </si>
  <si>
    <t>Total</t>
  </si>
  <si>
    <t>Quintana Roo</t>
  </si>
  <si>
    <t>Nuevo León</t>
  </si>
  <si>
    <t>Campeche</t>
  </si>
  <si>
    <t>Baja California</t>
  </si>
  <si>
    <t>Nayarit</t>
  </si>
  <si>
    <t>Morelos</t>
  </si>
  <si>
    <t>Durango</t>
  </si>
  <si>
    <t>Tamaulipas</t>
  </si>
  <si>
    <t>Querétaro</t>
  </si>
  <si>
    <t>Jalisco</t>
  </si>
  <si>
    <t>Zacatecas</t>
  </si>
  <si>
    <t>Chihuahua</t>
  </si>
  <si>
    <t>Hidalgo</t>
  </si>
  <si>
    <t>Chiapas</t>
  </si>
  <si>
    <t>Puebla</t>
  </si>
  <si>
    <t>Ciudad de México</t>
  </si>
  <si>
    <t>Veracruz</t>
  </si>
  <si>
    <t>San Luis Potosí</t>
  </si>
  <si>
    <t>Michoacán</t>
  </si>
  <si>
    <t>Guerrero</t>
  </si>
  <si>
    <t>Estado de México</t>
  </si>
  <si>
    <t>Guanajuato</t>
  </si>
  <si>
    <t>Oaxaca</t>
  </si>
  <si>
    <t>Porcentaje de Matrículas</t>
  </si>
  <si>
    <t>Número de Matrículas</t>
  </si>
  <si>
    <t>Estado de Origen</t>
  </si>
  <si>
    <t>MATRÍCULAS CONSULARES DE ALTA SEGURIDAD EXPEDIDAS EN EL ESTADO DE WEST VIRGINIA EN EE.UU. POR ESTADO DE LA REPÚBLICA MEXICANA DURANTE EL 2019</t>
  </si>
  <si>
    <t>Valparaíso</t>
  </si>
  <si>
    <t>Sain Alto</t>
  </si>
  <si>
    <t>Tlapacoyan</t>
  </si>
  <si>
    <t>San Juan Evangelista</t>
  </si>
  <si>
    <t>Minatitlán</t>
  </si>
  <si>
    <t>Lerdo de Tejada</t>
  </si>
  <si>
    <t>Hidalgotitlán</t>
  </si>
  <si>
    <t>Chocamán</t>
  </si>
  <si>
    <t>Atzalan</t>
  </si>
  <si>
    <t>Matamoros</t>
  </si>
  <si>
    <t>Mainero</t>
  </si>
  <si>
    <t>Moctezuma</t>
  </si>
  <si>
    <t>Matehuala</t>
  </si>
  <si>
    <t>Guadalcázar</t>
  </si>
  <si>
    <t>Aquismón</t>
  </si>
  <si>
    <t>Alaquines</t>
  </si>
  <si>
    <t>Benito Juárez</t>
  </si>
  <si>
    <t>Pinal de Amoles</t>
  </si>
  <si>
    <t>Venustiano Carranza</t>
  </si>
  <si>
    <t>Teziutlán</t>
  </si>
  <si>
    <t>San Salvador el Verde</t>
  </si>
  <si>
    <t>Palmar de Bravo</t>
  </si>
  <si>
    <t>Huauchinango</t>
  </si>
  <si>
    <t>Villa de Tututepec de Melchor Ocampo</t>
  </si>
  <si>
    <t>Tlacolula de Matamoros</t>
  </si>
  <si>
    <t>Santos Reyes Nopala</t>
  </si>
  <si>
    <t>Santiago Comaltepec</t>
  </si>
  <si>
    <t>Santa María Zacatepec</t>
  </si>
  <si>
    <t>Santa María Ozolotepec</t>
  </si>
  <si>
    <t>Santa María Colotepec</t>
  </si>
  <si>
    <t>Santa Catarina Juquila</t>
  </si>
  <si>
    <t>San Sebastián Ixcapa</t>
  </si>
  <si>
    <t>San Pedro Pochutla</t>
  </si>
  <si>
    <t>San Miguel Peras</t>
  </si>
  <si>
    <t>San Miguel el Grande</t>
  </si>
  <si>
    <t>San Martín Peras</t>
  </si>
  <si>
    <t>San José del Progreso</t>
  </si>
  <si>
    <t>Putla Villa de Guerrero</t>
  </si>
  <si>
    <t>Linares</t>
  </si>
  <si>
    <t>Compostela</t>
  </si>
  <si>
    <t>Emiliano Zapata</t>
  </si>
  <si>
    <t>Amacuzac</t>
  </si>
  <si>
    <t>Tuxpan</t>
  </si>
  <si>
    <t>Parácuaro</t>
  </si>
  <si>
    <t>Paracho</t>
  </si>
  <si>
    <t>Jiménez</t>
  </si>
  <si>
    <t>Coeneo</t>
  </si>
  <si>
    <t>Apatzingán</t>
  </si>
  <si>
    <t>Degollado</t>
  </si>
  <si>
    <t>Tulancingo de Bravo</t>
  </si>
  <si>
    <t>Tenango de Doria</t>
  </si>
  <si>
    <t>Pacula</t>
  </si>
  <si>
    <t>Mineral del Chico</t>
  </si>
  <si>
    <t>Huichapan</t>
  </si>
  <si>
    <t>Tlapa de Comonfort</t>
  </si>
  <si>
    <t>San Luis Acatlán</t>
  </si>
  <si>
    <t>Petatlán</t>
  </si>
  <si>
    <t>Ometepec</t>
  </si>
  <si>
    <t>Malinaltepec</t>
  </si>
  <si>
    <t>Coyuca de Catalán</t>
  </si>
  <si>
    <t>Silao de la Victoria</t>
  </si>
  <si>
    <t>Salvatierra</t>
  </si>
  <si>
    <t>Salamanca</t>
  </si>
  <si>
    <t>Pénjamo</t>
  </si>
  <si>
    <t>Irapuato</t>
  </si>
  <si>
    <t>Dolores Hidalgo Cuna de la Independencia Nacional</t>
  </si>
  <si>
    <t>Cortazar</t>
  </si>
  <si>
    <t>Celaya</t>
  </si>
  <si>
    <t>San Miguel de Allende</t>
  </si>
  <si>
    <t>Acámbaro</t>
  </si>
  <si>
    <t>Abasolo</t>
  </si>
  <si>
    <t>Tultitlán</t>
  </si>
  <si>
    <t>Tlatlaya</t>
  </si>
  <si>
    <t>Sultepec</t>
  </si>
  <si>
    <t>Jocotitlán</t>
  </si>
  <si>
    <t>Jilotepec</t>
  </si>
  <si>
    <t>Ecatepec de Morelos</t>
  </si>
  <si>
    <t>Almoloya de Alquisiras</t>
  </si>
  <si>
    <t>Miguel Hidalgo</t>
  </si>
  <si>
    <t>Iztacalco</t>
  </si>
  <si>
    <t>Cuauhtémoc</t>
  </si>
  <si>
    <t>Azcapotzalco</t>
  </si>
  <si>
    <t>Álvaro Obregón</t>
  </si>
  <si>
    <t>Valle de Zaragoza</t>
  </si>
  <si>
    <t>Meoqui</t>
  </si>
  <si>
    <t>Hidalgo del Parral</t>
  </si>
  <si>
    <t>Tapalapa</t>
  </si>
  <si>
    <t>Las Margaritas</t>
  </si>
  <si>
    <t>La Concordia</t>
  </si>
  <si>
    <t>Juárez</t>
  </si>
  <si>
    <t>Chamula</t>
  </si>
  <si>
    <t>Tijuana</t>
  </si>
  <si>
    <t>Municipio Origen</t>
  </si>
  <si>
    <t>Profesional Titulado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</si>
  <si>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</si>
  <si>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</si>
  <si>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</si>
  <si>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</si>
  <si>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</si>
  <si>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</si>
  <si>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</si>
  <si>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Primaria con certificado</t>
  </si>
  <si>
    <t>6° Primaria</t>
  </si>
  <si>
    <t>4° Primaria</t>
  </si>
  <si>
    <t>3° Primaria</t>
  </si>
  <si>
    <t>Sin Estudios</t>
  </si>
  <si>
    <t>Nivel de Estudios</t>
  </si>
  <si>
    <t>MATRÍCULAS CONSULARES EXPEDIDAS EN EL ESTADO DE WEST VIRGINIA EN EE.UU. POR NIVEL DE EDUCACIÓN</t>
  </si>
  <si>
    <t>TOTAL</t>
  </si>
  <si>
    <t>MUJER</t>
  </si>
  <si>
    <t>HOMBRE</t>
  </si>
  <si>
    <t>Género</t>
  </si>
  <si>
    <t>MATRÍCULAS CONSULARES DE ALTA SEGURIDAD EXPEDIDAS EN EE.UU A MEXICANOS EN EL ESTADO DE WEST VIRGINIA, POR GÉNERO 2019</t>
  </si>
  <si>
    <t>Mujer</t>
  </si>
  <si>
    <t>Hombre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</si>
  <si>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</si>
  <si>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</si>
  <si>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</si>
  <si>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</si>
  <si>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</si>
  <si>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</si>
  <si>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</si>
  <si>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</si>
  <si>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Pintor(a)</t>
  </si>
  <si>
    <t>Comerciante</t>
  </si>
  <si>
    <t>Operario(a)</t>
  </si>
  <si>
    <t>Jardinero(a)</t>
  </si>
  <si>
    <t>Estudiante</t>
  </si>
  <si>
    <t>Albañil</t>
  </si>
  <si>
    <t>Campesino(a)</t>
  </si>
  <si>
    <t>Obrero(a)</t>
  </si>
  <si>
    <t>Mesero(a)</t>
  </si>
  <si>
    <t>Cocinero(a)</t>
  </si>
  <si>
    <t>Otro</t>
  </si>
  <si>
    <t>Hogar</t>
  </si>
  <si>
    <t>Empleado(a)</t>
  </si>
  <si>
    <t>Ocupación</t>
  </si>
  <si>
    <t>MATRÍCULAS CONSULARES DE ALTA SEGURIDAD EXPEDIDAS EN EE.UU A MEXICANOS EN EL ESTADO DE  WEST VIRGINIA, POR PERFIL OCUPACIONAL 2019</t>
  </si>
  <si>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</si>
  <si>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</si>
  <si>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</si>
  <si>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</si>
  <si>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</si>
  <si>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</si>
  <si>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</si>
  <si>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</si>
  <si>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</si>
  <si>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</si>
  <si>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</si>
  <si>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</si>
  <si>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>Matrículas consulares expedidas a mexicanos  en el estado de West Virginia  en el 2019</t>
  </si>
  <si>
    <t>Profesional titulado</t>
  </si>
  <si>
    <t>Capacitación técnica</t>
  </si>
  <si>
    <t>Vicente Guerrero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</si>
</sst>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9"/>
      <color indexed="9"/>
      <name val="Montserrat"/>
    </font>
    <font>
      <b/>
      <sz val="11"/>
      <name val="Arial Narrow"/>
      <family val="2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6" fillId="0" borderId="0"/>
    <xf numFmtId="0" fontId="22" fillId="0" borderId="0" applyNumberFormat="0" applyFill="0" applyBorder="0" applyAlignment="0" applyProtection="0"/>
  </cellStyleXfs>
  <cellXfs count="84">
    <xf numFmtId="0" fontId="0" fillId="0" borderId="0" xfId="0"/>
    <xf numFmtId="0" fontId="0" fillId="3" borderId="0" xfId="0" applyFont="1" applyFill="1"/>
    <xf numFmtId="3" fontId="0" fillId="3" borderId="0" xfId="0" applyNumberFormat="1" applyFont="1" applyFill="1"/>
    <xf numFmtId="0" fontId="3" fillId="3" borderId="0" xfId="0" applyFont="1" applyFill="1"/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vertical="center"/>
    </xf>
    <xf numFmtId="164" fontId="4" fillId="4" borderId="1" xfId="0" applyNumberFormat="1" applyFont="1" applyFill="1" applyBorder="1" applyAlignment="1">
      <alignment horizontal="right" vertical="top" wrapText="1"/>
    </xf>
    <xf numFmtId="3" fontId="4" fillId="4" borderId="1" xfId="0" applyNumberFormat="1" applyFont="1" applyFill="1" applyBorder="1" applyAlignment="1">
      <alignment horizontal="right" vertical="top" wrapText="1"/>
    </xf>
    <xf numFmtId="49" fontId="4" fillId="4" borderId="1" xfId="0" applyNumberFormat="1" applyFont="1" applyFill="1" applyBorder="1" applyAlignment="1">
      <alignment vertical="top" wrapText="1"/>
    </xf>
    <xf numFmtId="164" fontId="5" fillId="3" borderId="1" xfId="0" applyNumberFormat="1" applyFont="1" applyFill="1" applyBorder="1" applyAlignment="1">
      <alignment horizontal="right" vertical="top" wrapText="1"/>
    </xf>
    <xf numFmtId="3" fontId="5" fillId="3" borderId="1" xfId="0" applyNumberFormat="1" applyFont="1" applyFill="1" applyBorder="1" applyAlignment="1">
      <alignment horizontal="right" vertical="top" wrapText="1"/>
    </xf>
    <xf numFmtId="49" fontId="6" fillId="3" borderId="1" xfId="0" applyNumberFormat="1" applyFont="1" applyFill="1" applyBorder="1" applyAlignment="1">
      <alignment vertical="top" wrapText="1"/>
    </xf>
    <xf numFmtId="0" fontId="7" fillId="3" borderId="0" xfId="0" applyFont="1" applyFill="1"/>
    <xf numFmtId="0" fontId="8" fillId="0" borderId="0" xfId="0" applyFont="1"/>
    <xf numFmtId="0" fontId="4" fillId="2" borderId="2" xfId="0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3" fontId="8" fillId="0" borderId="0" xfId="0" applyNumberFormat="1" applyFont="1"/>
    <xf numFmtId="1" fontId="8" fillId="0" borderId="0" xfId="0" applyNumberFormat="1" applyFont="1"/>
    <xf numFmtId="0" fontId="11" fillId="3" borderId="0" xfId="0" applyFont="1" applyFill="1"/>
    <xf numFmtId="0" fontId="12" fillId="3" borderId="0" xfId="0" applyFont="1" applyFill="1"/>
    <xf numFmtId="0" fontId="13" fillId="0" borderId="0" xfId="0" applyFont="1" applyBorder="1"/>
    <xf numFmtId="0" fontId="13" fillId="0" borderId="0" xfId="0" applyFont="1" applyBorder="1" applyAlignment="1">
      <alignment vertical="top"/>
    </xf>
    <xf numFmtId="164" fontId="4" fillId="5" borderId="1" xfId="0" applyNumberFormat="1" applyFont="1" applyFill="1" applyBorder="1" applyAlignment="1">
      <alignment horizontal="right" vertical="center" wrapText="1"/>
    </xf>
    <xf numFmtId="3" fontId="4" fillId="5" borderId="1" xfId="0" applyNumberFormat="1" applyFont="1" applyFill="1" applyBorder="1" applyAlignment="1">
      <alignment horizontal="right" vertical="center" wrapText="1"/>
    </xf>
    <xf numFmtId="165" fontId="4" fillId="6" borderId="1" xfId="1" applyNumberFormat="1" applyFont="1" applyFill="1" applyBorder="1" applyAlignment="1">
      <alignment vertical="center" wrapText="1"/>
    </xf>
    <xf numFmtId="3" fontId="4" fillId="6" borderId="1" xfId="2" applyNumberFormat="1" applyFont="1" applyFill="1" applyBorder="1" applyAlignment="1">
      <alignment horizontal="right" vertical="center" wrapText="1"/>
    </xf>
    <xf numFmtId="49" fontId="4" fillId="6" borderId="1" xfId="2" applyNumberFormat="1" applyFont="1" applyFill="1" applyBorder="1" applyAlignment="1">
      <alignment vertical="center" wrapText="1"/>
    </xf>
    <xf numFmtId="164" fontId="14" fillId="3" borderId="1" xfId="2" applyNumberFormat="1" applyFont="1" applyFill="1" applyBorder="1" applyAlignment="1">
      <alignment horizontal="right" vertical="center" wrapText="1"/>
    </xf>
    <xf numFmtId="166" fontId="14" fillId="3" borderId="1" xfId="2" applyNumberFormat="1" applyFont="1" applyFill="1" applyBorder="1" applyAlignment="1">
      <alignment horizontal="right" vertical="center" wrapText="1"/>
    </xf>
    <xf numFmtId="49" fontId="14" fillId="3" borderId="1" xfId="2" applyNumberFormat="1" applyFont="1" applyFill="1" applyBorder="1" applyAlignment="1">
      <alignment vertical="center" wrapText="1"/>
    </xf>
    <xf numFmtId="0" fontId="15" fillId="3" borderId="0" xfId="0" applyFont="1" applyFill="1"/>
    <xf numFmtId="0" fontId="17" fillId="2" borderId="2" xfId="3" applyFont="1" applyFill="1" applyBorder="1" applyAlignment="1">
      <alignment horizontal="center" vertical="center" wrapText="1"/>
    </xf>
    <xf numFmtId="1" fontId="17" fillId="2" borderId="2" xfId="3" applyNumberFormat="1" applyFont="1" applyFill="1" applyBorder="1" applyAlignment="1">
      <alignment horizontal="center" vertical="center" wrapText="1"/>
    </xf>
    <xf numFmtId="0" fontId="4" fillId="2" borderId="2" xfId="3" applyFont="1" applyFill="1" applyBorder="1" applyAlignment="1">
      <alignment horizontal="center" vertical="center" wrapText="1"/>
    </xf>
    <xf numFmtId="0" fontId="8" fillId="3" borderId="0" xfId="0" applyFont="1" applyFill="1"/>
    <xf numFmtId="0" fontId="18" fillId="3" borderId="0" xfId="0" applyFont="1" applyFill="1" applyAlignment="1"/>
    <xf numFmtId="0" fontId="15" fillId="3" borderId="0" xfId="0" applyFont="1" applyFill="1" applyAlignment="1">
      <alignment vertical="center"/>
    </xf>
    <xf numFmtId="0" fontId="8" fillId="3" borderId="0" xfId="0" applyFont="1" applyFill="1" applyBorder="1"/>
    <xf numFmtId="3" fontId="8" fillId="3" borderId="0" xfId="0" applyNumberFormat="1" applyFont="1" applyFill="1" applyBorder="1"/>
    <xf numFmtId="1" fontId="8" fillId="3" borderId="0" xfId="0" applyNumberFormat="1" applyFont="1" applyFill="1" applyBorder="1"/>
    <xf numFmtId="0" fontId="15" fillId="3" borderId="0" xfId="0" applyFont="1" applyFill="1" applyBorder="1"/>
    <xf numFmtId="0" fontId="15" fillId="3" borderId="0" xfId="0" applyFont="1" applyFill="1" applyBorder="1" applyAlignment="1">
      <alignment vertical="center"/>
    </xf>
    <xf numFmtId="0" fontId="13" fillId="0" borderId="0" xfId="0" applyFont="1" applyAlignment="1">
      <alignment vertical="top"/>
    </xf>
    <xf numFmtId="0" fontId="13" fillId="0" borderId="0" xfId="0" applyFont="1" applyAlignment="1">
      <alignment horizontal="justify" vertical="center"/>
    </xf>
    <xf numFmtId="3" fontId="7" fillId="3" borderId="0" xfId="0" applyNumberFormat="1" applyFont="1" applyFill="1"/>
    <xf numFmtId="0" fontId="20" fillId="0" borderId="0" xfId="0" applyFont="1"/>
    <xf numFmtId="0" fontId="21" fillId="0" borderId="11" xfId="0" applyFont="1" applyBorder="1" applyAlignment="1">
      <alignment horizontal="left"/>
    </xf>
    <xf numFmtId="0" fontId="21" fillId="0" borderId="0" xfId="0" applyFont="1" applyBorder="1" applyAlignment="1">
      <alignment horizontal="left"/>
    </xf>
    <xf numFmtId="0" fontId="21" fillId="0" borderId="12" xfId="0" applyFont="1" applyBorder="1" applyAlignment="1">
      <alignment horizontal="left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21" fillId="0" borderId="11" xfId="0" applyFont="1" applyBorder="1" applyAlignment="1"/>
    <xf numFmtId="0" fontId="21" fillId="0" borderId="0" xfId="0" applyFont="1" applyBorder="1" applyAlignment="1"/>
    <xf numFmtId="0" fontId="21" fillId="0" borderId="12" xfId="0" applyFont="1" applyBorder="1" applyAlignment="1"/>
    <xf numFmtId="0" fontId="21" fillId="0" borderId="11" xfId="0" applyFont="1" applyBorder="1"/>
    <xf numFmtId="0" fontId="21" fillId="0" borderId="0" xfId="0" applyFont="1" applyBorder="1"/>
    <xf numFmtId="0" fontId="21" fillId="0" borderId="12" xfId="0" applyFont="1" applyBorder="1"/>
    <xf numFmtId="0" fontId="21" fillId="0" borderId="13" xfId="0" applyFont="1" applyBorder="1"/>
    <xf numFmtId="0" fontId="21" fillId="0" borderId="14" xfId="0" applyFont="1" applyBorder="1"/>
    <xf numFmtId="0" fontId="21" fillId="0" borderId="15" xfId="0" applyFont="1" applyBorder="1"/>
    <xf numFmtId="0" fontId="21" fillId="0" borderId="0" xfId="0" applyFont="1"/>
    <xf numFmtId="3" fontId="4" fillId="4" borderId="1" xfId="0" applyNumberFormat="1" applyFont="1" applyFill="1" applyBorder="1" applyAlignment="1">
      <alignment horizontal="right" vertical="center" wrapText="1"/>
    </xf>
    <xf numFmtId="164" fontId="4" fillId="4" borderId="1" xfId="0" applyNumberFormat="1" applyFont="1" applyFill="1" applyBorder="1" applyAlignment="1">
      <alignment horizontal="right" vertical="center" wrapText="1"/>
    </xf>
    <xf numFmtId="0" fontId="23" fillId="0" borderId="0" xfId="4" applyFont="1" applyBorder="1" applyAlignment="1">
      <alignment horizontal="left"/>
    </xf>
    <xf numFmtId="0" fontId="23" fillId="0" borderId="12" xfId="4" applyFont="1" applyBorder="1" applyAlignment="1">
      <alignment horizontal="left"/>
    </xf>
    <xf numFmtId="0" fontId="23" fillId="0" borderId="11" xfId="4" applyFont="1" applyBorder="1" applyAlignment="1">
      <alignment horizontal="left"/>
    </xf>
    <xf numFmtId="0" fontId="19" fillId="2" borderId="8" xfId="0" applyFont="1" applyFill="1" applyBorder="1" applyAlignment="1">
      <alignment horizontal="center" wrapText="1"/>
    </xf>
    <xf numFmtId="0" fontId="19" fillId="2" borderId="9" xfId="0" applyFont="1" applyFill="1" applyBorder="1" applyAlignment="1">
      <alignment horizontal="center" wrapText="1"/>
    </xf>
    <xf numFmtId="0" fontId="19" fillId="2" borderId="10" xfId="0" applyFont="1" applyFill="1" applyBorder="1" applyAlignment="1">
      <alignment horizontal="center" wrapText="1"/>
    </xf>
    <xf numFmtId="0" fontId="21" fillId="0" borderId="11" xfId="0" applyFont="1" applyBorder="1" applyAlignment="1">
      <alignment horizontal="left" wrapText="1"/>
    </xf>
    <xf numFmtId="0" fontId="21" fillId="0" borderId="0" xfId="0" applyFont="1" applyBorder="1" applyAlignment="1">
      <alignment horizontal="left" wrapText="1"/>
    </xf>
    <xf numFmtId="0" fontId="21" fillId="0" borderId="12" xfId="0" applyFont="1" applyBorder="1" applyAlignment="1">
      <alignment horizontal="left" wrapText="1"/>
    </xf>
    <xf numFmtId="0" fontId="10" fillId="0" borderId="0" xfId="0" applyFont="1" applyBorder="1" applyAlignment="1">
      <alignment horizontal="center" vertical="center" wrapText="1"/>
    </xf>
    <xf numFmtId="49" fontId="4" fillId="4" borderId="5" xfId="0" applyNumberFormat="1" applyFont="1" applyFill="1" applyBorder="1" applyAlignment="1">
      <alignment horizontal="center" vertical="center" wrapText="1"/>
    </xf>
    <xf numFmtId="49" fontId="4" fillId="4" borderId="4" xfId="0" applyNumberFormat="1" applyFont="1" applyFill="1" applyBorder="1" applyAlignment="1">
      <alignment horizontal="center" vertical="center" wrapText="1"/>
    </xf>
    <xf numFmtId="49" fontId="14" fillId="3" borderId="2" xfId="2" applyNumberFormat="1" applyFont="1" applyFill="1" applyBorder="1" applyAlignment="1">
      <alignment horizontal="center" vertical="center" wrapText="1"/>
    </xf>
    <xf numFmtId="49" fontId="14" fillId="3" borderId="7" xfId="2" applyNumberFormat="1" applyFont="1" applyFill="1" applyBorder="1" applyAlignment="1">
      <alignment horizontal="center" vertical="center" wrapText="1"/>
    </xf>
    <xf numFmtId="49" fontId="14" fillId="3" borderId="6" xfId="2" applyNumberFormat="1" applyFont="1" applyFill="1" applyBorder="1" applyAlignment="1">
      <alignment horizontal="center" vertical="center" wrapText="1"/>
    </xf>
    <xf numFmtId="0" fontId="7" fillId="3" borderId="0" xfId="0" applyFont="1" applyFill="1" applyAlignment="1">
      <alignment horizontal="center" wrapText="1"/>
    </xf>
    <xf numFmtId="49" fontId="4" fillId="5" borderId="5" xfId="0" applyNumberFormat="1" applyFont="1" applyFill="1" applyBorder="1" applyAlignment="1">
      <alignment horizontal="center" vertical="center" wrapText="1"/>
    </xf>
    <xf numFmtId="49" fontId="4" fillId="5" borderId="4" xfId="0" applyNumberFormat="1" applyFont="1" applyFill="1" applyBorder="1" applyAlignment="1">
      <alignment horizontal="center" vertical="center" wrapText="1"/>
    </xf>
  </cellXfs>
  <cellStyles count="5">
    <cellStyle name="Hipervínculo" xfId="4" builtinId="8"/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276171</xdr:colOff>
      <xdr:row>2</xdr:row>
      <xdr:rowOff>19379</xdr:rowOff>
    </xdr:from>
    <xdr:to>
      <xdr:col>3</xdr:col>
      <xdr:colOff>788268</xdr:colOff>
      <xdr:row>3</xdr:row>
      <xdr:rowOff>19380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600396" y="743279"/>
          <a:ext cx="512097" cy="1809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  <xdr:oneCellAnchor>
    <xdr:from>
      <xdr:col>2</xdr:col>
      <xdr:colOff>1143000</xdr:colOff>
      <xdr:row>15</xdr:row>
      <xdr:rowOff>123265</xdr:rowOff>
    </xdr:from>
    <xdr:ext cx="184731" cy="264560"/>
    <xdr:sp macro="" textlink="">
      <xdr:nvSpPr>
        <xdr:cNvPr id="3" name="2 CuadroTexto"/>
        <xdr:cNvSpPr txBox="1"/>
      </xdr:nvSpPr>
      <xdr:spPr>
        <a:xfrm>
          <a:off x="2819400" y="3304615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  <xdr:oneCellAnchor>
    <xdr:from>
      <xdr:col>0</xdr:col>
      <xdr:colOff>67235</xdr:colOff>
      <xdr:row>0</xdr:row>
      <xdr:rowOff>280147</xdr:rowOff>
    </xdr:from>
    <xdr:ext cx="184731" cy="264560"/>
    <xdr:sp macro="" textlink="">
      <xdr:nvSpPr>
        <xdr:cNvPr id="4" name="3 CuadroTexto"/>
        <xdr:cNvSpPr txBox="1"/>
      </xdr:nvSpPr>
      <xdr:spPr>
        <a:xfrm>
          <a:off x="67235" y="280147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WEST VIRGINIA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76200</xdr:colOff>
      <xdr:row>7</xdr:row>
      <xdr:rowOff>180975</xdr:rowOff>
    </xdr:from>
    <xdr:to>
      <xdr:col>4</xdr:col>
      <xdr:colOff>588297</xdr:colOff>
      <xdr:row>8</xdr:row>
      <xdr:rowOff>180976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05325" y="170497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WEST VIRGINIA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WEST VIRGINIA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609600</xdr:colOff>
      <xdr:row>7</xdr:row>
      <xdr:rowOff>104775</xdr:rowOff>
    </xdr:from>
    <xdr:to>
      <xdr:col>4</xdr:col>
      <xdr:colOff>1095704</xdr:colOff>
      <xdr:row>7</xdr:row>
      <xdr:rowOff>284070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48275" y="1847850"/>
          <a:ext cx="486104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WEST VIRGINIA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01967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WEST VIRGINIA, POR NIVEL DE EDUCACIÓN Y ESTADO DE LA REPÚBLICA, DURANTE EL 2019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WEST VIRGINIA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558362</xdr:colOff>
      <xdr:row>7</xdr:row>
      <xdr:rowOff>151086</xdr:rowOff>
    </xdr:from>
    <xdr:to>
      <xdr:col>4</xdr:col>
      <xdr:colOff>1070459</xdr:colOff>
      <xdr:row>7</xdr:row>
      <xdr:rowOff>341587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96052" y="1891862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WEST VIRGINIA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0</xdr:colOff>
      <xdr:row>8</xdr:row>
      <xdr:rowOff>0</xdr:rowOff>
    </xdr:from>
    <xdr:to>
      <xdr:col>4</xdr:col>
      <xdr:colOff>512097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42912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WEST VIRGINIA,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WEST VIRGINIA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0</xdr:colOff>
      <xdr:row>7</xdr:row>
      <xdr:rowOff>0</xdr:rowOff>
    </xdr:from>
    <xdr:to>
      <xdr:col>5</xdr:col>
      <xdr:colOff>512097</xdr:colOff>
      <xdr:row>7</xdr:row>
      <xdr:rowOff>190501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760983" y="174077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WEST VIRGINIA,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WEST VIRGINIA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5</xdr:col>
      <xdr:colOff>0</xdr:colOff>
      <xdr:row>7</xdr:row>
      <xdr:rowOff>0</xdr:rowOff>
    </xdr:from>
    <xdr:to>
      <xdr:col>5</xdr:col>
      <xdr:colOff>512097</xdr:colOff>
      <xdr:row>7</xdr:row>
      <xdr:rowOff>190501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760983" y="1740776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WEST VIRGINIA 2019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142875</xdr:colOff>
      <xdr:row>8</xdr:row>
      <xdr:rowOff>152400</xdr:rowOff>
    </xdr:from>
    <xdr:to>
      <xdr:col>5</xdr:col>
      <xdr:colOff>35847</xdr:colOff>
      <xdr:row>8</xdr:row>
      <xdr:rowOff>342901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72000" y="18669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INICIOccccccc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Views>
    <sheetView showGridLines="0" view="pageBreakPreview" zoomScaleNormal="100" zoomScaleSheetLayoutView="100" workbookViewId="0">
      <selection sqref="A1:D1"/>
    </sheetView>
  </sheetViews>
  <sheetFormatPr baseColWidth="10" defaultColWidth="11.44140625" defaultRowHeight="16.8" x14ac:dyDescent="0.4"/>
  <cols>
    <col min="1" max="1" width="5.109375" style="47" customWidth="1"/>
    <col min="2" max="2" width="20" style="47" customWidth="1"/>
    <col min="3" max="3" width="24.6640625" style="47" customWidth="1"/>
    <col min="4" max="4" width="28.88671875" style="47" customWidth="1"/>
    <col min="5" max="16384" width="11.44140625" style="47"/>
  </cols>
  <sheetData>
    <row r="1" spans="1:4" ht="42" customHeight="1" thickBot="1" x14ac:dyDescent="0.45">
      <c r="A1" s="69" t="s">
        <v>183</v>
      </c>
      <c r="B1" s="70"/>
      <c r="C1" s="70"/>
      <c r="D1" s="71"/>
    </row>
    <row r="2" spans="1:4" ht="18" x14ac:dyDescent="0.4">
      <c r="A2" s="48"/>
      <c r="B2" s="49"/>
      <c r="C2" s="49"/>
      <c r="D2" s="50"/>
    </row>
    <row r="3" spans="1:4" x14ac:dyDescent="0.4">
      <c r="A3" s="72" t="s">
        <v>171</v>
      </c>
      <c r="B3" s="73"/>
      <c r="C3" s="73"/>
      <c r="D3" s="74"/>
    </row>
    <row r="4" spans="1:4" x14ac:dyDescent="0.4">
      <c r="A4" s="72"/>
      <c r="B4" s="73"/>
      <c r="C4" s="73"/>
      <c r="D4" s="74"/>
    </row>
    <row r="5" spans="1:4" ht="18" x14ac:dyDescent="0.4">
      <c r="A5" s="51"/>
      <c r="B5" s="52"/>
      <c r="C5" s="52"/>
      <c r="D5" s="53"/>
    </row>
    <row r="6" spans="1:4" ht="18" x14ac:dyDescent="0.4">
      <c r="A6" s="68" t="s">
        <v>172</v>
      </c>
      <c r="B6" s="66"/>
      <c r="C6" s="66"/>
      <c r="D6" s="67"/>
    </row>
    <row r="7" spans="1:4" ht="18" x14ac:dyDescent="0.4">
      <c r="A7" s="54"/>
      <c r="B7" s="55"/>
      <c r="C7" s="55"/>
      <c r="D7" s="56"/>
    </row>
    <row r="8" spans="1:4" ht="18" x14ac:dyDescent="0.4">
      <c r="A8" s="57" t="s">
        <v>173</v>
      </c>
      <c r="B8" s="58"/>
      <c r="C8" s="58"/>
      <c r="D8" s="59"/>
    </row>
    <row r="9" spans="1:4" ht="18" x14ac:dyDescent="0.4">
      <c r="A9" s="57"/>
      <c r="B9" s="66" t="s">
        <v>174</v>
      </c>
      <c r="C9" s="66"/>
      <c r="D9" s="67"/>
    </row>
    <row r="10" spans="1:4" ht="18" x14ac:dyDescent="0.4">
      <c r="A10" s="57" t="s">
        <v>175</v>
      </c>
      <c r="B10" s="58"/>
      <c r="C10" s="58"/>
      <c r="D10" s="59"/>
    </row>
    <row r="11" spans="1:4" ht="18" x14ac:dyDescent="0.4">
      <c r="A11" s="57"/>
      <c r="B11" s="66" t="s">
        <v>176</v>
      </c>
      <c r="C11" s="66"/>
      <c r="D11" s="67"/>
    </row>
    <row r="12" spans="1:4" ht="18" x14ac:dyDescent="0.4">
      <c r="A12" s="57"/>
      <c r="B12" s="66" t="s">
        <v>177</v>
      </c>
      <c r="C12" s="66"/>
      <c r="D12" s="67"/>
    </row>
    <row r="13" spans="1:4" ht="18" x14ac:dyDescent="0.4">
      <c r="A13" s="57"/>
      <c r="B13" s="58"/>
      <c r="C13" s="58"/>
      <c r="D13" s="59"/>
    </row>
    <row r="14" spans="1:4" ht="18" x14ac:dyDescent="0.4">
      <c r="A14" s="57" t="s">
        <v>178</v>
      </c>
      <c r="B14" s="58"/>
      <c r="C14" s="58"/>
      <c r="D14" s="59"/>
    </row>
    <row r="15" spans="1:4" ht="18" x14ac:dyDescent="0.4">
      <c r="A15" s="57"/>
      <c r="B15" s="66" t="s">
        <v>179</v>
      </c>
      <c r="C15" s="66"/>
      <c r="D15" s="67"/>
    </row>
    <row r="16" spans="1:4" ht="18" x14ac:dyDescent="0.4">
      <c r="A16" s="57"/>
      <c r="B16" s="66" t="s">
        <v>180</v>
      </c>
      <c r="C16" s="66"/>
      <c r="D16" s="67"/>
    </row>
    <row r="17" spans="1:4" ht="18" x14ac:dyDescent="0.4">
      <c r="A17" s="57"/>
      <c r="B17" s="58"/>
      <c r="C17" s="58"/>
      <c r="D17" s="59"/>
    </row>
    <row r="18" spans="1:4" ht="18" x14ac:dyDescent="0.4">
      <c r="A18" s="68" t="s">
        <v>181</v>
      </c>
      <c r="B18" s="66"/>
      <c r="C18" s="66"/>
      <c r="D18" s="67"/>
    </row>
    <row r="19" spans="1:4" ht="18" x14ac:dyDescent="0.4">
      <c r="A19" s="57"/>
      <c r="B19" s="58"/>
      <c r="C19" s="58"/>
      <c r="D19" s="59"/>
    </row>
    <row r="20" spans="1:4" ht="18" x14ac:dyDescent="0.4">
      <c r="A20" s="68" t="s">
        <v>182</v>
      </c>
      <c r="B20" s="66"/>
      <c r="C20" s="66"/>
      <c r="D20" s="67"/>
    </row>
    <row r="21" spans="1:4" ht="18.600000000000001" thickBot="1" x14ac:dyDescent="0.45">
      <c r="A21" s="60"/>
      <c r="B21" s="61"/>
      <c r="C21" s="61"/>
      <c r="D21" s="62"/>
    </row>
    <row r="22" spans="1:4" ht="18" x14ac:dyDescent="0.4">
      <c r="A22" s="63"/>
      <c r="B22" s="63"/>
      <c r="C22" s="63"/>
      <c r="D22" s="63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'West Virginia_Edomexgral'!A1" display="1. Por Estados de la República Mexicana"/>
    <hyperlink ref="B9" location="'New Jersey_EDOMEX'!A1" display="2.1 Por estado de la República Mexicana y municipio de origen"/>
    <hyperlink ref="B11:D11" location="'West Virginia_Educagral'!A1" display="3.1 Educación general"/>
    <hyperlink ref="B12:D12" location="'West Virginia_Eduedo'!A1" display="3.2 Por Estado de la República Mexicana"/>
    <hyperlink ref="B15:D15" location="'West Virginia_gengral'!A1" display="4.1 Género General"/>
    <hyperlink ref="B16:D16" location="'West Virginia_edomexgen'!A1" display="4.2 Por Estados de la República Mexicana"/>
    <hyperlink ref="A18:D18" location="'West Virginia_edadgen'!A1" display="5. Por estructura de Edad"/>
    <hyperlink ref="A20:D20" location="'West Virginia_ocupgral'!A1" display="6. Por Ocupación"/>
    <hyperlink ref="B9:D9" location="'West Virginia_EDOMEX'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B1:D41"/>
  <sheetViews>
    <sheetView showGridLines="0" topLeftCell="A23" zoomScaleNormal="100" zoomScaleSheetLayoutView="115" workbookViewId="0">
      <selection activeCell="E43" sqref="E43"/>
    </sheetView>
  </sheetViews>
  <sheetFormatPr baseColWidth="10" defaultColWidth="11.44140625" defaultRowHeight="14.4" x14ac:dyDescent="0.3"/>
  <cols>
    <col min="1" max="1" width="9.33203125" style="1" customWidth="1"/>
    <col min="2" max="2" width="21.664062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 x14ac:dyDescent="0.2">
      <c r="C1" s="19"/>
    </row>
    <row r="2" spans="2:4" s="13" customFormat="1" ht="15" customHeight="1" x14ac:dyDescent="0.2">
      <c r="C2" s="19"/>
    </row>
    <row r="3" spans="2:4" s="13" customFormat="1" ht="15" customHeight="1" x14ac:dyDescent="0.2">
      <c r="C3" s="19"/>
    </row>
    <row r="4" spans="2:4" s="13" customFormat="1" ht="30" customHeight="1" x14ac:dyDescent="0.2">
      <c r="C4" s="19"/>
      <c r="D4" s="18"/>
    </row>
    <row r="5" spans="2:4" s="13" customFormat="1" ht="15" customHeight="1" x14ac:dyDescent="0.2">
      <c r="C5" s="19"/>
      <c r="D5" s="18"/>
    </row>
    <row r="6" spans="2:4" s="13" customFormat="1" ht="15" customHeight="1" x14ac:dyDescent="0.2">
      <c r="C6" s="19"/>
      <c r="D6" s="18"/>
    </row>
    <row r="7" spans="2:4" s="13" customFormat="1" ht="15" customHeight="1" x14ac:dyDescent="0.2">
      <c r="B7" s="75" t="s">
        <v>32</v>
      </c>
      <c r="C7" s="75"/>
      <c r="D7" s="75"/>
    </row>
    <row r="8" spans="2:4" s="13" customFormat="1" ht="15" customHeight="1" x14ac:dyDescent="0.2">
      <c r="B8" s="75"/>
      <c r="C8" s="75"/>
      <c r="D8" s="75"/>
    </row>
    <row r="9" spans="2:4" s="13" customFormat="1" ht="33" customHeight="1" x14ac:dyDescent="0.2">
      <c r="B9" s="75"/>
      <c r="C9" s="75"/>
      <c r="D9" s="75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31</v>
      </c>
      <c r="C11" s="15" t="s">
        <v>30</v>
      </c>
      <c r="D11" s="14" t="s">
        <v>29</v>
      </c>
    </row>
    <row r="12" spans="2:4" ht="15" customHeight="1" x14ac:dyDescent="0.3">
      <c r="B12" s="11" t="s">
        <v>28</v>
      </c>
      <c r="C12" s="10">
        <v>20</v>
      </c>
      <c r="D12" s="9">
        <v>0.14492753623188406</v>
      </c>
    </row>
    <row r="13" spans="2:4" x14ac:dyDescent="0.3">
      <c r="B13" s="11" t="s">
        <v>27</v>
      </c>
      <c r="C13" s="10">
        <v>14</v>
      </c>
      <c r="D13" s="9">
        <v>0.10144927536231885</v>
      </c>
    </row>
    <row r="14" spans="2:4" s="12" customFormat="1" ht="15" x14ac:dyDescent="0.3">
      <c r="B14" s="11" t="s">
        <v>26</v>
      </c>
      <c r="C14" s="10">
        <v>12</v>
      </c>
      <c r="D14" s="9">
        <v>8.6956521739130432E-2</v>
      </c>
    </row>
    <row r="15" spans="2:4" s="12" customFormat="1" ht="15" x14ac:dyDescent="0.3">
      <c r="B15" s="11" t="s">
        <v>25</v>
      </c>
      <c r="C15" s="10">
        <v>11</v>
      </c>
      <c r="D15" s="9">
        <v>7.9710144927536225E-2</v>
      </c>
    </row>
    <row r="16" spans="2:4" x14ac:dyDescent="0.3">
      <c r="B16" s="11" t="s">
        <v>24</v>
      </c>
      <c r="C16" s="10">
        <v>10</v>
      </c>
      <c r="D16" s="9">
        <v>7.2463768115942032E-2</v>
      </c>
    </row>
    <row r="17" spans="2:4" x14ac:dyDescent="0.3">
      <c r="B17" s="11" t="s">
        <v>23</v>
      </c>
      <c r="C17" s="10">
        <v>9</v>
      </c>
      <c r="D17" s="9">
        <v>6.5217391304347824E-2</v>
      </c>
    </row>
    <row r="18" spans="2:4" x14ac:dyDescent="0.3">
      <c r="B18" s="11" t="s">
        <v>22</v>
      </c>
      <c r="C18" s="10">
        <v>9</v>
      </c>
      <c r="D18" s="9">
        <v>6.5217391304347824E-2</v>
      </c>
    </row>
    <row r="19" spans="2:4" x14ac:dyDescent="0.3">
      <c r="B19" s="11" t="s">
        <v>21</v>
      </c>
      <c r="C19" s="10">
        <v>7</v>
      </c>
      <c r="D19" s="9">
        <v>5.0724637681159424E-2</v>
      </c>
    </row>
    <row r="20" spans="2:4" x14ac:dyDescent="0.3">
      <c r="B20" s="11" t="s">
        <v>20</v>
      </c>
      <c r="C20" s="10">
        <v>7</v>
      </c>
      <c r="D20" s="9">
        <v>5.0724637681159424E-2</v>
      </c>
    </row>
    <row r="21" spans="2:4" x14ac:dyDescent="0.3">
      <c r="B21" s="11" t="s">
        <v>19</v>
      </c>
      <c r="C21" s="10">
        <v>6</v>
      </c>
      <c r="D21" s="9">
        <v>4.3478260869565216E-2</v>
      </c>
    </row>
    <row r="22" spans="2:4" x14ac:dyDescent="0.3">
      <c r="B22" s="11" t="s">
        <v>18</v>
      </c>
      <c r="C22" s="10">
        <v>6</v>
      </c>
      <c r="D22" s="9">
        <v>4.3478260869565216E-2</v>
      </c>
    </row>
    <row r="23" spans="2:4" x14ac:dyDescent="0.3">
      <c r="B23" s="11" t="s">
        <v>17</v>
      </c>
      <c r="C23" s="10">
        <v>4</v>
      </c>
      <c r="D23" s="9">
        <v>2.8985507246376812E-2</v>
      </c>
    </row>
    <row r="24" spans="2:4" x14ac:dyDescent="0.3">
      <c r="B24" s="11" t="s">
        <v>16</v>
      </c>
      <c r="C24" s="10">
        <v>4</v>
      </c>
      <c r="D24" s="9">
        <v>2.8985507246376812E-2</v>
      </c>
    </row>
    <row r="25" spans="2:4" x14ac:dyDescent="0.3">
      <c r="B25" s="11" t="s">
        <v>15</v>
      </c>
      <c r="C25" s="10">
        <v>3</v>
      </c>
      <c r="D25" s="9">
        <v>2.1739130434782608E-2</v>
      </c>
    </row>
    <row r="26" spans="2:4" x14ac:dyDescent="0.3">
      <c r="B26" s="11" t="s">
        <v>14</v>
      </c>
      <c r="C26" s="10">
        <v>3</v>
      </c>
      <c r="D26" s="9">
        <v>2.1739130434782608E-2</v>
      </c>
    </row>
    <row r="27" spans="2:4" x14ac:dyDescent="0.3">
      <c r="B27" s="11" t="s">
        <v>13</v>
      </c>
      <c r="C27" s="10">
        <v>3</v>
      </c>
      <c r="D27" s="9">
        <v>2.1739130434782608E-2</v>
      </c>
    </row>
    <row r="28" spans="2:4" x14ac:dyDescent="0.3">
      <c r="B28" s="11" t="s">
        <v>12</v>
      </c>
      <c r="C28" s="10">
        <v>2</v>
      </c>
      <c r="D28" s="9">
        <v>1.4492753623188406E-2</v>
      </c>
    </row>
    <row r="29" spans="2:4" x14ac:dyDescent="0.3">
      <c r="B29" s="11" t="s">
        <v>11</v>
      </c>
      <c r="C29" s="10">
        <v>2</v>
      </c>
      <c r="D29" s="9">
        <v>1.4492753623188406E-2</v>
      </c>
    </row>
    <row r="30" spans="2:4" x14ac:dyDescent="0.3">
      <c r="B30" s="11" t="s">
        <v>10</v>
      </c>
      <c r="C30" s="10">
        <v>2</v>
      </c>
      <c r="D30" s="9">
        <v>1.4492753623188406E-2</v>
      </c>
    </row>
    <row r="31" spans="2:4" x14ac:dyDescent="0.3">
      <c r="B31" s="11" t="s">
        <v>9</v>
      </c>
      <c r="C31" s="10">
        <v>1</v>
      </c>
      <c r="D31" s="9">
        <v>7.246376811594203E-3</v>
      </c>
    </row>
    <row r="32" spans="2:4" x14ac:dyDescent="0.3">
      <c r="B32" s="11" t="s">
        <v>8</v>
      </c>
      <c r="C32" s="10">
        <v>1</v>
      </c>
      <c r="D32" s="9">
        <v>7.246376811594203E-3</v>
      </c>
    </row>
    <row r="33" spans="2:4" x14ac:dyDescent="0.3">
      <c r="B33" s="11" t="s">
        <v>7</v>
      </c>
      <c r="C33" s="10">
        <v>1</v>
      </c>
      <c r="D33" s="9">
        <v>7.246376811594203E-3</v>
      </c>
    </row>
    <row r="34" spans="2:4" x14ac:dyDescent="0.3">
      <c r="B34" s="11" t="s">
        <v>6</v>
      </c>
      <c r="C34" s="10">
        <v>1</v>
      </c>
      <c r="D34" s="9">
        <v>7.246376811594203E-3</v>
      </c>
    </row>
    <row r="35" spans="2:4" x14ac:dyDescent="0.3">
      <c r="B35" s="8" t="s">
        <v>5</v>
      </c>
      <c r="C35" s="7">
        <v>138</v>
      </c>
      <c r="D35" s="6">
        <v>1</v>
      </c>
    </row>
    <row r="37" spans="2:4" x14ac:dyDescent="0.3">
      <c r="B37" s="3" t="s">
        <v>4</v>
      </c>
    </row>
    <row r="38" spans="2:4" x14ac:dyDescent="0.3">
      <c r="B38" s="5" t="s">
        <v>3</v>
      </c>
    </row>
    <row r="39" spans="2:4" x14ac:dyDescent="0.3">
      <c r="B39" s="4" t="s">
        <v>2</v>
      </c>
    </row>
    <row r="40" spans="2:4" x14ac:dyDescent="0.3">
      <c r="B40" s="3" t="s">
        <v>1</v>
      </c>
    </row>
    <row r="41" spans="2:4" x14ac:dyDescent="0.3">
      <c r="B41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88"/>
  <sheetViews>
    <sheetView topLeftCell="A107" zoomScaleNormal="100" zoomScaleSheetLayoutView="100" workbookViewId="0">
      <selection activeCell="D133" sqref="D133"/>
    </sheetView>
  </sheetViews>
  <sheetFormatPr baseColWidth="10" defaultColWidth="35" defaultRowHeight="15" customHeight="1" x14ac:dyDescent="0.3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9" customFormat="1" ht="12" customHeight="1" x14ac:dyDescent="0.2">
      <c r="B1" s="43"/>
      <c r="C1" s="42"/>
      <c r="D1" s="42"/>
      <c r="E1" s="42"/>
    </row>
    <row r="2" spans="1:5" s="39" customFormat="1" ht="15" customHeight="1" x14ac:dyDescent="0.2">
      <c r="C2" s="41"/>
    </row>
    <row r="3" spans="1:5" s="39" customFormat="1" ht="15" customHeight="1" x14ac:dyDescent="0.2">
      <c r="C3" s="41"/>
    </row>
    <row r="4" spans="1:5" s="39" customFormat="1" ht="30" customHeight="1" x14ac:dyDescent="0.2">
      <c r="C4" s="41"/>
      <c r="D4" s="40"/>
    </row>
    <row r="5" spans="1:5" s="39" customFormat="1" ht="15" customHeight="1" x14ac:dyDescent="0.2">
      <c r="C5" s="41"/>
      <c r="D5" s="40"/>
    </row>
    <row r="6" spans="1:5" s="36" customFormat="1" ht="24" customHeight="1" x14ac:dyDescent="0.2">
      <c r="B6" s="38"/>
      <c r="C6" s="32"/>
      <c r="D6" s="32"/>
      <c r="E6" s="32"/>
    </row>
    <row r="7" spans="1:5" s="36" customFormat="1" ht="26.25" customHeight="1" x14ac:dyDescent="0.25">
      <c r="A7" s="37"/>
      <c r="B7" s="81"/>
      <c r="C7" s="81"/>
      <c r="D7" s="81"/>
      <c r="E7" s="81"/>
    </row>
    <row r="8" spans="1:5" s="36" customFormat="1" ht="33" customHeight="1" x14ac:dyDescent="0.25">
      <c r="A8" s="37"/>
      <c r="B8" s="81"/>
      <c r="C8" s="81"/>
      <c r="D8" s="81"/>
      <c r="E8" s="81"/>
    </row>
    <row r="9" spans="1:5" s="13" customFormat="1" ht="40.5" customHeight="1" x14ac:dyDescent="0.2">
      <c r="B9" s="33" t="s">
        <v>31</v>
      </c>
      <c r="C9" s="35" t="s">
        <v>125</v>
      </c>
      <c r="D9" s="34" t="s">
        <v>30</v>
      </c>
      <c r="E9" s="33" t="s">
        <v>29</v>
      </c>
    </row>
    <row r="10" spans="1:5" ht="15" customHeight="1" x14ac:dyDescent="0.3">
      <c r="B10" s="78" t="s">
        <v>9</v>
      </c>
      <c r="C10" s="31" t="s">
        <v>124</v>
      </c>
      <c r="D10" s="30">
        <v>1</v>
      </c>
      <c r="E10" s="29">
        <v>7.246376811594203E-3</v>
      </c>
    </row>
    <row r="11" spans="1:5" ht="15" customHeight="1" x14ac:dyDescent="0.3">
      <c r="B11" s="80"/>
      <c r="C11" s="28" t="s">
        <v>5</v>
      </c>
      <c r="D11" s="27">
        <v>1</v>
      </c>
      <c r="E11" s="26">
        <v>7.246376811594203E-3</v>
      </c>
    </row>
    <row r="12" spans="1:5" ht="15" customHeight="1" x14ac:dyDescent="0.3">
      <c r="B12" s="78" t="s">
        <v>8</v>
      </c>
      <c r="C12" s="31" t="s">
        <v>8</v>
      </c>
      <c r="D12" s="30">
        <v>1</v>
      </c>
      <c r="E12" s="29">
        <v>7.246376811594203E-3</v>
      </c>
    </row>
    <row r="13" spans="1:5" ht="15" customHeight="1" x14ac:dyDescent="0.3">
      <c r="B13" s="80"/>
      <c r="C13" s="28" t="s">
        <v>5</v>
      </c>
      <c r="D13" s="27">
        <v>1</v>
      </c>
      <c r="E13" s="26">
        <v>7.246376811594203E-3</v>
      </c>
    </row>
    <row r="14" spans="1:5" ht="15" customHeight="1" x14ac:dyDescent="0.3">
      <c r="B14" s="78" t="s">
        <v>19</v>
      </c>
      <c r="C14" s="31" t="s">
        <v>123</v>
      </c>
      <c r="D14" s="30">
        <v>1</v>
      </c>
      <c r="E14" s="29">
        <v>7.246376811594203E-3</v>
      </c>
    </row>
    <row r="15" spans="1:5" s="32" customFormat="1" ht="15" customHeight="1" x14ac:dyDescent="0.2">
      <c r="B15" s="79"/>
      <c r="C15" s="31" t="s">
        <v>122</v>
      </c>
      <c r="D15" s="30">
        <v>1</v>
      </c>
      <c r="E15" s="29">
        <v>7.246376811594203E-3</v>
      </c>
    </row>
    <row r="16" spans="1:5" s="32" customFormat="1" ht="15" customHeight="1" x14ac:dyDescent="0.2">
      <c r="B16" s="79"/>
      <c r="C16" s="31" t="s">
        <v>121</v>
      </c>
      <c r="D16" s="30">
        <v>1</v>
      </c>
      <c r="E16" s="29">
        <v>7.246376811594203E-3</v>
      </c>
    </row>
    <row r="17" spans="2:5" s="32" customFormat="1" ht="15" customHeight="1" x14ac:dyDescent="0.2">
      <c r="B17" s="79"/>
      <c r="C17" s="31" t="s">
        <v>120</v>
      </c>
      <c r="D17" s="30">
        <v>2</v>
      </c>
      <c r="E17" s="29">
        <v>1.4492753623188406E-2</v>
      </c>
    </row>
    <row r="18" spans="2:5" s="32" customFormat="1" ht="15" customHeight="1" x14ac:dyDescent="0.2">
      <c r="B18" s="79"/>
      <c r="C18" s="31" t="s">
        <v>119</v>
      </c>
      <c r="D18" s="30">
        <v>1</v>
      </c>
      <c r="E18" s="29">
        <v>7.246376811594203E-3</v>
      </c>
    </row>
    <row r="19" spans="2:5" s="32" customFormat="1" ht="15" customHeight="1" x14ac:dyDescent="0.2">
      <c r="B19" s="80"/>
      <c r="C19" s="28" t="s">
        <v>5</v>
      </c>
      <c r="D19" s="27">
        <v>6</v>
      </c>
      <c r="E19" s="26">
        <v>4.3478260869565216E-2</v>
      </c>
    </row>
    <row r="20" spans="2:5" ht="15" customHeight="1" x14ac:dyDescent="0.3">
      <c r="B20" s="78" t="s">
        <v>17</v>
      </c>
      <c r="C20" s="31" t="s">
        <v>113</v>
      </c>
      <c r="D20" s="30">
        <v>1</v>
      </c>
      <c r="E20" s="29">
        <v>7.246376811594203E-3</v>
      </c>
    </row>
    <row r="21" spans="2:5" ht="15" customHeight="1" x14ac:dyDescent="0.3">
      <c r="B21" s="79"/>
      <c r="C21" s="31" t="s">
        <v>118</v>
      </c>
      <c r="D21" s="30">
        <v>1</v>
      </c>
      <c r="E21" s="29">
        <v>7.246376811594203E-3</v>
      </c>
    </row>
    <row r="22" spans="2:5" ht="15" customHeight="1" x14ac:dyDescent="0.3">
      <c r="B22" s="79"/>
      <c r="C22" s="31" t="s">
        <v>117</v>
      </c>
      <c r="D22" s="30">
        <v>1</v>
      </c>
      <c r="E22" s="29">
        <v>7.246376811594203E-3</v>
      </c>
    </row>
    <row r="23" spans="2:5" ht="15" customHeight="1" x14ac:dyDescent="0.3">
      <c r="B23" s="79"/>
      <c r="C23" s="31" t="s">
        <v>116</v>
      </c>
      <c r="D23" s="30">
        <v>1</v>
      </c>
      <c r="E23" s="29">
        <v>7.246376811594203E-3</v>
      </c>
    </row>
    <row r="24" spans="2:5" ht="15" customHeight="1" x14ac:dyDescent="0.3">
      <c r="B24" s="80"/>
      <c r="C24" s="28" t="s">
        <v>5</v>
      </c>
      <c r="D24" s="27">
        <v>4</v>
      </c>
      <c r="E24" s="26">
        <v>2.8985507246376812E-2</v>
      </c>
    </row>
    <row r="25" spans="2:5" ht="15" customHeight="1" x14ac:dyDescent="0.3">
      <c r="B25" s="78" t="s">
        <v>21</v>
      </c>
      <c r="C25" s="31" t="s">
        <v>115</v>
      </c>
      <c r="D25" s="30">
        <v>2</v>
      </c>
      <c r="E25" s="29">
        <v>1.4492753623188406E-2</v>
      </c>
    </row>
    <row r="26" spans="2:5" ht="15" customHeight="1" x14ac:dyDescent="0.3">
      <c r="B26" s="79"/>
      <c r="C26" s="31" t="s">
        <v>114</v>
      </c>
      <c r="D26" s="30">
        <v>1</v>
      </c>
      <c r="E26" s="29">
        <v>7.246376811594203E-3</v>
      </c>
    </row>
    <row r="27" spans="2:5" ht="15" customHeight="1" x14ac:dyDescent="0.3">
      <c r="B27" s="79"/>
      <c r="C27" s="31" t="s">
        <v>49</v>
      </c>
      <c r="D27" s="30">
        <v>1</v>
      </c>
      <c r="E27" s="29">
        <v>7.246376811594203E-3</v>
      </c>
    </row>
    <row r="28" spans="2:5" ht="15" customHeight="1" x14ac:dyDescent="0.3">
      <c r="B28" s="79"/>
      <c r="C28" s="31" t="s">
        <v>113</v>
      </c>
      <c r="D28" s="30">
        <v>1</v>
      </c>
      <c r="E28" s="29">
        <v>7.246376811594203E-3</v>
      </c>
    </row>
    <row r="29" spans="2:5" ht="15" customHeight="1" x14ac:dyDescent="0.3">
      <c r="B29" s="79"/>
      <c r="C29" s="31" t="s">
        <v>112</v>
      </c>
      <c r="D29" s="30">
        <v>1</v>
      </c>
      <c r="E29" s="29">
        <v>7.246376811594203E-3</v>
      </c>
    </row>
    <row r="30" spans="2:5" ht="15" customHeight="1" x14ac:dyDescent="0.3">
      <c r="B30" s="79"/>
      <c r="C30" s="31" t="s">
        <v>111</v>
      </c>
      <c r="D30" s="30">
        <v>1</v>
      </c>
      <c r="E30" s="29">
        <v>7.246376811594203E-3</v>
      </c>
    </row>
    <row r="31" spans="2:5" ht="15" customHeight="1" x14ac:dyDescent="0.3">
      <c r="B31" s="80"/>
      <c r="C31" s="28" t="s">
        <v>5</v>
      </c>
      <c r="D31" s="27">
        <v>7</v>
      </c>
      <c r="E31" s="26">
        <v>5.0724637681159424E-2</v>
      </c>
    </row>
    <row r="32" spans="2:5" ht="15" customHeight="1" x14ac:dyDescent="0.3">
      <c r="B32" s="78" t="s">
        <v>12</v>
      </c>
      <c r="C32" s="31" t="s">
        <v>12</v>
      </c>
      <c r="D32" s="30">
        <v>1</v>
      </c>
      <c r="E32" s="29">
        <v>7.246376811594203E-3</v>
      </c>
    </row>
    <row r="33" spans="2:5" ht="15" customHeight="1" x14ac:dyDescent="0.3">
      <c r="B33" s="79"/>
      <c r="C33" s="31" t="s">
        <v>186</v>
      </c>
      <c r="D33" s="30">
        <v>1</v>
      </c>
      <c r="E33" s="29">
        <v>7.246376811594203E-3</v>
      </c>
    </row>
    <row r="34" spans="2:5" ht="15" customHeight="1" x14ac:dyDescent="0.3">
      <c r="B34" s="80"/>
      <c r="C34" s="28" t="s">
        <v>5</v>
      </c>
      <c r="D34" s="27">
        <v>2</v>
      </c>
      <c r="E34" s="26">
        <v>1.4492753623188406E-2</v>
      </c>
    </row>
    <row r="35" spans="2:5" ht="15" customHeight="1" x14ac:dyDescent="0.3">
      <c r="B35" s="78" t="s">
        <v>26</v>
      </c>
      <c r="C35" s="31" t="s">
        <v>110</v>
      </c>
      <c r="D35" s="30">
        <v>3</v>
      </c>
      <c r="E35" s="29">
        <v>2.1739130434782608E-2</v>
      </c>
    </row>
    <row r="36" spans="2:5" ht="15" customHeight="1" x14ac:dyDescent="0.3">
      <c r="B36" s="79"/>
      <c r="C36" s="31" t="s">
        <v>109</v>
      </c>
      <c r="D36" s="30">
        <v>1</v>
      </c>
      <c r="E36" s="29">
        <v>7.246376811594203E-3</v>
      </c>
    </row>
    <row r="37" spans="2:5" ht="15" customHeight="1" x14ac:dyDescent="0.3">
      <c r="B37" s="79"/>
      <c r="C37" s="31" t="s">
        <v>108</v>
      </c>
      <c r="D37" s="30">
        <v>1</v>
      </c>
      <c r="E37" s="29">
        <v>7.246376811594203E-3</v>
      </c>
    </row>
    <row r="38" spans="2:5" ht="15" customHeight="1" x14ac:dyDescent="0.3">
      <c r="B38" s="79"/>
      <c r="C38" s="31" t="s">
        <v>107</v>
      </c>
      <c r="D38" s="30">
        <v>2</v>
      </c>
      <c r="E38" s="29">
        <v>1.4492753623188406E-2</v>
      </c>
    </row>
    <row r="39" spans="2:5" ht="15" customHeight="1" x14ac:dyDescent="0.3">
      <c r="B39" s="79"/>
      <c r="C39" s="31" t="s">
        <v>106</v>
      </c>
      <c r="D39" s="30">
        <v>3</v>
      </c>
      <c r="E39" s="29">
        <v>2.1739130434782608E-2</v>
      </c>
    </row>
    <row r="40" spans="2:5" ht="15" customHeight="1" x14ac:dyDescent="0.3">
      <c r="B40" s="79"/>
      <c r="C40" s="31" t="s">
        <v>105</v>
      </c>
      <c r="D40" s="30">
        <v>1</v>
      </c>
      <c r="E40" s="29">
        <v>7.246376811594203E-3</v>
      </c>
    </row>
    <row r="41" spans="2:5" ht="15" customHeight="1" x14ac:dyDescent="0.3">
      <c r="B41" s="79"/>
      <c r="C41" s="31" t="s">
        <v>104</v>
      </c>
      <c r="D41" s="30">
        <v>1</v>
      </c>
      <c r="E41" s="29">
        <v>7.246376811594203E-3</v>
      </c>
    </row>
    <row r="42" spans="2:5" ht="15" customHeight="1" x14ac:dyDescent="0.3">
      <c r="B42" s="80"/>
      <c r="C42" s="28" t="s">
        <v>5</v>
      </c>
      <c r="D42" s="27">
        <v>12</v>
      </c>
      <c r="E42" s="26">
        <v>8.6956521739130432E-2</v>
      </c>
    </row>
    <row r="43" spans="2:5" ht="15" customHeight="1" x14ac:dyDescent="0.3">
      <c r="B43" s="78" t="s">
        <v>27</v>
      </c>
      <c r="C43" s="31" t="s">
        <v>103</v>
      </c>
      <c r="D43" s="30">
        <v>1</v>
      </c>
      <c r="E43" s="29">
        <v>7.246376811594203E-3</v>
      </c>
    </row>
    <row r="44" spans="2:5" ht="15" customHeight="1" x14ac:dyDescent="0.3">
      <c r="B44" s="79"/>
      <c r="C44" s="31" t="s">
        <v>102</v>
      </c>
      <c r="D44" s="30">
        <v>1</v>
      </c>
      <c r="E44" s="29">
        <v>7.246376811594203E-3</v>
      </c>
    </row>
    <row r="45" spans="2:5" ht="15" customHeight="1" x14ac:dyDescent="0.3">
      <c r="B45" s="79"/>
      <c r="C45" s="31" t="s">
        <v>101</v>
      </c>
      <c r="D45" s="30">
        <v>1</v>
      </c>
      <c r="E45" s="29">
        <v>7.246376811594203E-3</v>
      </c>
    </row>
    <row r="46" spans="2:5" ht="15" customHeight="1" x14ac:dyDescent="0.3">
      <c r="B46" s="79"/>
      <c r="C46" s="31" t="s">
        <v>100</v>
      </c>
      <c r="D46" s="30">
        <v>1</v>
      </c>
      <c r="E46" s="29">
        <v>7.246376811594203E-3</v>
      </c>
    </row>
    <row r="47" spans="2:5" ht="15" customHeight="1" x14ac:dyDescent="0.3">
      <c r="B47" s="79"/>
      <c r="C47" s="31" t="s">
        <v>99</v>
      </c>
      <c r="D47" s="30">
        <v>1</v>
      </c>
      <c r="E47" s="29">
        <v>7.246376811594203E-3</v>
      </c>
    </row>
    <row r="48" spans="2:5" ht="15" customHeight="1" x14ac:dyDescent="0.3">
      <c r="B48" s="79"/>
      <c r="C48" s="31" t="s">
        <v>98</v>
      </c>
      <c r="D48" s="30">
        <v>2</v>
      </c>
      <c r="E48" s="29">
        <v>1.4492753623188406E-2</v>
      </c>
    </row>
    <row r="49" spans="2:5" ht="15" customHeight="1" x14ac:dyDescent="0.3">
      <c r="B49" s="79"/>
      <c r="C49" s="31" t="s">
        <v>27</v>
      </c>
      <c r="D49" s="30">
        <v>1</v>
      </c>
      <c r="E49" s="29">
        <v>7.246376811594203E-3</v>
      </c>
    </row>
    <row r="50" spans="2:5" ht="15" customHeight="1" x14ac:dyDescent="0.3">
      <c r="B50" s="79"/>
      <c r="C50" s="31" t="s">
        <v>97</v>
      </c>
      <c r="D50" s="30">
        <v>2</v>
      </c>
      <c r="E50" s="29">
        <v>1.4492753623188406E-2</v>
      </c>
    </row>
    <row r="51" spans="2:5" ht="15" customHeight="1" x14ac:dyDescent="0.3">
      <c r="B51" s="79"/>
      <c r="C51" s="31" t="s">
        <v>96</v>
      </c>
      <c r="D51" s="30">
        <v>1</v>
      </c>
      <c r="E51" s="29">
        <v>7.246376811594203E-3</v>
      </c>
    </row>
    <row r="52" spans="2:5" ht="15" customHeight="1" x14ac:dyDescent="0.3">
      <c r="B52" s="79"/>
      <c r="C52" s="31" t="s">
        <v>95</v>
      </c>
      <c r="D52" s="30">
        <v>1</v>
      </c>
      <c r="E52" s="29">
        <v>7.246376811594203E-3</v>
      </c>
    </row>
    <row r="53" spans="2:5" ht="15" customHeight="1" x14ac:dyDescent="0.3">
      <c r="B53" s="79"/>
      <c r="C53" s="31" t="s">
        <v>94</v>
      </c>
      <c r="D53" s="30">
        <v>1</v>
      </c>
      <c r="E53" s="29">
        <v>7.246376811594203E-3</v>
      </c>
    </row>
    <row r="54" spans="2:5" ht="15" customHeight="1" x14ac:dyDescent="0.3">
      <c r="B54" s="79"/>
      <c r="C54" s="31" t="s">
        <v>93</v>
      </c>
      <c r="D54" s="30">
        <v>1</v>
      </c>
      <c r="E54" s="29">
        <v>7.246376811594203E-3</v>
      </c>
    </row>
    <row r="55" spans="2:5" ht="15" customHeight="1" x14ac:dyDescent="0.3">
      <c r="B55" s="80"/>
      <c r="C55" s="28" t="s">
        <v>5</v>
      </c>
      <c r="D55" s="27">
        <v>14</v>
      </c>
      <c r="E55" s="26">
        <v>0.10144927536231885</v>
      </c>
    </row>
    <row r="56" spans="2:5" ht="15" customHeight="1" x14ac:dyDescent="0.3">
      <c r="B56" s="78" t="s">
        <v>25</v>
      </c>
      <c r="C56" s="31" t="s">
        <v>92</v>
      </c>
      <c r="D56" s="30">
        <v>1</v>
      </c>
      <c r="E56" s="29">
        <v>7.246376811594203E-3</v>
      </c>
    </row>
    <row r="57" spans="2:5" ht="15" customHeight="1" x14ac:dyDescent="0.3">
      <c r="B57" s="79"/>
      <c r="C57" s="31" t="s">
        <v>91</v>
      </c>
      <c r="D57" s="30">
        <v>4</v>
      </c>
      <c r="E57" s="29">
        <v>2.8985507246376812E-2</v>
      </c>
    </row>
    <row r="58" spans="2:5" ht="15" customHeight="1" x14ac:dyDescent="0.3">
      <c r="B58" s="79"/>
      <c r="C58" s="31" t="s">
        <v>90</v>
      </c>
      <c r="D58" s="30">
        <v>1</v>
      </c>
      <c r="E58" s="29">
        <v>7.246376811594203E-3</v>
      </c>
    </row>
    <row r="59" spans="2:5" ht="15" customHeight="1" x14ac:dyDescent="0.3">
      <c r="B59" s="79"/>
      <c r="C59" s="31" t="s">
        <v>89</v>
      </c>
      <c r="D59" s="30">
        <v>1</v>
      </c>
      <c r="E59" s="29">
        <v>7.246376811594203E-3</v>
      </c>
    </row>
    <row r="60" spans="2:5" ht="15" customHeight="1" x14ac:dyDescent="0.3">
      <c r="B60" s="79"/>
      <c r="C60" s="31" t="s">
        <v>88</v>
      </c>
      <c r="D60" s="30">
        <v>3</v>
      </c>
      <c r="E60" s="29">
        <v>2.1739130434782608E-2</v>
      </c>
    </row>
    <row r="61" spans="2:5" ht="15" customHeight="1" x14ac:dyDescent="0.3">
      <c r="B61" s="79"/>
      <c r="C61" s="31" t="s">
        <v>87</v>
      </c>
      <c r="D61" s="30">
        <v>1</v>
      </c>
      <c r="E61" s="29">
        <v>7.246376811594203E-3</v>
      </c>
    </row>
    <row r="62" spans="2:5" ht="15" customHeight="1" x14ac:dyDescent="0.3">
      <c r="B62" s="80"/>
      <c r="C62" s="28" t="s">
        <v>5</v>
      </c>
      <c r="D62" s="27">
        <v>11</v>
      </c>
      <c r="E62" s="26">
        <v>7.9710144927536225E-2</v>
      </c>
    </row>
    <row r="63" spans="2:5" ht="15" customHeight="1" x14ac:dyDescent="0.3">
      <c r="B63" s="78" t="s">
        <v>18</v>
      </c>
      <c r="C63" s="31" t="s">
        <v>86</v>
      </c>
      <c r="D63" s="30">
        <v>2</v>
      </c>
      <c r="E63" s="29">
        <v>1.4492753623188406E-2</v>
      </c>
    </row>
    <row r="64" spans="2:5" ht="15" customHeight="1" x14ac:dyDescent="0.3">
      <c r="B64" s="79"/>
      <c r="C64" s="31" t="s">
        <v>85</v>
      </c>
      <c r="D64" s="30">
        <v>1</v>
      </c>
      <c r="E64" s="29">
        <v>7.246376811594203E-3</v>
      </c>
    </row>
    <row r="65" spans="2:5" ht="15" customHeight="1" x14ac:dyDescent="0.3">
      <c r="B65" s="79"/>
      <c r="C65" s="31" t="s">
        <v>84</v>
      </c>
      <c r="D65" s="30">
        <v>1</v>
      </c>
      <c r="E65" s="29">
        <v>7.246376811594203E-3</v>
      </c>
    </row>
    <row r="66" spans="2:5" ht="15" customHeight="1" x14ac:dyDescent="0.3">
      <c r="B66" s="79"/>
      <c r="C66" s="31" t="s">
        <v>83</v>
      </c>
      <c r="D66" s="30">
        <v>1</v>
      </c>
      <c r="E66" s="29">
        <v>7.246376811594203E-3</v>
      </c>
    </row>
    <row r="67" spans="2:5" ht="15" customHeight="1" x14ac:dyDescent="0.3">
      <c r="B67" s="79"/>
      <c r="C67" s="31" t="s">
        <v>82</v>
      </c>
      <c r="D67" s="30">
        <v>1</v>
      </c>
      <c r="E67" s="29">
        <v>7.246376811594203E-3</v>
      </c>
    </row>
    <row r="68" spans="2:5" ht="15" customHeight="1" x14ac:dyDescent="0.3">
      <c r="B68" s="80"/>
      <c r="C68" s="28" t="s">
        <v>5</v>
      </c>
      <c r="D68" s="27">
        <v>6</v>
      </c>
      <c r="E68" s="26">
        <v>4.3478260869565216E-2</v>
      </c>
    </row>
    <row r="69" spans="2:5" ht="15" customHeight="1" x14ac:dyDescent="0.3">
      <c r="B69" s="78" t="s">
        <v>15</v>
      </c>
      <c r="C69" s="31" t="s">
        <v>81</v>
      </c>
      <c r="D69" s="30">
        <v>3</v>
      </c>
      <c r="E69" s="29">
        <v>2.1739130434782608E-2</v>
      </c>
    </row>
    <row r="70" spans="2:5" ht="15" customHeight="1" x14ac:dyDescent="0.3">
      <c r="B70" s="80"/>
      <c r="C70" s="28" t="s">
        <v>5</v>
      </c>
      <c r="D70" s="27">
        <v>3</v>
      </c>
      <c r="E70" s="26">
        <v>2.1739130434782608E-2</v>
      </c>
    </row>
    <row r="71" spans="2:5" ht="15" customHeight="1" x14ac:dyDescent="0.3">
      <c r="B71" s="78" t="s">
        <v>24</v>
      </c>
      <c r="C71" s="31" t="s">
        <v>80</v>
      </c>
      <c r="D71" s="30">
        <v>1</v>
      </c>
      <c r="E71" s="29">
        <v>7.246376811594203E-3</v>
      </c>
    </row>
    <row r="72" spans="2:5" ht="15" customHeight="1" x14ac:dyDescent="0.3">
      <c r="B72" s="79"/>
      <c r="C72" s="31" t="s">
        <v>79</v>
      </c>
      <c r="D72" s="30">
        <v>1</v>
      </c>
      <c r="E72" s="29">
        <v>7.246376811594203E-3</v>
      </c>
    </row>
    <row r="73" spans="2:5" ht="15" customHeight="1" x14ac:dyDescent="0.3">
      <c r="B73" s="79"/>
      <c r="C73" s="31" t="s">
        <v>78</v>
      </c>
      <c r="D73" s="30">
        <v>2</v>
      </c>
      <c r="E73" s="29">
        <v>1.4492753623188406E-2</v>
      </c>
    </row>
    <row r="74" spans="2:5" ht="15" customHeight="1" x14ac:dyDescent="0.3">
      <c r="B74" s="79"/>
      <c r="C74" s="31" t="s">
        <v>77</v>
      </c>
      <c r="D74" s="30">
        <v>4</v>
      </c>
      <c r="E74" s="29">
        <v>2.8985507246376812E-2</v>
      </c>
    </row>
    <row r="75" spans="2:5" ht="15" customHeight="1" x14ac:dyDescent="0.3">
      <c r="B75" s="79"/>
      <c r="C75" s="31" t="s">
        <v>76</v>
      </c>
      <c r="D75" s="30">
        <v>1</v>
      </c>
      <c r="E75" s="29">
        <v>7.246376811594203E-3</v>
      </c>
    </row>
    <row r="76" spans="2:5" ht="15" customHeight="1" x14ac:dyDescent="0.3">
      <c r="B76" s="79"/>
      <c r="C76" s="31" t="s">
        <v>75</v>
      </c>
      <c r="D76" s="30">
        <v>1</v>
      </c>
      <c r="E76" s="29">
        <v>7.246376811594203E-3</v>
      </c>
    </row>
    <row r="77" spans="2:5" ht="15" customHeight="1" x14ac:dyDescent="0.3">
      <c r="B77" s="80"/>
      <c r="C77" s="28" t="s">
        <v>5</v>
      </c>
      <c r="D77" s="27">
        <v>10</v>
      </c>
      <c r="E77" s="26">
        <v>7.2463768115942032E-2</v>
      </c>
    </row>
    <row r="78" spans="2:5" ht="15" customHeight="1" x14ac:dyDescent="0.3">
      <c r="B78" s="78" t="s">
        <v>11</v>
      </c>
      <c r="C78" s="31" t="s">
        <v>74</v>
      </c>
      <c r="D78" s="30">
        <v>1</v>
      </c>
      <c r="E78" s="29">
        <v>7.246376811594203E-3</v>
      </c>
    </row>
    <row r="79" spans="2:5" ht="15" customHeight="1" x14ac:dyDescent="0.3">
      <c r="B79" s="79"/>
      <c r="C79" s="31" t="s">
        <v>73</v>
      </c>
      <c r="D79" s="30">
        <v>1</v>
      </c>
      <c r="E79" s="29">
        <v>7.246376811594203E-3</v>
      </c>
    </row>
    <row r="80" spans="2:5" ht="15" customHeight="1" x14ac:dyDescent="0.3">
      <c r="B80" s="80"/>
      <c r="C80" s="28" t="s">
        <v>5</v>
      </c>
      <c r="D80" s="27">
        <v>2</v>
      </c>
      <c r="E80" s="26">
        <v>1.4492753623188406E-2</v>
      </c>
    </row>
    <row r="81" spans="2:5" ht="15" customHeight="1" x14ac:dyDescent="0.3">
      <c r="B81" s="78" t="s">
        <v>10</v>
      </c>
      <c r="C81" s="31" t="s">
        <v>72</v>
      </c>
      <c r="D81" s="30">
        <v>2</v>
      </c>
      <c r="E81" s="29">
        <v>1.4492753623188406E-2</v>
      </c>
    </row>
    <row r="82" spans="2:5" ht="15" customHeight="1" x14ac:dyDescent="0.3">
      <c r="B82" s="80"/>
      <c r="C82" s="28" t="s">
        <v>5</v>
      </c>
      <c r="D82" s="27">
        <v>2</v>
      </c>
      <c r="E82" s="26">
        <v>1.4492753623188406E-2</v>
      </c>
    </row>
    <row r="83" spans="2:5" ht="15" customHeight="1" x14ac:dyDescent="0.3">
      <c r="B83" s="78" t="s">
        <v>7</v>
      </c>
      <c r="C83" s="31" t="s">
        <v>71</v>
      </c>
      <c r="D83" s="30">
        <v>1</v>
      </c>
      <c r="E83" s="29">
        <v>7.246376811594203E-3</v>
      </c>
    </row>
    <row r="84" spans="2:5" ht="15" customHeight="1" x14ac:dyDescent="0.3">
      <c r="B84" s="80"/>
      <c r="C84" s="28" t="s">
        <v>5</v>
      </c>
      <c r="D84" s="27">
        <v>1</v>
      </c>
      <c r="E84" s="26">
        <v>7.246376811594203E-3</v>
      </c>
    </row>
    <row r="85" spans="2:5" ht="15" customHeight="1" x14ac:dyDescent="0.3">
      <c r="B85" s="78" t="s">
        <v>28</v>
      </c>
      <c r="C85" s="31" t="s">
        <v>70</v>
      </c>
      <c r="D85" s="30">
        <v>1</v>
      </c>
      <c r="E85" s="29">
        <v>7.246376811594203E-3</v>
      </c>
    </row>
    <row r="86" spans="2:5" ht="15" customHeight="1" x14ac:dyDescent="0.3">
      <c r="B86" s="79"/>
      <c r="C86" s="31" t="s">
        <v>69</v>
      </c>
      <c r="D86" s="30">
        <v>1</v>
      </c>
      <c r="E86" s="29">
        <v>7.246376811594203E-3</v>
      </c>
    </row>
    <row r="87" spans="2:5" ht="15" customHeight="1" x14ac:dyDescent="0.3">
      <c r="B87" s="79"/>
      <c r="C87" s="31" t="s">
        <v>68</v>
      </c>
      <c r="D87" s="30">
        <v>1</v>
      </c>
      <c r="E87" s="29">
        <v>7.246376811594203E-3</v>
      </c>
    </row>
    <row r="88" spans="2:5" ht="15" customHeight="1" x14ac:dyDescent="0.3">
      <c r="B88" s="79"/>
      <c r="C88" s="31" t="s">
        <v>67</v>
      </c>
      <c r="D88" s="30">
        <v>1</v>
      </c>
      <c r="E88" s="29">
        <v>7.246376811594203E-3</v>
      </c>
    </row>
    <row r="89" spans="2:5" ht="15" customHeight="1" x14ac:dyDescent="0.3">
      <c r="B89" s="79"/>
      <c r="C89" s="31" t="s">
        <v>66</v>
      </c>
      <c r="D89" s="30">
        <v>1</v>
      </c>
      <c r="E89" s="29">
        <v>7.246376811594203E-3</v>
      </c>
    </row>
    <row r="90" spans="2:5" ht="15" customHeight="1" x14ac:dyDescent="0.3">
      <c r="B90" s="79"/>
      <c r="C90" s="31" t="s">
        <v>65</v>
      </c>
      <c r="D90" s="30">
        <v>2</v>
      </c>
      <c r="E90" s="29">
        <v>1.4492753623188406E-2</v>
      </c>
    </row>
    <row r="91" spans="2:5" ht="15" customHeight="1" x14ac:dyDescent="0.3">
      <c r="B91" s="79"/>
      <c r="C91" s="31" t="s">
        <v>64</v>
      </c>
      <c r="D91" s="30">
        <v>1</v>
      </c>
      <c r="E91" s="29">
        <v>7.246376811594203E-3</v>
      </c>
    </row>
    <row r="92" spans="2:5" ht="15" customHeight="1" x14ac:dyDescent="0.3">
      <c r="B92" s="79"/>
      <c r="C92" s="31" t="s">
        <v>63</v>
      </c>
      <c r="D92" s="30">
        <v>1</v>
      </c>
      <c r="E92" s="29">
        <v>7.246376811594203E-3</v>
      </c>
    </row>
    <row r="93" spans="2:5" ht="15" customHeight="1" x14ac:dyDescent="0.3">
      <c r="B93" s="79"/>
      <c r="C93" s="31" t="s">
        <v>62</v>
      </c>
      <c r="D93" s="30">
        <v>1</v>
      </c>
      <c r="E93" s="29">
        <v>7.246376811594203E-3</v>
      </c>
    </row>
    <row r="94" spans="2:5" ht="15" customHeight="1" x14ac:dyDescent="0.3">
      <c r="B94" s="79"/>
      <c r="C94" s="31" t="s">
        <v>61</v>
      </c>
      <c r="D94" s="30">
        <v>1</v>
      </c>
      <c r="E94" s="29">
        <v>7.246376811594203E-3</v>
      </c>
    </row>
    <row r="95" spans="2:5" ht="15" customHeight="1" x14ac:dyDescent="0.3">
      <c r="B95" s="79"/>
      <c r="C95" s="31" t="s">
        <v>60</v>
      </c>
      <c r="D95" s="30">
        <v>2</v>
      </c>
      <c r="E95" s="29">
        <v>1.4492753623188406E-2</v>
      </c>
    </row>
    <row r="96" spans="2:5" ht="15" customHeight="1" x14ac:dyDescent="0.3">
      <c r="B96" s="79"/>
      <c r="C96" s="31" t="s">
        <v>59</v>
      </c>
      <c r="D96" s="30">
        <v>1</v>
      </c>
      <c r="E96" s="29">
        <v>7.246376811594203E-3</v>
      </c>
    </row>
    <row r="97" spans="2:5" ht="15" customHeight="1" x14ac:dyDescent="0.3">
      <c r="B97" s="79"/>
      <c r="C97" s="31" t="s">
        <v>58</v>
      </c>
      <c r="D97" s="30">
        <v>1</v>
      </c>
      <c r="E97" s="29">
        <v>7.246376811594203E-3</v>
      </c>
    </row>
    <row r="98" spans="2:5" ht="15" customHeight="1" x14ac:dyDescent="0.3">
      <c r="B98" s="79"/>
      <c r="C98" s="31" t="s">
        <v>57</v>
      </c>
      <c r="D98" s="30">
        <v>2</v>
      </c>
      <c r="E98" s="29">
        <v>1.4492753623188406E-2</v>
      </c>
    </row>
    <row r="99" spans="2:5" ht="15" customHeight="1" x14ac:dyDescent="0.3">
      <c r="B99" s="79"/>
      <c r="C99" s="31" t="s">
        <v>56</v>
      </c>
      <c r="D99" s="30">
        <v>3</v>
      </c>
      <c r="E99" s="29">
        <v>2.1739130434782608E-2</v>
      </c>
    </row>
    <row r="100" spans="2:5" ht="15" customHeight="1" x14ac:dyDescent="0.3">
      <c r="B100" s="80"/>
      <c r="C100" s="28" t="s">
        <v>5</v>
      </c>
      <c r="D100" s="27">
        <v>20</v>
      </c>
      <c r="E100" s="26">
        <v>0.14492753623188406</v>
      </c>
    </row>
    <row r="101" spans="2:5" ht="15" customHeight="1" x14ac:dyDescent="0.3">
      <c r="B101" s="78" t="s">
        <v>20</v>
      </c>
      <c r="C101" s="31" t="s">
        <v>55</v>
      </c>
      <c r="D101" s="30">
        <v>1</v>
      </c>
      <c r="E101" s="29">
        <v>7.246376811594203E-3</v>
      </c>
    </row>
    <row r="102" spans="2:5" ht="15" customHeight="1" x14ac:dyDescent="0.3">
      <c r="B102" s="79"/>
      <c r="C102" s="31" t="s">
        <v>54</v>
      </c>
      <c r="D102" s="30">
        <v>2</v>
      </c>
      <c r="E102" s="29">
        <v>1.4492753623188406E-2</v>
      </c>
    </row>
    <row r="103" spans="2:5" ht="15" customHeight="1" x14ac:dyDescent="0.3">
      <c r="B103" s="79"/>
      <c r="C103" s="31" t="s">
        <v>53</v>
      </c>
      <c r="D103" s="30">
        <v>2</v>
      </c>
      <c r="E103" s="29">
        <v>1.4492753623188406E-2</v>
      </c>
    </row>
    <row r="104" spans="2:5" ht="15" customHeight="1" x14ac:dyDescent="0.3">
      <c r="B104" s="79"/>
      <c r="C104" s="31" t="s">
        <v>52</v>
      </c>
      <c r="D104" s="30">
        <v>1</v>
      </c>
      <c r="E104" s="29">
        <v>7.246376811594203E-3</v>
      </c>
    </row>
    <row r="105" spans="2:5" ht="15" customHeight="1" x14ac:dyDescent="0.3">
      <c r="B105" s="79"/>
      <c r="C105" s="31" t="s">
        <v>51</v>
      </c>
      <c r="D105" s="30">
        <v>1</v>
      </c>
      <c r="E105" s="29">
        <v>7.246376811594203E-3</v>
      </c>
    </row>
    <row r="106" spans="2:5" ht="15" customHeight="1" x14ac:dyDescent="0.3">
      <c r="B106" s="80"/>
      <c r="C106" s="28" t="s">
        <v>5</v>
      </c>
      <c r="D106" s="27">
        <v>7</v>
      </c>
      <c r="E106" s="26">
        <v>5.0724637681159424E-2</v>
      </c>
    </row>
    <row r="107" spans="2:5" ht="15" customHeight="1" x14ac:dyDescent="0.3">
      <c r="B107" s="78" t="s">
        <v>14</v>
      </c>
      <c r="C107" s="31" t="s">
        <v>50</v>
      </c>
      <c r="D107" s="30">
        <v>1</v>
      </c>
      <c r="E107" s="29">
        <v>7.246376811594203E-3</v>
      </c>
    </row>
    <row r="108" spans="2:5" ht="15" customHeight="1" x14ac:dyDescent="0.3">
      <c r="B108" s="79"/>
      <c r="C108" s="31" t="s">
        <v>14</v>
      </c>
      <c r="D108" s="30">
        <v>2</v>
      </c>
      <c r="E108" s="29">
        <v>1.4492753623188406E-2</v>
      </c>
    </row>
    <row r="109" spans="2:5" ht="15" customHeight="1" x14ac:dyDescent="0.3">
      <c r="B109" s="80"/>
      <c r="C109" s="28" t="s">
        <v>5</v>
      </c>
      <c r="D109" s="27">
        <v>3</v>
      </c>
      <c r="E109" s="26">
        <v>2.1739130434782608E-2</v>
      </c>
    </row>
    <row r="110" spans="2:5" ht="15" customHeight="1" x14ac:dyDescent="0.3">
      <c r="B110" s="78" t="s">
        <v>6</v>
      </c>
      <c r="C110" s="31" t="s">
        <v>49</v>
      </c>
      <c r="D110" s="30">
        <v>1</v>
      </c>
      <c r="E110" s="29">
        <v>7.246376811594203E-3</v>
      </c>
    </row>
    <row r="111" spans="2:5" ht="15" customHeight="1" x14ac:dyDescent="0.3">
      <c r="B111" s="80"/>
      <c r="C111" s="28" t="s">
        <v>5</v>
      </c>
      <c r="D111" s="27">
        <v>1</v>
      </c>
      <c r="E111" s="26">
        <v>7.246376811594203E-3</v>
      </c>
    </row>
    <row r="112" spans="2:5" ht="15" customHeight="1" x14ac:dyDescent="0.3">
      <c r="B112" s="78" t="s">
        <v>23</v>
      </c>
      <c r="C112" s="31" t="s">
        <v>48</v>
      </c>
      <c r="D112" s="30">
        <v>1</v>
      </c>
      <c r="E112" s="29">
        <v>7.246376811594203E-3</v>
      </c>
    </row>
    <row r="113" spans="2:5" ht="15" customHeight="1" x14ac:dyDescent="0.3">
      <c r="B113" s="79"/>
      <c r="C113" s="31" t="s">
        <v>47</v>
      </c>
      <c r="D113" s="30">
        <v>4</v>
      </c>
      <c r="E113" s="29">
        <v>2.8985507246376812E-2</v>
      </c>
    </row>
    <row r="114" spans="2:5" ht="15" customHeight="1" x14ac:dyDescent="0.3">
      <c r="B114" s="79"/>
      <c r="C114" s="31" t="s">
        <v>46</v>
      </c>
      <c r="D114" s="30">
        <v>1</v>
      </c>
      <c r="E114" s="29">
        <v>7.246376811594203E-3</v>
      </c>
    </row>
    <row r="115" spans="2:5" ht="15" customHeight="1" x14ac:dyDescent="0.3">
      <c r="B115" s="79"/>
      <c r="C115" s="31" t="s">
        <v>45</v>
      </c>
      <c r="D115" s="30">
        <v>2</v>
      </c>
      <c r="E115" s="29">
        <v>1.4492753623188406E-2</v>
      </c>
    </row>
    <row r="116" spans="2:5" ht="15" customHeight="1" x14ac:dyDescent="0.3">
      <c r="B116" s="79"/>
      <c r="C116" s="31" t="s">
        <v>44</v>
      </c>
      <c r="D116" s="30">
        <v>1</v>
      </c>
      <c r="E116" s="29">
        <v>7.246376811594203E-3</v>
      </c>
    </row>
    <row r="117" spans="2:5" ht="15" customHeight="1" x14ac:dyDescent="0.3">
      <c r="B117" s="80"/>
      <c r="C117" s="28" t="s">
        <v>5</v>
      </c>
      <c r="D117" s="27">
        <v>9</v>
      </c>
      <c r="E117" s="26">
        <v>6.5217391304347824E-2</v>
      </c>
    </row>
    <row r="118" spans="2:5" ht="15" customHeight="1" x14ac:dyDescent="0.3">
      <c r="B118" s="78" t="s">
        <v>13</v>
      </c>
      <c r="C118" s="31" t="s">
        <v>43</v>
      </c>
      <c r="D118" s="30">
        <v>2</v>
      </c>
      <c r="E118" s="29">
        <v>1.4492753623188406E-2</v>
      </c>
    </row>
    <row r="119" spans="2:5" ht="15" customHeight="1" x14ac:dyDescent="0.3">
      <c r="B119" s="79"/>
      <c r="C119" s="31" t="s">
        <v>42</v>
      </c>
      <c r="D119" s="30">
        <v>1</v>
      </c>
      <c r="E119" s="29">
        <v>7.246376811594203E-3</v>
      </c>
    </row>
    <row r="120" spans="2:5" ht="15" customHeight="1" x14ac:dyDescent="0.3">
      <c r="B120" s="80"/>
      <c r="C120" s="28" t="s">
        <v>5</v>
      </c>
      <c r="D120" s="27">
        <v>3</v>
      </c>
      <c r="E120" s="26">
        <v>2.1739130434782608E-2</v>
      </c>
    </row>
    <row r="121" spans="2:5" ht="15" customHeight="1" x14ac:dyDescent="0.3">
      <c r="B121" s="78" t="s">
        <v>22</v>
      </c>
      <c r="C121" s="31" t="s">
        <v>41</v>
      </c>
      <c r="D121" s="30">
        <v>2</v>
      </c>
      <c r="E121" s="29">
        <v>1.4492753623188406E-2</v>
      </c>
    </row>
    <row r="122" spans="2:5" ht="15" customHeight="1" x14ac:dyDescent="0.3">
      <c r="B122" s="79"/>
      <c r="C122" s="31" t="s">
        <v>40</v>
      </c>
      <c r="D122" s="30">
        <v>2</v>
      </c>
      <c r="E122" s="29">
        <v>1.4492753623188406E-2</v>
      </c>
    </row>
    <row r="123" spans="2:5" ht="15" customHeight="1" x14ac:dyDescent="0.3">
      <c r="B123" s="79"/>
      <c r="C123" s="31" t="s">
        <v>39</v>
      </c>
      <c r="D123" s="30">
        <v>1</v>
      </c>
      <c r="E123" s="29">
        <v>7.246376811594203E-3</v>
      </c>
    </row>
    <row r="124" spans="2:5" ht="15" customHeight="1" x14ac:dyDescent="0.3">
      <c r="B124" s="79"/>
      <c r="C124" s="31" t="s">
        <v>38</v>
      </c>
      <c r="D124" s="30">
        <v>1</v>
      </c>
      <c r="E124" s="29">
        <v>7.246376811594203E-3</v>
      </c>
    </row>
    <row r="125" spans="2:5" ht="15" customHeight="1" x14ac:dyDescent="0.3">
      <c r="B125" s="79"/>
      <c r="C125" s="31" t="s">
        <v>37</v>
      </c>
      <c r="D125" s="30">
        <v>1</v>
      </c>
      <c r="E125" s="29">
        <v>7.246376811594203E-3</v>
      </c>
    </row>
    <row r="126" spans="2:5" ht="15" customHeight="1" x14ac:dyDescent="0.3">
      <c r="B126" s="79"/>
      <c r="C126" s="31" t="s">
        <v>36</v>
      </c>
      <c r="D126" s="30">
        <v>1</v>
      </c>
      <c r="E126" s="29">
        <v>7.246376811594203E-3</v>
      </c>
    </row>
    <row r="127" spans="2:5" ht="15" customHeight="1" x14ac:dyDescent="0.3">
      <c r="B127" s="79"/>
      <c r="C127" s="31" t="s">
        <v>35</v>
      </c>
      <c r="D127" s="30">
        <v>1</v>
      </c>
      <c r="E127" s="29">
        <v>7.246376811594203E-3</v>
      </c>
    </row>
    <row r="128" spans="2:5" ht="15" customHeight="1" x14ac:dyDescent="0.3">
      <c r="B128" s="80"/>
      <c r="C128" s="28" t="s">
        <v>5</v>
      </c>
      <c r="D128" s="27">
        <v>9</v>
      </c>
      <c r="E128" s="26">
        <v>6.5217391304347824E-2</v>
      </c>
    </row>
    <row r="129" spans="2:5" ht="15" customHeight="1" x14ac:dyDescent="0.3">
      <c r="B129" s="78" t="s">
        <v>16</v>
      </c>
      <c r="C129" s="31" t="s">
        <v>11</v>
      </c>
      <c r="D129" s="30">
        <v>1</v>
      </c>
      <c r="E129" s="29">
        <v>7.246376811594203E-3</v>
      </c>
    </row>
    <row r="130" spans="2:5" ht="15" customHeight="1" x14ac:dyDescent="0.3">
      <c r="B130" s="79"/>
      <c r="C130" s="31" t="s">
        <v>34</v>
      </c>
      <c r="D130" s="30">
        <v>1</v>
      </c>
      <c r="E130" s="29">
        <v>7.246376811594203E-3</v>
      </c>
    </row>
    <row r="131" spans="2:5" ht="15" customHeight="1" x14ac:dyDescent="0.3">
      <c r="B131" s="79"/>
      <c r="C131" s="31" t="s">
        <v>33</v>
      </c>
      <c r="D131" s="30">
        <v>2</v>
      </c>
      <c r="E131" s="29">
        <v>1.4492753623188406E-2</v>
      </c>
    </row>
    <row r="132" spans="2:5" ht="15" customHeight="1" x14ac:dyDescent="0.3">
      <c r="B132" s="80"/>
      <c r="C132" s="28" t="s">
        <v>5</v>
      </c>
      <c r="D132" s="27">
        <v>4</v>
      </c>
      <c r="E132" s="26">
        <v>2.8985507246376812E-2</v>
      </c>
    </row>
    <row r="133" spans="2:5" ht="15" customHeight="1" x14ac:dyDescent="0.3">
      <c r="B133" s="76" t="s">
        <v>5</v>
      </c>
      <c r="C133" s="77"/>
      <c r="D133" s="64">
        <f>SUMIF(C$10:C132,"Total",D$10:D132)</f>
        <v>138</v>
      </c>
      <c r="E133" s="65">
        <v>1</v>
      </c>
    </row>
    <row r="135" spans="2:5" ht="15" customHeight="1" x14ac:dyDescent="0.3">
      <c r="B135" s="3" t="s">
        <v>4</v>
      </c>
    </row>
    <row r="136" spans="2:5" ht="15" customHeight="1" x14ac:dyDescent="0.3">
      <c r="B136" s="5" t="s">
        <v>3</v>
      </c>
    </row>
    <row r="137" spans="2:5" ht="15" customHeight="1" x14ac:dyDescent="0.3">
      <c r="B137" s="4" t="s">
        <v>2</v>
      </c>
    </row>
    <row r="138" spans="2:5" ht="15" customHeight="1" x14ac:dyDescent="0.3">
      <c r="B138" s="3" t="s">
        <v>1</v>
      </c>
    </row>
    <row r="139" spans="2:5" ht="15" customHeight="1" x14ac:dyDescent="0.3">
      <c r="B139" s="3" t="s">
        <v>0</v>
      </c>
    </row>
    <row r="484" spans="1:2" s="21" customFormat="1" ht="15" customHeight="1" x14ac:dyDescent="0.3">
      <c r="A484" s="20"/>
      <c r="B484" s="22"/>
    </row>
    <row r="485" spans="1:2" s="21" customFormat="1" ht="15" customHeight="1" x14ac:dyDescent="0.3">
      <c r="A485" s="20"/>
      <c r="B485" s="23"/>
    </row>
    <row r="486" spans="1:2" s="21" customFormat="1" ht="15" customHeight="1" x14ac:dyDescent="0.3">
      <c r="A486" s="20"/>
      <c r="B486" s="23"/>
    </row>
    <row r="487" spans="1:2" s="21" customFormat="1" ht="15" customHeight="1" x14ac:dyDescent="0.3">
      <c r="A487" s="20"/>
      <c r="B487" s="22"/>
    </row>
    <row r="488" spans="1:2" s="21" customFormat="1" ht="15" customHeight="1" x14ac:dyDescent="0.3">
      <c r="A488" s="20"/>
      <c r="B488" s="22"/>
    </row>
  </sheetData>
  <mergeCells count="25">
    <mergeCell ref="B25:B31"/>
    <mergeCell ref="B7:E8"/>
    <mergeCell ref="B10:B11"/>
    <mergeCell ref="B12:B13"/>
    <mergeCell ref="B14:B19"/>
    <mergeCell ref="B20:B24"/>
    <mergeCell ref="B101:B106"/>
    <mergeCell ref="B32:B34"/>
    <mergeCell ref="B35:B42"/>
    <mergeCell ref="B43:B55"/>
    <mergeCell ref="B56:B62"/>
    <mergeCell ref="B63:B68"/>
    <mergeCell ref="B69:B70"/>
    <mergeCell ref="B71:B77"/>
    <mergeCell ref="B78:B80"/>
    <mergeCell ref="B81:B82"/>
    <mergeCell ref="B83:B84"/>
    <mergeCell ref="B85:B100"/>
    <mergeCell ref="B133:C133"/>
    <mergeCell ref="B107:B109"/>
    <mergeCell ref="B110:B111"/>
    <mergeCell ref="B112:B117"/>
    <mergeCell ref="B118:B120"/>
    <mergeCell ref="B121:B128"/>
    <mergeCell ref="B129:B132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rowBreaks count="3" manualBreakCount="3">
    <brk id="42" max="4" man="1"/>
    <brk id="84" max="4" man="1"/>
    <brk id="128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31"/>
  <sheetViews>
    <sheetView showGridLines="0" topLeftCell="A2" zoomScaleNormal="100" zoomScaleSheetLayoutView="115" workbookViewId="0">
      <selection activeCell="E9" sqref="E9"/>
    </sheetView>
  </sheetViews>
  <sheetFormatPr baseColWidth="10" defaultColWidth="11.44140625" defaultRowHeight="14.4" x14ac:dyDescent="0.3"/>
  <cols>
    <col min="1" max="1" width="9.33203125" style="1" customWidth="1"/>
    <col min="2" max="2" width="30.554687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 x14ac:dyDescent="0.2">
      <c r="C1" s="19"/>
    </row>
    <row r="2" spans="2:4" s="13" customFormat="1" ht="15" customHeight="1" x14ac:dyDescent="0.2">
      <c r="C2" s="19"/>
    </row>
    <row r="3" spans="2:4" s="13" customFormat="1" ht="15" customHeight="1" x14ac:dyDescent="0.2">
      <c r="C3" s="19"/>
    </row>
    <row r="4" spans="2:4" s="13" customFormat="1" ht="30" customHeight="1" x14ac:dyDescent="0.2">
      <c r="C4" s="19"/>
      <c r="D4" s="18"/>
    </row>
    <row r="5" spans="2:4" s="13" customFormat="1" ht="15" customHeight="1" x14ac:dyDescent="0.2">
      <c r="C5" s="19"/>
      <c r="D5" s="18"/>
    </row>
    <row r="6" spans="2:4" s="13" customFormat="1" ht="15" customHeight="1" x14ac:dyDescent="0.2">
      <c r="C6" s="19"/>
      <c r="D6" s="18"/>
    </row>
    <row r="7" spans="2:4" s="13" customFormat="1" ht="15" customHeight="1" x14ac:dyDescent="0.2">
      <c r="B7" s="75" t="s">
        <v>140</v>
      </c>
      <c r="C7" s="75"/>
      <c r="D7" s="75"/>
    </row>
    <row r="8" spans="2:4" s="13" customFormat="1" ht="15" customHeight="1" x14ac:dyDescent="0.2">
      <c r="B8" s="75"/>
      <c r="C8" s="75"/>
      <c r="D8" s="75"/>
    </row>
    <row r="9" spans="2:4" s="13" customFormat="1" ht="33" customHeight="1" x14ac:dyDescent="0.2">
      <c r="B9" s="75"/>
      <c r="C9" s="75"/>
      <c r="D9" s="75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139</v>
      </c>
      <c r="C11" s="15" t="s">
        <v>30</v>
      </c>
      <c r="D11" s="14" t="s">
        <v>29</v>
      </c>
    </row>
    <row r="12" spans="2:4" ht="15" customHeight="1" x14ac:dyDescent="0.3">
      <c r="B12" s="11" t="s">
        <v>138</v>
      </c>
      <c r="C12" s="10">
        <v>2</v>
      </c>
      <c r="D12" s="9">
        <v>1.4492753623188406E-2</v>
      </c>
    </row>
    <row r="13" spans="2:4" x14ac:dyDescent="0.3">
      <c r="B13" s="11" t="s">
        <v>137</v>
      </c>
      <c r="C13" s="10">
        <v>9</v>
      </c>
      <c r="D13" s="9">
        <v>6.5217391304347824E-2</v>
      </c>
    </row>
    <row r="14" spans="2:4" s="12" customFormat="1" ht="15" x14ac:dyDescent="0.3">
      <c r="B14" s="11" t="s">
        <v>136</v>
      </c>
      <c r="C14" s="10">
        <v>2</v>
      </c>
      <c r="D14" s="9">
        <v>1.4492753623188406E-2</v>
      </c>
    </row>
    <row r="15" spans="2:4" s="12" customFormat="1" ht="15" x14ac:dyDescent="0.3">
      <c r="B15" s="11" t="s">
        <v>135</v>
      </c>
      <c r="C15" s="10">
        <v>8</v>
      </c>
      <c r="D15" s="9">
        <v>5.7971014492753624E-2</v>
      </c>
    </row>
    <row r="16" spans="2:4" x14ac:dyDescent="0.3">
      <c r="B16" s="11" t="s">
        <v>134</v>
      </c>
      <c r="C16" s="10">
        <v>28</v>
      </c>
      <c r="D16" s="9">
        <v>0.20289855072463769</v>
      </c>
    </row>
    <row r="17" spans="2:4" x14ac:dyDescent="0.3">
      <c r="B17" s="11" t="s">
        <v>133</v>
      </c>
      <c r="C17" s="10">
        <v>5</v>
      </c>
      <c r="D17" s="9">
        <v>3.6231884057971016E-2</v>
      </c>
    </row>
    <row r="18" spans="2:4" x14ac:dyDescent="0.3">
      <c r="B18" s="11" t="s">
        <v>132</v>
      </c>
      <c r="C18" s="10">
        <v>4</v>
      </c>
      <c r="D18" s="9">
        <v>2.8985507246376812E-2</v>
      </c>
    </row>
    <row r="19" spans="2:4" x14ac:dyDescent="0.3">
      <c r="B19" s="11" t="s">
        <v>131</v>
      </c>
      <c r="C19" s="10">
        <v>49</v>
      </c>
      <c r="D19" s="9">
        <v>0.35507246376811596</v>
      </c>
    </row>
    <row r="20" spans="2:4" x14ac:dyDescent="0.3">
      <c r="B20" s="11" t="s">
        <v>130</v>
      </c>
      <c r="C20" s="10">
        <v>2</v>
      </c>
      <c r="D20" s="9">
        <v>1.4492753623188406E-2</v>
      </c>
    </row>
    <row r="21" spans="2:4" x14ac:dyDescent="0.3">
      <c r="B21" s="11" t="s">
        <v>129</v>
      </c>
      <c r="C21" s="10">
        <v>4</v>
      </c>
      <c r="D21" s="9">
        <v>2.8985507246376812E-2</v>
      </c>
    </row>
    <row r="22" spans="2:4" x14ac:dyDescent="0.3">
      <c r="B22" s="11" t="s">
        <v>128</v>
      </c>
      <c r="C22" s="10">
        <v>20</v>
      </c>
      <c r="D22" s="9">
        <v>0.14492753623188406</v>
      </c>
    </row>
    <row r="23" spans="2:4" x14ac:dyDescent="0.3">
      <c r="B23" s="11" t="s">
        <v>127</v>
      </c>
      <c r="C23" s="10">
        <v>1</v>
      </c>
      <c r="D23" s="9">
        <v>7.246376811594203E-3</v>
      </c>
    </row>
    <row r="24" spans="2:4" x14ac:dyDescent="0.3">
      <c r="B24" s="11" t="s">
        <v>126</v>
      </c>
      <c r="C24" s="10">
        <v>4</v>
      </c>
      <c r="D24" s="9">
        <v>2.8985507246376812E-2</v>
      </c>
    </row>
    <row r="25" spans="2:4" x14ac:dyDescent="0.3">
      <c r="B25" s="8" t="s">
        <v>5</v>
      </c>
      <c r="C25" s="7">
        <v>138</v>
      </c>
      <c r="D25" s="6">
        <v>1</v>
      </c>
    </row>
    <row r="27" spans="2:4" x14ac:dyDescent="0.3">
      <c r="B27" s="3" t="s">
        <v>4</v>
      </c>
    </row>
    <row r="28" spans="2:4" x14ac:dyDescent="0.3">
      <c r="B28" s="5" t="s">
        <v>3</v>
      </c>
    </row>
    <row r="29" spans="2:4" x14ac:dyDescent="0.3">
      <c r="B29" s="4" t="s">
        <v>2</v>
      </c>
    </row>
    <row r="30" spans="2:4" x14ac:dyDescent="0.3">
      <c r="B30" s="3" t="s">
        <v>1</v>
      </c>
    </row>
    <row r="31" spans="2:4" x14ac:dyDescent="0.3">
      <c r="B31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2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107"/>
  <sheetViews>
    <sheetView topLeftCell="A94" zoomScale="145" zoomScaleNormal="145" zoomScaleSheetLayoutView="100" workbookViewId="0">
      <selection activeCell="C100" sqref="C100"/>
    </sheetView>
  </sheetViews>
  <sheetFormatPr baseColWidth="10" defaultColWidth="35" defaultRowHeight="15" customHeight="1" x14ac:dyDescent="0.3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9" customFormat="1" ht="12" customHeight="1" x14ac:dyDescent="0.2">
      <c r="B1" s="43"/>
      <c r="C1" s="42"/>
      <c r="D1" s="42"/>
      <c r="E1" s="42"/>
    </row>
    <row r="2" spans="1:5" s="39" customFormat="1" ht="15" customHeight="1" x14ac:dyDescent="0.2">
      <c r="C2" s="41"/>
    </row>
    <row r="3" spans="1:5" s="39" customFormat="1" ht="15" customHeight="1" x14ac:dyDescent="0.2">
      <c r="C3" s="41"/>
    </row>
    <row r="4" spans="1:5" s="39" customFormat="1" ht="30" customHeight="1" x14ac:dyDescent="0.2">
      <c r="C4" s="41"/>
      <c r="D4" s="40"/>
    </row>
    <row r="5" spans="1:5" s="39" customFormat="1" ht="15" customHeight="1" x14ac:dyDescent="0.2">
      <c r="C5" s="41"/>
      <c r="D5" s="40"/>
    </row>
    <row r="6" spans="1:5" s="36" customFormat="1" ht="24" customHeight="1" x14ac:dyDescent="0.2">
      <c r="B6" s="38"/>
      <c r="C6" s="32"/>
      <c r="D6" s="32"/>
      <c r="E6" s="32"/>
    </row>
    <row r="7" spans="1:5" s="36" customFormat="1" ht="26.25" customHeight="1" x14ac:dyDescent="0.25">
      <c r="A7" s="37"/>
      <c r="B7" s="81"/>
      <c r="C7" s="81"/>
      <c r="D7" s="81"/>
      <c r="E7" s="81"/>
    </row>
    <row r="8" spans="1:5" s="36" customFormat="1" ht="33" customHeight="1" x14ac:dyDescent="0.25">
      <c r="A8" s="37"/>
      <c r="B8" s="81"/>
      <c r="C8" s="81"/>
      <c r="D8" s="81"/>
      <c r="E8" s="81"/>
    </row>
    <row r="9" spans="1:5" s="13" customFormat="1" ht="40.5" customHeight="1" x14ac:dyDescent="0.2">
      <c r="B9" s="33" t="s">
        <v>139</v>
      </c>
      <c r="C9" s="35" t="s">
        <v>31</v>
      </c>
      <c r="D9" s="34" t="s">
        <v>30</v>
      </c>
      <c r="E9" s="33" t="s">
        <v>29</v>
      </c>
    </row>
    <row r="10" spans="1:5" ht="15" customHeight="1" x14ac:dyDescent="0.3">
      <c r="B10" s="78" t="s">
        <v>138</v>
      </c>
      <c r="C10" s="31" t="s">
        <v>18</v>
      </c>
      <c r="D10" s="30">
        <v>1</v>
      </c>
      <c r="E10" s="29">
        <v>7.246376811594203E-3</v>
      </c>
    </row>
    <row r="11" spans="1:5" ht="15" customHeight="1" x14ac:dyDescent="0.3">
      <c r="B11" s="79"/>
      <c r="C11" s="31" t="s">
        <v>28</v>
      </c>
      <c r="D11" s="30">
        <v>1</v>
      </c>
      <c r="E11" s="29">
        <v>7.246376811594203E-3</v>
      </c>
    </row>
    <row r="12" spans="1:5" ht="15" customHeight="1" x14ac:dyDescent="0.3">
      <c r="B12" s="80"/>
      <c r="C12" s="28" t="s">
        <v>5</v>
      </c>
      <c r="D12" s="27">
        <v>2</v>
      </c>
      <c r="E12" s="26">
        <v>1.4492753623188406E-2</v>
      </c>
    </row>
    <row r="13" spans="1:5" ht="15" customHeight="1" x14ac:dyDescent="0.3">
      <c r="B13" s="78" t="s">
        <v>137</v>
      </c>
      <c r="C13" s="31" t="s">
        <v>17</v>
      </c>
      <c r="D13" s="30">
        <v>1</v>
      </c>
      <c r="E13" s="29">
        <v>7.246376811594203E-3</v>
      </c>
    </row>
    <row r="14" spans="1:5" ht="15" customHeight="1" x14ac:dyDescent="0.3">
      <c r="B14" s="79"/>
      <c r="C14" s="31" t="s">
        <v>26</v>
      </c>
      <c r="D14" s="30">
        <v>1</v>
      </c>
      <c r="E14" s="29">
        <v>7.246376811594203E-3</v>
      </c>
    </row>
    <row r="15" spans="1:5" s="32" customFormat="1" ht="15" customHeight="1" x14ac:dyDescent="0.3">
      <c r="A15" s="20"/>
      <c r="B15" s="79"/>
      <c r="C15" s="31" t="s">
        <v>27</v>
      </c>
      <c r="D15" s="30">
        <v>1</v>
      </c>
      <c r="E15" s="29">
        <v>7.246376811594203E-3</v>
      </c>
    </row>
    <row r="16" spans="1:5" s="32" customFormat="1" ht="15" customHeight="1" x14ac:dyDescent="0.3">
      <c r="A16" s="20"/>
      <c r="B16" s="79"/>
      <c r="C16" s="31" t="s">
        <v>18</v>
      </c>
      <c r="D16" s="30">
        <v>1</v>
      </c>
      <c r="E16" s="29">
        <v>7.246376811594203E-3</v>
      </c>
    </row>
    <row r="17" spans="1:5" s="32" customFormat="1" ht="15" customHeight="1" x14ac:dyDescent="0.3">
      <c r="A17" s="20"/>
      <c r="B17" s="79"/>
      <c r="C17" s="31" t="s">
        <v>15</v>
      </c>
      <c r="D17" s="30">
        <v>1</v>
      </c>
      <c r="E17" s="29">
        <v>7.246376811594203E-3</v>
      </c>
    </row>
    <row r="18" spans="1:5" s="32" customFormat="1" ht="15" customHeight="1" x14ac:dyDescent="0.3">
      <c r="A18" s="20"/>
      <c r="B18" s="79"/>
      <c r="C18" s="31" t="s">
        <v>28</v>
      </c>
      <c r="D18" s="30">
        <v>2</v>
      </c>
      <c r="E18" s="29">
        <v>1.4492753623188406E-2</v>
      </c>
    </row>
    <row r="19" spans="1:5" s="32" customFormat="1" ht="15" customHeight="1" x14ac:dyDescent="0.3">
      <c r="A19" s="20"/>
      <c r="B19" s="79"/>
      <c r="C19" s="31" t="s">
        <v>20</v>
      </c>
      <c r="D19" s="30">
        <v>1</v>
      </c>
      <c r="E19" s="29">
        <v>7.246376811594203E-3</v>
      </c>
    </row>
    <row r="20" spans="1:5" ht="15" customHeight="1" x14ac:dyDescent="0.3">
      <c r="B20" s="79"/>
      <c r="C20" s="31" t="s">
        <v>16</v>
      </c>
      <c r="D20" s="30">
        <v>1</v>
      </c>
      <c r="E20" s="29">
        <v>7.246376811594203E-3</v>
      </c>
    </row>
    <row r="21" spans="1:5" ht="15" customHeight="1" x14ac:dyDescent="0.3">
      <c r="B21" s="80"/>
      <c r="C21" s="28" t="s">
        <v>5</v>
      </c>
      <c r="D21" s="27">
        <v>9</v>
      </c>
      <c r="E21" s="26">
        <v>6.5217391304347824E-2</v>
      </c>
    </row>
    <row r="22" spans="1:5" ht="15" customHeight="1" x14ac:dyDescent="0.3">
      <c r="B22" s="78" t="s">
        <v>136</v>
      </c>
      <c r="C22" s="31" t="s">
        <v>21</v>
      </c>
      <c r="D22" s="30">
        <v>1</v>
      </c>
      <c r="E22" s="29">
        <v>7.246376811594203E-3</v>
      </c>
    </row>
    <row r="23" spans="1:5" ht="15" customHeight="1" x14ac:dyDescent="0.3">
      <c r="B23" s="79"/>
      <c r="C23" s="31" t="s">
        <v>27</v>
      </c>
      <c r="D23" s="30">
        <v>1</v>
      </c>
      <c r="E23" s="29">
        <v>7.246376811594203E-3</v>
      </c>
    </row>
    <row r="24" spans="1:5" ht="15" customHeight="1" x14ac:dyDescent="0.3">
      <c r="B24" s="80"/>
      <c r="C24" s="28" t="s">
        <v>5</v>
      </c>
      <c r="D24" s="27">
        <v>2</v>
      </c>
      <c r="E24" s="26">
        <v>1.4492753623188406E-2</v>
      </c>
    </row>
    <row r="25" spans="1:5" ht="15" customHeight="1" x14ac:dyDescent="0.3">
      <c r="B25" s="78" t="s">
        <v>135</v>
      </c>
      <c r="C25" s="31" t="s">
        <v>19</v>
      </c>
      <c r="D25" s="30">
        <v>1</v>
      </c>
      <c r="E25" s="29">
        <v>7.246376811594203E-3</v>
      </c>
    </row>
    <row r="26" spans="1:5" ht="15" customHeight="1" x14ac:dyDescent="0.3">
      <c r="B26" s="79"/>
      <c r="C26" s="31" t="s">
        <v>26</v>
      </c>
      <c r="D26" s="30">
        <v>1</v>
      </c>
      <c r="E26" s="29">
        <v>7.246376811594203E-3</v>
      </c>
    </row>
    <row r="27" spans="1:5" ht="15" customHeight="1" x14ac:dyDescent="0.3">
      <c r="B27" s="79"/>
      <c r="C27" s="31" t="s">
        <v>18</v>
      </c>
      <c r="D27" s="30">
        <v>1</v>
      </c>
      <c r="E27" s="29">
        <v>7.246376811594203E-3</v>
      </c>
    </row>
    <row r="28" spans="1:5" ht="15" customHeight="1" x14ac:dyDescent="0.3">
      <c r="B28" s="79"/>
      <c r="C28" s="31" t="s">
        <v>28</v>
      </c>
      <c r="D28" s="30">
        <v>2</v>
      </c>
      <c r="E28" s="29">
        <v>1.4492753623188406E-2</v>
      </c>
    </row>
    <row r="29" spans="1:5" ht="15" customHeight="1" x14ac:dyDescent="0.3">
      <c r="B29" s="79"/>
      <c r="C29" s="31" t="s">
        <v>23</v>
      </c>
      <c r="D29" s="30">
        <v>1</v>
      </c>
      <c r="E29" s="29">
        <v>7.246376811594203E-3</v>
      </c>
    </row>
    <row r="30" spans="1:5" ht="15" customHeight="1" x14ac:dyDescent="0.3">
      <c r="B30" s="79"/>
      <c r="C30" s="31" t="s">
        <v>22</v>
      </c>
      <c r="D30" s="30">
        <v>2</v>
      </c>
      <c r="E30" s="29">
        <v>1.4492753623188406E-2</v>
      </c>
    </row>
    <row r="31" spans="1:5" ht="15" customHeight="1" x14ac:dyDescent="0.3">
      <c r="B31" s="80"/>
      <c r="C31" s="28" t="s">
        <v>5</v>
      </c>
      <c r="D31" s="27">
        <v>8</v>
      </c>
      <c r="E31" s="26">
        <v>5.7971014492753624E-2</v>
      </c>
    </row>
    <row r="32" spans="1:5" ht="15" customHeight="1" x14ac:dyDescent="0.3">
      <c r="B32" s="78" t="s">
        <v>134</v>
      </c>
      <c r="C32" s="31" t="s">
        <v>19</v>
      </c>
      <c r="D32" s="30">
        <v>1</v>
      </c>
      <c r="E32" s="29">
        <v>7.246376811594203E-3</v>
      </c>
    </row>
    <row r="33" spans="2:5" ht="15" customHeight="1" x14ac:dyDescent="0.3">
      <c r="B33" s="79"/>
      <c r="C33" s="31" t="s">
        <v>12</v>
      </c>
      <c r="D33" s="30">
        <v>1</v>
      </c>
      <c r="E33" s="29">
        <v>7.246376811594203E-3</v>
      </c>
    </row>
    <row r="34" spans="2:5" ht="15" customHeight="1" x14ac:dyDescent="0.3">
      <c r="B34" s="79"/>
      <c r="C34" s="31" t="s">
        <v>26</v>
      </c>
      <c r="D34" s="30">
        <v>2</v>
      </c>
      <c r="E34" s="29">
        <v>1.4492753623188406E-2</v>
      </c>
    </row>
    <row r="35" spans="2:5" ht="15" customHeight="1" x14ac:dyDescent="0.3">
      <c r="B35" s="79"/>
      <c r="C35" s="31" t="s">
        <v>27</v>
      </c>
      <c r="D35" s="30">
        <v>5</v>
      </c>
      <c r="E35" s="29">
        <v>3.6231884057971016E-2</v>
      </c>
    </row>
    <row r="36" spans="2:5" ht="15" customHeight="1" x14ac:dyDescent="0.3">
      <c r="B36" s="79"/>
      <c r="C36" s="31" t="s">
        <v>25</v>
      </c>
      <c r="D36" s="30">
        <v>2</v>
      </c>
      <c r="E36" s="29">
        <v>1.4492753623188406E-2</v>
      </c>
    </row>
    <row r="37" spans="2:5" ht="15" customHeight="1" x14ac:dyDescent="0.3">
      <c r="B37" s="79"/>
      <c r="C37" s="31" t="s">
        <v>18</v>
      </c>
      <c r="D37" s="30">
        <v>1</v>
      </c>
      <c r="E37" s="29">
        <v>7.246376811594203E-3</v>
      </c>
    </row>
    <row r="38" spans="2:5" ht="15" customHeight="1" x14ac:dyDescent="0.3">
      <c r="B38" s="79"/>
      <c r="C38" s="31" t="s">
        <v>28</v>
      </c>
      <c r="D38" s="30">
        <v>4</v>
      </c>
      <c r="E38" s="29">
        <v>2.8985507246376812E-2</v>
      </c>
    </row>
    <row r="39" spans="2:5" ht="15" customHeight="1" x14ac:dyDescent="0.3">
      <c r="B39" s="79"/>
      <c r="C39" s="31" t="s">
        <v>20</v>
      </c>
      <c r="D39" s="30">
        <v>3</v>
      </c>
      <c r="E39" s="29">
        <v>2.1739130434782608E-2</v>
      </c>
    </row>
    <row r="40" spans="2:5" ht="15" customHeight="1" x14ac:dyDescent="0.3">
      <c r="B40" s="79"/>
      <c r="C40" s="31" t="s">
        <v>14</v>
      </c>
      <c r="D40" s="30">
        <v>1</v>
      </c>
      <c r="E40" s="29">
        <v>7.246376811594203E-3</v>
      </c>
    </row>
    <row r="41" spans="2:5" ht="15" customHeight="1" x14ac:dyDescent="0.3">
      <c r="B41" s="79"/>
      <c r="C41" s="31" t="s">
        <v>23</v>
      </c>
      <c r="D41" s="30">
        <v>3</v>
      </c>
      <c r="E41" s="29">
        <v>2.1739130434782608E-2</v>
      </c>
    </row>
    <row r="42" spans="2:5" ht="15" customHeight="1" x14ac:dyDescent="0.3">
      <c r="B42" s="79"/>
      <c r="C42" s="31" t="s">
        <v>13</v>
      </c>
      <c r="D42" s="30">
        <v>1</v>
      </c>
      <c r="E42" s="29">
        <v>7.246376811594203E-3</v>
      </c>
    </row>
    <row r="43" spans="2:5" ht="15" customHeight="1" x14ac:dyDescent="0.3">
      <c r="B43" s="79"/>
      <c r="C43" s="31" t="s">
        <v>22</v>
      </c>
      <c r="D43" s="30">
        <v>2</v>
      </c>
      <c r="E43" s="29">
        <v>1.4492753623188406E-2</v>
      </c>
    </row>
    <row r="44" spans="2:5" ht="15" customHeight="1" x14ac:dyDescent="0.3">
      <c r="B44" s="79"/>
      <c r="C44" s="31" t="s">
        <v>16</v>
      </c>
      <c r="D44" s="30">
        <v>2</v>
      </c>
      <c r="E44" s="29">
        <v>1.4492753623188406E-2</v>
      </c>
    </row>
    <row r="45" spans="2:5" ht="15" customHeight="1" x14ac:dyDescent="0.3">
      <c r="B45" s="80"/>
      <c r="C45" s="28" t="s">
        <v>5</v>
      </c>
      <c r="D45" s="27">
        <v>28</v>
      </c>
      <c r="E45" s="26">
        <v>0.20289855072463769</v>
      </c>
    </row>
    <row r="46" spans="2:5" ht="15" customHeight="1" x14ac:dyDescent="0.3">
      <c r="B46" s="78" t="s">
        <v>133</v>
      </c>
      <c r="C46" s="31" t="s">
        <v>26</v>
      </c>
      <c r="D46" s="30">
        <v>1</v>
      </c>
      <c r="E46" s="29">
        <v>7.246376811594203E-3</v>
      </c>
    </row>
    <row r="47" spans="2:5" ht="15" customHeight="1" x14ac:dyDescent="0.3">
      <c r="B47" s="79"/>
      <c r="C47" s="31" t="s">
        <v>24</v>
      </c>
      <c r="D47" s="30">
        <v>1</v>
      </c>
      <c r="E47" s="29">
        <v>7.246376811594203E-3</v>
      </c>
    </row>
    <row r="48" spans="2:5" ht="15" customHeight="1" x14ac:dyDescent="0.3">
      <c r="B48" s="79"/>
      <c r="C48" s="31" t="s">
        <v>11</v>
      </c>
      <c r="D48" s="30">
        <v>1</v>
      </c>
      <c r="E48" s="29">
        <v>7.246376811594203E-3</v>
      </c>
    </row>
    <row r="49" spans="2:5" ht="15" customHeight="1" x14ac:dyDescent="0.3">
      <c r="B49" s="79"/>
      <c r="C49" s="31" t="s">
        <v>22</v>
      </c>
      <c r="D49" s="30">
        <v>2</v>
      </c>
      <c r="E49" s="29">
        <v>1.4492753623188406E-2</v>
      </c>
    </row>
    <row r="50" spans="2:5" ht="15" customHeight="1" x14ac:dyDescent="0.3">
      <c r="B50" s="80"/>
      <c r="C50" s="28" t="s">
        <v>5</v>
      </c>
      <c r="D50" s="27">
        <v>5</v>
      </c>
      <c r="E50" s="26">
        <v>3.6231884057971016E-2</v>
      </c>
    </row>
    <row r="51" spans="2:5" ht="15" customHeight="1" x14ac:dyDescent="0.3">
      <c r="B51" s="78" t="s">
        <v>132</v>
      </c>
      <c r="C51" s="31" t="s">
        <v>21</v>
      </c>
      <c r="D51" s="30">
        <v>1</v>
      </c>
      <c r="E51" s="29">
        <v>7.246376811594203E-3</v>
      </c>
    </row>
    <row r="52" spans="2:5" ht="15" customHeight="1" x14ac:dyDescent="0.3">
      <c r="B52" s="79"/>
      <c r="C52" s="31" t="s">
        <v>27</v>
      </c>
      <c r="D52" s="30">
        <v>2</v>
      </c>
      <c r="E52" s="29">
        <v>1.4492753623188406E-2</v>
      </c>
    </row>
    <row r="53" spans="2:5" ht="15" customHeight="1" x14ac:dyDescent="0.3">
      <c r="B53" s="79"/>
      <c r="C53" s="31" t="s">
        <v>25</v>
      </c>
      <c r="D53" s="30">
        <v>1</v>
      </c>
      <c r="E53" s="29">
        <v>7.246376811594203E-3</v>
      </c>
    </row>
    <row r="54" spans="2:5" ht="15" customHeight="1" x14ac:dyDescent="0.3">
      <c r="B54" s="80"/>
      <c r="C54" s="28" t="s">
        <v>5</v>
      </c>
      <c r="D54" s="27">
        <v>4</v>
      </c>
      <c r="E54" s="26">
        <v>2.8985507246376812E-2</v>
      </c>
    </row>
    <row r="55" spans="2:5" ht="15" customHeight="1" x14ac:dyDescent="0.3">
      <c r="B55" s="78" t="s">
        <v>131</v>
      </c>
      <c r="C55" s="31" t="s">
        <v>8</v>
      </c>
      <c r="D55" s="30">
        <v>1</v>
      </c>
      <c r="E55" s="29">
        <v>7.246376811594203E-3</v>
      </c>
    </row>
    <row r="56" spans="2:5" ht="15" customHeight="1" x14ac:dyDescent="0.3">
      <c r="B56" s="79"/>
      <c r="C56" s="31" t="s">
        <v>19</v>
      </c>
      <c r="D56" s="30">
        <v>4</v>
      </c>
      <c r="E56" s="29">
        <v>2.8985507246376812E-2</v>
      </c>
    </row>
    <row r="57" spans="2:5" ht="15" customHeight="1" x14ac:dyDescent="0.3">
      <c r="B57" s="79"/>
      <c r="C57" s="31" t="s">
        <v>17</v>
      </c>
      <c r="D57" s="30">
        <v>1</v>
      </c>
      <c r="E57" s="29">
        <v>7.246376811594203E-3</v>
      </c>
    </row>
    <row r="58" spans="2:5" ht="15" customHeight="1" x14ac:dyDescent="0.3">
      <c r="B58" s="79"/>
      <c r="C58" s="31" t="s">
        <v>21</v>
      </c>
      <c r="D58" s="30">
        <v>1</v>
      </c>
      <c r="E58" s="29">
        <v>7.246376811594203E-3</v>
      </c>
    </row>
    <row r="59" spans="2:5" ht="15" customHeight="1" x14ac:dyDescent="0.3">
      <c r="B59" s="79"/>
      <c r="C59" s="31" t="s">
        <v>26</v>
      </c>
      <c r="D59" s="30">
        <v>5</v>
      </c>
      <c r="E59" s="29">
        <v>3.6231884057971016E-2</v>
      </c>
    </row>
    <row r="60" spans="2:5" ht="15" customHeight="1" x14ac:dyDescent="0.3">
      <c r="B60" s="79"/>
      <c r="C60" s="31" t="s">
        <v>27</v>
      </c>
      <c r="D60" s="30">
        <v>5</v>
      </c>
      <c r="E60" s="29">
        <v>3.6231884057971016E-2</v>
      </c>
    </row>
    <row r="61" spans="2:5" ht="15" customHeight="1" x14ac:dyDescent="0.3">
      <c r="B61" s="79"/>
      <c r="C61" s="31" t="s">
        <v>25</v>
      </c>
      <c r="D61" s="30">
        <v>3</v>
      </c>
      <c r="E61" s="29">
        <v>2.1739130434782608E-2</v>
      </c>
    </row>
    <row r="62" spans="2:5" ht="15" customHeight="1" x14ac:dyDescent="0.3">
      <c r="B62" s="79"/>
      <c r="C62" s="31" t="s">
        <v>18</v>
      </c>
      <c r="D62" s="30">
        <v>1</v>
      </c>
      <c r="E62" s="29">
        <v>7.246376811594203E-3</v>
      </c>
    </row>
    <row r="63" spans="2:5" ht="15" customHeight="1" x14ac:dyDescent="0.3">
      <c r="B63" s="79"/>
      <c r="C63" s="31" t="s">
        <v>15</v>
      </c>
      <c r="D63" s="30">
        <v>1</v>
      </c>
      <c r="E63" s="29">
        <v>7.246376811594203E-3</v>
      </c>
    </row>
    <row r="64" spans="2:5" ht="15" customHeight="1" x14ac:dyDescent="0.3">
      <c r="B64" s="79"/>
      <c r="C64" s="31" t="s">
        <v>24</v>
      </c>
      <c r="D64" s="30">
        <v>8</v>
      </c>
      <c r="E64" s="29">
        <v>5.7971014492753624E-2</v>
      </c>
    </row>
    <row r="65" spans="2:5" ht="15" customHeight="1" x14ac:dyDescent="0.3">
      <c r="B65" s="79"/>
      <c r="C65" s="31" t="s">
        <v>11</v>
      </c>
      <c r="D65" s="30">
        <v>1</v>
      </c>
      <c r="E65" s="29">
        <v>7.246376811594203E-3</v>
      </c>
    </row>
    <row r="66" spans="2:5" ht="15" customHeight="1" x14ac:dyDescent="0.3">
      <c r="B66" s="79"/>
      <c r="C66" s="31" t="s">
        <v>10</v>
      </c>
      <c r="D66" s="30">
        <v>1</v>
      </c>
      <c r="E66" s="29">
        <v>7.246376811594203E-3</v>
      </c>
    </row>
    <row r="67" spans="2:5" ht="15" customHeight="1" x14ac:dyDescent="0.3">
      <c r="B67" s="79"/>
      <c r="C67" s="31" t="s">
        <v>7</v>
      </c>
      <c r="D67" s="30">
        <v>1</v>
      </c>
      <c r="E67" s="29">
        <v>7.246376811594203E-3</v>
      </c>
    </row>
    <row r="68" spans="2:5" ht="15" customHeight="1" x14ac:dyDescent="0.3">
      <c r="B68" s="79"/>
      <c r="C68" s="31" t="s">
        <v>28</v>
      </c>
      <c r="D68" s="30">
        <v>5</v>
      </c>
      <c r="E68" s="29">
        <v>3.6231884057971016E-2</v>
      </c>
    </row>
    <row r="69" spans="2:5" ht="15" customHeight="1" x14ac:dyDescent="0.3">
      <c r="B69" s="79"/>
      <c r="C69" s="31" t="s">
        <v>20</v>
      </c>
      <c r="D69" s="30">
        <v>3</v>
      </c>
      <c r="E69" s="29">
        <v>2.1739130434782608E-2</v>
      </c>
    </row>
    <row r="70" spans="2:5" ht="15" customHeight="1" x14ac:dyDescent="0.3">
      <c r="B70" s="79"/>
      <c r="C70" s="31" t="s">
        <v>14</v>
      </c>
      <c r="D70" s="30">
        <v>2</v>
      </c>
      <c r="E70" s="29">
        <v>1.4492753623188406E-2</v>
      </c>
    </row>
    <row r="71" spans="2:5" ht="15" customHeight="1" x14ac:dyDescent="0.3">
      <c r="B71" s="79"/>
      <c r="C71" s="31" t="s">
        <v>23</v>
      </c>
      <c r="D71" s="30">
        <v>2</v>
      </c>
      <c r="E71" s="29">
        <v>1.4492753623188406E-2</v>
      </c>
    </row>
    <row r="72" spans="2:5" ht="15" customHeight="1" x14ac:dyDescent="0.3">
      <c r="B72" s="79"/>
      <c r="C72" s="31" t="s">
        <v>13</v>
      </c>
      <c r="D72" s="30">
        <v>2</v>
      </c>
      <c r="E72" s="29">
        <v>1.4492753623188406E-2</v>
      </c>
    </row>
    <row r="73" spans="2:5" ht="15" customHeight="1" x14ac:dyDescent="0.3">
      <c r="B73" s="79"/>
      <c r="C73" s="31" t="s">
        <v>22</v>
      </c>
      <c r="D73" s="30">
        <v>2</v>
      </c>
      <c r="E73" s="29">
        <v>1.4492753623188406E-2</v>
      </c>
    </row>
    <row r="74" spans="2:5" ht="15" customHeight="1" x14ac:dyDescent="0.3">
      <c r="B74" s="80"/>
      <c r="C74" s="28" t="s">
        <v>5</v>
      </c>
      <c r="D74" s="27">
        <v>49</v>
      </c>
      <c r="E74" s="26">
        <v>0.35507246376811596</v>
      </c>
    </row>
    <row r="75" spans="2:5" ht="15" customHeight="1" x14ac:dyDescent="0.3">
      <c r="B75" s="78" t="s">
        <v>185</v>
      </c>
      <c r="C75" s="31" t="s">
        <v>17</v>
      </c>
      <c r="D75" s="30">
        <v>1</v>
      </c>
      <c r="E75" s="29">
        <v>7.246376811594203E-3</v>
      </c>
    </row>
    <row r="76" spans="2:5" ht="15" customHeight="1" x14ac:dyDescent="0.3">
      <c r="B76" s="79"/>
      <c r="C76" s="31" t="s">
        <v>15</v>
      </c>
      <c r="D76" s="30">
        <v>1</v>
      </c>
      <c r="E76" s="29">
        <v>7.246376811594203E-3</v>
      </c>
    </row>
    <row r="77" spans="2:5" ht="15" customHeight="1" x14ac:dyDescent="0.3">
      <c r="B77" s="80"/>
      <c r="C77" s="28" t="s">
        <v>5</v>
      </c>
      <c r="D77" s="27">
        <v>2</v>
      </c>
      <c r="E77" s="26">
        <v>1.4492753623188406E-2</v>
      </c>
    </row>
    <row r="78" spans="2:5" ht="15" customHeight="1" x14ac:dyDescent="0.3">
      <c r="B78" s="78" t="s">
        <v>129</v>
      </c>
      <c r="C78" s="31" t="s">
        <v>21</v>
      </c>
      <c r="D78" s="30">
        <v>1</v>
      </c>
      <c r="E78" s="29">
        <v>7.246376811594203E-3</v>
      </c>
    </row>
    <row r="79" spans="2:5" ht="15" customHeight="1" x14ac:dyDescent="0.3">
      <c r="B79" s="79"/>
      <c r="C79" s="31" t="s">
        <v>12</v>
      </c>
      <c r="D79" s="30">
        <v>1</v>
      </c>
      <c r="E79" s="29">
        <v>7.246376811594203E-3</v>
      </c>
    </row>
    <row r="80" spans="2:5" ht="15" customHeight="1" x14ac:dyDescent="0.3">
      <c r="B80" s="79"/>
      <c r="C80" s="31" t="s">
        <v>26</v>
      </c>
      <c r="D80" s="30">
        <v>1</v>
      </c>
      <c r="E80" s="29">
        <v>7.246376811594203E-3</v>
      </c>
    </row>
    <row r="81" spans="2:5" ht="15" customHeight="1" x14ac:dyDescent="0.3">
      <c r="B81" s="79"/>
      <c r="C81" s="31" t="s">
        <v>18</v>
      </c>
      <c r="D81" s="30">
        <v>1</v>
      </c>
      <c r="E81" s="29">
        <v>7.246376811594203E-3</v>
      </c>
    </row>
    <row r="82" spans="2:5" ht="15" customHeight="1" x14ac:dyDescent="0.3">
      <c r="B82" s="80"/>
      <c r="C82" s="28" t="s">
        <v>5</v>
      </c>
      <c r="D82" s="27">
        <v>4</v>
      </c>
      <c r="E82" s="26">
        <v>2.8985507246376812E-2</v>
      </c>
    </row>
    <row r="83" spans="2:5" ht="15" customHeight="1" x14ac:dyDescent="0.3">
      <c r="B83" s="78" t="s">
        <v>128</v>
      </c>
      <c r="C83" s="31" t="s">
        <v>9</v>
      </c>
      <c r="D83" s="30">
        <v>1</v>
      </c>
      <c r="E83" s="29">
        <v>7.246376811594203E-3</v>
      </c>
    </row>
    <row r="84" spans="2:5" ht="15" customHeight="1" x14ac:dyDescent="0.3">
      <c r="B84" s="79"/>
      <c r="C84" s="31" t="s">
        <v>17</v>
      </c>
      <c r="D84" s="30">
        <v>1</v>
      </c>
      <c r="E84" s="29">
        <v>7.246376811594203E-3</v>
      </c>
    </row>
    <row r="85" spans="2:5" ht="15" customHeight="1" x14ac:dyDescent="0.3">
      <c r="B85" s="79"/>
      <c r="C85" s="31" t="s">
        <v>21</v>
      </c>
      <c r="D85" s="30">
        <v>2</v>
      </c>
      <c r="E85" s="29">
        <v>1.4492753623188406E-2</v>
      </c>
    </row>
    <row r="86" spans="2:5" ht="15" customHeight="1" x14ac:dyDescent="0.3">
      <c r="B86" s="79"/>
      <c r="C86" s="31" t="s">
        <v>26</v>
      </c>
      <c r="D86" s="30">
        <v>1</v>
      </c>
      <c r="E86" s="29">
        <v>7.246376811594203E-3</v>
      </c>
    </row>
    <row r="87" spans="2:5" ht="15" customHeight="1" x14ac:dyDescent="0.3">
      <c r="B87" s="79"/>
      <c r="C87" s="31" t="s">
        <v>25</v>
      </c>
      <c r="D87" s="30">
        <v>3</v>
      </c>
      <c r="E87" s="29">
        <v>2.1739130434782608E-2</v>
      </c>
    </row>
    <row r="88" spans="2:5" ht="15" customHeight="1" x14ac:dyDescent="0.3">
      <c r="B88" s="79"/>
      <c r="C88" s="31" t="s">
        <v>24</v>
      </c>
      <c r="D88" s="30">
        <v>1</v>
      </c>
      <c r="E88" s="29">
        <v>7.246376811594203E-3</v>
      </c>
    </row>
    <row r="89" spans="2:5" ht="15" customHeight="1" x14ac:dyDescent="0.3">
      <c r="B89" s="79"/>
      <c r="C89" s="31" t="s">
        <v>10</v>
      </c>
      <c r="D89" s="30">
        <v>1</v>
      </c>
      <c r="E89" s="29">
        <v>7.246376811594203E-3</v>
      </c>
    </row>
    <row r="90" spans="2:5" ht="15" customHeight="1" x14ac:dyDescent="0.3">
      <c r="B90" s="79"/>
      <c r="C90" s="31" t="s">
        <v>28</v>
      </c>
      <c r="D90" s="30">
        <v>6</v>
      </c>
      <c r="E90" s="29">
        <v>4.3478260869565216E-2</v>
      </c>
    </row>
    <row r="91" spans="2:5" ht="15" customHeight="1" x14ac:dyDescent="0.3">
      <c r="B91" s="79"/>
      <c r="C91" s="31" t="s">
        <v>23</v>
      </c>
      <c r="D91" s="30">
        <v>2</v>
      </c>
      <c r="E91" s="29">
        <v>1.4492753623188406E-2</v>
      </c>
    </row>
    <row r="92" spans="2:5" ht="15" customHeight="1" x14ac:dyDescent="0.3">
      <c r="B92" s="79"/>
      <c r="C92" s="31" t="s">
        <v>22</v>
      </c>
      <c r="D92" s="30">
        <v>1</v>
      </c>
      <c r="E92" s="29">
        <v>7.246376811594203E-3</v>
      </c>
    </row>
    <row r="93" spans="2:5" ht="15" customHeight="1" x14ac:dyDescent="0.3">
      <c r="B93" s="79"/>
      <c r="C93" s="31" t="s">
        <v>16</v>
      </c>
      <c r="D93" s="30">
        <v>1</v>
      </c>
      <c r="E93" s="29">
        <v>7.246376811594203E-3</v>
      </c>
    </row>
    <row r="94" spans="2:5" ht="15" customHeight="1" x14ac:dyDescent="0.3">
      <c r="B94" s="80"/>
      <c r="C94" s="28" t="s">
        <v>5</v>
      </c>
      <c r="D94" s="27">
        <v>20</v>
      </c>
      <c r="E94" s="26">
        <v>0.14492753623188406</v>
      </c>
    </row>
    <row r="95" spans="2:5" ht="15" customHeight="1" x14ac:dyDescent="0.3">
      <c r="B95" s="78" t="s">
        <v>127</v>
      </c>
      <c r="C95" s="31" t="s">
        <v>21</v>
      </c>
      <c r="D95" s="30">
        <v>1</v>
      </c>
      <c r="E95" s="29">
        <v>7.246376811594203E-3</v>
      </c>
    </row>
    <row r="96" spans="2:5" ht="15" customHeight="1" x14ac:dyDescent="0.3">
      <c r="B96" s="80"/>
      <c r="C96" s="28" t="s">
        <v>5</v>
      </c>
      <c r="D96" s="27">
        <v>1</v>
      </c>
      <c r="E96" s="26">
        <v>7.246376811594203E-3</v>
      </c>
    </row>
    <row r="97" spans="2:5" ht="15" customHeight="1" x14ac:dyDescent="0.3">
      <c r="B97" s="78" t="s">
        <v>184</v>
      </c>
      <c r="C97" s="31" t="s">
        <v>25</v>
      </c>
      <c r="D97" s="30">
        <v>2</v>
      </c>
      <c r="E97" s="29">
        <v>1.4492753623188406E-2</v>
      </c>
    </row>
    <row r="98" spans="2:5" ht="15" customHeight="1" x14ac:dyDescent="0.3">
      <c r="B98" s="79"/>
      <c r="C98" s="31" t="s">
        <v>6</v>
      </c>
      <c r="D98" s="30">
        <v>1</v>
      </c>
      <c r="E98" s="29">
        <v>7.246376811594203E-3</v>
      </c>
    </row>
    <row r="99" spans="2:5" ht="15" customHeight="1" x14ac:dyDescent="0.3">
      <c r="B99" s="79"/>
      <c r="C99" s="31" t="s">
        <v>23</v>
      </c>
      <c r="D99" s="30">
        <v>1</v>
      </c>
      <c r="E99" s="29">
        <v>7.246376811594203E-3</v>
      </c>
    </row>
    <row r="100" spans="2:5" ht="15" customHeight="1" x14ac:dyDescent="0.3">
      <c r="B100" s="80"/>
      <c r="C100" s="28" t="s">
        <v>5</v>
      </c>
      <c r="D100" s="27">
        <v>4</v>
      </c>
      <c r="E100" s="26">
        <v>2.8985507246376812E-2</v>
      </c>
    </row>
    <row r="101" spans="2:5" ht="15" customHeight="1" x14ac:dyDescent="0.3">
      <c r="B101" s="82" t="s">
        <v>5</v>
      </c>
      <c r="C101" s="83"/>
      <c r="D101" s="25">
        <v>138</v>
      </c>
      <c r="E101" s="24">
        <v>1</v>
      </c>
    </row>
    <row r="103" spans="2:5" ht="15" customHeight="1" x14ac:dyDescent="0.3">
      <c r="B103" s="3" t="s">
        <v>4</v>
      </c>
    </row>
    <row r="104" spans="2:5" ht="15" customHeight="1" x14ac:dyDescent="0.3">
      <c r="B104" s="5" t="s">
        <v>3</v>
      </c>
    </row>
    <row r="105" spans="2:5" ht="15" customHeight="1" x14ac:dyDescent="0.3">
      <c r="B105" s="4" t="s">
        <v>2</v>
      </c>
    </row>
    <row r="106" spans="2:5" ht="15" customHeight="1" x14ac:dyDescent="0.3">
      <c r="B106" s="3" t="s">
        <v>1</v>
      </c>
    </row>
    <row r="107" spans="2:5" ht="15" customHeight="1" x14ac:dyDescent="0.3">
      <c r="B107" s="3" t="s">
        <v>0</v>
      </c>
    </row>
  </sheetData>
  <mergeCells count="15">
    <mergeCell ref="B7:E8"/>
    <mergeCell ref="B10:B12"/>
    <mergeCell ref="B13:B21"/>
    <mergeCell ref="B22:B24"/>
    <mergeCell ref="B25:B31"/>
    <mergeCell ref="B32:B45"/>
    <mergeCell ref="B95:B96"/>
    <mergeCell ref="B97:B100"/>
    <mergeCell ref="B101:C101"/>
    <mergeCell ref="B46:B50"/>
    <mergeCell ref="B51:B54"/>
    <mergeCell ref="B55:B74"/>
    <mergeCell ref="B75:B77"/>
    <mergeCell ref="B78:B82"/>
    <mergeCell ref="B83:B9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0" max="4" man="1"/>
    <brk id="94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zoomScaleNormal="100" zoomScaleSheetLayoutView="115" workbookViewId="0">
      <selection activeCell="I23" sqref="I23"/>
    </sheetView>
  </sheetViews>
  <sheetFormatPr baseColWidth="10" defaultColWidth="11.44140625" defaultRowHeight="14.4" x14ac:dyDescent="0.3"/>
  <cols>
    <col min="1" max="1" width="9.33203125" style="1" customWidth="1"/>
    <col min="2" max="2" width="21.664062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 x14ac:dyDescent="0.2">
      <c r="C1" s="19"/>
    </row>
    <row r="2" spans="2:4" s="13" customFormat="1" ht="15" customHeight="1" x14ac:dyDescent="0.2">
      <c r="C2" s="19"/>
    </row>
    <row r="3" spans="2:4" s="13" customFormat="1" ht="15" customHeight="1" x14ac:dyDescent="0.2">
      <c r="C3" s="19"/>
    </row>
    <row r="4" spans="2:4" s="13" customFormat="1" ht="30" customHeight="1" x14ac:dyDescent="0.2">
      <c r="C4" s="19"/>
      <c r="D4" s="18"/>
    </row>
    <row r="5" spans="2:4" s="13" customFormat="1" ht="15" customHeight="1" x14ac:dyDescent="0.2">
      <c r="C5" s="19"/>
      <c r="D5" s="18"/>
    </row>
    <row r="6" spans="2:4" s="13" customFormat="1" ht="15" customHeight="1" x14ac:dyDescent="0.2">
      <c r="C6" s="19"/>
      <c r="D6" s="18"/>
    </row>
    <row r="7" spans="2:4" s="13" customFormat="1" ht="15" customHeight="1" x14ac:dyDescent="0.2">
      <c r="B7" s="75" t="s">
        <v>145</v>
      </c>
      <c r="C7" s="75"/>
      <c r="D7" s="75"/>
    </row>
    <row r="8" spans="2:4" s="13" customFormat="1" ht="15" customHeight="1" x14ac:dyDescent="0.2">
      <c r="B8" s="75"/>
      <c r="C8" s="75"/>
      <c r="D8" s="75"/>
    </row>
    <row r="9" spans="2:4" s="13" customFormat="1" ht="33" customHeight="1" x14ac:dyDescent="0.2">
      <c r="B9" s="75"/>
      <c r="C9" s="75"/>
      <c r="D9" s="75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144</v>
      </c>
      <c r="C11" s="15" t="s">
        <v>30</v>
      </c>
      <c r="D11" s="14" t="s">
        <v>29</v>
      </c>
    </row>
    <row r="12" spans="2:4" ht="15" customHeight="1" x14ac:dyDescent="0.3">
      <c r="B12" s="11" t="s">
        <v>143</v>
      </c>
      <c r="C12" s="10">
        <v>103</v>
      </c>
      <c r="D12" s="9">
        <v>0.74637681159420288</v>
      </c>
    </row>
    <row r="13" spans="2:4" ht="15" customHeight="1" x14ac:dyDescent="0.3">
      <c r="B13" s="11" t="s">
        <v>142</v>
      </c>
      <c r="C13" s="10">
        <v>35</v>
      </c>
      <c r="D13" s="9">
        <v>0.25362318840579712</v>
      </c>
    </row>
    <row r="14" spans="2:4" x14ac:dyDescent="0.3">
      <c r="B14" s="8" t="s">
        <v>141</v>
      </c>
      <c r="C14" s="7">
        <v>138</v>
      </c>
      <c r="D14" s="6">
        <v>1</v>
      </c>
    </row>
    <row r="15" spans="2:4" s="12" customFormat="1" ht="15" x14ac:dyDescent="0.3">
      <c r="C15" s="46"/>
    </row>
    <row r="16" spans="2:4" s="12" customFormat="1" ht="15" x14ac:dyDescent="0.3">
      <c r="B16" s="3" t="s">
        <v>4</v>
      </c>
      <c r="C16" s="46"/>
    </row>
    <row r="17" spans="2:4" x14ac:dyDescent="0.3">
      <c r="B17" s="5" t="s">
        <v>3</v>
      </c>
      <c r="C17" s="45"/>
      <c r="D17" s="45"/>
    </row>
    <row r="18" spans="2:4" x14ac:dyDescent="0.3">
      <c r="B18" s="4" t="s">
        <v>2</v>
      </c>
      <c r="C18" s="44"/>
      <c r="D18" s="44"/>
    </row>
    <row r="19" spans="2:4" x14ac:dyDescent="0.3">
      <c r="B19" s="3" t="s">
        <v>1</v>
      </c>
    </row>
    <row r="20" spans="2:4" x14ac:dyDescent="0.3">
      <c r="B20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53"/>
  <sheetViews>
    <sheetView zoomScale="120" zoomScaleNormal="120" zoomScaleSheetLayoutView="100" workbookViewId="0">
      <selection activeCell="F66" sqref="F66"/>
    </sheetView>
  </sheetViews>
  <sheetFormatPr baseColWidth="10" defaultColWidth="35" defaultRowHeight="15" customHeight="1" x14ac:dyDescent="0.3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9" customFormat="1" ht="12" customHeight="1" x14ac:dyDescent="0.2">
      <c r="B1" s="43"/>
      <c r="C1" s="42"/>
      <c r="D1" s="42"/>
      <c r="E1" s="42"/>
    </row>
    <row r="2" spans="1:5" s="39" customFormat="1" ht="15" customHeight="1" x14ac:dyDescent="0.2">
      <c r="C2" s="41"/>
    </row>
    <row r="3" spans="1:5" s="39" customFormat="1" ht="15" customHeight="1" x14ac:dyDescent="0.2">
      <c r="C3" s="41"/>
    </row>
    <row r="4" spans="1:5" s="39" customFormat="1" ht="30" customHeight="1" x14ac:dyDescent="0.2">
      <c r="C4" s="41"/>
      <c r="D4" s="40"/>
    </row>
    <row r="5" spans="1:5" s="39" customFormat="1" ht="15" customHeight="1" x14ac:dyDescent="0.2">
      <c r="C5" s="41"/>
      <c r="D5" s="40"/>
    </row>
    <row r="6" spans="1:5" s="36" customFormat="1" ht="24" customHeight="1" x14ac:dyDescent="0.2">
      <c r="B6" s="38"/>
      <c r="C6" s="32"/>
      <c r="D6" s="32"/>
      <c r="E6" s="32"/>
    </row>
    <row r="7" spans="1:5" s="36" customFormat="1" ht="26.25" customHeight="1" x14ac:dyDescent="0.25">
      <c r="A7" s="37"/>
      <c r="B7" s="81"/>
      <c r="C7" s="81"/>
      <c r="D7" s="81"/>
      <c r="E7" s="81"/>
    </row>
    <row r="8" spans="1:5" s="36" customFormat="1" ht="33" customHeight="1" x14ac:dyDescent="0.25">
      <c r="A8" s="37"/>
      <c r="B8" s="81"/>
      <c r="C8" s="81"/>
      <c r="D8" s="81"/>
      <c r="E8" s="81"/>
    </row>
    <row r="9" spans="1:5" s="13" customFormat="1" ht="40.5" customHeight="1" x14ac:dyDescent="0.2">
      <c r="B9" s="33" t="s">
        <v>31</v>
      </c>
      <c r="C9" s="35" t="s">
        <v>144</v>
      </c>
      <c r="D9" s="34" t="s">
        <v>30</v>
      </c>
      <c r="E9" s="33" t="s">
        <v>29</v>
      </c>
    </row>
    <row r="10" spans="1:5" ht="15" customHeight="1" x14ac:dyDescent="0.3">
      <c r="B10" s="78" t="s">
        <v>9</v>
      </c>
      <c r="C10" s="31" t="s">
        <v>147</v>
      </c>
      <c r="D10" s="30">
        <v>1</v>
      </c>
      <c r="E10" s="29">
        <v>7.246376811594203E-3</v>
      </c>
    </row>
    <row r="11" spans="1:5" s="32" customFormat="1" ht="15" customHeight="1" x14ac:dyDescent="0.2">
      <c r="B11" s="80"/>
      <c r="C11" s="28" t="s">
        <v>5</v>
      </c>
      <c r="D11" s="27">
        <v>1</v>
      </c>
      <c r="E11" s="26">
        <v>7.246376811594203E-3</v>
      </c>
    </row>
    <row r="12" spans="1:5" s="32" customFormat="1" ht="15" customHeight="1" x14ac:dyDescent="0.2">
      <c r="B12" s="78" t="s">
        <v>8</v>
      </c>
      <c r="C12" s="31" t="s">
        <v>147</v>
      </c>
      <c r="D12" s="30">
        <v>1</v>
      </c>
      <c r="E12" s="29">
        <v>7.246376811594203E-3</v>
      </c>
    </row>
    <row r="13" spans="1:5" ht="15" customHeight="1" x14ac:dyDescent="0.3">
      <c r="B13" s="80"/>
      <c r="C13" s="28" t="s">
        <v>5</v>
      </c>
      <c r="D13" s="27">
        <v>1</v>
      </c>
      <c r="E13" s="26">
        <v>7.246376811594203E-3</v>
      </c>
    </row>
    <row r="14" spans="1:5" ht="15" customHeight="1" x14ac:dyDescent="0.3">
      <c r="B14" s="78" t="s">
        <v>19</v>
      </c>
      <c r="C14" s="31" t="s">
        <v>147</v>
      </c>
      <c r="D14" s="30">
        <v>6</v>
      </c>
      <c r="E14" s="29">
        <v>4.3478260869565216E-2</v>
      </c>
    </row>
    <row r="15" spans="1:5" ht="15" customHeight="1" x14ac:dyDescent="0.3">
      <c r="B15" s="80"/>
      <c r="C15" s="28" t="s">
        <v>5</v>
      </c>
      <c r="D15" s="27">
        <v>6</v>
      </c>
      <c r="E15" s="26">
        <v>4.3478260869565216E-2</v>
      </c>
    </row>
    <row r="16" spans="1:5" ht="15" customHeight="1" x14ac:dyDescent="0.3">
      <c r="B16" s="78" t="s">
        <v>17</v>
      </c>
      <c r="C16" s="31" t="s">
        <v>147</v>
      </c>
      <c r="D16" s="30">
        <v>2</v>
      </c>
      <c r="E16" s="29">
        <v>1.4492753623188406E-2</v>
      </c>
    </row>
    <row r="17" spans="2:5" ht="15" customHeight="1" x14ac:dyDescent="0.3">
      <c r="B17" s="79"/>
      <c r="C17" s="31" t="s">
        <v>146</v>
      </c>
      <c r="D17" s="30">
        <v>2</v>
      </c>
      <c r="E17" s="29">
        <v>1.4492753623188406E-2</v>
      </c>
    </row>
    <row r="18" spans="2:5" ht="15" customHeight="1" x14ac:dyDescent="0.3">
      <c r="B18" s="80"/>
      <c r="C18" s="28" t="s">
        <v>5</v>
      </c>
      <c r="D18" s="27">
        <v>4</v>
      </c>
      <c r="E18" s="26">
        <v>2.8985507246376812E-2</v>
      </c>
    </row>
    <row r="19" spans="2:5" ht="15" customHeight="1" x14ac:dyDescent="0.3">
      <c r="B19" s="78" t="s">
        <v>21</v>
      </c>
      <c r="C19" s="31" t="s">
        <v>147</v>
      </c>
      <c r="D19" s="30">
        <v>4</v>
      </c>
      <c r="E19" s="29">
        <v>2.8985507246376812E-2</v>
      </c>
    </row>
    <row r="20" spans="2:5" ht="15" customHeight="1" x14ac:dyDescent="0.3">
      <c r="B20" s="79"/>
      <c r="C20" s="31" t="s">
        <v>146</v>
      </c>
      <c r="D20" s="30">
        <v>3</v>
      </c>
      <c r="E20" s="29">
        <v>2.1739130434782608E-2</v>
      </c>
    </row>
    <row r="21" spans="2:5" ht="15" customHeight="1" x14ac:dyDescent="0.3">
      <c r="B21" s="80"/>
      <c r="C21" s="28" t="s">
        <v>5</v>
      </c>
      <c r="D21" s="27">
        <v>7</v>
      </c>
      <c r="E21" s="26">
        <v>5.0724637681159424E-2</v>
      </c>
    </row>
    <row r="22" spans="2:5" ht="15" customHeight="1" x14ac:dyDescent="0.3">
      <c r="B22" s="78" t="s">
        <v>12</v>
      </c>
      <c r="C22" s="31" t="s">
        <v>147</v>
      </c>
      <c r="D22" s="30">
        <v>1</v>
      </c>
      <c r="E22" s="29">
        <v>7.246376811594203E-3</v>
      </c>
    </row>
    <row r="23" spans="2:5" ht="15" customHeight="1" x14ac:dyDescent="0.3">
      <c r="B23" s="79"/>
      <c r="C23" s="31" t="s">
        <v>146</v>
      </c>
      <c r="D23" s="30">
        <v>1</v>
      </c>
      <c r="E23" s="29">
        <v>7.246376811594203E-3</v>
      </c>
    </row>
    <row r="24" spans="2:5" ht="15" customHeight="1" x14ac:dyDescent="0.3">
      <c r="B24" s="80"/>
      <c r="C24" s="28" t="s">
        <v>5</v>
      </c>
      <c r="D24" s="27">
        <v>2</v>
      </c>
      <c r="E24" s="26">
        <v>1.4492753623188406E-2</v>
      </c>
    </row>
    <row r="25" spans="2:5" ht="15" customHeight="1" x14ac:dyDescent="0.3">
      <c r="B25" s="78" t="s">
        <v>26</v>
      </c>
      <c r="C25" s="31" t="s">
        <v>147</v>
      </c>
      <c r="D25" s="30">
        <v>10</v>
      </c>
      <c r="E25" s="29">
        <v>7.2463768115942032E-2</v>
      </c>
    </row>
    <row r="26" spans="2:5" ht="15" customHeight="1" x14ac:dyDescent="0.3">
      <c r="B26" s="79"/>
      <c r="C26" s="31" t="s">
        <v>146</v>
      </c>
      <c r="D26" s="30">
        <v>2</v>
      </c>
      <c r="E26" s="29">
        <v>1.4492753623188406E-2</v>
      </c>
    </row>
    <row r="27" spans="2:5" ht="15" customHeight="1" x14ac:dyDescent="0.3">
      <c r="B27" s="80"/>
      <c r="C27" s="28" t="s">
        <v>5</v>
      </c>
      <c r="D27" s="27">
        <v>12</v>
      </c>
      <c r="E27" s="26">
        <v>8.6956521739130432E-2</v>
      </c>
    </row>
    <row r="28" spans="2:5" ht="15" customHeight="1" x14ac:dyDescent="0.3">
      <c r="B28" s="78" t="s">
        <v>27</v>
      </c>
      <c r="C28" s="31" t="s">
        <v>147</v>
      </c>
      <c r="D28" s="30">
        <v>10</v>
      </c>
      <c r="E28" s="29">
        <v>7.2463768115942032E-2</v>
      </c>
    </row>
    <row r="29" spans="2:5" ht="15" customHeight="1" x14ac:dyDescent="0.3">
      <c r="B29" s="79"/>
      <c r="C29" s="31" t="s">
        <v>146</v>
      </c>
      <c r="D29" s="30">
        <v>4</v>
      </c>
      <c r="E29" s="29">
        <v>2.8985507246376812E-2</v>
      </c>
    </row>
    <row r="30" spans="2:5" ht="15" customHeight="1" x14ac:dyDescent="0.3">
      <c r="B30" s="80"/>
      <c r="C30" s="28" t="s">
        <v>5</v>
      </c>
      <c r="D30" s="27">
        <v>14</v>
      </c>
      <c r="E30" s="26">
        <v>0.10144927536231885</v>
      </c>
    </row>
    <row r="31" spans="2:5" ht="15" customHeight="1" x14ac:dyDescent="0.3">
      <c r="B31" s="78" t="s">
        <v>25</v>
      </c>
      <c r="C31" s="31" t="s">
        <v>147</v>
      </c>
      <c r="D31" s="30">
        <v>10</v>
      </c>
      <c r="E31" s="29">
        <v>7.2463768115942032E-2</v>
      </c>
    </row>
    <row r="32" spans="2:5" ht="15" customHeight="1" x14ac:dyDescent="0.3">
      <c r="B32" s="79"/>
      <c r="C32" s="31" t="s">
        <v>146</v>
      </c>
      <c r="D32" s="30">
        <v>1</v>
      </c>
      <c r="E32" s="29">
        <v>7.246376811594203E-3</v>
      </c>
    </row>
    <row r="33" spans="2:5" ht="15" customHeight="1" x14ac:dyDescent="0.3">
      <c r="B33" s="80"/>
      <c r="C33" s="28" t="s">
        <v>5</v>
      </c>
      <c r="D33" s="27">
        <v>11</v>
      </c>
      <c r="E33" s="26">
        <v>7.9710144927536225E-2</v>
      </c>
    </row>
    <row r="34" spans="2:5" ht="15" customHeight="1" x14ac:dyDescent="0.3">
      <c r="B34" s="78" t="s">
        <v>18</v>
      </c>
      <c r="C34" s="31" t="s">
        <v>147</v>
      </c>
      <c r="D34" s="30">
        <v>6</v>
      </c>
      <c r="E34" s="29">
        <v>4.3478260869565216E-2</v>
      </c>
    </row>
    <row r="35" spans="2:5" ht="15" customHeight="1" x14ac:dyDescent="0.3">
      <c r="B35" s="80"/>
      <c r="C35" s="28" t="s">
        <v>5</v>
      </c>
      <c r="D35" s="27">
        <v>6</v>
      </c>
      <c r="E35" s="26">
        <v>4.3478260869565216E-2</v>
      </c>
    </row>
    <row r="36" spans="2:5" ht="15" customHeight="1" x14ac:dyDescent="0.3">
      <c r="B36" s="78" t="s">
        <v>15</v>
      </c>
      <c r="C36" s="31" t="s">
        <v>147</v>
      </c>
      <c r="D36" s="30">
        <v>1</v>
      </c>
      <c r="E36" s="29">
        <v>7.246376811594203E-3</v>
      </c>
    </row>
    <row r="37" spans="2:5" ht="15" customHeight="1" x14ac:dyDescent="0.3">
      <c r="B37" s="79"/>
      <c r="C37" s="31" t="s">
        <v>146</v>
      </c>
      <c r="D37" s="30">
        <v>2</v>
      </c>
      <c r="E37" s="29">
        <v>1.4492753623188406E-2</v>
      </c>
    </row>
    <row r="38" spans="2:5" ht="15" customHeight="1" x14ac:dyDescent="0.3">
      <c r="B38" s="80"/>
      <c r="C38" s="28" t="s">
        <v>5</v>
      </c>
      <c r="D38" s="27">
        <v>3</v>
      </c>
      <c r="E38" s="26">
        <v>2.1739130434782608E-2</v>
      </c>
    </row>
    <row r="39" spans="2:5" ht="15" customHeight="1" x14ac:dyDescent="0.3">
      <c r="B39" s="78" t="s">
        <v>24</v>
      </c>
      <c r="C39" s="31" t="s">
        <v>147</v>
      </c>
      <c r="D39" s="30">
        <v>7</v>
      </c>
      <c r="E39" s="29">
        <v>5.0724637681159424E-2</v>
      </c>
    </row>
    <row r="40" spans="2:5" ht="15" customHeight="1" x14ac:dyDescent="0.3">
      <c r="B40" s="79"/>
      <c r="C40" s="31" t="s">
        <v>146</v>
      </c>
      <c r="D40" s="30">
        <v>3</v>
      </c>
      <c r="E40" s="29">
        <v>2.1739130434782608E-2</v>
      </c>
    </row>
    <row r="41" spans="2:5" ht="15" customHeight="1" x14ac:dyDescent="0.3">
      <c r="B41" s="80"/>
      <c r="C41" s="28" t="s">
        <v>5</v>
      </c>
      <c r="D41" s="27">
        <v>10</v>
      </c>
      <c r="E41" s="26">
        <v>7.2463768115942032E-2</v>
      </c>
    </row>
    <row r="42" spans="2:5" ht="15" customHeight="1" x14ac:dyDescent="0.3">
      <c r="B42" s="78" t="s">
        <v>11</v>
      </c>
      <c r="C42" s="31" t="s">
        <v>147</v>
      </c>
      <c r="D42" s="30">
        <v>2</v>
      </c>
      <c r="E42" s="29">
        <v>1.4492753623188406E-2</v>
      </c>
    </row>
    <row r="43" spans="2:5" ht="15" customHeight="1" x14ac:dyDescent="0.3">
      <c r="B43" s="80"/>
      <c r="C43" s="28" t="s">
        <v>5</v>
      </c>
      <c r="D43" s="27">
        <v>2</v>
      </c>
      <c r="E43" s="26">
        <v>1.4492753623188406E-2</v>
      </c>
    </row>
    <row r="44" spans="2:5" ht="15" customHeight="1" x14ac:dyDescent="0.3">
      <c r="B44" s="78" t="s">
        <v>10</v>
      </c>
      <c r="C44" s="31" t="s">
        <v>147</v>
      </c>
      <c r="D44" s="30">
        <v>1</v>
      </c>
      <c r="E44" s="29">
        <v>7.246376811594203E-3</v>
      </c>
    </row>
    <row r="45" spans="2:5" ht="15" customHeight="1" x14ac:dyDescent="0.3">
      <c r="B45" s="79"/>
      <c r="C45" s="31" t="s">
        <v>146</v>
      </c>
      <c r="D45" s="30">
        <v>1</v>
      </c>
      <c r="E45" s="29">
        <v>7.246376811594203E-3</v>
      </c>
    </row>
    <row r="46" spans="2:5" ht="15" customHeight="1" x14ac:dyDescent="0.3">
      <c r="B46" s="80"/>
      <c r="C46" s="28" t="s">
        <v>5</v>
      </c>
      <c r="D46" s="27">
        <v>2</v>
      </c>
      <c r="E46" s="26">
        <v>1.4492753623188406E-2</v>
      </c>
    </row>
    <row r="47" spans="2:5" ht="15" customHeight="1" x14ac:dyDescent="0.3">
      <c r="B47" s="78" t="s">
        <v>7</v>
      </c>
      <c r="C47" s="31" t="s">
        <v>147</v>
      </c>
      <c r="D47" s="30">
        <v>1</v>
      </c>
      <c r="E47" s="29">
        <v>7.246376811594203E-3</v>
      </c>
    </row>
    <row r="48" spans="2:5" ht="15" customHeight="1" x14ac:dyDescent="0.3">
      <c r="B48" s="80"/>
      <c r="C48" s="28" t="s">
        <v>5</v>
      </c>
      <c r="D48" s="27">
        <v>1</v>
      </c>
      <c r="E48" s="26">
        <v>7.246376811594203E-3</v>
      </c>
    </row>
    <row r="49" spans="2:5" ht="15" customHeight="1" x14ac:dyDescent="0.3">
      <c r="B49" s="78" t="s">
        <v>28</v>
      </c>
      <c r="C49" s="31" t="s">
        <v>147</v>
      </c>
      <c r="D49" s="30">
        <v>13</v>
      </c>
      <c r="E49" s="29">
        <v>9.420289855072464E-2</v>
      </c>
    </row>
    <row r="50" spans="2:5" ht="15" customHeight="1" x14ac:dyDescent="0.3">
      <c r="B50" s="79"/>
      <c r="C50" s="31" t="s">
        <v>146</v>
      </c>
      <c r="D50" s="30">
        <v>7</v>
      </c>
      <c r="E50" s="29">
        <v>5.0724637681159424E-2</v>
      </c>
    </row>
    <row r="51" spans="2:5" ht="15" customHeight="1" x14ac:dyDescent="0.3">
      <c r="B51" s="80"/>
      <c r="C51" s="28" t="s">
        <v>5</v>
      </c>
      <c r="D51" s="27">
        <v>20</v>
      </c>
      <c r="E51" s="26">
        <v>0.14492753623188406</v>
      </c>
    </row>
    <row r="52" spans="2:5" ht="15" customHeight="1" x14ac:dyDescent="0.3">
      <c r="B52" s="78" t="s">
        <v>20</v>
      </c>
      <c r="C52" s="31" t="s">
        <v>147</v>
      </c>
      <c r="D52" s="30">
        <v>7</v>
      </c>
      <c r="E52" s="29">
        <v>5.0724637681159424E-2</v>
      </c>
    </row>
    <row r="53" spans="2:5" ht="15" customHeight="1" x14ac:dyDescent="0.3">
      <c r="B53" s="80"/>
      <c r="C53" s="28" t="s">
        <v>5</v>
      </c>
      <c r="D53" s="27">
        <v>7</v>
      </c>
      <c r="E53" s="26">
        <v>5.0724637681159424E-2</v>
      </c>
    </row>
    <row r="54" spans="2:5" ht="15" customHeight="1" x14ac:dyDescent="0.3">
      <c r="B54" s="78" t="s">
        <v>14</v>
      </c>
      <c r="C54" s="31" t="s">
        <v>147</v>
      </c>
      <c r="D54" s="30">
        <v>2</v>
      </c>
      <c r="E54" s="29">
        <v>1.4492753623188406E-2</v>
      </c>
    </row>
    <row r="55" spans="2:5" ht="15" customHeight="1" x14ac:dyDescent="0.3">
      <c r="B55" s="79"/>
      <c r="C55" s="31" t="s">
        <v>146</v>
      </c>
      <c r="D55" s="30">
        <v>1</v>
      </c>
      <c r="E55" s="29">
        <v>7.246376811594203E-3</v>
      </c>
    </row>
    <row r="56" spans="2:5" ht="15" customHeight="1" x14ac:dyDescent="0.3">
      <c r="B56" s="80"/>
      <c r="C56" s="28" t="s">
        <v>5</v>
      </c>
      <c r="D56" s="27">
        <v>3</v>
      </c>
      <c r="E56" s="26">
        <v>2.1739130434782608E-2</v>
      </c>
    </row>
    <row r="57" spans="2:5" ht="15" customHeight="1" x14ac:dyDescent="0.3">
      <c r="B57" s="79" t="s">
        <v>6</v>
      </c>
      <c r="C57" s="31" t="s">
        <v>146</v>
      </c>
      <c r="D57" s="30">
        <v>1</v>
      </c>
      <c r="E57" s="29">
        <v>7.246376811594203E-3</v>
      </c>
    </row>
    <row r="58" spans="2:5" ht="15" customHeight="1" x14ac:dyDescent="0.3">
      <c r="B58" s="80"/>
      <c r="C58" s="28" t="s">
        <v>5</v>
      </c>
      <c r="D58" s="27">
        <v>1</v>
      </c>
      <c r="E58" s="26">
        <v>7.246376811594203E-3</v>
      </c>
    </row>
    <row r="59" spans="2:5" ht="15" customHeight="1" x14ac:dyDescent="0.3">
      <c r="B59" s="78" t="s">
        <v>23</v>
      </c>
      <c r="C59" s="31" t="s">
        <v>147</v>
      </c>
      <c r="D59" s="30">
        <v>7</v>
      </c>
      <c r="E59" s="29">
        <v>5.0724637681159424E-2</v>
      </c>
    </row>
    <row r="60" spans="2:5" ht="15" customHeight="1" x14ac:dyDescent="0.3">
      <c r="B60" s="79"/>
      <c r="C60" s="31" t="s">
        <v>146</v>
      </c>
      <c r="D60" s="30">
        <v>2</v>
      </c>
      <c r="E60" s="29">
        <v>1.4492753623188406E-2</v>
      </c>
    </row>
    <row r="61" spans="2:5" ht="15" customHeight="1" x14ac:dyDescent="0.3">
      <c r="B61" s="80"/>
      <c r="C61" s="28" t="s">
        <v>5</v>
      </c>
      <c r="D61" s="27">
        <v>9</v>
      </c>
      <c r="E61" s="26">
        <v>6.5217391304347824E-2</v>
      </c>
    </row>
    <row r="62" spans="2:5" ht="15" customHeight="1" x14ac:dyDescent="0.3">
      <c r="B62" s="79" t="s">
        <v>13</v>
      </c>
      <c r="C62" s="31" t="s">
        <v>146</v>
      </c>
      <c r="D62" s="30">
        <v>3</v>
      </c>
      <c r="E62" s="29">
        <v>2.1739130434782608E-2</v>
      </c>
    </row>
    <row r="63" spans="2:5" ht="15" customHeight="1" x14ac:dyDescent="0.3">
      <c r="B63" s="80"/>
      <c r="C63" s="28" t="s">
        <v>5</v>
      </c>
      <c r="D63" s="27">
        <v>3</v>
      </c>
      <c r="E63" s="26">
        <v>2.1739130434782608E-2</v>
      </c>
    </row>
    <row r="64" spans="2:5" ht="15" customHeight="1" x14ac:dyDescent="0.3">
      <c r="B64" s="78" t="s">
        <v>22</v>
      </c>
      <c r="C64" s="31" t="s">
        <v>147</v>
      </c>
      <c r="D64" s="30">
        <v>8</v>
      </c>
      <c r="E64" s="29">
        <v>5.7971014492753624E-2</v>
      </c>
    </row>
    <row r="65" spans="2:5" ht="15" customHeight="1" x14ac:dyDescent="0.3">
      <c r="B65" s="79"/>
      <c r="C65" s="31" t="s">
        <v>146</v>
      </c>
      <c r="D65" s="30">
        <v>1</v>
      </c>
      <c r="E65" s="29">
        <v>7.246376811594203E-3</v>
      </c>
    </row>
    <row r="66" spans="2:5" ht="15" customHeight="1" x14ac:dyDescent="0.3">
      <c r="B66" s="80"/>
      <c r="C66" s="28" t="s">
        <v>5</v>
      </c>
      <c r="D66" s="27">
        <v>9</v>
      </c>
      <c r="E66" s="26">
        <v>6.5217391304347824E-2</v>
      </c>
    </row>
    <row r="67" spans="2:5" ht="15" customHeight="1" x14ac:dyDescent="0.3">
      <c r="B67" s="78" t="s">
        <v>16</v>
      </c>
      <c r="C67" s="31" t="s">
        <v>147</v>
      </c>
      <c r="D67" s="30">
        <v>3</v>
      </c>
      <c r="E67" s="29">
        <v>2.1739130434782608E-2</v>
      </c>
    </row>
    <row r="68" spans="2:5" ht="15" customHeight="1" x14ac:dyDescent="0.3">
      <c r="B68" s="79"/>
      <c r="C68" s="31" t="s">
        <v>146</v>
      </c>
      <c r="D68" s="30">
        <v>1</v>
      </c>
      <c r="E68" s="29">
        <v>7.246376811594203E-3</v>
      </c>
    </row>
    <row r="69" spans="2:5" ht="15" customHeight="1" x14ac:dyDescent="0.3">
      <c r="B69" s="80"/>
      <c r="C69" s="28" t="s">
        <v>5</v>
      </c>
      <c r="D69" s="27">
        <v>4</v>
      </c>
      <c r="E69" s="26">
        <v>2.8985507246376812E-2</v>
      </c>
    </row>
    <row r="70" spans="2:5" ht="15" customHeight="1" x14ac:dyDescent="0.3">
      <c r="B70" s="82" t="s">
        <v>5</v>
      </c>
      <c r="C70" s="83"/>
      <c r="D70" s="25">
        <f>SUMIF(C10:C69,"TOTAL",D10:D69)</f>
        <v>138</v>
      </c>
      <c r="E70" s="24">
        <v>1</v>
      </c>
    </row>
    <row r="72" spans="2:5" ht="15" customHeight="1" x14ac:dyDescent="0.3">
      <c r="B72" s="3" t="s">
        <v>4</v>
      </c>
    </row>
    <row r="73" spans="2:5" ht="15" customHeight="1" x14ac:dyDescent="0.3">
      <c r="B73" s="5" t="s">
        <v>3</v>
      </c>
    </row>
    <row r="74" spans="2:5" ht="15" customHeight="1" x14ac:dyDescent="0.3">
      <c r="B74" s="4" t="s">
        <v>2</v>
      </c>
    </row>
    <row r="75" spans="2:5" ht="15" customHeight="1" x14ac:dyDescent="0.3">
      <c r="B75" s="3" t="s">
        <v>1</v>
      </c>
    </row>
    <row r="76" spans="2:5" ht="15" customHeight="1" x14ac:dyDescent="0.3">
      <c r="B76" s="3" t="s">
        <v>0</v>
      </c>
    </row>
    <row r="449" spans="2:2" s="21" customFormat="1" ht="15" customHeight="1" x14ac:dyDescent="0.3">
      <c r="B449" s="22"/>
    </row>
    <row r="450" spans="2:2" s="21" customFormat="1" ht="15" customHeight="1" x14ac:dyDescent="0.3">
      <c r="B450" s="23"/>
    </row>
    <row r="451" spans="2:2" s="21" customFormat="1" ht="15" customHeight="1" x14ac:dyDescent="0.3">
      <c r="B451" s="23"/>
    </row>
    <row r="452" spans="2:2" s="21" customFormat="1" ht="15" customHeight="1" x14ac:dyDescent="0.3">
      <c r="B452" s="22"/>
    </row>
    <row r="453" spans="2:2" s="21" customFormat="1" ht="15" customHeight="1" x14ac:dyDescent="0.3">
      <c r="B453" s="22"/>
    </row>
  </sheetData>
  <mergeCells count="25">
    <mergeCell ref="B7:E8"/>
    <mergeCell ref="B10:B11"/>
    <mergeCell ref="B12:B13"/>
    <mergeCell ref="B22:B24"/>
    <mergeCell ref="B25:B27"/>
    <mergeCell ref="B28:B30"/>
    <mergeCell ref="B31:B33"/>
    <mergeCell ref="B34:B35"/>
    <mergeCell ref="B14:B15"/>
    <mergeCell ref="B16:B18"/>
    <mergeCell ref="B19:B21"/>
    <mergeCell ref="B49:B51"/>
    <mergeCell ref="B52:B53"/>
    <mergeCell ref="B54:B56"/>
    <mergeCell ref="B57:B58"/>
    <mergeCell ref="B64:B66"/>
    <mergeCell ref="B36:B38"/>
    <mergeCell ref="B39:B41"/>
    <mergeCell ref="B42:B43"/>
    <mergeCell ref="B44:B46"/>
    <mergeCell ref="B47:B48"/>
    <mergeCell ref="B67:B69"/>
    <mergeCell ref="B70:C70"/>
    <mergeCell ref="B59:B61"/>
    <mergeCell ref="B62:B63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" manualBreakCount="1">
    <brk id="35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89"/>
  <sheetViews>
    <sheetView topLeftCell="A10" zoomScale="145" zoomScaleNormal="145" zoomScaleSheetLayoutView="100" workbookViewId="0">
      <selection activeCell="F8" sqref="F8"/>
    </sheetView>
  </sheetViews>
  <sheetFormatPr baseColWidth="10" defaultColWidth="35" defaultRowHeight="15" customHeight="1" x14ac:dyDescent="0.3"/>
  <cols>
    <col min="1" max="1" width="1" style="20" customWidth="1"/>
    <col min="2" max="2" width="22.88671875" style="21" customWidth="1"/>
    <col min="3" max="3" width="31.44140625" style="21" customWidth="1"/>
    <col min="4" max="4" width="14.33203125" style="21" customWidth="1"/>
    <col min="5" max="5" width="16.88671875" style="21" customWidth="1"/>
    <col min="6" max="16384" width="35" style="20"/>
  </cols>
  <sheetData>
    <row r="1" spans="1:5" s="39" customFormat="1" ht="12" customHeight="1" x14ac:dyDescent="0.2">
      <c r="B1" s="43"/>
      <c r="C1" s="42"/>
      <c r="D1" s="42"/>
      <c r="E1" s="42"/>
    </row>
    <row r="2" spans="1:5" s="39" customFormat="1" ht="15" customHeight="1" x14ac:dyDescent="0.2">
      <c r="C2" s="41"/>
    </row>
    <row r="3" spans="1:5" s="39" customFormat="1" ht="15" customHeight="1" x14ac:dyDescent="0.2">
      <c r="C3" s="41"/>
    </row>
    <row r="4" spans="1:5" s="39" customFormat="1" ht="30" customHeight="1" x14ac:dyDescent="0.2">
      <c r="C4" s="41"/>
      <c r="D4" s="40"/>
    </row>
    <row r="5" spans="1:5" s="39" customFormat="1" ht="15" customHeight="1" x14ac:dyDescent="0.2">
      <c r="C5" s="41"/>
      <c r="D5" s="40"/>
    </row>
    <row r="6" spans="1:5" s="36" customFormat="1" ht="24" customHeight="1" x14ac:dyDescent="0.2">
      <c r="B6" s="38"/>
      <c r="C6" s="32"/>
      <c r="D6" s="32"/>
      <c r="E6" s="32"/>
    </row>
    <row r="7" spans="1:5" s="36" customFormat="1" ht="26.25" customHeight="1" x14ac:dyDescent="0.25">
      <c r="A7" s="37"/>
      <c r="B7" s="81"/>
      <c r="C7" s="81"/>
      <c r="D7" s="81"/>
      <c r="E7" s="81"/>
    </row>
    <row r="8" spans="1:5" s="36" customFormat="1" ht="33" customHeight="1" x14ac:dyDescent="0.25">
      <c r="A8" s="37"/>
      <c r="B8" s="81"/>
      <c r="C8" s="81"/>
      <c r="D8" s="81"/>
      <c r="E8" s="81"/>
    </row>
    <row r="9" spans="1:5" s="13" customFormat="1" ht="40.5" customHeight="1" x14ac:dyDescent="0.2">
      <c r="B9" s="33" t="s">
        <v>144</v>
      </c>
      <c r="C9" s="35" t="s">
        <v>155</v>
      </c>
      <c r="D9" s="34" t="s">
        <v>30</v>
      </c>
      <c r="E9" s="33" t="s">
        <v>29</v>
      </c>
    </row>
    <row r="10" spans="1:5" ht="15" customHeight="1" x14ac:dyDescent="0.3">
      <c r="B10" s="78" t="s">
        <v>147</v>
      </c>
      <c r="C10" s="31" t="s">
        <v>154</v>
      </c>
      <c r="D10" s="30">
        <v>1</v>
      </c>
      <c r="E10" s="29">
        <v>7.246376811594203E-3</v>
      </c>
    </row>
    <row r="11" spans="1:5" ht="15" customHeight="1" x14ac:dyDescent="0.3">
      <c r="B11" s="79"/>
      <c r="C11" s="31" t="s">
        <v>153</v>
      </c>
      <c r="D11" s="30">
        <v>1</v>
      </c>
      <c r="E11" s="29">
        <v>7.246376811594203E-3</v>
      </c>
    </row>
    <row r="12" spans="1:5" ht="15" customHeight="1" x14ac:dyDescent="0.3">
      <c r="B12" s="79"/>
      <c r="C12" s="31" t="s">
        <v>152</v>
      </c>
      <c r="D12" s="30">
        <v>21</v>
      </c>
      <c r="E12" s="29">
        <v>0.15217391304347827</v>
      </c>
    </row>
    <row r="13" spans="1:5" ht="15" customHeight="1" x14ac:dyDescent="0.3">
      <c r="B13" s="79"/>
      <c r="C13" s="31" t="s">
        <v>151</v>
      </c>
      <c r="D13" s="30">
        <v>43</v>
      </c>
      <c r="E13" s="29">
        <v>0.31159420289855072</v>
      </c>
    </row>
    <row r="14" spans="1:5" ht="15" customHeight="1" x14ac:dyDescent="0.3">
      <c r="B14" s="79"/>
      <c r="C14" s="31" t="s">
        <v>150</v>
      </c>
      <c r="D14" s="30">
        <v>29</v>
      </c>
      <c r="E14" s="29">
        <v>0.21014492753623187</v>
      </c>
    </row>
    <row r="15" spans="1:5" s="32" customFormat="1" ht="15" customHeight="1" x14ac:dyDescent="0.2">
      <c r="B15" s="80"/>
      <c r="C15" s="31" t="s">
        <v>149</v>
      </c>
      <c r="D15" s="30">
        <v>8</v>
      </c>
      <c r="E15" s="29">
        <v>5.7971014492753624E-2</v>
      </c>
    </row>
    <row r="16" spans="1:5" s="32" customFormat="1" ht="15" customHeight="1" x14ac:dyDescent="0.2">
      <c r="B16" s="78" t="s">
        <v>146</v>
      </c>
      <c r="C16" s="31" t="s">
        <v>152</v>
      </c>
      <c r="D16" s="30">
        <v>5</v>
      </c>
      <c r="E16" s="29">
        <v>3.6231884057971016E-2</v>
      </c>
    </row>
    <row r="17" spans="2:5" s="32" customFormat="1" ht="15" customHeight="1" x14ac:dyDescent="0.2">
      <c r="B17" s="79"/>
      <c r="C17" s="31" t="s">
        <v>151</v>
      </c>
      <c r="D17" s="30">
        <v>20</v>
      </c>
      <c r="E17" s="29">
        <v>0.14492753623188406</v>
      </c>
    </row>
    <row r="18" spans="2:5" s="32" customFormat="1" ht="15" customHeight="1" x14ac:dyDescent="0.2">
      <c r="B18" s="79"/>
      <c r="C18" s="31" t="s">
        <v>150</v>
      </c>
      <c r="D18" s="30">
        <v>4</v>
      </c>
      <c r="E18" s="29">
        <v>2.8985507246376812E-2</v>
      </c>
    </row>
    <row r="19" spans="2:5" s="32" customFormat="1" ht="15" customHeight="1" x14ac:dyDescent="0.2">
      <c r="B19" s="79"/>
      <c r="C19" s="31" t="s">
        <v>149</v>
      </c>
      <c r="D19" s="30">
        <v>5</v>
      </c>
      <c r="E19" s="29">
        <v>3.6231884057971016E-2</v>
      </c>
    </row>
    <row r="20" spans="2:5" ht="15" customHeight="1" x14ac:dyDescent="0.3">
      <c r="B20" s="80"/>
      <c r="C20" s="31" t="s">
        <v>148</v>
      </c>
      <c r="D20" s="30">
        <v>1</v>
      </c>
      <c r="E20" s="29">
        <v>7.246376811594203E-3</v>
      </c>
    </row>
    <row r="21" spans="2:5" ht="15" customHeight="1" x14ac:dyDescent="0.3">
      <c r="B21" s="82" t="s">
        <v>5</v>
      </c>
      <c r="C21" s="83"/>
      <c r="D21" s="25">
        <v>138</v>
      </c>
      <c r="E21" s="24">
        <v>1</v>
      </c>
    </row>
    <row r="23" spans="2:5" ht="15" customHeight="1" x14ac:dyDescent="0.3">
      <c r="B23" s="3" t="s">
        <v>4</v>
      </c>
    </row>
    <row r="24" spans="2:5" ht="15" customHeight="1" x14ac:dyDescent="0.3">
      <c r="B24" s="5" t="s">
        <v>3</v>
      </c>
    </row>
    <row r="25" spans="2:5" ht="15" customHeight="1" x14ac:dyDescent="0.3">
      <c r="B25" s="4" t="s">
        <v>2</v>
      </c>
    </row>
    <row r="26" spans="2:5" ht="15" customHeight="1" x14ac:dyDescent="0.3">
      <c r="B26" s="3" t="s">
        <v>1</v>
      </c>
    </row>
    <row r="27" spans="2:5" ht="15" customHeight="1" x14ac:dyDescent="0.3">
      <c r="B27" s="3" t="s">
        <v>0</v>
      </c>
    </row>
    <row r="485" spans="2:2" s="21" customFormat="1" ht="15" customHeight="1" x14ac:dyDescent="0.3">
      <c r="B485" s="22"/>
    </row>
    <row r="486" spans="2:2" s="21" customFormat="1" ht="15" customHeight="1" x14ac:dyDescent="0.3">
      <c r="B486" s="23"/>
    </row>
    <row r="487" spans="2:2" s="21" customFormat="1" ht="15" customHeight="1" x14ac:dyDescent="0.3">
      <c r="B487" s="23"/>
    </row>
    <row r="488" spans="2:2" s="21" customFormat="1" ht="15" customHeight="1" x14ac:dyDescent="0.3">
      <c r="B488" s="22"/>
    </row>
    <row r="489" spans="2:2" s="21" customFormat="1" ht="15" customHeight="1" x14ac:dyDescent="0.3">
      <c r="B489" s="22"/>
    </row>
  </sheetData>
  <mergeCells count="4">
    <mergeCell ref="B7:E8"/>
    <mergeCell ref="B10:B15"/>
    <mergeCell ref="B16:B20"/>
    <mergeCell ref="B21:C2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31"/>
  <sheetViews>
    <sheetView showGridLines="0" tabSelected="1" zoomScaleNormal="100" zoomScaleSheetLayoutView="115" workbookViewId="0">
      <selection activeCell="G12" sqref="G12"/>
    </sheetView>
  </sheetViews>
  <sheetFormatPr baseColWidth="10" defaultColWidth="11.44140625" defaultRowHeight="14.4" x14ac:dyDescent="0.3"/>
  <cols>
    <col min="1" max="1" width="9.33203125" style="1" customWidth="1"/>
    <col min="2" max="2" width="21.6640625" style="1" customWidth="1"/>
    <col min="3" max="3" width="17.6640625" style="2" customWidth="1"/>
    <col min="4" max="4" width="17.6640625" style="1" customWidth="1"/>
    <col min="5" max="5" width="9.33203125" style="1" customWidth="1"/>
    <col min="6" max="6" width="5.6640625" style="1" customWidth="1"/>
    <col min="7" max="16384" width="11.44140625" style="1"/>
  </cols>
  <sheetData>
    <row r="1" spans="2:4" s="13" customFormat="1" ht="15" customHeight="1" x14ac:dyDescent="0.2">
      <c r="C1" s="19"/>
    </row>
    <row r="2" spans="2:4" s="13" customFormat="1" ht="15" customHeight="1" x14ac:dyDescent="0.2">
      <c r="C2" s="19"/>
    </row>
    <row r="3" spans="2:4" s="13" customFormat="1" ht="15" customHeight="1" x14ac:dyDescent="0.2">
      <c r="C3" s="19"/>
    </row>
    <row r="4" spans="2:4" s="13" customFormat="1" ht="30" customHeight="1" x14ac:dyDescent="0.2">
      <c r="C4" s="19"/>
      <c r="D4" s="18"/>
    </row>
    <row r="5" spans="2:4" s="13" customFormat="1" ht="15" customHeight="1" x14ac:dyDescent="0.2">
      <c r="C5" s="19"/>
      <c r="D5" s="18"/>
    </row>
    <row r="6" spans="2:4" s="13" customFormat="1" ht="15" customHeight="1" x14ac:dyDescent="0.2">
      <c r="C6" s="19"/>
      <c r="D6" s="18"/>
    </row>
    <row r="7" spans="2:4" s="13" customFormat="1" ht="15" customHeight="1" x14ac:dyDescent="0.2">
      <c r="B7" s="75" t="s">
        <v>170</v>
      </c>
      <c r="C7" s="75"/>
      <c r="D7" s="75"/>
    </row>
    <row r="8" spans="2:4" s="13" customFormat="1" ht="15" customHeight="1" x14ac:dyDescent="0.2">
      <c r="B8" s="75"/>
      <c r="C8" s="75"/>
      <c r="D8" s="75"/>
    </row>
    <row r="9" spans="2:4" s="13" customFormat="1" ht="33" customHeight="1" x14ac:dyDescent="0.2">
      <c r="B9" s="75"/>
      <c r="C9" s="75"/>
      <c r="D9" s="75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169</v>
      </c>
      <c r="C11" s="15" t="s">
        <v>30</v>
      </c>
      <c r="D11" s="14" t="s">
        <v>29</v>
      </c>
    </row>
    <row r="12" spans="2:4" ht="15" customHeight="1" x14ac:dyDescent="0.3">
      <c r="B12" s="11" t="s">
        <v>168</v>
      </c>
      <c r="C12" s="10">
        <v>44</v>
      </c>
      <c r="D12" s="9">
        <v>0.3188405797101449</v>
      </c>
    </row>
    <row r="13" spans="2:4" x14ac:dyDescent="0.3">
      <c r="B13" s="11" t="s">
        <v>167</v>
      </c>
      <c r="C13" s="10">
        <v>24</v>
      </c>
      <c r="D13" s="9">
        <v>0.17391304347826086</v>
      </c>
    </row>
    <row r="14" spans="2:4" s="12" customFormat="1" ht="15" x14ac:dyDescent="0.3">
      <c r="B14" s="11" t="s">
        <v>166</v>
      </c>
      <c r="C14" s="10">
        <v>16</v>
      </c>
      <c r="D14" s="9">
        <v>0.11594202898550725</v>
      </c>
    </row>
    <row r="15" spans="2:4" s="12" customFormat="1" ht="15" x14ac:dyDescent="0.3">
      <c r="B15" s="11" t="s">
        <v>165</v>
      </c>
      <c r="C15" s="10">
        <v>13</v>
      </c>
      <c r="D15" s="9">
        <v>9.420289855072464E-2</v>
      </c>
    </row>
    <row r="16" spans="2:4" x14ac:dyDescent="0.3">
      <c r="B16" s="11" t="s">
        <v>164</v>
      </c>
      <c r="C16" s="10">
        <v>9</v>
      </c>
      <c r="D16" s="9">
        <v>6.5217391304347824E-2</v>
      </c>
    </row>
    <row r="17" spans="2:4" x14ac:dyDescent="0.3">
      <c r="B17" s="11" t="s">
        <v>163</v>
      </c>
      <c r="C17" s="10">
        <v>9</v>
      </c>
      <c r="D17" s="9">
        <v>6.5217391304347824E-2</v>
      </c>
    </row>
    <row r="18" spans="2:4" x14ac:dyDescent="0.3">
      <c r="B18" s="11" t="s">
        <v>162</v>
      </c>
      <c r="C18" s="10">
        <v>7</v>
      </c>
      <c r="D18" s="9">
        <v>5.0724637681159424E-2</v>
      </c>
    </row>
    <row r="19" spans="2:4" x14ac:dyDescent="0.3">
      <c r="B19" s="11" t="s">
        <v>161</v>
      </c>
      <c r="C19" s="10">
        <v>5</v>
      </c>
      <c r="D19" s="9">
        <v>3.6231884057971016E-2</v>
      </c>
    </row>
    <row r="20" spans="2:4" x14ac:dyDescent="0.3">
      <c r="B20" s="11" t="s">
        <v>160</v>
      </c>
      <c r="C20" s="10">
        <v>5</v>
      </c>
      <c r="D20" s="9">
        <v>3.6231884057971016E-2</v>
      </c>
    </row>
    <row r="21" spans="2:4" x14ac:dyDescent="0.3">
      <c r="B21" s="11" t="s">
        <v>159</v>
      </c>
      <c r="C21" s="10">
        <v>2</v>
      </c>
      <c r="D21" s="9">
        <v>1.4492753623188406E-2</v>
      </c>
    </row>
    <row r="22" spans="2:4" x14ac:dyDescent="0.3">
      <c r="B22" s="11" t="s">
        <v>158</v>
      </c>
      <c r="C22" s="10">
        <v>2</v>
      </c>
      <c r="D22" s="9">
        <v>1.4492753623188406E-2</v>
      </c>
    </row>
    <row r="23" spans="2:4" x14ac:dyDescent="0.3">
      <c r="B23" s="11" t="s">
        <v>157</v>
      </c>
      <c r="C23" s="10">
        <v>1</v>
      </c>
      <c r="D23" s="9">
        <v>7.246376811594203E-3</v>
      </c>
    </row>
    <row r="24" spans="2:4" x14ac:dyDescent="0.3">
      <c r="B24" s="11" t="s">
        <v>156</v>
      </c>
      <c r="C24" s="10">
        <v>1</v>
      </c>
      <c r="D24" s="9">
        <v>7.246376811594203E-3</v>
      </c>
    </row>
    <row r="25" spans="2:4" x14ac:dyDescent="0.3">
      <c r="B25" s="8" t="s">
        <v>5</v>
      </c>
      <c r="C25" s="7">
        <v>138</v>
      </c>
      <c r="D25" s="6">
        <v>1</v>
      </c>
    </row>
    <row r="27" spans="2:4" x14ac:dyDescent="0.3">
      <c r="B27" s="3" t="s">
        <v>4</v>
      </c>
    </row>
    <row r="28" spans="2:4" x14ac:dyDescent="0.3">
      <c r="B28" s="5" t="s">
        <v>3</v>
      </c>
    </row>
    <row r="29" spans="2:4" x14ac:dyDescent="0.3">
      <c r="B29" s="4" t="s">
        <v>2</v>
      </c>
    </row>
    <row r="30" spans="2:4" x14ac:dyDescent="0.3">
      <c r="B30" s="3" t="s">
        <v>1</v>
      </c>
    </row>
    <row r="31" spans="2:4" x14ac:dyDescent="0.3">
      <c r="B31" s="3" t="s">
        <v>0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2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13</vt:i4>
      </vt:variant>
    </vt:vector>
  </HeadingPairs>
  <TitlesOfParts>
    <vt:vector size="22" baseType="lpstr">
      <vt:lpstr>Índice</vt:lpstr>
      <vt:lpstr>West Virginia_Edomexgral</vt:lpstr>
      <vt:lpstr>West Virginia_EDOMEX</vt:lpstr>
      <vt:lpstr>West Virginia_Educagral</vt:lpstr>
      <vt:lpstr>West Virginia_Eduedo</vt:lpstr>
      <vt:lpstr>West Virginia_gengral</vt:lpstr>
      <vt:lpstr>West Virginia_edomexgen</vt:lpstr>
      <vt:lpstr>West Virginia_edadgen</vt:lpstr>
      <vt:lpstr>West Virginia_ocupgral</vt:lpstr>
      <vt:lpstr>Índice!Área_de_impresión</vt:lpstr>
      <vt:lpstr>'West Virginia_edadgen'!Área_de_impresión</vt:lpstr>
      <vt:lpstr>'West Virginia_EDOMEX'!Área_de_impresión</vt:lpstr>
      <vt:lpstr>'West Virginia_edomexgen'!Área_de_impresión</vt:lpstr>
      <vt:lpstr>'West Virginia_Eduedo'!Área_de_impresión</vt:lpstr>
      <vt:lpstr>'West Virginia_edadgen'!Títulos_a_imprimir</vt:lpstr>
      <vt:lpstr>'West Virginia_EDOMEX'!Títulos_a_imprimir</vt:lpstr>
      <vt:lpstr>'West Virginia_edomexgen'!Títulos_a_imprimir</vt:lpstr>
      <vt:lpstr>'West Virginia_Edomexgral'!Títulos_a_imprimir</vt:lpstr>
      <vt:lpstr>'West Virginia_Educagral'!Títulos_a_imprimir</vt:lpstr>
      <vt:lpstr>'West Virginia_Eduedo'!Títulos_a_imprimir</vt:lpstr>
      <vt:lpstr>'West Virginia_gengral'!Títulos_a_imprimir</vt:lpstr>
      <vt:lpstr>'West Virginia_ocupgral'!Títulos_a_imprimir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García Ayala, Miguel Ángel</cp:lastModifiedBy>
  <dcterms:created xsi:type="dcterms:W3CDTF">2020-05-18T09:52:18Z</dcterms:created>
  <dcterms:modified xsi:type="dcterms:W3CDTF">2020-08-07T19:12:58Z</dcterms:modified>
</cp:coreProperties>
</file>