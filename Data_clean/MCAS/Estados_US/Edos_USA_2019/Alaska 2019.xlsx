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tabRatio="819" activeTab="8"/>
  </bookViews>
  <sheets>
    <sheet name="Índice" sheetId="1" r:id="rId1"/>
    <sheet name="Alaska_Edomexgral" sheetId="2" r:id="rId2"/>
    <sheet name="Alaska_EDOMEX" sheetId="11" r:id="rId3"/>
    <sheet name="Alaska_Educagral" sheetId="4" r:id="rId4"/>
    <sheet name="Alaska_Eduedo" sheetId="10" r:id="rId5"/>
    <sheet name="Alaska_gengral" sheetId="6" r:id="rId6"/>
    <sheet name="Alaska_edomexgen" sheetId="7" r:id="rId7"/>
    <sheet name="Alaska_edadgen" sheetId="8" r:id="rId8"/>
    <sheet name="Alaska_ocupgral" sheetId="9" r:id="rId9"/>
  </sheets>
  <definedNames>
    <definedName name="_xlnm._FilterDatabase" localSheetId="7" hidden="1">Alaska_edadgen!$B$9:$E$13</definedName>
    <definedName name="_xlnm._FilterDatabase" localSheetId="2" hidden="1">Alaska_EDOMEX!$B$9:$E$13</definedName>
    <definedName name="_xlnm._FilterDatabase" localSheetId="6" hidden="1">Alaska_edomexgen!$B$9:$E$12</definedName>
    <definedName name="_xlnm._FilterDatabase" localSheetId="1" hidden="1">Alaska_Edomexgral!$B$11:$D$12</definedName>
    <definedName name="_xlnm._FilterDatabase" localSheetId="3" hidden="1">Alaska_Educagral!$B$11:$D$12</definedName>
    <definedName name="_xlnm._FilterDatabase" localSheetId="4" hidden="1">Alaska_Eduedo!$B$9:$E$13</definedName>
    <definedName name="_xlnm._FilterDatabase" localSheetId="5" hidden="1">Alaska_gengral!$B$11:$D$12</definedName>
    <definedName name="_xlnm._FilterDatabase" localSheetId="8" hidden="1">Alaska_ocupgral!$B$11:$D$12</definedName>
    <definedName name="_xlnm.Print_Area" localSheetId="7">Alaska_edadgen!$A$1:$E$28</definedName>
    <definedName name="_xlnm.Print_Area" localSheetId="2">Alaska_EDOMEX!$A$1:$E$93</definedName>
    <definedName name="_xlnm.Print_Area" localSheetId="6">Alaska_edomexgen!$A$1:$E$65</definedName>
    <definedName name="_xlnm.Print_Area" localSheetId="4">Alaska_Eduedo!$A$1:$E$82</definedName>
    <definedName name="_xlnm.Print_Titles" localSheetId="7">Alaska_edadgen!$1:$9</definedName>
    <definedName name="_xlnm.Print_Titles" localSheetId="2">Alaska_EDOMEX!$1:$9</definedName>
    <definedName name="_xlnm.Print_Titles" localSheetId="6">Alaska_edomexgen!$1:$9</definedName>
    <definedName name="_xlnm.Print_Titles" localSheetId="1">Alaska_Edomexgral!$1:$11</definedName>
    <definedName name="_xlnm.Print_Titles" localSheetId="3">Alaska_Educagral!$1:$11</definedName>
    <definedName name="_xlnm.Print_Titles" localSheetId="4">Alaska_Eduedo!$1:$9</definedName>
    <definedName name="_xlnm.Print_Titles" localSheetId="5">Alaska_gengral!$1:$11</definedName>
    <definedName name="_xlnm.Print_Titles" localSheetId="8">Alaska_ocupgral!$1:$11</definedName>
  </definedNames>
  <calcPr calcId="152511"/>
</workbook>
</file>

<file path=xl/calcChain.xml><?xml version="1.0" encoding="utf-8"?>
<calcChain xmlns="http://schemas.openxmlformats.org/spreadsheetml/2006/main">
  <c r="D87" i="11" l="1"/>
  <c r="D59" i="7" l="1"/>
</calcChain>
</file>

<file path=xl/sharedStrings.xml><?xml version="1.0" encoding="utf-8"?>
<sst xmlns="http://schemas.openxmlformats.org/spreadsheetml/2006/main" count="393" uniqueCount="135">
  <si>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</si>
  <si>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</si>
  <si>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</si>
  <si>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</si>
  <si>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</si>
  <si>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</si>
  <si>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</si>
  <si>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</si>
  <si>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</si>
  <si>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</si>
  <si>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</si>
  <si>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</si>
  <si>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Alaska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</si>
  <si>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</si>
  <si>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</si>
  <si>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</si>
  <si>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</si>
  <si>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</si>
  <si>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</si>
  <si>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Tlaxcala</t>
  </si>
  <si>
    <t>Sinaloa</t>
  </si>
  <si>
    <t>Puebla</t>
  </si>
  <si>
    <t>Nuevo León</t>
  </si>
  <si>
    <t>Durango</t>
  </si>
  <si>
    <t>Colima</t>
  </si>
  <si>
    <t>Aguascalientes</t>
  </si>
  <si>
    <t>Nayarit</t>
  </si>
  <si>
    <t>Hidalgo</t>
  </si>
  <si>
    <t>Guerrero</t>
  </si>
  <si>
    <t>Guanajuato</t>
  </si>
  <si>
    <t>Veracruz</t>
  </si>
  <si>
    <t>Ciudad de México</t>
  </si>
  <si>
    <t>Zacatecas</t>
  </si>
  <si>
    <t>Baja California</t>
  </si>
  <si>
    <t>Chihuahua</t>
  </si>
  <si>
    <t>Oaxaca</t>
  </si>
  <si>
    <t>Michoacán</t>
  </si>
  <si>
    <t>Jalisco</t>
  </si>
  <si>
    <t>Porcentaje de Matrículas</t>
  </si>
  <si>
    <t>Número de Matrículas</t>
  </si>
  <si>
    <t>Estado de Origen</t>
  </si>
  <si>
    <t>MATRÍCULAS CONSULARES DE ALTA SEGURIDAD EXPEDIDAS EN EL ESTADO DE ALASKA EN EE.UU. POR ESTADO DE LA REPÚBLICA MEXICANA DURANTE EL 2019</t>
  </si>
  <si>
    <t>Tlaltenango de Sánchez Román</t>
  </si>
  <si>
    <t>Cuauhtémoc</t>
  </si>
  <si>
    <t>Atolinga</t>
  </si>
  <si>
    <t>Tierra Blanca</t>
  </si>
  <si>
    <t>Papantla</t>
  </si>
  <si>
    <t>Hidalgotitlán</t>
  </si>
  <si>
    <t>Córdoba</t>
  </si>
  <si>
    <t>Chiautempan</t>
  </si>
  <si>
    <t>Mazatlán</t>
  </si>
  <si>
    <t>Silacayoápam</t>
  </si>
  <si>
    <t>Santo Domingo Tehuantepec</t>
  </si>
  <si>
    <t>Santiago Juxtlahuaca</t>
  </si>
  <si>
    <t>Miahuatlán de Porfirio Díaz</t>
  </si>
  <si>
    <t>San Nicolás de los Garza</t>
  </si>
  <si>
    <t>Santiago Ixcuintla</t>
  </si>
  <si>
    <t>Ixtlán del Río</t>
  </si>
  <si>
    <t>Zamora</t>
  </si>
  <si>
    <t>Zacapu</t>
  </si>
  <si>
    <t>Tuxpan</t>
  </si>
  <si>
    <t>Morelia</t>
  </si>
  <si>
    <t>Jungapeo</t>
  </si>
  <si>
    <t>Indaparapeo</t>
  </si>
  <si>
    <t>Huetamo</t>
  </si>
  <si>
    <t>Charo</t>
  </si>
  <si>
    <t>Carácuaro</t>
  </si>
  <si>
    <t>Acuitzio</t>
  </si>
  <si>
    <t>San Pedro Tlaquepaque</t>
  </si>
  <si>
    <t>Tequila</t>
  </si>
  <si>
    <t>Tepatitlán de Morelos</t>
  </si>
  <si>
    <t>San Miguel el Alto</t>
  </si>
  <si>
    <t>San Juan de los Lagos</t>
  </si>
  <si>
    <t>Puerto Vallarta</t>
  </si>
  <si>
    <t>Pihuamo</t>
  </si>
  <si>
    <t>Ocotlán</t>
  </si>
  <si>
    <t>Jalostotitlán</t>
  </si>
  <si>
    <t>Guadalajara</t>
  </si>
  <si>
    <t>Tulancingo de Bravo</t>
  </si>
  <si>
    <t>Cuautepec de Hinojosa</t>
  </si>
  <si>
    <t>Tlapa de Comonfort</t>
  </si>
  <si>
    <t>Copanatoyac</t>
  </si>
  <si>
    <t>León</t>
  </si>
  <si>
    <t>Acámbaro</t>
  </si>
  <si>
    <t>Venustiano Carranza</t>
  </si>
  <si>
    <t>Iztacalco</t>
  </si>
  <si>
    <t>Álvaro Obregón</t>
  </si>
  <si>
    <t>Juárez</t>
  </si>
  <si>
    <t>Delicias</t>
  </si>
  <si>
    <t>Tijuana</t>
  </si>
  <si>
    <t>Mexicali</t>
  </si>
  <si>
    <t>Ensenada</t>
  </si>
  <si>
    <t>Municipio Origen</t>
  </si>
  <si>
    <t>Posgrado [Maestría]</t>
  </si>
  <si>
    <t>Profesional Titulado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</si>
  <si>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</si>
  <si>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</si>
  <si>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</si>
  <si>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</si>
  <si>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</si>
  <si>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</si>
  <si>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</si>
  <si>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</si>
  <si>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</si>
  <si>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</si>
  <si>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</si>
  <si>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Sin Estudios</t>
  </si>
  <si>
    <t>Nivel de Estudios</t>
  </si>
  <si>
    <t>MATRÍCULAS CONSULARES EXPEDIDAS EN EL ESTADO DE ALASKA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</si>
  <si>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</si>
  <si>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</si>
  <si>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</si>
  <si>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</si>
  <si>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ALASKA, POR GÉNERO 2019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</si>
  <si>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</si>
  <si>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</si>
  <si>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</si>
  <si>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</si>
  <si>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</si>
  <si>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</si>
  <si>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</si>
  <si>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</si>
  <si>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</si>
  <si>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Otro</t>
  </si>
  <si>
    <t>Jubilado(a)</t>
  </si>
  <si>
    <t>Jardinero(a)</t>
  </si>
  <si>
    <t>Cocinero(a)</t>
  </si>
  <si>
    <t>Estudiante</t>
  </si>
  <si>
    <t>Hogar</t>
  </si>
  <si>
    <t>Empleado(a)</t>
  </si>
  <si>
    <t>Ocupación</t>
  </si>
  <si>
    <t>MATRÍCULAS CONSULARES DE ALTA SEGURIDAD EXPEDIDAS EN EE.UU A MEXICANOS EN EL ESTADO DE  ALASKA, POR PERFIL OCUPACIONAL 2019</t>
  </si>
  <si>
    <t>Profesional titulado</t>
  </si>
  <si>
    <t>Capacitación técnica</t>
  </si>
  <si>
    <t>San Dimas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</si>
</sst>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1" fillId="0" borderId="0"/>
  </cellStyleXfs>
  <cellXfs count="7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2" fillId="2" borderId="10" xfId="4" applyFont="1" applyFill="1" applyBorder="1" applyAlignment="1">
      <alignment horizontal="center" vertical="center" wrapText="1"/>
    </xf>
    <xf numFmtId="1" fontId="22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3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12" fillId="3" borderId="0" xfId="0" applyNumberFormat="1" applyFont="1" applyFill="1"/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399434</xdr:colOff>
      <xdr:row>2</xdr:row>
      <xdr:rowOff>41792</xdr:rowOff>
    </xdr:from>
    <xdr:to>
      <xdr:col>3</xdr:col>
      <xdr:colOff>911531</xdr:colOff>
      <xdr:row>3</xdr:row>
      <xdr:rowOff>41793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23659" y="765692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3</xdr:col>
      <xdr:colOff>818029</xdr:colOff>
      <xdr:row>16</xdr:row>
      <xdr:rowOff>0</xdr:rowOff>
    </xdr:from>
    <xdr:ext cx="184731" cy="264560"/>
    <xdr:sp macro="" textlink="">
      <xdr:nvSpPr>
        <xdr:cNvPr id="3" name="2 CuadroTexto"/>
        <xdr:cNvSpPr txBox="1"/>
      </xdr:nvSpPr>
      <xdr:spPr>
        <a:xfrm>
          <a:off x="4146176" y="34177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19050</xdr:rowOff>
    </xdr:from>
    <xdr:to>
      <xdr:col>5</xdr:col>
      <xdr:colOff>92997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ALASKA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131379</xdr:rowOff>
    </xdr:from>
    <xdr:to>
      <xdr:col>4</xdr:col>
      <xdr:colOff>1044183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0761" y="187445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0</xdr:rowOff>
    </xdr:from>
    <xdr:to>
      <xdr:col>4</xdr:col>
      <xdr:colOff>607347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149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ALASKA,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491290</xdr:colOff>
      <xdr:row>7</xdr:row>
      <xdr:rowOff>120315</xdr:rowOff>
    </xdr:from>
    <xdr:to>
      <xdr:col>4</xdr:col>
      <xdr:colOff>1003387</xdr:colOff>
      <xdr:row>7</xdr:row>
      <xdr:rowOff>310816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25790" y="1453815"/>
          <a:ext cx="512097" cy="666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ALASKA,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505408</xdr:colOff>
      <xdr:row>7</xdr:row>
      <xdr:rowOff>116633</xdr:rowOff>
    </xdr:from>
    <xdr:to>
      <xdr:col>4</xdr:col>
      <xdr:colOff>1017505</xdr:colOff>
      <xdr:row>7</xdr:row>
      <xdr:rowOff>311022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1275" y="1866123"/>
          <a:ext cx="512097" cy="19438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ALASKA,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533400</xdr:colOff>
      <xdr:row>7</xdr:row>
      <xdr:rowOff>133350</xdr:rowOff>
    </xdr:from>
    <xdr:to>
      <xdr:col>4</xdr:col>
      <xdr:colOff>1045497</xdr:colOff>
      <xdr:row>7</xdr:row>
      <xdr:rowOff>323851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2075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647700</xdr:colOff>
      <xdr:row>8</xdr:row>
      <xdr:rowOff>190500</xdr:rowOff>
    </xdr:from>
    <xdr:to>
      <xdr:col>3</xdr:col>
      <xdr:colOff>1159797</xdr:colOff>
      <xdr:row>8</xdr:row>
      <xdr:rowOff>381001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895725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sqref="A1:D1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6" t="s">
        <v>12</v>
      </c>
      <c r="B1" s="67"/>
      <c r="C1" s="67"/>
      <c r="D1" s="68"/>
    </row>
    <row r="2" spans="1:4" ht="18" x14ac:dyDescent="0.4">
      <c r="A2" s="2"/>
      <c r="B2" s="3"/>
      <c r="C2" s="3"/>
      <c r="D2" s="4"/>
    </row>
    <row r="3" spans="1:4" x14ac:dyDescent="0.4">
      <c r="A3" s="69" t="s">
        <v>0</v>
      </c>
      <c r="B3" s="70"/>
      <c r="C3" s="70"/>
      <c r="D3" s="71"/>
    </row>
    <row r="4" spans="1:4" x14ac:dyDescent="0.4">
      <c r="A4" s="69"/>
      <c r="B4" s="70"/>
      <c r="C4" s="70"/>
      <c r="D4" s="71"/>
    </row>
    <row r="5" spans="1:4" ht="18" x14ac:dyDescent="0.4">
      <c r="A5" s="5"/>
      <c r="B5" s="6"/>
      <c r="C5" s="6"/>
      <c r="D5" s="7"/>
    </row>
    <row r="6" spans="1:4" ht="18" x14ac:dyDescent="0.4">
      <c r="A6" s="65" t="s">
        <v>1</v>
      </c>
      <c r="B6" s="63"/>
      <c r="C6" s="63"/>
      <c r="D6" s="64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3" t="s">
        <v>3</v>
      </c>
      <c r="C9" s="63"/>
      <c r="D9" s="64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3" t="s">
        <v>5</v>
      </c>
      <c r="C11" s="63"/>
      <c r="D11" s="64"/>
    </row>
    <row r="12" spans="1:4" ht="18" x14ac:dyDescent="0.4">
      <c r="A12" s="11"/>
      <c r="B12" s="63" t="s">
        <v>6</v>
      </c>
      <c r="C12" s="63"/>
      <c r="D12" s="64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3" t="s">
        <v>8</v>
      </c>
      <c r="C15" s="63"/>
      <c r="D15" s="64"/>
    </row>
    <row r="16" spans="1:4" ht="18" x14ac:dyDescent="0.4">
      <c r="A16" s="11"/>
      <c r="B16" s="63" t="s">
        <v>9</v>
      </c>
      <c r="C16" s="63"/>
      <c r="D16" s="64"/>
    </row>
    <row r="17" spans="1:4" ht="18" x14ac:dyDescent="0.4">
      <c r="A17" s="11"/>
      <c r="B17" s="12"/>
      <c r="C17" s="12"/>
      <c r="D17" s="13"/>
    </row>
    <row r="18" spans="1:4" ht="18" x14ac:dyDescent="0.4">
      <c r="A18" s="65" t="s">
        <v>10</v>
      </c>
      <c r="B18" s="63"/>
      <c r="C18" s="63"/>
      <c r="D18" s="64"/>
    </row>
    <row r="19" spans="1:4" ht="18" x14ac:dyDescent="0.4">
      <c r="A19" s="11"/>
      <c r="B19" s="12"/>
      <c r="C19" s="12"/>
      <c r="D19" s="13"/>
    </row>
    <row r="20" spans="1:4" ht="18" x14ac:dyDescent="0.4">
      <c r="A20" s="65" t="s">
        <v>11</v>
      </c>
      <c r="B20" s="63"/>
      <c r="C20" s="63"/>
      <c r="D20" s="64"/>
    </row>
    <row r="21" spans="1:4" ht="18.600000000000001" thickBot="1" x14ac:dyDescent="0.45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Alaska_Edomexgral!A1" display="1. Por Estados de la República Mexicana"/>
    <hyperlink ref="B9" location="Alabama_EDOMEX!Área_de_impresión" display="2.1 Por estado de la República Mexicana y municipio de origen"/>
    <hyperlink ref="B11:D11" location="Alaska_Educagral!A1" display="3.1 Educación general"/>
    <hyperlink ref="B12:D12" location="Alaska_Eduedo!A1" display="3.2 Por Estado de la República Mexicana"/>
    <hyperlink ref="B15:D15" location="Alaska_gengral!A1" display="4.1 Género General"/>
    <hyperlink ref="B16:D16" location="Alaska_edomexgen!A1" display="4.2 Por Estados de la República Mexicana"/>
    <hyperlink ref="A18:D18" location="Alaska_edadgen!A1" display="5. Por estructura de Edad"/>
    <hyperlink ref="A20:D20" location="Alaska_ocupgral!A1" display="6. Por Ocupación"/>
    <hyperlink ref="B9:D9" location="Alask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37"/>
  <sheetViews>
    <sheetView showGridLines="0" topLeftCell="A26" zoomScaleNormal="100" zoomScaleSheetLayoutView="115" workbookViewId="0">
      <selection activeCell="D38" sqref="D38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2" t="s">
        <v>41</v>
      </c>
      <c r="C7" s="72"/>
      <c r="D7" s="72"/>
    </row>
    <row r="8" spans="2:4" s="29" customFormat="1" ht="15" customHeight="1" x14ac:dyDescent="0.2">
      <c r="B8" s="72"/>
      <c r="C8" s="72"/>
      <c r="D8" s="72"/>
    </row>
    <row r="9" spans="2:4" s="29" customFormat="1" ht="33" customHeight="1" x14ac:dyDescent="0.2">
      <c r="B9" s="72"/>
      <c r="C9" s="72"/>
      <c r="D9" s="72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40</v>
      </c>
      <c r="C11" s="31" t="s">
        <v>39</v>
      </c>
      <c r="D11" s="30" t="s">
        <v>38</v>
      </c>
    </row>
    <row r="12" spans="2:4" ht="15" customHeight="1" x14ac:dyDescent="0.3">
      <c r="B12" s="27" t="s">
        <v>37</v>
      </c>
      <c r="C12" s="26">
        <v>25</v>
      </c>
      <c r="D12" s="25">
        <v>0.27472527472527475</v>
      </c>
    </row>
    <row r="13" spans="2:4" x14ac:dyDescent="0.3">
      <c r="B13" s="27" t="s">
        <v>36</v>
      </c>
      <c r="C13" s="26">
        <v>17</v>
      </c>
      <c r="D13" s="25">
        <v>0.18681318681318682</v>
      </c>
    </row>
    <row r="14" spans="2:4" s="28" customFormat="1" ht="15" x14ac:dyDescent="0.3">
      <c r="B14" s="27" t="s">
        <v>35</v>
      </c>
      <c r="C14" s="26">
        <v>8</v>
      </c>
      <c r="D14" s="25">
        <v>8.7912087912087919E-2</v>
      </c>
    </row>
    <row r="15" spans="2:4" s="28" customFormat="1" ht="15" x14ac:dyDescent="0.3">
      <c r="B15" s="27" t="s">
        <v>34</v>
      </c>
      <c r="C15" s="26">
        <v>7</v>
      </c>
      <c r="D15" s="25">
        <v>7.6923076923076927E-2</v>
      </c>
    </row>
    <row r="16" spans="2:4" x14ac:dyDescent="0.3">
      <c r="B16" s="27" t="s">
        <v>33</v>
      </c>
      <c r="C16" s="26">
        <v>5</v>
      </c>
      <c r="D16" s="25">
        <v>5.4945054945054944E-2</v>
      </c>
    </row>
    <row r="17" spans="2:4" x14ac:dyDescent="0.3">
      <c r="B17" s="27" t="s">
        <v>32</v>
      </c>
      <c r="C17" s="26">
        <v>5</v>
      </c>
      <c r="D17" s="25">
        <v>5.4945054945054944E-2</v>
      </c>
    </row>
    <row r="18" spans="2:4" x14ac:dyDescent="0.3">
      <c r="B18" s="27" t="s">
        <v>31</v>
      </c>
      <c r="C18" s="26">
        <v>4</v>
      </c>
      <c r="D18" s="25">
        <v>4.3956043956043959E-2</v>
      </c>
    </row>
    <row r="19" spans="2:4" x14ac:dyDescent="0.3">
      <c r="B19" s="27" t="s">
        <v>30</v>
      </c>
      <c r="C19" s="26">
        <v>4</v>
      </c>
      <c r="D19" s="25">
        <v>4.3956043956043959E-2</v>
      </c>
    </row>
    <row r="20" spans="2:4" x14ac:dyDescent="0.3">
      <c r="B20" s="27" t="s">
        <v>29</v>
      </c>
      <c r="C20" s="26">
        <v>3</v>
      </c>
      <c r="D20" s="25">
        <v>3.2967032967032968E-2</v>
      </c>
    </row>
    <row r="21" spans="2:4" x14ac:dyDescent="0.3">
      <c r="B21" s="27" t="s">
        <v>28</v>
      </c>
      <c r="C21" s="26">
        <v>2</v>
      </c>
      <c r="D21" s="25">
        <v>2.197802197802198E-2</v>
      </c>
    </row>
    <row r="22" spans="2:4" x14ac:dyDescent="0.3">
      <c r="B22" s="27" t="s">
        <v>27</v>
      </c>
      <c r="C22" s="26">
        <v>2</v>
      </c>
      <c r="D22" s="25">
        <v>2.197802197802198E-2</v>
      </c>
    </row>
    <row r="23" spans="2:4" x14ac:dyDescent="0.3">
      <c r="B23" s="27" t="s">
        <v>26</v>
      </c>
      <c r="C23" s="26">
        <v>2</v>
      </c>
      <c r="D23" s="25">
        <v>2.197802197802198E-2</v>
      </c>
    </row>
    <row r="24" spans="2:4" x14ac:dyDescent="0.3">
      <c r="B24" s="27" t="s">
        <v>25</v>
      </c>
      <c r="C24" s="26">
        <v>1</v>
      </c>
      <c r="D24" s="25">
        <v>1.098901098901099E-2</v>
      </c>
    </row>
    <row r="25" spans="2:4" x14ac:dyDescent="0.3">
      <c r="B25" s="27" t="s">
        <v>24</v>
      </c>
      <c r="C25" s="26">
        <v>1</v>
      </c>
      <c r="D25" s="25">
        <v>1.098901098901099E-2</v>
      </c>
    </row>
    <row r="26" spans="2:4" x14ac:dyDescent="0.3">
      <c r="B26" s="27" t="s">
        <v>23</v>
      </c>
      <c r="C26" s="26">
        <v>1</v>
      </c>
      <c r="D26" s="25">
        <v>1.098901098901099E-2</v>
      </c>
    </row>
    <row r="27" spans="2:4" x14ac:dyDescent="0.3">
      <c r="B27" s="27" t="s">
        <v>22</v>
      </c>
      <c r="C27" s="26">
        <v>1</v>
      </c>
      <c r="D27" s="25">
        <v>1.098901098901099E-2</v>
      </c>
    </row>
    <row r="28" spans="2:4" x14ac:dyDescent="0.3">
      <c r="B28" s="27" t="s">
        <v>21</v>
      </c>
      <c r="C28" s="26">
        <v>1</v>
      </c>
      <c r="D28" s="25">
        <v>1.098901098901099E-2</v>
      </c>
    </row>
    <row r="29" spans="2:4" x14ac:dyDescent="0.3">
      <c r="B29" s="27" t="s">
        <v>20</v>
      </c>
      <c r="C29" s="26">
        <v>1</v>
      </c>
      <c r="D29" s="25">
        <v>1.098901098901099E-2</v>
      </c>
    </row>
    <row r="30" spans="2:4" x14ac:dyDescent="0.3">
      <c r="B30" s="27" t="s">
        <v>19</v>
      </c>
      <c r="C30" s="26">
        <v>1</v>
      </c>
      <c r="D30" s="25">
        <v>1.098901098901099E-2</v>
      </c>
    </row>
    <row r="31" spans="2:4" x14ac:dyDescent="0.3">
      <c r="B31" s="24" t="s">
        <v>18</v>
      </c>
      <c r="C31" s="23">
        <v>91</v>
      </c>
      <c r="D31" s="22">
        <v>1</v>
      </c>
    </row>
    <row r="33" spans="2:2" x14ac:dyDescent="0.3">
      <c r="B33" s="19" t="s">
        <v>17</v>
      </c>
    </row>
    <row r="34" spans="2:2" x14ac:dyDescent="0.3">
      <c r="B34" s="21" t="s">
        <v>16</v>
      </c>
    </row>
    <row r="35" spans="2:2" x14ac:dyDescent="0.3">
      <c r="B35" s="20" t="s">
        <v>15</v>
      </c>
    </row>
    <row r="36" spans="2:2" x14ac:dyDescent="0.3">
      <c r="B36" s="19" t="s">
        <v>14</v>
      </c>
    </row>
    <row r="37" spans="2:2" x14ac:dyDescent="0.3">
      <c r="B37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8"/>
  <sheetViews>
    <sheetView topLeftCell="A78" zoomScale="95" zoomScaleNormal="95" zoomScaleSheetLayoutView="100" workbookViewId="0">
      <selection activeCell="D9" sqref="D9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25">
      <c r="A7" s="51"/>
      <c r="B7" s="78"/>
      <c r="C7" s="78"/>
      <c r="D7" s="78"/>
      <c r="E7" s="78"/>
    </row>
    <row r="8" spans="1:5" s="50" customFormat="1" ht="33" customHeight="1" x14ac:dyDescent="0.25">
      <c r="A8" s="51"/>
      <c r="B8" s="78"/>
      <c r="C8" s="78"/>
      <c r="D8" s="78"/>
      <c r="E8" s="78"/>
    </row>
    <row r="9" spans="1:5" s="29" customFormat="1" ht="40.5" customHeight="1" x14ac:dyDescent="0.2">
      <c r="B9" s="47" t="s">
        <v>40</v>
      </c>
      <c r="C9" s="49" t="s">
        <v>92</v>
      </c>
      <c r="D9" s="48" t="s">
        <v>39</v>
      </c>
      <c r="E9" s="47" t="s">
        <v>38</v>
      </c>
    </row>
    <row r="10" spans="1:5" ht="15" customHeight="1" x14ac:dyDescent="0.3">
      <c r="B10" s="73" t="s">
        <v>25</v>
      </c>
      <c r="C10" s="45" t="s">
        <v>25</v>
      </c>
      <c r="D10" s="44">
        <v>1</v>
      </c>
      <c r="E10" s="43">
        <v>1.098901098901099E-2</v>
      </c>
    </row>
    <row r="11" spans="1:5" ht="15" customHeight="1" x14ac:dyDescent="0.3">
      <c r="B11" s="75"/>
      <c r="C11" s="42" t="s">
        <v>18</v>
      </c>
      <c r="D11" s="41">
        <v>1</v>
      </c>
      <c r="E11" s="40">
        <v>1.098901098901099E-2</v>
      </c>
    </row>
    <row r="12" spans="1:5" ht="15" customHeight="1" x14ac:dyDescent="0.3">
      <c r="B12" s="73" t="s">
        <v>33</v>
      </c>
      <c r="C12" s="45" t="s">
        <v>91</v>
      </c>
      <c r="D12" s="44">
        <v>3</v>
      </c>
      <c r="E12" s="43">
        <v>3.2967032967032968E-2</v>
      </c>
    </row>
    <row r="13" spans="1:5" ht="15" customHeight="1" x14ac:dyDescent="0.3">
      <c r="B13" s="74"/>
      <c r="C13" s="45" t="s">
        <v>90</v>
      </c>
      <c r="D13" s="44">
        <v>1</v>
      </c>
      <c r="E13" s="43">
        <v>1.098901098901099E-2</v>
      </c>
    </row>
    <row r="14" spans="1:5" ht="15" customHeight="1" x14ac:dyDescent="0.3">
      <c r="B14" s="74"/>
      <c r="C14" s="45" t="s">
        <v>89</v>
      </c>
      <c r="D14" s="44">
        <v>1</v>
      </c>
      <c r="E14" s="43">
        <v>1.098901098901099E-2</v>
      </c>
    </row>
    <row r="15" spans="1:5" s="46" customFormat="1" ht="15" customHeight="1" x14ac:dyDescent="0.2">
      <c r="B15" s="75"/>
      <c r="C15" s="42" t="s">
        <v>18</v>
      </c>
      <c r="D15" s="41">
        <v>5</v>
      </c>
      <c r="E15" s="40">
        <v>5.4945054945054944E-2</v>
      </c>
    </row>
    <row r="16" spans="1:5" s="46" customFormat="1" ht="15" customHeight="1" x14ac:dyDescent="0.2">
      <c r="B16" s="73" t="s">
        <v>34</v>
      </c>
      <c r="C16" s="45" t="s">
        <v>34</v>
      </c>
      <c r="D16" s="44">
        <v>3</v>
      </c>
      <c r="E16" s="43">
        <v>3.2967032967032968E-2</v>
      </c>
    </row>
    <row r="17" spans="2:5" s="46" customFormat="1" ht="15" customHeight="1" x14ac:dyDescent="0.2">
      <c r="B17" s="74"/>
      <c r="C17" s="45" t="s">
        <v>88</v>
      </c>
      <c r="D17" s="44">
        <v>2</v>
      </c>
      <c r="E17" s="43">
        <v>2.197802197802198E-2</v>
      </c>
    </row>
    <row r="18" spans="2:5" s="46" customFormat="1" ht="15" customHeight="1" x14ac:dyDescent="0.2">
      <c r="B18" s="74"/>
      <c r="C18" s="45" t="s">
        <v>87</v>
      </c>
      <c r="D18" s="44">
        <v>2</v>
      </c>
      <c r="E18" s="43">
        <v>2.197802197802198E-2</v>
      </c>
    </row>
    <row r="19" spans="2:5" s="46" customFormat="1" ht="15" customHeight="1" x14ac:dyDescent="0.2">
      <c r="B19" s="75"/>
      <c r="C19" s="42" t="s">
        <v>18</v>
      </c>
      <c r="D19" s="41">
        <v>7</v>
      </c>
      <c r="E19" s="40">
        <v>7.6923076923076927E-2</v>
      </c>
    </row>
    <row r="20" spans="2:5" ht="15" customHeight="1" x14ac:dyDescent="0.3">
      <c r="B20" s="73" t="s">
        <v>24</v>
      </c>
      <c r="C20" s="45" t="s">
        <v>24</v>
      </c>
      <c r="D20" s="44">
        <v>1</v>
      </c>
      <c r="E20" s="43">
        <v>1.098901098901099E-2</v>
      </c>
    </row>
    <row r="21" spans="2:5" ht="15" customHeight="1" x14ac:dyDescent="0.3">
      <c r="B21" s="75"/>
      <c r="C21" s="42" t="s">
        <v>18</v>
      </c>
      <c r="D21" s="41">
        <v>1</v>
      </c>
      <c r="E21" s="40">
        <v>1.098901098901099E-2</v>
      </c>
    </row>
    <row r="22" spans="2:5" ht="15" customHeight="1" x14ac:dyDescent="0.3">
      <c r="B22" s="73" t="s">
        <v>31</v>
      </c>
      <c r="C22" s="45" t="s">
        <v>86</v>
      </c>
      <c r="D22" s="44">
        <v>1</v>
      </c>
      <c r="E22" s="43">
        <v>1.098901098901099E-2</v>
      </c>
    </row>
    <row r="23" spans="2:5" ht="15" customHeight="1" x14ac:dyDescent="0.3">
      <c r="B23" s="74"/>
      <c r="C23" s="45" t="s">
        <v>43</v>
      </c>
      <c r="D23" s="44">
        <v>1</v>
      </c>
      <c r="E23" s="43">
        <v>1.098901098901099E-2</v>
      </c>
    </row>
    <row r="24" spans="2:5" ht="15" customHeight="1" x14ac:dyDescent="0.3">
      <c r="B24" s="74"/>
      <c r="C24" s="45" t="s">
        <v>85</v>
      </c>
      <c r="D24" s="44">
        <v>1</v>
      </c>
      <c r="E24" s="43">
        <v>1.098901098901099E-2</v>
      </c>
    </row>
    <row r="25" spans="2:5" ht="15" customHeight="1" x14ac:dyDescent="0.3">
      <c r="B25" s="74"/>
      <c r="C25" s="45" t="s">
        <v>84</v>
      </c>
      <c r="D25" s="44">
        <v>1</v>
      </c>
      <c r="E25" s="43">
        <v>1.098901098901099E-2</v>
      </c>
    </row>
    <row r="26" spans="2:5" ht="15" customHeight="1" x14ac:dyDescent="0.3">
      <c r="B26" s="75"/>
      <c r="C26" s="42" t="s">
        <v>18</v>
      </c>
      <c r="D26" s="41">
        <v>4</v>
      </c>
      <c r="E26" s="40">
        <v>4.3956043956043959E-2</v>
      </c>
    </row>
    <row r="27" spans="2:5" ht="15" customHeight="1" x14ac:dyDescent="0.3">
      <c r="B27" s="73" t="s">
        <v>23</v>
      </c>
      <c r="C27" s="45" t="s">
        <v>134</v>
      </c>
      <c r="D27" s="44">
        <v>1</v>
      </c>
      <c r="E27" s="43">
        <v>1.098901098901099E-2</v>
      </c>
    </row>
    <row r="28" spans="2:5" ht="15" customHeight="1" x14ac:dyDescent="0.3">
      <c r="B28" s="75"/>
      <c r="C28" s="42" t="s">
        <v>18</v>
      </c>
      <c r="D28" s="41">
        <v>1</v>
      </c>
      <c r="E28" s="40">
        <v>1.098901098901099E-2</v>
      </c>
    </row>
    <row r="29" spans="2:5" ht="15" customHeight="1" x14ac:dyDescent="0.3">
      <c r="B29" s="73" t="s">
        <v>29</v>
      </c>
      <c r="C29" s="45" t="s">
        <v>83</v>
      </c>
      <c r="D29" s="44">
        <v>1</v>
      </c>
      <c r="E29" s="43">
        <v>1.098901098901099E-2</v>
      </c>
    </row>
    <row r="30" spans="2:5" ht="15" customHeight="1" x14ac:dyDescent="0.3">
      <c r="B30" s="74"/>
      <c r="C30" s="45" t="s">
        <v>82</v>
      </c>
      <c r="D30" s="44">
        <v>2</v>
      </c>
      <c r="E30" s="43">
        <v>2.197802197802198E-2</v>
      </c>
    </row>
    <row r="31" spans="2:5" ht="15" customHeight="1" x14ac:dyDescent="0.3">
      <c r="B31" s="75"/>
      <c r="C31" s="42" t="s">
        <v>18</v>
      </c>
      <c r="D31" s="41">
        <v>3</v>
      </c>
      <c r="E31" s="40">
        <v>3.2967032967032968E-2</v>
      </c>
    </row>
    <row r="32" spans="2:5" ht="15" customHeight="1" x14ac:dyDescent="0.3">
      <c r="B32" s="73" t="s">
        <v>28</v>
      </c>
      <c r="C32" s="45" t="s">
        <v>81</v>
      </c>
      <c r="D32" s="44">
        <v>1</v>
      </c>
      <c r="E32" s="43">
        <v>1.098901098901099E-2</v>
      </c>
    </row>
    <row r="33" spans="2:5" ht="15" customHeight="1" x14ac:dyDescent="0.3">
      <c r="B33" s="74"/>
      <c r="C33" s="45" t="s">
        <v>80</v>
      </c>
      <c r="D33" s="44">
        <v>1</v>
      </c>
      <c r="E33" s="43">
        <v>1.098901098901099E-2</v>
      </c>
    </row>
    <row r="34" spans="2:5" ht="15" customHeight="1" x14ac:dyDescent="0.3">
      <c r="B34" s="75"/>
      <c r="C34" s="42" t="s">
        <v>18</v>
      </c>
      <c r="D34" s="41">
        <v>2</v>
      </c>
      <c r="E34" s="40">
        <v>2.197802197802198E-2</v>
      </c>
    </row>
    <row r="35" spans="2:5" ht="15" customHeight="1" x14ac:dyDescent="0.3">
      <c r="B35" s="73" t="s">
        <v>27</v>
      </c>
      <c r="C35" s="45" t="s">
        <v>79</v>
      </c>
      <c r="D35" s="44">
        <v>1</v>
      </c>
      <c r="E35" s="43">
        <v>1.098901098901099E-2</v>
      </c>
    </row>
    <row r="36" spans="2:5" ht="15" customHeight="1" x14ac:dyDescent="0.3">
      <c r="B36" s="74"/>
      <c r="C36" s="45" t="s">
        <v>78</v>
      </c>
      <c r="D36" s="44">
        <v>1</v>
      </c>
      <c r="E36" s="43">
        <v>1.098901098901099E-2</v>
      </c>
    </row>
    <row r="37" spans="2:5" ht="15" customHeight="1" x14ac:dyDescent="0.3">
      <c r="B37" s="75"/>
      <c r="C37" s="42" t="s">
        <v>18</v>
      </c>
      <c r="D37" s="41">
        <v>2</v>
      </c>
      <c r="E37" s="40">
        <v>2.197802197802198E-2</v>
      </c>
    </row>
    <row r="38" spans="2:5" ht="15" customHeight="1" x14ac:dyDescent="0.3">
      <c r="B38" s="73" t="s">
        <v>37</v>
      </c>
      <c r="C38" s="45" t="s">
        <v>77</v>
      </c>
      <c r="D38" s="44">
        <v>5</v>
      </c>
      <c r="E38" s="43">
        <v>5.4945054945054944E-2</v>
      </c>
    </row>
    <row r="39" spans="2:5" ht="15" customHeight="1" x14ac:dyDescent="0.3">
      <c r="B39" s="74"/>
      <c r="C39" s="45" t="s">
        <v>76</v>
      </c>
      <c r="D39" s="44">
        <v>3</v>
      </c>
      <c r="E39" s="43">
        <v>3.2967032967032968E-2</v>
      </c>
    </row>
    <row r="40" spans="2:5" ht="15" customHeight="1" x14ac:dyDescent="0.3">
      <c r="B40" s="74"/>
      <c r="C40" s="45" t="s">
        <v>75</v>
      </c>
      <c r="D40" s="44">
        <v>1</v>
      </c>
      <c r="E40" s="43">
        <v>1.098901098901099E-2</v>
      </c>
    </row>
    <row r="41" spans="2:5" ht="15" customHeight="1" x14ac:dyDescent="0.3">
      <c r="B41" s="74"/>
      <c r="C41" s="45" t="s">
        <v>74</v>
      </c>
      <c r="D41" s="44">
        <v>1</v>
      </c>
      <c r="E41" s="43">
        <v>1.098901098901099E-2</v>
      </c>
    </row>
    <row r="42" spans="2:5" ht="15" customHeight="1" x14ac:dyDescent="0.3">
      <c r="B42" s="74"/>
      <c r="C42" s="45" t="s">
        <v>73</v>
      </c>
      <c r="D42" s="44">
        <v>1</v>
      </c>
      <c r="E42" s="43">
        <v>1.098901098901099E-2</v>
      </c>
    </row>
    <row r="43" spans="2:5" ht="15" customHeight="1" x14ac:dyDescent="0.3">
      <c r="B43" s="74"/>
      <c r="C43" s="45" t="s">
        <v>72</v>
      </c>
      <c r="D43" s="44">
        <v>2</v>
      </c>
      <c r="E43" s="43">
        <v>2.197802197802198E-2</v>
      </c>
    </row>
    <row r="44" spans="2:5" ht="15" customHeight="1" x14ac:dyDescent="0.3">
      <c r="B44" s="74"/>
      <c r="C44" s="45" t="s">
        <v>71</v>
      </c>
      <c r="D44" s="44">
        <v>4</v>
      </c>
      <c r="E44" s="43">
        <v>4.3956043956043959E-2</v>
      </c>
    </row>
    <row r="45" spans="2:5" ht="15" customHeight="1" x14ac:dyDescent="0.3">
      <c r="B45" s="74"/>
      <c r="C45" s="45" t="s">
        <v>70</v>
      </c>
      <c r="D45" s="44">
        <v>2</v>
      </c>
      <c r="E45" s="43">
        <v>2.197802197802198E-2</v>
      </c>
    </row>
    <row r="46" spans="2:5" ht="15" customHeight="1" x14ac:dyDescent="0.3">
      <c r="B46" s="74"/>
      <c r="C46" s="45" t="s">
        <v>69</v>
      </c>
      <c r="D46" s="44">
        <v>4</v>
      </c>
      <c r="E46" s="43">
        <v>4.3956043956043959E-2</v>
      </c>
    </row>
    <row r="47" spans="2:5" ht="15" customHeight="1" x14ac:dyDescent="0.3">
      <c r="B47" s="74"/>
      <c r="C47" s="45" t="s">
        <v>68</v>
      </c>
      <c r="D47" s="44">
        <v>1</v>
      </c>
      <c r="E47" s="43">
        <v>1.098901098901099E-2</v>
      </c>
    </row>
    <row r="48" spans="2:5" ht="15" customHeight="1" x14ac:dyDescent="0.3">
      <c r="B48" s="74"/>
      <c r="C48" s="45" t="s">
        <v>60</v>
      </c>
      <c r="D48" s="44">
        <v>1</v>
      </c>
      <c r="E48" s="43">
        <v>1.098901098901099E-2</v>
      </c>
    </row>
    <row r="49" spans="2:5" ht="15" customHeight="1" x14ac:dyDescent="0.3">
      <c r="B49" s="75"/>
      <c r="C49" s="42" t="s">
        <v>18</v>
      </c>
      <c r="D49" s="41">
        <v>25</v>
      </c>
      <c r="E49" s="40">
        <v>0.27472527472527475</v>
      </c>
    </row>
    <row r="50" spans="2:5" ht="15" customHeight="1" x14ac:dyDescent="0.3">
      <c r="B50" s="73" t="s">
        <v>36</v>
      </c>
      <c r="C50" s="45" t="s">
        <v>67</v>
      </c>
      <c r="D50" s="44">
        <v>1</v>
      </c>
      <c r="E50" s="43">
        <v>1.098901098901099E-2</v>
      </c>
    </row>
    <row r="51" spans="2:5" ht="15" customHeight="1" x14ac:dyDescent="0.3">
      <c r="B51" s="74"/>
      <c r="C51" s="45" t="s">
        <v>66</v>
      </c>
      <c r="D51" s="44">
        <v>1</v>
      </c>
      <c r="E51" s="43">
        <v>1.098901098901099E-2</v>
      </c>
    </row>
    <row r="52" spans="2:5" ht="15" customHeight="1" x14ac:dyDescent="0.3">
      <c r="B52" s="74"/>
      <c r="C52" s="45" t="s">
        <v>65</v>
      </c>
      <c r="D52" s="44">
        <v>1</v>
      </c>
      <c r="E52" s="43">
        <v>1.098901098901099E-2</v>
      </c>
    </row>
    <row r="53" spans="2:5" ht="15" customHeight="1" x14ac:dyDescent="0.3">
      <c r="B53" s="74"/>
      <c r="C53" s="45" t="s">
        <v>64</v>
      </c>
      <c r="D53" s="44">
        <v>2</v>
      </c>
      <c r="E53" s="43">
        <v>2.197802197802198E-2</v>
      </c>
    </row>
    <row r="54" spans="2:5" ht="15" customHeight="1" x14ac:dyDescent="0.3">
      <c r="B54" s="74"/>
      <c r="C54" s="45" t="s">
        <v>63</v>
      </c>
      <c r="D54" s="44">
        <v>1</v>
      </c>
      <c r="E54" s="43">
        <v>1.098901098901099E-2</v>
      </c>
    </row>
    <row r="55" spans="2:5" ht="15" customHeight="1" x14ac:dyDescent="0.3">
      <c r="B55" s="74"/>
      <c r="C55" s="45" t="s">
        <v>62</v>
      </c>
      <c r="D55" s="44">
        <v>1</v>
      </c>
      <c r="E55" s="43">
        <v>1.098901098901099E-2</v>
      </c>
    </row>
    <row r="56" spans="2:5" ht="15" customHeight="1" x14ac:dyDescent="0.3">
      <c r="B56" s="74"/>
      <c r="C56" s="45" t="s">
        <v>61</v>
      </c>
      <c r="D56" s="44">
        <v>4</v>
      </c>
      <c r="E56" s="43">
        <v>4.3956043956043959E-2</v>
      </c>
    </row>
    <row r="57" spans="2:5" ht="15" customHeight="1" x14ac:dyDescent="0.3">
      <c r="B57" s="74"/>
      <c r="C57" s="45" t="s">
        <v>60</v>
      </c>
      <c r="D57" s="44">
        <v>1</v>
      </c>
      <c r="E57" s="43">
        <v>1.098901098901099E-2</v>
      </c>
    </row>
    <row r="58" spans="2:5" ht="15" customHeight="1" x14ac:dyDescent="0.3">
      <c r="B58" s="74"/>
      <c r="C58" s="45" t="s">
        <v>59</v>
      </c>
      <c r="D58" s="44">
        <v>3</v>
      </c>
      <c r="E58" s="43">
        <v>3.2967032967032968E-2</v>
      </c>
    </row>
    <row r="59" spans="2:5" ht="15" customHeight="1" x14ac:dyDescent="0.3">
      <c r="B59" s="74"/>
      <c r="C59" s="45" t="s">
        <v>58</v>
      </c>
      <c r="D59" s="44">
        <v>2</v>
      </c>
      <c r="E59" s="43">
        <v>2.197802197802198E-2</v>
      </c>
    </row>
    <row r="60" spans="2:5" ht="15" customHeight="1" x14ac:dyDescent="0.3">
      <c r="B60" s="75"/>
      <c r="C60" s="42" t="s">
        <v>18</v>
      </c>
      <c r="D60" s="41">
        <v>17</v>
      </c>
      <c r="E60" s="40">
        <v>0.18681318681318682</v>
      </c>
    </row>
    <row r="61" spans="2:5" ht="15" customHeight="1" x14ac:dyDescent="0.3">
      <c r="B61" s="73" t="s">
        <v>26</v>
      </c>
      <c r="C61" s="45" t="s">
        <v>57</v>
      </c>
      <c r="D61" s="44">
        <v>1</v>
      </c>
      <c r="E61" s="43">
        <v>1.098901098901099E-2</v>
      </c>
    </row>
    <row r="62" spans="2:5" ht="15" customHeight="1" x14ac:dyDescent="0.3">
      <c r="B62" s="74"/>
      <c r="C62" s="45" t="s">
        <v>56</v>
      </c>
      <c r="D62" s="44">
        <v>1</v>
      </c>
      <c r="E62" s="43">
        <v>1.098901098901099E-2</v>
      </c>
    </row>
    <row r="63" spans="2:5" ht="15" customHeight="1" x14ac:dyDescent="0.3">
      <c r="B63" s="75"/>
      <c r="C63" s="42" t="s">
        <v>18</v>
      </c>
      <c r="D63" s="41">
        <v>2</v>
      </c>
      <c r="E63" s="40">
        <v>2.197802197802198E-2</v>
      </c>
    </row>
    <row r="64" spans="2:5" ht="15" customHeight="1" x14ac:dyDescent="0.3">
      <c r="B64" s="73" t="s">
        <v>22</v>
      </c>
      <c r="C64" s="45" t="s">
        <v>55</v>
      </c>
      <c r="D64" s="44">
        <v>1</v>
      </c>
      <c r="E64" s="43">
        <v>1.098901098901099E-2</v>
      </c>
    </row>
    <row r="65" spans="2:5" ht="15" customHeight="1" x14ac:dyDescent="0.3">
      <c r="B65" s="75"/>
      <c r="C65" s="42" t="s">
        <v>18</v>
      </c>
      <c r="D65" s="41">
        <v>1</v>
      </c>
      <c r="E65" s="40">
        <v>1.098901098901099E-2</v>
      </c>
    </row>
    <row r="66" spans="2:5" ht="15" customHeight="1" x14ac:dyDescent="0.3">
      <c r="B66" s="73" t="s">
        <v>35</v>
      </c>
      <c r="C66" s="45" t="s">
        <v>54</v>
      </c>
      <c r="D66" s="44">
        <v>1</v>
      </c>
      <c r="E66" s="43">
        <v>1.098901098901099E-2</v>
      </c>
    </row>
    <row r="67" spans="2:5" ht="15" customHeight="1" x14ac:dyDescent="0.3">
      <c r="B67" s="74"/>
      <c r="C67" s="45" t="s">
        <v>53</v>
      </c>
      <c r="D67" s="44">
        <v>5</v>
      </c>
      <c r="E67" s="43">
        <v>5.4945054945054944E-2</v>
      </c>
    </row>
    <row r="68" spans="2:5" ht="15" customHeight="1" x14ac:dyDescent="0.3">
      <c r="B68" s="74"/>
      <c r="C68" s="45" t="s">
        <v>52</v>
      </c>
      <c r="D68" s="44">
        <v>1</v>
      </c>
      <c r="E68" s="43">
        <v>1.098901098901099E-2</v>
      </c>
    </row>
    <row r="69" spans="2:5" ht="15" customHeight="1" x14ac:dyDescent="0.3">
      <c r="B69" s="74"/>
      <c r="C69" s="45" t="s">
        <v>51</v>
      </c>
      <c r="D69" s="44">
        <v>1</v>
      </c>
      <c r="E69" s="43">
        <v>1.098901098901099E-2</v>
      </c>
    </row>
    <row r="70" spans="2:5" ht="15" customHeight="1" x14ac:dyDescent="0.3">
      <c r="B70" s="75"/>
      <c r="C70" s="42" t="s">
        <v>18</v>
      </c>
      <c r="D70" s="41">
        <v>8</v>
      </c>
      <c r="E70" s="40">
        <v>8.7912087912087919E-2</v>
      </c>
    </row>
    <row r="71" spans="2:5" ht="15" customHeight="1" x14ac:dyDescent="0.3">
      <c r="B71" s="73" t="s">
        <v>21</v>
      </c>
      <c r="C71" s="45" t="s">
        <v>21</v>
      </c>
      <c r="D71" s="44">
        <v>1</v>
      </c>
      <c r="E71" s="43">
        <v>1.098901098901099E-2</v>
      </c>
    </row>
    <row r="72" spans="2:5" ht="15" customHeight="1" x14ac:dyDescent="0.3">
      <c r="B72" s="75"/>
      <c r="C72" s="42" t="s">
        <v>18</v>
      </c>
      <c r="D72" s="41">
        <v>1</v>
      </c>
      <c r="E72" s="40">
        <v>1.098901098901099E-2</v>
      </c>
    </row>
    <row r="73" spans="2:5" ht="15" customHeight="1" x14ac:dyDescent="0.3">
      <c r="B73" s="73" t="s">
        <v>20</v>
      </c>
      <c r="C73" s="45" t="s">
        <v>50</v>
      </c>
      <c r="D73" s="44">
        <v>1</v>
      </c>
      <c r="E73" s="43">
        <v>1.098901098901099E-2</v>
      </c>
    </row>
    <row r="74" spans="2:5" ht="15" customHeight="1" x14ac:dyDescent="0.3">
      <c r="B74" s="75"/>
      <c r="C74" s="42" t="s">
        <v>18</v>
      </c>
      <c r="D74" s="41">
        <v>1</v>
      </c>
      <c r="E74" s="40">
        <v>1.098901098901099E-2</v>
      </c>
    </row>
    <row r="75" spans="2:5" ht="15" customHeight="1" x14ac:dyDescent="0.3">
      <c r="B75" s="73" t="s">
        <v>19</v>
      </c>
      <c r="C75" s="45" t="s">
        <v>49</v>
      </c>
      <c r="D75" s="44">
        <v>1</v>
      </c>
      <c r="E75" s="43">
        <v>1.098901098901099E-2</v>
      </c>
    </row>
    <row r="76" spans="2:5" ht="15" customHeight="1" x14ac:dyDescent="0.3">
      <c r="B76" s="75"/>
      <c r="C76" s="42" t="s">
        <v>18</v>
      </c>
      <c r="D76" s="41">
        <v>1</v>
      </c>
      <c r="E76" s="40">
        <v>1.098901098901099E-2</v>
      </c>
    </row>
    <row r="77" spans="2:5" ht="15" customHeight="1" x14ac:dyDescent="0.3">
      <c r="B77" s="73" t="s">
        <v>30</v>
      </c>
      <c r="C77" s="45" t="s">
        <v>48</v>
      </c>
      <c r="D77" s="44">
        <v>1</v>
      </c>
      <c r="E77" s="43">
        <v>1.098901098901099E-2</v>
      </c>
    </row>
    <row r="78" spans="2:5" ht="15" customHeight="1" x14ac:dyDescent="0.3">
      <c r="B78" s="74"/>
      <c r="C78" s="45" t="s">
        <v>47</v>
      </c>
      <c r="D78" s="44">
        <v>1</v>
      </c>
      <c r="E78" s="43">
        <v>1.098901098901099E-2</v>
      </c>
    </row>
    <row r="79" spans="2:5" ht="15" customHeight="1" x14ac:dyDescent="0.3">
      <c r="B79" s="74"/>
      <c r="C79" s="45" t="s">
        <v>46</v>
      </c>
      <c r="D79" s="44">
        <v>1</v>
      </c>
      <c r="E79" s="43">
        <v>1.098901098901099E-2</v>
      </c>
    </row>
    <row r="80" spans="2:5" ht="15" customHeight="1" x14ac:dyDescent="0.3">
      <c r="B80" s="74"/>
      <c r="C80" s="45" t="s">
        <v>45</v>
      </c>
      <c r="D80" s="44">
        <v>1</v>
      </c>
      <c r="E80" s="43">
        <v>1.098901098901099E-2</v>
      </c>
    </row>
    <row r="81" spans="2:5" ht="15" customHeight="1" x14ac:dyDescent="0.3">
      <c r="B81" s="75"/>
      <c r="C81" s="42" t="s">
        <v>18</v>
      </c>
      <c r="D81" s="41">
        <v>4</v>
      </c>
      <c r="E81" s="40">
        <v>4.3956043956043959E-2</v>
      </c>
    </row>
    <row r="82" spans="2:5" ht="15" customHeight="1" x14ac:dyDescent="0.3">
      <c r="B82" s="73" t="s">
        <v>32</v>
      </c>
      <c r="C82" s="45" t="s">
        <v>44</v>
      </c>
      <c r="D82" s="44">
        <v>2</v>
      </c>
      <c r="E82" s="43">
        <v>2.197802197802198E-2</v>
      </c>
    </row>
    <row r="83" spans="2:5" ht="15" customHeight="1" x14ac:dyDescent="0.3">
      <c r="B83" s="74"/>
      <c r="C83" s="45" t="s">
        <v>43</v>
      </c>
      <c r="D83" s="44">
        <v>1</v>
      </c>
      <c r="E83" s="43">
        <v>1.098901098901099E-2</v>
      </c>
    </row>
    <row r="84" spans="2:5" ht="15" customHeight="1" x14ac:dyDescent="0.3">
      <c r="B84" s="74"/>
      <c r="C84" s="45" t="s">
        <v>42</v>
      </c>
      <c r="D84" s="44">
        <v>1</v>
      </c>
      <c r="E84" s="43">
        <v>1.098901098901099E-2</v>
      </c>
    </row>
    <row r="85" spans="2:5" ht="15" customHeight="1" x14ac:dyDescent="0.3">
      <c r="B85" s="74"/>
      <c r="C85" s="45" t="s">
        <v>32</v>
      </c>
      <c r="D85" s="44">
        <v>1</v>
      </c>
      <c r="E85" s="43">
        <v>1.098901098901099E-2</v>
      </c>
    </row>
    <row r="86" spans="2:5" ht="15" customHeight="1" x14ac:dyDescent="0.3">
      <c r="B86" s="75"/>
      <c r="C86" s="42" t="s">
        <v>18</v>
      </c>
      <c r="D86" s="41">
        <v>5</v>
      </c>
      <c r="E86" s="40">
        <v>5.4945054945054944E-2</v>
      </c>
    </row>
    <row r="87" spans="2:5" ht="15" customHeight="1" x14ac:dyDescent="0.3">
      <c r="B87" s="76" t="s">
        <v>18</v>
      </c>
      <c r="C87" s="77"/>
      <c r="D87" s="58">
        <f>SUMIF(C$10:C86,"Total",D$10:D86)</f>
        <v>91</v>
      </c>
      <c r="E87" s="59">
        <v>1</v>
      </c>
    </row>
    <row r="89" spans="2:5" ht="15" customHeight="1" x14ac:dyDescent="0.3">
      <c r="B89" s="19" t="s">
        <v>17</v>
      </c>
    </row>
    <row r="90" spans="2:5" ht="15" customHeight="1" x14ac:dyDescent="0.3">
      <c r="B90" s="21" t="s">
        <v>16</v>
      </c>
    </row>
    <row r="91" spans="2:5" ht="15" customHeight="1" x14ac:dyDescent="0.3">
      <c r="B91" s="20" t="s">
        <v>15</v>
      </c>
    </row>
    <row r="92" spans="2:5" ht="15" customHeight="1" x14ac:dyDescent="0.3">
      <c r="B92" s="19" t="s">
        <v>14</v>
      </c>
    </row>
    <row r="93" spans="2:5" ht="15" customHeight="1" x14ac:dyDescent="0.3">
      <c r="B93" s="19" t="s">
        <v>13</v>
      </c>
    </row>
    <row r="484" spans="1:2" s="37" customFormat="1" ht="15" customHeight="1" x14ac:dyDescent="0.3">
      <c r="A484" s="36"/>
      <c r="B484" s="38"/>
    </row>
    <row r="485" spans="1:2" s="37" customFormat="1" ht="15" customHeight="1" x14ac:dyDescent="0.3">
      <c r="A485" s="36"/>
      <c r="B485" s="39"/>
    </row>
    <row r="486" spans="1:2" s="37" customFormat="1" ht="15" customHeight="1" x14ac:dyDescent="0.3">
      <c r="A486" s="36"/>
      <c r="B486" s="39"/>
    </row>
    <row r="487" spans="1:2" s="37" customFormat="1" ht="15" customHeight="1" x14ac:dyDescent="0.3">
      <c r="A487" s="36"/>
      <c r="B487" s="38"/>
    </row>
    <row r="488" spans="1:2" s="37" customFormat="1" ht="15" customHeight="1" x14ac:dyDescent="0.3">
      <c r="A488" s="36"/>
      <c r="B488" s="38"/>
    </row>
  </sheetData>
  <mergeCells count="21">
    <mergeCell ref="B50:B60"/>
    <mergeCell ref="B7:E8"/>
    <mergeCell ref="B10:B11"/>
    <mergeCell ref="B12:B15"/>
    <mergeCell ref="B16:B19"/>
    <mergeCell ref="B20:B21"/>
    <mergeCell ref="B22:B26"/>
    <mergeCell ref="B27:B28"/>
    <mergeCell ref="B29:B31"/>
    <mergeCell ref="B32:B34"/>
    <mergeCell ref="B35:B37"/>
    <mergeCell ref="B38:B49"/>
    <mergeCell ref="B77:B81"/>
    <mergeCell ref="B82:B86"/>
    <mergeCell ref="B87:C87"/>
    <mergeCell ref="B61:B63"/>
    <mergeCell ref="B64:B65"/>
    <mergeCell ref="B66:B70"/>
    <mergeCell ref="B71:B72"/>
    <mergeCell ref="B73:B74"/>
    <mergeCell ref="B75:B7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32"/>
  <sheetViews>
    <sheetView showGridLines="0" topLeftCell="A5" zoomScaleNormal="100" zoomScaleSheetLayoutView="115" workbookViewId="0">
      <selection activeCell="D23" sqref="D23"/>
    </sheetView>
  </sheetViews>
  <sheetFormatPr baseColWidth="10" defaultColWidth="11.44140625" defaultRowHeight="14.4" x14ac:dyDescent="0.3"/>
  <cols>
    <col min="1" max="1" width="9.33203125" style="17" customWidth="1"/>
    <col min="2" max="2" width="30.554687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2" t="s">
        <v>108</v>
      </c>
      <c r="C7" s="72"/>
      <c r="D7" s="72"/>
    </row>
    <row r="8" spans="2:4" s="29" customFormat="1" ht="15" customHeight="1" x14ac:dyDescent="0.2">
      <c r="B8" s="72"/>
      <c r="C8" s="72"/>
      <c r="D8" s="72"/>
    </row>
    <row r="9" spans="2:4" s="29" customFormat="1" ht="33" customHeight="1" x14ac:dyDescent="0.2">
      <c r="B9" s="72"/>
      <c r="C9" s="72"/>
      <c r="D9" s="72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107</v>
      </c>
      <c r="C11" s="31" t="s">
        <v>39</v>
      </c>
      <c r="D11" s="30" t="s">
        <v>38</v>
      </c>
    </row>
    <row r="12" spans="2:4" ht="15" customHeight="1" x14ac:dyDescent="0.3">
      <c r="B12" s="27" t="s">
        <v>106</v>
      </c>
      <c r="C12" s="26">
        <v>3</v>
      </c>
      <c r="D12" s="25">
        <v>3.2967032967032968E-2</v>
      </c>
    </row>
    <row r="13" spans="2:4" x14ac:dyDescent="0.3">
      <c r="B13" s="27" t="s">
        <v>105</v>
      </c>
      <c r="C13" s="26">
        <v>2</v>
      </c>
      <c r="D13" s="25">
        <v>2.197802197802198E-2</v>
      </c>
    </row>
    <row r="14" spans="2:4" s="28" customFormat="1" ht="15" x14ac:dyDescent="0.3">
      <c r="B14" s="27" t="s">
        <v>104</v>
      </c>
      <c r="C14" s="26">
        <v>1</v>
      </c>
      <c r="D14" s="25">
        <v>1.098901098901099E-2</v>
      </c>
    </row>
    <row r="15" spans="2:4" s="28" customFormat="1" ht="15" x14ac:dyDescent="0.3">
      <c r="B15" s="27" t="s">
        <v>103</v>
      </c>
      <c r="C15" s="26">
        <v>3</v>
      </c>
      <c r="D15" s="25">
        <v>3.2967032967032968E-2</v>
      </c>
    </row>
    <row r="16" spans="2:4" x14ac:dyDescent="0.3">
      <c r="B16" s="27" t="s">
        <v>102</v>
      </c>
      <c r="C16" s="26">
        <v>9</v>
      </c>
      <c r="D16" s="25">
        <v>9.8901098901098897E-2</v>
      </c>
    </row>
    <row r="17" spans="2:4" x14ac:dyDescent="0.3">
      <c r="B17" s="27" t="s">
        <v>101</v>
      </c>
      <c r="C17" s="26">
        <v>2</v>
      </c>
      <c r="D17" s="25">
        <v>2.197802197802198E-2</v>
      </c>
    </row>
    <row r="18" spans="2:4" x14ac:dyDescent="0.3">
      <c r="B18" s="27" t="s">
        <v>100</v>
      </c>
      <c r="C18" s="26">
        <v>3</v>
      </c>
      <c r="D18" s="25">
        <v>3.2967032967032968E-2</v>
      </c>
    </row>
    <row r="19" spans="2:4" x14ac:dyDescent="0.3">
      <c r="B19" s="27" t="s">
        <v>99</v>
      </c>
      <c r="C19" s="26">
        <v>1</v>
      </c>
      <c r="D19" s="25">
        <v>1.098901098901099E-2</v>
      </c>
    </row>
    <row r="20" spans="2:4" x14ac:dyDescent="0.3">
      <c r="B20" s="27" t="s">
        <v>98</v>
      </c>
      <c r="C20" s="26">
        <v>32</v>
      </c>
      <c r="D20" s="25">
        <v>0.35164835164835168</v>
      </c>
    </row>
    <row r="21" spans="2:4" x14ac:dyDescent="0.3">
      <c r="B21" s="27" t="s">
        <v>97</v>
      </c>
      <c r="C21" s="26">
        <v>1</v>
      </c>
      <c r="D21" s="25">
        <v>1.098901098901099E-2</v>
      </c>
    </row>
    <row r="22" spans="2:4" x14ac:dyDescent="0.3">
      <c r="B22" s="27" t="s">
        <v>96</v>
      </c>
      <c r="C22" s="26">
        <v>2</v>
      </c>
      <c r="D22" s="25">
        <v>2.197802197802198E-2</v>
      </c>
    </row>
    <row r="23" spans="2:4" x14ac:dyDescent="0.3">
      <c r="B23" s="27" t="s">
        <v>95</v>
      </c>
      <c r="C23" s="26">
        <v>21</v>
      </c>
      <c r="D23" s="25">
        <v>0.23076923076923078</v>
      </c>
    </row>
    <row r="24" spans="2:4" x14ac:dyDescent="0.3">
      <c r="B24" s="27" t="s">
        <v>94</v>
      </c>
      <c r="C24" s="26">
        <v>10</v>
      </c>
      <c r="D24" s="25">
        <v>0.10989010989010989</v>
      </c>
    </row>
    <row r="25" spans="2:4" x14ac:dyDescent="0.3">
      <c r="B25" s="27" t="s">
        <v>93</v>
      </c>
      <c r="C25" s="26">
        <v>1</v>
      </c>
      <c r="D25" s="25">
        <v>1.098901098901099E-2</v>
      </c>
    </row>
    <row r="26" spans="2:4" x14ac:dyDescent="0.3">
      <c r="B26" s="24" t="s">
        <v>18</v>
      </c>
      <c r="C26" s="23">
        <v>91</v>
      </c>
      <c r="D26" s="22">
        <v>1</v>
      </c>
    </row>
    <row r="28" spans="2:4" x14ac:dyDescent="0.3">
      <c r="B28" s="19" t="s">
        <v>17</v>
      </c>
    </row>
    <row r="29" spans="2:4" x14ac:dyDescent="0.3">
      <c r="B29" s="21" t="s">
        <v>16</v>
      </c>
    </row>
    <row r="30" spans="2:4" x14ac:dyDescent="0.3">
      <c r="B30" s="20" t="s">
        <v>15</v>
      </c>
    </row>
    <row r="31" spans="2:4" x14ac:dyDescent="0.3">
      <c r="B31" s="19" t="s">
        <v>14</v>
      </c>
    </row>
    <row r="32" spans="2:4" x14ac:dyDescent="0.3">
      <c r="B32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82"/>
  <sheetViews>
    <sheetView topLeftCell="A51" zoomScale="95" zoomScaleNormal="95" zoomScaleSheetLayoutView="100" workbookViewId="0">
      <selection activeCell="C79" sqref="C79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25">
      <c r="A7" s="51"/>
      <c r="B7" s="78"/>
      <c r="C7" s="78"/>
      <c r="D7" s="78"/>
      <c r="E7" s="78"/>
    </row>
    <row r="8" spans="1:5" s="50" customFormat="1" ht="33" customHeight="1" x14ac:dyDescent="0.25">
      <c r="A8" s="51"/>
      <c r="B8" s="78"/>
      <c r="C8" s="78"/>
      <c r="D8" s="78"/>
      <c r="E8" s="78"/>
    </row>
    <row r="9" spans="1:5" s="29" customFormat="1" ht="40.5" customHeight="1" x14ac:dyDescent="0.2">
      <c r="B9" s="47" t="s">
        <v>107</v>
      </c>
      <c r="C9" s="49" t="s">
        <v>40</v>
      </c>
      <c r="D9" s="48" t="s">
        <v>39</v>
      </c>
      <c r="E9" s="47" t="s">
        <v>38</v>
      </c>
    </row>
    <row r="10" spans="1:5" ht="15" customHeight="1" x14ac:dyDescent="0.3">
      <c r="B10" s="73" t="s">
        <v>106</v>
      </c>
      <c r="C10" s="45" t="s">
        <v>36</v>
      </c>
      <c r="D10" s="44">
        <v>1</v>
      </c>
      <c r="E10" s="43">
        <v>1.098901098901099E-2</v>
      </c>
    </row>
    <row r="11" spans="1:5" ht="15" customHeight="1" x14ac:dyDescent="0.3">
      <c r="B11" s="74"/>
      <c r="C11" s="45" t="s">
        <v>35</v>
      </c>
      <c r="D11" s="44">
        <v>1</v>
      </c>
      <c r="E11" s="43">
        <v>1.098901098901099E-2</v>
      </c>
    </row>
    <row r="12" spans="1:5" ht="15" customHeight="1" x14ac:dyDescent="0.3">
      <c r="B12" s="74"/>
      <c r="C12" s="45" t="s">
        <v>32</v>
      </c>
      <c r="D12" s="44">
        <v>1</v>
      </c>
      <c r="E12" s="43">
        <v>1.098901098901099E-2</v>
      </c>
    </row>
    <row r="13" spans="1:5" ht="15" customHeight="1" x14ac:dyDescent="0.3">
      <c r="B13" s="75"/>
      <c r="C13" s="42" t="s">
        <v>18</v>
      </c>
      <c r="D13" s="41">
        <v>3</v>
      </c>
      <c r="E13" s="40">
        <v>3.2967032967032968E-2</v>
      </c>
    </row>
    <row r="14" spans="1:5" ht="15" customHeight="1" x14ac:dyDescent="0.3">
      <c r="B14" s="73" t="s">
        <v>105</v>
      </c>
      <c r="C14" s="45" t="s">
        <v>28</v>
      </c>
      <c r="D14" s="44">
        <v>1</v>
      </c>
      <c r="E14" s="43">
        <v>1.098901098901099E-2</v>
      </c>
    </row>
    <row r="15" spans="1:5" s="46" customFormat="1" ht="15" customHeight="1" x14ac:dyDescent="0.3">
      <c r="A15" s="36"/>
      <c r="B15" s="74"/>
      <c r="C15" s="45" t="s">
        <v>37</v>
      </c>
      <c r="D15" s="44">
        <v>1</v>
      </c>
      <c r="E15" s="43">
        <v>1.098901098901099E-2</v>
      </c>
    </row>
    <row r="16" spans="1:5" s="46" customFormat="1" ht="15" customHeight="1" x14ac:dyDescent="0.3">
      <c r="A16" s="36"/>
      <c r="B16" s="75"/>
      <c r="C16" s="42" t="s">
        <v>18</v>
      </c>
      <c r="D16" s="41">
        <v>2</v>
      </c>
      <c r="E16" s="40">
        <v>2.197802197802198E-2</v>
      </c>
    </row>
    <row r="17" spans="1:5" s="46" customFormat="1" ht="15" customHeight="1" x14ac:dyDescent="0.3">
      <c r="A17" s="36"/>
      <c r="B17" s="73" t="s">
        <v>104</v>
      </c>
      <c r="C17" s="45" t="s">
        <v>37</v>
      </c>
      <c r="D17" s="44">
        <v>1</v>
      </c>
      <c r="E17" s="43">
        <v>1.098901098901099E-2</v>
      </c>
    </row>
    <row r="18" spans="1:5" s="46" customFormat="1" ht="15" customHeight="1" x14ac:dyDescent="0.3">
      <c r="A18" s="36"/>
      <c r="B18" s="75"/>
      <c r="C18" s="42" t="s">
        <v>18</v>
      </c>
      <c r="D18" s="41">
        <v>1</v>
      </c>
      <c r="E18" s="40">
        <v>1.098901098901099E-2</v>
      </c>
    </row>
    <row r="19" spans="1:5" s="46" customFormat="1" ht="15" customHeight="1" x14ac:dyDescent="0.3">
      <c r="A19" s="36"/>
      <c r="B19" s="73" t="s">
        <v>103</v>
      </c>
      <c r="C19" s="45" t="s">
        <v>36</v>
      </c>
      <c r="D19" s="44">
        <v>2</v>
      </c>
      <c r="E19" s="43">
        <v>2.197802197802198E-2</v>
      </c>
    </row>
    <row r="20" spans="1:5" ht="15" customHeight="1" x14ac:dyDescent="0.3">
      <c r="B20" s="74"/>
      <c r="C20" s="45" t="s">
        <v>32</v>
      </c>
      <c r="D20" s="44">
        <v>1</v>
      </c>
      <c r="E20" s="43">
        <v>1.098901098901099E-2</v>
      </c>
    </row>
    <row r="21" spans="1:5" ht="15" customHeight="1" x14ac:dyDescent="0.3">
      <c r="B21" s="75"/>
      <c r="C21" s="42" t="s">
        <v>18</v>
      </c>
      <c r="D21" s="41">
        <v>3</v>
      </c>
      <c r="E21" s="40">
        <v>3.2967032967032968E-2</v>
      </c>
    </row>
    <row r="22" spans="1:5" ht="15" customHeight="1" x14ac:dyDescent="0.3">
      <c r="B22" s="73" t="s">
        <v>102</v>
      </c>
      <c r="C22" s="45" t="s">
        <v>34</v>
      </c>
      <c r="D22" s="44">
        <v>2</v>
      </c>
      <c r="E22" s="43">
        <v>2.197802197802198E-2</v>
      </c>
    </row>
    <row r="23" spans="1:5" ht="15" customHeight="1" x14ac:dyDescent="0.3">
      <c r="B23" s="74"/>
      <c r="C23" s="45" t="s">
        <v>29</v>
      </c>
      <c r="D23" s="44">
        <v>1</v>
      </c>
      <c r="E23" s="43">
        <v>1.098901098901099E-2</v>
      </c>
    </row>
    <row r="24" spans="1:5" ht="15" customHeight="1" x14ac:dyDescent="0.3">
      <c r="B24" s="74"/>
      <c r="C24" s="45" t="s">
        <v>37</v>
      </c>
      <c r="D24" s="44">
        <v>3</v>
      </c>
      <c r="E24" s="43">
        <v>3.2967032967032968E-2</v>
      </c>
    </row>
    <row r="25" spans="1:5" ht="15" customHeight="1" x14ac:dyDescent="0.3">
      <c r="B25" s="74"/>
      <c r="C25" s="45" t="s">
        <v>35</v>
      </c>
      <c r="D25" s="44">
        <v>1</v>
      </c>
      <c r="E25" s="43">
        <v>1.098901098901099E-2</v>
      </c>
    </row>
    <row r="26" spans="1:5" ht="15" customHeight="1" x14ac:dyDescent="0.3">
      <c r="B26" s="74"/>
      <c r="C26" s="45" t="s">
        <v>19</v>
      </c>
      <c r="D26" s="44">
        <v>1</v>
      </c>
      <c r="E26" s="43">
        <v>1.098901098901099E-2</v>
      </c>
    </row>
    <row r="27" spans="1:5" ht="15" customHeight="1" x14ac:dyDescent="0.3">
      <c r="B27" s="74"/>
      <c r="C27" s="45" t="s">
        <v>32</v>
      </c>
      <c r="D27" s="44">
        <v>1</v>
      </c>
      <c r="E27" s="43">
        <v>1.098901098901099E-2</v>
      </c>
    </row>
    <row r="28" spans="1:5" ht="15" customHeight="1" x14ac:dyDescent="0.3">
      <c r="B28" s="75"/>
      <c r="C28" s="42" t="s">
        <v>18</v>
      </c>
      <c r="D28" s="41">
        <v>9</v>
      </c>
      <c r="E28" s="40">
        <v>9.8901098901098897E-2</v>
      </c>
    </row>
    <row r="29" spans="1:5" ht="15" customHeight="1" x14ac:dyDescent="0.3">
      <c r="B29" s="73" t="s">
        <v>101</v>
      </c>
      <c r="C29" s="45" t="s">
        <v>36</v>
      </c>
      <c r="D29" s="44">
        <v>1</v>
      </c>
      <c r="E29" s="43">
        <v>1.098901098901099E-2</v>
      </c>
    </row>
    <row r="30" spans="1:5" ht="15" customHeight="1" x14ac:dyDescent="0.3">
      <c r="B30" s="74"/>
      <c r="C30" s="45" t="s">
        <v>30</v>
      </c>
      <c r="D30" s="44">
        <v>1</v>
      </c>
      <c r="E30" s="43">
        <v>1.098901098901099E-2</v>
      </c>
    </row>
    <row r="31" spans="1:5" ht="15" customHeight="1" x14ac:dyDescent="0.3">
      <c r="B31" s="75"/>
      <c r="C31" s="42" t="s">
        <v>18</v>
      </c>
      <c r="D31" s="41">
        <v>2</v>
      </c>
      <c r="E31" s="40">
        <v>2.197802197802198E-2</v>
      </c>
    </row>
    <row r="32" spans="1:5" ht="15" customHeight="1" x14ac:dyDescent="0.3">
      <c r="B32" s="73" t="s">
        <v>100</v>
      </c>
      <c r="C32" s="45" t="s">
        <v>33</v>
      </c>
      <c r="D32" s="44">
        <v>1</v>
      </c>
      <c r="E32" s="43">
        <v>1.098901098901099E-2</v>
      </c>
    </row>
    <row r="33" spans="2:5" ht="15" customHeight="1" x14ac:dyDescent="0.3">
      <c r="B33" s="74"/>
      <c r="C33" s="45" t="s">
        <v>37</v>
      </c>
      <c r="D33" s="44">
        <v>1</v>
      </c>
      <c r="E33" s="43">
        <v>1.098901098901099E-2</v>
      </c>
    </row>
    <row r="34" spans="2:5" ht="15" customHeight="1" x14ac:dyDescent="0.3">
      <c r="B34" s="74"/>
      <c r="C34" s="45" t="s">
        <v>35</v>
      </c>
      <c r="D34" s="44">
        <v>1</v>
      </c>
      <c r="E34" s="43">
        <v>1.098901098901099E-2</v>
      </c>
    </row>
    <row r="35" spans="2:5" ht="15" customHeight="1" x14ac:dyDescent="0.3">
      <c r="B35" s="75"/>
      <c r="C35" s="42" t="s">
        <v>18</v>
      </c>
      <c r="D35" s="41">
        <v>3</v>
      </c>
      <c r="E35" s="40">
        <v>3.2967032967032968E-2</v>
      </c>
    </row>
    <row r="36" spans="2:5" ht="15" customHeight="1" x14ac:dyDescent="0.3">
      <c r="B36" s="73" t="s">
        <v>99</v>
      </c>
      <c r="C36" s="45" t="s">
        <v>37</v>
      </c>
      <c r="D36" s="44">
        <v>1</v>
      </c>
      <c r="E36" s="43">
        <v>1.098901098901099E-2</v>
      </c>
    </row>
    <row r="37" spans="2:5" ht="15" customHeight="1" x14ac:dyDescent="0.3">
      <c r="B37" s="75"/>
      <c r="C37" s="42" t="s">
        <v>18</v>
      </c>
      <c r="D37" s="41">
        <v>1</v>
      </c>
      <c r="E37" s="40">
        <v>1.098901098901099E-2</v>
      </c>
    </row>
    <row r="38" spans="2:5" ht="15" customHeight="1" x14ac:dyDescent="0.3">
      <c r="B38" s="73" t="s">
        <v>98</v>
      </c>
      <c r="C38" s="45" t="s">
        <v>25</v>
      </c>
      <c r="D38" s="44">
        <v>1</v>
      </c>
      <c r="E38" s="43">
        <v>1.098901098901099E-2</v>
      </c>
    </row>
    <row r="39" spans="2:5" ht="15" customHeight="1" x14ac:dyDescent="0.3">
      <c r="B39" s="74"/>
      <c r="C39" s="45" t="s">
        <v>33</v>
      </c>
      <c r="D39" s="44">
        <v>1</v>
      </c>
      <c r="E39" s="43">
        <v>1.098901098901099E-2</v>
      </c>
    </row>
    <row r="40" spans="2:5" ht="15" customHeight="1" x14ac:dyDescent="0.3">
      <c r="B40" s="74"/>
      <c r="C40" s="45" t="s">
        <v>31</v>
      </c>
      <c r="D40" s="44">
        <v>2</v>
      </c>
      <c r="E40" s="43">
        <v>2.197802197802198E-2</v>
      </c>
    </row>
    <row r="41" spans="2:5" ht="15" customHeight="1" x14ac:dyDescent="0.3">
      <c r="B41" s="74"/>
      <c r="C41" s="45" t="s">
        <v>23</v>
      </c>
      <c r="D41" s="44">
        <v>1</v>
      </c>
      <c r="E41" s="43">
        <v>1.098901098901099E-2</v>
      </c>
    </row>
    <row r="42" spans="2:5" ht="15" customHeight="1" x14ac:dyDescent="0.3">
      <c r="B42" s="74"/>
      <c r="C42" s="45" t="s">
        <v>29</v>
      </c>
      <c r="D42" s="44">
        <v>1</v>
      </c>
      <c r="E42" s="43">
        <v>1.098901098901099E-2</v>
      </c>
    </row>
    <row r="43" spans="2:5" ht="15" customHeight="1" x14ac:dyDescent="0.3">
      <c r="B43" s="74"/>
      <c r="C43" s="45" t="s">
        <v>27</v>
      </c>
      <c r="D43" s="44">
        <v>2</v>
      </c>
      <c r="E43" s="43">
        <v>2.197802197802198E-2</v>
      </c>
    </row>
    <row r="44" spans="2:5" ht="15" customHeight="1" x14ac:dyDescent="0.3">
      <c r="B44" s="74"/>
      <c r="C44" s="45" t="s">
        <v>37</v>
      </c>
      <c r="D44" s="44">
        <v>7</v>
      </c>
      <c r="E44" s="43">
        <v>7.6923076923076927E-2</v>
      </c>
    </row>
    <row r="45" spans="2:5" ht="15" customHeight="1" x14ac:dyDescent="0.3">
      <c r="B45" s="74"/>
      <c r="C45" s="45" t="s">
        <v>36</v>
      </c>
      <c r="D45" s="44">
        <v>9</v>
      </c>
      <c r="E45" s="43">
        <v>9.8901098901098897E-2</v>
      </c>
    </row>
    <row r="46" spans="2:5" ht="15" customHeight="1" x14ac:dyDescent="0.3">
      <c r="B46" s="74"/>
      <c r="C46" s="45" t="s">
        <v>26</v>
      </c>
      <c r="D46" s="44">
        <v>1</v>
      </c>
      <c r="E46" s="43">
        <v>1.098901098901099E-2</v>
      </c>
    </row>
    <row r="47" spans="2:5" ht="15" customHeight="1" x14ac:dyDescent="0.3">
      <c r="B47" s="74"/>
      <c r="C47" s="45" t="s">
        <v>35</v>
      </c>
      <c r="D47" s="44">
        <v>3</v>
      </c>
      <c r="E47" s="43">
        <v>3.2967032967032968E-2</v>
      </c>
    </row>
    <row r="48" spans="2:5" ht="15" customHeight="1" x14ac:dyDescent="0.3">
      <c r="B48" s="74"/>
      <c r="C48" s="45" t="s">
        <v>30</v>
      </c>
      <c r="D48" s="44">
        <v>2</v>
      </c>
      <c r="E48" s="43">
        <v>2.197802197802198E-2</v>
      </c>
    </row>
    <row r="49" spans="2:5" ht="15" customHeight="1" x14ac:dyDescent="0.3">
      <c r="B49" s="74"/>
      <c r="C49" s="45" t="s">
        <v>32</v>
      </c>
      <c r="D49" s="44">
        <v>2</v>
      </c>
      <c r="E49" s="43">
        <v>2.197802197802198E-2</v>
      </c>
    </row>
    <row r="50" spans="2:5" ht="15" customHeight="1" x14ac:dyDescent="0.3">
      <c r="B50" s="75"/>
      <c r="C50" s="42" t="s">
        <v>18</v>
      </c>
      <c r="D50" s="41">
        <v>32</v>
      </c>
      <c r="E50" s="40">
        <v>0.35164835164835168</v>
      </c>
    </row>
    <row r="51" spans="2:5" ht="15" customHeight="1" x14ac:dyDescent="0.3">
      <c r="B51" s="73" t="s">
        <v>133</v>
      </c>
      <c r="C51" s="45" t="s">
        <v>37</v>
      </c>
      <c r="D51" s="44">
        <v>1</v>
      </c>
      <c r="E51" s="43">
        <v>1.098901098901099E-2</v>
      </c>
    </row>
    <row r="52" spans="2:5" ht="15" customHeight="1" x14ac:dyDescent="0.3">
      <c r="B52" s="75"/>
      <c r="C52" s="42" t="s">
        <v>18</v>
      </c>
      <c r="D52" s="41">
        <v>1</v>
      </c>
      <c r="E52" s="40">
        <v>1.098901098901099E-2</v>
      </c>
    </row>
    <row r="53" spans="2:5" ht="15" customHeight="1" x14ac:dyDescent="0.3">
      <c r="B53" s="73" t="s">
        <v>96</v>
      </c>
      <c r="C53" s="45" t="s">
        <v>36</v>
      </c>
      <c r="D53" s="44">
        <v>1</v>
      </c>
      <c r="E53" s="43">
        <v>1.098901098901099E-2</v>
      </c>
    </row>
    <row r="54" spans="2:5" ht="15" customHeight="1" x14ac:dyDescent="0.3">
      <c r="B54" s="74"/>
      <c r="C54" s="45" t="s">
        <v>30</v>
      </c>
      <c r="D54" s="44">
        <v>1</v>
      </c>
      <c r="E54" s="43">
        <v>1.098901098901099E-2</v>
      </c>
    </row>
    <row r="55" spans="2:5" ht="15" customHeight="1" x14ac:dyDescent="0.3">
      <c r="B55" s="75"/>
      <c r="C55" s="42" t="s">
        <v>18</v>
      </c>
      <c r="D55" s="41">
        <v>2</v>
      </c>
      <c r="E55" s="40">
        <v>2.197802197802198E-2</v>
      </c>
    </row>
    <row r="56" spans="2:5" ht="15" customHeight="1" x14ac:dyDescent="0.3">
      <c r="B56" s="73" t="s">
        <v>95</v>
      </c>
      <c r="C56" s="45" t="s">
        <v>33</v>
      </c>
      <c r="D56" s="44">
        <v>2</v>
      </c>
      <c r="E56" s="43">
        <v>2.197802197802198E-2</v>
      </c>
    </row>
    <row r="57" spans="2:5" ht="15" customHeight="1" x14ac:dyDescent="0.3">
      <c r="B57" s="74"/>
      <c r="C57" s="45" t="s">
        <v>34</v>
      </c>
      <c r="D57" s="44">
        <v>5</v>
      </c>
      <c r="E57" s="43">
        <v>5.4945054945054944E-2</v>
      </c>
    </row>
    <row r="58" spans="2:5" ht="15" customHeight="1" x14ac:dyDescent="0.3">
      <c r="B58" s="74"/>
      <c r="C58" s="45" t="s">
        <v>24</v>
      </c>
      <c r="D58" s="44">
        <v>1</v>
      </c>
      <c r="E58" s="43">
        <v>1.098901098901099E-2</v>
      </c>
    </row>
    <row r="59" spans="2:5" ht="15" customHeight="1" x14ac:dyDescent="0.3">
      <c r="B59" s="74"/>
      <c r="C59" s="45" t="s">
        <v>29</v>
      </c>
      <c r="D59" s="44">
        <v>1</v>
      </c>
      <c r="E59" s="43">
        <v>1.098901098901099E-2</v>
      </c>
    </row>
    <row r="60" spans="2:5" ht="15" customHeight="1" x14ac:dyDescent="0.3">
      <c r="B60" s="74"/>
      <c r="C60" s="45" t="s">
        <v>28</v>
      </c>
      <c r="D60" s="44">
        <v>1</v>
      </c>
      <c r="E60" s="43">
        <v>1.098901098901099E-2</v>
      </c>
    </row>
    <row r="61" spans="2:5" ht="15" customHeight="1" x14ac:dyDescent="0.3">
      <c r="B61" s="74"/>
      <c r="C61" s="45" t="s">
        <v>37</v>
      </c>
      <c r="D61" s="44">
        <v>7</v>
      </c>
      <c r="E61" s="43">
        <v>7.6923076923076927E-2</v>
      </c>
    </row>
    <row r="62" spans="2:5" ht="15" customHeight="1" x14ac:dyDescent="0.3">
      <c r="B62" s="74"/>
      <c r="C62" s="45" t="s">
        <v>36</v>
      </c>
      <c r="D62" s="44">
        <v>1</v>
      </c>
      <c r="E62" s="43">
        <v>1.098901098901099E-2</v>
      </c>
    </row>
    <row r="63" spans="2:5" ht="15" customHeight="1" x14ac:dyDescent="0.3">
      <c r="B63" s="74"/>
      <c r="C63" s="45" t="s">
        <v>26</v>
      </c>
      <c r="D63" s="44">
        <v>1</v>
      </c>
      <c r="E63" s="43">
        <v>1.098901098901099E-2</v>
      </c>
    </row>
    <row r="64" spans="2:5" ht="15" customHeight="1" x14ac:dyDescent="0.3">
      <c r="B64" s="74"/>
      <c r="C64" s="45" t="s">
        <v>35</v>
      </c>
      <c r="D64" s="44">
        <v>1</v>
      </c>
      <c r="E64" s="43">
        <v>1.098901098901099E-2</v>
      </c>
    </row>
    <row r="65" spans="2:5" ht="15" customHeight="1" x14ac:dyDescent="0.3">
      <c r="B65" s="74"/>
      <c r="C65" s="45" t="s">
        <v>21</v>
      </c>
      <c r="D65" s="44">
        <v>1</v>
      </c>
      <c r="E65" s="43">
        <v>1.098901098901099E-2</v>
      </c>
    </row>
    <row r="66" spans="2:5" ht="15" customHeight="1" x14ac:dyDescent="0.3">
      <c r="B66" s="75"/>
      <c r="C66" s="42" t="s">
        <v>18</v>
      </c>
      <c r="D66" s="41">
        <v>21</v>
      </c>
      <c r="E66" s="40">
        <v>0.23076923076923078</v>
      </c>
    </row>
    <row r="67" spans="2:5" ht="15" customHeight="1" x14ac:dyDescent="0.3">
      <c r="B67" s="73" t="s">
        <v>132</v>
      </c>
      <c r="C67" s="45" t="s">
        <v>33</v>
      </c>
      <c r="D67" s="44">
        <v>1</v>
      </c>
      <c r="E67" s="43">
        <v>1.098901098901099E-2</v>
      </c>
    </row>
    <row r="68" spans="2:5" ht="15" customHeight="1" x14ac:dyDescent="0.3">
      <c r="B68" s="74"/>
      <c r="C68" s="45" t="s">
        <v>31</v>
      </c>
      <c r="D68" s="44">
        <v>2</v>
      </c>
      <c r="E68" s="43">
        <v>2.197802197802198E-2</v>
      </c>
    </row>
    <row r="69" spans="2:5" ht="15" customHeight="1" x14ac:dyDescent="0.3">
      <c r="B69" s="74"/>
      <c r="C69" s="45" t="s">
        <v>37</v>
      </c>
      <c r="D69" s="44">
        <v>3</v>
      </c>
      <c r="E69" s="43">
        <v>3.2967032967032968E-2</v>
      </c>
    </row>
    <row r="70" spans="2:5" ht="15" customHeight="1" x14ac:dyDescent="0.3">
      <c r="B70" s="74"/>
      <c r="C70" s="45" t="s">
        <v>36</v>
      </c>
      <c r="D70" s="44">
        <v>2</v>
      </c>
      <c r="E70" s="43">
        <v>2.197802197802198E-2</v>
      </c>
    </row>
    <row r="71" spans="2:5" ht="15" customHeight="1" x14ac:dyDescent="0.3">
      <c r="B71" s="74"/>
      <c r="C71" s="45" t="s">
        <v>22</v>
      </c>
      <c r="D71" s="44">
        <v>1</v>
      </c>
      <c r="E71" s="43">
        <v>1.098901098901099E-2</v>
      </c>
    </row>
    <row r="72" spans="2:5" ht="15" customHeight="1" x14ac:dyDescent="0.3">
      <c r="B72" s="74"/>
      <c r="C72" s="45" t="s">
        <v>35</v>
      </c>
      <c r="D72" s="44">
        <v>1</v>
      </c>
      <c r="E72" s="43">
        <v>1.098901098901099E-2</v>
      </c>
    </row>
    <row r="73" spans="2:5" ht="15" customHeight="1" x14ac:dyDescent="0.3">
      <c r="B73" s="75"/>
      <c r="C73" s="42" t="s">
        <v>18</v>
      </c>
      <c r="D73" s="41">
        <v>10</v>
      </c>
      <c r="E73" s="40">
        <v>0.10989010989010989</v>
      </c>
    </row>
    <row r="74" spans="2:5" ht="15" customHeight="1" x14ac:dyDescent="0.3">
      <c r="B74" s="73" t="s">
        <v>93</v>
      </c>
      <c r="C74" s="45" t="s">
        <v>20</v>
      </c>
      <c r="D74" s="44">
        <v>1</v>
      </c>
      <c r="E74" s="43">
        <v>1.098901098901099E-2</v>
      </c>
    </row>
    <row r="75" spans="2:5" ht="15" customHeight="1" x14ac:dyDescent="0.3">
      <c r="B75" s="75"/>
      <c r="C75" s="42" t="s">
        <v>18</v>
      </c>
      <c r="D75" s="41">
        <v>1</v>
      </c>
      <c r="E75" s="40">
        <v>1.098901098901099E-2</v>
      </c>
    </row>
    <row r="76" spans="2:5" ht="15" customHeight="1" x14ac:dyDescent="0.3">
      <c r="B76" s="76" t="s">
        <v>18</v>
      </c>
      <c r="C76" s="77"/>
      <c r="D76" s="58">
        <v>91</v>
      </c>
      <c r="E76" s="59">
        <v>1</v>
      </c>
    </row>
    <row r="78" spans="2:5" ht="15" customHeight="1" x14ac:dyDescent="0.3">
      <c r="B78" s="19" t="s">
        <v>17</v>
      </c>
    </row>
    <row r="79" spans="2:5" ht="15" customHeight="1" x14ac:dyDescent="0.3">
      <c r="B79" s="21" t="s">
        <v>16</v>
      </c>
    </row>
    <row r="80" spans="2:5" ht="15" customHeight="1" x14ac:dyDescent="0.3">
      <c r="B80" s="20" t="s">
        <v>15</v>
      </c>
    </row>
    <row r="81" spans="2:2" ht="15" customHeight="1" x14ac:dyDescent="0.3">
      <c r="B81" s="19" t="s">
        <v>14</v>
      </c>
    </row>
    <row r="82" spans="2:2" ht="15" customHeight="1" x14ac:dyDescent="0.3">
      <c r="B82" s="19" t="s">
        <v>13</v>
      </c>
    </row>
  </sheetData>
  <mergeCells count="16">
    <mergeCell ref="B22:B28"/>
    <mergeCell ref="B7:E8"/>
    <mergeCell ref="B10:B13"/>
    <mergeCell ref="B14:B16"/>
    <mergeCell ref="B17:B18"/>
    <mergeCell ref="B19:B21"/>
    <mergeCell ref="B56:B66"/>
    <mergeCell ref="B67:B73"/>
    <mergeCell ref="B74:B75"/>
    <mergeCell ref="B76:C76"/>
    <mergeCell ref="B29:B31"/>
    <mergeCell ref="B32:B35"/>
    <mergeCell ref="B36:B37"/>
    <mergeCell ref="B38:B50"/>
    <mergeCell ref="B51:B52"/>
    <mergeCell ref="B53:B5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2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2" t="s">
        <v>113</v>
      </c>
      <c r="C7" s="72"/>
      <c r="D7" s="72"/>
    </row>
    <row r="8" spans="2:4" s="29" customFormat="1" ht="15" customHeight="1" x14ac:dyDescent="0.2">
      <c r="B8" s="72"/>
      <c r="C8" s="72"/>
      <c r="D8" s="72"/>
    </row>
    <row r="9" spans="2:4" s="29" customFormat="1" ht="33" customHeight="1" x14ac:dyDescent="0.2">
      <c r="B9" s="72"/>
      <c r="C9" s="72"/>
      <c r="D9" s="72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112</v>
      </c>
      <c r="C11" s="31" t="s">
        <v>39</v>
      </c>
      <c r="D11" s="30" t="s">
        <v>38</v>
      </c>
    </row>
    <row r="12" spans="2:4" ht="15" customHeight="1" x14ac:dyDescent="0.3">
      <c r="B12" s="27" t="s">
        <v>111</v>
      </c>
      <c r="C12" s="26">
        <v>57</v>
      </c>
      <c r="D12" s="25">
        <v>0.62637362637362637</v>
      </c>
    </row>
    <row r="13" spans="2:4" ht="15" customHeight="1" x14ac:dyDescent="0.3">
      <c r="B13" s="27" t="s">
        <v>110</v>
      </c>
      <c r="C13" s="26">
        <v>34</v>
      </c>
      <c r="D13" s="25">
        <v>0.37362637362637363</v>
      </c>
    </row>
    <row r="14" spans="2:4" x14ac:dyDescent="0.3">
      <c r="B14" s="24" t="s">
        <v>109</v>
      </c>
      <c r="C14" s="23">
        <v>91</v>
      </c>
      <c r="D14" s="22">
        <v>1</v>
      </c>
    </row>
    <row r="15" spans="2:4" s="28" customFormat="1" ht="15" x14ac:dyDescent="0.3">
      <c r="C15" s="62"/>
    </row>
    <row r="16" spans="2:4" s="28" customFormat="1" ht="15" x14ac:dyDescent="0.3">
      <c r="B16" s="19" t="s">
        <v>17</v>
      </c>
      <c r="C16" s="62"/>
    </row>
    <row r="17" spans="2:4" x14ac:dyDescent="0.3">
      <c r="B17" s="21" t="s">
        <v>16</v>
      </c>
      <c r="C17" s="61"/>
      <c r="D17" s="61"/>
    </row>
    <row r="18" spans="2:4" x14ac:dyDescent="0.3">
      <c r="B18" s="20" t="s">
        <v>15</v>
      </c>
      <c r="C18" s="60"/>
      <c r="D18" s="60"/>
    </row>
    <row r="19" spans="2:4" x14ac:dyDescent="0.3">
      <c r="B19" s="19" t="s">
        <v>14</v>
      </c>
    </row>
    <row r="20" spans="2:4" x14ac:dyDescent="0.3">
      <c r="B20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42"/>
  <sheetViews>
    <sheetView topLeftCell="A30" zoomScale="98" zoomScaleNormal="98" zoomScaleSheetLayoutView="100" workbookViewId="0">
      <selection activeCell="E56" sqref="E56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25">
      <c r="A7" s="51"/>
      <c r="B7" s="78"/>
      <c r="C7" s="78"/>
      <c r="D7" s="78"/>
      <c r="E7" s="78"/>
    </row>
    <row r="8" spans="1:5" s="50" customFormat="1" ht="33" customHeight="1" x14ac:dyDescent="0.25">
      <c r="A8" s="51"/>
      <c r="B8" s="78"/>
      <c r="C8" s="78"/>
      <c r="D8" s="78"/>
      <c r="E8" s="78"/>
    </row>
    <row r="9" spans="1:5" s="29" customFormat="1" ht="40.5" customHeight="1" x14ac:dyDescent="0.2">
      <c r="B9" s="47" t="s">
        <v>40</v>
      </c>
      <c r="C9" s="49" t="s">
        <v>112</v>
      </c>
      <c r="D9" s="48" t="s">
        <v>39</v>
      </c>
      <c r="E9" s="47" t="s">
        <v>38</v>
      </c>
    </row>
    <row r="10" spans="1:5" ht="15" customHeight="1" x14ac:dyDescent="0.3">
      <c r="B10" s="74" t="s">
        <v>25</v>
      </c>
      <c r="C10" s="45" t="s">
        <v>114</v>
      </c>
      <c r="D10" s="44">
        <v>1</v>
      </c>
      <c r="E10" s="43">
        <v>1.098901098901099E-2</v>
      </c>
    </row>
    <row r="11" spans="1:5" ht="15" customHeight="1" x14ac:dyDescent="0.3">
      <c r="B11" s="75"/>
      <c r="C11" s="42" t="s">
        <v>18</v>
      </c>
      <c r="D11" s="41">
        <v>1</v>
      </c>
      <c r="E11" s="40">
        <v>1.098901098901099E-2</v>
      </c>
    </row>
    <row r="12" spans="1:5" ht="15" customHeight="1" x14ac:dyDescent="0.3">
      <c r="B12" s="73" t="s">
        <v>33</v>
      </c>
      <c r="C12" s="45" t="s">
        <v>115</v>
      </c>
      <c r="D12" s="44">
        <v>4</v>
      </c>
      <c r="E12" s="43">
        <v>4.3956043956043959E-2</v>
      </c>
    </row>
    <row r="13" spans="1:5" ht="15" customHeight="1" x14ac:dyDescent="0.3">
      <c r="B13" s="74"/>
      <c r="C13" s="45" t="s">
        <v>114</v>
      </c>
      <c r="D13" s="44">
        <v>1</v>
      </c>
      <c r="E13" s="43">
        <v>1.098901098901099E-2</v>
      </c>
    </row>
    <row r="14" spans="1:5" s="46" customFormat="1" ht="15" customHeight="1" x14ac:dyDescent="0.2">
      <c r="B14" s="75"/>
      <c r="C14" s="42" t="s">
        <v>18</v>
      </c>
      <c r="D14" s="41">
        <v>5</v>
      </c>
      <c r="E14" s="40">
        <v>5.4945054945054944E-2</v>
      </c>
    </row>
    <row r="15" spans="1:5" ht="15" customHeight="1" x14ac:dyDescent="0.3">
      <c r="B15" s="73" t="s">
        <v>34</v>
      </c>
      <c r="C15" s="45" t="s">
        <v>115</v>
      </c>
      <c r="D15" s="44">
        <v>4</v>
      </c>
      <c r="E15" s="43">
        <v>4.3956043956043959E-2</v>
      </c>
    </row>
    <row r="16" spans="1:5" ht="15" customHeight="1" x14ac:dyDescent="0.3">
      <c r="B16" s="74"/>
      <c r="C16" s="45" t="s">
        <v>114</v>
      </c>
      <c r="D16" s="44">
        <v>3</v>
      </c>
      <c r="E16" s="43">
        <v>3.2967032967032968E-2</v>
      </c>
    </row>
    <row r="17" spans="2:5" ht="15" customHeight="1" x14ac:dyDescent="0.3">
      <c r="B17" s="75"/>
      <c r="C17" s="42" t="s">
        <v>18</v>
      </c>
      <c r="D17" s="41">
        <v>7</v>
      </c>
      <c r="E17" s="40">
        <v>7.6923076923076927E-2</v>
      </c>
    </row>
    <row r="18" spans="2:5" ht="15" customHeight="1" x14ac:dyDescent="0.3">
      <c r="B18" s="74" t="s">
        <v>24</v>
      </c>
      <c r="C18" s="45" t="s">
        <v>114</v>
      </c>
      <c r="D18" s="44">
        <v>1</v>
      </c>
      <c r="E18" s="43">
        <v>1.098901098901099E-2</v>
      </c>
    </row>
    <row r="19" spans="2:5" ht="15" customHeight="1" x14ac:dyDescent="0.3">
      <c r="B19" s="75"/>
      <c r="C19" s="42" t="s">
        <v>18</v>
      </c>
      <c r="D19" s="41">
        <v>1</v>
      </c>
      <c r="E19" s="40">
        <v>1.098901098901099E-2</v>
      </c>
    </row>
    <row r="20" spans="2:5" ht="15" customHeight="1" x14ac:dyDescent="0.3">
      <c r="B20" s="73" t="s">
        <v>31</v>
      </c>
      <c r="C20" s="45" t="s">
        <v>115</v>
      </c>
      <c r="D20" s="44">
        <v>2</v>
      </c>
      <c r="E20" s="43">
        <v>2.197802197802198E-2</v>
      </c>
    </row>
    <row r="21" spans="2:5" ht="15" customHeight="1" x14ac:dyDescent="0.3">
      <c r="B21" s="74"/>
      <c r="C21" s="45" t="s">
        <v>114</v>
      </c>
      <c r="D21" s="44">
        <v>2</v>
      </c>
      <c r="E21" s="43">
        <v>2.197802197802198E-2</v>
      </c>
    </row>
    <row r="22" spans="2:5" ht="15" customHeight="1" x14ac:dyDescent="0.3">
      <c r="B22" s="75"/>
      <c r="C22" s="42" t="s">
        <v>18</v>
      </c>
      <c r="D22" s="41">
        <v>4</v>
      </c>
      <c r="E22" s="40">
        <v>4.3956043956043959E-2</v>
      </c>
    </row>
    <row r="23" spans="2:5" ht="15" customHeight="1" x14ac:dyDescent="0.3">
      <c r="B23" s="74" t="s">
        <v>23</v>
      </c>
      <c r="C23" s="45" t="s">
        <v>114</v>
      </c>
      <c r="D23" s="44">
        <v>1</v>
      </c>
      <c r="E23" s="43">
        <v>1.098901098901099E-2</v>
      </c>
    </row>
    <row r="24" spans="2:5" ht="15" customHeight="1" x14ac:dyDescent="0.3">
      <c r="B24" s="75"/>
      <c r="C24" s="42" t="s">
        <v>18</v>
      </c>
      <c r="D24" s="41">
        <v>1</v>
      </c>
      <c r="E24" s="40">
        <v>1.098901098901099E-2</v>
      </c>
    </row>
    <row r="25" spans="2:5" ht="15" customHeight="1" x14ac:dyDescent="0.3">
      <c r="B25" s="73" t="s">
        <v>29</v>
      </c>
      <c r="C25" s="45" t="s">
        <v>115</v>
      </c>
      <c r="D25" s="44">
        <v>2</v>
      </c>
      <c r="E25" s="43">
        <v>2.197802197802198E-2</v>
      </c>
    </row>
    <row r="26" spans="2:5" ht="15" customHeight="1" x14ac:dyDescent="0.3">
      <c r="B26" s="74"/>
      <c r="C26" s="45" t="s">
        <v>114</v>
      </c>
      <c r="D26" s="44">
        <v>1</v>
      </c>
      <c r="E26" s="43">
        <v>1.098901098901099E-2</v>
      </c>
    </row>
    <row r="27" spans="2:5" ht="15" customHeight="1" x14ac:dyDescent="0.3">
      <c r="B27" s="75"/>
      <c r="C27" s="42" t="s">
        <v>18</v>
      </c>
      <c r="D27" s="41">
        <v>3</v>
      </c>
      <c r="E27" s="40">
        <v>3.2967032967032968E-2</v>
      </c>
    </row>
    <row r="28" spans="2:5" ht="15" customHeight="1" x14ac:dyDescent="0.3">
      <c r="B28" s="73" t="s">
        <v>28</v>
      </c>
      <c r="C28" s="45" t="s">
        <v>115</v>
      </c>
      <c r="D28" s="44">
        <v>2</v>
      </c>
      <c r="E28" s="43">
        <v>2.197802197802198E-2</v>
      </c>
    </row>
    <row r="29" spans="2:5" ht="15" customHeight="1" x14ac:dyDescent="0.3">
      <c r="B29" s="75"/>
      <c r="C29" s="42" t="s">
        <v>18</v>
      </c>
      <c r="D29" s="41">
        <v>2</v>
      </c>
      <c r="E29" s="40">
        <v>2.197802197802198E-2</v>
      </c>
    </row>
    <row r="30" spans="2:5" ht="15" customHeight="1" x14ac:dyDescent="0.3">
      <c r="B30" s="73" t="s">
        <v>27</v>
      </c>
      <c r="C30" s="45" t="s">
        <v>115</v>
      </c>
      <c r="D30" s="44">
        <v>1</v>
      </c>
      <c r="E30" s="43">
        <v>1.098901098901099E-2</v>
      </c>
    </row>
    <row r="31" spans="2:5" ht="15" customHeight="1" x14ac:dyDescent="0.3">
      <c r="B31" s="74"/>
      <c r="C31" s="45" t="s">
        <v>114</v>
      </c>
      <c r="D31" s="44">
        <v>1</v>
      </c>
      <c r="E31" s="43">
        <v>1.098901098901099E-2</v>
      </c>
    </row>
    <row r="32" spans="2:5" ht="15" customHeight="1" x14ac:dyDescent="0.3">
      <c r="B32" s="75"/>
      <c r="C32" s="42" t="s">
        <v>18</v>
      </c>
      <c r="D32" s="41">
        <v>2</v>
      </c>
      <c r="E32" s="40">
        <v>2.197802197802198E-2</v>
      </c>
    </row>
    <row r="33" spans="2:5" ht="15" customHeight="1" x14ac:dyDescent="0.3">
      <c r="B33" s="73" t="s">
        <v>37</v>
      </c>
      <c r="C33" s="45" t="s">
        <v>115</v>
      </c>
      <c r="D33" s="44">
        <v>17</v>
      </c>
      <c r="E33" s="43">
        <v>0.18681318681318682</v>
      </c>
    </row>
    <row r="34" spans="2:5" ht="15" customHeight="1" x14ac:dyDescent="0.3">
      <c r="B34" s="74"/>
      <c r="C34" s="45" t="s">
        <v>114</v>
      </c>
      <c r="D34" s="44">
        <v>8</v>
      </c>
      <c r="E34" s="43">
        <v>8.7912087912087919E-2</v>
      </c>
    </row>
    <row r="35" spans="2:5" ht="15" customHeight="1" x14ac:dyDescent="0.3">
      <c r="B35" s="75"/>
      <c r="C35" s="42" t="s">
        <v>18</v>
      </c>
      <c r="D35" s="41">
        <v>25</v>
      </c>
      <c r="E35" s="40">
        <v>0.27472527472527475</v>
      </c>
    </row>
    <row r="36" spans="2:5" ht="15" customHeight="1" x14ac:dyDescent="0.3">
      <c r="B36" s="73" t="s">
        <v>36</v>
      </c>
      <c r="C36" s="45" t="s">
        <v>115</v>
      </c>
      <c r="D36" s="44">
        <v>13</v>
      </c>
      <c r="E36" s="43">
        <v>0.14285714285714285</v>
      </c>
    </row>
    <row r="37" spans="2:5" ht="15" customHeight="1" x14ac:dyDescent="0.3">
      <c r="B37" s="74"/>
      <c r="C37" s="45" t="s">
        <v>114</v>
      </c>
      <c r="D37" s="44">
        <v>4</v>
      </c>
      <c r="E37" s="43">
        <v>4.3956043956043959E-2</v>
      </c>
    </row>
    <row r="38" spans="2:5" ht="15" customHeight="1" x14ac:dyDescent="0.3">
      <c r="B38" s="75"/>
      <c r="C38" s="42" t="s">
        <v>18</v>
      </c>
      <c r="D38" s="41">
        <v>17</v>
      </c>
      <c r="E38" s="40">
        <v>0.18681318681318682</v>
      </c>
    </row>
    <row r="39" spans="2:5" ht="15" customHeight="1" x14ac:dyDescent="0.3">
      <c r="B39" s="73" t="s">
        <v>26</v>
      </c>
      <c r="C39" s="45" t="s">
        <v>115</v>
      </c>
      <c r="D39" s="44">
        <v>1</v>
      </c>
      <c r="E39" s="43">
        <v>1.098901098901099E-2</v>
      </c>
    </row>
    <row r="40" spans="2:5" ht="15" customHeight="1" x14ac:dyDescent="0.3">
      <c r="B40" s="74"/>
      <c r="C40" s="45" t="s">
        <v>114</v>
      </c>
      <c r="D40" s="44">
        <v>1</v>
      </c>
      <c r="E40" s="43">
        <v>1.098901098901099E-2</v>
      </c>
    </row>
    <row r="41" spans="2:5" ht="15" customHeight="1" x14ac:dyDescent="0.3">
      <c r="B41" s="75"/>
      <c r="C41" s="42" t="s">
        <v>18</v>
      </c>
      <c r="D41" s="41">
        <v>2</v>
      </c>
      <c r="E41" s="40">
        <v>2.197802197802198E-2</v>
      </c>
    </row>
    <row r="42" spans="2:5" ht="15" customHeight="1" x14ac:dyDescent="0.3">
      <c r="B42" s="74" t="s">
        <v>22</v>
      </c>
      <c r="C42" s="45" t="s">
        <v>114</v>
      </c>
      <c r="D42" s="44">
        <v>1</v>
      </c>
      <c r="E42" s="43">
        <v>1.098901098901099E-2</v>
      </c>
    </row>
    <row r="43" spans="2:5" ht="15" customHeight="1" x14ac:dyDescent="0.3">
      <c r="B43" s="75"/>
      <c r="C43" s="42" t="s">
        <v>18</v>
      </c>
      <c r="D43" s="41">
        <v>1</v>
      </c>
      <c r="E43" s="40">
        <v>1.098901098901099E-2</v>
      </c>
    </row>
    <row r="44" spans="2:5" ht="15" customHeight="1" x14ac:dyDescent="0.3">
      <c r="B44" s="73" t="s">
        <v>35</v>
      </c>
      <c r="C44" s="45" t="s">
        <v>115</v>
      </c>
      <c r="D44" s="44">
        <v>6</v>
      </c>
      <c r="E44" s="43">
        <v>6.5934065934065936E-2</v>
      </c>
    </row>
    <row r="45" spans="2:5" ht="15" customHeight="1" x14ac:dyDescent="0.3">
      <c r="B45" s="74"/>
      <c r="C45" s="45" t="s">
        <v>114</v>
      </c>
      <c r="D45" s="44">
        <v>2</v>
      </c>
      <c r="E45" s="43">
        <v>2.197802197802198E-2</v>
      </c>
    </row>
    <row r="46" spans="2:5" ht="15" customHeight="1" x14ac:dyDescent="0.3">
      <c r="B46" s="75"/>
      <c r="C46" s="42" t="s">
        <v>18</v>
      </c>
      <c r="D46" s="41">
        <v>8</v>
      </c>
      <c r="E46" s="40">
        <v>8.7912087912087919E-2</v>
      </c>
    </row>
    <row r="47" spans="2:5" ht="15" customHeight="1" x14ac:dyDescent="0.3">
      <c r="B47" s="73" t="s">
        <v>21</v>
      </c>
      <c r="C47" s="45" t="s">
        <v>115</v>
      </c>
      <c r="D47" s="44">
        <v>1</v>
      </c>
      <c r="E47" s="43">
        <v>1.098901098901099E-2</v>
      </c>
    </row>
    <row r="48" spans="2:5" ht="15" customHeight="1" x14ac:dyDescent="0.3">
      <c r="B48" s="75"/>
      <c r="C48" s="42" t="s">
        <v>18</v>
      </c>
      <c r="D48" s="41">
        <v>1</v>
      </c>
      <c r="E48" s="40">
        <v>1.098901098901099E-2</v>
      </c>
    </row>
    <row r="49" spans="2:5" ht="15" customHeight="1" x14ac:dyDescent="0.3">
      <c r="B49" s="74" t="s">
        <v>20</v>
      </c>
      <c r="C49" s="45" t="s">
        <v>114</v>
      </c>
      <c r="D49" s="44">
        <v>1</v>
      </c>
      <c r="E49" s="43">
        <v>1.098901098901099E-2</v>
      </c>
    </row>
    <row r="50" spans="2:5" ht="15" customHeight="1" x14ac:dyDescent="0.3">
      <c r="B50" s="75"/>
      <c r="C50" s="42" t="s">
        <v>18</v>
      </c>
      <c r="D50" s="41">
        <v>1</v>
      </c>
      <c r="E50" s="40">
        <v>1.098901098901099E-2</v>
      </c>
    </row>
    <row r="51" spans="2:5" ht="15" customHeight="1" x14ac:dyDescent="0.3">
      <c r="B51" s="73" t="s">
        <v>19</v>
      </c>
      <c r="C51" s="45" t="s">
        <v>115</v>
      </c>
      <c r="D51" s="44">
        <v>1</v>
      </c>
      <c r="E51" s="43">
        <v>1.098901098901099E-2</v>
      </c>
    </row>
    <row r="52" spans="2:5" ht="15" customHeight="1" x14ac:dyDescent="0.3">
      <c r="B52" s="75"/>
      <c r="C52" s="42" t="s">
        <v>18</v>
      </c>
      <c r="D52" s="41">
        <v>1</v>
      </c>
      <c r="E52" s="40">
        <v>1.098901098901099E-2</v>
      </c>
    </row>
    <row r="53" spans="2:5" ht="15" customHeight="1" x14ac:dyDescent="0.3">
      <c r="B53" s="73" t="s">
        <v>30</v>
      </c>
      <c r="C53" s="45" t="s">
        <v>115</v>
      </c>
      <c r="D53" s="44">
        <v>1</v>
      </c>
      <c r="E53" s="43">
        <v>1.098901098901099E-2</v>
      </c>
    </row>
    <row r="54" spans="2:5" ht="15" customHeight="1" x14ac:dyDescent="0.3">
      <c r="B54" s="74"/>
      <c r="C54" s="45" t="s">
        <v>114</v>
      </c>
      <c r="D54" s="44">
        <v>3</v>
      </c>
      <c r="E54" s="43">
        <v>3.2967032967032968E-2</v>
      </c>
    </row>
    <row r="55" spans="2:5" ht="15" customHeight="1" x14ac:dyDescent="0.3">
      <c r="B55" s="75"/>
      <c r="C55" s="42" t="s">
        <v>18</v>
      </c>
      <c r="D55" s="41">
        <v>4</v>
      </c>
      <c r="E55" s="40">
        <v>4.3956043956043959E-2</v>
      </c>
    </row>
    <row r="56" spans="2:5" ht="15" customHeight="1" x14ac:dyDescent="0.3">
      <c r="B56" s="73" t="s">
        <v>32</v>
      </c>
      <c r="C56" s="45" t="s">
        <v>115</v>
      </c>
      <c r="D56" s="44">
        <v>2</v>
      </c>
      <c r="E56" s="43">
        <v>2.197802197802198E-2</v>
      </c>
    </row>
    <row r="57" spans="2:5" ht="15" customHeight="1" x14ac:dyDescent="0.3">
      <c r="B57" s="74"/>
      <c r="C57" s="45" t="s">
        <v>114</v>
      </c>
      <c r="D57" s="44">
        <v>3</v>
      </c>
      <c r="E57" s="43">
        <v>3.2967032967032968E-2</v>
      </c>
    </row>
    <row r="58" spans="2:5" ht="15" customHeight="1" x14ac:dyDescent="0.3">
      <c r="B58" s="75"/>
      <c r="C58" s="42" t="s">
        <v>18</v>
      </c>
      <c r="D58" s="41">
        <v>5</v>
      </c>
      <c r="E58" s="40">
        <v>5.4945054945054944E-2</v>
      </c>
    </row>
    <row r="59" spans="2:5" ht="15" customHeight="1" x14ac:dyDescent="0.3">
      <c r="B59" s="76" t="s">
        <v>18</v>
      </c>
      <c r="C59" s="77"/>
      <c r="D59" s="58">
        <f>SUMIF(C10:C58,"TOTAL",D10:D58)</f>
        <v>91</v>
      </c>
      <c r="E59" s="59">
        <v>1</v>
      </c>
    </row>
    <row r="61" spans="2:5" ht="15" customHeight="1" x14ac:dyDescent="0.3">
      <c r="B61" s="19" t="s">
        <v>17</v>
      </c>
    </row>
    <row r="62" spans="2:5" ht="15" customHeight="1" x14ac:dyDescent="0.3">
      <c r="B62" s="21" t="s">
        <v>16</v>
      </c>
    </row>
    <row r="63" spans="2:5" ht="15" customHeight="1" x14ac:dyDescent="0.3">
      <c r="B63" s="20" t="s">
        <v>15</v>
      </c>
    </row>
    <row r="64" spans="2:5" ht="15" customHeight="1" x14ac:dyDescent="0.3">
      <c r="B64" s="19" t="s">
        <v>14</v>
      </c>
    </row>
    <row r="65" spans="2:2" ht="15" customHeight="1" x14ac:dyDescent="0.3">
      <c r="B65" s="19" t="s">
        <v>13</v>
      </c>
    </row>
    <row r="438" spans="2:2" s="37" customFormat="1" ht="15" customHeight="1" x14ac:dyDescent="0.3">
      <c r="B438" s="38"/>
    </row>
    <row r="439" spans="2:2" s="37" customFormat="1" ht="15" customHeight="1" x14ac:dyDescent="0.3">
      <c r="B439" s="39"/>
    </row>
    <row r="440" spans="2:2" s="37" customFormat="1" ht="15" customHeight="1" x14ac:dyDescent="0.3">
      <c r="B440" s="39"/>
    </row>
    <row r="441" spans="2:2" s="37" customFormat="1" ht="15" customHeight="1" x14ac:dyDescent="0.3">
      <c r="B441" s="38"/>
    </row>
    <row r="442" spans="2:2" s="37" customFormat="1" ht="15" customHeight="1" x14ac:dyDescent="0.3">
      <c r="B442" s="38"/>
    </row>
  </sheetData>
  <mergeCells count="21">
    <mergeCell ref="B56:B58"/>
    <mergeCell ref="B59:C59"/>
    <mergeCell ref="B49:B50"/>
    <mergeCell ref="B51:B52"/>
    <mergeCell ref="B33:B35"/>
    <mergeCell ref="B36:B38"/>
    <mergeCell ref="B39:B41"/>
    <mergeCell ref="B42:B43"/>
    <mergeCell ref="B44:B46"/>
    <mergeCell ref="B47:B48"/>
    <mergeCell ref="B53:B55"/>
    <mergeCell ref="B15:B17"/>
    <mergeCell ref="B18:B19"/>
    <mergeCell ref="B20:B22"/>
    <mergeCell ref="B23:B24"/>
    <mergeCell ref="B25:B27"/>
    <mergeCell ref="B28:B29"/>
    <mergeCell ref="B30:B32"/>
    <mergeCell ref="B7:E8"/>
    <mergeCell ref="B10:B11"/>
    <mergeCell ref="B12:B1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32" max="4" man="1"/>
    <brk id="50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Normal="100" zoomScaleSheetLayoutView="100" workbookViewId="0">
      <selection activeCell="F20" sqref="F20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3" customFormat="1" ht="12" customHeight="1" x14ac:dyDescent="0.2">
      <c r="B1" s="57"/>
      <c r="C1" s="56"/>
      <c r="D1" s="56"/>
      <c r="E1" s="56"/>
    </row>
    <row r="2" spans="1:5" s="53" customFormat="1" ht="15" customHeight="1" x14ac:dyDescent="0.2">
      <c r="C2" s="55"/>
    </row>
    <row r="3" spans="1:5" s="53" customFormat="1" ht="15" customHeight="1" x14ac:dyDescent="0.2">
      <c r="C3" s="55"/>
    </row>
    <row r="4" spans="1:5" s="53" customFormat="1" ht="30" customHeight="1" x14ac:dyDescent="0.2">
      <c r="C4" s="55"/>
      <c r="D4" s="54"/>
    </row>
    <row r="5" spans="1:5" s="53" customFormat="1" ht="15" customHeight="1" x14ac:dyDescent="0.2">
      <c r="C5" s="55"/>
      <c r="D5" s="54"/>
    </row>
    <row r="6" spans="1:5" s="50" customFormat="1" ht="24" customHeight="1" x14ac:dyDescent="0.2">
      <c r="B6" s="52"/>
      <c r="C6" s="46"/>
      <c r="D6" s="46"/>
      <c r="E6" s="46"/>
    </row>
    <row r="7" spans="1:5" s="50" customFormat="1" ht="26.25" customHeight="1" x14ac:dyDescent="0.25">
      <c r="A7" s="51"/>
      <c r="B7" s="78"/>
      <c r="C7" s="78"/>
      <c r="D7" s="78"/>
      <c r="E7" s="78"/>
    </row>
    <row r="8" spans="1:5" s="50" customFormat="1" ht="33" customHeight="1" x14ac:dyDescent="0.25">
      <c r="A8" s="51"/>
      <c r="B8" s="78"/>
      <c r="C8" s="78"/>
      <c r="D8" s="78"/>
      <c r="E8" s="78"/>
    </row>
    <row r="9" spans="1:5" s="29" customFormat="1" ht="40.5" customHeight="1" x14ac:dyDescent="0.2">
      <c r="B9" s="47" t="s">
        <v>112</v>
      </c>
      <c r="C9" s="49" t="s">
        <v>122</v>
      </c>
      <c r="D9" s="48" t="s">
        <v>39</v>
      </c>
      <c r="E9" s="47" t="s">
        <v>38</v>
      </c>
    </row>
    <row r="10" spans="1:5" ht="15" customHeight="1" x14ac:dyDescent="0.3">
      <c r="B10" s="73" t="s">
        <v>115</v>
      </c>
      <c r="C10" s="45" t="s">
        <v>121</v>
      </c>
      <c r="D10" s="44">
        <v>1</v>
      </c>
      <c r="E10" s="43">
        <v>1.098901098901099E-2</v>
      </c>
    </row>
    <row r="11" spans="1:5" ht="15" customHeight="1" x14ac:dyDescent="0.3">
      <c r="B11" s="74"/>
      <c r="C11" s="45" t="s">
        <v>120</v>
      </c>
      <c r="D11" s="44">
        <v>14</v>
      </c>
      <c r="E11" s="43">
        <v>0.15384615384615385</v>
      </c>
    </row>
    <row r="12" spans="1:5" ht="15" customHeight="1" x14ac:dyDescent="0.3">
      <c r="B12" s="74"/>
      <c r="C12" s="45" t="s">
        <v>119</v>
      </c>
      <c r="D12" s="44">
        <v>15</v>
      </c>
      <c r="E12" s="43">
        <v>0.16483516483516483</v>
      </c>
    </row>
    <row r="13" spans="1:5" ht="15" customHeight="1" x14ac:dyDescent="0.3">
      <c r="B13" s="74"/>
      <c r="C13" s="45" t="s">
        <v>118</v>
      </c>
      <c r="D13" s="44">
        <v>15</v>
      </c>
      <c r="E13" s="43">
        <v>0.16483516483516483</v>
      </c>
    </row>
    <row r="14" spans="1:5" ht="15" customHeight="1" x14ac:dyDescent="0.3">
      <c r="B14" s="74"/>
      <c r="C14" s="45" t="s">
        <v>117</v>
      </c>
      <c r="D14" s="44">
        <v>8</v>
      </c>
      <c r="E14" s="43">
        <v>8.7912087912087919E-2</v>
      </c>
    </row>
    <row r="15" spans="1:5" s="46" customFormat="1" ht="15" customHeight="1" x14ac:dyDescent="0.2">
      <c r="B15" s="75"/>
      <c r="C15" s="45" t="s">
        <v>116</v>
      </c>
      <c r="D15" s="44">
        <v>4</v>
      </c>
      <c r="E15" s="43">
        <v>4.3956043956043959E-2</v>
      </c>
    </row>
    <row r="16" spans="1:5" s="46" customFormat="1" ht="15" customHeight="1" x14ac:dyDescent="0.2">
      <c r="B16" s="73" t="s">
        <v>114</v>
      </c>
      <c r="C16" s="45" t="s">
        <v>121</v>
      </c>
      <c r="D16" s="44">
        <v>3</v>
      </c>
      <c r="E16" s="43">
        <v>3.2967032967032968E-2</v>
      </c>
    </row>
    <row r="17" spans="2:5" s="46" customFormat="1" ht="15" customHeight="1" x14ac:dyDescent="0.2">
      <c r="B17" s="74"/>
      <c r="C17" s="45" t="s">
        <v>120</v>
      </c>
      <c r="D17" s="44">
        <v>6</v>
      </c>
      <c r="E17" s="43">
        <v>6.5934065934065936E-2</v>
      </c>
    </row>
    <row r="18" spans="2:5" s="46" customFormat="1" ht="15" customHeight="1" x14ac:dyDescent="0.2">
      <c r="B18" s="74"/>
      <c r="C18" s="45" t="s">
        <v>119</v>
      </c>
      <c r="D18" s="44">
        <v>4</v>
      </c>
      <c r="E18" s="43">
        <v>4.3956043956043959E-2</v>
      </c>
    </row>
    <row r="19" spans="2:5" s="46" customFormat="1" ht="15" customHeight="1" x14ac:dyDescent="0.2">
      <c r="B19" s="74"/>
      <c r="C19" s="45" t="s">
        <v>118</v>
      </c>
      <c r="D19" s="44">
        <v>11</v>
      </c>
      <c r="E19" s="43">
        <v>0.12087912087912088</v>
      </c>
    </row>
    <row r="20" spans="2:5" ht="15" customHeight="1" x14ac:dyDescent="0.3">
      <c r="B20" s="74"/>
      <c r="C20" s="45" t="s">
        <v>117</v>
      </c>
      <c r="D20" s="44">
        <v>8</v>
      </c>
      <c r="E20" s="43">
        <v>8.7912087912087919E-2</v>
      </c>
    </row>
    <row r="21" spans="2:5" ht="15" customHeight="1" x14ac:dyDescent="0.3">
      <c r="B21" s="75"/>
      <c r="C21" s="45" t="s">
        <v>116</v>
      </c>
      <c r="D21" s="44">
        <v>2</v>
      </c>
      <c r="E21" s="43">
        <v>2.197802197802198E-2</v>
      </c>
    </row>
    <row r="22" spans="2:5" ht="15" customHeight="1" x14ac:dyDescent="0.3">
      <c r="B22" s="76" t="s">
        <v>18</v>
      </c>
      <c r="C22" s="77"/>
      <c r="D22" s="58">
        <v>91</v>
      </c>
      <c r="E22" s="59">
        <v>1</v>
      </c>
    </row>
    <row r="24" spans="2:5" ht="15" customHeight="1" x14ac:dyDescent="0.3">
      <c r="B24" s="19" t="s">
        <v>17</v>
      </c>
    </row>
    <row r="25" spans="2:5" ht="15" customHeight="1" x14ac:dyDescent="0.3">
      <c r="B25" s="21" t="s">
        <v>16</v>
      </c>
    </row>
    <row r="26" spans="2:5" ht="15" customHeight="1" x14ac:dyDescent="0.3">
      <c r="B26" s="20" t="s">
        <v>15</v>
      </c>
    </row>
    <row r="27" spans="2:5" ht="15" customHeight="1" x14ac:dyDescent="0.3">
      <c r="B27" s="19" t="s">
        <v>14</v>
      </c>
    </row>
    <row r="28" spans="2:5" ht="15" customHeight="1" x14ac:dyDescent="0.3">
      <c r="B28" s="19" t="s">
        <v>13</v>
      </c>
    </row>
    <row r="485" spans="2:2" s="37" customFormat="1" ht="15" customHeight="1" x14ac:dyDescent="0.3">
      <c r="B485" s="38"/>
    </row>
    <row r="486" spans="2:2" s="37" customFormat="1" ht="15" customHeight="1" x14ac:dyDescent="0.3">
      <c r="B486" s="39"/>
    </row>
    <row r="487" spans="2:2" s="37" customFormat="1" ht="15" customHeight="1" x14ac:dyDescent="0.3">
      <c r="B487" s="39"/>
    </row>
    <row r="488" spans="2:2" s="37" customFormat="1" ht="15" customHeight="1" x14ac:dyDescent="0.3">
      <c r="B488" s="38"/>
    </row>
    <row r="489" spans="2:2" s="37" customFormat="1" ht="15" customHeight="1" x14ac:dyDescent="0.3">
      <c r="B489" s="38"/>
    </row>
  </sheetData>
  <mergeCells count="4">
    <mergeCell ref="B7:E8"/>
    <mergeCell ref="B10:B15"/>
    <mergeCell ref="B16:B21"/>
    <mergeCell ref="B22:C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5"/>
  <sheetViews>
    <sheetView showGridLines="0" tabSelected="1" zoomScaleNormal="100" zoomScaleSheetLayoutView="115" workbookViewId="0">
      <selection activeCell="I17" sqref="I17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2" t="s">
        <v>131</v>
      </c>
      <c r="C7" s="72"/>
      <c r="D7" s="72"/>
    </row>
    <row r="8" spans="2:4" s="29" customFormat="1" ht="15" customHeight="1" x14ac:dyDescent="0.2">
      <c r="B8" s="72"/>
      <c r="C8" s="72"/>
      <c r="D8" s="72"/>
    </row>
    <row r="9" spans="2:4" s="29" customFormat="1" ht="33" customHeight="1" x14ac:dyDescent="0.2">
      <c r="B9" s="72"/>
      <c r="C9" s="72"/>
      <c r="D9" s="72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130</v>
      </c>
      <c r="C11" s="31" t="s">
        <v>39</v>
      </c>
      <c r="D11" s="30" t="s">
        <v>38</v>
      </c>
    </row>
    <row r="12" spans="2:4" ht="15" customHeight="1" x14ac:dyDescent="0.3">
      <c r="B12" s="27" t="s">
        <v>129</v>
      </c>
      <c r="C12" s="26">
        <v>65</v>
      </c>
      <c r="D12" s="25">
        <v>0.7142857142857143</v>
      </c>
    </row>
    <row r="13" spans="2:4" x14ac:dyDescent="0.3">
      <c r="B13" s="27" t="s">
        <v>128</v>
      </c>
      <c r="C13" s="26">
        <v>13</v>
      </c>
      <c r="D13" s="25">
        <v>0.14285714285714285</v>
      </c>
    </row>
    <row r="14" spans="2:4" s="28" customFormat="1" ht="15" x14ac:dyDescent="0.3">
      <c r="B14" s="27" t="s">
        <v>127</v>
      </c>
      <c r="C14" s="26">
        <v>7</v>
      </c>
      <c r="D14" s="25">
        <v>7.6923076923076927E-2</v>
      </c>
    </row>
    <row r="15" spans="2:4" s="28" customFormat="1" ht="15" x14ac:dyDescent="0.3">
      <c r="B15" s="27" t="s">
        <v>126</v>
      </c>
      <c r="C15" s="26">
        <v>3</v>
      </c>
      <c r="D15" s="25">
        <v>3.2967032967032968E-2</v>
      </c>
    </row>
    <row r="16" spans="2:4" x14ac:dyDescent="0.3">
      <c r="B16" s="27" t="s">
        <v>125</v>
      </c>
      <c r="C16" s="26">
        <v>1</v>
      </c>
      <c r="D16" s="25">
        <v>1.098901098901099E-2</v>
      </c>
    </row>
    <row r="17" spans="2:4" x14ac:dyDescent="0.3">
      <c r="B17" s="27" t="s">
        <v>124</v>
      </c>
      <c r="C17" s="26">
        <v>1</v>
      </c>
      <c r="D17" s="25">
        <v>1.098901098901099E-2</v>
      </c>
    </row>
    <row r="18" spans="2:4" x14ac:dyDescent="0.3">
      <c r="B18" s="27" t="s">
        <v>123</v>
      </c>
      <c r="C18" s="26">
        <v>1</v>
      </c>
      <c r="D18" s="25">
        <v>1.098901098901099E-2</v>
      </c>
    </row>
    <row r="19" spans="2:4" x14ac:dyDescent="0.3">
      <c r="B19" s="24" t="s">
        <v>18</v>
      </c>
      <c r="C19" s="23">
        <v>91</v>
      </c>
      <c r="D19" s="22">
        <v>1</v>
      </c>
    </row>
    <row r="21" spans="2:4" x14ac:dyDescent="0.3">
      <c r="B21" s="19" t="s">
        <v>17</v>
      </c>
    </row>
    <row r="22" spans="2:4" x14ac:dyDescent="0.3">
      <c r="B22" s="21" t="s">
        <v>16</v>
      </c>
    </row>
    <row r="23" spans="2:4" x14ac:dyDescent="0.3">
      <c r="B23" s="20" t="s">
        <v>15</v>
      </c>
    </row>
    <row r="24" spans="2:4" x14ac:dyDescent="0.3">
      <c r="B24" s="19" t="s">
        <v>14</v>
      </c>
    </row>
    <row r="25" spans="2:4" x14ac:dyDescent="0.3">
      <c r="B25" s="19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Alaska_Edomexgral</vt:lpstr>
      <vt:lpstr>Alaska_EDOMEX</vt:lpstr>
      <vt:lpstr>Alaska_Educagral</vt:lpstr>
      <vt:lpstr>Alaska_Eduedo</vt:lpstr>
      <vt:lpstr>Alaska_gengral</vt:lpstr>
      <vt:lpstr>Alaska_edomexgen</vt:lpstr>
      <vt:lpstr>Alaska_edadgen</vt:lpstr>
      <vt:lpstr>Alaska_ocupgral</vt:lpstr>
      <vt:lpstr>Alaska_edadgen!Área_de_impresión</vt:lpstr>
      <vt:lpstr>Alaska_EDOMEX!Área_de_impresión</vt:lpstr>
      <vt:lpstr>Alaska_edomexgen!Área_de_impresión</vt:lpstr>
      <vt:lpstr>Alaska_Eduedo!Área_de_impresión</vt:lpstr>
      <vt:lpstr>Alaska_edadgen!Títulos_a_imprimir</vt:lpstr>
      <vt:lpstr>Alaska_EDOMEX!Títulos_a_imprimir</vt:lpstr>
      <vt:lpstr>Alaska_edomexgen!Títulos_a_imprimir</vt:lpstr>
      <vt:lpstr>Alaska_Edomexgral!Títulos_a_imprimir</vt:lpstr>
      <vt:lpstr>Alaska_Educagral!Títulos_a_imprimir</vt:lpstr>
      <vt:lpstr>Alaska_Eduedo!Títulos_a_imprimir</vt:lpstr>
      <vt:lpstr>Alaska_gengral!Títulos_a_imprimir</vt:lpstr>
      <vt:lpstr>Alaska_ocupgral!Títulos_a_imprimir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2020-06-18T17:12:35Z</dcterms:created>
  <dcterms:modified xsi:type="dcterms:W3CDTF">2020-08-04T22:19:31Z</dcterms:modified>
</cp:coreProperties>
</file>