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" r:id="rId1"/>
    <sheet name="South Dakota_Edomexgral" sheetId="2" r:id="rId2"/>
    <sheet name="South Dakota_EDOMEX" sheetId="11" r:id="rId3"/>
    <sheet name="South Dakota_Educagral" sheetId="4" r:id="rId4"/>
    <sheet name="South Dakota_Eduedo" sheetId="10" r:id="rId5"/>
    <sheet name="South Dakota_gengral" sheetId="6" r:id="rId6"/>
    <sheet name="South Dakota_edomexgen" sheetId="7" r:id="rId7"/>
    <sheet name="South Dakota_edadgen" sheetId="8" r:id="rId8"/>
    <sheet name="South Dakota_ocupgral" sheetId="9" r:id="rId9"/>
  </sheets>
  <definedNames>
    <definedName name="_xlnm._FilterDatabase" localSheetId="7" hidden="1">'South Dakota_edadgen'!$B$9:$E$13</definedName>
    <definedName name="_xlnm._FilterDatabase" localSheetId="2" hidden="1">'South Dakota_EDOMEX'!$B$9:$E$13</definedName>
    <definedName name="_xlnm._FilterDatabase" localSheetId="6" hidden="1">'South Dakota_edomexgen'!$B$9:$E$12</definedName>
    <definedName name="_xlnm._FilterDatabase" localSheetId="1" hidden="1">'South Dakota_Edomexgral'!$B$11:$D$12</definedName>
    <definedName name="_xlnm._FilterDatabase" localSheetId="3" hidden="1">'South Dakota_Educagral'!$B$11:$D$12</definedName>
    <definedName name="_xlnm._FilterDatabase" localSheetId="4" hidden="1">'South Dakota_Eduedo'!$B$9:$E$13</definedName>
    <definedName name="_xlnm._FilterDatabase" localSheetId="5" hidden="1">'South Dakota_gengral'!$B$11:$D$12</definedName>
    <definedName name="_xlnm._FilterDatabase" localSheetId="8" hidden="1">'South Dakota_ocupgral'!$B$11:$D$12</definedName>
    <definedName name="_xlnm.Print_Area" localSheetId="0">Índice!$A$1:$D$21</definedName>
    <definedName name="_xlnm.Print_Area" localSheetId="7">'South Dakota_edadgen'!$A$1:$E$28</definedName>
    <definedName name="_xlnm.Print_Area" localSheetId="2">'South Dakota_EDOMEX'!$A$1:$E$182</definedName>
    <definedName name="_xlnm.Print_Area" localSheetId="6">'South Dakota_edomexgen'!$A$1:$E$90</definedName>
    <definedName name="_xlnm.Print_Area" localSheetId="4">'South Dakota_Eduedo'!$A$1:$E$128</definedName>
    <definedName name="_xlnm.Print_Titles" localSheetId="7">'South Dakota_edadgen'!$1:$9</definedName>
    <definedName name="_xlnm.Print_Titles" localSheetId="2">'South Dakota_EDOMEX'!$1:$9</definedName>
    <definedName name="_xlnm.Print_Titles" localSheetId="6">'South Dakota_edomexgen'!$1:$9</definedName>
    <definedName name="_xlnm.Print_Titles" localSheetId="1">'South Dakota_Edomexgral'!$1:$11</definedName>
    <definedName name="_xlnm.Print_Titles" localSheetId="3">'South Dakota_Educagral'!$1:$11</definedName>
    <definedName name="_xlnm.Print_Titles" localSheetId="4">'South Dakota_Eduedo'!$1:$9</definedName>
    <definedName name="_xlnm.Print_Titles" localSheetId="5">'South Dakota_gengral'!$1:$11</definedName>
    <definedName name="_xlnm.Print_Titles" localSheetId="8">'South Dakota_ocupgral'!$1:$11</definedName>
  </definedNames>
  <calcPr calcId="152511"/>
</workbook>
</file>

<file path=xl/calcChain.xml><?xml version="1.0" encoding="utf-8"?>
<calcChain xmlns="http://schemas.openxmlformats.org/spreadsheetml/2006/main">
  <c r="D176" i="11" l="1"/>
  <c r="D84" i="7" l="1"/>
</calcChain>
</file>

<file path=xl/sharedStrings.xml><?xml version="1.0" encoding="utf-8"?>
<sst xmlns="http://schemas.openxmlformats.org/spreadsheetml/2006/main" count="592" uniqueCount="236">
  <si>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</si>
  <si>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</si>
  <si>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</si>
  <si>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</si>
  <si>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</si>
  <si>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</si>
  <si>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</si>
  <si>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</si>
  <si>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</si>
  <si>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</si>
  <si>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</si>
  <si>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</si>
  <si>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</si>
  <si>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</si>
  <si>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</si>
  <si>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</si>
  <si>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</si>
  <si>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</si>
  <si>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Sonora</t>
  </si>
  <si>
    <t>Quintana Roo</t>
  </si>
  <si>
    <t>Nuevo León</t>
  </si>
  <si>
    <t>Hidalgo</t>
  </si>
  <si>
    <t>Colima</t>
  </si>
  <si>
    <t>Baja California Sur</t>
  </si>
  <si>
    <t>Nayarit</t>
  </si>
  <si>
    <t>Aguascalientes</t>
  </si>
  <si>
    <t>Baja California</t>
  </si>
  <si>
    <t>Tabasco</t>
  </si>
  <si>
    <t>Sinaloa</t>
  </si>
  <si>
    <t>Querétaro</t>
  </si>
  <si>
    <t>Durango</t>
  </si>
  <si>
    <t>Zacatecas</t>
  </si>
  <si>
    <t>San Luis Potosí</t>
  </si>
  <si>
    <t>Morelos</t>
  </si>
  <si>
    <t>Tamaulipas</t>
  </si>
  <si>
    <t>Puebla</t>
  </si>
  <si>
    <t>Chihuahua</t>
  </si>
  <si>
    <t>Chiapas</t>
  </si>
  <si>
    <t>Oaxaca</t>
  </si>
  <si>
    <t>Guanajuato</t>
  </si>
  <si>
    <t>Ciudad de México</t>
  </si>
  <si>
    <t>Veracruz</t>
  </si>
  <si>
    <t>Michoacán</t>
  </si>
  <si>
    <t>Estado de México</t>
  </si>
  <si>
    <t>Guerrero</t>
  </si>
  <si>
    <t>Jalisco</t>
  </si>
  <si>
    <t>Porcentaje de Matrículas</t>
  </si>
  <si>
    <t>Número de Matrículas</t>
  </si>
  <si>
    <t>Estado de Origen</t>
  </si>
  <si>
    <t>MATRÍCULAS CONSULARES DE ALTA SEGURIDAD EXPEDIDAS EN EL ESTADO DE SOUTH DAKOTA EN EE.UU. POR ESTADO DE LA REPÚBLICA MEXICANA DURANTE EL 2019</t>
  </si>
  <si>
    <t>Valparaíso</t>
  </si>
  <si>
    <t>Juan Aldama</t>
  </si>
  <si>
    <t>General Pánfilo Natera</t>
  </si>
  <si>
    <t>Genaro Codina</t>
  </si>
  <si>
    <t>Fresnillo</t>
  </si>
  <si>
    <t>Tlapacoyan</t>
  </si>
  <si>
    <t>Tierra Blanca</t>
  </si>
  <si>
    <t>Soledad de Doblado</t>
  </si>
  <si>
    <t>Orizaba</t>
  </si>
  <si>
    <t>Naranjos Amatlán</t>
  </si>
  <si>
    <t>Naolinco</t>
  </si>
  <si>
    <t>Martínez de la Torre</t>
  </si>
  <si>
    <t>Las Choapas</t>
  </si>
  <si>
    <t>Ixhuatlán del Café</t>
  </si>
  <si>
    <t>Ignacio de la Llave</t>
  </si>
  <si>
    <t>Acayucan</t>
  </si>
  <si>
    <t>Victoria</t>
  </si>
  <si>
    <t>Valle Hermoso</t>
  </si>
  <si>
    <t>Reynosa</t>
  </si>
  <si>
    <t>Matamoros</t>
  </si>
  <si>
    <t>El Mante</t>
  </si>
  <si>
    <t>Altamira</t>
  </si>
  <si>
    <t>Abasolo</t>
  </si>
  <si>
    <t>Tenosique</t>
  </si>
  <si>
    <t>Jalpa de Méndez</t>
  </si>
  <si>
    <t>Balancán</t>
  </si>
  <si>
    <t>Cajeme</t>
  </si>
  <si>
    <t>Mazatlán</t>
  </si>
  <si>
    <t>Ahome</t>
  </si>
  <si>
    <t>Rioverde</t>
  </si>
  <si>
    <t>Matehuala</t>
  </si>
  <si>
    <t>Ciudad Fernández</t>
  </si>
  <si>
    <t>Solidaridad</t>
  </si>
  <si>
    <t>Pedro Escobedo</t>
  </si>
  <si>
    <t>Cadereyta de Montes</t>
  </si>
  <si>
    <t>Zaragoza</t>
  </si>
  <si>
    <t>Zacatlán</t>
  </si>
  <si>
    <t>Zacapoaxtla</t>
  </si>
  <si>
    <t>Teziutlán</t>
  </si>
  <si>
    <t>Tenampulco</t>
  </si>
  <si>
    <t>Jolalpan</t>
  </si>
  <si>
    <t>Francisco Z. Mena</t>
  </si>
  <si>
    <t>Villa de Tututepec de Melchor Ocampo</t>
  </si>
  <si>
    <t>Santo Domingo Tonalá</t>
  </si>
  <si>
    <t>Santa María Temaxcaltepec</t>
  </si>
  <si>
    <t>Santa Cruz Tacache de Mina</t>
  </si>
  <si>
    <t>San Pedro Tapanatepec</t>
  </si>
  <si>
    <t>San Pedro Pochutla</t>
  </si>
  <si>
    <t>San Mateo del Mar</t>
  </si>
  <si>
    <t>San Lorenzo Texmelúcan</t>
  </si>
  <si>
    <t>San José Independencia</t>
  </si>
  <si>
    <t>Oaxaca de Juárez</t>
  </si>
  <si>
    <t>Loma Bonita</t>
  </si>
  <si>
    <t>Monterrey</t>
  </si>
  <si>
    <t>Tecuala</t>
  </si>
  <si>
    <t>Acaponeta</t>
  </si>
  <si>
    <t>Yautepec</t>
  </si>
  <si>
    <t>Tlayacapan</t>
  </si>
  <si>
    <t>Cuautla</t>
  </si>
  <si>
    <t>Axochiapan</t>
  </si>
  <si>
    <t>Zinapécuaro</t>
  </si>
  <si>
    <t>Uruapan</t>
  </si>
  <si>
    <t>Tuzantla</t>
  </si>
  <si>
    <t>Puruándiro</t>
  </si>
  <si>
    <t>Purépero</t>
  </si>
  <si>
    <t>La Piedad</t>
  </si>
  <si>
    <t>Jungapeo</t>
  </si>
  <si>
    <t>José Sixto Verduzco</t>
  </si>
  <si>
    <t>Aquila</t>
  </si>
  <si>
    <t>Zapotlanejo</t>
  </si>
  <si>
    <t>Zapopan</t>
  </si>
  <si>
    <t>Unión de San Antonio</t>
  </si>
  <si>
    <t>San Pedro Tlaquepaque</t>
  </si>
  <si>
    <t>Tlajomulco de Zúñiga</t>
  </si>
  <si>
    <t>Teocaltiche</t>
  </si>
  <si>
    <t>Tecolotlán</t>
  </si>
  <si>
    <t>Tecalitlán</t>
  </si>
  <si>
    <t>Tamazula de Gordiano</t>
  </si>
  <si>
    <t>Tala</t>
  </si>
  <si>
    <t>San Diego de Alejandría</t>
  </si>
  <si>
    <t>Lagos de Moreno</t>
  </si>
  <si>
    <t>Jesús María</t>
  </si>
  <si>
    <t>Guadalajara</t>
  </si>
  <si>
    <t>Degollado</t>
  </si>
  <si>
    <t>Ayutla</t>
  </si>
  <si>
    <t>Ayotlán</t>
  </si>
  <si>
    <t>Pachuca de Soto</t>
  </si>
  <si>
    <t>Tlapehuala</t>
  </si>
  <si>
    <t>Técpan de Galeana</t>
  </si>
  <si>
    <t>Petatlán</t>
  </si>
  <si>
    <t>Metlatónoc</t>
  </si>
  <si>
    <t>Leonardo Bravo</t>
  </si>
  <si>
    <t>Zihuatanejo de Azueta</t>
  </si>
  <si>
    <t>Florencio Villarreal</t>
  </si>
  <si>
    <t>Cuajinicuilapa</t>
  </si>
  <si>
    <t>Chilpancingo de los Bravo</t>
  </si>
  <si>
    <t>Ayutla de los Libres</t>
  </si>
  <si>
    <t>Atoyac de Álvarez</t>
  </si>
  <si>
    <t>Ajuchitlán del Progreso</t>
  </si>
  <si>
    <t>Acapulco de Juárez</t>
  </si>
  <si>
    <t>Santa Cruz de Juventino Rosas</t>
  </si>
  <si>
    <t>San Felipe</t>
  </si>
  <si>
    <t>León</t>
  </si>
  <si>
    <t>Irapuato</t>
  </si>
  <si>
    <t>Villa Guerrero</t>
  </si>
  <si>
    <t>Tultepec</t>
  </si>
  <si>
    <t>Tejupilco</t>
  </si>
  <si>
    <t>Otzolotepec</t>
  </si>
  <si>
    <t>Ecatepec de Morelos</t>
  </si>
  <si>
    <t>Almoloya de Juárez</t>
  </si>
  <si>
    <t>Acolman</t>
  </si>
  <si>
    <t>Vicente Guerrero</t>
  </si>
  <si>
    <t>Venustiano Carranza</t>
  </si>
  <si>
    <t>Tlalpan</t>
  </si>
  <si>
    <t>Tláhuac</t>
  </si>
  <si>
    <t>Miguel Hidalgo</t>
  </si>
  <si>
    <t>Iztacalco</t>
  </si>
  <si>
    <t>Gustavo A. Madero</t>
  </si>
  <si>
    <t>Azcapotzalco</t>
  </si>
  <si>
    <t>Armería</t>
  </si>
  <si>
    <t>Nuevo Casas Grandes</t>
  </si>
  <si>
    <t>Namiquipa</t>
  </si>
  <si>
    <t>Madera</t>
  </si>
  <si>
    <t>Cuauhtémoc</t>
  </si>
  <si>
    <t>Siltepec</t>
  </si>
  <si>
    <t>Ocotepec</t>
  </si>
  <si>
    <t>El Porvenir</t>
  </si>
  <si>
    <t>Arriaga</t>
  </si>
  <si>
    <t>Acacoyagua</t>
  </si>
  <si>
    <t>Comondú</t>
  </si>
  <si>
    <t>Tijuana</t>
  </si>
  <si>
    <t>Ensenada</t>
  </si>
  <si>
    <t>Calvillo</t>
  </si>
  <si>
    <t>Municipio Origen</t>
  </si>
  <si>
    <t>Posgrado [Maestría]</t>
  </si>
  <si>
    <t>Profesional Titulado</t>
  </si>
  <si>
    <t>Profesional pasante</t>
  </si>
  <si>
    <t>4°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</si>
  <si>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</si>
  <si>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</si>
  <si>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</si>
  <si>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</si>
  <si>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</si>
  <si>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2° Secundaria</t>
  </si>
  <si>
    <t>1° Secundaria</t>
  </si>
  <si>
    <t>Primaria con certificado</t>
  </si>
  <si>
    <t>6° Primaria</t>
  </si>
  <si>
    <t>5°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</si>
  <si>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</si>
  <si>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</si>
  <si>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</si>
  <si>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</si>
  <si>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</si>
  <si>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SOUTH DAKOTA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</si>
  <si>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</si>
  <si>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</si>
  <si>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</si>
  <si>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</si>
  <si>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SOUTH DAKOTA, POR GÉNERO 2019</t>
  </si>
  <si>
    <t>Mujer</t>
  </si>
  <si>
    <t>Hombre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</si>
  <si>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</si>
  <si>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</si>
  <si>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</si>
  <si>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</si>
  <si>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</si>
  <si>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</si>
  <si>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Entre 66 y 75 Años</t>
  </si>
  <si>
    <t>Edad cumplida</t>
  </si>
  <si>
    <t>Pintor(a)</t>
  </si>
  <si>
    <t>Mesero(a)</t>
  </si>
  <si>
    <t>Jardinero(a)</t>
  </si>
  <si>
    <t>Chofer</t>
  </si>
  <si>
    <t>Albañil</t>
  </si>
  <si>
    <t>Profesionista</t>
  </si>
  <si>
    <t>Cocinero(a)</t>
  </si>
  <si>
    <t>Obrero(a)</t>
  </si>
  <si>
    <t>Estudiante</t>
  </si>
  <si>
    <t>Hogar</t>
  </si>
  <si>
    <t>Empleado(a)</t>
  </si>
  <si>
    <t>Ocupación</t>
  </si>
  <si>
    <t>MATRÍCULAS CONSULARES DE ALTA SEGURIDAD EXPEDIDAS EN EE.UU A MEXICANOS EN EL ESTADO DE  SOUTH DAKOTA, POR PERFIL OCUPACIONAL 2019</t>
  </si>
  <si>
    <t>Matrículas consulares expedidas a mexicanos  en el estado de South Dakota en el 2019</t>
  </si>
  <si>
    <t>Profesional titulado</t>
  </si>
  <si>
    <t>Capacitación técnica</t>
  </si>
  <si>
    <t>Canatlán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</si>
</sst>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21" fillId="0" borderId="0"/>
  </cellStyleXfs>
  <cellXfs count="83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164" fontId="9" fillId="5" borderId="9" xfId="0" applyNumberFormat="1" applyFont="1" applyFill="1" applyBorder="1" applyAlignment="1">
      <alignment horizontal="right" vertical="center" wrapText="1"/>
    </xf>
    <xf numFmtId="3" fontId="9" fillId="5" borderId="9" xfId="0" applyNumberFormat="1" applyFont="1" applyFill="1" applyBorder="1" applyAlignment="1">
      <alignment horizontal="right" vertical="center" wrapText="1"/>
    </xf>
    <xf numFmtId="165" fontId="9" fillId="6" borderId="9" xfId="1" applyNumberFormat="1" applyFont="1" applyFill="1" applyBorder="1" applyAlignment="1">
      <alignment vertical="center" wrapText="1"/>
    </xf>
    <xf numFmtId="3" fontId="9" fillId="6" borderId="9" xfId="3" applyNumberFormat="1" applyFont="1" applyFill="1" applyBorder="1" applyAlignment="1">
      <alignment horizontal="right" vertical="center" wrapText="1"/>
    </xf>
    <xf numFmtId="49" fontId="9" fillId="6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20" fillId="3" borderId="0" xfId="0" applyFont="1" applyFill="1"/>
    <xf numFmtId="0" fontId="22" fillId="2" borderId="10" xfId="4" applyFont="1" applyFill="1" applyBorder="1" applyAlignment="1">
      <alignment horizontal="center" vertical="center" wrapText="1"/>
    </xf>
    <xf numFmtId="1" fontId="22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3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12" fillId="3" borderId="0" xfId="0" applyNumberFormat="1" applyFont="1" applyFill="1"/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9" fillId="5" borderId="13" xfId="0" applyNumberFormat="1" applyFont="1" applyFill="1" applyBorder="1" applyAlignment="1">
      <alignment horizontal="center" vertical="center" wrapText="1"/>
    </xf>
    <xf numFmtId="49" fontId="9" fillId="5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2562171" y="400379"/>
          <a:ext cx="48352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161925</xdr:rowOff>
    </xdr:from>
    <xdr:to>
      <xdr:col>5</xdr:col>
      <xdr:colOff>54897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SOUTH DAKOTA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619125</xdr:colOff>
      <xdr:row>7</xdr:row>
      <xdr:rowOff>161925</xdr:rowOff>
    </xdr:from>
    <xdr:to>
      <xdr:col>4</xdr:col>
      <xdr:colOff>1105229</xdr:colOff>
      <xdr:row>7</xdr:row>
      <xdr:rowOff>341220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7800" y="190500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SOUTH DAKOTA,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118241</xdr:rowOff>
    </xdr:from>
    <xdr:to>
      <xdr:col>4</xdr:col>
      <xdr:colOff>1031045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57150</xdr:rowOff>
    </xdr:from>
    <xdr:to>
      <xdr:col>5</xdr:col>
      <xdr:colOff>150147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DAKOTA,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144517</xdr:rowOff>
    </xdr:from>
    <xdr:to>
      <xdr:col>4</xdr:col>
      <xdr:colOff>991631</xdr:colOff>
      <xdr:row>7</xdr:row>
      <xdr:rowOff>335018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SOUTH DAKOTA,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144517</xdr:rowOff>
    </xdr:from>
    <xdr:to>
      <xdr:col>4</xdr:col>
      <xdr:colOff>1116442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123825</xdr:rowOff>
    </xdr:from>
    <xdr:to>
      <xdr:col>5</xdr:col>
      <xdr:colOff>83472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topLeftCell="A2" zoomScaleNormal="100" zoomScaleSheetLayoutView="100" workbookViewId="0">
      <selection activeCell="L11" sqref="L11"/>
    </sheetView>
  </sheetViews>
  <sheetFormatPr baseColWidth="10" defaultColWidth="11.44140625" defaultRowHeight="16.8" x14ac:dyDescent="0.4"/>
  <cols>
    <col min="1" max="1" width="5.109375" style="1" customWidth="1"/>
    <col min="2" max="2" width="20" style="1" customWidth="1"/>
    <col min="3" max="3" width="24.6640625" style="1" customWidth="1"/>
    <col min="4" max="4" width="28.88671875" style="1" customWidth="1"/>
    <col min="5" max="16384" width="11.44140625" style="1"/>
  </cols>
  <sheetData>
    <row r="1" spans="1:4" ht="42" customHeight="1" thickBot="1" x14ac:dyDescent="0.45">
      <c r="A1" s="68" t="s">
        <v>232</v>
      </c>
      <c r="B1" s="69"/>
      <c r="C1" s="69"/>
      <c r="D1" s="70"/>
    </row>
    <row r="2" spans="1:4" ht="18" x14ac:dyDescent="0.4">
      <c r="A2" s="16"/>
      <c r="B2" s="15"/>
      <c r="C2" s="15"/>
      <c r="D2" s="14"/>
    </row>
    <row r="3" spans="1:4" x14ac:dyDescent="0.4">
      <c r="A3" s="71" t="s">
        <v>11</v>
      </c>
      <c r="B3" s="72"/>
      <c r="C3" s="72"/>
      <c r="D3" s="73"/>
    </row>
    <row r="4" spans="1:4" x14ac:dyDescent="0.4">
      <c r="A4" s="71"/>
      <c r="B4" s="72"/>
      <c r="C4" s="72"/>
      <c r="D4" s="73"/>
    </row>
    <row r="5" spans="1:4" ht="18" x14ac:dyDescent="0.4">
      <c r="A5" s="13"/>
      <c r="B5" s="12"/>
      <c r="C5" s="12"/>
      <c r="D5" s="11"/>
    </row>
    <row r="6" spans="1:4" ht="18" x14ac:dyDescent="0.4">
      <c r="A6" s="67" t="s">
        <v>10</v>
      </c>
      <c r="B6" s="65"/>
      <c r="C6" s="65"/>
      <c r="D6" s="66"/>
    </row>
    <row r="7" spans="1:4" ht="18" x14ac:dyDescent="0.4">
      <c r="A7" s="10"/>
      <c r="B7" s="9"/>
      <c r="C7" s="9"/>
      <c r="D7" s="8"/>
    </row>
    <row r="8" spans="1:4" ht="18" x14ac:dyDescent="0.4">
      <c r="A8" s="7" t="s">
        <v>9</v>
      </c>
      <c r="B8" s="6"/>
      <c r="C8" s="6"/>
      <c r="D8" s="5"/>
    </row>
    <row r="9" spans="1:4" ht="18" x14ac:dyDescent="0.4">
      <c r="A9" s="7"/>
      <c r="B9" s="65" t="s">
        <v>8</v>
      </c>
      <c r="C9" s="65"/>
      <c r="D9" s="66"/>
    </row>
    <row r="10" spans="1:4" ht="18" x14ac:dyDescent="0.4">
      <c r="A10" s="7" t="s">
        <v>7</v>
      </c>
      <c r="B10" s="6"/>
      <c r="C10" s="6"/>
      <c r="D10" s="5"/>
    </row>
    <row r="11" spans="1:4" ht="18" x14ac:dyDescent="0.4">
      <c r="A11" s="7"/>
      <c r="B11" s="65" t="s">
        <v>6</v>
      </c>
      <c r="C11" s="65"/>
      <c r="D11" s="66"/>
    </row>
    <row r="12" spans="1:4" ht="18" x14ac:dyDescent="0.4">
      <c r="A12" s="7"/>
      <c r="B12" s="65" t="s">
        <v>5</v>
      </c>
      <c r="C12" s="65"/>
      <c r="D12" s="66"/>
    </row>
    <row r="13" spans="1:4" ht="18" x14ac:dyDescent="0.4">
      <c r="A13" s="7"/>
      <c r="B13" s="6"/>
      <c r="C13" s="6"/>
      <c r="D13" s="5"/>
    </row>
    <row r="14" spans="1:4" ht="18" x14ac:dyDescent="0.4">
      <c r="A14" s="7" t="s">
        <v>4</v>
      </c>
      <c r="B14" s="6"/>
      <c r="C14" s="6"/>
      <c r="D14" s="5"/>
    </row>
    <row r="15" spans="1:4" ht="18" x14ac:dyDescent="0.4">
      <c r="A15" s="7"/>
      <c r="B15" s="65" t="s">
        <v>3</v>
      </c>
      <c r="C15" s="65"/>
      <c r="D15" s="66"/>
    </row>
    <row r="16" spans="1:4" ht="18" x14ac:dyDescent="0.4">
      <c r="A16" s="7"/>
      <c r="B16" s="65" t="s">
        <v>2</v>
      </c>
      <c r="C16" s="65"/>
      <c r="D16" s="66"/>
    </row>
    <row r="17" spans="1:4" ht="18" x14ac:dyDescent="0.4">
      <c r="A17" s="7"/>
      <c r="B17" s="6"/>
      <c r="C17" s="6"/>
      <c r="D17" s="5"/>
    </row>
    <row r="18" spans="1:4" ht="18" x14ac:dyDescent="0.4">
      <c r="A18" s="67" t="s">
        <v>1</v>
      </c>
      <c r="B18" s="65"/>
      <c r="C18" s="65"/>
      <c r="D18" s="66"/>
    </row>
    <row r="19" spans="1:4" ht="18" x14ac:dyDescent="0.4">
      <c r="A19" s="7"/>
      <c r="B19" s="6"/>
      <c r="C19" s="6"/>
      <c r="D19" s="5"/>
    </row>
    <row r="20" spans="1:4" ht="18" x14ac:dyDescent="0.4">
      <c r="A20" s="67" t="s">
        <v>0</v>
      </c>
      <c r="B20" s="65"/>
      <c r="C20" s="65"/>
      <c r="D20" s="66"/>
    </row>
    <row r="21" spans="1:4" ht="18.600000000000001" thickBot="1" x14ac:dyDescent="0.45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Dakota_Edomexgral'!A1" display="1. Por Estados de la República Mexicana"/>
    <hyperlink ref="B9" location="'New Jersey_EDOMEX'!A1" display="2.1 Por estado de la República Mexicana y municipio de origen"/>
    <hyperlink ref="B11:D11" location="'South Dakota_Educagral'!A1" display="3.1 Educación general"/>
    <hyperlink ref="B12:D12" location="'South Dakota_Eduedo'!A1" display="3.2 Por Estado de la República Mexicana"/>
    <hyperlink ref="B15:D15" location="'South Dakota_gengral'!A1" display="4.1 Género General"/>
    <hyperlink ref="B16:D16" location="'South Dakota_edomexgen'!A1" display="4.2 Por Estados de la República Mexicana"/>
    <hyperlink ref="A18:D18" location="'South Dakota_edadgen'!A1" display="5. Por estructura de Edad"/>
    <hyperlink ref="A20:D20" location="'South Dakota_ocupgral'!A1" display="6. Por Ocupación"/>
    <hyperlink ref="B9:D9" location="'South Dakot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6"/>
  <sheetViews>
    <sheetView showGridLines="0" topLeftCell="A22" zoomScaleNormal="100" zoomScaleSheetLayoutView="115" workbookViewId="0">
      <selection activeCell="A43" sqref="A40:XFD43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49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48</v>
      </c>
      <c r="C11" s="31" t="s">
        <v>47</v>
      </c>
      <c r="D11" s="30" t="s">
        <v>46</v>
      </c>
    </row>
    <row r="12" spans="2:4" ht="15" customHeight="1" x14ac:dyDescent="0.3">
      <c r="B12" s="27" t="s">
        <v>45</v>
      </c>
      <c r="C12" s="26">
        <v>30</v>
      </c>
      <c r="D12" s="25">
        <v>0.13636363636363635</v>
      </c>
    </row>
    <row r="13" spans="2:4" x14ac:dyDescent="0.3">
      <c r="B13" s="27" t="s">
        <v>44</v>
      </c>
      <c r="C13" s="26">
        <v>23</v>
      </c>
      <c r="D13" s="25">
        <v>0.10454545454545454</v>
      </c>
    </row>
    <row r="14" spans="2:4" s="28" customFormat="1" ht="15" x14ac:dyDescent="0.3">
      <c r="B14" s="27" t="s">
        <v>43</v>
      </c>
      <c r="C14" s="26">
        <v>15</v>
      </c>
      <c r="D14" s="25">
        <v>6.8181818181818177E-2</v>
      </c>
    </row>
    <row r="15" spans="2:4" s="28" customFormat="1" ht="15" x14ac:dyDescent="0.3">
      <c r="B15" s="27" t="s">
        <v>42</v>
      </c>
      <c r="C15" s="26">
        <v>15</v>
      </c>
      <c r="D15" s="25">
        <v>6.8181818181818177E-2</v>
      </c>
    </row>
    <row r="16" spans="2:4" x14ac:dyDescent="0.3">
      <c r="B16" s="27" t="s">
        <v>41</v>
      </c>
      <c r="C16" s="26">
        <v>15</v>
      </c>
      <c r="D16" s="25">
        <v>6.8181818181818177E-2</v>
      </c>
    </row>
    <row r="17" spans="2:4" x14ac:dyDescent="0.3">
      <c r="B17" s="27" t="s">
        <v>40</v>
      </c>
      <c r="C17" s="26">
        <v>14</v>
      </c>
      <c r="D17" s="25">
        <v>6.363636363636363E-2</v>
      </c>
    </row>
    <row r="18" spans="2:4" x14ac:dyDescent="0.3">
      <c r="B18" s="27" t="s">
        <v>39</v>
      </c>
      <c r="C18" s="26">
        <v>13</v>
      </c>
      <c r="D18" s="25">
        <v>5.909090909090909E-2</v>
      </c>
    </row>
    <row r="19" spans="2:4" x14ac:dyDescent="0.3">
      <c r="B19" s="27" t="s">
        <v>38</v>
      </c>
      <c r="C19" s="26">
        <v>13</v>
      </c>
      <c r="D19" s="25">
        <v>5.909090909090909E-2</v>
      </c>
    </row>
    <row r="20" spans="2:4" x14ac:dyDescent="0.3">
      <c r="B20" s="27" t="s">
        <v>37</v>
      </c>
      <c r="C20" s="26">
        <v>10</v>
      </c>
      <c r="D20" s="25">
        <v>4.5454545454545456E-2</v>
      </c>
    </row>
    <row r="21" spans="2:4" x14ac:dyDescent="0.3">
      <c r="B21" s="27" t="s">
        <v>36</v>
      </c>
      <c r="C21" s="26">
        <v>9</v>
      </c>
      <c r="D21" s="25">
        <v>4.0909090909090909E-2</v>
      </c>
    </row>
    <row r="22" spans="2:4" x14ac:dyDescent="0.3">
      <c r="B22" s="27" t="s">
        <v>35</v>
      </c>
      <c r="C22" s="26">
        <v>9</v>
      </c>
      <c r="D22" s="25">
        <v>4.0909090909090909E-2</v>
      </c>
    </row>
    <row r="23" spans="2:4" x14ac:dyDescent="0.3">
      <c r="B23" s="27" t="s">
        <v>34</v>
      </c>
      <c r="C23" s="26">
        <v>8</v>
      </c>
      <c r="D23" s="25">
        <v>3.6363636363636362E-2</v>
      </c>
    </row>
    <row r="24" spans="2:4" x14ac:dyDescent="0.3">
      <c r="B24" s="27" t="s">
        <v>33</v>
      </c>
      <c r="C24" s="26">
        <v>6</v>
      </c>
      <c r="D24" s="25">
        <v>2.7272727272727271E-2</v>
      </c>
    </row>
    <row r="25" spans="2:4" x14ac:dyDescent="0.3">
      <c r="B25" s="27" t="s">
        <v>32</v>
      </c>
      <c r="C25" s="26">
        <v>6</v>
      </c>
      <c r="D25" s="25">
        <v>2.7272727272727271E-2</v>
      </c>
    </row>
    <row r="26" spans="2:4" x14ac:dyDescent="0.3">
      <c r="B26" s="27" t="s">
        <v>31</v>
      </c>
      <c r="C26" s="26">
        <v>5</v>
      </c>
      <c r="D26" s="25">
        <v>2.2727272727272728E-2</v>
      </c>
    </row>
    <row r="27" spans="2:4" x14ac:dyDescent="0.3">
      <c r="B27" s="27" t="s">
        <v>30</v>
      </c>
      <c r="C27" s="26">
        <v>4</v>
      </c>
      <c r="D27" s="25">
        <v>1.8181818181818181E-2</v>
      </c>
    </row>
    <row r="28" spans="2:4" x14ac:dyDescent="0.3">
      <c r="B28" s="27" t="s">
        <v>29</v>
      </c>
      <c r="C28" s="26">
        <v>4</v>
      </c>
      <c r="D28" s="25">
        <v>1.8181818181818181E-2</v>
      </c>
    </row>
    <row r="29" spans="2:4" x14ac:dyDescent="0.3">
      <c r="B29" s="27" t="s">
        <v>28</v>
      </c>
      <c r="C29" s="26">
        <v>4</v>
      </c>
      <c r="D29" s="25">
        <v>1.8181818181818181E-2</v>
      </c>
    </row>
    <row r="30" spans="2:4" x14ac:dyDescent="0.3">
      <c r="B30" s="27" t="s">
        <v>27</v>
      </c>
      <c r="C30" s="26">
        <v>4</v>
      </c>
      <c r="D30" s="25">
        <v>1.8181818181818181E-2</v>
      </c>
    </row>
    <row r="31" spans="2:4" x14ac:dyDescent="0.3">
      <c r="B31" s="27" t="s">
        <v>26</v>
      </c>
      <c r="C31" s="26">
        <v>3</v>
      </c>
      <c r="D31" s="25">
        <v>1.3636363636363636E-2</v>
      </c>
    </row>
    <row r="32" spans="2:4" x14ac:dyDescent="0.3">
      <c r="B32" s="27" t="s">
        <v>25</v>
      </c>
      <c r="C32" s="26">
        <v>2</v>
      </c>
      <c r="D32" s="25">
        <v>9.0909090909090905E-3</v>
      </c>
    </row>
    <row r="33" spans="2:4" x14ac:dyDescent="0.3">
      <c r="B33" s="27" t="s">
        <v>24</v>
      </c>
      <c r="C33" s="26">
        <v>2</v>
      </c>
      <c r="D33" s="25">
        <v>9.0909090909090905E-3</v>
      </c>
    </row>
    <row r="34" spans="2:4" x14ac:dyDescent="0.3">
      <c r="B34" s="27" t="s">
        <v>23</v>
      </c>
      <c r="C34" s="26">
        <v>1</v>
      </c>
      <c r="D34" s="25">
        <v>4.5454545454545452E-3</v>
      </c>
    </row>
    <row r="35" spans="2:4" x14ac:dyDescent="0.3">
      <c r="B35" s="27" t="s">
        <v>22</v>
      </c>
      <c r="C35" s="26">
        <v>1</v>
      </c>
      <c r="D35" s="25">
        <v>4.5454545454545452E-3</v>
      </c>
    </row>
    <row r="36" spans="2:4" x14ac:dyDescent="0.3">
      <c r="B36" s="27" t="s">
        <v>21</v>
      </c>
      <c r="C36" s="26">
        <v>1</v>
      </c>
      <c r="D36" s="25">
        <v>4.5454545454545452E-3</v>
      </c>
    </row>
    <row r="37" spans="2:4" x14ac:dyDescent="0.3">
      <c r="B37" s="27" t="s">
        <v>20</v>
      </c>
      <c r="C37" s="26">
        <v>1</v>
      </c>
      <c r="D37" s="25">
        <v>4.5454545454545452E-3</v>
      </c>
    </row>
    <row r="38" spans="2:4" x14ac:dyDescent="0.3">
      <c r="B38" s="27" t="s">
        <v>19</v>
      </c>
      <c r="C38" s="26">
        <v>1</v>
      </c>
      <c r="D38" s="25">
        <v>4.5454545454545452E-3</v>
      </c>
    </row>
    <row r="39" spans="2:4" x14ac:dyDescent="0.3">
      <c r="B39" s="27" t="s">
        <v>18</v>
      </c>
      <c r="C39" s="26">
        <v>1</v>
      </c>
      <c r="D39" s="25">
        <v>4.5454545454545452E-3</v>
      </c>
    </row>
    <row r="40" spans="2:4" x14ac:dyDescent="0.3">
      <c r="B40" s="24" t="s">
        <v>17</v>
      </c>
      <c r="C40" s="23">
        <v>220</v>
      </c>
      <c r="D40" s="22">
        <v>1</v>
      </c>
    </row>
    <row r="42" spans="2:4" x14ac:dyDescent="0.3">
      <c r="B42" s="19" t="s">
        <v>16</v>
      </c>
    </row>
    <row r="43" spans="2:4" x14ac:dyDescent="0.3">
      <c r="B43" s="21" t="s">
        <v>15</v>
      </c>
    </row>
    <row r="44" spans="2:4" x14ac:dyDescent="0.3">
      <c r="B44" s="20" t="s">
        <v>14</v>
      </c>
    </row>
    <row r="45" spans="2:4" x14ac:dyDescent="0.3">
      <c r="B45" s="19" t="s">
        <v>13</v>
      </c>
    </row>
    <row r="46" spans="2:4" x14ac:dyDescent="0.3">
      <c r="B46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150" zoomScaleNormal="100" zoomScaleSheetLayoutView="100" workbookViewId="0">
      <selection activeCell="E176" sqref="E176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48</v>
      </c>
      <c r="C9" s="51" t="s">
        <v>183</v>
      </c>
      <c r="D9" s="50" t="s">
        <v>47</v>
      </c>
      <c r="E9" s="49" t="s">
        <v>46</v>
      </c>
    </row>
    <row r="10" spans="1:5" ht="15" customHeight="1" x14ac:dyDescent="0.3">
      <c r="B10" s="75" t="s">
        <v>25</v>
      </c>
      <c r="C10" s="47" t="s">
        <v>182</v>
      </c>
      <c r="D10" s="46">
        <v>2</v>
      </c>
      <c r="E10" s="45">
        <v>9.0909090909090905E-3</v>
      </c>
    </row>
    <row r="11" spans="1:5" ht="15" customHeight="1" x14ac:dyDescent="0.3">
      <c r="B11" s="76"/>
      <c r="C11" s="44" t="s">
        <v>17</v>
      </c>
      <c r="D11" s="43">
        <v>2</v>
      </c>
      <c r="E11" s="42">
        <v>9.0909090909090905E-3</v>
      </c>
    </row>
    <row r="12" spans="1:5" ht="15" customHeight="1" x14ac:dyDescent="0.3">
      <c r="B12" s="75" t="s">
        <v>26</v>
      </c>
      <c r="C12" s="47" t="s">
        <v>181</v>
      </c>
      <c r="D12" s="46">
        <v>2</v>
      </c>
      <c r="E12" s="45">
        <v>9.0909090909090905E-3</v>
      </c>
    </row>
    <row r="13" spans="1:5" ht="15" customHeight="1" x14ac:dyDescent="0.3">
      <c r="B13" s="77"/>
      <c r="C13" s="47" t="s">
        <v>180</v>
      </c>
      <c r="D13" s="46">
        <v>1</v>
      </c>
      <c r="E13" s="45">
        <v>4.5454545454545452E-3</v>
      </c>
    </row>
    <row r="14" spans="1:5" ht="15" customHeight="1" x14ac:dyDescent="0.3">
      <c r="B14" s="76"/>
      <c r="C14" s="44" t="s">
        <v>17</v>
      </c>
      <c r="D14" s="43">
        <v>3</v>
      </c>
      <c r="E14" s="42">
        <v>1.3636363636363636E-2</v>
      </c>
    </row>
    <row r="15" spans="1:5" s="48" customFormat="1" ht="15" customHeight="1" x14ac:dyDescent="0.2">
      <c r="B15" s="75" t="s">
        <v>23</v>
      </c>
      <c r="C15" s="47" t="s">
        <v>179</v>
      </c>
      <c r="D15" s="46">
        <v>1</v>
      </c>
      <c r="E15" s="45">
        <v>4.5454545454545452E-3</v>
      </c>
    </row>
    <row r="16" spans="1:5" s="48" customFormat="1" ht="15" customHeight="1" x14ac:dyDescent="0.2">
      <c r="B16" s="76"/>
      <c r="C16" s="44" t="s">
        <v>17</v>
      </c>
      <c r="D16" s="43">
        <v>1</v>
      </c>
      <c r="E16" s="42">
        <v>4.5454545454545452E-3</v>
      </c>
    </row>
    <row r="17" spans="2:5" s="48" customFormat="1" ht="15" customHeight="1" x14ac:dyDescent="0.2">
      <c r="B17" s="75" t="s">
        <v>37</v>
      </c>
      <c r="C17" s="47" t="s">
        <v>178</v>
      </c>
      <c r="D17" s="46">
        <v>1</v>
      </c>
      <c r="E17" s="45">
        <v>4.5454545454545452E-3</v>
      </c>
    </row>
    <row r="18" spans="2:5" s="48" customFormat="1" ht="15" customHeight="1" x14ac:dyDescent="0.2">
      <c r="B18" s="77"/>
      <c r="C18" s="47" t="s">
        <v>177</v>
      </c>
      <c r="D18" s="46">
        <v>4</v>
      </c>
      <c r="E18" s="45">
        <v>1.8181818181818181E-2</v>
      </c>
    </row>
    <row r="19" spans="2:5" s="48" customFormat="1" ht="15" customHeight="1" x14ac:dyDescent="0.2">
      <c r="B19" s="77"/>
      <c r="C19" s="47" t="s">
        <v>176</v>
      </c>
      <c r="D19" s="46">
        <v>1</v>
      </c>
      <c r="E19" s="45">
        <v>4.5454545454545452E-3</v>
      </c>
    </row>
    <row r="20" spans="2:5" ht="15" customHeight="1" x14ac:dyDescent="0.3">
      <c r="B20" s="77"/>
      <c r="C20" s="47" t="s">
        <v>175</v>
      </c>
      <c r="D20" s="46">
        <v>2</v>
      </c>
      <c r="E20" s="45">
        <v>9.0909090909090905E-3</v>
      </c>
    </row>
    <row r="21" spans="2:5" ht="15" customHeight="1" x14ac:dyDescent="0.3">
      <c r="B21" s="77"/>
      <c r="C21" s="47" t="s">
        <v>174</v>
      </c>
      <c r="D21" s="46">
        <v>2</v>
      </c>
      <c r="E21" s="45">
        <v>9.0909090909090905E-3</v>
      </c>
    </row>
    <row r="22" spans="2:5" ht="15" customHeight="1" x14ac:dyDescent="0.3">
      <c r="B22" s="76"/>
      <c r="C22" s="44" t="s">
        <v>17</v>
      </c>
      <c r="D22" s="43">
        <v>10</v>
      </c>
      <c r="E22" s="42">
        <v>4.5454545454545456E-2</v>
      </c>
    </row>
    <row r="23" spans="2:5" ht="15" customHeight="1" x14ac:dyDescent="0.3">
      <c r="B23" s="75" t="s">
        <v>36</v>
      </c>
      <c r="C23" s="47" t="s">
        <v>173</v>
      </c>
      <c r="D23" s="46">
        <v>2</v>
      </c>
      <c r="E23" s="45">
        <v>9.0909090909090905E-3</v>
      </c>
    </row>
    <row r="24" spans="2:5" ht="15" customHeight="1" x14ac:dyDescent="0.3">
      <c r="B24" s="77"/>
      <c r="C24" s="47" t="s">
        <v>172</v>
      </c>
      <c r="D24" s="46">
        <v>3</v>
      </c>
      <c r="E24" s="45">
        <v>1.3636363636363636E-2</v>
      </c>
    </row>
    <row r="25" spans="2:5" ht="15" customHeight="1" x14ac:dyDescent="0.3">
      <c r="B25" s="77"/>
      <c r="C25" s="47" t="s">
        <v>171</v>
      </c>
      <c r="D25" s="46">
        <v>2</v>
      </c>
      <c r="E25" s="45">
        <v>9.0909090909090905E-3</v>
      </c>
    </row>
    <row r="26" spans="2:5" ht="15" customHeight="1" x14ac:dyDescent="0.3">
      <c r="B26" s="77"/>
      <c r="C26" s="47" t="s">
        <v>170</v>
      </c>
      <c r="D26" s="46">
        <v>2</v>
      </c>
      <c r="E26" s="45">
        <v>9.0909090909090905E-3</v>
      </c>
    </row>
    <row r="27" spans="2:5" ht="15" customHeight="1" x14ac:dyDescent="0.3">
      <c r="B27" s="76"/>
      <c r="C27" s="44" t="s">
        <v>17</v>
      </c>
      <c r="D27" s="43">
        <v>9</v>
      </c>
      <c r="E27" s="42">
        <v>4.0909090909090909E-2</v>
      </c>
    </row>
    <row r="28" spans="2:5" ht="15" customHeight="1" x14ac:dyDescent="0.3">
      <c r="B28" s="75" t="s">
        <v>22</v>
      </c>
      <c r="C28" s="47" t="s">
        <v>169</v>
      </c>
      <c r="D28" s="46">
        <v>1</v>
      </c>
      <c r="E28" s="45">
        <v>4.5454545454545452E-3</v>
      </c>
    </row>
    <row r="29" spans="2:5" ht="15" customHeight="1" x14ac:dyDescent="0.3">
      <c r="B29" s="76"/>
      <c r="C29" s="44" t="s">
        <v>17</v>
      </c>
      <c r="D29" s="43">
        <v>1</v>
      </c>
      <c r="E29" s="42">
        <v>4.5454545454545452E-3</v>
      </c>
    </row>
    <row r="30" spans="2:5" ht="15" customHeight="1" x14ac:dyDescent="0.3">
      <c r="B30" s="75" t="s">
        <v>40</v>
      </c>
      <c r="C30" s="47" t="s">
        <v>168</v>
      </c>
      <c r="D30" s="46">
        <v>1</v>
      </c>
      <c r="E30" s="45">
        <v>4.5454545454545452E-3</v>
      </c>
    </row>
    <row r="31" spans="2:5" ht="15" customHeight="1" x14ac:dyDescent="0.3">
      <c r="B31" s="77"/>
      <c r="C31" s="47" t="s">
        <v>167</v>
      </c>
      <c r="D31" s="46">
        <v>1</v>
      </c>
      <c r="E31" s="45">
        <v>4.5454545454545452E-3</v>
      </c>
    </row>
    <row r="32" spans="2:5" ht="15" customHeight="1" x14ac:dyDescent="0.3">
      <c r="B32" s="77"/>
      <c r="C32" s="47" t="s">
        <v>166</v>
      </c>
      <c r="D32" s="46">
        <v>2</v>
      </c>
      <c r="E32" s="45">
        <v>9.0909090909090905E-3</v>
      </c>
    </row>
    <row r="33" spans="2:5" ht="15" customHeight="1" x14ac:dyDescent="0.3">
      <c r="B33" s="77"/>
      <c r="C33" s="47" t="s">
        <v>165</v>
      </c>
      <c r="D33" s="46">
        <v>3</v>
      </c>
      <c r="E33" s="45">
        <v>1.3636363636363636E-2</v>
      </c>
    </row>
    <row r="34" spans="2:5" ht="15" customHeight="1" x14ac:dyDescent="0.3">
      <c r="B34" s="77"/>
      <c r="C34" s="47" t="s">
        <v>164</v>
      </c>
      <c r="D34" s="46">
        <v>1</v>
      </c>
      <c r="E34" s="45">
        <v>4.5454545454545452E-3</v>
      </c>
    </row>
    <row r="35" spans="2:5" ht="15" customHeight="1" x14ac:dyDescent="0.3">
      <c r="B35" s="77"/>
      <c r="C35" s="47" t="s">
        <v>163</v>
      </c>
      <c r="D35" s="46">
        <v>1</v>
      </c>
      <c r="E35" s="45">
        <v>4.5454545454545452E-3</v>
      </c>
    </row>
    <row r="36" spans="2:5" ht="15" customHeight="1" x14ac:dyDescent="0.3">
      <c r="B36" s="77"/>
      <c r="C36" s="47" t="s">
        <v>162</v>
      </c>
      <c r="D36" s="46">
        <v>5</v>
      </c>
      <c r="E36" s="45">
        <v>2.2727272727272728E-2</v>
      </c>
    </row>
    <row r="37" spans="2:5" ht="15" customHeight="1" x14ac:dyDescent="0.3">
      <c r="B37" s="76"/>
      <c r="C37" s="44" t="s">
        <v>17</v>
      </c>
      <c r="D37" s="43">
        <v>14</v>
      </c>
      <c r="E37" s="42">
        <v>6.363636363636363E-2</v>
      </c>
    </row>
    <row r="38" spans="2:5" ht="15" customHeight="1" x14ac:dyDescent="0.3">
      <c r="B38" s="75" t="s">
        <v>30</v>
      </c>
      <c r="C38" s="47" t="s">
        <v>235</v>
      </c>
      <c r="D38" s="46">
        <v>2</v>
      </c>
      <c r="E38" s="45">
        <v>9.0909090909090905E-3</v>
      </c>
    </row>
    <row r="39" spans="2:5" ht="15" customHeight="1" x14ac:dyDescent="0.3">
      <c r="B39" s="77"/>
      <c r="C39" s="47" t="s">
        <v>30</v>
      </c>
      <c r="D39" s="46">
        <v>1</v>
      </c>
      <c r="E39" s="45">
        <v>4.5454545454545452E-3</v>
      </c>
    </row>
    <row r="40" spans="2:5" ht="15" customHeight="1" x14ac:dyDescent="0.3">
      <c r="B40" s="77"/>
      <c r="C40" s="47" t="s">
        <v>161</v>
      </c>
      <c r="D40" s="46">
        <v>1</v>
      </c>
      <c r="E40" s="45">
        <v>4.5454545454545452E-3</v>
      </c>
    </row>
    <row r="41" spans="2:5" ht="15" customHeight="1" x14ac:dyDescent="0.3">
      <c r="B41" s="76"/>
      <c r="C41" s="44" t="s">
        <v>17</v>
      </c>
      <c r="D41" s="43">
        <v>4</v>
      </c>
      <c r="E41" s="42">
        <v>1.8181818181818181E-2</v>
      </c>
    </row>
    <row r="42" spans="2:5" ht="15" customHeight="1" x14ac:dyDescent="0.3">
      <c r="B42" s="75" t="s">
        <v>43</v>
      </c>
      <c r="C42" s="47" t="s">
        <v>160</v>
      </c>
      <c r="D42" s="46">
        <v>1</v>
      </c>
      <c r="E42" s="45">
        <v>4.5454545454545452E-3</v>
      </c>
    </row>
    <row r="43" spans="2:5" ht="15" customHeight="1" x14ac:dyDescent="0.3">
      <c r="B43" s="77"/>
      <c r="C43" s="47" t="s">
        <v>159</v>
      </c>
      <c r="D43" s="46">
        <v>2</v>
      </c>
      <c r="E43" s="45">
        <v>9.0909090909090905E-3</v>
      </c>
    </row>
    <row r="44" spans="2:5" ht="15" customHeight="1" x14ac:dyDescent="0.3">
      <c r="B44" s="77"/>
      <c r="C44" s="47" t="s">
        <v>158</v>
      </c>
      <c r="D44" s="46">
        <v>1</v>
      </c>
      <c r="E44" s="45">
        <v>4.5454545454545452E-3</v>
      </c>
    </row>
    <row r="45" spans="2:5" ht="15" customHeight="1" x14ac:dyDescent="0.3">
      <c r="B45" s="77"/>
      <c r="C45" s="47" t="s">
        <v>157</v>
      </c>
      <c r="D45" s="46">
        <v>1</v>
      </c>
      <c r="E45" s="45">
        <v>4.5454545454545452E-3</v>
      </c>
    </row>
    <row r="46" spans="2:5" ht="15" customHeight="1" x14ac:dyDescent="0.3">
      <c r="B46" s="77"/>
      <c r="C46" s="47" t="s">
        <v>156</v>
      </c>
      <c r="D46" s="46">
        <v>7</v>
      </c>
      <c r="E46" s="45">
        <v>3.1818181818181815E-2</v>
      </c>
    </row>
    <row r="47" spans="2:5" ht="15" customHeight="1" x14ac:dyDescent="0.3">
      <c r="B47" s="77"/>
      <c r="C47" s="47" t="s">
        <v>155</v>
      </c>
      <c r="D47" s="46">
        <v>1</v>
      </c>
      <c r="E47" s="45">
        <v>4.5454545454545452E-3</v>
      </c>
    </row>
    <row r="48" spans="2:5" ht="15" customHeight="1" x14ac:dyDescent="0.3">
      <c r="B48" s="77"/>
      <c r="C48" s="47" t="s">
        <v>154</v>
      </c>
      <c r="D48" s="46">
        <v>2</v>
      </c>
      <c r="E48" s="45">
        <v>9.0909090909090905E-3</v>
      </c>
    </row>
    <row r="49" spans="2:5" ht="15" customHeight="1" x14ac:dyDescent="0.3">
      <c r="B49" s="76"/>
      <c r="C49" s="44" t="s">
        <v>17</v>
      </c>
      <c r="D49" s="43">
        <v>15</v>
      </c>
      <c r="E49" s="42">
        <v>6.8181818181818177E-2</v>
      </c>
    </row>
    <row r="50" spans="2:5" ht="15" customHeight="1" x14ac:dyDescent="0.3">
      <c r="B50" s="75" t="s">
        <v>39</v>
      </c>
      <c r="C50" s="47" t="s">
        <v>39</v>
      </c>
      <c r="D50" s="46">
        <v>1</v>
      </c>
      <c r="E50" s="45">
        <v>4.5454545454545452E-3</v>
      </c>
    </row>
    <row r="51" spans="2:5" ht="15" customHeight="1" x14ac:dyDescent="0.3">
      <c r="B51" s="77"/>
      <c r="C51" s="47" t="s">
        <v>153</v>
      </c>
      <c r="D51" s="46">
        <v>1</v>
      </c>
      <c r="E51" s="45">
        <v>4.5454545454545452E-3</v>
      </c>
    </row>
    <row r="52" spans="2:5" ht="15" customHeight="1" x14ac:dyDescent="0.3">
      <c r="B52" s="77"/>
      <c r="C52" s="47" t="s">
        <v>152</v>
      </c>
      <c r="D52" s="46">
        <v>7</v>
      </c>
      <c r="E52" s="45">
        <v>3.1818181818181815E-2</v>
      </c>
    </row>
    <row r="53" spans="2:5" ht="15" customHeight="1" x14ac:dyDescent="0.3">
      <c r="B53" s="77"/>
      <c r="C53" s="47" t="s">
        <v>151</v>
      </c>
      <c r="D53" s="46">
        <v>3</v>
      </c>
      <c r="E53" s="45">
        <v>1.3636363636363636E-2</v>
      </c>
    </row>
    <row r="54" spans="2:5" ht="15" customHeight="1" x14ac:dyDescent="0.3">
      <c r="B54" s="77"/>
      <c r="C54" s="47" t="s">
        <v>150</v>
      </c>
      <c r="D54" s="46">
        <v>1</v>
      </c>
      <c r="E54" s="45">
        <v>4.5454545454545452E-3</v>
      </c>
    </row>
    <row r="55" spans="2:5" ht="15" customHeight="1" x14ac:dyDescent="0.3">
      <c r="B55" s="76"/>
      <c r="C55" s="44" t="s">
        <v>17</v>
      </c>
      <c r="D55" s="43">
        <v>13</v>
      </c>
      <c r="E55" s="42">
        <v>5.909090909090909E-2</v>
      </c>
    </row>
    <row r="56" spans="2:5" ht="15" customHeight="1" x14ac:dyDescent="0.3">
      <c r="B56" s="75" t="s">
        <v>44</v>
      </c>
      <c r="C56" s="47" t="s">
        <v>149</v>
      </c>
      <c r="D56" s="46">
        <v>1</v>
      </c>
      <c r="E56" s="45">
        <v>4.5454545454545452E-3</v>
      </c>
    </row>
    <row r="57" spans="2:5" ht="15" customHeight="1" x14ac:dyDescent="0.3">
      <c r="B57" s="77"/>
      <c r="C57" s="47" t="s">
        <v>148</v>
      </c>
      <c r="D57" s="46">
        <v>1</v>
      </c>
      <c r="E57" s="45">
        <v>4.5454545454545452E-3</v>
      </c>
    </row>
    <row r="58" spans="2:5" ht="15" customHeight="1" x14ac:dyDescent="0.3">
      <c r="B58" s="77"/>
      <c r="C58" s="47" t="s">
        <v>147</v>
      </c>
      <c r="D58" s="46">
        <v>1</v>
      </c>
      <c r="E58" s="45">
        <v>4.5454545454545452E-3</v>
      </c>
    </row>
    <row r="59" spans="2:5" ht="15" customHeight="1" x14ac:dyDescent="0.3">
      <c r="B59" s="77"/>
      <c r="C59" s="47" t="s">
        <v>146</v>
      </c>
      <c r="D59" s="46">
        <v>1</v>
      </c>
      <c r="E59" s="45">
        <v>4.5454545454545452E-3</v>
      </c>
    </row>
    <row r="60" spans="2:5" ht="15" customHeight="1" x14ac:dyDescent="0.3">
      <c r="B60" s="77"/>
      <c r="C60" s="47" t="s">
        <v>145</v>
      </c>
      <c r="D60" s="46">
        <v>1</v>
      </c>
      <c r="E60" s="45">
        <v>4.5454545454545452E-3</v>
      </c>
    </row>
    <row r="61" spans="2:5" ht="15" customHeight="1" x14ac:dyDescent="0.3">
      <c r="B61" s="77"/>
      <c r="C61" s="47" t="s">
        <v>144</v>
      </c>
      <c r="D61" s="46">
        <v>1</v>
      </c>
      <c r="E61" s="45">
        <v>4.5454545454545452E-3</v>
      </c>
    </row>
    <row r="62" spans="2:5" ht="15" customHeight="1" x14ac:dyDescent="0.3">
      <c r="B62" s="77"/>
      <c r="C62" s="47" t="s">
        <v>143</v>
      </c>
      <c r="D62" s="46">
        <v>1</v>
      </c>
      <c r="E62" s="45">
        <v>4.5454545454545452E-3</v>
      </c>
    </row>
    <row r="63" spans="2:5" ht="15" customHeight="1" x14ac:dyDescent="0.3">
      <c r="B63" s="77"/>
      <c r="C63" s="47" t="s">
        <v>142</v>
      </c>
      <c r="D63" s="46">
        <v>3</v>
      </c>
      <c r="E63" s="45">
        <v>1.3636363636363636E-2</v>
      </c>
    </row>
    <row r="64" spans="2:5" ht="15" customHeight="1" x14ac:dyDescent="0.3">
      <c r="B64" s="77"/>
      <c r="C64" s="47" t="s">
        <v>141</v>
      </c>
      <c r="D64" s="46">
        <v>3</v>
      </c>
      <c r="E64" s="45">
        <v>1.3636363636363636E-2</v>
      </c>
    </row>
    <row r="65" spans="2:5" ht="15" customHeight="1" x14ac:dyDescent="0.3">
      <c r="B65" s="77"/>
      <c r="C65" s="47" t="s">
        <v>140</v>
      </c>
      <c r="D65" s="46">
        <v>1</v>
      </c>
      <c r="E65" s="45">
        <v>4.5454545454545452E-3</v>
      </c>
    </row>
    <row r="66" spans="2:5" ht="15" customHeight="1" x14ac:dyDescent="0.3">
      <c r="B66" s="77"/>
      <c r="C66" s="47" t="s">
        <v>139</v>
      </c>
      <c r="D66" s="46">
        <v>1</v>
      </c>
      <c r="E66" s="45">
        <v>4.5454545454545452E-3</v>
      </c>
    </row>
    <row r="67" spans="2:5" ht="15" customHeight="1" x14ac:dyDescent="0.3">
      <c r="B67" s="77"/>
      <c r="C67" s="47" t="s">
        <v>138</v>
      </c>
      <c r="D67" s="46">
        <v>7</v>
      </c>
      <c r="E67" s="45">
        <v>3.1818181818181815E-2</v>
      </c>
    </row>
    <row r="68" spans="2:5" ht="15" customHeight="1" x14ac:dyDescent="0.3">
      <c r="B68" s="77"/>
      <c r="C68" s="47" t="s">
        <v>137</v>
      </c>
      <c r="D68" s="46">
        <v>1</v>
      </c>
      <c r="E68" s="45">
        <v>4.5454545454545452E-3</v>
      </c>
    </row>
    <row r="69" spans="2:5" ht="15" customHeight="1" x14ac:dyDescent="0.3">
      <c r="B69" s="76"/>
      <c r="C69" s="44" t="s">
        <v>17</v>
      </c>
      <c r="D69" s="43">
        <v>23</v>
      </c>
      <c r="E69" s="42">
        <v>0.10454545454545454</v>
      </c>
    </row>
    <row r="70" spans="2:5" ht="15" customHeight="1" x14ac:dyDescent="0.3">
      <c r="B70" s="75" t="s">
        <v>21</v>
      </c>
      <c r="C70" s="47" t="s">
        <v>136</v>
      </c>
      <c r="D70" s="46">
        <v>1</v>
      </c>
      <c r="E70" s="45">
        <v>4.5454545454545452E-3</v>
      </c>
    </row>
    <row r="71" spans="2:5" ht="15" customHeight="1" x14ac:dyDescent="0.3">
      <c r="B71" s="76"/>
      <c r="C71" s="44" t="s">
        <v>17</v>
      </c>
      <c r="D71" s="43">
        <v>1</v>
      </c>
      <c r="E71" s="42">
        <v>4.5454545454545452E-3</v>
      </c>
    </row>
    <row r="72" spans="2:5" ht="15" customHeight="1" x14ac:dyDescent="0.3">
      <c r="B72" s="75" t="s">
        <v>45</v>
      </c>
      <c r="C72" s="47" t="s">
        <v>135</v>
      </c>
      <c r="D72" s="46">
        <v>3</v>
      </c>
      <c r="E72" s="45">
        <v>1.3636363636363636E-2</v>
      </c>
    </row>
    <row r="73" spans="2:5" ht="15" customHeight="1" x14ac:dyDescent="0.3">
      <c r="B73" s="77"/>
      <c r="C73" s="47" t="s">
        <v>134</v>
      </c>
      <c r="D73" s="46">
        <v>1</v>
      </c>
      <c r="E73" s="45">
        <v>4.5454545454545452E-3</v>
      </c>
    </row>
    <row r="74" spans="2:5" ht="15" customHeight="1" x14ac:dyDescent="0.3">
      <c r="B74" s="77"/>
      <c r="C74" s="47" t="s">
        <v>133</v>
      </c>
      <c r="D74" s="46">
        <v>4</v>
      </c>
      <c r="E74" s="45">
        <v>1.8181818181818181E-2</v>
      </c>
    </row>
    <row r="75" spans="2:5" ht="15" customHeight="1" x14ac:dyDescent="0.3">
      <c r="B75" s="77"/>
      <c r="C75" s="47" t="s">
        <v>132</v>
      </c>
      <c r="D75" s="46">
        <v>5</v>
      </c>
      <c r="E75" s="45">
        <v>2.2727272727272728E-2</v>
      </c>
    </row>
    <row r="76" spans="2:5" ht="15" customHeight="1" x14ac:dyDescent="0.3">
      <c r="B76" s="77"/>
      <c r="C76" s="47" t="s">
        <v>131</v>
      </c>
      <c r="D76" s="46">
        <v>3</v>
      </c>
      <c r="E76" s="45">
        <v>1.3636363636363636E-2</v>
      </c>
    </row>
    <row r="77" spans="2:5" ht="15" customHeight="1" x14ac:dyDescent="0.3">
      <c r="B77" s="77"/>
      <c r="C77" s="47" t="s">
        <v>130</v>
      </c>
      <c r="D77" s="46">
        <v>2</v>
      </c>
      <c r="E77" s="45">
        <v>9.0909090909090905E-3</v>
      </c>
    </row>
    <row r="78" spans="2:5" ht="15" customHeight="1" x14ac:dyDescent="0.3">
      <c r="B78" s="77"/>
      <c r="C78" s="47" t="s">
        <v>129</v>
      </c>
      <c r="D78" s="46">
        <v>1</v>
      </c>
      <c r="E78" s="45">
        <v>4.5454545454545452E-3</v>
      </c>
    </row>
    <row r="79" spans="2:5" ht="15" customHeight="1" x14ac:dyDescent="0.3">
      <c r="B79" s="77"/>
      <c r="C79" s="47" t="s">
        <v>128</v>
      </c>
      <c r="D79" s="46">
        <v>2</v>
      </c>
      <c r="E79" s="45">
        <v>9.0909090909090905E-3</v>
      </c>
    </row>
    <row r="80" spans="2:5" ht="15" customHeight="1" x14ac:dyDescent="0.3">
      <c r="B80" s="77"/>
      <c r="C80" s="47" t="s">
        <v>127</v>
      </c>
      <c r="D80" s="46">
        <v>1</v>
      </c>
      <c r="E80" s="45">
        <v>4.5454545454545452E-3</v>
      </c>
    </row>
    <row r="81" spans="2:5" ht="15" customHeight="1" x14ac:dyDescent="0.3">
      <c r="B81" s="77"/>
      <c r="C81" s="47" t="s">
        <v>126</v>
      </c>
      <c r="D81" s="46">
        <v>1</v>
      </c>
      <c r="E81" s="45">
        <v>4.5454545454545452E-3</v>
      </c>
    </row>
    <row r="82" spans="2:5" ht="15" customHeight="1" x14ac:dyDescent="0.3">
      <c r="B82" s="77"/>
      <c r="C82" s="47" t="s">
        <v>125</v>
      </c>
      <c r="D82" s="46">
        <v>1</v>
      </c>
      <c r="E82" s="45">
        <v>4.5454545454545452E-3</v>
      </c>
    </row>
    <row r="83" spans="2:5" ht="15" customHeight="1" x14ac:dyDescent="0.3">
      <c r="B83" s="77"/>
      <c r="C83" s="47" t="s">
        <v>124</v>
      </c>
      <c r="D83" s="46">
        <v>1</v>
      </c>
      <c r="E83" s="45">
        <v>4.5454545454545452E-3</v>
      </c>
    </row>
    <row r="84" spans="2:5" ht="15" customHeight="1" x14ac:dyDescent="0.3">
      <c r="B84" s="77"/>
      <c r="C84" s="47" t="s">
        <v>123</v>
      </c>
      <c r="D84" s="46">
        <v>1</v>
      </c>
      <c r="E84" s="45">
        <v>4.5454545454545452E-3</v>
      </c>
    </row>
    <row r="85" spans="2:5" ht="15" customHeight="1" x14ac:dyDescent="0.3">
      <c r="B85" s="77"/>
      <c r="C85" s="47" t="s">
        <v>122</v>
      </c>
      <c r="D85" s="46">
        <v>1</v>
      </c>
      <c r="E85" s="45">
        <v>4.5454545454545452E-3</v>
      </c>
    </row>
    <row r="86" spans="2:5" ht="15" customHeight="1" x14ac:dyDescent="0.3">
      <c r="B86" s="77"/>
      <c r="C86" s="47" t="s">
        <v>121</v>
      </c>
      <c r="D86" s="46">
        <v>1</v>
      </c>
      <c r="E86" s="45">
        <v>4.5454545454545452E-3</v>
      </c>
    </row>
    <row r="87" spans="2:5" ht="15" customHeight="1" x14ac:dyDescent="0.3">
      <c r="B87" s="77"/>
      <c r="C87" s="47" t="s">
        <v>120</v>
      </c>
      <c r="D87" s="46">
        <v>1</v>
      </c>
      <c r="E87" s="45">
        <v>4.5454545454545452E-3</v>
      </c>
    </row>
    <row r="88" spans="2:5" ht="15" customHeight="1" x14ac:dyDescent="0.3">
      <c r="B88" s="77"/>
      <c r="C88" s="47" t="s">
        <v>119</v>
      </c>
      <c r="D88" s="46">
        <v>1</v>
      </c>
      <c r="E88" s="45">
        <v>4.5454545454545452E-3</v>
      </c>
    </row>
    <row r="89" spans="2:5" ht="15" customHeight="1" x14ac:dyDescent="0.3">
      <c r="B89" s="76"/>
      <c r="C89" s="44" t="s">
        <v>17</v>
      </c>
      <c r="D89" s="43">
        <v>30</v>
      </c>
      <c r="E89" s="42">
        <v>0.13636363636363635</v>
      </c>
    </row>
    <row r="90" spans="2:5" ht="15" customHeight="1" x14ac:dyDescent="0.3">
      <c r="B90" s="75" t="s">
        <v>42</v>
      </c>
      <c r="C90" s="47" t="s">
        <v>118</v>
      </c>
      <c r="D90" s="46">
        <v>2</v>
      </c>
      <c r="E90" s="45">
        <v>9.0909090909090905E-3</v>
      </c>
    </row>
    <row r="91" spans="2:5" ht="15" customHeight="1" x14ac:dyDescent="0.3">
      <c r="B91" s="77"/>
      <c r="C91" s="47" t="s">
        <v>117</v>
      </c>
      <c r="D91" s="46">
        <v>1</v>
      </c>
      <c r="E91" s="45">
        <v>4.5454545454545452E-3</v>
      </c>
    </row>
    <row r="92" spans="2:5" ht="15" customHeight="1" x14ac:dyDescent="0.3">
      <c r="B92" s="77"/>
      <c r="C92" s="47" t="s">
        <v>116</v>
      </c>
      <c r="D92" s="46">
        <v>2</v>
      </c>
      <c r="E92" s="45">
        <v>9.0909090909090905E-3</v>
      </c>
    </row>
    <row r="93" spans="2:5" ht="15" customHeight="1" x14ac:dyDescent="0.3">
      <c r="B93" s="77"/>
      <c r="C93" s="47" t="s">
        <v>115</v>
      </c>
      <c r="D93" s="46">
        <v>2</v>
      </c>
      <c r="E93" s="45">
        <v>9.0909090909090905E-3</v>
      </c>
    </row>
    <row r="94" spans="2:5" ht="15" customHeight="1" x14ac:dyDescent="0.3">
      <c r="B94" s="77"/>
      <c r="C94" s="47" t="s">
        <v>114</v>
      </c>
      <c r="D94" s="46">
        <v>1</v>
      </c>
      <c r="E94" s="45">
        <v>4.5454545454545452E-3</v>
      </c>
    </row>
    <row r="95" spans="2:5" ht="15" customHeight="1" x14ac:dyDescent="0.3">
      <c r="B95" s="77"/>
      <c r="C95" s="47" t="s">
        <v>113</v>
      </c>
      <c r="D95" s="46">
        <v>2</v>
      </c>
      <c r="E95" s="45">
        <v>9.0909090909090905E-3</v>
      </c>
    </row>
    <row r="96" spans="2:5" ht="15" customHeight="1" x14ac:dyDescent="0.3">
      <c r="B96" s="77"/>
      <c r="C96" s="47" t="s">
        <v>112</v>
      </c>
      <c r="D96" s="46">
        <v>2</v>
      </c>
      <c r="E96" s="45">
        <v>9.0909090909090905E-3</v>
      </c>
    </row>
    <row r="97" spans="2:5" ht="15" customHeight="1" x14ac:dyDescent="0.3">
      <c r="B97" s="77"/>
      <c r="C97" s="47" t="s">
        <v>111</v>
      </c>
      <c r="D97" s="46">
        <v>1</v>
      </c>
      <c r="E97" s="45">
        <v>4.5454545454545452E-3</v>
      </c>
    </row>
    <row r="98" spans="2:5" ht="15" customHeight="1" x14ac:dyDescent="0.3">
      <c r="B98" s="77"/>
      <c r="C98" s="47" t="s">
        <v>110</v>
      </c>
      <c r="D98" s="46">
        <v>2</v>
      </c>
      <c r="E98" s="45">
        <v>9.0909090909090905E-3</v>
      </c>
    </row>
    <row r="99" spans="2:5" ht="15" customHeight="1" x14ac:dyDescent="0.3">
      <c r="B99" s="76"/>
      <c r="C99" s="44" t="s">
        <v>17</v>
      </c>
      <c r="D99" s="43">
        <v>15</v>
      </c>
      <c r="E99" s="42">
        <v>6.8181818181818177E-2</v>
      </c>
    </row>
    <row r="100" spans="2:5" ht="15" customHeight="1" x14ac:dyDescent="0.3">
      <c r="B100" s="75" t="s">
        <v>33</v>
      </c>
      <c r="C100" s="47" t="s">
        <v>109</v>
      </c>
      <c r="D100" s="46">
        <v>2</v>
      </c>
      <c r="E100" s="45">
        <v>9.0909090909090905E-3</v>
      </c>
    </row>
    <row r="101" spans="2:5" ht="15" customHeight="1" x14ac:dyDescent="0.3">
      <c r="B101" s="77"/>
      <c r="C101" s="47" t="s">
        <v>108</v>
      </c>
      <c r="D101" s="46">
        <v>1</v>
      </c>
      <c r="E101" s="45">
        <v>4.5454545454545452E-3</v>
      </c>
    </row>
    <row r="102" spans="2:5" ht="15" customHeight="1" x14ac:dyDescent="0.3">
      <c r="B102" s="77"/>
      <c r="C102" s="47" t="s">
        <v>107</v>
      </c>
      <c r="D102" s="46">
        <v>1</v>
      </c>
      <c r="E102" s="45">
        <v>4.5454545454545452E-3</v>
      </c>
    </row>
    <row r="103" spans="2:5" ht="15" customHeight="1" x14ac:dyDescent="0.3">
      <c r="B103" s="77"/>
      <c r="C103" s="47" t="s">
        <v>106</v>
      </c>
      <c r="D103" s="46">
        <v>2</v>
      </c>
      <c r="E103" s="45">
        <v>9.0909090909090905E-3</v>
      </c>
    </row>
    <row r="104" spans="2:5" ht="15" customHeight="1" x14ac:dyDescent="0.3">
      <c r="B104" s="76"/>
      <c r="C104" s="44" t="s">
        <v>17</v>
      </c>
      <c r="D104" s="43">
        <v>6</v>
      </c>
      <c r="E104" s="42">
        <v>2.7272727272727271E-2</v>
      </c>
    </row>
    <row r="105" spans="2:5" ht="15" customHeight="1" x14ac:dyDescent="0.3">
      <c r="B105" s="75" t="s">
        <v>24</v>
      </c>
      <c r="C105" s="47" t="s">
        <v>105</v>
      </c>
      <c r="D105" s="46">
        <v>1</v>
      </c>
      <c r="E105" s="45">
        <v>4.5454545454545452E-3</v>
      </c>
    </row>
    <row r="106" spans="2:5" ht="15" customHeight="1" x14ac:dyDescent="0.3">
      <c r="B106" s="77"/>
      <c r="C106" s="47" t="s">
        <v>104</v>
      </c>
      <c r="D106" s="46">
        <v>1</v>
      </c>
      <c r="E106" s="45">
        <v>4.5454545454545452E-3</v>
      </c>
    </row>
    <row r="107" spans="2:5" ht="15" customHeight="1" x14ac:dyDescent="0.3">
      <c r="B107" s="76"/>
      <c r="C107" s="44" t="s">
        <v>17</v>
      </c>
      <c r="D107" s="43">
        <v>2</v>
      </c>
      <c r="E107" s="42">
        <v>9.0909090909090905E-3</v>
      </c>
    </row>
    <row r="108" spans="2:5" ht="15" customHeight="1" x14ac:dyDescent="0.3">
      <c r="B108" s="75" t="s">
        <v>20</v>
      </c>
      <c r="C108" s="47" t="s">
        <v>103</v>
      </c>
      <c r="D108" s="46">
        <v>1</v>
      </c>
      <c r="E108" s="45">
        <v>4.5454545454545452E-3</v>
      </c>
    </row>
    <row r="109" spans="2:5" ht="15" customHeight="1" x14ac:dyDescent="0.3">
      <c r="B109" s="76"/>
      <c r="C109" s="44" t="s">
        <v>17</v>
      </c>
      <c r="D109" s="43">
        <v>1</v>
      </c>
      <c r="E109" s="42">
        <v>4.5454545454545452E-3</v>
      </c>
    </row>
    <row r="110" spans="2:5" ht="15" customHeight="1" x14ac:dyDescent="0.3">
      <c r="B110" s="75" t="s">
        <v>38</v>
      </c>
      <c r="C110" s="47" t="s">
        <v>102</v>
      </c>
      <c r="D110" s="46">
        <v>1</v>
      </c>
      <c r="E110" s="45">
        <v>4.5454545454545452E-3</v>
      </c>
    </row>
    <row r="111" spans="2:5" ht="15" customHeight="1" x14ac:dyDescent="0.3">
      <c r="B111" s="77"/>
      <c r="C111" s="47" t="s">
        <v>101</v>
      </c>
      <c r="D111" s="46">
        <v>1</v>
      </c>
      <c r="E111" s="45">
        <v>4.5454545454545452E-3</v>
      </c>
    </row>
    <row r="112" spans="2:5" ht="15" customHeight="1" x14ac:dyDescent="0.3">
      <c r="B112" s="77"/>
      <c r="C112" s="47" t="s">
        <v>100</v>
      </c>
      <c r="D112" s="46">
        <v>1</v>
      </c>
      <c r="E112" s="45">
        <v>4.5454545454545452E-3</v>
      </c>
    </row>
    <row r="113" spans="2:5" ht="15" customHeight="1" x14ac:dyDescent="0.3">
      <c r="B113" s="77"/>
      <c r="C113" s="47" t="s">
        <v>99</v>
      </c>
      <c r="D113" s="46">
        <v>2</v>
      </c>
      <c r="E113" s="45">
        <v>9.0909090909090905E-3</v>
      </c>
    </row>
    <row r="114" spans="2:5" ht="15" customHeight="1" x14ac:dyDescent="0.3">
      <c r="B114" s="77"/>
      <c r="C114" s="47" t="s">
        <v>98</v>
      </c>
      <c r="D114" s="46">
        <v>1</v>
      </c>
      <c r="E114" s="45">
        <v>4.5454545454545452E-3</v>
      </c>
    </row>
    <row r="115" spans="2:5" ht="15" customHeight="1" x14ac:dyDescent="0.3">
      <c r="B115" s="77"/>
      <c r="C115" s="47" t="s">
        <v>97</v>
      </c>
      <c r="D115" s="46">
        <v>1</v>
      </c>
      <c r="E115" s="45">
        <v>4.5454545454545452E-3</v>
      </c>
    </row>
    <row r="116" spans="2:5" ht="15" customHeight="1" x14ac:dyDescent="0.3">
      <c r="B116" s="77"/>
      <c r="C116" s="47" t="s">
        <v>96</v>
      </c>
      <c r="D116" s="46">
        <v>1</v>
      </c>
      <c r="E116" s="45">
        <v>4.5454545454545452E-3</v>
      </c>
    </row>
    <row r="117" spans="2:5" ht="15" customHeight="1" x14ac:dyDescent="0.3">
      <c r="B117" s="77"/>
      <c r="C117" s="47" t="s">
        <v>95</v>
      </c>
      <c r="D117" s="46">
        <v>1</v>
      </c>
      <c r="E117" s="45">
        <v>4.5454545454545452E-3</v>
      </c>
    </row>
    <row r="118" spans="2:5" ht="15" customHeight="1" x14ac:dyDescent="0.3">
      <c r="B118" s="77"/>
      <c r="C118" s="47" t="s">
        <v>94</v>
      </c>
      <c r="D118" s="46">
        <v>1</v>
      </c>
      <c r="E118" s="45">
        <v>4.5454545454545452E-3</v>
      </c>
    </row>
    <row r="119" spans="2:5" ht="15" customHeight="1" x14ac:dyDescent="0.3">
      <c r="B119" s="77"/>
      <c r="C119" s="47" t="s">
        <v>93</v>
      </c>
      <c r="D119" s="46">
        <v>2</v>
      </c>
      <c r="E119" s="45">
        <v>9.0909090909090905E-3</v>
      </c>
    </row>
    <row r="120" spans="2:5" ht="15" customHeight="1" x14ac:dyDescent="0.3">
      <c r="B120" s="77"/>
      <c r="C120" s="47" t="s">
        <v>92</v>
      </c>
      <c r="D120" s="46">
        <v>1</v>
      </c>
      <c r="E120" s="45">
        <v>4.5454545454545452E-3</v>
      </c>
    </row>
    <row r="121" spans="2:5" ht="15" customHeight="1" x14ac:dyDescent="0.3">
      <c r="B121" s="76"/>
      <c r="C121" s="44" t="s">
        <v>17</v>
      </c>
      <c r="D121" s="43">
        <v>13</v>
      </c>
      <c r="E121" s="42">
        <v>5.909090909090909E-2</v>
      </c>
    </row>
    <row r="122" spans="2:5" ht="15" customHeight="1" x14ac:dyDescent="0.3">
      <c r="B122" s="75" t="s">
        <v>35</v>
      </c>
      <c r="C122" s="47" t="s">
        <v>91</v>
      </c>
      <c r="D122" s="46">
        <v>2</v>
      </c>
      <c r="E122" s="45">
        <v>9.0909090909090905E-3</v>
      </c>
    </row>
    <row r="123" spans="2:5" ht="15" customHeight="1" x14ac:dyDescent="0.3">
      <c r="B123" s="77"/>
      <c r="C123" s="47" t="s">
        <v>90</v>
      </c>
      <c r="D123" s="46">
        <v>1</v>
      </c>
      <c r="E123" s="45">
        <v>4.5454545454545452E-3</v>
      </c>
    </row>
    <row r="124" spans="2:5" ht="15" customHeight="1" x14ac:dyDescent="0.3">
      <c r="B124" s="77"/>
      <c r="C124" s="47" t="s">
        <v>89</v>
      </c>
      <c r="D124" s="46">
        <v>1</v>
      </c>
      <c r="E124" s="45">
        <v>4.5454545454545452E-3</v>
      </c>
    </row>
    <row r="125" spans="2:5" ht="15" customHeight="1" x14ac:dyDescent="0.3">
      <c r="B125" s="77"/>
      <c r="C125" s="47" t="s">
        <v>88</v>
      </c>
      <c r="D125" s="46">
        <v>1</v>
      </c>
      <c r="E125" s="45">
        <v>4.5454545454545452E-3</v>
      </c>
    </row>
    <row r="126" spans="2:5" ht="15" customHeight="1" x14ac:dyDescent="0.3">
      <c r="B126" s="77"/>
      <c r="C126" s="47" t="s">
        <v>87</v>
      </c>
      <c r="D126" s="46">
        <v>1</v>
      </c>
      <c r="E126" s="45">
        <v>4.5454545454545452E-3</v>
      </c>
    </row>
    <row r="127" spans="2:5" ht="15" customHeight="1" x14ac:dyDescent="0.3">
      <c r="B127" s="77"/>
      <c r="C127" s="47" t="s">
        <v>86</v>
      </c>
      <c r="D127" s="46">
        <v>2</v>
      </c>
      <c r="E127" s="45">
        <v>9.0909090909090905E-3</v>
      </c>
    </row>
    <row r="128" spans="2:5" ht="15" customHeight="1" x14ac:dyDescent="0.3">
      <c r="B128" s="77"/>
      <c r="C128" s="47" t="s">
        <v>85</v>
      </c>
      <c r="D128" s="46">
        <v>1</v>
      </c>
      <c r="E128" s="45">
        <v>4.5454545454545452E-3</v>
      </c>
    </row>
    <row r="129" spans="2:5" ht="15" customHeight="1" x14ac:dyDescent="0.3">
      <c r="B129" s="76"/>
      <c r="C129" s="44" t="s">
        <v>17</v>
      </c>
      <c r="D129" s="43">
        <v>9</v>
      </c>
      <c r="E129" s="42">
        <v>4.0909090909090909E-2</v>
      </c>
    </row>
    <row r="130" spans="2:5" ht="15" customHeight="1" x14ac:dyDescent="0.3">
      <c r="B130" s="75" t="s">
        <v>29</v>
      </c>
      <c r="C130" s="47" t="s">
        <v>84</v>
      </c>
      <c r="D130" s="46">
        <v>1</v>
      </c>
      <c r="E130" s="45">
        <v>4.5454545454545452E-3</v>
      </c>
    </row>
    <row r="131" spans="2:5" ht="15" customHeight="1" x14ac:dyDescent="0.3">
      <c r="B131" s="77"/>
      <c r="C131" s="47" t="s">
        <v>83</v>
      </c>
      <c r="D131" s="46">
        <v>1</v>
      </c>
      <c r="E131" s="45">
        <v>4.5454545454545452E-3</v>
      </c>
    </row>
    <row r="132" spans="2:5" ht="15" customHeight="1" x14ac:dyDescent="0.3">
      <c r="B132" s="77"/>
      <c r="C132" s="47" t="s">
        <v>29</v>
      </c>
      <c r="D132" s="46">
        <v>2</v>
      </c>
      <c r="E132" s="45">
        <v>9.0909090909090905E-3</v>
      </c>
    </row>
    <row r="133" spans="2:5" ht="15" customHeight="1" x14ac:dyDescent="0.3">
      <c r="B133" s="76"/>
      <c r="C133" s="44" t="s">
        <v>17</v>
      </c>
      <c r="D133" s="43">
        <v>4</v>
      </c>
      <c r="E133" s="42">
        <v>1.8181818181818181E-2</v>
      </c>
    </row>
    <row r="134" spans="2:5" ht="15" customHeight="1" x14ac:dyDescent="0.3">
      <c r="B134" s="75" t="s">
        <v>19</v>
      </c>
      <c r="C134" s="47" t="s">
        <v>82</v>
      </c>
      <c r="D134" s="46">
        <v>1</v>
      </c>
      <c r="E134" s="45">
        <v>4.5454545454545452E-3</v>
      </c>
    </row>
    <row r="135" spans="2:5" ht="15" customHeight="1" x14ac:dyDescent="0.3">
      <c r="B135" s="76"/>
      <c r="C135" s="44" t="s">
        <v>17</v>
      </c>
      <c r="D135" s="43">
        <v>1</v>
      </c>
      <c r="E135" s="42">
        <v>4.5454545454545452E-3</v>
      </c>
    </row>
    <row r="136" spans="2:5" ht="15" customHeight="1" x14ac:dyDescent="0.3">
      <c r="B136" s="75" t="s">
        <v>32</v>
      </c>
      <c r="C136" s="47" t="s">
        <v>81</v>
      </c>
      <c r="D136" s="46">
        <v>1</v>
      </c>
      <c r="E136" s="45">
        <v>4.5454545454545452E-3</v>
      </c>
    </row>
    <row r="137" spans="2:5" ht="15" customHeight="1" x14ac:dyDescent="0.3">
      <c r="B137" s="77"/>
      <c r="C137" s="47" t="s">
        <v>80</v>
      </c>
      <c r="D137" s="46">
        <v>2</v>
      </c>
      <c r="E137" s="45">
        <v>9.0909090909090905E-3</v>
      </c>
    </row>
    <row r="138" spans="2:5" ht="15" customHeight="1" x14ac:dyDescent="0.3">
      <c r="B138" s="77"/>
      <c r="C138" s="47" t="s">
        <v>79</v>
      </c>
      <c r="D138" s="46">
        <v>1</v>
      </c>
      <c r="E138" s="45">
        <v>4.5454545454545452E-3</v>
      </c>
    </row>
    <row r="139" spans="2:5" ht="15" customHeight="1" x14ac:dyDescent="0.3">
      <c r="B139" s="77"/>
      <c r="C139" s="47" t="s">
        <v>32</v>
      </c>
      <c r="D139" s="46">
        <v>2</v>
      </c>
      <c r="E139" s="45">
        <v>9.0909090909090905E-3</v>
      </c>
    </row>
    <row r="140" spans="2:5" ht="15" customHeight="1" x14ac:dyDescent="0.3">
      <c r="B140" s="76"/>
      <c r="C140" s="44" t="s">
        <v>17</v>
      </c>
      <c r="D140" s="43">
        <v>6</v>
      </c>
      <c r="E140" s="42">
        <v>2.7272727272727271E-2</v>
      </c>
    </row>
    <row r="141" spans="2:5" ht="15" customHeight="1" x14ac:dyDescent="0.3">
      <c r="B141" s="75" t="s">
        <v>28</v>
      </c>
      <c r="C141" s="47" t="s">
        <v>78</v>
      </c>
      <c r="D141" s="46">
        <v>3</v>
      </c>
      <c r="E141" s="45">
        <v>1.3636363636363636E-2</v>
      </c>
    </row>
    <row r="142" spans="2:5" ht="15" customHeight="1" x14ac:dyDescent="0.3">
      <c r="B142" s="77"/>
      <c r="C142" s="47" t="s">
        <v>77</v>
      </c>
      <c r="D142" s="46">
        <v>1</v>
      </c>
      <c r="E142" s="45">
        <v>4.5454545454545452E-3</v>
      </c>
    </row>
    <row r="143" spans="2:5" ht="15" customHeight="1" x14ac:dyDescent="0.3">
      <c r="B143" s="76"/>
      <c r="C143" s="44" t="s">
        <v>17</v>
      </c>
      <c r="D143" s="43">
        <v>4</v>
      </c>
      <c r="E143" s="42">
        <v>1.8181818181818181E-2</v>
      </c>
    </row>
    <row r="144" spans="2:5" ht="15" customHeight="1" x14ac:dyDescent="0.3">
      <c r="B144" s="75" t="s">
        <v>18</v>
      </c>
      <c r="C144" s="47" t="s">
        <v>76</v>
      </c>
      <c r="D144" s="46">
        <v>1</v>
      </c>
      <c r="E144" s="45">
        <v>4.5454545454545452E-3</v>
      </c>
    </row>
    <row r="145" spans="2:5" ht="15" customHeight="1" x14ac:dyDescent="0.3">
      <c r="B145" s="76"/>
      <c r="C145" s="44" t="s">
        <v>17</v>
      </c>
      <c r="D145" s="43">
        <v>1</v>
      </c>
      <c r="E145" s="42">
        <v>4.5454545454545452E-3</v>
      </c>
    </row>
    <row r="146" spans="2:5" ht="15" customHeight="1" x14ac:dyDescent="0.3">
      <c r="B146" s="75" t="s">
        <v>27</v>
      </c>
      <c r="C146" s="47" t="s">
        <v>75</v>
      </c>
      <c r="D146" s="46">
        <v>2</v>
      </c>
      <c r="E146" s="45">
        <v>9.0909090909090905E-3</v>
      </c>
    </row>
    <row r="147" spans="2:5" ht="15" customHeight="1" x14ac:dyDescent="0.3">
      <c r="B147" s="77"/>
      <c r="C147" s="47" t="s">
        <v>74</v>
      </c>
      <c r="D147" s="46">
        <v>1</v>
      </c>
      <c r="E147" s="45">
        <v>4.5454545454545452E-3</v>
      </c>
    </row>
    <row r="148" spans="2:5" ht="15" customHeight="1" x14ac:dyDescent="0.3">
      <c r="B148" s="77"/>
      <c r="C148" s="47" t="s">
        <v>73</v>
      </c>
      <c r="D148" s="46">
        <v>1</v>
      </c>
      <c r="E148" s="45">
        <v>4.5454545454545452E-3</v>
      </c>
    </row>
    <row r="149" spans="2:5" ht="15" customHeight="1" x14ac:dyDescent="0.3">
      <c r="B149" s="76"/>
      <c r="C149" s="44" t="s">
        <v>17</v>
      </c>
      <c r="D149" s="43">
        <v>4</v>
      </c>
      <c r="E149" s="42">
        <v>1.8181818181818181E-2</v>
      </c>
    </row>
    <row r="150" spans="2:5" ht="15" customHeight="1" x14ac:dyDescent="0.3">
      <c r="B150" s="75" t="s">
        <v>34</v>
      </c>
      <c r="C150" s="47" t="s">
        <v>72</v>
      </c>
      <c r="D150" s="46">
        <v>1</v>
      </c>
      <c r="E150" s="45">
        <v>4.5454545454545452E-3</v>
      </c>
    </row>
    <row r="151" spans="2:5" ht="15" customHeight="1" x14ac:dyDescent="0.3">
      <c r="B151" s="77"/>
      <c r="C151" s="47" t="s">
        <v>71</v>
      </c>
      <c r="D151" s="46">
        <v>1</v>
      </c>
      <c r="E151" s="45">
        <v>4.5454545454545452E-3</v>
      </c>
    </row>
    <row r="152" spans="2:5" ht="15" customHeight="1" x14ac:dyDescent="0.3">
      <c r="B152" s="77"/>
      <c r="C152" s="47" t="s">
        <v>70</v>
      </c>
      <c r="D152" s="46">
        <v>1</v>
      </c>
      <c r="E152" s="45">
        <v>4.5454545454545452E-3</v>
      </c>
    </row>
    <row r="153" spans="2:5" ht="15" customHeight="1" x14ac:dyDescent="0.3">
      <c r="B153" s="77"/>
      <c r="C153" s="47" t="s">
        <v>69</v>
      </c>
      <c r="D153" s="46">
        <v>1</v>
      </c>
      <c r="E153" s="45">
        <v>4.5454545454545452E-3</v>
      </c>
    </row>
    <row r="154" spans="2:5" ht="15" customHeight="1" x14ac:dyDescent="0.3">
      <c r="B154" s="77"/>
      <c r="C154" s="47" t="s">
        <v>68</v>
      </c>
      <c r="D154" s="46">
        <v>2</v>
      </c>
      <c r="E154" s="45">
        <v>9.0909090909090905E-3</v>
      </c>
    </row>
    <row r="155" spans="2:5" ht="15" customHeight="1" x14ac:dyDescent="0.3">
      <c r="B155" s="77"/>
      <c r="C155" s="47" t="s">
        <v>67</v>
      </c>
      <c r="D155" s="46">
        <v>1</v>
      </c>
      <c r="E155" s="45">
        <v>4.5454545454545452E-3</v>
      </c>
    </row>
    <row r="156" spans="2:5" ht="15" customHeight="1" x14ac:dyDescent="0.3">
      <c r="B156" s="77"/>
      <c r="C156" s="47" t="s">
        <v>66</v>
      </c>
      <c r="D156" s="46">
        <v>1</v>
      </c>
      <c r="E156" s="45">
        <v>4.5454545454545452E-3</v>
      </c>
    </row>
    <row r="157" spans="2:5" ht="15" customHeight="1" x14ac:dyDescent="0.3">
      <c r="B157" s="76"/>
      <c r="C157" s="44" t="s">
        <v>17</v>
      </c>
      <c r="D157" s="43">
        <v>8</v>
      </c>
      <c r="E157" s="42">
        <v>3.6363636363636362E-2</v>
      </c>
    </row>
    <row r="158" spans="2:5" ht="15" customHeight="1" x14ac:dyDescent="0.3">
      <c r="B158" s="75" t="s">
        <v>41</v>
      </c>
      <c r="C158" s="47" t="s">
        <v>65</v>
      </c>
      <c r="D158" s="46">
        <v>1</v>
      </c>
      <c r="E158" s="45">
        <v>4.5454545454545452E-3</v>
      </c>
    </row>
    <row r="159" spans="2:5" ht="15" customHeight="1" x14ac:dyDescent="0.3">
      <c r="B159" s="77"/>
      <c r="C159" s="47" t="s">
        <v>64</v>
      </c>
      <c r="D159" s="46">
        <v>2</v>
      </c>
      <c r="E159" s="45">
        <v>9.0909090909090905E-3</v>
      </c>
    </row>
    <row r="160" spans="2:5" ht="15" customHeight="1" x14ac:dyDescent="0.3">
      <c r="B160" s="77"/>
      <c r="C160" s="47" t="s">
        <v>63</v>
      </c>
      <c r="D160" s="46">
        <v>1</v>
      </c>
      <c r="E160" s="45">
        <v>4.5454545454545452E-3</v>
      </c>
    </row>
    <row r="161" spans="2:5" ht="15" customHeight="1" x14ac:dyDescent="0.3">
      <c r="B161" s="77"/>
      <c r="C161" s="47" t="s">
        <v>62</v>
      </c>
      <c r="D161" s="46">
        <v>2</v>
      </c>
      <c r="E161" s="45">
        <v>9.0909090909090905E-3</v>
      </c>
    </row>
    <row r="162" spans="2:5" ht="15" customHeight="1" x14ac:dyDescent="0.3">
      <c r="B162" s="77"/>
      <c r="C162" s="47" t="s">
        <v>61</v>
      </c>
      <c r="D162" s="46">
        <v>2</v>
      </c>
      <c r="E162" s="45">
        <v>9.0909090909090905E-3</v>
      </c>
    </row>
    <row r="163" spans="2:5" ht="15" customHeight="1" x14ac:dyDescent="0.3">
      <c r="B163" s="77"/>
      <c r="C163" s="47" t="s">
        <v>60</v>
      </c>
      <c r="D163" s="46">
        <v>1</v>
      </c>
      <c r="E163" s="45">
        <v>4.5454545454545452E-3</v>
      </c>
    </row>
    <row r="164" spans="2:5" ht="15" customHeight="1" x14ac:dyDescent="0.3">
      <c r="B164" s="77"/>
      <c r="C164" s="47" t="s">
        <v>59</v>
      </c>
      <c r="D164" s="46">
        <v>1</v>
      </c>
      <c r="E164" s="45">
        <v>4.5454545454545452E-3</v>
      </c>
    </row>
    <row r="165" spans="2:5" ht="15" customHeight="1" x14ac:dyDescent="0.3">
      <c r="B165" s="77"/>
      <c r="C165" s="47" t="s">
        <v>58</v>
      </c>
      <c r="D165" s="46">
        <v>1</v>
      </c>
      <c r="E165" s="45">
        <v>4.5454545454545452E-3</v>
      </c>
    </row>
    <row r="166" spans="2:5" ht="15" customHeight="1" x14ac:dyDescent="0.3">
      <c r="B166" s="77"/>
      <c r="C166" s="47" t="s">
        <v>57</v>
      </c>
      <c r="D166" s="46">
        <v>2</v>
      </c>
      <c r="E166" s="45">
        <v>9.0909090909090905E-3</v>
      </c>
    </row>
    <row r="167" spans="2:5" ht="15" customHeight="1" x14ac:dyDescent="0.3">
      <c r="B167" s="77"/>
      <c r="C167" s="47" t="s">
        <v>56</v>
      </c>
      <c r="D167" s="46">
        <v>1</v>
      </c>
      <c r="E167" s="45">
        <v>4.5454545454545452E-3</v>
      </c>
    </row>
    <row r="168" spans="2:5" ht="15" customHeight="1" x14ac:dyDescent="0.3">
      <c r="B168" s="77"/>
      <c r="C168" s="47" t="s">
        <v>55</v>
      </c>
      <c r="D168" s="46">
        <v>1</v>
      </c>
      <c r="E168" s="45">
        <v>4.5454545454545452E-3</v>
      </c>
    </row>
    <row r="169" spans="2:5" ht="15" customHeight="1" x14ac:dyDescent="0.3">
      <c r="B169" s="76"/>
      <c r="C169" s="44" t="s">
        <v>17</v>
      </c>
      <c r="D169" s="43">
        <v>15</v>
      </c>
      <c r="E169" s="42">
        <v>6.8181818181818177E-2</v>
      </c>
    </row>
    <row r="170" spans="2:5" ht="15" customHeight="1" x14ac:dyDescent="0.3">
      <c r="B170" s="75" t="s">
        <v>31</v>
      </c>
      <c r="C170" s="47" t="s">
        <v>54</v>
      </c>
      <c r="D170" s="46">
        <v>1</v>
      </c>
      <c r="E170" s="45">
        <v>4.5454545454545452E-3</v>
      </c>
    </row>
    <row r="171" spans="2:5" ht="15" customHeight="1" x14ac:dyDescent="0.3">
      <c r="B171" s="77"/>
      <c r="C171" s="47" t="s">
        <v>53</v>
      </c>
      <c r="D171" s="46">
        <v>1</v>
      </c>
      <c r="E171" s="45">
        <v>4.5454545454545452E-3</v>
      </c>
    </row>
    <row r="172" spans="2:5" ht="15" customHeight="1" x14ac:dyDescent="0.3">
      <c r="B172" s="77"/>
      <c r="C172" s="47" t="s">
        <v>52</v>
      </c>
      <c r="D172" s="46">
        <v>1</v>
      </c>
      <c r="E172" s="45">
        <v>4.5454545454545452E-3</v>
      </c>
    </row>
    <row r="173" spans="2:5" ht="15" customHeight="1" x14ac:dyDescent="0.3">
      <c r="B173" s="77"/>
      <c r="C173" s="47" t="s">
        <v>51</v>
      </c>
      <c r="D173" s="46">
        <v>1</v>
      </c>
      <c r="E173" s="45">
        <v>4.5454545454545452E-3</v>
      </c>
    </row>
    <row r="174" spans="2:5" ht="15" customHeight="1" x14ac:dyDescent="0.3">
      <c r="B174" s="77"/>
      <c r="C174" s="47" t="s">
        <v>50</v>
      </c>
      <c r="D174" s="46">
        <v>1</v>
      </c>
      <c r="E174" s="45">
        <v>4.5454545454545452E-3</v>
      </c>
    </row>
    <row r="175" spans="2:5" ht="15" customHeight="1" x14ac:dyDescent="0.3">
      <c r="B175" s="76"/>
      <c r="C175" s="44" t="s">
        <v>17</v>
      </c>
      <c r="D175" s="43">
        <v>5</v>
      </c>
      <c r="E175" s="42">
        <v>2.2727272727272728E-2</v>
      </c>
    </row>
    <row r="176" spans="2:5" ht="15" customHeight="1" x14ac:dyDescent="0.3">
      <c r="B176" s="78" t="s">
        <v>17</v>
      </c>
      <c r="C176" s="79"/>
      <c r="D176" s="63">
        <f>SUMIF(C$10:C175,"Total",D$10:D175)</f>
        <v>220</v>
      </c>
      <c r="E176" s="64">
        <v>1</v>
      </c>
    </row>
    <row r="178" spans="2:2" ht="15" customHeight="1" x14ac:dyDescent="0.3">
      <c r="B178" s="19" t="s">
        <v>16</v>
      </c>
    </row>
    <row r="179" spans="2:2" ht="15" customHeight="1" x14ac:dyDescent="0.3">
      <c r="B179" s="21" t="s">
        <v>15</v>
      </c>
    </row>
    <row r="180" spans="2:2" ht="15" customHeight="1" x14ac:dyDescent="0.3">
      <c r="B180" s="20" t="s">
        <v>14</v>
      </c>
    </row>
    <row r="181" spans="2:2" ht="15" customHeight="1" x14ac:dyDescent="0.3">
      <c r="B181" s="19" t="s">
        <v>13</v>
      </c>
    </row>
    <row r="182" spans="2:2" ht="15" customHeight="1" x14ac:dyDescent="0.3">
      <c r="B182" s="19" t="s">
        <v>12</v>
      </c>
    </row>
    <row r="484" spans="1:2" s="37" customFormat="1" ht="15" customHeight="1" x14ac:dyDescent="0.3">
      <c r="A484" s="36"/>
      <c r="B484" s="38"/>
    </row>
    <row r="485" spans="1:2" s="37" customFormat="1" ht="15" customHeight="1" x14ac:dyDescent="0.3">
      <c r="A485" s="36"/>
      <c r="B485" s="39"/>
    </row>
    <row r="486" spans="1:2" s="37" customFormat="1" ht="15" customHeight="1" x14ac:dyDescent="0.3">
      <c r="A486" s="36"/>
      <c r="B486" s="39"/>
    </row>
    <row r="487" spans="1:2" s="37" customFormat="1" ht="15" customHeight="1" x14ac:dyDescent="0.3">
      <c r="A487" s="36"/>
      <c r="B487" s="38"/>
    </row>
    <row r="488" spans="1:2" s="37" customFormat="1" ht="15" customHeight="1" x14ac:dyDescent="0.3">
      <c r="A488" s="36"/>
      <c r="B488" s="38"/>
    </row>
  </sheetData>
  <mergeCells count="30">
    <mergeCell ref="B23:B27"/>
    <mergeCell ref="B7:E8"/>
    <mergeCell ref="B10:B11"/>
    <mergeCell ref="B12:B14"/>
    <mergeCell ref="B15:B16"/>
    <mergeCell ref="B17:B22"/>
    <mergeCell ref="B108:B109"/>
    <mergeCell ref="B28:B29"/>
    <mergeCell ref="B30:B37"/>
    <mergeCell ref="B38:B41"/>
    <mergeCell ref="B42:B49"/>
    <mergeCell ref="B50:B55"/>
    <mergeCell ref="B56:B69"/>
    <mergeCell ref="B70:B71"/>
    <mergeCell ref="B72:B89"/>
    <mergeCell ref="B90:B99"/>
    <mergeCell ref="B100:B104"/>
    <mergeCell ref="B105:B107"/>
    <mergeCell ref="B176:C176"/>
    <mergeCell ref="B110:B121"/>
    <mergeCell ref="B122:B129"/>
    <mergeCell ref="B130:B133"/>
    <mergeCell ref="B134:B135"/>
    <mergeCell ref="B136:B140"/>
    <mergeCell ref="B141:B143"/>
    <mergeCell ref="B144:B145"/>
    <mergeCell ref="B146:B149"/>
    <mergeCell ref="B150:B157"/>
    <mergeCell ref="B158:B169"/>
    <mergeCell ref="B170:B175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3" manualBreakCount="3">
    <brk id="49" max="4" man="1"/>
    <brk id="89" max="4" man="1"/>
    <brk id="133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6"/>
  <sheetViews>
    <sheetView showGridLines="0" topLeftCell="A5" zoomScaleNormal="100" zoomScaleSheetLayoutView="115" workbookViewId="0">
      <selection activeCell="D21" sqref="D21"/>
    </sheetView>
  </sheetViews>
  <sheetFormatPr baseColWidth="10" defaultColWidth="11.44140625" defaultRowHeight="14.4" x14ac:dyDescent="0.3"/>
  <cols>
    <col min="1" max="1" width="9.33203125" style="17" customWidth="1"/>
    <col min="2" max="2" width="30.554687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203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202</v>
      </c>
      <c r="C11" s="31" t="s">
        <v>47</v>
      </c>
      <c r="D11" s="30" t="s">
        <v>46</v>
      </c>
    </row>
    <row r="12" spans="2:4" ht="15" customHeight="1" x14ac:dyDescent="0.3">
      <c r="B12" s="27" t="s">
        <v>201</v>
      </c>
      <c r="C12" s="26">
        <v>3</v>
      </c>
      <c r="D12" s="25">
        <v>1.3636363636363636E-2</v>
      </c>
    </row>
    <row r="13" spans="2:4" x14ac:dyDescent="0.3">
      <c r="B13" s="27" t="s">
        <v>200</v>
      </c>
      <c r="C13" s="26">
        <v>1</v>
      </c>
      <c r="D13" s="25">
        <v>4.5454545454545452E-3</v>
      </c>
    </row>
    <row r="14" spans="2:4" s="28" customFormat="1" ht="15" x14ac:dyDescent="0.3">
      <c r="B14" s="27" t="s">
        <v>199</v>
      </c>
      <c r="C14" s="26">
        <v>2</v>
      </c>
      <c r="D14" s="25">
        <v>9.0909090909090905E-3</v>
      </c>
    </row>
    <row r="15" spans="2:4" s="28" customFormat="1" ht="15" x14ac:dyDescent="0.3">
      <c r="B15" s="27" t="s">
        <v>198</v>
      </c>
      <c r="C15" s="26">
        <v>2</v>
      </c>
      <c r="D15" s="25">
        <v>9.0909090909090905E-3</v>
      </c>
    </row>
    <row r="16" spans="2:4" x14ac:dyDescent="0.3">
      <c r="B16" s="27" t="s">
        <v>197</v>
      </c>
      <c r="C16" s="26">
        <v>2</v>
      </c>
      <c r="D16" s="25">
        <v>9.0909090909090905E-3</v>
      </c>
    </row>
    <row r="17" spans="2:4" x14ac:dyDescent="0.3">
      <c r="B17" s="27" t="s">
        <v>196</v>
      </c>
      <c r="C17" s="26">
        <v>15</v>
      </c>
      <c r="D17" s="25">
        <v>6.8181818181818177E-2</v>
      </c>
    </row>
    <row r="18" spans="2:4" x14ac:dyDescent="0.3">
      <c r="B18" s="27" t="s">
        <v>195</v>
      </c>
      <c r="C18" s="26">
        <v>39</v>
      </c>
      <c r="D18" s="25">
        <v>0.17727272727272728</v>
      </c>
    </row>
    <row r="19" spans="2:4" x14ac:dyDescent="0.3">
      <c r="B19" s="27" t="s">
        <v>194</v>
      </c>
      <c r="C19" s="26">
        <v>1</v>
      </c>
      <c r="D19" s="25">
        <v>4.5454545454545452E-3</v>
      </c>
    </row>
    <row r="20" spans="2:4" x14ac:dyDescent="0.3">
      <c r="B20" s="27" t="s">
        <v>193</v>
      </c>
      <c r="C20" s="26">
        <v>1</v>
      </c>
      <c r="D20" s="25">
        <v>4.5454545454545452E-3</v>
      </c>
    </row>
    <row r="21" spans="2:4" x14ac:dyDescent="0.3">
      <c r="B21" s="27" t="s">
        <v>192</v>
      </c>
      <c r="C21" s="26">
        <v>93</v>
      </c>
      <c r="D21" s="25">
        <v>0.42272727272727273</v>
      </c>
    </row>
    <row r="22" spans="2:4" x14ac:dyDescent="0.3">
      <c r="B22" s="27" t="s">
        <v>191</v>
      </c>
      <c r="C22" s="26">
        <v>2</v>
      </c>
      <c r="D22" s="25">
        <v>9.0909090909090905E-3</v>
      </c>
    </row>
    <row r="23" spans="2:4" x14ac:dyDescent="0.3">
      <c r="B23" s="27" t="s">
        <v>190</v>
      </c>
      <c r="C23" s="26">
        <v>10</v>
      </c>
      <c r="D23" s="25">
        <v>4.5454545454545456E-2</v>
      </c>
    </row>
    <row r="24" spans="2:4" x14ac:dyDescent="0.3">
      <c r="B24" s="27" t="s">
        <v>189</v>
      </c>
      <c r="C24" s="26">
        <v>36</v>
      </c>
      <c r="D24" s="25">
        <v>0.16363636363636364</v>
      </c>
    </row>
    <row r="25" spans="2:4" x14ac:dyDescent="0.3">
      <c r="B25" s="27" t="s">
        <v>188</v>
      </c>
      <c r="C25" s="26">
        <v>1</v>
      </c>
      <c r="D25" s="25">
        <v>4.5454545454545452E-3</v>
      </c>
    </row>
    <row r="26" spans="2:4" x14ac:dyDescent="0.3">
      <c r="B26" s="27" t="s">
        <v>187</v>
      </c>
      <c r="C26" s="26">
        <v>1</v>
      </c>
      <c r="D26" s="25">
        <v>4.5454545454545452E-3</v>
      </c>
    </row>
    <row r="27" spans="2:4" x14ac:dyDescent="0.3">
      <c r="B27" s="27" t="s">
        <v>186</v>
      </c>
      <c r="C27" s="26">
        <v>5</v>
      </c>
      <c r="D27" s="25">
        <v>2.2727272727272728E-2</v>
      </c>
    </row>
    <row r="28" spans="2:4" x14ac:dyDescent="0.3">
      <c r="B28" s="27" t="s">
        <v>185</v>
      </c>
      <c r="C28" s="26">
        <v>5</v>
      </c>
      <c r="D28" s="25">
        <v>2.2727272727272728E-2</v>
      </c>
    </row>
    <row r="29" spans="2:4" x14ac:dyDescent="0.3">
      <c r="B29" s="27" t="s">
        <v>184</v>
      </c>
      <c r="C29" s="26">
        <v>1</v>
      </c>
      <c r="D29" s="25">
        <v>4.5454545454545452E-3</v>
      </c>
    </row>
    <row r="30" spans="2:4" x14ac:dyDescent="0.3">
      <c r="B30" s="24" t="s">
        <v>17</v>
      </c>
      <c r="C30" s="23">
        <v>220</v>
      </c>
      <c r="D30" s="22">
        <v>1</v>
      </c>
    </row>
    <row r="32" spans="2:4" x14ac:dyDescent="0.3">
      <c r="B32" s="19" t="s">
        <v>16</v>
      </c>
    </row>
    <row r="33" spans="2:2" x14ac:dyDescent="0.3">
      <c r="B33" s="21" t="s">
        <v>15</v>
      </c>
    </row>
    <row r="34" spans="2:2" x14ac:dyDescent="0.3">
      <c r="B34" s="20" t="s">
        <v>14</v>
      </c>
    </row>
    <row r="35" spans="2:2" x14ac:dyDescent="0.3">
      <c r="B35" s="19" t="s">
        <v>13</v>
      </c>
    </row>
    <row r="36" spans="2:2" x14ac:dyDescent="0.3">
      <c r="B36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28"/>
  <sheetViews>
    <sheetView topLeftCell="A99" zoomScale="110" zoomScaleNormal="110" zoomScaleSheetLayoutView="100" workbookViewId="0">
      <selection activeCell="D122" sqref="D122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202</v>
      </c>
      <c r="C9" s="51" t="s">
        <v>48</v>
      </c>
      <c r="D9" s="50" t="s">
        <v>47</v>
      </c>
      <c r="E9" s="49" t="s">
        <v>46</v>
      </c>
    </row>
    <row r="10" spans="1:5" ht="15" customHeight="1" x14ac:dyDescent="0.3">
      <c r="B10" s="75" t="s">
        <v>201</v>
      </c>
      <c r="C10" s="47" t="s">
        <v>39</v>
      </c>
      <c r="D10" s="46">
        <v>1</v>
      </c>
      <c r="E10" s="45">
        <v>4.5454545454545452E-3</v>
      </c>
    </row>
    <row r="11" spans="1:5" ht="15" customHeight="1" x14ac:dyDescent="0.3">
      <c r="B11" s="77"/>
      <c r="C11" s="47" t="s">
        <v>42</v>
      </c>
      <c r="D11" s="46">
        <v>1</v>
      </c>
      <c r="E11" s="45">
        <v>4.5454545454545452E-3</v>
      </c>
    </row>
    <row r="12" spans="1:5" ht="15" customHeight="1" x14ac:dyDescent="0.3">
      <c r="B12" s="77"/>
      <c r="C12" s="47" t="s">
        <v>35</v>
      </c>
      <c r="D12" s="46">
        <v>1</v>
      </c>
      <c r="E12" s="45">
        <v>4.5454545454545452E-3</v>
      </c>
    </row>
    <row r="13" spans="1:5" ht="15" customHeight="1" x14ac:dyDescent="0.3">
      <c r="B13" s="76"/>
      <c r="C13" s="44" t="s">
        <v>17</v>
      </c>
      <c r="D13" s="43">
        <v>3</v>
      </c>
      <c r="E13" s="42">
        <v>1.3636363636363636E-2</v>
      </c>
    </row>
    <row r="14" spans="1:5" ht="15" customHeight="1" x14ac:dyDescent="0.3">
      <c r="B14" s="75" t="s">
        <v>200</v>
      </c>
      <c r="C14" s="47" t="s">
        <v>37</v>
      </c>
      <c r="D14" s="46">
        <v>1</v>
      </c>
      <c r="E14" s="45">
        <v>4.5454545454545452E-3</v>
      </c>
    </row>
    <row r="15" spans="1:5" s="48" customFormat="1" ht="15" customHeight="1" x14ac:dyDescent="0.3">
      <c r="A15" s="36"/>
      <c r="B15" s="76"/>
      <c r="C15" s="44" t="s">
        <v>17</v>
      </c>
      <c r="D15" s="43">
        <v>1</v>
      </c>
      <c r="E15" s="42">
        <v>4.5454545454545452E-3</v>
      </c>
    </row>
    <row r="16" spans="1:5" s="48" customFormat="1" ht="15" customHeight="1" x14ac:dyDescent="0.3">
      <c r="A16" s="36"/>
      <c r="B16" s="75" t="s">
        <v>199</v>
      </c>
      <c r="C16" s="47" t="s">
        <v>40</v>
      </c>
      <c r="D16" s="46">
        <v>1</v>
      </c>
      <c r="E16" s="45">
        <v>4.5454545454545452E-3</v>
      </c>
    </row>
    <row r="17" spans="1:5" s="48" customFormat="1" ht="15" customHeight="1" x14ac:dyDescent="0.3">
      <c r="A17" s="36"/>
      <c r="B17" s="77"/>
      <c r="C17" s="47" t="s">
        <v>19</v>
      </c>
      <c r="D17" s="46">
        <v>1</v>
      </c>
      <c r="E17" s="45">
        <v>4.5454545454545452E-3</v>
      </c>
    </row>
    <row r="18" spans="1:5" s="48" customFormat="1" ht="15" customHeight="1" x14ac:dyDescent="0.3">
      <c r="A18" s="36"/>
      <c r="B18" s="76"/>
      <c r="C18" s="44" t="s">
        <v>17</v>
      </c>
      <c r="D18" s="43">
        <v>2</v>
      </c>
      <c r="E18" s="42">
        <v>9.0909090909090905E-3</v>
      </c>
    </row>
    <row r="19" spans="1:5" s="48" customFormat="1" ht="15" customHeight="1" x14ac:dyDescent="0.3">
      <c r="A19" s="36"/>
      <c r="B19" s="75" t="s">
        <v>198</v>
      </c>
      <c r="C19" s="47" t="s">
        <v>40</v>
      </c>
      <c r="D19" s="46">
        <v>1</v>
      </c>
      <c r="E19" s="45">
        <v>4.5454545454545452E-3</v>
      </c>
    </row>
    <row r="20" spans="1:5" ht="15" customHeight="1" x14ac:dyDescent="0.3">
      <c r="B20" s="77"/>
      <c r="C20" s="47" t="s">
        <v>38</v>
      </c>
      <c r="D20" s="46">
        <v>1</v>
      </c>
      <c r="E20" s="45">
        <v>4.5454545454545452E-3</v>
      </c>
    </row>
    <row r="21" spans="1:5" ht="15" customHeight="1" x14ac:dyDescent="0.3">
      <c r="B21" s="76"/>
      <c r="C21" s="44" t="s">
        <v>17</v>
      </c>
      <c r="D21" s="43">
        <v>2</v>
      </c>
      <c r="E21" s="42">
        <v>9.0909090909090905E-3</v>
      </c>
    </row>
    <row r="22" spans="1:5" ht="15" customHeight="1" x14ac:dyDescent="0.3">
      <c r="B22" s="75" t="s">
        <v>197</v>
      </c>
      <c r="C22" s="47" t="s">
        <v>45</v>
      </c>
      <c r="D22" s="46">
        <v>1</v>
      </c>
      <c r="E22" s="45">
        <v>4.5454545454545452E-3</v>
      </c>
    </row>
    <row r="23" spans="1:5" ht="15" customHeight="1" x14ac:dyDescent="0.3">
      <c r="B23" s="77"/>
      <c r="C23" s="47" t="s">
        <v>24</v>
      </c>
      <c r="D23" s="46">
        <v>1</v>
      </c>
      <c r="E23" s="45">
        <v>4.5454545454545452E-3</v>
      </c>
    </row>
    <row r="24" spans="1:5" ht="15" customHeight="1" x14ac:dyDescent="0.3">
      <c r="B24" s="76"/>
      <c r="C24" s="44" t="s">
        <v>17</v>
      </c>
      <c r="D24" s="43">
        <v>2</v>
      </c>
      <c r="E24" s="42">
        <v>9.0909090909090905E-3</v>
      </c>
    </row>
    <row r="25" spans="1:5" ht="15" customHeight="1" x14ac:dyDescent="0.3">
      <c r="B25" s="75" t="s">
        <v>196</v>
      </c>
      <c r="C25" s="47" t="s">
        <v>25</v>
      </c>
      <c r="D25" s="46">
        <v>1</v>
      </c>
      <c r="E25" s="45">
        <v>4.5454545454545452E-3</v>
      </c>
    </row>
    <row r="26" spans="1:5" ht="15" customHeight="1" x14ac:dyDescent="0.3">
      <c r="B26" s="77"/>
      <c r="C26" s="47" t="s">
        <v>40</v>
      </c>
      <c r="D26" s="46">
        <v>2</v>
      </c>
      <c r="E26" s="45">
        <v>9.0909090909090905E-3</v>
      </c>
    </row>
    <row r="27" spans="1:5" ht="15" customHeight="1" x14ac:dyDescent="0.3">
      <c r="B27" s="77"/>
      <c r="C27" s="47" t="s">
        <v>43</v>
      </c>
      <c r="D27" s="46">
        <v>2</v>
      </c>
      <c r="E27" s="45">
        <v>9.0909090909090905E-3</v>
      </c>
    </row>
    <row r="28" spans="1:5" ht="15" customHeight="1" x14ac:dyDescent="0.3">
      <c r="B28" s="77"/>
      <c r="C28" s="47" t="s">
        <v>39</v>
      </c>
      <c r="D28" s="46">
        <v>1</v>
      </c>
      <c r="E28" s="45">
        <v>4.5454545454545452E-3</v>
      </c>
    </row>
    <row r="29" spans="1:5" ht="15" customHeight="1" x14ac:dyDescent="0.3">
      <c r="B29" s="77"/>
      <c r="C29" s="47" t="s">
        <v>45</v>
      </c>
      <c r="D29" s="46">
        <v>2</v>
      </c>
      <c r="E29" s="45">
        <v>9.0909090909090905E-3</v>
      </c>
    </row>
    <row r="30" spans="1:5" ht="15" customHeight="1" x14ac:dyDescent="0.3">
      <c r="B30" s="77"/>
      <c r="C30" s="47" t="s">
        <v>42</v>
      </c>
      <c r="D30" s="46">
        <v>1</v>
      </c>
      <c r="E30" s="45">
        <v>4.5454545454545452E-3</v>
      </c>
    </row>
    <row r="31" spans="1:5" ht="15" customHeight="1" x14ac:dyDescent="0.3">
      <c r="B31" s="77"/>
      <c r="C31" s="47" t="s">
        <v>38</v>
      </c>
      <c r="D31" s="46">
        <v>3</v>
      </c>
      <c r="E31" s="45">
        <v>1.3636363636363636E-2</v>
      </c>
    </row>
    <row r="32" spans="1:5" ht="15" customHeight="1" x14ac:dyDescent="0.3">
      <c r="B32" s="77"/>
      <c r="C32" s="47" t="s">
        <v>35</v>
      </c>
      <c r="D32" s="46">
        <v>1</v>
      </c>
      <c r="E32" s="45">
        <v>4.5454545454545452E-3</v>
      </c>
    </row>
    <row r="33" spans="2:5" ht="15" customHeight="1" x14ac:dyDescent="0.3">
      <c r="B33" s="77"/>
      <c r="C33" s="47" t="s">
        <v>27</v>
      </c>
      <c r="D33" s="46">
        <v>1</v>
      </c>
      <c r="E33" s="45">
        <v>4.5454545454545452E-3</v>
      </c>
    </row>
    <row r="34" spans="2:5" ht="15" customHeight="1" x14ac:dyDescent="0.3">
      <c r="B34" s="77"/>
      <c r="C34" s="47" t="s">
        <v>41</v>
      </c>
      <c r="D34" s="46">
        <v>1</v>
      </c>
      <c r="E34" s="45">
        <v>4.5454545454545452E-3</v>
      </c>
    </row>
    <row r="35" spans="2:5" ht="15" customHeight="1" x14ac:dyDescent="0.3">
      <c r="B35" s="76"/>
      <c r="C35" s="44" t="s">
        <v>17</v>
      </c>
      <c r="D35" s="43">
        <v>15</v>
      </c>
      <c r="E35" s="42">
        <v>6.8181818181818177E-2</v>
      </c>
    </row>
    <row r="36" spans="2:5" ht="15" customHeight="1" x14ac:dyDescent="0.3">
      <c r="B36" s="75" t="s">
        <v>195</v>
      </c>
      <c r="C36" s="47" t="s">
        <v>23</v>
      </c>
      <c r="D36" s="46">
        <v>1</v>
      </c>
      <c r="E36" s="45">
        <v>4.5454545454545452E-3</v>
      </c>
    </row>
    <row r="37" spans="2:5" ht="15" customHeight="1" x14ac:dyDescent="0.3">
      <c r="B37" s="77"/>
      <c r="C37" s="47" t="s">
        <v>36</v>
      </c>
      <c r="D37" s="46">
        <v>3</v>
      </c>
      <c r="E37" s="45">
        <v>1.3636363636363636E-2</v>
      </c>
    </row>
    <row r="38" spans="2:5" ht="15" customHeight="1" x14ac:dyDescent="0.3">
      <c r="B38" s="77"/>
      <c r="C38" s="47" t="s">
        <v>43</v>
      </c>
      <c r="D38" s="46">
        <v>2</v>
      </c>
      <c r="E38" s="45">
        <v>9.0909090909090905E-3</v>
      </c>
    </row>
    <row r="39" spans="2:5" ht="15" customHeight="1" x14ac:dyDescent="0.3">
      <c r="B39" s="77"/>
      <c r="C39" s="47" t="s">
        <v>39</v>
      </c>
      <c r="D39" s="46">
        <v>5</v>
      </c>
      <c r="E39" s="45">
        <v>2.2727272727272728E-2</v>
      </c>
    </row>
    <row r="40" spans="2:5" ht="15" customHeight="1" x14ac:dyDescent="0.3">
      <c r="B40" s="77"/>
      <c r="C40" s="47" t="s">
        <v>44</v>
      </c>
      <c r="D40" s="46">
        <v>7</v>
      </c>
      <c r="E40" s="45">
        <v>3.1818181818181815E-2</v>
      </c>
    </row>
    <row r="41" spans="2:5" ht="15" customHeight="1" x14ac:dyDescent="0.3">
      <c r="B41" s="77"/>
      <c r="C41" s="47" t="s">
        <v>45</v>
      </c>
      <c r="D41" s="46">
        <v>7</v>
      </c>
      <c r="E41" s="45">
        <v>3.1818181818181815E-2</v>
      </c>
    </row>
    <row r="42" spans="2:5" ht="15" customHeight="1" x14ac:dyDescent="0.3">
      <c r="B42" s="77"/>
      <c r="C42" s="47" t="s">
        <v>42</v>
      </c>
      <c r="D42" s="46">
        <v>3</v>
      </c>
      <c r="E42" s="45">
        <v>1.3636363636363636E-2</v>
      </c>
    </row>
    <row r="43" spans="2:5" ht="15" customHeight="1" x14ac:dyDescent="0.3">
      <c r="B43" s="77"/>
      <c r="C43" s="47" t="s">
        <v>24</v>
      </c>
      <c r="D43" s="46">
        <v>1</v>
      </c>
      <c r="E43" s="45">
        <v>4.5454545454545452E-3</v>
      </c>
    </row>
    <row r="44" spans="2:5" ht="15" customHeight="1" x14ac:dyDescent="0.3">
      <c r="B44" s="77"/>
      <c r="C44" s="47" t="s">
        <v>38</v>
      </c>
      <c r="D44" s="46">
        <v>2</v>
      </c>
      <c r="E44" s="45">
        <v>9.0909090909090905E-3</v>
      </c>
    </row>
    <row r="45" spans="2:5" ht="15" customHeight="1" x14ac:dyDescent="0.3">
      <c r="B45" s="77"/>
      <c r="C45" s="47" t="s">
        <v>35</v>
      </c>
      <c r="D45" s="46">
        <v>2</v>
      </c>
      <c r="E45" s="45">
        <v>9.0909090909090905E-3</v>
      </c>
    </row>
    <row r="46" spans="2:5" ht="15" customHeight="1" x14ac:dyDescent="0.3">
      <c r="B46" s="77"/>
      <c r="C46" s="47" t="s">
        <v>32</v>
      </c>
      <c r="D46" s="46">
        <v>2</v>
      </c>
      <c r="E46" s="45">
        <v>9.0909090909090905E-3</v>
      </c>
    </row>
    <row r="47" spans="2:5" ht="15" customHeight="1" x14ac:dyDescent="0.3">
      <c r="B47" s="77"/>
      <c r="C47" s="47" t="s">
        <v>34</v>
      </c>
      <c r="D47" s="46">
        <v>1</v>
      </c>
      <c r="E47" s="45">
        <v>4.5454545454545452E-3</v>
      </c>
    </row>
    <row r="48" spans="2:5" ht="15" customHeight="1" x14ac:dyDescent="0.3">
      <c r="B48" s="77"/>
      <c r="C48" s="47" t="s">
        <v>41</v>
      </c>
      <c r="D48" s="46">
        <v>3</v>
      </c>
      <c r="E48" s="45">
        <v>1.3636363636363636E-2</v>
      </c>
    </row>
    <row r="49" spans="2:5" ht="15" customHeight="1" x14ac:dyDescent="0.3">
      <c r="B49" s="76"/>
      <c r="C49" s="44" t="s">
        <v>17</v>
      </c>
      <c r="D49" s="43">
        <v>39</v>
      </c>
      <c r="E49" s="42">
        <v>0.17727272727272728</v>
      </c>
    </row>
    <row r="50" spans="2:5" ht="15" customHeight="1" x14ac:dyDescent="0.3">
      <c r="B50" s="75" t="s">
        <v>194</v>
      </c>
      <c r="C50" s="47" t="s">
        <v>45</v>
      </c>
      <c r="D50" s="46">
        <v>1</v>
      </c>
      <c r="E50" s="45">
        <v>4.5454545454545452E-3</v>
      </c>
    </row>
    <row r="51" spans="2:5" ht="15" customHeight="1" x14ac:dyDescent="0.3">
      <c r="B51" s="76"/>
      <c r="C51" s="44" t="s">
        <v>17</v>
      </c>
      <c r="D51" s="43">
        <v>1</v>
      </c>
      <c r="E51" s="42">
        <v>4.5454545454545452E-3</v>
      </c>
    </row>
    <row r="52" spans="2:5" ht="15" customHeight="1" x14ac:dyDescent="0.3">
      <c r="B52" s="75" t="s">
        <v>193</v>
      </c>
      <c r="C52" s="47" t="s">
        <v>39</v>
      </c>
      <c r="D52" s="46">
        <v>1</v>
      </c>
      <c r="E52" s="45">
        <v>4.5454545454545452E-3</v>
      </c>
    </row>
    <row r="53" spans="2:5" ht="15" customHeight="1" x14ac:dyDescent="0.3">
      <c r="B53" s="76"/>
      <c r="C53" s="44" t="s">
        <v>17</v>
      </c>
      <c r="D53" s="43">
        <v>1</v>
      </c>
      <c r="E53" s="42">
        <v>4.5454545454545452E-3</v>
      </c>
    </row>
    <row r="54" spans="2:5" ht="15" customHeight="1" x14ac:dyDescent="0.3">
      <c r="B54" s="75" t="s">
        <v>192</v>
      </c>
      <c r="C54" s="47" t="s">
        <v>25</v>
      </c>
      <c r="D54" s="46">
        <v>1</v>
      </c>
      <c r="E54" s="45">
        <v>4.5454545454545452E-3</v>
      </c>
    </row>
    <row r="55" spans="2:5" ht="15" customHeight="1" x14ac:dyDescent="0.3">
      <c r="B55" s="77"/>
      <c r="C55" s="47" t="s">
        <v>37</v>
      </c>
      <c r="D55" s="46">
        <v>5</v>
      </c>
      <c r="E55" s="45">
        <v>2.2727272727272728E-2</v>
      </c>
    </row>
    <row r="56" spans="2:5" ht="15" customHeight="1" x14ac:dyDescent="0.3">
      <c r="B56" s="77"/>
      <c r="C56" s="47" t="s">
        <v>36</v>
      </c>
      <c r="D56" s="46">
        <v>4</v>
      </c>
      <c r="E56" s="45">
        <v>1.8181818181818181E-2</v>
      </c>
    </row>
    <row r="57" spans="2:5" ht="15" customHeight="1" x14ac:dyDescent="0.3">
      <c r="B57" s="77"/>
      <c r="C57" s="47" t="s">
        <v>22</v>
      </c>
      <c r="D57" s="46">
        <v>1</v>
      </c>
      <c r="E57" s="45">
        <v>4.5454545454545452E-3</v>
      </c>
    </row>
    <row r="58" spans="2:5" ht="15" customHeight="1" x14ac:dyDescent="0.3">
      <c r="B58" s="77"/>
      <c r="C58" s="47" t="s">
        <v>40</v>
      </c>
      <c r="D58" s="46">
        <v>2</v>
      </c>
      <c r="E58" s="45">
        <v>9.0909090909090905E-3</v>
      </c>
    </row>
    <row r="59" spans="2:5" ht="15" customHeight="1" x14ac:dyDescent="0.3">
      <c r="B59" s="77"/>
      <c r="C59" s="47" t="s">
        <v>30</v>
      </c>
      <c r="D59" s="46">
        <v>1</v>
      </c>
      <c r="E59" s="45">
        <v>4.5454545454545452E-3</v>
      </c>
    </row>
    <row r="60" spans="2:5" ht="15" customHeight="1" x14ac:dyDescent="0.3">
      <c r="B60" s="77"/>
      <c r="C60" s="47" t="s">
        <v>43</v>
      </c>
      <c r="D60" s="46">
        <v>7</v>
      </c>
      <c r="E60" s="45">
        <v>3.1818181818181815E-2</v>
      </c>
    </row>
    <row r="61" spans="2:5" ht="15" customHeight="1" x14ac:dyDescent="0.3">
      <c r="B61" s="77"/>
      <c r="C61" s="47" t="s">
        <v>39</v>
      </c>
      <c r="D61" s="46">
        <v>3</v>
      </c>
      <c r="E61" s="45">
        <v>1.3636363636363636E-2</v>
      </c>
    </row>
    <row r="62" spans="2:5" ht="15" customHeight="1" x14ac:dyDescent="0.3">
      <c r="B62" s="77"/>
      <c r="C62" s="47" t="s">
        <v>44</v>
      </c>
      <c r="D62" s="46">
        <v>5</v>
      </c>
      <c r="E62" s="45">
        <v>2.2727272727272728E-2</v>
      </c>
    </row>
    <row r="63" spans="2:5" ht="15" customHeight="1" x14ac:dyDescent="0.3">
      <c r="B63" s="77"/>
      <c r="C63" s="47" t="s">
        <v>45</v>
      </c>
      <c r="D63" s="46">
        <v>13</v>
      </c>
      <c r="E63" s="45">
        <v>5.909090909090909E-2</v>
      </c>
    </row>
    <row r="64" spans="2:5" ht="15" customHeight="1" x14ac:dyDescent="0.3">
      <c r="B64" s="77"/>
      <c r="C64" s="47" t="s">
        <v>42</v>
      </c>
      <c r="D64" s="46">
        <v>7</v>
      </c>
      <c r="E64" s="45">
        <v>3.1818181818181815E-2</v>
      </c>
    </row>
    <row r="65" spans="2:5" ht="15" customHeight="1" x14ac:dyDescent="0.3">
      <c r="B65" s="77"/>
      <c r="C65" s="47" t="s">
        <v>33</v>
      </c>
      <c r="D65" s="46">
        <v>4</v>
      </c>
      <c r="E65" s="45">
        <v>1.8181818181818181E-2</v>
      </c>
    </row>
    <row r="66" spans="2:5" ht="15" customHeight="1" x14ac:dyDescent="0.3">
      <c r="B66" s="77"/>
      <c r="C66" s="47" t="s">
        <v>20</v>
      </c>
      <c r="D66" s="46">
        <v>1</v>
      </c>
      <c r="E66" s="45">
        <v>4.5454545454545452E-3</v>
      </c>
    </row>
    <row r="67" spans="2:5" ht="15" customHeight="1" x14ac:dyDescent="0.3">
      <c r="B67" s="77"/>
      <c r="C67" s="47" t="s">
        <v>38</v>
      </c>
      <c r="D67" s="46">
        <v>6</v>
      </c>
      <c r="E67" s="45">
        <v>2.7272727272727271E-2</v>
      </c>
    </row>
    <row r="68" spans="2:5" ht="15" customHeight="1" x14ac:dyDescent="0.3">
      <c r="B68" s="77"/>
      <c r="C68" s="47" t="s">
        <v>35</v>
      </c>
      <c r="D68" s="46">
        <v>4</v>
      </c>
      <c r="E68" s="45">
        <v>1.8181818181818181E-2</v>
      </c>
    </row>
    <row r="69" spans="2:5" ht="15" customHeight="1" x14ac:dyDescent="0.3">
      <c r="B69" s="77"/>
      <c r="C69" s="47" t="s">
        <v>29</v>
      </c>
      <c r="D69" s="46">
        <v>2</v>
      </c>
      <c r="E69" s="45">
        <v>9.0909090909090905E-3</v>
      </c>
    </row>
    <row r="70" spans="2:5" ht="15" customHeight="1" x14ac:dyDescent="0.3">
      <c r="B70" s="77"/>
      <c r="C70" s="47" t="s">
        <v>32</v>
      </c>
      <c r="D70" s="46">
        <v>4</v>
      </c>
      <c r="E70" s="45">
        <v>1.8181818181818181E-2</v>
      </c>
    </row>
    <row r="71" spans="2:5" ht="15" customHeight="1" x14ac:dyDescent="0.3">
      <c r="B71" s="77"/>
      <c r="C71" s="47" t="s">
        <v>28</v>
      </c>
      <c r="D71" s="46">
        <v>4</v>
      </c>
      <c r="E71" s="45">
        <v>1.8181818181818181E-2</v>
      </c>
    </row>
    <row r="72" spans="2:5" ht="15" customHeight="1" x14ac:dyDescent="0.3">
      <c r="B72" s="77"/>
      <c r="C72" s="47" t="s">
        <v>27</v>
      </c>
      <c r="D72" s="46">
        <v>2</v>
      </c>
      <c r="E72" s="45">
        <v>9.0909090909090905E-3</v>
      </c>
    </row>
    <row r="73" spans="2:5" ht="15" customHeight="1" x14ac:dyDescent="0.3">
      <c r="B73" s="77"/>
      <c r="C73" s="47" t="s">
        <v>34</v>
      </c>
      <c r="D73" s="46">
        <v>4</v>
      </c>
      <c r="E73" s="45">
        <v>1.8181818181818181E-2</v>
      </c>
    </row>
    <row r="74" spans="2:5" ht="15" customHeight="1" x14ac:dyDescent="0.3">
      <c r="B74" s="77"/>
      <c r="C74" s="47" t="s">
        <v>41</v>
      </c>
      <c r="D74" s="46">
        <v>8</v>
      </c>
      <c r="E74" s="45">
        <v>3.6363636363636362E-2</v>
      </c>
    </row>
    <row r="75" spans="2:5" ht="15" customHeight="1" x14ac:dyDescent="0.3">
      <c r="B75" s="77"/>
      <c r="C75" s="47" t="s">
        <v>31</v>
      </c>
      <c r="D75" s="46">
        <v>5</v>
      </c>
      <c r="E75" s="45">
        <v>2.2727272727272728E-2</v>
      </c>
    </row>
    <row r="76" spans="2:5" ht="15" customHeight="1" x14ac:dyDescent="0.3">
      <c r="B76" s="76"/>
      <c r="C76" s="44" t="s">
        <v>17</v>
      </c>
      <c r="D76" s="43">
        <v>93</v>
      </c>
      <c r="E76" s="42">
        <v>0.42272727272727273</v>
      </c>
    </row>
    <row r="77" spans="2:5" ht="15" customHeight="1" x14ac:dyDescent="0.3">
      <c r="B77" s="75" t="s">
        <v>234</v>
      </c>
      <c r="C77" s="47" t="s">
        <v>44</v>
      </c>
      <c r="D77" s="46">
        <v>1</v>
      </c>
      <c r="E77" s="45">
        <v>4.5454545454545452E-3</v>
      </c>
    </row>
    <row r="78" spans="2:5" ht="15" customHeight="1" x14ac:dyDescent="0.3">
      <c r="B78" s="77"/>
      <c r="C78" s="47" t="s">
        <v>21</v>
      </c>
      <c r="D78" s="46">
        <v>1</v>
      </c>
      <c r="E78" s="45">
        <v>4.5454545454545452E-3</v>
      </c>
    </row>
    <row r="79" spans="2:5" ht="15" customHeight="1" x14ac:dyDescent="0.3">
      <c r="B79" s="76"/>
      <c r="C79" s="44" t="s">
        <v>17</v>
      </c>
      <c r="D79" s="43">
        <v>2</v>
      </c>
      <c r="E79" s="42">
        <v>9.0909090909090905E-3</v>
      </c>
    </row>
    <row r="80" spans="2:5" ht="15" customHeight="1" x14ac:dyDescent="0.3">
      <c r="B80" s="75" t="s">
        <v>190</v>
      </c>
      <c r="C80" s="47" t="s">
        <v>37</v>
      </c>
      <c r="D80" s="46">
        <v>1</v>
      </c>
      <c r="E80" s="45">
        <v>4.5454545454545452E-3</v>
      </c>
    </row>
    <row r="81" spans="2:5" ht="15" customHeight="1" x14ac:dyDescent="0.3">
      <c r="B81" s="77"/>
      <c r="C81" s="47" t="s">
        <v>36</v>
      </c>
      <c r="D81" s="46">
        <v>2</v>
      </c>
      <c r="E81" s="45">
        <v>9.0909090909090905E-3</v>
      </c>
    </row>
    <row r="82" spans="2:5" ht="15" customHeight="1" x14ac:dyDescent="0.3">
      <c r="B82" s="77"/>
      <c r="C82" s="47" t="s">
        <v>43</v>
      </c>
      <c r="D82" s="46">
        <v>1</v>
      </c>
      <c r="E82" s="45">
        <v>4.5454545454545452E-3</v>
      </c>
    </row>
    <row r="83" spans="2:5" ht="15" customHeight="1" x14ac:dyDescent="0.3">
      <c r="B83" s="77"/>
      <c r="C83" s="47" t="s">
        <v>44</v>
      </c>
      <c r="D83" s="46">
        <v>4</v>
      </c>
      <c r="E83" s="45">
        <v>1.8181818181818181E-2</v>
      </c>
    </row>
    <row r="84" spans="2:5" ht="15" customHeight="1" x14ac:dyDescent="0.3">
      <c r="B84" s="77"/>
      <c r="C84" s="47" t="s">
        <v>45</v>
      </c>
      <c r="D84" s="46">
        <v>1</v>
      </c>
      <c r="E84" s="45">
        <v>4.5454545454545452E-3</v>
      </c>
    </row>
    <row r="85" spans="2:5" ht="15" customHeight="1" x14ac:dyDescent="0.3">
      <c r="B85" s="77"/>
      <c r="C85" s="47" t="s">
        <v>41</v>
      </c>
      <c r="D85" s="46">
        <v>1</v>
      </c>
      <c r="E85" s="45">
        <v>4.5454545454545452E-3</v>
      </c>
    </row>
    <row r="86" spans="2:5" ht="15" customHeight="1" x14ac:dyDescent="0.3">
      <c r="B86" s="76"/>
      <c r="C86" s="44" t="s">
        <v>17</v>
      </c>
      <c r="D86" s="43">
        <v>10</v>
      </c>
      <c r="E86" s="42">
        <v>4.5454545454545456E-2</v>
      </c>
    </row>
    <row r="87" spans="2:5" ht="15" customHeight="1" x14ac:dyDescent="0.3">
      <c r="B87" s="75" t="s">
        <v>189</v>
      </c>
      <c r="C87" s="47" t="s">
        <v>26</v>
      </c>
      <c r="D87" s="46">
        <v>3</v>
      </c>
      <c r="E87" s="45">
        <v>1.3636363636363636E-2</v>
      </c>
    </row>
    <row r="88" spans="2:5" ht="15" customHeight="1" x14ac:dyDescent="0.3">
      <c r="B88" s="77"/>
      <c r="C88" s="47" t="s">
        <v>37</v>
      </c>
      <c r="D88" s="46">
        <v>2</v>
      </c>
      <c r="E88" s="45">
        <v>9.0909090909090905E-3</v>
      </c>
    </row>
    <row r="89" spans="2:5" ht="15" customHeight="1" x14ac:dyDescent="0.3">
      <c r="B89" s="77"/>
      <c r="C89" s="47" t="s">
        <v>40</v>
      </c>
      <c r="D89" s="46">
        <v>7</v>
      </c>
      <c r="E89" s="45">
        <v>3.1818181818181815E-2</v>
      </c>
    </row>
    <row r="90" spans="2:5" ht="15" customHeight="1" x14ac:dyDescent="0.3">
      <c r="B90" s="77"/>
      <c r="C90" s="47" t="s">
        <v>30</v>
      </c>
      <c r="D90" s="46">
        <v>2</v>
      </c>
      <c r="E90" s="45">
        <v>9.0909090909090905E-3</v>
      </c>
    </row>
    <row r="91" spans="2:5" ht="15" customHeight="1" x14ac:dyDescent="0.3">
      <c r="B91" s="77"/>
      <c r="C91" s="47" t="s">
        <v>43</v>
      </c>
      <c r="D91" s="46">
        <v>3</v>
      </c>
      <c r="E91" s="45">
        <v>1.3636363636363636E-2</v>
      </c>
    </row>
    <row r="92" spans="2:5" ht="15" customHeight="1" x14ac:dyDescent="0.3">
      <c r="B92" s="77"/>
      <c r="C92" s="47" t="s">
        <v>44</v>
      </c>
      <c r="D92" s="46">
        <v>4</v>
      </c>
      <c r="E92" s="45">
        <v>1.8181818181818181E-2</v>
      </c>
    </row>
    <row r="93" spans="2:5" ht="15" customHeight="1" x14ac:dyDescent="0.3">
      <c r="B93" s="77"/>
      <c r="C93" s="47" t="s">
        <v>45</v>
      </c>
      <c r="D93" s="46">
        <v>3</v>
      </c>
      <c r="E93" s="45">
        <v>1.3636363636363636E-2</v>
      </c>
    </row>
    <row r="94" spans="2:5" ht="15" customHeight="1" x14ac:dyDescent="0.3">
      <c r="B94" s="77"/>
      <c r="C94" s="47" t="s">
        <v>42</v>
      </c>
      <c r="D94" s="46">
        <v>3</v>
      </c>
      <c r="E94" s="45">
        <v>1.3636363636363636E-2</v>
      </c>
    </row>
    <row r="95" spans="2:5" ht="15" customHeight="1" x14ac:dyDescent="0.3">
      <c r="B95" s="77"/>
      <c r="C95" s="47" t="s">
        <v>33</v>
      </c>
      <c r="D95" s="46">
        <v>1</v>
      </c>
      <c r="E95" s="45">
        <v>4.5454545454545452E-3</v>
      </c>
    </row>
    <row r="96" spans="2:5" ht="15" customHeight="1" x14ac:dyDescent="0.3">
      <c r="B96" s="77"/>
      <c r="C96" s="47" t="s">
        <v>38</v>
      </c>
      <c r="D96" s="46">
        <v>1</v>
      </c>
      <c r="E96" s="45">
        <v>4.5454545454545452E-3</v>
      </c>
    </row>
    <row r="97" spans="2:5" ht="15" customHeight="1" x14ac:dyDescent="0.3">
      <c r="B97" s="77"/>
      <c r="C97" s="47" t="s">
        <v>35</v>
      </c>
      <c r="D97" s="46">
        <v>1</v>
      </c>
      <c r="E97" s="45">
        <v>4.5454545454545452E-3</v>
      </c>
    </row>
    <row r="98" spans="2:5" ht="15" customHeight="1" x14ac:dyDescent="0.3">
      <c r="B98" s="77"/>
      <c r="C98" s="47" t="s">
        <v>29</v>
      </c>
      <c r="D98" s="46">
        <v>1</v>
      </c>
      <c r="E98" s="45">
        <v>4.5454545454545452E-3</v>
      </c>
    </row>
    <row r="99" spans="2:5" ht="15" customHeight="1" x14ac:dyDescent="0.3">
      <c r="B99" s="77"/>
      <c r="C99" s="47" t="s">
        <v>18</v>
      </c>
      <c r="D99" s="46">
        <v>1</v>
      </c>
      <c r="E99" s="45">
        <v>4.5454545454545452E-3</v>
      </c>
    </row>
    <row r="100" spans="2:5" ht="15" customHeight="1" x14ac:dyDescent="0.3">
      <c r="B100" s="77"/>
      <c r="C100" s="47" t="s">
        <v>27</v>
      </c>
      <c r="D100" s="46">
        <v>1</v>
      </c>
      <c r="E100" s="45">
        <v>4.5454545454545452E-3</v>
      </c>
    </row>
    <row r="101" spans="2:5" ht="15" customHeight="1" x14ac:dyDescent="0.3">
      <c r="B101" s="77"/>
      <c r="C101" s="47" t="s">
        <v>34</v>
      </c>
      <c r="D101" s="46">
        <v>1</v>
      </c>
      <c r="E101" s="45">
        <v>4.5454545454545452E-3</v>
      </c>
    </row>
    <row r="102" spans="2:5" ht="15" customHeight="1" x14ac:dyDescent="0.3">
      <c r="B102" s="77"/>
      <c r="C102" s="47" t="s">
        <v>41</v>
      </c>
      <c r="D102" s="46">
        <v>2</v>
      </c>
      <c r="E102" s="45">
        <v>9.0909090909090905E-3</v>
      </c>
    </row>
    <row r="103" spans="2:5" ht="15" customHeight="1" x14ac:dyDescent="0.3">
      <c r="B103" s="76"/>
      <c r="C103" s="44" t="s">
        <v>17</v>
      </c>
      <c r="D103" s="43">
        <v>36</v>
      </c>
      <c r="E103" s="42">
        <v>0.16363636363636364</v>
      </c>
    </row>
    <row r="104" spans="2:5" ht="15" customHeight="1" x14ac:dyDescent="0.3">
      <c r="B104" s="75" t="s">
        <v>188</v>
      </c>
      <c r="C104" s="47" t="s">
        <v>44</v>
      </c>
      <c r="D104" s="46">
        <v>1</v>
      </c>
      <c r="E104" s="45">
        <v>4.5454545454545452E-3</v>
      </c>
    </row>
    <row r="105" spans="2:5" ht="15" customHeight="1" x14ac:dyDescent="0.3">
      <c r="B105" s="76"/>
      <c r="C105" s="44" t="s">
        <v>17</v>
      </c>
      <c r="D105" s="43">
        <v>1</v>
      </c>
      <c r="E105" s="42">
        <v>4.5454545454545452E-3</v>
      </c>
    </row>
    <row r="106" spans="2:5" ht="15" customHeight="1" x14ac:dyDescent="0.3">
      <c r="B106" s="75" t="s">
        <v>187</v>
      </c>
      <c r="C106" s="47" t="s">
        <v>39</v>
      </c>
      <c r="D106" s="46">
        <v>1</v>
      </c>
      <c r="E106" s="45">
        <v>4.5454545454545452E-3</v>
      </c>
    </row>
    <row r="107" spans="2:5" ht="15" customHeight="1" x14ac:dyDescent="0.3">
      <c r="B107" s="76"/>
      <c r="C107" s="44" t="s">
        <v>17</v>
      </c>
      <c r="D107" s="43">
        <v>1</v>
      </c>
      <c r="E107" s="42">
        <v>4.5454545454545452E-3</v>
      </c>
    </row>
    <row r="108" spans="2:5" ht="15" customHeight="1" x14ac:dyDescent="0.3">
      <c r="B108" s="75" t="s">
        <v>186</v>
      </c>
      <c r="C108" s="47" t="s">
        <v>39</v>
      </c>
      <c r="D108" s="46">
        <v>1</v>
      </c>
      <c r="E108" s="45">
        <v>4.5454545454545452E-3</v>
      </c>
    </row>
    <row r="109" spans="2:5" ht="15" customHeight="1" x14ac:dyDescent="0.3">
      <c r="B109" s="77"/>
      <c r="C109" s="47" t="s">
        <v>44</v>
      </c>
      <c r="D109" s="46">
        <v>1</v>
      </c>
      <c r="E109" s="45">
        <v>4.5454545454545452E-3</v>
      </c>
    </row>
    <row r="110" spans="2:5" ht="15" customHeight="1" x14ac:dyDescent="0.3">
      <c r="B110" s="77"/>
      <c r="C110" s="47" t="s">
        <v>33</v>
      </c>
      <c r="D110" s="46">
        <v>1</v>
      </c>
      <c r="E110" s="45">
        <v>4.5454545454545452E-3</v>
      </c>
    </row>
    <row r="111" spans="2:5" ht="15" customHeight="1" x14ac:dyDescent="0.3">
      <c r="B111" s="77"/>
      <c r="C111" s="47" t="s">
        <v>29</v>
      </c>
      <c r="D111" s="46">
        <v>1</v>
      </c>
      <c r="E111" s="45">
        <v>4.5454545454545452E-3</v>
      </c>
    </row>
    <row r="112" spans="2:5" ht="15" customHeight="1" x14ac:dyDescent="0.3">
      <c r="B112" s="77"/>
      <c r="C112" s="47" t="s">
        <v>34</v>
      </c>
      <c r="D112" s="46">
        <v>1</v>
      </c>
      <c r="E112" s="45">
        <v>4.5454545454545452E-3</v>
      </c>
    </row>
    <row r="113" spans="2:5" ht="15" customHeight="1" x14ac:dyDescent="0.3">
      <c r="B113" s="76"/>
      <c r="C113" s="44" t="s">
        <v>17</v>
      </c>
      <c r="D113" s="43">
        <v>5</v>
      </c>
      <c r="E113" s="42">
        <v>2.2727272727272728E-2</v>
      </c>
    </row>
    <row r="114" spans="2:5" ht="15" customHeight="1" x14ac:dyDescent="0.3">
      <c r="B114" s="75" t="s">
        <v>233</v>
      </c>
      <c r="C114" s="47" t="s">
        <v>37</v>
      </c>
      <c r="D114" s="46">
        <v>1</v>
      </c>
      <c r="E114" s="45">
        <v>4.5454545454545452E-3</v>
      </c>
    </row>
    <row r="115" spans="2:5" ht="15" customHeight="1" x14ac:dyDescent="0.3">
      <c r="B115" s="77"/>
      <c r="C115" s="47" t="s">
        <v>40</v>
      </c>
      <c r="D115" s="46">
        <v>1</v>
      </c>
      <c r="E115" s="45">
        <v>4.5454545454545452E-3</v>
      </c>
    </row>
    <row r="116" spans="2:5" ht="15" customHeight="1" x14ac:dyDescent="0.3">
      <c r="B116" s="77"/>
      <c r="C116" s="47" t="s">
        <v>30</v>
      </c>
      <c r="D116" s="46">
        <v>1</v>
      </c>
      <c r="E116" s="45">
        <v>4.5454545454545452E-3</v>
      </c>
    </row>
    <row r="117" spans="2:5" ht="15" customHeight="1" x14ac:dyDescent="0.3">
      <c r="B117" s="77"/>
      <c r="C117" s="47" t="s">
        <v>45</v>
      </c>
      <c r="D117" s="46">
        <v>1</v>
      </c>
      <c r="E117" s="45">
        <v>4.5454545454545452E-3</v>
      </c>
    </row>
    <row r="118" spans="2:5" ht="15" customHeight="1" x14ac:dyDescent="0.3">
      <c r="B118" s="77"/>
      <c r="C118" s="47" t="s">
        <v>34</v>
      </c>
      <c r="D118" s="46">
        <v>1</v>
      </c>
      <c r="E118" s="45">
        <v>4.5454545454545452E-3</v>
      </c>
    </row>
    <row r="119" spans="2:5" ht="15" customHeight="1" x14ac:dyDescent="0.3">
      <c r="B119" s="76"/>
      <c r="C119" s="44" t="s">
        <v>17</v>
      </c>
      <c r="D119" s="43">
        <v>5</v>
      </c>
      <c r="E119" s="42">
        <v>2.2727272727272728E-2</v>
      </c>
    </row>
    <row r="120" spans="2:5" ht="15" customHeight="1" x14ac:dyDescent="0.3">
      <c r="B120" s="75" t="s">
        <v>184</v>
      </c>
      <c r="C120" s="47" t="s">
        <v>45</v>
      </c>
      <c r="D120" s="46">
        <v>1</v>
      </c>
      <c r="E120" s="45">
        <v>4.5454545454545452E-3</v>
      </c>
    </row>
    <row r="121" spans="2:5" ht="15" customHeight="1" x14ac:dyDescent="0.3">
      <c r="B121" s="76"/>
      <c r="C121" s="44" t="s">
        <v>17</v>
      </c>
      <c r="D121" s="43">
        <v>1</v>
      </c>
      <c r="E121" s="42">
        <v>4.5454545454545452E-3</v>
      </c>
    </row>
    <row r="122" spans="2:5" ht="15" customHeight="1" x14ac:dyDescent="0.3">
      <c r="B122" s="81" t="s">
        <v>17</v>
      </c>
      <c r="C122" s="82"/>
      <c r="D122" s="41">
        <v>220</v>
      </c>
      <c r="E122" s="40">
        <v>1</v>
      </c>
    </row>
    <row r="124" spans="2:5" ht="15" customHeight="1" x14ac:dyDescent="0.3">
      <c r="B124" s="19" t="s">
        <v>16</v>
      </c>
    </row>
    <row r="125" spans="2:5" ht="15" customHeight="1" x14ac:dyDescent="0.3">
      <c r="B125" s="21" t="s">
        <v>15</v>
      </c>
    </row>
    <row r="126" spans="2:5" ht="15" customHeight="1" x14ac:dyDescent="0.3">
      <c r="B126" s="20" t="s">
        <v>14</v>
      </c>
    </row>
    <row r="127" spans="2:5" ht="15" customHeight="1" x14ac:dyDescent="0.3">
      <c r="B127" s="19" t="s">
        <v>13</v>
      </c>
    </row>
    <row r="128" spans="2:5" ht="15" customHeight="1" x14ac:dyDescent="0.3">
      <c r="B128" s="19" t="s">
        <v>12</v>
      </c>
    </row>
  </sheetData>
  <mergeCells count="20">
    <mergeCell ref="B22:B24"/>
    <mergeCell ref="B25:B35"/>
    <mergeCell ref="B36:B49"/>
    <mergeCell ref="B50:B51"/>
    <mergeCell ref="B52:B53"/>
    <mergeCell ref="B7:E8"/>
    <mergeCell ref="B10:B13"/>
    <mergeCell ref="B14:B15"/>
    <mergeCell ref="B16:B18"/>
    <mergeCell ref="B19:B21"/>
    <mergeCell ref="B54:B76"/>
    <mergeCell ref="B77:B79"/>
    <mergeCell ref="B120:B121"/>
    <mergeCell ref="B122:C122"/>
    <mergeCell ref="B80:B86"/>
    <mergeCell ref="B87:B103"/>
    <mergeCell ref="B104:B105"/>
    <mergeCell ref="B106:B107"/>
    <mergeCell ref="B108:B113"/>
    <mergeCell ref="B114:B1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86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topLeftCell="A5" zoomScaleNormal="100" zoomScaleSheetLayoutView="115" workbookViewId="0">
      <selection activeCell="F9" sqref="F9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208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207</v>
      </c>
      <c r="C11" s="31" t="s">
        <v>47</v>
      </c>
      <c r="D11" s="30" t="s">
        <v>46</v>
      </c>
    </row>
    <row r="12" spans="2:4" ht="15" customHeight="1" x14ac:dyDescent="0.3">
      <c r="B12" s="27" t="s">
        <v>206</v>
      </c>
      <c r="C12" s="26">
        <v>147</v>
      </c>
      <c r="D12" s="25">
        <v>0.66818181818181821</v>
      </c>
    </row>
    <row r="13" spans="2:4" ht="15" customHeight="1" x14ac:dyDescent="0.3">
      <c r="B13" s="27" t="s">
        <v>205</v>
      </c>
      <c r="C13" s="26">
        <v>73</v>
      </c>
      <c r="D13" s="25">
        <v>0.33181818181818185</v>
      </c>
    </row>
    <row r="14" spans="2:4" x14ac:dyDescent="0.3">
      <c r="B14" s="24" t="s">
        <v>204</v>
      </c>
      <c r="C14" s="23">
        <v>220</v>
      </c>
      <c r="D14" s="22">
        <v>1</v>
      </c>
    </row>
    <row r="15" spans="2:4" s="28" customFormat="1" ht="15" x14ac:dyDescent="0.3">
      <c r="C15" s="62"/>
    </row>
    <row r="16" spans="2:4" s="28" customFormat="1" ht="15" x14ac:dyDescent="0.3">
      <c r="B16" s="19" t="s">
        <v>16</v>
      </c>
      <c r="C16" s="62"/>
    </row>
    <row r="17" spans="2:4" x14ac:dyDescent="0.3">
      <c r="B17" s="21" t="s">
        <v>15</v>
      </c>
      <c r="C17" s="61"/>
      <c r="D17" s="61"/>
    </row>
    <row r="18" spans="2:4" x14ac:dyDescent="0.3">
      <c r="B18" s="20" t="s">
        <v>14</v>
      </c>
      <c r="C18" s="60"/>
      <c r="D18" s="60"/>
    </row>
    <row r="19" spans="2:4" x14ac:dyDescent="0.3">
      <c r="B19" s="19" t="s">
        <v>13</v>
      </c>
    </row>
    <row r="20" spans="2:4" x14ac:dyDescent="0.3">
      <c r="B20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67"/>
  <sheetViews>
    <sheetView topLeftCell="A4" zoomScale="120" zoomScaleNormal="120" zoomScaleSheetLayoutView="100" workbookViewId="0">
      <selection activeCell="F7" sqref="F7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48</v>
      </c>
      <c r="C9" s="51" t="s">
        <v>207</v>
      </c>
      <c r="D9" s="50" t="s">
        <v>47</v>
      </c>
      <c r="E9" s="49" t="s">
        <v>46</v>
      </c>
    </row>
    <row r="10" spans="1:5" ht="15" customHeight="1" x14ac:dyDescent="0.3">
      <c r="B10" s="75" t="s">
        <v>25</v>
      </c>
      <c r="C10" s="47" t="s">
        <v>210</v>
      </c>
      <c r="D10" s="46">
        <v>2</v>
      </c>
      <c r="E10" s="45">
        <v>9.0909090909090905E-3</v>
      </c>
    </row>
    <row r="11" spans="1:5" ht="15" customHeight="1" x14ac:dyDescent="0.3">
      <c r="B11" s="76"/>
      <c r="C11" s="44" t="s">
        <v>17</v>
      </c>
      <c r="D11" s="43">
        <v>2</v>
      </c>
      <c r="E11" s="42">
        <v>9.0909090909090905E-3</v>
      </c>
    </row>
    <row r="12" spans="1:5" ht="15" customHeight="1" x14ac:dyDescent="0.3">
      <c r="B12" s="75" t="s">
        <v>26</v>
      </c>
      <c r="C12" s="47" t="s">
        <v>210</v>
      </c>
      <c r="D12" s="46">
        <v>1</v>
      </c>
      <c r="E12" s="45">
        <v>4.5454545454545452E-3</v>
      </c>
    </row>
    <row r="13" spans="1:5" ht="15" customHeight="1" x14ac:dyDescent="0.3">
      <c r="B13" s="77"/>
      <c r="C13" s="47" t="s">
        <v>209</v>
      </c>
      <c r="D13" s="46">
        <v>2</v>
      </c>
      <c r="E13" s="45">
        <v>9.0909090909090905E-3</v>
      </c>
    </row>
    <row r="14" spans="1:5" s="48" customFormat="1" ht="15" customHeight="1" x14ac:dyDescent="0.2">
      <c r="B14" s="76"/>
      <c r="C14" s="44" t="s">
        <v>17</v>
      </c>
      <c r="D14" s="43">
        <v>3</v>
      </c>
      <c r="E14" s="42">
        <v>1.3636363636363636E-2</v>
      </c>
    </row>
    <row r="15" spans="1:5" s="48" customFormat="1" ht="15" customHeight="1" x14ac:dyDescent="0.2">
      <c r="B15" s="77" t="s">
        <v>23</v>
      </c>
      <c r="C15" s="47" t="s">
        <v>209</v>
      </c>
      <c r="D15" s="46">
        <v>1</v>
      </c>
      <c r="E15" s="45">
        <v>4.5454545454545452E-3</v>
      </c>
    </row>
    <row r="16" spans="1:5" s="48" customFormat="1" ht="15" customHeight="1" x14ac:dyDescent="0.2">
      <c r="B16" s="76"/>
      <c r="C16" s="44" t="s">
        <v>17</v>
      </c>
      <c r="D16" s="43">
        <v>1</v>
      </c>
      <c r="E16" s="42">
        <v>4.5454545454545452E-3</v>
      </c>
    </row>
    <row r="17" spans="2:5" ht="15" customHeight="1" x14ac:dyDescent="0.3">
      <c r="B17" s="75" t="s">
        <v>37</v>
      </c>
      <c r="C17" s="47" t="s">
        <v>210</v>
      </c>
      <c r="D17" s="46">
        <v>9</v>
      </c>
      <c r="E17" s="45">
        <v>4.0909090909090909E-2</v>
      </c>
    </row>
    <row r="18" spans="2:5" ht="15" customHeight="1" x14ac:dyDescent="0.3">
      <c r="B18" s="77"/>
      <c r="C18" s="47" t="s">
        <v>209</v>
      </c>
      <c r="D18" s="46">
        <v>1</v>
      </c>
      <c r="E18" s="45">
        <v>4.5454545454545452E-3</v>
      </c>
    </row>
    <row r="19" spans="2:5" ht="15" customHeight="1" x14ac:dyDescent="0.3">
      <c r="B19" s="76"/>
      <c r="C19" s="44" t="s">
        <v>17</v>
      </c>
      <c r="D19" s="43">
        <v>10</v>
      </c>
      <c r="E19" s="42">
        <v>4.5454545454545456E-2</v>
      </c>
    </row>
    <row r="20" spans="2:5" ht="15" customHeight="1" x14ac:dyDescent="0.3">
      <c r="B20" s="75" t="s">
        <v>36</v>
      </c>
      <c r="C20" s="47" t="s">
        <v>210</v>
      </c>
      <c r="D20" s="46">
        <v>5</v>
      </c>
      <c r="E20" s="45">
        <v>2.2727272727272728E-2</v>
      </c>
    </row>
    <row r="21" spans="2:5" ht="15" customHeight="1" x14ac:dyDescent="0.3">
      <c r="B21" s="77"/>
      <c r="C21" s="47" t="s">
        <v>209</v>
      </c>
      <c r="D21" s="46">
        <v>4</v>
      </c>
      <c r="E21" s="45">
        <v>1.8181818181818181E-2</v>
      </c>
    </row>
    <row r="22" spans="2:5" ht="15" customHeight="1" x14ac:dyDescent="0.3">
      <c r="B22" s="76"/>
      <c r="C22" s="44" t="s">
        <v>17</v>
      </c>
      <c r="D22" s="43">
        <v>9</v>
      </c>
      <c r="E22" s="42">
        <v>4.0909090909090909E-2</v>
      </c>
    </row>
    <row r="23" spans="2:5" ht="15" customHeight="1" x14ac:dyDescent="0.3">
      <c r="B23" s="77" t="s">
        <v>22</v>
      </c>
      <c r="C23" s="47" t="s">
        <v>209</v>
      </c>
      <c r="D23" s="46">
        <v>1</v>
      </c>
      <c r="E23" s="45">
        <v>4.5454545454545452E-3</v>
      </c>
    </row>
    <row r="24" spans="2:5" ht="15" customHeight="1" x14ac:dyDescent="0.3">
      <c r="B24" s="76"/>
      <c r="C24" s="44" t="s">
        <v>17</v>
      </c>
      <c r="D24" s="43">
        <v>1</v>
      </c>
      <c r="E24" s="42">
        <v>4.5454545454545452E-3</v>
      </c>
    </row>
    <row r="25" spans="2:5" ht="15" customHeight="1" x14ac:dyDescent="0.3">
      <c r="B25" s="75" t="s">
        <v>40</v>
      </c>
      <c r="C25" s="47" t="s">
        <v>210</v>
      </c>
      <c r="D25" s="46">
        <v>7</v>
      </c>
      <c r="E25" s="45">
        <v>3.1818181818181815E-2</v>
      </c>
    </row>
    <row r="26" spans="2:5" ht="15" customHeight="1" x14ac:dyDescent="0.3">
      <c r="B26" s="77"/>
      <c r="C26" s="47" t="s">
        <v>209</v>
      </c>
      <c r="D26" s="46">
        <v>7</v>
      </c>
      <c r="E26" s="45">
        <v>3.1818181818181815E-2</v>
      </c>
    </row>
    <row r="27" spans="2:5" ht="15" customHeight="1" x14ac:dyDescent="0.3">
      <c r="B27" s="76"/>
      <c r="C27" s="44" t="s">
        <v>17</v>
      </c>
      <c r="D27" s="43">
        <v>14</v>
      </c>
      <c r="E27" s="42">
        <v>6.363636363636363E-2</v>
      </c>
    </row>
    <row r="28" spans="2:5" ht="15" customHeight="1" x14ac:dyDescent="0.3">
      <c r="B28" s="75" t="s">
        <v>30</v>
      </c>
      <c r="C28" s="47" t="s">
        <v>210</v>
      </c>
      <c r="D28" s="46">
        <v>3</v>
      </c>
      <c r="E28" s="45">
        <v>1.3636363636363636E-2</v>
      </c>
    </row>
    <row r="29" spans="2:5" ht="15" customHeight="1" x14ac:dyDescent="0.3">
      <c r="B29" s="77"/>
      <c r="C29" s="47" t="s">
        <v>209</v>
      </c>
      <c r="D29" s="46">
        <v>1</v>
      </c>
      <c r="E29" s="45">
        <v>4.5454545454545452E-3</v>
      </c>
    </row>
    <row r="30" spans="2:5" ht="15" customHeight="1" x14ac:dyDescent="0.3">
      <c r="B30" s="76"/>
      <c r="C30" s="44" t="s">
        <v>17</v>
      </c>
      <c r="D30" s="43">
        <v>4</v>
      </c>
      <c r="E30" s="42">
        <v>1.8181818181818181E-2</v>
      </c>
    </row>
    <row r="31" spans="2:5" ht="15" customHeight="1" x14ac:dyDescent="0.3">
      <c r="B31" s="75" t="s">
        <v>43</v>
      </c>
      <c r="C31" s="47" t="s">
        <v>210</v>
      </c>
      <c r="D31" s="46">
        <v>11</v>
      </c>
      <c r="E31" s="45">
        <v>0.05</v>
      </c>
    </row>
    <row r="32" spans="2:5" ht="15" customHeight="1" x14ac:dyDescent="0.3">
      <c r="B32" s="77"/>
      <c r="C32" s="47" t="s">
        <v>209</v>
      </c>
      <c r="D32" s="46">
        <v>4</v>
      </c>
      <c r="E32" s="45">
        <v>1.8181818181818181E-2</v>
      </c>
    </row>
    <row r="33" spans="2:5" ht="15" customHeight="1" x14ac:dyDescent="0.3">
      <c r="B33" s="76"/>
      <c r="C33" s="44" t="s">
        <v>17</v>
      </c>
      <c r="D33" s="43">
        <v>15</v>
      </c>
      <c r="E33" s="42">
        <v>6.8181818181818177E-2</v>
      </c>
    </row>
    <row r="34" spans="2:5" ht="15" customHeight="1" x14ac:dyDescent="0.3">
      <c r="B34" s="75" t="s">
        <v>39</v>
      </c>
      <c r="C34" s="47" t="s">
        <v>210</v>
      </c>
      <c r="D34" s="46">
        <v>10</v>
      </c>
      <c r="E34" s="45">
        <v>4.5454545454545456E-2</v>
      </c>
    </row>
    <row r="35" spans="2:5" ht="15" customHeight="1" x14ac:dyDescent="0.3">
      <c r="B35" s="77"/>
      <c r="C35" s="47" t="s">
        <v>209</v>
      </c>
      <c r="D35" s="46">
        <v>3</v>
      </c>
      <c r="E35" s="45">
        <v>1.3636363636363636E-2</v>
      </c>
    </row>
    <row r="36" spans="2:5" ht="15" customHeight="1" x14ac:dyDescent="0.3">
      <c r="B36" s="76"/>
      <c r="C36" s="44" t="s">
        <v>17</v>
      </c>
      <c r="D36" s="43">
        <v>13</v>
      </c>
      <c r="E36" s="42">
        <v>5.909090909090909E-2</v>
      </c>
    </row>
    <row r="37" spans="2:5" ht="15" customHeight="1" x14ac:dyDescent="0.3">
      <c r="B37" s="75" t="s">
        <v>44</v>
      </c>
      <c r="C37" s="47" t="s">
        <v>210</v>
      </c>
      <c r="D37" s="46">
        <v>10</v>
      </c>
      <c r="E37" s="45">
        <v>4.5454545454545456E-2</v>
      </c>
    </row>
    <row r="38" spans="2:5" ht="15" customHeight="1" x14ac:dyDescent="0.3">
      <c r="B38" s="77"/>
      <c r="C38" s="47" t="s">
        <v>209</v>
      </c>
      <c r="D38" s="46">
        <v>13</v>
      </c>
      <c r="E38" s="45">
        <v>5.909090909090909E-2</v>
      </c>
    </row>
    <row r="39" spans="2:5" ht="15" customHeight="1" x14ac:dyDescent="0.3">
      <c r="B39" s="76"/>
      <c r="C39" s="44" t="s">
        <v>17</v>
      </c>
      <c r="D39" s="43">
        <v>23</v>
      </c>
      <c r="E39" s="42">
        <v>0.10454545454545454</v>
      </c>
    </row>
    <row r="40" spans="2:5" ht="15" customHeight="1" x14ac:dyDescent="0.3">
      <c r="B40" s="75" t="s">
        <v>21</v>
      </c>
      <c r="C40" s="47" t="s">
        <v>210</v>
      </c>
      <c r="D40" s="46">
        <v>1</v>
      </c>
      <c r="E40" s="45">
        <v>4.5454545454545452E-3</v>
      </c>
    </row>
    <row r="41" spans="2:5" ht="15" customHeight="1" x14ac:dyDescent="0.3">
      <c r="B41" s="76"/>
      <c r="C41" s="44" t="s">
        <v>17</v>
      </c>
      <c r="D41" s="43">
        <v>1</v>
      </c>
      <c r="E41" s="42">
        <v>4.5454545454545452E-3</v>
      </c>
    </row>
    <row r="42" spans="2:5" ht="15" customHeight="1" x14ac:dyDescent="0.3">
      <c r="B42" s="75" t="s">
        <v>45</v>
      </c>
      <c r="C42" s="47" t="s">
        <v>210</v>
      </c>
      <c r="D42" s="46">
        <v>19</v>
      </c>
      <c r="E42" s="45">
        <v>8.6363636363636365E-2</v>
      </c>
    </row>
    <row r="43" spans="2:5" ht="15" customHeight="1" x14ac:dyDescent="0.3">
      <c r="B43" s="77"/>
      <c r="C43" s="47" t="s">
        <v>209</v>
      </c>
      <c r="D43" s="46">
        <v>11</v>
      </c>
      <c r="E43" s="45">
        <v>0.05</v>
      </c>
    </row>
    <row r="44" spans="2:5" ht="15" customHeight="1" x14ac:dyDescent="0.3">
      <c r="B44" s="76"/>
      <c r="C44" s="44" t="s">
        <v>17</v>
      </c>
      <c r="D44" s="43">
        <v>30</v>
      </c>
      <c r="E44" s="42">
        <v>0.13636363636363635</v>
      </c>
    </row>
    <row r="45" spans="2:5" ht="15" customHeight="1" x14ac:dyDescent="0.3">
      <c r="B45" s="75" t="s">
        <v>42</v>
      </c>
      <c r="C45" s="47" t="s">
        <v>210</v>
      </c>
      <c r="D45" s="46">
        <v>13</v>
      </c>
      <c r="E45" s="45">
        <v>5.909090909090909E-2</v>
      </c>
    </row>
    <row r="46" spans="2:5" ht="15" customHeight="1" x14ac:dyDescent="0.3">
      <c r="B46" s="77"/>
      <c r="C46" s="47" t="s">
        <v>209</v>
      </c>
      <c r="D46" s="46">
        <v>2</v>
      </c>
      <c r="E46" s="45">
        <v>9.0909090909090905E-3</v>
      </c>
    </row>
    <row r="47" spans="2:5" ht="15" customHeight="1" x14ac:dyDescent="0.3">
      <c r="B47" s="76"/>
      <c r="C47" s="44" t="s">
        <v>17</v>
      </c>
      <c r="D47" s="43">
        <v>15</v>
      </c>
      <c r="E47" s="42">
        <v>6.8181818181818177E-2</v>
      </c>
    </row>
    <row r="48" spans="2:5" ht="15" customHeight="1" x14ac:dyDescent="0.3">
      <c r="B48" s="75" t="s">
        <v>33</v>
      </c>
      <c r="C48" s="47" t="s">
        <v>210</v>
      </c>
      <c r="D48" s="46">
        <v>2</v>
      </c>
      <c r="E48" s="45">
        <v>9.0909090909090905E-3</v>
      </c>
    </row>
    <row r="49" spans="2:5" ht="15" customHeight="1" x14ac:dyDescent="0.3">
      <c r="B49" s="77"/>
      <c r="C49" s="47" t="s">
        <v>209</v>
      </c>
      <c r="D49" s="46">
        <v>4</v>
      </c>
      <c r="E49" s="45">
        <v>1.8181818181818181E-2</v>
      </c>
    </row>
    <row r="50" spans="2:5" ht="15" customHeight="1" x14ac:dyDescent="0.3">
      <c r="B50" s="76"/>
      <c r="C50" s="44" t="s">
        <v>17</v>
      </c>
      <c r="D50" s="43">
        <v>6</v>
      </c>
      <c r="E50" s="42">
        <v>2.7272727272727271E-2</v>
      </c>
    </row>
    <row r="51" spans="2:5" ht="15" customHeight="1" x14ac:dyDescent="0.3">
      <c r="B51" s="75" t="s">
        <v>24</v>
      </c>
      <c r="C51" s="47" t="s">
        <v>210</v>
      </c>
      <c r="D51" s="46">
        <v>1</v>
      </c>
      <c r="E51" s="45">
        <v>4.5454545454545452E-3</v>
      </c>
    </row>
    <row r="52" spans="2:5" ht="15" customHeight="1" x14ac:dyDescent="0.3">
      <c r="B52" s="77"/>
      <c r="C52" s="47" t="s">
        <v>209</v>
      </c>
      <c r="D52" s="46">
        <v>1</v>
      </c>
      <c r="E52" s="45">
        <v>4.5454545454545452E-3</v>
      </c>
    </row>
    <row r="53" spans="2:5" ht="15" customHeight="1" x14ac:dyDescent="0.3">
      <c r="B53" s="76"/>
      <c r="C53" s="44" t="s">
        <v>17</v>
      </c>
      <c r="D53" s="43">
        <v>2</v>
      </c>
      <c r="E53" s="42">
        <v>9.0909090909090905E-3</v>
      </c>
    </row>
    <row r="54" spans="2:5" ht="15" customHeight="1" x14ac:dyDescent="0.3">
      <c r="B54" s="75" t="s">
        <v>20</v>
      </c>
      <c r="C54" s="47" t="s">
        <v>210</v>
      </c>
      <c r="D54" s="46">
        <v>1</v>
      </c>
      <c r="E54" s="45">
        <v>4.5454545454545452E-3</v>
      </c>
    </row>
    <row r="55" spans="2:5" ht="15" customHeight="1" x14ac:dyDescent="0.3">
      <c r="B55" s="76"/>
      <c r="C55" s="44" t="s">
        <v>17</v>
      </c>
      <c r="D55" s="43">
        <v>1</v>
      </c>
      <c r="E55" s="42">
        <v>4.5454545454545452E-3</v>
      </c>
    </row>
    <row r="56" spans="2:5" ht="15" customHeight="1" x14ac:dyDescent="0.3">
      <c r="B56" s="75" t="s">
        <v>38</v>
      </c>
      <c r="C56" s="47" t="s">
        <v>210</v>
      </c>
      <c r="D56" s="46">
        <v>10</v>
      </c>
      <c r="E56" s="45">
        <v>4.5454545454545456E-2</v>
      </c>
    </row>
    <row r="57" spans="2:5" ht="15" customHeight="1" x14ac:dyDescent="0.3">
      <c r="B57" s="77"/>
      <c r="C57" s="47" t="s">
        <v>209</v>
      </c>
      <c r="D57" s="46">
        <v>3</v>
      </c>
      <c r="E57" s="45">
        <v>1.3636363636363636E-2</v>
      </c>
    </row>
    <row r="58" spans="2:5" ht="15" customHeight="1" x14ac:dyDescent="0.3">
      <c r="B58" s="76"/>
      <c r="C58" s="44" t="s">
        <v>17</v>
      </c>
      <c r="D58" s="43">
        <v>13</v>
      </c>
      <c r="E58" s="42">
        <v>5.909090909090909E-2</v>
      </c>
    </row>
    <row r="59" spans="2:5" ht="15" customHeight="1" x14ac:dyDescent="0.3">
      <c r="B59" s="75" t="s">
        <v>35</v>
      </c>
      <c r="C59" s="47" t="s">
        <v>210</v>
      </c>
      <c r="D59" s="46">
        <v>7</v>
      </c>
      <c r="E59" s="45">
        <v>3.1818181818181815E-2</v>
      </c>
    </row>
    <row r="60" spans="2:5" ht="15" customHeight="1" x14ac:dyDescent="0.3">
      <c r="B60" s="77"/>
      <c r="C60" s="47" t="s">
        <v>209</v>
      </c>
      <c r="D60" s="46">
        <v>2</v>
      </c>
      <c r="E60" s="45">
        <v>9.0909090909090905E-3</v>
      </c>
    </row>
    <row r="61" spans="2:5" ht="15" customHeight="1" x14ac:dyDescent="0.3">
      <c r="B61" s="76"/>
      <c r="C61" s="44" t="s">
        <v>17</v>
      </c>
      <c r="D61" s="43">
        <v>9</v>
      </c>
      <c r="E61" s="42">
        <v>4.0909090909090909E-2</v>
      </c>
    </row>
    <row r="62" spans="2:5" ht="15" customHeight="1" x14ac:dyDescent="0.3">
      <c r="B62" s="75" t="s">
        <v>29</v>
      </c>
      <c r="C62" s="47" t="s">
        <v>210</v>
      </c>
      <c r="D62" s="46">
        <v>2</v>
      </c>
      <c r="E62" s="45">
        <v>9.0909090909090905E-3</v>
      </c>
    </row>
    <row r="63" spans="2:5" ht="15" customHeight="1" x14ac:dyDescent="0.3">
      <c r="B63" s="77"/>
      <c r="C63" s="47" t="s">
        <v>209</v>
      </c>
      <c r="D63" s="46">
        <v>2</v>
      </c>
      <c r="E63" s="45">
        <v>9.0909090909090905E-3</v>
      </c>
    </row>
    <row r="64" spans="2:5" ht="15" customHeight="1" x14ac:dyDescent="0.3">
      <c r="B64" s="76"/>
      <c r="C64" s="44" t="s">
        <v>17</v>
      </c>
      <c r="D64" s="43">
        <v>4</v>
      </c>
      <c r="E64" s="42">
        <v>1.8181818181818181E-2</v>
      </c>
    </row>
    <row r="65" spans="2:5" ht="15" customHeight="1" x14ac:dyDescent="0.3">
      <c r="B65" s="77" t="s">
        <v>19</v>
      </c>
      <c r="C65" s="47" t="s">
        <v>209</v>
      </c>
      <c r="D65" s="46">
        <v>1</v>
      </c>
      <c r="E65" s="45">
        <v>4.5454545454545452E-3</v>
      </c>
    </row>
    <row r="66" spans="2:5" ht="15" customHeight="1" x14ac:dyDescent="0.3">
      <c r="B66" s="76"/>
      <c r="C66" s="44" t="s">
        <v>17</v>
      </c>
      <c r="D66" s="43">
        <v>1</v>
      </c>
      <c r="E66" s="42">
        <v>4.5454545454545452E-3</v>
      </c>
    </row>
    <row r="67" spans="2:5" ht="15" customHeight="1" x14ac:dyDescent="0.3">
      <c r="B67" s="75" t="s">
        <v>32</v>
      </c>
      <c r="C67" s="47" t="s">
        <v>210</v>
      </c>
      <c r="D67" s="46">
        <v>6</v>
      </c>
      <c r="E67" s="45">
        <v>2.7272727272727271E-2</v>
      </c>
    </row>
    <row r="68" spans="2:5" ht="15" customHeight="1" x14ac:dyDescent="0.3">
      <c r="B68" s="76"/>
      <c r="C68" s="44" t="s">
        <v>17</v>
      </c>
      <c r="D68" s="43">
        <v>6</v>
      </c>
      <c r="E68" s="42">
        <v>2.7272727272727271E-2</v>
      </c>
    </row>
    <row r="69" spans="2:5" ht="15" customHeight="1" x14ac:dyDescent="0.3">
      <c r="B69" s="75" t="s">
        <v>28</v>
      </c>
      <c r="C69" s="47" t="s">
        <v>210</v>
      </c>
      <c r="D69" s="46">
        <v>2</v>
      </c>
      <c r="E69" s="45">
        <v>9.0909090909090905E-3</v>
      </c>
    </row>
    <row r="70" spans="2:5" ht="15" customHeight="1" x14ac:dyDescent="0.3">
      <c r="B70" s="77"/>
      <c r="C70" s="47" t="s">
        <v>209</v>
      </c>
      <c r="D70" s="46">
        <v>2</v>
      </c>
      <c r="E70" s="45">
        <v>9.0909090909090905E-3</v>
      </c>
    </row>
    <row r="71" spans="2:5" ht="15" customHeight="1" x14ac:dyDescent="0.3">
      <c r="B71" s="76"/>
      <c r="C71" s="44" t="s">
        <v>17</v>
      </c>
      <c r="D71" s="43">
        <v>4</v>
      </c>
      <c r="E71" s="42">
        <v>1.8181818181818181E-2</v>
      </c>
    </row>
    <row r="72" spans="2:5" ht="15" customHeight="1" x14ac:dyDescent="0.3">
      <c r="B72" s="75" t="s">
        <v>18</v>
      </c>
      <c r="C72" s="47" t="s">
        <v>210</v>
      </c>
      <c r="D72" s="46">
        <v>1</v>
      </c>
      <c r="E72" s="45">
        <v>4.5454545454545452E-3</v>
      </c>
    </row>
    <row r="73" spans="2:5" ht="15" customHeight="1" x14ac:dyDescent="0.3">
      <c r="B73" s="76"/>
      <c r="C73" s="44" t="s">
        <v>17</v>
      </c>
      <c r="D73" s="43">
        <v>1</v>
      </c>
      <c r="E73" s="42">
        <v>4.5454545454545452E-3</v>
      </c>
    </row>
    <row r="74" spans="2:5" ht="15" customHeight="1" x14ac:dyDescent="0.3">
      <c r="B74" s="75" t="s">
        <v>27</v>
      </c>
      <c r="C74" s="47" t="s">
        <v>210</v>
      </c>
      <c r="D74" s="46">
        <v>4</v>
      </c>
      <c r="E74" s="45">
        <v>1.8181818181818181E-2</v>
      </c>
    </row>
    <row r="75" spans="2:5" ht="15" customHeight="1" x14ac:dyDescent="0.3">
      <c r="B75" s="76"/>
      <c r="C75" s="44" t="s">
        <v>17</v>
      </c>
      <c r="D75" s="43">
        <v>4</v>
      </c>
      <c r="E75" s="42">
        <v>1.8181818181818181E-2</v>
      </c>
    </row>
    <row r="76" spans="2:5" ht="15" customHeight="1" x14ac:dyDescent="0.3">
      <c r="B76" s="75" t="s">
        <v>34</v>
      </c>
      <c r="C76" s="47" t="s">
        <v>210</v>
      </c>
      <c r="D76" s="46">
        <v>4</v>
      </c>
      <c r="E76" s="45">
        <v>1.8181818181818181E-2</v>
      </c>
    </row>
    <row r="77" spans="2:5" ht="15" customHeight="1" x14ac:dyDescent="0.3">
      <c r="B77" s="77"/>
      <c r="C77" s="47" t="s">
        <v>209</v>
      </c>
      <c r="D77" s="46">
        <v>4</v>
      </c>
      <c r="E77" s="45">
        <v>1.8181818181818181E-2</v>
      </c>
    </row>
    <row r="78" spans="2:5" ht="15" customHeight="1" x14ac:dyDescent="0.3">
      <c r="B78" s="76"/>
      <c r="C78" s="44" t="s">
        <v>17</v>
      </c>
      <c r="D78" s="43">
        <v>8</v>
      </c>
      <c r="E78" s="42">
        <v>3.6363636363636362E-2</v>
      </c>
    </row>
    <row r="79" spans="2:5" ht="15" customHeight="1" x14ac:dyDescent="0.3">
      <c r="B79" s="75" t="s">
        <v>41</v>
      </c>
      <c r="C79" s="47" t="s">
        <v>210</v>
      </c>
      <c r="D79" s="46">
        <v>11</v>
      </c>
      <c r="E79" s="45">
        <v>0.05</v>
      </c>
    </row>
    <row r="80" spans="2:5" ht="15" customHeight="1" x14ac:dyDescent="0.3">
      <c r="B80" s="77"/>
      <c r="C80" s="47" t="s">
        <v>209</v>
      </c>
      <c r="D80" s="46">
        <v>4</v>
      </c>
      <c r="E80" s="45">
        <v>1.8181818181818181E-2</v>
      </c>
    </row>
    <row r="81" spans="2:5" ht="15" customHeight="1" x14ac:dyDescent="0.3">
      <c r="B81" s="76"/>
      <c r="C81" s="44" t="s">
        <v>17</v>
      </c>
      <c r="D81" s="43">
        <v>15</v>
      </c>
      <c r="E81" s="42">
        <v>6.8181818181818177E-2</v>
      </c>
    </row>
    <row r="82" spans="2:5" ht="15" customHeight="1" x14ac:dyDescent="0.3">
      <c r="B82" s="75" t="s">
        <v>31</v>
      </c>
      <c r="C82" s="47" t="s">
        <v>210</v>
      </c>
      <c r="D82" s="46">
        <v>5</v>
      </c>
      <c r="E82" s="45">
        <v>2.2727272727272728E-2</v>
      </c>
    </row>
    <row r="83" spans="2:5" ht="15" customHeight="1" x14ac:dyDescent="0.3">
      <c r="B83" s="76"/>
      <c r="C83" s="44" t="s">
        <v>17</v>
      </c>
      <c r="D83" s="43">
        <v>5</v>
      </c>
      <c r="E83" s="42">
        <v>2.2727272727272728E-2</v>
      </c>
    </row>
    <row r="84" spans="2:5" ht="15" customHeight="1" x14ac:dyDescent="0.3">
      <c r="B84" s="81" t="s">
        <v>17</v>
      </c>
      <c r="C84" s="82"/>
      <c r="D84" s="41">
        <f>SUMIF(C10:C83,"TOTAL",D10:D83)</f>
        <v>220</v>
      </c>
      <c r="E84" s="40">
        <v>1</v>
      </c>
    </row>
    <row r="86" spans="2:5" ht="15" customHeight="1" x14ac:dyDescent="0.3">
      <c r="B86" s="19" t="s">
        <v>16</v>
      </c>
    </row>
    <row r="87" spans="2:5" ht="15" customHeight="1" x14ac:dyDescent="0.3">
      <c r="B87" s="21" t="s">
        <v>15</v>
      </c>
    </row>
    <row r="88" spans="2:5" ht="15" customHeight="1" x14ac:dyDescent="0.3">
      <c r="B88" s="20" t="s">
        <v>14</v>
      </c>
    </row>
    <row r="89" spans="2:5" ht="15" customHeight="1" x14ac:dyDescent="0.3">
      <c r="B89" s="19" t="s">
        <v>13</v>
      </c>
    </row>
    <row r="90" spans="2:5" ht="15" customHeight="1" x14ac:dyDescent="0.3">
      <c r="B90" s="19" t="s">
        <v>12</v>
      </c>
    </row>
    <row r="463" spans="2:2" s="37" customFormat="1" ht="15" customHeight="1" x14ac:dyDescent="0.3">
      <c r="B463" s="38"/>
    </row>
    <row r="464" spans="2:2" s="37" customFormat="1" ht="15" customHeight="1" x14ac:dyDescent="0.3">
      <c r="B464" s="39"/>
    </row>
    <row r="465" spans="2:2" s="37" customFormat="1" ht="15" customHeight="1" x14ac:dyDescent="0.3">
      <c r="B465" s="39"/>
    </row>
    <row r="466" spans="2:2" s="37" customFormat="1" ht="15" customHeight="1" x14ac:dyDescent="0.3">
      <c r="B466" s="38"/>
    </row>
    <row r="467" spans="2:2" s="37" customFormat="1" ht="15" customHeight="1" x14ac:dyDescent="0.3">
      <c r="B467" s="38"/>
    </row>
  </sheetData>
  <mergeCells count="30">
    <mergeCell ref="B7:E8"/>
    <mergeCell ref="B10:B11"/>
    <mergeCell ref="B12:B14"/>
    <mergeCell ref="B15:B16"/>
    <mergeCell ref="B28:B30"/>
    <mergeCell ref="B31:B33"/>
    <mergeCell ref="B34:B36"/>
    <mergeCell ref="B37:B39"/>
    <mergeCell ref="B40:B41"/>
    <mergeCell ref="B17:B19"/>
    <mergeCell ref="B20:B22"/>
    <mergeCell ref="B23:B24"/>
    <mergeCell ref="B25:B27"/>
    <mergeCell ref="B56:B58"/>
    <mergeCell ref="B59:B61"/>
    <mergeCell ref="B62:B64"/>
    <mergeCell ref="B65:B66"/>
    <mergeCell ref="B79:B81"/>
    <mergeCell ref="B42:B44"/>
    <mergeCell ref="B45:B47"/>
    <mergeCell ref="B48:B50"/>
    <mergeCell ref="B51:B53"/>
    <mergeCell ref="B54:B55"/>
    <mergeCell ref="B82:B83"/>
    <mergeCell ref="B84:C84"/>
    <mergeCell ref="B67:B68"/>
    <mergeCell ref="B69:B71"/>
    <mergeCell ref="B72:B73"/>
    <mergeCell ref="B74:B75"/>
    <mergeCell ref="B76:B7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1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6" zoomScale="145" zoomScaleNormal="145" zoomScaleSheetLayoutView="100" workbookViewId="0">
      <selection activeCell="C13" sqref="C13"/>
    </sheetView>
  </sheetViews>
  <sheetFormatPr baseColWidth="10" defaultColWidth="35" defaultRowHeight="15" customHeight="1" x14ac:dyDescent="0.3"/>
  <cols>
    <col min="1" max="1" width="1" style="36" customWidth="1"/>
    <col min="2" max="2" width="22.88671875" style="37" customWidth="1"/>
    <col min="3" max="3" width="31.44140625" style="37" customWidth="1"/>
    <col min="4" max="4" width="14.33203125" style="37" customWidth="1"/>
    <col min="5" max="5" width="16.88671875" style="37" customWidth="1"/>
    <col min="6" max="16384" width="35" style="36"/>
  </cols>
  <sheetData>
    <row r="1" spans="1:5" s="55" customFormat="1" ht="12" customHeight="1" x14ac:dyDescent="0.2">
      <c r="B1" s="59"/>
      <c r="C1" s="58"/>
      <c r="D1" s="58"/>
      <c r="E1" s="58"/>
    </row>
    <row r="2" spans="1:5" s="55" customFormat="1" ht="15" customHeight="1" x14ac:dyDescent="0.2">
      <c r="C2" s="57"/>
    </row>
    <row r="3" spans="1:5" s="55" customFormat="1" ht="15" customHeight="1" x14ac:dyDescent="0.2">
      <c r="C3" s="57"/>
    </row>
    <row r="4" spans="1:5" s="55" customFormat="1" ht="30" customHeight="1" x14ac:dyDescent="0.2">
      <c r="C4" s="57"/>
      <c r="D4" s="56"/>
    </row>
    <row r="5" spans="1:5" s="55" customFormat="1" ht="15" customHeight="1" x14ac:dyDescent="0.2">
      <c r="C5" s="57"/>
      <c r="D5" s="56"/>
    </row>
    <row r="6" spans="1:5" s="52" customFormat="1" ht="24" customHeight="1" x14ac:dyDescent="0.2">
      <c r="B6" s="54"/>
      <c r="C6" s="48"/>
      <c r="D6" s="48"/>
      <c r="E6" s="48"/>
    </row>
    <row r="7" spans="1:5" s="52" customFormat="1" ht="26.25" customHeight="1" x14ac:dyDescent="0.25">
      <c r="A7" s="53"/>
      <c r="B7" s="80"/>
      <c r="C7" s="80"/>
      <c r="D7" s="80"/>
      <c r="E7" s="80"/>
    </row>
    <row r="8" spans="1:5" s="52" customFormat="1" ht="33" customHeight="1" x14ac:dyDescent="0.25">
      <c r="A8" s="53"/>
      <c r="B8" s="80"/>
      <c r="C8" s="80"/>
      <c r="D8" s="80"/>
      <c r="E8" s="80"/>
    </row>
    <row r="9" spans="1:5" s="29" customFormat="1" ht="40.5" customHeight="1" x14ac:dyDescent="0.2">
      <c r="B9" s="49" t="s">
        <v>207</v>
      </c>
      <c r="C9" s="51" t="s">
        <v>218</v>
      </c>
      <c r="D9" s="50" t="s">
        <v>47</v>
      </c>
      <c r="E9" s="49" t="s">
        <v>46</v>
      </c>
    </row>
    <row r="10" spans="1:5" ht="15" customHeight="1" x14ac:dyDescent="0.3">
      <c r="B10" s="75" t="s">
        <v>210</v>
      </c>
      <c r="C10" s="47" t="s">
        <v>215</v>
      </c>
      <c r="D10" s="46">
        <v>1</v>
      </c>
      <c r="E10" s="45">
        <v>4.5454545454545452E-3</v>
      </c>
    </row>
    <row r="11" spans="1:5" ht="15" customHeight="1" x14ac:dyDescent="0.3">
      <c r="B11" s="77"/>
      <c r="C11" s="47" t="s">
        <v>214</v>
      </c>
      <c r="D11" s="46">
        <v>43</v>
      </c>
      <c r="E11" s="45">
        <v>0.19545454545454546</v>
      </c>
    </row>
    <row r="12" spans="1:5" ht="15" customHeight="1" x14ac:dyDescent="0.3">
      <c r="B12" s="77"/>
      <c r="C12" s="47" t="s">
        <v>213</v>
      </c>
      <c r="D12" s="46">
        <v>60</v>
      </c>
      <c r="E12" s="45">
        <v>0.27272727272727271</v>
      </c>
    </row>
    <row r="13" spans="1:5" ht="15" customHeight="1" x14ac:dyDescent="0.3">
      <c r="B13" s="77"/>
      <c r="C13" s="47" t="s">
        <v>212</v>
      </c>
      <c r="D13" s="46">
        <v>32</v>
      </c>
      <c r="E13" s="45">
        <v>0.14545454545454545</v>
      </c>
    </row>
    <row r="14" spans="1:5" ht="15" customHeight="1" x14ac:dyDescent="0.3">
      <c r="B14" s="77"/>
      <c r="C14" s="47" t="s">
        <v>211</v>
      </c>
      <c r="D14" s="46">
        <v>10</v>
      </c>
      <c r="E14" s="45">
        <v>4.5454545454545456E-2</v>
      </c>
    </row>
    <row r="15" spans="1:5" s="48" customFormat="1" ht="15" customHeight="1" x14ac:dyDescent="0.2">
      <c r="B15" s="76"/>
      <c r="C15" s="47" t="s">
        <v>217</v>
      </c>
      <c r="D15" s="46">
        <v>1</v>
      </c>
      <c r="E15" s="45">
        <v>4.5454545454545452E-3</v>
      </c>
    </row>
    <row r="16" spans="1:5" s="48" customFormat="1" ht="15" customHeight="1" x14ac:dyDescent="0.2">
      <c r="B16" s="75" t="s">
        <v>209</v>
      </c>
      <c r="C16" s="47" t="s">
        <v>216</v>
      </c>
      <c r="D16" s="46">
        <v>2</v>
      </c>
      <c r="E16" s="45">
        <v>9.0909090909090905E-3</v>
      </c>
    </row>
    <row r="17" spans="2:5" s="48" customFormat="1" ht="15" customHeight="1" x14ac:dyDescent="0.2">
      <c r="B17" s="77"/>
      <c r="C17" s="47" t="s">
        <v>215</v>
      </c>
      <c r="D17" s="46">
        <v>1</v>
      </c>
      <c r="E17" s="45">
        <v>4.5454545454545452E-3</v>
      </c>
    </row>
    <row r="18" spans="2:5" s="48" customFormat="1" ht="15" customHeight="1" x14ac:dyDescent="0.2">
      <c r="B18" s="77"/>
      <c r="C18" s="47" t="s">
        <v>214</v>
      </c>
      <c r="D18" s="46">
        <v>11</v>
      </c>
      <c r="E18" s="45">
        <v>0.05</v>
      </c>
    </row>
    <row r="19" spans="2:5" s="48" customFormat="1" ht="15" customHeight="1" x14ac:dyDescent="0.2">
      <c r="B19" s="77"/>
      <c r="C19" s="47" t="s">
        <v>213</v>
      </c>
      <c r="D19" s="46">
        <v>30</v>
      </c>
      <c r="E19" s="45">
        <v>0.13636363636363635</v>
      </c>
    </row>
    <row r="20" spans="2:5" ht="15" customHeight="1" x14ac:dyDescent="0.3">
      <c r="B20" s="77"/>
      <c r="C20" s="47" t="s">
        <v>212</v>
      </c>
      <c r="D20" s="46">
        <v>21</v>
      </c>
      <c r="E20" s="45">
        <v>9.5454545454545459E-2</v>
      </c>
    </row>
    <row r="21" spans="2:5" ht="15" customHeight="1" x14ac:dyDescent="0.3">
      <c r="B21" s="76"/>
      <c r="C21" s="47" t="s">
        <v>211</v>
      </c>
      <c r="D21" s="46">
        <v>8</v>
      </c>
      <c r="E21" s="45">
        <v>3.6363636363636362E-2</v>
      </c>
    </row>
    <row r="22" spans="2:5" ht="15" customHeight="1" x14ac:dyDescent="0.3">
      <c r="B22" s="81" t="s">
        <v>17</v>
      </c>
      <c r="C22" s="82"/>
      <c r="D22" s="41">
        <v>220</v>
      </c>
      <c r="E22" s="40">
        <v>1</v>
      </c>
    </row>
    <row r="24" spans="2:5" ht="15" customHeight="1" x14ac:dyDescent="0.3">
      <c r="B24" s="19" t="s">
        <v>16</v>
      </c>
    </row>
    <row r="25" spans="2:5" ht="15" customHeight="1" x14ac:dyDescent="0.3">
      <c r="B25" s="21" t="s">
        <v>15</v>
      </c>
    </row>
    <row r="26" spans="2:5" ht="15" customHeight="1" x14ac:dyDescent="0.3">
      <c r="B26" s="20" t="s">
        <v>14</v>
      </c>
    </row>
    <row r="27" spans="2:5" ht="15" customHeight="1" x14ac:dyDescent="0.3">
      <c r="B27" s="19" t="s">
        <v>13</v>
      </c>
    </row>
    <row r="28" spans="2:5" ht="15" customHeight="1" x14ac:dyDescent="0.3">
      <c r="B28" s="19" t="s">
        <v>12</v>
      </c>
    </row>
    <row r="485" spans="2:2" s="37" customFormat="1" ht="15" customHeight="1" x14ac:dyDescent="0.3">
      <c r="B485" s="38"/>
    </row>
    <row r="486" spans="2:2" s="37" customFormat="1" ht="15" customHeight="1" x14ac:dyDescent="0.3">
      <c r="B486" s="39"/>
    </row>
    <row r="487" spans="2:2" s="37" customFormat="1" ht="15" customHeight="1" x14ac:dyDescent="0.3">
      <c r="B487" s="39"/>
    </row>
    <row r="488" spans="2:2" s="37" customFormat="1" ht="15" customHeight="1" x14ac:dyDescent="0.3">
      <c r="B488" s="38"/>
    </row>
    <row r="489" spans="2:2" s="37" customFormat="1" ht="15" customHeight="1" x14ac:dyDescent="0.3">
      <c r="B489" s="38"/>
    </row>
  </sheetData>
  <mergeCells count="4">
    <mergeCell ref="B7:E8"/>
    <mergeCell ref="B10:B15"/>
    <mergeCell ref="B16:B21"/>
    <mergeCell ref="B22:C2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9"/>
  <sheetViews>
    <sheetView showGridLines="0" tabSelected="1" topLeftCell="A7" zoomScaleNormal="100" zoomScaleSheetLayoutView="115" workbookViewId="0">
      <selection activeCell="N18" sqref="N18"/>
    </sheetView>
  </sheetViews>
  <sheetFormatPr baseColWidth="10" defaultColWidth="11.44140625" defaultRowHeight="14.4" x14ac:dyDescent="0.3"/>
  <cols>
    <col min="1" max="1" width="9.33203125" style="17" customWidth="1"/>
    <col min="2" max="2" width="21.6640625" style="17" customWidth="1"/>
    <col min="3" max="3" width="17.6640625" style="18" customWidth="1"/>
    <col min="4" max="4" width="17.6640625" style="17" customWidth="1"/>
    <col min="5" max="5" width="9.33203125" style="17" customWidth="1"/>
    <col min="6" max="6" width="5.6640625" style="17" customWidth="1"/>
    <col min="7" max="16384" width="11.44140625" style="17"/>
  </cols>
  <sheetData>
    <row r="1" spans="2:4" s="29" customFormat="1" ht="15" customHeight="1" x14ac:dyDescent="0.2">
      <c r="C1" s="35"/>
    </row>
    <row r="2" spans="2:4" s="29" customFormat="1" ht="15" customHeight="1" x14ac:dyDescent="0.2">
      <c r="C2" s="35"/>
    </row>
    <row r="3" spans="2:4" s="29" customFormat="1" ht="15" customHeight="1" x14ac:dyDescent="0.2">
      <c r="C3" s="35"/>
    </row>
    <row r="4" spans="2:4" s="29" customFormat="1" ht="30" customHeight="1" x14ac:dyDescent="0.2">
      <c r="C4" s="35"/>
      <c r="D4" s="34"/>
    </row>
    <row r="5" spans="2:4" s="29" customFormat="1" ht="15" customHeight="1" x14ac:dyDescent="0.2">
      <c r="C5" s="35"/>
      <c r="D5" s="34"/>
    </row>
    <row r="6" spans="2:4" s="29" customFormat="1" ht="15" customHeight="1" x14ac:dyDescent="0.2">
      <c r="C6" s="35"/>
      <c r="D6" s="34"/>
    </row>
    <row r="7" spans="2:4" s="29" customFormat="1" ht="15" customHeight="1" x14ac:dyDescent="0.2">
      <c r="B7" s="74" t="s">
        <v>231</v>
      </c>
      <c r="C7" s="74"/>
      <c r="D7" s="74"/>
    </row>
    <row r="8" spans="2:4" s="29" customFormat="1" ht="15" customHeight="1" x14ac:dyDescent="0.2">
      <c r="B8" s="74"/>
      <c r="C8" s="74"/>
      <c r="D8" s="74"/>
    </row>
    <row r="9" spans="2:4" s="29" customFormat="1" ht="33" customHeight="1" x14ac:dyDescent="0.2">
      <c r="B9" s="74"/>
      <c r="C9" s="74"/>
      <c r="D9" s="74"/>
    </row>
    <row r="10" spans="2:4" s="29" customFormat="1" ht="4.5" customHeight="1" x14ac:dyDescent="0.2">
      <c r="B10" s="33"/>
      <c r="C10" s="33"/>
      <c r="D10" s="33"/>
    </row>
    <row r="11" spans="2:4" s="29" customFormat="1" ht="33" customHeight="1" x14ac:dyDescent="0.2">
      <c r="B11" s="32" t="s">
        <v>230</v>
      </c>
      <c r="C11" s="31" t="s">
        <v>47</v>
      </c>
      <c r="D11" s="30" t="s">
        <v>46</v>
      </c>
    </row>
    <row r="12" spans="2:4" ht="15" customHeight="1" x14ac:dyDescent="0.3">
      <c r="B12" s="27" t="s">
        <v>229</v>
      </c>
      <c r="C12" s="26">
        <v>149</v>
      </c>
      <c r="D12" s="25">
        <v>0.67727272727272725</v>
      </c>
    </row>
    <row r="13" spans="2:4" x14ac:dyDescent="0.3">
      <c r="B13" s="27" t="s">
        <v>228</v>
      </c>
      <c r="C13" s="26">
        <v>48</v>
      </c>
      <c r="D13" s="25">
        <v>0.21818181818181817</v>
      </c>
    </row>
    <row r="14" spans="2:4" s="28" customFormat="1" ht="15" x14ac:dyDescent="0.3">
      <c r="B14" s="27" t="s">
        <v>227</v>
      </c>
      <c r="C14" s="26">
        <v>6</v>
      </c>
      <c r="D14" s="25">
        <v>2.7272727272727271E-2</v>
      </c>
    </row>
    <row r="15" spans="2:4" s="28" customFormat="1" ht="15" x14ac:dyDescent="0.3">
      <c r="B15" s="27" t="s">
        <v>226</v>
      </c>
      <c r="C15" s="26">
        <v>6</v>
      </c>
      <c r="D15" s="25">
        <v>2.7272727272727271E-2</v>
      </c>
    </row>
    <row r="16" spans="2:4" x14ac:dyDescent="0.3">
      <c r="B16" s="27" t="s">
        <v>225</v>
      </c>
      <c r="C16" s="26">
        <v>3</v>
      </c>
      <c r="D16" s="25">
        <v>1.3636363636363636E-2</v>
      </c>
    </row>
    <row r="17" spans="2:4" x14ac:dyDescent="0.3">
      <c r="B17" s="27" t="s">
        <v>224</v>
      </c>
      <c r="C17" s="26">
        <v>3</v>
      </c>
      <c r="D17" s="25">
        <v>1.3636363636363636E-2</v>
      </c>
    </row>
    <row r="18" spans="2:4" x14ac:dyDescent="0.3">
      <c r="B18" s="27" t="s">
        <v>223</v>
      </c>
      <c r="C18" s="26">
        <v>1</v>
      </c>
      <c r="D18" s="25">
        <v>4.5454545454545452E-3</v>
      </c>
    </row>
    <row r="19" spans="2:4" x14ac:dyDescent="0.3">
      <c r="B19" s="27" t="s">
        <v>222</v>
      </c>
      <c r="C19" s="26">
        <v>1</v>
      </c>
      <c r="D19" s="25">
        <v>4.5454545454545452E-3</v>
      </c>
    </row>
    <row r="20" spans="2:4" x14ac:dyDescent="0.3">
      <c r="B20" s="27" t="s">
        <v>221</v>
      </c>
      <c r="C20" s="26">
        <v>1</v>
      </c>
      <c r="D20" s="25">
        <v>4.5454545454545452E-3</v>
      </c>
    </row>
    <row r="21" spans="2:4" x14ac:dyDescent="0.3">
      <c r="B21" s="27" t="s">
        <v>220</v>
      </c>
      <c r="C21" s="26">
        <v>1</v>
      </c>
      <c r="D21" s="25">
        <v>4.5454545454545452E-3</v>
      </c>
    </row>
    <row r="22" spans="2:4" x14ac:dyDescent="0.3">
      <c r="B22" s="27" t="s">
        <v>219</v>
      </c>
      <c r="C22" s="26">
        <v>1</v>
      </c>
      <c r="D22" s="25">
        <v>4.5454545454545452E-3</v>
      </c>
    </row>
    <row r="23" spans="2:4" x14ac:dyDescent="0.3">
      <c r="B23" s="24" t="s">
        <v>17</v>
      </c>
      <c r="C23" s="23">
        <v>220</v>
      </c>
      <c r="D23" s="22">
        <v>1</v>
      </c>
    </row>
    <row r="25" spans="2:4" x14ac:dyDescent="0.3">
      <c r="B25" s="19" t="s">
        <v>16</v>
      </c>
    </row>
    <row r="26" spans="2:4" x14ac:dyDescent="0.3">
      <c r="B26" s="21" t="s">
        <v>15</v>
      </c>
    </row>
    <row r="27" spans="2:4" x14ac:dyDescent="0.3">
      <c r="B27" s="20" t="s">
        <v>14</v>
      </c>
    </row>
    <row r="28" spans="2:4" x14ac:dyDescent="0.3">
      <c r="B28" s="19" t="s">
        <v>13</v>
      </c>
    </row>
    <row r="29" spans="2:4" x14ac:dyDescent="0.3">
      <c r="B29" s="19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South Dakota_Edomexgral</vt:lpstr>
      <vt:lpstr>South Dakota_EDOMEX</vt:lpstr>
      <vt:lpstr>South Dakota_Educagral</vt:lpstr>
      <vt:lpstr>South Dakota_Eduedo</vt:lpstr>
      <vt:lpstr>South Dakota_gengral</vt:lpstr>
      <vt:lpstr>South Dakota_edomexgen</vt:lpstr>
      <vt:lpstr>South Dakota_edadgen</vt:lpstr>
      <vt:lpstr>South Dakota_ocupgral</vt:lpstr>
      <vt:lpstr>Índice!Área_de_impresión</vt:lpstr>
      <vt:lpstr>'South Dakota_edadgen'!Área_de_impresión</vt:lpstr>
      <vt:lpstr>'South Dakota_EDOMEX'!Área_de_impresión</vt:lpstr>
      <vt:lpstr>'South Dakota_edomexgen'!Área_de_impresión</vt:lpstr>
      <vt:lpstr>'South Dakota_Eduedo'!Área_de_impresión</vt:lpstr>
      <vt:lpstr>'South Dakota_edadgen'!Títulos_a_imprimir</vt:lpstr>
      <vt:lpstr>'South Dakota_EDOMEX'!Títulos_a_imprimir</vt:lpstr>
      <vt:lpstr>'South Dakota_edomexgen'!Títulos_a_imprimir</vt:lpstr>
      <vt:lpstr>'South Dakota_Edomexgral'!Títulos_a_imprimir</vt:lpstr>
      <vt:lpstr>'South Dakota_Educagral'!Títulos_a_imprimir</vt:lpstr>
      <vt:lpstr>'South Dakota_Eduedo'!Títulos_a_imprimir</vt:lpstr>
      <vt:lpstr>'South Dakota_gengral'!Títulos_a_imprimir</vt:lpstr>
      <vt:lpstr>'South Dakota_ocupgral'!Títulos_a_imprimir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2020-05-18T08:53:17Z</dcterms:created>
  <dcterms:modified xsi:type="dcterms:W3CDTF">2020-08-07T18:43:45Z</dcterms:modified>
</cp:coreProperties>
</file>