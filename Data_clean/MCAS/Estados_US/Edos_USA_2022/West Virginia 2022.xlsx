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USA\Finales_USA\"/>
    </mc:Choice>
  </mc:AlternateContent>
  <bookViews>
    <workbookView xWindow="0" yWindow="0" windowWidth="24000" windowHeight="9735" tabRatio="742"/>
  </bookViews>
  <sheets>
    <sheet name="Índice" sheetId="10" r:id="rId1"/>
    <sheet name="West Virginia_Edomexgral" sheetId="2" r:id="rId2"/>
    <sheet name="West Virginia_EDOMEX" sheetId="12" r:id="rId3"/>
    <sheet name="West Virginia_Educagral" sheetId="4" r:id="rId4"/>
    <sheet name="West Virginia_Eduedo" sheetId="11" r:id="rId5"/>
    <sheet name="West Virginia_gengral" sheetId="6" r:id="rId6"/>
    <sheet name="West Virginia_edomexgen" sheetId="7" r:id="rId7"/>
    <sheet name="West Virginia_edadgen" sheetId="8" r:id="rId8"/>
    <sheet name="West Virginia_ocupgral" sheetId="9" r:id="rId9"/>
  </sheets>
  <definedNames>
    <definedName name="_xlnm._FilterDatabase" localSheetId="7" hidden="1">'West Virginia_edadgen'!$B$9:$E$9</definedName>
    <definedName name="_xlnm._FilterDatabase" localSheetId="2" hidden="1">'West Virginia_EDOMEX'!$B$9:$E$9</definedName>
    <definedName name="_xlnm._FilterDatabase" localSheetId="6" hidden="1">'West Virginia_edomexgen'!$B$9:$E$9</definedName>
    <definedName name="_xlnm._FilterDatabase" localSheetId="1" hidden="1">'West Virginia_Edomexgral'!$B$11:$D$11</definedName>
    <definedName name="_xlnm._FilterDatabase" localSheetId="3" hidden="1">'West Virginia_Educagral'!$B$11:$D$11</definedName>
    <definedName name="_xlnm._FilterDatabase" localSheetId="4" hidden="1">'West Virginia_Eduedo'!$B$9:$E$9</definedName>
    <definedName name="_xlnm._FilterDatabase" localSheetId="5" hidden="1">'West Virginia_gengral'!$B$11:$D$11</definedName>
    <definedName name="_xlnm._FilterDatabase" localSheetId="8" hidden="1">'West Virginia_ocupgral'!$B$11:$D$11</definedName>
    <definedName name="_xlnm.Print_Area" localSheetId="0">Índice!$A$1:$D$21</definedName>
    <definedName name="_xlnm.Print_Area" localSheetId="7">'West Virginia_edadgen'!$A$1:$E$9</definedName>
    <definedName name="_xlnm.Print_Area" localSheetId="2">'West Virginia_EDOMEX'!$A$1:$E$9</definedName>
    <definedName name="_xlnm.Print_Area" localSheetId="6">'West Virginia_edomexgen'!$A$1:$E$9</definedName>
    <definedName name="_xlnm.Print_Area" localSheetId="4">'West Virginia_Eduedo'!$A$1:$E$9</definedName>
    <definedName name="_xlnm.Print_Titles" localSheetId="7">'West Virginia_edadgen'!$1:$9</definedName>
    <definedName name="_xlnm.Print_Titles" localSheetId="2">'West Virginia_EDOMEX'!$1:$9</definedName>
    <definedName name="_xlnm.Print_Titles" localSheetId="6">'West Virginia_edomexgen'!$1:$9</definedName>
    <definedName name="_xlnm.Print_Titles" localSheetId="1">'West Virginia_Edomexgral'!$1:$11</definedName>
    <definedName name="_xlnm.Print_Titles" localSheetId="3">'West Virginia_Educagral'!$1:$11</definedName>
    <definedName name="_xlnm.Print_Titles" localSheetId="4">'West Virginia_Eduedo'!$1:$9</definedName>
    <definedName name="_xlnm.Print_Titles" localSheetId="5">'West Virginia_gengral'!$1:$11</definedName>
    <definedName name="_xlnm.Print_Titles" localSheetId="8">'West Virginia_ocupgral'!$1:$11</definedName>
  </definedNames>
  <calcPr calcId="152511"/>
</workbook>
</file>

<file path=xl/calcChain.xml><?xml version="1.0" encoding="utf-8"?>
<calcChain xmlns="http://schemas.openxmlformats.org/spreadsheetml/2006/main">
  <c r="D110" i="12" l="1"/>
  <c r="D59" i="7" l="1"/>
</calcChain>
</file>

<file path=xl/sharedStrings.xml><?xml version="1.0" encoding="utf-8"?>
<sst xmlns="http://schemas.openxmlformats.org/spreadsheetml/2006/main" count="438" uniqueCount="165">
  <si>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</si>
  <si>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</si>
  <si>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</si>
  <si>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</si>
  <si>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Baja California</t>
  </si>
  <si>
    <t>Nayarit</t>
  </si>
  <si>
    <t>Morelos</t>
  </si>
  <si>
    <t>Querétaro</t>
  </si>
  <si>
    <t>Jalisco</t>
  </si>
  <si>
    <t>Hidalgo</t>
  </si>
  <si>
    <t>Chiapas</t>
  </si>
  <si>
    <t>Puebla</t>
  </si>
  <si>
    <t>Ciudad de México</t>
  </si>
  <si>
    <t>Veracruz</t>
  </si>
  <si>
    <t>San Luis Potosí</t>
  </si>
  <si>
    <t>Michoacán</t>
  </si>
  <si>
    <t>Guerrero</t>
  </si>
  <si>
    <t>Estado de México</t>
  </si>
  <si>
    <t>Guanajuato</t>
  </si>
  <si>
    <t>Oaxaca</t>
  </si>
  <si>
    <t>Porcentaje de Matrículas</t>
  </si>
  <si>
    <t>Número de Matrículas</t>
  </si>
  <si>
    <t>Estado de Origen</t>
  </si>
  <si>
    <t>Aquismón</t>
  </si>
  <si>
    <t>Paracho</t>
  </si>
  <si>
    <t>Degollado</t>
  </si>
  <si>
    <t>Chamula</t>
  </si>
  <si>
    <t>Municipio Origen</t>
  </si>
  <si>
    <t>Preparatoria con certificado</t>
  </si>
  <si>
    <t>Preparatoria sin certificado</t>
  </si>
  <si>
    <t>Secundaria con certificado</t>
  </si>
  <si>
    <t>3° Secundaria</t>
  </si>
  <si>
    <t>2° Secundaria</t>
  </si>
  <si>
    <t>Primaria con certificado</t>
  </si>
  <si>
    <t>6° Primaria</t>
  </si>
  <si>
    <t>3° Primaria</t>
  </si>
  <si>
    <t>Sin Estudios</t>
  </si>
  <si>
    <t>Nivel de Estudios</t>
  </si>
  <si>
    <t>MATRÍCULAS CONSULARES EXPEDIDAS EN EL ESTADO DE WEST VIRGINIA EN EE.UU. POR NIVEL DE EDUCACIÓN</t>
  </si>
  <si>
    <t>TOTAL</t>
  </si>
  <si>
    <t>MUJER</t>
  </si>
  <si>
    <t>HOMBRE</t>
  </si>
  <si>
    <t>Género</t>
  </si>
  <si>
    <t>Mujer</t>
  </si>
  <si>
    <t>Hombre</t>
  </si>
  <si>
    <t>Entre 50 y 65 Años</t>
  </si>
  <si>
    <t>Entre 40 y 49 Años</t>
  </si>
  <si>
    <t>Entre 29 y 39 Años</t>
  </si>
  <si>
    <t>Entre 18 y 28 Años</t>
  </si>
  <si>
    <t>Edad cumplida</t>
  </si>
  <si>
    <t>Jardinero(a)</t>
  </si>
  <si>
    <t>Albañil</t>
  </si>
  <si>
    <t>Campesino(a)</t>
  </si>
  <si>
    <t>Obrero(a)</t>
  </si>
  <si>
    <t>Mesero(a)</t>
  </si>
  <si>
    <t>Cocinero(a)</t>
  </si>
  <si>
    <t>Otro</t>
  </si>
  <si>
    <t>Hogar</t>
  </si>
  <si>
    <t>Empleado(a)</t>
  </si>
  <si>
    <t>Ocupación</t>
  </si>
  <si>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</si>
  <si>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</si>
  <si>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</si>
  <si>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</si>
  <si>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</si>
  <si>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</si>
  <si>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</si>
  <si>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</si>
  <si>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</si>
  <si>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</si>
  <si>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</si>
  <si>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</si>
  <si>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>Aguascalientes</t>
  </si>
  <si>
    <t>Iztapalapa</t>
  </si>
  <si>
    <t>Jesús María</t>
  </si>
  <si>
    <t>San Andrés Tuxtla</t>
  </si>
  <si>
    <t>Frontera Comalapa</t>
  </si>
  <si>
    <t>Álvaro Obregón</t>
  </si>
  <si>
    <t>Coyuca de Catalán</t>
  </si>
  <si>
    <t>Petatlán</t>
  </si>
  <si>
    <t>Eloxochitlán</t>
  </si>
  <si>
    <t>Huichapan</t>
  </si>
  <si>
    <t>Córdoba</t>
  </si>
  <si>
    <t>2° Primaria</t>
  </si>
  <si>
    <t>5° Primaria</t>
  </si>
  <si>
    <t>1° Secundaria</t>
  </si>
  <si>
    <t>Profesional Titulado</t>
  </si>
  <si>
    <t>Profesional titulado</t>
  </si>
  <si>
    <t>Matrículas consulares expedidas a mexicanos  en el estado de West Virginia  en el 2022</t>
  </si>
  <si>
    <t>1° Primaria</t>
  </si>
  <si>
    <t>Tamaño de la muestra: 566,547</t>
  </si>
  <si>
    <t>Mayo de 2023</t>
  </si>
  <si>
    <t>Yucatán</t>
  </si>
  <si>
    <t>Tabasco</t>
  </si>
  <si>
    <t>Entre 66 y 75 Años</t>
  </si>
  <si>
    <t>MATRÍCULAS CONSULARES DE ALTA SEGURIDAD EXPEDIDAS EN EE.UU A MEXICANOS EN EL ESTADO DE WEST VIRGINIA, POR GÉNERO</t>
  </si>
  <si>
    <t>Estudiante</t>
  </si>
  <si>
    <t>Operario(a)</t>
  </si>
  <si>
    <t>Profesionista</t>
  </si>
  <si>
    <t>MATRÍCULAS CONSULARES DE ALTA SEGURIDAD EXPEDIDAS EN EE.UU A MEXICANOS EN EL ESTADO DE  WEST VIRGINIA, POR PERFIL OCUPACIONAL</t>
  </si>
  <si>
    <t>MATRÍCULAS CONSULARES DE ALTA SEGURIDAD EXPEDIDAS EN EL ESTADO DE WEST VIRGINIA EN EE.UU. POR ESTADO DE LA REPÚBLICA MEXICANA</t>
  </si>
  <si>
    <t>Tijuana</t>
  </si>
  <si>
    <t>Amatenango de la Frontera</t>
  </si>
  <si>
    <t>Chenalhó</t>
  </si>
  <si>
    <t>Escuintla</t>
  </si>
  <si>
    <t>Las Margaritas</t>
  </si>
  <si>
    <t>Ostuacán</t>
  </si>
  <si>
    <t>Tapalapa</t>
  </si>
  <si>
    <t>Azcapotzalco</t>
  </si>
  <si>
    <t>Almoloya de Juárez</t>
  </si>
  <si>
    <t>Amatepec</t>
  </si>
  <si>
    <t>Nezahualcóyotl</t>
  </si>
  <si>
    <t>Sultepec</t>
  </si>
  <si>
    <t>Tejupilco</t>
  </si>
  <si>
    <t>Tlatlaya</t>
  </si>
  <si>
    <t>Pénjamo</t>
  </si>
  <si>
    <t>Alcozauca de Guerrero</t>
  </si>
  <si>
    <t>Atoyac de Álvarez</t>
  </si>
  <si>
    <t>Chilapa de Álvarez</t>
  </si>
  <si>
    <t>Malinaltepec</t>
  </si>
  <si>
    <t>Pungarabato</t>
  </si>
  <si>
    <t>Quechultenango</t>
  </si>
  <si>
    <t>San Miguel Totolapan</t>
  </si>
  <si>
    <t>Técpan de Galeana</t>
  </si>
  <si>
    <t>Atotonilco el Grande</t>
  </si>
  <si>
    <t>Pisaflores</t>
  </si>
  <si>
    <t>Tecozautla</t>
  </si>
  <si>
    <t>Tenango de Doria</t>
  </si>
  <si>
    <t>Ojuelos de Jalisco</t>
  </si>
  <si>
    <t>Teocaltiche</t>
  </si>
  <si>
    <t>Huetamo</t>
  </si>
  <si>
    <t>Ocampo</t>
  </si>
  <si>
    <t>San Lucas</t>
  </si>
  <si>
    <t>Tzintzuntzan</t>
  </si>
  <si>
    <t>Zamora</t>
  </si>
  <si>
    <t>Emiliano Zapata</t>
  </si>
  <si>
    <t>Tepic</t>
  </si>
  <si>
    <t>Acatlán de Pérez Figueroa</t>
  </si>
  <si>
    <t>Matías Romero Avendaño</t>
  </si>
  <si>
    <t>Nejapa de Madero</t>
  </si>
  <si>
    <t>Oaxaca de Juárez</t>
  </si>
  <si>
    <t>San Agustín Loxicha</t>
  </si>
  <si>
    <t>San Juan Juquila Mixes</t>
  </si>
  <si>
    <t>San Juan Lalana</t>
  </si>
  <si>
    <t>San Lorenzo Texmelúcan</t>
  </si>
  <si>
    <t>San Miguel Quetzaltepec</t>
  </si>
  <si>
    <t>Santiago Amoltepec</t>
  </si>
  <si>
    <t>Santiago Camotlán</t>
  </si>
  <si>
    <t>Santiago Yosondúa</t>
  </si>
  <si>
    <t>Santo Domingo Ixcatlán</t>
  </si>
  <si>
    <t>Santos Reyes Nopala</t>
  </si>
  <si>
    <t>Silacayoápam</t>
  </si>
  <si>
    <t>Pahuatlán</t>
  </si>
  <si>
    <t>San Salvador el Verde</t>
  </si>
  <si>
    <t>Matlapa</t>
  </si>
  <si>
    <t>San Ciro de Acosta</t>
  </si>
  <si>
    <t>Cárdenas</t>
  </si>
  <si>
    <t>Centro</t>
  </si>
  <si>
    <t>Hueyapan de Ocampo</t>
  </si>
  <si>
    <t>Misantla</t>
  </si>
  <si>
    <t>Papantla</t>
  </si>
  <si>
    <t>Tamalín</t>
  </si>
  <si>
    <t>Álamo Temapache</t>
  </si>
  <si>
    <t>Zongolica</t>
  </si>
  <si>
    <t>Sucilá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</si>
</sst>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6" fillId="0" borderId="0"/>
    <xf numFmtId="0" fontId="22" fillId="0" borderId="0" applyNumberFormat="0" applyFill="0" applyBorder="0" applyAlignment="0" applyProtection="0"/>
  </cellStyleXfs>
  <cellXfs count="80"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3" fillId="3" borderId="0" xfId="0" applyFont="1" applyFill="1"/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vertical="center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4" borderId="1" xfId="0" applyNumberFormat="1" applyFont="1" applyFill="1" applyBorder="1" applyAlignment="1">
      <alignment horizontal="right" vertical="top" wrapText="1"/>
    </xf>
    <xf numFmtId="49" fontId="4" fillId="4" borderId="1" xfId="0" applyNumberFormat="1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horizontal="right" vertical="top" wrapText="1"/>
    </xf>
    <xf numFmtId="3" fontId="5" fillId="3" borderId="1" xfId="0" applyNumberFormat="1" applyFont="1" applyFill="1" applyBorder="1" applyAlignment="1">
      <alignment horizontal="right" vertical="top" wrapText="1"/>
    </xf>
    <xf numFmtId="49" fontId="6" fillId="3" borderId="1" xfId="0" applyNumberFormat="1" applyFont="1" applyFill="1" applyBorder="1" applyAlignment="1">
      <alignment vertical="top" wrapText="1"/>
    </xf>
    <xf numFmtId="0" fontId="7" fillId="3" borderId="0" xfId="0" applyFont="1" applyFill="1"/>
    <xf numFmtId="0" fontId="8" fillId="0" borderId="0" xfId="0" applyFont="1"/>
    <xf numFmtId="0" fontId="4" fillId="2" borderId="2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3" fontId="8" fillId="0" borderId="0" xfId="0" applyNumberFormat="1" applyFont="1"/>
    <xf numFmtId="1" fontId="8" fillId="0" borderId="0" xfId="0" applyNumberFormat="1" applyFont="1"/>
    <xf numFmtId="0" fontId="11" fillId="3" borderId="0" xfId="0" applyFont="1" applyFill="1"/>
    <xf numFmtId="0" fontId="12" fillId="3" borderId="0" xfId="0" applyFont="1" applyFill="1"/>
    <xf numFmtId="0" fontId="13" fillId="0" borderId="0" xfId="0" applyFont="1" applyBorder="1"/>
    <xf numFmtId="0" fontId="13" fillId="0" borderId="0" xfId="0" applyFont="1" applyBorder="1" applyAlignment="1">
      <alignment vertical="top"/>
    </xf>
    <xf numFmtId="165" fontId="4" fillId="5" borderId="1" xfId="1" applyNumberFormat="1" applyFont="1" applyFill="1" applyBorder="1" applyAlignment="1">
      <alignment vertical="center" wrapText="1"/>
    </xf>
    <xf numFmtId="3" fontId="4" fillId="5" borderId="1" xfId="2" applyNumberFormat="1" applyFont="1" applyFill="1" applyBorder="1" applyAlignment="1">
      <alignment horizontal="right" vertical="center" wrapText="1"/>
    </xf>
    <xf numFmtId="49" fontId="4" fillId="5" borderId="1" xfId="2" applyNumberFormat="1" applyFont="1" applyFill="1" applyBorder="1" applyAlignment="1">
      <alignment vertical="center" wrapText="1"/>
    </xf>
    <xf numFmtId="164" fontId="14" fillId="3" borderId="1" xfId="2" applyNumberFormat="1" applyFont="1" applyFill="1" applyBorder="1" applyAlignment="1">
      <alignment horizontal="right" vertical="center" wrapText="1"/>
    </xf>
    <xf numFmtId="166" fontId="14" fillId="3" borderId="1" xfId="2" applyNumberFormat="1" applyFont="1" applyFill="1" applyBorder="1" applyAlignment="1">
      <alignment horizontal="right" vertical="center" wrapText="1"/>
    </xf>
    <xf numFmtId="49" fontId="14" fillId="3" borderId="1" xfId="2" applyNumberFormat="1" applyFont="1" applyFill="1" applyBorder="1" applyAlignment="1">
      <alignment vertical="center" wrapText="1"/>
    </xf>
    <xf numFmtId="0" fontId="15" fillId="3" borderId="0" xfId="0" applyFont="1" applyFill="1"/>
    <xf numFmtId="0" fontId="17" fillId="2" borderId="2" xfId="3" applyFont="1" applyFill="1" applyBorder="1" applyAlignment="1">
      <alignment horizontal="center" vertical="center" wrapText="1"/>
    </xf>
    <xf numFmtId="1" fontId="17" fillId="2" borderId="2" xfId="3" applyNumberFormat="1" applyFont="1" applyFill="1" applyBorder="1" applyAlignment="1">
      <alignment horizontal="center" vertical="center" wrapText="1"/>
    </xf>
    <xf numFmtId="0" fontId="4" fillId="2" borderId="2" xfId="3" applyFont="1" applyFill="1" applyBorder="1" applyAlignment="1">
      <alignment horizontal="center" vertical="center" wrapText="1"/>
    </xf>
    <xf numFmtId="0" fontId="8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8" fillId="3" borderId="0" xfId="0" applyFont="1" applyFill="1" applyBorder="1"/>
    <xf numFmtId="3" fontId="8" fillId="3" borderId="0" xfId="0" applyNumberFormat="1" applyFont="1" applyFill="1" applyBorder="1"/>
    <xf numFmtId="1" fontId="8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3" fontId="7" fillId="3" borderId="0" xfId="0" applyNumberFormat="1" applyFont="1" applyFill="1"/>
    <xf numFmtId="0" fontId="20" fillId="0" borderId="0" xfId="0" applyFont="1"/>
    <xf numFmtId="0" fontId="21" fillId="0" borderId="11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12" xfId="0" applyFont="1" applyBorder="1" applyAlignment="1">
      <alignment horizontal="left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21" fillId="0" borderId="11" xfId="0" applyFont="1" applyBorder="1" applyAlignment="1"/>
    <xf numFmtId="0" fontId="21" fillId="0" borderId="0" xfId="0" applyFont="1" applyBorder="1" applyAlignment="1"/>
    <xf numFmtId="0" fontId="21" fillId="0" borderId="12" xfId="0" applyFont="1" applyBorder="1" applyAlignment="1"/>
    <xf numFmtId="0" fontId="21" fillId="0" borderId="11" xfId="0" applyFont="1" applyBorder="1"/>
    <xf numFmtId="0" fontId="21" fillId="0" borderId="0" xfId="0" applyFont="1" applyBorder="1"/>
    <xf numFmtId="0" fontId="21" fillId="0" borderId="12" xfId="0" applyFont="1" applyBorder="1"/>
    <xf numFmtId="0" fontId="21" fillId="0" borderId="13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0" xfId="0" applyFont="1"/>
    <xf numFmtId="3" fontId="4" fillId="4" borderId="1" xfId="0" applyNumberFormat="1" applyFont="1" applyFill="1" applyBorder="1" applyAlignment="1">
      <alignment horizontal="right" vertical="center" wrapText="1"/>
    </xf>
    <xf numFmtId="164" fontId="4" fillId="4" borderId="1" xfId="0" applyNumberFormat="1" applyFont="1" applyFill="1" applyBorder="1" applyAlignment="1">
      <alignment horizontal="right" vertical="center" wrapText="1"/>
    </xf>
    <xf numFmtId="0" fontId="13" fillId="0" borderId="0" xfId="0" applyFont="1" applyAlignment="1">
      <alignment horizontal="justify" vertical="center"/>
    </xf>
    <xf numFmtId="0" fontId="13" fillId="0" borderId="0" xfId="0" applyFont="1" applyAlignment="1">
      <alignment vertical="top"/>
    </xf>
    <xf numFmtId="0" fontId="23" fillId="0" borderId="0" xfId="4" applyFont="1" applyBorder="1" applyAlignment="1">
      <alignment horizontal="left"/>
    </xf>
    <xf numFmtId="0" fontId="23" fillId="0" borderId="12" xfId="4" applyFont="1" applyBorder="1" applyAlignment="1">
      <alignment horizontal="left"/>
    </xf>
    <xf numFmtId="0" fontId="23" fillId="0" borderId="11" xfId="4" applyFont="1" applyBorder="1" applyAlignment="1">
      <alignment horizontal="left"/>
    </xf>
    <xf numFmtId="0" fontId="19" fillId="2" borderId="8" xfId="0" applyFont="1" applyFill="1" applyBorder="1" applyAlignment="1">
      <alignment horizontal="center" wrapText="1"/>
    </xf>
    <xf numFmtId="0" fontId="19" fillId="2" borderId="9" xfId="0" applyFont="1" applyFill="1" applyBorder="1" applyAlignment="1">
      <alignment horizontal="center" wrapText="1"/>
    </xf>
    <xf numFmtId="0" fontId="19" fillId="2" borderId="10" xfId="0" applyFont="1" applyFill="1" applyBorder="1" applyAlignment="1">
      <alignment horizontal="center" wrapText="1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10" fillId="0" borderId="0" xfId="0" applyFont="1" applyBorder="1" applyAlignment="1">
      <alignment horizontal="center" vertical="center" wrapText="1"/>
    </xf>
    <xf numFmtId="49" fontId="14" fillId="3" borderId="2" xfId="2" applyNumberFormat="1" applyFont="1" applyFill="1" applyBorder="1" applyAlignment="1">
      <alignment horizontal="center" vertical="center" wrapText="1"/>
    </xf>
    <xf numFmtId="49" fontId="14" fillId="3" borderId="7" xfId="2" applyNumberFormat="1" applyFont="1" applyFill="1" applyBorder="1" applyAlignment="1">
      <alignment horizontal="center" vertical="center" wrapText="1"/>
    </xf>
    <xf numFmtId="49" fontId="14" fillId="3" borderId="6" xfId="2" applyNumberFormat="1" applyFont="1" applyFill="1" applyBorder="1" applyAlignment="1">
      <alignment horizontal="center" vertical="center" wrapText="1"/>
    </xf>
    <xf numFmtId="49" fontId="4" fillId="4" borderId="5" xfId="0" applyNumberFormat="1" applyFont="1" applyFill="1" applyBorder="1" applyAlignment="1">
      <alignment horizontal="center" vertical="center" wrapText="1"/>
    </xf>
    <xf numFmtId="49" fontId="4" fillId="4" borderId="4" xfId="0" applyNumberFormat="1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wrapText="1"/>
    </xf>
  </cellXfs>
  <cellStyles count="5">
    <cellStyle name="Hipervínculo" xfId="4" builtinId="8"/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495246</xdr:colOff>
      <xdr:row>1</xdr:row>
      <xdr:rowOff>228929</xdr:rowOff>
    </xdr:from>
    <xdr:to>
      <xdr:col>3</xdr:col>
      <xdr:colOff>1007343</xdr:colOff>
      <xdr:row>2</xdr:row>
      <xdr:rowOff>219405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19471" y="762329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819400" y="330461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67235</xdr:colOff>
      <xdr:row>0</xdr:row>
      <xdr:rowOff>280147</xdr:rowOff>
    </xdr:from>
    <xdr:ext cx="184731" cy="264560"/>
    <xdr:sp macro="" textlink="">
      <xdr:nvSpPr>
        <xdr:cNvPr id="4" name="3 CuadroTexto"/>
        <xdr:cNvSpPr txBox="1"/>
      </xdr:nvSpPr>
      <xdr:spPr>
        <a:xfrm>
          <a:off x="67235" y="28014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76200</xdr:colOff>
      <xdr:row>7</xdr:row>
      <xdr:rowOff>180975</xdr:rowOff>
    </xdr:from>
    <xdr:to>
      <xdr:col>4</xdr:col>
      <xdr:colOff>588297</xdr:colOff>
      <xdr:row>8</xdr:row>
      <xdr:rowOff>180976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05325" y="17049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WEST VIRGINIA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609599</xdr:colOff>
      <xdr:row>7</xdr:row>
      <xdr:rowOff>104775</xdr:rowOff>
    </xdr:from>
    <xdr:to>
      <xdr:col>5</xdr:col>
      <xdr:colOff>9524</xdr:colOff>
      <xdr:row>7</xdr:row>
      <xdr:rowOff>284070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48274" y="1847850"/>
          <a:ext cx="523875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WEST VIRGINIA, POR NIVEL DE EDUCACIÓN Y ESTADO DE LA REPÚBLICA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151086</xdr:rowOff>
    </xdr:from>
    <xdr:to>
      <xdr:col>4</xdr:col>
      <xdr:colOff>1070459</xdr:colOff>
      <xdr:row>7</xdr:row>
      <xdr:rowOff>341587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89186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WEST VIRGINIA,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WEST VIRGINIA,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8</xdr:row>
      <xdr:rowOff>152400</xdr:rowOff>
    </xdr:from>
    <xdr:to>
      <xdr:col>5</xdr:col>
      <xdr:colOff>35847</xdr:colOff>
      <xdr:row>8</xdr:row>
      <xdr:rowOff>342901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8669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showGridLines="0" tabSelected="1" view="pageBreakPreview" zoomScaleNormal="100" zoomScaleSheetLayoutView="100" workbookViewId="0">
      <selection activeCell="D10" sqref="D10"/>
    </sheetView>
  </sheetViews>
  <sheetFormatPr baseColWidth="10" defaultColWidth="11.42578125" defaultRowHeight="18"/>
  <cols>
    <col min="1" max="1" width="5.140625" style="43" customWidth="1"/>
    <col min="2" max="2" width="20" style="43" customWidth="1"/>
    <col min="3" max="3" width="24.7109375" style="43" customWidth="1"/>
    <col min="4" max="4" width="28.85546875" style="43" customWidth="1"/>
    <col min="5" max="16384" width="11.42578125" style="43"/>
  </cols>
  <sheetData>
    <row r="1" spans="1:4" ht="42" customHeight="1" thickBot="1">
      <c r="A1" s="67" t="s">
        <v>88</v>
      </c>
      <c r="B1" s="68"/>
      <c r="C1" s="68"/>
      <c r="D1" s="69"/>
    </row>
    <row r="2" spans="1:4" ht="18.75">
      <c r="A2" s="44"/>
      <c r="B2" s="45"/>
      <c r="C2" s="45"/>
      <c r="D2" s="46"/>
    </row>
    <row r="3" spans="1:4">
      <c r="A3" s="70" t="s">
        <v>60</v>
      </c>
      <c r="B3" s="71"/>
      <c r="C3" s="71"/>
      <c r="D3" s="72"/>
    </row>
    <row r="4" spans="1:4">
      <c r="A4" s="70"/>
      <c r="B4" s="71"/>
      <c r="C4" s="71"/>
      <c r="D4" s="72"/>
    </row>
    <row r="5" spans="1:4" ht="18.75">
      <c r="A5" s="47"/>
      <c r="B5" s="48"/>
      <c r="C5" s="48"/>
      <c r="D5" s="49"/>
    </row>
    <row r="6" spans="1:4" ht="18.75">
      <c r="A6" s="66" t="s">
        <v>61</v>
      </c>
      <c r="B6" s="64"/>
      <c r="C6" s="64"/>
      <c r="D6" s="65"/>
    </row>
    <row r="7" spans="1:4" ht="18.75">
      <c r="A7" s="50"/>
      <c r="B7" s="51"/>
      <c r="C7" s="51"/>
      <c r="D7" s="52"/>
    </row>
    <row r="8" spans="1:4" ht="18.75">
      <c r="A8" s="53" t="s">
        <v>62</v>
      </c>
      <c r="B8" s="54"/>
      <c r="C8" s="54"/>
      <c r="D8" s="55"/>
    </row>
    <row r="9" spans="1:4" ht="18.75">
      <c r="A9" s="53"/>
      <c r="B9" s="64" t="s">
        <v>63</v>
      </c>
      <c r="C9" s="64"/>
      <c r="D9" s="65"/>
    </row>
    <row r="10" spans="1:4" ht="18.75">
      <c r="A10" s="53" t="s">
        <v>64</v>
      </c>
      <c r="B10" s="54"/>
      <c r="C10" s="54"/>
      <c r="D10" s="55"/>
    </row>
    <row r="11" spans="1:4" ht="18.75">
      <c r="A11" s="53"/>
      <c r="B11" s="64" t="s">
        <v>65</v>
      </c>
      <c r="C11" s="64"/>
      <c r="D11" s="65"/>
    </row>
    <row r="12" spans="1:4" ht="18.75">
      <c r="A12" s="53"/>
      <c r="B12" s="64" t="s">
        <v>66</v>
      </c>
      <c r="C12" s="64"/>
      <c r="D12" s="65"/>
    </row>
    <row r="13" spans="1:4" ht="18.75">
      <c r="A13" s="53"/>
      <c r="B13" s="54"/>
      <c r="C13" s="54"/>
      <c r="D13" s="55"/>
    </row>
    <row r="14" spans="1:4" ht="18.75">
      <c r="A14" s="53" t="s">
        <v>67</v>
      </c>
      <c r="B14" s="54"/>
      <c r="C14" s="54"/>
      <c r="D14" s="55"/>
    </row>
    <row r="15" spans="1:4" ht="18.75">
      <c r="A15" s="53"/>
      <c r="B15" s="64" t="s">
        <v>68</v>
      </c>
      <c r="C15" s="64"/>
      <c r="D15" s="65"/>
    </row>
    <row r="16" spans="1:4" ht="18.75">
      <c r="A16" s="53"/>
      <c r="B16" s="64" t="s">
        <v>69</v>
      </c>
      <c r="C16" s="64"/>
      <c r="D16" s="65"/>
    </row>
    <row r="17" spans="1:4" ht="18.75">
      <c r="A17" s="53"/>
      <c r="B17" s="54"/>
      <c r="C17" s="54"/>
      <c r="D17" s="55"/>
    </row>
    <row r="18" spans="1:4" ht="18.75">
      <c r="A18" s="66" t="s">
        <v>70</v>
      </c>
      <c r="B18" s="64"/>
      <c r="C18" s="64"/>
      <c r="D18" s="65"/>
    </row>
    <row r="19" spans="1:4" ht="18.75">
      <c r="A19" s="53"/>
      <c r="B19" s="54"/>
      <c r="C19" s="54"/>
      <c r="D19" s="55"/>
    </row>
    <row r="20" spans="1:4" ht="18.75">
      <c r="A20" s="66" t="s">
        <v>71</v>
      </c>
      <c r="B20" s="64"/>
      <c r="C20" s="64"/>
      <c r="D20" s="65"/>
    </row>
    <row r="21" spans="1:4" ht="19.5" thickBot="1">
      <c r="A21" s="56"/>
      <c r="B21" s="57"/>
      <c r="C21" s="57"/>
      <c r="D21" s="58"/>
    </row>
    <row r="22" spans="1:4" ht="18.75">
      <c r="A22" s="59"/>
      <c r="B22" s="59"/>
      <c r="C22" s="59"/>
      <c r="D22" s="59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West Virginia_Edomexgral'!A1" display="1. Por Estados de la República Mexicana"/>
    <hyperlink ref="B9" location="'New Jersey_EDOMEX'!A1" display="2.1 Por estado de la República Mexicana y municipio de origen"/>
    <hyperlink ref="B11:D11" location="'West Virginia_Educagral'!A1" display="3.1 Educación general"/>
    <hyperlink ref="B12:D12" location="'West Virginia_Eduedo'!A1" display="3.2 Por Estado de la República Mexicana"/>
    <hyperlink ref="B15:D15" location="'West Virginia_gengral'!A1" display="4.1 Género General"/>
    <hyperlink ref="B16:D16" location="'West Virginia_edomexgen'!A1" display="4.2 Por Estados de la República Mexicana"/>
    <hyperlink ref="A18:D18" location="'West Virginia_edadgen'!A1" display="5. Por estructura de Edad"/>
    <hyperlink ref="A20:D20" location="'West Virginia_ocupgral'!A1" display="6. Por Ocupación"/>
    <hyperlink ref="B9:D9" location="'West Virginia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37"/>
  <sheetViews>
    <sheetView showGridLines="0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3" t="s">
        <v>100</v>
      </c>
      <c r="C7" s="73"/>
      <c r="D7" s="73"/>
    </row>
    <row r="8" spans="1:5" s="13" customFormat="1" ht="15" customHeight="1">
      <c r="B8" s="73"/>
      <c r="C8" s="73"/>
      <c r="D8" s="73"/>
    </row>
    <row r="9" spans="1:5" s="13" customFormat="1" ht="33" customHeight="1">
      <c r="B9" s="73"/>
      <c r="C9" s="73"/>
      <c r="D9" s="73"/>
    </row>
    <row r="10" spans="1:5" s="13" customFormat="1" ht="4.5" customHeight="1">
      <c r="B10" s="17"/>
      <c r="C10" s="17"/>
      <c r="D10" s="17"/>
    </row>
    <row r="11" spans="1:5" s="13" customFormat="1" ht="30" customHeight="1">
      <c r="B11" s="16" t="s">
        <v>22</v>
      </c>
      <c r="C11" s="15" t="s">
        <v>21</v>
      </c>
      <c r="D11" s="14" t="s">
        <v>20</v>
      </c>
    </row>
    <row r="12" spans="1:5">
      <c r="B12" s="11" t="s">
        <v>16</v>
      </c>
      <c r="C12" s="10">
        <v>27</v>
      </c>
      <c r="D12" s="9">
        <v>0.21774193548387097</v>
      </c>
    </row>
    <row r="13" spans="1:5">
      <c r="B13" s="11" t="s">
        <v>19</v>
      </c>
      <c r="C13" s="10">
        <v>20</v>
      </c>
      <c r="D13" s="9">
        <v>0.16129032258064516</v>
      </c>
    </row>
    <row r="14" spans="1:5">
      <c r="A14" s="12"/>
      <c r="B14" s="11" t="s">
        <v>10</v>
      </c>
      <c r="C14" s="10">
        <v>10</v>
      </c>
      <c r="D14" s="9">
        <v>8.0645161290322578E-2</v>
      </c>
      <c r="E14" s="12"/>
    </row>
    <row r="15" spans="1:5">
      <c r="A15" s="12"/>
      <c r="B15" s="11" t="s">
        <v>14</v>
      </c>
      <c r="C15" s="10">
        <v>9</v>
      </c>
      <c r="D15" s="9">
        <v>7.2580645161290328E-2</v>
      </c>
      <c r="E15" s="12"/>
    </row>
    <row r="16" spans="1:5">
      <c r="B16" s="11" t="s">
        <v>13</v>
      </c>
      <c r="C16" s="10">
        <v>9</v>
      </c>
      <c r="D16" s="9">
        <v>7.2580645161290328E-2</v>
      </c>
    </row>
    <row r="17" spans="2:4">
      <c r="B17" s="11" t="s">
        <v>17</v>
      </c>
      <c r="C17" s="10">
        <v>8</v>
      </c>
      <c r="D17" s="9">
        <v>6.4516129032258063E-2</v>
      </c>
    </row>
    <row r="18" spans="2:4">
      <c r="B18" s="11" t="s">
        <v>9</v>
      </c>
      <c r="C18" s="10">
        <v>8</v>
      </c>
      <c r="D18" s="9">
        <v>6.4516129032258063E-2</v>
      </c>
    </row>
    <row r="19" spans="2:4">
      <c r="B19" s="11" t="s">
        <v>15</v>
      </c>
      <c r="C19" s="10">
        <v>8</v>
      </c>
      <c r="D19" s="9">
        <v>6.4516129032258063E-2</v>
      </c>
    </row>
    <row r="20" spans="2:4">
      <c r="B20" s="11" t="s">
        <v>8</v>
      </c>
      <c r="C20" s="10">
        <v>6</v>
      </c>
      <c r="D20" s="9">
        <v>4.8387096774193547E-2</v>
      </c>
    </row>
    <row r="21" spans="2:4">
      <c r="B21" s="11" t="s">
        <v>12</v>
      </c>
      <c r="C21" s="10">
        <v>4</v>
      </c>
      <c r="D21" s="9">
        <v>3.2258064516129031E-2</v>
      </c>
    </row>
    <row r="22" spans="2:4">
      <c r="B22" s="11" t="s">
        <v>11</v>
      </c>
      <c r="C22" s="10">
        <v>4</v>
      </c>
      <c r="D22" s="9">
        <v>3.2258064516129031E-2</v>
      </c>
    </row>
    <row r="23" spans="2:4">
      <c r="B23" s="11" t="s">
        <v>5</v>
      </c>
      <c r="C23" s="10">
        <v>2</v>
      </c>
      <c r="D23" s="9">
        <v>1.6129032258064516E-2</v>
      </c>
    </row>
    <row r="24" spans="2:4">
      <c r="B24" s="11" t="s">
        <v>7</v>
      </c>
      <c r="C24" s="10">
        <v>2</v>
      </c>
      <c r="D24" s="9">
        <v>1.6129032258064516E-2</v>
      </c>
    </row>
    <row r="25" spans="2:4">
      <c r="B25" s="11" t="s">
        <v>93</v>
      </c>
      <c r="C25" s="10">
        <v>2</v>
      </c>
      <c r="D25" s="9">
        <v>1.6129032258064516E-2</v>
      </c>
    </row>
    <row r="26" spans="2:4">
      <c r="B26" s="11" t="s">
        <v>72</v>
      </c>
      <c r="C26" s="10">
        <v>1</v>
      </c>
      <c r="D26" s="9">
        <v>8.0645161290322578E-3</v>
      </c>
    </row>
    <row r="27" spans="2:4">
      <c r="B27" s="11" t="s">
        <v>4</v>
      </c>
      <c r="C27" s="10">
        <v>1</v>
      </c>
      <c r="D27" s="9">
        <v>8.0645161290322578E-3</v>
      </c>
    </row>
    <row r="28" spans="2:4">
      <c r="B28" s="11" t="s">
        <v>18</v>
      </c>
      <c r="C28" s="10">
        <v>1</v>
      </c>
      <c r="D28" s="9">
        <v>8.0645161290322578E-3</v>
      </c>
    </row>
    <row r="29" spans="2:4">
      <c r="B29" s="11" t="s">
        <v>6</v>
      </c>
      <c r="C29" s="10">
        <v>1</v>
      </c>
      <c r="D29" s="9">
        <v>8.0645161290322578E-3</v>
      </c>
    </row>
    <row r="30" spans="2:4">
      <c r="B30" s="11" t="s">
        <v>92</v>
      </c>
      <c r="C30" s="10">
        <v>1</v>
      </c>
      <c r="D30" s="9">
        <v>8.0645161290322578E-3</v>
      </c>
    </row>
    <row r="31" spans="2:4">
      <c r="B31" s="8" t="s">
        <v>3</v>
      </c>
      <c r="C31" s="7">
        <v>124</v>
      </c>
      <c r="D31" s="6">
        <v>1</v>
      </c>
    </row>
    <row r="33" spans="2:2">
      <c r="B33" s="3" t="s">
        <v>90</v>
      </c>
    </row>
    <row r="34" spans="2:2">
      <c r="B34" s="5" t="s">
        <v>2</v>
      </c>
    </row>
    <row r="35" spans="2:2">
      <c r="B35" s="4" t="s">
        <v>1</v>
      </c>
    </row>
    <row r="36" spans="2:2">
      <c r="B36" s="3" t="s">
        <v>0</v>
      </c>
    </row>
    <row r="37" spans="2:2">
      <c r="B37" s="3" t="s">
        <v>91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8"/>
  <sheetViews>
    <sheetView showGridLines="0" zoomScaleNormal="100" zoomScaleSheetLayoutView="100" workbookViewId="0"/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7" customFormat="1" ht="12" customHeight="1">
      <c r="B1" s="41"/>
      <c r="C1" s="40"/>
      <c r="D1" s="40"/>
      <c r="E1" s="40"/>
    </row>
    <row r="2" spans="1:5" s="37" customFormat="1" ht="15" customHeight="1">
      <c r="C2" s="39"/>
    </row>
    <row r="3" spans="1:5" s="37" customFormat="1" ht="15" customHeight="1">
      <c r="C3" s="39"/>
    </row>
    <row r="4" spans="1:5" s="37" customFormat="1" ht="30" customHeight="1">
      <c r="C4" s="39"/>
      <c r="D4" s="38"/>
    </row>
    <row r="5" spans="1:5" s="37" customFormat="1" ht="15" customHeight="1">
      <c r="C5" s="39"/>
      <c r="D5" s="38"/>
    </row>
    <row r="6" spans="1:5" s="34" customFormat="1" ht="24" customHeight="1">
      <c r="B6" s="36"/>
      <c r="C6" s="30"/>
      <c r="D6" s="30"/>
      <c r="E6" s="30"/>
    </row>
    <row r="7" spans="1:5" s="34" customFormat="1" ht="26.25" customHeight="1">
      <c r="A7" s="35"/>
      <c r="B7" s="79"/>
      <c r="C7" s="79"/>
      <c r="D7" s="79"/>
      <c r="E7" s="79"/>
    </row>
    <row r="8" spans="1:5" s="34" customFormat="1" ht="33" customHeight="1">
      <c r="A8" s="35"/>
      <c r="B8" s="79"/>
      <c r="C8" s="79"/>
      <c r="D8" s="79"/>
      <c r="E8" s="79"/>
    </row>
    <row r="9" spans="1:5" s="13" customFormat="1" ht="40.5" customHeight="1">
      <c r="B9" s="31" t="s">
        <v>22</v>
      </c>
      <c r="C9" s="33" t="s">
        <v>27</v>
      </c>
      <c r="D9" s="32" t="s">
        <v>21</v>
      </c>
      <c r="E9" s="31" t="s">
        <v>20</v>
      </c>
    </row>
    <row r="10" spans="1:5" ht="15" customHeight="1">
      <c r="B10" s="74" t="s">
        <v>72</v>
      </c>
      <c r="C10" s="29" t="s">
        <v>74</v>
      </c>
      <c r="D10" s="28">
        <v>1</v>
      </c>
      <c r="E10" s="27">
        <v>8.0645161290322578E-3</v>
      </c>
    </row>
    <row r="11" spans="1:5" ht="15" customHeight="1">
      <c r="B11" s="76"/>
      <c r="C11" s="26" t="s">
        <v>3</v>
      </c>
      <c r="D11" s="25">
        <v>1</v>
      </c>
      <c r="E11" s="24">
        <v>8.0645161290322578E-3</v>
      </c>
    </row>
    <row r="12" spans="1:5" ht="15" customHeight="1">
      <c r="B12" s="74" t="s">
        <v>4</v>
      </c>
      <c r="C12" s="29" t="s">
        <v>101</v>
      </c>
      <c r="D12" s="28">
        <v>1</v>
      </c>
      <c r="E12" s="27">
        <v>8.0645161290322578E-3</v>
      </c>
    </row>
    <row r="13" spans="1:5" ht="15" customHeight="1">
      <c r="B13" s="76"/>
      <c r="C13" s="26" t="s">
        <v>3</v>
      </c>
      <c r="D13" s="25">
        <v>1</v>
      </c>
      <c r="E13" s="24">
        <v>8.0645161290322578E-3</v>
      </c>
    </row>
    <row r="14" spans="1:5" ht="15" customHeight="1">
      <c r="B14" s="74" t="s">
        <v>10</v>
      </c>
      <c r="C14" s="29" t="s">
        <v>102</v>
      </c>
      <c r="D14" s="28">
        <v>1</v>
      </c>
      <c r="E14" s="27">
        <v>8.0645161290322578E-3</v>
      </c>
    </row>
    <row r="15" spans="1:5" ht="15" customHeight="1">
      <c r="B15" s="75"/>
      <c r="C15" s="29" t="s">
        <v>26</v>
      </c>
      <c r="D15" s="28">
        <v>1</v>
      </c>
      <c r="E15" s="27">
        <v>8.0645161290322578E-3</v>
      </c>
    </row>
    <row r="16" spans="1:5" ht="15" customHeight="1">
      <c r="B16" s="75"/>
      <c r="C16" s="29" t="s">
        <v>103</v>
      </c>
      <c r="D16" s="28">
        <v>1</v>
      </c>
      <c r="E16" s="27">
        <v>8.0645161290322578E-3</v>
      </c>
    </row>
    <row r="17" spans="2:5" ht="15" customHeight="1">
      <c r="B17" s="75"/>
      <c r="C17" s="29" t="s">
        <v>104</v>
      </c>
      <c r="D17" s="28">
        <v>1</v>
      </c>
      <c r="E17" s="27">
        <v>8.0645161290322578E-3</v>
      </c>
    </row>
    <row r="18" spans="2:5" ht="15" customHeight="1">
      <c r="B18" s="75"/>
      <c r="C18" s="29" t="s">
        <v>76</v>
      </c>
      <c r="D18" s="28">
        <v>3</v>
      </c>
      <c r="E18" s="27">
        <v>2.4193548387096774E-2</v>
      </c>
    </row>
    <row r="19" spans="2:5" ht="15" customHeight="1">
      <c r="B19" s="75"/>
      <c r="C19" s="29" t="s">
        <v>105</v>
      </c>
      <c r="D19" s="28">
        <v>1</v>
      </c>
      <c r="E19" s="27">
        <v>8.0645161290322578E-3</v>
      </c>
    </row>
    <row r="20" spans="2:5" ht="15" customHeight="1">
      <c r="B20" s="75"/>
      <c r="C20" s="29" t="s">
        <v>106</v>
      </c>
      <c r="D20" s="28">
        <v>1</v>
      </c>
      <c r="E20" s="27">
        <v>8.0645161290322578E-3</v>
      </c>
    </row>
    <row r="21" spans="2:5" ht="15" customHeight="1">
      <c r="B21" s="75"/>
      <c r="C21" s="29" t="s">
        <v>107</v>
      </c>
      <c r="D21" s="28">
        <v>1</v>
      </c>
      <c r="E21" s="27">
        <v>8.0645161290322578E-3</v>
      </c>
    </row>
    <row r="22" spans="2:5" ht="15" customHeight="1">
      <c r="B22" s="76"/>
      <c r="C22" s="26" t="s">
        <v>3</v>
      </c>
      <c r="D22" s="25">
        <v>10</v>
      </c>
      <c r="E22" s="24">
        <v>8.0645161290322578E-2</v>
      </c>
    </row>
    <row r="23" spans="2:5" ht="15" customHeight="1">
      <c r="B23" s="74" t="s">
        <v>12</v>
      </c>
      <c r="C23" s="29" t="s">
        <v>77</v>
      </c>
      <c r="D23" s="28">
        <v>1</v>
      </c>
      <c r="E23" s="27">
        <v>8.0645161290322578E-3</v>
      </c>
    </row>
    <row r="24" spans="2:5" ht="15" customHeight="1">
      <c r="B24" s="75"/>
      <c r="C24" s="29" t="s">
        <v>108</v>
      </c>
      <c r="D24" s="28">
        <v>2</v>
      </c>
      <c r="E24" s="27">
        <v>1.6129032258064516E-2</v>
      </c>
    </row>
    <row r="25" spans="2:5" ht="15" customHeight="1">
      <c r="B25" s="75"/>
      <c r="C25" s="29" t="s">
        <v>73</v>
      </c>
      <c r="D25" s="28">
        <v>1</v>
      </c>
      <c r="E25" s="27">
        <v>8.0645161290322578E-3</v>
      </c>
    </row>
    <row r="26" spans="2:5" ht="15" customHeight="1">
      <c r="B26" s="76"/>
      <c r="C26" s="26" t="s">
        <v>3</v>
      </c>
      <c r="D26" s="25">
        <v>4</v>
      </c>
      <c r="E26" s="24">
        <v>3.2258064516129031E-2</v>
      </c>
    </row>
    <row r="27" spans="2:5" ht="15" customHeight="1">
      <c r="B27" s="74" t="s">
        <v>17</v>
      </c>
      <c r="C27" s="29" t="s">
        <v>109</v>
      </c>
      <c r="D27" s="28">
        <v>1</v>
      </c>
      <c r="E27" s="27">
        <v>8.0645161290322578E-3</v>
      </c>
    </row>
    <row r="28" spans="2:5" ht="15" customHeight="1">
      <c r="B28" s="75"/>
      <c r="C28" s="29" t="s">
        <v>110</v>
      </c>
      <c r="D28" s="28">
        <v>2</v>
      </c>
      <c r="E28" s="27">
        <v>1.6129032258064516E-2</v>
      </c>
    </row>
    <row r="29" spans="2:5" ht="15" customHeight="1">
      <c r="B29" s="75"/>
      <c r="C29" s="29" t="s">
        <v>111</v>
      </c>
      <c r="D29" s="28">
        <v>1</v>
      </c>
      <c r="E29" s="27">
        <v>8.0645161290322578E-3</v>
      </c>
    </row>
    <row r="30" spans="2:5" ht="15" customHeight="1">
      <c r="B30" s="75"/>
      <c r="C30" s="29" t="s">
        <v>112</v>
      </c>
      <c r="D30" s="28">
        <v>1</v>
      </c>
      <c r="E30" s="27">
        <v>8.0645161290322578E-3</v>
      </c>
    </row>
    <row r="31" spans="2:5" ht="15" customHeight="1">
      <c r="B31" s="75"/>
      <c r="C31" s="29" t="s">
        <v>113</v>
      </c>
      <c r="D31" s="28">
        <v>2</v>
      </c>
      <c r="E31" s="27">
        <v>1.6129032258064516E-2</v>
      </c>
    </row>
    <row r="32" spans="2:5" ht="15" customHeight="1">
      <c r="B32" s="75"/>
      <c r="C32" s="29" t="s">
        <v>114</v>
      </c>
      <c r="D32" s="28">
        <v>1</v>
      </c>
      <c r="E32" s="27">
        <v>8.0645161290322578E-3</v>
      </c>
    </row>
    <row r="33" spans="2:5" ht="15" customHeight="1">
      <c r="B33" s="76"/>
      <c r="C33" s="26" t="s">
        <v>3</v>
      </c>
      <c r="D33" s="25">
        <v>8</v>
      </c>
      <c r="E33" s="24">
        <v>6.4516129032258063E-2</v>
      </c>
    </row>
    <row r="34" spans="2:5" ht="15" customHeight="1">
      <c r="B34" s="74" t="s">
        <v>18</v>
      </c>
      <c r="C34" s="29" t="s">
        <v>115</v>
      </c>
      <c r="D34" s="28">
        <v>1</v>
      </c>
      <c r="E34" s="27">
        <v>8.0645161290322578E-3</v>
      </c>
    </row>
    <row r="35" spans="2:5" ht="15" customHeight="1">
      <c r="B35" s="76"/>
      <c r="C35" s="26" t="s">
        <v>3</v>
      </c>
      <c r="D35" s="25">
        <v>1</v>
      </c>
      <c r="E35" s="24">
        <v>8.0645161290322578E-3</v>
      </c>
    </row>
    <row r="36" spans="2:5" ht="15" customHeight="1">
      <c r="B36" s="74" t="s">
        <v>16</v>
      </c>
      <c r="C36" s="29" t="s">
        <v>116</v>
      </c>
      <c r="D36" s="28">
        <v>1</v>
      </c>
      <c r="E36" s="27">
        <v>8.0645161290322578E-3</v>
      </c>
    </row>
    <row r="37" spans="2:5" ht="15" customHeight="1">
      <c r="B37" s="75"/>
      <c r="C37" s="29" t="s">
        <v>117</v>
      </c>
      <c r="D37" s="28">
        <v>1</v>
      </c>
      <c r="E37" s="27">
        <v>8.0645161290322578E-3</v>
      </c>
    </row>
    <row r="38" spans="2:5" ht="15" customHeight="1">
      <c r="B38" s="75"/>
      <c r="C38" s="29" t="s">
        <v>118</v>
      </c>
      <c r="D38" s="28">
        <v>1</v>
      </c>
      <c r="E38" s="27">
        <v>8.0645161290322578E-3</v>
      </c>
    </row>
    <row r="39" spans="2:5" ht="15" customHeight="1">
      <c r="B39" s="75"/>
      <c r="C39" s="29" t="s">
        <v>78</v>
      </c>
      <c r="D39" s="28">
        <v>7</v>
      </c>
      <c r="E39" s="27">
        <v>5.6451612903225805E-2</v>
      </c>
    </row>
    <row r="40" spans="2:5" ht="15" customHeight="1">
      <c r="B40" s="75"/>
      <c r="C40" s="29" t="s">
        <v>119</v>
      </c>
      <c r="D40" s="28">
        <v>1</v>
      </c>
      <c r="E40" s="27">
        <v>8.0645161290322578E-3</v>
      </c>
    </row>
    <row r="41" spans="2:5" ht="15" customHeight="1">
      <c r="B41" s="75"/>
      <c r="C41" s="29" t="s">
        <v>79</v>
      </c>
      <c r="D41" s="28">
        <v>11</v>
      </c>
      <c r="E41" s="27">
        <v>8.8709677419354843E-2</v>
      </c>
    </row>
    <row r="42" spans="2:5" ht="15" customHeight="1">
      <c r="B42" s="75"/>
      <c r="C42" s="29" t="s">
        <v>120</v>
      </c>
      <c r="D42" s="28">
        <v>2</v>
      </c>
      <c r="E42" s="27">
        <v>1.6129032258064516E-2</v>
      </c>
    </row>
    <row r="43" spans="2:5" ht="15" customHeight="1">
      <c r="B43" s="75"/>
      <c r="C43" s="29" t="s">
        <v>121</v>
      </c>
      <c r="D43" s="28">
        <v>1</v>
      </c>
      <c r="E43" s="27">
        <v>8.0645161290322578E-3</v>
      </c>
    </row>
    <row r="44" spans="2:5" ht="15" customHeight="1">
      <c r="B44" s="75"/>
      <c r="C44" s="29" t="s">
        <v>122</v>
      </c>
      <c r="D44" s="28">
        <v>1</v>
      </c>
      <c r="E44" s="27">
        <v>8.0645161290322578E-3</v>
      </c>
    </row>
    <row r="45" spans="2:5" ht="15" customHeight="1">
      <c r="B45" s="75"/>
      <c r="C45" s="29" t="s">
        <v>123</v>
      </c>
      <c r="D45" s="28">
        <v>1</v>
      </c>
      <c r="E45" s="27">
        <v>8.0645161290322578E-3</v>
      </c>
    </row>
    <row r="46" spans="2:5" ht="15" customHeight="1">
      <c r="B46" s="76"/>
      <c r="C46" s="26" t="s">
        <v>3</v>
      </c>
      <c r="D46" s="25">
        <v>27</v>
      </c>
      <c r="E46" s="24">
        <v>0.21774193548387097</v>
      </c>
    </row>
    <row r="47" spans="2:5" ht="15" customHeight="1">
      <c r="B47" s="74" t="s">
        <v>9</v>
      </c>
      <c r="C47" s="29" t="s">
        <v>124</v>
      </c>
      <c r="D47" s="28">
        <v>1</v>
      </c>
      <c r="E47" s="27">
        <v>8.0645161290322578E-3</v>
      </c>
    </row>
    <row r="48" spans="2:5" ht="15" customHeight="1">
      <c r="B48" s="75"/>
      <c r="C48" s="29" t="s">
        <v>80</v>
      </c>
      <c r="D48" s="28">
        <v>3</v>
      </c>
      <c r="E48" s="27">
        <v>2.4193548387096774E-2</v>
      </c>
    </row>
    <row r="49" spans="2:5" ht="15" customHeight="1">
      <c r="B49" s="75"/>
      <c r="C49" s="29" t="s">
        <v>81</v>
      </c>
      <c r="D49" s="28">
        <v>1</v>
      </c>
      <c r="E49" s="27">
        <v>8.0645161290322578E-3</v>
      </c>
    </row>
    <row r="50" spans="2:5" ht="15" customHeight="1">
      <c r="B50" s="75"/>
      <c r="C50" s="29" t="s">
        <v>125</v>
      </c>
      <c r="D50" s="28">
        <v>1</v>
      </c>
      <c r="E50" s="27">
        <v>8.0645161290322578E-3</v>
      </c>
    </row>
    <row r="51" spans="2:5" ht="15" customHeight="1">
      <c r="B51" s="75"/>
      <c r="C51" s="29" t="s">
        <v>126</v>
      </c>
      <c r="D51" s="28">
        <v>1</v>
      </c>
      <c r="E51" s="27">
        <v>8.0645161290322578E-3</v>
      </c>
    </row>
    <row r="52" spans="2:5" ht="15" customHeight="1">
      <c r="B52" s="75"/>
      <c r="C52" s="29" t="s">
        <v>127</v>
      </c>
      <c r="D52" s="28">
        <v>1</v>
      </c>
      <c r="E52" s="27">
        <v>8.0645161290322578E-3</v>
      </c>
    </row>
    <row r="53" spans="2:5" ht="15" customHeight="1">
      <c r="B53" s="76"/>
      <c r="C53" s="26" t="s">
        <v>3</v>
      </c>
      <c r="D53" s="25">
        <v>8</v>
      </c>
      <c r="E53" s="24">
        <v>6.4516129032258063E-2</v>
      </c>
    </row>
    <row r="54" spans="2:5" ht="15" customHeight="1">
      <c r="B54" s="74" t="s">
        <v>8</v>
      </c>
      <c r="C54" s="29" t="s">
        <v>25</v>
      </c>
      <c r="D54" s="28">
        <v>1</v>
      </c>
      <c r="E54" s="27">
        <v>8.0645161290322578E-3</v>
      </c>
    </row>
    <row r="55" spans="2:5" ht="15" customHeight="1">
      <c r="B55" s="75"/>
      <c r="C55" s="29" t="s">
        <v>74</v>
      </c>
      <c r="D55" s="28">
        <v>2</v>
      </c>
      <c r="E55" s="27">
        <v>1.6129032258064516E-2</v>
      </c>
    </row>
    <row r="56" spans="2:5" ht="15" customHeight="1">
      <c r="B56" s="75"/>
      <c r="C56" s="29" t="s">
        <v>128</v>
      </c>
      <c r="D56" s="28">
        <v>1</v>
      </c>
      <c r="E56" s="27">
        <v>8.0645161290322578E-3</v>
      </c>
    </row>
    <row r="57" spans="2:5" ht="15" customHeight="1">
      <c r="B57" s="75"/>
      <c r="C57" s="29" t="s">
        <v>129</v>
      </c>
      <c r="D57" s="28">
        <v>2</v>
      </c>
      <c r="E57" s="27">
        <v>1.6129032258064516E-2</v>
      </c>
    </row>
    <row r="58" spans="2:5" ht="15" customHeight="1">
      <c r="B58" s="76"/>
      <c r="C58" s="26" t="s">
        <v>3</v>
      </c>
      <c r="D58" s="25">
        <v>6</v>
      </c>
      <c r="E58" s="24">
        <v>4.8387096774193547E-2</v>
      </c>
    </row>
    <row r="59" spans="2:5" ht="15" customHeight="1">
      <c r="B59" s="74" t="s">
        <v>15</v>
      </c>
      <c r="C59" s="29" t="s">
        <v>130</v>
      </c>
      <c r="D59" s="28">
        <v>1</v>
      </c>
      <c r="E59" s="27">
        <v>8.0645161290322578E-3</v>
      </c>
    </row>
    <row r="60" spans="2:5" ht="15" customHeight="1">
      <c r="B60" s="75"/>
      <c r="C60" s="29" t="s">
        <v>131</v>
      </c>
      <c r="D60" s="28">
        <v>2</v>
      </c>
      <c r="E60" s="27">
        <v>1.6129032258064516E-2</v>
      </c>
    </row>
    <row r="61" spans="2:5" ht="15" customHeight="1">
      <c r="B61" s="75"/>
      <c r="C61" s="29" t="s">
        <v>24</v>
      </c>
      <c r="D61" s="28">
        <v>1</v>
      </c>
      <c r="E61" s="27">
        <v>8.0645161290322578E-3</v>
      </c>
    </row>
    <row r="62" spans="2:5" ht="15" customHeight="1">
      <c r="B62" s="75"/>
      <c r="C62" s="29" t="s">
        <v>132</v>
      </c>
      <c r="D62" s="28">
        <v>2</v>
      </c>
      <c r="E62" s="27">
        <v>1.6129032258064516E-2</v>
      </c>
    </row>
    <row r="63" spans="2:5" ht="15" customHeight="1">
      <c r="B63" s="75"/>
      <c r="C63" s="29" t="s">
        <v>133</v>
      </c>
      <c r="D63" s="28">
        <v>1</v>
      </c>
      <c r="E63" s="27">
        <v>8.0645161290322578E-3</v>
      </c>
    </row>
    <row r="64" spans="2:5" ht="15" customHeight="1">
      <c r="B64" s="75"/>
      <c r="C64" s="29" t="s">
        <v>134</v>
      </c>
      <c r="D64" s="28">
        <v>1</v>
      </c>
      <c r="E64" s="27">
        <v>8.0645161290322578E-3</v>
      </c>
    </row>
    <row r="65" spans="2:5" ht="15" customHeight="1">
      <c r="B65" s="76"/>
      <c r="C65" s="26" t="s">
        <v>3</v>
      </c>
      <c r="D65" s="25">
        <v>8</v>
      </c>
      <c r="E65" s="24">
        <v>6.4516129032258063E-2</v>
      </c>
    </row>
    <row r="66" spans="2:5" ht="15" customHeight="1">
      <c r="B66" s="74" t="s">
        <v>6</v>
      </c>
      <c r="C66" s="29" t="s">
        <v>135</v>
      </c>
      <c r="D66" s="28">
        <v>1</v>
      </c>
      <c r="E66" s="27">
        <v>8.0645161290322578E-3</v>
      </c>
    </row>
    <row r="67" spans="2:5" ht="15" customHeight="1">
      <c r="B67" s="76"/>
      <c r="C67" s="26" t="s">
        <v>3</v>
      </c>
      <c r="D67" s="25">
        <v>1</v>
      </c>
      <c r="E67" s="24">
        <v>8.0645161290322578E-3</v>
      </c>
    </row>
    <row r="68" spans="2:5" ht="15" customHeight="1">
      <c r="B68" s="74" t="s">
        <v>5</v>
      </c>
      <c r="C68" s="29" t="s">
        <v>136</v>
      </c>
      <c r="D68" s="28">
        <v>2</v>
      </c>
      <c r="E68" s="27">
        <v>1.6129032258064516E-2</v>
      </c>
    </row>
    <row r="69" spans="2:5" ht="15" customHeight="1">
      <c r="B69" s="76"/>
      <c r="C69" s="26" t="s">
        <v>3</v>
      </c>
      <c r="D69" s="25">
        <v>2</v>
      </c>
      <c r="E69" s="24">
        <v>1.6129032258064516E-2</v>
      </c>
    </row>
    <row r="70" spans="2:5" ht="15" customHeight="1">
      <c r="B70" s="74" t="s">
        <v>19</v>
      </c>
      <c r="C70" s="29" t="s">
        <v>137</v>
      </c>
      <c r="D70" s="28">
        <v>1</v>
      </c>
      <c r="E70" s="27">
        <v>8.0645161290322578E-3</v>
      </c>
    </row>
    <row r="71" spans="2:5" ht="15" customHeight="1">
      <c r="B71" s="75"/>
      <c r="C71" s="29" t="s">
        <v>138</v>
      </c>
      <c r="D71" s="28">
        <v>1</v>
      </c>
      <c r="E71" s="27">
        <v>8.0645161290322578E-3</v>
      </c>
    </row>
    <row r="72" spans="2:5" ht="15" customHeight="1">
      <c r="B72" s="75"/>
      <c r="C72" s="29" t="s">
        <v>139</v>
      </c>
      <c r="D72" s="28">
        <v>1</v>
      </c>
      <c r="E72" s="27">
        <v>8.0645161290322578E-3</v>
      </c>
    </row>
    <row r="73" spans="2:5" ht="15" customHeight="1">
      <c r="B73" s="75"/>
      <c r="C73" s="29" t="s">
        <v>140</v>
      </c>
      <c r="D73" s="28">
        <v>1</v>
      </c>
      <c r="E73" s="27">
        <v>8.0645161290322578E-3</v>
      </c>
    </row>
    <row r="74" spans="2:5" ht="15" customHeight="1">
      <c r="B74" s="75"/>
      <c r="C74" s="29" t="s">
        <v>141</v>
      </c>
      <c r="D74" s="28">
        <v>1</v>
      </c>
      <c r="E74" s="27">
        <v>8.0645161290322578E-3</v>
      </c>
    </row>
    <row r="75" spans="2:5" ht="15" customHeight="1">
      <c r="B75" s="75"/>
      <c r="C75" s="29" t="s">
        <v>142</v>
      </c>
      <c r="D75" s="28">
        <v>1</v>
      </c>
      <c r="E75" s="27">
        <v>8.0645161290322578E-3</v>
      </c>
    </row>
    <row r="76" spans="2:5" ht="15" customHeight="1">
      <c r="B76" s="75"/>
      <c r="C76" s="29" t="s">
        <v>143</v>
      </c>
      <c r="D76" s="28">
        <v>1</v>
      </c>
      <c r="E76" s="27">
        <v>8.0645161290322578E-3</v>
      </c>
    </row>
    <row r="77" spans="2:5" ht="15" customHeight="1">
      <c r="B77" s="75"/>
      <c r="C77" s="29" t="s">
        <v>144</v>
      </c>
      <c r="D77" s="28">
        <v>1</v>
      </c>
      <c r="E77" s="27">
        <v>8.0645161290322578E-3</v>
      </c>
    </row>
    <row r="78" spans="2:5" ht="15" customHeight="1">
      <c r="B78" s="75"/>
      <c r="C78" s="29" t="s">
        <v>145</v>
      </c>
      <c r="D78" s="28">
        <v>1</v>
      </c>
      <c r="E78" s="27">
        <v>8.0645161290322578E-3</v>
      </c>
    </row>
    <row r="79" spans="2:5" ht="15" customHeight="1">
      <c r="B79" s="75"/>
      <c r="C79" s="29" t="s">
        <v>146</v>
      </c>
      <c r="D79" s="28">
        <v>1</v>
      </c>
      <c r="E79" s="27">
        <v>8.0645161290322578E-3</v>
      </c>
    </row>
    <row r="80" spans="2:5" ht="15" customHeight="1">
      <c r="B80" s="75"/>
      <c r="C80" s="29" t="s">
        <v>147</v>
      </c>
      <c r="D80" s="28">
        <v>1</v>
      </c>
      <c r="E80" s="27">
        <v>8.0645161290322578E-3</v>
      </c>
    </row>
    <row r="81" spans="2:5" ht="15" customHeight="1">
      <c r="B81" s="75"/>
      <c r="C81" s="29" t="s">
        <v>148</v>
      </c>
      <c r="D81" s="28">
        <v>2</v>
      </c>
      <c r="E81" s="27">
        <v>1.6129032258064516E-2</v>
      </c>
    </row>
    <row r="82" spans="2:5" ht="15" customHeight="1">
      <c r="B82" s="75"/>
      <c r="C82" s="29" t="s">
        <v>149</v>
      </c>
      <c r="D82" s="28">
        <v>1</v>
      </c>
      <c r="E82" s="27">
        <v>8.0645161290322578E-3</v>
      </c>
    </row>
    <row r="83" spans="2:5" ht="15" customHeight="1">
      <c r="B83" s="75"/>
      <c r="C83" s="29" t="s">
        <v>150</v>
      </c>
      <c r="D83" s="28">
        <v>4</v>
      </c>
      <c r="E83" s="27">
        <v>3.2258064516129031E-2</v>
      </c>
    </row>
    <row r="84" spans="2:5" ht="15" customHeight="1">
      <c r="B84" s="75"/>
      <c r="C84" s="29" t="s">
        <v>151</v>
      </c>
      <c r="D84" s="28">
        <v>2</v>
      </c>
      <c r="E84" s="27">
        <v>1.6129032258064516E-2</v>
      </c>
    </row>
    <row r="85" spans="2:5" ht="15" customHeight="1">
      <c r="B85" s="76"/>
      <c r="C85" s="26" t="s">
        <v>3</v>
      </c>
      <c r="D85" s="25">
        <v>20</v>
      </c>
      <c r="E85" s="24">
        <v>0.16129032258064516</v>
      </c>
    </row>
    <row r="86" spans="2:5" ht="15" customHeight="1">
      <c r="B86" s="74" t="s">
        <v>11</v>
      </c>
      <c r="C86" s="29" t="s">
        <v>152</v>
      </c>
      <c r="D86" s="28">
        <v>1</v>
      </c>
      <c r="E86" s="27">
        <v>8.0645161290322578E-3</v>
      </c>
    </row>
    <row r="87" spans="2:5" ht="15" customHeight="1">
      <c r="B87" s="75"/>
      <c r="C87" s="29" t="s">
        <v>11</v>
      </c>
      <c r="D87" s="28">
        <v>1</v>
      </c>
      <c r="E87" s="27">
        <v>8.0645161290322578E-3</v>
      </c>
    </row>
    <row r="88" spans="2:5" ht="15" customHeight="1">
      <c r="B88" s="75"/>
      <c r="C88" s="29" t="s">
        <v>153</v>
      </c>
      <c r="D88" s="28">
        <v>2</v>
      </c>
      <c r="E88" s="27">
        <v>1.6129032258064516E-2</v>
      </c>
    </row>
    <row r="89" spans="2:5" ht="15" customHeight="1">
      <c r="B89" s="76"/>
      <c r="C89" s="26" t="s">
        <v>3</v>
      </c>
      <c r="D89" s="25">
        <v>4</v>
      </c>
      <c r="E89" s="24">
        <v>3.2258064516129031E-2</v>
      </c>
    </row>
    <row r="90" spans="2:5" ht="15" customHeight="1">
      <c r="B90" s="74" t="s">
        <v>7</v>
      </c>
      <c r="C90" s="29" t="s">
        <v>7</v>
      </c>
      <c r="D90" s="28">
        <v>2</v>
      </c>
      <c r="E90" s="27">
        <v>1.6129032258064516E-2</v>
      </c>
    </row>
    <row r="91" spans="2:5" ht="15" customHeight="1">
      <c r="B91" s="76"/>
      <c r="C91" s="26" t="s">
        <v>3</v>
      </c>
      <c r="D91" s="25">
        <v>2</v>
      </c>
      <c r="E91" s="24">
        <v>1.6129032258064516E-2</v>
      </c>
    </row>
    <row r="92" spans="2:5" ht="15" customHeight="1">
      <c r="B92" s="74" t="s">
        <v>14</v>
      </c>
      <c r="C92" s="29" t="s">
        <v>23</v>
      </c>
      <c r="D92" s="28">
        <v>7</v>
      </c>
      <c r="E92" s="27">
        <v>5.6451612903225805E-2</v>
      </c>
    </row>
    <row r="93" spans="2:5" ht="15" customHeight="1">
      <c r="B93" s="75"/>
      <c r="C93" s="29" t="s">
        <v>154</v>
      </c>
      <c r="D93" s="28">
        <v>1</v>
      </c>
      <c r="E93" s="27">
        <v>8.0645161290322578E-3</v>
      </c>
    </row>
    <row r="94" spans="2:5" ht="15" customHeight="1">
      <c r="B94" s="75"/>
      <c r="C94" s="29" t="s">
        <v>155</v>
      </c>
      <c r="D94" s="28">
        <v>1</v>
      </c>
      <c r="E94" s="27">
        <v>8.0645161290322578E-3</v>
      </c>
    </row>
    <row r="95" spans="2:5" ht="15" customHeight="1">
      <c r="B95" s="76"/>
      <c r="C95" s="26" t="s">
        <v>3</v>
      </c>
      <c r="D95" s="25">
        <v>9</v>
      </c>
      <c r="E95" s="24">
        <v>7.2580645161290328E-2</v>
      </c>
    </row>
    <row r="96" spans="2:5" ht="15" customHeight="1">
      <c r="B96" s="74" t="s">
        <v>93</v>
      </c>
      <c r="C96" s="29" t="s">
        <v>156</v>
      </c>
      <c r="D96" s="28">
        <v>1</v>
      </c>
      <c r="E96" s="27">
        <v>8.0645161290322578E-3</v>
      </c>
    </row>
    <row r="97" spans="2:5" ht="15" customHeight="1">
      <c r="B97" s="75"/>
      <c r="C97" s="29" t="s">
        <v>157</v>
      </c>
      <c r="D97" s="28">
        <v>1</v>
      </c>
      <c r="E97" s="27">
        <v>8.0645161290322578E-3</v>
      </c>
    </row>
    <row r="98" spans="2:5" ht="15" customHeight="1">
      <c r="B98" s="76"/>
      <c r="C98" s="26" t="s">
        <v>3</v>
      </c>
      <c r="D98" s="25">
        <v>2</v>
      </c>
      <c r="E98" s="24">
        <v>1.6129032258064516E-2</v>
      </c>
    </row>
    <row r="99" spans="2:5" ht="15" customHeight="1">
      <c r="B99" s="74" t="s">
        <v>13</v>
      </c>
      <c r="C99" s="29" t="s">
        <v>82</v>
      </c>
      <c r="D99" s="28">
        <v>1</v>
      </c>
      <c r="E99" s="27">
        <v>8.0645161290322578E-3</v>
      </c>
    </row>
    <row r="100" spans="2:5" ht="15" customHeight="1">
      <c r="B100" s="75"/>
      <c r="C100" s="29" t="s">
        <v>158</v>
      </c>
      <c r="D100" s="28">
        <v>1</v>
      </c>
      <c r="E100" s="27">
        <v>8.0645161290322578E-3</v>
      </c>
    </row>
    <row r="101" spans="2:5" ht="15" customHeight="1">
      <c r="B101" s="75"/>
      <c r="C101" s="29" t="s">
        <v>159</v>
      </c>
      <c r="D101" s="28">
        <v>1</v>
      </c>
      <c r="E101" s="27">
        <v>8.0645161290322578E-3</v>
      </c>
    </row>
    <row r="102" spans="2:5" ht="15" customHeight="1">
      <c r="B102" s="75"/>
      <c r="C102" s="29" t="s">
        <v>160</v>
      </c>
      <c r="D102" s="28">
        <v>1</v>
      </c>
      <c r="E102" s="27">
        <v>8.0645161290322578E-3</v>
      </c>
    </row>
    <row r="103" spans="2:5" ht="15" customHeight="1">
      <c r="B103" s="75"/>
      <c r="C103" s="29" t="s">
        <v>75</v>
      </c>
      <c r="D103" s="28">
        <v>2</v>
      </c>
      <c r="E103" s="27">
        <v>1.6129032258064516E-2</v>
      </c>
    </row>
    <row r="104" spans="2:5" ht="15" customHeight="1">
      <c r="B104" s="75"/>
      <c r="C104" s="29" t="s">
        <v>161</v>
      </c>
      <c r="D104" s="28">
        <v>1</v>
      </c>
      <c r="E104" s="27">
        <v>8.0645161290322578E-3</v>
      </c>
    </row>
    <row r="105" spans="2:5" ht="15" customHeight="1">
      <c r="B105" s="75"/>
      <c r="C105" s="29" t="s">
        <v>162</v>
      </c>
      <c r="D105" s="28">
        <v>1</v>
      </c>
      <c r="E105" s="27">
        <v>8.0645161290322578E-3</v>
      </c>
    </row>
    <row r="106" spans="2:5" ht="15" customHeight="1">
      <c r="B106" s="75"/>
      <c r="C106" s="29" t="s">
        <v>163</v>
      </c>
      <c r="D106" s="28">
        <v>1</v>
      </c>
      <c r="E106" s="27">
        <v>8.0645161290322578E-3</v>
      </c>
    </row>
    <row r="107" spans="2:5" ht="15" customHeight="1">
      <c r="B107" s="76"/>
      <c r="C107" s="26" t="s">
        <v>3</v>
      </c>
      <c r="D107" s="25">
        <v>9</v>
      </c>
      <c r="E107" s="24">
        <v>7.2580645161290328E-2</v>
      </c>
    </row>
    <row r="108" spans="2:5" ht="15" customHeight="1">
      <c r="B108" s="74" t="s">
        <v>92</v>
      </c>
      <c r="C108" s="29" t="s">
        <v>164</v>
      </c>
      <c r="D108" s="28">
        <v>1</v>
      </c>
      <c r="E108" s="27">
        <v>8.0645161290322578E-3</v>
      </c>
    </row>
    <row r="109" spans="2:5" ht="15" customHeight="1">
      <c r="B109" s="76"/>
      <c r="C109" s="26" t="s">
        <v>3</v>
      </c>
      <c r="D109" s="25">
        <v>1</v>
      </c>
      <c r="E109" s="24">
        <v>8.0645161290322578E-3</v>
      </c>
    </row>
    <row r="110" spans="2:5" ht="15" customHeight="1">
      <c r="B110" s="77" t="s">
        <v>3</v>
      </c>
      <c r="C110" s="78"/>
      <c r="D110" s="60">
        <f>SUMIF(C$10:C109,"Total",D$10:D109)</f>
        <v>124</v>
      </c>
      <c r="E110" s="61">
        <v>1</v>
      </c>
    </row>
    <row r="112" spans="2:5" ht="15" customHeight="1">
      <c r="B112" s="3" t="s">
        <v>90</v>
      </c>
    </row>
    <row r="113" spans="2:2" ht="15" customHeight="1">
      <c r="B113" s="5" t="s">
        <v>2</v>
      </c>
    </row>
    <row r="114" spans="2:2" ht="15" customHeight="1">
      <c r="B114" s="4" t="s">
        <v>1</v>
      </c>
    </row>
    <row r="115" spans="2:2" ht="15" customHeight="1">
      <c r="B115" s="3" t="s">
        <v>0</v>
      </c>
    </row>
    <row r="116" spans="2:2" ht="15" customHeight="1">
      <c r="B116" s="3" t="s">
        <v>91</v>
      </c>
    </row>
    <row r="234" spans="1:2" s="21" customFormat="1" ht="15" customHeight="1">
      <c r="A234" s="20"/>
      <c r="B234" s="22"/>
    </row>
    <row r="235" spans="1:2" s="21" customFormat="1" ht="15" customHeight="1">
      <c r="A235" s="20"/>
      <c r="B235" s="23"/>
    </row>
    <row r="236" spans="1:2" s="21" customFormat="1" ht="15" customHeight="1">
      <c r="A236" s="20"/>
      <c r="B236" s="23"/>
    </row>
    <row r="237" spans="1:2" s="21" customFormat="1" ht="15" customHeight="1">
      <c r="A237" s="20"/>
      <c r="B237" s="22"/>
    </row>
    <row r="238" spans="1:2" s="21" customFormat="1" ht="15" customHeight="1">
      <c r="A238" s="20"/>
      <c r="B238" s="22"/>
    </row>
  </sheetData>
  <mergeCells count="21">
    <mergeCell ref="B59:B65"/>
    <mergeCell ref="B66:B67"/>
    <mergeCell ref="B68:B69"/>
    <mergeCell ref="B70:B85"/>
    <mergeCell ref="B86:B89"/>
    <mergeCell ref="B10:B11"/>
    <mergeCell ref="B12:B13"/>
    <mergeCell ref="B14:B22"/>
    <mergeCell ref="B23:B26"/>
    <mergeCell ref="B27:B33"/>
    <mergeCell ref="B34:B35"/>
    <mergeCell ref="B36:B46"/>
    <mergeCell ref="B47:B53"/>
    <mergeCell ref="B54:B58"/>
    <mergeCell ref="B7:E8"/>
    <mergeCell ref="B90:B91"/>
    <mergeCell ref="B92:B95"/>
    <mergeCell ref="B96:B98"/>
    <mergeCell ref="B99:B107"/>
    <mergeCell ref="B108:B109"/>
    <mergeCell ref="B110:C110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5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" customWidth="1"/>
    <col min="2" max="2" width="30.570312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>
      <c r="C1" s="19"/>
    </row>
    <row r="2" spans="1:4" s="13" customFormat="1" ht="15" customHeight="1">
      <c r="C2" s="19"/>
    </row>
    <row r="3" spans="1:4" s="13" customFormat="1" ht="15" customHeight="1">
      <c r="C3" s="19"/>
    </row>
    <row r="4" spans="1:4" s="13" customFormat="1" ht="30" customHeight="1">
      <c r="C4" s="19"/>
      <c r="D4" s="18"/>
    </row>
    <row r="5" spans="1:4" s="13" customFormat="1" ht="15" customHeight="1">
      <c r="C5" s="19"/>
      <c r="D5" s="18"/>
    </row>
    <row r="6" spans="1:4" s="13" customFormat="1" ht="15" customHeight="1">
      <c r="C6" s="19"/>
      <c r="D6" s="18"/>
    </row>
    <row r="7" spans="1:4" s="13" customFormat="1" ht="15" customHeight="1">
      <c r="B7" s="73" t="s">
        <v>38</v>
      </c>
      <c r="C7" s="73"/>
      <c r="D7" s="73"/>
    </row>
    <row r="8" spans="1:4" s="13" customFormat="1" ht="15" customHeight="1">
      <c r="B8" s="73"/>
      <c r="C8" s="73"/>
      <c r="D8" s="73"/>
    </row>
    <row r="9" spans="1:4" s="13" customFormat="1" ht="33" customHeight="1">
      <c r="B9" s="73"/>
      <c r="C9" s="73"/>
      <c r="D9" s="73"/>
    </row>
    <row r="10" spans="1:4" s="13" customFormat="1" ht="4.5" customHeight="1">
      <c r="B10" s="17"/>
      <c r="C10" s="17"/>
      <c r="D10" s="17"/>
    </row>
    <row r="11" spans="1:4" s="13" customFormat="1" ht="33" customHeight="1">
      <c r="B11" s="16" t="s">
        <v>37</v>
      </c>
      <c r="C11" s="15" t="s">
        <v>21</v>
      </c>
      <c r="D11" s="14" t="s">
        <v>20</v>
      </c>
    </row>
    <row r="12" spans="1:4">
      <c r="B12" s="11" t="s">
        <v>36</v>
      </c>
      <c r="C12" s="10">
        <v>5</v>
      </c>
      <c r="D12" s="9">
        <v>4.0322580645161289E-2</v>
      </c>
    </row>
    <row r="13" spans="1:4">
      <c r="B13" s="11" t="s">
        <v>89</v>
      </c>
      <c r="C13" s="10">
        <v>3</v>
      </c>
      <c r="D13" s="9">
        <v>2.4193548387096774E-2</v>
      </c>
    </row>
    <row r="14" spans="1:4">
      <c r="A14" s="12"/>
      <c r="B14" s="11" t="s">
        <v>83</v>
      </c>
      <c r="C14" s="10">
        <v>2</v>
      </c>
      <c r="D14" s="9">
        <v>1.6129032258064516E-2</v>
      </c>
    </row>
    <row r="15" spans="1:4">
      <c r="A15" s="12"/>
      <c r="B15" s="11" t="s">
        <v>35</v>
      </c>
      <c r="C15" s="10">
        <v>6</v>
      </c>
      <c r="D15" s="9">
        <v>4.8387096774193547E-2</v>
      </c>
    </row>
    <row r="16" spans="1:4">
      <c r="B16" s="11" t="s">
        <v>84</v>
      </c>
      <c r="C16" s="10">
        <v>2</v>
      </c>
      <c r="D16" s="9">
        <v>1.6129032258064516E-2</v>
      </c>
    </row>
    <row r="17" spans="2:4">
      <c r="B17" s="11" t="s">
        <v>34</v>
      </c>
      <c r="C17" s="10">
        <v>12</v>
      </c>
      <c r="D17" s="9">
        <v>9.6774193548387094E-2</v>
      </c>
    </row>
    <row r="18" spans="2:4">
      <c r="B18" s="11" t="s">
        <v>33</v>
      </c>
      <c r="C18" s="10">
        <v>18</v>
      </c>
      <c r="D18" s="9">
        <v>0.14516129032258066</v>
      </c>
    </row>
    <row r="19" spans="2:4">
      <c r="B19" s="11" t="s">
        <v>85</v>
      </c>
      <c r="C19" s="10">
        <v>2</v>
      </c>
      <c r="D19" s="9">
        <v>1.6129032258064516E-2</v>
      </c>
    </row>
    <row r="20" spans="2:4">
      <c r="B20" s="11" t="s">
        <v>32</v>
      </c>
      <c r="C20" s="10">
        <v>3</v>
      </c>
      <c r="D20" s="9">
        <v>2.4193548387096774E-2</v>
      </c>
    </row>
    <row r="21" spans="2:4">
      <c r="B21" s="11" t="s">
        <v>31</v>
      </c>
      <c r="C21" s="10">
        <v>4</v>
      </c>
      <c r="D21" s="9">
        <v>3.2258064516129031E-2</v>
      </c>
    </row>
    <row r="22" spans="2:4">
      <c r="B22" s="11" t="s">
        <v>30</v>
      </c>
      <c r="C22" s="10">
        <v>36</v>
      </c>
      <c r="D22" s="9">
        <v>0.29032258064516131</v>
      </c>
    </row>
    <row r="23" spans="2:4">
      <c r="B23" s="11" t="s">
        <v>29</v>
      </c>
      <c r="C23" s="10">
        <v>7</v>
      </c>
      <c r="D23" s="9">
        <v>5.6451612903225805E-2</v>
      </c>
    </row>
    <row r="24" spans="2:4">
      <c r="B24" s="11" t="s">
        <v>28</v>
      </c>
      <c r="C24" s="10">
        <v>22</v>
      </c>
      <c r="D24" s="9">
        <v>0.17741935483870969</v>
      </c>
    </row>
    <row r="25" spans="2:4">
      <c r="B25" s="11" t="s">
        <v>86</v>
      </c>
      <c r="C25" s="10">
        <v>2</v>
      </c>
      <c r="D25" s="9">
        <v>1.6129032258064516E-2</v>
      </c>
    </row>
    <row r="26" spans="2:4">
      <c r="B26" s="8" t="s">
        <v>3</v>
      </c>
      <c r="C26" s="7">
        <v>124</v>
      </c>
      <c r="D26" s="6">
        <v>1</v>
      </c>
    </row>
    <row r="28" spans="2:4">
      <c r="B28" s="3" t="s">
        <v>90</v>
      </c>
    </row>
    <row r="29" spans="2:4">
      <c r="B29" s="5" t="s">
        <v>2</v>
      </c>
    </row>
    <row r="30" spans="2:4">
      <c r="B30" s="4" t="s">
        <v>1</v>
      </c>
    </row>
    <row r="31" spans="2:4">
      <c r="B31" s="3" t="s">
        <v>0</v>
      </c>
    </row>
    <row r="32" spans="2:4">
      <c r="B32" s="3" t="s">
        <v>91</v>
      </c>
    </row>
    <row r="33" spans="2:2">
      <c r="B33" s="4"/>
    </row>
    <row r="34" spans="2:2">
      <c r="B34" s="3"/>
    </row>
    <row r="35" spans="2:2">
      <c r="B35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2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01"/>
  <sheetViews>
    <sheetView showGridLines="0" zoomScaleNormal="100" zoomScaleSheetLayoutView="100" workbookViewId="0"/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7" customFormat="1" ht="12" customHeight="1">
      <c r="B1" s="41"/>
      <c r="C1" s="40"/>
      <c r="D1" s="40"/>
      <c r="E1" s="40"/>
    </row>
    <row r="2" spans="1:5" s="37" customFormat="1" ht="15" customHeight="1">
      <c r="C2" s="39"/>
    </row>
    <row r="3" spans="1:5" s="37" customFormat="1" ht="15" customHeight="1">
      <c r="C3" s="39"/>
    </row>
    <row r="4" spans="1:5" s="37" customFormat="1" ht="30" customHeight="1">
      <c r="C4" s="39"/>
      <c r="D4" s="38"/>
    </row>
    <row r="5" spans="1:5" s="37" customFormat="1" ht="15" customHeight="1">
      <c r="C5" s="39"/>
      <c r="D5" s="38"/>
    </row>
    <row r="6" spans="1:5" s="34" customFormat="1" ht="24" customHeight="1">
      <c r="B6" s="36"/>
      <c r="C6" s="30"/>
      <c r="D6" s="30"/>
      <c r="E6" s="30"/>
    </row>
    <row r="7" spans="1:5" s="34" customFormat="1" ht="26.25" customHeight="1">
      <c r="A7" s="35"/>
      <c r="B7" s="79"/>
      <c r="C7" s="79"/>
      <c r="D7" s="79"/>
      <c r="E7" s="79"/>
    </row>
    <row r="8" spans="1:5" s="34" customFormat="1" ht="33" customHeight="1">
      <c r="A8" s="35"/>
      <c r="B8" s="79"/>
      <c r="C8" s="79"/>
      <c r="D8" s="79"/>
      <c r="E8" s="79"/>
    </row>
    <row r="9" spans="1:5" s="13" customFormat="1" ht="40.5" customHeight="1">
      <c r="B9" s="31" t="s">
        <v>37</v>
      </c>
      <c r="C9" s="33" t="s">
        <v>22</v>
      </c>
      <c r="D9" s="32" t="s">
        <v>21</v>
      </c>
      <c r="E9" s="31" t="s">
        <v>20</v>
      </c>
    </row>
    <row r="10" spans="1:5" ht="15" customHeight="1">
      <c r="B10" s="74" t="s">
        <v>36</v>
      </c>
      <c r="C10" s="29" t="s">
        <v>16</v>
      </c>
      <c r="D10" s="28">
        <v>3</v>
      </c>
      <c r="E10" s="27">
        <v>2.4193548387096774E-2</v>
      </c>
    </row>
    <row r="11" spans="1:5" ht="15" customHeight="1">
      <c r="B11" s="75"/>
      <c r="C11" s="29" t="s">
        <v>8</v>
      </c>
      <c r="D11" s="28">
        <v>1</v>
      </c>
      <c r="E11" s="27">
        <v>8.0645161290322578E-3</v>
      </c>
    </row>
    <row r="12" spans="1:5" ht="15" customHeight="1">
      <c r="B12" s="75"/>
      <c r="C12" s="29" t="s">
        <v>19</v>
      </c>
      <c r="D12" s="28">
        <v>1</v>
      </c>
      <c r="E12" s="27">
        <v>8.0645161290322578E-3</v>
      </c>
    </row>
    <row r="13" spans="1:5" ht="15" customHeight="1">
      <c r="B13" s="76"/>
      <c r="C13" s="26" t="s">
        <v>3</v>
      </c>
      <c r="D13" s="25">
        <v>5</v>
      </c>
      <c r="E13" s="24">
        <v>4.0322580645161289E-2</v>
      </c>
    </row>
    <row r="14" spans="1:5" ht="15" customHeight="1">
      <c r="B14" s="74" t="s">
        <v>89</v>
      </c>
      <c r="C14" s="29" t="s">
        <v>10</v>
      </c>
      <c r="D14" s="28">
        <v>1</v>
      </c>
      <c r="E14" s="27">
        <v>8.0645161290322578E-3</v>
      </c>
    </row>
    <row r="15" spans="1:5" ht="15" customHeight="1">
      <c r="B15" s="75"/>
      <c r="C15" s="29" t="s">
        <v>19</v>
      </c>
      <c r="D15" s="28">
        <v>1</v>
      </c>
      <c r="E15" s="27">
        <v>8.0645161290322578E-3</v>
      </c>
    </row>
    <row r="16" spans="1:5" ht="15" customHeight="1">
      <c r="B16" s="75"/>
      <c r="C16" s="29" t="s">
        <v>13</v>
      </c>
      <c r="D16" s="28">
        <v>1</v>
      </c>
      <c r="E16" s="27">
        <v>8.0645161290322578E-3</v>
      </c>
    </row>
    <row r="17" spans="2:5" ht="15" customHeight="1">
      <c r="B17" s="76"/>
      <c r="C17" s="26" t="s">
        <v>3</v>
      </c>
      <c r="D17" s="25">
        <v>3</v>
      </c>
      <c r="E17" s="24">
        <v>2.4193548387096774E-2</v>
      </c>
    </row>
    <row r="18" spans="2:5" ht="15" customHeight="1">
      <c r="B18" s="74" t="s">
        <v>83</v>
      </c>
      <c r="C18" s="29" t="s">
        <v>8</v>
      </c>
      <c r="D18" s="28">
        <v>1</v>
      </c>
      <c r="E18" s="27">
        <v>8.0645161290322578E-3</v>
      </c>
    </row>
    <row r="19" spans="2:5" ht="15" customHeight="1">
      <c r="B19" s="75"/>
      <c r="C19" s="29" t="s">
        <v>7</v>
      </c>
      <c r="D19" s="28">
        <v>1</v>
      </c>
      <c r="E19" s="27">
        <v>8.0645161290322578E-3</v>
      </c>
    </row>
    <row r="20" spans="2:5" ht="15" customHeight="1">
      <c r="B20" s="76"/>
      <c r="C20" s="26" t="s">
        <v>3</v>
      </c>
      <c r="D20" s="25">
        <v>2</v>
      </c>
      <c r="E20" s="24">
        <v>1.6129032258064516E-2</v>
      </c>
    </row>
    <row r="21" spans="2:5" ht="15" customHeight="1">
      <c r="B21" s="74" t="s">
        <v>35</v>
      </c>
      <c r="C21" s="29" t="s">
        <v>9</v>
      </c>
      <c r="D21" s="28">
        <v>1</v>
      </c>
      <c r="E21" s="27">
        <v>8.0645161290322578E-3</v>
      </c>
    </row>
    <row r="22" spans="2:5" ht="15" customHeight="1">
      <c r="B22" s="75"/>
      <c r="C22" s="29" t="s">
        <v>8</v>
      </c>
      <c r="D22" s="28">
        <v>1</v>
      </c>
      <c r="E22" s="27">
        <v>8.0645161290322578E-3</v>
      </c>
    </row>
    <row r="23" spans="2:5" ht="15" customHeight="1">
      <c r="B23" s="75"/>
      <c r="C23" s="29" t="s">
        <v>15</v>
      </c>
      <c r="D23" s="28">
        <v>1</v>
      </c>
      <c r="E23" s="27">
        <v>8.0645161290322578E-3</v>
      </c>
    </row>
    <row r="24" spans="2:5" ht="15" customHeight="1">
      <c r="B24" s="75"/>
      <c r="C24" s="29" t="s">
        <v>19</v>
      </c>
      <c r="D24" s="28">
        <v>1</v>
      </c>
      <c r="E24" s="27">
        <v>8.0645161290322578E-3</v>
      </c>
    </row>
    <row r="25" spans="2:5" ht="15" customHeight="1">
      <c r="B25" s="75"/>
      <c r="C25" s="29" t="s">
        <v>14</v>
      </c>
      <c r="D25" s="28">
        <v>2</v>
      </c>
      <c r="E25" s="27">
        <v>1.6129032258064516E-2</v>
      </c>
    </row>
    <row r="26" spans="2:5" ht="15" customHeight="1">
      <c r="B26" s="76"/>
      <c r="C26" s="26" t="s">
        <v>3</v>
      </c>
      <c r="D26" s="25">
        <v>6</v>
      </c>
      <c r="E26" s="24">
        <v>4.8387096774193547E-2</v>
      </c>
    </row>
    <row r="27" spans="2:5" ht="15" customHeight="1">
      <c r="B27" s="74" t="s">
        <v>84</v>
      </c>
      <c r="C27" s="29" t="s">
        <v>16</v>
      </c>
      <c r="D27" s="28">
        <v>1</v>
      </c>
      <c r="E27" s="27">
        <v>8.0645161290322578E-3</v>
      </c>
    </row>
    <row r="28" spans="2:5" ht="15" customHeight="1">
      <c r="B28" s="75"/>
      <c r="C28" s="29" t="s">
        <v>15</v>
      </c>
      <c r="D28" s="28">
        <v>1</v>
      </c>
      <c r="E28" s="27">
        <v>8.0645161290322578E-3</v>
      </c>
    </row>
    <row r="29" spans="2:5" ht="15" customHeight="1">
      <c r="B29" s="76"/>
      <c r="C29" s="26" t="s">
        <v>3</v>
      </c>
      <c r="D29" s="25">
        <v>2</v>
      </c>
      <c r="E29" s="24">
        <v>1.6129032258064516E-2</v>
      </c>
    </row>
    <row r="30" spans="2:5" ht="15" customHeight="1">
      <c r="B30" s="74" t="s">
        <v>34</v>
      </c>
      <c r="C30" s="29" t="s">
        <v>10</v>
      </c>
      <c r="D30" s="28">
        <v>1</v>
      </c>
      <c r="E30" s="27">
        <v>8.0645161290322578E-3</v>
      </c>
    </row>
    <row r="31" spans="2:5" ht="15" customHeight="1">
      <c r="B31" s="75"/>
      <c r="C31" s="29" t="s">
        <v>18</v>
      </c>
      <c r="D31" s="28">
        <v>1</v>
      </c>
      <c r="E31" s="27">
        <v>8.0645161290322578E-3</v>
      </c>
    </row>
    <row r="32" spans="2:5" ht="15" customHeight="1">
      <c r="B32" s="75"/>
      <c r="C32" s="29" t="s">
        <v>16</v>
      </c>
      <c r="D32" s="28">
        <v>2</v>
      </c>
      <c r="E32" s="27">
        <v>1.6129032258064516E-2</v>
      </c>
    </row>
    <row r="33" spans="2:5" ht="15" customHeight="1">
      <c r="B33" s="75"/>
      <c r="C33" s="29" t="s">
        <v>9</v>
      </c>
      <c r="D33" s="28">
        <v>1</v>
      </c>
      <c r="E33" s="27">
        <v>8.0645161290322578E-3</v>
      </c>
    </row>
    <row r="34" spans="2:5" ht="15" customHeight="1">
      <c r="B34" s="75"/>
      <c r="C34" s="29" t="s">
        <v>15</v>
      </c>
      <c r="D34" s="28">
        <v>1</v>
      </c>
      <c r="E34" s="27">
        <v>8.0645161290322578E-3</v>
      </c>
    </row>
    <row r="35" spans="2:5" ht="15" customHeight="1">
      <c r="B35" s="75"/>
      <c r="C35" s="29" t="s">
        <v>19</v>
      </c>
      <c r="D35" s="28">
        <v>2</v>
      </c>
      <c r="E35" s="27">
        <v>1.6129032258064516E-2</v>
      </c>
    </row>
    <row r="36" spans="2:5" ht="15" customHeight="1">
      <c r="B36" s="75"/>
      <c r="C36" s="29" t="s">
        <v>11</v>
      </c>
      <c r="D36" s="28">
        <v>1</v>
      </c>
      <c r="E36" s="27">
        <v>8.0645161290322578E-3</v>
      </c>
    </row>
    <row r="37" spans="2:5" ht="15" customHeight="1">
      <c r="B37" s="75"/>
      <c r="C37" s="29" t="s">
        <v>14</v>
      </c>
      <c r="D37" s="28">
        <v>1</v>
      </c>
      <c r="E37" s="27">
        <v>8.0645161290322578E-3</v>
      </c>
    </row>
    <row r="38" spans="2:5" ht="15" customHeight="1">
      <c r="B38" s="75"/>
      <c r="C38" s="29" t="s">
        <v>13</v>
      </c>
      <c r="D38" s="28">
        <v>1</v>
      </c>
      <c r="E38" s="27">
        <v>8.0645161290322578E-3</v>
      </c>
    </row>
    <row r="39" spans="2:5" ht="15" customHeight="1">
      <c r="B39" s="75"/>
      <c r="C39" s="29" t="s">
        <v>92</v>
      </c>
      <c r="D39" s="28">
        <v>1</v>
      </c>
      <c r="E39" s="27">
        <v>8.0645161290322578E-3</v>
      </c>
    </row>
    <row r="40" spans="2:5" ht="15" customHeight="1">
      <c r="B40" s="76"/>
      <c r="C40" s="26" t="s">
        <v>3</v>
      </c>
      <c r="D40" s="25">
        <v>12</v>
      </c>
      <c r="E40" s="24">
        <v>9.6774193548387094E-2</v>
      </c>
    </row>
    <row r="41" spans="2:5" ht="15" customHeight="1">
      <c r="B41" s="74" t="s">
        <v>33</v>
      </c>
      <c r="C41" s="29" t="s">
        <v>10</v>
      </c>
      <c r="D41" s="28">
        <v>4</v>
      </c>
      <c r="E41" s="27">
        <v>3.2258064516129031E-2</v>
      </c>
    </row>
    <row r="42" spans="2:5" ht="15" customHeight="1">
      <c r="B42" s="75"/>
      <c r="C42" s="29" t="s">
        <v>16</v>
      </c>
      <c r="D42" s="28">
        <v>3</v>
      </c>
      <c r="E42" s="27">
        <v>2.4193548387096774E-2</v>
      </c>
    </row>
    <row r="43" spans="2:5" ht="15" customHeight="1">
      <c r="B43" s="75"/>
      <c r="C43" s="29" t="s">
        <v>9</v>
      </c>
      <c r="D43" s="28">
        <v>1</v>
      </c>
      <c r="E43" s="27">
        <v>8.0645161290322578E-3</v>
      </c>
    </row>
    <row r="44" spans="2:5" ht="15" customHeight="1">
      <c r="B44" s="75"/>
      <c r="C44" s="29" t="s">
        <v>8</v>
      </c>
      <c r="D44" s="28">
        <v>1</v>
      </c>
      <c r="E44" s="27">
        <v>8.0645161290322578E-3</v>
      </c>
    </row>
    <row r="45" spans="2:5" ht="15" customHeight="1">
      <c r="B45" s="75"/>
      <c r="C45" s="29" t="s">
        <v>5</v>
      </c>
      <c r="D45" s="28">
        <v>1</v>
      </c>
      <c r="E45" s="27">
        <v>8.0645161290322578E-3</v>
      </c>
    </row>
    <row r="46" spans="2:5" ht="15" customHeight="1">
      <c r="B46" s="75"/>
      <c r="C46" s="29" t="s">
        <v>19</v>
      </c>
      <c r="D46" s="28">
        <v>3</v>
      </c>
      <c r="E46" s="27">
        <v>2.4193548387096774E-2</v>
      </c>
    </row>
    <row r="47" spans="2:5" ht="15" customHeight="1">
      <c r="B47" s="75"/>
      <c r="C47" s="29" t="s">
        <v>7</v>
      </c>
      <c r="D47" s="28">
        <v>1</v>
      </c>
      <c r="E47" s="27">
        <v>8.0645161290322578E-3</v>
      </c>
    </row>
    <row r="48" spans="2:5" ht="15" customHeight="1">
      <c r="B48" s="75"/>
      <c r="C48" s="29" t="s">
        <v>14</v>
      </c>
      <c r="D48" s="28">
        <v>3</v>
      </c>
      <c r="E48" s="27">
        <v>2.4193548387096774E-2</v>
      </c>
    </row>
    <row r="49" spans="2:5" ht="15" customHeight="1">
      <c r="B49" s="75"/>
      <c r="C49" s="29" t="s">
        <v>13</v>
      </c>
      <c r="D49" s="28">
        <v>1</v>
      </c>
      <c r="E49" s="27">
        <v>8.0645161290322578E-3</v>
      </c>
    </row>
    <row r="50" spans="2:5" ht="15" customHeight="1">
      <c r="B50" s="76"/>
      <c r="C50" s="26" t="s">
        <v>3</v>
      </c>
      <c r="D50" s="25">
        <v>18</v>
      </c>
      <c r="E50" s="24">
        <v>0.14516129032258066</v>
      </c>
    </row>
    <row r="51" spans="2:5" ht="15" customHeight="1">
      <c r="B51" s="74" t="s">
        <v>85</v>
      </c>
      <c r="C51" s="29" t="s">
        <v>16</v>
      </c>
      <c r="D51" s="28">
        <v>1</v>
      </c>
      <c r="E51" s="27">
        <v>8.0645161290322578E-3</v>
      </c>
    </row>
    <row r="52" spans="2:5" ht="15" customHeight="1">
      <c r="B52" s="75"/>
      <c r="C52" s="29" t="s">
        <v>15</v>
      </c>
      <c r="D52" s="28">
        <v>1</v>
      </c>
      <c r="E52" s="27">
        <v>8.0645161290322578E-3</v>
      </c>
    </row>
    <row r="53" spans="2:5" ht="15" customHeight="1">
      <c r="B53" s="76"/>
      <c r="C53" s="26" t="s">
        <v>3</v>
      </c>
      <c r="D53" s="25">
        <v>2</v>
      </c>
      <c r="E53" s="24">
        <v>1.6129032258064516E-2</v>
      </c>
    </row>
    <row r="54" spans="2:5" ht="15" customHeight="1">
      <c r="B54" s="74" t="s">
        <v>32</v>
      </c>
      <c r="C54" s="29" t="s">
        <v>15</v>
      </c>
      <c r="D54" s="28">
        <v>1</v>
      </c>
      <c r="E54" s="27">
        <v>8.0645161290322578E-3</v>
      </c>
    </row>
    <row r="55" spans="2:5" ht="15" customHeight="1">
      <c r="B55" s="75"/>
      <c r="C55" s="29" t="s">
        <v>5</v>
      </c>
      <c r="D55" s="28">
        <v>1</v>
      </c>
      <c r="E55" s="27">
        <v>8.0645161290322578E-3</v>
      </c>
    </row>
    <row r="56" spans="2:5" ht="15" customHeight="1">
      <c r="B56" s="75"/>
      <c r="C56" s="29" t="s">
        <v>19</v>
      </c>
      <c r="D56" s="28">
        <v>1</v>
      </c>
      <c r="E56" s="27">
        <v>8.0645161290322578E-3</v>
      </c>
    </row>
    <row r="57" spans="2:5" ht="15" customHeight="1">
      <c r="B57" s="76"/>
      <c r="C57" s="26" t="s">
        <v>3</v>
      </c>
      <c r="D57" s="25">
        <v>3</v>
      </c>
      <c r="E57" s="24">
        <v>2.4193548387096774E-2</v>
      </c>
    </row>
    <row r="58" spans="2:5" ht="15" customHeight="1">
      <c r="B58" s="74" t="s">
        <v>31</v>
      </c>
      <c r="C58" s="29" t="s">
        <v>10</v>
      </c>
      <c r="D58" s="28">
        <v>1</v>
      </c>
      <c r="E58" s="27">
        <v>8.0645161290322578E-3</v>
      </c>
    </row>
    <row r="59" spans="2:5" ht="15" customHeight="1">
      <c r="B59" s="75"/>
      <c r="C59" s="29" t="s">
        <v>16</v>
      </c>
      <c r="D59" s="28">
        <v>1</v>
      </c>
      <c r="E59" s="27">
        <v>8.0645161290322578E-3</v>
      </c>
    </row>
    <row r="60" spans="2:5" ht="15" customHeight="1">
      <c r="B60" s="75"/>
      <c r="C60" s="29" t="s">
        <v>19</v>
      </c>
      <c r="D60" s="28">
        <v>2</v>
      </c>
      <c r="E60" s="27">
        <v>1.6129032258064516E-2</v>
      </c>
    </row>
    <row r="61" spans="2:5" ht="15" customHeight="1">
      <c r="B61" s="76"/>
      <c r="C61" s="26" t="s">
        <v>3</v>
      </c>
      <c r="D61" s="25">
        <v>4</v>
      </c>
      <c r="E61" s="24">
        <v>3.2258064516129031E-2</v>
      </c>
    </row>
    <row r="62" spans="2:5" ht="15" customHeight="1">
      <c r="B62" s="74" t="s">
        <v>30</v>
      </c>
      <c r="C62" s="29" t="s">
        <v>72</v>
      </c>
      <c r="D62" s="28">
        <v>1</v>
      </c>
      <c r="E62" s="27">
        <v>8.0645161290322578E-3</v>
      </c>
    </row>
    <row r="63" spans="2:5" ht="15" customHeight="1">
      <c r="B63" s="75"/>
      <c r="C63" s="29" t="s">
        <v>10</v>
      </c>
      <c r="D63" s="28">
        <v>1</v>
      </c>
      <c r="E63" s="27">
        <v>8.0645161290322578E-3</v>
      </c>
    </row>
    <row r="64" spans="2:5" ht="15" customHeight="1">
      <c r="B64" s="75"/>
      <c r="C64" s="29" t="s">
        <v>12</v>
      </c>
      <c r="D64" s="28">
        <v>2</v>
      </c>
      <c r="E64" s="27">
        <v>1.6129032258064516E-2</v>
      </c>
    </row>
    <row r="65" spans="2:5" ht="15" customHeight="1">
      <c r="B65" s="75"/>
      <c r="C65" s="29" t="s">
        <v>17</v>
      </c>
      <c r="D65" s="28">
        <v>3</v>
      </c>
      <c r="E65" s="27">
        <v>2.4193548387096774E-2</v>
      </c>
    </row>
    <row r="66" spans="2:5" ht="15" customHeight="1">
      <c r="B66" s="75"/>
      <c r="C66" s="29" t="s">
        <v>16</v>
      </c>
      <c r="D66" s="28">
        <v>6</v>
      </c>
      <c r="E66" s="27">
        <v>4.8387096774193547E-2</v>
      </c>
    </row>
    <row r="67" spans="2:5" ht="15" customHeight="1">
      <c r="B67" s="75"/>
      <c r="C67" s="29" t="s">
        <v>9</v>
      </c>
      <c r="D67" s="28">
        <v>4</v>
      </c>
      <c r="E67" s="27">
        <v>3.2258064516129031E-2</v>
      </c>
    </row>
    <row r="68" spans="2:5" ht="15" customHeight="1">
      <c r="B68" s="75"/>
      <c r="C68" s="29" t="s">
        <v>8</v>
      </c>
      <c r="D68" s="28">
        <v>2</v>
      </c>
      <c r="E68" s="27">
        <v>1.6129032258064516E-2</v>
      </c>
    </row>
    <row r="69" spans="2:5" ht="15" customHeight="1">
      <c r="B69" s="75"/>
      <c r="C69" s="29" t="s">
        <v>15</v>
      </c>
      <c r="D69" s="28">
        <v>2</v>
      </c>
      <c r="E69" s="27">
        <v>1.6129032258064516E-2</v>
      </c>
    </row>
    <row r="70" spans="2:5" ht="15" customHeight="1">
      <c r="B70" s="75"/>
      <c r="C70" s="29" t="s">
        <v>6</v>
      </c>
      <c r="D70" s="28">
        <v>1</v>
      </c>
      <c r="E70" s="27">
        <v>8.0645161290322578E-3</v>
      </c>
    </row>
    <row r="71" spans="2:5" ht="15" customHeight="1">
      <c r="B71" s="75"/>
      <c r="C71" s="29" t="s">
        <v>19</v>
      </c>
      <c r="D71" s="28">
        <v>6</v>
      </c>
      <c r="E71" s="27">
        <v>4.8387096774193547E-2</v>
      </c>
    </row>
    <row r="72" spans="2:5" ht="15" customHeight="1">
      <c r="B72" s="75"/>
      <c r="C72" s="29" t="s">
        <v>11</v>
      </c>
      <c r="D72" s="28">
        <v>1</v>
      </c>
      <c r="E72" s="27">
        <v>8.0645161290322578E-3</v>
      </c>
    </row>
    <row r="73" spans="2:5" ht="15" customHeight="1">
      <c r="B73" s="75"/>
      <c r="C73" s="29" t="s">
        <v>14</v>
      </c>
      <c r="D73" s="28">
        <v>2</v>
      </c>
      <c r="E73" s="27">
        <v>1.6129032258064516E-2</v>
      </c>
    </row>
    <row r="74" spans="2:5" ht="15" customHeight="1">
      <c r="B74" s="75"/>
      <c r="C74" s="29" t="s">
        <v>13</v>
      </c>
      <c r="D74" s="28">
        <v>5</v>
      </c>
      <c r="E74" s="27">
        <v>4.0322580645161289E-2</v>
      </c>
    </row>
    <row r="75" spans="2:5" ht="15" customHeight="1">
      <c r="B75" s="76"/>
      <c r="C75" s="26" t="s">
        <v>3</v>
      </c>
      <c r="D75" s="25">
        <v>36</v>
      </c>
      <c r="E75" s="24">
        <v>0.29032258064516131</v>
      </c>
    </row>
    <row r="76" spans="2:5" ht="15" customHeight="1">
      <c r="B76" s="74" t="s">
        <v>29</v>
      </c>
      <c r="C76" s="29" t="s">
        <v>17</v>
      </c>
      <c r="D76" s="28">
        <v>2</v>
      </c>
      <c r="E76" s="27">
        <v>1.6129032258064516E-2</v>
      </c>
    </row>
    <row r="77" spans="2:5" ht="15" customHeight="1">
      <c r="B77" s="75"/>
      <c r="C77" s="29" t="s">
        <v>16</v>
      </c>
      <c r="D77" s="28">
        <v>2</v>
      </c>
      <c r="E77" s="27">
        <v>1.6129032258064516E-2</v>
      </c>
    </row>
    <row r="78" spans="2:5" ht="15" customHeight="1">
      <c r="B78" s="75"/>
      <c r="C78" s="29" t="s">
        <v>19</v>
      </c>
      <c r="D78" s="28">
        <v>2</v>
      </c>
      <c r="E78" s="27">
        <v>1.6129032258064516E-2</v>
      </c>
    </row>
    <row r="79" spans="2:5" ht="15" customHeight="1">
      <c r="B79" s="75"/>
      <c r="C79" s="29" t="s">
        <v>13</v>
      </c>
      <c r="D79" s="28">
        <v>1</v>
      </c>
      <c r="E79" s="27">
        <v>8.0645161290322578E-3</v>
      </c>
    </row>
    <row r="80" spans="2:5" ht="15" customHeight="1">
      <c r="B80" s="76"/>
      <c r="C80" s="26" t="s">
        <v>3</v>
      </c>
      <c r="D80" s="25">
        <v>7</v>
      </c>
      <c r="E80" s="24">
        <v>5.6451612903225805E-2</v>
      </c>
    </row>
    <row r="81" spans="2:5" ht="15" customHeight="1">
      <c r="B81" s="74" t="s">
        <v>28</v>
      </c>
      <c r="C81" s="29" t="s">
        <v>4</v>
      </c>
      <c r="D81" s="28">
        <v>1</v>
      </c>
      <c r="E81" s="27">
        <v>8.0645161290322578E-3</v>
      </c>
    </row>
    <row r="82" spans="2:5" ht="15" customHeight="1">
      <c r="B82" s="75"/>
      <c r="C82" s="29" t="s">
        <v>10</v>
      </c>
      <c r="D82" s="28">
        <v>2</v>
      </c>
      <c r="E82" s="27">
        <v>1.6129032258064516E-2</v>
      </c>
    </row>
    <row r="83" spans="2:5" ht="15" customHeight="1">
      <c r="B83" s="75"/>
      <c r="C83" s="29" t="s">
        <v>12</v>
      </c>
      <c r="D83" s="28">
        <v>1</v>
      </c>
      <c r="E83" s="27">
        <v>8.0645161290322578E-3</v>
      </c>
    </row>
    <row r="84" spans="2:5" ht="15" customHeight="1">
      <c r="B84" s="75"/>
      <c r="C84" s="29" t="s">
        <v>17</v>
      </c>
      <c r="D84" s="28">
        <v>3</v>
      </c>
      <c r="E84" s="27">
        <v>2.4193548387096774E-2</v>
      </c>
    </row>
    <row r="85" spans="2:5" ht="15" customHeight="1">
      <c r="B85" s="75"/>
      <c r="C85" s="29" t="s">
        <v>16</v>
      </c>
      <c r="D85" s="28">
        <v>8</v>
      </c>
      <c r="E85" s="27">
        <v>6.4516129032258063E-2</v>
      </c>
    </row>
    <row r="86" spans="2:5" ht="15" customHeight="1">
      <c r="B86" s="75"/>
      <c r="C86" s="29" t="s">
        <v>15</v>
      </c>
      <c r="D86" s="28">
        <v>1</v>
      </c>
      <c r="E86" s="27">
        <v>8.0645161290322578E-3</v>
      </c>
    </row>
    <row r="87" spans="2:5" ht="15" customHeight="1">
      <c r="B87" s="75"/>
      <c r="C87" s="29" t="s">
        <v>19</v>
      </c>
      <c r="D87" s="28">
        <v>1</v>
      </c>
      <c r="E87" s="27">
        <v>8.0645161290322578E-3</v>
      </c>
    </row>
    <row r="88" spans="2:5" ht="15" customHeight="1">
      <c r="B88" s="75"/>
      <c r="C88" s="29" t="s">
        <v>11</v>
      </c>
      <c r="D88" s="28">
        <v>2</v>
      </c>
      <c r="E88" s="27">
        <v>1.6129032258064516E-2</v>
      </c>
    </row>
    <row r="89" spans="2:5" ht="15" customHeight="1">
      <c r="B89" s="75"/>
      <c r="C89" s="29" t="s">
        <v>14</v>
      </c>
      <c r="D89" s="28">
        <v>1</v>
      </c>
      <c r="E89" s="27">
        <v>8.0645161290322578E-3</v>
      </c>
    </row>
    <row r="90" spans="2:5" ht="15" customHeight="1">
      <c r="B90" s="75"/>
      <c r="C90" s="29" t="s">
        <v>93</v>
      </c>
      <c r="D90" s="28">
        <v>2</v>
      </c>
      <c r="E90" s="27">
        <v>1.6129032258064516E-2</v>
      </c>
    </row>
    <row r="91" spans="2:5" ht="15" customHeight="1">
      <c r="B91" s="76"/>
      <c r="C91" s="26" t="s">
        <v>3</v>
      </c>
      <c r="D91" s="25">
        <v>22</v>
      </c>
      <c r="E91" s="24">
        <v>0.17741935483870969</v>
      </c>
    </row>
    <row r="92" spans="2:5" ht="15" customHeight="1">
      <c r="B92" s="74" t="s">
        <v>87</v>
      </c>
      <c r="C92" s="29" t="s">
        <v>12</v>
      </c>
      <c r="D92" s="28">
        <v>1</v>
      </c>
      <c r="E92" s="27">
        <v>8.0645161290322578E-3</v>
      </c>
    </row>
    <row r="93" spans="2:5" ht="15" customHeight="1">
      <c r="B93" s="75"/>
      <c r="C93" s="29" t="s">
        <v>9</v>
      </c>
      <c r="D93" s="28">
        <v>1</v>
      </c>
      <c r="E93" s="27">
        <v>8.0645161290322578E-3</v>
      </c>
    </row>
    <row r="94" spans="2:5" ht="15" customHeight="1">
      <c r="B94" s="76"/>
      <c r="C94" s="26" t="s">
        <v>3</v>
      </c>
      <c r="D94" s="25">
        <v>2</v>
      </c>
      <c r="E94" s="24">
        <v>1.6129032258064516E-2</v>
      </c>
    </row>
    <row r="95" spans="2:5" ht="15" customHeight="1">
      <c r="B95" s="77" t="s">
        <v>3</v>
      </c>
      <c r="C95" s="78"/>
      <c r="D95" s="60">
        <v>124</v>
      </c>
      <c r="E95" s="61">
        <v>1</v>
      </c>
    </row>
    <row r="97" spans="2:2" ht="15" customHeight="1">
      <c r="B97" s="3" t="s">
        <v>90</v>
      </c>
    </row>
    <row r="98" spans="2:2" ht="15" customHeight="1">
      <c r="B98" s="5" t="s">
        <v>2</v>
      </c>
    </row>
    <row r="99" spans="2:2" ht="15" customHeight="1">
      <c r="B99" s="4" t="s">
        <v>1</v>
      </c>
    </row>
    <row r="100" spans="2:2" ht="15" customHeight="1">
      <c r="B100" s="3" t="s">
        <v>0</v>
      </c>
    </row>
    <row r="101" spans="2:2" ht="15" customHeight="1">
      <c r="B101" s="3" t="s">
        <v>91</v>
      </c>
    </row>
  </sheetData>
  <mergeCells count="16">
    <mergeCell ref="B92:B94"/>
    <mergeCell ref="B7:E8"/>
    <mergeCell ref="B10:B13"/>
    <mergeCell ref="B14:B17"/>
    <mergeCell ref="B18:B20"/>
    <mergeCell ref="B21:B26"/>
    <mergeCell ref="B27:B29"/>
    <mergeCell ref="B30:B40"/>
    <mergeCell ref="B95:C95"/>
    <mergeCell ref="B41:B50"/>
    <mergeCell ref="B51:B53"/>
    <mergeCell ref="B54:B57"/>
    <mergeCell ref="B58:B61"/>
    <mergeCell ref="B62:B75"/>
    <mergeCell ref="B76:B80"/>
    <mergeCell ref="B81:B9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3" t="s">
        <v>95</v>
      </c>
      <c r="C7" s="73"/>
      <c r="D7" s="73"/>
    </row>
    <row r="8" spans="1:5" s="13" customFormat="1" ht="15" customHeight="1">
      <c r="B8" s="73"/>
      <c r="C8" s="73"/>
      <c r="D8" s="73"/>
    </row>
    <row r="9" spans="1:5" s="13" customFormat="1" ht="33" customHeight="1">
      <c r="B9" s="73"/>
      <c r="C9" s="73"/>
      <c r="D9" s="73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42</v>
      </c>
      <c r="C11" s="15" t="s">
        <v>21</v>
      </c>
      <c r="D11" s="14" t="s">
        <v>20</v>
      </c>
    </row>
    <row r="12" spans="1:5">
      <c r="B12" s="11" t="s">
        <v>41</v>
      </c>
      <c r="C12" s="10">
        <v>88</v>
      </c>
      <c r="D12" s="9">
        <v>0.70967741935483875</v>
      </c>
    </row>
    <row r="13" spans="1:5">
      <c r="B13" s="11" t="s">
        <v>40</v>
      </c>
      <c r="C13" s="10">
        <v>36</v>
      </c>
      <c r="D13" s="9">
        <v>0.29032258064516131</v>
      </c>
    </row>
    <row r="14" spans="1:5">
      <c r="B14" s="8" t="s">
        <v>39</v>
      </c>
      <c r="C14" s="7">
        <v>124</v>
      </c>
      <c r="D14" s="6">
        <v>1</v>
      </c>
    </row>
    <row r="15" spans="1:5">
      <c r="A15" s="12"/>
      <c r="B15" s="12"/>
      <c r="C15" s="42"/>
      <c r="D15" s="12"/>
      <c r="E15" s="12"/>
    </row>
    <row r="16" spans="1:5">
      <c r="B16" s="3" t="s">
        <v>90</v>
      </c>
      <c r="C16" s="42"/>
      <c r="D16" s="12"/>
    </row>
    <row r="17" spans="2:4">
      <c r="B17" s="5" t="s">
        <v>2</v>
      </c>
      <c r="C17" s="62"/>
      <c r="D17" s="62"/>
    </row>
    <row r="18" spans="2:4">
      <c r="B18" s="4" t="s">
        <v>1</v>
      </c>
      <c r="C18" s="63"/>
      <c r="D18" s="63"/>
    </row>
    <row r="19" spans="2:4">
      <c r="B19" s="3" t="s">
        <v>0</v>
      </c>
    </row>
    <row r="20" spans="2:4">
      <c r="B20" s="3" t="s">
        <v>91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317"/>
  <sheetViews>
    <sheetView showGridLines="0" zoomScaleNormal="100" zoomScaleSheetLayoutView="100" workbookViewId="0"/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7" customFormat="1" ht="12" customHeight="1">
      <c r="B1" s="41"/>
      <c r="C1" s="40"/>
      <c r="D1" s="40"/>
      <c r="E1" s="40"/>
    </row>
    <row r="2" spans="1:5" s="37" customFormat="1" ht="15" customHeight="1">
      <c r="C2" s="39"/>
    </row>
    <row r="3" spans="1:5" s="37" customFormat="1" ht="15" customHeight="1">
      <c r="C3" s="39"/>
    </row>
    <row r="4" spans="1:5" s="37" customFormat="1" ht="30" customHeight="1">
      <c r="C4" s="39"/>
      <c r="D4" s="38"/>
    </row>
    <row r="5" spans="1:5" s="37" customFormat="1" ht="15" customHeight="1">
      <c r="C5" s="39"/>
      <c r="D5" s="38"/>
    </row>
    <row r="6" spans="1:5" s="34" customFormat="1" ht="24" customHeight="1">
      <c r="B6" s="36"/>
      <c r="C6" s="30"/>
      <c r="D6" s="30"/>
      <c r="E6" s="30"/>
    </row>
    <row r="7" spans="1:5" s="34" customFormat="1" ht="26.25" customHeight="1">
      <c r="A7" s="35"/>
      <c r="B7" s="79"/>
      <c r="C7" s="79"/>
      <c r="D7" s="79"/>
      <c r="E7" s="79"/>
    </row>
    <row r="8" spans="1:5" s="34" customFormat="1" ht="33" customHeight="1">
      <c r="A8" s="35"/>
      <c r="B8" s="79"/>
      <c r="C8" s="79"/>
      <c r="D8" s="79"/>
      <c r="E8" s="79"/>
    </row>
    <row r="9" spans="1:5" s="13" customFormat="1" ht="40.5" customHeight="1">
      <c r="B9" s="31" t="s">
        <v>22</v>
      </c>
      <c r="C9" s="33" t="s">
        <v>42</v>
      </c>
      <c r="D9" s="32" t="s">
        <v>21</v>
      </c>
      <c r="E9" s="31" t="s">
        <v>20</v>
      </c>
    </row>
    <row r="10" spans="1:5" ht="15" customHeight="1">
      <c r="B10" s="74" t="s">
        <v>72</v>
      </c>
      <c r="C10" s="29" t="s">
        <v>44</v>
      </c>
      <c r="D10" s="28">
        <v>1</v>
      </c>
      <c r="E10" s="27">
        <v>8.0645161290322578E-3</v>
      </c>
    </row>
    <row r="11" spans="1:5" ht="15" customHeight="1">
      <c r="B11" s="76"/>
      <c r="C11" s="26" t="s">
        <v>3</v>
      </c>
      <c r="D11" s="25">
        <v>1</v>
      </c>
      <c r="E11" s="24">
        <v>8.0645161290322578E-3</v>
      </c>
    </row>
    <row r="12" spans="1:5" ht="15" customHeight="1">
      <c r="B12" s="74" t="s">
        <v>4</v>
      </c>
      <c r="C12" s="29" t="s">
        <v>44</v>
      </c>
      <c r="D12" s="28">
        <v>1</v>
      </c>
      <c r="E12" s="27">
        <v>8.0645161290322578E-3</v>
      </c>
    </row>
    <row r="13" spans="1:5" ht="15" customHeight="1">
      <c r="B13" s="76"/>
      <c r="C13" s="26" t="s">
        <v>3</v>
      </c>
      <c r="D13" s="25">
        <v>1</v>
      </c>
      <c r="E13" s="24">
        <v>8.0645161290322578E-3</v>
      </c>
    </row>
    <row r="14" spans="1:5" ht="15" customHeight="1">
      <c r="B14" s="74" t="s">
        <v>10</v>
      </c>
      <c r="C14" s="29" t="s">
        <v>44</v>
      </c>
      <c r="D14" s="28">
        <v>9</v>
      </c>
      <c r="E14" s="27">
        <v>7.2580645161290328E-2</v>
      </c>
    </row>
    <row r="15" spans="1:5" ht="15" customHeight="1">
      <c r="B15" s="75"/>
      <c r="C15" s="29" t="s">
        <v>43</v>
      </c>
      <c r="D15" s="28">
        <v>1</v>
      </c>
      <c r="E15" s="27">
        <v>8.0645161290322578E-3</v>
      </c>
    </row>
    <row r="16" spans="1:5" ht="15" customHeight="1">
      <c r="B16" s="76"/>
      <c r="C16" s="26" t="s">
        <v>3</v>
      </c>
      <c r="D16" s="25">
        <v>10</v>
      </c>
      <c r="E16" s="24">
        <v>8.0645161290322578E-2</v>
      </c>
    </row>
    <row r="17" spans="2:5" ht="15" customHeight="1">
      <c r="B17" s="74" t="s">
        <v>12</v>
      </c>
      <c r="C17" s="29" t="s">
        <v>44</v>
      </c>
      <c r="D17" s="28">
        <v>2</v>
      </c>
      <c r="E17" s="27">
        <v>1.6129032258064516E-2</v>
      </c>
    </row>
    <row r="18" spans="2:5" ht="15" customHeight="1">
      <c r="B18" s="75"/>
      <c r="C18" s="29" t="s">
        <v>43</v>
      </c>
      <c r="D18" s="28">
        <v>2</v>
      </c>
      <c r="E18" s="27">
        <v>1.6129032258064516E-2</v>
      </c>
    </row>
    <row r="19" spans="2:5" ht="15" customHeight="1">
      <c r="B19" s="76"/>
      <c r="C19" s="26" t="s">
        <v>3</v>
      </c>
      <c r="D19" s="25">
        <v>4</v>
      </c>
      <c r="E19" s="24">
        <v>3.2258064516129031E-2</v>
      </c>
    </row>
    <row r="20" spans="2:5" ht="15" customHeight="1">
      <c r="B20" s="74" t="s">
        <v>17</v>
      </c>
      <c r="C20" s="29" t="s">
        <v>44</v>
      </c>
      <c r="D20" s="28">
        <v>5</v>
      </c>
      <c r="E20" s="27">
        <v>4.0322580645161289E-2</v>
      </c>
    </row>
    <row r="21" spans="2:5" ht="15" customHeight="1">
      <c r="B21" s="75"/>
      <c r="C21" s="29" t="s">
        <v>43</v>
      </c>
      <c r="D21" s="28">
        <v>3</v>
      </c>
      <c r="E21" s="27">
        <v>2.4193548387096774E-2</v>
      </c>
    </row>
    <row r="22" spans="2:5" ht="15" customHeight="1">
      <c r="B22" s="76"/>
      <c r="C22" s="26" t="s">
        <v>3</v>
      </c>
      <c r="D22" s="25">
        <v>8</v>
      </c>
      <c r="E22" s="24">
        <v>6.4516129032258063E-2</v>
      </c>
    </row>
    <row r="23" spans="2:5" ht="15" customHeight="1">
      <c r="B23" s="74" t="s">
        <v>18</v>
      </c>
      <c r="C23" s="29" t="s">
        <v>43</v>
      </c>
      <c r="D23" s="28">
        <v>1</v>
      </c>
      <c r="E23" s="27">
        <v>8.0645161290322578E-3</v>
      </c>
    </row>
    <row r="24" spans="2:5" ht="15" customHeight="1">
      <c r="B24" s="76"/>
      <c r="C24" s="26" t="s">
        <v>3</v>
      </c>
      <c r="D24" s="25">
        <v>1</v>
      </c>
      <c r="E24" s="24">
        <v>8.0645161290322578E-3</v>
      </c>
    </row>
    <row r="25" spans="2:5" ht="15" customHeight="1">
      <c r="B25" s="74" t="s">
        <v>16</v>
      </c>
      <c r="C25" s="29" t="s">
        <v>44</v>
      </c>
      <c r="D25" s="28">
        <v>24</v>
      </c>
      <c r="E25" s="27">
        <v>0.19354838709677419</v>
      </c>
    </row>
    <row r="26" spans="2:5" ht="15" customHeight="1">
      <c r="B26" s="75"/>
      <c r="C26" s="29" t="s">
        <v>43</v>
      </c>
      <c r="D26" s="28">
        <v>3</v>
      </c>
      <c r="E26" s="27">
        <v>2.4193548387096774E-2</v>
      </c>
    </row>
    <row r="27" spans="2:5" ht="15" customHeight="1">
      <c r="B27" s="76"/>
      <c r="C27" s="26" t="s">
        <v>3</v>
      </c>
      <c r="D27" s="25">
        <v>27</v>
      </c>
      <c r="E27" s="24">
        <v>0.21774193548387097</v>
      </c>
    </row>
    <row r="28" spans="2:5" ht="15" customHeight="1">
      <c r="B28" s="74" t="s">
        <v>9</v>
      </c>
      <c r="C28" s="29" t="s">
        <v>44</v>
      </c>
      <c r="D28" s="28">
        <v>6</v>
      </c>
      <c r="E28" s="27">
        <v>4.8387096774193547E-2</v>
      </c>
    </row>
    <row r="29" spans="2:5" ht="15" customHeight="1">
      <c r="B29" s="75"/>
      <c r="C29" s="29" t="s">
        <v>43</v>
      </c>
      <c r="D29" s="28">
        <v>2</v>
      </c>
      <c r="E29" s="27">
        <v>1.6129032258064516E-2</v>
      </c>
    </row>
    <row r="30" spans="2:5" ht="15" customHeight="1">
      <c r="B30" s="76"/>
      <c r="C30" s="26" t="s">
        <v>3</v>
      </c>
      <c r="D30" s="25">
        <v>8</v>
      </c>
      <c r="E30" s="24">
        <v>6.4516129032258063E-2</v>
      </c>
    </row>
    <row r="31" spans="2:5" ht="15" customHeight="1">
      <c r="B31" s="74" t="s">
        <v>8</v>
      </c>
      <c r="C31" s="29" t="s">
        <v>44</v>
      </c>
      <c r="D31" s="28">
        <v>3</v>
      </c>
      <c r="E31" s="27">
        <v>2.4193548387096774E-2</v>
      </c>
    </row>
    <row r="32" spans="2:5" ht="15" customHeight="1">
      <c r="B32" s="75"/>
      <c r="C32" s="29" t="s">
        <v>43</v>
      </c>
      <c r="D32" s="28">
        <v>3</v>
      </c>
      <c r="E32" s="27">
        <v>2.4193548387096774E-2</v>
      </c>
    </row>
    <row r="33" spans="2:5" ht="15" customHeight="1">
      <c r="B33" s="76"/>
      <c r="C33" s="26" t="s">
        <v>3</v>
      </c>
      <c r="D33" s="25">
        <v>6</v>
      </c>
      <c r="E33" s="24">
        <v>4.8387096774193547E-2</v>
      </c>
    </row>
    <row r="34" spans="2:5" ht="15" customHeight="1">
      <c r="B34" s="74" t="s">
        <v>15</v>
      </c>
      <c r="C34" s="29" t="s">
        <v>44</v>
      </c>
      <c r="D34" s="28">
        <v>4</v>
      </c>
      <c r="E34" s="27">
        <v>3.2258064516129031E-2</v>
      </c>
    </row>
    <row r="35" spans="2:5" ht="15" customHeight="1">
      <c r="B35" s="75"/>
      <c r="C35" s="29" t="s">
        <v>43</v>
      </c>
      <c r="D35" s="28">
        <v>4</v>
      </c>
      <c r="E35" s="27">
        <v>3.2258064516129031E-2</v>
      </c>
    </row>
    <row r="36" spans="2:5" ht="15" customHeight="1">
      <c r="B36" s="76"/>
      <c r="C36" s="26" t="s">
        <v>3</v>
      </c>
      <c r="D36" s="25">
        <v>8</v>
      </c>
      <c r="E36" s="24">
        <v>6.4516129032258063E-2</v>
      </c>
    </row>
    <row r="37" spans="2:5" ht="15" customHeight="1">
      <c r="B37" s="74" t="s">
        <v>6</v>
      </c>
      <c r="C37" s="29" t="s">
        <v>44</v>
      </c>
      <c r="D37" s="28">
        <v>1</v>
      </c>
      <c r="E37" s="27">
        <v>8.0645161290322578E-3</v>
      </c>
    </row>
    <row r="38" spans="2:5" ht="15" customHeight="1">
      <c r="B38" s="76"/>
      <c r="C38" s="26" t="s">
        <v>3</v>
      </c>
      <c r="D38" s="25">
        <v>1</v>
      </c>
      <c r="E38" s="24">
        <v>8.0645161290322578E-3</v>
      </c>
    </row>
    <row r="39" spans="2:5" ht="15" customHeight="1">
      <c r="B39" s="74" t="s">
        <v>5</v>
      </c>
      <c r="C39" s="29" t="s">
        <v>44</v>
      </c>
      <c r="D39" s="28">
        <v>2</v>
      </c>
      <c r="E39" s="27">
        <v>1.6129032258064516E-2</v>
      </c>
    </row>
    <row r="40" spans="2:5" ht="15" customHeight="1">
      <c r="B40" s="76"/>
      <c r="C40" s="26" t="s">
        <v>3</v>
      </c>
      <c r="D40" s="25">
        <v>2</v>
      </c>
      <c r="E40" s="24">
        <v>1.6129032258064516E-2</v>
      </c>
    </row>
    <row r="41" spans="2:5" ht="15" customHeight="1">
      <c r="B41" s="74" t="s">
        <v>19</v>
      </c>
      <c r="C41" s="29" t="s">
        <v>44</v>
      </c>
      <c r="D41" s="28">
        <v>11</v>
      </c>
      <c r="E41" s="27">
        <v>8.8709677419354843E-2</v>
      </c>
    </row>
    <row r="42" spans="2:5" ht="15" customHeight="1">
      <c r="B42" s="75"/>
      <c r="C42" s="29" t="s">
        <v>43</v>
      </c>
      <c r="D42" s="28">
        <v>9</v>
      </c>
      <c r="E42" s="27">
        <v>7.2580645161290328E-2</v>
      </c>
    </row>
    <row r="43" spans="2:5" ht="15" customHeight="1">
      <c r="B43" s="76"/>
      <c r="C43" s="26" t="s">
        <v>3</v>
      </c>
      <c r="D43" s="25">
        <v>20</v>
      </c>
      <c r="E43" s="24">
        <v>0.16129032258064516</v>
      </c>
    </row>
    <row r="44" spans="2:5" ht="15" customHeight="1">
      <c r="B44" s="74" t="s">
        <v>11</v>
      </c>
      <c r="C44" s="29" t="s">
        <v>44</v>
      </c>
      <c r="D44" s="28">
        <v>3</v>
      </c>
      <c r="E44" s="27">
        <v>2.4193548387096774E-2</v>
      </c>
    </row>
    <row r="45" spans="2:5" ht="15" customHeight="1">
      <c r="B45" s="75"/>
      <c r="C45" s="29" t="s">
        <v>43</v>
      </c>
      <c r="D45" s="28">
        <v>1</v>
      </c>
      <c r="E45" s="27">
        <v>8.0645161290322578E-3</v>
      </c>
    </row>
    <row r="46" spans="2:5" ht="15" customHeight="1">
      <c r="B46" s="76"/>
      <c r="C46" s="26" t="s">
        <v>3</v>
      </c>
      <c r="D46" s="25">
        <v>4</v>
      </c>
      <c r="E46" s="24">
        <v>3.2258064516129031E-2</v>
      </c>
    </row>
    <row r="47" spans="2:5" ht="15" customHeight="1">
      <c r="B47" s="74" t="s">
        <v>7</v>
      </c>
      <c r="C47" s="29" t="s">
        <v>44</v>
      </c>
      <c r="D47" s="28">
        <v>2</v>
      </c>
      <c r="E47" s="27">
        <v>1.6129032258064516E-2</v>
      </c>
    </row>
    <row r="48" spans="2:5" ht="15" customHeight="1">
      <c r="B48" s="76"/>
      <c r="C48" s="26" t="s">
        <v>3</v>
      </c>
      <c r="D48" s="25">
        <v>2</v>
      </c>
      <c r="E48" s="24">
        <v>1.6129032258064516E-2</v>
      </c>
    </row>
    <row r="49" spans="2:5" ht="15" customHeight="1">
      <c r="B49" s="74" t="s">
        <v>14</v>
      </c>
      <c r="C49" s="29" t="s">
        <v>44</v>
      </c>
      <c r="D49" s="28">
        <v>6</v>
      </c>
      <c r="E49" s="27">
        <v>4.8387096774193547E-2</v>
      </c>
    </row>
    <row r="50" spans="2:5" ht="15" customHeight="1">
      <c r="B50" s="75"/>
      <c r="C50" s="29" t="s">
        <v>43</v>
      </c>
      <c r="D50" s="28">
        <v>3</v>
      </c>
      <c r="E50" s="27">
        <v>2.4193548387096774E-2</v>
      </c>
    </row>
    <row r="51" spans="2:5" ht="15" customHeight="1">
      <c r="B51" s="76"/>
      <c r="C51" s="26" t="s">
        <v>3</v>
      </c>
      <c r="D51" s="25">
        <v>9</v>
      </c>
      <c r="E51" s="24">
        <v>7.2580645161290328E-2</v>
      </c>
    </row>
    <row r="52" spans="2:5" ht="15" customHeight="1">
      <c r="B52" s="74" t="s">
        <v>93</v>
      </c>
      <c r="C52" s="29" t="s">
        <v>43</v>
      </c>
      <c r="D52" s="28">
        <v>2</v>
      </c>
      <c r="E52" s="27">
        <v>1.6129032258064516E-2</v>
      </c>
    </row>
    <row r="53" spans="2:5" ht="15" customHeight="1">
      <c r="B53" s="76"/>
      <c r="C53" s="26" t="s">
        <v>3</v>
      </c>
      <c r="D53" s="25">
        <v>2</v>
      </c>
      <c r="E53" s="24">
        <v>1.6129032258064516E-2</v>
      </c>
    </row>
    <row r="54" spans="2:5" ht="15" customHeight="1">
      <c r="B54" s="74" t="s">
        <v>13</v>
      </c>
      <c r="C54" s="29" t="s">
        <v>44</v>
      </c>
      <c r="D54" s="28">
        <v>7</v>
      </c>
      <c r="E54" s="27">
        <v>5.6451612903225805E-2</v>
      </c>
    </row>
    <row r="55" spans="2:5" ht="15" customHeight="1">
      <c r="B55" s="75"/>
      <c r="C55" s="29" t="s">
        <v>43</v>
      </c>
      <c r="D55" s="28">
        <v>2</v>
      </c>
      <c r="E55" s="27">
        <v>1.6129032258064516E-2</v>
      </c>
    </row>
    <row r="56" spans="2:5" ht="15" customHeight="1">
      <c r="B56" s="76"/>
      <c r="C56" s="26" t="s">
        <v>3</v>
      </c>
      <c r="D56" s="25">
        <v>9</v>
      </c>
      <c r="E56" s="24">
        <v>7.2580645161290328E-2</v>
      </c>
    </row>
    <row r="57" spans="2:5" ht="15" customHeight="1">
      <c r="B57" s="74" t="s">
        <v>92</v>
      </c>
      <c r="C57" s="29" t="s">
        <v>44</v>
      </c>
      <c r="D57" s="28">
        <v>1</v>
      </c>
      <c r="E57" s="27">
        <v>8.0645161290322578E-3</v>
      </c>
    </row>
    <row r="58" spans="2:5" ht="15" customHeight="1">
      <c r="B58" s="76"/>
      <c r="C58" s="26" t="s">
        <v>3</v>
      </c>
      <c r="D58" s="25">
        <v>1</v>
      </c>
      <c r="E58" s="24">
        <v>8.0645161290322578E-3</v>
      </c>
    </row>
    <row r="59" spans="2:5" ht="15" customHeight="1">
      <c r="B59" s="77" t="s">
        <v>3</v>
      </c>
      <c r="C59" s="78"/>
      <c r="D59" s="60">
        <f>SUMIF(C10:C58,"TOTAL",D10:D58)</f>
        <v>124</v>
      </c>
      <c r="E59" s="61">
        <v>1</v>
      </c>
    </row>
    <row r="61" spans="2:5" ht="15" customHeight="1">
      <c r="B61" s="3" t="s">
        <v>90</v>
      </c>
    </row>
    <row r="62" spans="2:5" ht="15" customHeight="1">
      <c r="B62" s="5" t="s">
        <v>2</v>
      </c>
    </row>
    <row r="63" spans="2:5" ht="15" customHeight="1">
      <c r="B63" s="4" t="s">
        <v>1</v>
      </c>
    </row>
    <row r="64" spans="2:5" ht="15" customHeight="1">
      <c r="B64" s="3" t="s">
        <v>0</v>
      </c>
    </row>
    <row r="65" spans="2:2" ht="15" customHeight="1">
      <c r="B65" s="3" t="s">
        <v>91</v>
      </c>
    </row>
    <row r="313" spans="2:2" s="21" customFormat="1" ht="15" customHeight="1">
      <c r="B313" s="22"/>
    </row>
    <row r="314" spans="2:2" s="21" customFormat="1" ht="15" customHeight="1">
      <c r="B314" s="23"/>
    </row>
    <row r="315" spans="2:2" s="21" customFormat="1" ht="15" customHeight="1">
      <c r="B315" s="23"/>
    </row>
    <row r="316" spans="2:2" s="21" customFormat="1" ht="15" customHeight="1">
      <c r="B316" s="22"/>
    </row>
    <row r="317" spans="2:2" s="21" customFormat="1" ht="15" customHeight="1">
      <c r="B317" s="22"/>
    </row>
  </sheetData>
  <mergeCells count="21">
    <mergeCell ref="B28:B30"/>
    <mergeCell ref="B31:B33"/>
    <mergeCell ref="B34:B36"/>
    <mergeCell ref="B37:B38"/>
    <mergeCell ref="B39:B40"/>
    <mergeCell ref="B12:B13"/>
    <mergeCell ref="B14:B16"/>
    <mergeCell ref="B20:B22"/>
    <mergeCell ref="B23:B24"/>
    <mergeCell ref="B25:B27"/>
    <mergeCell ref="B10:B11"/>
    <mergeCell ref="B17:B19"/>
    <mergeCell ref="B49:B51"/>
    <mergeCell ref="B7:E8"/>
    <mergeCell ref="B41:B43"/>
    <mergeCell ref="B44:B46"/>
    <mergeCell ref="B47:B48"/>
    <mergeCell ref="B52:B53"/>
    <mergeCell ref="B54:B56"/>
    <mergeCell ref="B57:B58"/>
    <mergeCell ref="B59:C5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51"/>
  <sheetViews>
    <sheetView showGridLines="0" zoomScaleNormal="100" zoomScaleSheetLayoutView="100" workbookViewId="0"/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6" s="37" customFormat="1" ht="12" customHeight="1">
      <c r="B1" s="41"/>
      <c r="C1" s="40"/>
      <c r="D1" s="40"/>
      <c r="E1" s="40"/>
    </row>
    <row r="2" spans="1:6" s="37" customFormat="1" ht="15" customHeight="1">
      <c r="C2" s="39"/>
    </row>
    <row r="3" spans="1:6" s="37" customFormat="1" ht="15" customHeight="1">
      <c r="C3" s="39"/>
    </row>
    <row r="4" spans="1:6" s="37" customFormat="1" ht="30" customHeight="1">
      <c r="C4" s="39"/>
      <c r="D4" s="38"/>
    </row>
    <row r="5" spans="1:6" s="37" customFormat="1" ht="15" customHeight="1">
      <c r="C5" s="39"/>
      <c r="D5" s="38"/>
    </row>
    <row r="6" spans="1:6" s="34" customFormat="1" ht="24" customHeight="1">
      <c r="B6" s="36"/>
      <c r="C6" s="30"/>
      <c r="D6" s="30"/>
      <c r="E6" s="30"/>
    </row>
    <row r="7" spans="1:6" s="34" customFormat="1" ht="26.25" customHeight="1">
      <c r="A7" s="35"/>
      <c r="B7" s="79"/>
      <c r="C7" s="79"/>
      <c r="D7" s="79"/>
      <c r="E7" s="79"/>
    </row>
    <row r="8" spans="1:6" s="34" customFormat="1" ht="33" customHeight="1">
      <c r="A8" s="35"/>
      <c r="B8" s="79"/>
      <c r="C8" s="79"/>
      <c r="D8" s="79"/>
      <c r="E8" s="79"/>
    </row>
    <row r="9" spans="1:6" s="13" customFormat="1" ht="40.5" customHeight="1">
      <c r="B9" s="31" t="s">
        <v>42</v>
      </c>
      <c r="C9" s="33" t="s">
        <v>49</v>
      </c>
      <c r="D9" s="32" t="s">
        <v>21</v>
      </c>
      <c r="E9" s="31" t="s">
        <v>20</v>
      </c>
    </row>
    <row r="10" spans="1:6" ht="15" customHeight="1">
      <c r="B10" s="74" t="s">
        <v>44</v>
      </c>
      <c r="C10" s="29" t="s">
        <v>48</v>
      </c>
      <c r="D10" s="28">
        <v>29</v>
      </c>
      <c r="E10" s="27">
        <v>0.23387096774193547</v>
      </c>
      <c r="F10" s="21"/>
    </row>
    <row r="11" spans="1:6" ht="15" customHeight="1">
      <c r="B11" s="75"/>
      <c r="C11" s="29" t="s">
        <v>47</v>
      </c>
      <c r="D11" s="28">
        <v>29</v>
      </c>
      <c r="E11" s="27">
        <v>0.23387096774193547</v>
      </c>
      <c r="F11" s="21"/>
    </row>
    <row r="12" spans="1:6" ht="15" customHeight="1">
      <c r="B12" s="75"/>
      <c r="C12" s="29" t="s">
        <v>46</v>
      </c>
      <c r="D12" s="28">
        <v>21</v>
      </c>
      <c r="E12" s="27">
        <v>0.16935483870967741</v>
      </c>
      <c r="F12" s="21"/>
    </row>
    <row r="13" spans="1:6" ht="15" customHeight="1">
      <c r="B13" s="75"/>
      <c r="C13" s="29" t="s">
        <v>45</v>
      </c>
      <c r="D13" s="28">
        <v>8</v>
      </c>
      <c r="E13" s="27">
        <v>6.4516129032258063E-2</v>
      </c>
    </row>
    <row r="14" spans="1:6" ht="15" customHeight="1">
      <c r="B14" s="76"/>
      <c r="C14" s="29" t="s">
        <v>94</v>
      </c>
      <c r="D14" s="28">
        <v>1</v>
      </c>
      <c r="E14" s="27">
        <v>8.0645161290322578E-3</v>
      </c>
    </row>
    <row r="15" spans="1:6" ht="15" customHeight="1">
      <c r="B15" s="74" t="s">
        <v>43</v>
      </c>
      <c r="C15" s="29" t="s">
        <v>48</v>
      </c>
      <c r="D15" s="28">
        <v>6</v>
      </c>
      <c r="E15" s="27">
        <v>4.8387096774193547E-2</v>
      </c>
    </row>
    <row r="16" spans="1:6" ht="15" customHeight="1">
      <c r="B16" s="75"/>
      <c r="C16" s="29" t="s">
        <v>47</v>
      </c>
      <c r="D16" s="28">
        <v>10</v>
      </c>
      <c r="E16" s="27">
        <v>8.0645161290322578E-2</v>
      </c>
    </row>
    <row r="17" spans="2:5" ht="15" customHeight="1">
      <c r="B17" s="75"/>
      <c r="C17" s="29" t="s">
        <v>46</v>
      </c>
      <c r="D17" s="28">
        <v>14</v>
      </c>
      <c r="E17" s="27">
        <v>0.11290322580645161</v>
      </c>
    </row>
    <row r="18" spans="2:5" ht="15" customHeight="1">
      <c r="B18" s="75"/>
      <c r="C18" s="29" t="s">
        <v>45</v>
      </c>
      <c r="D18" s="28">
        <v>5</v>
      </c>
      <c r="E18" s="27">
        <v>4.0322580645161289E-2</v>
      </c>
    </row>
    <row r="19" spans="2:5" ht="15" customHeight="1">
      <c r="B19" s="76"/>
      <c r="C19" s="29" t="s">
        <v>94</v>
      </c>
      <c r="D19" s="28">
        <v>1</v>
      </c>
      <c r="E19" s="27">
        <v>8.0645161290322578E-3</v>
      </c>
    </row>
    <row r="20" spans="2:5" ht="15" customHeight="1">
      <c r="B20" s="77" t="s">
        <v>3</v>
      </c>
      <c r="C20" s="78"/>
      <c r="D20" s="60">
        <v>124</v>
      </c>
      <c r="E20" s="61">
        <v>1</v>
      </c>
    </row>
    <row r="22" spans="2:5" ht="15" customHeight="1">
      <c r="B22" s="3" t="s">
        <v>90</v>
      </c>
    </row>
    <row r="23" spans="2:5" ht="15" customHeight="1">
      <c r="B23" s="5" t="s">
        <v>2</v>
      </c>
    </row>
    <row r="24" spans="2:5" ht="15" customHeight="1">
      <c r="B24" s="4" t="s">
        <v>1</v>
      </c>
    </row>
    <row r="25" spans="2:5" ht="15" customHeight="1">
      <c r="B25" s="3" t="s">
        <v>0</v>
      </c>
    </row>
    <row r="26" spans="2:5" ht="15" customHeight="1">
      <c r="B26" s="3" t="s">
        <v>91</v>
      </c>
    </row>
    <row r="447" spans="2:2" s="21" customFormat="1" ht="15" customHeight="1">
      <c r="B447" s="22"/>
    </row>
    <row r="448" spans="2:2" s="21" customFormat="1" ht="15" customHeight="1">
      <c r="B448" s="23"/>
    </row>
    <row r="449" spans="2:2" s="21" customFormat="1" ht="15" customHeight="1">
      <c r="B449" s="23"/>
    </row>
    <row r="450" spans="2:2" s="21" customFormat="1" ht="15" customHeight="1">
      <c r="B450" s="22"/>
    </row>
    <row r="451" spans="2:2" s="21" customFormat="1" ht="15" customHeight="1">
      <c r="B451" s="22"/>
    </row>
  </sheetData>
  <mergeCells count="4">
    <mergeCell ref="B15:B19"/>
    <mergeCell ref="B20:C20"/>
    <mergeCell ref="B7:E8"/>
    <mergeCell ref="B10:B1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0"/>
  <sheetViews>
    <sheetView showGridLines="0" topLeftCell="A7" zoomScaleNormal="100" zoomScaleSheetLayoutView="115" workbookViewId="0">
      <selection activeCell="G24" sqref="G24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3" t="s">
        <v>99</v>
      </c>
      <c r="C7" s="73"/>
      <c r="D7" s="73"/>
    </row>
    <row r="8" spans="1:5" s="13" customFormat="1" ht="15" customHeight="1">
      <c r="B8" s="73"/>
      <c r="C8" s="73"/>
      <c r="D8" s="73"/>
    </row>
    <row r="9" spans="1:5" s="13" customFormat="1" ht="33" customHeight="1">
      <c r="B9" s="73"/>
      <c r="C9" s="73"/>
      <c r="D9" s="73"/>
    </row>
    <row r="10" spans="1:5" s="13" customFormat="1" ht="4.5" customHeight="1">
      <c r="B10" s="17"/>
      <c r="C10" s="17"/>
      <c r="D10" s="17"/>
    </row>
    <row r="11" spans="1:5" s="13" customFormat="1" ht="27" customHeight="1">
      <c r="B11" s="16" t="s">
        <v>59</v>
      </c>
      <c r="C11" s="15" t="s">
        <v>21</v>
      </c>
      <c r="D11" s="14" t="s">
        <v>20</v>
      </c>
    </row>
    <row r="12" spans="1:5">
      <c r="B12" s="11" t="s">
        <v>58</v>
      </c>
      <c r="C12" s="10">
        <v>28</v>
      </c>
      <c r="D12" s="9">
        <v>0.22580645161290322</v>
      </c>
    </row>
    <row r="13" spans="1:5">
      <c r="B13" s="11" t="s">
        <v>57</v>
      </c>
      <c r="C13" s="10">
        <v>24</v>
      </c>
      <c r="D13" s="9">
        <v>0.19354838709677419</v>
      </c>
    </row>
    <row r="14" spans="1:5">
      <c r="A14" s="12"/>
      <c r="B14" s="11" t="s">
        <v>50</v>
      </c>
      <c r="C14" s="10">
        <v>20</v>
      </c>
      <c r="D14" s="9">
        <v>0.16129032258064516</v>
      </c>
      <c r="E14" s="12"/>
    </row>
    <row r="15" spans="1:5">
      <c r="A15" s="12"/>
      <c r="B15" s="11" t="s">
        <v>56</v>
      </c>
      <c r="C15" s="10">
        <v>16</v>
      </c>
      <c r="D15" s="9">
        <v>0.12903225806451613</v>
      </c>
      <c r="E15" s="12"/>
    </row>
    <row r="16" spans="1:5">
      <c r="B16" s="11" t="s">
        <v>52</v>
      </c>
      <c r="C16" s="10">
        <v>11</v>
      </c>
      <c r="D16" s="9">
        <v>8.8709677419354843E-2</v>
      </c>
    </row>
    <row r="17" spans="2:4">
      <c r="B17" s="11" t="s">
        <v>55</v>
      </c>
      <c r="C17" s="10">
        <v>11</v>
      </c>
      <c r="D17" s="9">
        <v>8.8709677419354843E-2</v>
      </c>
    </row>
    <row r="18" spans="2:4">
      <c r="B18" s="11" t="s">
        <v>51</v>
      </c>
      <c r="C18" s="10">
        <v>5</v>
      </c>
      <c r="D18" s="9">
        <v>4.0322580645161289E-2</v>
      </c>
    </row>
    <row r="19" spans="2:4">
      <c r="B19" s="11" t="s">
        <v>54</v>
      </c>
      <c r="C19" s="10">
        <v>5</v>
      </c>
      <c r="D19" s="9">
        <v>4.0322580645161289E-2</v>
      </c>
    </row>
    <row r="20" spans="2:4">
      <c r="B20" s="11" t="s">
        <v>96</v>
      </c>
      <c r="C20" s="10">
        <v>1</v>
      </c>
      <c r="D20" s="9">
        <v>8.0645161290322578E-3</v>
      </c>
    </row>
    <row r="21" spans="2:4">
      <c r="B21" s="11" t="s">
        <v>53</v>
      </c>
      <c r="C21" s="10">
        <v>1</v>
      </c>
      <c r="D21" s="9">
        <v>8.0645161290322578E-3</v>
      </c>
    </row>
    <row r="22" spans="2:4">
      <c r="B22" s="11" t="s">
        <v>97</v>
      </c>
      <c r="C22" s="10">
        <v>1</v>
      </c>
      <c r="D22" s="9">
        <v>8.0645161290322578E-3</v>
      </c>
    </row>
    <row r="23" spans="2:4">
      <c r="B23" s="11" t="s">
        <v>98</v>
      </c>
      <c r="C23" s="10">
        <v>1</v>
      </c>
      <c r="D23" s="9">
        <v>8.0645161290322578E-3</v>
      </c>
    </row>
    <row r="24" spans="2:4">
      <c r="B24" s="8" t="s">
        <v>3</v>
      </c>
      <c r="C24" s="7">
        <v>124</v>
      </c>
      <c r="D24" s="6">
        <v>1</v>
      </c>
    </row>
    <row r="26" spans="2:4">
      <c r="B26" s="3" t="s">
        <v>90</v>
      </c>
    </row>
    <row r="27" spans="2:4">
      <c r="B27" s="5" t="s">
        <v>2</v>
      </c>
    </row>
    <row r="28" spans="2:4">
      <c r="B28" s="4" t="s">
        <v>1</v>
      </c>
    </row>
    <row r="29" spans="2:4">
      <c r="B29" s="3" t="s">
        <v>0</v>
      </c>
    </row>
    <row r="30" spans="2:4">
      <c r="B30" s="3" t="s">
        <v>91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13</vt:i4>
      </vt:variant>
    </vt:vector>
  </HeadingPairs>
  <TitlesOfParts>
    <vt:vector size="22" baseType="lpstr">
      <vt:lpstr>Índice</vt:lpstr>
      <vt:lpstr>West Virginia_Edomexgral</vt:lpstr>
      <vt:lpstr>West Virginia_EDOMEX</vt:lpstr>
      <vt:lpstr>West Virginia_Educagral</vt:lpstr>
      <vt:lpstr>West Virginia_Eduedo</vt:lpstr>
      <vt:lpstr>West Virginia_gengral</vt:lpstr>
      <vt:lpstr>West Virginia_edomexgen</vt:lpstr>
      <vt:lpstr>West Virginia_edadgen</vt:lpstr>
      <vt:lpstr>West Virginia_ocupgral</vt:lpstr>
      <vt:lpstr>Índice!Área_de_impresión</vt:lpstr>
      <vt:lpstr>'West Virginia_edadgen'!Área_de_impresión</vt:lpstr>
      <vt:lpstr>'West Virginia_EDOMEX'!Área_de_impresión</vt:lpstr>
      <vt:lpstr>'West Virginia_edomexgen'!Área_de_impresión</vt:lpstr>
      <vt:lpstr>'West Virginia_Eduedo'!Área_de_impresión</vt:lpstr>
      <vt:lpstr>'West Virginia_edadgen'!Títulos_a_imprimir</vt:lpstr>
      <vt:lpstr>'West Virginia_EDOMEX'!Títulos_a_imprimir</vt:lpstr>
      <vt:lpstr>'West Virginia_edomexgen'!Títulos_a_imprimir</vt:lpstr>
      <vt:lpstr>'West Virginia_Edomexgral'!Títulos_a_imprimir</vt:lpstr>
      <vt:lpstr>'West Virginia_Educagral'!Títulos_a_imprimir</vt:lpstr>
      <vt:lpstr>'West Virginia_Eduedo'!Títulos_a_imprimir</vt:lpstr>
      <vt:lpstr>'West Virginia_gengral'!Títulos_a_imprimir</vt:lpstr>
      <vt:lpstr>'West Virginia_ocupgral'!Títulos_a_imprimir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2020-05-18T09:52:18Z</dcterms:created>
  <dcterms:modified xsi:type="dcterms:W3CDTF">2023-05-19T14:15:44Z</dcterms:modified>
</cp:coreProperties>
</file>