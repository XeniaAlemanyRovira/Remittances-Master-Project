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USA\Finales_USA\"/>
    </mc:Choice>
  </mc:AlternateContent>
  <bookViews>
    <workbookView xWindow="0" yWindow="0" windowWidth="24000" windowHeight="9735" tabRatio="772" activeTab="1"/>
  </bookViews>
  <sheets>
    <sheet name="Índice" sheetId="1" r:id="rId1"/>
    <sheet name="North Dakota_Edomexgral" sheetId="2" r:id="rId2"/>
    <sheet name="North Dakota_EDOMEX" sheetId="11" r:id="rId3"/>
    <sheet name="North Dakota_Educagral" sheetId="4" r:id="rId4"/>
    <sheet name="North Dakota_Eduedo " sheetId="10" r:id="rId5"/>
    <sheet name="North Dakota_gengral" sheetId="6" r:id="rId6"/>
    <sheet name="North Dakota_edomexgen" sheetId="7" r:id="rId7"/>
    <sheet name="North Dakota_edadgen" sheetId="8" r:id="rId8"/>
    <sheet name="North Dakota_ocupgral" sheetId="9" r:id="rId9"/>
  </sheets>
  <definedNames>
    <definedName name="_xlnm._FilterDatabase" localSheetId="7" hidden="1">'North Dakota_edadgen'!$B$9:$E$9</definedName>
    <definedName name="_xlnm._FilterDatabase" localSheetId="2" hidden="1">'North Dakota_EDOMEX'!$B$9:$E$9</definedName>
    <definedName name="_xlnm._FilterDatabase" localSheetId="6" hidden="1">'North Dakota_edomexgen'!$B$9:$E$9</definedName>
    <definedName name="_xlnm._FilterDatabase" localSheetId="1" hidden="1">'North Dakota_Edomexgral'!$B$11:$D$11</definedName>
    <definedName name="_xlnm._FilterDatabase" localSheetId="3" hidden="1">'North Dakota_Educagral'!$B$11:$D$11</definedName>
    <definedName name="_xlnm._FilterDatabase" localSheetId="4" hidden="1">'North Dakota_Eduedo '!$B$9:$E$9</definedName>
    <definedName name="_xlnm._FilterDatabase" localSheetId="5" hidden="1">'North Dakota_gengral'!$B$11:$D$11</definedName>
    <definedName name="_xlnm._FilterDatabase" localSheetId="8" hidden="1">'North Dakota_ocupgral'!$B$11:$D$11</definedName>
    <definedName name="_xlnm.Print_Area" localSheetId="7">'North Dakota_edadgen'!$A$1:$E$9</definedName>
    <definedName name="_xlnm.Print_Area" localSheetId="2">'North Dakota_EDOMEX'!$A$1:$E$9</definedName>
    <definedName name="_xlnm.Print_Area" localSheetId="6">'North Dakota_edomexgen'!$A$1:$E$9</definedName>
    <definedName name="_xlnm.Print_Area" localSheetId="4">'North Dakota_Eduedo '!$A$1:$E$9</definedName>
    <definedName name="_xlnm.Print_Titles" localSheetId="7">'North Dakota_edadgen'!$1:$9</definedName>
    <definedName name="_xlnm.Print_Titles" localSheetId="2">'North Dakota_EDOMEX'!$1:$9</definedName>
    <definedName name="_xlnm.Print_Titles" localSheetId="6">'North Dakota_edomexgen'!$1:$9</definedName>
    <definedName name="_xlnm.Print_Titles" localSheetId="1">'North Dakota_Edomexgral'!$1:$11</definedName>
    <definedName name="_xlnm.Print_Titles" localSheetId="3">'North Dakota_Educagral'!$1:$11</definedName>
    <definedName name="_xlnm.Print_Titles" localSheetId="4">'North Dakota_Eduedo '!$1:$9</definedName>
    <definedName name="_xlnm.Print_Titles" localSheetId="5">'North Dakota_gengral'!$1:$11</definedName>
    <definedName name="_xlnm.Print_Titles" localSheetId="8">'North Dakota_ocupgral'!$1:$11</definedName>
  </definedNames>
  <calcPr calcId="152511"/>
</workbook>
</file>

<file path=xl/calcChain.xml><?xml version="1.0" encoding="utf-8"?>
<calcChain xmlns="http://schemas.openxmlformats.org/spreadsheetml/2006/main">
  <c r="D71" i="7" l="1"/>
  <c r="D131" i="11"/>
</calcChain>
</file>

<file path=xl/sharedStrings.xml><?xml version="1.0" encoding="utf-8"?>
<sst xmlns="http://schemas.openxmlformats.org/spreadsheetml/2006/main" count="498" uniqueCount="179">
  <si>
    <t>6. Por Ocupación</t>
  </si>
  <si>
    <t>5. Por estructura de Edad</t>
  </si>
  <si>
    <t>4.2 Por Estados de la República Mexicana</t>
  </si>
  <si>
    <t>4.1 Género General</t>
  </si>
  <si>
    <t>4. Por Género</t>
  </si>
  <si>
    <t>3.2 Por Estado de la República Mexicana</t>
  </si>
  <si>
    <t>3.1 Educación general</t>
  </si>
  <si>
    <t>3. Por Nivel Educativo</t>
  </si>
  <si>
    <t>2.1 Por estado de la República Mexicana y municipio de origen</t>
  </si>
  <si>
    <t>2. Por Municipio de origen</t>
  </si>
  <si>
    <t>1. Por Estados de la República Mexicana</t>
  </si>
  <si>
    <t xml:space="preserve">Da clic al texto para ir a la información, selecciona                 para regresar. 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</si>
  <si>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</si>
  <si>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</si>
  <si>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</si>
  <si>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</si>
  <si>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Zacatecas</t>
  </si>
  <si>
    <t>San Luis Potosí</t>
  </si>
  <si>
    <t>Querétaro</t>
  </si>
  <si>
    <t>Chiapas</t>
  </si>
  <si>
    <t>Tamaulipas</t>
  </si>
  <si>
    <t>Sinaloa</t>
  </si>
  <si>
    <t>Puebla</t>
  </si>
  <si>
    <t>Aguascalientes</t>
  </si>
  <si>
    <t>Coahuila</t>
  </si>
  <si>
    <t>Veracruz</t>
  </si>
  <si>
    <t>Estado de México</t>
  </si>
  <si>
    <t>Chihuahua</t>
  </si>
  <si>
    <t>Baja California</t>
  </si>
  <si>
    <t>Michoacán</t>
  </si>
  <si>
    <t>Guerrero</t>
  </si>
  <si>
    <t>Durango</t>
  </si>
  <si>
    <t>Oaxaca</t>
  </si>
  <si>
    <t>Ciudad de México</t>
  </si>
  <si>
    <t>Jalisco</t>
  </si>
  <si>
    <t>Porcentaje de Matrículas</t>
  </si>
  <si>
    <t>Número de Matrículas</t>
  </si>
  <si>
    <t>Estado de Origen</t>
  </si>
  <si>
    <t>Minatitlán</t>
  </si>
  <si>
    <t>Atlahuilco</t>
  </si>
  <si>
    <t>San Antonino Monte Verde</t>
  </si>
  <si>
    <t>Apatzingán</t>
  </si>
  <si>
    <t>Cuauhtémoc</t>
  </si>
  <si>
    <t>Hidalgo del Parral</t>
  </si>
  <si>
    <t>Municipio Origen</t>
  </si>
  <si>
    <t>Profesional Titulado</t>
  </si>
  <si>
    <t>Profesional pasante</t>
  </si>
  <si>
    <t>Preparatoria con certificado</t>
  </si>
  <si>
    <t>Preparatoria sin certificado</t>
  </si>
  <si>
    <t>Secundaria con certificado</t>
  </si>
  <si>
    <t>3° Secundaria</t>
  </si>
  <si>
    <t>2° Secundaria</t>
  </si>
  <si>
    <t>Primaria con certificado</t>
  </si>
  <si>
    <t>6° Primaria</t>
  </si>
  <si>
    <t>3° Primaria</t>
  </si>
  <si>
    <t>Nivel de Estudios</t>
  </si>
  <si>
    <t>MATRÍCULAS CONSULARES EXPEDIDAS EN EL ESTADO DE NORTH DAKOTA EN EE.UU. POR NIVEL DE EDUCACIÓN</t>
  </si>
  <si>
    <t>TOTAL</t>
  </si>
  <si>
    <t>MUJER</t>
  </si>
  <si>
    <t>HOMBRE</t>
  </si>
  <si>
    <t>Género</t>
  </si>
  <si>
    <t>Mujer</t>
  </si>
  <si>
    <t>Hombre</t>
  </si>
  <si>
    <t>Entre 50 y 65 Años</t>
  </si>
  <si>
    <t>Entre 40 y 49 Años</t>
  </si>
  <si>
    <t>Entre 29 y 39 Años</t>
  </si>
  <si>
    <t>Entre 18 y 28 Años</t>
  </si>
  <si>
    <t>Edad cumplida</t>
  </si>
  <si>
    <t>Obrero(a)</t>
  </si>
  <si>
    <t>Estudiante</t>
  </si>
  <si>
    <t>Hogar</t>
  </si>
  <si>
    <t>Empleado(a)</t>
  </si>
  <si>
    <t>Ocupación</t>
  </si>
  <si>
    <t>Profesional titulado</t>
  </si>
  <si>
    <t>Hidalgo</t>
  </si>
  <si>
    <t>Morelos</t>
  </si>
  <si>
    <t>Topia</t>
  </si>
  <si>
    <t>Pantepec</t>
  </si>
  <si>
    <t>Calvillo</t>
  </si>
  <si>
    <t>Ensenada</t>
  </si>
  <si>
    <t>Juárez</t>
  </si>
  <si>
    <t>Iztapalapa</t>
  </si>
  <si>
    <t>Guadalupe Victoria</t>
  </si>
  <si>
    <t>San Juan del Río</t>
  </si>
  <si>
    <t>Tala</t>
  </si>
  <si>
    <t>Contepec</t>
  </si>
  <si>
    <t>José Sixto Verduzco</t>
  </si>
  <si>
    <t>La Piedad</t>
  </si>
  <si>
    <t>Zamora</t>
  </si>
  <si>
    <t>San Sebastián Nicananduta</t>
  </si>
  <si>
    <t>Culiacán</t>
  </si>
  <si>
    <t>Cotaxtla</t>
  </si>
  <si>
    <t>Fresnillo</t>
  </si>
  <si>
    <t>4° Primaria</t>
  </si>
  <si>
    <t>5° Primaria</t>
  </si>
  <si>
    <t>Capacitación Técnica</t>
  </si>
  <si>
    <t>Capacitación técnica</t>
  </si>
  <si>
    <t>Matrículas consulares expedidas a mexicanos  en el estado de North Dakota  en el 2022</t>
  </si>
  <si>
    <t>Larráinzar</t>
  </si>
  <si>
    <t>Las Margaritas</t>
  </si>
  <si>
    <t>Palenque</t>
  </si>
  <si>
    <t>Simojovel</t>
  </si>
  <si>
    <t>Ignacio Zaragoza</t>
  </si>
  <si>
    <t>Nuevo Casas Grandes</t>
  </si>
  <si>
    <t>Francisco I. Madero</t>
  </si>
  <si>
    <t>Monclova</t>
  </si>
  <si>
    <t>Colima</t>
  </si>
  <si>
    <t>Ixtlahuacán</t>
  </si>
  <si>
    <t>Azcapotzalco</t>
  </si>
  <si>
    <t>Benito Juárez</t>
  </si>
  <si>
    <t>Gustavo A. Madero</t>
  </si>
  <si>
    <t>Iztacalco</t>
  </si>
  <si>
    <t>Miguel Hidalgo</t>
  </si>
  <si>
    <t>Venustiano Carranza</t>
  </si>
  <si>
    <t>Tepehuanes</t>
  </si>
  <si>
    <t>Atlacomulco</t>
  </si>
  <si>
    <t>Cuautitlán Izcalli</t>
  </si>
  <si>
    <t>La Paz</t>
  </si>
  <si>
    <t>Nezahualcóyotl</t>
  </si>
  <si>
    <t>Sultepec</t>
  </si>
  <si>
    <t>Tejupilco</t>
  </si>
  <si>
    <t>Texcoco</t>
  </si>
  <si>
    <t>Cuetzala del Progreso</t>
  </si>
  <si>
    <t>Actopan</t>
  </si>
  <si>
    <t>Santiago Tulantepec de Lugo Guerrero</t>
  </si>
  <si>
    <t>Ayotlán</t>
  </si>
  <si>
    <t>Cihuatlán</t>
  </si>
  <si>
    <t>Colotlán</t>
  </si>
  <si>
    <t>Encarnación de Díaz</t>
  </si>
  <si>
    <t>Guadalajara</t>
  </si>
  <si>
    <t>Puerto Vallarta</t>
  </si>
  <si>
    <t>Zapopan</t>
  </si>
  <si>
    <t>Zapotlán el Grande</t>
  </si>
  <si>
    <t>Ario</t>
  </si>
  <si>
    <t>Buenavista</t>
  </si>
  <si>
    <t>Jungapeo</t>
  </si>
  <si>
    <t>Morelia</t>
  </si>
  <si>
    <t>Pátzcuaro</t>
  </si>
  <si>
    <t>Turicato</t>
  </si>
  <si>
    <t>Villamar</t>
  </si>
  <si>
    <t>San Juan Lalana</t>
  </si>
  <si>
    <t>Chignahuapan</t>
  </si>
  <si>
    <t>Tlacotepec de Benito Juárez</t>
  </si>
  <si>
    <t>Zacatlán</t>
  </si>
  <si>
    <t>Amealco de Bonfil</t>
  </si>
  <si>
    <t>Santa María del Río</t>
  </si>
  <si>
    <t>Tamazunchale</t>
  </si>
  <si>
    <t>Xilitla</t>
  </si>
  <si>
    <t>Zaragoza</t>
  </si>
  <si>
    <t>Ahome</t>
  </si>
  <si>
    <t>Salvador Alvarado</t>
  </si>
  <si>
    <t>Sonora</t>
  </si>
  <si>
    <t>Cananea</t>
  </si>
  <si>
    <t>Nuevo Laredo</t>
  </si>
  <si>
    <t>Padilla</t>
  </si>
  <si>
    <t>Tlaxcala</t>
  </si>
  <si>
    <t>Huamantla</t>
  </si>
  <si>
    <t>Cazones</t>
  </si>
  <si>
    <t>Poza Rica de Hidalgo</t>
  </si>
  <si>
    <t>Puente Nacional</t>
  </si>
  <si>
    <t>San Andrés Tuxtla</t>
  </si>
  <si>
    <t>Tequila</t>
  </si>
  <si>
    <t>Zongolica</t>
  </si>
  <si>
    <t>Chalchihuites</t>
  </si>
  <si>
    <t>Genaro Codina</t>
  </si>
  <si>
    <t>Guadalupe</t>
  </si>
  <si>
    <t>Juchipila</t>
  </si>
  <si>
    <t>Valparaíso</t>
  </si>
  <si>
    <t>Tamaño de la muestra: 566,547</t>
  </si>
  <si>
    <t>Mayo de 2023</t>
  </si>
  <si>
    <t>MATRÍCULAS CONSULARES DE ALTA SEGURIDAD EXPEDIDAS EN EL ESTADO DE NORTH DAKOTA EN EE.UU. POR ESTADO DE LA REPÚBLICA MEXICANA</t>
  </si>
  <si>
    <t>MATRÍCULAS CONSULARES DE ALTA SEGURIDAD EXPEDIDAS EN EE.UU A MEXICANOS EN EL ESTADO DE  NORTH DAKOTA, POR PERFIL OCUPACIONAL</t>
  </si>
  <si>
    <t>Cocinero(a)</t>
  </si>
  <si>
    <t>Jardinero(a)</t>
  </si>
  <si>
    <t>Pintor(a)</t>
  </si>
  <si>
    <t>MATRÍCULAS CONSULARES DE ALTA SEGURIDAD EXPEDIDAS EN EE.UU A MEXICANOS EN EL ESTADO DE NORTH DAKOTA, POR GÉNERO 2022</t>
  </si>
  <si>
    <t>2° Primaria</t>
  </si>
  <si>
    <t>1° Secundaria</t>
  </si>
  <si>
    <t>Posgrado [Maestría]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</si>
</sst>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b/>
      <sz val="12"/>
      <color theme="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9"/>
      <color rgb="FFFFFFFF"/>
      <name val="Montserrat"/>
    </font>
    <font>
      <sz val="7"/>
      <color rgb="FF000000"/>
      <name val="Montserrat"/>
    </font>
    <font>
      <sz val="8"/>
      <color rgb="FF000000"/>
      <name val="Soberana Sans"/>
      <family val="3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757171"/>
        <bgColor rgb="FF000000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8" fillId="0" borderId="0"/>
  </cellStyleXfs>
  <cellXfs count="83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4" xfId="0" applyFont="1" applyBorder="1" applyAlignment="1"/>
    <xf numFmtId="0" fontId="3" fillId="0" borderId="0" xfId="0" applyFont="1" applyBorder="1" applyAlignment="1"/>
    <xf numFmtId="0" fontId="3" fillId="0" borderId="5" xfId="0" applyFont="1" applyBorder="1" applyAlignment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0" fillId="3" borderId="0" xfId="0" applyFont="1" applyFill="1"/>
    <xf numFmtId="3" fontId="0" fillId="3" borderId="0" xfId="0" applyNumberFormat="1" applyFont="1" applyFill="1"/>
    <xf numFmtId="0" fontId="9" fillId="3" borderId="0" xfId="0" applyFont="1" applyFill="1"/>
    <xf numFmtId="0" fontId="9" fillId="3" borderId="0" xfId="0" applyFont="1" applyFill="1" applyAlignment="1">
      <alignment vertical="top"/>
    </xf>
    <xf numFmtId="0" fontId="9" fillId="3" borderId="0" xfId="0" applyFont="1" applyFill="1" applyAlignment="1">
      <alignment vertical="center"/>
    </xf>
    <xf numFmtId="164" fontId="10" fillId="4" borderId="9" xfId="0" applyNumberFormat="1" applyFont="1" applyFill="1" applyBorder="1" applyAlignment="1">
      <alignment horizontal="right" vertical="top" wrapText="1"/>
    </xf>
    <xf numFmtId="3" fontId="10" fillId="4" borderId="9" xfId="0" applyNumberFormat="1" applyFont="1" applyFill="1" applyBorder="1" applyAlignment="1">
      <alignment horizontal="right" vertical="top" wrapText="1"/>
    </xf>
    <xf numFmtId="49" fontId="10" fillId="4" borderId="9" xfId="0" applyNumberFormat="1" applyFont="1" applyFill="1" applyBorder="1" applyAlignment="1">
      <alignment vertical="top" wrapText="1"/>
    </xf>
    <xf numFmtId="164" fontId="11" fillId="3" borderId="9" xfId="0" applyNumberFormat="1" applyFont="1" applyFill="1" applyBorder="1" applyAlignment="1">
      <alignment horizontal="right" vertical="top" wrapText="1"/>
    </xf>
    <xf numFmtId="3" fontId="11" fillId="3" borderId="9" xfId="0" applyNumberFormat="1" applyFont="1" applyFill="1" applyBorder="1" applyAlignment="1">
      <alignment horizontal="right" vertical="top" wrapText="1"/>
    </xf>
    <xf numFmtId="49" fontId="12" fillId="3" borderId="9" xfId="0" applyNumberFormat="1" applyFont="1" applyFill="1" applyBorder="1" applyAlignment="1">
      <alignment vertical="top" wrapText="1"/>
    </xf>
    <xf numFmtId="0" fontId="13" fillId="3" borderId="0" xfId="0" applyFont="1" applyFill="1"/>
    <xf numFmtId="0" fontId="14" fillId="0" borderId="0" xfId="0" applyFont="1"/>
    <xf numFmtId="0" fontId="10" fillId="2" borderId="10" xfId="0" applyFont="1" applyFill="1" applyBorder="1" applyAlignment="1">
      <alignment horizontal="center" vertical="center" wrapText="1"/>
    </xf>
    <xf numFmtId="1" fontId="10" fillId="2" borderId="10" xfId="0" applyNumberFormat="1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3" fontId="14" fillId="0" borderId="0" xfId="0" applyNumberFormat="1" applyFont="1"/>
    <xf numFmtId="1" fontId="14" fillId="0" borderId="0" xfId="0" applyNumberFormat="1" applyFont="1"/>
    <xf numFmtId="0" fontId="17" fillId="3" borderId="0" xfId="0" applyFont="1" applyFill="1"/>
    <xf numFmtId="0" fontId="18" fillId="3" borderId="0" xfId="0" applyFont="1" applyFill="1"/>
    <xf numFmtId="0" fontId="19" fillId="0" borderId="0" xfId="0" applyFont="1" applyBorder="1"/>
    <xf numFmtId="0" fontId="19" fillId="0" borderId="0" xfId="0" applyFont="1" applyBorder="1" applyAlignment="1">
      <alignment vertical="top"/>
    </xf>
    <xf numFmtId="0" fontId="21" fillId="3" borderId="0" xfId="0" applyFont="1" applyFill="1"/>
    <xf numFmtId="0" fontId="14" fillId="3" borderId="0" xfId="0" applyFont="1" applyFill="1"/>
    <xf numFmtId="0" fontId="22" fillId="3" borderId="0" xfId="0" applyFont="1" applyFill="1" applyAlignment="1"/>
    <xf numFmtId="0" fontId="21" fillId="3" borderId="0" xfId="0" applyFont="1" applyFill="1" applyAlignment="1">
      <alignment vertical="center"/>
    </xf>
    <xf numFmtId="0" fontId="14" fillId="3" borderId="0" xfId="0" applyFont="1" applyFill="1" applyBorder="1"/>
    <xf numFmtId="3" fontId="14" fillId="3" borderId="0" xfId="0" applyNumberFormat="1" applyFont="1" applyFill="1" applyBorder="1"/>
    <xf numFmtId="1" fontId="14" fillId="3" borderId="0" xfId="0" applyNumberFormat="1" applyFont="1" applyFill="1" applyBorder="1"/>
    <xf numFmtId="0" fontId="21" fillId="3" borderId="0" xfId="0" applyFont="1" applyFill="1" applyBorder="1"/>
    <xf numFmtId="0" fontId="21" fillId="3" borderId="0" xfId="0" applyFont="1" applyFill="1" applyBorder="1" applyAlignment="1">
      <alignment vertical="center"/>
    </xf>
    <xf numFmtId="3" fontId="13" fillId="3" borderId="0" xfId="0" applyNumberFormat="1" applyFont="1" applyFill="1"/>
    <xf numFmtId="0" fontId="19" fillId="0" borderId="0" xfId="0" applyFont="1" applyAlignment="1">
      <alignment horizontal="justify" vertical="center"/>
    </xf>
    <xf numFmtId="0" fontId="19" fillId="0" borderId="0" xfId="0" applyFont="1" applyAlignment="1">
      <alignment vertical="top"/>
    </xf>
    <xf numFmtId="0" fontId="23" fillId="5" borderId="10" xfId="4" applyFont="1" applyFill="1" applyBorder="1" applyAlignment="1">
      <alignment horizontal="center" vertical="center" wrapText="1"/>
    </xf>
    <xf numFmtId="1" fontId="23" fillId="5" borderId="10" xfId="4" applyNumberFormat="1" applyFont="1" applyFill="1" applyBorder="1" applyAlignment="1">
      <alignment horizontal="center" vertical="center" wrapText="1"/>
    </xf>
    <xf numFmtId="49" fontId="20" fillId="6" borderId="9" xfId="3" applyNumberFormat="1" applyFont="1" applyFill="1" applyBorder="1" applyAlignment="1">
      <alignment vertical="center" wrapText="1"/>
    </xf>
    <xf numFmtId="166" fontId="20" fillId="6" borderId="9" xfId="3" applyNumberFormat="1" applyFont="1" applyFill="1" applyBorder="1" applyAlignment="1">
      <alignment horizontal="right" vertical="center" wrapText="1"/>
    </xf>
    <xf numFmtId="164" fontId="20" fillId="6" borderId="9" xfId="3" applyNumberFormat="1" applyFont="1" applyFill="1" applyBorder="1" applyAlignment="1">
      <alignment horizontal="right" vertical="center" wrapText="1"/>
    </xf>
    <xf numFmtId="49" fontId="23" fillId="7" borderId="9" xfId="3" applyNumberFormat="1" applyFont="1" applyFill="1" applyBorder="1" applyAlignment="1">
      <alignment vertical="center" wrapText="1"/>
    </xf>
    <xf numFmtId="3" fontId="23" fillId="7" borderId="9" xfId="3" applyNumberFormat="1" applyFont="1" applyFill="1" applyBorder="1" applyAlignment="1">
      <alignment horizontal="right" vertical="center" wrapText="1"/>
    </xf>
    <xf numFmtId="165" fontId="23" fillId="7" borderId="9" xfId="1" applyNumberFormat="1" applyFont="1" applyFill="1" applyBorder="1" applyAlignment="1">
      <alignment vertical="center" wrapText="1"/>
    </xf>
    <xf numFmtId="3" fontId="23" fillId="8" borderId="9" xfId="0" applyNumberFormat="1" applyFont="1" applyFill="1" applyBorder="1" applyAlignment="1">
      <alignment horizontal="right" vertical="center" wrapText="1"/>
    </xf>
    <xf numFmtId="164" fontId="23" fillId="8" borderId="9" xfId="0" applyNumberFormat="1" applyFont="1" applyFill="1" applyBorder="1" applyAlignment="1">
      <alignment horizontal="right" vertical="center" wrapText="1"/>
    </xf>
    <xf numFmtId="0" fontId="18" fillId="6" borderId="0" xfId="0" applyFont="1" applyFill="1" applyBorder="1"/>
    <xf numFmtId="0" fontId="24" fillId="6" borderId="0" xfId="0" applyFont="1" applyFill="1" applyBorder="1"/>
    <xf numFmtId="0" fontId="24" fillId="6" borderId="0" xfId="0" applyFont="1" applyFill="1" applyBorder="1" applyAlignment="1">
      <alignment vertical="center"/>
    </xf>
    <xf numFmtId="0" fontId="24" fillId="6" borderId="0" xfId="0" applyFont="1" applyFill="1" applyBorder="1" applyAlignment="1">
      <alignment vertical="top"/>
    </xf>
    <xf numFmtId="0" fontId="25" fillId="6" borderId="0" xfId="0" applyFont="1" applyFill="1" applyBorder="1"/>
    <xf numFmtId="0" fontId="5" fillId="0" borderId="0" xfId="2" applyFont="1" applyBorder="1" applyAlignment="1">
      <alignment horizontal="left"/>
    </xf>
    <xf numFmtId="0" fontId="5" fillId="0" borderId="4" xfId="2" applyFont="1" applyBorder="1" applyAlignment="1">
      <alignment horizontal="left"/>
    </xf>
    <xf numFmtId="0" fontId="5" fillId="0" borderId="5" xfId="2" applyFont="1" applyBorder="1" applyAlignment="1">
      <alignment horizontal="left"/>
    </xf>
    <xf numFmtId="0" fontId="6" fillId="2" borderId="8" xfId="0" applyFont="1" applyFill="1" applyBorder="1" applyAlignment="1">
      <alignment horizontal="center" wrapText="1"/>
    </xf>
    <xf numFmtId="0" fontId="6" fillId="2" borderId="7" xfId="0" applyFont="1" applyFill="1" applyBorder="1" applyAlignment="1">
      <alignment horizontal="center" wrapText="1"/>
    </xf>
    <xf numFmtId="0" fontId="6" fillId="2" borderId="6" xfId="0" applyFont="1" applyFill="1" applyBorder="1" applyAlignment="1">
      <alignment horizontal="center" wrapText="1"/>
    </xf>
    <xf numFmtId="0" fontId="3" fillId="0" borderId="5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16" fillId="0" borderId="0" xfId="0" applyFont="1" applyBorder="1" applyAlignment="1">
      <alignment horizontal="center" vertical="center" wrapText="1"/>
    </xf>
    <xf numFmtId="49" fontId="20" fillId="6" borderId="10" xfId="3" applyNumberFormat="1" applyFont="1" applyFill="1" applyBorder="1" applyAlignment="1">
      <alignment horizontal="center" vertical="center" wrapText="1"/>
    </xf>
    <xf numFmtId="49" fontId="20" fillId="6" borderId="15" xfId="3" applyNumberFormat="1" applyFont="1" applyFill="1" applyBorder="1" applyAlignment="1">
      <alignment horizontal="center" vertical="center" wrapText="1"/>
    </xf>
    <xf numFmtId="49" fontId="20" fillId="6" borderId="14" xfId="3" applyNumberFormat="1" applyFont="1" applyFill="1" applyBorder="1" applyAlignment="1">
      <alignment horizontal="center" vertical="center" wrapText="1"/>
    </xf>
    <xf numFmtId="49" fontId="23" fillId="8" borderId="13" xfId="0" applyNumberFormat="1" applyFont="1" applyFill="1" applyBorder="1" applyAlignment="1">
      <alignment horizontal="center" vertical="center" wrapText="1"/>
    </xf>
    <xf numFmtId="49" fontId="23" fillId="8" borderId="12" xfId="0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457146</xdr:colOff>
      <xdr:row>1</xdr:row>
      <xdr:rowOff>190829</xdr:rowOff>
    </xdr:from>
    <xdr:to>
      <xdr:col>3</xdr:col>
      <xdr:colOff>969243</xdr:colOff>
      <xdr:row>2</xdr:row>
      <xdr:rowOff>181305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81371" y="724229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286000" y="29807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114301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383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NORTH DAKOTA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630619</xdr:colOff>
      <xdr:row>7</xdr:row>
      <xdr:rowOff>157655</xdr:rowOff>
    </xdr:from>
    <xdr:to>
      <xdr:col>4</xdr:col>
      <xdr:colOff>1116723</xdr:colOff>
      <xdr:row>7</xdr:row>
      <xdr:rowOff>336950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69294" y="1900730"/>
          <a:ext cx="486104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28575</xdr:rowOff>
    </xdr:from>
    <xdr:to>
      <xdr:col>5</xdr:col>
      <xdr:colOff>92997</xdr:colOff>
      <xdr:row>8</xdr:row>
      <xdr:rowOff>219076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19700" y="17430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NORTH DAKOTA, POR NIVEL DE EDUCACIÓN Y ESTADO DE LA REPÚBLICA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398079</xdr:colOff>
      <xdr:row>6</xdr:row>
      <xdr:rowOff>182617</xdr:rowOff>
    </xdr:from>
    <xdr:to>
      <xdr:col>5</xdr:col>
      <xdr:colOff>910176</xdr:colOff>
      <xdr:row>7</xdr:row>
      <xdr:rowOff>39743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6160704" y="1592317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171450</xdr:rowOff>
    </xdr:from>
    <xdr:to>
      <xdr:col>5</xdr:col>
      <xdr:colOff>207297</xdr:colOff>
      <xdr:row>8</xdr:row>
      <xdr:rowOff>171451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6954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NORTH DAKOTA,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433551</xdr:colOff>
      <xdr:row>7</xdr:row>
      <xdr:rowOff>124810</xdr:rowOff>
    </xdr:from>
    <xdr:to>
      <xdr:col>4</xdr:col>
      <xdr:colOff>945648</xdr:colOff>
      <xdr:row>7</xdr:row>
      <xdr:rowOff>315311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1241" y="186558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NORTH DAKOTA,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532087</xdr:colOff>
      <xdr:row>7</xdr:row>
      <xdr:rowOff>131379</xdr:rowOff>
    </xdr:from>
    <xdr:to>
      <xdr:col>4</xdr:col>
      <xdr:colOff>1044184</xdr:colOff>
      <xdr:row>7</xdr:row>
      <xdr:rowOff>321880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9777" y="187215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133350</xdr:rowOff>
    </xdr:from>
    <xdr:to>
      <xdr:col>5</xdr:col>
      <xdr:colOff>131097</xdr:colOff>
      <xdr:row>8</xdr:row>
      <xdr:rowOff>133351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573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D21"/>
  <sheetViews>
    <sheetView showGridLines="0" view="pageBreakPreview" zoomScaleNormal="100" zoomScaleSheetLayoutView="100" workbookViewId="0">
      <selection activeCell="F6" sqref="F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70" t="s">
        <v>97</v>
      </c>
      <c r="B1" s="71"/>
      <c r="C1" s="71"/>
      <c r="D1" s="72"/>
    </row>
    <row r="2" spans="1:4" ht="18.75">
      <c r="A2" s="16"/>
      <c r="B2" s="15"/>
      <c r="C2" s="15"/>
      <c r="D2" s="14"/>
    </row>
    <row r="3" spans="1:4">
      <c r="A3" s="73" t="s">
        <v>11</v>
      </c>
      <c r="B3" s="74"/>
      <c r="C3" s="74"/>
      <c r="D3" s="75"/>
    </row>
    <row r="4" spans="1:4">
      <c r="A4" s="73"/>
      <c r="B4" s="74"/>
      <c r="C4" s="74"/>
      <c r="D4" s="75"/>
    </row>
    <row r="5" spans="1:4" ht="18.75">
      <c r="A5" s="13"/>
      <c r="B5" s="12"/>
      <c r="C5" s="12"/>
      <c r="D5" s="11"/>
    </row>
    <row r="6" spans="1:4" ht="18.75">
      <c r="A6" s="69" t="s">
        <v>10</v>
      </c>
      <c r="B6" s="67"/>
      <c r="C6" s="67"/>
      <c r="D6" s="68"/>
    </row>
    <row r="7" spans="1:4" ht="18.75">
      <c r="A7" s="10"/>
      <c r="B7" s="9"/>
      <c r="C7" s="9"/>
      <c r="D7" s="8"/>
    </row>
    <row r="8" spans="1:4" ht="18.75">
      <c r="A8" s="7" t="s">
        <v>9</v>
      </c>
      <c r="B8" s="6"/>
      <c r="C8" s="6"/>
      <c r="D8" s="5"/>
    </row>
    <row r="9" spans="1:4" ht="18.75">
      <c r="A9" s="7"/>
      <c r="B9" s="67" t="s">
        <v>8</v>
      </c>
      <c r="C9" s="67"/>
      <c r="D9" s="68"/>
    </row>
    <row r="10" spans="1:4" ht="18.75">
      <c r="A10" s="7" t="s">
        <v>7</v>
      </c>
      <c r="B10" s="6"/>
      <c r="C10" s="6"/>
      <c r="D10" s="5"/>
    </row>
    <row r="11" spans="1:4" ht="18.75">
      <c r="A11" s="7"/>
      <c r="B11" s="67" t="s">
        <v>6</v>
      </c>
      <c r="C11" s="67"/>
      <c r="D11" s="68"/>
    </row>
    <row r="12" spans="1:4" ht="18.75">
      <c r="A12" s="7"/>
      <c r="B12" s="67" t="s">
        <v>5</v>
      </c>
      <c r="C12" s="67"/>
      <c r="D12" s="68"/>
    </row>
    <row r="13" spans="1:4" ht="18.75">
      <c r="A13" s="7"/>
      <c r="B13" s="6"/>
      <c r="C13" s="6"/>
      <c r="D13" s="5"/>
    </row>
    <row r="14" spans="1:4" ht="18.75">
      <c r="A14" s="7" t="s">
        <v>4</v>
      </c>
      <c r="B14" s="6"/>
      <c r="C14" s="6"/>
      <c r="D14" s="5"/>
    </row>
    <row r="15" spans="1:4" ht="18.75">
      <c r="A15" s="7"/>
      <c r="B15" s="67" t="s">
        <v>3</v>
      </c>
      <c r="C15" s="67"/>
      <c r="D15" s="68"/>
    </row>
    <row r="16" spans="1:4" ht="18.75">
      <c r="A16" s="7"/>
      <c r="B16" s="67" t="s">
        <v>2</v>
      </c>
      <c r="C16" s="67"/>
      <c r="D16" s="68"/>
    </row>
    <row r="17" spans="1:4" ht="18.75">
      <c r="A17" s="7"/>
      <c r="B17" s="6"/>
      <c r="C17" s="6"/>
      <c r="D17" s="5"/>
    </row>
    <row r="18" spans="1:4" ht="18.75">
      <c r="A18" s="69" t="s">
        <v>1</v>
      </c>
      <c r="B18" s="67"/>
      <c r="C18" s="67"/>
      <c r="D18" s="68"/>
    </row>
    <row r="19" spans="1:4" ht="18.75">
      <c r="A19" s="7"/>
      <c r="B19" s="6"/>
      <c r="C19" s="6"/>
      <c r="D19" s="5"/>
    </row>
    <row r="20" spans="1:4" ht="18.75">
      <c r="A20" s="69" t="s">
        <v>0</v>
      </c>
      <c r="B20" s="67"/>
      <c r="C20" s="67"/>
      <c r="D20" s="68"/>
    </row>
    <row r="21" spans="1:4" ht="19.5" thickBot="1">
      <c r="A21" s="4"/>
      <c r="B21" s="3"/>
      <c r="C21" s="3"/>
      <c r="D21" s="2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North Dakota_Edomexgral'!A1" display="1. Por Estados de la República Mexicana"/>
    <hyperlink ref="B9" location="'New Jersey_EDOMEX'!A1" display="2.1 Por estado de la República Mexicana y municipio de origen"/>
    <hyperlink ref="B11:D11" location="'North Dakota_Educagral'!A1" display="3.1 Educación general"/>
    <hyperlink ref="B12:D12" location="'North Dakota_Eduedo '!A1" display="3.2 Por Estado de la República Mexicana"/>
    <hyperlink ref="B15:D15" location="'North Dakota_gengral'!A1" display="4.1 Género General"/>
    <hyperlink ref="B16:D16" location="'North Dakota_edomexgen'!A1" display="4.2 Por Estados de la República Mexicana"/>
    <hyperlink ref="A18:D18" location="'North Dakota_edadgen'!A1" display="5. Por estructura de Edad"/>
    <hyperlink ref="A20:D20" location="'North Dakota_ocupgral'!A1" display="6. Por Ocupación"/>
    <hyperlink ref="B9:D9" location="'North Dakota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41"/>
  <sheetViews>
    <sheetView showGridLines="0" tabSelected="1" topLeftCell="A13" zoomScaleNormal="100" zoomScaleSheetLayoutView="115" workbookViewId="0">
      <selection activeCell="G27" sqref="G2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6" t="s">
        <v>170</v>
      </c>
      <c r="C7" s="76"/>
      <c r="D7" s="76"/>
    </row>
    <row r="8" spans="1:5" s="29" customFormat="1" ht="15" customHeight="1">
      <c r="B8" s="76"/>
      <c r="C8" s="76"/>
      <c r="D8" s="76"/>
    </row>
    <row r="9" spans="1:5" s="29" customFormat="1" ht="33" customHeight="1">
      <c r="B9" s="76"/>
      <c r="C9" s="76"/>
      <c r="D9" s="76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37</v>
      </c>
      <c r="C11" s="31" t="s">
        <v>36</v>
      </c>
      <c r="D11" s="30" t="s">
        <v>35</v>
      </c>
    </row>
    <row r="12" spans="1:5">
      <c r="B12" s="27" t="s">
        <v>25</v>
      </c>
      <c r="C12" s="26">
        <v>21</v>
      </c>
      <c r="D12" s="25">
        <v>0.13291139240506328</v>
      </c>
    </row>
    <row r="13" spans="1:5">
      <c r="B13" s="27" t="s">
        <v>29</v>
      </c>
      <c r="C13" s="26">
        <v>19</v>
      </c>
      <c r="D13" s="25">
        <v>0.12025316455696203</v>
      </c>
    </row>
    <row r="14" spans="1:5">
      <c r="A14" s="28"/>
      <c r="B14" s="27" t="s">
        <v>31</v>
      </c>
      <c r="C14" s="26">
        <v>14</v>
      </c>
      <c r="D14" s="25">
        <v>8.8607594936708861E-2</v>
      </c>
      <c r="E14" s="28"/>
    </row>
    <row r="15" spans="1:5">
      <c r="A15" s="28"/>
      <c r="B15" s="27" t="s">
        <v>34</v>
      </c>
      <c r="C15" s="26">
        <v>13</v>
      </c>
      <c r="D15" s="25">
        <v>8.2278481012658222E-2</v>
      </c>
      <c r="E15" s="28"/>
    </row>
    <row r="16" spans="1:5">
      <c r="B16" s="27" t="s">
        <v>32</v>
      </c>
      <c r="C16" s="26">
        <v>11</v>
      </c>
      <c r="D16" s="25">
        <v>6.9620253164556958E-2</v>
      </c>
    </row>
    <row r="17" spans="2:4">
      <c r="B17" s="27" t="s">
        <v>26</v>
      </c>
      <c r="C17" s="26">
        <v>10</v>
      </c>
      <c r="D17" s="25">
        <v>6.3291139240506333E-2</v>
      </c>
    </row>
    <row r="18" spans="2:4">
      <c r="B18" s="27" t="s">
        <v>22</v>
      </c>
      <c r="C18" s="26">
        <v>10</v>
      </c>
      <c r="D18" s="25">
        <v>6.3291139240506333E-2</v>
      </c>
    </row>
    <row r="19" spans="2:4">
      <c r="B19" s="27" t="s">
        <v>33</v>
      </c>
      <c r="C19" s="26">
        <v>9</v>
      </c>
      <c r="D19" s="25">
        <v>5.6962025316455694E-2</v>
      </c>
    </row>
    <row r="20" spans="2:4">
      <c r="B20" s="27" t="s">
        <v>27</v>
      </c>
      <c r="C20" s="26">
        <v>7</v>
      </c>
      <c r="D20" s="25">
        <v>4.4303797468354431E-2</v>
      </c>
    </row>
    <row r="21" spans="2:4">
      <c r="B21" s="27" t="s">
        <v>17</v>
      </c>
      <c r="C21" s="26">
        <v>7</v>
      </c>
      <c r="D21" s="25">
        <v>4.4303797468354431E-2</v>
      </c>
    </row>
    <row r="22" spans="2:4">
      <c r="B22" s="27" t="s">
        <v>18</v>
      </c>
      <c r="C22" s="26">
        <v>6</v>
      </c>
      <c r="D22" s="25">
        <v>3.7974683544303799E-2</v>
      </c>
    </row>
    <row r="23" spans="2:4">
      <c r="B23" s="27" t="s">
        <v>16</v>
      </c>
      <c r="C23" s="26">
        <v>6</v>
      </c>
      <c r="D23" s="25">
        <v>3.7974683544303799E-2</v>
      </c>
    </row>
    <row r="24" spans="2:4">
      <c r="B24" s="27" t="s">
        <v>21</v>
      </c>
      <c r="C24" s="26">
        <v>5</v>
      </c>
      <c r="D24" s="25">
        <v>3.1645569620253167E-2</v>
      </c>
    </row>
    <row r="25" spans="2:4">
      <c r="B25" s="27" t="s">
        <v>23</v>
      </c>
      <c r="C25" s="26">
        <v>4</v>
      </c>
      <c r="D25" s="25">
        <v>2.5316455696202531E-2</v>
      </c>
    </row>
    <row r="26" spans="2:4">
      <c r="B26" s="27" t="s">
        <v>19</v>
      </c>
      <c r="C26" s="26">
        <v>4</v>
      </c>
      <c r="D26" s="25">
        <v>2.5316455696202531E-2</v>
      </c>
    </row>
    <row r="27" spans="2:4">
      <c r="B27" s="27" t="s">
        <v>24</v>
      </c>
      <c r="C27" s="26">
        <v>2</v>
      </c>
      <c r="D27" s="25">
        <v>1.2658227848101266E-2</v>
      </c>
    </row>
    <row r="28" spans="2:4">
      <c r="B28" s="27" t="s">
        <v>30</v>
      </c>
      <c r="C28" s="26">
        <v>2</v>
      </c>
      <c r="D28" s="25">
        <v>1.2658227848101266E-2</v>
      </c>
    </row>
    <row r="29" spans="2:4">
      <c r="B29" s="27" t="s">
        <v>74</v>
      </c>
      <c r="C29" s="26">
        <v>2</v>
      </c>
      <c r="D29" s="25">
        <v>1.2658227848101266E-2</v>
      </c>
    </row>
    <row r="30" spans="2:4">
      <c r="B30" s="27" t="s">
        <v>20</v>
      </c>
      <c r="C30" s="26">
        <v>2</v>
      </c>
      <c r="D30" s="25">
        <v>1.2658227848101266E-2</v>
      </c>
    </row>
    <row r="31" spans="2:4">
      <c r="B31" s="27" t="s">
        <v>28</v>
      </c>
      <c r="C31" s="26">
        <v>1</v>
      </c>
      <c r="D31" s="25">
        <v>6.3291139240506328E-3</v>
      </c>
    </row>
    <row r="32" spans="2:4">
      <c r="B32" s="27" t="s">
        <v>106</v>
      </c>
      <c r="C32" s="26">
        <v>1</v>
      </c>
      <c r="D32" s="25">
        <v>6.3291139240506328E-3</v>
      </c>
    </row>
    <row r="33" spans="2:4">
      <c r="B33" s="27" t="s">
        <v>151</v>
      </c>
      <c r="C33" s="26">
        <v>1</v>
      </c>
      <c r="D33" s="25">
        <v>6.3291139240506328E-3</v>
      </c>
    </row>
    <row r="34" spans="2:4">
      <c r="B34" s="27" t="s">
        <v>155</v>
      </c>
      <c r="C34" s="26">
        <v>1</v>
      </c>
      <c r="D34" s="25">
        <v>6.3291139240506328E-3</v>
      </c>
    </row>
    <row r="35" spans="2:4">
      <c r="B35" s="24" t="s">
        <v>15</v>
      </c>
      <c r="C35" s="23">
        <v>158</v>
      </c>
      <c r="D35" s="22">
        <v>1</v>
      </c>
    </row>
    <row r="37" spans="2:4">
      <c r="B37" s="19" t="s">
        <v>168</v>
      </c>
    </row>
    <row r="38" spans="2:4">
      <c r="B38" s="21" t="s">
        <v>14</v>
      </c>
    </row>
    <row r="39" spans="2:4">
      <c r="B39" s="20" t="s">
        <v>13</v>
      </c>
    </row>
    <row r="40" spans="2:4">
      <c r="B40" s="19" t="s">
        <v>12</v>
      </c>
    </row>
    <row r="41" spans="2:4">
      <c r="B41" s="19" t="s">
        <v>169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63"/>
  <sheetViews>
    <sheetView showGridLines="0" zoomScaleNormal="100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44" customFormat="1" ht="12" customHeight="1">
      <c r="B1" s="48"/>
      <c r="C1" s="47"/>
      <c r="D1" s="47"/>
      <c r="E1" s="47"/>
    </row>
    <row r="2" spans="1:5" s="44" customFormat="1" ht="15" customHeight="1">
      <c r="C2" s="46"/>
    </row>
    <row r="3" spans="1:5" s="44" customFormat="1" ht="15" customHeight="1">
      <c r="C3" s="46"/>
    </row>
    <row r="4" spans="1:5" s="44" customFormat="1" ht="30" customHeight="1">
      <c r="C4" s="46"/>
      <c r="D4" s="45"/>
    </row>
    <row r="5" spans="1:5" s="44" customFormat="1" ht="15" customHeight="1">
      <c r="C5" s="46"/>
      <c r="D5" s="45"/>
    </row>
    <row r="6" spans="1:5" s="41" customFormat="1" ht="24" customHeight="1">
      <c r="B6" s="43"/>
      <c r="C6" s="40"/>
      <c r="D6" s="40"/>
      <c r="E6" s="40"/>
    </row>
    <row r="7" spans="1:5" s="41" customFormat="1" ht="26.25" customHeight="1">
      <c r="A7" s="42"/>
      <c r="B7" s="82"/>
      <c r="C7" s="82"/>
      <c r="D7" s="82"/>
      <c r="E7" s="82"/>
    </row>
    <row r="8" spans="1:5" s="41" customFormat="1" ht="33" customHeight="1">
      <c r="A8" s="42"/>
      <c r="B8" s="82"/>
      <c r="C8" s="82"/>
      <c r="D8" s="82"/>
      <c r="E8" s="82"/>
    </row>
    <row r="9" spans="1:5" s="29" customFormat="1" ht="40.5" customHeight="1">
      <c r="B9" s="52" t="s">
        <v>37</v>
      </c>
      <c r="C9" s="52" t="s">
        <v>44</v>
      </c>
      <c r="D9" s="53" t="s">
        <v>36</v>
      </c>
      <c r="E9" s="52" t="s">
        <v>35</v>
      </c>
    </row>
    <row r="10" spans="1:5" ht="15" customHeight="1">
      <c r="B10" s="77" t="s">
        <v>23</v>
      </c>
      <c r="C10" s="54" t="s">
        <v>23</v>
      </c>
      <c r="D10" s="55">
        <v>3</v>
      </c>
      <c r="E10" s="56">
        <v>1.8987341772151899E-2</v>
      </c>
    </row>
    <row r="11" spans="1:5" ht="15" customHeight="1">
      <c r="B11" s="78"/>
      <c r="C11" s="54" t="s">
        <v>78</v>
      </c>
      <c r="D11" s="55">
        <v>1</v>
      </c>
      <c r="E11" s="56">
        <v>6.3291139240506328E-3</v>
      </c>
    </row>
    <row r="12" spans="1:5" ht="15" customHeight="1">
      <c r="B12" s="79"/>
      <c r="C12" s="57" t="s">
        <v>15</v>
      </c>
      <c r="D12" s="58">
        <v>4</v>
      </c>
      <c r="E12" s="59">
        <v>2.5316455696202531E-2</v>
      </c>
    </row>
    <row r="13" spans="1:5" ht="15" customHeight="1">
      <c r="B13" s="77" t="s">
        <v>28</v>
      </c>
      <c r="C13" s="54" t="s">
        <v>79</v>
      </c>
      <c r="D13" s="55">
        <v>1</v>
      </c>
      <c r="E13" s="56">
        <v>6.3291139240506328E-3</v>
      </c>
    </row>
    <row r="14" spans="1:5" ht="15" customHeight="1">
      <c r="B14" s="79"/>
      <c r="C14" s="57" t="s">
        <v>15</v>
      </c>
      <c r="D14" s="58">
        <v>1</v>
      </c>
      <c r="E14" s="59">
        <v>6.3291139240506328E-3</v>
      </c>
    </row>
    <row r="15" spans="1:5" ht="15" customHeight="1">
      <c r="B15" s="77" t="s">
        <v>19</v>
      </c>
      <c r="C15" s="54" t="s">
        <v>98</v>
      </c>
      <c r="D15" s="55">
        <v>1</v>
      </c>
      <c r="E15" s="56">
        <v>6.3291139240506328E-3</v>
      </c>
    </row>
    <row r="16" spans="1:5" ht="15" customHeight="1">
      <c r="B16" s="78"/>
      <c r="C16" s="54" t="s">
        <v>99</v>
      </c>
      <c r="D16" s="55">
        <v>1</v>
      </c>
      <c r="E16" s="56">
        <v>6.3291139240506328E-3</v>
      </c>
    </row>
    <row r="17" spans="2:5" ht="15" customHeight="1">
      <c r="B17" s="78"/>
      <c r="C17" s="54" t="s">
        <v>100</v>
      </c>
      <c r="D17" s="55">
        <v>1</v>
      </c>
      <c r="E17" s="56">
        <v>6.3291139240506328E-3</v>
      </c>
    </row>
    <row r="18" spans="2:5" ht="15" customHeight="1">
      <c r="B18" s="78"/>
      <c r="C18" s="54" t="s">
        <v>101</v>
      </c>
      <c r="D18" s="55">
        <v>1</v>
      </c>
      <c r="E18" s="56">
        <v>6.3291139240506328E-3</v>
      </c>
    </row>
    <row r="19" spans="2:5" ht="15" customHeight="1">
      <c r="B19" s="79"/>
      <c r="C19" s="57" t="s">
        <v>15</v>
      </c>
      <c r="D19" s="58">
        <v>4</v>
      </c>
      <c r="E19" s="59">
        <v>2.5316455696202531E-2</v>
      </c>
    </row>
    <row r="20" spans="2:5" ht="15" customHeight="1">
      <c r="B20" s="77" t="s">
        <v>27</v>
      </c>
      <c r="C20" s="54" t="s">
        <v>27</v>
      </c>
      <c r="D20" s="55">
        <v>1</v>
      </c>
      <c r="E20" s="56">
        <v>6.3291139240506328E-3</v>
      </c>
    </row>
    <row r="21" spans="2:5" ht="15" customHeight="1">
      <c r="B21" s="78"/>
      <c r="C21" s="54" t="s">
        <v>42</v>
      </c>
      <c r="D21" s="55">
        <v>1</v>
      </c>
      <c r="E21" s="56">
        <v>6.3291139240506328E-3</v>
      </c>
    </row>
    <row r="22" spans="2:5" ht="15" customHeight="1">
      <c r="B22" s="78"/>
      <c r="C22" s="54" t="s">
        <v>43</v>
      </c>
      <c r="D22" s="55">
        <v>1</v>
      </c>
      <c r="E22" s="56">
        <v>6.3291139240506328E-3</v>
      </c>
    </row>
    <row r="23" spans="2:5" ht="15" customHeight="1">
      <c r="B23" s="78"/>
      <c r="C23" s="54" t="s">
        <v>102</v>
      </c>
      <c r="D23" s="55">
        <v>1</v>
      </c>
      <c r="E23" s="56">
        <v>6.3291139240506328E-3</v>
      </c>
    </row>
    <row r="24" spans="2:5" ht="15" customHeight="1">
      <c r="B24" s="78"/>
      <c r="C24" s="54" t="s">
        <v>80</v>
      </c>
      <c r="D24" s="55">
        <v>2</v>
      </c>
      <c r="E24" s="56">
        <v>1.2658227848101266E-2</v>
      </c>
    </row>
    <row r="25" spans="2:5" ht="15" customHeight="1">
      <c r="B25" s="78"/>
      <c r="C25" s="54" t="s">
        <v>103</v>
      </c>
      <c r="D25" s="55">
        <v>1</v>
      </c>
      <c r="E25" s="56">
        <v>6.3291139240506328E-3</v>
      </c>
    </row>
    <row r="26" spans="2:5" ht="15" customHeight="1">
      <c r="B26" s="79"/>
      <c r="C26" s="57" t="s">
        <v>15</v>
      </c>
      <c r="D26" s="58">
        <v>7</v>
      </c>
      <c r="E26" s="59">
        <v>4.4303797468354431E-2</v>
      </c>
    </row>
    <row r="27" spans="2:5" ht="15" customHeight="1">
      <c r="B27" s="77" t="s">
        <v>24</v>
      </c>
      <c r="C27" s="54" t="s">
        <v>104</v>
      </c>
      <c r="D27" s="55">
        <v>1</v>
      </c>
      <c r="E27" s="56">
        <v>6.3291139240506328E-3</v>
      </c>
    </row>
    <row r="28" spans="2:5" ht="15" customHeight="1">
      <c r="B28" s="78"/>
      <c r="C28" s="54" t="s">
        <v>105</v>
      </c>
      <c r="D28" s="55">
        <v>1</v>
      </c>
      <c r="E28" s="56">
        <v>6.3291139240506328E-3</v>
      </c>
    </row>
    <row r="29" spans="2:5" ht="15" customHeight="1">
      <c r="B29" s="79"/>
      <c r="C29" s="57" t="s">
        <v>15</v>
      </c>
      <c r="D29" s="58">
        <v>2</v>
      </c>
      <c r="E29" s="59">
        <v>1.2658227848101266E-2</v>
      </c>
    </row>
    <row r="30" spans="2:5" ht="15" customHeight="1">
      <c r="B30" s="77" t="s">
        <v>106</v>
      </c>
      <c r="C30" s="54" t="s">
        <v>107</v>
      </c>
      <c r="D30" s="55">
        <v>1</v>
      </c>
      <c r="E30" s="56">
        <v>6.3291139240506328E-3</v>
      </c>
    </row>
    <row r="31" spans="2:5" ht="15" customHeight="1">
      <c r="B31" s="79"/>
      <c r="C31" s="57" t="s">
        <v>15</v>
      </c>
      <c r="D31" s="58">
        <v>1</v>
      </c>
      <c r="E31" s="59">
        <v>6.3291139240506328E-3</v>
      </c>
    </row>
    <row r="32" spans="2:5" ht="15" customHeight="1">
      <c r="B32" s="77" t="s">
        <v>33</v>
      </c>
      <c r="C32" s="54" t="s">
        <v>108</v>
      </c>
      <c r="D32" s="55">
        <v>1</v>
      </c>
      <c r="E32" s="56">
        <v>6.3291139240506328E-3</v>
      </c>
    </row>
    <row r="33" spans="2:5" ht="15" customHeight="1">
      <c r="B33" s="78"/>
      <c r="C33" s="54" t="s">
        <v>109</v>
      </c>
      <c r="D33" s="55">
        <v>1</v>
      </c>
      <c r="E33" s="56">
        <v>6.3291139240506328E-3</v>
      </c>
    </row>
    <row r="34" spans="2:5" ht="15" customHeight="1">
      <c r="B34" s="78"/>
      <c r="C34" s="54" t="s">
        <v>110</v>
      </c>
      <c r="D34" s="55">
        <v>1</v>
      </c>
      <c r="E34" s="56">
        <v>6.3291139240506328E-3</v>
      </c>
    </row>
    <row r="35" spans="2:5" ht="15" customHeight="1">
      <c r="B35" s="78"/>
      <c r="C35" s="54" t="s">
        <v>111</v>
      </c>
      <c r="D35" s="55">
        <v>1</v>
      </c>
      <c r="E35" s="56">
        <v>6.3291139240506328E-3</v>
      </c>
    </row>
    <row r="36" spans="2:5" ht="15" customHeight="1">
      <c r="B36" s="78"/>
      <c r="C36" s="54" t="s">
        <v>81</v>
      </c>
      <c r="D36" s="55">
        <v>3</v>
      </c>
      <c r="E36" s="56">
        <v>1.8987341772151899E-2</v>
      </c>
    </row>
    <row r="37" spans="2:5" ht="15" customHeight="1">
      <c r="B37" s="78"/>
      <c r="C37" s="54" t="s">
        <v>112</v>
      </c>
      <c r="D37" s="55">
        <v>1</v>
      </c>
      <c r="E37" s="56">
        <v>6.3291139240506328E-3</v>
      </c>
    </row>
    <row r="38" spans="2:5" ht="15" customHeight="1">
      <c r="B38" s="78"/>
      <c r="C38" s="54" t="s">
        <v>113</v>
      </c>
      <c r="D38" s="55">
        <v>1</v>
      </c>
      <c r="E38" s="56">
        <v>6.3291139240506328E-3</v>
      </c>
    </row>
    <row r="39" spans="2:5" ht="15" customHeight="1">
      <c r="B39" s="79"/>
      <c r="C39" s="57" t="s">
        <v>15</v>
      </c>
      <c r="D39" s="58">
        <v>9</v>
      </c>
      <c r="E39" s="59">
        <v>5.6962025316455694E-2</v>
      </c>
    </row>
    <row r="40" spans="2:5" ht="15" customHeight="1">
      <c r="B40" s="77" t="s">
        <v>31</v>
      </c>
      <c r="C40" s="54" t="s">
        <v>31</v>
      </c>
      <c r="D40" s="55">
        <v>2</v>
      </c>
      <c r="E40" s="56">
        <v>1.2658227848101266E-2</v>
      </c>
    </row>
    <row r="41" spans="2:5" ht="15" customHeight="1">
      <c r="B41" s="78"/>
      <c r="C41" s="54" t="s">
        <v>82</v>
      </c>
      <c r="D41" s="55">
        <v>9</v>
      </c>
      <c r="E41" s="56">
        <v>5.6962025316455694E-2</v>
      </c>
    </row>
    <row r="42" spans="2:5" ht="15" customHeight="1">
      <c r="B42" s="78"/>
      <c r="C42" s="54" t="s">
        <v>114</v>
      </c>
      <c r="D42" s="55">
        <v>1</v>
      </c>
      <c r="E42" s="56">
        <v>6.3291139240506328E-3</v>
      </c>
    </row>
    <row r="43" spans="2:5" ht="15" customHeight="1">
      <c r="B43" s="78"/>
      <c r="C43" s="54" t="s">
        <v>76</v>
      </c>
      <c r="D43" s="55">
        <v>2</v>
      </c>
      <c r="E43" s="56">
        <v>1.2658227848101266E-2</v>
      </c>
    </row>
    <row r="44" spans="2:5" ht="15" customHeight="1">
      <c r="B44" s="79"/>
      <c r="C44" s="57" t="s">
        <v>15</v>
      </c>
      <c r="D44" s="58">
        <v>14</v>
      </c>
      <c r="E44" s="59">
        <v>8.8607594936708861E-2</v>
      </c>
    </row>
    <row r="45" spans="2:5" ht="15" customHeight="1">
      <c r="B45" s="77" t="s">
        <v>26</v>
      </c>
      <c r="C45" s="54" t="s">
        <v>115</v>
      </c>
      <c r="D45" s="55">
        <v>1</v>
      </c>
      <c r="E45" s="56">
        <v>6.3291139240506328E-3</v>
      </c>
    </row>
    <row r="46" spans="2:5" ht="15" customHeight="1">
      <c r="B46" s="78"/>
      <c r="C46" s="54" t="s">
        <v>116</v>
      </c>
      <c r="D46" s="55">
        <v>2</v>
      </c>
      <c r="E46" s="56">
        <v>1.2658227848101266E-2</v>
      </c>
    </row>
    <row r="47" spans="2:5" ht="15" customHeight="1">
      <c r="B47" s="78"/>
      <c r="C47" s="54" t="s">
        <v>117</v>
      </c>
      <c r="D47" s="55">
        <v>1</v>
      </c>
      <c r="E47" s="56">
        <v>6.3291139240506328E-3</v>
      </c>
    </row>
    <row r="48" spans="2:5" ht="15" customHeight="1">
      <c r="B48" s="78"/>
      <c r="C48" s="54" t="s">
        <v>118</v>
      </c>
      <c r="D48" s="55">
        <v>3</v>
      </c>
      <c r="E48" s="56">
        <v>1.8987341772151899E-2</v>
      </c>
    </row>
    <row r="49" spans="2:5" ht="15" customHeight="1">
      <c r="B49" s="78"/>
      <c r="C49" s="54" t="s">
        <v>119</v>
      </c>
      <c r="D49" s="55">
        <v>1</v>
      </c>
      <c r="E49" s="56">
        <v>6.3291139240506328E-3</v>
      </c>
    </row>
    <row r="50" spans="2:5" ht="15" customHeight="1">
      <c r="B50" s="78"/>
      <c r="C50" s="54" t="s">
        <v>120</v>
      </c>
      <c r="D50" s="55">
        <v>1</v>
      </c>
      <c r="E50" s="56">
        <v>6.3291139240506328E-3</v>
      </c>
    </row>
    <row r="51" spans="2:5" ht="15" customHeight="1">
      <c r="B51" s="78"/>
      <c r="C51" s="54" t="s">
        <v>121</v>
      </c>
      <c r="D51" s="55">
        <v>1</v>
      </c>
      <c r="E51" s="56">
        <v>6.3291139240506328E-3</v>
      </c>
    </row>
    <row r="52" spans="2:5" ht="15" customHeight="1">
      <c r="B52" s="79"/>
      <c r="C52" s="57" t="s">
        <v>15</v>
      </c>
      <c r="D52" s="58">
        <v>10</v>
      </c>
      <c r="E52" s="59">
        <v>6.3291139240506333E-2</v>
      </c>
    </row>
    <row r="53" spans="2:5" ht="15" customHeight="1">
      <c r="B53" s="77" t="s">
        <v>30</v>
      </c>
      <c r="C53" s="54" t="s">
        <v>122</v>
      </c>
      <c r="D53" s="55">
        <v>2</v>
      </c>
      <c r="E53" s="56">
        <v>1.2658227848101266E-2</v>
      </c>
    </row>
    <row r="54" spans="2:5" ht="15" customHeight="1">
      <c r="B54" s="79"/>
      <c r="C54" s="57" t="s">
        <v>15</v>
      </c>
      <c r="D54" s="58">
        <v>2</v>
      </c>
      <c r="E54" s="59">
        <v>1.2658227848101266E-2</v>
      </c>
    </row>
    <row r="55" spans="2:5" ht="15" customHeight="1">
      <c r="B55" s="77" t="s">
        <v>74</v>
      </c>
      <c r="C55" s="54" t="s">
        <v>123</v>
      </c>
      <c r="D55" s="55">
        <v>1</v>
      </c>
      <c r="E55" s="56">
        <v>6.3291139240506328E-3</v>
      </c>
    </row>
    <row r="56" spans="2:5" ht="15" customHeight="1">
      <c r="B56" s="78"/>
      <c r="C56" s="54" t="s">
        <v>124</v>
      </c>
      <c r="D56" s="55">
        <v>1</v>
      </c>
      <c r="E56" s="56">
        <v>6.3291139240506328E-3</v>
      </c>
    </row>
    <row r="57" spans="2:5" ht="15" customHeight="1">
      <c r="B57" s="79"/>
      <c r="C57" s="57" t="s">
        <v>15</v>
      </c>
      <c r="D57" s="58">
        <v>2</v>
      </c>
      <c r="E57" s="59">
        <v>1.2658227848101266E-2</v>
      </c>
    </row>
    <row r="58" spans="2:5" ht="15" customHeight="1">
      <c r="B58" s="77" t="s">
        <v>34</v>
      </c>
      <c r="C58" s="54" t="s">
        <v>125</v>
      </c>
      <c r="D58" s="55">
        <v>1</v>
      </c>
      <c r="E58" s="56">
        <v>6.3291139240506328E-3</v>
      </c>
    </row>
    <row r="59" spans="2:5" ht="15" customHeight="1">
      <c r="B59" s="78"/>
      <c r="C59" s="54" t="s">
        <v>126</v>
      </c>
      <c r="D59" s="55">
        <v>1</v>
      </c>
      <c r="E59" s="56">
        <v>6.3291139240506328E-3</v>
      </c>
    </row>
    <row r="60" spans="2:5" ht="15" customHeight="1">
      <c r="B60" s="78"/>
      <c r="C60" s="54" t="s">
        <v>127</v>
      </c>
      <c r="D60" s="55">
        <v>1</v>
      </c>
      <c r="E60" s="56">
        <v>6.3291139240506328E-3</v>
      </c>
    </row>
    <row r="61" spans="2:5" ht="15" customHeight="1">
      <c r="B61" s="78"/>
      <c r="C61" s="54" t="s">
        <v>128</v>
      </c>
      <c r="D61" s="55">
        <v>1</v>
      </c>
      <c r="E61" s="56">
        <v>6.3291139240506328E-3</v>
      </c>
    </row>
    <row r="62" spans="2:5" ht="15" customHeight="1">
      <c r="B62" s="78"/>
      <c r="C62" s="54" t="s">
        <v>129</v>
      </c>
      <c r="D62" s="55">
        <v>4</v>
      </c>
      <c r="E62" s="56">
        <v>2.5316455696202531E-2</v>
      </c>
    </row>
    <row r="63" spans="2:5" ht="15" customHeight="1">
      <c r="B63" s="78"/>
      <c r="C63" s="54" t="s">
        <v>130</v>
      </c>
      <c r="D63" s="55">
        <v>1</v>
      </c>
      <c r="E63" s="56">
        <v>6.3291139240506328E-3</v>
      </c>
    </row>
    <row r="64" spans="2:5" ht="15" customHeight="1">
      <c r="B64" s="78"/>
      <c r="C64" s="54" t="s">
        <v>84</v>
      </c>
      <c r="D64" s="55">
        <v>2</v>
      </c>
      <c r="E64" s="56">
        <v>1.2658227848101266E-2</v>
      </c>
    </row>
    <row r="65" spans="2:5" ht="15" customHeight="1">
      <c r="B65" s="78"/>
      <c r="C65" s="54" t="s">
        <v>131</v>
      </c>
      <c r="D65" s="55">
        <v>1</v>
      </c>
      <c r="E65" s="56">
        <v>6.3291139240506328E-3</v>
      </c>
    </row>
    <row r="66" spans="2:5" ht="15" customHeight="1">
      <c r="B66" s="78"/>
      <c r="C66" s="54" t="s">
        <v>132</v>
      </c>
      <c r="D66" s="55">
        <v>1</v>
      </c>
      <c r="E66" s="56">
        <v>6.3291139240506328E-3</v>
      </c>
    </row>
    <row r="67" spans="2:5" ht="15" customHeight="1">
      <c r="B67" s="79"/>
      <c r="C67" s="57" t="s">
        <v>15</v>
      </c>
      <c r="D67" s="58">
        <v>13</v>
      </c>
      <c r="E67" s="59">
        <v>8.2278481012658222E-2</v>
      </c>
    </row>
    <row r="68" spans="2:5" ht="15" customHeight="1">
      <c r="B68" s="77" t="s">
        <v>29</v>
      </c>
      <c r="C68" s="54" t="s">
        <v>41</v>
      </c>
      <c r="D68" s="55">
        <v>1</v>
      </c>
      <c r="E68" s="56">
        <v>6.3291139240506328E-3</v>
      </c>
    </row>
    <row r="69" spans="2:5" ht="15" customHeight="1">
      <c r="B69" s="78"/>
      <c r="C69" s="54" t="s">
        <v>133</v>
      </c>
      <c r="D69" s="55">
        <v>1</v>
      </c>
      <c r="E69" s="56">
        <v>6.3291139240506328E-3</v>
      </c>
    </row>
    <row r="70" spans="2:5" ht="15" customHeight="1">
      <c r="B70" s="78"/>
      <c r="C70" s="54" t="s">
        <v>134</v>
      </c>
      <c r="D70" s="55">
        <v>1</v>
      </c>
      <c r="E70" s="56">
        <v>6.3291139240506328E-3</v>
      </c>
    </row>
    <row r="71" spans="2:5" ht="15" customHeight="1">
      <c r="B71" s="78"/>
      <c r="C71" s="54" t="s">
        <v>85</v>
      </c>
      <c r="D71" s="55">
        <v>2</v>
      </c>
      <c r="E71" s="56">
        <v>1.2658227848101266E-2</v>
      </c>
    </row>
    <row r="72" spans="2:5" ht="15" customHeight="1">
      <c r="B72" s="78"/>
      <c r="C72" s="54" t="s">
        <v>86</v>
      </c>
      <c r="D72" s="55">
        <v>1</v>
      </c>
      <c r="E72" s="56">
        <v>6.3291139240506328E-3</v>
      </c>
    </row>
    <row r="73" spans="2:5" ht="15" customHeight="1">
      <c r="B73" s="78"/>
      <c r="C73" s="54" t="s">
        <v>135</v>
      </c>
      <c r="D73" s="55">
        <v>1</v>
      </c>
      <c r="E73" s="56">
        <v>6.3291139240506328E-3</v>
      </c>
    </row>
    <row r="74" spans="2:5" ht="15" customHeight="1">
      <c r="B74" s="78"/>
      <c r="C74" s="54" t="s">
        <v>87</v>
      </c>
      <c r="D74" s="55">
        <v>2</v>
      </c>
      <c r="E74" s="56">
        <v>1.2658227848101266E-2</v>
      </c>
    </row>
    <row r="75" spans="2:5" ht="15" customHeight="1">
      <c r="B75" s="78"/>
      <c r="C75" s="54" t="s">
        <v>136</v>
      </c>
      <c r="D75" s="55">
        <v>4</v>
      </c>
      <c r="E75" s="56">
        <v>2.5316455696202531E-2</v>
      </c>
    </row>
    <row r="76" spans="2:5" ht="15" customHeight="1">
      <c r="B76" s="78"/>
      <c r="C76" s="54" t="s">
        <v>75</v>
      </c>
      <c r="D76" s="55">
        <v>1</v>
      </c>
      <c r="E76" s="56">
        <v>6.3291139240506328E-3</v>
      </c>
    </row>
    <row r="77" spans="2:5" ht="15" customHeight="1">
      <c r="B77" s="78"/>
      <c r="C77" s="54" t="s">
        <v>137</v>
      </c>
      <c r="D77" s="55">
        <v>1</v>
      </c>
      <c r="E77" s="56">
        <v>6.3291139240506328E-3</v>
      </c>
    </row>
    <row r="78" spans="2:5" ht="15" customHeight="1">
      <c r="B78" s="78"/>
      <c r="C78" s="54" t="s">
        <v>138</v>
      </c>
      <c r="D78" s="55">
        <v>2</v>
      </c>
      <c r="E78" s="56">
        <v>1.2658227848101266E-2</v>
      </c>
    </row>
    <row r="79" spans="2:5" ht="15" customHeight="1">
      <c r="B79" s="78"/>
      <c r="C79" s="54" t="s">
        <v>139</v>
      </c>
      <c r="D79" s="55">
        <v>1</v>
      </c>
      <c r="E79" s="56">
        <v>6.3291139240506328E-3</v>
      </c>
    </row>
    <row r="80" spans="2:5" ht="15" customHeight="1">
      <c r="B80" s="78"/>
      <c r="C80" s="54" t="s">
        <v>88</v>
      </c>
      <c r="D80" s="55">
        <v>1</v>
      </c>
      <c r="E80" s="56">
        <v>6.3291139240506328E-3</v>
      </c>
    </row>
    <row r="81" spans="2:6" ht="15" customHeight="1">
      <c r="B81" s="79"/>
      <c r="C81" s="57" t="s">
        <v>15</v>
      </c>
      <c r="D81" s="58">
        <v>19</v>
      </c>
      <c r="E81" s="59">
        <v>0.12025316455696203</v>
      </c>
    </row>
    <row r="82" spans="2:6" ht="15" customHeight="1">
      <c r="B82" s="77" t="s">
        <v>32</v>
      </c>
      <c r="C82" s="54" t="s">
        <v>40</v>
      </c>
      <c r="D82" s="55">
        <v>9</v>
      </c>
      <c r="E82" s="56">
        <v>5.6962025316455694E-2</v>
      </c>
    </row>
    <row r="83" spans="2:6" ht="15" customHeight="1">
      <c r="B83" s="78"/>
      <c r="C83" s="54" t="s">
        <v>140</v>
      </c>
      <c r="D83" s="55">
        <v>1</v>
      </c>
      <c r="E83" s="56">
        <v>6.3291139240506328E-3</v>
      </c>
    </row>
    <row r="84" spans="2:6" ht="15" customHeight="1">
      <c r="B84" s="78"/>
      <c r="C84" s="54" t="s">
        <v>89</v>
      </c>
      <c r="D84" s="55">
        <v>1</v>
      </c>
      <c r="E84" s="56">
        <v>6.3291139240506328E-3</v>
      </c>
    </row>
    <row r="85" spans="2:6" ht="15" customHeight="1">
      <c r="B85" s="79"/>
      <c r="C85" s="57" t="s">
        <v>15</v>
      </c>
      <c r="D85" s="58">
        <v>11</v>
      </c>
      <c r="E85" s="59">
        <v>6.9620253164556958E-2</v>
      </c>
    </row>
    <row r="86" spans="2:6" ht="15" customHeight="1">
      <c r="B86" s="77" t="s">
        <v>22</v>
      </c>
      <c r="C86" s="54" t="s">
        <v>141</v>
      </c>
      <c r="D86" s="55">
        <v>3</v>
      </c>
      <c r="E86" s="56">
        <v>1.8987341772151899E-2</v>
      </c>
    </row>
    <row r="87" spans="2:6" ht="15" customHeight="1">
      <c r="B87" s="78"/>
      <c r="C87" s="54" t="s">
        <v>77</v>
      </c>
      <c r="D87" s="55">
        <v>3</v>
      </c>
      <c r="E87" s="56">
        <v>1.8987341772151899E-2</v>
      </c>
    </row>
    <row r="88" spans="2:6" ht="15" customHeight="1">
      <c r="B88" s="78"/>
      <c r="C88" s="54" t="s">
        <v>22</v>
      </c>
      <c r="D88" s="55">
        <v>1</v>
      </c>
      <c r="E88" s="56">
        <v>6.3291139240506328E-3</v>
      </c>
    </row>
    <row r="89" spans="2:6" ht="15" customHeight="1">
      <c r="B89" s="78"/>
      <c r="C89" s="54" t="s">
        <v>142</v>
      </c>
      <c r="D89" s="55">
        <v>1</v>
      </c>
      <c r="E89" s="56">
        <v>6.3291139240506328E-3</v>
      </c>
    </row>
    <row r="90" spans="2:6" ht="15" customHeight="1">
      <c r="B90" s="78"/>
      <c r="C90" s="54" t="s">
        <v>143</v>
      </c>
      <c r="D90" s="55">
        <v>2</v>
      </c>
      <c r="E90" s="56">
        <v>1.2658227848101266E-2</v>
      </c>
    </row>
    <row r="91" spans="2:6" ht="15" customHeight="1">
      <c r="B91" s="79"/>
      <c r="C91" s="57" t="s">
        <v>15</v>
      </c>
      <c r="D91" s="58">
        <v>10</v>
      </c>
      <c r="E91" s="59">
        <v>6.3291139240506333E-2</v>
      </c>
    </row>
    <row r="92" spans="2:6" ht="15" customHeight="1">
      <c r="B92" s="77" t="s">
        <v>18</v>
      </c>
      <c r="C92" s="54" t="s">
        <v>144</v>
      </c>
      <c r="D92" s="55">
        <v>3</v>
      </c>
      <c r="E92" s="56">
        <v>1.8987341772151899E-2</v>
      </c>
    </row>
    <row r="93" spans="2:6" ht="15" customHeight="1">
      <c r="B93" s="78"/>
      <c r="C93" s="54" t="s">
        <v>18</v>
      </c>
      <c r="D93" s="55">
        <v>1</v>
      </c>
      <c r="E93" s="56">
        <v>6.3291139240506328E-3</v>
      </c>
    </row>
    <row r="94" spans="2:6" ht="15" customHeight="1">
      <c r="B94" s="78"/>
      <c r="C94" s="54" t="s">
        <v>83</v>
      </c>
      <c r="D94" s="55">
        <v>2</v>
      </c>
      <c r="E94" s="56">
        <v>1.2658227848101266E-2</v>
      </c>
      <c r="F94" s="17"/>
    </row>
    <row r="95" spans="2:6" ht="15" customHeight="1">
      <c r="B95" s="79"/>
      <c r="C95" s="57" t="s">
        <v>15</v>
      </c>
      <c r="D95" s="58">
        <v>6</v>
      </c>
      <c r="E95" s="59">
        <v>3.7974683544303799E-2</v>
      </c>
      <c r="F95" s="17"/>
    </row>
    <row r="96" spans="2:6" ht="15" customHeight="1">
      <c r="B96" s="77" t="s">
        <v>17</v>
      </c>
      <c r="C96" s="54" t="s">
        <v>17</v>
      </c>
      <c r="D96" s="55">
        <v>1</v>
      </c>
      <c r="E96" s="56">
        <v>6.3291139240506328E-3</v>
      </c>
      <c r="F96" s="17"/>
    </row>
    <row r="97" spans="2:6" ht="15" customHeight="1">
      <c r="B97" s="78"/>
      <c r="C97" s="54" t="s">
        <v>145</v>
      </c>
      <c r="D97" s="55">
        <v>1</v>
      </c>
      <c r="E97" s="56">
        <v>6.3291139240506328E-3</v>
      </c>
      <c r="F97" s="17"/>
    </row>
    <row r="98" spans="2:6" ht="15" customHeight="1">
      <c r="B98" s="78"/>
      <c r="C98" s="54" t="s">
        <v>146</v>
      </c>
      <c r="D98" s="55">
        <v>2</v>
      </c>
      <c r="E98" s="56">
        <v>1.2658227848101266E-2</v>
      </c>
      <c r="F98" s="17"/>
    </row>
    <row r="99" spans="2:6" ht="15" customHeight="1">
      <c r="B99" s="78"/>
      <c r="C99" s="54" t="s">
        <v>147</v>
      </c>
      <c r="D99" s="55">
        <v>2</v>
      </c>
      <c r="E99" s="56">
        <v>1.2658227848101266E-2</v>
      </c>
    </row>
    <row r="100" spans="2:6" ht="15" customHeight="1">
      <c r="B100" s="78"/>
      <c r="C100" s="54" t="s">
        <v>148</v>
      </c>
      <c r="D100" s="55">
        <v>1</v>
      </c>
      <c r="E100" s="56">
        <v>6.3291139240506328E-3</v>
      </c>
    </row>
    <row r="101" spans="2:6" ht="15" customHeight="1">
      <c r="B101" s="79"/>
      <c r="C101" s="57" t="s">
        <v>15</v>
      </c>
      <c r="D101" s="58">
        <v>7</v>
      </c>
      <c r="E101" s="59">
        <v>4.4303797468354431E-2</v>
      </c>
    </row>
    <row r="102" spans="2:6" ht="15" customHeight="1">
      <c r="B102" s="77" t="s">
        <v>21</v>
      </c>
      <c r="C102" s="54" t="s">
        <v>149</v>
      </c>
      <c r="D102" s="55">
        <v>1</v>
      </c>
      <c r="E102" s="56">
        <v>6.3291139240506328E-3</v>
      </c>
    </row>
    <row r="103" spans="2:6" ht="15" customHeight="1">
      <c r="B103" s="78"/>
      <c r="C103" s="54" t="s">
        <v>90</v>
      </c>
      <c r="D103" s="55">
        <v>2</v>
      </c>
      <c r="E103" s="56">
        <v>1.2658227848101266E-2</v>
      </c>
    </row>
    <row r="104" spans="2:6" ht="15" customHeight="1">
      <c r="B104" s="78"/>
      <c r="C104" s="54" t="s">
        <v>150</v>
      </c>
      <c r="D104" s="55">
        <v>2</v>
      </c>
      <c r="E104" s="56">
        <v>1.2658227848101266E-2</v>
      </c>
    </row>
    <row r="105" spans="2:6" ht="15" customHeight="1">
      <c r="B105" s="79"/>
      <c r="C105" s="57" t="s">
        <v>15</v>
      </c>
      <c r="D105" s="58">
        <v>5</v>
      </c>
      <c r="E105" s="59">
        <v>3.1645569620253167E-2</v>
      </c>
    </row>
    <row r="106" spans="2:6" ht="15" customHeight="1">
      <c r="B106" s="77" t="s">
        <v>151</v>
      </c>
      <c r="C106" s="54" t="s">
        <v>152</v>
      </c>
      <c r="D106" s="55">
        <v>1</v>
      </c>
      <c r="E106" s="56">
        <v>6.3291139240506328E-3</v>
      </c>
    </row>
    <row r="107" spans="2:6" ht="15" customHeight="1">
      <c r="B107" s="79"/>
      <c r="C107" s="57" t="s">
        <v>15</v>
      </c>
      <c r="D107" s="58">
        <v>1</v>
      </c>
      <c r="E107" s="59">
        <v>6.3291139240506328E-3</v>
      </c>
    </row>
    <row r="108" spans="2:6" ht="15" customHeight="1">
      <c r="B108" s="77" t="s">
        <v>20</v>
      </c>
      <c r="C108" s="54" t="s">
        <v>153</v>
      </c>
      <c r="D108" s="55">
        <v>1</v>
      </c>
      <c r="E108" s="56">
        <v>6.3291139240506328E-3</v>
      </c>
    </row>
    <row r="109" spans="2:6" ht="15" customHeight="1">
      <c r="B109" s="78"/>
      <c r="C109" s="54" t="s">
        <v>154</v>
      </c>
      <c r="D109" s="55">
        <v>1</v>
      </c>
      <c r="E109" s="56">
        <v>6.3291139240506328E-3</v>
      </c>
    </row>
    <row r="110" spans="2:6" ht="15" customHeight="1">
      <c r="B110" s="79"/>
      <c r="C110" s="57" t="s">
        <v>15</v>
      </c>
      <c r="D110" s="58">
        <v>2</v>
      </c>
      <c r="E110" s="59">
        <v>1.2658227848101266E-2</v>
      </c>
    </row>
    <row r="111" spans="2:6" ht="15" customHeight="1">
      <c r="B111" s="77" t="s">
        <v>155</v>
      </c>
      <c r="C111" s="54" t="s">
        <v>156</v>
      </c>
      <c r="D111" s="55">
        <v>1</v>
      </c>
      <c r="E111" s="56">
        <v>6.3291139240506328E-3</v>
      </c>
    </row>
    <row r="112" spans="2:6" ht="15" customHeight="1">
      <c r="B112" s="79"/>
      <c r="C112" s="57" t="s">
        <v>15</v>
      </c>
      <c r="D112" s="58">
        <v>1</v>
      </c>
      <c r="E112" s="59">
        <v>6.3291139240506328E-3</v>
      </c>
    </row>
    <row r="113" spans="2:5" ht="15" customHeight="1">
      <c r="B113" s="77" t="s">
        <v>25</v>
      </c>
      <c r="C113" s="54" t="s">
        <v>39</v>
      </c>
      <c r="D113" s="55">
        <v>9</v>
      </c>
      <c r="E113" s="56">
        <v>5.6962025316455694E-2</v>
      </c>
    </row>
    <row r="114" spans="2:5" ht="15" customHeight="1">
      <c r="B114" s="78"/>
      <c r="C114" s="54" t="s">
        <v>157</v>
      </c>
      <c r="D114" s="55">
        <v>1</v>
      </c>
      <c r="E114" s="56">
        <v>6.3291139240506328E-3</v>
      </c>
    </row>
    <row r="115" spans="2:5" ht="15" customHeight="1">
      <c r="B115" s="78"/>
      <c r="C115" s="54" t="s">
        <v>91</v>
      </c>
      <c r="D115" s="55">
        <v>1</v>
      </c>
      <c r="E115" s="56">
        <v>6.3291139240506328E-3</v>
      </c>
    </row>
    <row r="116" spans="2:5" ht="15" customHeight="1">
      <c r="B116" s="78"/>
      <c r="C116" s="54" t="s">
        <v>38</v>
      </c>
      <c r="D116" s="55">
        <v>1</v>
      </c>
      <c r="E116" s="56">
        <v>6.3291139240506328E-3</v>
      </c>
    </row>
    <row r="117" spans="2:5" ht="15" customHeight="1">
      <c r="B117" s="78"/>
      <c r="C117" s="54" t="s">
        <v>158</v>
      </c>
      <c r="D117" s="55">
        <v>1</v>
      </c>
      <c r="E117" s="56">
        <v>6.3291139240506328E-3</v>
      </c>
    </row>
    <row r="118" spans="2:5" ht="15" customHeight="1">
      <c r="B118" s="78"/>
      <c r="C118" s="54" t="s">
        <v>159</v>
      </c>
      <c r="D118" s="55">
        <v>1</v>
      </c>
      <c r="E118" s="56">
        <v>6.3291139240506328E-3</v>
      </c>
    </row>
    <row r="119" spans="2:5" ht="15" customHeight="1">
      <c r="B119" s="78"/>
      <c r="C119" s="54" t="s">
        <v>160</v>
      </c>
      <c r="D119" s="55">
        <v>1</v>
      </c>
      <c r="E119" s="56">
        <v>6.3291139240506328E-3</v>
      </c>
    </row>
    <row r="120" spans="2:5" ht="15" customHeight="1">
      <c r="B120" s="78"/>
      <c r="C120" s="54" t="s">
        <v>161</v>
      </c>
      <c r="D120" s="55">
        <v>1</v>
      </c>
      <c r="E120" s="56">
        <v>6.3291139240506328E-3</v>
      </c>
    </row>
    <row r="121" spans="2:5" ht="15" customHeight="1">
      <c r="B121" s="78"/>
      <c r="C121" s="54" t="s">
        <v>25</v>
      </c>
      <c r="D121" s="55">
        <v>1</v>
      </c>
      <c r="E121" s="56">
        <v>6.3291139240506328E-3</v>
      </c>
    </row>
    <row r="122" spans="2:5" ht="15" customHeight="1">
      <c r="B122" s="78"/>
      <c r="C122" s="54" t="s">
        <v>162</v>
      </c>
      <c r="D122" s="55">
        <v>4</v>
      </c>
      <c r="E122" s="56">
        <v>2.5316455696202531E-2</v>
      </c>
    </row>
    <row r="123" spans="2:5" ht="15" customHeight="1">
      <c r="B123" s="79"/>
      <c r="C123" s="57" t="s">
        <v>15</v>
      </c>
      <c r="D123" s="58">
        <v>21</v>
      </c>
      <c r="E123" s="59">
        <v>0.13291139240506328</v>
      </c>
    </row>
    <row r="124" spans="2:5" ht="15" customHeight="1">
      <c r="B124" s="77" t="s">
        <v>16</v>
      </c>
      <c r="C124" s="54" t="s">
        <v>163</v>
      </c>
      <c r="D124" s="55">
        <v>1</v>
      </c>
      <c r="E124" s="56">
        <v>6.3291139240506328E-3</v>
      </c>
    </row>
    <row r="125" spans="2:5" ht="15" customHeight="1">
      <c r="B125" s="78"/>
      <c r="C125" s="54" t="s">
        <v>92</v>
      </c>
      <c r="D125" s="55">
        <v>1</v>
      </c>
      <c r="E125" s="56">
        <v>6.3291139240506328E-3</v>
      </c>
    </row>
    <row r="126" spans="2:5" ht="15" customHeight="1">
      <c r="B126" s="78"/>
      <c r="C126" s="54" t="s">
        <v>164</v>
      </c>
      <c r="D126" s="55">
        <v>1</v>
      </c>
      <c r="E126" s="56">
        <v>6.3291139240506328E-3</v>
      </c>
    </row>
    <row r="127" spans="2:5" ht="15" customHeight="1">
      <c r="B127" s="78"/>
      <c r="C127" s="54" t="s">
        <v>165</v>
      </c>
      <c r="D127" s="55">
        <v>1</v>
      </c>
      <c r="E127" s="56">
        <v>6.3291139240506328E-3</v>
      </c>
    </row>
    <row r="128" spans="2:5" ht="15" customHeight="1">
      <c r="B128" s="78"/>
      <c r="C128" s="54" t="s">
        <v>166</v>
      </c>
      <c r="D128" s="55">
        <v>1</v>
      </c>
      <c r="E128" s="56">
        <v>6.3291139240506328E-3</v>
      </c>
    </row>
    <row r="129" spans="2:5" ht="15" customHeight="1">
      <c r="B129" s="78"/>
      <c r="C129" s="54" t="s">
        <v>167</v>
      </c>
      <c r="D129" s="55">
        <v>1</v>
      </c>
      <c r="E129" s="56">
        <v>6.3291139240506328E-3</v>
      </c>
    </row>
    <row r="130" spans="2:5" ht="15" customHeight="1">
      <c r="B130" s="79"/>
      <c r="C130" s="57" t="s">
        <v>15</v>
      </c>
      <c r="D130" s="58">
        <v>6</v>
      </c>
      <c r="E130" s="59">
        <v>3.7974683544303799E-2</v>
      </c>
    </row>
    <row r="131" spans="2:5" ht="15" customHeight="1">
      <c r="B131" s="80" t="s">
        <v>15</v>
      </c>
      <c r="C131" s="81"/>
      <c r="D131" s="60">
        <f>SUMIF(C$10:C130,"Total",D$10:D130)</f>
        <v>158</v>
      </c>
      <c r="E131" s="61">
        <v>1</v>
      </c>
    </row>
    <row r="132" spans="2:5" ht="15" customHeight="1">
      <c r="B132" s="62"/>
      <c r="C132" s="62"/>
      <c r="D132" s="62"/>
      <c r="E132" s="62"/>
    </row>
    <row r="133" spans="2:5" ht="15" customHeight="1">
      <c r="B133" s="63" t="s">
        <v>168</v>
      </c>
      <c r="C133" s="62"/>
      <c r="D133" s="62"/>
      <c r="E133" s="62"/>
    </row>
    <row r="134" spans="2:5" ht="15" customHeight="1">
      <c r="B134" s="64" t="s">
        <v>14</v>
      </c>
      <c r="C134" s="62"/>
      <c r="D134" s="62"/>
      <c r="E134" s="62"/>
    </row>
    <row r="135" spans="2:5" ht="15" customHeight="1">
      <c r="B135" s="65" t="s">
        <v>13</v>
      </c>
      <c r="C135" s="62"/>
      <c r="D135" s="62"/>
      <c r="E135" s="62"/>
    </row>
    <row r="136" spans="2:5" ht="15" customHeight="1">
      <c r="B136" s="63" t="s">
        <v>12</v>
      </c>
      <c r="C136" s="62"/>
      <c r="D136" s="62"/>
      <c r="E136" s="62"/>
    </row>
    <row r="137" spans="2:5" ht="15" customHeight="1">
      <c r="B137" s="63" t="s">
        <v>169</v>
      </c>
      <c r="C137" s="62"/>
      <c r="D137" s="62"/>
      <c r="E137" s="62"/>
    </row>
    <row r="359" spans="1:2" s="37" customFormat="1" ht="15" customHeight="1">
      <c r="A359" s="36"/>
      <c r="B359" s="38"/>
    </row>
    <row r="360" spans="1:2" s="37" customFormat="1" ht="15" customHeight="1">
      <c r="A360" s="36"/>
      <c r="B360" s="39"/>
    </row>
    <row r="361" spans="1:2" s="37" customFormat="1" ht="15" customHeight="1">
      <c r="A361" s="36"/>
      <c r="B361" s="39"/>
    </row>
    <row r="362" spans="1:2" s="37" customFormat="1" ht="15" customHeight="1">
      <c r="A362" s="36"/>
      <c r="B362" s="38"/>
    </row>
    <row r="363" spans="1:2" s="37" customFormat="1" ht="15" customHeight="1">
      <c r="A363" s="36"/>
      <c r="B363" s="38"/>
    </row>
  </sheetData>
  <mergeCells count="25">
    <mergeCell ref="B7:E8"/>
    <mergeCell ref="B10:B12"/>
    <mergeCell ref="B13:B14"/>
    <mergeCell ref="B15:B19"/>
    <mergeCell ref="B111:B112"/>
    <mergeCell ref="B92:B95"/>
    <mergeCell ref="B96:B101"/>
    <mergeCell ref="B102:B105"/>
    <mergeCell ref="B106:B107"/>
    <mergeCell ref="B108:B110"/>
    <mergeCell ref="B20:B26"/>
    <mergeCell ref="B27:B29"/>
    <mergeCell ref="B30:B31"/>
    <mergeCell ref="B32:B39"/>
    <mergeCell ref="B40:B44"/>
    <mergeCell ref="B124:B130"/>
    <mergeCell ref="B131:C131"/>
    <mergeCell ref="B45:B52"/>
    <mergeCell ref="B53:B54"/>
    <mergeCell ref="B55:B57"/>
    <mergeCell ref="B58:B67"/>
    <mergeCell ref="B68:B81"/>
    <mergeCell ref="B82:B85"/>
    <mergeCell ref="B86:B91"/>
    <mergeCell ref="B113:B12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4"/>
  <sheetViews>
    <sheetView showGridLines="0" zoomScaleNormal="100" zoomScaleSheetLayoutView="115" workbookViewId="0">
      <selection activeCell="G17" sqref="G17"/>
    </sheetView>
  </sheetViews>
  <sheetFormatPr baseColWidth="10" defaultColWidth="11.42578125" defaultRowHeight="15"/>
  <cols>
    <col min="1" max="1" width="9.28515625" style="17" customWidth="1"/>
    <col min="2" max="2" width="30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76" t="s">
        <v>56</v>
      </c>
      <c r="C7" s="76"/>
      <c r="D7" s="76"/>
    </row>
    <row r="8" spans="1:4" s="29" customFormat="1" ht="15" customHeight="1">
      <c r="B8" s="76"/>
      <c r="C8" s="76"/>
      <c r="D8" s="76"/>
    </row>
    <row r="9" spans="1:4" s="29" customFormat="1" ht="33" customHeight="1">
      <c r="B9" s="76"/>
      <c r="C9" s="76"/>
      <c r="D9" s="76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55</v>
      </c>
      <c r="C11" s="31" t="s">
        <v>36</v>
      </c>
      <c r="D11" s="30" t="s">
        <v>35</v>
      </c>
    </row>
    <row r="12" spans="1:4">
      <c r="B12" s="27" t="s">
        <v>176</v>
      </c>
      <c r="C12" s="26">
        <v>1</v>
      </c>
      <c r="D12" s="25">
        <v>6.3291139240506328E-3</v>
      </c>
    </row>
    <row r="13" spans="1:4">
      <c r="B13" s="27" t="s">
        <v>54</v>
      </c>
      <c r="C13" s="26">
        <v>2</v>
      </c>
      <c r="D13" s="25">
        <v>1.2658227848101266E-2</v>
      </c>
    </row>
    <row r="14" spans="1:4">
      <c r="A14" s="28"/>
      <c r="B14" s="27" t="s">
        <v>93</v>
      </c>
      <c r="C14" s="26">
        <v>2</v>
      </c>
      <c r="D14" s="25">
        <v>1.2658227848101266E-2</v>
      </c>
    </row>
    <row r="15" spans="1:4">
      <c r="A15" s="28"/>
      <c r="B15" s="27" t="s">
        <v>94</v>
      </c>
      <c r="C15" s="26">
        <v>1</v>
      </c>
      <c r="D15" s="25">
        <v>6.3291139240506328E-3</v>
      </c>
    </row>
    <row r="16" spans="1:4">
      <c r="B16" s="27" t="s">
        <v>53</v>
      </c>
      <c r="C16" s="26">
        <v>10</v>
      </c>
      <c r="D16" s="25">
        <v>6.3291139240506333E-2</v>
      </c>
    </row>
    <row r="17" spans="2:4">
      <c r="B17" s="27" t="s">
        <v>52</v>
      </c>
      <c r="C17" s="26">
        <v>19</v>
      </c>
      <c r="D17" s="25">
        <v>0.12025316455696203</v>
      </c>
    </row>
    <row r="18" spans="2:4">
      <c r="B18" s="27" t="s">
        <v>177</v>
      </c>
      <c r="C18" s="26">
        <v>2</v>
      </c>
      <c r="D18" s="25">
        <v>1.2658227848101266E-2</v>
      </c>
    </row>
    <row r="19" spans="2:4">
      <c r="B19" s="27" t="s">
        <v>51</v>
      </c>
      <c r="C19" s="26">
        <v>1</v>
      </c>
      <c r="D19" s="25">
        <v>6.3291139240506328E-3</v>
      </c>
    </row>
    <row r="20" spans="2:4">
      <c r="B20" s="27" t="s">
        <v>50</v>
      </c>
      <c r="C20" s="26">
        <v>6</v>
      </c>
      <c r="D20" s="25">
        <v>3.7974683544303799E-2</v>
      </c>
    </row>
    <row r="21" spans="2:4">
      <c r="B21" s="27" t="s">
        <v>49</v>
      </c>
      <c r="C21" s="26">
        <v>51</v>
      </c>
      <c r="D21" s="25">
        <v>0.32278481012658228</v>
      </c>
    </row>
    <row r="22" spans="2:4">
      <c r="B22" s="27" t="s">
        <v>95</v>
      </c>
      <c r="C22" s="26">
        <v>2</v>
      </c>
      <c r="D22" s="25">
        <v>1.2658227848101266E-2</v>
      </c>
    </row>
    <row r="23" spans="2:4">
      <c r="B23" s="27" t="s">
        <v>48</v>
      </c>
      <c r="C23" s="26">
        <v>10</v>
      </c>
      <c r="D23" s="25">
        <v>6.3291139240506333E-2</v>
      </c>
    </row>
    <row r="24" spans="2:4">
      <c r="B24" s="27" t="s">
        <v>47</v>
      </c>
      <c r="C24" s="26">
        <v>36</v>
      </c>
      <c r="D24" s="25">
        <v>0.22784810126582278</v>
      </c>
    </row>
    <row r="25" spans="2:4">
      <c r="B25" s="27" t="s">
        <v>46</v>
      </c>
      <c r="C25" s="26">
        <v>6</v>
      </c>
      <c r="D25" s="25">
        <v>3.7974683544303799E-2</v>
      </c>
    </row>
    <row r="26" spans="2:4">
      <c r="B26" s="27" t="s">
        <v>45</v>
      </c>
      <c r="C26" s="26">
        <v>8</v>
      </c>
      <c r="D26" s="25">
        <v>5.0632911392405063E-2</v>
      </c>
    </row>
    <row r="27" spans="2:4">
      <c r="B27" s="27" t="s">
        <v>178</v>
      </c>
      <c r="C27" s="26">
        <v>1</v>
      </c>
      <c r="D27" s="25">
        <v>6.3291139240506328E-3</v>
      </c>
    </row>
    <row r="28" spans="2:4">
      <c r="B28" s="24" t="s">
        <v>15</v>
      </c>
      <c r="C28" s="23">
        <v>158</v>
      </c>
      <c r="D28" s="22">
        <v>1</v>
      </c>
    </row>
    <row r="30" spans="2:4">
      <c r="B30" s="19" t="s">
        <v>168</v>
      </c>
    </row>
    <row r="31" spans="2:4">
      <c r="B31" s="21" t="s">
        <v>14</v>
      </c>
    </row>
    <row r="32" spans="2:4">
      <c r="B32" s="20" t="s">
        <v>13</v>
      </c>
    </row>
    <row r="33" spans="2:2">
      <c r="B33" s="19" t="s">
        <v>12</v>
      </c>
    </row>
    <row r="34" spans="2:2">
      <c r="B34" s="19" t="s">
        <v>169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19"/>
  <sheetViews>
    <sheetView showGridLines="0" zoomScaleNormal="100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44" customFormat="1" ht="12" customHeight="1">
      <c r="B1" s="48"/>
      <c r="C1" s="47"/>
      <c r="D1" s="47"/>
      <c r="E1" s="47"/>
    </row>
    <row r="2" spans="1:5" s="44" customFormat="1" ht="15" customHeight="1">
      <c r="C2" s="46"/>
    </row>
    <row r="3" spans="1:5" s="44" customFormat="1" ht="15" customHeight="1">
      <c r="C3" s="46"/>
    </row>
    <row r="4" spans="1:5" s="44" customFormat="1" ht="30" customHeight="1">
      <c r="C4" s="46"/>
      <c r="D4" s="45"/>
    </row>
    <row r="5" spans="1:5" s="44" customFormat="1" ht="15" customHeight="1">
      <c r="C5" s="46"/>
      <c r="D5" s="45"/>
    </row>
    <row r="6" spans="1:5" s="41" customFormat="1" ht="24" customHeight="1">
      <c r="B6" s="43"/>
      <c r="C6" s="40"/>
      <c r="D6" s="40"/>
      <c r="E6" s="40"/>
    </row>
    <row r="7" spans="1:5" s="41" customFormat="1" ht="26.25" customHeight="1">
      <c r="A7" s="42"/>
      <c r="B7" s="82"/>
      <c r="C7" s="82"/>
      <c r="D7" s="82"/>
      <c r="E7" s="82"/>
    </row>
    <row r="8" spans="1:5" s="41" customFormat="1" ht="33" customHeight="1">
      <c r="A8" s="42"/>
      <c r="B8" s="82"/>
      <c r="C8" s="82"/>
      <c r="D8" s="82"/>
      <c r="E8" s="82"/>
    </row>
    <row r="9" spans="1:5" s="29" customFormat="1" ht="40.5" customHeight="1">
      <c r="B9" s="52" t="s">
        <v>55</v>
      </c>
      <c r="C9" s="52" t="s">
        <v>37</v>
      </c>
      <c r="D9" s="53" t="s">
        <v>36</v>
      </c>
      <c r="E9" s="52" t="s">
        <v>35</v>
      </c>
    </row>
    <row r="10" spans="1:5" ht="15" customHeight="1">
      <c r="B10" s="77" t="s">
        <v>176</v>
      </c>
      <c r="C10" s="54" t="s">
        <v>25</v>
      </c>
      <c r="D10" s="55">
        <v>1</v>
      </c>
      <c r="E10" s="56">
        <v>6.3291139240506328E-3</v>
      </c>
    </row>
    <row r="11" spans="1:5" ht="15" customHeight="1">
      <c r="B11" s="79"/>
      <c r="C11" s="57" t="s">
        <v>15</v>
      </c>
      <c r="D11" s="58">
        <v>1</v>
      </c>
      <c r="E11" s="59">
        <v>6.3291139240506328E-3</v>
      </c>
    </row>
    <row r="12" spans="1:5" ht="15" customHeight="1">
      <c r="B12" s="77" t="s">
        <v>54</v>
      </c>
      <c r="C12" s="54" t="s">
        <v>25</v>
      </c>
      <c r="D12" s="55">
        <v>1</v>
      </c>
      <c r="E12" s="56">
        <v>6.3291139240506328E-3</v>
      </c>
    </row>
    <row r="13" spans="1:5" ht="15" customHeight="1">
      <c r="B13" s="78"/>
      <c r="C13" s="54" t="s">
        <v>16</v>
      </c>
      <c r="D13" s="55">
        <v>1</v>
      </c>
      <c r="E13" s="56">
        <v>6.3291139240506328E-3</v>
      </c>
    </row>
    <row r="14" spans="1:5" ht="15" customHeight="1">
      <c r="B14" s="79"/>
      <c r="C14" s="57" t="s">
        <v>15</v>
      </c>
      <c r="D14" s="58">
        <v>2</v>
      </c>
      <c r="E14" s="59">
        <v>1.2658227848101266E-2</v>
      </c>
    </row>
    <row r="15" spans="1:5" ht="15" customHeight="1">
      <c r="B15" s="77" t="s">
        <v>93</v>
      </c>
      <c r="C15" s="54" t="s">
        <v>23</v>
      </c>
      <c r="D15" s="55">
        <v>1</v>
      </c>
      <c r="E15" s="56">
        <v>6.3291139240506328E-3</v>
      </c>
    </row>
    <row r="16" spans="1:5" ht="15" customHeight="1">
      <c r="B16" s="78"/>
      <c r="C16" s="54" t="s">
        <v>21</v>
      </c>
      <c r="D16" s="55">
        <v>1</v>
      </c>
      <c r="E16" s="56">
        <v>6.3291139240506328E-3</v>
      </c>
    </row>
    <row r="17" spans="2:5" ht="15" customHeight="1">
      <c r="B17" s="79"/>
      <c r="C17" s="57" t="s">
        <v>15</v>
      </c>
      <c r="D17" s="58">
        <v>2</v>
      </c>
      <c r="E17" s="59">
        <v>1.2658227848101266E-2</v>
      </c>
    </row>
    <row r="18" spans="2:5" ht="15" customHeight="1">
      <c r="B18" s="77" t="s">
        <v>94</v>
      </c>
      <c r="C18" s="54" t="s">
        <v>24</v>
      </c>
      <c r="D18" s="55">
        <v>1</v>
      </c>
      <c r="E18" s="56">
        <v>6.3291139240506328E-3</v>
      </c>
    </row>
    <row r="19" spans="2:5" ht="15" customHeight="1">
      <c r="B19" s="79"/>
      <c r="C19" s="57" t="s">
        <v>15</v>
      </c>
      <c r="D19" s="58">
        <v>1</v>
      </c>
      <c r="E19" s="59">
        <v>6.3291139240506328E-3</v>
      </c>
    </row>
    <row r="20" spans="2:5" ht="15" customHeight="1">
      <c r="B20" s="77" t="s">
        <v>53</v>
      </c>
      <c r="C20" s="54" t="s">
        <v>19</v>
      </c>
      <c r="D20" s="55">
        <v>1</v>
      </c>
      <c r="E20" s="56">
        <v>6.3291139240506328E-3</v>
      </c>
    </row>
    <row r="21" spans="2:5" ht="15" customHeight="1">
      <c r="B21" s="78"/>
      <c r="C21" s="54" t="s">
        <v>27</v>
      </c>
      <c r="D21" s="55">
        <v>1</v>
      </c>
      <c r="E21" s="56">
        <v>6.3291139240506328E-3</v>
      </c>
    </row>
    <row r="22" spans="2:5" ht="15" customHeight="1">
      <c r="B22" s="78"/>
      <c r="C22" s="54" t="s">
        <v>106</v>
      </c>
      <c r="D22" s="55">
        <v>1</v>
      </c>
      <c r="E22" s="56">
        <v>6.3291139240506328E-3</v>
      </c>
    </row>
    <row r="23" spans="2:5" ht="15" customHeight="1">
      <c r="B23" s="78"/>
      <c r="C23" s="54" t="s">
        <v>31</v>
      </c>
      <c r="D23" s="55">
        <v>1</v>
      </c>
      <c r="E23" s="56">
        <v>6.3291139240506328E-3</v>
      </c>
    </row>
    <row r="24" spans="2:5" ht="15" customHeight="1">
      <c r="B24" s="78"/>
      <c r="C24" s="54" t="s">
        <v>34</v>
      </c>
      <c r="D24" s="55">
        <v>1</v>
      </c>
      <c r="E24" s="56">
        <v>6.3291139240506328E-3</v>
      </c>
    </row>
    <row r="25" spans="2:5" ht="15" customHeight="1">
      <c r="B25" s="78"/>
      <c r="C25" s="54" t="s">
        <v>29</v>
      </c>
      <c r="D25" s="55">
        <v>1</v>
      </c>
      <c r="E25" s="56">
        <v>6.3291139240506328E-3</v>
      </c>
    </row>
    <row r="26" spans="2:5" ht="15" customHeight="1">
      <c r="B26" s="78"/>
      <c r="C26" s="54" t="s">
        <v>17</v>
      </c>
      <c r="D26" s="55">
        <v>1</v>
      </c>
      <c r="E26" s="56">
        <v>6.3291139240506328E-3</v>
      </c>
    </row>
    <row r="27" spans="2:5" ht="15" customHeight="1">
      <c r="B27" s="78"/>
      <c r="C27" s="54" t="s">
        <v>25</v>
      </c>
      <c r="D27" s="55">
        <v>3</v>
      </c>
      <c r="E27" s="56">
        <v>1.8987341772151899E-2</v>
      </c>
    </row>
    <row r="28" spans="2:5" ht="15" customHeight="1">
      <c r="B28" s="79"/>
      <c r="C28" s="57" t="s">
        <v>15</v>
      </c>
      <c r="D28" s="58">
        <v>10</v>
      </c>
      <c r="E28" s="59">
        <v>6.3291139240506333E-2</v>
      </c>
    </row>
    <row r="29" spans="2:5" ht="15" customHeight="1">
      <c r="B29" s="77" t="s">
        <v>52</v>
      </c>
      <c r="C29" s="54" t="s">
        <v>23</v>
      </c>
      <c r="D29" s="55">
        <v>1</v>
      </c>
      <c r="E29" s="56">
        <v>6.3291139240506328E-3</v>
      </c>
    </row>
    <row r="30" spans="2:5" ht="15" customHeight="1">
      <c r="B30" s="78"/>
      <c r="C30" s="54" t="s">
        <v>24</v>
      </c>
      <c r="D30" s="55">
        <v>1</v>
      </c>
      <c r="E30" s="56">
        <v>6.3291139240506328E-3</v>
      </c>
    </row>
    <row r="31" spans="2:5" ht="15" customHeight="1">
      <c r="B31" s="78"/>
      <c r="C31" s="54" t="s">
        <v>33</v>
      </c>
      <c r="D31" s="55">
        <v>1</v>
      </c>
      <c r="E31" s="56">
        <v>6.3291139240506328E-3</v>
      </c>
    </row>
    <row r="32" spans="2:5" ht="15" customHeight="1">
      <c r="B32" s="78"/>
      <c r="C32" s="54" t="s">
        <v>31</v>
      </c>
      <c r="D32" s="55">
        <v>2</v>
      </c>
      <c r="E32" s="56">
        <v>1.2658227848101266E-2</v>
      </c>
    </row>
    <row r="33" spans="2:5" ht="15" customHeight="1">
      <c r="B33" s="78"/>
      <c r="C33" s="54" t="s">
        <v>26</v>
      </c>
      <c r="D33" s="55">
        <v>1</v>
      </c>
      <c r="E33" s="56">
        <v>6.3291139240506328E-3</v>
      </c>
    </row>
    <row r="34" spans="2:5" ht="15" customHeight="1">
      <c r="B34" s="78"/>
      <c r="C34" s="54" t="s">
        <v>74</v>
      </c>
      <c r="D34" s="55">
        <v>1</v>
      </c>
      <c r="E34" s="56">
        <v>6.3291139240506328E-3</v>
      </c>
    </row>
    <row r="35" spans="2:5" ht="15" customHeight="1">
      <c r="B35" s="78"/>
      <c r="C35" s="54" t="s">
        <v>34</v>
      </c>
      <c r="D35" s="55">
        <v>2</v>
      </c>
      <c r="E35" s="56">
        <v>1.2658227848101266E-2</v>
      </c>
    </row>
    <row r="36" spans="2:5" ht="15" customHeight="1">
      <c r="B36" s="78"/>
      <c r="C36" s="54" t="s">
        <v>29</v>
      </c>
      <c r="D36" s="55">
        <v>3</v>
      </c>
      <c r="E36" s="56">
        <v>1.8987341772151899E-2</v>
      </c>
    </row>
    <row r="37" spans="2:5" ht="15" customHeight="1">
      <c r="B37" s="78"/>
      <c r="C37" s="54" t="s">
        <v>22</v>
      </c>
      <c r="D37" s="55">
        <v>3</v>
      </c>
      <c r="E37" s="56">
        <v>1.8987341772151899E-2</v>
      </c>
    </row>
    <row r="38" spans="2:5" ht="15" customHeight="1">
      <c r="B38" s="78"/>
      <c r="C38" s="54" t="s">
        <v>18</v>
      </c>
      <c r="D38" s="55">
        <v>1</v>
      </c>
      <c r="E38" s="56">
        <v>6.3291139240506328E-3</v>
      </c>
    </row>
    <row r="39" spans="2:5" ht="15" customHeight="1">
      <c r="B39" s="78"/>
      <c r="C39" s="54" t="s">
        <v>25</v>
      </c>
      <c r="D39" s="55">
        <v>2</v>
      </c>
      <c r="E39" s="56">
        <v>1.2658227848101266E-2</v>
      </c>
    </row>
    <row r="40" spans="2:5" ht="15" customHeight="1">
      <c r="B40" s="78"/>
      <c r="C40" s="54" t="s">
        <v>16</v>
      </c>
      <c r="D40" s="55">
        <v>1</v>
      </c>
      <c r="E40" s="56">
        <v>6.3291139240506328E-3</v>
      </c>
    </row>
    <row r="41" spans="2:5" ht="15" customHeight="1">
      <c r="B41" s="79"/>
      <c r="C41" s="57" t="s">
        <v>15</v>
      </c>
      <c r="D41" s="58">
        <v>19</v>
      </c>
      <c r="E41" s="59">
        <v>0.12025316455696203</v>
      </c>
    </row>
    <row r="42" spans="2:5" ht="15" customHeight="1">
      <c r="B42" s="77" t="s">
        <v>177</v>
      </c>
      <c r="C42" s="54" t="s">
        <v>19</v>
      </c>
      <c r="D42" s="55">
        <v>1</v>
      </c>
      <c r="E42" s="56">
        <v>6.3291139240506328E-3</v>
      </c>
    </row>
    <row r="43" spans="2:5" ht="15" customHeight="1">
      <c r="B43" s="78"/>
      <c r="C43" s="54" t="s">
        <v>20</v>
      </c>
      <c r="D43" s="55">
        <v>1</v>
      </c>
      <c r="E43" s="56">
        <v>6.3291139240506328E-3</v>
      </c>
    </row>
    <row r="44" spans="2:5" ht="15" customHeight="1">
      <c r="B44" s="79"/>
      <c r="C44" s="57" t="s">
        <v>15</v>
      </c>
      <c r="D44" s="58">
        <v>2</v>
      </c>
      <c r="E44" s="59">
        <v>1.2658227848101266E-2</v>
      </c>
    </row>
    <row r="45" spans="2:5" ht="15" customHeight="1">
      <c r="B45" s="77" t="s">
        <v>51</v>
      </c>
      <c r="C45" s="54" t="s">
        <v>29</v>
      </c>
      <c r="D45" s="55">
        <v>1</v>
      </c>
      <c r="E45" s="56">
        <v>6.3291139240506328E-3</v>
      </c>
    </row>
    <row r="46" spans="2:5" ht="15" customHeight="1">
      <c r="B46" s="79"/>
      <c r="C46" s="57" t="s">
        <v>15</v>
      </c>
      <c r="D46" s="58">
        <v>1</v>
      </c>
      <c r="E46" s="59">
        <v>6.3291139240506328E-3</v>
      </c>
    </row>
    <row r="47" spans="2:5" ht="15" customHeight="1">
      <c r="B47" s="77" t="s">
        <v>50</v>
      </c>
      <c r="C47" s="54" t="s">
        <v>31</v>
      </c>
      <c r="D47" s="55">
        <v>1</v>
      </c>
      <c r="E47" s="56">
        <v>6.3291139240506328E-3</v>
      </c>
    </row>
    <row r="48" spans="2:5" ht="15" customHeight="1">
      <c r="B48" s="78"/>
      <c r="C48" s="54" t="s">
        <v>34</v>
      </c>
      <c r="D48" s="55">
        <v>1</v>
      </c>
      <c r="E48" s="56">
        <v>6.3291139240506328E-3</v>
      </c>
    </row>
    <row r="49" spans="2:5" ht="15" customHeight="1">
      <c r="B49" s="78"/>
      <c r="C49" s="54" t="s">
        <v>29</v>
      </c>
      <c r="D49" s="55">
        <v>2</v>
      </c>
      <c r="E49" s="56">
        <v>1.2658227848101266E-2</v>
      </c>
    </row>
    <row r="50" spans="2:5" ht="15" customHeight="1">
      <c r="B50" s="78"/>
      <c r="C50" s="54" t="s">
        <v>32</v>
      </c>
      <c r="D50" s="55">
        <v>1</v>
      </c>
      <c r="E50" s="56">
        <v>6.3291139240506328E-3</v>
      </c>
    </row>
    <row r="51" spans="2:5" ht="15" customHeight="1">
      <c r="B51" s="78"/>
      <c r="C51" s="54" t="s">
        <v>18</v>
      </c>
      <c r="D51" s="55">
        <v>1</v>
      </c>
      <c r="E51" s="56">
        <v>6.3291139240506328E-3</v>
      </c>
    </row>
    <row r="52" spans="2:5" ht="15" customHeight="1">
      <c r="B52" s="79"/>
      <c r="C52" s="57" t="s">
        <v>15</v>
      </c>
      <c r="D52" s="58">
        <v>6</v>
      </c>
      <c r="E52" s="59">
        <v>3.7974683544303799E-2</v>
      </c>
    </row>
    <row r="53" spans="2:5" ht="15" customHeight="1">
      <c r="B53" s="77" t="s">
        <v>49</v>
      </c>
      <c r="C53" s="54" t="s">
        <v>23</v>
      </c>
      <c r="D53" s="55">
        <v>2</v>
      </c>
      <c r="E53" s="56">
        <v>1.2658227848101266E-2</v>
      </c>
    </row>
    <row r="54" spans="2:5" ht="15" customHeight="1">
      <c r="B54" s="78"/>
      <c r="C54" s="54" t="s">
        <v>19</v>
      </c>
      <c r="D54" s="55">
        <v>2</v>
      </c>
      <c r="E54" s="56">
        <v>1.2658227848101266E-2</v>
      </c>
    </row>
    <row r="55" spans="2:5" ht="15" customHeight="1">
      <c r="B55" s="78"/>
      <c r="C55" s="54" t="s">
        <v>27</v>
      </c>
      <c r="D55" s="55">
        <v>1</v>
      </c>
      <c r="E55" s="56">
        <v>6.3291139240506328E-3</v>
      </c>
    </row>
    <row r="56" spans="2:5" ht="15" customHeight="1">
      <c r="B56" s="78"/>
      <c r="C56" s="54" t="s">
        <v>33</v>
      </c>
      <c r="D56" s="55">
        <v>1</v>
      </c>
      <c r="E56" s="56">
        <v>6.3291139240506328E-3</v>
      </c>
    </row>
    <row r="57" spans="2:5" ht="15" customHeight="1">
      <c r="B57" s="78"/>
      <c r="C57" s="54" t="s">
        <v>31</v>
      </c>
      <c r="D57" s="55">
        <v>4</v>
      </c>
      <c r="E57" s="56">
        <v>2.5316455696202531E-2</v>
      </c>
    </row>
    <row r="58" spans="2:5" ht="15" customHeight="1">
      <c r="B58" s="78"/>
      <c r="C58" s="54" t="s">
        <v>26</v>
      </c>
      <c r="D58" s="55">
        <v>7</v>
      </c>
      <c r="E58" s="56">
        <v>4.4303797468354431E-2</v>
      </c>
    </row>
    <row r="59" spans="2:5" ht="15" customHeight="1">
      <c r="B59" s="78"/>
      <c r="C59" s="54" t="s">
        <v>30</v>
      </c>
      <c r="D59" s="55">
        <v>2</v>
      </c>
      <c r="E59" s="56">
        <v>1.2658227848101266E-2</v>
      </c>
    </row>
    <row r="60" spans="2:5" ht="15" customHeight="1">
      <c r="B60" s="78"/>
      <c r="C60" s="54" t="s">
        <v>34</v>
      </c>
      <c r="D60" s="55">
        <v>3</v>
      </c>
      <c r="E60" s="56">
        <v>1.8987341772151899E-2</v>
      </c>
    </row>
    <row r="61" spans="2:5" ht="15" customHeight="1">
      <c r="B61" s="78"/>
      <c r="C61" s="54" t="s">
        <v>29</v>
      </c>
      <c r="D61" s="55">
        <v>6</v>
      </c>
      <c r="E61" s="56">
        <v>3.7974683544303799E-2</v>
      </c>
    </row>
    <row r="62" spans="2:5" ht="15" customHeight="1">
      <c r="B62" s="78"/>
      <c r="C62" s="54" t="s">
        <v>32</v>
      </c>
      <c r="D62" s="55">
        <v>7</v>
      </c>
      <c r="E62" s="56">
        <v>4.4303797468354431E-2</v>
      </c>
    </row>
    <row r="63" spans="2:5" ht="15" customHeight="1">
      <c r="B63" s="78"/>
      <c r="C63" s="54" t="s">
        <v>22</v>
      </c>
      <c r="D63" s="55">
        <v>3</v>
      </c>
      <c r="E63" s="56">
        <v>1.8987341772151899E-2</v>
      </c>
    </row>
    <row r="64" spans="2:5" ht="15" customHeight="1">
      <c r="B64" s="78"/>
      <c r="C64" s="54" t="s">
        <v>18</v>
      </c>
      <c r="D64" s="55">
        <v>1</v>
      </c>
      <c r="E64" s="56">
        <v>6.3291139240506328E-3</v>
      </c>
    </row>
    <row r="65" spans="2:6" ht="15" customHeight="1">
      <c r="B65" s="78"/>
      <c r="C65" s="54" t="s">
        <v>17</v>
      </c>
      <c r="D65" s="55">
        <v>2</v>
      </c>
      <c r="E65" s="56">
        <v>1.2658227848101266E-2</v>
      </c>
    </row>
    <row r="66" spans="2:6" ht="15" customHeight="1">
      <c r="B66" s="78"/>
      <c r="C66" s="54" t="s">
        <v>25</v>
      </c>
      <c r="D66" s="55">
        <v>8</v>
      </c>
      <c r="E66" s="56">
        <v>5.0632911392405063E-2</v>
      </c>
    </row>
    <row r="67" spans="2:6" ht="15" customHeight="1">
      <c r="B67" s="78"/>
      <c r="C67" s="54" t="s">
        <v>16</v>
      </c>
      <c r="D67" s="55">
        <v>2</v>
      </c>
      <c r="E67" s="56">
        <v>1.2658227848101266E-2</v>
      </c>
    </row>
    <row r="68" spans="2:6" ht="15" customHeight="1">
      <c r="B68" s="79"/>
      <c r="C68" s="57" t="s">
        <v>15</v>
      </c>
      <c r="D68" s="58">
        <v>51</v>
      </c>
      <c r="E68" s="59">
        <v>0.32278481012658228</v>
      </c>
    </row>
    <row r="69" spans="2:6" ht="15" customHeight="1">
      <c r="B69" s="77" t="s">
        <v>96</v>
      </c>
      <c r="C69" s="54" t="s">
        <v>33</v>
      </c>
      <c r="D69" s="55">
        <v>1</v>
      </c>
      <c r="E69" s="56">
        <v>6.3291139240506328E-3</v>
      </c>
    </row>
    <row r="70" spans="2:6" ht="15" customHeight="1">
      <c r="B70" s="78"/>
      <c r="C70" s="54" t="s">
        <v>29</v>
      </c>
      <c r="D70" s="55">
        <v>1</v>
      </c>
      <c r="E70" s="56">
        <v>6.3291139240506328E-3</v>
      </c>
    </row>
    <row r="71" spans="2:6" ht="15" customHeight="1">
      <c r="B71" s="79"/>
      <c r="C71" s="57" t="s">
        <v>15</v>
      </c>
      <c r="D71" s="58">
        <v>2</v>
      </c>
      <c r="E71" s="59">
        <v>1.2658227848101266E-2</v>
      </c>
    </row>
    <row r="72" spans="2:6" ht="15" customHeight="1">
      <c r="B72" s="77" t="s">
        <v>48</v>
      </c>
      <c r="C72" s="54" t="s">
        <v>28</v>
      </c>
      <c r="D72" s="55">
        <v>1</v>
      </c>
      <c r="E72" s="56">
        <v>6.3291139240506328E-3</v>
      </c>
    </row>
    <row r="73" spans="2:6" ht="15" customHeight="1">
      <c r="B73" s="78"/>
      <c r="C73" s="54" t="s">
        <v>27</v>
      </c>
      <c r="D73" s="55">
        <v>1</v>
      </c>
      <c r="E73" s="56">
        <v>6.3291139240506328E-3</v>
      </c>
      <c r="F73" s="17"/>
    </row>
    <row r="74" spans="2:6" ht="15" customHeight="1">
      <c r="B74" s="78"/>
      <c r="C74" s="54" t="s">
        <v>31</v>
      </c>
      <c r="D74" s="55">
        <v>4</v>
      </c>
      <c r="E74" s="56">
        <v>2.5316455696202531E-2</v>
      </c>
      <c r="F74" s="17"/>
    </row>
    <row r="75" spans="2:6" ht="15" customHeight="1">
      <c r="B75" s="78"/>
      <c r="C75" s="54" t="s">
        <v>26</v>
      </c>
      <c r="D75" s="55">
        <v>1</v>
      </c>
      <c r="E75" s="56">
        <v>6.3291139240506328E-3</v>
      </c>
      <c r="F75" s="17"/>
    </row>
    <row r="76" spans="2:6" ht="15" customHeight="1">
      <c r="B76" s="78"/>
      <c r="C76" s="54" t="s">
        <v>22</v>
      </c>
      <c r="D76" s="55">
        <v>1</v>
      </c>
      <c r="E76" s="56">
        <v>6.3291139240506328E-3</v>
      </c>
      <c r="F76" s="17"/>
    </row>
    <row r="77" spans="2:6" ht="15" customHeight="1">
      <c r="B77" s="78"/>
      <c r="C77" s="54" t="s">
        <v>151</v>
      </c>
      <c r="D77" s="55">
        <v>1</v>
      </c>
      <c r="E77" s="56">
        <v>6.3291139240506328E-3</v>
      </c>
      <c r="F77" s="17"/>
    </row>
    <row r="78" spans="2:6" ht="15" customHeight="1">
      <c r="B78" s="78"/>
      <c r="C78" s="54" t="s">
        <v>25</v>
      </c>
      <c r="D78" s="55">
        <v>1</v>
      </c>
      <c r="E78" s="56">
        <v>6.3291139240506328E-3</v>
      </c>
    </row>
    <row r="79" spans="2:6" ht="15" customHeight="1">
      <c r="B79" s="79"/>
      <c r="C79" s="57" t="s">
        <v>15</v>
      </c>
      <c r="D79" s="58">
        <v>10</v>
      </c>
      <c r="E79" s="59">
        <v>6.3291139240506333E-2</v>
      </c>
    </row>
    <row r="80" spans="2:6" ht="15" customHeight="1">
      <c r="B80" s="77" t="s">
        <v>47</v>
      </c>
      <c r="C80" s="54" t="s">
        <v>27</v>
      </c>
      <c r="D80" s="55">
        <v>1</v>
      </c>
      <c r="E80" s="56">
        <v>6.3291139240506328E-3</v>
      </c>
    </row>
    <row r="81" spans="2:5" ht="15" customHeight="1">
      <c r="B81" s="78"/>
      <c r="C81" s="54" t="s">
        <v>33</v>
      </c>
      <c r="D81" s="55">
        <v>5</v>
      </c>
      <c r="E81" s="56">
        <v>3.1645569620253167E-2</v>
      </c>
    </row>
    <row r="82" spans="2:5" ht="15" customHeight="1">
      <c r="B82" s="78"/>
      <c r="C82" s="54" t="s">
        <v>31</v>
      </c>
      <c r="D82" s="55">
        <v>2</v>
      </c>
      <c r="E82" s="56">
        <v>1.2658227848101266E-2</v>
      </c>
    </row>
    <row r="83" spans="2:5" ht="15" customHeight="1">
      <c r="B83" s="78"/>
      <c r="C83" s="54" t="s">
        <v>26</v>
      </c>
      <c r="D83" s="55">
        <v>1</v>
      </c>
      <c r="E83" s="56">
        <v>6.3291139240506328E-3</v>
      </c>
    </row>
    <row r="84" spans="2:5" ht="15" customHeight="1">
      <c r="B84" s="78"/>
      <c r="C84" s="54" t="s">
        <v>74</v>
      </c>
      <c r="D84" s="55">
        <v>1</v>
      </c>
      <c r="E84" s="56">
        <v>6.3291139240506328E-3</v>
      </c>
    </row>
    <row r="85" spans="2:5" ht="15" customHeight="1">
      <c r="B85" s="78"/>
      <c r="C85" s="54" t="s">
        <v>34</v>
      </c>
      <c r="D85" s="55">
        <v>3</v>
      </c>
      <c r="E85" s="56">
        <v>1.8987341772151899E-2</v>
      </c>
    </row>
    <row r="86" spans="2:5" ht="15" customHeight="1">
      <c r="B86" s="78"/>
      <c r="C86" s="54" t="s">
        <v>29</v>
      </c>
      <c r="D86" s="55">
        <v>3</v>
      </c>
      <c r="E86" s="56">
        <v>1.8987341772151899E-2</v>
      </c>
    </row>
    <row r="87" spans="2:5" ht="15" customHeight="1">
      <c r="B87" s="78"/>
      <c r="C87" s="54" t="s">
        <v>32</v>
      </c>
      <c r="D87" s="55">
        <v>2</v>
      </c>
      <c r="E87" s="56">
        <v>1.2658227848101266E-2</v>
      </c>
    </row>
    <row r="88" spans="2:5" ht="15" customHeight="1">
      <c r="B88" s="78"/>
      <c r="C88" s="54" t="s">
        <v>22</v>
      </c>
      <c r="D88" s="55">
        <v>2</v>
      </c>
      <c r="E88" s="56">
        <v>1.2658227848101266E-2</v>
      </c>
    </row>
    <row r="89" spans="2:5" ht="15" customHeight="1">
      <c r="B89" s="78"/>
      <c r="C89" s="54" t="s">
        <v>18</v>
      </c>
      <c r="D89" s="55">
        <v>3</v>
      </c>
      <c r="E89" s="56">
        <v>1.8987341772151899E-2</v>
      </c>
    </row>
    <row r="90" spans="2:5" ht="15" customHeight="1">
      <c r="B90" s="78"/>
      <c r="C90" s="54" t="s">
        <v>17</v>
      </c>
      <c r="D90" s="55">
        <v>3</v>
      </c>
      <c r="E90" s="56">
        <v>1.8987341772151899E-2</v>
      </c>
    </row>
    <row r="91" spans="2:5" ht="15" customHeight="1">
      <c r="B91" s="78"/>
      <c r="C91" s="54" t="s">
        <v>21</v>
      </c>
      <c r="D91" s="55">
        <v>3</v>
      </c>
      <c r="E91" s="56">
        <v>1.8987341772151899E-2</v>
      </c>
    </row>
    <row r="92" spans="2:5" ht="15" customHeight="1">
      <c r="B92" s="78"/>
      <c r="C92" s="54" t="s">
        <v>20</v>
      </c>
      <c r="D92" s="55">
        <v>1</v>
      </c>
      <c r="E92" s="56">
        <v>6.3291139240506328E-3</v>
      </c>
    </row>
    <row r="93" spans="2:5" ht="15" customHeight="1">
      <c r="B93" s="78"/>
      <c r="C93" s="54" t="s">
        <v>155</v>
      </c>
      <c r="D93" s="55">
        <v>1</v>
      </c>
      <c r="E93" s="56">
        <v>6.3291139240506328E-3</v>
      </c>
    </row>
    <row r="94" spans="2:5" ht="15" customHeight="1">
      <c r="B94" s="78"/>
      <c r="C94" s="54" t="s">
        <v>25</v>
      </c>
      <c r="D94" s="55">
        <v>4</v>
      </c>
      <c r="E94" s="56">
        <v>2.5316455696202531E-2</v>
      </c>
    </row>
    <row r="95" spans="2:5" ht="15" customHeight="1">
      <c r="B95" s="78"/>
      <c r="C95" s="54" t="s">
        <v>16</v>
      </c>
      <c r="D95" s="55">
        <v>1</v>
      </c>
      <c r="E95" s="56">
        <v>6.3291139240506328E-3</v>
      </c>
    </row>
    <row r="96" spans="2:5" ht="15" customHeight="1">
      <c r="B96" s="79"/>
      <c r="C96" s="57" t="s">
        <v>15</v>
      </c>
      <c r="D96" s="58">
        <v>36</v>
      </c>
      <c r="E96" s="59">
        <v>0.22784810126582278</v>
      </c>
    </row>
    <row r="97" spans="2:5" ht="15" customHeight="1">
      <c r="B97" s="77" t="s">
        <v>46</v>
      </c>
      <c r="C97" s="54" t="s">
        <v>27</v>
      </c>
      <c r="D97" s="55">
        <v>2</v>
      </c>
      <c r="E97" s="56">
        <v>1.2658227848101266E-2</v>
      </c>
    </row>
    <row r="98" spans="2:5" ht="15" customHeight="1">
      <c r="B98" s="78"/>
      <c r="C98" s="54" t="s">
        <v>33</v>
      </c>
      <c r="D98" s="55">
        <v>1</v>
      </c>
      <c r="E98" s="56">
        <v>6.3291139240506328E-3</v>
      </c>
    </row>
    <row r="99" spans="2:5" ht="15" customHeight="1">
      <c r="B99" s="78"/>
      <c r="C99" s="54" t="s">
        <v>34</v>
      </c>
      <c r="D99" s="55">
        <v>1</v>
      </c>
      <c r="E99" s="56">
        <v>6.3291139240506328E-3</v>
      </c>
    </row>
    <row r="100" spans="2:5" ht="15" customHeight="1">
      <c r="B100" s="78"/>
      <c r="C100" s="54" t="s">
        <v>29</v>
      </c>
      <c r="D100" s="55">
        <v>1</v>
      </c>
      <c r="E100" s="56">
        <v>6.3291139240506328E-3</v>
      </c>
    </row>
    <row r="101" spans="2:5" ht="15" customHeight="1">
      <c r="B101" s="78"/>
      <c r="C101" s="54" t="s">
        <v>32</v>
      </c>
      <c r="D101" s="55">
        <v>1</v>
      </c>
      <c r="E101" s="56">
        <v>6.3291139240506328E-3</v>
      </c>
    </row>
    <row r="102" spans="2:5" ht="15" customHeight="1">
      <c r="B102" s="79"/>
      <c r="C102" s="57" t="s">
        <v>15</v>
      </c>
      <c r="D102" s="58">
        <v>6</v>
      </c>
      <c r="E102" s="59">
        <v>3.7974683544303799E-2</v>
      </c>
    </row>
    <row r="103" spans="2:5" ht="15" customHeight="1">
      <c r="B103" s="77" t="s">
        <v>73</v>
      </c>
      <c r="C103" s="54" t="s">
        <v>34</v>
      </c>
      <c r="D103" s="55">
        <v>2</v>
      </c>
      <c r="E103" s="56">
        <v>1.2658227848101266E-2</v>
      </c>
    </row>
    <row r="104" spans="2:5" ht="15" customHeight="1">
      <c r="B104" s="78"/>
      <c r="C104" s="54" t="s">
        <v>29</v>
      </c>
      <c r="D104" s="55">
        <v>1</v>
      </c>
      <c r="E104" s="56">
        <v>6.3291139240506328E-3</v>
      </c>
    </row>
    <row r="105" spans="2:5" ht="15" customHeight="1">
      <c r="B105" s="78"/>
      <c r="C105" s="54" t="s">
        <v>22</v>
      </c>
      <c r="D105" s="55">
        <v>1</v>
      </c>
      <c r="E105" s="56">
        <v>6.3291139240506328E-3</v>
      </c>
    </row>
    <row r="106" spans="2:5" ht="15" customHeight="1">
      <c r="B106" s="78"/>
      <c r="C106" s="54" t="s">
        <v>17</v>
      </c>
      <c r="D106" s="55">
        <v>1</v>
      </c>
      <c r="E106" s="56">
        <v>6.3291139240506328E-3</v>
      </c>
    </row>
    <row r="107" spans="2:5" ht="15" customHeight="1">
      <c r="B107" s="78"/>
      <c r="C107" s="54" t="s">
        <v>21</v>
      </c>
      <c r="D107" s="55">
        <v>1</v>
      </c>
      <c r="E107" s="56">
        <v>6.3291139240506328E-3</v>
      </c>
    </row>
    <row r="108" spans="2:5" ht="15" customHeight="1">
      <c r="B108" s="78"/>
      <c r="C108" s="54" t="s">
        <v>25</v>
      </c>
      <c r="D108" s="55">
        <v>1</v>
      </c>
      <c r="E108" s="56">
        <v>6.3291139240506328E-3</v>
      </c>
    </row>
    <row r="109" spans="2:5" ht="15" customHeight="1">
      <c r="B109" s="78"/>
      <c r="C109" s="54" t="s">
        <v>16</v>
      </c>
      <c r="D109" s="55">
        <v>1</v>
      </c>
      <c r="E109" s="56">
        <v>6.3291139240506328E-3</v>
      </c>
    </row>
    <row r="110" spans="2:5" ht="15" customHeight="1">
      <c r="B110" s="79"/>
      <c r="C110" s="57" t="s">
        <v>15</v>
      </c>
      <c r="D110" s="58">
        <v>8</v>
      </c>
      <c r="E110" s="59">
        <v>5.0632911392405063E-2</v>
      </c>
    </row>
    <row r="111" spans="2:5" ht="15" customHeight="1">
      <c r="B111" s="77" t="s">
        <v>178</v>
      </c>
      <c r="C111" s="54" t="s">
        <v>27</v>
      </c>
      <c r="D111" s="55">
        <v>1</v>
      </c>
      <c r="E111" s="56">
        <v>6.3291139240506328E-3</v>
      </c>
    </row>
    <row r="112" spans="2:5" ht="15" customHeight="1">
      <c r="B112" s="79"/>
      <c r="C112" s="57" t="s">
        <v>15</v>
      </c>
      <c r="D112" s="58">
        <v>1</v>
      </c>
      <c r="E112" s="59">
        <v>6.3291139240506328E-3</v>
      </c>
    </row>
    <row r="113" spans="2:5" ht="15" customHeight="1">
      <c r="B113" s="80" t="s">
        <v>15</v>
      </c>
      <c r="C113" s="81"/>
      <c r="D113" s="60">
        <v>158</v>
      </c>
      <c r="E113" s="61">
        <v>1</v>
      </c>
    </row>
    <row r="114" spans="2:5" ht="15" customHeight="1">
      <c r="B114" s="62"/>
      <c r="C114" s="62"/>
      <c r="D114" s="62"/>
      <c r="E114" s="62"/>
    </row>
    <row r="115" spans="2:5" ht="15" customHeight="1">
      <c r="B115" s="63" t="s">
        <v>168</v>
      </c>
      <c r="C115" s="62"/>
      <c r="D115" s="62"/>
      <c r="E115" s="62"/>
    </row>
    <row r="116" spans="2:5" ht="15" customHeight="1">
      <c r="B116" s="64" t="s">
        <v>14</v>
      </c>
      <c r="C116" s="62"/>
      <c r="D116" s="62"/>
      <c r="E116" s="62"/>
    </row>
    <row r="117" spans="2:5" ht="15" customHeight="1">
      <c r="B117" s="65" t="s">
        <v>13</v>
      </c>
      <c r="C117" s="62"/>
      <c r="D117" s="62"/>
      <c r="E117" s="62"/>
    </row>
    <row r="118" spans="2:5" ht="15" customHeight="1">
      <c r="B118" s="63" t="s">
        <v>12</v>
      </c>
      <c r="C118" s="62"/>
      <c r="D118" s="62"/>
      <c r="E118" s="62"/>
    </row>
    <row r="119" spans="2:5" ht="15" customHeight="1">
      <c r="B119" s="63" t="s">
        <v>169</v>
      </c>
      <c r="C119" s="62"/>
      <c r="D119" s="62"/>
      <c r="E119" s="62"/>
    </row>
  </sheetData>
  <mergeCells count="18">
    <mergeCell ref="B7:E8"/>
    <mergeCell ref="B10:B11"/>
    <mergeCell ref="B12:B14"/>
    <mergeCell ref="B15:B17"/>
    <mergeCell ref="B18:B19"/>
    <mergeCell ref="B97:B102"/>
    <mergeCell ref="B103:B110"/>
    <mergeCell ref="B111:B112"/>
    <mergeCell ref="B113:C113"/>
    <mergeCell ref="B20:B28"/>
    <mergeCell ref="B29:B41"/>
    <mergeCell ref="B42:B44"/>
    <mergeCell ref="B45:B46"/>
    <mergeCell ref="B47:B52"/>
    <mergeCell ref="B53:B68"/>
    <mergeCell ref="B69:B71"/>
    <mergeCell ref="B72:B79"/>
    <mergeCell ref="B80:B9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H16" sqref="H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6" t="s">
        <v>175</v>
      </c>
      <c r="C7" s="76"/>
      <c r="D7" s="76"/>
    </row>
    <row r="8" spans="1:5" s="29" customFormat="1" ht="15" customHeight="1">
      <c r="B8" s="76"/>
      <c r="C8" s="76"/>
      <c r="D8" s="76"/>
    </row>
    <row r="9" spans="1:5" s="29" customFormat="1" ht="33" customHeight="1">
      <c r="B9" s="76"/>
      <c r="C9" s="76"/>
      <c r="D9" s="76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60</v>
      </c>
      <c r="C11" s="31" t="s">
        <v>36</v>
      </c>
      <c r="D11" s="30" t="s">
        <v>35</v>
      </c>
    </row>
    <row r="12" spans="1:5">
      <c r="B12" s="27" t="s">
        <v>59</v>
      </c>
      <c r="C12" s="26">
        <v>123</v>
      </c>
      <c r="D12" s="25">
        <v>0.77848101265822789</v>
      </c>
    </row>
    <row r="13" spans="1:5">
      <c r="B13" s="27" t="s">
        <v>58</v>
      </c>
      <c r="C13" s="26">
        <v>35</v>
      </c>
      <c r="D13" s="25">
        <v>0.22151898734177214</v>
      </c>
    </row>
    <row r="14" spans="1:5">
      <c r="B14" s="24" t="s">
        <v>57</v>
      </c>
      <c r="C14" s="23">
        <v>158</v>
      </c>
      <c r="D14" s="22">
        <v>1</v>
      </c>
    </row>
    <row r="15" spans="1:5">
      <c r="A15" s="28"/>
      <c r="B15" s="28"/>
      <c r="C15" s="49"/>
      <c r="D15" s="28"/>
      <c r="E15" s="28"/>
    </row>
    <row r="16" spans="1:5">
      <c r="B16" s="19" t="s">
        <v>168</v>
      </c>
      <c r="C16" s="49"/>
      <c r="D16" s="28"/>
    </row>
    <row r="17" spans="2:4">
      <c r="B17" s="21" t="s">
        <v>14</v>
      </c>
      <c r="C17" s="50"/>
      <c r="D17" s="50"/>
    </row>
    <row r="18" spans="2:4">
      <c r="B18" s="20" t="s">
        <v>13</v>
      </c>
      <c r="C18" s="51"/>
      <c r="D18" s="51"/>
    </row>
    <row r="19" spans="2:4">
      <c r="B19" s="19" t="s">
        <v>12</v>
      </c>
    </row>
    <row r="20" spans="2:4">
      <c r="B20" s="19" t="s">
        <v>169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showGridLines="0" zoomScaleNormal="100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44" customFormat="1" ht="12" customHeight="1">
      <c r="B1" s="48"/>
      <c r="C1" s="47"/>
      <c r="D1" s="47"/>
      <c r="E1" s="47"/>
    </row>
    <row r="2" spans="1:5" s="44" customFormat="1" ht="15" customHeight="1">
      <c r="C2" s="46"/>
    </row>
    <row r="3" spans="1:5" s="44" customFormat="1" ht="15" customHeight="1">
      <c r="C3" s="46"/>
    </row>
    <row r="4" spans="1:5" s="44" customFormat="1" ht="30" customHeight="1">
      <c r="C4" s="46"/>
      <c r="D4" s="45"/>
    </row>
    <row r="5" spans="1:5" s="44" customFormat="1" ht="15" customHeight="1">
      <c r="C5" s="46"/>
      <c r="D5" s="45"/>
    </row>
    <row r="6" spans="1:5" s="41" customFormat="1" ht="24" customHeight="1">
      <c r="B6" s="43"/>
      <c r="C6" s="40"/>
      <c r="D6" s="40"/>
      <c r="E6" s="40"/>
    </row>
    <row r="7" spans="1:5" s="41" customFormat="1" ht="26.25" customHeight="1">
      <c r="A7" s="42"/>
      <c r="B7" s="82"/>
      <c r="C7" s="82"/>
      <c r="D7" s="82"/>
      <c r="E7" s="82"/>
    </row>
    <row r="8" spans="1:5" s="41" customFormat="1" ht="33" customHeight="1">
      <c r="A8" s="42"/>
      <c r="B8" s="82"/>
      <c r="C8" s="82"/>
      <c r="D8" s="82"/>
      <c r="E8" s="82"/>
    </row>
    <row r="9" spans="1:5" s="29" customFormat="1" ht="40.5" customHeight="1">
      <c r="B9" s="52" t="s">
        <v>37</v>
      </c>
      <c r="C9" s="52" t="s">
        <v>60</v>
      </c>
      <c r="D9" s="53" t="s">
        <v>36</v>
      </c>
      <c r="E9" s="52" t="s">
        <v>35</v>
      </c>
    </row>
    <row r="10" spans="1:5" ht="15" customHeight="1">
      <c r="B10" s="77" t="s">
        <v>23</v>
      </c>
      <c r="C10" s="54" t="s">
        <v>62</v>
      </c>
      <c r="D10" s="55">
        <v>3</v>
      </c>
      <c r="E10" s="56">
        <v>1.8987341772151899E-2</v>
      </c>
    </row>
    <row r="11" spans="1:5" ht="15" customHeight="1">
      <c r="B11" s="78"/>
      <c r="C11" s="54" t="s">
        <v>61</v>
      </c>
      <c r="D11" s="55">
        <v>1</v>
      </c>
      <c r="E11" s="56">
        <v>6.3291139240506328E-3</v>
      </c>
    </row>
    <row r="12" spans="1:5" ht="15" customHeight="1">
      <c r="B12" s="79"/>
      <c r="C12" s="57" t="s">
        <v>15</v>
      </c>
      <c r="D12" s="58">
        <v>4</v>
      </c>
      <c r="E12" s="59">
        <v>2.5316455696202531E-2</v>
      </c>
    </row>
    <row r="13" spans="1:5" ht="15" customHeight="1">
      <c r="B13" s="77" t="s">
        <v>28</v>
      </c>
      <c r="C13" s="54" t="s">
        <v>61</v>
      </c>
      <c r="D13" s="55">
        <v>1</v>
      </c>
      <c r="E13" s="56">
        <v>6.3291139240506328E-3</v>
      </c>
    </row>
    <row r="14" spans="1:5" ht="15" customHeight="1">
      <c r="B14" s="79"/>
      <c r="C14" s="57" t="s">
        <v>15</v>
      </c>
      <c r="D14" s="58">
        <v>1</v>
      </c>
      <c r="E14" s="59">
        <v>6.3291139240506328E-3</v>
      </c>
    </row>
    <row r="15" spans="1:5" ht="15" customHeight="1">
      <c r="B15" s="77" t="s">
        <v>19</v>
      </c>
      <c r="C15" s="54" t="s">
        <v>62</v>
      </c>
      <c r="D15" s="55">
        <v>4</v>
      </c>
      <c r="E15" s="56">
        <v>2.5316455696202531E-2</v>
      </c>
    </row>
    <row r="16" spans="1:5" ht="15" customHeight="1">
      <c r="B16" s="79"/>
      <c r="C16" s="57" t="s">
        <v>15</v>
      </c>
      <c r="D16" s="58">
        <v>4</v>
      </c>
      <c r="E16" s="59">
        <v>2.5316455696202531E-2</v>
      </c>
    </row>
    <row r="17" spans="2:5" ht="15" customHeight="1">
      <c r="B17" s="77" t="s">
        <v>27</v>
      </c>
      <c r="C17" s="54" t="s">
        <v>62</v>
      </c>
      <c r="D17" s="55">
        <v>4</v>
      </c>
      <c r="E17" s="56">
        <v>2.5316455696202531E-2</v>
      </c>
    </row>
    <row r="18" spans="2:5" ht="15" customHeight="1">
      <c r="B18" s="78"/>
      <c r="C18" s="54" t="s">
        <v>61</v>
      </c>
      <c r="D18" s="55">
        <v>3</v>
      </c>
      <c r="E18" s="56">
        <v>1.8987341772151899E-2</v>
      </c>
    </row>
    <row r="19" spans="2:5" ht="15" customHeight="1">
      <c r="B19" s="79"/>
      <c r="C19" s="57" t="s">
        <v>15</v>
      </c>
      <c r="D19" s="58">
        <v>7</v>
      </c>
      <c r="E19" s="59">
        <v>4.4303797468354431E-2</v>
      </c>
    </row>
    <row r="20" spans="2:5" ht="15" customHeight="1">
      <c r="B20" s="77" t="s">
        <v>24</v>
      </c>
      <c r="C20" s="54" t="s">
        <v>62</v>
      </c>
      <c r="D20" s="55">
        <v>1</v>
      </c>
      <c r="E20" s="56">
        <v>6.3291139240506328E-3</v>
      </c>
    </row>
    <row r="21" spans="2:5" ht="15" customHeight="1">
      <c r="B21" s="78"/>
      <c r="C21" s="54" t="s">
        <v>61</v>
      </c>
      <c r="D21" s="55">
        <v>1</v>
      </c>
      <c r="E21" s="56">
        <v>6.3291139240506328E-3</v>
      </c>
    </row>
    <row r="22" spans="2:5" ht="15" customHeight="1">
      <c r="B22" s="79"/>
      <c r="C22" s="57" t="s">
        <v>15</v>
      </c>
      <c r="D22" s="58">
        <v>2</v>
      </c>
      <c r="E22" s="59">
        <v>1.2658227848101266E-2</v>
      </c>
    </row>
    <row r="23" spans="2:5" ht="15" customHeight="1">
      <c r="B23" s="77" t="s">
        <v>106</v>
      </c>
      <c r="C23" s="54" t="s">
        <v>61</v>
      </c>
      <c r="D23" s="55">
        <v>1</v>
      </c>
      <c r="E23" s="56">
        <v>6.3291139240506328E-3</v>
      </c>
    </row>
    <row r="24" spans="2:5" ht="15" customHeight="1">
      <c r="B24" s="79"/>
      <c r="C24" s="57" t="s">
        <v>15</v>
      </c>
      <c r="D24" s="58">
        <v>1</v>
      </c>
      <c r="E24" s="59">
        <v>6.3291139240506328E-3</v>
      </c>
    </row>
    <row r="25" spans="2:5" ht="15" customHeight="1">
      <c r="B25" s="77" t="s">
        <v>33</v>
      </c>
      <c r="C25" s="54" t="s">
        <v>62</v>
      </c>
      <c r="D25" s="55">
        <v>5</v>
      </c>
      <c r="E25" s="56">
        <v>3.1645569620253167E-2</v>
      </c>
    </row>
    <row r="26" spans="2:5" ht="15" customHeight="1">
      <c r="B26" s="78"/>
      <c r="C26" s="54" t="s">
        <v>61</v>
      </c>
      <c r="D26" s="55">
        <v>4</v>
      </c>
      <c r="E26" s="56">
        <v>2.5316455696202531E-2</v>
      </c>
    </row>
    <row r="27" spans="2:5" ht="15" customHeight="1">
      <c r="B27" s="79"/>
      <c r="C27" s="57" t="s">
        <v>15</v>
      </c>
      <c r="D27" s="58">
        <v>9</v>
      </c>
      <c r="E27" s="59">
        <v>5.6962025316455694E-2</v>
      </c>
    </row>
    <row r="28" spans="2:5" ht="15" customHeight="1">
      <c r="B28" s="77" t="s">
        <v>31</v>
      </c>
      <c r="C28" s="54" t="s">
        <v>62</v>
      </c>
      <c r="D28" s="55">
        <v>14</v>
      </c>
      <c r="E28" s="56">
        <v>8.8607594936708861E-2</v>
      </c>
    </row>
    <row r="29" spans="2:5" ht="15" customHeight="1">
      <c r="B29" s="79"/>
      <c r="C29" s="57" t="s">
        <v>15</v>
      </c>
      <c r="D29" s="58">
        <v>14</v>
      </c>
      <c r="E29" s="59">
        <v>8.8607594936708861E-2</v>
      </c>
    </row>
    <row r="30" spans="2:5" ht="15" customHeight="1">
      <c r="B30" s="77" t="s">
        <v>26</v>
      </c>
      <c r="C30" s="54" t="s">
        <v>62</v>
      </c>
      <c r="D30" s="55">
        <v>8</v>
      </c>
      <c r="E30" s="56">
        <v>5.0632911392405063E-2</v>
      </c>
    </row>
    <row r="31" spans="2:5" ht="15" customHeight="1">
      <c r="B31" s="78"/>
      <c r="C31" s="54" t="s">
        <v>61</v>
      </c>
      <c r="D31" s="55">
        <v>2</v>
      </c>
      <c r="E31" s="56">
        <v>1.2658227848101266E-2</v>
      </c>
    </row>
    <row r="32" spans="2:5" ht="15" customHeight="1">
      <c r="B32" s="79"/>
      <c r="C32" s="57" t="s">
        <v>15</v>
      </c>
      <c r="D32" s="58">
        <v>10</v>
      </c>
      <c r="E32" s="59">
        <v>6.3291139240506333E-2</v>
      </c>
    </row>
    <row r="33" spans="2:5" ht="15" customHeight="1">
      <c r="B33" s="77" t="s">
        <v>30</v>
      </c>
      <c r="C33" s="54" t="s">
        <v>62</v>
      </c>
      <c r="D33" s="55">
        <v>1</v>
      </c>
      <c r="E33" s="56">
        <v>6.3291139240506328E-3</v>
      </c>
    </row>
    <row r="34" spans="2:5" ht="15" customHeight="1">
      <c r="B34" s="78"/>
      <c r="C34" s="54" t="s">
        <v>61</v>
      </c>
      <c r="D34" s="55">
        <v>1</v>
      </c>
      <c r="E34" s="56">
        <v>6.3291139240506328E-3</v>
      </c>
    </row>
    <row r="35" spans="2:5" ht="15" customHeight="1">
      <c r="B35" s="79"/>
      <c r="C35" s="57" t="s">
        <v>15</v>
      </c>
      <c r="D35" s="58">
        <v>2</v>
      </c>
      <c r="E35" s="59">
        <v>1.2658227848101266E-2</v>
      </c>
    </row>
    <row r="36" spans="2:5" ht="15" customHeight="1">
      <c r="B36" s="77" t="s">
        <v>74</v>
      </c>
      <c r="C36" s="54" t="s">
        <v>62</v>
      </c>
      <c r="D36" s="55">
        <v>1</v>
      </c>
      <c r="E36" s="56">
        <v>6.3291139240506328E-3</v>
      </c>
    </row>
    <row r="37" spans="2:5" ht="15" customHeight="1">
      <c r="B37" s="78"/>
      <c r="C37" s="54" t="s">
        <v>61</v>
      </c>
      <c r="D37" s="55">
        <v>1</v>
      </c>
      <c r="E37" s="56">
        <v>6.3291139240506328E-3</v>
      </c>
    </row>
    <row r="38" spans="2:5" ht="15" customHeight="1">
      <c r="B38" s="79"/>
      <c r="C38" s="57" t="s">
        <v>15</v>
      </c>
      <c r="D38" s="58">
        <v>2</v>
      </c>
      <c r="E38" s="59">
        <v>1.2658227848101266E-2</v>
      </c>
    </row>
    <row r="39" spans="2:5" ht="15" customHeight="1">
      <c r="B39" s="77" t="s">
        <v>34</v>
      </c>
      <c r="C39" s="54" t="s">
        <v>62</v>
      </c>
      <c r="D39" s="55">
        <v>9</v>
      </c>
      <c r="E39" s="56">
        <v>5.6962025316455694E-2</v>
      </c>
    </row>
    <row r="40" spans="2:5" ht="15" customHeight="1">
      <c r="B40" s="78"/>
      <c r="C40" s="54" t="s">
        <v>61</v>
      </c>
      <c r="D40" s="55">
        <v>4</v>
      </c>
      <c r="E40" s="56">
        <v>2.5316455696202531E-2</v>
      </c>
    </row>
    <row r="41" spans="2:5" ht="15" customHeight="1">
      <c r="B41" s="79"/>
      <c r="C41" s="57" t="s">
        <v>15</v>
      </c>
      <c r="D41" s="58">
        <v>13</v>
      </c>
      <c r="E41" s="59">
        <v>8.2278481012658222E-2</v>
      </c>
    </row>
    <row r="42" spans="2:5" ht="15" customHeight="1">
      <c r="B42" s="77" t="s">
        <v>29</v>
      </c>
      <c r="C42" s="54" t="s">
        <v>62</v>
      </c>
      <c r="D42" s="55">
        <v>14</v>
      </c>
      <c r="E42" s="56">
        <v>8.8607594936708861E-2</v>
      </c>
    </row>
    <row r="43" spans="2:5" ht="15" customHeight="1">
      <c r="B43" s="78"/>
      <c r="C43" s="54" t="s">
        <v>61</v>
      </c>
      <c r="D43" s="55">
        <v>5</v>
      </c>
      <c r="E43" s="56">
        <v>3.1645569620253167E-2</v>
      </c>
    </row>
    <row r="44" spans="2:5" ht="15" customHeight="1">
      <c r="B44" s="79"/>
      <c r="C44" s="57" t="s">
        <v>15</v>
      </c>
      <c r="D44" s="58">
        <v>19</v>
      </c>
      <c r="E44" s="59">
        <v>0.12025316455696203</v>
      </c>
    </row>
    <row r="45" spans="2:5" ht="15" customHeight="1">
      <c r="B45" s="77" t="s">
        <v>32</v>
      </c>
      <c r="C45" s="54" t="s">
        <v>62</v>
      </c>
      <c r="D45" s="55">
        <v>11</v>
      </c>
      <c r="E45" s="56">
        <v>6.9620253164556958E-2</v>
      </c>
    </row>
    <row r="46" spans="2:5" ht="15" customHeight="1">
      <c r="B46" s="79"/>
      <c r="C46" s="57" t="s">
        <v>15</v>
      </c>
      <c r="D46" s="58">
        <v>11</v>
      </c>
      <c r="E46" s="59">
        <v>6.9620253164556958E-2</v>
      </c>
    </row>
    <row r="47" spans="2:5" ht="15" customHeight="1">
      <c r="B47" s="77" t="s">
        <v>22</v>
      </c>
      <c r="C47" s="54" t="s">
        <v>62</v>
      </c>
      <c r="D47" s="55">
        <v>10</v>
      </c>
      <c r="E47" s="56">
        <v>6.3291139240506333E-2</v>
      </c>
    </row>
    <row r="48" spans="2:5" ht="15" customHeight="1">
      <c r="B48" s="79"/>
      <c r="C48" s="57" t="s">
        <v>15</v>
      </c>
      <c r="D48" s="58">
        <v>10</v>
      </c>
      <c r="E48" s="59">
        <v>6.3291139240506333E-2</v>
      </c>
    </row>
    <row r="49" spans="2:6" ht="15" customHeight="1">
      <c r="B49" s="77" t="s">
        <v>18</v>
      </c>
      <c r="C49" s="54" t="s">
        <v>62</v>
      </c>
      <c r="D49" s="55">
        <v>5</v>
      </c>
      <c r="E49" s="56">
        <v>3.1645569620253167E-2</v>
      </c>
    </row>
    <row r="50" spans="2:6" ht="15" customHeight="1">
      <c r="B50" s="78"/>
      <c r="C50" s="54" t="s">
        <v>61</v>
      </c>
      <c r="D50" s="55">
        <v>1</v>
      </c>
      <c r="E50" s="56">
        <v>6.3291139240506328E-3</v>
      </c>
    </row>
    <row r="51" spans="2:6" ht="15" customHeight="1">
      <c r="B51" s="79"/>
      <c r="C51" s="57" t="s">
        <v>15</v>
      </c>
      <c r="D51" s="58">
        <v>6</v>
      </c>
      <c r="E51" s="59">
        <v>3.7974683544303799E-2</v>
      </c>
    </row>
    <row r="52" spans="2:6" ht="15" customHeight="1">
      <c r="B52" s="77" t="s">
        <v>17</v>
      </c>
      <c r="C52" s="54" t="s">
        <v>62</v>
      </c>
      <c r="D52" s="55">
        <v>6</v>
      </c>
      <c r="E52" s="56">
        <v>3.7974683544303799E-2</v>
      </c>
    </row>
    <row r="53" spans="2:6" ht="15" customHeight="1">
      <c r="B53" s="78"/>
      <c r="C53" s="54" t="s">
        <v>61</v>
      </c>
      <c r="D53" s="55">
        <v>1</v>
      </c>
      <c r="E53" s="56">
        <v>6.3291139240506328E-3</v>
      </c>
    </row>
    <row r="54" spans="2:6" ht="15" customHeight="1">
      <c r="B54" s="79"/>
      <c r="C54" s="57" t="s">
        <v>15</v>
      </c>
      <c r="D54" s="58">
        <v>7</v>
      </c>
      <c r="E54" s="59">
        <v>4.4303797468354431E-2</v>
      </c>
    </row>
    <row r="55" spans="2:6" ht="15" customHeight="1">
      <c r="B55" s="77" t="s">
        <v>21</v>
      </c>
      <c r="C55" s="54" t="s">
        <v>62</v>
      </c>
      <c r="D55" s="55">
        <v>2</v>
      </c>
      <c r="E55" s="56">
        <v>1.2658227848101266E-2</v>
      </c>
    </row>
    <row r="56" spans="2:6" ht="15" customHeight="1">
      <c r="B56" s="78"/>
      <c r="C56" s="54" t="s">
        <v>61</v>
      </c>
      <c r="D56" s="55">
        <v>3</v>
      </c>
      <c r="E56" s="56">
        <v>1.8987341772151899E-2</v>
      </c>
    </row>
    <row r="57" spans="2:6" ht="15" customHeight="1">
      <c r="B57" s="79"/>
      <c r="C57" s="57" t="s">
        <v>15</v>
      </c>
      <c r="D57" s="58">
        <v>5</v>
      </c>
      <c r="E57" s="59">
        <v>3.1645569620253167E-2</v>
      </c>
    </row>
    <row r="58" spans="2:6" ht="15" customHeight="1">
      <c r="B58" s="77" t="s">
        <v>151</v>
      </c>
      <c r="C58" s="54" t="s">
        <v>61</v>
      </c>
      <c r="D58" s="55">
        <v>1</v>
      </c>
      <c r="E58" s="56">
        <v>6.3291139240506328E-3</v>
      </c>
    </row>
    <row r="59" spans="2:6" ht="15" customHeight="1">
      <c r="B59" s="79"/>
      <c r="C59" s="57" t="s">
        <v>15</v>
      </c>
      <c r="D59" s="58">
        <v>1</v>
      </c>
      <c r="E59" s="59">
        <v>6.3291139240506328E-3</v>
      </c>
    </row>
    <row r="60" spans="2:6" ht="15" customHeight="1">
      <c r="B60" s="77" t="s">
        <v>20</v>
      </c>
      <c r="C60" s="54" t="s">
        <v>62</v>
      </c>
      <c r="D60" s="55">
        <v>1</v>
      </c>
      <c r="E60" s="56">
        <v>6.3291139240506328E-3</v>
      </c>
    </row>
    <row r="61" spans="2:6" ht="15" customHeight="1">
      <c r="B61" s="78"/>
      <c r="C61" s="54" t="s">
        <v>61</v>
      </c>
      <c r="D61" s="55">
        <v>1</v>
      </c>
      <c r="E61" s="56">
        <v>6.3291139240506328E-3</v>
      </c>
    </row>
    <row r="62" spans="2:6" ht="15" customHeight="1">
      <c r="B62" s="79"/>
      <c r="C62" s="57" t="s">
        <v>15</v>
      </c>
      <c r="D62" s="58">
        <v>2</v>
      </c>
      <c r="E62" s="59">
        <v>1.2658227848101266E-2</v>
      </c>
      <c r="F62" s="17"/>
    </row>
    <row r="63" spans="2:6" ht="15" customHeight="1">
      <c r="B63" s="77" t="s">
        <v>155</v>
      </c>
      <c r="C63" s="54" t="s">
        <v>62</v>
      </c>
      <c r="D63" s="55">
        <v>1</v>
      </c>
      <c r="E63" s="56">
        <v>6.3291139240506328E-3</v>
      </c>
      <c r="F63" s="17"/>
    </row>
    <row r="64" spans="2:6" ht="15" customHeight="1">
      <c r="B64" s="79"/>
      <c r="C64" s="57" t="s">
        <v>15</v>
      </c>
      <c r="D64" s="58">
        <v>1</v>
      </c>
      <c r="E64" s="59">
        <v>6.3291139240506328E-3</v>
      </c>
      <c r="F64" s="17"/>
    </row>
    <row r="65" spans="2:6" ht="15" customHeight="1">
      <c r="B65" s="77" t="s">
        <v>25</v>
      </c>
      <c r="C65" s="54" t="s">
        <v>62</v>
      </c>
      <c r="D65" s="55">
        <v>20</v>
      </c>
      <c r="E65" s="56">
        <v>0.12658227848101267</v>
      </c>
      <c r="F65" s="17"/>
    </row>
    <row r="66" spans="2:6" ht="15" customHeight="1">
      <c r="B66" s="78"/>
      <c r="C66" s="54" t="s">
        <v>61</v>
      </c>
      <c r="D66" s="55">
        <v>1</v>
      </c>
      <c r="E66" s="56">
        <v>6.3291139240506328E-3</v>
      </c>
      <c r="F66" s="17"/>
    </row>
    <row r="67" spans="2:6" ht="15" customHeight="1">
      <c r="B67" s="79"/>
      <c r="C67" s="57" t="s">
        <v>15</v>
      </c>
      <c r="D67" s="58">
        <v>21</v>
      </c>
      <c r="E67" s="59">
        <v>0.13291139240506328</v>
      </c>
    </row>
    <row r="68" spans="2:6" ht="15" customHeight="1">
      <c r="B68" s="77" t="s">
        <v>16</v>
      </c>
      <c r="C68" s="54" t="s">
        <v>62</v>
      </c>
      <c r="D68" s="55">
        <v>3</v>
      </c>
      <c r="E68" s="56">
        <v>1.8987341772151899E-2</v>
      </c>
    </row>
    <row r="69" spans="2:6" ht="15" customHeight="1">
      <c r="B69" s="78"/>
      <c r="C69" s="54" t="s">
        <v>61</v>
      </c>
      <c r="D69" s="55">
        <v>3</v>
      </c>
      <c r="E69" s="56">
        <v>1.8987341772151899E-2</v>
      </c>
    </row>
    <row r="70" spans="2:6" ht="15" customHeight="1">
      <c r="B70" s="79"/>
      <c r="C70" s="57" t="s">
        <v>15</v>
      </c>
      <c r="D70" s="58">
        <v>6</v>
      </c>
      <c r="E70" s="59">
        <v>3.7974683544303799E-2</v>
      </c>
    </row>
    <row r="71" spans="2:6" ht="15" customHeight="1">
      <c r="B71" s="80" t="s">
        <v>15</v>
      </c>
      <c r="C71" s="81"/>
      <c r="D71" s="60">
        <f>SUMIF(C10:C70,"TOTAL",D10:D70)</f>
        <v>158</v>
      </c>
      <c r="E71" s="61">
        <v>1</v>
      </c>
    </row>
    <row r="72" spans="2:6" ht="15" customHeight="1">
      <c r="B72" s="62"/>
      <c r="C72" s="62"/>
      <c r="D72" s="62"/>
      <c r="E72" s="62"/>
    </row>
    <row r="73" spans="2:6" ht="15" customHeight="1">
      <c r="B73" s="63" t="s">
        <v>168</v>
      </c>
      <c r="C73" s="62"/>
      <c r="D73" s="62"/>
      <c r="E73" s="62"/>
    </row>
    <row r="74" spans="2:6" ht="15" customHeight="1">
      <c r="B74" s="64" t="s">
        <v>14</v>
      </c>
      <c r="C74" s="62"/>
      <c r="D74" s="62"/>
      <c r="E74" s="62"/>
    </row>
    <row r="75" spans="2:6" ht="15" customHeight="1">
      <c r="B75" s="65" t="s">
        <v>13</v>
      </c>
      <c r="C75" s="62"/>
      <c r="D75" s="62"/>
      <c r="E75" s="62"/>
    </row>
    <row r="76" spans="2:6" ht="15" customHeight="1">
      <c r="B76" s="63" t="s">
        <v>12</v>
      </c>
      <c r="C76" s="62"/>
      <c r="D76" s="62"/>
      <c r="E76" s="62"/>
    </row>
    <row r="77" spans="2:6" ht="15" customHeight="1">
      <c r="B77" s="63" t="s">
        <v>169</v>
      </c>
      <c r="C77" s="62"/>
      <c r="D77" s="62"/>
      <c r="E77" s="62"/>
    </row>
    <row r="78" spans="2:6" ht="15" customHeight="1">
      <c r="B78" s="20"/>
    </row>
    <row r="79" spans="2:6" ht="15" customHeight="1">
      <c r="B79" s="19"/>
    </row>
    <row r="80" spans="2:6" ht="15" customHeight="1">
      <c r="B80" s="19"/>
    </row>
    <row r="377" spans="2:2" s="37" customFormat="1" ht="15" customHeight="1">
      <c r="B377" s="38"/>
    </row>
    <row r="378" spans="2:2" s="37" customFormat="1" ht="15" customHeight="1">
      <c r="B378" s="39"/>
    </row>
    <row r="379" spans="2:2" s="37" customFormat="1" ht="15" customHeight="1">
      <c r="B379" s="39"/>
    </row>
    <row r="380" spans="2:2" s="37" customFormat="1" ht="15" customHeight="1">
      <c r="B380" s="38"/>
    </row>
    <row r="381" spans="2:2" s="37" customFormat="1" ht="15" customHeight="1">
      <c r="B381" s="38"/>
    </row>
  </sheetData>
  <mergeCells count="25">
    <mergeCell ref="B68:B70"/>
    <mergeCell ref="B60:B62"/>
    <mergeCell ref="B63:B64"/>
    <mergeCell ref="B65:B67"/>
    <mergeCell ref="B71:C71"/>
    <mergeCell ref="B25:B27"/>
    <mergeCell ref="B23:B24"/>
    <mergeCell ref="B39:B41"/>
    <mergeCell ref="B10:B12"/>
    <mergeCell ref="B7:E8"/>
    <mergeCell ref="B13:B14"/>
    <mergeCell ref="B15:B16"/>
    <mergeCell ref="B17:B19"/>
    <mergeCell ref="B20:B22"/>
    <mergeCell ref="B28:B29"/>
    <mergeCell ref="B30:B32"/>
    <mergeCell ref="B33:B35"/>
    <mergeCell ref="B36:B38"/>
    <mergeCell ref="B45:B46"/>
    <mergeCell ref="B42:B44"/>
    <mergeCell ref="B47:B48"/>
    <mergeCell ref="B49:B51"/>
    <mergeCell ref="B52:B54"/>
    <mergeCell ref="B55:B57"/>
    <mergeCell ref="B58:B5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5"/>
  <sheetViews>
    <sheetView showGridLines="0" zoomScaleNormal="100" zoomScaleSheetLayoutView="100" workbookViewId="0">
      <selection activeCell="F22" sqref="F21:F2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44" customFormat="1" ht="12" customHeight="1">
      <c r="B1" s="48"/>
      <c r="C1" s="47"/>
      <c r="D1" s="47"/>
      <c r="E1" s="47"/>
    </row>
    <row r="2" spans="1:5" s="44" customFormat="1" ht="15" customHeight="1">
      <c r="C2" s="46"/>
    </row>
    <row r="3" spans="1:5" s="44" customFormat="1" ht="15" customHeight="1">
      <c r="C3" s="46"/>
    </row>
    <row r="4" spans="1:5" s="44" customFormat="1" ht="30" customHeight="1">
      <c r="C4" s="46"/>
      <c r="D4" s="45"/>
    </row>
    <row r="5" spans="1:5" s="44" customFormat="1" ht="15" customHeight="1">
      <c r="C5" s="46"/>
      <c r="D5" s="45"/>
    </row>
    <row r="6" spans="1:5" s="41" customFormat="1" ht="24" customHeight="1">
      <c r="B6" s="43"/>
      <c r="C6" s="40"/>
      <c r="D6" s="40"/>
      <c r="E6" s="40"/>
    </row>
    <row r="7" spans="1:5" s="41" customFormat="1" ht="26.25" customHeight="1">
      <c r="A7" s="42"/>
      <c r="B7" s="82"/>
      <c r="C7" s="82"/>
      <c r="D7" s="82"/>
      <c r="E7" s="82"/>
    </row>
    <row r="8" spans="1:5" s="41" customFormat="1" ht="33" customHeight="1">
      <c r="A8" s="42"/>
      <c r="B8" s="82"/>
      <c r="C8" s="82"/>
      <c r="D8" s="82"/>
      <c r="E8" s="82"/>
    </row>
    <row r="9" spans="1:5" s="29" customFormat="1" ht="40.5" customHeight="1">
      <c r="B9" s="52" t="s">
        <v>60</v>
      </c>
      <c r="C9" s="52" t="s">
        <v>67</v>
      </c>
      <c r="D9" s="53" t="s">
        <v>36</v>
      </c>
      <c r="E9" s="52" t="s">
        <v>35</v>
      </c>
    </row>
    <row r="10" spans="1:5" ht="15" customHeight="1">
      <c r="B10" s="77" t="s">
        <v>62</v>
      </c>
      <c r="C10" s="54" t="s">
        <v>66</v>
      </c>
      <c r="D10" s="55">
        <v>42</v>
      </c>
      <c r="E10" s="56">
        <v>0.26582278481012656</v>
      </c>
    </row>
    <row r="11" spans="1:5" ht="15" customHeight="1">
      <c r="B11" s="78"/>
      <c r="C11" s="54" t="s">
        <v>65</v>
      </c>
      <c r="D11" s="55">
        <v>49</v>
      </c>
      <c r="E11" s="56">
        <v>0.310126582278481</v>
      </c>
    </row>
    <row r="12" spans="1:5" ht="15" customHeight="1">
      <c r="B12" s="78"/>
      <c r="C12" s="54" t="s">
        <v>64</v>
      </c>
      <c r="D12" s="55">
        <v>26</v>
      </c>
      <c r="E12" s="56">
        <v>0.16455696202531644</v>
      </c>
    </row>
    <row r="13" spans="1:5" ht="15" customHeight="1">
      <c r="B13" s="79"/>
      <c r="C13" s="54" t="s">
        <v>63</v>
      </c>
      <c r="D13" s="55">
        <v>6</v>
      </c>
      <c r="E13" s="56">
        <v>3.7974683544303799E-2</v>
      </c>
    </row>
    <row r="14" spans="1:5" ht="15" customHeight="1">
      <c r="B14" s="77" t="s">
        <v>61</v>
      </c>
      <c r="C14" s="54" t="s">
        <v>66</v>
      </c>
      <c r="D14" s="55">
        <v>7</v>
      </c>
      <c r="E14" s="56">
        <v>4.4303797468354431E-2</v>
      </c>
    </row>
    <row r="15" spans="1:5" ht="15" customHeight="1">
      <c r="B15" s="78"/>
      <c r="C15" s="54" t="s">
        <v>65</v>
      </c>
      <c r="D15" s="55">
        <v>13</v>
      </c>
      <c r="E15" s="56">
        <v>8.2278481012658222E-2</v>
      </c>
    </row>
    <row r="16" spans="1:5" ht="15" customHeight="1">
      <c r="B16" s="78"/>
      <c r="C16" s="54" t="s">
        <v>64</v>
      </c>
      <c r="D16" s="55">
        <v>10</v>
      </c>
      <c r="E16" s="56">
        <v>6.3291139240506333E-2</v>
      </c>
    </row>
    <row r="17" spans="2:6" ht="15" customHeight="1">
      <c r="B17" s="79"/>
      <c r="C17" s="54" t="s">
        <v>63</v>
      </c>
      <c r="D17" s="55">
        <v>5</v>
      </c>
      <c r="E17" s="56">
        <v>3.1645569620253167E-2</v>
      </c>
    </row>
    <row r="18" spans="2:6" ht="15" customHeight="1">
      <c r="B18" s="80" t="s">
        <v>15</v>
      </c>
      <c r="C18" s="81"/>
      <c r="D18" s="60">
        <v>158</v>
      </c>
      <c r="E18" s="61">
        <v>1</v>
      </c>
    </row>
    <row r="19" spans="2:6" ht="15" customHeight="1">
      <c r="B19" s="63"/>
      <c r="C19" s="66"/>
      <c r="D19" s="66"/>
      <c r="E19" s="66"/>
    </row>
    <row r="20" spans="2:6" ht="15" customHeight="1">
      <c r="B20" s="63" t="s">
        <v>168</v>
      </c>
      <c r="C20" s="62"/>
      <c r="D20" s="62"/>
      <c r="E20" s="62"/>
    </row>
    <row r="21" spans="2:6" ht="15" customHeight="1">
      <c r="B21" s="64" t="s">
        <v>14</v>
      </c>
      <c r="C21" s="62"/>
      <c r="D21" s="62"/>
      <c r="E21" s="62"/>
    </row>
    <row r="22" spans="2:6" ht="15" customHeight="1">
      <c r="B22" s="65" t="s">
        <v>13</v>
      </c>
      <c r="C22" s="62"/>
      <c r="D22" s="62"/>
      <c r="E22" s="62"/>
    </row>
    <row r="23" spans="2:6" ht="15" customHeight="1">
      <c r="B23" s="63" t="s">
        <v>12</v>
      </c>
      <c r="C23" s="62"/>
      <c r="D23" s="62"/>
      <c r="E23" s="62"/>
      <c r="F23" s="17"/>
    </row>
    <row r="24" spans="2:6" ht="15" customHeight="1">
      <c r="B24" s="63" t="s">
        <v>169</v>
      </c>
      <c r="C24" s="62"/>
      <c r="D24" s="62"/>
      <c r="E24" s="62"/>
      <c r="F24" s="17"/>
    </row>
    <row r="25" spans="2:6" ht="15" customHeight="1">
      <c r="B25" s="20"/>
      <c r="F25" s="17"/>
    </row>
    <row r="26" spans="2:6" ht="15" customHeight="1">
      <c r="B26" s="19"/>
      <c r="F26" s="17"/>
    </row>
    <row r="27" spans="2:6" ht="15" customHeight="1">
      <c r="B27" s="19"/>
      <c r="F27" s="17"/>
    </row>
    <row r="461" spans="2:2" s="37" customFormat="1" ht="15" customHeight="1">
      <c r="B461" s="38"/>
    </row>
    <row r="462" spans="2:2" s="37" customFormat="1" ht="15" customHeight="1">
      <c r="B462" s="39"/>
    </row>
    <row r="463" spans="2:2" s="37" customFormat="1" ht="15" customHeight="1">
      <c r="B463" s="39"/>
    </row>
    <row r="464" spans="2:2" s="37" customFormat="1" ht="15" customHeight="1">
      <c r="B464" s="38"/>
    </row>
    <row r="465" spans="2:2" s="37" customFormat="1" ht="15" customHeight="1">
      <c r="B465" s="38"/>
    </row>
  </sheetData>
  <mergeCells count="4">
    <mergeCell ref="B7:E8"/>
    <mergeCell ref="B10:B13"/>
    <mergeCell ref="B14:B17"/>
    <mergeCell ref="B18:C1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5"/>
  <sheetViews>
    <sheetView showGridLines="0" zoomScaleNormal="100" zoomScaleSheetLayoutView="115" workbookViewId="0">
      <selection activeCell="G19" sqref="G1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6" t="s">
        <v>171</v>
      </c>
      <c r="C7" s="76"/>
      <c r="D7" s="76"/>
    </row>
    <row r="8" spans="1:5" s="29" customFormat="1" ht="15" customHeight="1">
      <c r="B8" s="76"/>
      <c r="C8" s="76"/>
      <c r="D8" s="76"/>
    </row>
    <row r="9" spans="1:5" s="29" customFormat="1" ht="33" customHeight="1">
      <c r="B9" s="76"/>
      <c r="C9" s="76"/>
      <c r="D9" s="76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72</v>
      </c>
      <c r="C11" s="31" t="s">
        <v>36</v>
      </c>
      <c r="D11" s="30" t="s">
        <v>35</v>
      </c>
    </row>
    <row r="12" spans="1:5">
      <c r="B12" s="27" t="s">
        <v>71</v>
      </c>
      <c r="C12" s="26">
        <v>125</v>
      </c>
      <c r="D12" s="25">
        <v>0.79113924050632911</v>
      </c>
    </row>
    <row r="13" spans="1:5">
      <c r="B13" s="27" t="s">
        <v>70</v>
      </c>
      <c r="C13" s="26">
        <v>20</v>
      </c>
      <c r="D13" s="25">
        <v>0.12658227848101267</v>
      </c>
    </row>
    <row r="14" spans="1:5">
      <c r="A14" s="28"/>
      <c r="B14" s="27" t="s">
        <v>68</v>
      </c>
      <c r="C14" s="26">
        <v>7</v>
      </c>
      <c r="D14" s="25">
        <v>4.4303797468354431E-2</v>
      </c>
      <c r="E14" s="28"/>
    </row>
    <row r="15" spans="1:5">
      <c r="A15" s="28"/>
      <c r="B15" s="27" t="s">
        <v>69</v>
      </c>
      <c r="C15" s="26">
        <v>3</v>
      </c>
      <c r="D15" s="25">
        <v>1.8987341772151899E-2</v>
      </c>
      <c r="E15" s="28"/>
    </row>
    <row r="16" spans="1:5">
      <c r="B16" s="27" t="s">
        <v>172</v>
      </c>
      <c r="C16" s="26">
        <v>1</v>
      </c>
      <c r="D16" s="25">
        <v>6.3291139240506328E-3</v>
      </c>
    </row>
    <row r="17" spans="2:4">
      <c r="B17" s="27" t="s">
        <v>173</v>
      </c>
      <c r="C17" s="26">
        <v>1</v>
      </c>
      <c r="D17" s="25">
        <v>6.3291139240506328E-3</v>
      </c>
    </row>
    <row r="18" spans="2:4">
      <c r="B18" s="27" t="s">
        <v>174</v>
      </c>
      <c r="C18" s="26">
        <v>1</v>
      </c>
      <c r="D18" s="25">
        <v>6.3291139240506328E-3</v>
      </c>
    </row>
    <row r="19" spans="2:4">
      <c r="B19" s="24" t="s">
        <v>15</v>
      </c>
      <c r="C19" s="23">
        <v>158</v>
      </c>
      <c r="D19" s="22">
        <v>1</v>
      </c>
    </row>
    <row r="21" spans="2:4">
      <c r="B21" s="19" t="s">
        <v>168</v>
      </c>
    </row>
    <row r="22" spans="2:4">
      <c r="B22" s="21" t="s">
        <v>14</v>
      </c>
    </row>
    <row r="23" spans="2:4">
      <c r="B23" s="20" t="s">
        <v>13</v>
      </c>
    </row>
    <row r="24" spans="2:4">
      <c r="B24" s="19" t="s">
        <v>12</v>
      </c>
    </row>
    <row r="25" spans="2:4">
      <c r="B25" s="19" t="s">
        <v>169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North Dakota_Edomexgral</vt:lpstr>
      <vt:lpstr>North Dakota_EDOMEX</vt:lpstr>
      <vt:lpstr>North Dakota_Educagral</vt:lpstr>
      <vt:lpstr>North Dakota_Eduedo </vt:lpstr>
      <vt:lpstr>North Dakota_gengral</vt:lpstr>
      <vt:lpstr>North Dakota_edomexgen</vt:lpstr>
      <vt:lpstr>North Dakota_edadgen</vt:lpstr>
      <vt:lpstr>North Dakota_ocupgral</vt:lpstr>
      <vt:lpstr>'North Dakota_edadgen'!Área_de_impresión</vt:lpstr>
      <vt:lpstr>'North Dakota_EDOMEX'!Área_de_impresión</vt:lpstr>
      <vt:lpstr>'North Dakota_edomexgen'!Área_de_impresión</vt:lpstr>
      <vt:lpstr>'North Dakota_Eduedo '!Área_de_impresión</vt:lpstr>
      <vt:lpstr>'North Dakota_edadgen'!Títulos_a_imprimir</vt:lpstr>
      <vt:lpstr>'North Dakota_EDOMEX'!Títulos_a_imprimir</vt:lpstr>
      <vt:lpstr>'North Dakota_edomexgen'!Títulos_a_imprimir</vt:lpstr>
      <vt:lpstr>'North Dakota_Edomexgral'!Títulos_a_imprimir</vt:lpstr>
      <vt:lpstr>'North Dakota_Educagral'!Títulos_a_imprimir</vt:lpstr>
      <vt:lpstr>'North Dakota_Eduedo '!Títulos_a_imprimir</vt:lpstr>
      <vt:lpstr>'North Dakota_gengral'!Títulos_a_imprimir</vt:lpstr>
      <vt:lpstr>'North Dakota_ocupgral'!Títulos_a_imprimir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2020-05-15T19:50:27Z</dcterms:created>
  <dcterms:modified xsi:type="dcterms:W3CDTF">2023-05-24T20:36:57Z</dcterms:modified>
</cp:coreProperties>
</file>