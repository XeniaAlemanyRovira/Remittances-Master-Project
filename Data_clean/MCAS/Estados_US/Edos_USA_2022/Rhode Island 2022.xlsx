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2\USA\Finales_USA\"/>
    </mc:Choice>
  </mc:AlternateContent>
  <bookViews>
    <workbookView xWindow="0" yWindow="0" windowWidth="24000" windowHeight="9735" tabRatio="805" firstSheet="2" activeTab="4"/>
  </bookViews>
  <sheets>
    <sheet name="Índice" sheetId="10" r:id="rId1"/>
    <sheet name="Rhode Island_Edomexgral" sheetId="2" r:id="rId2"/>
    <sheet name="Rhode Island_EDOMEX" sheetId="12" r:id="rId3"/>
    <sheet name="Rhode Island_Educagral" sheetId="4" r:id="rId4"/>
    <sheet name="Rhode Island_Eduedo" sheetId="11" r:id="rId5"/>
    <sheet name="Rhode Island_gengral" sheetId="6" r:id="rId6"/>
    <sheet name="Rhode Island_edomexgen" sheetId="7" r:id="rId7"/>
    <sheet name="Rhode Island_edadgen" sheetId="8" r:id="rId8"/>
    <sheet name="Rhode Island_ocupgral" sheetId="9" r:id="rId9"/>
  </sheets>
  <definedNames>
    <definedName name="_xlnm._FilterDatabase" localSheetId="7" hidden="1">'Rhode Island_edadgen'!$B$9:$E$9</definedName>
    <definedName name="_xlnm._FilterDatabase" localSheetId="2" hidden="1">'Rhode Island_EDOMEX'!$B$9:$E$9</definedName>
    <definedName name="_xlnm._FilterDatabase" localSheetId="6" hidden="1">'Rhode Island_edomexgen'!$B$9:$E$9</definedName>
    <definedName name="_xlnm._FilterDatabase" localSheetId="1" hidden="1">'Rhode Island_Edomexgral'!$B$11:$D$11</definedName>
    <definedName name="_xlnm._FilterDatabase" localSheetId="3" hidden="1">'Rhode Island_Educagral'!$B$11:$D$11</definedName>
    <definedName name="_xlnm._FilterDatabase" localSheetId="4" hidden="1">'Rhode Island_Eduedo'!$B$9:$E$9</definedName>
    <definedName name="_xlnm._FilterDatabase" localSheetId="5" hidden="1">'Rhode Island_gengral'!$B$11:$D$11</definedName>
    <definedName name="_xlnm._FilterDatabase" localSheetId="8" hidden="1">'Rhode Island_ocupgral'!$B$11:$D$11</definedName>
    <definedName name="_xlnm.Print_Area" localSheetId="7">'Rhode Island_edadgen'!$A$1:$E$9</definedName>
    <definedName name="_xlnm.Print_Area" localSheetId="2">'Rhode Island_EDOMEX'!$A$1:$E$9</definedName>
    <definedName name="_xlnm.Print_Area" localSheetId="6">'Rhode Island_edomexgen'!$A$1:$E$9</definedName>
    <definedName name="_xlnm.Print_Area" localSheetId="4">'Rhode Island_Eduedo'!$A$1:$E$9</definedName>
    <definedName name="_xlnm.Print_Titles" localSheetId="7">'Rhode Island_edadgen'!$1:$9</definedName>
    <definedName name="_xlnm.Print_Titles" localSheetId="2">'Rhode Island_EDOMEX'!$1:$9</definedName>
    <definedName name="_xlnm.Print_Titles" localSheetId="6">'Rhode Island_edomexgen'!$1:$9</definedName>
    <definedName name="_xlnm.Print_Titles" localSheetId="1">'Rhode Island_Edomexgral'!$1:$11</definedName>
    <definedName name="_xlnm.Print_Titles" localSheetId="3">'Rhode Island_Educagral'!$1:$11</definedName>
    <definedName name="_xlnm.Print_Titles" localSheetId="4">'Rhode Island_Eduedo'!$1:$9</definedName>
    <definedName name="_xlnm.Print_Titles" localSheetId="5">'Rhode Island_gengral'!$1:$11</definedName>
    <definedName name="_xlnm.Print_Titles" localSheetId="8">'Rhode Island_ocupgral'!$1:$11</definedName>
  </definedNames>
  <calcPr calcId="152511"/>
</workbook>
</file>

<file path=xl/calcChain.xml><?xml version="1.0" encoding="utf-8"?>
<calcChain xmlns="http://schemas.openxmlformats.org/spreadsheetml/2006/main">
  <c r="D62" i="7" l="1"/>
  <c r="D120" i="12"/>
</calcChain>
</file>

<file path=xl/sharedStrings.xml><?xml version="1.0" encoding="utf-8"?>
<sst xmlns="http://schemas.openxmlformats.org/spreadsheetml/2006/main" count="454" uniqueCount="173">
  <si>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</si>
  <si>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</si>
  <si>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</si>
  <si>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</si>
  <si>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Tabasco</t>
  </si>
  <si>
    <t>Nuevo León</t>
  </si>
  <si>
    <t>Guanajuato</t>
  </si>
  <si>
    <t>Tamaulipas</t>
  </si>
  <si>
    <t>San Luis Potosí</t>
  </si>
  <si>
    <t>Oaxaca</t>
  </si>
  <si>
    <t>Jalisco</t>
  </si>
  <si>
    <t>Estado de México</t>
  </si>
  <si>
    <t>Querétaro</t>
  </si>
  <si>
    <t>Chiapas</t>
  </si>
  <si>
    <t>Michoacán</t>
  </si>
  <si>
    <t>Veracruz</t>
  </si>
  <si>
    <t>Puebla</t>
  </si>
  <si>
    <t>Ciudad de México</t>
  </si>
  <si>
    <t>Guerrero</t>
  </si>
  <si>
    <t>Hidalgo</t>
  </si>
  <si>
    <t>Porcentaje de Matrículas</t>
  </si>
  <si>
    <t>Número de Matrículas</t>
  </si>
  <si>
    <t>Estado de Origen</t>
  </si>
  <si>
    <t>Xalapa</t>
  </si>
  <si>
    <t>Huatusco</t>
  </si>
  <si>
    <t>Landa de Matamoros</t>
  </si>
  <si>
    <t>Atlixco</t>
  </si>
  <si>
    <t>Monterrey</t>
  </si>
  <si>
    <t>Tuzantla</t>
  </si>
  <si>
    <t>Morelia</t>
  </si>
  <si>
    <t>Ixmiquilpan</t>
  </si>
  <si>
    <t>Chapantongo</t>
  </si>
  <si>
    <t>Alfajayucan</t>
  </si>
  <si>
    <t>Tecoanapa</t>
  </si>
  <si>
    <t>San Luis Acatlán</t>
  </si>
  <si>
    <t>Zihuatanejo de Azueta</t>
  </si>
  <si>
    <t>Azoyú</t>
  </si>
  <si>
    <t>Ayutla de los Libres</t>
  </si>
  <si>
    <t>Acapulco de Juárez</t>
  </si>
  <si>
    <t>Nezahualcóyotl</t>
  </si>
  <si>
    <t>Iztapalapa</t>
  </si>
  <si>
    <t>Municipio Origen</t>
  </si>
  <si>
    <t>Profesional Titulado</t>
  </si>
  <si>
    <t>Profesional pasante</t>
  </si>
  <si>
    <t>Preparatoria con certificado</t>
  </si>
  <si>
    <t>Preparatoria sin certificado</t>
  </si>
  <si>
    <t>Secundaria con certificado</t>
  </si>
  <si>
    <t>3° Secundaria</t>
  </si>
  <si>
    <t>1° Secundaria</t>
  </si>
  <si>
    <t>Primaria con certificado</t>
  </si>
  <si>
    <t>6° Primaria</t>
  </si>
  <si>
    <t>Sin Estudios</t>
  </si>
  <si>
    <t>Nivel de Estudios</t>
  </si>
  <si>
    <t>MATRÍCULAS CONSULARES EXPEDIDAS EN EL ESTADO DE RHODE ISLAND EN EE.UU. POR NIVEL DE EDUCACIÓN</t>
  </si>
  <si>
    <t>TOTAL</t>
  </si>
  <si>
    <t>MUJER</t>
  </si>
  <si>
    <t>HOMBRE</t>
  </si>
  <si>
    <t>Género</t>
  </si>
  <si>
    <t>Mujer</t>
  </si>
  <si>
    <t>Hombre</t>
  </si>
  <si>
    <t>Entre 50 y 65 Años</t>
  </si>
  <si>
    <t>Entre 40 y 49 Años</t>
  </si>
  <si>
    <t>Entre 29 y 39 Años</t>
  </si>
  <si>
    <t>Entre 18 y 28 Años</t>
  </si>
  <si>
    <t>Edad cumplida</t>
  </si>
  <si>
    <t>Otro</t>
  </si>
  <si>
    <t>Estudiante</t>
  </si>
  <si>
    <t>Obrero(a)</t>
  </si>
  <si>
    <t>Hogar</t>
  </si>
  <si>
    <t>Empleado(a)</t>
  </si>
  <si>
    <t>Ocupación</t>
  </si>
  <si>
    <t xml:space="preserve">Da clic al texto para ir a la información, selecciona                 para regresar. </t>
  </si>
  <si>
    <t>1. Por Estados de la República Mexicana</t>
  </si>
  <si>
    <t>2. Por Municipio de origen</t>
  </si>
  <si>
    <t>2.1 Por estado de la República Mexicana y municipio de origen</t>
  </si>
  <si>
    <t>3. Por Nivel Educativo</t>
  </si>
  <si>
    <t>3.1 Educación general</t>
  </si>
  <si>
    <t>3.2 Por Estado de la República Mexicana</t>
  </si>
  <si>
    <t>4. Por Género</t>
  </si>
  <si>
    <t>4.1 Género General</t>
  </si>
  <si>
    <t>4.2 Por Estados de la República Mexicana</t>
  </si>
  <si>
    <t>5. Por estructura de Edad</t>
  </si>
  <si>
    <t>6. Por Ocupación</t>
  </si>
  <si>
    <t>Profesional titulado</t>
  </si>
  <si>
    <t xml:space="preserve"> </t>
  </si>
  <si>
    <t>Morelos</t>
  </si>
  <si>
    <t>Baja California</t>
  </si>
  <si>
    <t>Guadalajara</t>
  </si>
  <si>
    <t>Chietla</t>
  </si>
  <si>
    <t>Tlalixcoyan</t>
  </si>
  <si>
    <t>3° Primaria</t>
  </si>
  <si>
    <t>Posgrado [Maestría]</t>
  </si>
  <si>
    <t>Cocinero(a)</t>
  </si>
  <si>
    <t>Tijuana</t>
  </si>
  <si>
    <t>Cuauhtémoc</t>
  </si>
  <si>
    <t>Miguel Hidalgo</t>
  </si>
  <si>
    <t>Venustiano Carranza</t>
  </si>
  <si>
    <t>Apaseo el Alto</t>
  </si>
  <si>
    <t>León</t>
  </si>
  <si>
    <t>Florencio Villarreal</t>
  </si>
  <si>
    <t>Chilcuautla</t>
  </si>
  <si>
    <t>Zimapán</t>
  </si>
  <si>
    <t>Lázaro Cárdenas</t>
  </si>
  <si>
    <t>Acajete</t>
  </si>
  <si>
    <t>Minatitlán</t>
  </si>
  <si>
    <t>Texcatepec</t>
  </si>
  <si>
    <t>Tlaltetela</t>
  </si>
  <si>
    <t>2° Secundaria</t>
  </si>
  <si>
    <t>Capacitación Técnica</t>
  </si>
  <si>
    <t>2° Año de profesional</t>
  </si>
  <si>
    <t>Capacitación técnica</t>
  </si>
  <si>
    <t>Entre 66 y 75 Años</t>
  </si>
  <si>
    <t>Matrículas consulares expedidas a mexicanos  en el estado de Rhode Island  en el 2022.</t>
  </si>
  <si>
    <t>Tonalá</t>
  </si>
  <si>
    <t>Coyoacán</t>
  </si>
  <si>
    <t>Durango</t>
  </si>
  <si>
    <t>Guadalupe Victoria</t>
  </si>
  <si>
    <t>Ecatepec de Morelos</t>
  </si>
  <si>
    <t>La Paz</t>
  </si>
  <si>
    <t>Naucalpan de Juárez</t>
  </si>
  <si>
    <t>Tejupilco</t>
  </si>
  <si>
    <t>Tenango del Valle</t>
  </si>
  <si>
    <t>Tlalnepantla de Baz</t>
  </si>
  <si>
    <t>Dolores Hidalgo Cuna de la Independencia Nacional</t>
  </si>
  <si>
    <t>Manuel Doblado</t>
  </si>
  <si>
    <t>Ahuacuotzingo</t>
  </si>
  <si>
    <t>Arcelia</t>
  </si>
  <si>
    <t>Chilpancingo de los Bravo</t>
  </si>
  <si>
    <t>Coyuca de Benítez</t>
  </si>
  <si>
    <t>Leonardo Bravo</t>
  </si>
  <si>
    <t>Pungarabato</t>
  </si>
  <si>
    <t>Quechultenango</t>
  </si>
  <si>
    <t>Xalpatláhuac</t>
  </si>
  <si>
    <t>Huasca de Ocampo</t>
  </si>
  <si>
    <t>Mixquiahuala de Juárez</t>
  </si>
  <si>
    <t>Pachuca de Soto</t>
  </si>
  <si>
    <t>Pisaflores</t>
  </si>
  <si>
    <t>Tecozautla</t>
  </si>
  <si>
    <t>Yahualica</t>
  </si>
  <si>
    <t>Autlán de Navarro</t>
  </si>
  <si>
    <t>Acuitzio</t>
  </si>
  <si>
    <t>Cuernavaca</t>
  </si>
  <si>
    <t>Ciudad Ixtepec</t>
  </si>
  <si>
    <t>San Pedro Yólox</t>
  </si>
  <si>
    <t>Chiautla</t>
  </si>
  <si>
    <t>Cohuecan</t>
  </si>
  <si>
    <t>Cuautlancingo</t>
  </si>
  <si>
    <t>Libres</t>
  </si>
  <si>
    <t>San Martín Texmelucan</t>
  </si>
  <si>
    <t>Tehuitzingo</t>
  </si>
  <si>
    <t>Tepeaca</t>
  </si>
  <si>
    <t>Tilapa</t>
  </si>
  <si>
    <t>Tlahuapan</t>
  </si>
  <si>
    <t>Tochimilco</t>
  </si>
  <si>
    <t>Tochtepec</t>
  </si>
  <si>
    <t>Macuspana</t>
  </si>
  <si>
    <t>Reynosa</t>
  </si>
  <si>
    <t>Tlaxcala</t>
  </si>
  <si>
    <t>Calpulalpan</t>
  </si>
  <si>
    <t>Chicontepec</t>
  </si>
  <si>
    <t>Jáltipan</t>
  </si>
  <si>
    <t>Jesús Carranza</t>
  </si>
  <si>
    <t>Juan Rodríguez Clara</t>
  </si>
  <si>
    <t>Paso de Ovejas</t>
  </si>
  <si>
    <t>Tamaño de la muestra: 566,547</t>
  </si>
  <si>
    <t>Mayo de 2023</t>
  </si>
  <si>
    <t xml:space="preserve">MATRÍCULAS CONSULARES DE ALTA SEGURIDAD EXPEDIDAS EN EL ESTADO DE RHODE ISLAND EN EE.UU. POR ESTADO DE LA REPÚBLICA MEXICANA </t>
  </si>
  <si>
    <t xml:space="preserve">MATRÍCULAS CONSULARES DE ALTA SEGURIDAD EXPEDIDAS EN EE.UU A MEXICANOS EN EL ESTADO DE  RHODE ISLAND, POR PERFIL OCUPACIONAL </t>
  </si>
  <si>
    <t>Albañil</t>
  </si>
  <si>
    <t>Pintor(a)</t>
  </si>
  <si>
    <t>MATRÍCULAS CONSULARES DE ALTA SEGURIDAD EXPEDIDAS EN EE.UU A MEXICANOS EN EL ESTADO DE RHODE ISLAND, POR GÉNERO</t>
  </si>
  <si>
    <t>1° Año de profesional</t>
  </si>
  <si>
    <t>Posgrado [Doctorado]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</si>
</sst>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11"/>
      <name val="Arial Narrow"/>
      <family val="2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b/>
      <sz val="9"/>
      <color rgb="FFFFFFFF"/>
      <name val="Montserrat"/>
    </font>
    <font>
      <sz val="7"/>
      <color rgb="FF000000"/>
      <name val="Montserrat"/>
    </font>
  </fonts>
  <fills count="9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757171"/>
        <bgColor rgb="FF000000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2" fillId="0" borderId="0"/>
    <xf numFmtId="0" fontId="3" fillId="0" borderId="0"/>
    <xf numFmtId="0" fontId="21" fillId="0" borderId="0" applyNumberFormat="0" applyFill="0" applyBorder="0" applyAlignment="0" applyProtection="0"/>
  </cellStyleXfs>
  <cellXfs count="83">
    <xf numFmtId="0" fontId="0" fillId="0" borderId="0" xfId="0"/>
    <xf numFmtId="0" fontId="0" fillId="3" borderId="0" xfId="0" applyFont="1" applyFill="1"/>
    <xf numFmtId="3" fontId="0" fillId="3" borderId="0" xfId="0" applyNumberFormat="1" applyFont="1" applyFill="1"/>
    <xf numFmtId="0" fontId="4" fillId="3" borderId="0" xfId="0" applyFont="1" applyFill="1"/>
    <xf numFmtId="0" fontId="4" fillId="3" borderId="0" xfId="0" applyFont="1" applyFill="1" applyAlignment="1">
      <alignment vertical="top"/>
    </xf>
    <xf numFmtId="0" fontId="4" fillId="3" borderId="0" xfId="0" applyFont="1" applyFill="1" applyAlignment="1">
      <alignment vertical="center"/>
    </xf>
    <xf numFmtId="164" fontId="5" fillId="4" borderId="1" xfId="0" applyNumberFormat="1" applyFont="1" applyFill="1" applyBorder="1" applyAlignment="1">
      <alignment horizontal="right" vertical="top" wrapText="1"/>
    </xf>
    <xf numFmtId="3" fontId="5" fillId="4" borderId="1" xfId="0" applyNumberFormat="1" applyFont="1" applyFill="1" applyBorder="1" applyAlignment="1">
      <alignment horizontal="right" vertical="top" wrapText="1"/>
    </xf>
    <xf numFmtId="49" fontId="5" fillId="4" borderId="1" xfId="0" applyNumberFormat="1" applyFont="1" applyFill="1" applyBorder="1" applyAlignment="1">
      <alignment vertical="top" wrapText="1"/>
    </xf>
    <xf numFmtId="164" fontId="6" fillId="3" borderId="1" xfId="0" applyNumberFormat="1" applyFont="1" applyFill="1" applyBorder="1" applyAlignment="1">
      <alignment horizontal="right" vertical="top" wrapText="1"/>
    </xf>
    <xf numFmtId="3" fontId="6" fillId="3" borderId="1" xfId="0" applyNumberFormat="1" applyFont="1" applyFill="1" applyBorder="1" applyAlignment="1">
      <alignment horizontal="right" vertical="top" wrapText="1"/>
    </xf>
    <xf numFmtId="49" fontId="7" fillId="3" borderId="1" xfId="0" applyNumberFormat="1" applyFont="1" applyFill="1" applyBorder="1" applyAlignment="1">
      <alignment vertical="top" wrapText="1"/>
    </xf>
    <xf numFmtId="0" fontId="8" fillId="3" borderId="0" xfId="0" applyFont="1" applyFill="1"/>
    <xf numFmtId="0" fontId="9" fillId="0" borderId="0" xfId="0" applyFont="1"/>
    <xf numFmtId="0" fontId="5" fillId="2" borderId="2" xfId="0" applyFont="1" applyFill="1" applyBorder="1" applyAlignment="1">
      <alignment horizontal="center" vertical="center" wrapText="1"/>
    </xf>
    <xf numFmtId="1" fontId="5" fillId="2" borderId="2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3" fontId="9" fillId="0" borderId="0" xfId="0" applyNumberFormat="1" applyFont="1"/>
    <xf numFmtId="1" fontId="9" fillId="0" borderId="0" xfId="0" applyNumberFormat="1" applyFont="1"/>
    <xf numFmtId="0" fontId="12" fillId="3" borderId="0" xfId="0" applyFont="1" applyFill="1"/>
    <xf numFmtId="0" fontId="13" fillId="3" borderId="0" xfId="0" applyFont="1" applyFill="1"/>
    <xf numFmtId="0" fontId="14" fillId="0" borderId="0" xfId="0" applyFont="1" applyBorder="1"/>
    <xf numFmtId="0" fontId="14" fillId="0" borderId="0" xfId="0" applyFont="1" applyBorder="1" applyAlignment="1">
      <alignment vertical="top"/>
    </xf>
    <xf numFmtId="0" fontId="16" fillId="3" borderId="0" xfId="0" applyFont="1" applyFill="1"/>
    <xf numFmtId="0" fontId="9" fillId="3" borderId="0" xfId="0" applyFont="1" applyFill="1"/>
    <xf numFmtId="0" fontId="17" fillId="3" borderId="0" xfId="0" applyFont="1" applyFill="1" applyAlignment="1"/>
    <xf numFmtId="0" fontId="16" fillId="3" borderId="0" xfId="0" applyFont="1" applyFill="1" applyAlignment="1">
      <alignment vertical="center"/>
    </xf>
    <xf numFmtId="0" fontId="9" fillId="3" borderId="0" xfId="0" applyFont="1" applyFill="1" applyBorder="1"/>
    <xf numFmtId="3" fontId="9" fillId="3" borderId="0" xfId="0" applyNumberFormat="1" applyFont="1" applyFill="1" applyBorder="1"/>
    <xf numFmtId="1" fontId="9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3" fontId="8" fillId="3" borderId="0" xfId="0" applyNumberFormat="1" applyFont="1" applyFill="1"/>
    <xf numFmtId="0" fontId="19" fillId="0" borderId="0" xfId="0" applyFont="1"/>
    <xf numFmtId="0" fontId="20" fillId="0" borderId="11" xfId="0" applyFont="1" applyBorder="1" applyAlignment="1">
      <alignment horizontal="left"/>
    </xf>
    <xf numFmtId="0" fontId="20" fillId="0" borderId="0" xfId="0" applyFont="1" applyBorder="1" applyAlignment="1">
      <alignment horizontal="left"/>
    </xf>
    <xf numFmtId="0" fontId="20" fillId="0" borderId="12" xfId="0" applyFont="1" applyBorder="1" applyAlignment="1">
      <alignment horizontal="left"/>
    </xf>
    <xf numFmtId="0" fontId="20" fillId="0" borderId="11" xfId="0" applyFont="1" applyBorder="1" applyAlignment="1">
      <alignment horizontal="left" wrapText="1"/>
    </xf>
    <xf numFmtId="0" fontId="20" fillId="0" borderId="0" xfId="0" applyFont="1" applyBorder="1" applyAlignment="1">
      <alignment horizontal="left" wrapText="1"/>
    </xf>
    <xf numFmtId="0" fontId="20" fillId="0" borderId="12" xfId="0" applyFont="1" applyBorder="1" applyAlignment="1">
      <alignment horizontal="left" wrapText="1"/>
    </xf>
    <xf numFmtId="0" fontId="20" fillId="0" borderId="11" xfId="0" applyFont="1" applyBorder="1" applyAlignment="1"/>
    <xf numFmtId="0" fontId="20" fillId="0" borderId="0" xfId="0" applyFont="1" applyBorder="1" applyAlignment="1"/>
    <xf numFmtId="0" fontId="20" fillId="0" borderId="12" xfId="0" applyFont="1" applyBorder="1" applyAlignment="1"/>
    <xf numFmtId="0" fontId="20" fillId="0" borderId="11" xfId="0" applyFont="1" applyBorder="1"/>
    <xf numFmtId="0" fontId="20" fillId="0" borderId="0" xfId="0" applyFont="1" applyBorder="1"/>
    <xf numFmtId="0" fontId="20" fillId="0" borderId="12" xfId="0" applyFont="1" applyBorder="1"/>
    <xf numFmtId="0" fontId="20" fillId="0" borderId="13" xfId="0" applyFont="1" applyBorder="1"/>
    <xf numFmtId="0" fontId="20" fillId="0" borderId="14" xfId="0" applyFont="1" applyBorder="1"/>
    <xf numFmtId="0" fontId="20" fillId="0" borderId="15" xfId="0" applyFont="1" applyBorder="1"/>
    <xf numFmtId="0" fontId="20" fillId="0" borderId="0" xfId="0" applyFont="1"/>
    <xf numFmtId="0" fontId="14" fillId="0" borderId="0" xfId="0" applyFont="1" applyAlignment="1">
      <alignment horizontal="justify" vertical="center"/>
    </xf>
    <xf numFmtId="0" fontId="14" fillId="0" borderId="0" xfId="0" applyFont="1" applyAlignment="1">
      <alignment vertical="top"/>
    </xf>
    <xf numFmtId="0" fontId="23" fillId="5" borderId="2" xfId="3" applyFont="1" applyFill="1" applyBorder="1" applyAlignment="1">
      <alignment horizontal="center" vertical="center" wrapText="1"/>
    </xf>
    <xf numFmtId="1" fontId="23" fillId="5" borderId="2" xfId="3" applyNumberFormat="1" applyFont="1" applyFill="1" applyBorder="1" applyAlignment="1">
      <alignment horizontal="center" vertical="center" wrapText="1"/>
    </xf>
    <xf numFmtId="49" fontId="15" fillId="6" borderId="1" xfId="2" applyNumberFormat="1" applyFont="1" applyFill="1" applyBorder="1" applyAlignment="1">
      <alignment vertical="center" wrapText="1"/>
    </xf>
    <xf numFmtId="166" fontId="15" fillId="6" borderId="1" xfId="2" applyNumberFormat="1" applyFont="1" applyFill="1" applyBorder="1" applyAlignment="1">
      <alignment horizontal="right" vertical="center" wrapText="1"/>
    </xf>
    <xf numFmtId="164" fontId="15" fillId="6" borderId="1" xfId="2" applyNumberFormat="1" applyFont="1" applyFill="1" applyBorder="1" applyAlignment="1">
      <alignment horizontal="right" vertical="center" wrapText="1"/>
    </xf>
    <xf numFmtId="49" fontId="23" fillId="7" borderId="1" xfId="2" applyNumberFormat="1" applyFont="1" applyFill="1" applyBorder="1" applyAlignment="1">
      <alignment vertical="center" wrapText="1"/>
    </xf>
    <xf numFmtId="3" fontId="23" fillId="7" borderId="1" xfId="2" applyNumberFormat="1" applyFont="1" applyFill="1" applyBorder="1" applyAlignment="1">
      <alignment horizontal="right" vertical="center" wrapText="1"/>
    </xf>
    <xf numFmtId="165" fontId="23" fillId="7" borderId="1" xfId="1" applyNumberFormat="1" applyFont="1" applyFill="1" applyBorder="1" applyAlignment="1">
      <alignment vertical="center" wrapText="1"/>
    </xf>
    <xf numFmtId="3" fontId="23" fillId="8" borderId="1" xfId="0" applyNumberFormat="1" applyFont="1" applyFill="1" applyBorder="1" applyAlignment="1">
      <alignment horizontal="right" vertical="center" wrapText="1"/>
    </xf>
    <xf numFmtId="164" fontId="23" fillId="8" borderId="1" xfId="0" applyNumberFormat="1" applyFont="1" applyFill="1" applyBorder="1" applyAlignment="1">
      <alignment horizontal="right" vertical="center" wrapText="1"/>
    </xf>
    <xf numFmtId="0" fontId="13" fillId="6" borderId="0" xfId="0" applyFont="1" applyFill="1" applyBorder="1"/>
    <xf numFmtId="0" fontId="24" fillId="6" borderId="0" xfId="0" applyFont="1" applyFill="1" applyBorder="1"/>
    <xf numFmtId="0" fontId="24" fillId="6" borderId="0" xfId="0" applyFont="1" applyFill="1" applyBorder="1" applyAlignment="1">
      <alignment vertical="center"/>
    </xf>
    <xf numFmtId="0" fontId="24" fillId="6" borderId="0" xfId="0" applyFont="1" applyFill="1" applyBorder="1" applyAlignment="1">
      <alignment vertical="top"/>
    </xf>
    <xf numFmtId="0" fontId="22" fillId="0" borderId="0" xfId="4" applyFont="1" applyBorder="1" applyAlignment="1">
      <alignment horizontal="left"/>
    </xf>
    <xf numFmtId="0" fontId="22" fillId="0" borderId="12" xfId="4" applyFont="1" applyBorder="1" applyAlignment="1">
      <alignment horizontal="left"/>
    </xf>
    <xf numFmtId="0" fontId="22" fillId="0" borderId="11" xfId="4" applyFont="1" applyBorder="1" applyAlignment="1">
      <alignment horizontal="left"/>
    </xf>
    <xf numFmtId="0" fontId="18" fillId="2" borderId="8" xfId="0" applyFont="1" applyFill="1" applyBorder="1" applyAlignment="1">
      <alignment horizontal="center" wrapText="1"/>
    </xf>
    <xf numFmtId="0" fontId="18" fillId="2" borderId="9" xfId="0" applyFont="1" applyFill="1" applyBorder="1" applyAlignment="1">
      <alignment horizontal="center" wrapText="1"/>
    </xf>
    <xf numFmtId="0" fontId="18" fillId="2" borderId="10" xfId="0" applyFont="1" applyFill="1" applyBorder="1" applyAlignment="1">
      <alignment horizontal="center" wrapText="1"/>
    </xf>
    <xf numFmtId="0" fontId="20" fillId="0" borderId="11" xfId="0" applyFont="1" applyBorder="1" applyAlignment="1">
      <alignment horizontal="left" wrapText="1"/>
    </xf>
    <xf numFmtId="0" fontId="20" fillId="0" borderId="0" xfId="0" applyFont="1" applyBorder="1" applyAlignment="1">
      <alignment horizontal="left" wrapText="1"/>
    </xf>
    <xf numFmtId="0" fontId="20" fillId="0" borderId="12" xfId="0" applyFont="1" applyBorder="1" applyAlignment="1">
      <alignment horizontal="left" wrapText="1"/>
    </xf>
    <xf numFmtId="0" fontId="11" fillId="0" borderId="0" xfId="0" applyFont="1" applyBorder="1" applyAlignment="1">
      <alignment horizontal="center" vertical="center" wrapText="1"/>
    </xf>
    <xf numFmtId="49" fontId="15" fillId="6" borderId="2" xfId="2" applyNumberFormat="1" applyFont="1" applyFill="1" applyBorder="1" applyAlignment="1">
      <alignment horizontal="center" vertical="center" wrapText="1"/>
    </xf>
    <xf numFmtId="49" fontId="15" fillId="6" borderId="6" xfId="2" applyNumberFormat="1" applyFont="1" applyFill="1" applyBorder="1" applyAlignment="1">
      <alignment horizontal="center" vertical="center" wrapText="1"/>
    </xf>
    <xf numFmtId="49" fontId="15" fillId="6" borderId="7" xfId="2" applyNumberFormat="1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wrapText="1"/>
    </xf>
    <xf numFmtId="49" fontId="23" fillId="8" borderId="5" xfId="0" applyNumberFormat="1" applyFont="1" applyFill="1" applyBorder="1" applyAlignment="1">
      <alignment horizontal="center" vertical="center" wrapText="1"/>
    </xf>
    <xf numFmtId="49" fontId="23" fillId="8" borderId="4" xfId="0" applyNumberFormat="1" applyFont="1" applyFill="1" applyBorder="1" applyAlignment="1">
      <alignment horizontal="center" vertical="center" wrapText="1"/>
    </xf>
  </cellXfs>
  <cellStyles count="5">
    <cellStyle name="Hipervínculo" xfId="4" builtinId="8"/>
    <cellStyle name="Normal" xfId="0" builtinId="0"/>
    <cellStyle name="Normal 2" xfId="2"/>
    <cellStyle name="Normal_Hoja1" xfId="3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504771</xdr:colOff>
      <xdr:row>1</xdr:row>
      <xdr:rowOff>200354</xdr:rowOff>
    </xdr:from>
    <xdr:to>
      <xdr:col>3</xdr:col>
      <xdr:colOff>1016868</xdr:colOff>
      <xdr:row>2</xdr:row>
      <xdr:rowOff>190830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28996" y="733754"/>
          <a:ext cx="512097" cy="2286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oneCellAnchor>
    <xdr:from>
      <xdr:col>2</xdr:col>
      <xdr:colOff>1143000</xdr:colOff>
      <xdr:row>15</xdr:row>
      <xdr:rowOff>123265</xdr:rowOff>
    </xdr:from>
    <xdr:ext cx="184731" cy="264560"/>
    <xdr:sp macro="" textlink="">
      <xdr:nvSpPr>
        <xdr:cNvPr id="3" name="2 CuadroTexto"/>
        <xdr:cNvSpPr txBox="1"/>
      </xdr:nvSpPr>
      <xdr:spPr>
        <a:xfrm>
          <a:off x="2819400" y="330461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RHODE ISLAND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ESTADO DE RHODE ISLAND DE EE.UU. POR ESTADO Y MUNICIPIO DE LA REPÚBLICA MEXICANA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5657435" cy="10774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RHODE ISLAND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28403" y="2028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65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597776</xdr:colOff>
      <xdr:row>7</xdr:row>
      <xdr:rowOff>164224</xdr:rowOff>
    </xdr:from>
    <xdr:to>
      <xdr:col>4</xdr:col>
      <xdr:colOff>1109873</xdr:colOff>
      <xdr:row>7</xdr:row>
      <xdr:rowOff>354725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36451" y="1907299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RHODE ISLAND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942975</xdr:colOff>
      <xdr:row>8</xdr:row>
      <xdr:rowOff>228600</xdr:rowOff>
    </xdr:from>
    <xdr:to>
      <xdr:col>4</xdr:col>
      <xdr:colOff>273972</xdr:colOff>
      <xdr:row>9</xdr:row>
      <xdr:rowOff>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81550" y="19431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 RHODE ISLAND, POR NIVEL DE EDUCACIÓN Y ESTADO DE LA REPÚBLICA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RHODE ISLAND 202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525517</xdr:colOff>
      <xdr:row>7</xdr:row>
      <xdr:rowOff>124810</xdr:rowOff>
    </xdr:from>
    <xdr:to>
      <xdr:col>4</xdr:col>
      <xdr:colOff>1037614</xdr:colOff>
      <xdr:row>7</xdr:row>
      <xdr:rowOff>315311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3207" y="1865586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RHODE ISLAND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304800</xdr:colOff>
      <xdr:row>8</xdr:row>
      <xdr:rowOff>85725</xdr:rowOff>
    </xdr:from>
    <xdr:to>
      <xdr:col>5</xdr:col>
      <xdr:colOff>197772</xdr:colOff>
      <xdr:row>8</xdr:row>
      <xdr:rowOff>276226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33925" y="1800225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RHODE ISLAND, POR ESTADO DE LA REPÚBLICA MEXICANA Y GÉNERO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RHODE ISLAND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650328</xdr:colOff>
      <xdr:row>7</xdr:row>
      <xdr:rowOff>105103</xdr:rowOff>
    </xdr:from>
    <xdr:to>
      <xdr:col>5</xdr:col>
      <xdr:colOff>39132</xdr:colOff>
      <xdr:row>7</xdr:row>
      <xdr:rowOff>295604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88018" y="1845879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RHODE ISLAND, POR GÉNERO Y RANGO DE EDAD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RHODE ISLAND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571500</xdr:colOff>
      <xdr:row>7</xdr:row>
      <xdr:rowOff>85396</xdr:rowOff>
    </xdr:from>
    <xdr:to>
      <xdr:col>4</xdr:col>
      <xdr:colOff>1083597</xdr:colOff>
      <xdr:row>7</xdr:row>
      <xdr:rowOff>275897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09190" y="1826172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RHODE ISLAND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8</xdr:row>
      <xdr:rowOff>180975</xdr:rowOff>
    </xdr:from>
    <xdr:to>
      <xdr:col>5</xdr:col>
      <xdr:colOff>73947</xdr:colOff>
      <xdr:row>8</xdr:row>
      <xdr:rowOff>371476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0100" y="1895475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Views>
    <sheetView showGridLines="0" view="pageBreakPreview" zoomScaleNormal="100" zoomScaleSheetLayoutView="100" workbookViewId="0">
      <selection activeCell="F8" sqref="F8"/>
    </sheetView>
  </sheetViews>
  <sheetFormatPr baseColWidth="10" defaultColWidth="11.42578125" defaultRowHeight="18"/>
  <cols>
    <col min="1" max="1" width="5.140625" style="34" customWidth="1"/>
    <col min="2" max="2" width="20" style="34" customWidth="1"/>
    <col min="3" max="3" width="24.7109375" style="34" customWidth="1"/>
    <col min="4" max="4" width="28.85546875" style="34" customWidth="1"/>
    <col min="5" max="16384" width="11.42578125" style="34"/>
  </cols>
  <sheetData>
    <row r="1" spans="1:4" ht="42" customHeight="1" thickBot="1">
      <c r="A1" s="70" t="s">
        <v>112</v>
      </c>
      <c r="B1" s="71"/>
      <c r="C1" s="71"/>
      <c r="D1" s="72"/>
    </row>
    <row r="2" spans="1:4" ht="18.75">
      <c r="A2" s="35"/>
      <c r="B2" s="36"/>
      <c r="C2" s="36"/>
      <c r="D2" s="37"/>
    </row>
    <row r="3" spans="1:4">
      <c r="A3" s="73" t="s">
        <v>71</v>
      </c>
      <c r="B3" s="74"/>
      <c r="C3" s="74"/>
      <c r="D3" s="75"/>
    </row>
    <row r="4" spans="1:4">
      <c r="A4" s="73"/>
      <c r="B4" s="74"/>
      <c r="C4" s="74"/>
      <c r="D4" s="75"/>
    </row>
    <row r="5" spans="1:4" ht="18.75">
      <c r="A5" s="38"/>
      <c r="B5" s="39"/>
      <c r="C5" s="39"/>
      <c r="D5" s="40"/>
    </row>
    <row r="6" spans="1:4" ht="18.75">
      <c r="A6" s="69" t="s">
        <v>72</v>
      </c>
      <c r="B6" s="67"/>
      <c r="C6" s="67"/>
      <c r="D6" s="68"/>
    </row>
    <row r="7" spans="1:4" ht="18.75">
      <c r="A7" s="41"/>
      <c r="B7" s="42"/>
      <c r="C7" s="42"/>
      <c r="D7" s="43"/>
    </row>
    <row r="8" spans="1:4" ht="18.75">
      <c r="A8" s="44" t="s">
        <v>73</v>
      </c>
      <c r="B8" s="45"/>
      <c r="C8" s="45"/>
      <c r="D8" s="46"/>
    </row>
    <row r="9" spans="1:4" ht="18.75">
      <c r="A9" s="44"/>
      <c r="B9" s="67" t="s">
        <v>74</v>
      </c>
      <c r="C9" s="67"/>
      <c r="D9" s="68"/>
    </row>
    <row r="10" spans="1:4" ht="18.75">
      <c r="A10" s="44" t="s">
        <v>75</v>
      </c>
      <c r="B10" s="45"/>
      <c r="C10" s="45"/>
      <c r="D10" s="46"/>
    </row>
    <row r="11" spans="1:4" ht="18.75">
      <c r="A11" s="44"/>
      <c r="B11" s="67" t="s">
        <v>76</v>
      </c>
      <c r="C11" s="67"/>
      <c r="D11" s="68"/>
    </row>
    <row r="12" spans="1:4" ht="18.75">
      <c r="A12" s="44"/>
      <c r="B12" s="67" t="s">
        <v>77</v>
      </c>
      <c r="C12" s="67"/>
      <c r="D12" s="68"/>
    </row>
    <row r="13" spans="1:4" ht="18.75">
      <c r="A13" s="44"/>
      <c r="B13" s="45"/>
      <c r="C13" s="45"/>
      <c r="D13" s="46"/>
    </row>
    <row r="14" spans="1:4" ht="18.75">
      <c r="A14" s="44" t="s">
        <v>78</v>
      </c>
      <c r="B14" s="45"/>
      <c r="C14" s="45"/>
      <c r="D14" s="46"/>
    </row>
    <row r="15" spans="1:4" ht="18.75">
      <c r="A15" s="44"/>
      <c r="B15" s="67" t="s">
        <v>79</v>
      </c>
      <c r="C15" s="67"/>
      <c r="D15" s="68"/>
    </row>
    <row r="16" spans="1:4" ht="18.75">
      <c r="A16" s="44"/>
      <c r="B16" s="67" t="s">
        <v>80</v>
      </c>
      <c r="C16" s="67"/>
      <c r="D16" s="68"/>
    </row>
    <row r="17" spans="1:4" ht="18.75">
      <c r="A17" s="44"/>
      <c r="B17" s="45"/>
      <c r="C17" s="45"/>
      <c r="D17" s="46"/>
    </row>
    <row r="18" spans="1:4" ht="18.75">
      <c r="A18" s="69" t="s">
        <v>81</v>
      </c>
      <c r="B18" s="67"/>
      <c r="C18" s="67"/>
      <c r="D18" s="68"/>
    </row>
    <row r="19" spans="1:4" ht="18.75">
      <c r="A19" s="44"/>
      <c r="B19" s="45"/>
      <c r="C19" s="45"/>
      <c r="D19" s="46"/>
    </row>
    <row r="20" spans="1:4" ht="18.75">
      <c r="A20" s="69" t="s">
        <v>82</v>
      </c>
      <c r="B20" s="67"/>
      <c r="C20" s="67"/>
      <c r="D20" s="68"/>
    </row>
    <row r="21" spans="1:4" ht="19.5" thickBot="1">
      <c r="A21" s="47"/>
      <c r="B21" s="48"/>
      <c r="C21" s="48"/>
      <c r="D21" s="49"/>
    </row>
    <row r="22" spans="1:4" ht="18.75">
      <c r="A22" s="50"/>
      <c r="B22" s="50"/>
      <c r="C22" s="50"/>
      <c r="D22" s="50"/>
    </row>
  </sheetData>
  <mergeCells count="10">
    <mergeCell ref="B15:D15"/>
    <mergeCell ref="B16:D16"/>
    <mergeCell ref="A18:D18"/>
    <mergeCell ref="A20:D20"/>
    <mergeCell ref="A1:D1"/>
    <mergeCell ref="A3:D4"/>
    <mergeCell ref="A6:D6"/>
    <mergeCell ref="B9:D9"/>
    <mergeCell ref="B11:D11"/>
    <mergeCell ref="B12:D12"/>
  </mergeCells>
  <hyperlinks>
    <hyperlink ref="A6" location="Aguascalientes_EdoUsa!A1" display="1. Por Estados de USA"/>
    <hyperlink ref="B11" location="Aguascalientes_educ_gral!A1" display="4.1 Educación general"/>
    <hyperlink ref="B12" location="Aguascalientes_NivelE_Cons!A1" display="4.2 Por Estado de USA"/>
    <hyperlink ref="B15" location="Aguascalientes_GenGral!A1" display="5.1 Género General"/>
    <hyperlink ref="B16" location="Aguascalientes_GENERO!A1" display="5.3 Por Circunscripción Consular"/>
    <hyperlink ref="A18" location="Aguascalientes_Gen_Edad!A1" display="6. Por estructura de Edad"/>
    <hyperlink ref="A20" location="Aguascalientes_ocup_gral!A1" display="7. Por Ocupación"/>
    <hyperlink ref="A6:D6" location="'Rhode Island_Edomexgral'!A1" display="1. Por Estados de la República Mexicana"/>
    <hyperlink ref="B9" location="'New Jersey_EDOMEX'!A1" display="2.1 Por estado de la República Mexicana y municipio de origen"/>
    <hyperlink ref="B11:D11" location="'Rhode Island_Educagral'!A1" display="3.1 Educación general"/>
    <hyperlink ref="B12:D12" location="'Rhode Island_Eduedo'!A1" display="3.2 Por Estado de la República Mexicana"/>
    <hyperlink ref="B15:D15" location="'Rhode Island_gengral'!A1" display="4.1 Género General"/>
    <hyperlink ref="B16:D16" location="'Rhode Island_edomexgen'!A1" display="4.2 Por Estados de la República Mexicana"/>
    <hyperlink ref="A18:D18" location="'Rhode Island_edadgen'!A1" display="5. Por estructura de Edad"/>
    <hyperlink ref="A20:D20" location="'Rhode Island_ocupgral'!A1" display="6. Por Ocupación"/>
    <hyperlink ref="B9:D9" location="'Rhode Island_EDOMEX'!A1" display="2.1 Por estado de la República Mexicana y municipio de orige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E38"/>
  <sheetViews>
    <sheetView showGridLines="0" zoomScaleNormal="100" zoomScaleSheetLayoutView="115" workbookViewId="0">
      <selection activeCell="G11" sqref="G11"/>
    </sheetView>
  </sheetViews>
  <sheetFormatPr baseColWidth="10" defaultColWidth="11.42578125" defaultRowHeight="1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5" s="13" customFormat="1" ht="15" customHeight="1">
      <c r="C1" s="19"/>
    </row>
    <row r="2" spans="1:5" s="13" customFormat="1" ht="15" customHeight="1">
      <c r="C2" s="19"/>
    </row>
    <row r="3" spans="1:5" s="13" customFormat="1" ht="15" customHeight="1">
      <c r="C3" s="19"/>
    </row>
    <row r="4" spans="1:5" s="13" customFormat="1" ht="30" customHeight="1">
      <c r="C4" s="19"/>
      <c r="D4" s="18"/>
    </row>
    <row r="5" spans="1:5" s="13" customFormat="1" ht="15" customHeight="1">
      <c r="C5" s="19"/>
      <c r="D5" s="18"/>
    </row>
    <row r="6" spans="1:5" s="13" customFormat="1" ht="15" customHeight="1">
      <c r="C6" s="19"/>
      <c r="D6" s="18"/>
    </row>
    <row r="7" spans="1:5" s="13" customFormat="1" ht="15" customHeight="1">
      <c r="B7" s="76" t="s">
        <v>166</v>
      </c>
      <c r="C7" s="76"/>
      <c r="D7" s="76"/>
    </row>
    <row r="8" spans="1:5" s="13" customFormat="1" ht="15" customHeight="1">
      <c r="B8" s="76"/>
      <c r="C8" s="76"/>
      <c r="D8" s="76"/>
    </row>
    <row r="9" spans="1:5" s="13" customFormat="1" ht="33" customHeight="1">
      <c r="B9" s="76"/>
      <c r="C9" s="76"/>
      <c r="D9" s="76"/>
    </row>
    <row r="10" spans="1:5" s="13" customFormat="1" ht="4.5" customHeight="1">
      <c r="B10" s="17"/>
      <c r="C10" s="17"/>
      <c r="D10" s="17"/>
    </row>
    <row r="11" spans="1:5" s="13" customFormat="1" ht="33" customHeight="1">
      <c r="B11" s="16" t="s">
        <v>22</v>
      </c>
      <c r="C11" s="15" t="s">
        <v>21</v>
      </c>
      <c r="D11" s="14" t="s">
        <v>20</v>
      </c>
    </row>
    <row r="12" spans="1:5">
      <c r="B12" s="11" t="s">
        <v>19</v>
      </c>
      <c r="C12" s="10">
        <v>48</v>
      </c>
      <c r="D12" s="9">
        <v>0.28402366863905326</v>
      </c>
    </row>
    <row r="13" spans="1:5">
      <c r="B13" s="11" t="s">
        <v>18</v>
      </c>
      <c r="C13" s="10">
        <v>28</v>
      </c>
      <c r="D13" s="9">
        <v>0.16568047337278108</v>
      </c>
    </row>
    <row r="14" spans="1:5">
      <c r="A14" s="12"/>
      <c r="B14" s="11" t="s">
        <v>16</v>
      </c>
      <c r="C14" s="10">
        <v>22</v>
      </c>
      <c r="D14" s="9">
        <v>0.13017751479289941</v>
      </c>
      <c r="E14" s="12"/>
    </row>
    <row r="15" spans="1:5">
      <c r="A15" s="12"/>
      <c r="B15" s="11" t="s">
        <v>15</v>
      </c>
      <c r="C15" s="10">
        <v>17</v>
      </c>
      <c r="D15" s="9">
        <v>0.10059171597633136</v>
      </c>
      <c r="E15" s="12"/>
    </row>
    <row r="16" spans="1:5">
      <c r="B16" s="11" t="s">
        <v>17</v>
      </c>
      <c r="C16" s="10">
        <v>12</v>
      </c>
      <c r="D16" s="9">
        <v>7.1005917159763315E-2</v>
      </c>
    </row>
    <row r="17" spans="2:4">
      <c r="B17" s="11" t="s">
        <v>14</v>
      </c>
      <c r="C17" s="10">
        <v>10</v>
      </c>
      <c r="D17" s="9">
        <v>5.9171597633136092E-2</v>
      </c>
    </row>
    <row r="18" spans="2:4">
      <c r="B18" s="11" t="s">
        <v>11</v>
      </c>
      <c r="C18" s="10">
        <v>9</v>
      </c>
      <c r="D18" s="9">
        <v>5.3254437869822487E-2</v>
      </c>
    </row>
    <row r="19" spans="2:4">
      <c r="B19" s="11" t="s">
        <v>6</v>
      </c>
      <c r="C19" s="10">
        <v>6</v>
      </c>
      <c r="D19" s="9">
        <v>3.5502958579881658E-2</v>
      </c>
    </row>
    <row r="20" spans="2:4">
      <c r="B20" s="11" t="s">
        <v>10</v>
      </c>
      <c r="C20" s="10">
        <v>2</v>
      </c>
      <c r="D20" s="9">
        <v>1.1834319526627219E-2</v>
      </c>
    </row>
    <row r="21" spans="2:4">
      <c r="B21" s="11" t="s">
        <v>85</v>
      </c>
      <c r="C21" s="10">
        <v>2</v>
      </c>
      <c r="D21" s="9">
        <v>1.1834319526627219E-2</v>
      </c>
    </row>
    <row r="22" spans="2:4">
      <c r="B22" s="11" t="s">
        <v>9</v>
      </c>
      <c r="C22" s="10">
        <v>2</v>
      </c>
      <c r="D22" s="9">
        <v>1.1834319526627219E-2</v>
      </c>
    </row>
    <row r="23" spans="2:4">
      <c r="B23" s="11" t="s">
        <v>12</v>
      </c>
      <c r="C23" s="10">
        <v>2</v>
      </c>
      <c r="D23" s="9">
        <v>1.1834319526627219E-2</v>
      </c>
    </row>
    <row r="24" spans="2:4">
      <c r="B24" s="11" t="s">
        <v>157</v>
      </c>
      <c r="C24" s="10">
        <v>2</v>
      </c>
      <c r="D24" s="9">
        <v>1.1834319526627219E-2</v>
      </c>
    </row>
    <row r="25" spans="2:4">
      <c r="B25" s="11" t="s">
        <v>86</v>
      </c>
      <c r="C25" s="10">
        <v>1</v>
      </c>
      <c r="D25" s="9">
        <v>5.9171597633136093E-3</v>
      </c>
    </row>
    <row r="26" spans="2:4">
      <c r="B26" s="11" t="s">
        <v>13</v>
      </c>
      <c r="C26" s="10">
        <v>1</v>
      </c>
      <c r="D26" s="9">
        <v>5.9171597633136093E-3</v>
      </c>
    </row>
    <row r="27" spans="2:4">
      <c r="B27" s="11" t="s">
        <v>115</v>
      </c>
      <c r="C27" s="10">
        <v>1</v>
      </c>
      <c r="D27" s="9">
        <v>5.9171597633136093E-3</v>
      </c>
    </row>
    <row r="28" spans="2:4">
      <c r="B28" s="11" t="s">
        <v>5</v>
      </c>
      <c r="C28" s="10">
        <v>1</v>
      </c>
      <c r="D28" s="9">
        <v>5.9171597633136093E-3</v>
      </c>
    </row>
    <row r="29" spans="2:4">
      <c r="B29" s="11" t="s">
        <v>8</v>
      </c>
      <c r="C29" s="10">
        <v>1</v>
      </c>
      <c r="D29" s="9">
        <v>5.9171597633136093E-3</v>
      </c>
    </row>
    <row r="30" spans="2:4">
      <c r="B30" s="11" t="s">
        <v>4</v>
      </c>
      <c r="C30" s="10">
        <v>1</v>
      </c>
      <c r="D30" s="9">
        <v>5.9171597633136093E-3</v>
      </c>
    </row>
    <row r="31" spans="2:4">
      <c r="B31" s="11" t="s">
        <v>7</v>
      </c>
      <c r="C31" s="10">
        <v>1</v>
      </c>
      <c r="D31" s="9">
        <v>5.9171597633136093E-3</v>
      </c>
    </row>
    <row r="32" spans="2:4">
      <c r="B32" s="8" t="s">
        <v>3</v>
      </c>
      <c r="C32" s="7">
        <v>169</v>
      </c>
      <c r="D32" s="6">
        <v>1</v>
      </c>
    </row>
    <row r="34" spans="2:2">
      <c r="B34" s="3" t="s">
        <v>164</v>
      </c>
    </row>
    <row r="35" spans="2:2">
      <c r="B35" s="5" t="s">
        <v>2</v>
      </c>
    </row>
    <row r="36" spans="2:2">
      <c r="B36" s="4" t="s">
        <v>1</v>
      </c>
    </row>
    <row r="37" spans="2:2">
      <c r="B37" s="3" t="s">
        <v>0</v>
      </c>
    </row>
    <row r="38" spans="2:2">
      <c r="B38" s="3" t="s">
        <v>165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F326"/>
  <sheetViews>
    <sheetView showGridLines="0" zoomScaleNormal="100" zoomScaleSheetLayoutView="100" workbookViewId="0">
      <selection activeCell="F6" sqref="F6"/>
    </sheetView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28" customFormat="1" ht="12" customHeight="1">
      <c r="B1" s="32"/>
      <c r="C1" s="31"/>
      <c r="D1" s="31"/>
      <c r="E1" s="31"/>
    </row>
    <row r="2" spans="1:5" s="28" customFormat="1" ht="15" customHeight="1">
      <c r="C2" s="30"/>
    </row>
    <row r="3" spans="1:5" s="28" customFormat="1" ht="15" customHeight="1">
      <c r="C3" s="30"/>
    </row>
    <row r="4" spans="1:5" s="28" customFormat="1" ht="30" customHeight="1">
      <c r="C4" s="30"/>
      <c r="D4" s="29"/>
    </row>
    <row r="5" spans="1:5" s="28" customFormat="1" ht="15" customHeight="1">
      <c r="C5" s="30"/>
      <c r="D5" s="29"/>
    </row>
    <row r="6" spans="1:5" s="25" customFormat="1" ht="24" customHeight="1">
      <c r="B6" s="27"/>
      <c r="C6" s="24"/>
      <c r="D6" s="24"/>
      <c r="E6" s="24"/>
    </row>
    <row r="7" spans="1:5" s="25" customFormat="1" ht="26.25" customHeight="1">
      <c r="A7" s="26"/>
      <c r="B7" s="80"/>
      <c r="C7" s="80"/>
      <c r="D7" s="80"/>
      <c r="E7" s="80"/>
    </row>
    <row r="8" spans="1:5" s="25" customFormat="1" ht="33" customHeight="1">
      <c r="A8" s="26"/>
      <c r="B8" s="80"/>
      <c r="C8" s="80"/>
      <c r="D8" s="80"/>
      <c r="E8" s="80"/>
    </row>
    <row r="9" spans="1:5" s="13" customFormat="1" ht="40.5" customHeight="1">
      <c r="B9" s="53" t="s">
        <v>22</v>
      </c>
      <c r="C9" s="53" t="s">
        <v>41</v>
      </c>
      <c r="D9" s="54" t="s">
        <v>21</v>
      </c>
      <c r="E9" s="53" t="s">
        <v>20</v>
      </c>
    </row>
    <row r="10" spans="1:5" ht="15" customHeight="1">
      <c r="B10" s="77" t="s">
        <v>86</v>
      </c>
      <c r="C10" s="55" t="s">
        <v>93</v>
      </c>
      <c r="D10" s="56">
        <v>1</v>
      </c>
      <c r="E10" s="57">
        <v>5.9171597633136093E-3</v>
      </c>
    </row>
    <row r="11" spans="1:5" ht="15" customHeight="1">
      <c r="B11" s="78"/>
      <c r="C11" s="58" t="s">
        <v>3</v>
      </c>
      <c r="D11" s="59">
        <v>1</v>
      </c>
      <c r="E11" s="60">
        <v>5.9171597633136093E-3</v>
      </c>
    </row>
    <row r="12" spans="1:5" ht="15" customHeight="1">
      <c r="B12" s="77" t="s">
        <v>13</v>
      </c>
      <c r="C12" s="55" t="s">
        <v>113</v>
      </c>
      <c r="D12" s="56">
        <v>1</v>
      </c>
      <c r="E12" s="57">
        <v>5.9171597633136093E-3</v>
      </c>
    </row>
    <row r="13" spans="1:5" ht="15" customHeight="1">
      <c r="B13" s="78"/>
      <c r="C13" s="58" t="s">
        <v>3</v>
      </c>
      <c r="D13" s="59">
        <v>1</v>
      </c>
      <c r="E13" s="60">
        <v>5.9171597633136093E-3</v>
      </c>
    </row>
    <row r="14" spans="1:5" ht="15" customHeight="1">
      <c r="B14" s="77" t="s">
        <v>17</v>
      </c>
      <c r="C14" s="55" t="s">
        <v>114</v>
      </c>
      <c r="D14" s="56">
        <v>2</v>
      </c>
      <c r="E14" s="57">
        <v>1.1834319526627219E-2</v>
      </c>
    </row>
    <row r="15" spans="1:5" ht="15" customHeight="1">
      <c r="B15" s="79"/>
      <c r="C15" s="55" t="s">
        <v>94</v>
      </c>
      <c r="D15" s="56">
        <v>1</v>
      </c>
      <c r="E15" s="57">
        <v>5.9171597633136093E-3</v>
      </c>
    </row>
    <row r="16" spans="1:5" ht="15" customHeight="1">
      <c r="B16" s="79"/>
      <c r="C16" s="55" t="s">
        <v>40</v>
      </c>
      <c r="D16" s="56">
        <v>4</v>
      </c>
      <c r="E16" s="57">
        <v>2.3668639053254437E-2</v>
      </c>
    </row>
    <row r="17" spans="2:5" ht="15" customHeight="1">
      <c r="B17" s="79"/>
      <c r="C17" s="55" t="s">
        <v>95</v>
      </c>
      <c r="D17" s="56">
        <v>4</v>
      </c>
      <c r="E17" s="57">
        <v>2.3668639053254437E-2</v>
      </c>
    </row>
    <row r="18" spans="2:5" ht="15" customHeight="1">
      <c r="B18" s="79"/>
      <c r="C18" s="55" t="s">
        <v>96</v>
      </c>
      <c r="D18" s="56">
        <v>1</v>
      </c>
      <c r="E18" s="57">
        <v>5.9171597633136093E-3</v>
      </c>
    </row>
    <row r="19" spans="2:5" ht="15" customHeight="1">
      <c r="B19" s="78"/>
      <c r="C19" s="58" t="s">
        <v>3</v>
      </c>
      <c r="D19" s="59">
        <v>12</v>
      </c>
      <c r="E19" s="60">
        <v>7.1005917159763315E-2</v>
      </c>
    </row>
    <row r="20" spans="2:5" ht="15" customHeight="1">
      <c r="B20" s="77" t="s">
        <v>115</v>
      </c>
      <c r="C20" s="55" t="s">
        <v>116</v>
      </c>
      <c r="D20" s="56">
        <v>1</v>
      </c>
      <c r="E20" s="57">
        <v>5.9171597633136093E-3</v>
      </c>
    </row>
    <row r="21" spans="2:5" ht="15" customHeight="1">
      <c r="B21" s="78"/>
      <c r="C21" s="58" t="s">
        <v>3</v>
      </c>
      <c r="D21" s="59">
        <v>1</v>
      </c>
      <c r="E21" s="60">
        <v>5.9171597633136093E-3</v>
      </c>
    </row>
    <row r="22" spans="2:5" ht="15" customHeight="1">
      <c r="B22" s="77" t="s">
        <v>11</v>
      </c>
      <c r="C22" s="55" t="s">
        <v>117</v>
      </c>
      <c r="D22" s="56">
        <v>1</v>
      </c>
      <c r="E22" s="57">
        <v>5.9171597633136093E-3</v>
      </c>
    </row>
    <row r="23" spans="2:5" ht="15" customHeight="1">
      <c r="B23" s="79"/>
      <c r="C23" s="55" t="s">
        <v>118</v>
      </c>
      <c r="D23" s="56">
        <v>1</v>
      </c>
      <c r="E23" s="57">
        <v>5.9171597633136093E-3</v>
      </c>
    </row>
    <row r="24" spans="2:5" ht="15" customHeight="1">
      <c r="B24" s="79"/>
      <c r="C24" s="55" t="s">
        <v>119</v>
      </c>
      <c r="D24" s="56">
        <v>1</v>
      </c>
      <c r="E24" s="57">
        <v>5.9171597633136093E-3</v>
      </c>
    </row>
    <row r="25" spans="2:5" ht="15" customHeight="1">
      <c r="B25" s="79"/>
      <c r="C25" s="55" t="s">
        <v>39</v>
      </c>
      <c r="D25" s="56">
        <v>3</v>
      </c>
      <c r="E25" s="57">
        <v>1.7751479289940829E-2</v>
      </c>
    </row>
    <row r="26" spans="2:5" ht="15" customHeight="1">
      <c r="B26" s="79"/>
      <c r="C26" s="55" t="s">
        <v>120</v>
      </c>
      <c r="D26" s="56">
        <v>1</v>
      </c>
      <c r="E26" s="57">
        <v>5.9171597633136093E-3</v>
      </c>
    </row>
    <row r="27" spans="2:5" ht="15" customHeight="1">
      <c r="B27" s="79"/>
      <c r="C27" s="55" t="s">
        <v>121</v>
      </c>
      <c r="D27" s="56">
        <v>1</v>
      </c>
      <c r="E27" s="57">
        <v>5.9171597633136093E-3</v>
      </c>
    </row>
    <row r="28" spans="2:5" ht="15" customHeight="1">
      <c r="B28" s="79"/>
      <c r="C28" s="55" t="s">
        <v>122</v>
      </c>
      <c r="D28" s="56">
        <v>1</v>
      </c>
      <c r="E28" s="57">
        <v>5.9171597633136093E-3</v>
      </c>
    </row>
    <row r="29" spans="2:5" ht="15" customHeight="1">
      <c r="B29" s="78"/>
      <c r="C29" s="58" t="s">
        <v>3</v>
      </c>
      <c r="D29" s="59">
        <v>9</v>
      </c>
      <c r="E29" s="60">
        <v>5.3254437869822487E-2</v>
      </c>
    </row>
    <row r="30" spans="2:5" ht="15" customHeight="1">
      <c r="B30" s="77" t="s">
        <v>6</v>
      </c>
      <c r="C30" s="55" t="s">
        <v>97</v>
      </c>
      <c r="D30" s="56">
        <v>1</v>
      </c>
      <c r="E30" s="57">
        <v>5.9171597633136093E-3</v>
      </c>
    </row>
    <row r="31" spans="2:5" ht="15" customHeight="1">
      <c r="B31" s="79"/>
      <c r="C31" s="55" t="s">
        <v>123</v>
      </c>
      <c r="D31" s="56">
        <v>1</v>
      </c>
      <c r="E31" s="57">
        <v>5.9171597633136093E-3</v>
      </c>
    </row>
    <row r="32" spans="2:5" ht="15" customHeight="1">
      <c r="B32" s="79"/>
      <c r="C32" s="55" t="s">
        <v>6</v>
      </c>
      <c r="D32" s="56">
        <v>2</v>
      </c>
      <c r="E32" s="57">
        <v>1.1834319526627219E-2</v>
      </c>
    </row>
    <row r="33" spans="2:5" ht="15" customHeight="1">
      <c r="B33" s="79"/>
      <c r="C33" s="55" t="s">
        <v>98</v>
      </c>
      <c r="D33" s="56">
        <v>1</v>
      </c>
      <c r="E33" s="57">
        <v>5.9171597633136093E-3</v>
      </c>
    </row>
    <row r="34" spans="2:5" ht="15" customHeight="1">
      <c r="B34" s="79"/>
      <c r="C34" s="55" t="s">
        <v>124</v>
      </c>
      <c r="D34" s="56">
        <v>1</v>
      </c>
      <c r="E34" s="57">
        <v>5.9171597633136093E-3</v>
      </c>
    </row>
    <row r="35" spans="2:5" ht="15" customHeight="1">
      <c r="B35" s="78"/>
      <c r="C35" s="58" t="s">
        <v>3</v>
      </c>
      <c r="D35" s="59">
        <v>6</v>
      </c>
      <c r="E35" s="60">
        <v>3.5502958579881658E-2</v>
      </c>
    </row>
    <row r="36" spans="2:5" ht="15" customHeight="1">
      <c r="B36" s="77" t="s">
        <v>18</v>
      </c>
      <c r="C36" s="55" t="s">
        <v>38</v>
      </c>
      <c r="D36" s="56">
        <v>1</v>
      </c>
      <c r="E36" s="57">
        <v>5.9171597633136093E-3</v>
      </c>
    </row>
    <row r="37" spans="2:5" ht="15" customHeight="1">
      <c r="B37" s="79"/>
      <c r="C37" s="55" t="s">
        <v>125</v>
      </c>
      <c r="D37" s="56">
        <v>1</v>
      </c>
      <c r="E37" s="57">
        <v>5.9171597633136093E-3</v>
      </c>
    </row>
    <row r="38" spans="2:5" ht="15" customHeight="1">
      <c r="B38" s="79"/>
      <c r="C38" s="55" t="s">
        <v>126</v>
      </c>
      <c r="D38" s="56">
        <v>1</v>
      </c>
      <c r="E38" s="57">
        <v>5.9171597633136093E-3</v>
      </c>
    </row>
    <row r="39" spans="2:5" ht="15" customHeight="1">
      <c r="B39" s="79"/>
      <c r="C39" s="55" t="s">
        <v>37</v>
      </c>
      <c r="D39" s="56">
        <v>6</v>
      </c>
      <c r="E39" s="57">
        <v>3.5502958579881658E-2</v>
      </c>
    </row>
    <row r="40" spans="2:5" ht="15" customHeight="1">
      <c r="B40" s="79"/>
      <c r="C40" s="55" t="s">
        <v>36</v>
      </c>
      <c r="D40" s="56">
        <v>1</v>
      </c>
      <c r="E40" s="57">
        <v>5.9171597633136093E-3</v>
      </c>
    </row>
    <row r="41" spans="2:5" ht="15" customHeight="1">
      <c r="B41" s="79"/>
      <c r="C41" s="55" t="s">
        <v>127</v>
      </c>
      <c r="D41" s="56">
        <v>1</v>
      </c>
      <c r="E41" s="57">
        <v>5.9171597633136093E-3</v>
      </c>
    </row>
    <row r="42" spans="2:5" ht="15" customHeight="1">
      <c r="B42" s="79"/>
      <c r="C42" s="55" t="s">
        <v>128</v>
      </c>
      <c r="D42" s="56">
        <v>1</v>
      </c>
      <c r="E42" s="57">
        <v>5.9171597633136093E-3</v>
      </c>
    </row>
    <row r="43" spans="2:5" ht="15" customHeight="1">
      <c r="B43" s="79"/>
      <c r="C43" s="55" t="s">
        <v>99</v>
      </c>
      <c r="D43" s="56">
        <v>2</v>
      </c>
      <c r="E43" s="57">
        <v>1.1834319526627219E-2</v>
      </c>
    </row>
    <row r="44" spans="2:5" ht="15" customHeight="1">
      <c r="B44" s="79"/>
      <c r="C44" s="55" t="s">
        <v>35</v>
      </c>
      <c r="D44" s="56">
        <v>1</v>
      </c>
      <c r="E44" s="57">
        <v>5.9171597633136093E-3</v>
      </c>
    </row>
    <row r="45" spans="2:5" ht="15" customHeight="1">
      <c r="B45" s="79"/>
      <c r="C45" s="55" t="s">
        <v>129</v>
      </c>
      <c r="D45" s="56">
        <v>1</v>
      </c>
      <c r="E45" s="57">
        <v>5.9171597633136093E-3</v>
      </c>
    </row>
    <row r="46" spans="2:5" ht="15" customHeight="1">
      <c r="B46" s="79"/>
      <c r="C46" s="55" t="s">
        <v>130</v>
      </c>
      <c r="D46" s="56">
        <v>1</v>
      </c>
      <c r="E46" s="57">
        <v>5.9171597633136093E-3</v>
      </c>
    </row>
    <row r="47" spans="2:5" ht="15" customHeight="1">
      <c r="B47" s="79"/>
      <c r="C47" s="55" t="s">
        <v>131</v>
      </c>
      <c r="D47" s="56">
        <v>1</v>
      </c>
      <c r="E47" s="57">
        <v>5.9171597633136093E-3</v>
      </c>
    </row>
    <row r="48" spans="2:5" ht="15" customHeight="1">
      <c r="B48" s="79"/>
      <c r="C48" s="55" t="s">
        <v>34</v>
      </c>
      <c r="D48" s="56">
        <v>3</v>
      </c>
      <c r="E48" s="57">
        <v>1.7751479289940829E-2</v>
      </c>
    </row>
    <row r="49" spans="2:5" ht="15" customHeight="1">
      <c r="B49" s="79"/>
      <c r="C49" s="55" t="s">
        <v>33</v>
      </c>
      <c r="D49" s="56">
        <v>6</v>
      </c>
      <c r="E49" s="57">
        <v>3.5502958579881658E-2</v>
      </c>
    </row>
    <row r="50" spans="2:5" ht="15" customHeight="1">
      <c r="B50" s="79"/>
      <c r="C50" s="55" t="s">
        <v>132</v>
      </c>
      <c r="D50" s="56">
        <v>1</v>
      </c>
      <c r="E50" s="57">
        <v>5.9171597633136093E-3</v>
      </c>
    </row>
    <row r="51" spans="2:5" ht="15" customHeight="1">
      <c r="B51" s="78"/>
      <c r="C51" s="58" t="s">
        <v>3</v>
      </c>
      <c r="D51" s="59">
        <v>28</v>
      </c>
      <c r="E51" s="60">
        <v>0.16568047337278108</v>
      </c>
    </row>
    <row r="52" spans="2:5" ht="15" customHeight="1">
      <c r="B52" s="77" t="s">
        <v>19</v>
      </c>
      <c r="C52" s="55" t="s">
        <v>32</v>
      </c>
      <c r="D52" s="56">
        <v>23</v>
      </c>
      <c r="E52" s="57">
        <v>0.13609467455621302</v>
      </c>
    </row>
    <row r="53" spans="2:5" ht="15" customHeight="1">
      <c r="B53" s="79"/>
      <c r="C53" s="55" t="s">
        <v>31</v>
      </c>
      <c r="D53" s="56">
        <v>9</v>
      </c>
      <c r="E53" s="57">
        <v>5.3254437869822487E-2</v>
      </c>
    </row>
    <row r="54" spans="2:5" ht="15" customHeight="1">
      <c r="B54" s="79"/>
      <c r="C54" s="55" t="s">
        <v>100</v>
      </c>
      <c r="D54" s="56">
        <v>1</v>
      </c>
      <c r="E54" s="57">
        <v>5.9171597633136093E-3</v>
      </c>
    </row>
    <row r="55" spans="2:5" ht="15" customHeight="1">
      <c r="B55" s="79"/>
      <c r="C55" s="55" t="s">
        <v>133</v>
      </c>
      <c r="D55" s="56">
        <v>1</v>
      </c>
      <c r="E55" s="57">
        <v>5.9171597633136093E-3</v>
      </c>
    </row>
    <row r="56" spans="2:5" ht="15" customHeight="1">
      <c r="B56" s="79"/>
      <c r="C56" s="55" t="s">
        <v>30</v>
      </c>
      <c r="D56" s="56">
        <v>7</v>
      </c>
      <c r="E56" s="57">
        <v>4.142011834319527E-2</v>
      </c>
    </row>
    <row r="57" spans="2:5" ht="15" customHeight="1">
      <c r="B57" s="79"/>
      <c r="C57" s="55" t="s">
        <v>134</v>
      </c>
      <c r="D57" s="56">
        <v>1</v>
      </c>
      <c r="E57" s="57">
        <v>5.9171597633136093E-3</v>
      </c>
    </row>
    <row r="58" spans="2:5" ht="15" customHeight="1">
      <c r="B58" s="79"/>
      <c r="C58" s="55" t="s">
        <v>135</v>
      </c>
      <c r="D58" s="56">
        <v>2</v>
      </c>
      <c r="E58" s="57">
        <v>1.1834319526627219E-2</v>
      </c>
    </row>
    <row r="59" spans="2:5" ht="15" customHeight="1">
      <c r="B59" s="79"/>
      <c r="C59" s="55" t="s">
        <v>136</v>
      </c>
      <c r="D59" s="56">
        <v>1</v>
      </c>
      <c r="E59" s="57">
        <v>5.9171597633136093E-3</v>
      </c>
    </row>
    <row r="60" spans="2:5" ht="15" customHeight="1">
      <c r="B60" s="79"/>
      <c r="C60" s="55" t="s">
        <v>137</v>
      </c>
      <c r="D60" s="56">
        <v>1</v>
      </c>
      <c r="E60" s="57">
        <v>5.9171597633136093E-3</v>
      </c>
    </row>
    <row r="61" spans="2:5" ht="15" customHeight="1">
      <c r="B61" s="79"/>
      <c r="C61" s="55" t="s">
        <v>138</v>
      </c>
      <c r="D61" s="56">
        <v>1</v>
      </c>
      <c r="E61" s="57">
        <v>5.9171597633136093E-3</v>
      </c>
    </row>
    <row r="62" spans="2:5" ht="15" customHeight="1">
      <c r="B62" s="79"/>
      <c r="C62" s="55" t="s">
        <v>101</v>
      </c>
      <c r="D62" s="56">
        <v>1</v>
      </c>
      <c r="E62" s="57">
        <v>5.9171597633136093E-3</v>
      </c>
    </row>
    <row r="63" spans="2:5" ht="15" customHeight="1">
      <c r="B63" s="78"/>
      <c r="C63" s="58" t="s">
        <v>3</v>
      </c>
      <c r="D63" s="59">
        <v>48</v>
      </c>
      <c r="E63" s="60">
        <v>0.28402366863905326</v>
      </c>
    </row>
    <row r="64" spans="2:5" ht="15" customHeight="1">
      <c r="B64" s="77" t="s">
        <v>10</v>
      </c>
      <c r="C64" s="55" t="s">
        <v>139</v>
      </c>
      <c r="D64" s="56">
        <v>1</v>
      </c>
      <c r="E64" s="57">
        <v>5.9171597633136093E-3</v>
      </c>
    </row>
    <row r="65" spans="2:5" ht="15" customHeight="1">
      <c r="B65" s="79"/>
      <c r="C65" s="55" t="s">
        <v>87</v>
      </c>
      <c r="D65" s="56">
        <v>1</v>
      </c>
      <c r="E65" s="57">
        <v>5.9171597633136093E-3</v>
      </c>
    </row>
    <row r="66" spans="2:5" ht="15" customHeight="1">
      <c r="B66" s="78"/>
      <c r="C66" s="58" t="s">
        <v>3</v>
      </c>
      <c r="D66" s="59">
        <v>2</v>
      </c>
      <c r="E66" s="60">
        <v>1.1834319526627219E-2</v>
      </c>
    </row>
    <row r="67" spans="2:5" ht="15" customHeight="1">
      <c r="B67" s="77" t="s">
        <v>14</v>
      </c>
      <c r="C67" s="55" t="s">
        <v>140</v>
      </c>
      <c r="D67" s="56">
        <v>1</v>
      </c>
      <c r="E67" s="57">
        <v>5.9171597633136093E-3</v>
      </c>
    </row>
    <row r="68" spans="2:5" ht="15" customHeight="1">
      <c r="B68" s="79"/>
      <c r="C68" s="55" t="s">
        <v>19</v>
      </c>
      <c r="D68" s="56">
        <v>1</v>
      </c>
      <c r="E68" s="57">
        <v>5.9171597633136093E-3</v>
      </c>
    </row>
    <row r="69" spans="2:5" ht="15" customHeight="1">
      <c r="B69" s="79"/>
      <c r="C69" s="55" t="s">
        <v>102</v>
      </c>
      <c r="D69" s="56">
        <v>1</v>
      </c>
      <c r="E69" s="57">
        <v>5.9171597633136093E-3</v>
      </c>
    </row>
    <row r="70" spans="2:5" ht="15" customHeight="1">
      <c r="B70" s="79"/>
      <c r="C70" s="55" t="s">
        <v>29</v>
      </c>
      <c r="D70" s="56">
        <v>6</v>
      </c>
      <c r="E70" s="57">
        <v>3.5502958579881658E-2</v>
      </c>
    </row>
    <row r="71" spans="2:5" ht="15" customHeight="1">
      <c r="B71" s="79"/>
      <c r="C71" s="55" t="s">
        <v>28</v>
      </c>
      <c r="D71" s="56">
        <v>1</v>
      </c>
      <c r="E71" s="57">
        <v>5.9171597633136093E-3</v>
      </c>
    </row>
    <row r="72" spans="2:5" ht="15" customHeight="1">
      <c r="B72" s="78"/>
      <c r="C72" s="58" t="s">
        <v>3</v>
      </c>
      <c r="D72" s="59">
        <v>10</v>
      </c>
      <c r="E72" s="60">
        <v>5.9171597633136092E-2</v>
      </c>
    </row>
    <row r="73" spans="2:5" ht="15" customHeight="1">
      <c r="B73" s="77" t="s">
        <v>85</v>
      </c>
      <c r="C73" s="55" t="s">
        <v>141</v>
      </c>
      <c r="D73" s="56">
        <v>2</v>
      </c>
      <c r="E73" s="57">
        <v>1.1834319526627219E-2</v>
      </c>
    </row>
    <row r="74" spans="2:5" ht="15" customHeight="1">
      <c r="B74" s="78"/>
      <c r="C74" s="58" t="s">
        <v>3</v>
      </c>
      <c r="D74" s="59">
        <v>2</v>
      </c>
      <c r="E74" s="60">
        <v>1.1834319526627219E-2</v>
      </c>
    </row>
    <row r="75" spans="2:5" ht="15" customHeight="1">
      <c r="B75" s="77" t="s">
        <v>5</v>
      </c>
      <c r="C75" s="55" t="s">
        <v>27</v>
      </c>
      <c r="D75" s="56">
        <v>1</v>
      </c>
      <c r="E75" s="57">
        <v>5.9171597633136093E-3</v>
      </c>
    </row>
    <row r="76" spans="2:5" ht="15" customHeight="1">
      <c r="B76" s="78"/>
      <c r="C76" s="58" t="s">
        <v>3</v>
      </c>
      <c r="D76" s="59">
        <v>1</v>
      </c>
      <c r="E76" s="60">
        <v>5.9171597633136093E-3</v>
      </c>
    </row>
    <row r="77" spans="2:5" ht="15" customHeight="1">
      <c r="B77" s="77" t="s">
        <v>9</v>
      </c>
      <c r="C77" s="55" t="s">
        <v>142</v>
      </c>
      <c r="D77" s="56">
        <v>1</v>
      </c>
      <c r="E77" s="57">
        <v>5.9171597633136093E-3</v>
      </c>
    </row>
    <row r="78" spans="2:5" ht="15" customHeight="1">
      <c r="B78" s="79"/>
      <c r="C78" s="55" t="s">
        <v>143</v>
      </c>
      <c r="D78" s="56">
        <v>1</v>
      </c>
      <c r="E78" s="57">
        <v>5.9171597633136093E-3</v>
      </c>
    </row>
    <row r="79" spans="2:5" ht="15" customHeight="1">
      <c r="B79" s="78"/>
      <c r="C79" s="58" t="s">
        <v>3</v>
      </c>
      <c r="D79" s="59">
        <v>2</v>
      </c>
      <c r="E79" s="60">
        <v>1.1834319526627219E-2</v>
      </c>
    </row>
    <row r="80" spans="2:5" ht="15" customHeight="1">
      <c r="B80" s="77" t="s">
        <v>16</v>
      </c>
      <c r="C80" s="55" t="s">
        <v>103</v>
      </c>
      <c r="D80" s="56">
        <v>1</v>
      </c>
      <c r="E80" s="57">
        <v>5.9171597633136093E-3</v>
      </c>
    </row>
    <row r="81" spans="2:5" ht="15" customHeight="1">
      <c r="B81" s="79"/>
      <c r="C81" s="55" t="s">
        <v>26</v>
      </c>
      <c r="D81" s="56">
        <v>4</v>
      </c>
      <c r="E81" s="57">
        <v>2.3668639053254437E-2</v>
      </c>
    </row>
    <row r="82" spans="2:5" ht="15" customHeight="1">
      <c r="B82" s="79"/>
      <c r="C82" s="55" t="s">
        <v>144</v>
      </c>
      <c r="D82" s="56">
        <v>1</v>
      </c>
      <c r="E82" s="57">
        <v>5.9171597633136093E-3</v>
      </c>
    </row>
    <row r="83" spans="2:5" ht="15" customHeight="1">
      <c r="B83" s="79"/>
      <c r="C83" s="55" t="s">
        <v>88</v>
      </c>
      <c r="D83" s="56">
        <v>1</v>
      </c>
      <c r="E83" s="57">
        <v>5.9171597633136093E-3</v>
      </c>
    </row>
    <row r="84" spans="2:5" ht="15" customHeight="1">
      <c r="B84" s="79"/>
      <c r="C84" s="55" t="s">
        <v>145</v>
      </c>
      <c r="D84" s="56">
        <v>1</v>
      </c>
      <c r="E84" s="57">
        <v>5.9171597633136093E-3</v>
      </c>
    </row>
    <row r="85" spans="2:5" ht="15" customHeight="1">
      <c r="B85" s="79"/>
      <c r="C85" s="55" t="s">
        <v>146</v>
      </c>
      <c r="D85" s="56">
        <v>1</v>
      </c>
      <c r="E85" s="57">
        <v>5.9171597633136093E-3</v>
      </c>
    </row>
    <row r="86" spans="2:5" ht="15" customHeight="1">
      <c r="B86" s="79"/>
      <c r="C86" s="55" t="s">
        <v>147</v>
      </c>
      <c r="D86" s="56">
        <v>1</v>
      </c>
      <c r="E86" s="57">
        <v>5.9171597633136093E-3</v>
      </c>
    </row>
    <row r="87" spans="2:5" ht="15" customHeight="1">
      <c r="B87" s="79"/>
      <c r="C87" s="55" t="s">
        <v>16</v>
      </c>
      <c r="D87" s="56">
        <v>5</v>
      </c>
      <c r="E87" s="57">
        <v>2.9585798816568046E-2</v>
      </c>
    </row>
    <row r="88" spans="2:5" ht="15" customHeight="1">
      <c r="B88" s="79"/>
      <c r="C88" s="55" t="s">
        <v>148</v>
      </c>
      <c r="D88" s="56">
        <v>1</v>
      </c>
      <c r="E88" s="57">
        <v>5.9171597633136093E-3</v>
      </c>
    </row>
    <row r="89" spans="2:5" ht="15" customHeight="1">
      <c r="B89" s="79"/>
      <c r="C89" s="55" t="s">
        <v>149</v>
      </c>
      <c r="D89" s="56">
        <v>1</v>
      </c>
      <c r="E89" s="57">
        <v>5.9171597633136093E-3</v>
      </c>
    </row>
    <row r="90" spans="2:5" ht="15" customHeight="1">
      <c r="B90" s="79"/>
      <c r="C90" s="55" t="s">
        <v>150</v>
      </c>
      <c r="D90" s="56">
        <v>1</v>
      </c>
      <c r="E90" s="57">
        <v>5.9171597633136093E-3</v>
      </c>
    </row>
    <row r="91" spans="2:5" ht="15" customHeight="1">
      <c r="B91" s="79"/>
      <c r="C91" s="55" t="s">
        <v>151</v>
      </c>
      <c r="D91" s="56">
        <v>1</v>
      </c>
      <c r="E91" s="57">
        <v>5.9171597633136093E-3</v>
      </c>
    </row>
    <row r="92" spans="2:5" ht="15" customHeight="1">
      <c r="B92" s="79"/>
      <c r="C92" s="55" t="s">
        <v>152</v>
      </c>
      <c r="D92" s="56">
        <v>1</v>
      </c>
      <c r="E92" s="57">
        <v>5.9171597633136093E-3</v>
      </c>
    </row>
    <row r="93" spans="2:5" ht="15" customHeight="1">
      <c r="B93" s="79"/>
      <c r="C93" s="55" t="s">
        <v>153</v>
      </c>
      <c r="D93" s="56">
        <v>1</v>
      </c>
      <c r="E93" s="57">
        <v>5.9171597633136093E-3</v>
      </c>
    </row>
    <row r="94" spans="2:5" ht="15" customHeight="1">
      <c r="B94" s="79"/>
      <c r="C94" s="55" t="s">
        <v>154</v>
      </c>
      <c r="D94" s="56">
        <v>1</v>
      </c>
      <c r="E94" s="57">
        <v>5.9171597633136093E-3</v>
      </c>
    </row>
    <row r="95" spans="2:5" ht="15" customHeight="1">
      <c r="B95" s="78"/>
      <c r="C95" s="58" t="s">
        <v>3</v>
      </c>
      <c r="D95" s="59">
        <v>22</v>
      </c>
      <c r="E95" s="60">
        <v>0.13017751479289941</v>
      </c>
    </row>
    <row r="96" spans="2:5" ht="15" customHeight="1">
      <c r="B96" s="77" t="s">
        <v>12</v>
      </c>
      <c r="C96" s="55" t="s">
        <v>25</v>
      </c>
      <c r="D96" s="56">
        <v>2</v>
      </c>
      <c r="E96" s="57">
        <v>1.1834319526627219E-2</v>
      </c>
    </row>
    <row r="97" spans="2:6" ht="15" customHeight="1">
      <c r="B97" s="78"/>
      <c r="C97" s="58" t="s">
        <v>3</v>
      </c>
      <c r="D97" s="59">
        <v>2</v>
      </c>
      <c r="E97" s="60">
        <v>1.1834319526627219E-2</v>
      </c>
    </row>
    <row r="98" spans="2:6" ht="15" customHeight="1">
      <c r="B98" s="77" t="s">
        <v>8</v>
      </c>
      <c r="C98" s="55" t="s">
        <v>8</v>
      </c>
      <c r="D98" s="56">
        <v>1</v>
      </c>
      <c r="E98" s="57">
        <v>5.9171597633136093E-3</v>
      </c>
    </row>
    <row r="99" spans="2:6" ht="15" customHeight="1">
      <c r="B99" s="78"/>
      <c r="C99" s="58" t="s">
        <v>3</v>
      </c>
      <c r="D99" s="59">
        <v>1</v>
      </c>
      <c r="E99" s="60">
        <v>5.9171597633136093E-3</v>
      </c>
    </row>
    <row r="100" spans="2:6" ht="15" customHeight="1">
      <c r="B100" s="77" t="s">
        <v>4</v>
      </c>
      <c r="C100" s="55" t="s">
        <v>155</v>
      </c>
      <c r="D100" s="56">
        <v>1</v>
      </c>
      <c r="E100" s="57">
        <v>5.9171597633136093E-3</v>
      </c>
    </row>
    <row r="101" spans="2:6" ht="15" customHeight="1">
      <c r="B101" s="78"/>
      <c r="C101" s="58" t="s">
        <v>3</v>
      </c>
      <c r="D101" s="59">
        <v>1</v>
      </c>
      <c r="E101" s="60">
        <v>5.9171597633136093E-3</v>
      </c>
      <c r="F101" s="1"/>
    </row>
    <row r="102" spans="2:6" ht="15" customHeight="1">
      <c r="B102" s="77" t="s">
        <v>7</v>
      </c>
      <c r="C102" s="55" t="s">
        <v>156</v>
      </c>
      <c r="D102" s="56">
        <v>1</v>
      </c>
      <c r="E102" s="57">
        <v>5.9171597633136093E-3</v>
      </c>
      <c r="F102" s="1"/>
    </row>
    <row r="103" spans="2:6" ht="15" customHeight="1">
      <c r="B103" s="78"/>
      <c r="C103" s="58" t="s">
        <v>3</v>
      </c>
      <c r="D103" s="59">
        <v>1</v>
      </c>
      <c r="E103" s="60">
        <v>5.9171597633136093E-3</v>
      </c>
      <c r="F103" s="1"/>
    </row>
    <row r="104" spans="2:6" ht="15" customHeight="1">
      <c r="B104" s="77" t="s">
        <v>157</v>
      </c>
      <c r="C104" s="55" t="s">
        <v>158</v>
      </c>
      <c r="D104" s="56">
        <v>1</v>
      </c>
      <c r="E104" s="57">
        <v>5.9171597633136093E-3</v>
      </c>
      <c r="F104" s="1"/>
    </row>
    <row r="105" spans="2:6" ht="15" customHeight="1">
      <c r="B105" s="79"/>
      <c r="C105" s="55" t="s">
        <v>157</v>
      </c>
      <c r="D105" s="56">
        <v>1</v>
      </c>
      <c r="E105" s="57">
        <v>5.9171597633136093E-3</v>
      </c>
      <c r="F105" s="1"/>
    </row>
    <row r="106" spans="2:6" ht="15" customHeight="1">
      <c r="B106" s="78"/>
      <c r="C106" s="58" t="s">
        <v>3</v>
      </c>
      <c r="D106" s="59">
        <v>2</v>
      </c>
      <c r="E106" s="60">
        <v>1.1834319526627219E-2</v>
      </c>
    </row>
    <row r="107" spans="2:6" ht="15" customHeight="1">
      <c r="B107" s="77" t="s">
        <v>15</v>
      </c>
      <c r="C107" s="55" t="s">
        <v>159</v>
      </c>
      <c r="D107" s="56">
        <v>2</v>
      </c>
      <c r="E107" s="57">
        <v>1.1834319526627219E-2</v>
      </c>
    </row>
    <row r="108" spans="2:6" ht="15" customHeight="1">
      <c r="B108" s="79"/>
      <c r="C108" s="55" t="s">
        <v>24</v>
      </c>
      <c r="D108" s="56">
        <v>2</v>
      </c>
      <c r="E108" s="57">
        <v>1.1834319526627219E-2</v>
      </c>
    </row>
    <row r="109" spans="2:6" ht="15" customHeight="1">
      <c r="B109" s="79"/>
      <c r="C109" s="55" t="s">
        <v>160</v>
      </c>
      <c r="D109" s="56">
        <v>1</v>
      </c>
      <c r="E109" s="57">
        <v>5.9171597633136093E-3</v>
      </c>
    </row>
    <row r="110" spans="2:6" ht="15" customHeight="1">
      <c r="B110" s="79"/>
      <c r="C110" s="55" t="s">
        <v>161</v>
      </c>
      <c r="D110" s="56">
        <v>1</v>
      </c>
      <c r="E110" s="57">
        <v>5.9171597633136093E-3</v>
      </c>
    </row>
    <row r="111" spans="2:6" ht="15" customHeight="1">
      <c r="B111" s="79"/>
      <c r="C111" s="55" t="s">
        <v>162</v>
      </c>
      <c r="D111" s="56">
        <v>1</v>
      </c>
      <c r="E111" s="57">
        <v>5.9171597633136093E-3</v>
      </c>
    </row>
    <row r="112" spans="2:6" ht="15" customHeight="1">
      <c r="B112" s="79"/>
      <c r="C112" s="55" t="s">
        <v>104</v>
      </c>
      <c r="D112" s="56">
        <v>2</v>
      </c>
      <c r="E112" s="57">
        <v>1.1834319526627219E-2</v>
      </c>
    </row>
    <row r="113" spans="2:5" ht="15" customHeight="1">
      <c r="B113" s="79"/>
      <c r="C113" s="55" t="s">
        <v>163</v>
      </c>
      <c r="D113" s="56">
        <v>1</v>
      </c>
      <c r="E113" s="57">
        <v>5.9171597633136093E-3</v>
      </c>
    </row>
    <row r="114" spans="2:5" ht="15" customHeight="1">
      <c r="B114" s="79"/>
      <c r="C114" s="55" t="s">
        <v>105</v>
      </c>
      <c r="D114" s="56">
        <v>1</v>
      </c>
      <c r="E114" s="57">
        <v>5.9171597633136093E-3</v>
      </c>
    </row>
    <row r="115" spans="2:5" ht="15" customHeight="1">
      <c r="B115" s="79"/>
      <c r="C115" s="55" t="s">
        <v>89</v>
      </c>
      <c r="D115" s="56">
        <v>2</v>
      </c>
      <c r="E115" s="57">
        <v>1.1834319526627219E-2</v>
      </c>
    </row>
    <row r="116" spans="2:5" ht="15" customHeight="1">
      <c r="B116" s="79"/>
      <c r="C116" s="55" t="s">
        <v>106</v>
      </c>
      <c r="D116" s="56">
        <v>1</v>
      </c>
      <c r="E116" s="57">
        <v>5.9171597633136093E-3</v>
      </c>
    </row>
    <row r="117" spans="2:5" ht="15" customHeight="1">
      <c r="B117" s="79"/>
      <c r="C117" s="55" t="s">
        <v>15</v>
      </c>
      <c r="D117" s="56">
        <v>2</v>
      </c>
      <c r="E117" s="57">
        <v>1.1834319526627219E-2</v>
      </c>
    </row>
    <row r="118" spans="2:5" ht="15" customHeight="1">
      <c r="B118" s="79"/>
      <c r="C118" s="55" t="s">
        <v>23</v>
      </c>
      <c r="D118" s="56">
        <v>1</v>
      </c>
      <c r="E118" s="57">
        <v>5.9171597633136093E-3</v>
      </c>
    </row>
    <row r="119" spans="2:5" ht="15" customHeight="1">
      <c r="B119" s="78"/>
      <c r="C119" s="58" t="s">
        <v>3</v>
      </c>
      <c r="D119" s="59">
        <v>17</v>
      </c>
      <c r="E119" s="60">
        <v>0.10059171597633136</v>
      </c>
    </row>
    <row r="120" spans="2:5" ht="15" customHeight="1">
      <c r="B120" s="81" t="s">
        <v>3</v>
      </c>
      <c r="C120" s="82"/>
      <c r="D120" s="61">
        <f>SUMIF(C$10:C119,"Total",D$10:D119)</f>
        <v>169</v>
      </c>
      <c r="E120" s="62">
        <v>1</v>
      </c>
    </row>
    <row r="121" spans="2:5" ht="15" customHeight="1">
      <c r="B121" s="63"/>
      <c r="C121" s="63"/>
      <c r="D121" s="63"/>
      <c r="E121" s="63"/>
    </row>
    <row r="122" spans="2:5" ht="15" customHeight="1">
      <c r="B122" s="64" t="s">
        <v>164</v>
      </c>
      <c r="C122" s="63"/>
      <c r="D122" s="63"/>
      <c r="E122" s="63"/>
    </row>
    <row r="123" spans="2:5" ht="15" customHeight="1">
      <c r="B123" s="65" t="s">
        <v>2</v>
      </c>
      <c r="C123" s="63"/>
      <c r="D123" s="63"/>
      <c r="E123" s="63"/>
    </row>
    <row r="124" spans="2:5" ht="15" customHeight="1">
      <c r="B124" s="66" t="s">
        <v>1</v>
      </c>
      <c r="C124" s="63"/>
      <c r="D124" s="63"/>
      <c r="E124" s="63"/>
    </row>
    <row r="125" spans="2:5" ht="15" customHeight="1">
      <c r="B125" s="64" t="s">
        <v>0</v>
      </c>
      <c r="C125" s="63"/>
      <c r="D125" s="63"/>
      <c r="E125" s="63"/>
    </row>
    <row r="126" spans="2:5" ht="15" customHeight="1">
      <c r="B126" s="64" t="s">
        <v>165</v>
      </c>
      <c r="C126" s="63"/>
      <c r="D126" s="63"/>
      <c r="E126" s="63"/>
    </row>
    <row r="322" spans="1:2" s="21" customFormat="1" ht="15" customHeight="1">
      <c r="A322" s="20"/>
      <c r="B322" s="22"/>
    </row>
    <row r="323" spans="1:2" s="21" customFormat="1" ht="15" customHeight="1">
      <c r="A323" s="20"/>
      <c r="B323" s="23"/>
    </row>
    <row r="324" spans="1:2" s="21" customFormat="1" ht="15" customHeight="1">
      <c r="A324" s="20"/>
      <c r="B324" s="23"/>
    </row>
    <row r="325" spans="1:2" s="21" customFormat="1" ht="15" customHeight="1">
      <c r="A325" s="20"/>
      <c r="B325" s="22"/>
    </row>
    <row r="326" spans="1:2" s="21" customFormat="1" ht="15" customHeight="1">
      <c r="A326" s="20"/>
      <c r="B326" s="22"/>
    </row>
  </sheetData>
  <mergeCells count="22">
    <mergeCell ref="B100:B101"/>
    <mergeCell ref="B102:B103"/>
    <mergeCell ref="B104:B106"/>
    <mergeCell ref="B107:B119"/>
    <mergeCell ref="B120:C120"/>
    <mergeCell ref="B7:E8"/>
    <mergeCell ref="B10:B11"/>
    <mergeCell ref="B12:B13"/>
    <mergeCell ref="B14:B19"/>
    <mergeCell ref="B20:B21"/>
    <mergeCell ref="B22:B29"/>
    <mergeCell ref="B30:B35"/>
    <mergeCell ref="B36:B51"/>
    <mergeCell ref="B52:B63"/>
    <mergeCell ref="B64:B66"/>
    <mergeCell ref="B96:B97"/>
    <mergeCell ref="B98:B99"/>
    <mergeCell ref="B67:B72"/>
    <mergeCell ref="B73:B74"/>
    <mergeCell ref="B75:B76"/>
    <mergeCell ref="B77:B79"/>
    <mergeCell ref="B80:B95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D37"/>
  <sheetViews>
    <sheetView showGridLines="0" zoomScaleNormal="100" zoomScaleSheetLayoutView="115" workbookViewId="0">
      <selection activeCell="G17" sqref="G17"/>
    </sheetView>
  </sheetViews>
  <sheetFormatPr baseColWidth="10" defaultColWidth="11.42578125" defaultRowHeight="15"/>
  <cols>
    <col min="1" max="1" width="9.28515625" style="1" customWidth="1"/>
    <col min="2" max="2" width="30.570312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>
      <c r="C1" s="19"/>
    </row>
    <row r="2" spans="1:4" s="13" customFormat="1" ht="15" customHeight="1">
      <c r="C2" s="19"/>
    </row>
    <row r="3" spans="1:4" s="13" customFormat="1" ht="15" customHeight="1">
      <c r="C3" s="19"/>
    </row>
    <row r="4" spans="1:4" s="13" customFormat="1" ht="30" customHeight="1">
      <c r="C4" s="19"/>
      <c r="D4" s="18"/>
    </row>
    <row r="5" spans="1:4" s="13" customFormat="1" ht="15" customHeight="1">
      <c r="C5" s="19"/>
      <c r="D5" s="18"/>
    </row>
    <row r="6" spans="1:4" s="13" customFormat="1" ht="15" customHeight="1">
      <c r="C6" s="19"/>
      <c r="D6" s="18"/>
    </row>
    <row r="7" spans="1:4" s="13" customFormat="1" ht="15" customHeight="1">
      <c r="B7" s="76" t="s">
        <v>53</v>
      </c>
      <c r="C7" s="76"/>
      <c r="D7" s="76"/>
    </row>
    <row r="8" spans="1:4" s="13" customFormat="1" ht="15" customHeight="1">
      <c r="B8" s="76"/>
      <c r="C8" s="76"/>
      <c r="D8" s="76"/>
    </row>
    <row r="9" spans="1:4" s="13" customFormat="1" ht="33" customHeight="1">
      <c r="B9" s="76"/>
      <c r="C9" s="76"/>
      <c r="D9" s="76"/>
    </row>
    <row r="10" spans="1:4" s="13" customFormat="1" ht="4.5" customHeight="1">
      <c r="B10" s="17"/>
      <c r="C10" s="17"/>
      <c r="D10" s="17"/>
    </row>
    <row r="11" spans="1:4" s="13" customFormat="1" ht="33" customHeight="1">
      <c r="B11" s="16" t="s">
        <v>52</v>
      </c>
      <c r="C11" s="15" t="s">
        <v>21</v>
      </c>
      <c r="D11" s="14" t="s">
        <v>20</v>
      </c>
    </row>
    <row r="12" spans="1:4">
      <c r="B12" s="11" t="s">
        <v>51</v>
      </c>
      <c r="C12" s="10">
        <v>1</v>
      </c>
      <c r="D12" s="9">
        <v>5.9171597633136093E-3</v>
      </c>
    </row>
    <row r="13" spans="1:4">
      <c r="B13" s="11" t="s">
        <v>90</v>
      </c>
      <c r="C13" s="10">
        <v>2</v>
      </c>
      <c r="D13" s="9">
        <v>1.1834319526627219E-2</v>
      </c>
    </row>
    <row r="14" spans="1:4">
      <c r="A14" s="12"/>
      <c r="B14" s="11" t="s">
        <v>50</v>
      </c>
      <c r="C14" s="10">
        <v>10</v>
      </c>
      <c r="D14" s="9">
        <v>5.9171597633136092E-2</v>
      </c>
    </row>
    <row r="15" spans="1:4">
      <c r="A15" s="12"/>
      <c r="B15" s="11" t="s">
        <v>49</v>
      </c>
      <c r="C15" s="10">
        <v>25</v>
      </c>
      <c r="D15" s="9">
        <v>0.14792899408284024</v>
      </c>
    </row>
    <row r="16" spans="1:4">
      <c r="B16" s="11" t="s">
        <v>48</v>
      </c>
      <c r="C16" s="10">
        <v>1</v>
      </c>
      <c r="D16" s="9">
        <v>5.9171597633136093E-3</v>
      </c>
    </row>
    <row r="17" spans="2:4">
      <c r="B17" s="11" t="s">
        <v>107</v>
      </c>
      <c r="C17" s="10">
        <v>5</v>
      </c>
      <c r="D17" s="9">
        <v>2.9585798816568046E-2</v>
      </c>
    </row>
    <row r="18" spans="2:4">
      <c r="B18" s="11" t="s">
        <v>47</v>
      </c>
      <c r="C18" s="10">
        <v>6</v>
      </c>
      <c r="D18" s="9">
        <v>3.5502958579881658E-2</v>
      </c>
    </row>
    <row r="19" spans="2:4">
      <c r="B19" s="11" t="s">
        <v>46</v>
      </c>
      <c r="C19" s="10">
        <v>62</v>
      </c>
      <c r="D19" s="9">
        <v>0.36686390532544377</v>
      </c>
    </row>
    <row r="20" spans="2:4">
      <c r="B20" s="11" t="s">
        <v>108</v>
      </c>
      <c r="C20" s="10">
        <v>2</v>
      </c>
      <c r="D20" s="9">
        <v>1.1834319526627219E-2</v>
      </c>
    </row>
    <row r="21" spans="2:4">
      <c r="B21" s="11" t="s">
        <v>45</v>
      </c>
      <c r="C21" s="10">
        <v>9</v>
      </c>
      <c r="D21" s="9">
        <v>5.3254437869822487E-2</v>
      </c>
    </row>
    <row r="22" spans="2:4">
      <c r="B22" s="11" t="s">
        <v>44</v>
      </c>
      <c r="C22" s="10">
        <v>34</v>
      </c>
      <c r="D22" s="9">
        <v>0.20118343195266272</v>
      </c>
    </row>
    <row r="23" spans="2:4">
      <c r="B23" s="11" t="s">
        <v>171</v>
      </c>
      <c r="C23" s="10">
        <v>1</v>
      </c>
      <c r="D23" s="9">
        <v>5.9171597633136093E-3</v>
      </c>
    </row>
    <row r="24" spans="2:4">
      <c r="B24" s="11" t="s">
        <v>109</v>
      </c>
      <c r="C24" s="10">
        <v>1</v>
      </c>
      <c r="D24" s="9">
        <v>5.9171597633136093E-3</v>
      </c>
    </row>
    <row r="25" spans="2:4">
      <c r="B25" s="11" t="s">
        <v>43</v>
      </c>
      <c r="C25" s="10">
        <v>2</v>
      </c>
      <c r="D25" s="9">
        <v>1.1834319526627219E-2</v>
      </c>
    </row>
    <row r="26" spans="2:4">
      <c r="B26" s="11" t="s">
        <v>42</v>
      </c>
      <c r="C26" s="10">
        <v>5</v>
      </c>
      <c r="D26" s="9">
        <v>2.9585798816568046E-2</v>
      </c>
    </row>
    <row r="27" spans="2:4">
      <c r="B27" s="11" t="s">
        <v>91</v>
      </c>
      <c r="C27" s="10">
        <v>1</v>
      </c>
      <c r="D27" s="9">
        <v>5.9171597633136093E-3</v>
      </c>
    </row>
    <row r="28" spans="2:4">
      <c r="B28" s="11" t="s">
        <v>172</v>
      </c>
      <c r="C28" s="10">
        <v>2</v>
      </c>
      <c r="D28" s="9">
        <v>1.1834319526627219E-2</v>
      </c>
    </row>
    <row r="29" spans="2:4">
      <c r="B29" s="8" t="s">
        <v>3</v>
      </c>
      <c r="C29" s="7">
        <v>169</v>
      </c>
      <c r="D29" s="6">
        <v>1</v>
      </c>
    </row>
    <row r="31" spans="2:4">
      <c r="B31" s="3" t="s">
        <v>164</v>
      </c>
    </row>
    <row r="32" spans="2:4">
      <c r="B32" s="5" t="s">
        <v>2</v>
      </c>
    </row>
    <row r="33" spans="2:2">
      <c r="B33" s="4" t="s">
        <v>1</v>
      </c>
    </row>
    <row r="34" spans="2:2">
      <c r="B34" s="3" t="s">
        <v>0</v>
      </c>
    </row>
    <row r="35" spans="2:2">
      <c r="B35" s="3" t="s">
        <v>165</v>
      </c>
    </row>
    <row r="36" spans="2:2">
      <c r="B36" s="3"/>
    </row>
    <row r="37" spans="2:2">
      <c r="B37" s="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8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F99"/>
  <sheetViews>
    <sheetView showGridLines="0" tabSelected="1" topLeftCell="A77" zoomScaleNormal="100" zoomScaleSheetLayoutView="100" workbookViewId="0">
      <selection activeCell="F93" sqref="F93"/>
    </sheetView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28" customFormat="1" ht="12" customHeight="1">
      <c r="B1" s="32"/>
      <c r="C1" s="31"/>
      <c r="D1" s="31"/>
      <c r="E1" s="31"/>
    </row>
    <row r="2" spans="1:5" s="28" customFormat="1" ht="15" customHeight="1">
      <c r="C2" s="30"/>
    </row>
    <row r="3" spans="1:5" s="28" customFormat="1" ht="15" customHeight="1">
      <c r="C3" s="30"/>
    </row>
    <row r="4" spans="1:5" s="28" customFormat="1" ht="30" customHeight="1">
      <c r="C4" s="30"/>
      <c r="D4" s="29"/>
    </row>
    <row r="5" spans="1:5" s="28" customFormat="1" ht="15" customHeight="1">
      <c r="C5" s="30"/>
      <c r="D5" s="29"/>
    </row>
    <row r="6" spans="1:5" s="25" customFormat="1" ht="24" customHeight="1">
      <c r="B6" s="27"/>
      <c r="C6" s="24"/>
      <c r="D6" s="24"/>
      <c r="E6" s="24"/>
    </row>
    <row r="7" spans="1:5" s="25" customFormat="1" ht="26.25" customHeight="1">
      <c r="A7" s="26"/>
      <c r="B7" s="80"/>
      <c r="C7" s="80"/>
      <c r="D7" s="80"/>
      <c r="E7" s="80"/>
    </row>
    <row r="8" spans="1:5" s="25" customFormat="1" ht="33" customHeight="1">
      <c r="A8" s="26"/>
      <c r="B8" s="80"/>
      <c r="C8" s="80"/>
      <c r="D8" s="80"/>
      <c r="E8" s="80"/>
    </row>
    <row r="9" spans="1:5" s="13" customFormat="1" ht="40.5" customHeight="1">
      <c r="B9" s="53" t="s">
        <v>52</v>
      </c>
      <c r="C9" s="53" t="s">
        <v>22</v>
      </c>
      <c r="D9" s="54" t="s">
        <v>21</v>
      </c>
      <c r="E9" s="53" t="s">
        <v>20</v>
      </c>
    </row>
    <row r="10" spans="1:5" ht="15" customHeight="1">
      <c r="B10" s="77" t="s">
        <v>51</v>
      </c>
      <c r="C10" s="55" t="s">
        <v>16</v>
      </c>
      <c r="D10" s="56">
        <v>1</v>
      </c>
      <c r="E10" s="57">
        <v>5.9880239520958087E-3</v>
      </c>
    </row>
    <row r="11" spans="1:5" ht="15" customHeight="1">
      <c r="B11" s="78"/>
      <c r="C11" s="58" t="s">
        <v>3</v>
      </c>
      <c r="D11" s="59">
        <v>1</v>
      </c>
      <c r="E11" s="60">
        <v>5.9880239520958087E-3</v>
      </c>
    </row>
    <row r="12" spans="1:5" ht="15" customHeight="1">
      <c r="B12" s="77" t="s">
        <v>90</v>
      </c>
      <c r="C12" s="55" t="s">
        <v>115</v>
      </c>
      <c r="D12" s="56">
        <v>1</v>
      </c>
      <c r="E12" s="57">
        <v>5.9880239520958087E-3</v>
      </c>
    </row>
    <row r="13" spans="1:5" ht="15" customHeight="1">
      <c r="B13" s="79"/>
      <c r="C13" s="55" t="s">
        <v>18</v>
      </c>
      <c r="D13" s="56">
        <v>1</v>
      </c>
      <c r="E13" s="57">
        <v>5.9880239520958087E-3</v>
      </c>
    </row>
    <row r="14" spans="1:5" ht="15" customHeight="1">
      <c r="B14" s="78"/>
      <c r="C14" s="58" t="s">
        <v>3</v>
      </c>
      <c r="D14" s="59">
        <v>2</v>
      </c>
      <c r="E14" s="60">
        <v>1.1976047904191617E-2</v>
      </c>
    </row>
    <row r="15" spans="1:5" ht="15" customHeight="1">
      <c r="B15" s="77" t="s">
        <v>50</v>
      </c>
      <c r="C15" s="55" t="s">
        <v>6</v>
      </c>
      <c r="D15" s="56">
        <v>1</v>
      </c>
      <c r="E15" s="57">
        <v>5.9880239520958087E-3</v>
      </c>
    </row>
    <row r="16" spans="1:5" ht="15" customHeight="1">
      <c r="B16" s="79"/>
      <c r="C16" s="55" t="s">
        <v>18</v>
      </c>
      <c r="D16" s="56">
        <v>1</v>
      </c>
      <c r="E16" s="57">
        <v>5.9880239520958087E-3</v>
      </c>
    </row>
    <row r="17" spans="2:5" ht="15" customHeight="1">
      <c r="B17" s="79"/>
      <c r="C17" s="55" t="s">
        <v>19</v>
      </c>
      <c r="D17" s="56">
        <v>4</v>
      </c>
      <c r="E17" s="57">
        <v>2.3952095808383235E-2</v>
      </c>
    </row>
    <row r="18" spans="2:5" ht="15" customHeight="1">
      <c r="B18" s="79"/>
      <c r="C18" s="55" t="s">
        <v>14</v>
      </c>
      <c r="D18" s="56">
        <v>1</v>
      </c>
      <c r="E18" s="57">
        <v>5.9880239520958087E-3</v>
      </c>
    </row>
    <row r="19" spans="2:5" ht="15" customHeight="1">
      <c r="B19" s="79"/>
      <c r="C19" s="55" t="s">
        <v>16</v>
      </c>
      <c r="D19" s="56">
        <v>1</v>
      </c>
      <c r="E19" s="57">
        <v>5.9880239520958087E-3</v>
      </c>
    </row>
    <row r="20" spans="2:5" ht="15" customHeight="1">
      <c r="B20" s="79"/>
      <c r="C20" s="55" t="s">
        <v>15</v>
      </c>
      <c r="D20" s="56">
        <v>2</v>
      </c>
      <c r="E20" s="57">
        <v>1.1976047904191617E-2</v>
      </c>
    </row>
    <row r="21" spans="2:5" ht="15" customHeight="1">
      <c r="B21" s="78"/>
      <c r="C21" s="58" t="s">
        <v>3</v>
      </c>
      <c r="D21" s="59">
        <v>10</v>
      </c>
      <c r="E21" s="60">
        <v>5.9880239520958084E-2</v>
      </c>
    </row>
    <row r="22" spans="2:5" ht="15" customHeight="1">
      <c r="B22" s="77" t="s">
        <v>49</v>
      </c>
      <c r="C22" s="55" t="s">
        <v>11</v>
      </c>
      <c r="D22" s="56">
        <v>1</v>
      </c>
      <c r="E22" s="57">
        <v>5.9880239520958087E-3</v>
      </c>
    </row>
    <row r="23" spans="2:5" ht="15" customHeight="1">
      <c r="B23" s="79"/>
      <c r="C23" s="55" t="s">
        <v>6</v>
      </c>
      <c r="D23" s="56">
        <v>1</v>
      </c>
      <c r="E23" s="57">
        <v>5.9880239520958087E-3</v>
      </c>
    </row>
    <row r="24" spans="2:5" ht="15" customHeight="1">
      <c r="B24" s="79"/>
      <c r="C24" s="55" t="s">
        <v>18</v>
      </c>
      <c r="D24" s="56">
        <v>3</v>
      </c>
      <c r="E24" s="57">
        <v>1.7964071856287425E-2</v>
      </c>
    </row>
    <row r="25" spans="2:5" ht="15" customHeight="1">
      <c r="B25" s="79"/>
      <c r="C25" s="55" t="s">
        <v>19</v>
      </c>
      <c r="D25" s="56">
        <v>9</v>
      </c>
      <c r="E25" s="57">
        <v>5.3892215568862277E-2</v>
      </c>
    </row>
    <row r="26" spans="2:5" ht="15" customHeight="1">
      <c r="B26" s="79"/>
      <c r="C26" s="55" t="s">
        <v>10</v>
      </c>
      <c r="D26" s="56">
        <v>1</v>
      </c>
      <c r="E26" s="57">
        <v>5.9880239520958087E-3</v>
      </c>
    </row>
    <row r="27" spans="2:5" ht="15" customHeight="1">
      <c r="B27" s="79"/>
      <c r="C27" s="55" t="s">
        <v>14</v>
      </c>
      <c r="D27" s="56">
        <v>2</v>
      </c>
      <c r="E27" s="57">
        <v>1.1976047904191617E-2</v>
      </c>
    </row>
    <row r="28" spans="2:5" ht="15" customHeight="1">
      <c r="B28" s="79"/>
      <c r="C28" s="55" t="s">
        <v>9</v>
      </c>
      <c r="D28" s="56">
        <v>1</v>
      </c>
      <c r="E28" s="57">
        <v>5.9880239520958087E-3</v>
      </c>
    </row>
    <row r="29" spans="2:5" ht="15" customHeight="1">
      <c r="B29" s="79"/>
      <c r="C29" s="55" t="s">
        <v>16</v>
      </c>
      <c r="D29" s="56">
        <v>5</v>
      </c>
      <c r="E29" s="57">
        <v>2.9940119760479042E-2</v>
      </c>
    </row>
    <row r="30" spans="2:5" ht="15" customHeight="1">
      <c r="B30" s="79"/>
      <c r="C30" s="55" t="s">
        <v>15</v>
      </c>
      <c r="D30" s="56">
        <v>2</v>
      </c>
      <c r="E30" s="57">
        <v>1.1976047904191617E-2</v>
      </c>
    </row>
    <row r="31" spans="2:5" ht="15" customHeight="1">
      <c r="B31" s="78"/>
      <c r="C31" s="58" t="s">
        <v>3</v>
      </c>
      <c r="D31" s="59">
        <v>25</v>
      </c>
      <c r="E31" s="60">
        <v>0.1497005988023952</v>
      </c>
    </row>
    <row r="32" spans="2:5" ht="15" customHeight="1">
      <c r="B32" s="77" t="s">
        <v>48</v>
      </c>
      <c r="C32" s="55" t="s">
        <v>14</v>
      </c>
      <c r="D32" s="56">
        <v>1</v>
      </c>
      <c r="E32" s="57">
        <v>5.9880239520958087E-3</v>
      </c>
    </row>
    <row r="33" spans="2:5" ht="15" customHeight="1">
      <c r="B33" s="78"/>
      <c r="C33" s="58" t="s">
        <v>3</v>
      </c>
      <c r="D33" s="59">
        <v>1</v>
      </c>
      <c r="E33" s="60">
        <v>5.9880239520958087E-3</v>
      </c>
    </row>
    <row r="34" spans="2:5" ht="15" customHeight="1">
      <c r="B34" s="77" t="s">
        <v>107</v>
      </c>
      <c r="C34" s="55" t="s">
        <v>11</v>
      </c>
      <c r="D34" s="56">
        <v>1</v>
      </c>
      <c r="E34" s="57">
        <v>5.9880239520958087E-3</v>
      </c>
    </row>
    <row r="35" spans="2:5" ht="15" customHeight="1">
      <c r="B35" s="79"/>
      <c r="C35" s="55" t="s">
        <v>18</v>
      </c>
      <c r="D35" s="56">
        <v>1</v>
      </c>
      <c r="E35" s="57">
        <v>5.9880239520958087E-3</v>
      </c>
    </row>
    <row r="36" spans="2:5" ht="15" customHeight="1">
      <c r="B36" s="79"/>
      <c r="C36" s="55" t="s">
        <v>19</v>
      </c>
      <c r="D36" s="56">
        <v>1</v>
      </c>
      <c r="E36" s="57">
        <v>5.9880239520958087E-3</v>
      </c>
    </row>
    <row r="37" spans="2:5" ht="15" customHeight="1">
      <c r="B37" s="79"/>
      <c r="C37" s="55" t="s">
        <v>14</v>
      </c>
      <c r="D37" s="56">
        <v>2</v>
      </c>
      <c r="E37" s="57">
        <v>1.1976047904191617E-2</v>
      </c>
    </row>
    <row r="38" spans="2:5" ht="15" customHeight="1">
      <c r="B38" s="78"/>
      <c r="C38" s="58" t="s">
        <v>3</v>
      </c>
      <c r="D38" s="59">
        <v>5</v>
      </c>
      <c r="E38" s="60">
        <v>2.9940119760479042E-2</v>
      </c>
    </row>
    <row r="39" spans="2:5" ht="15" customHeight="1">
      <c r="B39" s="77" t="s">
        <v>47</v>
      </c>
      <c r="C39" s="55" t="s">
        <v>18</v>
      </c>
      <c r="D39" s="56">
        <v>2</v>
      </c>
      <c r="E39" s="57">
        <v>1.1976047904191617E-2</v>
      </c>
    </row>
    <row r="40" spans="2:5" ht="15" customHeight="1">
      <c r="B40" s="79"/>
      <c r="C40" s="55" t="s">
        <v>19</v>
      </c>
      <c r="D40" s="56">
        <v>2</v>
      </c>
      <c r="E40" s="57">
        <v>1.1976047904191617E-2</v>
      </c>
    </row>
    <row r="41" spans="2:5" ht="15" customHeight="1">
      <c r="B41" s="79"/>
      <c r="C41" s="55" t="s">
        <v>14</v>
      </c>
      <c r="D41" s="56">
        <v>1</v>
      </c>
      <c r="E41" s="57">
        <v>5.9880239520958087E-3</v>
      </c>
    </row>
    <row r="42" spans="2:5" ht="15" customHeight="1">
      <c r="B42" s="79"/>
      <c r="C42" s="55" t="s">
        <v>16</v>
      </c>
      <c r="D42" s="56">
        <v>1</v>
      </c>
      <c r="E42" s="57">
        <v>5.9880239520958087E-3</v>
      </c>
    </row>
    <row r="43" spans="2:5" ht="15" customHeight="1">
      <c r="B43" s="78"/>
      <c r="C43" s="58" t="s">
        <v>3</v>
      </c>
      <c r="D43" s="59">
        <v>6</v>
      </c>
      <c r="E43" s="60">
        <v>3.5928143712574849E-2</v>
      </c>
    </row>
    <row r="44" spans="2:5" ht="15" customHeight="1">
      <c r="B44" s="77" t="s">
        <v>46</v>
      </c>
      <c r="C44" s="55" t="s">
        <v>17</v>
      </c>
      <c r="D44" s="56">
        <v>6</v>
      </c>
      <c r="E44" s="57">
        <v>3.5928143712574849E-2</v>
      </c>
    </row>
    <row r="45" spans="2:5" ht="15" customHeight="1">
      <c r="B45" s="79"/>
      <c r="C45" s="55" t="s">
        <v>11</v>
      </c>
      <c r="D45" s="56">
        <v>3</v>
      </c>
      <c r="E45" s="57">
        <v>1.7964071856287425E-2</v>
      </c>
    </row>
    <row r="46" spans="2:5" ht="15" customHeight="1">
      <c r="B46" s="79"/>
      <c r="C46" s="55" t="s">
        <v>6</v>
      </c>
      <c r="D46" s="56">
        <v>3</v>
      </c>
      <c r="E46" s="57">
        <v>1.7964071856287425E-2</v>
      </c>
    </row>
    <row r="47" spans="2:5" ht="15" customHeight="1">
      <c r="B47" s="79"/>
      <c r="C47" s="55" t="s">
        <v>18</v>
      </c>
      <c r="D47" s="56">
        <v>8</v>
      </c>
      <c r="E47" s="57">
        <v>4.790419161676647E-2</v>
      </c>
    </row>
    <row r="48" spans="2:5" ht="15" customHeight="1">
      <c r="B48" s="79"/>
      <c r="C48" s="55" t="s">
        <v>19</v>
      </c>
      <c r="D48" s="56">
        <v>19</v>
      </c>
      <c r="E48" s="57">
        <v>0.11377245508982035</v>
      </c>
    </row>
    <row r="49" spans="2:5" ht="15" customHeight="1">
      <c r="B49" s="79"/>
      <c r="C49" s="55" t="s">
        <v>10</v>
      </c>
      <c r="D49" s="56">
        <v>1</v>
      </c>
      <c r="E49" s="57">
        <v>5.9880239520958087E-3</v>
      </c>
    </row>
    <row r="50" spans="2:5" ht="15" customHeight="1">
      <c r="B50" s="79"/>
      <c r="C50" s="55" t="s">
        <v>14</v>
      </c>
      <c r="D50" s="56">
        <v>2</v>
      </c>
      <c r="E50" s="57">
        <v>1.1976047904191617E-2</v>
      </c>
    </row>
    <row r="51" spans="2:5" ht="15" customHeight="1">
      <c r="B51" s="79"/>
      <c r="C51" s="55" t="s">
        <v>85</v>
      </c>
      <c r="D51" s="56">
        <v>1</v>
      </c>
      <c r="E51" s="57">
        <v>5.9880239520958087E-3</v>
      </c>
    </row>
    <row r="52" spans="2:5" ht="15" customHeight="1">
      <c r="B52" s="79"/>
      <c r="C52" s="55" t="s">
        <v>16</v>
      </c>
      <c r="D52" s="56">
        <v>8</v>
      </c>
      <c r="E52" s="57">
        <v>4.790419161676647E-2</v>
      </c>
    </row>
    <row r="53" spans="2:5" ht="15" customHeight="1">
      <c r="B53" s="79"/>
      <c r="C53" s="55" t="s">
        <v>12</v>
      </c>
      <c r="D53" s="56">
        <v>2</v>
      </c>
      <c r="E53" s="57">
        <v>1.1976047904191617E-2</v>
      </c>
    </row>
    <row r="54" spans="2:5" ht="15" customHeight="1">
      <c r="B54" s="79"/>
      <c r="C54" s="55" t="s">
        <v>8</v>
      </c>
      <c r="D54" s="56">
        <v>1</v>
      </c>
      <c r="E54" s="57">
        <v>5.9880239520958087E-3</v>
      </c>
    </row>
    <row r="55" spans="2:5" ht="15" customHeight="1">
      <c r="B55" s="79"/>
      <c r="C55" s="55" t="s">
        <v>7</v>
      </c>
      <c r="D55" s="56">
        <v>1</v>
      </c>
      <c r="E55" s="57">
        <v>5.9880239520958087E-3</v>
      </c>
    </row>
    <row r="56" spans="2:5" ht="15" customHeight="1">
      <c r="B56" s="79"/>
      <c r="C56" s="55" t="s">
        <v>157</v>
      </c>
      <c r="D56" s="56">
        <v>2</v>
      </c>
      <c r="E56" s="57">
        <v>1.1976047904191617E-2</v>
      </c>
    </row>
    <row r="57" spans="2:5" ht="15" customHeight="1">
      <c r="B57" s="79"/>
      <c r="C57" s="55" t="s">
        <v>15</v>
      </c>
      <c r="D57" s="56">
        <v>5</v>
      </c>
      <c r="E57" s="57">
        <v>2.9940119760479042E-2</v>
      </c>
    </row>
    <row r="58" spans="2:5" ht="15" customHeight="1">
      <c r="B58" s="78"/>
      <c r="C58" s="58" t="s">
        <v>3</v>
      </c>
      <c r="D58" s="59">
        <v>62</v>
      </c>
      <c r="E58" s="60">
        <v>0.3712574850299401</v>
      </c>
    </row>
    <row r="59" spans="2:5" ht="15" customHeight="1">
      <c r="B59" s="77" t="s">
        <v>110</v>
      </c>
      <c r="C59" s="55" t="s">
        <v>4</v>
      </c>
      <c r="D59" s="56">
        <v>1</v>
      </c>
      <c r="E59" s="57">
        <v>5.9880239520958087E-3</v>
      </c>
    </row>
    <row r="60" spans="2:5" ht="15" customHeight="1">
      <c r="B60" s="79"/>
      <c r="C60" s="55" t="s">
        <v>15</v>
      </c>
      <c r="D60" s="56">
        <v>1</v>
      </c>
      <c r="E60" s="57">
        <v>5.9880239520958087E-3</v>
      </c>
    </row>
    <row r="61" spans="2:5" ht="15" customHeight="1">
      <c r="B61" s="78"/>
      <c r="C61" s="58" t="s">
        <v>3</v>
      </c>
      <c r="D61" s="59">
        <v>2</v>
      </c>
      <c r="E61" s="60">
        <v>1.1976047904191617E-2</v>
      </c>
    </row>
    <row r="62" spans="2:5" ht="15" customHeight="1">
      <c r="B62" s="77" t="s">
        <v>45</v>
      </c>
      <c r="C62" s="55" t="s">
        <v>11</v>
      </c>
      <c r="D62" s="56">
        <v>1</v>
      </c>
      <c r="E62" s="57">
        <v>5.9880239520958087E-3</v>
      </c>
    </row>
    <row r="63" spans="2:5" ht="15" customHeight="1">
      <c r="B63" s="79"/>
      <c r="C63" s="55" t="s">
        <v>19</v>
      </c>
      <c r="D63" s="56">
        <v>5</v>
      </c>
      <c r="E63" s="57">
        <v>2.9940119760479042E-2</v>
      </c>
    </row>
    <row r="64" spans="2:5" ht="15" customHeight="1">
      <c r="B64" s="79"/>
      <c r="C64" s="55" t="s">
        <v>16</v>
      </c>
      <c r="D64" s="56">
        <v>3</v>
      </c>
      <c r="E64" s="57">
        <v>1.7964071856287425E-2</v>
      </c>
    </row>
    <row r="65" spans="2:5" ht="15" customHeight="1">
      <c r="B65" s="78"/>
      <c r="C65" s="58" t="s">
        <v>3</v>
      </c>
      <c r="D65" s="59">
        <v>9</v>
      </c>
      <c r="E65" s="60">
        <v>5.3892215568862277E-2</v>
      </c>
    </row>
    <row r="66" spans="2:5" ht="15" customHeight="1">
      <c r="B66" s="77" t="s">
        <v>44</v>
      </c>
      <c r="C66" s="55" t="s">
        <v>13</v>
      </c>
      <c r="D66" s="56">
        <v>1</v>
      </c>
      <c r="E66" s="57">
        <v>5.9880239520958087E-3</v>
      </c>
    </row>
    <row r="67" spans="2:5" ht="15" customHeight="1">
      <c r="B67" s="79"/>
      <c r="C67" s="55" t="s">
        <v>17</v>
      </c>
      <c r="D67" s="56">
        <v>5</v>
      </c>
      <c r="E67" s="57">
        <v>2.9940119760479042E-2</v>
      </c>
    </row>
    <row r="68" spans="2:5" ht="15" customHeight="1">
      <c r="B68" s="79"/>
      <c r="C68" s="55" t="s">
        <v>11</v>
      </c>
      <c r="D68" s="56">
        <v>3</v>
      </c>
      <c r="E68" s="57">
        <v>1.7964071856287425E-2</v>
      </c>
    </row>
    <row r="69" spans="2:5" ht="15" customHeight="1">
      <c r="B69" s="79"/>
      <c r="C69" s="55" t="s">
        <v>6</v>
      </c>
      <c r="D69" s="56">
        <v>1</v>
      </c>
      <c r="E69" s="57">
        <v>5.9880239520958087E-3</v>
      </c>
    </row>
    <row r="70" spans="2:5" ht="15" customHeight="1">
      <c r="B70" s="79"/>
      <c r="C70" s="55" t="s">
        <v>18</v>
      </c>
      <c r="D70" s="56">
        <v>10</v>
      </c>
      <c r="E70" s="57">
        <v>5.9880239520958084E-2</v>
      </c>
    </row>
    <row r="71" spans="2:5" ht="15" customHeight="1">
      <c r="B71" s="79"/>
      <c r="C71" s="55" t="s">
        <v>19</v>
      </c>
      <c r="D71" s="56">
        <v>8</v>
      </c>
      <c r="E71" s="57">
        <v>4.790419161676647E-2</v>
      </c>
    </row>
    <row r="72" spans="2:5" ht="15" customHeight="1">
      <c r="B72" s="79"/>
      <c r="C72" s="55" t="s">
        <v>85</v>
      </c>
      <c r="D72" s="56">
        <v>1</v>
      </c>
      <c r="E72" s="57">
        <v>5.9880239520958087E-3</v>
      </c>
    </row>
    <row r="73" spans="2:5" ht="15" customHeight="1">
      <c r="B73" s="79"/>
      <c r="C73" s="55" t="s">
        <v>15</v>
      </c>
      <c r="D73" s="56">
        <v>5</v>
      </c>
      <c r="E73" s="57">
        <v>2.9940119760479042E-2</v>
      </c>
    </row>
    <row r="74" spans="2:5" ht="15" customHeight="1">
      <c r="B74" s="78"/>
      <c r="C74" s="58" t="s">
        <v>3</v>
      </c>
      <c r="D74" s="59">
        <v>34</v>
      </c>
      <c r="E74" s="60">
        <v>0.20359281437125748</v>
      </c>
    </row>
    <row r="75" spans="2:5" ht="15" customHeight="1">
      <c r="B75" s="77" t="s">
        <v>171</v>
      </c>
      <c r="C75" s="55" t="s">
        <v>16</v>
      </c>
      <c r="D75" s="56">
        <v>1</v>
      </c>
      <c r="E75" s="57">
        <v>5.9880239520958087E-3</v>
      </c>
    </row>
    <row r="76" spans="2:5" ht="15" customHeight="1">
      <c r="B76" s="78"/>
      <c r="C76" s="58" t="s">
        <v>3</v>
      </c>
      <c r="D76" s="59">
        <v>1</v>
      </c>
      <c r="E76" s="60">
        <v>5.9880239520958087E-3</v>
      </c>
    </row>
    <row r="77" spans="2:5" ht="15" customHeight="1">
      <c r="B77" s="77" t="s">
        <v>109</v>
      </c>
      <c r="C77" s="55" t="s">
        <v>18</v>
      </c>
      <c r="D77" s="56">
        <v>1</v>
      </c>
      <c r="E77" s="57">
        <v>5.9880239520958087E-3</v>
      </c>
    </row>
    <row r="78" spans="2:5" ht="15" customHeight="1">
      <c r="B78" s="78"/>
      <c r="C78" s="58" t="s">
        <v>3</v>
      </c>
      <c r="D78" s="59">
        <v>1</v>
      </c>
      <c r="E78" s="60">
        <v>5.9880239520958087E-3</v>
      </c>
    </row>
    <row r="79" spans="2:5" ht="15" customHeight="1">
      <c r="B79" s="77" t="s">
        <v>43</v>
      </c>
      <c r="C79" s="55" t="s">
        <v>14</v>
      </c>
      <c r="D79" s="56">
        <v>1</v>
      </c>
      <c r="E79" s="57">
        <v>5.9880239520958087E-3</v>
      </c>
    </row>
    <row r="80" spans="2:5" ht="15" customHeight="1">
      <c r="B80" s="79"/>
      <c r="C80" s="55" t="s">
        <v>16</v>
      </c>
      <c r="D80" s="56">
        <v>1</v>
      </c>
      <c r="E80" s="57">
        <v>5.9880239520958087E-3</v>
      </c>
    </row>
    <row r="81" spans="2:6" ht="15" customHeight="1">
      <c r="B81" s="78"/>
      <c r="C81" s="58" t="s">
        <v>3</v>
      </c>
      <c r="D81" s="59">
        <v>2</v>
      </c>
      <c r="E81" s="60">
        <v>1.1976047904191617E-2</v>
      </c>
    </row>
    <row r="82" spans="2:6" ht="15" customHeight="1">
      <c r="B82" s="77" t="s">
        <v>83</v>
      </c>
      <c r="C82" s="55" t="s">
        <v>17</v>
      </c>
      <c r="D82" s="56">
        <v>1</v>
      </c>
      <c r="E82" s="57">
        <v>5.9880239520958087E-3</v>
      </c>
    </row>
    <row r="83" spans="2:6" ht="15" customHeight="1">
      <c r="B83" s="79"/>
      <c r="C83" s="55" t="s">
        <v>18</v>
      </c>
      <c r="D83" s="56">
        <v>1</v>
      </c>
      <c r="E83" s="57">
        <v>5.9880239520958087E-3</v>
      </c>
    </row>
    <row r="84" spans="2:6" ht="15" customHeight="1">
      <c r="B84" s="79"/>
      <c r="C84" s="55" t="s">
        <v>5</v>
      </c>
      <c r="D84" s="56">
        <v>1</v>
      </c>
      <c r="E84" s="57">
        <v>5.9880239520958087E-3</v>
      </c>
    </row>
    <row r="85" spans="2:6" ht="15" customHeight="1">
      <c r="B85" s="79"/>
      <c r="C85" s="55" t="s">
        <v>16</v>
      </c>
      <c r="D85" s="56">
        <v>1</v>
      </c>
      <c r="E85" s="57">
        <v>5.9880239520958087E-3</v>
      </c>
    </row>
    <row r="86" spans="2:6" ht="15" customHeight="1">
      <c r="B86" s="79"/>
      <c r="C86" s="55" t="s">
        <v>15</v>
      </c>
      <c r="D86" s="56">
        <v>1</v>
      </c>
      <c r="E86" s="57">
        <v>5.9880239520958087E-3</v>
      </c>
    </row>
    <row r="87" spans="2:6" ht="15" customHeight="1">
      <c r="B87" s="78"/>
      <c r="C87" s="58" t="s">
        <v>3</v>
      </c>
      <c r="D87" s="59">
        <v>5</v>
      </c>
      <c r="E87" s="60">
        <v>2.9940119760479042E-2</v>
      </c>
    </row>
    <row r="88" spans="2:6" ht="15" customHeight="1">
      <c r="B88" s="77" t="s">
        <v>91</v>
      </c>
      <c r="C88" s="55" t="s">
        <v>15</v>
      </c>
      <c r="D88" s="56">
        <v>1</v>
      </c>
      <c r="E88" s="57">
        <v>5.9880239520958087E-3</v>
      </c>
    </row>
    <row r="89" spans="2:6" ht="15" customHeight="1">
      <c r="B89" s="78"/>
      <c r="C89" s="58" t="s">
        <v>3</v>
      </c>
      <c r="D89" s="59">
        <v>1</v>
      </c>
      <c r="E89" s="60">
        <v>5.9880239520958087E-3</v>
      </c>
    </row>
    <row r="90" spans="2:6" ht="15" customHeight="1">
      <c r="B90" s="77" t="s">
        <v>172</v>
      </c>
      <c r="C90" s="55" t="s">
        <v>86</v>
      </c>
      <c r="D90" s="56">
        <v>1</v>
      </c>
      <c r="E90" s="57">
        <v>5.9171597633136093E-3</v>
      </c>
    </row>
    <row r="91" spans="2:6" ht="15" customHeight="1">
      <c r="B91" s="79"/>
      <c r="C91" s="55" t="s">
        <v>9</v>
      </c>
      <c r="D91" s="56">
        <v>1</v>
      </c>
      <c r="E91" s="57">
        <v>5.9171597633136093E-3</v>
      </c>
    </row>
    <row r="92" spans="2:6" ht="15" customHeight="1">
      <c r="B92" s="78"/>
      <c r="C92" s="58" t="s">
        <v>3</v>
      </c>
      <c r="D92" s="59">
        <v>2</v>
      </c>
      <c r="E92" s="60">
        <v>1.1834319526627219E-2</v>
      </c>
      <c r="F92" s="1"/>
    </row>
    <row r="93" spans="2:6" ht="15" customHeight="1">
      <c r="B93" s="81" t="s">
        <v>3</v>
      </c>
      <c r="C93" s="82"/>
      <c r="D93" s="61">
        <v>169</v>
      </c>
      <c r="E93" s="62">
        <v>1</v>
      </c>
      <c r="F93" s="1"/>
    </row>
    <row r="94" spans="2:6" ht="15" customHeight="1">
      <c r="B94" s="63"/>
      <c r="C94" s="63"/>
      <c r="D94" s="63"/>
      <c r="E94" s="63"/>
      <c r="F94" s="1"/>
    </row>
    <row r="95" spans="2:6" ht="15" customHeight="1">
      <c r="B95" s="64" t="s">
        <v>164</v>
      </c>
      <c r="C95" s="63"/>
      <c r="D95" s="63"/>
      <c r="E95" s="63"/>
    </row>
    <row r="96" spans="2:6" ht="15" customHeight="1">
      <c r="B96" s="65" t="s">
        <v>2</v>
      </c>
      <c r="C96" s="63"/>
      <c r="D96" s="63"/>
      <c r="E96" s="63"/>
    </row>
    <row r="97" spans="2:5" ht="15" customHeight="1">
      <c r="B97" s="66" t="s">
        <v>1</v>
      </c>
      <c r="C97" s="63"/>
      <c r="D97" s="63"/>
      <c r="E97" s="63"/>
    </row>
    <row r="98" spans="2:5" ht="15" customHeight="1">
      <c r="B98" s="64" t="s">
        <v>0</v>
      </c>
      <c r="C98" s="63"/>
      <c r="D98" s="63"/>
      <c r="E98" s="63"/>
    </row>
    <row r="99" spans="2:5" ht="15" customHeight="1">
      <c r="B99" s="64" t="s">
        <v>165</v>
      </c>
      <c r="C99" s="63"/>
      <c r="D99" s="63"/>
      <c r="E99" s="63"/>
    </row>
  </sheetData>
  <mergeCells count="19">
    <mergeCell ref="B93:C93"/>
    <mergeCell ref="B44:B58"/>
    <mergeCell ref="B59:B61"/>
    <mergeCell ref="B62:B65"/>
    <mergeCell ref="B66:B74"/>
    <mergeCell ref="B75:B76"/>
    <mergeCell ref="B77:B78"/>
    <mergeCell ref="B79:B81"/>
    <mergeCell ref="B82:B87"/>
    <mergeCell ref="B88:B89"/>
    <mergeCell ref="B90:B92"/>
    <mergeCell ref="B32:B33"/>
    <mergeCell ref="B34:B38"/>
    <mergeCell ref="B39:B43"/>
    <mergeCell ref="B7:E8"/>
    <mergeCell ref="B10:B11"/>
    <mergeCell ref="B12:B14"/>
    <mergeCell ref="B15:B21"/>
    <mergeCell ref="B22:B31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E20"/>
  <sheetViews>
    <sheetView showGridLines="0" zoomScaleNormal="100" zoomScaleSheetLayoutView="115" workbookViewId="0">
      <selection activeCell="H22" sqref="H22"/>
    </sheetView>
  </sheetViews>
  <sheetFormatPr baseColWidth="10" defaultColWidth="11.42578125" defaultRowHeight="1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5" s="13" customFormat="1" ht="15" customHeight="1">
      <c r="C1" s="19"/>
    </row>
    <row r="2" spans="1:5" s="13" customFormat="1" ht="15" customHeight="1">
      <c r="C2" s="19"/>
    </row>
    <row r="3" spans="1:5" s="13" customFormat="1" ht="15" customHeight="1">
      <c r="C3" s="19"/>
    </row>
    <row r="4" spans="1:5" s="13" customFormat="1" ht="30" customHeight="1">
      <c r="C4" s="19"/>
      <c r="D4" s="18"/>
    </row>
    <row r="5" spans="1:5" s="13" customFormat="1" ht="15" customHeight="1">
      <c r="C5" s="19"/>
      <c r="D5" s="18"/>
    </row>
    <row r="6" spans="1:5" s="13" customFormat="1" ht="15" customHeight="1">
      <c r="C6" s="19"/>
      <c r="D6" s="18"/>
    </row>
    <row r="7" spans="1:5" s="13" customFormat="1" ht="15" customHeight="1">
      <c r="B7" s="76" t="s">
        <v>170</v>
      </c>
      <c r="C7" s="76"/>
      <c r="D7" s="76"/>
    </row>
    <row r="8" spans="1:5" s="13" customFormat="1" ht="15" customHeight="1">
      <c r="B8" s="76"/>
      <c r="C8" s="76"/>
      <c r="D8" s="76"/>
    </row>
    <row r="9" spans="1:5" s="13" customFormat="1" ht="33" customHeight="1">
      <c r="B9" s="76"/>
      <c r="C9" s="76"/>
      <c r="D9" s="76"/>
    </row>
    <row r="10" spans="1:5" s="13" customFormat="1" ht="4.5" customHeight="1">
      <c r="B10" s="17"/>
      <c r="C10" s="17"/>
      <c r="D10" s="17"/>
    </row>
    <row r="11" spans="1:5" s="13" customFormat="1" ht="33" customHeight="1">
      <c r="B11" s="16" t="s">
        <v>57</v>
      </c>
      <c r="C11" s="15" t="s">
        <v>21</v>
      </c>
      <c r="D11" s="14" t="s">
        <v>20</v>
      </c>
    </row>
    <row r="12" spans="1:5">
      <c r="B12" s="11" t="s">
        <v>56</v>
      </c>
      <c r="C12" s="10">
        <v>110</v>
      </c>
      <c r="D12" s="9">
        <v>0.65088757396449703</v>
      </c>
    </row>
    <row r="13" spans="1:5">
      <c r="B13" s="11" t="s">
        <v>55</v>
      </c>
      <c r="C13" s="10">
        <v>59</v>
      </c>
      <c r="D13" s="9">
        <v>0.34911242603550297</v>
      </c>
    </row>
    <row r="14" spans="1:5">
      <c r="B14" s="8" t="s">
        <v>54</v>
      </c>
      <c r="C14" s="7">
        <v>169</v>
      </c>
      <c r="D14" s="6">
        <v>1</v>
      </c>
    </row>
    <row r="15" spans="1:5">
      <c r="A15" s="12"/>
      <c r="B15" s="12"/>
      <c r="C15" s="33"/>
      <c r="D15" s="12"/>
      <c r="E15" s="12"/>
    </row>
    <row r="16" spans="1:5">
      <c r="B16" s="3" t="s">
        <v>164</v>
      </c>
      <c r="C16" s="33"/>
      <c r="D16" s="12"/>
    </row>
    <row r="17" spans="2:4">
      <c r="B17" s="5" t="s">
        <v>2</v>
      </c>
      <c r="C17" s="51"/>
      <c r="D17" s="51"/>
    </row>
    <row r="18" spans="2:4">
      <c r="B18" s="4" t="s">
        <v>1</v>
      </c>
      <c r="C18" s="52"/>
      <c r="D18" s="52"/>
    </row>
    <row r="19" spans="2:4">
      <c r="B19" s="3" t="s">
        <v>0</v>
      </c>
    </row>
    <row r="20" spans="2:4">
      <c r="B20" s="3" t="s">
        <v>165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365"/>
  <sheetViews>
    <sheetView showGridLines="0" topLeftCell="B1" zoomScaleNormal="100" zoomScaleSheetLayoutView="100" workbookViewId="0">
      <selection activeCell="F72" sqref="F72"/>
    </sheetView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28" customFormat="1" ht="12" customHeight="1">
      <c r="B1" s="32"/>
      <c r="C1" s="31"/>
      <c r="D1" s="31"/>
      <c r="E1" s="31"/>
    </row>
    <row r="2" spans="1:5" s="28" customFormat="1" ht="15" customHeight="1">
      <c r="C2" s="30"/>
    </row>
    <row r="3" spans="1:5" s="28" customFormat="1" ht="15" customHeight="1">
      <c r="C3" s="30"/>
    </row>
    <row r="4" spans="1:5" s="28" customFormat="1" ht="30" customHeight="1">
      <c r="C4" s="30"/>
      <c r="D4" s="29"/>
    </row>
    <row r="5" spans="1:5" s="28" customFormat="1" ht="15" customHeight="1">
      <c r="C5" s="30"/>
      <c r="D5" s="29"/>
    </row>
    <row r="6" spans="1:5" s="25" customFormat="1" ht="24" customHeight="1">
      <c r="B6" s="27"/>
      <c r="C6" s="24"/>
      <c r="D6" s="24"/>
      <c r="E6" s="24"/>
    </row>
    <row r="7" spans="1:5" s="25" customFormat="1" ht="26.25" customHeight="1">
      <c r="A7" s="26"/>
      <c r="B7" s="80"/>
      <c r="C7" s="80"/>
      <c r="D7" s="80"/>
      <c r="E7" s="80"/>
    </row>
    <row r="8" spans="1:5" s="25" customFormat="1" ht="33" customHeight="1">
      <c r="A8" s="26"/>
      <c r="B8" s="80"/>
      <c r="C8" s="80"/>
      <c r="D8" s="80"/>
      <c r="E8" s="80"/>
    </row>
    <row r="9" spans="1:5" s="13" customFormat="1" ht="40.5" customHeight="1">
      <c r="B9" s="53" t="s">
        <v>22</v>
      </c>
      <c r="C9" s="53" t="s">
        <v>57</v>
      </c>
      <c r="D9" s="54" t="s">
        <v>21</v>
      </c>
      <c r="E9" s="53" t="s">
        <v>20</v>
      </c>
    </row>
    <row r="10" spans="1:5" ht="15" customHeight="1">
      <c r="B10" s="77" t="s">
        <v>86</v>
      </c>
      <c r="C10" s="55" t="s">
        <v>58</v>
      </c>
      <c r="D10" s="56">
        <v>1</v>
      </c>
      <c r="E10" s="57">
        <v>5.9171597633136093E-3</v>
      </c>
    </row>
    <row r="11" spans="1:5" ht="15" customHeight="1">
      <c r="B11" s="78"/>
      <c r="C11" s="58" t="s">
        <v>3</v>
      </c>
      <c r="D11" s="59">
        <v>1</v>
      </c>
      <c r="E11" s="60">
        <v>5.9171597633136093E-3</v>
      </c>
    </row>
    <row r="12" spans="1:5" ht="15" customHeight="1">
      <c r="B12" s="77" t="s">
        <v>13</v>
      </c>
      <c r="C12" s="55" t="s">
        <v>59</v>
      </c>
      <c r="D12" s="56">
        <v>1</v>
      </c>
      <c r="E12" s="57">
        <v>5.9171597633136093E-3</v>
      </c>
    </row>
    <row r="13" spans="1:5" ht="15" customHeight="1">
      <c r="B13" s="78"/>
      <c r="C13" s="58" t="s">
        <v>3</v>
      </c>
      <c r="D13" s="59">
        <v>1</v>
      </c>
      <c r="E13" s="60">
        <v>5.9171597633136093E-3</v>
      </c>
    </row>
    <row r="14" spans="1:5" ht="15" customHeight="1">
      <c r="B14" s="77" t="s">
        <v>17</v>
      </c>
      <c r="C14" s="55" t="s">
        <v>59</v>
      </c>
      <c r="D14" s="56">
        <v>8</v>
      </c>
      <c r="E14" s="57">
        <v>4.7337278106508875E-2</v>
      </c>
    </row>
    <row r="15" spans="1:5" ht="15" customHeight="1">
      <c r="B15" s="79"/>
      <c r="C15" s="55" t="s">
        <v>58</v>
      </c>
      <c r="D15" s="56">
        <v>4</v>
      </c>
      <c r="E15" s="57">
        <v>2.3668639053254437E-2</v>
      </c>
    </row>
    <row r="16" spans="1:5" ht="15" customHeight="1">
      <c r="B16" s="78"/>
      <c r="C16" s="58" t="s">
        <v>3</v>
      </c>
      <c r="D16" s="59">
        <v>12</v>
      </c>
      <c r="E16" s="60">
        <v>7.1005917159763315E-2</v>
      </c>
    </row>
    <row r="17" spans="2:5" ht="15" customHeight="1">
      <c r="B17" s="77" t="s">
        <v>115</v>
      </c>
      <c r="C17" s="55" t="s">
        <v>59</v>
      </c>
      <c r="D17" s="56">
        <v>1</v>
      </c>
      <c r="E17" s="57">
        <v>5.9171597633136093E-3</v>
      </c>
    </row>
    <row r="18" spans="2:5" ht="15" customHeight="1">
      <c r="B18" s="78"/>
      <c r="C18" s="58" t="s">
        <v>3</v>
      </c>
      <c r="D18" s="59">
        <v>1</v>
      </c>
      <c r="E18" s="60">
        <v>5.9171597633136093E-3</v>
      </c>
    </row>
    <row r="19" spans="2:5" ht="15" customHeight="1">
      <c r="B19" s="77" t="s">
        <v>11</v>
      </c>
      <c r="C19" s="55" t="s">
        <v>59</v>
      </c>
      <c r="D19" s="56">
        <v>7</v>
      </c>
      <c r="E19" s="57">
        <v>4.142011834319527E-2</v>
      </c>
    </row>
    <row r="20" spans="2:5" ht="15" customHeight="1">
      <c r="B20" s="79"/>
      <c r="C20" s="55" t="s">
        <v>58</v>
      </c>
      <c r="D20" s="56">
        <v>2</v>
      </c>
      <c r="E20" s="57">
        <v>1.1834319526627219E-2</v>
      </c>
    </row>
    <row r="21" spans="2:5" ht="15" customHeight="1">
      <c r="B21" s="78"/>
      <c r="C21" s="58" t="s">
        <v>3</v>
      </c>
      <c r="D21" s="59">
        <v>9</v>
      </c>
      <c r="E21" s="60">
        <v>5.3254437869822487E-2</v>
      </c>
    </row>
    <row r="22" spans="2:5" ht="15" customHeight="1">
      <c r="B22" s="77" t="s">
        <v>6</v>
      </c>
      <c r="C22" s="55" t="s">
        <v>59</v>
      </c>
      <c r="D22" s="56">
        <v>4</v>
      </c>
      <c r="E22" s="57">
        <v>2.3668639053254437E-2</v>
      </c>
    </row>
    <row r="23" spans="2:5" ht="15" customHeight="1">
      <c r="B23" s="79"/>
      <c r="C23" s="55" t="s">
        <v>58</v>
      </c>
      <c r="D23" s="56">
        <v>2</v>
      </c>
      <c r="E23" s="57">
        <v>1.1834319526627219E-2</v>
      </c>
    </row>
    <row r="24" spans="2:5" ht="15" customHeight="1">
      <c r="B24" s="78"/>
      <c r="C24" s="58" t="s">
        <v>3</v>
      </c>
      <c r="D24" s="59">
        <v>6</v>
      </c>
      <c r="E24" s="60">
        <v>3.5502958579881658E-2</v>
      </c>
    </row>
    <row r="25" spans="2:5" ht="15" customHeight="1">
      <c r="B25" s="77" t="s">
        <v>18</v>
      </c>
      <c r="C25" s="55" t="s">
        <v>59</v>
      </c>
      <c r="D25" s="56">
        <v>19</v>
      </c>
      <c r="E25" s="57">
        <v>0.11242603550295859</v>
      </c>
    </row>
    <row r="26" spans="2:5" ht="15" customHeight="1">
      <c r="B26" s="79"/>
      <c r="C26" s="55" t="s">
        <v>58</v>
      </c>
      <c r="D26" s="56">
        <v>9</v>
      </c>
      <c r="E26" s="57">
        <v>5.3254437869822487E-2</v>
      </c>
    </row>
    <row r="27" spans="2:5" ht="15" customHeight="1">
      <c r="B27" s="78"/>
      <c r="C27" s="58" t="s">
        <v>3</v>
      </c>
      <c r="D27" s="59">
        <v>28</v>
      </c>
      <c r="E27" s="60">
        <v>0.16568047337278108</v>
      </c>
    </row>
    <row r="28" spans="2:5" ht="15" customHeight="1">
      <c r="B28" s="77" t="s">
        <v>19</v>
      </c>
      <c r="C28" s="55" t="s">
        <v>59</v>
      </c>
      <c r="D28" s="56">
        <v>30</v>
      </c>
      <c r="E28" s="57">
        <v>0.17751479289940827</v>
      </c>
    </row>
    <row r="29" spans="2:5" ht="15" customHeight="1">
      <c r="B29" s="79"/>
      <c r="C29" s="55" t="s">
        <v>58</v>
      </c>
      <c r="D29" s="56">
        <v>18</v>
      </c>
      <c r="E29" s="57">
        <v>0.10650887573964497</v>
      </c>
    </row>
    <row r="30" spans="2:5" ht="15" customHeight="1">
      <c r="B30" s="78"/>
      <c r="C30" s="58" t="s">
        <v>3</v>
      </c>
      <c r="D30" s="59">
        <v>48</v>
      </c>
      <c r="E30" s="60">
        <v>0.28402366863905326</v>
      </c>
    </row>
    <row r="31" spans="2:5" ht="15" customHeight="1">
      <c r="B31" s="77" t="s">
        <v>10</v>
      </c>
      <c r="C31" s="55" t="s">
        <v>59</v>
      </c>
      <c r="D31" s="56">
        <v>2</v>
      </c>
      <c r="E31" s="57">
        <v>1.1834319526627219E-2</v>
      </c>
    </row>
    <row r="32" spans="2:5" ht="15" customHeight="1">
      <c r="B32" s="78"/>
      <c r="C32" s="58" t="s">
        <v>3</v>
      </c>
      <c r="D32" s="59">
        <v>2</v>
      </c>
      <c r="E32" s="60">
        <v>1.1834319526627219E-2</v>
      </c>
    </row>
    <row r="33" spans="2:5" ht="15" customHeight="1">
      <c r="B33" s="77" t="s">
        <v>14</v>
      </c>
      <c r="C33" s="55" t="s">
        <v>59</v>
      </c>
      <c r="D33" s="56">
        <v>5</v>
      </c>
      <c r="E33" s="57">
        <v>2.9585798816568046E-2</v>
      </c>
    </row>
    <row r="34" spans="2:5" ht="15" customHeight="1">
      <c r="B34" s="79"/>
      <c r="C34" s="55" t="s">
        <v>58</v>
      </c>
      <c r="D34" s="56">
        <v>5</v>
      </c>
      <c r="E34" s="57">
        <v>2.9585798816568046E-2</v>
      </c>
    </row>
    <row r="35" spans="2:5" ht="15" customHeight="1">
      <c r="B35" s="78"/>
      <c r="C35" s="58" t="s">
        <v>3</v>
      </c>
      <c r="D35" s="59">
        <v>10</v>
      </c>
      <c r="E35" s="60">
        <v>5.9171597633136092E-2</v>
      </c>
    </row>
    <row r="36" spans="2:5" ht="15" customHeight="1">
      <c r="B36" s="77" t="s">
        <v>85</v>
      </c>
      <c r="C36" s="55" t="s">
        <v>59</v>
      </c>
      <c r="D36" s="56">
        <v>1</v>
      </c>
      <c r="E36" s="57">
        <v>5.9171597633136093E-3</v>
      </c>
    </row>
    <row r="37" spans="2:5" ht="15" customHeight="1">
      <c r="B37" s="79"/>
      <c r="C37" s="55" t="s">
        <v>58</v>
      </c>
      <c r="D37" s="56">
        <v>1</v>
      </c>
      <c r="E37" s="57">
        <v>5.9171597633136093E-3</v>
      </c>
    </row>
    <row r="38" spans="2:5" ht="15" customHeight="1">
      <c r="B38" s="78"/>
      <c r="C38" s="58" t="s">
        <v>3</v>
      </c>
      <c r="D38" s="59">
        <v>2</v>
      </c>
      <c r="E38" s="60">
        <v>1.1834319526627219E-2</v>
      </c>
    </row>
    <row r="39" spans="2:5" ht="15" customHeight="1">
      <c r="B39" s="77" t="s">
        <v>5</v>
      </c>
      <c r="C39" s="55" t="s">
        <v>59</v>
      </c>
      <c r="D39" s="56">
        <v>1</v>
      </c>
      <c r="E39" s="57">
        <v>5.9171597633136093E-3</v>
      </c>
    </row>
    <row r="40" spans="2:5" ht="15" customHeight="1">
      <c r="B40" s="78"/>
      <c r="C40" s="58" t="s">
        <v>3</v>
      </c>
      <c r="D40" s="59">
        <v>1</v>
      </c>
      <c r="E40" s="60">
        <v>5.9171597633136093E-3</v>
      </c>
    </row>
    <row r="41" spans="2:5" ht="15" customHeight="1">
      <c r="B41" s="77" t="s">
        <v>9</v>
      </c>
      <c r="C41" s="55" t="s">
        <v>59</v>
      </c>
      <c r="D41" s="56">
        <v>1</v>
      </c>
      <c r="E41" s="57">
        <v>5.9171597633136093E-3</v>
      </c>
    </row>
    <row r="42" spans="2:5" ht="15" customHeight="1">
      <c r="B42" s="79"/>
      <c r="C42" s="55" t="s">
        <v>58</v>
      </c>
      <c r="D42" s="56">
        <v>1</v>
      </c>
      <c r="E42" s="57">
        <v>5.9171597633136093E-3</v>
      </c>
    </row>
    <row r="43" spans="2:5" ht="15" customHeight="1">
      <c r="B43" s="78"/>
      <c r="C43" s="58" t="s">
        <v>3</v>
      </c>
      <c r="D43" s="59">
        <v>2</v>
      </c>
      <c r="E43" s="60">
        <v>1.1834319526627219E-2</v>
      </c>
    </row>
    <row r="44" spans="2:5" ht="15" customHeight="1">
      <c r="B44" s="77" t="s">
        <v>16</v>
      </c>
      <c r="C44" s="55" t="s">
        <v>59</v>
      </c>
      <c r="D44" s="56">
        <v>18</v>
      </c>
      <c r="E44" s="57">
        <v>0.10650887573964497</v>
      </c>
    </row>
    <row r="45" spans="2:5" ht="15" customHeight="1">
      <c r="B45" s="79"/>
      <c r="C45" s="55" t="s">
        <v>58</v>
      </c>
      <c r="D45" s="56">
        <v>4</v>
      </c>
      <c r="E45" s="57">
        <v>2.3668639053254437E-2</v>
      </c>
    </row>
    <row r="46" spans="2:5" ht="15" customHeight="1">
      <c r="B46" s="78"/>
      <c r="C46" s="58" t="s">
        <v>3</v>
      </c>
      <c r="D46" s="59">
        <v>22</v>
      </c>
      <c r="E46" s="60">
        <v>0.13017751479289941</v>
      </c>
    </row>
    <row r="47" spans="2:5" ht="15" customHeight="1">
      <c r="B47" s="77" t="s">
        <v>12</v>
      </c>
      <c r="C47" s="55" t="s">
        <v>59</v>
      </c>
      <c r="D47" s="56">
        <v>1</v>
      </c>
      <c r="E47" s="57">
        <v>5.9171597633136093E-3</v>
      </c>
    </row>
    <row r="48" spans="2:5" ht="15" customHeight="1">
      <c r="B48" s="79"/>
      <c r="C48" s="55" t="s">
        <v>58</v>
      </c>
      <c r="D48" s="56">
        <v>1</v>
      </c>
      <c r="E48" s="57">
        <v>5.9171597633136093E-3</v>
      </c>
    </row>
    <row r="49" spans="2:5" ht="15" customHeight="1">
      <c r="B49" s="78"/>
      <c r="C49" s="58" t="s">
        <v>3</v>
      </c>
      <c r="D49" s="59">
        <v>2</v>
      </c>
      <c r="E49" s="60">
        <v>1.1834319526627219E-2</v>
      </c>
    </row>
    <row r="50" spans="2:5" ht="15" customHeight="1">
      <c r="B50" s="77" t="s">
        <v>8</v>
      </c>
      <c r="C50" s="55" t="s">
        <v>58</v>
      </c>
      <c r="D50" s="56">
        <v>1</v>
      </c>
      <c r="E50" s="57">
        <v>5.9171597633136093E-3</v>
      </c>
    </row>
    <row r="51" spans="2:5" ht="15" customHeight="1">
      <c r="B51" s="78"/>
      <c r="C51" s="58" t="s">
        <v>3</v>
      </c>
      <c r="D51" s="59">
        <v>1</v>
      </c>
      <c r="E51" s="60">
        <v>5.9171597633136093E-3</v>
      </c>
    </row>
    <row r="52" spans="2:5" ht="15" customHeight="1">
      <c r="B52" s="77" t="s">
        <v>4</v>
      </c>
      <c r="C52" s="55" t="s">
        <v>59</v>
      </c>
      <c r="D52" s="56">
        <v>1</v>
      </c>
      <c r="E52" s="57">
        <v>5.9171597633136093E-3</v>
      </c>
    </row>
    <row r="53" spans="2:5" ht="15" customHeight="1">
      <c r="B53" s="78"/>
      <c r="C53" s="58" t="s">
        <v>3</v>
      </c>
      <c r="D53" s="59">
        <v>1</v>
      </c>
      <c r="E53" s="60">
        <v>5.9171597633136093E-3</v>
      </c>
    </row>
    <row r="54" spans="2:5" ht="15" customHeight="1">
      <c r="B54" s="77" t="s">
        <v>7</v>
      </c>
      <c r="C54" s="55" t="s">
        <v>58</v>
      </c>
      <c r="D54" s="56">
        <v>1</v>
      </c>
      <c r="E54" s="57">
        <v>5.9171597633136093E-3</v>
      </c>
    </row>
    <row r="55" spans="2:5" ht="15" customHeight="1">
      <c r="B55" s="78"/>
      <c r="C55" s="58" t="s">
        <v>3</v>
      </c>
      <c r="D55" s="59">
        <v>1</v>
      </c>
      <c r="E55" s="60">
        <v>5.9171597633136093E-3</v>
      </c>
    </row>
    <row r="56" spans="2:5" ht="15" customHeight="1">
      <c r="B56" s="77" t="s">
        <v>157</v>
      </c>
      <c r="C56" s="55" t="s">
        <v>59</v>
      </c>
      <c r="D56" s="56">
        <v>1</v>
      </c>
      <c r="E56" s="57">
        <v>5.9171597633136093E-3</v>
      </c>
    </row>
    <row r="57" spans="2:5" ht="15" customHeight="1">
      <c r="B57" s="79"/>
      <c r="C57" s="55" t="s">
        <v>58</v>
      </c>
      <c r="D57" s="56">
        <v>1</v>
      </c>
      <c r="E57" s="57">
        <v>5.9171597633136093E-3</v>
      </c>
    </row>
    <row r="58" spans="2:5" ht="15" customHeight="1">
      <c r="B58" s="78"/>
      <c r="C58" s="58" t="s">
        <v>3</v>
      </c>
      <c r="D58" s="59">
        <v>2</v>
      </c>
      <c r="E58" s="60">
        <v>1.1834319526627219E-2</v>
      </c>
    </row>
    <row r="59" spans="2:5" ht="15" customHeight="1">
      <c r="B59" s="77" t="s">
        <v>15</v>
      </c>
      <c r="C59" s="55" t="s">
        <v>59</v>
      </c>
      <c r="D59" s="56">
        <v>9</v>
      </c>
      <c r="E59" s="57">
        <v>5.3254437869822487E-2</v>
      </c>
    </row>
    <row r="60" spans="2:5" ht="15" customHeight="1">
      <c r="B60" s="79"/>
      <c r="C60" s="55" t="s">
        <v>58</v>
      </c>
      <c r="D60" s="56">
        <v>8</v>
      </c>
      <c r="E60" s="57">
        <v>4.7337278106508875E-2</v>
      </c>
    </row>
    <row r="61" spans="2:5" ht="15" customHeight="1">
      <c r="B61" s="78"/>
      <c r="C61" s="58" t="s">
        <v>3</v>
      </c>
      <c r="D61" s="59">
        <v>17</v>
      </c>
      <c r="E61" s="60">
        <v>0.10059171597633136</v>
      </c>
    </row>
    <row r="62" spans="2:5" ht="15" customHeight="1">
      <c r="B62" s="81" t="s">
        <v>3</v>
      </c>
      <c r="C62" s="82"/>
      <c r="D62" s="61">
        <f>SUMIF(C10:C61,"TOTAL",D10:D61)</f>
        <v>169</v>
      </c>
      <c r="E62" s="62">
        <v>1</v>
      </c>
    </row>
    <row r="63" spans="2:5" ht="15" customHeight="1">
      <c r="B63" s="63"/>
      <c r="C63" s="63"/>
      <c r="D63" s="63"/>
      <c r="E63" s="63"/>
    </row>
    <row r="64" spans="2:5" ht="15" customHeight="1">
      <c r="B64" s="64" t="s">
        <v>164</v>
      </c>
      <c r="C64" s="63"/>
      <c r="D64" s="63"/>
      <c r="E64" s="63"/>
    </row>
    <row r="65" spans="2:6" ht="15" customHeight="1">
      <c r="B65" s="65" t="s">
        <v>2</v>
      </c>
      <c r="C65" s="63"/>
      <c r="D65" s="63"/>
      <c r="E65" s="63"/>
      <c r="F65" s="1"/>
    </row>
    <row r="66" spans="2:6" ht="15" customHeight="1">
      <c r="B66" s="66" t="s">
        <v>1</v>
      </c>
      <c r="C66" s="63"/>
      <c r="D66" s="63"/>
      <c r="E66" s="63"/>
    </row>
    <row r="67" spans="2:6" ht="15" customHeight="1">
      <c r="B67" s="64" t="s">
        <v>0</v>
      </c>
      <c r="C67" s="63"/>
      <c r="D67" s="63"/>
      <c r="E67" s="63"/>
    </row>
    <row r="68" spans="2:6" ht="15" customHeight="1">
      <c r="B68" s="64" t="s">
        <v>165</v>
      </c>
      <c r="C68" s="63"/>
      <c r="D68" s="63"/>
      <c r="E68" s="63"/>
    </row>
    <row r="361" spans="2:2" s="21" customFormat="1" ht="15" customHeight="1">
      <c r="B361" s="22"/>
    </row>
    <row r="362" spans="2:2" s="21" customFormat="1" ht="15" customHeight="1">
      <c r="B362" s="23"/>
    </row>
    <row r="363" spans="2:2" s="21" customFormat="1" ht="15" customHeight="1">
      <c r="B363" s="23"/>
    </row>
    <row r="364" spans="2:2" s="21" customFormat="1" ht="15" customHeight="1">
      <c r="B364" s="22"/>
    </row>
    <row r="365" spans="2:2" s="21" customFormat="1" ht="15" customHeight="1">
      <c r="B365" s="22"/>
    </row>
  </sheetData>
  <mergeCells count="22">
    <mergeCell ref="B59:B61"/>
    <mergeCell ref="B62:C62"/>
    <mergeCell ref="B7:E8"/>
    <mergeCell ref="B10:B11"/>
    <mergeCell ref="B12:B13"/>
    <mergeCell ref="B14:B16"/>
    <mergeCell ref="B17:B18"/>
    <mergeCell ref="B19:B21"/>
    <mergeCell ref="B25:B27"/>
    <mergeCell ref="B28:B30"/>
    <mergeCell ref="B22:B24"/>
    <mergeCell ref="B31:B32"/>
    <mergeCell ref="B33:B35"/>
    <mergeCell ref="B36:B38"/>
    <mergeCell ref="B39:B40"/>
    <mergeCell ref="B41:B43"/>
    <mergeCell ref="B44:B46"/>
    <mergeCell ref="B56:B58"/>
    <mergeCell ref="B47:B49"/>
    <mergeCell ref="B50:B51"/>
    <mergeCell ref="B52:B53"/>
    <mergeCell ref="B54:B55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F467"/>
  <sheetViews>
    <sheetView showGridLines="0" zoomScaleNormal="100" zoomScaleSheetLayoutView="100" workbookViewId="0">
      <selection activeCell="C27" sqref="C27"/>
    </sheetView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28" customFormat="1" ht="12" customHeight="1">
      <c r="B1" s="32"/>
      <c r="C1" s="31"/>
      <c r="D1" s="31"/>
      <c r="E1" s="31"/>
    </row>
    <row r="2" spans="1:5" s="28" customFormat="1" ht="15" customHeight="1">
      <c r="C2" s="30"/>
    </row>
    <row r="3" spans="1:5" s="28" customFormat="1" ht="15" customHeight="1">
      <c r="C3" s="30"/>
    </row>
    <row r="4" spans="1:5" s="28" customFormat="1" ht="30" customHeight="1">
      <c r="C4" s="30"/>
      <c r="D4" s="29"/>
    </row>
    <row r="5" spans="1:5" s="28" customFormat="1" ht="15" customHeight="1">
      <c r="C5" s="30"/>
      <c r="D5" s="29"/>
    </row>
    <row r="6" spans="1:5" s="25" customFormat="1" ht="24" customHeight="1">
      <c r="B6" s="27"/>
      <c r="C6" s="24"/>
      <c r="D6" s="24"/>
      <c r="E6" s="24"/>
    </row>
    <row r="7" spans="1:5" s="25" customFormat="1" ht="26.25" customHeight="1">
      <c r="A7" s="26"/>
      <c r="B7" s="80"/>
      <c r="C7" s="80"/>
      <c r="D7" s="80"/>
      <c r="E7" s="80"/>
    </row>
    <row r="8" spans="1:5" s="25" customFormat="1" ht="33" customHeight="1">
      <c r="A8" s="26"/>
      <c r="B8" s="80"/>
      <c r="C8" s="80"/>
      <c r="D8" s="80"/>
      <c r="E8" s="80"/>
    </row>
    <row r="9" spans="1:5" s="13" customFormat="1" ht="40.5" customHeight="1">
      <c r="B9" s="53" t="s">
        <v>57</v>
      </c>
      <c r="C9" s="53" t="s">
        <v>64</v>
      </c>
      <c r="D9" s="54" t="s">
        <v>21</v>
      </c>
      <c r="E9" s="53" t="s">
        <v>20</v>
      </c>
    </row>
    <row r="10" spans="1:5" ht="15" customHeight="1">
      <c r="B10" s="77" t="s">
        <v>59</v>
      </c>
      <c r="C10" s="55" t="s">
        <v>63</v>
      </c>
      <c r="D10" s="56">
        <v>14</v>
      </c>
      <c r="E10" s="57">
        <v>8.2840236686390539E-2</v>
      </c>
    </row>
    <row r="11" spans="1:5" ht="15" customHeight="1">
      <c r="B11" s="79"/>
      <c r="C11" s="55" t="s">
        <v>62</v>
      </c>
      <c r="D11" s="56">
        <v>26</v>
      </c>
      <c r="E11" s="57">
        <v>0.15384615384615385</v>
      </c>
    </row>
    <row r="12" spans="1:5" ht="15" customHeight="1">
      <c r="B12" s="79"/>
      <c r="C12" s="55" t="s">
        <v>61</v>
      </c>
      <c r="D12" s="56">
        <v>48</v>
      </c>
      <c r="E12" s="57">
        <v>0.28402366863905326</v>
      </c>
    </row>
    <row r="13" spans="1:5" ht="15" customHeight="1">
      <c r="B13" s="79"/>
      <c r="C13" s="55" t="s">
        <v>60</v>
      </c>
      <c r="D13" s="56">
        <v>21</v>
      </c>
      <c r="E13" s="57">
        <v>0.1242603550295858</v>
      </c>
    </row>
    <row r="14" spans="1:5" ht="15" customHeight="1">
      <c r="B14" s="78"/>
      <c r="C14" s="55" t="s">
        <v>111</v>
      </c>
      <c r="D14" s="56">
        <v>1</v>
      </c>
      <c r="E14" s="57">
        <v>5.9171597633136093E-3</v>
      </c>
    </row>
    <row r="15" spans="1:5" ht="15" customHeight="1">
      <c r="B15" s="77" t="s">
        <v>58</v>
      </c>
      <c r="C15" s="55" t="s">
        <v>63</v>
      </c>
      <c r="D15" s="56">
        <v>7</v>
      </c>
      <c r="E15" s="57">
        <v>4.142011834319527E-2</v>
      </c>
    </row>
    <row r="16" spans="1:5" ht="15" customHeight="1">
      <c r="B16" s="79"/>
      <c r="C16" s="55" t="s">
        <v>62</v>
      </c>
      <c r="D16" s="56">
        <v>11</v>
      </c>
      <c r="E16" s="57">
        <v>6.5088757396449703E-2</v>
      </c>
    </row>
    <row r="17" spans="2:6" ht="15" customHeight="1">
      <c r="B17" s="79"/>
      <c r="C17" s="55" t="s">
        <v>61</v>
      </c>
      <c r="D17" s="56">
        <v>27</v>
      </c>
      <c r="E17" s="57">
        <v>0.15976331360946747</v>
      </c>
    </row>
    <row r="18" spans="2:6" ht="15" customHeight="1">
      <c r="B18" s="78"/>
      <c r="C18" s="55" t="s">
        <v>60</v>
      </c>
      <c r="D18" s="56">
        <v>14</v>
      </c>
      <c r="E18" s="57">
        <v>8.2840236686390539E-2</v>
      </c>
    </row>
    <row r="19" spans="2:6" ht="15" customHeight="1">
      <c r="B19" s="81" t="s">
        <v>3</v>
      </c>
      <c r="C19" s="82"/>
      <c r="D19" s="61">
        <v>169</v>
      </c>
      <c r="E19" s="62">
        <v>1</v>
      </c>
    </row>
    <row r="20" spans="2:6" ht="15" customHeight="1">
      <c r="B20" s="63"/>
      <c r="C20" s="63"/>
      <c r="D20" s="63"/>
      <c r="E20" s="63"/>
    </row>
    <row r="21" spans="2:6" ht="15" customHeight="1">
      <c r="B21" s="64" t="s">
        <v>164</v>
      </c>
      <c r="C21" s="63"/>
      <c r="D21" s="63"/>
      <c r="E21" s="63"/>
      <c r="F21" s="1"/>
    </row>
    <row r="22" spans="2:6" ht="15" customHeight="1">
      <c r="B22" s="65" t="s">
        <v>2</v>
      </c>
      <c r="C22" s="63"/>
      <c r="D22" s="63"/>
      <c r="E22" s="63"/>
      <c r="F22" s="1"/>
    </row>
    <row r="23" spans="2:6" ht="15" customHeight="1">
      <c r="B23" s="66" t="s">
        <v>1</v>
      </c>
      <c r="C23" s="63"/>
      <c r="D23" s="63"/>
      <c r="E23" s="63"/>
      <c r="F23" s="1"/>
    </row>
    <row r="24" spans="2:6" ht="15" customHeight="1">
      <c r="B24" s="64" t="s">
        <v>0</v>
      </c>
      <c r="C24" s="63"/>
      <c r="D24" s="63"/>
      <c r="E24" s="63"/>
      <c r="F24" s="1"/>
    </row>
    <row r="25" spans="2:6" ht="15" customHeight="1">
      <c r="B25" s="64" t="s">
        <v>165</v>
      </c>
      <c r="C25" s="63"/>
      <c r="D25" s="63"/>
      <c r="E25" s="63"/>
      <c r="F25" s="1"/>
    </row>
    <row r="26" spans="2:6" ht="15" customHeight="1">
      <c r="B26" s="3"/>
    </row>
    <row r="27" spans="2:6" ht="15" customHeight="1">
      <c r="B27" s="3"/>
    </row>
    <row r="463" spans="2:2" s="21" customFormat="1" ht="15" customHeight="1">
      <c r="B463" s="22"/>
    </row>
    <row r="464" spans="2:2" s="21" customFormat="1" ht="15" customHeight="1">
      <c r="B464" s="23"/>
    </row>
    <row r="465" spans="2:2" s="21" customFormat="1" ht="15" customHeight="1">
      <c r="B465" s="23"/>
    </row>
    <row r="466" spans="2:2" s="21" customFormat="1" ht="15" customHeight="1">
      <c r="B466" s="22"/>
    </row>
    <row r="467" spans="2:2" s="21" customFormat="1" ht="15" customHeight="1">
      <c r="B467" s="22"/>
    </row>
  </sheetData>
  <mergeCells count="4">
    <mergeCell ref="B7:E8"/>
    <mergeCell ref="B10:B14"/>
    <mergeCell ref="B15:B18"/>
    <mergeCell ref="B19:C19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F28"/>
  <sheetViews>
    <sheetView showGridLines="0" zoomScaleNormal="100" zoomScaleSheetLayoutView="115" workbookViewId="0">
      <selection activeCell="I19" sqref="I19"/>
    </sheetView>
  </sheetViews>
  <sheetFormatPr baseColWidth="10" defaultColWidth="11.42578125" defaultRowHeight="1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6" s="13" customFormat="1" ht="15" customHeight="1">
      <c r="C1" s="19"/>
    </row>
    <row r="2" spans="1:6" s="13" customFormat="1" ht="15" customHeight="1">
      <c r="C2" s="19"/>
    </row>
    <row r="3" spans="1:6" s="13" customFormat="1" ht="15" customHeight="1">
      <c r="C3" s="19"/>
    </row>
    <row r="4" spans="1:6" s="13" customFormat="1" ht="30" customHeight="1">
      <c r="C4" s="19"/>
      <c r="D4" s="18"/>
    </row>
    <row r="5" spans="1:6" s="13" customFormat="1" ht="15" customHeight="1">
      <c r="C5" s="19"/>
      <c r="D5" s="18"/>
    </row>
    <row r="6" spans="1:6" s="13" customFormat="1" ht="15" customHeight="1">
      <c r="C6" s="19"/>
      <c r="D6" s="18"/>
    </row>
    <row r="7" spans="1:6" s="13" customFormat="1" ht="15" customHeight="1">
      <c r="B7" s="76" t="s">
        <v>167</v>
      </c>
      <c r="C7" s="76"/>
      <c r="D7" s="76"/>
    </row>
    <row r="8" spans="1:6" s="13" customFormat="1" ht="15" customHeight="1">
      <c r="B8" s="76"/>
      <c r="C8" s="76"/>
      <c r="D8" s="76"/>
    </row>
    <row r="9" spans="1:6" s="13" customFormat="1" ht="33" customHeight="1">
      <c r="B9" s="76"/>
      <c r="C9" s="76"/>
      <c r="D9" s="76"/>
      <c r="F9" s="13" t="s">
        <v>84</v>
      </c>
    </row>
    <row r="10" spans="1:6" s="13" customFormat="1" ht="4.5" customHeight="1">
      <c r="B10" s="17"/>
      <c r="C10" s="17"/>
      <c r="D10" s="17"/>
    </row>
    <row r="11" spans="1:6" s="13" customFormat="1" ht="33" customHeight="1">
      <c r="B11" s="16" t="s">
        <v>70</v>
      </c>
      <c r="C11" s="15" t="s">
        <v>21</v>
      </c>
      <c r="D11" s="14" t="s">
        <v>20</v>
      </c>
    </row>
    <row r="12" spans="1:6">
      <c r="B12" s="11" t="s">
        <v>69</v>
      </c>
      <c r="C12" s="10">
        <v>130</v>
      </c>
      <c r="D12" s="9">
        <v>0.76923076923076927</v>
      </c>
    </row>
    <row r="13" spans="1:6">
      <c r="B13" s="11" t="s">
        <v>68</v>
      </c>
      <c r="C13" s="10">
        <v>23</v>
      </c>
      <c r="D13" s="9">
        <v>0.13609467455621302</v>
      </c>
    </row>
    <row r="14" spans="1:6">
      <c r="A14" s="12"/>
      <c r="B14" s="11" t="s">
        <v>67</v>
      </c>
      <c r="C14" s="10">
        <v>6</v>
      </c>
      <c r="D14" s="9">
        <v>3.5502958579881658E-2</v>
      </c>
      <c r="E14" s="12"/>
    </row>
    <row r="15" spans="1:6">
      <c r="A15" s="12"/>
      <c r="B15" s="11" t="s">
        <v>92</v>
      </c>
      <c r="C15" s="10">
        <v>3</v>
      </c>
      <c r="D15" s="9">
        <v>1.7751479289940829E-2</v>
      </c>
      <c r="E15" s="12"/>
    </row>
    <row r="16" spans="1:6">
      <c r="B16" s="11" t="s">
        <v>65</v>
      </c>
      <c r="C16" s="10">
        <v>3</v>
      </c>
      <c r="D16" s="9">
        <v>1.7751479289940829E-2</v>
      </c>
    </row>
    <row r="17" spans="2:4">
      <c r="B17" s="11" t="s">
        <v>66</v>
      </c>
      <c r="C17" s="10">
        <v>2</v>
      </c>
      <c r="D17" s="9">
        <v>1.1834319526627219E-2</v>
      </c>
    </row>
    <row r="18" spans="2:4">
      <c r="B18" s="11" t="s">
        <v>168</v>
      </c>
      <c r="C18" s="10">
        <v>1</v>
      </c>
      <c r="D18" s="9">
        <v>5.9171597633136093E-3</v>
      </c>
    </row>
    <row r="19" spans="2:4">
      <c r="B19" s="11" t="s">
        <v>169</v>
      </c>
      <c r="C19" s="10">
        <v>1</v>
      </c>
      <c r="D19" s="9">
        <v>5.9171597633136093E-3</v>
      </c>
    </row>
    <row r="20" spans="2:4">
      <c r="B20" s="8" t="s">
        <v>3</v>
      </c>
      <c r="C20" s="7">
        <v>169</v>
      </c>
      <c r="D20" s="6">
        <v>1</v>
      </c>
    </row>
    <row r="22" spans="2:4">
      <c r="B22" s="3" t="s">
        <v>164</v>
      </c>
    </row>
    <row r="23" spans="2:4">
      <c r="B23" s="5" t="s">
        <v>2</v>
      </c>
    </row>
    <row r="24" spans="2:4">
      <c r="B24" s="4" t="s">
        <v>1</v>
      </c>
    </row>
    <row r="25" spans="2:4">
      <c r="B25" s="3" t="s">
        <v>0</v>
      </c>
    </row>
    <row r="26" spans="2:4">
      <c r="B26" s="3" t="s">
        <v>165</v>
      </c>
    </row>
    <row r="27" spans="2:4">
      <c r="B27" s="3"/>
    </row>
    <row r="28" spans="2:4">
      <c r="B28" s="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12</vt:i4>
      </vt:variant>
    </vt:vector>
  </HeadingPairs>
  <TitlesOfParts>
    <vt:vector size="21" baseType="lpstr">
      <vt:lpstr>Índice</vt:lpstr>
      <vt:lpstr>Rhode Island_Edomexgral</vt:lpstr>
      <vt:lpstr>Rhode Island_EDOMEX</vt:lpstr>
      <vt:lpstr>Rhode Island_Educagral</vt:lpstr>
      <vt:lpstr>Rhode Island_Eduedo</vt:lpstr>
      <vt:lpstr>Rhode Island_gengral</vt:lpstr>
      <vt:lpstr>Rhode Island_edomexgen</vt:lpstr>
      <vt:lpstr>Rhode Island_edadgen</vt:lpstr>
      <vt:lpstr>Rhode Island_ocupgral</vt:lpstr>
      <vt:lpstr>'Rhode Island_edadgen'!Área_de_impresión</vt:lpstr>
      <vt:lpstr>'Rhode Island_EDOMEX'!Área_de_impresión</vt:lpstr>
      <vt:lpstr>'Rhode Island_edomexgen'!Área_de_impresión</vt:lpstr>
      <vt:lpstr>'Rhode Island_Eduedo'!Área_de_impresión</vt:lpstr>
      <vt:lpstr>'Rhode Island_edadgen'!Títulos_a_imprimir</vt:lpstr>
      <vt:lpstr>'Rhode Island_EDOMEX'!Títulos_a_imprimir</vt:lpstr>
      <vt:lpstr>'Rhode Island_edomexgen'!Títulos_a_imprimir</vt:lpstr>
      <vt:lpstr>'Rhode Island_Edomexgral'!Títulos_a_imprimir</vt:lpstr>
      <vt:lpstr>'Rhode Island_Educagral'!Títulos_a_imprimir</vt:lpstr>
      <vt:lpstr>'Rhode Island_Eduedo'!Títulos_a_imprimir</vt:lpstr>
      <vt:lpstr>'Rhode Island_gengral'!Títulos_a_imprimir</vt:lpstr>
      <vt:lpstr>'Rhode Island_ocupgral'!Títulos_a_imprimir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2020-05-18T08:18:34Z</dcterms:created>
  <dcterms:modified xsi:type="dcterms:W3CDTF">2023-07-03T22:06:43Z</dcterms:modified>
</cp:coreProperties>
</file>