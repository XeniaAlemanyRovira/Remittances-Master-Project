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2\USA\Finales_USA\"/>
    </mc:Choice>
  </mc:AlternateContent>
  <bookViews>
    <workbookView xWindow="0" yWindow="0" windowWidth="24000" windowHeight="9735" tabRatio="773" activeTab="1"/>
  </bookViews>
  <sheets>
    <sheet name="Índice" sheetId="1" r:id="rId1"/>
    <sheet name="Connecticut_Edomexgral" sheetId="3" r:id="rId2"/>
    <sheet name="Connecticut_EDOMEX" sheetId="12" r:id="rId3"/>
    <sheet name="Connecticut_Educagral" sheetId="5" r:id="rId4"/>
    <sheet name="Connecticut_Eduedo" sheetId="11" r:id="rId5"/>
    <sheet name="Connecticut_gengral" sheetId="7" r:id="rId6"/>
    <sheet name="Connecticut_edomexgen" sheetId="8" r:id="rId7"/>
    <sheet name="Connecticut_edadgen" sheetId="9" r:id="rId8"/>
    <sheet name="Connecticut_ocupgral" sheetId="10" r:id="rId9"/>
  </sheets>
  <definedNames>
    <definedName name="_xlnm._FilterDatabase" localSheetId="7" hidden="1">Connecticut_edadgen!$B$9:$E$9</definedName>
    <definedName name="_xlnm._FilterDatabase" localSheetId="2" hidden="1">Connecticut_EDOMEX!$B$9:$E$9</definedName>
    <definedName name="_xlnm._FilterDatabase" localSheetId="6" hidden="1">Connecticut_edomexgen!$B$9:$E$9</definedName>
    <definedName name="_xlnm._FilterDatabase" localSheetId="1" hidden="1">Connecticut_Edomexgral!$B$11:$D$11</definedName>
    <definedName name="_xlnm._FilterDatabase" localSheetId="3" hidden="1">Connecticut_Educagral!$B$11:$D$11</definedName>
    <definedName name="_xlnm._FilterDatabase" localSheetId="4" hidden="1">Connecticut_Eduedo!$B$9:$E$9</definedName>
    <definedName name="_xlnm._FilterDatabase" localSheetId="5" hidden="1">Connecticut_gengral!$B$11:$D$11</definedName>
    <definedName name="_xlnm._FilterDatabase" localSheetId="8" hidden="1">Connecticut_ocupgral!$B$11:$D$11</definedName>
    <definedName name="_xlnm.Print_Area" localSheetId="7">Connecticut_edadgen!$A$1:$E$9</definedName>
    <definedName name="_xlnm.Print_Area" localSheetId="2">Connecticut_EDOMEX!$A$1:$E$9</definedName>
    <definedName name="_xlnm.Print_Area" localSheetId="6">Connecticut_edomexgen!$A$1:$E$9</definedName>
    <definedName name="_xlnm.Print_Area" localSheetId="4">Connecticut_Eduedo!$A$1:$E$9</definedName>
    <definedName name="_xlnm.Print_Titles" localSheetId="7">Connecticut_edadgen!$1:$9</definedName>
    <definedName name="_xlnm.Print_Titles" localSheetId="2">Connecticut_EDOMEX!$1:$9</definedName>
    <definedName name="_xlnm.Print_Titles" localSheetId="6">Connecticut_edomexgen!$1:$9</definedName>
    <definedName name="_xlnm.Print_Titles" localSheetId="1">Connecticut_Edomexgral!$1:$11</definedName>
    <definedName name="_xlnm.Print_Titles" localSheetId="3">Connecticut_Educagral!$1:$11</definedName>
    <definedName name="_xlnm.Print_Titles" localSheetId="4">Connecticut_Eduedo!$1:$9</definedName>
    <definedName name="_xlnm.Print_Titles" localSheetId="5">Connecticut_gengral!$1:$11</definedName>
    <definedName name="_xlnm.Print_Titles" localSheetId="8">Connecticut_ocupgral!$1:$11</definedName>
  </definedNames>
  <calcPr calcId="152511"/>
</workbook>
</file>

<file path=xl/calcChain.xml><?xml version="1.0" encoding="utf-8"?>
<calcChain xmlns="http://schemas.openxmlformats.org/spreadsheetml/2006/main">
  <c r="D95" i="8" l="1"/>
  <c r="D492" i="12"/>
</calcChain>
</file>

<file path=xl/sharedStrings.xml><?xml version="1.0" encoding="utf-8"?>
<sst xmlns="http://schemas.openxmlformats.org/spreadsheetml/2006/main" count="1065" uniqueCount="555">
  <si>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</si>
  <si>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</si>
  <si>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</si>
  <si>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</si>
  <si>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</si>
  <si>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</si>
  <si>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</si>
  <si>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</si>
  <si>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</si>
  <si>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</si>
  <si>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</si>
  <si>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</si>
  <si>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</si>
  <si>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</si>
  <si>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</si>
  <si>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</si>
  <si>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Yucatán</t>
  </si>
  <si>
    <t>Quintana Roo</t>
  </si>
  <si>
    <t>Nuevo León</t>
  </si>
  <si>
    <t>Colima</t>
  </si>
  <si>
    <t>Baja California</t>
  </si>
  <si>
    <t>Sinaloa</t>
  </si>
  <si>
    <t>Durango</t>
  </si>
  <si>
    <t>Coahuila</t>
  </si>
  <si>
    <t>Zacatecas</t>
  </si>
  <si>
    <t>Aguascalientes</t>
  </si>
  <si>
    <t>Tabasco</t>
  </si>
  <si>
    <t>Tamaulipas</t>
  </si>
  <si>
    <t>Querétaro</t>
  </si>
  <si>
    <t>San Luis Potosí</t>
  </si>
  <si>
    <t>Guanajuato</t>
  </si>
  <si>
    <t>Jalisco</t>
  </si>
  <si>
    <t>Hidalgo</t>
  </si>
  <si>
    <t>Morelos</t>
  </si>
  <si>
    <t>Chiapas</t>
  </si>
  <si>
    <t>Estado de México</t>
  </si>
  <si>
    <t>Veracruz</t>
  </si>
  <si>
    <t>Michoacán</t>
  </si>
  <si>
    <t>Guerrero</t>
  </si>
  <si>
    <t>Ciudad de México</t>
  </si>
  <si>
    <t>Oaxaca</t>
  </si>
  <si>
    <t>Tlaxcala</t>
  </si>
  <si>
    <t>Puebla</t>
  </si>
  <si>
    <t>Porcentaje de Matrículas</t>
  </si>
  <si>
    <t>Número de Matrículas</t>
  </si>
  <si>
    <t>Estado de Origen</t>
  </si>
  <si>
    <t>Xalapa</t>
  </si>
  <si>
    <t>Ursulo Galván</t>
  </si>
  <si>
    <t>Tlalixcoyan</t>
  </si>
  <si>
    <t>Tierra Blanca</t>
  </si>
  <si>
    <t>Perote</t>
  </si>
  <si>
    <t>Papantla</t>
  </si>
  <si>
    <t>Orizaba</t>
  </si>
  <si>
    <t>Nautla</t>
  </si>
  <si>
    <t>Misantla</t>
  </si>
  <si>
    <t>Martínez de la Torre</t>
  </si>
  <si>
    <t>Las Choapas</t>
  </si>
  <si>
    <t>La Antigua</t>
  </si>
  <si>
    <t>Ignacio de la Llave</t>
  </si>
  <si>
    <t>Córdoba</t>
  </si>
  <si>
    <t>Coatzacoalcos</t>
  </si>
  <si>
    <t>Altotonga</t>
  </si>
  <si>
    <t>Actopan</t>
  </si>
  <si>
    <t>Zacatelco</t>
  </si>
  <si>
    <t>Xicohtzinco</t>
  </si>
  <si>
    <t>Tetlatlahuca</t>
  </si>
  <si>
    <t>Tepeyanco</t>
  </si>
  <si>
    <t>Tenancingo</t>
  </si>
  <si>
    <t>Santa Apolonia Teacalco</t>
  </si>
  <si>
    <t>San Pablo del Monte</t>
  </si>
  <si>
    <t>San Juan Huactzinco</t>
  </si>
  <si>
    <t>San Jerónimo Zacualpan</t>
  </si>
  <si>
    <t>San Francisco Tetlanohcan</t>
  </si>
  <si>
    <t>Papalotla de Xicohténcatl</t>
  </si>
  <si>
    <t>Natívitas</t>
  </si>
  <si>
    <t>Mazatecochco de José María Morelos</t>
  </si>
  <si>
    <t>Lázaro Cárdenas</t>
  </si>
  <si>
    <t>Hueyotlipan</t>
  </si>
  <si>
    <t>Huamantla</t>
  </si>
  <si>
    <t>Chiautempan</t>
  </si>
  <si>
    <t>Calpulalpan</t>
  </si>
  <si>
    <t>Apizaco</t>
  </si>
  <si>
    <t>Victoria</t>
  </si>
  <si>
    <t>Huimanguillo</t>
  </si>
  <si>
    <t>Culiacán</t>
  </si>
  <si>
    <t>Benito Juárez</t>
  </si>
  <si>
    <t>Zaragoza</t>
  </si>
  <si>
    <t>Zacapoaxtla</t>
  </si>
  <si>
    <t>Yehualtepec</t>
  </si>
  <si>
    <t>Xochiltepec</t>
  </si>
  <si>
    <t>Xicotepec</t>
  </si>
  <si>
    <t>Venustiano Carranza</t>
  </si>
  <si>
    <t>Tulcingo</t>
  </si>
  <si>
    <t>Tochtepec</t>
  </si>
  <si>
    <t>Tochimilco</t>
  </si>
  <si>
    <t>Tlatlauquitepec</t>
  </si>
  <si>
    <t>Tlapanalá</t>
  </si>
  <si>
    <t>Tlahuapan</t>
  </si>
  <si>
    <t>Tlacotepec de Benito Juárez</t>
  </si>
  <si>
    <t>Tilapa</t>
  </si>
  <si>
    <t>Tianguismanalco</t>
  </si>
  <si>
    <t>Tepeojuma</t>
  </si>
  <si>
    <t>Tepemaxalco</t>
  </si>
  <si>
    <t>Tepeaca</t>
  </si>
  <si>
    <t>Teopantlán</t>
  </si>
  <si>
    <t>Tehuitzingo</t>
  </si>
  <si>
    <t>Tehuacán</t>
  </si>
  <si>
    <t>Tecomatlán</t>
  </si>
  <si>
    <t>Tecali de Herrera</t>
  </si>
  <si>
    <t>Santa Isabel Cholula</t>
  </si>
  <si>
    <t>San Pedro Yeloixtlahuaca</t>
  </si>
  <si>
    <t>San Pedro Cholula</t>
  </si>
  <si>
    <t>San Martín Texmelucan</t>
  </si>
  <si>
    <t>San Gregorio Atzompa</t>
  </si>
  <si>
    <t>San Gabriel Chilac</t>
  </si>
  <si>
    <t>San Felipe Teotlalcingo</t>
  </si>
  <si>
    <t>San Andrés Cholula</t>
  </si>
  <si>
    <t>Quecholac</t>
  </si>
  <si>
    <t>Ocoyucan</t>
  </si>
  <si>
    <t>Ocotepec</t>
  </si>
  <si>
    <t>Libres</t>
  </si>
  <si>
    <t>Juan C. Bonilla</t>
  </si>
  <si>
    <t>Izúcar de Matamoros</t>
  </si>
  <si>
    <t>Ixtacamaxtitlán</t>
  </si>
  <si>
    <t>Huejotzingo</t>
  </si>
  <si>
    <t>Huehuetlán el Grande</t>
  </si>
  <si>
    <t>Huehuetlán el Chico</t>
  </si>
  <si>
    <t>Huaquechula</t>
  </si>
  <si>
    <t>Hermenegildo Galeana</t>
  </si>
  <si>
    <t>Epatlán</t>
  </si>
  <si>
    <t>Cuyoaco</t>
  </si>
  <si>
    <t>Cuautlancingo</t>
  </si>
  <si>
    <t>Coxcatlán</t>
  </si>
  <si>
    <t>Coronango</t>
  </si>
  <si>
    <t>Chignahuapan</t>
  </si>
  <si>
    <t>Chietla</t>
  </si>
  <si>
    <t>Chiautzingo</t>
  </si>
  <si>
    <t>Chiautla</t>
  </si>
  <si>
    <t>Axutla</t>
  </si>
  <si>
    <t>Atzitzihuacán</t>
  </si>
  <si>
    <t>Atlixco</t>
  </si>
  <si>
    <t>Amozoc</t>
  </si>
  <si>
    <t>Albino Zertuche</t>
  </si>
  <si>
    <t>Ahuehuetitla</t>
  </si>
  <si>
    <t>Ahuacatlán</t>
  </si>
  <si>
    <t>Acatlán</t>
  </si>
  <si>
    <t>Zimatlán de Álvarez</t>
  </si>
  <si>
    <t>Villa de Zaachila</t>
  </si>
  <si>
    <t>Totontepec Villa de Morelos</t>
  </si>
  <si>
    <t>Tlalixtac de Cabrera</t>
  </si>
  <si>
    <t>Santiago Juxtlahuaca</t>
  </si>
  <si>
    <t>Santiago Jamiltepec</t>
  </si>
  <si>
    <t>Santiago Chazumba</t>
  </si>
  <si>
    <t>Santa Cruz Xitla</t>
  </si>
  <si>
    <t>San Martín Peras</t>
  </si>
  <si>
    <t>San Juan Juquila Vijanos</t>
  </si>
  <si>
    <t>San Juan Cotzocón</t>
  </si>
  <si>
    <t>San Juan Colorado</t>
  </si>
  <si>
    <t>San Jacinto Tlacotepec</t>
  </si>
  <si>
    <t>San Antonino el Alto</t>
  </si>
  <si>
    <t>San Agustín Yatareni</t>
  </si>
  <si>
    <t>Ocotlán de Morelos</t>
  </si>
  <si>
    <t>Oaxaca de Juárez</t>
  </si>
  <si>
    <t>Heroica Ciudad de Juchitán de Zaragoza</t>
  </si>
  <si>
    <t>Heroica Ciudad de Huajuapan de León</t>
  </si>
  <si>
    <t>Calihualá</t>
  </si>
  <si>
    <t>Acatlán de Pérez Figueroa</t>
  </si>
  <si>
    <t>Monterrey</t>
  </si>
  <si>
    <t>Yautepec</t>
  </si>
  <si>
    <t>Tetela del Volcán</t>
  </si>
  <si>
    <t>Tepalcingo</t>
  </si>
  <si>
    <t>Temoac</t>
  </si>
  <si>
    <t>Temixco</t>
  </si>
  <si>
    <t>Cuernavaca</t>
  </si>
  <si>
    <t>Cuautla</t>
  </si>
  <si>
    <t>Ayala</t>
  </si>
  <si>
    <t>Zamora</t>
  </si>
  <si>
    <t>Tiquicheo de Nicolás Romero</t>
  </si>
  <si>
    <t>Tangamandapio</t>
  </si>
  <si>
    <t>Sahuayo</t>
  </si>
  <si>
    <t>Morelia</t>
  </si>
  <si>
    <t>Marcos Castellanos</t>
  </si>
  <si>
    <t>Los Reyes</t>
  </si>
  <si>
    <t>Lagunillas</t>
  </si>
  <si>
    <t>Jiquilpan</t>
  </si>
  <si>
    <t>Cotija</t>
  </si>
  <si>
    <t>Valle de Juárez</t>
  </si>
  <si>
    <t>San Juanito de Escobedo</t>
  </si>
  <si>
    <t>Quitupan</t>
  </si>
  <si>
    <t>Guadalajara</t>
  </si>
  <si>
    <t>Pachuca de Soto</t>
  </si>
  <si>
    <t>Nicolás Flores</t>
  </si>
  <si>
    <t>Ixmiquilpan</t>
  </si>
  <si>
    <t>Apan</t>
  </si>
  <si>
    <t>Zapotitlán Tablas</t>
  </si>
  <si>
    <t>Xochihuehuetlán</t>
  </si>
  <si>
    <t>Tlapa de Comonfort</t>
  </si>
  <si>
    <t>Teloloapan</t>
  </si>
  <si>
    <t>San Luis Acatlán</t>
  </si>
  <si>
    <t>Petatlán</t>
  </si>
  <si>
    <t>Olinalá</t>
  </si>
  <si>
    <t>Metlatónoc</t>
  </si>
  <si>
    <t>Huamuxtitlán</t>
  </si>
  <si>
    <t>Copanatoyac</t>
  </si>
  <si>
    <t>Atoyac de Álvarez</t>
  </si>
  <si>
    <t>Alpoyeca</t>
  </si>
  <si>
    <t>Ahuacuotzingo</t>
  </si>
  <si>
    <t>Acapulco de Juárez</t>
  </si>
  <si>
    <t>Yuriria</t>
  </si>
  <si>
    <t>Salvatierra</t>
  </si>
  <si>
    <t>Pénjamo</t>
  </si>
  <si>
    <t>León</t>
  </si>
  <si>
    <t>Apaseo el Alto</t>
  </si>
  <si>
    <t>Villa Victoria</t>
  </si>
  <si>
    <t>Toluca</t>
  </si>
  <si>
    <t>Tlatlaya</t>
  </si>
  <si>
    <t>San Felipe del Progreso</t>
  </si>
  <si>
    <t>Nezahualcóyotl</t>
  </si>
  <si>
    <t>Naucalpan de Juárez</t>
  </si>
  <si>
    <t>La Paz</t>
  </si>
  <si>
    <t>Jilotepec</t>
  </si>
  <si>
    <t>Ecatepec de Morelos</t>
  </si>
  <si>
    <t>Chalco</t>
  </si>
  <si>
    <t>Miguel Hidalgo</t>
  </si>
  <si>
    <t>Gustavo A. Madero</t>
  </si>
  <si>
    <t>Cuauhtémoc</t>
  </si>
  <si>
    <t>Coyoacán</t>
  </si>
  <si>
    <t>Villa Comaltitlán</t>
  </si>
  <si>
    <t>Tuxtla Chico</t>
  </si>
  <si>
    <t>Tapachula</t>
  </si>
  <si>
    <t>Siltepec</t>
  </si>
  <si>
    <t>Pijijiapan</t>
  </si>
  <si>
    <t>Ocosingo</t>
  </si>
  <si>
    <t>Motozintla</t>
  </si>
  <si>
    <t>La Trinitaria</t>
  </si>
  <si>
    <t>La Concordia</t>
  </si>
  <si>
    <t>Huixtla</t>
  </si>
  <si>
    <t>Huehuetán</t>
  </si>
  <si>
    <t>Frontera Comalapa</t>
  </si>
  <si>
    <t>Escuintla</t>
  </si>
  <si>
    <t>El Porvenir</t>
  </si>
  <si>
    <t>Chamula</t>
  </si>
  <si>
    <t>Cacahoatán</t>
  </si>
  <si>
    <t>Amatenango de la Frontera</t>
  </si>
  <si>
    <t>Tijuana</t>
  </si>
  <si>
    <t>Municipio Origen</t>
  </si>
  <si>
    <t>Posgrado [Maestría]</t>
  </si>
  <si>
    <t>Menores de edad</t>
  </si>
  <si>
    <t>Profesional Titulado</t>
  </si>
  <si>
    <t>Profesional pasante</t>
  </si>
  <si>
    <t>4°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</si>
  <si>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</si>
  <si>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</si>
  <si>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</si>
  <si>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</si>
  <si>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</si>
  <si>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</si>
  <si>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</si>
  <si>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</si>
  <si>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</si>
  <si>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</si>
  <si>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</si>
  <si>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</si>
  <si>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</si>
  <si>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</si>
  <si>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</si>
  <si>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</si>
  <si>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</si>
  <si>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CONNECTICUT EN EE.UU. POR NIVEL DE EDUCACIÓN</t>
  </si>
  <si>
    <t>TOTAL</t>
  </si>
  <si>
    <t>MUJER</t>
  </si>
  <si>
    <t>HOMBRE</t>
  </si>
  <si>
    <t>Género</t>
  </si>
  <si>
    <t>Mujer</t>
  </si>
  <si>
    <t>Hombre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</si>
  <si>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</si>
  <si>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</si>
  <si>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</si>
  <si>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</si>
  <si>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</si>
  <si>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</si>
  <si>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</si>
  <si>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</si>
  <si>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Panadero(a)</t>
  </si>
  <si>
    <t>Profesionista</t>
  </si>
  <si>
    <t>Otro</t>
  </si>
  <si>
    <t>Mesero(a)</t>
  </si>
  <si>
    <t>Albañil</t>
  </si>
  <si>
    <t>Pintor(a)</t>
  </si>
  <si>
    <t>Jardinero(a)</t>
  </si>
  <si>
    <t>Campesino(a)</t>
  </si>
  <si>
    <t>Cocinero(a)</t>
  </si>
  <si>
    <t>Obrero(a)</t>
  </si>
  <si>
    <t>Estudiante</t>
  </si>
  <si>
    <t>Hogar</t>
  </si>
  <si>
    <t>Empleado(a)</t>
  </si>
  <si>
    <t>Ocupación</t>
  </si>
  <si>
    <t>Menores De Edad</t>
  </si>
  <si>
    <t>Profesional titulado</t>
  </si>
  <si>
    <t>Capacitación técnica</t>
  </si>
  <si>
    <t>Gómez Palacio</t>
  </si>
  <si>
    <t>Nayarit</t>
  </si>
  <si>
    <t>Sonora</t>
  </si>
  <si>
    <t>Chihuahua</t>
  </si>
  <si>
    <t>Baja California Sur</t>
  </si>
  <si>
    <t>Bella Vista</t>
  </si>
  <si>
    <t>San Cristóbal de las Casas</t>
  </si>
  <si>
    <t>Juárez</t>
  </si>
  <si>
    <t>Celaya</t>
  </si>
  <si>
    <t>Cocula</t>
  </si>
  <si>
    <t>Lagos de Moreno</t>
  </si>
  <si>
    <t>Puerto Vallarta</t>
  </si>
  <si>
    <t>Huaniqueo</t>
  </si>
  <si>
    <t>Atlatlahucan</t>
  </si>
  <si>
    <t>Cosolapa</t>
  </si>
  <si>
    <t>San Sebastián Teitipac</t>
  </si>
  <si>
    <t>Cuapiaxtla de Madero</t>
  </si>
  <si>
    <t>San Martín Totoltepec</t>
  </si>
  <si>
    <t>Tzicatlacoyan</t>
  </si>
  <si>
    <t>Zautla</t>
  </si>
  <si>
    <t>Arroyo Seco</t>
  </si>
  <si>
    <t>Rioverde</t>
  </si>
  <si>
    <t>Guasave</t>
  </si>
  <si>
    <t>Ixtacuixtla de Mariano Matamoros</t>
  </si>
  <si>
    <t>Ixhuatlán de Madero</t>
  </si>
  <si>
    <t>Mazapa de Madero</t>
  </si>
  <si>
    <t>Suchiate</t>
  </si>
  <si>
    <t>Tuxtla Gutiérrez</t>
  </si>
  <si>
    <t>Delicias</t>
  </si>
  <si>
    <t>Torreón</t>
  </si>
  <si>
    <t>Manzanillo</t>
  </si>
  <si>
    <t>Álvaro Obregón</t>
  </si>
  <si>
    <t>Azcapotzalco</t>
  </si>
  <si>
    <t>Iztapalapa</t>
  </si>
  <si>
    <t>Tlalpan</t>
  </si>
  <si>
    <t>Lerdo</t>
  </si>
  <si>
    <t>Aculco</t>
  </si>
  <si>
    <t>Amatepec</t>
  </si>
  <si>
    <t>Atlacomulco</t>
  </si>
  <si>
    <t>Ixtapaluca</t>
  </si>
  <si>
    <t>Ixtlahuaca</t>
  </si>
  <si>
    <t>Jiquipilco</t>
  </si>
  <si>
    <t>Metepec</t>
  </si>
  <si>
    <t>Tejupilco</t>
  </si>
  <si>
    <t>Temascaltepec</t>
  </si>
  <si>
    <t>Texcoco</t>
  </si>
  <si>
    <t>Tlalmanalco</t>
  </si>
  <si>
    <t>Villa Guerrero</t>
  </si>
  <si>
    <t>Alcozauca de Guerrero</t>
  </si>
  <si>
    <t>Apaxtla</t>
  </si>
  <si>
    <t>Atlixtac</t>
  </si>
  <si>
    <t>Azoyú</t>
  </si>
  <si>
    <t>Chilapa de Álvarez</t>
  </si>
  <si>
    <t>Eduardo Neri</t>
  </si>
  <si>
    <t>Huitzuco de los Figueroa</t>
  </si>
  <si>
    <t>Quechultenango</t>
  </si>
  <si>
    <t>Taxco de Alarcón</t>
  </si>
  <si>
    <t>Tepecoacuilco de Trujano</t>
  </si>
  <si>
    <t>Tlapehuala</t>
  </si>
  <si>
    <t>San Salvador</t>
  </si>
  <si>
    <t>Santiago de Anaya</t>
  </si>
  <si>
    <t>Tulancingo de Bravo</t>
  </si>
  <si>
    <t>Ameca</t>
  </si>
  <si>
    <t>Cuquío</t>
  </si>
  <si>
    <t>Tala</t>
  </si>
  <si>
    <t>Peribán</t>
  </si>
  <si>
    <t>Zinapécuaro</t>
  </si>
  <si>
    <t>Guadalupe</t>
  </si>
  <si>
    <t>Linares</t>
  </si>
  <si>
    <t>Coicoyán de las Flores</t>
  </si>
  <si>
    <t>Loma Bonita</t>
  </si>
  <si>
    <t>Mariscala de Juárez</t>
  </si>
  <si>
    <t>Putla Villa de Guerrero</t>
  </si>
  <si>
    <t>San Agustín Loxicha</t>
  </si>
  <si>
    <t>San Juan Teitipac</t>
  </si>
  <si>
    <t>San Lorenzo Texmelúcan</t>
  </si>
  <si>
    <t>San Pedro Mixtepec - Distr. 22 -</t>
  </si>
  <si>
    <t>Santa Catarina Loxicha</t>
  </si>
  <si>
    <t>Santa Cruz Xoxocotlán</t>
  </si>
  <si>
    <t>Santiago Nacaltepec</t>
  </si>
  <si>
    <t>Santiago Pinotepa Nacional</t>
  </si>
  <si>
    <t>Tlacolula de Matamoros</t>
  </si>
  <si>
    <t>Trinidad Zaachila</t>
  </si>
  <si>
    <t>Aljojuca</t>
  </si>
  <si>
    <t>Calpan</t>
  </si>
  <si>
    <t>Coyotepec</t>
  </si>
  <si>
    <t>Ixcamilpa de Guerrero</t>
  </si>
  <si>
    <t>Jalpan</t>
  </si>
  <si>
    <t>Jolalpan</t>
  </si>
  <si>
    <t>Olintla</t>
  </si>
  <si>
    <t>Palmar de Bravo</t>
  </si>
  <si>
    <t>Petlalcingo</t>
  </si>
  <si>
    <t>San Matías Tlalancaleca</t>
  </si>
  <si>
    <t>San Salvador el Verde</t>
  </si>
  <si>
    <t>Tecamachalco</t>
  </si>
  <si>
    <t>Tepetzintla</t>
  </si>
  <si>
    <t>Tepexco</t>
  </si>
  <si>
    <t>Tetela de Ocampo</t>
  </si>
  <si>
    <t>Teziutlán</t>
  </si>
  <si>
    <t>Tlaola</t>
  </si>
  <si>
    <t>Tlaxco</t>
  </si>
  <si>
    <t>Vicente Guerrero</t>
  </si>
  <si>
    <t>Zacapala</t>
  </si>
  <si>
    <t>Zihuateutla</t>
  </si>
  <si>
    <t>Ciudad Valles</t>
  </si>
  <si>
    <t>Rayón</t>
  </si>
  <si>
    <t>Badiraguato</t>
  </si>
  <si>
    <t>Cajeme</t>
  </si>
  <si>
    <t>Macuspana</t>
  </si>
  <si>
    <t>Terrenate</t>
  </si>
  <si>
    <t>Tocatlán</t>
  </si>
  <si>
    <t>Xaloztoc</t>
  </si>
  <si>
    <t>Atlahuilco</t>
  </si>
  <si>
    <t>Carrillo Puerto</t>
  </si>
  <si>
    <t>Comapa</t>
  </si>
  <si>
    <t>Cuitláhuac</t>
  </si>
  <si>
    <t>Hueyapan de Ocampo</t>
  </si>
  <si>
    <t>Juchique de Ferrer</t>
  </si>
  <si>
    <t>Paso del Macho</t>
  </si>
  <si>
    <t>Poza Rica de Hidalgo</t>
  </si>
  <si>
    <t>San Andrés Tuxtla</t>
  </si>
  <si>
    <t>San Juan Evangelista</t>
  </si>
  <si>
    <t>Tres Valles</t>
  </si>
  <si>
    <t>2° Año de profesional</t>
  </si>
  <si>
    <t>MATRÍCULAS CONSULARES DE ALTA SEGURIDAD EXPEDIDAS EN EE.UU A MEXICANOS EN EL ESTADO DE  CONNECTICUT, POR PERFIL OCUPACIONAL</t>
  </si>
  <si>
    <t>Matrículas consulares expedidas a mexicanos  en el estado de Connecticut en el 2022</t>
  </si>
  <si>
    <t>Jesús María</t>
  </si>
  <si>
    <t>Mexicali</t>
  </si>
  <si>
    <t>Los Cabos</t>
  </si>
  <si>
    <t>Angel Albino Corzo</t>
  </si>
  <si>
    <t>Bejucal de Ocampo</t>
  </si>
  <si>
    <t>Frontera Hidalgo</t>
  </si>
  <si>
    <t>La Grandeza</t>
  </si>
  <si>
    <t>La Independencia</t>
  </si>
  <si>
    <t>Las Margaritas</t>
  </si>
  <si>
    <t>Pueblo Nuevo Solistahuacán</t>
  </si>
  <si>
    <t>Soyaló</t>
  </si>
  <si>
    <t>Tuzantán</t>
  </si>
  <si>
    <t>Tecomán</t>
  </si>
  <si>
    <t>Xochimilco</t>
  </si>
  <si>
    <t>Canatlán</t>
  </si>
  <si>
    <t>Poanas</t>
  </si>
  <si>
    <t>Almoloya de Alquisiras</t>
  </si>
  <si>
    <t>Almoloya de Juárez</t>
  </si>
  <si>
    <t>Coatepec Harinas</t>
  </si>
  <si>
    <t>Ocuilan</t>
  </si>
  <si>
    <t>Valle de Chalco Solidaridad</t>
  </si>
  <si>
    <t>Atarjea</t>
  </si>
  <si>
    <t>Jerécuaro</t>
  </si>
  <si>
    <t>Silao de la Victoria</t>
  </si>
  <si>
    <t>Villagrán</t>
  </si>
  <si>
    <t>Copala</t>
  </si>
  <si>
    <t>Cuautepec</t>
  </si>
  <si>
    <t>Igualapa</t>
  </si>
  <si>
    <t>Juan R. Escudero</t>
  </si>
  <si>
    <t>Pungarabato</t>
  </si>
  <si>
    <t>Tixtla de Guerrero</t>
  </si>
  <si>
    <t>Tlalixtaquilla de Maldonado</t>
  </si>
  <si>
    <t>Zirándaro</t>
  </si>
  <si>
    <t>Chilcuautla</t>
  </si>
  <si>
    <t>Cuautepec de Hinojosa</t>
  </si>
  <si>
    <t>Francisco I. Madero</t>
  </si>
  <si>
    <t>Tasquillo</t>
  </si>
  <si>
    <t>Tlaxcoapan</t>
  </si>
  <si>
    <t>Xochicoatlán</t>
  </si>
  <si>
    <t>Zacualtipán de Ángeles</t>
  </si>
  <si>
    <t>Tlajomulco de Zúñiga</t>
  </si>
  <si>
    <t>Zacoalco de Torres</t>
  </si>
  <si>
    <t>Arteaga</t>
  </si>
  <si>
    <t>Buenavista</t>
  </si>
  <si>
    <t>Maravatío</t>
  </si>
  <si>
    <t>Uruapan</t>
  </si>
  <si>
    <t>Yurécuaro</t>
  </si>
  <si>
    <t>Zacapu</t>
  </si>
  <si>
    <t>Zitácuaro</t>
  </si>
  <si>
    <t>Jantetelco</t>
  </si>
  <si>
    <t>Jojutla</t>
  </si>
  <si>
    <t>Jonacatepec</t>
  </si>
  <si>
    <t>Miacatlán</t>
  </si>
  <si>
    <t>Jala</t>
  </si>
  <si>
    <t>Asunción Nochixtlán</t>
  </si>
  <si>
    <t>Miahuatlán de Porfirio Díaz</t>
  </si>
  <si>
    <t>Monjas</t>
  </si>
  <si>
    <t>Nejapa de Madero</t>
  </si>
  <si>
    <t>Salina Cruz</t>
  </si>
  <si>
    <t>San Agustín Chayuco</t>
  </si>
  <si>
    <t>San José Ayuquila</t>
  </si>
  <si>
    <t>San José Tenango</t>
  </si>
  <si>
    <t>San Juan Bautista Tuxtepec</t>
  </si>
  <si>
    <t>San Pedro Atoyac</t>
  </si>
  <si>
    <t>San Sebastián Tecomaxtlahuaca</t>
  </si>
  <si>
    <t>San Vicente Lachixío</t>
  </si>
  <si>
    <t>Santa Inés del Monte</t>
  </si>
  <si>
    <t>Santa Lucía Monteverde</t>
  </si>
  <si>
    <t>Santiago Tetepec</t>
  </si>
  <si>
    <t>Santiago Yaitepec</t>
  </si>
  <si>
    <t>Tezoatlán de Segura y Luna</t>
  </si>
  <si>
    <t>Villa de Etla</t>
  </si>
  <si>
    <t>Zapotitlán del Río</t>
  </si>
  <si>
    <t>Chichiquila</t>
  </si>
  <si>
    <t>Chiconcuautla</t>
  </si>
  <si>
    <t>Chignautla</t>
  </si>
  <si>
    <t>Cuayuca de Andrade</t>
  </si>
  <si>
    <t>Juan N. Méndez</t>
  </si>
  <si>
    <t>Pantepec</t>
  </si>
  <si>
    <t>Rafael Lara Grajales</t>
  </si>
  <si>
    <t>San Miguel Xoxtla</t>
  </si>
  <si>
    <t>San Salvador el Seco</t>
  </si>
  <si>
    <t>Santo Tomás Hueyotlipan</t>
  </si>
  <si>
    <t>Xochitlán Todos Santos</t>
  </si>
  <si>
    <t>Cadereyta de Montes</t>
  </si>
  <si>
    <t>Tolimán</t>
  </si>
  <si>
    <t>Felipe Carrillo Puerto</t>
  </si>
  <si>
    <t>Mexquitic de Carmona</t>
  </si>
  <si>
    <t>Tampamolón Corona</t>
  </si>
  <si>
    <t>Tanquián de Escobedo</t>
  </si>
  <si>
    <t>Villa de Ramos</t>
  </si>
  <si>
    <t>Xilitla</t>
  </si>
  <si>
    <t>Mazatlán</t>
  </si>
  <si>
    <t>Mocorito</t>
  </si>
  <si>
    <t>Guaymas</t>
  </si>
  <si>
    <t>Comalcalco</t>
  </si>
  <si>
    <t>González</t>
  </si>
  <si>
    <t>San Fernando</t>
  </si>
  <si>
    <t>Soto la Marina</t>
  </si>
  <si>
    <t>Tula</t>
  </si>
  <si>
    <t>Valle Hermoso</t>
  </si>
  <si>
    <t>El Carmen Tequexquitla</t>
  </si>
  <si>
    <t>San José Teacalco</t>
  </si>
  <si>
    <t>Santa Catarina Ayometla</t>
  </si>
  <si>
    <t>Santa Cruz Tlaxcala</t>
  </si>
  <si>
    <t>Santa Isabel Xiloxoxtla</t>
  </si>
  <si>
    <t>Totolac</t>
  </si>
  <si>
    <t>Xaltocan</t>
  </si>
  <si>
    <t>Yauhquemehcan</t>
  </si>
  <si>
    <t>Boca del Río</t>
  </si>
  <si>
    <t>Catemaco</t>
  </si>
  <si>
    <t>Cazones</t>
  </si>
  <si>
    <t>Coacoatzintla</t>
  </si>
  <si>
    <t>Coyutla</t>
  </si>
  <si>
    <t>Fortín</t>
  </si>
  <si>
    <t>Huayacocotla</t>
  </si>
  <si>
    <t>Jesús Carranza</t>
  </si>
  <si>
    <t>Ozuluama de Mascareñas</t>
  </si>
  <si>
    <t>Tatatila</t>
  </si>
  <si>
    <t>Tlaquilpa</t>
  </si>
  <si>
    <t>Tizimín</t>
  </si>
  <si>
    <t>Río Grande</t>
  </si>
  <si>
    <t>Villanueva</t>
  </si>
  <si>
    <t>Tamaño de la muestra: 566,547</t>
  </si>
  <si>
    <t>Mayo de 2023</t>
  </si>
  <si>
    <t>MATRÍCULAS CONSULARES DE ALTA SEGURIDAD EXPEDIDAS EN EL ESTADO DE CONNECTICUT EN EE.UU. POR ESTADO DE LA REPÚBLICA MEXICANA</t>
  </si>
  <si>
    <t xml:space="preserve"> </t>
  </si>
  <si>
    <t>Jubilado(a)</t>
  </si>
  <si>
    <t>MATRÍCULAS CONSULARES DE ALTA SEGURIDAD EXPEDIDAS EN EE.UU A MEXICANOS EN EL ESTADO DE CONNECTICUT, POR GÉNERO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</si>
</sst>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9"/>
      <color rgb="FFFFFFFF"/>
      <name val="Montserrat"/>
    </font>
    <font>
      <sz val="7"/>
      <color rgb="FF000000"/>
      <name val="Montserrat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  <xf numFmtId="0" fontId="8" fillId="0" borderId="0"/>
  </cellStyleXfs>
  <cellXfs count="82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 applyAlignment="1"/>
    <xf numFmtId="0" fontId="4" fillId="0" borderId="0" xfId="0" applyFont="1" applyBorder="1" applyAlignment="1"/>
    <xf numFmtId="0" fontId="4" fillId="0" borderId="5" xfId="0" applyFont="1" applyBorder="1" applyAlignment="1"/>
    <xf numFmtId="0" fontId="4" fillId="0" borderId="4" xfId="0" applyFont="1" applyBorder="1"/>
    <xf numFmtId="0" fontId="4" fillId="0" borderId="0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0" fillId="3" borderId="0" xfId="0" applyFont="1" applyFill="1"/>
    <xf numFmtId="3" fontId="0" fillId="3" borderId="0" xfId="0" applyNumberFormat="1" applyFont="1" applyFill="1"/>
    <xf numFmtId="0" fontId="9" fillId="3" borderId="0" xfId="0" applyFont="1" applyFill="1"/>
    <xf numFmtId="0" fontId="9" fillId="3" borderId="0" xfId="0" applyFont="1" applyFill="1" applyAlignment="1">
      <alignment vertical="top"/>
    </xf>
    <xf numFmtId="0" fontId="9" fillId="3" borderId="0" xfId="0" applyFont="1" applyFill="1" applyAlignment="1">
      <alignment vertical="center"/>
    </xf>
    <xf numFmtId="164" fontId="10" fillId="4" borderId="9" xfId="0" applyNumberFormat="1" applyFont="1" applyFill="1" applyBorder="1" applyAlignment="1">
      <alignment horizontal="right" vertical="top" wrapText="1"/>
    </xf>
    <xf numFmtId="3" fontId="10" fillId="4" borderId="9" xfId="0" applyNumberFormat="1" applyFont="1" applyFill="1" applyBorder="1" applyAlignment="1">
      <alignment horizontal="right" vertical="top" wrapText="1"/>
    </xf>
    <xf numFmtId="49" fontId="10" fillId="4" borderId="9" xfId="0" applyNumberFormat="1" applyFont="1" applyFill="1" applyBorder="1" applyAlignment="1">
      <alignment vertical="top" wrapText="1"/>
    </xf>
    <xf numFmtId="164" fontId="11" fillId="3" borderId="9" xfId="0" applyNumberFormat="1" applyFont="1" applyFill="1" applyBorder="1" applyAlignment="1">
      <alignment horizontal="right" vertical="top" wrapText="1"/>
    </xf>
    <xf numFmtId="3" fontId="11" fillId="3" borderId="9" xfId="0" applyNumberFormat="1" applyFont="1" applyFill="1" applyBorder="1" applyAlignment="1">
      <alignment horizontal="right" vertical="top" wrapText="1"/>
    </xf>
    <xf numFmtId="49" fontId="12" fillId="3" borderId="9" xfId="0" applyNumberFormat="1" applyFont="1" applyFill="1" applyBorder="1" applyAlignment="1">
      <alignment vertical="top" wrapText="1"/>
    </xf>
    <xf numFmtId="0" fontId="13" fillId="3" borderId="0" xfId="0" applyFont="1" applyFill="1"/>
    <xf numFmtId="0" fontId="14" fillId="0" borderId="0" xfId="0" applyFont="1"/>
    <xf numFmtId="0" fontId="10" fillId="2" borderId="10" xfId="0" applyFont="1" applyFill="1" applyBorder="1" applyAlignment="1">
      <alignment horizontal="center" vertical="center" wrapText="1"/>
    </xf>
    <xf numFmtId="1" fontId="10" fillId="2" borderId="10" xfId="0" applyNumberFormat="1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3" fontId="14" fillId="0" borderId="0" xfId="0" applyNumberFormat="1" applyFont="1"/>
    <xf numFmtId="1" fontId="14" fillId="0" borderId="0" xfId="0" applyNumberFormat="1" applyFont="1"/>
    <xf numFmtId="0" fontId="17" fillId="3" borderId="0" xfId="0" applyFont="1" applyFill="1"/>
    <xf numFmtId="0" fontId="18" fillId="3" borderId="0" xfId="0" applyFont="1" applyFill="1"/>
    <xf numFmtId="0" fontId="20" fillId="3" borderId="0" xfId="0" applyFont="1" applyFill="1"/>
    <xf numFmtId="0" fontId="14" fillId="3" borderId="0" xfId="0" applyFont="1" applyFill="1"/>
    <xf numFmtId="0" fontId="21" fillId="3" borderId="0" xfId="0" applyFont="1" applyFill="1" applyAlignment="1"/>
    <xf numFmtId="0" fontId="20" fillId="3" borderId="0" xfId="0" applyFont="1" applyFill="1" applyAlignment="1">
      <alignment vertical="center"/>
    </xf>
    <xf numFmtId="0" fontId="14" fillId="3" borderId="0" xfId="0" applyFont="1" applyFill="1" applyBorder="1"/>
    <xf numFmtId="3" fontId="14" fillId="3" borderId="0" xfId="0" applyNumberFormat="1" applyFont="1" applyFill="1" applyBorder="1"/>
    <xf numFmtId="1" fontId="14" fillId="3" borderId="0" xfId="0" applyNumberFormat="1" applyFont="1" applyFill="1" applyBorder="1"/>
    <xf numFmtId="0" fontId="20" fillId="3" borderId="0" xfId="0" applyFont="1" applyFill="1" applyBorder="1"/>
    <xf numFmtId="0" fontId="20" fillId="3" borderId="0" xfId="0" applyFont="1" applyFill="1" applyBorder="1" applyAlignment="1">
      <alignment vertical="center"/>
    </xf>
    <xf numFmtId="3" fontId="13" fillId="3" borderId="0" xfId="0" applyNumberFormat="1" applyFont="1" applyFill="1"/>
    <xf numFmtId="0" fontId="22" fillId="0" borderId="0" xfId="0" applyFont="1" applyBorder="1"/>
    <xf numFmtId="0" fontId="22" fillId="0" borderId="0" xfId="0" applyFont="1" applyBorder="1" applyAlignment="1">
      <alignment vertical="top"/>
    </xf>
    <xf numFmtId="0" fontId="22" fillId="0" borderId="0" xfId="0" applyFont="1" applyAlignment="1">
      <alignment horizontal="justify" vertical="center"/>
    </xf>
    <xf numFmtId="0" fontId="22" fillId="0" borderId="0" xfId="0" applyFont="1" applyAlignment="1">
      <alignment vertical="top"/>
    </xf>
    <xf numFmtId="0" fontId="23" fillId="5" borderId="10" xfId="4" applyFont="1" applyFill="1" applyBorder="1" applyAlignment="1">
      <alignment horizontal="center" vertical="center" wrapText="1"/>
    </xf>
    <xf numFmtId="1" fontId="23" fillId="5" borderId="10" xfId="4" applyNumberFormat="1" applyFont="1" applyFill="1" applyBorder="1" applyAlignment="1">
      <alignment horizontal="center" vertical="center" wrapText="1"/>
    </xf>
    <xf numFmtId="49" fontId="19" fillId="6" borderId="9" xfId="3" applyNumberFormat="1" applyFont="1" applyFill="1" applyBorder="1" applyAlignment="1">
      <alignment vertical="center" wrapText="1"/>
    </xf>
    <xf numFmtId="166" fontId="19" fillId="6" borderId="9" xfId="3" applyNumberFormat="1" applyFont="1" applyFill="1" applyBorder="1" applyAlignment="1">
      <alignment horizontal="right" vertical="center" wrapText="1"/>
    </xf>
    <xf numFmtId="164" fontId="19" fillId="6" borderId="9" xfId="3" applyNumberFormat="1" applyFont="1" applyFill="1" applyBorder="1" applyAlignment="1">
      <alignment horizontal="right" vertical="center" wrapText="1"/>
    </xf>
    <xf numFmtId="49" fontId="23" fillId="7" borderId="9" xfId="3" applyNumberFormat="1" applyFont="1" applyFill="1" applyBorder="1" applyAlignment="1">
      <alignment vertical="center" wrapText="1"/>
    </xf>
    <xf numFmtId="3" fontId="23" fillId="7" borderId="9" xfId="3" applyNumberFormat="1" applyFont="1" applyFill="1" applyBorder="1" applyAlignment="1">
      <alignment horizontal="right" vertical="center" wrapText="1"/>
    </xf>
    <xf numFmtId="165" fontId="23" fillId="7" borderId="9" xfId="1" applyNumberFormat="1" applyFont="1" applyFill="1" applyBorder="1" applyAlignment="1">
      <alignment vertical="center" wrapText="1"/>
    </xf>
    <xf numFmtId="3" fontId="23" fillId="8" borderId="9" xfId="0" applyNumberFormat="1" applyFont="1" applyFill="1" applyBorder="1" applyAlignment="1">
      <alignment horizontal="right" vertical="center" wrapText="1"/>
    </xf>
    <xf numFmtId="164" fontId="23" fillId="8" borderId="9" xfId="0" applyNumberFormat="1" applyFont="1" applyFill="1" applyBorder="1" applyAlignment="1">
      <alignment horizontal="right" vertical="center" wrapText="1"/>
    </xf>
    <xf numFmtId="0" fontId="18" fillId="6" borderId="0" xfId="0" applyFont="1" applyFill="1" applyBorder="1"/>
    <xf numFmtId="0" fontId="24" fillId="6" borderId="0" xfId="0" applyFont="1" applyFill="1" applyBorder="1"/>
    <xf numFmtId="0" fontId="24" fillId="6" borderId="0" xfId="0" applyFont="1" applyFill="1" applyBorder="1" applyAlignment="1">
      <alignment vertical="center"/>
    </xf>
    <xf numFmtId="0" fontId="24" fillId="6" borderId="0" xfId="0" applyFont="1" applyFill="1" applyBorder="1" applyAlignment="1">
      <alignment vertical="top"/>
    </xf>
    <xf numFmtId="0" fontId="6" fillId="0" borderId="0" xfId="2" applyFont="1" applyBorder="1" applyAlignment="1">
      <alignment horizontal="left"/>
    </xf>
    <xf numFmtId="0" fontId="6" fillId="0" borderId="5" xfId="2" applyFont="1" applyBorder="1" applyAlignment="1">
      <alignment horizontal="left"/>
    </xf>
    <xf numFmtId="0" fontId="6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6" fillId="0" borderId="0" xfId="0" applyFont="1" applyBorder="1" applyAlignment="1">
      <alignment horizontal="center" vertical="center" wrapText="1"/>
    </xf>
    <xf numFmtId="49" fontId="19" fillId="6" borderId="10" xfId="3" applyNumberFormat="1" applyFont="1" applyFill="1" applyBorder="1" applyAlignment="1">
      <alignment horizontal="center" vertical="center" wrapText="1"/>
    </xf>
    <xf numFmtId="49" fontId="19" fillId="6" borderId="15" xfId="3" applyNumberFormat="1" applyFont="1" applyFill="1" applyBorder="1" applyAlignment="1">
      <alignment horizontal="center" vertical="center" wrapText="1"/>
    </xf>
    <xf numFmtId="49" fontId="19" fillId="6" borderId="14" xfId="3" applyNumberFormat="1" applyFont="1" applyFill="1" applyBorder="1" applyAlignment="1">
      <alignment horizontal="center" vertical="center" wrapText="1"/>
    </xf>
    <xf numFmtId="49" fontId="23" fillId="8" borderId="13" xfId="0" applyNumberFormat="1" applyFont="1" applyFill="1" applyBorder="1" applyAlignment="1">
      <alignment horizontal="center" vertical="center" wrapText="1"/>
    </xf>
    <xf numFmtId="49" fontId="23" fillId="8" borderId="12" xfId="0" applyNumberFormat="1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wrapText="1"/>
    </xf>
  </cellXfs>
  <cellStyles count="5">
    <cellStyle name="Hipervínculo" xfId="2" builtinId="8"/>
    <cellStyle name="Normal" xfId="0" builtinId="0"/>
    <cellStyle name="Normal 2" xfId="3"/>
    <cellStyle name="Normal_Hoja1" xfId="4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465548</xdr:colOff>
      <xdr:row>2</xdr:row>
      <xdr:rowOff>19380</xdr:rowOff>
    </xdr:from>
    <xdr:to>
      <xdr:col>3</xdr:col>
      <xdr:colOff>977645</xdr:colOff>
      <xdr:row>3</xdr:row>
      <xdr:rowOff>19381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789773" y="790905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CONNECTICUT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190500</xdr:colOff>
      <xdr:row>8</xdr:row>
      <xdr:rowOff>19050</xdr:rowOff>
    </xdr:from>
    <xdr:to>
      <xdr:col>5</xdr:col>
      <xdr:colOff>83472</xdr:colOff>
      <xdr:row>8</xdr:row>
      <xdr:rowOff>209551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19625" y="17335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CONNECTICUT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CONNECTICUT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558362</xdr:colOff>
      <xdr:row>7</xdr:row>
      <xdr:rowOff>157655</xdr:rowOff>
    </xdr:from>
    <xdr:to>
      <xdr:col>4</xdr:col>
      <xdr:colOff>1070459</xdr:colOff>
      <xdr:row>7</xdr:row>
      <xdr:rowOff>336950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97037" y="190073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CONNECTICUT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01967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CONNECTICUT,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CONNECTICUT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558362</xdr:colOff>
      <xdr:row>7</xdr:row>
      <xdr:rowOff>124810</xdr:rowOff>
    </xdr:from>
    <xdr:to>
      <xdr:col>4</xdr:col>
      <xdr:colOff>1070459</xdr:colOff>
      <xdr:row>7</xdr:row>
      <xdr:rowOff>315311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9892862" y="1458310"/>
          <a:ext cx="512097" cy="666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CONNECTICUT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142875</xdr:colOff>
      <xdr:row>8</xdr:row>
      <xdr:rowOff>0</xdr:rowOff>
    </xdr:from>
    <xdr:to>
      <xdr:col>5</xdr:col>
      <xdr:colOff>35847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72000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CONNECTICUT,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CONNECTICUT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545224</xdr:colOff>
      <xdr:row>7</xdr:row>
      <xdr:rowOff>124810</xdr:rowOff>
    </xdr:from>
    <xdr:to>
      <xdr:col>4</xdr:col>
      <xdr:colOff>1057321</xdr:colOff>
      <xdr:row>7</xdr:row>
      <xdr:rowOff>315311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82914" y="186558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CONNECTICUT,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CONNECTICUT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538655</xdr:colOff>
      <xdr:row>7</xdr:row>
      <xdr:rowOff>91966</xdr:rowOff>
    </xdr:from>
    <xdr:to>
      <xdr:col>4</xdr:col>
      <xdr:colOff>1050752</xdr:colOff>
      <xdr:row>7</xdr:row>
      <xdr:rowOff>282467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76345" y="1832742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CONNECTICUT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114300</xdr:colOff>
      <xdr:row>8</xdr:row>
      <xdr:rowOff>0</xdr:rowOff>
    </xdr:from>
    <xdr:to>
      <xdr:col>5</xdr:col>
      <xdr:colOff>7272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4342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D21"/>
  <sheetViews>
    <sheetView showGridLines="0" view="pageBreakPreview" zoomScaleNormal="100" zoomScaleSheetLayoutView="100" workbookViewId="0">
      <selection activeCell="G5" sqref="G5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69" t="s">
        <v>425</v>
      </c>
      <c r="B1" s="70"/>
      <c r="C1" s="70"/>
      <c r="D1" s="71"/>
    </row>
    <row r="2" spans="1:4" ht="18.75">
      <c r="A2" s="2"/>
      <c r="B2" s="3"/>
      <c r="C2" s="3"/>
      <c r="D2" s="4"/>
    </row>
    <row r="3" spans="1:4">
      <c r="A3" s="72" t="s">
        <v>0</v>
      </c>
      <c r="B3" s="73"/>
      <c r="C3" s="73"/>
      <c r="D3" s="74"/>
    </row>
    <row r="4" spans="1:4">
      <c r="A4" s="72"/>
      <c r="B4" s="73"/>
      <c r="C4" s="73"/>
      <c r="D4" s="74"/>
    </row>
    <row r="5" spans="1:4" ht="18.75">
      <c r="A5" s="5"/>
      <c r="B5" s="6"/>
      <c r="C5" s="6"/>
      <c r="D5" s="7"/>
    </row>
    <row r="6" spans="1:4" ht="18.75">
      <c r="A6" s="68" t="s">
        <v>1</v>
      </c>
      <c r="B6" s="66"/>
      <c r="C6" s="66"/>
      <c r="D6" s="67"/>
    </row>
    <row r="7" spans="1:4" ht="18.75">
      <c r="A7" s="8"/>
      <c r="B7" s="9"/>
      <c r="C7" s="9"/>
      <c r="D7" s="10"/>
    </row>
    <row r="8" spans="1:4" ht="18.75">
      <c r="A8" s="11" t="s">
        <v>2</v>
      </c>
      <c r="B8" s="12"/>
      <c r="C8" s="12"/>
      <c r="D8" s="13"/>
    </row>
    <row r="9" spans="1:4" ht="18.75">
      <c r="A9" s="11"/>
      <c r="B9" s="66" t="s">
        <v>3</v>
      </c>
      <c r="C9" s="66"/>
      <c r="D9" s="67"/>
    </row>
    <row r="10" spans="1:4" ht="18.75">
      <c r="A10" s="11" t="s">
        <v>4</v>
      </c>
      <c r="B10" s="12"/>
      <c r="C10" s="12"/>
      <c r="D10" s="13"/>
    </row>
    <row r="11" spans="1:4" ht="18.75">
      <c r="A11" s="11"/>
      <c r="B11" s="66" t="s">
        <v>5</v>
      </c>
      <c r="C11" s="66"/>
      <c r="D11" s="67"/>
    </row>
    <row r="12" spans="1:4" ht="18.75">
      <c r="A12" s="11"/>
      <c r="B12" s="66" t="s">
        <v>6</v>
      </c>
      <c r="C12" s="66"/>
      <c r="D12" s="67"/>
    </row>
    <row r="13" spans="1:4" ht="18.75">
      <c r="A13" s="11"/>
      <c r="B13" s="12"/>
      <c r="C13" s="12"/>
      <c r="D13" s="13"/>
    </row>
    <row r="14" spans="1:4" ht="18.75">
      <c r="A14" s="11" t="s">
        <v>7</v>
      </c>
      <c r="B14" s="12"/>
      <c r="C14" s="12"/>
      <c r="D14" s="13"/>
    </row>
    <row r="15" spans="1:4" ht="18.75">
      <c r="A15" s="11"/>
      <c r="B15" s="66" t="s">
        <v>8</v>
      </c>
      <c r="C15" s="66"/>
      <c r="D15" s="67"/>
    </row>
    <row r="16" spans="1:4" ht="18.75">
      <c r="A16" s="11"/>
      <c r="B16" s="66" t="s">
        <v>9</v>
      </c>
      <c r="C16" s="66"/>
      <c r="D16" s="67"/>
    </row>
    <row r="17" spans="1:4" ht="18.75">
      <c r="A17" s="11"/>
      <c r="B17" s="12"/>
      <c r="C17" s="12"/>
      <c r="D17" s="13"/>
    </row>
    <row r="18" spans="1:4" ht="18.75">
      <c r="A18" s="68" t="s">
        <v>10</v>
      </c>
      <c r="B18" s="66"/>
      <c r="C18" s="66"/>
      <c r="D18" s="67"/>
    </row>
    <row r="19" spans="1:4" ht="18.75">
      <c r="A19" s="11"/>
      <c r="B19" s="12"/>
      <c r="C19" s="12"/>
      <c r="D19" s="13"/>
    </row>
    <row r="20" spans="1:4" ht="18.75">
      <c r="A20" s="68" t="s">
        <v>11</v>
      </c>
      <c r="B20" s="66"/>
      <c r="C20" s="66"/>
      <c r="D20" s="67"/>
    </row>
    <row r="21" spans="1:4" ht="19.5" thickBot="1">
      <c r="A21" s="14"/>
      <c r="B21" s="15"/>
      <c r="C21" s="15"/>
      <c r="D21" s="16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Connecticut_Edomexgral!A1" display="1. Por Estados de la República Mexicana"/>
    <hyperlink ref="B9" location="Alabama_EDOMEX!Área_de_impresión" display="2.1 Por estado de la República Mexicana y municipio de origen"/>
    <hyperlink ref="B11:D11" location="Connecticut_Educagral!A1" display="3.1 Educación general"/>
    <hyperlink ref="B12:D12" location="Connecticut_Eduedo!A1" display="3.2 Por Estado de la República Mexicana"/>
    <hyperlink ref="B15:D15" location="Connecticut_gengral!A1" display="4.1 Género General"/>
    <hyperlink ref="B16:D16" location="Connecticut_edomexgen!A1" display="4.2 Por Estados de la República Mexicana"/>
    <hyperlink ref="A18:D18" location="Connecticut_edadgen!A1" display="5. Por estructura de Edad"/>
    <hyperlink ref="A20:D20" location="Connecticut_ocupgral!A1" display="6. Por Ocupación"/>
    <hyperlink ref="B9:D9" location="Connecticut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H49"/>
  <sheetViews>
    <sheetView showGridLines="0" tabSelected="1" topLeftCell="A22" zoomScaleNormal="100" zoomScaleSheetLayoutView="115" workbookViewId="0">
      <selection activeCell="I38" sqref="I38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8" s="29" customFormat="1" ht="15" customHeight="1">
      <c r="C1" s="35"/>
    </row>
    <row r="2" spans="1:8" s="29" customFormat="1" ht="15" customHeight="1">
      <c r="C2" s="35"/>
    </row>
    <row r="3" spans="1:8" s="29" customFormat="1" ht="15" customHeight="1">
      <c r="C3" s="35"/>
    </row>
    <row r="4" spans="1:8" s="29" customFormat="1" ht="30" customHeight="1">
      <c r="C4" s="35"/>
      <c r="D4" s="34"/>
    </row>
    <row r="5" spans="1:8" s="29" customFormat="1" ht="15" customHeight="1">
      <c r="C5" s="35"/>
      <c r="D5" s="34"/>
    </row>
    <row r="6" spans="1:8" s="29" customFormat="1" ht="15" customHeight="1">
      <c r="C6" s="35"/>
      <c r="D6" s="34"/>
    </row>
    <row r="7" spans="1:8" s="29" customFormat="1" ht="15" customHeight="1">
      <c r="B7" s="75" t="s">
        <v>551</v>
      </c>
      <c r="C7" s="75"/>
      <c r="D7" s="75"/>
    </row>
    <row r="8" spans="1:8" s="29" customFormat="1" ht="15" customHeight="1">
      <c r="B8" s="75"/>
      <c r="C8" s="75"/>
      <c r="D8" s="75"/>
    </row>
    <row r="9" spans="1:8" s="29" customFormat="1" ht="33" customHeight="1">
      <c r="B9" s="75"/>
      <c r="C9" s="75"/>
      <c r="D9" s="75"/>
    </row>
    <row r="10" spans="1:8" s="29" customFormat="1" ht="4.5" customHeight="1">
      <c r="B10" s="33"/>
      <c r="C10" s="33"/>
      <c r="D10" s="33"/>
    </row>
    <row r="11" spans="1:8" s="29" customFormat="1" ht="33" customHeight="1">
      <c r="B11" s="32" t="s">
        <v>45</v>
      </c>
      <c r="C11" s="31" t="s">
        <v>44</v>
      </c>
      <c r="D11" s="30" t="s">
        <v>43</v>
      </c>
      <c r="H11" s="29" t="s">
        <v>552</v>
      </c>
    </row>
    <row r="12" spans="1:8">
      <c r="B12" s="27" t="s">
        <v>42</v>
      </c>
      <c r="C12" s="26">
        <v>479</v>
      </c>
      <c r="D12" s="25">
        <v>0.33496503496503499</v>
      </c>
    </row>
    <row r="13" spans="1:8">
      <c r="B13" s="27" t="s">
        <v>41</v>
      </c>
      <c r="C13" s="26">
        <v>203</v>
      </c>
      <c r="D13" s="25">
        <v>0.14195804195804196</v>
      </c>
    </row>
    <row r="14" spans="1:8">
      <c r="A14" s="28"/>
      <c r="B14" s="27" t="s">
        <v>40</v>
      </c>
      <c r="C14" s="26">
        <v>121</v>
      </c>
      <c r="D14" s="25">
        <v>8.461538461538462E-2</v>
      </c>
      <c r="E14" s="28"/>
    </row>
    <row r="15" spans="1:8">
      <c r="A15" s="28"/>
      <c r="B15" s="27" t="s">
        <v>34</v>
      </c>
      <c r="C15" s="26">
        <v>103</v>
      </c>
      <c r="D15" s="25">
        <v>7.2027972027972023E-2</v>
      </c>
      <c r="E15" s="28"/>
    </row>
    <row r="16" spans="1:8">
      <c r="B16" s="27" t="s">
        <v>38</v>
      </c>
      <c r="C16" s="26">
        <v>101</v>
      </c>
      <c r="D16" s="25">
        <v>7.0629370629370636E-2</v>
      </c>
    </row>
    <row r="17" spans="2:4">
      <c r="B17" s="27" t="s">
        <v>36</v>
      </c>
      <c r="C17" s="26">
        <v>81</v>
      </c>
      <c r="D17" s="25">
        <v>5.6643356643356645E-2</v>
      </c>
    </row>
    <row r="18" spans="2:4">
      <c r="B18" s="27" t="s">
        <v>39</v>
      </c>
      <c r="C18" s="26">
        <v>68</v>
      </c>
      <c r="D18" s="25">
        <v>4.7552447552447551E-2</v>
      </c>
    </row>
    <row r="19" spans="2:4">
      <c r="B19" s="27" t="s">
        <v>33</v>
      </c>
      <c r="C19" s="26">
        <v>55</v>
      </c>
      <c r="D19" s="25">
        <v>3.8461538461538464E-2</v>
      </c>
    </row>
    <row r="20" spans="2:4">
      <c r="B20" s="27" t="s">
        <v>37</v>
      </c>
      <c r="C20" s="26">
        <v>48</v>
      </c>
      <c r="D20" s="25">
        <v>3.3566433566433566E-2</v>
      </c>
    </row>
    <row r="21" spans="2:4">
      <c r="B21" s="27" t="s">
        <v>35</v>
      </c>
      <c r="C21" s="26">
        <v>45</v>
      </c>
      <c r="D21" s="25">
        <v>3.1468531468531472E-2</v>
      </c>
    </row>
    <row r="22" spans="2:4">
      <c r="B22" s="27" t="s">
        <v>32</v>
      </c>
      <c r="C22" s="26">
        <v>22</v>
      </c>
      <c r="D22" s="25">
        <v>1.5384615384615385E-2</v>
      </c>
    </row>
    <row r="23" spans="2:4">
      <c r="B23" s="27" t="s">
        <v>31</v>
      </c>
      <c r="C23" s="26">
        <v>17</v>
      </c>
      <c r="D23" s="25">
        <v>1.1888111888111888E-2</v>
      </c>
    </row>
    <row r="24" spans="2:4">
      <c r="B24" s="27" t="s">
        <v>30</v>
      </c>
      <c r="C24" s="26">
        <v>16</v>
      </c>
      <c r="D24" s="25">
        <v>1.1188811188811189E-2</v>
      </c>
    </row>
    <row r="25" spans="2:4">
      <c r="B25" s="27" t="s">
        <v>29</v>
      </c>
      <c r="C25" s="26">
        <v>10</v>
      </c>
      <c r="D25" s="25">
        <v>6.993006993006993E-3</v>
      </c>
    </row>
    <row r="26" spans="2:4">
      <c r="B26" s="27" t="s">
        <v>21</v>
      </c>
      <c r="C26" s="26">
        <v>8</v>
      </c>
      <c r="D26" s="25">
        <v>5.5944055944055944E-3</v>
      </c>
    </row>
    <row r="27" spans="2:4">
      <c r="B27" s="27" t="s">
        <v>27</v>
      </c>
      <c r="C27" s="26">
        <v>7</v>
      </c>
      <c r="D27" s="25">
        <v>4.8951048951048955E-3</v>
      </c>
    </row>
    <row r="28" spans="2:4">
      <c r="B28" s="27" t="s">
        <v>25</v>
      </c>
      <c r="C28" s="26">
        <v>6</v>
      </c>
      <c r="D28" s="25">
        <v>4.1958041958041958E-3</v>
      </c>
    </row>
    <row r="29" spans="2:4">
      <c r="B29" s="27" t="s">
        <v>18</v>
      </c>
      <c r="C29" s="26">
        <v>6</v>
      </c>
      <c r="D29" s="25">
        <v>4.1958041958041958E-3</v>
      </c>
    </row>
    <row r="30" spans="2:4">
      <c r="B30" s="27" t="s">
        <v>22</v>
      </c>
      <c r="C30" s="26">
        <v>5</v>
      </c>
      <c r="D30" s="25">
        <v>3.4965034965034965E-3</v>
      </c>
    </row>
    <row r="31" spans="2:4">
      <c r="B31" s="27" t="s">
        <v>20</v>
      </c>
      <c r="C31" s="26">
        <v>4</v>
      </c>
      <c r="D31" s="25">
        <v>2.7972027972027972E-3</v>
      </c>
    </row>
    <row r="32" spans="2:4">
      <c r="B32" s="27" t="s">
        <v>19</v>
      </c>
      <c r="C32" s="26">
        <v>4</v>
      </c>
      <c r="D32" s="25">
        <v>2.7972027972027972E-3</v>
      </c>
    </row>
    <row r="33" spans="2:4">
      <c r="B33" s="27" t="s">
        <v>28</v>
      </c>
      <c r="C33" s="26">
        <v>4</v>
      </c>
      <c r="D33" s="25">
        <v>2.7972027972027972E-3</v>
      </c>
    </row>
    <row r="34" spans="2:4">
      <c r="B34" s="27" t="s">
        <v>26</v>
      </c>
      <c r="C34" s="26">
        <v>4</v>
      </c>
      <c r="D34" s="25">
        <v>2.7972027972027972E-3</v>
      </c>
    </row>
    <row r="35" spans="2:4">
      <c r="B35" s="27" t="s">
        <v>303</v>
      </c>
      <c r="C35" s="26">
        <v>3</v>
      </c>
      <c r="D35" s="25">
        <v>2.0979020979020979E-3</v>
      </c>
    </row>
    <row r="36" spans="2:4">
      <c r="B36" s="27" t="s">
        <v>302</v>
      </c>
      <c r="C36" s="26">
        <v>3</v>
      </c>
      <c r="D36" s="25">
        <v>2.0979020979020979E-3</v>
      </c>
    </row>
    <row r="37" spans="2:4">
      <c r="B37" s="27" t="s">
        <v>24</v>
      </c>
      <c r="C37" s="26">
        <v>2</v>
      </c>
      <c r="D37" s="25">
        <v>1.3986013986013986E-3</v>
      </c>
    </row>
    <row r="38" spans="2:4">
      <c r="B38" s="27" t="s">
        <v>304</v>
      </c>
      <c r="C38" s="26">
        <v>1</v>
      </c>
      <c r="D38" s="25">
        <v>6.993006993006993E-4</v>
      </c>
    </row>
    <row r="39" spans="2:4">
      <c r="B39" s="27" t="s">
        <v>23</v>
      </c>
      <c r="C39" s="26">
        <v>1</v>
      </c>
      <c r="D39" s="25">
        <v>6.993006993006993E-4</v>
      </c>
    </row>
    <row r="40" spans="2:4">
      <c r="B40" s="27" t="s">
        <v>301</v>
      </c>
      <c r="C40" s="26">
        <v>1</v>
      </c>
      <c r="D40" s="25">
        <v>6.993006993006993E-4</v>
      </c>
    </row>
    <row r="41" spans="2:4">
      <c r="B41" s="27" t="s">
        <v>17</v>
      </c>
      <c r="C41" s="26">
        <v>1</v>
      </c>
      <c r="D41" s="25">
        <v>6.993006993006993E-4</v>
      </c>
    </row>
    <row r="42" spans="2:4">
      <c r="B42" s="27" t="s">
        <v>16</v>
      </c>
      <c r="C42" s="26">
        <v>1</v>
      </c>
      <c r="D42" s="25">
        <v>6.993006993006993E-4</v>
      </c>
    </row>
    <row r="43" spans="2:4">
      <c r="B43" s="24" t="s">
        <v>15</v>
      </c>
      <c r="C43" s="23">
        <v>1430</v>
      </c>
      <c r="D43" s="22">
        <v>1</v>
      </c>
    </row>
    <row r="45" spans="2:4">
      <c r="B45" s="19" t="s">
        <v>549</v>
      </c>
    </row>
    <row r="46" spans="2:4">
      <c r="B46" s="21" t="s">
        <v>14</v>
      </c>
    </row>
    <row r="47" spans="2:4">
      <c r="B47" s="20" t="s">
        <v>13</v>
      </c>
    </row>
    <row r="48" spans="2:4">
      <c r="B48" s="19" t="s">
        <v>12</v>
      </c>
    </row>
    <row r="49" spans="2:2">
      <c r="B49" s="19" t="s">
        <v>550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98"/>
  <sheetViews>
    <sheetView showGridLines="0" zoomScale="96" zoomScaleNormal="96" zoomScaleSheetLayoutView="100" workbookViewId="0">
      <selection activeCell="F23" sqref="F23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42" customFormat="1" ht="12" customHeight="1">
      <c r="B1" s="46"/>
      <c r="C1" s="45"/>
      <c r="D1" s="45"/>
      <c r="E1" s="45"/>
    </row>
    <row r="2" spans="1:5" s="42" customFormat="1" ht="15" customHeight="1">
      <c r="C2" s="44"/>
    </row>
    <row r="3" spans="1:5" s="42" customFormat="1" ht="15" customHeight="1">
      <c r="C3" s="44"/>
    </row>
    <row r="4" spans="1:5" s="42" customFormat="1" ht="30" customHeight="1">
      <c r="C4" s="44"/>
      <c r="D4" s="43"/>
    </row>
    <row r="5" spans="1:5" s="42" customFormat="1" ht="15" customHeight="1">
      <c r="C5" s="44"/>
      <c r="D5" s="43"/>
    </row>
    <row r="6" spans="1:5" s="39" customFormat="1" ht="24" customHeight="1">
      <c r="B6" s="41"/>
      <c r="C6" s="38"/>
      <c r="D6" s="38"/>
      <c r="E6" s="38"/>
    </row>
    <row r="7" spans="1:5" s="39" customFormat="1" ht="26.25" customHeight="1">
      <c r="A7" s="40"/>
      <c r="B7" s="81"/>
      <c r="C7" s="81"/>
      <c r="D7" s="81"/>
      <c r="E7" s="81"/>
    </row>
    <row r="8" spans="1:5" s="39" customFormat="1" ht="33" customHeight="1">
      <c r="A8" s="40"/>
      <c r="B8" s="81"/>
      <c r="C8" s="81"/>
      <c r="D8" s="81"/>
      <c r="E8" s="81"/>
    </row>
    <row r="9" spans="1:5" s="29" customFormat="1" ht="40.5" customHeight="1">
      <c r="B9" s="52" t="s">
        <v>45</v>
      </c>
      <c r="C9" s="52" t="s">
        <v>245</v>
      </c>
      <c r="D9" s="53" t="s">
        <v>44</v>
      </c>
      <c r="E9" s="52" t="s">
        <v>43</v>
      </c>
    </row>
    <row r="10" spans="1:5" ht="15" customHeight="1">
      <c r="B10" s="76" t="s">
        <v>25</v>
      </c>
      <c r="C10" s="54" t="s">
        <v>25</v>
      </c>
      <c r="D10" s="55">
        <v>5</v>
      </c>
      <c r="E10" s="56">
        <v>3.4965034965034965E-3</v>
      </c>
    </row>
    <row r="11" spans="1:5" ht="15" customHeight="1">
      <c r="B11" s="77"/>
      <c r="C11" s="54" t="s">
        <v>426</v>
      </c>
      <c r="D11" s="55">
        <v>1</v>
      </c>
      <c r="E11" s="56">
        <v>6.993006993006993E-4</v>
      </c>
    </row>
    <row r="12" spans="1:5" ht="15" customHeight="1">
      <c r="B12" s="78"/>
      <c r="C12" s="57" t="s">
        <v>15</v>
      </c>
      <c r="D12" s="58">
        <v>6</v>
      </c>
      <c r="E12" s="59">
        <v>4.1958041958041958E-3</v>
      </c>
    </row>
    <row r="13" spans="1:5" ht="15" customHeight="1">
      <c r="B13" s="76" t="s">
        <v>20</v>
      </c>
      <c r="C13" s="54" t="s">
        <v>427</v>
      </c>
      <c r="D13" s="55">
        <v>2</v>
      </c>
      <c r="E13" s="56">
        <v>1.3986013986013986E-3</v>
      </c>
    </row>
    <row r="14" spans="1:5" ht="15" customHeight="1">
      <c r="B14" s="77"/>
      <c r="C14" s="54" t="s">
        <v>244</v>
      </c>
      <c r="D14" s="55">
        <v>2</v>
      </c>
      <c r="E14" s="56">
        <v>1.3986013986013986E-3</v>
      </c>
    </row>
    <row r="15" spans="1:5" ht="15" customHeight="1">
      <c r="B15" s="78"/>
      <c r="C15" s="57" t="s">
        <v>15</v>
      </c>
      <c r="D15" s="58">
        <v>4</v>
      </c>
      <c r="E15" s="59">
        <v>2.7972027972027972E-3</v>
      </c>
    </row>
    <row r="16" spans="1:5" ht="15" customHeight="1">
      <c r="B16" s="76" t="s">
        <v>304</v>
      </c>
      <c r="C16" s="54" t="s">
        <v>428</v>
      </c>
      <c r="D16" s="55">
        <v>1</v>
      </c>
      <c r="E16" s="56">
        <v>6.993006993006993E-4</v>
      </c>
    </row>
    <row r="17" spans="2:5" ht="15" customHeight="1">
      <c r="B17" s="78"/>
      <c r="C17" s="57" t="s">
        <v>15</v>
      </c>
      <c r="D17" s="58">
        <v>1</v>
      </c>
      <c r="E17" s="59">
        <v>6.993006993006993E-4</v>
      </c>
    </row>
    <row r="18" spans="2:5" ht="15" customHeight="1">
      <c r="B18" s="76" t="s">
        <v>34</v>
      </c>
      <c r="C18" s="54" t="s">
        <v>243</v>
      </c>
      <c r="D18" s="55">
        <v>3</v>
      </c>
      <c r="E18" s="56">
        <v>2.0979020979020979E-3</v>
      </c>
    </row>
    <row r="19" spans="2:5" ht="15" customHeight="1">
      <c r="B19" s="77"/>
      <c r="C19" s="54" t="s">
        <v>429</v>
      </c>
      <c r="D19" s="55">
        <v>1</v>
      </c>
      <c r="E19" s="56">
        <v>6.993006993006993E-4</v>
      </c>
    </row>
    <row r="20" spans="2:5" ht="15" customHeight="1">
      <c r="B20" s="77"/>
      <c r="C20" s="54" t="s">
        <v>430</v>
      </c>
      <c r="D20" s="55">
        <v>3</v>
      </c>
      <c r="E20" s="56">
        <v>2.0979020979020979E-3</v>
      </c>
    </row>
    <row r="21" spans="2:5" ht="15" customHeight="1">
      <c r="B21" s="77"/>
      <c r="C21" s="54" t="s">
        <v>305</v>
      </c>
      <c r="D21" s="55">
        <v>3</v>
      </c>
      <c r="E21" s="56">
        <v>2.0979020979020979E-3</v>
      </c>
    </row>
    <row r="22" spans="2:5" ht="15" customHeight="1">
      <c r="B22" s="77"/>
      <c r="C22" s="54" t="s">
        <v>242</v>
      </c>
      <c r="D22" s="55">
        <v>1</v>
      </c>
      <c r="E22" s="56">
        <v>6.993006993006993E-4</v>
      </c>
    </row>
    <row r="23" spans="2:5" ht="15" customHeight="1">
      <c r="B23" s="77"/>
      <c r="C23" s="54" t="s">
        <v>241</v>
      </c>
      <c r="D23" s="55">
        <v>3</v>
      </c>
      <c r="E23" s="56">
        <v>2.0979020979020979E-3</v>
      </c>
    </row>
    <row r="24" spans="2:5" ht="15" customHeight="1">
      <c r="B24" s="77"/>
      <c r="C24" s="54" t="s">
        <v>240</v>
      </c>
      <c r="D24" s="55">
        <v>6</v>
      </c>
      <c r="E24" s="56">
        <v>4.1958041958041958E-3</v>
      </c>
    </row>
    <row r="25" spans="2:5" ht="15" customHeight="1">
      <c r="B25" s="77"/>
      <c r="C25" s="54" t="s">
        <v>239</v>
      </c>
      <c r="D25" s="55">
        <v>3</v>
      </c>
      <c r="E25" s="56">
        <v>2.0979020979020979E-3</v>
      </c>
    </row>
    <row r="26" spans="2:5" ht="15" customHeight="1">
      <c r="B26" s="77"/>
      <c r="C26" s="54" t="s">
        <v>238</v>
      </c>
      <c r="D26" s="55">
        <v>2</v>
      </c>
      <c r="E26" s="56">
        <v>1.3986013986013986E-3</v>
      </c>
    </row>
    <row r="27" spans="2:5" ht="15" customHeight="1">
      <c r="B27" s="77"/>
      <c r="C27" s="54" t="s">
        <v>431</v>
      </c>
      <c r="D27" s="55">
        <v>1</v>
      </c>
      <c r="E27" s="56">
        <v>6.993006993006993E-4</v>
      </c>
    </row>
    <row r="28" spans="2:5" ht="15" customHeight="1">
      <c r="B28" s="77"/>
      <c r="C28" s="54" t="s">
        <v>237</v>
      </c>
      <c r="D28" s="55">
        <v>2</v>
      </c>
      <c r="E28" s="56">
        <v>1.3986013986013986E-3</v>
      </c>
    </row>
    <row r="29" spans="2:5" ht="15" customHeight="1">
      <c r="B29" s="77"/>
      <c r="C29" s="54" t="s">
        <v>236</v>
      </c>
      <c r="D29" s="55">
        <v>2</v>
      </c>
      <c r="E29" s="56">
        <v>1.3986013986013986E-3</v>
      </c>
    </row>
    <row r="30" spans="2:5" ht="15" customHeight="1">
      <c r="B30" s="77"/>
      <c r="C30" s="54" t="s">
        <v>235</v>
      </c>
      <c r="D30" s="55">
        <v>13</v>
      </c>
      <c r="E30" s="56">
        <v>9.0909090909090905E-3</v>
      </c>
    </row>
    <row r="31" spans="2:5" ht="15" customHeight="1">
      <c r="B31" s="77"/>
      <c r="C31" s="54" t="s">
        <v>432</v>
      </c>
      <c r="D31" s="55">
        <v>6</v>
      </c>
      <c r="E31" s="56">
        <v>4.1958041958041958E-3</v>
      </c>
    </row>
    <row r="32" spans="2:5" ht="15" customHeight="1">
      <c r="B32" s="77"/>
      <c r="C32" s="54" t="s">
        <v>433</v>
      </c>
      <c r="D32" s="55">
        <v>1</v>
      </c>
      <c r="E32" s="56">
        <v>6.993006993006993E-4</v>
      </c>
    </row>
    <row r="33" spans="2:5" ht="15" customHeight="1">
      <c r="B33" s="77"/>
      <c r="C33" s="54" t="s">
        <v>234</v>
      </c>
      <c r="D33" s="55">
        <v>1</v>
      </c>
      <c r="E33" s="56">
        <v>6.993006993006993E-4</v>
      </c>
    </row>
    <row r="34" spans="2:5" ht="15" customHeight="1">
      <c r="B34" s="77"/>
      <c r="C34" s="54" t="s">
        <v>434</v>
      </c>
      <c r="D34" s="55">
        <v>1</v>
      </c>
      <c r="E34" s="56">
        <v>6.993006993006993E-4</v>
      </c>
    </row>
    <row r="35" spans="2:5" ht="15" customHeight="1">
      <c r="B35" s="77"/>
      <c r="C35" s="54" t="s">
        <v>325</v>
      </c>
      <c r="D35" s="55">
        <v>3</v>
      </c>
      <c r="E35" s="56">
        <v>2.0979020979020979E-3</v>
      </c>
    </row>
    <row r="36" spans="2:5" ht="15" customHeight="1">
      <c r="B36" s="77"/>
      <c r="C36" s="54" t="s">
        <v>233</v>
      </c>
      <c r="D36" s="55">
        <v>10</v>
      </c>
      <c r="E36" s="56">
        <v>6.993006993006993E-3</v>
      </c>
    </row>
    <row r="37" spans="2:5" ht="15" customHeight="1">
      <c r="B37" s="77"/>
      <c r="C37" s="54" t="s">
        <v>232</v>
      </c>
      <c r="D37" s="55">
        <v>2</v>
      </c>
      <c r="E37" s="56">
        <v>1.3986013986013986E-3</v>
      </c>
    </row>
    <row r="38" spans="2:5" ht="15" customHeight="1">
      <c r="B38" s="77"/>
      <c r="C38" s="54" t="s">
        <v>231</v>
      </c>
      <c r="D38" s="55">
        <v>4</v>
      </c>
      <c r="E38" s="56">
        <v>2.7972027972027972E-3</v>
      </c>
    </row>
    <row r="39" spans="2:5" ht="15" customHeight="1">
      <c r="B39" s="77"/>
      <c r="C39" s="54" t="s">
        <v>435</v>
      </c>
      <c r="D39" s="55">
        <v>1</v>
      </c>
      <c r="E39" s="56">
        <v>6.993006993006993E-4</v>
      </c>
    </row>
    <row r="40" spans="2:5" ht="15" customHeight="1">
      <c r="B40" s="77"/>
      <c r="C40" s="54" t="s">
        <v>306</v>
      </c>
      <c r="D40" s="55">
        <v>1</v>
      </c>
      <c r="E40" s="56">
        <v>6.993006993006993E-4</v>
      </c>
    </row>
    <row r="41" spans="2:5" ht="15" customHeight="1">
      <c r="B41" s="77"/>
      <c r="C41" s="54" t="s">
        <v>230</v>
      </c>
      <c r="D41" s="55">
        <v>12</v>
      </c>
      <c r="E41" s="56">
        <v>8.3916083916083916E-3</v>
      </c>
    </row>
    <row r="42" spans="2:5" ht="15" customHeight="1">
      <c r="B42" s="77"/>
      <c r="C42" s="54" t="s">
        <v>436</v>
      </c>
      <c r="D42" s="55">
        <v>1</v>
      </c>
      <c r="E42" s="56">
        <v>6.993006993006993E-4</v>
      </c>
    </row>
    <row r="43" spans="2:5" ht="15" customHeight="1">
      <c r="B43" s="77"/>
      <c r="C43" s="54" t="s">
        <v>326</v>
      </c>
      <c r="D43" s="55">
        <v>1</v>
      </c>
      <c r="E43" s="56">
        <v>6.993006993006993E-4</v>
      </c>
    </row>
    <row r="44" spans="2:5" ht="15" customHeight="1">
      <c r="B44" s="77"/>
      <c r="C44" s="54" t="s">
        <v>229</v>
      </c>
      <c r="D44" s="55">
        <v>5</v>
      </c>
      <c r="E44" s="56">
        <v>3.4965034965034965E-3</v>
      </c>
    </row>
    <row r="45" spans="2:5" ht="15" customHeight="1">
      <c r="B45" s="77"/>
      <c r="C45" s="54" t="s">
        <v>228</v>
      </c>
      <c r="D45" s="55">
        <v>3</v>
      </c>
      <c r="E45" s="56">
        <v>2.0979020979020979E-3</v>
      </c>
    </row>
    <row r="46" spans="2:5" ht="15" customHeight="1">
      <c r="B46" s="77"/>
      <c r="C46" s="54" t="s">
        <v>327</v>
      </c>
      <c r="D46" s="55">
        <v>2</v>
      </c>
      <c r="E46" s="56">
        <v>1.3986013986013986E-3</v>
      </c>
    </row>
    <row r="47" spans="2:5" ht="15" customHeight="1">
      <c r="B47" s="77"/>
      <c r="C47" s="54" t="s">
        <v>437</v>
      </c>
      <c r="D47" s="55">
        <v>2</v>
      </c>
      <c r="E47" s="56">
        <v>1.3986013986013986E-3</v>
      </c>
    </row>
    <row r="48" spans="2:5" ht="15" customHeight="1">
      <c r="B48" s="77"/>
      <c r="C48" s="54" t="s">
        <v>227</v>
      </c>
      <c r="D48" s="55">
        <v>4</v>
      </c>
      <c r="E48" s="56">
        <v>2.7972027972027972E-3</v>
      </c>
    </row>
    <row r="49" spans="2:5" ht="15" customHeight="1">
      <c r="B49" s="78"/>
      <c r="C49" s="57" t="s">
        <v>15</v>
      </c>
      <c r="D49" s="58">
        <v>103</v>
      </c>
      <c r="E49" s="59">
        <v>7.2027972027972023E-2</v>
      </c>
    </row>
    <row r="50" spans="2:5" ht="15" customHeight="1">
      <c r="B50" s="76" t="s">
        <v>303</v>
      </c>
      <c r="C50" s="54" t="s">
        <v>328</v>
      </c>
      <c r="D50" s="55">
        <v>1</v>
      </c>
      <c r="E50" s="56">
        <v>6.993006993006993E-4</v>
      </c>
    </row>
    <row r="51" spans="2:5" ht="15" customHeight="1">
      <c r="B51" s="77"/>
      <c r="C51" s="54" t="s">
        <v>307</v>
      </c>
      <c r="D51" s="55">
        <v>2</v>
      </c>
      <c r="E51" s="56">
        <v>1.3986013986013986E-3</v>
      </c>
    </row>
    <row r="52" spans="2:5" ht="15" customHeight="1">
      <c r="B52" s="78"/>
      <c r="C52" s="57" t="s">
        <v>15</v>
      </c>
      <c r="D52" s="58">
        <v>3</v>
      </c>
      <c r="E52" s="59">
        <v>2.0979020979020979E-3</v>
      </c>
    </row>
    <row r="53" spans="2:5" ht="15" customHeight="1">
      <c r="B53" s="76" t="s">
        <v>23</v>
      </c>
      <c r="C53" s="54" t="s">
        <v>329</v>
      </c>
      <c r="D53" s="55">
        <v>1</v>
      </c>
      <c r="E53" s="56">
        <v>6.993006993006993E-4</v>
      </c>
    </row>
    <row r="54" spans="2:5" ht="15" customHeight="1">
      <c r="B54" s="78"/>
      <c r="C54" s="57" t="s">
        <v>15</v>
      </c>
      <c r="D54" s="58">
        <v>1</v>
      </c>
      <c r="E54" s="59">
        <v>6.993006993006993E-4</v>
      </c>
    </row>
    <row r="55" spans="2:5" ht="15" customHeight="1">
      <c r="B55" s="76" t="s">
        <v>19</v>
      </c>
      <c r="C55" s="54" t="s">
        <v>330</v>
      </c>
      <c r="D55" s="55">
        <v>1</v>
      </c>
      <c r="E55" s="56">
        <v>6.993006993006993E-4</v>
      </c>
    </row>
    <row r="56" spans="2:5" ht="15" customHeight="1">
      <c r="B56" s="77"/>
      <c r="C56" s="54" t="s">
        <v>438</v>
      </c>
      <c r="D56" s="55">
        <v>3</v>
      </c>
      <c r="E56" s="56">
        <v>2.0979020979020979E-3</v>
      </c>
    </row>
    <row r="57" spans="2:5" ht="15" customHeight="1">
      <c r="B57" s="78"/>
      <c r="C57" s="57" t="s">
        <v>15</v>
      </c>
      <c r="D57" s="58">
        <v>4</v>
      </c>
      <c r="E57" s="59">
        <v>2.7972027972027972E-3</v>
      </c>
    </row>
    <row r="58" spans="2:5" ht="15" customHeight="1">
      <c r="B58" s="76" t="s">
        <v>39</v>
      </c>
      <c r="C58" s="54" t="s">
        <v>331</v>
      </c>
      <c r="D58" s="55">
        <v>10</v>
      </c>
      <c r="E58" s="56">
        <v>6.993006993006993E-3</v>
      </c>
    </row>
    <row r="59" spans="2:5" ht="15" customHeight="1">
      <c r="B59" s="77"/>
      <c r="C59" s="54" t="s">
        <v>332</v>
      </c>
      <c r="D59" s="55">
        <v>7</v>
      </c>
      <c r="E59" s="56">
        <v>4.8951048951048955E-3</v>
      </c>
    </row>
    <row r="60" spans="2:5" ht="15" customHeight="1">
      <c r="B60" s="77"/>
      <c r="C60" s="54" t="s">
        <v>85</v>
      </c>
      <c r="D60" s="55">
        <v>2</v>
      </c>
      <c r="E60" s="56">
        <v>1.3986013986013986E-3</v>
      </c>
    </row>
    <row r="61" spans="2:5" ht="15" customHeight="1">
      <c r="B61" s="77"/>
      <c r="C61" s="54" t="s">
        <v>226</v>
      </c>
      <c r="D61" s="55">
        <v>4</v>
      </c>
      <c r="E61" s="56">
        <v>2.7972027972027972E-3</v>
      </c>
    </row>
    <row r="62" spans="2:5" ht="15" customHeight="1">
      <c r="B62" s="77"/>
      <c r="C62" s="54" t="s">
        <v>225</v>
      </c>
      <c r="D62" s="55">
        <v>7</v>
      </c>
      <c r="E62" s="56">
        <v>4.8951048951048955E-3</v>
      </c>
    </row>
    <row r="63" spans="2:5" ht="15" customHeight="1">
      <c r="B63" s="77"/>
      <c r="C63" s="54" t="s">
        <v>224</v>
      </c>
      <c r="D63" s="55">
        <v>13</v>
      </c>
      <c r="E63" s="56">
        <v>9.0909090909090905E-3</v>
      </c>
    </row>
    <row r="64" spans="2:5" ht="15" customHeight="1">
      <c r="B64" s="77"/>
      <c r="C64" s="54" t="s">
        <v>333</v>
      </c>
      <c r="D64" s="55">
        <v>6</v>
      </c>
      <c r="E64" s="56">
        <v>4.1958041958041958E-3</v>
      </c>
    </row>
    <row r="65" spans="2:5" ht="15" customHeight="1">
      <c r="B65" s="77"/>
      <c r="C65" s="54" t="s">
        <v>223</v>
      </c>
      <c r="D65" s="55">
        <v>6</v>
      </c>
      <c r="E65" s="56">
        <v>4.1958041958041958E-3</v>
      </c>
    </row>
    <row r="66" spans="2:5" ht="15" customHeight="1">
      <c r="B66" s="77"/>
      <c r="C66" s="54" t="s">
        <v>334</v>
      </c>
      <c r="D66" s="55">
        <v>4</v>
      </c>
      <c r="E66" s="56">
        <v>2.7972027972027972E-3</v>
      </c>
    </row>
    <row r="67" spans="2:5" ht="15" customHeight="1">
      <c r="B67" s="77"/>
      <c r="C67" s="54" t="s">
        <v>91</v>
      </c>
      <c r="D67" s="55">
        <v>4</v>
      </c>
      <c r="E67" s="56">
        <v>2.7972027972027972E-3</v>
      </c>
    </row>
    <row r="68" spans="2:5" ht="15" customHeight="1">
      <c r="B68" s="77"/>
      <c r="C68" s="54" t="s">
        <v>439</v>
      </c>
      <c r="D68" s="55">
        <v>5</v>
      </c>
      <c r="E68" s="56">
        <v>3.4965034965034965E-3</v>
      </c>
    </row>
    <row r="69" spans="2:5" ht="15" customHeight="1">
      <c r="B69" s="78"/>
      <c r="C69" s="57" t="s">
        <v>15</v>
      </c>
      <c r="D69" s="58">
        <v>68</v>
      </c>
      <c r="E69" s="59">
        <v>4.7552447552447551E-2</v>
      </c>
    </row>
    <row r="70" spans="2:5" ht="15" customHeight="1">
      <c r="B70" s="76" t="s">
        <v>22</v>
      </c>
      <c r="C70" s="54" t="s">
        <v>440</v>
      </c>
      <c r="D70" s="55">
        <v>1</v>
      </c>
      <c r="E70" s="56">
        <v>6.993006993006993E-4</v>
      </c>
    </row>
    <row r="71" spans="2:5" ht="15" customHeight="1">
      <c r="B71" s="77"/>
      <c r="C71" s="54" t="s">
        <v>300</v>
      </c>
      <c r="D71" s="55">
        <v>1</v>
      </c>
      <c r="E71" s="56">
        <v>6.993006993006993E-4</v>
      </c>
    </row>
    <row r="72" spans="2:5" ht="15" customHeight="1">
      <c r="B72" s="77"/>
      <c r="C72" s="54" t="s">
        <v>335</v>
      </c>
      <c r="D72" s="55">
        <v>1</v>
      </c>
      <c r="E72" s="56">
        <v>6.993006993006993E-4</v>
      </c>
    </row>
    <row r="73" spans="2:5" ht="15" customHeight="1">
      <c r="B73" s="77"/>
      <c r="C73" s="54" t="s">
        <v>441</v>
      </c>
      <c r="D73" s="55">
        <v>2</v>
      </c>
      <c r="E73" s="56">
        <v>1.3986013986013986E-3</v>
      </c>
    </row>
    <row r="74" spans="2:5" ht="15" customHeight="1">
      <c r="B74" s="78"/>
      <c r="C74" s="57" t="s">
        <v>15</v>
      </c>
      <c r="D74" s="58">
        <v>5</v>
      </c>
      <c r="E74" s="59">
        <v>3.4965034965034965E-3</v>
      </c>
    </row>
    <row r="75" spans="2:5" ht="15" customHeight="1">
      <c r="B75" s="76" t="s">
        <v>35</v>
      </c>
      <c r="C75" s="54" t="s">
        <v>336</v>
      </c>
      <c r="D75" s="55">
        <v>1</v>
      </c>
      <c r="E75" s="56">
        <v>6.993006993006993E-4</v>
      </c>
    </row>
    <row r="76" spans="2:5" ht="15" customHeight="1">
      <c r="B76" s="77"/>
      <c r="C76" s="54" t="s">
        <v>442</v>
      </c>
      <c r="D76" s="55">
        <v>1</v>
      </c>
      <c r="E76" s="56">
        <v>6.993006993006993E-4</v>
      </c>
    </row>
    <row r="77" spans="2:5" ht="15" customHeight="1">
      <c r="B77" s="77"/>
      <c r="C77" s="54" t="s">
        <v>443</v>
      </c>
      <c r="D77" s="55">
        <v>1</v>
      </c>
      <c r="E77" s="56">
        <v>6.993006993006993E-4</v>
      </c>
    </row>
    <row r="78" spans="2:5" ht="15" customHeight="1">
      <c r="B78" s="77"/>
      <c r="C78" s="54" t="s">
        <v>337</v>
      </c>
      <c r="D78" s="55">
        <v>3</v>
      </c>
      <c r="E78" s="56">
        <v>2.0979020979020979E-3</v>
      </c>
    </row>
    <row r="79" spans="2:5" ht="15" customHeight="1">
      <c r="B79" s="77"/>
      <c r="C79" s="54" t="s">
        <v>338</v>
      </c>
      <c r="D79" s="55">
        <v>1</v>
      </c>
      <c r="E79" s="56">
        <v>6.993006993006993E-4</v>
      </c>
    </row>
    <row r="80" spans="2:5" ht="15" customHeight="1">
      <c r="B80" s="77"/>
      <c r="C80" s="54" t="s">
        <v>222</v>
      </c>
      <c r="D80" s="55">
        <v>3</v>
      </c>
      <c r="E80" s="56">
        <v>2.0979020979020979E-3</v>
      </c>
    </row>
    <row r="81" spans="2:5" ht="15" customHeight="1">
      <c r="B81" s="77"/>
      <c r="C81" s="54" t="s">
        <v>444</v>
      </c>
      <c r="D81" s="55">
        <v>1</v>
      </c>
      <c r="E81" s="56">
        <v>6.993006993006993E-4</v>
      </c>
    </row>
    <row r="82" spans="2:5" ht="15" customHeight="1">
      <c r="B82" s="77"/>
      <c r="C82" s="54" t="s">
        <v>221</v>
      </c>
      <c r="D82" s="55">
        <v>5</v>
      </c>
      <c r="E82" s="56">
        <v>3.4965034965034965E-3</v>
      </c>
    </row>
    <row r="83" spans="2:5" ht="15" customHeight="1">
      <c r="B83" s="77"/>
      <c r="C83" s="54" t="s">
        <v>339</v>
      </c>
      <c r="D83" s="55">
        <v>1</v>
      </c>
      <c r="E83" s="56">
        <v>6.993006993006993E-4</v>
      </c>
    </row>
    <row r="84" spans="2:5" ht="15" customHeight="1">
      <c r="B84" s="77"/>
      <c r="C84" s="54" t="s">
        <v>340</v>
      </c>
      <c r="D84" s="55">
        <v>1</v>
      </c>
      <c r="E84" s="56">
        <v>6.993006993006993E-4</v>
      </c>
    </row>
    <row r="85" spans="2:5" ht="15" customHeight="1">
      <c r="B85" s="77"/>
      <c r="C85" s="54" t="s">
        <v>220</v>
      </c>
      <c r="D85" s="55">
        <v>1</v>
      </c>
      <c r="E85" s="56">
        <v>6.993006993006993E-4</v>
      </c>
    </row>
    <row r="86" spans="2:5" ht="15" customHeight="1">
      <c r="B86" s="77"/>
      <c r="C86" s="54" t="s">
        <v>341</v>
      </c>
      <c r="D86" s="55">
        <v>1</v>
      </c>
      <c r="E86" s="56">
        <v>6.993006993006993E-4</v>
      </c>
    </row>
    <row r="87" spans="2:5" ht="15" customHeight="1">
      <c r="B87" s="77"/>
      <c r="C87" s="54" t="s">
        <v>219</v>
      </c>
      <c r="D87" s="55">
        <v>2</v>
      </c>
      <c r="E87" s="56">
        <v>1.3986013986013986E-3</v>
      </c>
    </row>
    <row r="88" spans="2:5" ht="15" customHeight="1">
      <c r="B88" s="77"/>
      <c r="C88" s="54" t="s">
        <v>342</v>
      </c>
      <c r="D88" s="55">
        <v>1</v>
      </c>
      <c r="E88" s="56">
        <v>6.993006993006993E-4</v>
      </c>
    </row>
    <row r="89" spans="2:5" ht="15" customHeight="1">
      <c r="B89" s="77"/>
      <c r="C89" s="54" t="s">
        <v>218</v>
      </c>
      <c r="D89" s="55">
        <v>1</v>
      </c>
      <c r="E89" s="56">
        <v>6.993006993006993E-4</v>
      </c>
    </row>
    <row r="90" spans="2:5" ht="15" customHeight="1">
      <c r="B90" s="77"/>
      <c r="C90" s="54" t="s">
        <v>217</v>
      </c>
      <c r="D90" s="55">
        <v>4</v>
      </c>
      <c r="E90" s="56">
        <v>2.7972027972027972E-3</v>
      </c>
    </row>
    <row r="91" spans="2:5" ht="15" customHeight="1">
      <c r="B91" s="77"/>
      <c r="C91" s="54" t="s">
        <v>445</v>
      </c>
      <c r="D91" s="55">
        <v>1</v>
      </c>
      <c r="E91" s="56">
        <v>6.993006993006993E-4</v>
      </c>
    </row>
    <row r="92" spans="2:5" ht="15" customHeight="1">
      <c r="B92" s="77"/>
      <c r="C92" s="54" t="s">
        <v>216</v>
      </c>
      <c r="D92" s="55">
        <v>4</v>
      </c>
      <c r="E92" s="56">
        <v>2.7972027972027972E-3</v>
      </c>
    </row>
    <row r="93" spans="2:5" ht="15" customHeight="1">
      <c r="B93" s="77"/>
      <c r="C93" s="54" t="s">
        <v>343</v>
      </c>
      <c r="D93" s="55">
        <v>1</v>
      </c>
      <c r="E93" s="56">
        <v>6.993006993006993E-4</v>
      </c>
    </row>
    <row r="94" spans="2:5" ht="15" customHeight="1">
      <c r="B94" s="77"/>
      <c r="C94" s="54" t="s">
        <v>344</v>
      </c>
      <c r="D94" s="55">
        <v>1</v>
      </c>
      <c r="E94" s="56">
        <v>6.993006993006993E-4</v>
      </c>
    </row>
    <row r="95" spans="2:5" ht="15" customHeight="1">
      <c r="B95" s="77"/>
      <c r="C95" s="54" t="s">
        <v>345</v>
      </c>
      <c r="D95" s="55">
        <v>1</v>
      </c>
      <c r="E95" s="56">
        <v>6.993006993006993E-4</v>
      </c>
    </row>
    <row r="96" spans="2:5" ht="15" customHeight="1">
      <c r="B96" s="77"/>
      <c r="C96" s="54" t="s">
        <v>346</v>
      </c>
      <c r="D96" s="55">
        <v>1</v>
      </c>
      <c r="E96" s="56">
        <v>6.993006993006993E-4</v>
      </c>
    </row>
    <row r="97" spans="2:5" ht="15" customHeight="1">
      <c r="B97" s="77"/>
      <c r="C97" s="54" t="s">
        <v>215</v>
      </c>
      <c r="D97" s="55">
        <v>1</v>
      </c>
      <c r="E97" s="56">
        <v>6.993006993006993E-4</v>
      </c>
    </row>
    <row r="98" spans="2:5" ht="15" customHeight="1">
      <c r="B98" s="77"/>
      <c r="C98" s="54" t="s">
        <v>214</v>
      </c>
      <c r="D98" s="55">
        <v>2</v>
      </c>
      <c r="E98" s="56">
        <v>1.3986013986013986E-3</v>
      </c>
    </row>
    <row r="99" spans="2:5" ht="15" customHeight="1">
      <c r="B99" s="77"/>
      <c r="C99" s="54" t="s">
        <v>446</v>
      </c>
      <c r="D99" s="55">
        <v>1</v>
      </c>
      <c r="E99" s="56">
        <v>6.993006993006993E-4</v>
      </c>
    </row>
    <row r="100" spans="2:5" ht="15" customHeight="1">
      <c r="B100" s="77"/>
      <c r="C100" s="54" t="s">
        <v>347</v>
      </c>
      <c r="D100" s="55">
        <v>1</v>
      </c>
      <c r="E100" s="56">
        <v>6.993006993006993E-4</v>
      </c>
    </row>
    <row r="101" spans="2:5" ht="15" customHeight="1">
      <c r="B101" s="77"/>
      <c r="C101" s="54" t="s">
        <v>213</v>
      </c>
      <c r="D101" s="55">
        <v>3</v>
      </c>
      <c r="E101" s="56">
        <v>2.0979020979020979E-3</v>
      </c>
    </row>
    <row r="102" spans="2:5" ht="15" customHeight="1">
      <c r="B102" s="78"/>
      <c r="C102" s="57" t="s">
        <v>15</v>
      </c>
      <c r="D102" s="58">
        <v>45</v>
      </c>
      <c r="E102" s="59">
        <v>3.1468531468531472E-2</v>
      </c>
    </row>
    <row r="103" spans="2:5" ht="15" customHeight="1">
      <c r="B103" s="76" t="s">
        <v>30</v>
      </c>
      <c r="C103" s="54" t="s">
        <v>212</v>
      </c>
      <c r="D103" s="55">
        <v>1</v>
      </c>
      <c r="E103" s="56">
        <v>6.993006993006993E-4</v>
      </c>
    </row>
    <row r="104" spans="2:5" ht="15" customHeight="1">
      <c r="B104" s="77"/>
      <c r="C104" s="54" t="s">
        <v>447</v>
      </c>
      <c r="D104" s="55">
        <v>1</v>
      </c>
      <c r="E104" s="56">
        <v>6.993006993006993E-4</v>
      </c>
    </row>
    <row r="105" spans="2:5" ht="15" customHeight="1">
      <c r="B105" s="77"/>
      <c r="C105" s="54" t="s">
        <v>308</v>
      </c>
      <c r="D105" s="55">
        <v>2</v>
      </c>
      <c r="E105" s="56">
        <v>1.3986013986013986E-3</v>
      </c>
    </row>
    <row r="106" spans="2:5" ht="15" customHeight="1">
      <c r="B106" s="77"/>
      <c r="C106" s="54" t="s">
        <v>448</v>
      </c>
      <c r="D106" s="55">
        <v>1</v>
      </c>
      <c r="E106" s="56">
        <v>6.993006993006993E-4</v>
      </c>
    </row>
    <row r="107" spans="2:5" ht="15" customHeight="1">
      <c r="B107" s="77"/>
      <c r="C107" s="54" t="s">
        <v>211</v>
      </c>
      <c r="D107" s="55">
        <v>2</v>
      </c>
      <c r="E107" s="56">
        <v>1.3986013986013986E-3</v>
      </c>
    </row>
    <row r="108" spans="2:5" ht="15" customHeight="1">
      <c r="B108" s="77"/>
      <c r="C108" s="54" t="s">
        <v>210</v>
      </c>
      <c r="D108" s="55">
        <v>1</v>
      </c>
      <c r="E108" s="56">
        <v>6.993006993006993E-4</v>
      </c>
    </row>
    <row r="109" spans="2:5" ht="15" customHeight="1">
      <c r="B109" s="77"/>
      <c r="C109" s="54" t="s">
        <v>209</v>
      </c>
      <c r="D109" s="55">
        <v>1</v>
      </c>
      <c r="E109" s="56">
        <v>6.993006993006993E-4</v>
      </c>
    </row>
    <row r="110" spans="2:5" ht="15" customHeight="1">
      <c r="B110" s="77"/>
      <c r="C110" s="54" t="s">
        <v>449</v>
      </c>
      <c r="D110" s="55">
        <v>1</v>
      </c>
      <c r="E110" s="56">
        <v>6.993006993006993E-4</v>
      </c>
    </row>
    <row r="111" spans="2:5" ht="15" customHeight="1">
      <c r="B111" s="77"/>
      <c r="C111" s="54" t="s">
        <v>49</v>
      </c>
      <c r="D111" s="55">
        <v>2</v>
      </c>
      <c r="E111" s="56">
        <v>1.3986013986013986E-3</v>
      </c>
    </row>
    <row r="112" spans="2:5" ht="15" customHeight="1">
      <c r="B112" s="77"/>
      <c r="C112" s="54" t="s">
        <v>450</v>
      </c>
      <c r="D112" s="55">
        <v>1</v>
      </c>
      <c r="E112" s="56">
        <v>6.993006993006993E-4</v>
      </c>
    </row>
    <row r="113" spans="2:5" ht="15" customHeight="1">
      <c r="B113" s="77"/>
      <c r="C113" s="54" t="s">
        <v>208</v>
      </c>
      <c r="D113" s="55">
        <v>3</v>
      </c>
      <c r="E113" s="56">
        <v>2.0979020979020979E-3</v>
      </c>
    </row>
    <row r="114" spans="2:5" ht="15" customHeight="1">
      <c r="B114" s="78"/>
      <c r="C114" s="57" t="s">
        <v>15</v>
      </c>
      <c r="D114" s="58">
        <v>16</v>
      </c>
      <c r="E114" s="59">
        <v>1.1188811188811189E-2</v>
      </c>
    </row>
    <row r="115" spans="2:5" ht="15" customHeight="1">
      <c r="B115" s="76" t="s">
        <v>38</v>
      </c>
      <c r="C115" s="54" t="s">
        <v>207</v>
      </c>
      <c r="D115" s="55">
        <v>3</v>
      </c>
      <c r="E115" s="56">
        <v>2.0979020979020979E-3</v>
      </c>
    </row>
    <row r="116" spans="2:5" ht="15" customHeight="1">
      <c r="B116" s="77"/>
      <c r="C116" s="54" t="s">
        <v>206</v>
      </c>
      <c r="D116" s="55">
        <v>7</v>
      </c>
      <c r="E116" s="56">
        <v>4.8951048951048955E-3</v>
      </c>
    </row>
    <row r="117" spans="2:5" ht="15" customHeight="1">
      <c r="B117" s="77"/>
      <c r="C117" s="54" t="s">
        <v>348</v>
      </c>
      <c r="D117" s="55">
        <v>10</v>
      </c>
      <c r="E117" s="56">
        <v>6.993006993006993E-3</v>
      </c>
    </row>
    <row r="118" spans="2:5" ht="15" customHeight="1">
      <c r="B118" s="77"/>
      <c r="C118" s="54" t="s">
        <v>205</v>
      </c>
      <c r="D118" s="55">
        <v>1</v>
      </c>
      <c r="E118" s="56">
        <v>6.993006993006993E-4</v>
      </c>
    </row>
    <row r="119" spans="2:5" ht="15" customHeight="1">
      <c r="B119" s="77"/>
      <c r="C119" s="54" t="s">
        <v>349</v>
      </c>
      <c r="D119" s="55">
        <v>1</v>
      </c>
      <c r="E119" s="56">
        <v>6.993006993006993E-4</v>
      </c>
    </row>
    <row r="120" spans="2:5" ht="15" customHeight="1">
      <c r="B120" s="77"/>
      <c r="C120" s="54" t="s">
        <v>350</v>
      </c>
      <c r="D120" s="55">
        <v>4</v>
      </c>
      <c r="E120" s="56">
        <v>2.7972027972027972E-3</v>
      </c>
    </row>
    <row r="121" spans="2:5" ht="15" customHeight="1">
      <c r="B121" s="77"/>
      <c r="C121" s="54" t="s">
        <v>204</v>
      </c>
      <c r="D121" s="55">
        <v>3</v>
      </c>
      <c r="E121" s="56">
        <v>2.0979020979020979E-3</v>
      </c>
    </row>
    <row r="122" spans="2:5" ht="15" customHeight="1">
      <c r="B122" s="77"/>
      <c r="C122" s="54" t="s">
        <v>351</v>
      </c>
      <c r="D122" s="55">
        <v>1</v>
      </c>
      <c r="E122" s="56">
        <v>6.993006993006993E-4</v>
      </c>
    </row>
    <row r="123" spans="2:5" ht="15" customHeight="1">
      <c r="B123" s="77"/>
      <c r="C123" s="54" t="s">
        <v>352</v>
      </c>
      <c r="D123" s="55">
        <v>1</v>
      </c>
      <c r="E123" s="56">
        <v>6.993006993006993E-4</v>
      </c>
    </row>
    <row r="124" spans="2:5" ht="15" customHeight="1">
      <c r="B124" s="77"/>
      <c r="C124" s="54" t="s">
        <v>309</v>
      </c>
      <c r="D124" s="55">
        <v>1</v>
      </c>
      <c r="E124" s="56">
        <v>6.993006993006993E-4</v>
      </c>
    </row>
    <row r="125" spans="2:5" ht="15" customHeight="1">
      <c r="B125" s="77"/>
      <c r="C125" s="54" t="s">
        <v>451</v>
      </c>
      <c r="D125" s="55">
        <v>3</v>
      </c>
      <c r="E125" s="56">
        <v>2.0979020979020979E-3</v>
      </c>
    </row>
    <row r="126" spans="2:5" ht="15" customHeight="1">
      <c r="B126" s="77"/>
      <c r="C126" s="54" t="s">
        <v>203</v>
      </c>
      <c r="D126" s="55">
        <v>1</v>
      </c>
      <c r="E126" s="56">
        <v>6.993006993006993E-4</v>
      </c>
    </row>
    <row r="127" spans="2:5" ht="15" customHeight="1">
      <c r="B127" s="77"/>
      <c r="C127" s="54" t="s">
        <v>452</v>
      </c>
      <c r="D127" s="55">
        <v>1</v>
      </c>
      <c r="E127" s="56">
        <v>6.993006993006993E-4</v>
      </c>
    </row>
    <row r="128" spans="2:5" ht="15" customHeight="1">
      <c r="B128" s="77"/>
      <c r="C128" s="54" t="s">
        <v>353</v>
      </c>
      <c r="D128" s="55">
        <v>3</v>
      </c>
      <c r="E128" s="56">
        <v>2.0979020979020979E-3</v>
      </c>
    </row>
    <row r="129" spans="2:5" ht="15" customHeight="1">
      <c r="B129" s="77"/>
      <c r="C129" s="54" t="s">
        <v>202</v>
      </c>
      <c r="D129" s="55">
        <v>2</v>
      </c>
      <c r="E129" s="56">
        <v>1.3986013986013986E-3</v>
      </c>
    </row>
    <row r="130" spans="2:5" ht="15" customHeight="1">
      <c r="B130" s="77"/>
      <c r="C130" s="54" t="s">
        <v>354</v>
      </c>
      <c r="D130" s="55">
        <v>1</v>
      </c>
      <c r="E130" s="56">
        <v>6.993006993006993E-4</v>
      </c>
    </row>
    <row r="131" spans="2:5" ht="15" customHeight="1">
      <c r="B131" s="77"/>
      <c r="C131" s="54" t="s">
        <v>453</v>
      </c>
      <c r="D131" s="55">
        <v>1</v>
      </c>
      <c r="E131" s="56">
        <v>6.993006993006993E-4</v>
      </c>
    </row>
    <row r="132" spans="2:5" ht="15" customHeight="1">
      <c r="B132" s="77"/>
      <c r="C132" s="54" t="s">
        <v>454</v>
      </c>
      <c r="D132" s="55">
        <v>2</v>
      </c>
      <c r="E132" s="56">
        <v>1.3986013986013986E-3</v>
      </c>
    </row>
    <row r="133" spans="2:5" ht="15" customHeight="1">
      <c r="B133" s="77"/>
      <c r="C133" s="54" t="s">
        <v>201</v>
      </c>
      <c r="D133" s="55">
        <v>12</v>
      </c>
      <c r="E133" s="56">
        <v>8.3916083916083916E-3</v>
      </c>
    </row>
    <row r="134" spans="2:5" ht="15" customHeight="1">
      <c r="B134" s="77"/>
      <c r="C134" s="54" t="s">
        <v>200</v>
      </c>
      <c r="D134" s="55">
        <v>3</v>
      </c>
      <c r="E134" s="56">
        <v>2.0979020979020979E-3</v>
      </c>
    </row>
    <row r="135" spans="2:5" ht="15" customHeight="1">
      <c r="B135" s="77"/>
      <c r="C135" s="54" t="s">
        <v>199</v>
      </c>
      <c r="D135" s="55">
        <v>1</v>
      </c>
      <c r="E135" s="56">
        <v>6.993006993006993E-4</v>
      </c>
    </row>
    <row r="136" spans="2:5" ht="15" customHeight="1">
      <c r="B136" s="77"/>
      <c r="C136" s="54" t="s">
        <v>455</v>
      </c>
      <c r="D136" s="55">
        <v>1</v>
      </c>
      <c r="E136" s="56">
        <v>6.993006993006993E-4</v>
      </c>
    </row>
    <row r="137" spans="2:5" ht="15" customHeight="1">
      <c r="B137" s="77"/>
      <c r="C137" s="54" t="s">
        <v>355</v>
      </c>
      <c r="D137" s="55">
        <v>1</v>
      </c>
      <c r="E137" s="56">
        <v>6.993006993006993E-4</v>
      </c>
    </row>
    <row r="138" spans="2:5" ht="15" customHeight="1">
      <c r="B138" s="77"/>
      <c r="C138" s="54" t="s">
        <v>198</v>
      </c>
      <c r="D138" s="55">
        <v>2</v>
      </c>
      <c r="E138" s="56">
        <v>1.3986013986013986E-3</v>
      </c>
    </row>
    <row r="139" spans="2:5" ht="15" customHeight="1">
      <c r="B139" s="77"/>
      <c r="C139" s="54" t="s">
        <v>356</v>
      </c>
      <c r="D139" s="55">
        <v>5</v>
      </c>
      <c r="E139" s="56">
        <v>3.4965034965034965E-3</v>
      </c>
    </row>
    <row r="140" spans="2:5" ht="15" customHeight="1">
      <c r="B140" s="77"/>
      <c r="C140" s="54" t="s">
        <v>197</v>
      </c>
      <c r="D140" s="55">
        <v>2</v>
      </c>
      <c r="E140" s="56">
        <v>1.3986013986013986E-3</v>
      </c>
    </row>
    <row r="141" spans="2:5" ht="15" customHeight="1">
      <c r="B141" s="77"/>
      <c r="C141" s="54" t="s">
        <v>357</v>
      </c>
      <c r="D141" s="55">
        <v>1</v>
      </c>
      <c r="E141" s="56">
        <v>6.993006993006993E-4</v>
      </c>
    </row>
    <row r="142" spans="2:5" ht="15" customHeight="1">
      <c r="B142" s="77"/>
      <c r="C142" s="54" t="s">
        <v>456</v>
      </c>
      <c r="D142" s="55">
        <v>5</v>
      </c>
      <c r="E142" s="56">
        <v>3.4965034965034965E-3</v>
      </c>
    </row>
    <row r="143" spans="2:5" ht="15" customHeight="1">
      <c r="B143" s="77"/>
      <c r="C143" s="54" t="s">
        <v>457</v>
      </c>
      <c r="D143" s="55">
        <v>1</v>
      </c>
      <c r="E143" s="56">
        <v>6.993006993006993E-4</v>
      </c>
    </row>
    <row r="144" spans="2:5" ht="15" customHeight="1">
      <c r="B144" s="77"/>
      <c r="C144" s="54" t="s">
        <v>196</v>
      </c>
      <c r="D144" s="55">
        <v>8</v>
      </c>
      <c r="E144" s="56">
        <v>5.5944055944055944E-3</v>
      </c>
    </row>
    <row r="145" spans="2:5" ht="15" customHeight="1">
      <c r="B145" s="77"/>
      <c r="C145" s="54" t="s">
        <v>358</v>
      </c>
      <c r="D145" s="55">
        <v>1</v>
      </c>
      <c r="E145" s="56">
        <v>6.993006993006993E-4</v>
      </c>
    </row>
    <row r="146" spans="2:5" ht="15" customHeight="1">
      <c r="B146" s="77"/>
      <c r="C146" s="54" t="s">
        <v>195</v>
      </c>
      <c r="D146" s="55">
        <v>7</v>
      </c>
      <c r="E146" s="56">
        <v>4.8951048951048955E-3</v>
      </c>
    </row>
    <row r="147" spans="2:5" ht="15" customHeight="1">
      <c r="B147" s="77"/>
      <c r="C147" s="54" t="s">
        <v>194</v>
      </c>
      <c r="D147" s="55">
        <v>4</v>
      </c>
      <c r="E147" s="56">
        <v>2.7972027972027972E-3</v>
      </c>
    </row>
    <row r="148" spans="2:5" ht="15" customHeight="1">
      <c r="B148" s="77"/>
      <c r="C148" s="54" t="s">
        <v>458</v>
      </c>
      <c r="D148" s="55">
        <v>1</v>
      </c>
      <c r="E148" s="56">
        <v>6.993006993006993E-4</v>
      </c>
    </row>
    <row r="149" spans="2:5" ht="15" customHeight="1">
      <c r="B149" s="78"/>
      <c r="C149" s="57" t="s">
        <v>15</v>
      </c>
      <c r="D149" s="58">
        <v>101</v>
      </c>
      <c r="E149" s="59">
        <v>7.0629370629370636E-2</v>
      </c>
    </row>
    <row r="150" spans="2:5" ht="15" customHeight="1">
      <c r="B150" s="76" t="s">
        <v>32</v>
      </c>
      <c r="C150" s="54" t="s">
        <v>193</v>
      </c>
      <c r="D150" s="55">
        <v>2</v>
      </c>
      <c r="E150" s="56">
        <v>1.3986013986013986E-3</v>
      </c>
    </row>
    <row r="151" spans="2:5" ht="15" customHeight="1">
      <c r="B151" s="77"/>
      <c r="C151" s="54" t="s">
        <v>459</v>
      </c>
      <c r="D151" s="55">
        <v>1</v>
      </c>
      <c r="E151" s="56">
        <v>6.993006993006993E-4</v>
      </c>
    </row>
    <row r="152" spans="2:5" ht="15" customHeight="1">
      <c r="B152" s="77"/>
      <c r="C152" s="54" t="s">
        <v>460</v>
      </c>
      <c r="D152" s="55">
        <v>2</v>
      </c>
      <c r="E152" s="56">
        <v>1.3986013986013986E-3</v>
      </c>
    </row>
    <row r="153" spans="2:5" ht="15" customHeight="1">
      <c r="B153" s="77"/>
      <c r="C153" s="54" t="s">
        <v>461</v>
      </c>
      <c r="D153" s="55">
        <v>1</v>
      </c>
      <c r="E153" s="56">
        <v>6.993006993006993E-4</v>
      </c>
    </row>
    <row r="154" spans="2:5" ht="15" customHeight="1">
      <c r="B154" s="77"/>
      <c r="C154" s="54" t="s">
        <v>192</v>
      </c>
      <c r="D154" s="55">
        <v>2</v>
      </c>
      <c r="E154" s="56">
        <v>1.3986013986013986E-3</v>
      </c>
    </row>
    <row r="155" spans="2:5" ht="15" customHeight="1">
      <c r="B155" s="77"/>
      <c r="C155" s="54" t="s">
        <v>191</v>
      </c>
      <c r="D155" s="55">
        <v>3</v>
      </c>
      <c r="E155" s="56">
        <v>2.0979020979020979E-3</v>
      </c>
    </row>
    <row r="156" spans="2:5" ht="15" customHeight="1">
      <c r="B156" s="77"/>
      <c r="C156" s="54" t="s">
        <v>190</v>
      </c>
      <c r="D156" s="55">
        <v>3</v>
      </c>
      <c r="E156" s="56">
        <v>2.0979020979020979E-3</v>
      </c>
    </row>
    <row r="157" spans="2:5" ht="15" customHeight="1">
      <c r="B157" s="77"/>
      <c r="C157" s="54" t="s">
        <v>359</v>
      </c>
      <c r="D157" s="55">
        <v>1</v>
      </c>
      <c r="E157" s="56">
        <v>6.993006993006993E-4</v>
      </c>
    </row>
    <row r="158" spans="2:5" ht="15" customHeight="1">
      <c r="B158" s="77"/>
      <c r="C158" s="54" t="s">
        <v>360</v>
      </c>
      <c r="D158" s="55">
        <v>1</v>
      </c>
      <c r="E158" s="56">
        <v>6.993006993006993E-4</v>
      </c>
    </row>
    <row r="159" spans="2:5" ht="15" customHeight="1">
      <c r="B159" s="77"/>
      <c r="C159" s="54" t="s">
        <v>462</v>
      </c>
      <c r="D159" s="55">
        <v>1</v>
      </c>
      <c r="E159" s="56">
        <v>6.993006993006993E-4</v>
      </c>
    </row>
    <row r="160" spans="2:5" ht="15" customHeight="1">
      <c r="B160" s="77"/>
      <c r="C160" s="54" t="s">
        <v>463</v>
      </c>
      <c r="D160" s="55">
        <v>1</v>
      </c>
      <c r="E160" s="56">
        <v>6.993006993006993E-4</v>
      </c>
    </row>
    <row r="161" spans="2:5" ht="15" customHeight="1">
      <c r="B161" s="77"/>
      <c r="C161" s="54" t="s">
        <v>361</v>
      </c>
      <c r="D161" s="55">
        <v>2</v>
      </c>
      <c r="E161" s="56">
        <v>1.3986013986013986E-3</v>
      </c>
    </row>
    <row r="162" spans="2:5" ht="15" customHeight="1">
      <c r="B162" s="77"/>
      <c r="C162" s="54" t="s">
        <v>464</v>
      </c>
      <c r="D162" s="55">
        <v>1</v>
      </c>
      <c r="E162" s="56">
        <v>6.993006993006993E-4</v>
      </c>
    </row>
    <row r="163" spans="2:5" ht="15" customHeight="1">
      <c r="B163" s="77"/>
      <c r="C163" s="54" t="s">
        <v>465</v>
      </c>
      <c r="D163" s="55">
        <v>1</v>
      </c>
      <c r="E163" s="56">
        <v>6.993006993006993E-4</v>
      </c>
    </row>
    <row r="164" spans="2:5" ht="15" customHeight="1">
      <c r="B164" s="78"/>
      <c r="C164" s="57" t="s">
        <v>15</v>
      </c>
      <c r="D164" s="58">
        <v>22</v>
      </c>
      <c r="E164" s="59">
        <v>1.5384615384615385E-2</v>
      </c>
    </row>
    <row r="165" spans="2:5" ht="15" customHeight="1">
      <c r="B165" s="76" t="s">
        <v>31</v>
      </c>
      <c r="C165" s="54" t="s">
        <v>362</v>
      </c>
      <c r="D165" s="55">
        <v>1</v>
      </c>
      <c r="E165" s="56">
        <v>6.993006993006993E-4</v>
      </c>
    </row>
    <row r="166" spans="2:5" ht="15" customHeight="1">
      <c r="B166" s="77"/>
      <c r="C166" s="54" t="s">
        <v>363</v>
      </c>
      <c r="D166" s="55">
        <v>1</v>
      </c>
      <c r="E166" s="56">
        <v>6.993006993006993E-4</v>
      </c>
    </row>
    <row r="167" spans="2:5" ht="15" customHeight="1">
      <c r="B167" s="77"/>
      <c r="C167" s="54" t="s">
        <v>189</v>
      </c>
      <c r="D167" s="55">
        <v>5</v>
      </c>
      <c r="E167" s="56">
        <v>3.4965034965034965E-3</v>
      </c>
    </row>
    <row r="168" spans="2:5" ht="15" customHeight="1">
      <c r="B168" s="77"/>
      <c r="C168" s="54" t="s">
        <v>310</v>
      </c>
      <c r="D168" s="55">
        <v>2</v>
      </c>
      <c r="E168" s="56">
        <v>1.3986013986013986E-3</v>
      </c>
    </row>
    <row r="169" spans="2:5" ht="15" customHeight="1">
      <c r="B169" s="77"/>
      <c r="C169" s="54" t="s">
        <v>311</v>
      </c>
      <c r="D169" s="55">
        <v>1</v>
      </c>
      <c r="E169" s="56">
        <v>6.993006993006993E-4</v>
      </c>
    </row>
    <row r="170" spans="2:5" ht="15" customHeight="1">
      <c r="B170" s="77"/>
      <c r="C170" s="54" t="s">
        <v>188</v>
      </c>
      <c r="D170" s="55">
        <v>2</v>
      </c>
      <c r="E170" s="56">
        <v>1.3986013986013986E-3</v>
      </c>
    </row>
    <row r="171" spans="2:5" ht="15" customHeight="1">
      <c r="B171" s="77"/>
      <c r="C171" s="54" t="s">
        <v>187</v>
      </c>
      <c r="D171" s="55">
        <v>1</v>
      </c>
      <c r="E171" s="56">
        <v>6.993006993006993E-4</v>
      </c>
    </row>
    <row r="172" spans="2:5" ht="15" customHeight="1">
      <c r="B172" s="77"/>
      <c r="C172" s="54" t="s">
        <v>364</v>
      </c>
      <c r="D172" s="55">
        <v>1</v>
      </c>
      <c r="E172" s="56">
        <v>6.993006993006993E-4</v>
      </c>
    </row>
    <row r="173" spans="2:5" ht="15" customHeight="1">
      <c r="B173" s="77"/>
      <c r="C173" s="54" t="s">
        <v>466</v>
      </c>
      <c r="D173" s="55">
        <v>1</v>
      </c>
      <c r="E173" s="56">
        <v>6.993006993006993E-4</v>
      </c>
    </row>
    <row r="174" spans="2:5" ht="15" customHeight="1">
      <c r="B174" s="77"/>
      <c r="C174" s="54" t="s">
        <v>186</v>
      </c>
      <c r="D174" s="55">
        <v>1</v>
      </c>
      <c r="E174" s="56">
        <v>6.993006993006993E-4</v>
      </c>
    </row>
    <row r="175" spans="2:5" ht="15" customHeight="1">
      <c r="B175" s="77"/>
      <c r="C175" s="54" t="s">
        <v>467</v>
      </c>
      <c r="D175" s="55">
        <v>1</v>
      </c>
      <c r="E175" s="56">
        <v>6.993006993006993E-4</v>
      </c>
    </row>
    <row r="176" spans="2:5" ht="15" customHeight="1">
      <c r="B176" s="78"/>
      <c r="C176" s="57" t="s">
        <v>15</v>
      </c>
      <c r="D176" s="58">
        <v>17</v>
      </c>
      <c r="E176" s="59">
        <v>1.1888111888111888E-2</v>
      </c>
    </row>
    <row r="177" spans="2:5" ht="15" customHeight="1">
      <c r="B177" s="76" t="s">
        <v>37</v>
      </c>
      <c r="C177" s="54" t="s">
        <v>468</v>
      </c>
      <c r="D177" s="55">
        <v>1</v>
      </c>
      <c r="E177" s="56">
        <v>6.993006993006993E-4</v>
      </c>
    </row>
    <row r="178" spans="2:5" ht="15" customHeight="1">
      <c r="B178" s="77"/>
      <c r="C178" s="54" t="s">
        <v>469</v>
      </c>
      <c r="D178" s="55">
        <v>2</v>
      </c>
      <c r="E178" s="56">
        <v>1.3986013986013986E-3</v>
      </c>
    </row>
    <row r="179" spans="2:5" ht="15" customHeight="1">
      <c r="B179" s="77"/>
      <c r="C179" s="54" t="s">
        <v>185</v>
      </c>
      <c r="D179" s="55">
        <v>5</v>
      </c>
      <c r="E179" s="56">
        <v>3.4965034965034965E-3</v>
      </c>
    </row>
    <row r="180" spans="2:5" ht="15" customHeight="1">
      <c r="B180" s="77"/>
      <c r="C180" s="54" t="s">
        <v>312</v>
      </c>
      <c r="D180" s="55">
        <v>2</v>
      </c>
      <c r="E180" s="56">
        <v>1.3986013986013986E-3</v>
      </c>
    </row>
    <row r="181" spans="2:5" ht="15" customHeight="1">
      <c r="B181" s="77"/>
      <c r="C181" s="54" t="s">
        <v>184</v>
      </c>
      <c r="D181" s="55">
        <v>14</v>
      </c>
      <c r="E181" s="56">
        <v>9.7902097902097911E-3</v>
      </c>
    </row>
    <row r="182" spans="2:5" ht="15" customHeight="1">
      <c r="B182" s="77"/>
      <c r="C182" s="54" t="s">
        <v>183</v>
      </c>
      <c r="D182" s="55">
        <v>1</v>
      </c>
      <c r="E182" s="56">
        <v>6.993006993006993E-4</v>
      </c>
    </row>
    <row r="183" spans="2:5" ht="15" customHeight="1">
      <c r="B183" s="77"/>
      <c r="C183" s="54" t="s">
        <v>76</v>
      </c>
      <c r="D183" s="55">
        <v>1</v>
      </c>
      <c r="E183" s="56">
        <v>6.993006993006993E-4</v>
      </c>
    </row>
    <row r="184" spans="2:5" ht="15" customHeight="1">
      <c r="B184" s="77"/>
      <c r="C184" s="54" t="s">
        <v>182</v>
      </c>
      <c r="D184" s="55">
        <v>3</v>
      </c>
      <c r="E184" s="56">
        <v>2.0979020979020979E-3</v>
      </c>
    </row>
    <row r="185" spans="2:5" ht="15" customHeight="1">
      <c r="B185" s="77"/>
      <c r="C185" s="54" t="s">
        <v>470</v>
      </c>
      <c r="D185" s="55">
        <v>1</v>
      </c>
      <c r="E185" s="56">
        <v>6.993006993006993E-4</v>
      </c>
    </row>
    <row r="186" spans="2:5" ht="15" customHeight="1">
      <c r="B186" s="77"/>
      <c r="C186" s="54" t="s">
        <v>181</v>
      </c>
      <c r="D186" s="55">
        <v>1</v>
      </c>
      <c r="E186" s="56">
        <v>6.993006993006993E-4</v>
      </c>
    </row>
    <row r="187" spans="2:5" ht="15" customHeight="1">
      <c r="B187" s="77"/>
      <c r="C187" s="54" t="s">
        <v>180</v>
      </c>
      <c r="D187" s="55">
        <v>2</v>
      </c>
      <c r="E187" s="56">
        <v>1.3986013986013986E-3</v>
      </c>
    </row>
    <row r="188" spans="2:5" ht="15" customHeight="1">
      <c r="B188" s="77"/>
      <c r="C188" s="54" t="s">
        <v>365</v>
      </c>
      <c r="D188" s="55">
        <v>1</v>
      </c>
      <c r="E188" s="56">
        <v>6.993006993006993E-4</v>
      </c>
    </row>
    <row r="189" spans="2:5" ht="15" customHeight="1">
      <c r="B189" s="77"/>
      <c r="C189" s="54" t="s">
        <v>179</v>
      </c>
      <c r="D189" s="55">
        <v>3</v>
      </c>
      <c r="E189" s="56">
        <v>2.0979020979020979E-3</v>
      </c>
    </row>
    <row r="190" spans="2:5" ht="15" customHeight="1">
      <c r="B190" s="77"/>
      <c r="C190" s="54" t="s">
        <v>178</v>
      </c>
      <c r="D190" s="55">
        <v>1</v>
      </c>
      <c r="E190" s="56">
        <v>6.993006993006993E-4</v>
      </c>
    </row>
    <row r="191" spans="2:5" ht="15" customHeight="1">
      <c r="B191" s="77"/>
      <c r="C191" s="54" t="s">
        <v>177</v>
      </c>
      <c r="D191" s="55">
        <v>2</v>
      </c>
      <c r="E191" s="56">
        <v>1.3986013986013986E-3</v>
      </c>
    </row>
    <row r="192" spans="2:5" ht="15" customHeight="1">
      <c r="B192" s="77"/>
      <c r="C192" s="54" t="s">
        <v>471</v>
      </c>
      <c r="D192" s="55">
        <v>1</v>
      </c>
      <c r="E192" s="56">
        <v>6.993006993006993E-4</v>
      </c>
    </row>
    <row r="193" spans="2:5" ht="15" customHeight="1">
      <c r="B193" s="77"/>
      <c r="C193" s="54" t="s">
        <v>91</v>
      </c>
      <c r="D193" s="55">
        <v>2</v>
      </c>
      <c r="E193" s="56">
        <v>1.3986013986013986E-3</v>
      </c>
    </row>
    <row r="194" spans="2:5" ht="15" customHeight="1">
      <c r="B194" s="77"/>
      <c r="C194" s="54" t="s">
        <v>472</v>
      </c>
      <c r="D194" s="55">
        <v>1</v>
      </c>
      <c r="E194" s="56">
        <v>6.993006993006993E-4</v>
      </c>
    </row>
    <row r="195" spans="2:5" ht="15" customHeight="1">
      <c r="B195" s="77"/>
      <c r="C195" s="54" t="s">
        <v>473</v>
      </c>
      <c r="D195" s="55">
        <v>1</v>
      </c>
      <c r="E195" s="56">
        <v>6.993006993006993E-4</v>
      </c>
    </row>
    <row r="196" spans="2:5" ht="15" customHeight="1">
      <c r="B196" s="77"/>
      <c r="C196" s="54" t="s">
        <v>176</v>
      </c>
      <c r="D196" s="55">
        <v>1</v>
      </c>
      <c r="E196" s="56">
        <v>6.993006993006993E-4</v>
      </c>
    </row>
    <row r="197" spans="2:5" ht="15" customHeight="1">
      <c r="B197" s="77"/>
      <c r="C197" s="54" t="s">
        <v>366</v>
      </c>
      <c r="D197" s="55">
        <v>1</v>
      </c>
      <c r="E197" s="56">
        <v>6.993006993006993E-4</v>
      </c>
    </row>
    <row r="198" spans="2:5" ht="15" customHeight="1">
      <c r="B198" s="77"/>
      <c r="C198" s="54" t="s">
        <v>474</v>
      </c>
      <c r="D198" s="55">
        <v>1</v>
      </c>
      <c r="E198" s="56">
        <v>6.993006993006993E-4</v>
      </c>
    </row>
    <row r="199" spans="2:5" ht="15" customHeight="1">
      <c r="B199" s="78"/>
      <c r="C199" s="57" t="s">
        <v>15</v>
      </c>
      <c r="D199" s="58">
        <v>48</v>
      </c>
      <c r="E199" s="59">
        <v>3.3566433566433566E-2</v>
      </c>
    </row>
    <row r="200" spans="2:5" ht="15" customHeight="1">
      <c r="B200" s="76" t="s">
        <v>33</v>
      </c>
      <c r="C200" s="54" t="s">
        <v>313</v>
      </c>
      <c r="D200" s="55">
        <v>1</v>
      </c>
      <c r="E200" s="56">
        <v>6.993006993006993E-4</v>
      </c>
    </row>
    <row r="201" spans="2:5" ht="15" customHeight="1">
      <c r="B201" s="77"/>
      <c r="C201" s="54" t="s">
        <v>175</v>
      </c>
      <c r="D201" s="55">
        <v>3</v>
      </c>
      <c r="E201" s="56">
        <v>2.0979020979020979E-3</v>
      </c>
    </row>
    <row r="202" spans="2:5" ht="15" customHeight="1">
      <c r="B202" s="77"/>
      <c r="C202" s="54" t="s">
        <v>174</v>
      </c>
      <c r="D202" s="55">
        <v>20</v>
      </c>
      <c r="E202" s="56">
        <v>1.3986013986013986E-2</v>
      </c>
    </row>
    <row r="203" spans="2:5" ht="15" customHeight="1">
      <c r="B203" s="77"/>
      <c r="C203" s="54" t="s">
        <v>173</v>
      </c>
      <c r="D203" s="55">
        <v>9</v>
      </c>
      <c r="E203" s="56">
        <v>6.2937062937062941E-3</v>
      </c>
    </row>
    <row r="204" spans="2:5" ht="15" customHeight="1">
      <c r="B204" s="77"/>
      <c r="C204" s="54" t="s">
        <v>475</v>
      </c>
      <c r="D204" s="55">
        <v>1</v>
      </c>
      <c r="E204" s="56">
        <v>6.993006993006993E-4</v>
      </c>
    </row>
    <row r="205" spans="2:5" ht="15" customHeight="1">
      <c r="B205" s="77"/>
      <c r="C205" s="54" t="s">
        <v>476</v>
      </c>
      <c r="D205" s="55">
        <v>2</v>
      </c>
      <c r="E205" s="56">
        <v>1.3986013986013986E-3</v>
      </c>
    </row>
    <row r="206" spans="2:5" ht="15" customHeight="1">
      <c r="B206" s="77"/>
      <c r="C206" s="54" t="s">
        <v>477</v>
      </c>
      <c r="D206" s="55">
        <v>3</v>
      </c>
      <c r="E206" s="56">
        <v>2.0979020979020979E-3</v>
      </c>
    </row>
    <row r="207" spans="2:5" ht="15" customHeight="1">
      <c r="B207" s="77"/>
      <c r="C207" s="54" t="s">
        <v>478</v>
      </c>
      <c r="D207" s="55">
        <v>1</v>
      </c>
      <c r="E207" s="56">
        <v>6.993006993006993E-4</v>
      </c>
    </row>
    <row r="208" spans="2:5" ht="15" customHeight="1">
      <c r="B208" s="77"/>
      <c r="C208" s="54" t="s">
        <v>172</v>
      </c>
      <c r="D208" s="55">
        <v>3</v>
      </c>
      <c r="E208" s="56">
        <v>2.0979020979020979E-3</v>
      </c>
    </row>
    <row r="209" spans="2:5" ht="15" customHeight="1">
      <c r="B209" s="77"/>
      <c r="C209" s="54" t="s">
        <v>171</v>
      </c>
      <c r="D209" s="55">
        <v>5</v>
      </c>
      <c r="E209" s="56">
        <v>3.4965034965034965E-3</v>
      </c>
    </row>
    <row r="210" spans="2:5" ht="15" customHeight="1">
      <c r="B210" s="77"/>
      <c r="C210" s="54" t="s">
        <v>170</v>
      </c>
      <c r="D210" s="55">
        <v>3</v>
      </c>
      <c r="E210" s="56">
        <v>2.0979020979020979E-3</v>
      </c>
    </row>
    <row r="211" spans="2:5" ht="15" customHeight="1">
      <c r="B211" s="77"/>
      <c r="C211" s="54" t="s">
        <v>169</v>
      </c>
      <c r="D211" s="55">
        <v>2</v>
      </c>
      <c r="E211" s="56">
        <v>1.3986013986013986E-3</v>
      </c>
    </row>
    <row r="212" spans="2:5" ht="15" customHeight="1">
      <c r="B212" s="77"/>
      <c r="C212" s="54" t="s">
        <v>168</v>
      </c>
      <c r="D212" s="55">
        <v>2</v>
      </c>
      <c r="E212" s="56">
        <v>1.3986013986013986E-3</v>
      </c>
    </row>
    <row r="213" spans="2:5" ht="15" customHeight="1">
      <c r="B213" s="78"/>
      <c r="C213" s="57" t="s">
        <v>15</v>
      </c>
      <c r="D213" s="58">
        <v>55</v>
      </c>
      <c r="E213" s="59">
        <v>3.8461538461538464E-2</v>
      </c>
    </row>
    <row r="214" spans="2:5" ht="15" customHeight="1">
      <c r="B214" s="76" t="s">
        <v>301</v>
      </c>
      <c r="C214" s="54" t="s">
        <v>479</v>
      </c>
      <c r="D214" s="55">
        <v>1</v>
      </c>
      <c r="E214" s="56">
        <v>6.993006993006993E-4</v>
      </c>
    </row>
    <row r="215" spans="2:5" ht="15" customHeight="1">
      <c r="B215" s="78"/>
      <c r="C215" s="57" t="s">
        <v>15</v>
      </c>
      <c r="D215" s="58">
        <v>1</v>
      </c>
      <c r="E215" s="59">
        <v>6.993006993006993E-4</v>
      </c>
    </row>
    <row r="216" spans="2:5" ht="15" customHeight="1">
      <c r="B216" s="76" t="s">
        <v>18</v>
      </c>
      <c r="C216" s="54" t="s">
        <v>367</v>
      </c>
      <c r="D216" s="55">
        <v>1</v>
      </c>
      <c r="E216" s="56">
        <v>6.993006993006993E-4</v>
      </c>
    </row>
    <row r="217" spans="2:5" ht="15" customHeight="1">
      <c r="B217" s="77"/>
      <c r="C217" s="54" t="s">
        <v>368</v>
      </c>
      <c r="D217" s="55">
        <v>2</v>
      </c>
      <c r="E217" s="56">
        <v>1.3986013986013986E-3</v>
      </c>
    </row>
    <row r="218" spans="2:5" ht="15" customHeight="1">
      <c r="B218" s="77"/>
      <c r="C218" s="54" t="s">
        <v>167</v>
      </c>
      <c r="D218" s="55">
        <v>3</v>
      </c>
      <c r="E218" s="56">
        <v>2.0979020979020979E-3</v>
      </c>
    </row>
    <row r="219" spans="2:5" ht="15" customHeight="1">
      <c r="B219" s="78"/>
      <c r="C219" s="57" t="s">
        <v>15</v>
      </c>
      <c r="D219" s="58">
        <v>6</v>
      </c>
      <c r="E219" s="59">
        <v>4.1958041958041958E-3</v>
      </c>
    </row>
    <row r="220" spans="2:5" ht="15" customHeight="1">
      <c r="B220" s="76" t="s">
        <v>40</v>
      </c>
      <c r="C220" s="54" t="s">
        <v>166</v>
      </c>
      <c r="D220" s="55">
        <v>2</v>
      </c>
      <c r="E220" s="56">
        <v>1.3986013986013986E-3</v>
      </c>
    </row>
    <row r="221" spans="2:5" ht="15" customHeight="1">
      <c r="B221" s="77"/>
      <c r="C221" s="54" t="s">
        <v>480</v>
      </c>
      <c r="D221" s="55">
        <v>1</v>
      </c>
      <c r="E221" s="56">
        <v>6.993006993006993E-4</v>
      </c>
    </row>
    <row r="222" spans="2:5" ht="15" customHeight="1">
      <c r="B222" s="77"/>
      <c r="C222" s="54" t="s">
        <v>165</v>
      </c>
      <c r="D222" s="55">
        <v>1</v>
      </c>
      <c r="E222" s="56">
        <v>6.993006993006993E-4</v>
      </c>
    </row>
    <row r="223" spans="2:5" ht="15" customHeight="1">
      <c r="B223" s="77"/>
      <c r="C223" s="54" t="s">
        <v>369</v>
      </c>
      <c r="D223" s="55">
        <v>2</v>
      </c>
      <c r="E223" s="56">
        <v>1.3986013986013986E-3</v>
      </c>
    </row>
    <row r="224" spans="2:5" ht="15" customHeight="1">
      <c r="B224" s="77"/>
      <c r="C224" s="54" t="s">
        <v>314</v>
      </c>
      <c r="D224" s="55">
        <v>2</v>
      </c>
      <c r="E224" s="56">
        <v>1.3986013986013986E-3</v>
      </c>
    </row>
    <row r="225" spans="2:5" ht="15" customHeight="1">
      <c r="B225" s="77"/>
      <c r="C225" s="54" t="s">
        <v>164</v>
      </c>
      <c r="D225" s="55">
        <v>6</v>
      </c>
      <c r="E225" s="56">
        <v>4.1958041958041958E-3</v>
      </c>
    </row>
    <row r="226" spans="2:5" ht="15" customHeight="1">
      <c r="B226" s="77"/>
      <c r="C226" s="54" t="s">
        <v>163</v>
      </c>
      <c r="D226" s="55">
        <v>1</v>
      </c>
      <c r="E226" s="56">
        <v>6.993006993006993E-4</v>
      </c>
    </row>
    <row r="227" spans="2:5" ht="15" customHeight="1">
      <c r="B227" s="77"/>
      <c r="C227" s="54" t="s">
        <v>370</v>
      </c>
      <c r="D227" s="55">
        <v>2</v>
      </c>
      <c r="E227" s="56">
        <v>1.3986013986013986E-3</v>
      </c>
    </row>
    <row r="228" spans="2:5" ht="15" customHeight="1">
      <c r="B228" s="77"/>
      <c r="C228" s="54" t="s">
        <v>371</v>
      </c>
      <c r="D228" s="55">
        <v>1</v>
      </c>
      <c r="E228" s="56">
        <v>6.993006993006993E-4</v>
      </c>
    </row>
    <row r="229" spans="2:5" ht="15" customHeight="1">
      <c r="B229" s="77"/>
      <c r="C229" s="54" t="s">
        <v>481</v>
      </c>
      <c r="D229" s="55">
        <v>1</v>
      </c>
      <c r="E229" s="56">
        <v>6.993006993006993E-4</v>
      </c>
    </row>
    <row r="230" spans="2:5" ht="15" customHeight="1">
      <c r="B230" s="77"/>
      <c r="C230" s="54" t="s">
        <v>482</v>
      </c>
      <c r="D230" s="55">
        <v>1</v>
      </c>
      <c r="E230" s="56">
        <v>6.993006993006993E-4</v>
      </c>
    </row>
    <row r="231" spans="2:5" ht="15" customHeight="1">
      <c r="B231" s="77"/>
      <c r="C231" s="54" t="s">
        <v>483</v>
      </c>
      <c r="D231" s="55">
        <v>1</v>
      </c>
      <c r="E231" s="56">
        <v>6.993006993006993E-4</v>
      </c>
    </row>
    <row r="232" spans="2:5" ht="15" customHeight="1">
      <c r="B232" s="77"/>
      <c r="C232" s="54" t="s">
        <v>162</v>
      </c>
      <c r="D232" s="55">
        <v>13</v>
      </c>
      <c r="E232" s="56">
        <v>9.0909090909090905E-3</v>
      </c>
    </row>
    <row r="233" spans="2:5" ht="15" customHeight="1">
      <c r="B233" s="77"/>
      <c r="C233" s="54" t="s">
        <v>161</v>
      </c>
      <c r="D233" s="55">
        <v>3</v>
      </c>
      <c r="E233" s="56">
        <v>2.0979020979020979E-3</v>
      </c>
    </row>
    <row r="234" spans="2:5" ht="15" customHeight="1">
      <c r="B234" s="77"/>
      <c r="C234" s="54" t="s">
        <v>372</v>
      </c>
      <c r="D234" s="55">
        <v>2</v>
      </c>
      <c r="E234" s="56">
        <v>1.3986013986013986E-3</v>
      </c>
    </row>
    <row r="235" spans="2:5" ht="15" customHeight="1">
      <c r="B235" s="77"/>
      <c r="C235" s="54" t="s">
        <v>484</v>
      </c>
      <c r="D235" s="55">
        <v>1</v>
      </c>
      <c r="E235" s="56">
        <v>6.993006993006993E-4</v>
      </c>
    </row>
    <row r="236" spans="2:5" ht="15" customHeight="1">
      <c r="B236" s="77"/>
      <c r="C236" s="54" t="s">
        <v>485</v>
      </c>
      <c r="D236" s="55">
        <v>1</v>
      </c>
      <c r="E236" s="56">
        <v>6.993006993006993E-4</v>
      </c>
    </row>
    <row r="237" spans="2:5" ht="15" customHeight="1">
      <c r="B237" s="77"/>
      <c r="C237" s="54" t="s">
        <v>373</v>
      </c>
      <c r="D237" s="55">
        <v>2</v>
      </c>
      <c r="E237" s="56">
        <v>1.3986013986013986E-3</v>
      </c>
    </row>
    <row r="238" spans="2:5" ht="15" customHeight="1">
      <c r="B238" s="77"/>
      <c r="C238" s="54" t="s">
        <v>160</v>
      </c>
      <c r="D238" s="55">
        <v>4</v>
      </c>
      <c r="E238" s="56">
        <v>2.7972027972027972E-3</v>
      </c>
    </row>
    <row r="239" spans="2:5" ht="15" customHeight="1">
      <c r="B239" s="77"/>
      <c r="C239" s="54" t="s">
        <v>159</v>
      </c>
      <c r="D239" s="55">
        <v>2</v>
      </c>
      <c r="E239" s="56">
        <v>1.3986013986013986E-3</v>
      </c>
    </row>
    <row r="240" spans="2:5" ht="15" customHeight="1">
      <c r="B240" s="77"/>
      <c r="C240" s="54" t="s">
        <v>158</v>
      </c>
      <c r="D240" s="55">
        <v>1</v>
      </c>
      <c r="E240" s="56">
        <v>6.993006993006993E-4</v>
      </c>
    </row>
    <row r="241" spans="2:5" ht="15" customHeight="1">
      <c r="B241" s="77"/>
      <c r="C241" s="54" t="s">
        <v>486</v>
      </c>
      <c r="D241" s="55">
        <v>1</v>
      </c>
      <c r="E241" s="56">
        <v>6.993006993006993E-4</v>
      </c>
    </row>
    <row r="242" spans="2:5" ht="15" customHeight="1">
      <c r="B242" s="77"/>
      <c r="C242" s="54" t="s">
        <v>487</v>
      </c>
      <c r="D242" s="55">
        <v>1</v>
      </c>
      <c r="E242" s="56">
        <v>6.993006993006993E-4</v>
      </c>
    </row>
    <row r="243" spans="2:5" ht="15" customHeight="1">
      <c r="B243" s="77"/>
      <c r="C243" s="54" t="s">
        <v>488</v>
      </c>
      <c r="D243" s="55">
        <v>1</v>
      </c>
      <c r="E243" s="56">
        <v>6.993006993006993E-4</v>
      </c>
    </row>
    <row r="244" spans="2:5" ht="15" customHeight="1">
      <c r="B244" s="77"/>
      <c r="C244" s="54" t="s">
        <v>157</v>
      </c>
      <c r="D244" s="55">
        <v>3</v>
      </c>
      <c r="E244" s="56">
        <v>2.0979020979020979E-3</v>
      </c>
    </row>
    <row r="245" spans="2:5" ht="15" customHeight="1">
      <c r="B245" s="77"/>
      <c r="C245" s="54" t="s">
        <v>156</v>
      </c>
      <c r="D245" s="55">
        <v>1</v>
      </c>
      <c r="E245" s="56">
        <v>6.993006993006993E-4</v>
      </c>
    </row>
    <row r="246" spans="2:5" ht="15" customHeight="1">
      <c r="B246" s="77"/>
      <c r="C246" s="54" t="s">
        <v>155</v>
      </c>
      <c r="D246" s="55">
        <v>1</v>
      </c>
      <c r="E246" s="56">
        <v>6.993006993006993E-4</v>
      </c>
    </row>
    <row r="247" spans="2:5" ht="15" customHeight="1">
      <c r="B247" s="77"/>
      <c r="C247" s="54" t="s">
        <v>374</v>
      </c>
      <c r="D247" s="55">
        <v>2</v>
      </c>
      <c r="E247" s="56">
        <v>1.3986013986013986E-3</v>
      </c>
    </row>
    <row r="248" spans="2:5" ht="15" customHeight="1">
      <c r="B248" s="77"/>
      <c r="C248" s="54" t="s">
        <v>375</v>
      </c>
      <c r="D248" s="55">
        <v>1</v>
      </c>
      <c r="E248" s="56">
        <v>6.993006993006993E-4</v>
      </c>
    </row>
    <row r="249" spans="2:5" ht="15" customHeight="1">
      <c r="B249" s="77"/>
      <c r="C249" s="54" t="s">
        <v>154</v>
      </c>
      <c r="D249" s="55">
        <v>1</v>
      </c>
      <c r="E249" s="56">
        <v>6.993006993006993E-4</v>
      </c>
    </row>
    <row r="250" spans="2:5" ht="15" customHeight="1">
      <c r="B250" s="77"/>
      <c r="C250" s="54" t="s">
        <v>489</v>
      </c>
      <c r="D250" s="55">
        <v>1</v>
      </c>
      <c r="E250" s="56">
        <v>6.993006993006993E-4</v>
      </c>
    </row>
    <row r="251" spans="2:5" ht="15" customHeight="1">
      <c r="B251" s="77"/>
      <c r="C251" s="54" t="s">
        <v>376</v>
      </c>
      <c r="D251" s="55">
        <v>1</v>
      </c>
      <c r="E251" s="56">
        <v>6.993006993006993E-4</v>
      </c>
    </row>
    <row r="252" spans="2:5" ht="15" customHeight="1">
      <c r="B252" s="77"/>
      <c r="C252" s="54" t="s">
        <v>490</v>
      </c>
      <c r="D252" s="55">
        <v>1</v>
      </c>
      <c r="E252" s="56">
        <v>6.993006993006993E-4</v>
      </c>
    </row>
    <row r="253" spans="2:5" ht="15" customHeight="1">
      <c r="B253" s="77"/>
      <c r="C253" s="54" t="s">
        <v>315</v>
      </c>
      <c r="D253" s="55">
        <v>3</v>
      </c>
      <c r="E253" s="56">
        <v>2.0979020979020979E-3</v>
      </c>
    </row>
    <row r="254" spans="2:5" ht="15" customHeight="1">
      <c r="B254" s="77"/>
      <c r="C254" s="54" t="s">
        <v>491</v>
      </c>
      <c r="D254" s="55">
        <v>1</v>
      </c>
      <c r="E254" s="56">
        <v>6.993006993006993E-4</v>
      </c>
    </row>
    <row r="255" spans="2:5" ht="15" customHeight="1">
      <c r="B255" s="77"/>
      <c r="C255" s="54" t="s">
        <v>377</v>
      </c>
      <c r="D255" s="55">
        <v>1</v>
      </c>
      <c r="E255" s="56">
        <v>6.993006993006993E-4</v>
      </c>
    </row>
    <row r="256" spans="2:5" ht="15" customHeight="1">
      <c r="B256" s="77"/>
      <c r="C256" s="54" t="s">
        <v>153</v>
      </c>
      <c r="D256" s="55">
        <v>3</v>
      </c>
      <c r="E256" s="56">
        <v>2.0979020979020979E-3</v>
      </c>
    </row>
    <row r="257" spans="2:5" ht="15" customHeight="1">
      <c r="B257" s="77"/>
      <c r="C257" s="54" t="s">
        <v>378</v>
      </c>
      <c r="D257" s="55">
        <v>1</v>
      </c>
      <c r="E257" s="56">
        <v>6.993006993006993E-4</v>
      </c>
    </row>
    <row r="258" spans="2:5" ht="15" customHeight="1">
      <c r="B258" s="77"/>
      <c r="C258" s="54" t="s">
        <v>492</v>
      </c>
      <c r="D258" s="55">
        <v>1</v>
      </c>
      <c r="E258" s="56">
        <v>6.993006993006993E-4</v>
      </c>
    </row>
    <row r="259" spans="2:5" ht="15" customHeight="1">
      <c r="B259" s="77"/>
      <c r="C259" s="54" t="s">
        <v>493</v>
      </c>
      <c r="D259" s="55">
        <v>2</v>
      </c>
      <c r="E259" s="56">
        <v>1.3986013986013986E-3</v>
      </c>
    </row>
    <row r="260" spans="2:5" ht="15" customHeight="1">
      <c r="B260" s="77"/>
      <c r="C260" s="54" t="s">
        <v>152</v>
      </c>
      <c r="D260" s="55">
        <v>2</v>
      </c>
      <c r="E260" s="56">
        <v>1.3986013986013986E-3</v>
      </c>
    </row>
    <row r="261" spans="2:5" ht="15" customHeight="1">
      <c r="B261" s="77"/>
      <c r="C261" s="54" t="s">
        <v>151</v>
      </c>
      <c r="D261" s="55">
        <v>2</v>
      </c>
      <c r="E261" s="56">
        <v>1.3986013986013986E-3</v>
      </c>
    </row>
    <row r="262" spans="2:5" ht="15" customHeight="1">
      <c r="B262" s="77"/>
      <c r="C262" s="54" t="s">
        <v>150</v>
      </c>
      <c r="D262" s="55">
        <v>2</v>
      </c>
      <c r="E262" s="56">
        <v>1.3986013986013986E-3</v>
      </c>
    </row>
    <row r="263" spans="2:5" ht="15" customHeight="1">
      <c r="B263" s="77"/>
      <c r="C263" s="54" t="s">
        <v>379</v>
      </c>
      <c r="D263" s="55">
        <v>1</v>
      </c>
      <c r="E263" s="56">
        <v>6.993006993006993E-4</v>
      </c>
    </row>
    <row r="264" spans="2:5" ht="15" customHeight="1">
      <c r="B264" s="77"/>
      <c r="C264" s="54" t="s">
        <v>380</v>
      </c>
      <c r="D264" s="55">
        <v>2</v>
      </c>
      <c r="E264" s="56">
        <v>1.3986013986013986E-3</v>
      </c>
    </row>
    <row r="265" spans="2:5" ht="15" customHeight="1">
      <c r="B265" s="77"/>
      <c r="C265" s="54" t="s">
        <v>494</v>
      </c>
      <c r="D265" s="55">
        <v>1</v>
      </c>
      <c r="E265" s="56">
        <v>6.993006993006993E-4</v>
      </c>
    </row>
    <row r="266" spans="2:5" ht="15" customHeight="1">
      <c r="B266" s="77"/>
      <c r="C266" s="54" t="s">
        <v>495</v>
      </c>
      <c r="D266" s="55">
        <v>1</v>
      </c>
      <c r="E266" s="56">
        <v>6.993006993006993E-4</v>
      </c>
    </row>
    <row r="267" spans="2:5" ht="15" customHeight="1">
      <c r="B267" s="77"/>
      <c r="C267" s="54" t="s">
        <v>496</v>
      </c>
      <c r="D267" s="55">
        <v>1</v>
      </c>
      <c r="E267" s="56">
        <v>6.993006993006993E-4</v>
      </c>
    </row>
    <row r="268" spans="2:5" ht="15" customHeight="1">
      <c r="B268" s="77"/>
      <c r="C268" s="54" t="s">
        <v>381</v>
      </c>
      <c r="D268" s="55">
        <v>1</v>
      </c>
      <c r="E268" s="56">
        <v>6.993006993006993E-4</v>
      </c>
    </row>
    <row r="269" spans="2:5" ht="15" customHeight="1">
      <c r="B269" s="77"/>
      <c r="C269" s="54" t="s">
        <v>149</v>
      </c>
      <c r="D269" s="55">
        <v>1</v>
      </c>
      <c r="E269" s="56">
        <v>6.993006993006993E-4</v>
      </c>
    </row>
    <row r="270" spans="2:5" ht="15" customHeight="1">
      <c r="B270" s="77"/>
      <c r="C270" s="54" t="s">
        <v>148</v>
      </c>
      <c r="D270" s="55">
        <v>7</v>
      </c>
      <c r="E270" s="56">
        <v>4.8951048951048955E-3</v>
      </c>
    </row>
    <row r="271" spans="2:5" ht="15" customHeight="1">
      <c r="B271" s="77"/>
      <c r="C271" s="54" t="s">
        <v>382</v>
      </c>
      <c r="D271" s="55">
        <v>3</v>
      </c>
      <c r="E271" s="56">
        <v>2.0979020979020979E-3</v>
      </c>
    </row>
    <row r="272" spans="2:5" ht="15" customHeight="1">
      <c r="B272" s="77"/>
      <c r="C272" s="54" t="s">
        <v>497</v>
      </c>
      <c r="D272" s="55">
        <v>1</v>
      </c>
      <c r="E272" s="56">
        <v>6.993006993006993E-4</v>
      </c>
    </row>
    <row r="273" spans="2:5" ht="15" customHeight="1">
      <c r="B273" s="77"/>
      <c r="C273" s="54" t="s">
        <v>147</v>
      </c>
      <c r="D273" s="55">
        <v>15</v>
      </c>
      <c r="E273" s="56">
        <v>1.048951048951049E-2</v>
      </c>
    </row>
    <row r="274" spans="2:5" ht="15" customHeight="1">
      <c r="B274" s="77"/>
      <c r="C274" s="54" t="s">
        <v>498</v>
      </c>
      <c r="D274" s="55">
        <v>2</v>
      </c>
      <c r="E274" s="56">
        <v>1.3986013986013986E-3</v>
      </c>
    </row>
    <row r="275" spans="2:5" ht="15" customHeight="1">
      <c r="B275" s="77"/>
      <c r="C275" s="54" t="s">
        <v>146</v>
      </c>
      <c r="D275" s="55">
        <v>2</v>
      </c>
      <c r="E275" s="56">
        <v>1.3986013986013986E-3</v>
      </c>
    </row>
    <row r="276" spans="2:5" ht="15" customHeight="1">
      <c r="B276" s="78"/>
      <c r="C276" s="57" t="s">
        <v>15</v>
      </c>
      <c r="D276" s="58">
        <v>121</v>
      </c>
      <c r="E276" s="59">
        <v>8.461538461538462E-2</v>
      </c>
    </row>
    <row r="277" spans="2:5" ht="15" customHeight="1">
      <c r="B277" s="76" t="s">
        <v>42</v>
      </c>
      <c r="C277" s="54" t="s">
        <v>145</v>
      </c>
      <c r="D277" s="55">
        <v>7</v>
      </c>
      <c r="E277" s="56">
        <v>4.8951048951048955E-3</v>
      </c>
    </row>
    <row r="278" spans="2:5" ht="15" customHeight="1">
      <c r="B278" s="77"/>
      <c r="C278" s="54" t="s">
        <v>144</v>
      </c>
      <c r="D278" s="55">
        <v>2</v>
      </c>
      <c r="E278" s="56">
        <v>1.3986013986013986E-3</v>
      </c>
    </row>
    <row r="279" spans="2:5" ht="15" customHeight="1">
      <c r="B279" s="77"/>
      <c r="C279" s="54" t="s">
        <v>143</v>
      </c>
      <c r="D279" s="55">
        <v>1</v>
      </c>
      <c r="E279" s="56">
        <v>6.993006993006993E-4</v>
      </c>
    </row>
    <row r="280" spans="2:5" ht="15" customHeight="1">
      <c r="B280" s="77"/>
      <c r="C280" s="54" t="s">
        <v>142</v>
      </c>
      <c r="D280" s="55">
        <v>9</v>
      </c>
      <c r="E280" s="56">
        <v>6.2937062937062941E-3</v>
      </c>
    </row>
    <row r="281" spans="2:5" ht="15" customHeight="1">
      <c r="B281" s="77"/>
      <c r="C281" s="54" t="s">
        <v>383</v>
      </c>
      <c r="D281" s="55">
        <v>1</v>
      </c>
      <c r="E281" s="56">
        <v>6.993006993006993E-4</v>
      </c>
    </row>
    <row r="282" spans="2:5" ht="15" customHeight="1">
      <c r="B282" s="77"/>
      <c r="C282" s="54" t="s">
        <v>141</v>
      </c>
      <c r="D282" s="55">
        <v>2</v>
      </c>
      <c r="E282" s="56">
        <v>1.3986013986013986E-3</v>
      </c>
    </row>
    <row r="283" spans="2:5" ht="15" customHeight="1">
      <c r="B283" s="77"/>
      <c r="C283" s="54" t="s">
        <v>140</v>
      </c>
      <c r="D283" s="55">
        <v>53</v>
      </c>
      <c r="E283" s="56">
        <v>3.7062937062937062E-2</v>
      </c>
    </row>
    <row r="284" spans="2:5" ht="15" customHeight="1">
      <c r="B284" s="77"/>
      <c r="C284" s="54" t="s">
        <v>139</v>
      </c>
      <c r="D284" s="55">
        <v>2</v>
      </c>
      <c r="E284" s="56">
        <v>1.3986013986013986E-3</v>
      </c>
    </row>
    <row r="285" spans="2:5" ht="15" customHeight="1">
      <c r="B285" s="77"/>
      <c r="C285" s="54" t="s">
        <v>138</v>
      </c>
      <c r="D285" s="55">
        <v>8</v>
      </c>
      <c r="E285" s="56">
        <v>5.5944055944055944E-3</v>
      </c>
    </row>
    <row r="286" spans="2:5" ht="15" customHeight="1">
      <c r="B286" s="77"/>
      <c r="C286" s="54" t="s">
        <v>384</v>
      </c>
      <c r="D286" s="55">
        <v>1</v>
      </c>
      <c r="E286" s="56">
        <v>6.993006993006993E-4</v>
      </c>
    </row>
    <row r="287" spans="2:5" ht="15" customHeight="1">
      <c r="B287" s="77"/>
      <c r="C287" s="54" t="s">
        <v>137</v>
      </c>
      <c r="D287" s="55">
        <v>3</v>
      </c>
      <c r="E287" s="56">
        <v>2.0979020979020979E-3</v>
      </c>
    </row>
    <row r="288" spans="2:5" ht="15" customHeight="1">
      <c r="B288" s="77"/>
      <c r="C288" s="54" t="s">
        <v>136</v>
      </c>
      <c r="D288" s="55">
        <v>10</v>
      </c>
      <c r="E288" s="56">
        <v>6.993006993006993E-3</v>
      </c>
    </row>
    <row r="289" spans="2:5" ht="15" customHeight="1">
      <c r="B289" s="77"/>
      <c r="C289" s="54" t="s">
        <v>499</v>
      </c>
      <c r="D289" s="55">
        <v>3</v>
      </c>
      <c r="E289" s="56">
        <v>2.0979020979020979E-3</v>
      </c>
    </row>
    <row r="290" spans="2:5" ht="15" customHeight="1">
      <c r="B290" s="77"/>
      <c r="C290" s="54" t="s">
        <v>500</v>
      </c>
      <c r="D290" s="55">
        <v>2</v>
      </c>
      <c r="E290" s="56">
        <v>1.3986013986013986E-3</v>
      </c>
    </row>
    <row r="291" spans="2:5" ht="15" customHeight="1">
      <c r="B291" s="77"/>
      <c r="C291" s="54" t="s">
        <v>135</v>
      </c>
      <c r="D291" s="55">
        <v>3</v>
      </c>
      <c r="E291" s="56">
        <v>2.0979020979020979E-3</v>
      </c>
    </row>
    <row r="292" spans="2:5" ht="15" customHeight="1">
      <c r="B292" s="77"/>
      <c r="C292" s="54" t="s">
        <v>134</v>
      </c>
      <c r="D292" s="55">
        <v>1</v>
      </c>
      <c r="E292" s="56">
        <v>6.993006993006993E-4</v>
      </c>
    </row>
    <row r="293" spans="2:5" ht="15" customHeight="1">
      <c r="B293" s="77"/>
      <c r="C293" s="54" t="s">
        <v>501</v>
      </c>
      <c r="D293" s="55">
        <v>3</v>
      </c>
      <c r="E293" s="56">
        <v>2.0979020979020979E-3</v>
      </c>
    </row>
    <row r="294" spans="2:5" ht="15" customHeight="1">
      <c r="B294" s="77"/>
      <c r="C294" s="54" t="s">
        <v>133</v>
      </c>
      <c r="D294" s="55">
        <v>3</v>
      </c>
      <c r="E294" s="56">
        <v>2.0979020979020979E-3</v>
      </c>
    </row>
    <row r="295" spans="2:5" ht="15" customHeight="1">
      <c r="B295" s="77"/>
      <c r="C295" s="54" t="s">
        <v>132</v>
      </c>
      <c r="D295" s="55">
        <v>1</v>
      </c>
      <c r="E295" s="56">
        <v>6.993006993006993E-4</v>
      </c>
    </row>
    <row r="296" spans="2:5" ht="15" customHeight="1">
      <c r="B296" s="77"/>
      <c r="C296" s="54" t="s">
        <v>385</v>
      </c>
      <c r="D296" s="55">
        <v>1</v>
      </c>
      <c r="E296" s="56">
        <v>6.993006993006993E-4</v>
      </c>
    </row>
    <row r="297" spans="2:5" ht="15" customHeight="1">
      <c r="B297" s="77"/>
      <c r="C297" s="54" t="s">
        <v>316</v>
      </c>
      <c r="D297" s="55">
        <v>1</v>
      </c>
      <c r="E297" s="56">
        <v>6.993006993006993E-4</v>
      </c>
    </row>
    <row r="298" spans="2:5" ht="15" customHeight="1">
      <c r="B298" s="77"/>
      <c r="C298" s="54" t="s">
        <v>131</v>
      </c>
      <c r="D298" s="55">
        <v>2</v>
      </c>
      <c r="E298" s="56">
        <v>1.3986013986013986E-3</v>
      </c>
    </row>
    <row r="299" spans="2:5" ht="15" customHeight="1">
      <c r="B299" s="77"/>
      <c r="C299" s="54" t="s">
        <v>502</v>
      </c>
      <c r="D299" s="55">
        <v>1</v>
      </c>
      <c r="E299" s="56">
        <v>6.993006993006993E-4</v>
      </c>
    </row>
    <row r="300" spans="2:5" ht="15" customHeight="1">
      <c r="B300" s="77"/>
      <c r="C300" s="54" t="s">
        <v>130</v>
      </c>
      <c r="D300" s="55">
        <v>1</v>
      </c>
      <c r="E300" s="56">
        <v>6.993006993006993E-4</v>
      </c>
    </row>
    <row r="301" spans="2:5" ht="15" customHeight="1">
      <c r="B301" s="77"/>
      <c r="C301" s="54" t="s">
        <v>129</v>
      </c>
      <c r="D301" s="55">
        <v>1</v>
      </c>
      <c r="E301" s="56">
        <v>6.993006993006993E-4</v>
      </c>
    </row>
    <row r="302" spans="2:5" ht="15" customHeight="1">
      <c r="B302" s="77"/>
      <c r="C302" s="54" t="s">
        <v>367</v>
      </c>
      <c r="D302" s="55">
        <v>2</v>
      </c>
      <c r="E302" s="56">
        <v>1.3986013986013986E-3</v>
      </c>
    </row>
    <row r="303" spans="2:5" ht="15" customHeight="1">
      <c r="B303" s="77"/>
      <c r="C303" s="54" t="s">
        <v>128</v>
      </c>
      <c r="D303" s="55">
        <v>1</v>
      </c>
      <c r="E303" s="56">
        <v>6.993006993006993E-4</v>
      </c>
    </row>
    <row r="304" spans="2:5" ht="15" customHeight="1">
      <c r="B304" s="77"/>
      <c r="C304" s="54" t="s">
        <v>127</v>
      </c>
      <c r="D304" s="55">
        <v>15</v>
      </c>
      <c r="E304" s="56">
        <v>1.048951048951049E-2</v>
      </c>
    </row>
    <row r="305" spans="2:5" ht="15" customHeight="1">
      <c r="B305" s="77"/>
      <c r="C305" s="54" t="s">
        <v>126</v>
      </c>
      <c r="D305" s="55">
        <v>1</v>
      </c>
      <c r="E305" s="56">
        <v>6.993006993006993E-4</v>
      </c>
    </row>
    <row r="306" spans="2:5" ht="15" customHeight="1">
      <c r="B306" s="77"/>
      <c r="C306" s="54" t="s">
        <v>125</v>
      </c>
      <c r="D306" s="55">
        <v>6</v>
      </c>
      <c r="E306" s="56">
        <v>4.1958041958041958E-3</v>
      </c>
    </row>
    <row r="307" spans="2:5" ht="15" customHeight="1">
      <c r="B307" s="77"/>
      <c r="C307" s="54" t="s">
        <v>124</v>
      </c>
      <c r="D307" s="55">
        <v>4</v>
      </c>
      <c r="E307" s="56">
        <v>2.7972027972027972E-3</v>
      </c>
    </row>
    <row r="308" spans="2:5" ht="15" customHeight="1">
      <c r="B308" s="77"/>
      <c r="C308" s="54" t="s">
        <v>386</v>
      </c>
      <c r="D308" s="55">
        <v>1</v>
      </c>
      <c r="E308" s="56">
        <v>6.993006993006993E-4</v>
      </c>
    </row>
    <row r="309" spans="2:5" ht="15" customHeight="1">
      <c r="B309" s="77"/>
      <c r="C309" s="54" t="s">
        <v>123</v>
      </c>
      <c r="D309" s="55">
        <v>1</v>
      </c>
      <c r="E309" s="56">
        <v>6.993006993006993E-4</v>
      </c>
    </row>
    <row r="310" spans="2:5" ht="15" customHeight="1">
      <c r="B310" s="77"/>
      <c r="C310" s="54" t="s">
        <v>122</v>
      </c>
      <c r="D310" s="55">
        <v>21</v>
      </c>
      <c r="E310" s="56">
        <v>1.4685314685314685E-2</v>
      </c>
    </row>
    <row r="311" spans="2:5" ht="15" customHeight="1">
      <c r="B311" s="77"/>
      <c r="C311" s="54" t="s">
        <v>387</v>
      </c>
      <c r="D311" s="55">
        <v>2</v>
      </c>
      <c r="E311" s="56">
        <v>1.3986013986013986E-3</v>
      </c>
    </row>
    <row r="312" spans="2:5" ht="15" customHeight="1">
      <c r="B312" s="77"/>
      <c r="C312" s="54" t="s">
        <v>388</v>
      </c>
      <c r="D312" s="55">
        <v>2</v>
      </c>
      <c r="E312" s="56">
        <v>1.3986013986013986E-3</v>
      </c>
    </row>
    <row r="313" spans="2:5" ht="15" customHeight="1">
      <c r="B313" s="77"/>
      <c r="C313" s="54" t="s">
        <v>121</v>
      </c>
      <c r="D313" s="55">
        <v>4</v>
      </c>
      <c r="E313" s="56">
        <v>2.7972027972027972E-3</v>
      </c>
    </row>
    <row r="314" spans="2:5" ht="15" customHeight="1">
      <c r="B314" s="77"/>
      <c r="C314" s="54" t="s">
        <v>503</v>
      </c>
      <c r="D314" s="55">
        <v>1</v>
      </c>
      <c r="E314" s="56">
        <v>6.993006993006993E-4</v>
      </c>
    </row>
    <row r="315" spans="2:5" ht="15" customHeight="1">
      <c r="B315" s="77"/>
      <c r="C315" s="54" t="s">
        <v>120</v>
      </c>
      <c r="D315" s="55">
        <v>1</v>
      </c>
      <c r="E315" s="56">
        <v>6.993006993006993E-4</v>
      </c>
    </row>
    <row r="316" spans="2:5" ht="15" customHeight="1">
      <c r="B316" s="77"/>
      <c r="C316" s="54" t="s">
        <v>119</v>
      </c>
      <c r="D316" s="55">
        <v>1</v>
      </c>
      <c r="E316" s="56">
        <v>6.993006993006993E-4</v>
      </c>
    </row>
    <row r="317" spans="2:5" ht="15" customHeight="1">
      <c r="B317" s="77"/>
      <c r="C317" s="54" t="s">
        <v>118</v>
      </c>
      <c r="D317" s="55">
        <v>26</v>
      </c>
      <c r="E317" s="56">
        <v>1.8181818181818181E-2</v>
      </c>
    </row>
    <row r="318" spans="2:5" ht="15" customHeight="1">
      <c r="B318" s="77"/>
      <c r="C318" s="54" t="s">
        <v>389</v>
      </c>
      <c r="D318" s="55">
        <v>1</v>
      </c>
      <c r="E318" s="56">
        <v>6.993006993006993E-4</v>
      </c>
    </row>
    <row r="319" spans="2:5" ht="15" customHeight="1">
      <c r="B319" s="77"/>
      <c r="C319" s="54" t="s">
        <v>390</v>
      </c>
      <c r="D319" s="55">
        <v>2</v>
      </c>
      <c r="E319" s="56">
        <v>1.3986013986013986E-3</v>
      </c>
    </row>
    <row r="320" spans="2:5" ht="15" customHeight="1">
      <c r="B320" s="77"/>
      <c r="C320" s="54" t="s">
        <v>504</v>
      </c>
      <c r="D320" s="55">
        <v>1</v>
      </c>
      <c r="E320" s="56">
        <v>6.993006993006993E-4</v>
      </c>
    </row>
    <row r="321" spans="2:5" ht="15" customHeight="1">
      <c r="B321" s="77"/>
      <c r="C321" s="54" t="s">
        <v>391</v>
      </c>
      <c r="D321" s="55">
        <v>1</v>
      </c>
      <c r="E321" s="56">
        <v>6.993006993006993E-4</v>
      </c>
    </row>
    <row r="322" spans="2:5" ht="15" customHeight="1">
      <c r="B322" s="77"/>
      <c r="C322" s="54" t="s">
        <v>42</v>
      </c>
      <c r="D322" s="55">
        <v>43</v>
      </c>
      <c r="E322" s="56">
        <v>3.006993006993007E-2</v>
      </c>
    </row>
    <row r="323" spans="2:5" ht="15" customHeight="1">
      <c r="B323" s="77"/>
      <c r="C323" s="54" t="s">
        <v>117</v>
      </c>
      <c r="D323" s="55">
        <v>1</v>
      </c>
      <c r="E323" s="56">
        <v>6.993006993006993E-4</v>
      </c>
    </row>
    <row r="324" spans="2:5" ht="15" customHeight="1">
      <c r="B324" s="77"/>
      <c r="C324" s="54" t="s">
        <v>505</v>
      </c>
      <c r="D324" s="55">
        <v>1</v>
      </c>
      <c r="E324" s="56">
        <v>6.993006993006993E-4</v>
      </c>
    </row>
    <row r="325" spans="2:5" ht="15" customHeight="1">
      <c r="B325" s="77"/>
      <c r="C325" s="54" t="s">
        <v>116</v>
      </c>
      <c r="D325" s="55">
        <v>16</v>
      </c>
      <c r="E325" s="56">
        <v>1.1188811188811189E-2</v>
      </c>
    </row>
    <row r="326" spans="2:5" ht="15" customHeight="1">
      <c r="B326" s="77"/>
      <c r="C326" s="54" t="s">
        <v>115</v>
      </c>
      <c r="D326" s="55">
        <v>5</v>
      </c>
      <c r="E326" s="56">
        <v>3.4965034965034965E-3</v>
      </c>
    </row>
    <row r="327" spans="2:5" ht="15" customHeight="1">
      <c r="B327" s="77"/>
      <c r="C327" s="54" t="s">
        <v>114</v>
      </c>
      <c r="D327" s="55">
        <v>2</v>
      </c>
      <c r="E327" s="56">
        <v>1.3986013986013986E-3</v>
      </c>
    </row>
    <row r="328" spans="2:5" ht="15" customHeight="1">
      <c r="B328" s="77"/>
      <c r="C328" s="54" t="s">
        <v>113</v>
      </c>
      <c r="D328" s="55">
        <v>3</v>
      </c>
      <c r="E328" s="56">
        <v>2.0979020979020979E-3</v>
      </c>
    </row>
    <row r="329" spans="2:5" ht="15" customHeight="1">
      <c r="B329" s="77"/>
      <c r="C329" s="54" t="s">
        <v>112</v>
      </c>
      <c r="D329" s="55">
        <v>7</v>
      </c>
      <c r="E329" s="56">
        <v>4.8951048951048955E-3</v>
      </c>
    </row>
    <row r="330" spans="2:5" ht="15" customHeight="1">
      <c r="B330" s="77"/>
      <c r="C330" s="54" t="s">
        <v>317</v>
      </c>
      <c r="D330" s="55">
        <v>1</v>
      </c>
      <c r="E330" s="56">
        <v>6.993006993006993E-4</v>
      </c>
    </row>
    <row r="331" spans="2:5" ht="15" customHeight="1">
      <c r="B331" s="77"/>
      <c r="C331" s="54" t="s">
        <v>392</v>
      </c>
      <c r="D331" s="55">
        <v>1</v>
      </c>
      <c r="E331" s="56">
        <v>6.993006993006993E-4</v>
      </c>
    </row>
    <row r="332" spans="2:5" ht="15" customHeight="1">
      <c r="B332" s="77"/>
      <c r="C332" s="54" t="s">
        <v>506</v>
      </c>
      <c r="D332" s="55">
        <v>3</v>
      </c>
      <c r="E332" s="56">
        <v>2.0979020979020979E-3</v>
      </c>
    </row>
    <row r="333" spans="2:5" ht="15" customHeight="1">
      <c r="B333" s="77"/>
      <c r="C333" s="54" t="s">
        <v>111</v>
      </c>
      <c r="D333" s="55">
        <v>12</v>
      </c>
      <c r="E333" s="56">
        <v>8.3916083916083916E-3</v>
      </c>
    </row>
    <row r="334" spans="2:5" ht="15" customHeight="1">
      <c r="B334" s="77"/>
      <c r="C334" s="54" t="s">
        <v>110</v>
      </c>
      <c r="D334" s="55">
        <v>2</v>
      </c>
      <c r="E334" s="56">
        <v>1.3986013986013986E-3</v>
      </c>
    </row>
    <row r="335" spans="2:5" ht="15" customHeight="1">
      <c r="B335" s="77"/>
      <c r="C335" s="54" t="s">
        <v>507</v>
      </c>
      <c r="D335" s="55">
        <v>2</v>
      </c>
      <c r="E335" s="56">
        <v>1.3986013986013986E-3</v>
      </c>
    </row>
    <row r="336" spans="2:5" ht="15" customHeight="1">
      <c r="B336" s="77"/>
      <c r="C336" s="54" t="s">
        <v>393</v>
      </c>
      <c r="D336" s="55">
        <v>1</v>
      </c>
      <c r="E336" s="56">
        <v>6.993006993006993E-4</v>
      </c>
    </row>
    <row r="337" spans="2:5" ht="15" customHeight="1">
      <c r="B337" s="77"/>
      <c r="C337" s="54" t="s">
        <v>109</v>
      </c>
      <c r="D337" s="55">
        <v>2</v>
      </c>
      <c r="E337" s="56">
        <v>1.3986013986013986E-3</v>
      </c>
    </row>
    <row r="338" spans="2:5" ht="15" customHeight="1">
      <c r="B338" s="77"/>
      <c r="C338" s="54" t="s">
        <v>508</v>
      </c>
      <c r="D338" s="55">
        <v>1</v>
      </c>
      <c r="E338" s="56">
        <v>6.993006993006993E-4</v>
      </c>
    </row>
    <row r="339" spans="2:5" ht="15" customHeight="1">
      <c r="B339" s="77"/>
      <c r="C339" s="54" t="s">
        <v>108</v>
      </c>
      <c r="D339" s="55">
        <v>8</v>
      </c>
      <c r="E339" s="56">
        <v>5.5944055944055944E-3</v>
      </c>
    </row>
    <row r="340" spans="2:5" ht="15" customHeight="1">
      <c r="B340" s="77"/>
      <c r="C340" s="54" t="s">
        <v>394</v>
      </c>
      <c r="D340" s="55">
        <v>2</v>
      </c>
      <c r="E340" s="56">
        <v>1.3986013986013986E-3</v>
      </c>
    </row>
    <row r="341" spans="2:5" ht="15" customHeight="1">
      <c r="B341" s="77"/>
      <c r="C341" s="54" t="s">
        <v>107</v>
      </c>
      <c r="D341" s="55">
        <v>17</v>
      </c>
      <c r="E341" s="56">
        <v>1.1888111888111888E-2</v>
      </c>
    </row>
    <row r="342" spans="2:5" ht="15" customHeight="1">
      <c r="B342" s="77"/>
      <c r="C342" s="54" t="s">
        <v>106</v>
      </c>
      <c r="D342" s="55">
        <v>5</v>
      </c>
      <c r="E342" s="56">
        <v>3.4965034965034965E-3</v>
      </c>
    </row>
    <row r="343" spans="2:5" ht="15" customHeight="1">
      <c r="B343" s="77"/>
      <c r="C343" s="54" t="s">
        <v>105</v>
      </c>
      <c r="D343" s="55">
        <v>14</v>
      </c>
      <c r="E343" s="56">
        <v>9.7902097902097911E-3</v>
      </c>
    </row>
    <row r="344" spans="2:5" ht="15" customHeight="1">
      <c r="B344" s="77"/>
      <c r="C344" s="54" t="s">
        <v>104</v>
      </c>
      <c r="D344" s="55">
        <v>1</v>
      </c>
      <c r="E344" s="56">
        <v>6.993006993006993E-4</v>
      </c>
    </row>
    <row r="345" spans="2:5" ht="15" customHeight="1">
      <c r="B345" s="77"/>
      <c r="C345" s="54" t="s">
        <v>103</v>
      </c>
      <c r="D345" s="55">
        <v>13</v>
      </c>
      <c r="E345" s="56">
        <v>9.0909090909090905E-3</v>
      </c>
    </row>
    <row r="346" spans="2:5" ht="15" customHeight="1">
      <c r="B346" s="77"/>
      <c r="C346" s="54" t="s">
        <v>102</v>
      </c>
      <c r="D346" s="55">
        <v>3</v>
      </c>
      <c r="E346" s="56">
        <v>2.0979020979020979E-3</v>
      </c>
    </row>
    <row r="347" spans="2:5" ht="15" customHeight="1">
      <c r="B347" s="77"/>
      <c r="C347" s="54" t="s">
        <v>101</v>
      </c>
      <c r="D347" s="55">
        <v>2</v>
      </c>
      <c r="E347" s="56">
        <v>1.3986013986013986E-3</v>
      </c>
    </row>
    <row r="348" spans="2:5" ht="15" customHeight="1">
      <c r="B348" s="77"/>
      <c r="C348" s="54" t="s">
        <v>395</v>
      </c>
      <c r="D348" s="55">
        <v>2</v>
      </c>
      <c r="E348" s="56">
        <v>1.3986013986013986E-3</v>
      </c>
    </row>
    <row r="349" spans="2:5" ht="15" customHeight="1">
      <c r="B349" s="77"/>
      <c r="C349" s="54" t="s">
        <v>396</v>
      </c>
      <c r="D349" s="55">
        <v>2</v>
      </c>
      <c r="E349" s="56">
        <v>1.3986013986013986E-3</v>
      </c>
    </row>
    <row r="350" spans="2:5" ht="15" customHeight="1">
      <c r="B350" s="77"/>
      <c r="C350" s="54" t="s">
        <v>397</v>
      </c>
      <c r="D350" s="55">
        <v>2</v>
      </c>
      <c r="E350" s="56">
        <v>1.3986013986013986E-3</v>
      </c>
    </row>
    <row r="351" spans="2:5" ht="15" customHeight="1">
      <c r="B351" s="77"/>
      <c r="C351" s="54" t="s">
        <v>398</v>
      </c>
      <c r="D351" s="55">
        <v>1</v>
      </c>
      <c r="E351" s="56">
        <v>6.993006993006993E-4</v>
      </c>
    </row>
    <row r="352" spans="2:5" ht="15" customHeight="1">
      <c r="B352" s="77"/>
      <c r="C352" s="54" t="s">
        <v>100</v>
      </c>
      <c r="D352" s="55">
        <v>12</v>
      </c>
      <c r="E352" s="56">
        <v>8.3916083916083916E-3</v>
      </c>
    </row>
    <row r="353" spans="2:5" ht="15" customHeight="1">
      <c r="B353" s="77"/>
      <c r="C353" s="54" t="s">
        <v>99</v>
      </c>
      <c r="D353" s="55">
        <v>1</v>
      </c>
      <c r="E353" s="56">
        <v>6.993006993006993E-4</v>
      </c>
    </row>
    <row r="354" spans="2:5" ht="15" customHeight="1">
      <c r="B354" s="77"/>
      <c r="C354" s="54" t="s">
        <v>98</v>
      </c>
      <c r="D354" s="55">
        <v>10</v>
      </c>
      <c r="E354" s="56">
        <v>6.993006993006993E-3</v>
      </c>
    </row>
    <row r="355" spans="2:5" ht="15" customHeight="1">
      <c r="B355" s="77"/>
      <c r="C355" s="54" t="s">
        <v>97</v>
      </c>
      <c r="D355" s="55">
        <v>12</v>
      </c>
      <c r="E355" s="56">
        <v>8.3916083916083916E-3</v>
      </c>
    </row>
    <row r="356" spans="2:5" ht="15" customHeight="1">
      <c r="B356" s="77"/>
      <c r="C356" s="54" t="s">
        <v>399</v>
      </c>
      <c r="D356" s="55">
        <v>3</v>
      </c>
      <c r="E356" s="56">
        <v>2.0979020979020979E-3</v>
      </c>
    </row>
    <row r="357" spans="2:5" ht="15" customHeight="1">
      <c r="B357" s="77"/>
      <c r="C357" s="54" t="s">
        <v>96</v>
      </c>
      <c r="D357" s="55">
        <v>10</v>
      </c>
      <c r="E357" s="56">
        <v>6.993006993006993E-3</v>
      </c>
    </row>
    <row r="358" spans="2:5" ht="15" customHeight="1">
      <c r="B358" s="77"/>
      <c r="C358" s="54" t="s">
        <v>95</v>
      </c>
      <c r="D358" s="55">
        <v>8</v>
      </c>
      <c r="E358" s="56">
        <v>5.5944055944055944E-3</v>
      </c>
    </row>
    <row r="359" spans="2:5" ht="15" customHeight="1">
      <c r="B359" s="77"/>
      <c r="C359" s="54" t="s">
        <v>400</v>
      </c>
      <c r="D359" s="55">
        <v>2</v>
      </c>
      <c r="E359" s="56">
        <v>1.3986013986013986E-3</v>
      </c>
    </row>
    <row r="360" spans="2:5" ht="15" customHeight="1">
      <c r="B360" s="77"/>
      <c r="C360" s="54" t="s">
        <v>94</v>
      </c>
      <c r="D360" s="55">
        <v>5</v>
      </c>
      <c r="E360" s="56">
        <v>3.4965034965034965E-3</v>
      </c>
    </row>
    <row r="361" spans="2:5" ht="15" customHeight="1">
      <c r="B361" s="77"/>
      <c r="C361" s="54" t="s">
        <v>93</v>
      </c>
      <c r="D361" s="55">
        <v>1</v>
      </c>
      <c r="E361" s="56">
        <v>6.993006993006993E-4</v>
      </c>
    </row>
    <row r="362" spans="2:5" ht="15" customHeight="1">
      <c r="B362" s="77"/>
      <c r="C362" s="54" t="s">
        <v>92</v>
      </c>
      <c r="D362" s="55">
        <v>2</v>
      </c>
      <c r="E362" s="56">
        <v>1.3986013986013986E-3</v>
      </c>
    </row>
    <row r="363" spans="2:5" ht="15" customHeight="1">
      <c r="B363" s="77"/>
      <c r="C363" s="54" t="s">
        <v>318</v>
      </c>
      <c r="D363" s="55">
        <v>2</v>
      </c>
      <c r="E363" s="56">
        <v>1.3986013986013986E-3</v>
      </c>
    </row>
    <row r="364" spans="2:5" ht="15" customHeight="1">
      <c r="B364" s="77"/>
      <c r="C364" s="54" t="s">
        <v>401</v>
      </c>
      <c r="D364" s="55">
        <v>2</v>
      </c>
      <c r="E364" s="56">
        <v>1.3986013986013986E-3</v>
      </c>
    </row>
    <row r="365" spans="2:5" ht="15" customHeight="1">
      <c r="B365" s="77"/>
      <c r="C365" s="54" t="s">
        <v>90</v>
      </c>
      <c r="D365" s="55">
        <v>2</v>
      </c>
      <c r="E365" s="56">
        <v>1.3986013986013986E-3</v>
      </c>
    </row>
    <row r="366" spans="2:5" ht="15" customHeight="1">
      <c r="B366" s="77"/>
      <c r="C366" s="54" t="s">
        <v>89</v>
      </c>
      <c r="D366" s="55">
        <v>2</v>
      </c>
      <c r="E366" s="56">
        <v>1.3986013986013986E-3</v>
      </c>
    </row>
    <row r="367" spans="2:5" ht="15" customHeight="1">
      <c r="B367" s="77"/>
      <c r="C367" s="54" t="s">
        <v>509</v>
      </c>
      <c r="D367" s="55">
        <v>2</v>
      </c>
      <c r="E367" s="56">
        <v>1.3986013986013986E-3</v>
      </c>
    </row>
    <row r="368" spans="2:5" ht="15" customHeight="1">
      <c r="B368" s="77"/>
      <c r="C368" s="54" t="s">
        <v>88</v>
      </c>
      <c r="D368" s="55">
        <v>3</v>
      </c>
      <c r="E368" s="56">
        <v>2.0979020979020979E-3</v>
      </c>
    </row>
    <row r="369" spans="2:5" ht="15" customHeight="1">
      <c r="B369" s="77"/>
      <c r="C369" s="54" t="s">
        <v>402</v>
      </c>
      <c r="D369" s="55">
        <v>4</v>
      </c>
      <c r="E369" s="56">
        <v>2.7972027972027972E-3</v>
      </c>
    </row>
    <row r="370" spans="2:5" ht="15" customHeight="1">
      <c r="B370" s="77"/>
      <c r="C370" s="54" t="s">
        <v>87</v>
      </c>
      <c r="D370" s="55">
        <v>2</v>
      </c>
      <c r="E370" s="56">
        <v>1.3986013986013986E-3</v>
      </c>
    </row>
    <row r="371" spans="2:5" ht="15" customHeight="1">
      <c r="B371" s="77"/>
      <c r="C371" s="54" t="s">
        <v>86</v>
      </c>
      <c r="D371" s="55">
        <v>1</v>
      </c>
      <c r="E371" s="56">
        <v>6.993006993006993E-4</v>
      </c>
    </row>
    <row r="372" spans="2:5" ht="15" customHeight="1">
      <c r="B372" s="77"/>
      <c r="C372" s="54" t="s">
        <v>319</v>
      </c>
      <c r="D372" s="55">
        <v>1</v>
      </c>
      <c r="E372" s="56">
        <v>6.993006993006993E-4</v>
      </c>
    </row>
    <row r="373" spans="2:5" ht="15" customHeight="1">
      <c r="B373" s="77"/>
      <c r="C373" s="54" t="s">
        <v>403</v>
      </c>
      <c r="D373" s="55">
        <v>1</v>
      </c>
      <c r="E373" s="56">
        <v>6.993006993006993E-4</v>
      </c>
    </row>
    <row r="374" spans="2:5" ht="15" customHeight="1">
      <c r="B374" s="78"/>
      <c r="C374" s="57" t="s">
        <v>15</v>
      </c>
      <c r="D374" s="58">
        <v>479</v>
      </c>
      <c r="E374" s="59">
        <v>0.33496503496503499</v>
      </c>
    </row>
    <row r="375" spans="2:5" ht="15" customHeight="1">
      <c r="B375" s="76" t="s">
        <v>28</v>
      </c>
      <c r="C375" s="54" t="s">
        <v>320</v>
      </c>
      <c r="D375" s="55">
        <v>1</v>
      </c>
      <c r="E375" s="56">
        <v>6.993006993006993E-4</v>
      </c>
    </row>
    <row r="376" spans="2:5" ht="15" customHeight="1">
      <c r="B376" s="77"/>
      <c r="C376" s="54" t="s">
        <v>510</v>
      </c>
      <c r="D376" s="55">
        <v>1</v>
      </c>
      <c r="E376" s="56">
        <v>6.993006993006993E-4</v>
      </c>
    </row>
    <row r="377" spans="2:5" ht="15" customHeight="1">
      <c r="B377" s="77"/>
      <c r="C377" s="54" t="s">
        <v>28</v>
      </c>
      <c r="D377" s="55">
        <v>1</v>
      </c>
      <c r="E377" s="56">
        <v>6.993006993006993E-4</v>
      </c>
    </row>
    <row r="378" spans="2:5" ht="15" customHeight="1">
      <c r="B378" s="77"/>
      <c r="C378" s="54" t="s">
        <v>511</v>
      </c>
      <c r="D378" s="55">
        <v>1</v>
      </c>
      <c r="E378" s="56">
        <v>6.993006993006993E-4</v>
      </c>
    </row>
    <row r="379" spans="2:5" ht="15" customHeight="1">
      <c r="B379" s="78"/>
      <c r="C379" s="57" t="s">
        <v>15</v>
      </c>
      <c r="D379" s="58">
        <v>4</v>
      </c>
      <c r="E379" s="59">
        <v>2.7972027972027972E-3</v>
      </c>
    </row>
    <row r="380" spans="2:5" ht="15" customHeight="1">
      <c r="B380" s="76" t="s">
        <v>17</v>
      </c>
      <c r="C380" s="54" t="s">
        <v>512</v>
      </c>
      <c r="D380" s="55">
        <v>1</v>
      </c>
      <c r="E380" s="56">
        <v>6.993006993006993E-4</v>
      </c>
    </row>
    <row r="381" spans="2:5" ht="15" customHeight="1">
      <c r="B381" s="78"/>
      <c r="C381" s="57" t="s">
        <v>15</v>
      </c>
      <c r="D381" s="58">
        <v>1</v>
      </c>
      <c r="E381" s="59">
        <v>6.993006993006993E-4</v>
      </c>
    </row>
    <row r="382" spans="2:5" ht="15" customHeight="1">
      <c r="B382" s="76" t="s">
        <v>29</v>
      </c>
      <c r="C382" s="54" t="s">
        <v>404</v>
      </c>
      <c r="D382" s="55">
        <v>1</v>
      </c>
      <c r="E382" s="56">
        <v>6.993006993006993E-4</v>
      </c>
    </row>
    <row r="383" spans="2:5" ht="15" customHeight="1">
      <c r="B383" s="77"/>
      <c r="C383" s="54" t="s">
        <v>513</v>
      </c>
      <c r="D383" s="55">
        <v>1</v>
      </c>
      <c r="E383" s="56">
        <v>6.993006993006993E-4</v>
      </c>
    </row>
    <row r="384" spans="2:5" ht="15" customHeight="1">
      <c r="B384" s="77"/>
      <c r="C384" s="54" t="s">
        <v>405</v>
      </c>
      <c r="D384" s="55">
        <v>2</v>
      </c>
      <c r="E384" s="56">
        <v>1.3986013986013986E-3</v>
      </c>
    </row>
    <row r="385" spans="2:5" ht="15" customHeight="1">
      <c r="B385" s="77"/>
      <c r="C385" s="54" t="s">
        <v>321</v>
      </c>
      <c r="D385" s="55">
        <v>1</v>
      </c>
      <c r="E385" s="56">
        <v>6.993006993006993E-4</v>
      </c>
    </row>
    <row r="386" spans="2:5" ht="15" customHeight="1">
      <c r="B386" s="77"/>
      <c r="C386" s="54" t="s">
        <v>29</v>
      </c>
      <c r="D386" s="55">
        <v>1</v>
      </c>
      <c r="E386" s="56">
        <v>6.993006993006993E-4</v>
      </c>
    </row>
    <row r="387" spans="2:5" ht="15" customHeight="1">
      <c r="B387" s="77"/>
      <c r="C387" s="54" t="s">
        <v>514</v>
      </c>
      <c r="D387" s="55">
        <v>1</v>
      </c>
      <c r="E387" s="56">
        <v>6.993006993006993E-4</v>
      </c>
    </row>
    <row r="388" spans="2:5" ht="15" customHeight="1">
      <c r="B388" s="77"/>
      <c r="C388" s="54" t="s">
        <v>515</v>
      </c>
      <c r="D388" s="55">
        <v>1</v>
      </c>
      <c r="E388" s="56">
        <v>6.993006993006993E-4</v>
      </c>
    </row>
    <row r="389" spans="2:5" ht="15" customHeight="1">
      <c r="B389" s="77"/>
      <c r="C389" s="54" t="s">
        <v>516</v>
      </c>
      <c r="D389" s="55">
        <v>1</v>
      </c>
      <c r="E389" s="56">
        <v>6.993006993006993E-4</v>
      </c>
    </row>
    <row r="390" spans="2:5" ht="15" customHeight="1">
      <c r="B390" s="77"/>
      <c r="C390" s="54" t="s">
        <v>517</v>
      </c>
      <c r="D390" s="55">
        <v>1</v>
      </c>
      <c r="E390" s="56">
        <v>6.993006993006993E-4</v>
      </c>
    </row>
    <row r="391" spans="2:5" ht="15" customHeight="1">
      <c r="B391" s="78"/>
      <c r="C391" s="57" t="s">
        <v>15</v>
      </c>
      <c r="D391" s="58">
        <v>10</v>
      </c>
      <c r="E391" s="59">
        <v>6.993006993006993E-3</v>
      </c>
    </row>
    <row r="392" spans="2:5" ht="15" customHeight="1">
      <c r="B392" s="76" t="s">
        <v>21</v>
      </c>
      <c r="C392" s="54" t="s">
        <v>406</v>
      </c>
      <c r="D392" s="55">
        <v>1</v>
      </c>
      <c r="E392" s="56">
        <v>6.993006993006993E-4</v>
      </c>
    </row>
    <row r="393" spans="2:5" ht="15" customHeight="1">
      <c r="B393" s="77"/>
      <c r="C393" s="54" t="s">
        <v>84</v>
      </c>
      <c r="D393" s="55">
        <v>3</v>
      </c>
      <c r="E393" s="56">
        <v>2.0979020979020979E-3</v>
      </c>
    </row>
    <row r="394" spans="2:5" ht="15" customHeight="1">
      <c r="B394" s="77"/>
      <c r="C394" s="54" t="s">
        <v>322</v>
      </c>
      <c r="D394" s="55">
        <v>2</v>
      </c>
      <c r="E394" s="56">
        <v>1.3986013986013986E-3</v>
      </c>
    </row>
    <row r="395" spans="2:5" ht="15" customHeight="1">
      <c r="B395" s="77"/>
      <c r="C395" s="54" t="s">
        <v>518</v>
      </c>
      <c r="D395" s="55">
        <v>1</v>
      </c>
      <c r="E395" s="56">
        <v>6.993006993006993E-4</v>
      </c>
    </row>
    <row r="396" spans="2:5" ht="15" customHeight="1">
      <c r="B396" s="77"/>
      <c r="C396" s="54" t="s">
        <v>519</v>
      </c>
      <c r="D396" s="55">
        <v>1</v>
      </c>
      <c r="E396" s="56">
        <v>6.993006993006993E-4</v>
      </c>
    </row>
    <row r="397" spans="2:5" ht="15" customHeight="1">
      <c r="B397" s="78"/>
      <c r="C397" s="57" t="s">
        <v>15</v>
      </c>
      <c r="D397" s="58">
        <v>8</v>
      </c>
      <c r="E397" s="59">
        <v>5.5944055944055944E-3</v>
      </c>
    </row>
    <row r="398" spans="2:5" ht="15" customHeight="1">
      <c r="B398" s="76" t="s">
        <v>302</v>
      </c>
      <c r="C398" s="54" t="s">
        <v>407</v>
      </c>
      <c r="D398" s="55">
        <v>1</v>
      </c>
      <c r="E398" s="56">
        <v>6.993006993006993E-4</v>
      </c>
    </row>
    <row r="399" spans="2:5" ht="15" customHeight="1">
      <c r="B399" s="77"/>
      <c r="C399" s="54" t="s">
        <v>520</v>
      </c>
      <c r="D399" s="55">
        <v>2</v>
      </c>
      <c r="E399" s="56">
        <v>1.3986013986013986E-3</v>
      </c>
    </row>
    <row r="400" spans="2:5" ht="15" customHeight="1">
      <c r="B400" s="78"/>
      <c r="C400" s="57" t="s">
        <v>15</v>
      </c>
      <c r="D400" s="58">
        <v>3</v>
      </c>
      <c r="E400" s="59">
        <v>2.0979020979020979E-3</v>
      </c>
    </row>
    <row r="401" spans="2:5" ht="15" customHeight="1">
      <c r="B401" s="76" t="s">
        <v>26</v>
      </c>
      <c r="C401" s="54" t="s">
        <v>521</v>
      </c>
      <c r="D401" s="55">
        <v>2</v>
      </c>
      <c r="E401" s="56">
        <v>1.3986013986013986E-3</v>
      </c>
    </row>
    <row r="402" spans="2:5" ht="15" customHeight="1">
      <c r="B402" s="77"/>
      <c r="C402" s="54" t="s">
        <v>83</v>
      </c>
      <c r="D402" s="55">
        <v>1</v>
      </c>
      <c r="E402" s="56">
        <v>6.993006993006993E-4</v>
      </c>
    </row>
    <row r="403" spans="2:5" ht="15" customHeight="1">
      <c r="B403" s="77"/>
      <c r="C403" s="54" t="s">
        <v>408</v>
      </c>
      <c r="D403" s="55">
        <v>1</v>
      </c>
      <c r="E403" s="56">
        <v>6.993006993006993E-4</v>
      </c>
    </row>
    <row r="404" spans="2:5" ht="15" customHeight="1">
      <c r="B404" s="78"/>
      <c r="C404" s="57" t="s">
        <v>15</v>
      </c>
      <c r="D404" s="58">
        <v>4</v>
      </c>
      <c r="E404" s="59">
        <v>2.7972027972027972E-3</v>
      </c>
    </row>
    <row r="405" spans="2:5" ht="15" customHeight="1">
      <c r="B405" s="76" t="s">
        <v>27</v>
      </c>
      <c r="C405" s="54" t="s">
        <v>522</v>
      </c>
      <c r="D405" s="55">
        <v>1</v>
      </c>
      <c r="E405" s="56">
        <v>6.993006993006993E-4</v>
      </c>
    </row>
    <row r="406" spans="2:5" ht="15" customHeight="1">
      <c r="B406" s="77"/>
      <c r="C406" s="54" t="s">
        <v>523</v>
      </c>
      <c r="D406" s="55">
        <v>1</v>
      </c>
      <c r="E406" s="56">
        <v>6.993006993006993E-4</v>
      </c>
    </row>
    <row r="407" spans="2:5" ht="15" customHeight="1">
      <c r="B407" s="77"/>
      <c r="C407" s="54" t="s">
        <v>524</v>
      </c>
      <c r="D407" s="55">
        <v>1</v>
      </c>
      <c r="E407" s="56">
        <v>6.993006993006993E-4</v>
      </c>
    </row>
    <row r="408" spans="2:5" ht="15" customHeight="1">
      <c r="B408" s="77"/>
      <c r="C408" s="54" t="s">
        <v>525</v>
      </c>
      <c r="D408" s="55">
        <v>1</v>
      </c>
      <c r="E408" s="56">
        <v>6.993006993006993E-4</v>
      </c>
    </row>
    <row r="409" spans="2:5" ht="15" customHeight="1">
      <c r="B409" s="77"/>
      <c r="C409" s="54" t="s">
        <v>526</v>
      </c>
      <c r="D409" s="55">
        <v>2</v>
      </c>
      <c r="E409" s="56">
        <v>1.3986013986013986E-3</v>
      </c>
    </row>
    <row r="410" spans="2:5" ht="15" customHeight="1">
      <c r="B410" s="77"/>
      <c r="C410" s="54" t="s">
        <v>82</v>
      </c>
      <c r="D410" s="55">
        <v>1</v>
      </c>
      <c r="E410" s="56">
        <v>6.993006993006993E-4</v>
      </c>
    </row>
    <row r="411" spans="2:5" ht="15" customHeight="1">
      <c r="B411" s="78"/>
      <c r="C411" s="57" t="s">
        <v>15</v>
      </c>
      <c r="D411" s="58">
        <v>7</v>
      </c>
      <c r="E411" s="59">
        <v>4.8951048951048955E-3</v>
      </c>
    </row>
    <row r="412" spans="2:5" ht="15" customHeight="1">
      <c r="B412" s="76" t="s">
        <v>41</v>
      </c>
      <c r="C412" s="54" t="s">
        <v>81</v>
      </c>
      <c r="D412" s="55">
        <v>1</v>
      </c>
      <c r="E412" s="56">
        <v>6.993006993006993E-4</v>
      </c>
    </row>
    <row r="413" spans="2:5" ht="15" customHeight="1">
      <c r="B413" s="77"/>
      <c r="C413" s="54" t="s">
        <v>80</v>
      </c>
      <c r="D413" s="55">
        <v>3</v>
      </c>
      <c r="E413" s="56">
        <v>2.0979020979020979E-3</v>
      </c>
    </row>
    <row r="414" spans="2:5" ht="15" customHeight="1">
      <c r="B414" s="77"/>
      <c r="C414" s="54" t="s">
        <v>79</v>
      </c>
      <c r="D414" s="55">
        <v>25</v>
      </c>
      <c r="E414" s="56">
        <v>1.7482517482517484E-2</v>
      </c>
    </row>
    <row r="415" spans="2:5" ht="15" customHeight="1">
      <c r="B415" s="77"/>
      <c r="C415" s="54" t="s">
        <v>527</v>
      </c>
      <c r="D415" s="55">
        <v>2</v>
      </c>
      <c r="E415" s="56">
        <v>1.3986013986013986E-3</v>
      </c>
    </row>
    <row r="416" spans="2:5" ht="15" customHeight="1">
      <c r="B416" s="77"/>
      <c r="C416" s="54" t="s">
        <v>78</v>
      </c>
      <c r="D416" s="55">
        <v>1</v>
      </c>
      <c r="E416" s="56">
        <v>6.993006993006993E-4</v>
      </c>
    </row>
    <row r="417" spans="2:5" ht="15" customHeight="1">
      <c r="B417" s="77"/>
      <c r="C417" s="54" t="s">
        <v>77</v>
      </c>
      <c r="D417" s="55">
        <v>1</v>
      </c>
      <c r="E417" s="56">
        <v>6.993006993006993E-4</v>
      </c>
    </row>
    <row r="418" spans="2:5" ht="15" customHeight="1">
      <c r="B418" s="77"/>
      <c r="C418" s="54" t="s">
        <v>323</v>
      </c>
      <c r="D418" s="55">
        <v>1</v>
      </c>
      <c r="E418" s="56">
        <v>6.993006993006993E-4</v>
      </c>
    </row>
    <row r="419" spans="2:5" ht="15" customHeight="1">
      <c r="B419" s="77"/>
      <c r="C419" s="54" t="s">
        <v>75</v>
      </c>
      <c r="D419" s="55">
        <v>1</v>
      </c>
      <c r="E419" s="56">
        <v>6.993006993006993E-4</v>
      </c>
    </row>
    <row r="420" spans="2:5" ht="15" customHeight="1">
      <c r="B420" s="77"/>
      <c r="C420" s="54" t="s">
        <v>74</v>
      </c>
      <c r="D420" s="55">
        <v>22</v>
      </c>
      <c r="E420" s="56">
        <v>1.5384615384615385E-2</v>
      </c>
    </row>
    <row r="421" spans="2:5" ht="15" customHeight="1">
      <c r="B421" s="77"/>
      <c r="C421" s="54" t="s">
        <v>73</v>
      </c>
      <c r="D421" s="55">
        <v>6</v>
      </c>
      <c r="E421" s="56">
        <v>4.1958041958041958E-3</v>
      </c>
    </row>
    <row r="422" spans="2:5" ht="15" customHeight="1">
      <c r="B422" s="77"/>
      <c r="C422" s="54" t="s">
        <v>72</v>
      </c>
      <c r="D422" s="55">
        <v>2</v>
      </c>
      <c r="E422" s="56">
        <v>1.3986013986013986E-3</v>
      </c>
    </row>
    <row r="423" spans="2:5" ht="15" customHeight="1">
      <c r="B423" s="77"/>
      <c r="C423" s="54" t="s">
        <v>71</v>
      </c>
      <c r="D423" s="55">
        <v>1</v>
      </c>
      <c r="E423" s="56">
        <v>6.993006993006993E-4</v>
      </c>
    </row>
    <row r="424" spans="2:5" ht="15" customHeight="1">
      <c r="B424" s="77"/>
      <c r="C424" s="54" t="s">
        <v>528</v>
      </c>
      <c r="D424" s="55">
        <v>2</v>
      </c>
      <c r="E424" s="56">
        <v>1.3986013986013986E-3</v>
      </c>
    </row>
    <row r="425" spans="2:5" ht="15" customHeight="1">
      <c r="B425" s="77"/>
      <c r="C425" s="54" t="s">
        <v>70</v>
      </c>
      <c r="D425" s="55">
        <v>1</v>
      </c>
      <c r="E425" s="56">
        <v>6.993006993006993E-4</v>
      </c>
    </row>
    <row r="426" spans="2:5" ht="15" customHeight="1">
      <c r="B426" s="77"/>
      <c r="C426" s="54" t="s">
        <v>69</v>
      </c>
      <c r="D426" s="55">
        <v>7</v>
      </c>
      <c r="E426" s="56">
        <v>4.8951048951048955E-3</v>
      </c>
    </row>
    <row r="427" spans="2:5" ht="15" customHeight="1">
      <c r="B427" s="77"/>
      <c r="C427" s="54" t="s">
        <v>68</v>
      </c>
      <c r="D427" s="55">
        <v>1</v>
      </c>
      <c r="E427" s="56">
        <v>6.993006993006993E-4</v>
      </c>
    </row>
    <row r="428" spans="2:5" ht="15" customHeight="1">
      <c r="B428" s="77"/>
      <c r="C428" s="54" t="s">
        <v>529</v>
      </c>
      <c r="D428" s="55">
        <v>2</v>
      </c>
      <c r="E428" s="56">
        <v>1.3986013986013986E-3</v>
      </c>
    </row>
    <row r="429" spans="2:5" ht="15" customHeight="1">
      <c r="B429" s="77"/>
      <c r="C429" s="54" t="s">
        <v>530</v>
      </c>
      <c r="D429" s="55">
        <v>1</v>
      </c>
      <c r="E429" s="56">
        <v>6.993006993006993E-4</v>
      </c>
    </row>
    <row r="430" spans="2:5" ht="15" customHeight="1">
      <c r="B430" s="77"/>
      <c r="C430" s="54" t="s">
        <v>531</v>
      </c>
      <c r="D430" s="55">
        <v>1</v>
      </c>
      <c r="E430" s="56">
        <v>6.993006993006993E-4</v>
      </c>
    </row>
    <row r="431" spans="2:5" ht="15" customHeight="1">
      <c r="B431" s="77"/>
      <c r="C431" s="54" t="s">
        <v>67</v>
      </c>
      <c r="D431" s="55">
        <v>2</v>
      </c>
      <c r="E431" s="56">
        <v>1.3986013986013986E-3</v>
      </c>
    </row>
    <row r="432" spans="2:5" ht="15" customHeight="1">
      <c r="B432" s="77"/>
      <c r="C432" s="54" t="s">
        <v>66</v>
      </c>
      <c r="D432" s="55">
        <v>6</v>
      </c>
      <c r="E432" s="56">
        <v>4.1958041958041958E-3</v>
      </c>
    </row>
    <row r="433" spans="2:5" ht="15" customHeight="1">
      <c r="B433" s="77"/>
      <c r="C433" s="54" t="s">
        <v>409</v>
      </c>
      <c r="D433" s="55">
        <v>2</v>
      </c>
      <c r="E433" s="56">
        <v>1.3986013986013986E-3</v>
      </c>
    </row>
    <row r="434" spans="2:5" ht="15" customHeight="1">
      <c r="B434" s="77"/>
      <c r="C434" s="54" t="s">
        <v>65</v>
      </c>
      <c r="D434" s="55">
        <v>28</v>
      </c>
      <c r="E434" s="56">
        <v>1.9580419580419582E-2</v>
      </c>
    </row>
    <row r="435" spans="2:5" ht="15" customHeight="1">
      <c r="B435" s="77"/>
      <c r="C435" s="54" t="s">
        <v>41</v>
      </c>
      <c r="D435" s="55">
        <v>35</v>
      </c>
      <c r="E435" s="56">
        <v>2.4475524475524476E-2</v>
      </c>
    </row>
    <row r="436" spans="2:5" ht="15" customHeight="1">
      <c r="B436" s="77"/>
      <c r="C436" s="54" t="s">
        <v>400</v>
      </c>
      <c r="D436" s="55">
        <v>3</v>
      </c>
      <c r="E436" s="56">
        <v>2.0979020979020979E-3</v>
      </c>
    </row>
    <row r="437" spans="2:5" ht="15" customHeight="1">
      <c r="B437" s="77"/>
      <c r="C437" s="54" t="s">
        <v>410</v>
      </c>
      <c r="D437" s="55">
        <v>1</v>
      </c>
      <c r="E437" s="56">
        <v>6.993006993006993E-4</v>
      </c>
    </row>
    <row r="438" spans="2:5" ht="15" customHeight="1">
      <c r="B438" s="77"/>
      <c r="C438" s="54" t="s">
        <v>532</v>
      </c>
      <c r="D438" s="55">
        <v>1</v>
      </c>
      <c r="E438" s="56">
        <v>6.993006993006993E-4</v>
      </c>
    </row>
    <row r="439" spans="2:5" ht="15" customHeight="1">
      <c r="B439" s="77"/>
      <c r="C439" s="54" t="s">
        <v>411</v>
      </c>
      <c r="D439" s="55">
        <v>1</v>
      </c>
      <c r="E439" s="56">
        <v>6.993006993006993E-4</v>
      </c>
    </row>
    <row r="440" spans="2:5" ht="15" customHeight="1">
      <c r="B440" s="77"/>
      <c r="C440" s="54" t="s">
        <v>533</v>
      </c>
      <c r="D440" s="55">
        <v>1</v>
      </c>
      <c r="E440" s="56">
        <v>6.993006993006993E-4</v>
      </c>
    </row>
    <row r="441" spans="2:5" ht="15" customHeight="1">
      <c r="B441" s="77"/>
      <c r="C441" s="54" t="s">
        <v>64</v>
      </c>
      <c r="D441" s="55">
        <v>2</v>
      </c>
      <c r="E441" s="56">
        <v>1.3986013986013986E-3</v>
      </c>
    </row>
    <row r="442" spans="2:5" ht="15" customHeight="1">
      <c r="B442" s="77"/>
      <c r="C442" s="54" t="s">
        <v>534</v>
      </c>
      <c r="D442" s="55">
        <v>1</v>
      </c>
      <c r="E442" s="56">
        <v>6.993006993006993E-4</v>
      </c>
    </row>
    <row r="443" spans="2:5" ht="15" customHeight="1">
      <c r="B443" s="77"/>
      <c r="C443" s="54" t="s">
        <v>63</v>
      </c>
      <c r="D443" s="55">
        <v>39</v>
      </c>
      <c r="E443" s="56">
        <v>2.7272727272727271E-2</v>
      </c>
    </row>
    <row r="444" spans="2:5" ht="15" customHeight="1">
      <c r="B444" s="78"/>
      <c r="C444" s="57" t="s">
        <v>15</v>
      </c>
      <c r="D444" s="58">
        <v>203</v>
      </c>
      <c r="E444" s="59">
        <v>0.14195804195804196</v>
      </c>
    </row>
    <row r="445" spans="2:5" ht="15" customHeight="1">
      <c r="B445" s="76" t="s">
        <v>36</v>
      </c>
      <c r="C445" s="54" t="s">
        <v>62</v>
      </c>
      <c r="D445" s="55">
        <v>1</v>
      </c>
      <c r="E445" s="56">
        <v>6.993006993006993E-4</v>
      </c>
    </row>
    <row r="446" spans="2:5" ht="15" customHeight="1">
      <c r="B446" s="77"/>
      <c r="C446" s="54" t="s">
        <v>61</v>
      </c>
      <c r="D446" s="55">
        <v>1</v>
      </c>
      <c r="E446" s="56">
        <v>6.993006993006993E-4</v>
      </c>
    </row>
    <row r="447" spans="2:5" ht="15" customHeight="1">
      <c r="B447" s="77"/>
      <c r="C447" s="54" t="s">
        <v>412</v>
      </c>
      <c r="D447" s="55">
        <v>1</v>
      </c>
      <c r="E447" s="56">
        <v>6.993006993006993E-4</v>
      </c>
    </row>
    <row r="448" spans="2:5" ht="15" customHeight="1">
      <c r="B448" s="77"/>
      <c r="C448" s="54" t="s">
        <v>535</v>
      </c>
      <c r="D448" s="55">
        <v>2</v>
      </c>
      <c r="E448" s="56">
        <v>1.3986013986013986E-3</v>
      </c>
    </row>
    <row r="449" spans="2:5" ht="15" customHeight="1">
      <c r="B449" s="77"/>
      <c r="C449" s="54" t="s">
        <v>413</v>
      </c>
      <c r="D449" s="55">
        <v>1</v>
      </c>
      <c r="E449" s="56">
        <v>6.993006993006993E-4</v>
      </c>
    </row>
    <row r="450" spans="2:5" ht="15" customHeight="1">
      <c r="B450" s="77"/>
      <c r="C450" s="54" t="s">
        <v>536</v>
      </c>
      <c r="D450" s="55">
        <v>1</v>
      </c>
      <c r="E450" s="56">
        <v>6.993006993006993E-4</v>
      </c>
    </row>
    <row r="451" spans="2:5" ht="15" customHeight="1">
      <c r="B451" s="77"/>
      <c r="C451" s="54" t="s">
        <v>537</v>
      </c>
      <c r="D451" s="55">
        <v>1</v>
      </c>
      <c r="E451" s="56">
        <v>6.993006993006993E-4</v>
      </c>
    </row>
    <row r="452" spans="2:5" ht="15" customHeight="1">
      <c r="B452" s="77"/>
      <c r="C452" s="54" t="s">
        <v>538</v>
      </c>
      <c r="D452" s="55">
        <v>1</v>
      </c>
      <c r="E452" s="56">
        <v>6.993006993006993E-4</v>
      </c>
    </row>
    <row r="453" spans="2:5" ht="15" customHeight="1">
      <c r="B453" s="77"/>
      <c r="C453" s="54" t="s">
        <v>60</v>
      </c>
      <c r="D453" s="55">
        <v>3</v>
      </c>
      <c r="E453" s="56">
        <v>2.0979020979020979E-3</v>
      </c>
    </row>
    <row r="454" spans="2:5" ht="15" customHeight="1">
      <c r="B454" s="77"/>
      <c r="C454" s="54" t="s">
        <v>414</v>
      </c>
      <c r="D454" s="55">
        <v>1</v>
      </c>
      <c r="E454" s="56">
        <v>6.993006993006993E-4</v>
      </c>
    </row>
    <row r="455" spans="2:5" ht="15" customHeight="1">
      <c r="B455" s="77"/>
      <c r="C455" s="54" t="s">
        <v>59</v>
      </c>
      <c r="D455" s="55">
        <v>2</v>
      </c>
      <c r="E455" s="56">
        <v>1.3986013986013986E-3</v>
      </c>
    </row>
    <row r="456" spans="2:5" ht="15" customHeight="1">
      <c r="B456" s="77"/>
      <c r="C456" s="54" t="s">
        <v>539</v>
      </c>
      <c r="D456" s="55">
        <v>3</v>
      </c>
      <c r="E456" s="56">
        <v>2.0979020979020979E-3</v>
      </c>
    </row>
    <row r="457" spans="2:5" ht="15" customHeight="1">
      <c r="B457" s="77"/>
      <c r="C457" s="54" t="s">
        <v>415</v>
      </c>
      <c r="D457" s="55">
        <v>1</v>
      </c>
      <c r="E457" s="56">
        <v>6.993006993006993E-4</v>
      </c>
    </row>
    <row r="458" spans="2:5" ht="15" customHeight="1">
      <c r="B458" s="77"/>
      <c r="C458" s="54" t="s">
        <v>540</v>
      </c>
      <c r="D458" s="55">
        <v>1</v>
      </c>
      <c r="E458" s="56">
        <v>6.993006993006993E-4</v>
      </c>
    </row>
    <row r="459" spans="2:5" ht="15" customHeight="1">
      <c r="B459" s="77"/>
      <c r="C459" s="54" t="s">
        <v>541</v>
      </c>
      <c r="D459" s="55">
        <v>2</v>
      </c>
      <c r="E459" s="56">
        <v>1.3986013986013986E-3</v>
      </c>
    </row>
    <row r="460" spans="2:5" ht="15" customHeight="1">
      <c r="B460" s="77"/>
      <c r="C460" s="54" t="s">
        <v>416</v>
      </c>
      <c r="D460" s="55">
        <v>1</v>
      </c>
      <c r="E460" s="56">
        <v>6.993006993006993E-4</v>
      </c>
    </row>
    <row r="461" spans="2:5" ht="15" customHeight="1">
      <c r="B461" s="77"/>
      <c r="C461" s="54" t="s">
        <v>58</v>
      </c>
      <c r="D461" s="55">
        <v>2</v>
      </c>
      <c r="E461" s="56">
        <v>1.3986013986013986E-3</v>
      </c>
    </row>
    <row r="462" spans="2:5" ht="15" customHeight="1">
      <c r="B462" s="77"/>
      <c r="C462" s="54" t="s">
        <v>324</v>
      </c>
      <c r="D462" s="55">
        <v>2</v>
      </c>
      <c r="E462" s="56">
        <v>1.3986013986013986E-3</v>
      </c>
    </row>
    <row r="463" spans="2:5" ht="15" customHeight="1">
      <c r="B463" s="77"/>
      <c r="C463" s="54" t="s">
        <v>542</v>
      </c>
      <c r="D463" s="55">
        <v>1</v>
      </c>
      <c r="E463" s="56">
        <v>6.993006993006993E-4</v>
      </c>
    </row>
    <row r="464" spans="2:5" ht="15" customHeight="1">
      <c r="B464" s="77"/>
      <c r="C464" s="54" t="s">
        <v>417</v>
      </c>
      <c r="D464" s="55">
        <v>1</v>
      </c>
      <c r="E464" s="56">
        <v>6.993006993006993E-4</v>
      </c>
    </row>
    <row r="465" spans="2:5" ht="15" customHeight="1">
      <c r="B465" s="77"/>
      <c r="C465" s="54" t="s">
        <v>57</v>
      </c>
      <c r="D465" s="55">
        <v>11</v>
      </c>
      <c r="E465" s="56">
        <v>7.6923076923076927E-3</v>
      </c>
    </row>
    <row r="466" spans="2:5" ht="15" customHeight="1">
      <c r="B466" s="77"/>
      <c r="C466" s="54" t="s">
        <v>56</v>
      </c>
      <c r="D466" s="55">
        <v>1</v>
      </c>
      <c r="E466" s="56">
        <v>6.993006993006993E-4</v>
      </c>
    </row>
    <row r="467" spans="2:5" ht="15" customHeight="1">
      <c r="B467" s="77"/>
      <c r="C467" s="54" t="s">
        <v>55</v>
      </c>
      <c r="D467" s="55">
        <v>1</v>
      </c>
      <c r="E467" s="56">
        <v>6.993006993006993E-4</v>
      </c>
    </row>
    <row r="468" spans="2:5" ht="15" customHeight="1">
      <c r="B468" s="77"/>
      <c r="C468" s="54" t="s">
        <v>54</v>
      </c>
      <c r="D468" s="55">
        <v>1</v>
      </c>
      <c r="E468" s="56">
        <v>6.993006993006993E-4</v>
      </c>
    </row>
    <row r="469" spans="2:5" ht="15" customHeight="1">
      <c r="B469" s="77"/>
      <c r="C469" s="54" t="s">
        <v>53</v>
      </c>
      <c r="D469" s="55">
        <v>1</v>
      </c>
      <c r="E469" s="56">
        <v>6.993006993006993E-4</v>
      </c>
    </row>
    <row r="470" spans="2:5" ht="15" customHeight="1">
      <c r="B470" s="77"/>
      <c r="C470" s="54" t="s">
        <v>52</v>
      </c>
      <c r="D470" s="55">
        <v>4</v>
      </c>
      <c r="E470" s="56">
        <v>2.7972027972027972E-3</v>
      </c>
    </row>
    <row r="471" spans="2:5" ht="15" customHeight="1">
      <c r="B471" s="77"/>
      <c r="C471" s="54" t="s">
        <v>543</v>
      </c>
      <c r="D471" s="55">
        <v>1</v>
      </c>
      <c r="E471" s="56">
        <v>6.993006993006993E-4</v>
      </c>
    </row>
    <row r="472" spans="2:5" ht="15" customHeight="1">
      <c r="B472" s="77"/>
      <c r="C472" s="54" t="s">
        <v>51</v>
      </c>
      <c r="D472" s="55">
        <v>1</v>
      </c>
      <c r="E472" s="56">
        <v>6.993006993006993E-4</v>
      </c>
    </row>
    <row r="473" spans="2:5" ht="15" customHeight="1">
      <c r="B473" s="77"/>
      <c r="C473" s="54" t="s">
        <v>418</v>
      </c>
      <c r="D473" s="55">
        <v>1</v>
      </c>
      <c r="E473" s="56">
        <v>6.993006993006993E-4</v>
      </c>
    </row>
    <row r="474" spans="2:5" ht="15" customHeight="1">
      <c r="B474" s="77"/>
      <c r="C474" s="54" t="s">
        <v>50</v>
      </c>
      <c r="D474" s="55">
        <v>1</v>
      </c>
      <c r="E474" s="56">
        <v>6.993006993006993E-4</v>
      </c>
    </row>
    <row r="475" spans="2:5" ht="15" customHeight="1">
      <c r="B475" s="77"/>
      <c r="C475" s="54" t="s">
        <v>419</v>
      </c>
      <c r="D475" s="55">
        <v>1</v>
      </c>
      <c r="E475" s="56">
        <v>6.993006993006993E-4</v>
      </c>
    </row>
    <row r="476" spans="2:5" ht="15" customHeight="1">
      <c r="B476" s="77"/>
      <c r="C476" s="54" t="s">
        <v>420</v>
      </c>
      <c r="D476" s="55">
        <v>2</v>
      </c>
      <c r="E476" s="56">
        <v>1.3986013986013986E-3</v>
      </c>
    </row>
    <row r="477" spans="2:5" ht="15" customHeight="1">
      <c r="B477" s="77"/>
      <c r="C477" s="54" t="s">
        <v>421</v>
      </c>
      <c r="D477" s="55">
        <v>1</v>
      </c>
      <c r="E477" s="56">
        <v>6.993006993006993E-4</v>
      </c>
    </row>
    <row r="478" spans="2:5" ht="15" customHeight="1">
      <c r="B478" s="77"/>
      <c r="C478" s="54" t="s">
        <v>544</v>
      </c>
      <c r="D478" s="55">
        <v>1</v>
      </c>
      <c r="E478" s="56">
        <v>6.993006993006993E-4</v>
      </c>
    </row>
    <row r="479" spans="2:5" ht="15" customHeight="1">
      <c r="B479" s="77"/>
      <c r="C479" s="54" t="s">
        <v>49</v>
      </c>
      <c r="D479" s="55">
        <v>3</v>
      </c>
      <c r="E479" s="56">
        <v>2.0979020979020979E-3</v>
      </c>
    </row>
    <row r="480" spans="2:5" ht="15" customHeight="1">
      <c r="B480" s="77"/>
      <c r="C480" s="54" t="s">
        <v>48</v>
      </c>
      <c r="D480" s="55">
        <v>3</v>
      </c>
      <c r="E480" s="56">
        <v>2.0979020979020979E-3</v>
      </c>
    </row>
    <row r="481" spans="2:5" ht="15" customHeight="1">
      <c r="B481" s="77"/>
      <c r="C481" s="54" t="s">
        <v>545</v>
      </c>
      <c r="D481" s="55">
        <v>2</v>
      </c>
      <c r="E481" s="56">
        <v>1.3986013986013986E-3</v>
      </c>
    </row>
    <row r="482" spans="2:5" ht="15" customHeight="1">
      <c r="B482" s="77"/>
      <c r="C482" s="54" t="s">
        <v>422</v>
      </c>
      <c r="D482" s="55">
        <v>2</v>
      </c>
      <c r="E482" s="56">
        <v>1.3986013986013986E-3</v>
      </c>
    </row>
    <row r="483" spans="2:5" ht="15" customHeight="1">
      <c r="B483" s="77"/>
      <c r="C483" s="54" t="s">
        <v>47</v>
      </c>
      <c r="D483" s="55">
        <v>2</v>
      </c>
      <c r="E483" s="56">
        <v>1.3986013986013986E-3</v>
      </c>
    </row>
    <row r="484" spans="2:5" ht="15" customHeight="1">
      <c r="B484" s="77"/>
      <c r="C484" s="54" t="s">
        <v>36</v>
      </c>
      <c r="D484" s="55">
        <v>11</v>
      </c>
      <c r="E484" s="56">
        <v>7.6923076923076927E-3</v>
      </c>
    </row>
    <row r="485" spans="2:5" ht="15" customHeight="1">
      <c r="B485" s="77"/>
      <c r="C485" s="54" t="s">
        <v>46</v>
      </c>
      <c r="D485" s="55">
        <v>1</v>
      </c>
      <c r="E485" s="56">
        <v>6.993006993006993E-4</v>
      </c>
    </row>
    <row r="486" spans="2:5" ht="15" customHeight="1">
      <c r="B486" s="78"/>
      <c r="C486" s="57" t="s">
        <v>15</v>
      </c>
      <c r="D486" s="58">
        <v>81</v>
      </c>
      <c r="E486" s="59">
        <v>5.6643356643356645E-2</v>
      </c>
    </row>
    <row r="487" spans="2:5" ht="15" customHeight="1">
      <c r="B487" s="76" t="s">
        <v>16</v>
      </c>
      <c r="C487" s="54" t="s">
        <v>546</v>
      </c>
      <c r="D487" s="55">
        <v>1</v>
      </c>
      <c r="E487" s="56">
        <v>6.993006993006993E-4</v>
      </c>
    </row>
    <row r="488" spans="2:5" ht="15" customHeight="1">
      <c r="B488" s="78"/>
      <c r="C488" s="57" t="s">
        <v>15</v>
      </c>
      <c r="D488" s="58">
        <v>1</v>
      </c>
      <c r="E488" s="59">
        <v>6.993006993006993E-4</v>
      </c>
    </row>
    <row r="489" spans="2:5" ht="15" customHeight="1">
      <c r="B489" s="76" t="s">
        <v>24</v>
      </c>
      <c r="C489" s="54" t="s">
        <v>547</v>
      </c>
      <c r="D489" s="55">
        <v>1</v>
      </c>
      <c r="E489" s="56">
        <v>6.993006993006993E-4</v>
      </c>
    </row>
    <row r="490" spans="2:5" ht="15" customHeight="1">
      <c r="B490" s="77"/>
      <c r="C490" s="54" t="s">
        <v>548</v>
      </c>
      <c r="D490" s="55">
        <v>1</v>
      </c>
      <c r="E490" s="56">
        <v>6.993006993006993E-4</v>
      </c>
    </row>
    <row r="491" spans="2:5" ht="15" customHeight="1">
      <c r="B491" s="78"/>
      <c r="C491" s="57" t="s">
        <v>15</v>
      </c>
      <c r="D491" s="58">
        <v>2</v>
      </c>
      <c r="E491" s="59">
        <v>1.3986013986013986E-3</v>
      </c>
    </row>
    <row r="492" spans="2:5" ht="15" customHeight="1">
      <c r="B492" s="79" t="s">
        <v>15</v>
      </c>
      <c r="C492" s="80"/>
      <c r="D492" s="60">
        <f>SUMIF(C$10:C491,"Total",D$10:D491)</f>
        <v>1430</v>
      </c>
      <c r="E492" s="61">
        <v>1</v>
      </c>
    </row>
    <row r="493" spans="2:5" ht="15" customHeight="1">
      <c r="B493" s="62"/>
      <c r="C493" s="62"/>
      <c r="D493" s="62"/>
      <c r="E493" s="62"/>
    </row>
    <row r="494" spans="2:5" ht="15" customHeight="1">
      <c r="B494" s="63" t="s">
        <v>549</v>
      </c>
      <c r="C494" s="62"/>
      <c r="D494" s="62"/>
      <c r="E494" s="62"/>
    </row>
    <row r="495" spans="2:5" ht="15" customHeight="1">
      <c r="B495" s="64" t="s">
        <v>14</v>
      </c>
      <c r="C495" s="62"/>
      <c r="D495" s="62"/>
      <c r="E495" s="62"/>
    </row>
    <row r="496" spans="2:5" ht="15" customHeight="1">
      <c r="B496" s="65" t="s">
        <v>13</v>
      </c>
      <c r="C496" s="62"/>
      <c r="D496" s="62"/>
      <c r="E496" s="62"/>
    </row>
    <row r="497" spans="2:5" ht="15" customHeight="1">
      <c r="B497" s="63" t="s">
        <v>12</v>
      </c>
      <c r="C497" s="62"/>
      <c r="D497" s="62"/>
      <c r="E497" s="62"/>
    </row>
    <row r="498" spans="2:5" ht="15" customHeight="1">
      <c r="B498" s="63" t="s">
        <v>550</v>
      </c>
      <c r="C498" s="62"/>
      <c r="D498" s="62"/>
      <c r="E498" s="62"/>
    </row>
  </sheetData>
  <mergeCells count="33">
    <mergeCell ref="B405:B411"/>
    <mergeCell ref="B412:B444"/>
    <mergeCell ref="B380:B381"/>
    <mergeCell ref="B382:B391"/>
    <mergeCell ref="B392:B397"/>
    <mergeCell ref="B398:B400"/>
    <mergeCell ref="B401:B404"/>
    <mergeCell ref="B214:B215"/>
    <mergeCell ref="B216:B219"/>
    <mergeCell ref="B220:B276"/>
    <mergeCell ref="B277:B374"/>
    <mergeCell ref="B375:B379"/>
    <mergeCell ref="B115:B149"/>
    <mergeCell ref="B150:B164"/>
    <mergeCell ref="B165:B176"/>
    <mergeCell ref="B177:B199"/>
    <mergeCell ref="B200:B213"/>
    <mergeCell ref="B445:B486"/>
    <mergeCell ref="B487:B488"/>
    <mergeCell ref="B489:B491"/>
    <mergeCell ref="B492:C492"/>
    <mergeCell ref="B7:E8"/>
    <mergeCell ref="B10:B12"/>
    <mergeCell ref="B13:B15"/>
    <mergeCell ref="B16:B17"/>
    <mergeCell ref="B18:B49"/>
    <mergeCell ref="B50:B52"/>
    <mergeCell ref="B53:B54"/>
    <mergeCell ref="B55:B57"/>
    <mergeCell ref="B58:B69"/>
    <mergeCell ref="B70:B74"/>
    <mergeCell ref="B75:B102"/>
    <mergeCell ref="B103:B114"/>
  </mergeCells>
  <printOptions horizontalCentered="1"/>
  <pageMargins left="0.70866141732283472" right="0.70866141732283472" top="0.74803149606299213" bottom="0.74803149606299213" header="0.31496062992125984" footer="0.31496062992125984"/>
  <pageSetup scale="77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D41"/>
  <sheetViews>
    <sheetView showGridLines="0" zoomScaleNormal="100" zoomScaleSheetLayoutView="115" workbookViewId="0">
      <selection activeCell="H1" sqref="H1"/>
    </sheetView>
  </sheetViews>
  <sheetFormatPr baseColWidth="10" defaultColWidth="11.42578125" defaultRowHeight="15"/>
  <cols>
    <col min="1" max="1" width="9.28515625" style="17" customWidth="1"/>
    <col min="2" max="2" width="30.570312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29" customFormat="1" ht="15" customHeight="1">
      <c r="C1" s="35"/>
    </row>
    <row r="2" spans="1:4" s="29" customFormat="1" ht="15" customHeight="1">
      <c r="C2" s="35"/>
    </row>
    <row r="3" spans="1:4" s="29" customFormat="1" ht="15" customHeight="1">
      <c r="C3" s="35"/>
    </row>
    <row r="4" spans="1:4" s="29" customFormat="1" ht="30" customHeight="1">
      <c r="C4" s="35"/>
      <c r="D4" s="34"/>
    </row>
    <row r="5" spans="1:4" s="29" customFormat="1" ht="15" customHeight="1">
      <c r="C5" s="35"/>
      <c r="D5" s="34"/>
    </row>
    <row r="6" spans="1:4" s="29" customFormat="1" ht="15" customHeight="1">
      <c r="C6" s="35"/>
      <c r="D6" s="34"/>
    </row>
    <row r="7" spans="1:4" s="29" customFormat="1" ht="15" customHeight="1">
      <c r="B7" s="75" t="s">
        <v>268</v>
      </c>
      <c r="C7" s="75"/>
      <c r="D7" s="75"/>
    </row>
    <row r="8" spans="1:4" s="29" customFormat="1" ht="15" customHeight="1">
      <c r="B8" s="75"/>
      <c r="C8" s="75"/>
      <c r="D8" s="75"/>
    </row>
    <row r="9" spans="1:4" s="29" customFormat="1" ht="33" customHeight="1">
      <c r="B9" s="75"/>
      <c r="C9" s="75"/>
      <c r="D9" s="75"/>
    </row>
    <row r="10" spans="1:4" s="29" customFormat="1" ht="4.5" customHeight="1">
      <c r="B10" s="33"/>
      <c r="C10" s="33"/>
      <c r="D10" s="33"/>
    </row>
    <row r="11" spans="1:4" s="29" customFormat="1" ht="33" customHeight="1">
      <c r="B11" s="32" t="s">
        <v>267</v>
      </c>
      <c r="C11" s="31" t="s">
        <v>44</v>
      </c>
      <c r="D11" s="30" t="s">
        <v>43</v>
      </c>
    </row>
    <row r="12" spans="1:4">
      <c r="B12" s="27" t="s">
        <v>266</v>
      </c>
      <c r="C12" s="26">
        <v>19</v>
      </c>
      <c r="D12" s="25">
        <v>1.3286713286713287E-2</v>
      </c>
    </row>
    <row r="13" spans="1:4">
      <c r="B13" s="27" t="s">
        <v>265</v>
      </c>
      <c r="C13" s="26">
        <v>7</v>
      </c>
      <c r="D13" s="25">
        <v>4.8951048951048955E-3</v>
      </c>
    </row>
    <row r="14" spans="1:4">
      <c r="A14" s="28"/>
      <c r="B14" s="27" t="s">
        <v>264</v>
      </c>
      <c r="C14" s="26">
        <v>15</v>
      </c>
      <c r="D14" s="25">
        <v>1.048951048951049E-2</v>
      </c>
    </row>
    <row r="15" spans="1:4">
      <c r="A15" s="28"/>
      <c r="B15" s="27" t="s">
        <v>263</v>
      </c>
      <c r="C15" s="26">
        <v>18</v>
      </c>
      <c r="D15" s="25">
        <v>1.2587412587412588E-2</v>
      </c>
    </row>
    <row r="16" spans="1:4">
      <c r="B16" s="27" t="s">
        <v>262</v>
      </c>
      <c r="C16" s="26">
        <v>16</v>
      </c>
      <c r="D16" s="25">
        <v>1.1188811188811189E-2</v>
      </c>
    </row>
    <row r="17" spans="2:4">
      <c r="B17" s="27" t="s">
        <v>261</v>
      </c>
      <c r="C17" s="26">
        <v>27</v>
      </c>
      <c r="D17" s="25">
        <v>1.8881118881118882E-2</v>
      </c>
    </row>
    <row r="18" spans="2:4">
      <c r="B18" s="27" t="s">
        <v>260</v>
      </c>
      <c r="C18" s="26">
        <v>111</v>
      </c>
      <c r="D18" s="25">
        <v>7.7622377622377628E-2</v>
      </c>
    </row>
    <row r="19" spans="2:4">
      <c r="B19" s="27" t="s">
        <v>259</v>
      </c>
      <c r="C19" s="26">
        <v>201</v>
      </c>
      <c r="D19" s="25">
        <v>0.14055944055944056</v>
      </c>
    </row>
    <row r="20" spans="2:4">
      <c r="B20" s="27" t="s">
        <v>258</v>
      </c>
      <c r="C20" s="26">
        <v>14</v>
      </c>
      <c r="D20" s="25">
        <v>9.7902097902097911E-3</v>
      </c>
    </row>
    <row r="21" spans="2:4">
      <c r="B21" s="27" t="s">
        <v>257</v>
      </c>
      <c r="C21" s="26">
        <v>36</v>
      </c>
      <c r="D21" s="25">
        <v>2.5174825174825177E-2</v>
      </c>
    </row>
    <row r="22" spans="2:4">
      <c r="B22" s="27" t="s">
        <v>256</v>
      </c>
      <c r="C22" s="26">
        <v>43</v>
      </c>
      <c r="D22" s="25">
        <v>3.006993006993007E-2</v>
      </c>
    </row>
    <row r="23" spans="2:4">
      <c r="B23" s="27" t="s">
        <v>255</v>
      </c>
      <c r="C23" s="26">
        <v>504</v>
      </c>
      <c r="D23" s="25">
        <v>0.35244755244755244</v>
      </c>
    </row>
    <row r="24" spans="2:4">
      <c r="B24" s="27" t="s">
        <v>254</v>
      </c>
      <c r="C24" s="26">
        <v>17</v>
      </c>
      <c r="D24" s="25">
        <v>1.1888111888111888E-2</v>
      </c>
    </row>
    <row r="25" spans="2:4">
      <c r="B25" s="27" t="s">
        <v>253</v>
      </c>
      <c r="C25" s="26">
        <v>58</v>
      </c>
      <c r="D25" s="25">
        <v>4.0559440559440559E-2</v>
      </c>
    </row>
    <row r="26" spans="2:4">
      <c r="B26" s="27" t="s">
        <v>252</v>
      </c>
      <c r="C26" s="26">
        <v>266</v>
      </c>
      <c r="D26" s="25">
        <v>0.18601398601398603</v>
      </c>
    </row>
    <row r="27" spans="2:4">
      <c r="B27" s="27" t="s">
        <v>251</v>
      </c>
      <c r="C27" s="26">
        <v>2</v>
      </c>
      <c r="D27" s="25">
        <v>1.3986013986013986E-3</v>
      </c>
    </row>
    <row r="28" spans="2:4">
      <c r="B28" s="27" t="s">
        <v>423</v>
      </c>
      <c r="C28" s="26">
        <v>4</v>
      </c>
      <c r="D28" s="25">
        <v>2.7972027972027972E-3</v>
      </c>
    </row>
    <row r="29" spans="2:4">
      <c r="B29" s="27" t="s">
        <v>250</v>
      </c>
      <c r="C29" s="26">
        <v>2</v>
      </c>
      <c r="D29" s="25">
        <v>1.3986013986013986E-3</v>
      </c>
    </row>
    <row r="30" spans="2:4">
      <c r="B30" s="27" t="s">
        <v>249</v>
      </c>
      <c r="C30" s="26">
        <v>23</v>
      </c>
      <c r="D30" s="25">
        <v>1.6083916083916083E-2</v>
      </c>
    </row>
    <row r="31" spans="2:4">
      <c r="B31" s="27" t="s">
        <v>248</v>
      </c>
      <c r="C31" s="26">
        <v>45</v>
      </c>
      <c r="D31" s="25">
        <v>3.1468531468531472E-2</v>
      </c>
    </row>
    <row r="32" spans="2:4">
      <c r="B32" s="27" t="s">
        <v>247</v>
      </c>
      <c r="C32" s="26">
        <v>1</v>
      </c>
      <c r="D32" s="25">
        <v>6.993006993006993E-4</v>
      </c>
    </row>
    <row r="33" spans="2:4">
      <c r="B33" s="27" t="s">
        <v>246</v>
      </c>
      <c r="C33" s="26">
        <v>1</v>
      </c>
      <c r="D33" s="25">
        <v>6.993006993006993E-4</v>
      </c>
    </row>
    <row r="34" spans="2:4">
      <c r="B34" s="24" t="s">
        <v>15</v>
      </c>
      <c r="C34" s="23">
        <v>1430</v>
      </c>
      <c r="D34" s="22">
        <v>1</v>
      </c>
    </row>
    <row r="36" spans="2:4">
      <c r="B36" s="19" t="s">
        <v>549</v>
      </c>
    </row>
    <row r="37" spans="2:4">
      <c r="B37" s="21" t="s">
        <v>14</v>
      </c>
    </row>
    <row r="38" spans="2:4">
      <c r="B38" s="20" t="s">
        <v>13</v>
      </c>
    </row>
    <row r="39" spans="2:4">
      <c r="B39" s="19" t="s">
        <v>12</v>
      </c>
    </row>
    <row r="40" spans="2:4">
      <c r="B40" s="19" t="s">
        <v>550</v>
      </c>
    </row>
    <row r="41" spans="2:4">
      <c r="B41" s="19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250"/>
  <sheetViews>
    <sheetView showGridLines="0" zoomScaleNormal="100" zoomScaleSheetLayoutView="100" workbookViewId="0">
      <selection activeCell="F1" sqref="F1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42" customFormat="1" ht="12" customHeight="1">
      <c r="B1" s="46"/>
      <c r="C1" s="45"/>
      <c r="D1" s="45"/>
      <c r="E1" s="45"/>
    </row>
    <row r="2" spans="1:5" s="42" customFormat="1" ht="15" customHeight="1">
      <c r="C2" s="44"/>
    </row>
    <row r="3" spans="1:5" s="42" customFormat="1" ht="15" customHeight="1">
      <c r="C3" s="44"/>
    </row>
    <row r="4" spans="1:5" s="42" customFormat="1" ht="30" customHeight="1">
      <c r="C4" s="44"/>
      <c r="D4" s="43"/>
    </row>
    <row r="5" spans="1:5" s="42" customFormat="1" ht="15" customHeight="1">
      <c r="C5" s="44"/>
      <c r="D5" s="43"/>
    </row>
    <row r="6" spans="1:5" s="39" customFormat="1" ht="24" customHeight="1">
      <c r="B6" s="41"/>
      <c r="C6" s="38"/>
      <c r="D6" s="38"/>
      <c r="E6" s="38"/>
    </row>
    <row r="7" spans="1:5" s="39" customFormat="1" ht="26.25" customHeight="1">
      <c r="A7" s="40"/>
      <c r="B7" s="81"/>
      <c r="C7" s="81"/>
      <c r="D7" s="81"/>
      <c r="E7" s="81"/>
    </row>
    <row r="8" spans="1:5" s="39" customFormat="1" ht="33" customHeight="1">
      <c r="A8" s="40"/>
      <c r="B8" s="81"/>
      <c r="C8" s="81"/>
      <c r="D8" s="81"/>
      <c r="E8" s="81"/>
    </row>
    <row r="9" spans="1:5" s="29" customFormat="1" ht="40.5" customHeight="1">
      <c r="B9" s="52" t="s">
        <v>267</v>
      </c>
      <c r="C9" s="52" t="s">
        <v>45</v>
      </c>
      <c r="D9" s="53" t="s">
        <v>44</v>
      </c>
      <c r="E9" s="52" t="s">
        <v>43</v>
      </c>
    </row>
    <row r="10" spans="1:5" ht="15" customHeight="1">
      <c r="B10" s="76" t="s">
        <v>266</v>
      </c>
      <c r="C10" s="54" t="s">
        <v>35</v>
      </c>
      <c r="D10" s="55">
        <v>1</v>
      </c>
      <c r="E10" s="56">
        <v>6.993006993006993E-4</v>
      </c>
    </row>
    <row r="11" spans="1:5" ht="15" customHeight="1">
      <c r="B11" s="77"/>
      <c r="C11" s="54" t="s">
        <v>38</v>
      </c>
      <c r="D11" s="55">
        <v>4</v>
      </c>
      <c r="E11" s="56">
        <v>2.7972027972027972E-3</v>
      </c>
    </row>
    <row r="12" spans="1:5" ht="15" customHeight="1">
      <c r="B12" s="77"/>
      <c r="C12" s="54" t="s">
        <v>31</v>
      </c>
      <c r="D12" s="55">
        <v>1</v>
      </c>
      <c r="E12" s="56">
        <v>6.993006993006993E-4</v>
      </c>
    </row>
    <row r="13" spans="1:5" ht="15" customHeight="1">
      <c r="B13" s="77"/>
      <c r="C13" s="54" t="s">
        <v>37</v>
      </c>
      <c r="D13" s="55">
        <v>1</v>
      </c>
      <c r="E13" s="56">
        <v>6.993006993006993E-4</v>
      </c>
    </row>
    <row r="14" spans="1:5" ht="15" customHeight="1">
      <c r="B14" s="77"/>
      <c r="C14" s="54" t="s">
        <v>33</v>
      </c>
      <c r="D14" s="55">
        <v>3</v>
      </c>
      <c r="E14" s="56">
        <v>2.0979020979020979E-3</v>
      </c>
    </row>
    <row r="15" spans="1:5" ht="15" customHeight="1">
      <c r="B15" s="77"/>
      <c r="C15" s="54" t="s">
        <v>42</v>
      </c>
      <c r="D15" s="55">
        <v>8</v>
      </c>
      <c r="E15" s="56">
        <v>5.5944055944055944E-3</v>
      </c>
    </row>
    <row r="16" spans="1:5" ht="15" customHeight="1">
      <c r="B16" s="77"/>
      <c r="C16" s="54" t="s">
        <v>41</v>
      </c>
      <c r="D16" s="55">
        <v>1</v>
      </c>
      <c r="E16" s="56">
        <v>6.993006993006993E-4</v>
      </c>
    </row>
    <row r="17" spans="2:5" ht="15" customHeight="1">
      <c r="B17" s="78"/>
      <c r="C17" s="57" t="s">
        <v>15</v>
      </c>
      <c r="D17" s="58">
        <v>19</v>
      </c>
      <c r="E17" s="59">
        <v>1.3286713286713287E-2</v>
      </c>
    </row>
    <row r="18" spans="2:5" ht="15" customHeight="1">
      <c r="B18" s="76" t="s">
        <v>265</v>
      </c>
      <c r="C18" s="54" t="s">
        <v>34</v>
      </c>
      <c r="D18" s="55">
        <v>1</v>
      </c>
      <c r="E18" s="56">
        <v>6.993006993006993E-4</v>
      </c>
    </row>
    <row r="19" spans="2:5" ht="15" customHeight="1">
      <c r="B19" s="77"/>
      <c r="C19" s="54" t="s">
        <v>33</v>
      </c>
      <c r="D19" s="55">
        <v>1</v>
      </c>
      <c r="E19" s="56">
        <v>6.993006993006993E-4</v>
      </c>
    </row>
    <row r="20" spans="2:5" ht="15" customHeight="1">
      <c r="B20" s="77"/>
      <c r="C20" s="54" t="s">
        <v>40</v>
      </c>
      <c r="D20" s="55">
        <v>1</v>
      </c>
      <c r="E20" s="56">
        <v>6.993006993006993E-4</v>
      </c>
    </row>
    <row r="21" spans="2:5" ht="15" customHeight="1">
      <c r="B21" s="77"/>
      <c r="C21" s="54" t="s">
        <v>42</v>
      </c>
      <c r="D21" s="55">
        <v>3</v>
      </c>
      <c r="E21" s="56">
        <v>2.0979020979020979E-3</v>
      </c>
    </row>
    <row r="22" spans="2:5" ht="15" customHeight="1">
      <c r="B22" s="77"/>
      <c r="C22" s="54" t="s">
        <v>41</v>
      </c>
      <c r="D22" s="55">
        <v>1</v>
      </c>
      <c r="E22" s="56">
        <v>6.993006993006993E-4</v>
      </c>
    </row>
    <row r="23" spans="2:5" ht="15" customHeight="1">
      <c r="B23" s="78"/>
      <c r="C23" s="57" t="s">
        <v>15</v>
      </c>
      <c r="D23" s="58">
        <v>7</v>
      </c>
      <c r="E23" s="59">
        <v>4.8951048951048955E-3</v>
      </c>
    </row>
    <row r="24" spans="2:5" ht="15" customHeight="1">
      <c r="B24" s="76" t="s">
        <v>264</v>
      </c>
      <c r="C24" s="54" t="s">
        <v>34</v>
      </c>
      <c r="D24" s="55">
        <v>3</v>
      </c>
      <c r="E24" s="56">
        <v>2.0979020979020979E-3</v>
      </c>
    </row>
    <row r="25" spans="2:5" ht="15" customHeight="1">
      <c r="B25" s="77"/>
      <c r="C25" s="54" t="s">
        <v>38</v>
      </c>
      <c r="D25" s="55">
        <v>1</v>
      </c>
      <c r="E25" s="56">
        <v>6.993006993006993E-4</v>
      </c>
    </row>
    <row r="26" spans="2:5" ht="15" customHeight="1">
      <c r="B26" s="77"/>
      <c r="C26" s="54" t="s">
        <v>40</v>
      </c>
      <c r="D26" s="55">
        <v>4</v>
      </c>
      <c r="E26" s="56">
        <v>2.7972027972027972E-3</v>
      </c>
    </row>
    <row r="27" spans="2:5" ht="15" customHeight="1">
      <c r="B27" s="77"/>
      <c r="C27" s="54" t="s">
        <v>42</v>
      </c>
      <c r="D27" s="55">
        <v>6</v>
      </c>
      <c r="E27" s="56">
        <v>4.1958041958041958E-3</v>
      </c>
    </row>
    <row r="28" spans="2:5" ht="15" customHeight="1">
      <c r="B28" s="77"/>
      <c r="C28" s="54" t="s">
        <v>36</v>
      </c>
      <c r="D28" s="55">
        <v>1</v>
      </c>
      <c r="E28" s="56">
        <v>6.993006993006993E-4</v>
      </c>
    </row>
    <row r="29" spans="2:5" ht="15" customHeight="1">
      <c r="B29" s="78"/>
      <c r="C29" s="57" t="s">
        <v>15</v>
      </c>
      <c r="D29" s="58">
        <v>15</v>
      </c>
      <c r="E29" s="59">
        <v>1.048951048951049E-2</v>
      </c>
    </row>
    <row r="30" spans="2:5" ht="15" customHeight="1">
      <c r="B30" s="76" t="s">
        <v>263</v>
      </c>
      <c r="C30" s="54" t="s">
        <v>38</v>
      </c>
      <c r="D30" s="55">
        <v>4</v>
      </c>
      <c r="E30" s="56">
        <v>2.7972027972027972E-3</v>
      </c>
    </row>
    <row r="31" spans="2:5" ht="15" customHeight="1">
      <c r="B31" s="77"/>
      <c r="C31" s="54" t="s">
        <v>37</v>
      </c>
      <c r="D31" s="55">
        <v>1</v>
      </c>
      <c r="E31" s="56">
        <v>6.993006993006993E-4</v>
      </c>
    </row>
    <row r="32" spans="2:5" ht="15" customHeight="1">
      <c r="B32" s="77"/>
      <c r="C32" s="54" t="s">
        <v>33</v>
      </c>
      <c r="D32" s="55">
        <v>2</v>
      </c>
      <c r="E32" s="56">
        <v>1.3986013986013986E-3</v>
      </c>
    </row>
    <row r="33" spans="2:5" ht="15" customHeight="1">
      <c r="B33" s="77"/>
      <c r="C33" s="54" t="s">
        <v>40</v>
      </c>
      <c r="D33" s="55">
        <v>1</v>
      </c>
      <c r="E33" s="56">
        <v>6.993006993006993E-4</v>
      </c>
    </row>
    <row r="34" spans="2:5" ht="15" customHeight="1">
      <c r="B34" s="77"/>
      <c r="C34" s="54" t="s">
        <v>42</v>
      </c>
      <c r="D34" s="55">
        <v>8</v>
      </c>
      <c r="E34" s="56">
        <v>5.5944055944055944E-3</v>
      </c>
    </row>
    <row r="35" spans="2:5" ht="15" customHeight="1">
      <c r="B35" s="77"/>
      <c r="C35" s="54" t="s">
        <v>41</v>
      </c>
      <c r="D35" s="55">
        <v>1</v>
      </c>
      <c r="E35" s="56">
        <v>6.993006993006993E-4</v>
      </c>
    </row>
    <row r="36" spans="2:5" ht="15" customHeight="1">
      <c r="B36" s="77"/>
      <c r="C36" s="54" t="s">
        <v>36</v>
      </c>
      <c r="D36" s="55">
        <v>1</v>
      </c>
      <c r="E36" s="56">
        <v>6.993006993006993E-4</v>
      </c>
    </row>
    <row r="37" spans="2:5" ht="15" customHeight="1">
      <c r="B37" s="78"/>
      <c r="C37" s="57" t="s">
        <v>15</v>
      </c>
      <c r="D37" s="58">
        <v>18</v>
      </c>
      <c r="E37" s="59">
        <v>1.2587412587412588E-2</v>
      </c>
    </row>
    <row r="38" spans="2:5" ht="15" customHeight="1">
      <c r="B38" s="76" t="s">
        <v>262</v>
      </c>
      <c r="C38" s="54" t="s">
        <v>34</v>
      </c>
      <c r="D38" s="55">
        <v>1</v>
      </c>
      <c r="E38" s="56">
        <v>6.993006993006993E-4</v>
      </c>
    </row>
    <row r="39" spans="2:5" ht="15" customHeight="1">
      <c r="B39" s="77"/>
      <c r="C39" s="54" t="s">
        <v>38</v>
      </c>
      <c r="D39" s="55">
        <v>3</v>
      </c>
      <c r="E39" s="56">
        <v>2.0979020979020979E-3</v>
      </c>
    </row>
    <row r="40" spans="2:5" ht="15" customHeight="1">
      <c r="B40" s="77"/>
      <c r="C40" s="54" t="s">
        <v>40</v>
      </c>
      <c r="D40" s="55">
        <v>1</v>
      </c>
      <c r="E40" s="56">
        <v>6.993006993006993E-4</v>
      </c>
    </row>
    <row r="41" spans="2:5" ht="15" customHeight="1">
      <c r="B41" s="77"/>
      <c r="C41" s="54" t="s">
        <v>42</v>
      </c>
      <c r="D41" s="55">
        <v>9</v>
      </c>
      <c r="E41" s="56">
        <v>6.2937062937062941E-3</v>
      </c>
    </row>
    <row r="42" spans="2:5" ht="15" customHeight="1">
      <c r="B42" s="77"/>
      <c r="C42" s="54" t="s">
        <v>41</v>
      </c>
      <c r="D42" s="55">
        <v>1</v>
      </c>
      <c r="E42" s="56">
        <v>6.993006993006993E-4</v>
      </c>
    </row>
    <row r="43" spans="2:5" ht="15" customHeight="1">
      <c r="B43" s="77"/>
      <c r="C43" s="54" t="s">
        <v>36</v>
      </c>
      <c r="D43" s="55">
        <v>1</v>
      </c>
      <c r="E43" s="56">
        <v>6.993006993006993E-4</v>
      </c>
    </row>
    <row r="44" spans="2:5" ht="15" customHeight="1">
      <c r="B44" s="78"/>
      <c r="C44" s="57" t="s">
        <v>15</v>
      </c>
      <c r="D44" s="58">
        <v>16</v>
      </c>
      <c r="E44" s="59">
        <v>1.1188811188811189E-2</v>
      </c>
    </row>
    <row r="45" spans="2:5" ht="15" customHeight="1">
      <c r="B45" s="76" t="s">
        <v>261</v>
      </c>
      <c r="C45" s="54" t="s">
        <v>34</v>
      </c>
      <c r="D45" s="55">
        <v>2</v>
      </c>
      <c r="E45" s="56">
        <v>1.3986013986013986E-3</v>
      </c>
    </row>
    <row r="46" spans="2:5" ht="15" customHeight="1">
      <c r="B46" s="77"/>
      <c r="C46" s="54" t="s">
        <v>38</v>
      </c>
      <c r="D46" s="55">
        <v>1</v>
      </c>
      <c r="E46" s="56">
        <v>6.993006993006993E-4</v>
      </c>
    </row>
    <row r="47" spans="2:5" ht="15" customHeight="1">
      <c r="B47" s="77"/>
      <c r="C47" s="54" t="s">
        <v>37</v>
      </c>
      <c r="D47" s="55">
        <v>2</v>
      </c>
      <c r="E47" s="56">
        <v>1.3986013986013986E-3</v>
      </c>
    </row>
    <row r="48" spans="2:5" ht="15" customHeight="1">
      <c r="B48" s="77"/>
      <c r="C48" s="54" t="s">
        <v>33</v>
      </c>
      <c r="D48" s="55">
        <v>1</v>
      </c>
      <c r="E48" s="56">
        <v>6.993006993006993E-4</v>
      </c>
    </row>
    <row r="49" spans="2:5" ht="15" customHeight="1">
      <c r="B49" s="77"/>
      <c r="C49" s="54" t="s">
        <v>40</v>
      </c>
      <c r="D49" s="55">
        <v>2</v>
      </c>
      <c r="E49" s="56">
        <v>1.3986013986013986E-3</v>
      </c>
    </row>
    <row r="50" spans="2:5" ht="15" customHeight="1">
      <c r="B50" s="77"/>
      <c r="C50" s="54" t="s">
        <v>42</v>
      </c>
      <c r="D50" s="55">
        <v>15</v>
      </c>
      <c r="E50" s="56">
        <v>1.048951048951049E-2</v>
      </c>
    </row>
    <row r="51" spans="2:5" ht="15" customHeight="1">
      <c r="B51" s="77"/>
      <c r="C51" s="54" t="s">
        <v>41</v>
      </c>
      <c r="D51" s="55">
        <v>2</v>
      </c>
      <c r="E51" s="56">
        <v>1.3986013986013986E-3</v>
      </c>
    </row>
    <row r="52" spans="2:5" ht="15" customHeight="1">
      <c r="B52" s="77"/>
      <c r="C52" s="54" t="s">
        <v>36</v>
      </c>
      <c r="D52" s="55">
        <v>2</v>
      </c>
      <c r="E52" s="56">
        <v>1.3986013986013986E-3</v>
      </c>
    </row>
    <row r="53" spans="2:5" ht="15" customHeight="1">
      <c r="B53" s="78"/>
      <c r="C53" s="57" t="s">
        <v>15</v>
      </c>
      <c r="D53" s="58">
        <v>27</v>
      </c>
      <c r="E53" s="59">
        <v>1.8881118881118882E-2</v>
      </c>
    </row>
    <row r="54" spans="2:5" ht="15" customHeight="1">
      <c r="B54" s="76" t="s">
        <v>260</v>
      </c>
      <c r="C54" s="54" t="s">
        <v>34</v>
      </c>
      <c r="D54" s="55">
        <v>9</v>
      </c>
      <c r="E54" s="56">
        <v>6.2937062937062941E-3</v>
      </c>
    </row>
    <row r="55" spans="2:5" ht="15" customHeight="1">
      <c r="B55" s="77"/>
      <c r="C55" s="54" t="s">
        <v>39</v>
      </c>
      <c r="D55" s="55">
        <v>1</v>
      </c>
      <c r="E55" s="56">
        <v>6.993006993006993E-4</v>
      </c>
    </row>
    <row r="56" spans="2:5" ht="15" customHeight="1">
      <c r="B56" s="77"/>
      <c r="C56" s="54" t="s">
        <v>22</v>
      </c>
      <c r="D56" s="55">
        <v>1</v>
      </c>
      <c r="E56" s="56">
        <v>6.993006993006993E-4</v>
      </c>
    </row>
    <row r="57" spans="2:5" ht="15" customHeight="1">
      <c r="B57" s="77"/>
      <c r="C57" s="54" t="s">
        <v>35</v>
      </c>
      <c r="D57" s="55">
        <v>2</v>
      </c>
      <c r="E57" s="56">
        <v>1.3986013986013986E-3</v>
      </c>
    </row>
    <row r="58" spans="2:5" ht="15" customHeight="1">
      <c r="B58" s="77"/>
      <c r="C58" s="54" t="s">
        <v>30</v>
      </c>
      <c r="D58" s="55">
        <v>3</v>
      </c>
      <c r="E58" s="56">
        <v>2.0979020979020979E-3</v>
      </c>
    </row>
    <row r="59" spans="2:5" ht="15" customHeight="1">
      <c r="B59" s="77"/>
      <c r="C59" s="54" t="s">
        <v>38</v>
      </c>
      <c r="D59" s="55">
        <v>12</v>
      </c>
      <c r="E59" s="56">
        <v>8.3916083916083916E-3</v>
      </c>
    </row>
    <row r="60" spans="2:5" ht="15" customHeight="1">
      <c r="B60" s="77"/>
      <c r="C60" s="54" t="s">
        <v>32</v>
      </c>
      <c r="D60" s="55">
        <v>3</v>
      </c>
      <c r="E60" s="56">
        <v>2.0979020979020979E-3</v>
      </c>
    </row>
    <row r="61" spans="2:5" ht="15" customHeight="1">
      <c r="B61" s="77"/>
      <c r="C61" s="54" t="s">
        <v>31</v>
      </c>
      <c r="D61" s="55">
        <v>1</v>
      </c>
      <c r="E61" s="56">
        <v>6.993006993006993E-4</v>
      </c>
    </row>
    <row r="62" spans="2:5" ht="15" customHeight="1">
      <c r="B62" s="77"/>
      <c r="C62" s="54" t="s">
        <v>37</v>
      </c>
      <c r="D62" s="55">
        <v>5</v>
      </c>
      <c r="E62" s="56">
        <v>3.4965034965034965E-3</v>
      </c>
    </row>
    <row r="63" spans="2:5" ht="15" customHeight="1">
      <c r="B63" s="77"/>
      <c r="C63" s="54" t="s">
        <v>33</v>
      </c>
      <c r="D63" s="55">
        <v>1</v>
      </c>
      <c r="E63" s="56">
        <v>6.993006993006993E-4</v>
      </c>
    </row>
    <row r="64" spans="2:5" ht="15" customHeight="1">
      <c r="B64" s="77"/>
      <c r="C64" s="54" t="s">
        <v>301</v>
      </c>
      <c r="D64" s="55">
        <v>1</v>
      </c>
      <c r="E64" s="56">
        <v>6.993006993006993E-4</v>
      </c>
    </row>
    <row r="65" spans="2:5" ht="15" customHeight="1">
      <c r="B65" s="77"/>
      <c r="C65" s="54" t="s">
        <v>40</v>
      </c>
      <c r="D65" s="55">
        <v>14</v>
      </c>
      <c r="E65" s="56">
        <v>9.7902097902097911E-3</v>
      </c>
    </row>
    <row r="66" spans="2:5" ht="15" customHeight="1">
      <c r="B66" s="77"/>
      <c r="C66" s="54" t="s">
        <v>42</v>
      </c>
      <c r="D66" s="55">
        <v>39</v>
      </c>
      <c r="E66" s="56">
        <v>2.7272727272727271E-2</v>
      </c>
    </row>
    <row r="67" spans="2:5" ht="15" customHeight="1">
      <c r="B67" s="77"/>
      <c r="C67" s="54" t="s">
        <v>28</v>
      </c>
      <c r="D67" s="55">
        <v>1</v>
      </c>
      <c r="E67" s="56">
        <v>6.993006993006993E-4</v>
      </c>
    </row>
    <row r="68" spans="2:5" ht="15" customHeight="1">
      <c r="B68" s="77"/>
      <c r="C68" s="54" t="s">
        <v>21</v>
      </c>
      <c r="D68" s="55">
        <v>1</v>
      </c>
      <c r="E68" s="56">
        <v>6.993006993006993E-4</v>
      </c>
    </row>
    <row r="69" spans="2:5" ht="15" customHeight="1">
      <c r="B69" s="77"/>
      <c r="C69" s="54" t="s">
        <v>41</v>
      </c>
      <c r="D69" s="55">
        <v>12</v>
      </c>
      <c r="E69" s="56">
        <v>8.3916083916083916E-3</v>
      </c>
    </row>
    <row r="70" spans="2:5" ht="15" customHeight="1">
      <c r="B70" s="77"/>
      <c r="C70" s="54" t="s">
        <v>36</v>
      </c>
      <c r="D70" s="55">
        <v>4</v>
      </c>
      <c r="E70" s="56">
        <v>2.7972027972027972E-3</v>
      </c>
    </row>
    <row r="71" spans="2:5" ht="15" customHeight="1">
      <c r="B71" s="77"/>
      <c r="C71" s="54" t="s">
        <v>24</v>
      </c>
      <c r="D71" s="55">
        <v>1</v>
      </c>
      <c r="E71" s="56">
        <v>6.993006993006993E-4</v>
      </c>
    </row>
    <row r="72" spans="2:5" ht="15" customHeight="1">
      <c r="B72" s="78"/>
      <c r="C72" s="57" t="s">
        <v>15</v>
      </c>
      <c r="D72" s="58">
        <v>111</v>
      </c>
      <c r="E72" s="59">
        <v>7.7622377622377628E-2</v>
      </c>
    </row>
    <row r="73" spans="2:5" ht="15" customHeight="1">
      <c r="B73" s="76" t="s">
        <v>259</v>
      </c>
      <c r="C73" s="54" t="s">
        <v>20</v>
      </c>
      <c r="D73" s="55">
        <v>1</v>
      </c>
      <c r="E73" s="56">
        <v>6.993006993006993E-4</v>
      </c>
    </row>
    <row r="74" spans="2:5" ht="15" customHeight="1">
      <c r="B74" s="77"/>
      <c r="C74" s="54" t="s">
        <v>34</v>
      </c>
      <c r="D74" s="55">
        <v>11</v>
      </c>
      <c r="E74" s="56">
        <v>7.6923076923076927E-3</v>
      </c>
    </row>
    <row r="75" spans="2:5" ht="15" customHeight="1">
      <c r="B75" s="77"/>
      <c r="C75" s="54" t="s">
        <v>39</v>
      </c>
      <c r="D75" s="55">
        <v>2</v>
      </c>
      <c r="E75" s="56">
        <v>1.3986013986013986E-3</v>
      </c>
    </row>
    <row r="76" spans="2:5" ht="15" customHeight="1">
      <c r="B76" s="77"/>
      <c r="C76" s="54" t="s">
        <v>22</v>
      </c>
      <c r="D76" s="55">
        <v>1</v>
      </c>
      <c r="E76" s="56">
        <v>6.993006993006993E-4</v>
      </c>
    </row>
    <row r="77" spans="2:5" ht="15" customHeight="1">
      <c r="B77" s="77"/>
      <c r="C77" s="54" t="s">
        <v>35</v>
      </c>
      <c r="D77" s="55">
        <v>5</v>
      </c>
      <c r="E77" s="56">
        <v>3.4965034965034965E-3</v>
      </c>
    </row>
    <row r="78" spans="2:5" ht="15" customHeight="1">
      <c r="B78" s="77"/>
      <c r="C78" s="54" t="s">
        <v>30</v>
      </c>
      <c r="D78" s="55">
        <v>2</v>
      </c>
      <c r="E78" s="56">
        <v>1.3986013986013986E-3</v>
      </c>
    </row>
    <row r="79" spans="2:5" ht="15" customHeight="1">
      <c r="B79" s="77"/>
      <c r="C79" s="54" t="s">
        <v>38</v>
      </c>
      <c r="D79" s="55">
        <v>18</v>
      </c>
      <c r="E79" s="56">
        <v>1.2587412587412588E-2</v>
      </c>
    </row>
    <row r="80" spans="2:5" ht="15" customHeight="1">
      <c r="B80" s="77"/>
      <c r="C80" s="54" t="s">
        <v>32</v>
      </c>
      <c r="D80" s="55">
        <v>2</v>
      </c>
      <c r="E80" s="56">
        <v>1.3986013986013986E-3</v>
      </c>
    </row>
    <row r="81" spans="2:5" ht="15" customHeight="1">
      <c r="B81" s="77"/>
      <c r="C81" s="54" t="s">
        <v>31</v>
      </c>
      <c r="D81" s="55">
        <v>2</v>
      </c>
      <c r="E81" s="56">
        <v>1.3986013986013986E-3</v>
      </c>
    </row>
    <row r="82" spans="2:5" ht="15" customHeight="1">
      <c r="B82" s="77"/>
      <c r="C82" s="54" t="s">
        <v>37</v>
      </c>
      <c r="D82" s="55">
        <v>8</v>
      </c>
      <c r="E82" s="56">
        <v>5.5944055944055944E-3</v>
      </c>
    </row>
    <row r="83" spans="2:5" ht="15" customHeight="1">
      <c r="B83" s="77"/>
      <c r="C83" s="54" t="s">
        <v>33</v>
      </c>
      <c r="D83" s="55">
        <v>6</v>
      </c>
      <c r="E83" s="56">
        <v>4.1958041958041958E-3</v>
      </c>
    </row>
    <row r="84" spans="2:5" ht="15" customHeight="1">
      <c r="B84" s="77"/>
      <c r="C84" s="54" t="s">
        <v>18</v>
      </c>
      <c r="D84" s="55">
        <v>3</v>
      </c>
      <c r="E84" s="56">
        <v>2.0979020979020979E-3</v>
      </c>
    </row>
    <row r="85" spans="2:5" ht="15" customHeight="1">
      <c r="B85" s="77"/>
      <c r="C85" s="54" t="s">
        <v>40</v>
      </c>
      <c r="D85" s="55">
        <v>13</v>
      </c>
      <c r="E85" s="56">
        <v>9.0909090909090905E-3</v>
      </c>
    </row>
    <row r="86" spans="2:5" ht="15" customHeight="1">
      <c r="B86" s="77"/>
      <c r="C86" s="54" t="s">
        <v>42</v>
      </c>
      <c r="D86" s="55">
        <v>81</v>
      </c>
      <c r="E86" s="56">
        <v>5.6643356643356645E-2</v>
      </c>
    </row>
    <row r="87" spans="2:5" ht="15" customHeight="1">
      <c r="B87" s="77"/>
      <c r="C87" s="54" t="s">
        <v>28</v>
      </c>
      <c r="D87" s="55">
        <v>1</v>
      </c>
      <c r="E87" s="56">
        <v>6.993006993006993E-4</v>
      </c>
    </row>
    <row r="88" spans="2:5" ht="15" customHeight="1">
      <c r="B88" s="77"/>
      <c r="C88" s="54" t="s">
        <v>29</v>
      </c>
      <c r="D88" s="55">
        <v>3</v>
      </c>
      <c r="E88" s="56">
        <v>2.0979020979020979E-3</v>
      </c>
    </row>
    <row r="89" spans="2:5" ht="15" customHeight="1">
      <c r="B89" s="77"/>
      <c r="C89" s="54" t="s">
        <v>21</v>
      </c>
      <c r="D89" s="55">
        <v>2</v>
      </c>
      <c r="E89" s="56">
        <v>1.3986013986013986E-3</v>
      </c>
    </row>
    <row r="90" spans="2:5" ht="15" customHeight="1">
      <c r="B90" s="77"/>
      <c r="C90" s="54" t="s">
        <v>41</v>
      </c>
      <c r="D90" s="55">
        <v>26</v>
      </c>
      <c r="E90" s="56">
        <v>1.8181818181818181E-2</v>
      </c>
    </row>
    <row r="91" spans="2:5" ht="15" customHeight="1">
      <c r="B91" s="77"/>
      <c r="C91" s="54" t="s">
        <v>36</v>
      </c>
      <c r="D91" s="55">
        <v>14</v>
      </c>
      <c r="E91" s="56">
        <v>9.7902097902097911E-3</v>
      </c>
    </row>
    <row r="92" spans="2:5" ht="15" customHeight="1">
      <c r="B92" s="78"/>
      <c r="C92" s="57" t="s">
        <v>15</v>
      </c>
      <c r="D92" s="58">
        <v>201</v>
      </c>
      <c r="E92" s="59">
        <v>0.14055944055944056</v>
      </c>
    </row>
    <row r="93" spans="2:5" ht="15" customHeight="1">
      <c r="B93" s="76" t="s">
        <v>258</v>
      </c>
      <c r="C93" s="54" t="s">
        <v>39</v>
      </c>
      <c r="D93" s="55">
        <v>1</v>
      </c>
      <c r="E93" s="56">
        <v>6.993006993006993E-4</v>
      </c>
    </row>
    <row r="94" spans="2:5" ht="15" customHeight="1">
      <c r="B94" s="77"/>
      <c r="C94" s="54" t="s">
        <v>35</v>
      </c>
      <c r="D94" s="55">
        <v>1</v>
      </c>
      <c r="E94" s="56">
        <v>6.993006993006993E-4</v>
      </c>
    </row>
    <row r="95" spans="2:5" ht="15" customHeight="1">
      <c r="B95" s="77"/>
      <c r="C95" s="54" t="s">
        <v>38</v>
      </c>
      <c r="D95" s="55">
        <v>1</v>
      </c>
      <c r="E95" s="56">
        <v>6.993006993006993E-4</v>
      </c>
    </row>
    <row r="96" spans="2:5" ht="15" customHeight="1">
      <c r="B96" s="77"/>
      <c r="C96" s="54" t="s">
        <v>37</v>
      </c>
      <c r="D96" s="55">
        <v>1</v>
      </c>
      <c r="E96" s="56">
        <v>6.993006993006993E-4</v>
      </c>
    </row>
    <row r="97" spans="2:5" ht="15" customHeight="1">
      <c r="B97" s="77"/>
      <c r="C97" s="54" t="s">
        <v>33</v>
      </c>
      <c r="D97" s="55">
        <v>1</v>
      </c>
      <c r="E97" s="56">
        <v>6.993006993006993E-4</v>
      </c>
    </row>
    <row r="98" spans="2:5" ht="15" customHeight="1">
      <c r="B98" s="77"/>
      <c r="C98" s="54" t="s">
        <v>40</v>
      </c>
      <c r="D98" s="55">
        <v>2</v>
      </c>
      <c r="E98" s="56">
        <v>1.3986013986013986E-3</v>
      </c>
    </row>
    <row r="99" spans="2:5" ht="15" customHeight="1">
      <c r="B99" s="77"/>
      <c r="C99" s="54" t="s">
        <v>42</v>
      </c>
      <c r="D99" s="55">
        <v>5</v>
      </c>
      <c r="E99" s="56">
        <v>3.4965034965034965E-3</v>
      </c>
    </row>
    <row r="100" spans="2:5" ht="15" customHeight="1">
      <c r="B100" s="77"/>
      <c r="C100" s="54" t="s">
        <v>27</v>
      </c>
      <c r="D100" s="55">
        <v>1</v>
      </c>
      <c r="E100" s="56">
        <v>6.993006993006993E-4</v>
      </c>
    </row>
    <row r="101" spans="2:5" ht="15" customHeight="1">
      <c r="B101" s="77"/>
      <c r="C101" s="54" t="s">
        <v>41</v>
      </c>
      <c r="D101" s="55">
        <v>1</v>
      </c>
      <c r="E101" s="56">
        <v>6.993006993006993E-4</v>
      </c>
    </row>
    <row r="102" spans="2:5" ht="15" customHeight="1">
      <c r="B102" s="78"/>
      <c r="C102" s="57" t="s">
        <v>15</v>
      </c>
      <c r="D102" s="58">
        <v>14</v>
      </c>
      <c r="E102" s="59">
        <v>9.7902097902097911E-3</v>
      </c>
    </row>
    <row r="103" spans="2:5" ht="15" customHeight="1">
      <c r="B103" s="76" t="s">
        <v>257</v>
      </c>
      <c r="C103" s="54" t="s">
        <v>25</v>
      </c>
      <c r="D103" s="55">
        <v>1</v>
      </c>
      <c r="E103" s="56">
        <v>6.993006993006993E-4</v>
      </c>
    </row>
    <row r="104" spans="2:5" ht="15" customHeight="1">
      <c r="B104" s="77"/>
      <c r="C104" s="54" t="s">
        <v>34</v>
      </c>
      <c r="D104" s="55">
        <v>4</v>
      </c>
      <c r="E104" s="56">
        <v>2.7972027972027972E-3</v>
      </c>
    </row>
    <row r="105" spans="2:5" ht="15" customHeight="1">
      <c r="B105" s="77"/>
      <c r="C105" s="54" t="s">
        <v>39</v>
      </c>
      <c r="D105" s="55">
        <v>1</v>
      </c>
      <c r="E105" s="56">
        <v>6.993006993006993E-4</v>
      </c>
    </row>
    <row r="106" spans="2:5" ht="15" customHeight="1">
      <c r="B106" s="77"/>
      <c r="C106" s="54" t="s">
        <v>22</v>
      </c>
      <c r="D106" s="55">
        <v>1</v>
      </c>
      <c r="E106" s="56">
        <v>6.993006993006993E-4</v>
      </c>
    </row>
    <row r="107" spans="2:5" ht="15" customHeight="1">
      <c r="B107" s="77"/>
      <c r="C107" s="54" t="s">
        <v>35</v>
      </c>
      <c r="D107" s="55">
        <v>2</v>
      </c>
      <c r="E107" s="56">
        <v>1.3986013986013986E-3</v>
      </c>
    </row>
    <row r="108" spans="2:5" ht="15" customHeight="1">
      <c r="B108" s="77"/>
      <c r="C108" s="54" t="s">
        <v>38</v>
      </c>
      <c r="D108" s="55">
        <v>4</v>
      </c>
      <c r="E108" s="56">
        <v>2.7972027972027972E-3</v>
      </c>
    </row>
    <row r="109" spans="2:5" ht="15" customHeight="1">
      <c r="B109" s="77"/>
      <c r="C109" s="54" t="s">
        <v>32</v>
      </c>
      <c r="D109" s="55">
        <v>2</v>
      </c>
      <c r="E109" s="56">
        <v>1.3986013986013986E-3</v>
      </c>
    </row>
    <row r="110" spans="2:5" ht="15" customHeight="1">
      <c r="B110" s="77"/>
      <c r="C110" s="54" t="s">
        <v>37</v>
      </c>
      <c r="D110" s="55">
        <v>2</v>
      </c>
      <c r="E110" s="56">
        <v>1.3986013986013986E-3</v>
      </c>
    </row>
    <row r="111" spans="2:5" ht="15" customHeight="1">
      <c r="B111" s="77"/>
      <c r="C111" s="54" t="s">
        <v>33</v>
      </c>
      <c r="D111" s="55">
        <v>1</v>
      </c>
      <c r="E111" s="56">
        <v>6.993006993006993E-4</v>
      </c>
    </row>
    <row r="112" spans="2:5" ht="15" customHeight="1">
      <c r="B112" s="77"/>
      <c r="C112" s="54" t="s">
        <v>40</v>
      </c>
      <c r="D112" s="55">
        <v>1</v>
      </c>
      <c r="E112" s="56">
        <v>6.993006993006993E-4</v>
      </c>
    </row>
    <row r="113" spans="2:5" ht="15" customHeight="1">
      <c r="B113" s="77"/>
      <c r="C113" s="54" t="s">
        <v>42</v>
      </c>
      <c r="D113" s="55">
        <v>10</v>
      </c>
      <c r="E113" s="56">
        <v>6.993006993006993E-3</v>
      </c>
    </row>
    <row r="114" spans="2:5" ht="15" customHeight="1">
      <c r="B114" s="77"/>
      <c r="C114" s="54" t="s">
        <v>28</v>
      </c>
      <c r="D114" s="55">
        <v>1</v>
      </c>
      <c r="E114" s="56">
        <v>6.993006993006993E-4</v>
      </c>
    </row>
    <row r="115" spans="2:5" ht="15" customHeight="1">
      <c r="B115" s="77"/>
      <c r="C115" s="54" t="s">
        <v>41</v>
      </c>
      <c r="D115" s="55">
        <v>4</v>
      </c>
      <c r="E115" s="56">
        <v>2.7972027972027972E-3</v>
      </c>
    </row>
    <row r="116" spans="2:5" ht="15" customHeight="1">
      <c r="B116" s="77"/>
      <c r="C116" s="54" t="s">
        <v>36</v>
      </c>
      <c r="D116" s="55">
        <v>2</v>
      </c>
      <c r="E116" s="56">
        <v>1.3986013986013986E-3</v>
      </c>
    </row>
    <row r="117" spans="2:5" ht="15" customHeight="1">
      <c r="B117" s="78"/>
      <c r="C117" s="57" t="s">
        <v>15</v>
      </c>
      <c r="D117" s="58">
        <v>36</v>
      </c>
      <c r="E117" s="59">
        <v>2.5174825174825177E-2</v>
      </c>
    </row>
    <row r="118" spans="2:5" ht="15" customHeight="1">
      <c r="B118" s="76" t="s">
        <v>256</v>
      </c>
      <c r="C118" s="54" t="s">
        <v>34</v>
      </c>
      <c r="D118" s="55">
        <v>7</v>
      </c>
      <c r="E118" s="56">
        <v>4.8951048951048955E-3</v>
      </c>
    </row>
    <row r="119" spans="2:5" ht="15" customHeight="1">
      <c r="B119" s="77"/>
      <c r="C119" s="54" t="s">
        <v>39</v>
      </c>
      <c r="D119" s="55">
        <v>1</v>
      </c>
      <c r="E119" s="56">
        <v>6.993006993006993E-4</v>
      </c>
    </row>
    <row r="120" spans="2:5" ht="15" customHeight="1">
      <c r="B120" s="77"/>
      <c r="C120" s="54" t="s">
        <v>35</v>
      </c>
      <c r="D120" s="55">
        <v>2</v>
      </c>
      <c r="E120" s="56">
        <v>1.3986013986013986E-3</v>
      </c>
    </row>
    <row r="121" spans="2:5" ht="15" customHeight="1">
      <c r="B121" s="77"/>
      <c r="C121" s="54" t="s">
        <v>30</v>
      </c>
      <c r="D121" s="55">
        <v>1</v>
      </c>
      <c r="E121" s="56">
        <v>6.993006993006993E-4</v>
      </c>
    </row>
    <row r="122" spans="2:5" ht="15" customHeight="1">
      <c r="B122" s="77"/>
      <c r="C122" s="54" t="s">
        <v>38</v>
      </c>
      <c r="D122" s="55">
        <v>1</v>
      </c>
      <c r="E122" s="56">
        <v>6.993006993006993E-4</v>
      </c>
    </row>
    <row r="123" spans="2:5" ht="15" customHeight="1">
      <c r="B123" s="77"/>
      <c r="C123" s="54" t="s">
        <v>33</v>
      </c>
      <c r="D123" s="55">
        <v>1</v>
      </c>
      <c r="E123" s="56">
        <v>6.993006993006993E-4</v>
      </c>
    </row>
    <row r="124" spans="2:5" ht="15" customHeight="1">
      <c r="B124" s="77"/>
      <c r="C124" s="54" t="s">
        <v>40</v>
      </c>
      <c r="D124" s="55">
        <v>7</v>
      </c>
      <c r="E124" s="56">
        <v>4.8951048951048955E-3</v>
      </c>
    </row>
    <row r="125" spans="2:5" ht="15" customHeight="1">
      <c r="B125" s="77"/>
      <c r="C125" s="54" t="s">
        <v>42</v>
      </c>
      <c r="D125" s="55">
        <v>8</v>
      </c>
      <c r="E125" s="56">
        <v>5.5944055944055944E-3</v>
      </c>
    </row>
    <row r="126" spans="2:5" ht="15" customHeight="1">
      <c r="B126" s="77"/>
      <c r="C126" s="54" t="s">
        <v>28</v>
      </c>
      <c r="D126" s="55">
        <v>1</v>
      </c>
      <c r="E126" s="56">
        <v>6.993006993006993E-4</v>
      </c>
    </row>
    <row r="127" spans="2:5" ht="15" customHeight="1">
      <c r="B127" s="77"/>
      <c r="C127" s="54" t="s">
        <v>29</v>
      </c>
      <c r="D127" s="55">
        <v>1</v>
      </c>
      <c r="E127" s="56">
        <v>6.993006993006993E-4</v>
      </c>
    </row>
    <row r="128" spans="2:5" ht="15" customHeight="1">
      <c r="B128" s="77"/>
      <c r="C128" s="54" t="s">
        <v>41</v>
      </c>
      <c r="D128" s="55">
        <v>10</v>
      </c>
      <c r="E128" s="56">
        <v>6.993006993006993E-3</v>
      </c>
    </row>
    <row r="129" spans="2:5" ht="15" customHeight="1">
      <c r="B129" s="77"/>
      <c r="C129" s="54" t="s">
        <v>36</v>
      </c>
      <c r="D129" s="55">
        <v>3</v>
      </c>
      <c r="E129" s="56">
        <v>2.0979020979020979E-3</v>
      </c>
    </row>
    <row r="130" spans="2:5" ht="15" customHeight="1">
      <c r="B130" s="78"/>
      <c r="C130" s="57" t="s">
        <v>15</v>
      </c>
      <c r="D130" s="58">
        <v>43</v>
      </c>
      <c r="E130" s="59">
        <v>3.006993006993007E-2</v>
      </c>
    </row>
    <row r="131" spans="2:5" ht="15" customHeight="1">
      <c r="B131" s="76" t="s">
        <v>255</v>
      </c>
      <c r="C131" s="54" t="s">
        <v>25</v>
      </c>
      <c r="D131" s="55">
        <v>3</v>
      </c>
      <c r="E131" s="56">
        <v>2.0979020979020979E-3</v>
      </c>
    </row>
    <row r="132" spans="2:5" ht="15" customHeight="1">
      <c r="B132" s="77"/>
      <c r="C132" s="54" t="s">
        <v>34</v>
      </c>
      <c r="D132" s="55">
        <v>33</v>
      </c>
      <c r="E132" s="56">
        <v>2.3076923076923078E-2</v>
      </c>
    </row>
    <row r="133" spans="2:5" ht="15" customHeight="1">
      <c r="B133" s="77"/>
      <c r="C133" s="54" t="s">
        <v>303</v>
      </c>
      <c r="D133" s="55">
        <v>1</v>
      </c>
      <c r="E133" s="56">
        <v>6.993006993006993E-4</v>
      </c>
    </row>
    <row r="134" spans="2:5" ht="15" customHeight="1">
      <c r="B134" s="77"/>
      <c r="C134" s="54" t="s">
        <v>23</v>
      </c>
      <c r="D134" s="55">
        <v>1</v>
      </c>
      <c r="E134" s="56">
        <v>6.993006993006993E-4</v>
      </c>
    </row>
    <row r="135" spans="2:5" ht="15" customHeight="1">
      <c r="B135" s="77"/>
      <c r="C135" s="54" t="s">
        <v>19</v>
      </c>
      <c r="D135" s="55">
        <v>3</v>
      </c>
      <c r="E135" s="56">
        <v>2.0979020979020979E-3</v>
      </c>
    </row>
    <row r="136" spans="2:5" ht="15" customHeight="1">
      <c r="B136" s="77"/>
      <c r="C136" s="54" t="s">
        <v>39</v>
      </c>
      <c r="D136" s="55">
        <v>25</v>
      </c>
      <c r="E136" s="56">
        <v>1.7482517482517484E-2</v>
      </c>
    </row>
    <row r="137" spans="2:5" ht="15" customHeight="1">
      <c r="B137" s="77"/>
      <c r="C137" s="54" t="s">
        <v>22</v>
      </c>
      <c r="D137" s="55">
        <v>2</v>
      </c>
      <c r="E137" s="56">
        <v>1.3986013986013986E-3</v>
      </c>
    </row>
    <row r="138" spans="2:5" ht="15" customHeight="1">
      <c r="B138" s="77"/>
      <c r="C138" s="54" t="s">
        <v>35</v>
      </c>
      <c r="D138" s="55">
        <v>14</v>
      </c>
      <c r="E138" s="56">
        <v>9.7902097902097911E-3</v>
      </c>
    </row>
    <row r="139" spans="2:5" ht="15" customHeight="1">
      <c r="B139" s="77"/>
      <c r="C139" s="54" t="s">
        <v>30</v>
      </c>
      <c r="D139" s="55">
        <v>6</v>
      </c>
      <c r="E139" s="56">
        <v>4.1958041958041958E-3</v>
      </c>
    </row>
    <row r="140" spans="2:5" ht="15" customHeight="1">
      <c r="B140" s="77"/>
      <c r="C140" s="54" t="s">
        <v>38</v>
      </c>
      <c r="D140" s="55">
        <v>32</v>
      </c>
      <c r="E140" s="56">
        <v>2.2377622377622378E-2</v>
      </c>
    </row>
    <row r="141" spans="2:5" ht="15" customHeight="1">
      <c r="B141" s="77"/>
      <c r="C141" s="54" t="s">
        <v>32</v>
      </c>
      <c r="D141" s="55">
        <v>9</v>
      </c>
      <c r="E141" s="56">
        <v>6.2937062937062941E-3</v>
      </c>
    </row>
    <row r="142" spans="2:5" ht="15" customHeight="1">
      <c r="B142" s="77"/>
      <c r="C142" s="54" t="s">
        <v>31</v>
      </c>
      <c r="D142" s="55">
        <v>7</v>
      </c>
      <c r="E142" s="56">
        <v>4.8951048951048955E-3</v>
      </c>
    </row>
    <row r="143" spans="2:5" ht="15" customHeight="1">
      <c r="B143" s="77"/>
      <c r="C143" s="54" t="s">
        <v>37</v>
      </c>
      <c r="D143" s="55">
        <v>15</v>
      </c>
      <c r="E143" s="56">
        <v>1.048951048951049E-2</v>
      </c>
    </row>
    <row r="144" spans="2:5" ht="15" customHeight="1">
      <c r="B144" s="77"/>
      <c r="C144" s="54" t="s">
        <v>33</v>
      </c>
      <c r="D144" s="55">
        <v>25</v>
      </c>
      <c r="E144" s="56">
        <v>1.7482517482517484E-2</v>
      </c>
    </row>
    <row r="145" spans="2:5" ht="15" customHeight="1">
      <c r="B145" s="77"/>
      <c r="C145" s="54" t="s">
        <v>18</v>
      </c>
      <c r="D145" s="55">
        <v>2</v>
      </c>
      <c r="E145" s="56">
        <v>1.3986013986013986E-3</v>
      </c>
    </row>
    <row r="146" spans="2:5" ht="15" customHeight="1">
      <c r="B146" s="77"/>
      <c r="C146" s="54" t="s">
        <v>40</v>
      </c>
      <c r="D146" s="55">
        <v>42</v>
      </c>
      <c r="E146" s="56">
        <v>2.937062937062937E-2</v>
      </c>
    </row>
    <row r="147" spans="2:5" ht="15" customHeight="1">
      <c r="B147" s="77"/>
      <c r="C147" s="54" t="s">
        <v>42</v>
      </c>
      <c r="D147" s="55">
        <v>167</v>
      </c>
      <c r="E147" s="56">
        <v>0.11678321678321678</v>
      </c>
    </row>
    <row r="148" spans="2:5" ht="15" customHeight="1">
      <c r="B148" s="77"/>
      <c r="C148" s="54" t="s">
        <v>29</v>
      </c>
      <c r="D148" s="55">
        <v>4</v>
      </c>
      <c r="E148" s="56">
        <v>2.7972027972027972E-3</v>
      </c>
    </row>
    <row r="149" spans="2:5" ht="15" customHeight="1">
      <c r="B149" s="77"/>
      <c r="C149" s="54" t="s">
        <v>21</v>
      </c>
      <c r="D149" s="55">
        <v>1</v>
      </c>
      <c r="E149" s="56">
        <v>6.993006993006993E-4</v>
      </c>
    </row>
    <row r="150" spans="2:5" ht="15" customHeight="1">
      <c r="B150" s="77"/>
      <c r="C150" s="54" t="s">
        <v>26</v>
      </c>
      <c r="D150" s="55">
        <v>2</v>
      </c>
      <c r="E150" s="56">
        <v>1.3986013986013986E-3</v>
      </c>
    </row>
    <row r="151" spans="2:5" ht="15" customHeight="1">
      <c r="B151" s="77"/>
      <c r="C151" s="54" t="s">
        <v>27</v>
      </c>
      <c r="D151" s="55">
        <v>2</v>
      </c>
      <c r="E151" s="56">
        <v>1.3986013986013986E-3</v>
      </c>
    </row>
    <row r="152" spans="2:5" ht="15" customHeight="1">
      <c r="B152" s="77"/>
      <c r="C152" s="54" t="s">
        <v>41</v>
      </c>
      <c r="D152" s="55">
        <v>78</v>
      </c>
      <c r="E152" s="56">
        <v>5.4545454545454543E-2</v>
      </c>
    </row>
    <row r="153" spans="2:5" ht="15" customHeight="1">
      <c r="B153" s="77"/>
      <c r="C153" s="54" t="s">
        <v>36</v>
      </c>
      <c r="D153" s="55">
        <v>29</v>
      </c>
      <c r="E153" s="56">
        <v>2.0279720279720279E-2</v>
      </c>
    </row>
    <row r="154" spans="2:5" ht="15" customHeight="1">
      <c r="B154" s="77"/>
      <c r="C154" s="54" t="s">
        <v>16</v>
      </c>
      <c r="D154" s="55">
        <v>1</v>
      </c>
      <c r="E154" s="56">
        <v>6.993006993006993E-4</v>
      </c>
    </row>
    <row r="155" spans="2:5" ht="15" customHeight="1">
      <c r="B155" s="78"/>
      <c r="C155" s="57" t="s">
        <v>15</v>
      </c>
      <c r="D155" s="58">
        <v>504</v>
      </c>
      <c r="E155" s="59">
        <v>0.35244755244755244</v>
      </c>
    </row>
    <row r="156" spans="2:5" ht="15" customHeight="1">
      <c r="B156" s="76" t="s">
        <v>299</v>
      </c>
      <c r="C156" s="54" t="s">
        <v>39</v>
      </c>
      <c r="D156" s="55">
        <v>5</v>
      </c>
      <c r="E156" s="56">
        <v>3.4965034965034965E-3</v>
      </c>
    </row>
    <row r="157" spans="2:5" ht="15" customHeight="1">
      <c r="B157" s="77"/>
      <c r="C157" s="54" t="s">
        <v>35</v>
      </c>
      <c r="D157" s="55">
        <v>3</v>
      </c>
      <c r="E157" s="56">
        <v>2.0979020979020979E-3</v>
      </c>
    </row>
    <row r="158" spans="2:5" ht="15" customHeight="1">
      <c r="B158" s="77"/>
      <c r="C158" s="54" t="s">
        <v>37</v>
      </c>
      <c r="D158" s="55">
        <v>1</v>
      </c>
      <c r="E158" s="56">
        <v>6.993006993006993E-4</v>
      </c>
    </row>
    <row r="159" spans="2:5" ht="15" customHeight="1">
      <c r="B159" s="77"/>
      <c r="C159" s="54" t="s">
        <v>40</v>
      </c>
      <c r="D159" s="55">
        <v>1</v>
      </c>
      <c r="E159" s="56">
        <v>6.993006993006993E-4</v>
      </c>
    </row>
    <row r="160" spans="2:5" ht="15" customHeight="1">
      <c r="B160" s="77"/>
      <c r="C160" s="54" t="s">
        <v>42</v>
      </c>
      <c r="D160" s="55">
        <v>4</v>
      </c>
      <c r="E160" s="56">
        <v>2.7972027972027972E-3</v>
      </c>
    </row>
    <row r="161" spans="2:5" ht="15" customHeight="1">
      <c r="B161" s="77"/>
      <c r="C161" s="54" t="s">
        <v>41</v>
      </c>
      <c r="D161" s="55">
        <v>2</v>
      </c>
      <c r="E161" s="56">
        <v>1.3986013986013986E-3</v>
      </c>
    </row>
    <row r="162" spans="2:5" ht="15" customHeight="1">
      <c r="B162" s="77"/>
      <c r="C162" s="54" t="s">
        <v>36</v>
      </c>
      <c r="D162" s="55">
        <v>1</v>
      </c>
      <c r="E162" s="56">
        <v>6.993006993006993E-4</v>
      </c>
    </row>
    <row r="163" spans="2:5" ht="15" customHeight="1">
      <c r="B163" s="78"/>
      <c r="C163" s="57" t="s">
        <v>15</v>
      </c>
      <c r="D163" s="58">
        <v>17</v>
      </c>
      <c r="E163" s="59">
        <v>1.1888111888111888E-2</v>
      </c>
    </row>
    <row r="164" spans="2:5" ht="15" customHeight="1">
      <c r="B164" s="76" t="s">
        <v>253</v>
      </c>
      <c r="C164" s="54" t="s">
        <v>34</v>
      </c>
      <c r="D164" s="55">
        <v>2</v>
      </c>
      <c r="E164" s="56">
        <v>1.3986013986013986E-3</v>
      </c>
    </row>
    <row r="165" spans="2:5" ht="15" customHeight="1">
      <c r="B165" s="77"/>
      <c r="C165" s="54" t="s">
        <v>303</v>
      </c>
      <c r="D165" s="55">
        <v>2</v>
      </c>
      <c r="E165" s="56">
        <v>1.3986013986013986E-3</v>
      </c>
    </row>
    <row r="166" spans="2:5" ht="15" customHeight="1">
      <c r="B166" s="77"/>
      <c r="C166" s="54" t="s">
        <v>39</v>
      </c>
      <c r="D166" s="55">
        <v>4</v>
      </c>
      <c r="E166" s="56">
        <v>2.7972027972027972E-3</v>
      </c>
    </row>
    <row r="167" spans="2:5" ht="15" customHeight="1">
      <c r="B167" s="77"/>
      <c r="C167" s="54" t="s">
        <v>35</v>
      </c>
      <c r="D167" s="55">
        <v>5</v>
      </c>
      <c r="E167" s="56">
        <v>3.4965034965034965E-3</v>
      </c>
    </row>
    <row r="168" spans="2:5" ht="15" customHeight="1">
      <c r="B168" s="77"/>
      <c r="C168" s="54" t="s">
        <v>38</v>
      </c>
      <c r="D168" s="55">
        <v>5</v>
      </c>
      <c r="E168" s="56">
        <v>3.4965034965034965E-3</v>
      </c>
    </row>
    <row r="169" spans="2:5" ht="15" customHeight="1">
      <c r="B169" s="77"/>
      <c r="C169" s="54" t="s">
        <v>32</v>
      </c>
      <c r="D169" s="55">
        <v>1</v>
      </c>
      <c r="E169" s="56">
        <v>6.993006993006993E-4</v>
      </c>
    </row>
    <row r="170" spans="2:5" ht="15" customHeight="1">
      <c r="B170" s="77"/>
      <c r="C170" s="54" t="s">
        <v>31</v>
      </c>
      <c r="D170" s="55">
        <v>1</v>
      </c>
      <c r="E170" s="56">
        <v>6.993006993006993E-4</v>
      </c>
    </row>
    <row r="171" spans="2:5" ht="15" customHeight="1">
      <c r="B171" s="77"/>
      <c r="C171" s="54" t="s">
        <v>37</v>
      </c>
      <c r="D171" s="55">
        <v>1</v>
      </c>
      <c r="E171" s="56">
        <v>6.993006993006993E-4</v>
      </c>
    </row>
    <row r="172" spans="2:5" ht="15" customHeight="1">
      <c r="B172" s="77"/>
      <c r="C172" s="54" t="s">
        <v>33</v>
      </c>
      <c r="D172" s="55">
        <v>2</v>
      </c>
      <c r="E172" s="56">
        <v>1.3986013986013986E-3</v>
      </c>
    </row>
    <row r="173" spans="2:5" ht="15" customHeight="1">
      <c r="B173" s="77"/>
      <c r="C173" s="54" t="s">
        <v>40</v>
      </c>
      <c r="D173" s="55">
        <v>4</v>
      </c>
      <c r="E173" s="56">
        <v>2.7972027972027972E-3</v>
      </c>
    </row>
    <row r="174" spans="2:5" ht="15" customHeight="1">
      <c r="B174" s="77"/>
      <c r="C174" s="54" t="s">
        <v>42</v>
      </c>
      <c r="D174" s="55">
        <v>18</v>
      </c>
      <c r="E174" s="56">
        <v>1.2587412587412588E-2</v>
      </c>
    </row>
    <row r="175" spans="2:5" ht="15" customHeight="1">
      <c r="B175" s="77"/>
      <c r="C175" s="54" t="s">
        <v>26</v>
      </c>
      <c r="D175" s="55">
        <v>1</v>
      </c>
      <c r="E175" s="56">
        <v>6.993006993006993E-4</v>
      </c>
    </row>
    <row r="176" spans="2:5" ht="15" customHeight="1">
      <c r="B176" s="77"/>
      <c r="C176" s="54" t="s">
        <v>41</v>
      </c>
      <c r="D176" s="55">
        <v>8</v>
      </c>
      <c r="E176" s="56">
        <v>5.5944055944055944E-3</v>
      </c>
    </row>
    <row r="177" spans="2:5" ht="15" customHeight="1">
      <c r="B177" s="77"/>
      <c r="C177" s="54" t="s">
        <v>36</v>
      </c>
      <c r="D177" s="55">
        <v>4</v>
      </c>
      <c r="E177" s="56">
        <v>2.7972027972027972E-3</v>
      </c>
    </row>
    <row r="178" spans="2:5" ht="15" customHeight="1">
      <c r="B178" s="78"/>
      <c r="C178" s="57" t="s">
        <v>15</v>
      </c>
      <c r="D178" s="58">
        <v>58</v>
      </c>
      <c r="E178" s="59">
        <v>4.0559440559440559E-2</v>
      </c>
    </row>
    <row r="179" spans="2:5" ht="15" customHeight="1">
      <c r="B179" s="76" t="s">
        <v>252</v>
      </c>
      <c r="C179" s="54" t="s">
        <v>25</v>
      </c>
      <c r="D179" s="55">
        <v>1</v>
      </c>
      <c r="E179" s="56">
        <v>6.993006993006993E-4</v>
      </c>
    </row>
    <row r="180" spans="2:5" ht="15" customHeight="1">
      <c r="B180" s="77"/>
      <c r="C180" s="54" t="s">
        <v>20</v>
      </c>
      <c r="D180" s="55">
        <v>2</v>
      </c>
      <c r="E180" s="56">
        <v>1.3986013986013986E-3</v>
      </c>
    </row>
    <row r="181" spans="2:5" ht="15" customHeight="1">
      <c r="B181" s="77"/>
      <c r="C181" s="54" t="s">
        <v>304</v>
      </c>
      <c r="D181" s="55">
        <v>1</v>
      </c>
      <c r="E181" s="56">
        <v>6.993006993006993E-4</v>
      </c>
    </row>
    <row r="182" spans="2:5" ht="15" customHeight="1">
      <c r="B182" s="77"/>
      <c r="C182" s="54" t="s">
        <v>34</v>
      </c>
      <c r="D182" s="55">
        <v>21</v>
      </c>
      <c r="E182" s="56">
        <v>1.4685314685314685E-2</v>
      </c>
    </row>
    <row r="183" spans="2:5" ht="15" customHeight="1">
      <c r="B183" s="77"/>
      <c r="C183" s="54" t="s">
        <v>19</v>
      </c>
      <c r="D183" s="55">
        <v>1</v>
      </c>
      <c r="E183" s="56">
        <v>6.993006993006993E-4</v>
      </c>
    </row>
    <row r="184" spans="2:5" ht="15" customHeight="1">
      <c r="B184" s="77"/>
      <c r="C184" s="54" t="s">
        <v>39</v>
      </c>
      <c r="D184" s="55">
        <v>24</v>
      </c>
      <c r="E184" s="56">
        <v>1.6783216783216783E-2</v>
      </c>
    </row>
    <row r="185" spans="2:5" ht="15" customHeight="1">
      <c r="B185" s="77"/>
      <c r="C185" s="54" t="s">
        <v>35</v>
      </c>
      <c r="D185" s="55">
        <v>9</v>
      </c>
      <c r="E185" s="56">
        <v>6.2937062937062941E-3</v>
      </c>
    </row>
    <row r="186" spans="2:5" ht="15" customHeight="1">
      <c r="B186" s="77"/>
      <c r="C186" s="54" t="s">
        <v>30</v>
      </c>
      <c r="D186" s="55">
        <v>3</v>
      </c>
      <c r="E186" s="56">
        <v>2.0979020979020979E-3</v>
      </c>
    </row>
    <row r="187" spans="2:5" ht="15" customHeight="1">
      <c r="B187" s="77"/>
      <c r="C187" s="54" t="s">
        <v>38</v>
      </c>
      <c r="D187" s="55">
        <v>13</v>
      </c>
      <c r="E187" s="56">
        <v>9.0909090909090905E-3</v>
      </c>
    </row>
    <row r="188" spans="2:5" ht="15" customHeight="1">
      <c r="B188" s="77"/>
      <c r="C188" s="54" t="s">
        <v>32</v>
      </c>
      <c r="D188" s="55">
        <v>3</v>
      </c>
      <c r="E188" s="56">
        <v>2.0979020979020979E-3</v>
      </c>
    </row>
    <row r="189" spans="2:5" ht="15" customHeight="1">
      <c r="B189" s="77"/>
      <c r="C189" s="54" t="s">
        <v>31</v>
      </c>
      <c r="D189" s="55">
        <v>3</v>
      </c>
      <c r="E189" s="56">
        <v>2.0979020979020979E-3</v>
      </c>
    </row>
    <row r="190" spans="2:5" ht="15" customHeight="1">
      <c r="B190" s="77"/>
      <c r="C190" s="54" t="s">
        <v>37</v>
      </c>
      <c r="D190" s="55">
        <v>8</v>
      </c>
      <c r="E190" s="56">
        <v>5.5944055944055944E-3</v>
      </c>
    </row>
    <row r="191" spans="2:5" ht="15" customHeight="1">
      <c r="B191" s="77"/>
      <c r="C191" s="54" t="s">
        <v>33</v>
      </c>
      <c r="D191" s="55">
        <v>8</v>
      </c>
      <c r="E191" s="56">
        <v>5.5944055944055944E-3</v>
      </c>
    </row>
    <row r="192" spans="2:5" ht="15" customHeight="1">
      <c r="B192" s="77"/>
      <c r="C192" s="54" t="s">
        <v>18</v>
      </c>
      <c r="D192" s="55">
        <v>1</v>
      </c>
      <c r="E192" s="56">
        <v>6.993006993006993E-4</v>
      </c>
    </row>
    <row r="193" spans="2:5" ht="15" customHeight="1">
      <c r="B193" s="77"/>
      <c r="C193" s="54" t="s">
        <v>40</v>
      </c>
      <c r="D193" s="55">
        <v>24</v>
      </c>
      <c r="E193" s="56">
        <v>1.6783216783216783E-2</v>
      </c>
    </row>
    <row r="194" spans="2:5" ht="15" customHeight="1">
      <c r="B194" s="77"/>
      <c r="C194" s="54" t="s">
        <v>42</v>
      </c>
      <c r="D194" s="55">
        <v>76</v>
      </c>
      <c r="E194" s="56">
        <v>5.3146853146853149E-2</v>
      </c>
    </row>
    <row r="195" spans="2:5" ht="15" customHeight="1">
      <c r="B195" s="77"/>
      <c r="C195" s="54" t="s">
        <v>17</v>
      </c>
      <c r="D195" s="55">
        <v>1</v>
      </c>
      <c r="E195" s="56">
        <v>6.993006993006993E-4</v>
      </c>
    </row>
    <row r="196" spans="2:5" ht="15" customHeight="1">
      <c r="B196" s="77"/>
      <c r="C196" s="54" t="s">
        <v>29</v>
      </c>
      <c r="D196" s="55">
        <v>2</v>
      </c>
      <c r="E196" s="56">
        <v>1.3986013986013986E-3</v>
      </c>
    </row>
    <row r="197" spans="2:5" ht="15" customHeight="1">
      <c r="B197" s="77"/>
      <c r="C197" s="54" t="s">
        <v>21</v>
      </c>
      <c r="D197" s="55">
        <v>3</v>
      </c>
      <c r="E197" s="56">
        <v>2.0979020979020979E-3</v>
      </c>
    </row>
    <row r="198" spans="2:5" ht="15" customHeight="1">
      <c r="B198" s="77"/>
      <c r="C198" s="54" t="s">
        <v>302</v>
      </c>
      <c r="D198" s="55">
        <v>3</v>
      </c>
      <c r="E198" s="56">
        <v>2.0979020979020979E-3</v>
      </c>
    </row>
    <row r="199" spans="2:5" ht="15" customHeight="1">
      <c r="B199" s="77"/>
      <c r="C199" s="54" t="s">
        <v>27</v>
      </c>
      <c r="D199" s="55">
        <v>3</v>
      </c>
      <c r="E199" s="56">
        <v>2.0979020979020979E-3</v>
      </c>
    </row>
    <row r="200" spans="2:5" ht="15" customHeight="1">
      <c r="B200" s="77"/>
      <c r="C200" s="54" t="s">
        <v>41</v>
      </c>
      <c r="D200" s="55">
        <v>41</v>
      </c>
      <c r="E200" s="56">
        <v>2.8671328671328673E-2</v>
      </c>
    </row>
    <row r="201" spans="2:5" ht="15" customHeight="1">
      <c r="B201" s="77"/>
      <c r="C201" s="54" t="s">
        <v>36</v>
      </c>
      <c r="D201" s="55">
        <v>14</v>
      </c>
      <c r="E201" s="56">
        <v>9.7902097902097911E-3</v>
      </c>
    </row>
    <row r="202" spans="2:5" ht="15" customHeight="1">
      <c r="B202" s="77"/>
      <c r="C202" s="54" t="s">
        <v>24</v>
      </c>
      <c r="D202" s="55">
        <v>1</v>
      </c>
      <c r="E202" s="56">
        <v>6.993006993006993E-4</v>
      </c>
    </row>
    <row r="203" spans="2:5" ht="15" customHeight="1">
      <c r="B203" s="78"/>
      <c r="C203" s="57" t="s">
        <v>15</v>
      </c>
      <c r="D203" s="58">
        <v>266</v>
      </c>
      <c r="E203" s="59">
        <v>0.18601398601398603</v>
      </c>
    </row>
    <row r="204" spans="2:5" ht="15" customHeight="1">
      <c r="B204" s="76" t="s">
        <v>251</v>
      </c>
      <c r="C204" s="54" t="s">
        <v>38</v>
      </c>
      <c r="D204" s="55">
        <v>1</v>
      </c>
      <c r="E204" s="56">
        <v>6.993006993006993E-4</v>
      </c>
    </row>
    <row r="205" spans="2:5" ht="15" customHeight="1">
      <c r="B205" s="77"/>
      <c r="C205" s="54" t="s">
        <v>26</v>
      </c>
      <c r="D205" s="55">
        <v>1</v>
      </c>
      <c r="E205" s="56">
        <v>6.993006993006993E-4</v>
      </c>
    </row>
    <row r="206" spans="2:5" ht="15" customHeight="1">
      <c r="B206" s="78"/>
      <c r="C206" s="57" t="s">
        <v>15</v>
      </c>
      <c r="D206" s="58">
        <v>2</v>
      </c>
      <c r="E206" s="59">
        <v>1.3986013986013986E-3</v>
      </c>
    </row>
    <row r="207" spans="2:5" ht="15" customHeight="1">
      <c r="B207" s="76" t="s">
        <v>423</v>
      </c>
      <c r="C207" s="54" t="s">
        <v>20</v>
      </c>
      <c r="D207" s="55">
        <v>1</v>
      </c>
      <c r="E207" s="56">
        <v>6.993006993006993E-4</v>
      </c>
    </row>
    <row r="208" spans="2:5" ht="15" customHeight="1">
      <c r="B208" s="77"/>
      <c r="C208" s="54" t="s">
        <v>34</v>
      </c>
      <c r="D208" s="55">
        <v>1</v>
      </c>
      <c r="E208" s="56">
        <v>6.993006993006993E-4</v>
      </c>
    </row>
    <row r="209" spans="2:5" ht="15" customHeight="1">
      <c r="B209" s="77"/>
      <c r="C209" s="54" t="s">
        <v>42</v>
      </c>
      <c r="D209" s="55">
        <v>2</v>
      </c>
      <c r="E209" s="56">
        <v>1.3986013986013986E-3</v>
      </c>
    </row>
    <row r="210" spans="2:5" ht="15" customHeight="1">
      <c r="B210" s="78"/>
      <c r="C210" s="57" t="s">
        <v>15</v>
      </c>
      <c r="D210" s="58">
        <v>4</v>
      </c>
      <c r="E210" s="59">
        <v>2.7972027972027972E-3</v>
      </c>
    </row>
    <row r="211" spans="2:5" ht="15" customHeight="1">
      <c r="B211" s="76" t="s">
        <v>250</v>
      </c>
      <c r="C211" s="54" t="s">
        <v>42</v>
      </c>
      <c r="D211" s="55">
        <v>1</v>
      </c>
      <c r="E211" s="56">
        <v>6.993006993006993E-4</v>
      </c>
    </row>
    <row r="212" spans="2:5" ht="15" customHeight="1">
      <c r="B212" s="77"/>
      <c r="C212" s="54" t="s">
        <v>41</v>
      </c>
      <c r="D212" s="55">
        <v>1</v>
      </c>
      <c r="E212" s="56">
        <v>6.993006993006993E-4</v>
      </c>
    </row>
    <row r="213" spans="2:5" ht="15" customHeight="1">
      <c r="B213" s="78"/>
      <c r="C213" s="57" t="s">
        <v>15</v>
      </c>
      <c r="D213" s="58">
        <v>2</v>
      </c>
      <c r="E213" s="59">
        <v>1.3986013986013986E-3</v>
      </c>
    </row>
    <row r="214" spans="2:5" ht="15" customHeight="1">
      <c r="B214" s="76" t="s">
        <v>249</v>
      </c>
      <c r="C214" s="54" t="s">
        <v>25</v>
      </c>
      <c r="D214" s="55">
        <v>1</v>
      </c>
      <c r="E214" s="56">
        <v>6.993006993006993E-4</v>
      </c>
    </row>
    <row r="215" spans="2:5" ht="15" customHeight="1">
      <c r="B215" s="77"/>
      <c r="C215" s="54" t="s">
        <v>34</v>
      </c>
      <c r="D215" s="55">
        <v>1</v>
      </c>
      <c r="E215" s="56">
        <v>6.993006993006993E-4</v>
      </c>
    </row>
    <row r="216" spans="2:5" ht="15" customHeight="1">
      <c r="B216" s="77"/>
      <c r="C216" s="54" t="s">
        <v>39</v>
      </c>
      <c r="D216" s="55">
        <v>1</v>
      </c>
      <c r="E216" s="56">
        <v>6.993006993006993E-4</v>
      </c>
    </row>
    <row r="217" spans="2:5" ht="15" customHeight="1">
      <c r="B217" s="77"/>
      <c r="C217" s="54" t="s">
        <v>35</v>
      </c>
      <c r="D217" s="55">
        <v>1</v>
      </c>
      <c r="E217" s="56">
        <v>6.993006993006993E-4</v>
      </c>
    </row>
    <row r="218" spans="2:5" ht="15" customHeight="1">
      <c r="B218" s="77"/>
      <c r="C218" s="54" t="s">
        <v>38</v>
      </c>
      <c r="D218" s="55">
        <v>1</v>
      </c>
      <c r="E218" s="56">
        <v>6.993006993006993E-4</v>
      </c>
    </row>
    <row r="219" spans="2:5" ht="15" customHeight="1">
      <c r="B219" s="77"/>
      <c r="C219" s="54" t="s">
        <v>32</v>
      </c>
      <c r="D219" s="55">
        <v>1</v>
      </c>
      <c r="E219" s="56">
        <v>6.993006993006993E-4</v>
      </c>
    </row>
    <row r="220" spans="2:5" ht="15" customHeight="1">
      <c r="B220" s="77"/>
      <c r="C220" s="54" t="s">
        <v>37</v>
      </c>
      <c r="D220" s="55">
        <v>2</v>
      </c>
      <c r="E220" s="56">
        <v>1.3986013986013986E-3</v>
      </c>
    </row>
    <row r="221" spans="2:5" ht="15" customHeight="1">
      <c r="B221" s="77"/>
      <c r="C221" s="54" t="s">
        <v>40</v>
      </c>
      <c r="D221" s="55">
        <v>1</v>
      </c>
      <c r="E221" s="56">
        <v>6.993006993006993E-4</v>
      </c>
    </row>
    <row r="222" spans="2:5" ht="15" customHeight="1">
      <c r="B222" s="77"/>
      <c r="C222" s="54" t="s">
        <v>42</v>
      </c>
      <c r="D222" s="55">
        <v>6</v>
      </c>
      <c r="E222" s="56">
        <v>4.1958041958041958E-3</v>
      </c>
    </row>
    <row r="223" spans="2:5" ht="15" customHeight="1">
      <c r="B223" s="77"/>
      <c r="C223" s="54" t="s">
        <v>41</v>
      </c>
      <c r="D223" s="55">
        <v>5</v>
      </c>
      <c r="E223" s="56">
        <v>3.4965034965034965E-3</v>
      </c>
    </row>
    <row r="224" spans="2:5" ht="15" customHeight="1">
      <c r="B224" s="77"/>
      <c r="C224" s="54" t="s">
        <v>36</v>
      </c>
      <c r="D224" s="55">
        <v>3</v>
      </c>
      <c r="E224" s="56">
        <v>2.0979020979020979E-3</v>
      </c>
    </row>
    <row r="225" spans="2:5" ht="15" customHeight="1">
      <c r="B225" s="78"/>
      <c r="C225" s="57" t="s">
        <v>15</v>
      </c>
      <c r="D225" s="58">
        <v>23</v>
      </c>
      <c r="E225" s="59">
        <v>1.6083916083916083E-2</v>
      </c>
    </row>
    <row r="226" spans="2:5" ht="15" customHeight="1">
      <c r="B226" s="76" t="s">
        <v>298</v>
      </c>
      <c r="C226" s="54" t="s">
        <v>34</v>
      </c>
      <c r="D226" s="55">
        <v>7</v>
      </c>
      <c r="E226" s="56">
        <v>4.8951048951048955E-3</v>
      </c>
    </row>
    <row r="227" spans="2:5" ht="15" customHeight="1">
      <c r="B227" s="77"/>
      <c r="C227" s="54" t="s">
        <v>39</v>
      </c>
      <c r="D227" s="55">
        <v>3</v>
      </c>
      <c r="E227" s="56">
        <v>2.0979020979020979E-3</v>
      </c>
    </row>
    <row r="228" spans="2:5" ht="15" customHeight="1">
      <c r="B228" s="77"/>
      <c r="C228" s="54" t="s">
        <v>30</v>
      </c>
      <c r="D228" s="55">
        <v>1</v>
      </c>
      <c r="E228" s="56">
        <v>6.993006993006993E-4</v>
      </c>
    </row>
    <row r="229" spans="2:5" ht="15" customHeight="1">
      <c r="B229" s="77"/>
      <c r="C229" s="54" t="s">
        <v>32</v>
      </c>
      <c r="D229" s="55">
        <v>1</v>
      </c>
      <c r="E229" s="56">
        <v>6.993006993006993E-4</v>
      </c>
    </row>
    <row r="230" spans="2:5" ht="15" customHeight="1">
      <c r="B230" s="77"/>
      <c r="C230" s="54" t="s">
        <v>31</v>
      </c>
      <c r="D230" s="55">
        <v>2</v>
      </c>
      <c r="E230" s="56">
        <v>1.3986013986013986E-3</v>
      </c>
    </row>
    <row r="231" spans="2:5" ht="15" customHeight="1">
      <c r="B231" s="77"/>
      <c r="C231" s="54" t="s">
        <v>37</v>
      </c>
      <c r="D231" s="55">
        <v>1</v>
      </c>
      <c r="E231" s="56">
        <v>6.993006993006993E-4</v>
      </c>
    </row>
    <row r="232" spans="2:5" ht="15" customHeight="1">
      <c r="B232" s="77"/>
      <c r="C232" s="54" t="s">
        <v>33</v>
      </c>
      <c r="D232" s="55">
        <v>3</v>
      </c>
      <c r="E232" s="56">
        <v>2.0979020979020979E-3</v>
      </c>
    </row>
    <row r="233" spans="2:5" ht="15" customHeight="1">
      <c r="B233" s="77"/>
      <c r="C233" s="54" t="s">
        <v>40</v>
      </c>
      <c r="D233" s="55">
        <v>3</v>
      </c>
      <c r="E233" s="56">
        <v>2.0979020979020979E-3</v>
      </c>
    </row>
    <row r="234" spans="2:5" ht="15" customHeight="1">
      <c r="B234" s="77"/>
      <c r="C234" s="54" t="s">
        <v>42</v>
      </c>
      <c r="D234" s="55">
        <v>12</v>
      </c>
      <c r="E234" s="56">
        <v>8.3916083916083916E-3</v>
      </c>
    </row>
    <row r="235" spans="2:5" ht="15" customHeight="1">
      <c r="B235" s="77"/>
      <c r="C235" s="54" t="s">
        <v>21</v>
      </c>
      <c r="D235" s="55">
        <v>1</v>
      </c>
      <c r="E235" s="56">
        <v>6.993006993006993E-4</v>
      </c>
    </row>
    <row r="236" spans="2:5" ht="15" customHeight="1">
      <c r="B236" s="77"/>
      <c r="C236" s="54" t="s">
        <v>27</v>
      </c>
      <c r="D236" s="55">
        <v>1</v>
      </c>
      <c r="E236" s="56">
        <v>6.993006993006993E-4</v>
      </c>
    </row>
    <row r="237" spans="2:5" ht="15" customHeight="1">
      <c r="B237" s="77"/>
      <c r="C237" s="54" t="s">
        <v>41</v>
      </c>
      <c r="D237" s="55">
        <v>8</v>
      </c>
      <c r="E237" s="56">
        <v>5.5944055944055944E-3</v>
      </c>
    </row>
    <row r="238" spans="2:5" ht="15" customHeight="1">
      <c r="B238" s="77"/>
      <c r="C238" s="54" t="s">
        <v>36</v>
      </c>
      <c r="D238" s="55">
        <v>2</v>
      </c>
      <c r="E238" s="56">
        <v>1.3986013986013986E-3</v>
      </c>
    </row>
    <row r="239" spans="2:5" ht="15" customHeight="1">
      <c r="B239" s="78"/>
      <c r="C239" s="57" t="s">
        <v>15</v>
      </c>
      <c r="D239" s="58">
        <v>45</v>
      </c>
      <c r="E239" s="59">
        <v>3.1468531468531472E-2</v>
      </c>
    </row>
    <row r="240" spans="2:5" ht="15" customHeight="1">
      <c r="B240" s="76" t="s">
        <v>297</v>
      </c>
      <c r="C240" s="54" t="s">
        <v>41</v>
      </c>
      <c r="D240" s="55">
        <v>1</v>
      </c>
      <c r="E240" s="56">
        <v>6.993006993006993E-4</v>
      </c>
    </row>
    <row r="241" spans="2:5" ht="15" customHeight="1">
      <c r="B241" s="78"/>
      <c r="C241" s="57" t="s">
        <v>15</v>
      </c>
      <c r="D241" s="58">
        <v>1</v>
      </c>
      <c r="E241" s="59">
        <v>6.993006993006993E-4</v>
      </c>
    </row>
    <row r="242" spans="2:5" ht="15" customHeight="1">
      <c r="B242" s="76" t="s">
        <v>246</v>
      </c>
      <c r="C242" s="54" t="s">
        <v>42</v>
      </c>
      <c r="D242" s="55">
        <v>1</v>
      </c>
      <c r="E242" s="56">
        <v>6.993006993006993E-4</v>
      </c>
    </row>
    <row r="243" spans="2:5" ht="15" customHeight="1">
      <c r="B243" s="78"/>
      <c r="C243" s="57" t="s">
        <v>15</v>
      </c>
      <c r="D243" s="58">
        <v>1</v>
      </c>
      <c r="E243" s="59">
        <v>6.993006993006993E-4</v>
      </c>
    </row>
    <row r="244" spans="2:5" ht="15" customHeight="1">
      <c r="B244" s="79" t="s">
        <v>15</v>
      </c>
      <c r="C244" s="80"/>
      <c r="D244" s="60">
        <v>1430</v>
      </c>
      <c r="E244" s="61">
        <v>1</v>
      </c>
    </row>
    <row r="245" spans="2:5" ht="15" customHeight="1">
      <c r="B245" s="62"/>
      <c r="C245" s="62"/>
      <c r="D245" s="62"/>
      <c r="E245" s="62"/>
    </row>
    <row r="246" spans="2:5" ht="15" customHeight="1">
      <c r="B246" s="63" t="s">
        <v>549</v>
      </c>
      <c r="C246" s="62"/>
      <c r="D246" s="62"/>
      <c r="E246" s="62"/>
    </row>
    <row r="247" spans="2:5" ht="15" customHeight="1">
      <c r="B247" s="64" t="s">
        <v>14</v>
      </c>
      <c r="C247" s="62"/>
      <c r="D247" s="62"/>
      <c r="E247" s="62"/>
    </row>
    <row r="248" spans="2:5" ht="15" customHeight="1">
      <c r="B248" s="65" t="s">
        <v>13</v>
      </c>
      <c r="C248" s="62"/>
      <c r="D248" s="62"/>
      <c r="E248" s="62"/>
    </row>
    <row r="249" spans="2:5" ht="15" customHeight="1">
      <c r="B249" s="63" t="s">
        <v>12</v>
      </c>
      <c r="C249" s="62"/>
      <c r="D249" s="62"/>
      <c r="E249" s="62"/>
    </row>
    <row r="250" spans="2:5" ht="15" customHeight="1">
      <c r="B250" s="63" t="s">
        <v>550</v>
      </c>
      <c r="C250" s="62"/>
      <c r="D250" s="62"/>
      <c r="E250" s="62"/>
    </row>
  </sheetData>
  <mergeCells count="24">
    <mergeCell ref="B103:B117"/>
    <mergeCell ref="B118:B130"/>
    <mergeCell ref="B131:B155"/>
    <mergeCell ref="B7:E8"/>
    <mergeCell ref="B10:B17"/>
    <mergeCell ref="B18:B23"/>
    <mergeCell ref="B73:B92"/>
    <mergeCell ref="B93:B102"/>
    <mergeCell ref="B24:B29"/>
    <mergeCell ref="B30:B37"/>
    <mergeCell ref="B38:B44"/>
    <mergeCell ref="B45:B53"/>
    <mergeCell ref="B54:B72"/>
    <mergeCell ref="B156:B163"/>
    <mergeCell ref="B164:B178"/>
    <mergeCell ref="B179:B203"/>
    <mergeCell ref="B204:B206"/>
    <mergeCell ref="B207:B210"/>
    <mergeCell ref="B244:C244"/>
    <mergeCell ref="B211:B213"/>
    <mergeCell ref="B214:B225"/>
    <mergeCell ref="B226:B239"/>
    <mergeCell ref="B240:B241"/>
    <mergeCell ref="B242:B243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H20"/>
  <sheetViews>
    <sheetView showGridLines="0" zoomScaleNormal="100" zoomScaleSheetLayoutView="115" workbookViewId="0">
      <selection activeCell="I17" sqref="I17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75" t="s">
        <v>554</v>
      </c>
      <c r="C7" s="75"/>
      <c r="D7" s="75"/>
    </row>
    <row r="8" spans="1:5" s="29" customFormat="1" ht="15" customHeight="1">
      <c r="B8" s="75"/>
      <c r="C8" s="75"/>
      <c r="D8" s="75"/>
    </row>
    <row r="9" spans="1:5" s="29" customFormat="1" ht="33" customHeight="1">
      <c r="B9" s="75"/>
      <c r="C9" s="75"/>
      <c r="D9" s="75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272</v>
      </c>
      <c r="C11" s="31" t="s">
        <v>44</v>
      </c>
      <c r="D11" s="30" t="s">
        <v>43</v>
      </c>
    </row>
    <row r="12" spans="1:5">
      <c r="B12" s="27" t="s">
        <v>271</v>
      </c>
      <c r="C12" s="26">
        <v>959</v>
      </c>
      <c r="D12" s="25">
        <v>0.67062937062937067</v>
      </c>
    </row>
    <row r="13" spans="1:5">
      <c r="B13" s="27" t="s">
        <v>270</v>
      </c>
      <c r="C13" s="26">
        <v>471</v>
      </c>
      <c r="D13" s="25">
        <v>0.32937062937062939</v>
      </c>
    </row>
    <row r="14" spans="1:5">
      <c r="B14" s="24" t="s">
        <v>269</v>
      </c>
      <c r="C14" s="23">
        <v>1430</v>
      </c>
      <c r="D14" s="22">
        <v>1</v>
      </c>
    </row>
    <row r="15" spans="1:5">
      <c r="A15" s="28"/>
      <c r="B15" s="28"/>
      <c r="C15" s="47"/>
      <c r="D15" s="28"/>
      <c r="E15" s="28"/>
    </row>
    <row r="16" spans="1:5">
      <c r="B16" s="19" t="s">
        <v>549</v>
      </c>
      <c r="C16" s="47"/>
      <c r="D16" s="28"/>
    </row>
    <row r="17" spans="2:8">
      <c r="B17" s="21" t="s">
        <v>14</v>
      </c>
      <c r="C17" s="50"/>
      <c r="D17" s="50"/>
      <c r="H17" s="17" t="s">
        <v>552</v>
      </c>
    </row>
    <row r="18" spans="2:8">
      <c r="B18" s="20" t="s">
        <v>13</v>
      </c>
      <c r="C18" s="51"/>
      <c r="D18" s="51"/>
    </row>
    <row r="19" spans="2:8">
      <c r="B19" s="19" t="s">
        <v>12</v>
      </c>
    </row>
    <row r="20" spans="2:8">
      <c r="B20" s="19" t="s">
        <v>550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81"/>
  <sheetViews>
    <sheetView showGridLines="0" zoomScaleNormal="100" zoomScaleSheetLayoutView="100" workbookViewId="0">
      <selection activeCell="F1" sqref="F1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42" customFormat="1" ht="12" customHeight="1">
      <c r="B1" s="46"/>
      <c r="C1" s="45"/>
      <c r="D1" s="45"/>
      <c r="E1" s="45"/>
    </row>
    <row r="2" spans="1:5" s="42" customFormat="1" ht="15" customHeight="1">
      <c r="C2" s="44"/>
    </row>
    <row r="3" spans="1:5" s="42" customFormat="1" ht="15" customHeight="1">
      <c r="C3" s="44"/>
    </row>
    <row r="4" spans="1:5" s="42" customFormat="1" ht="30" customHeight="1">
      <c r="C4" s="44"/>
      <c r="D4" s="43"/>
    </row>
    <row r="5" spans="1:5" s="42" customFormat="1" ht="15" customHeight="1">
      <c r="C5" s="44"/>
      <c r="D5" s="43"/>
    </row>
    <row r="6" spans="1:5" s="39" customFormat="1" ht="24" customHeight="1">
      <c r="B6" s="41"/>
      <c r="C6" s="38"/>
      <c r="D6" s="38"/>
      <c r="E6" s="38"/>
    </row>
    <row r="7" spans="1:5" s="39" customFormat="1" ht="26.25" customHeight="1">
      <c r="A7" s="40"/>
      <c r="B7" s="81"/>
      <c r="C7" s="81"/>
      <c r="D7" s="81"/>
      <c r="E7" s="81"/>
    </row>
    <row r="8" spans="1:5" s="39" customFormat="1" ht="33" customHeight="1">
      <c r="A8" s="40"/>
      <c r="B8" s="81"/>
      <c r="C8" s="81"/>
      <c r="D8" s="81"/>
      <c r="E8" s="81"/>
    </row>
    <row r="9" spans="1:5" s="29" customFormat="1" ht="40.5" customHeight="1">
      <c r="B9" s="52" t="s">
        <v>45</v>
      </c>
      <c r="C9" s="52" t="s">
        <v>272</v>
      </c>
      <c r="D9" s="53" t="s">
        <v>44</v>
      </c>
      <c r="E9" s="52" t="s">
        <v>43</v>
      </c>
    </row>
    <row r="10" spans="1:5" ht="15" customHeight="1">
      <c r="B10" s="76" t="s">
        <v>25</v>
      </c>
      <c r="C10" s="54" t="s">
        <v>274</v>
      </c>
      <c r="D10" s="55">
        <v>3</v>
      </c>
      <c r="E10" s="56">
        <v>2.0979020979020979E-3</v>
      </c>
    </row>
    <row r="11" spans="1:5" ht="15" customHeight="1">
      <c r="B11" s="77"/>
      <c r="C11" s="54" t="s">
        <v>273</v>
      </c>
      <c r="D11" s="55">
        <v>3</v>
      </c>
      <c r="E11" s="56">
        <v>2.0979020979020979E-3</v>
      </c>
    </row>
    <row r="12" spans="1:5" ht="15" customHeight="1">
      <c r="B12" s="78"/>
      <c r="C12" s="57" t="s">
        <v>15</v>
      </c>
      <c r="D12" s="58">
        <v>6</v>
      </c>
      <c r="E12" s="59">
        <v>4.1958041958041958E-3</v>
      </c>
    </row>
    <row r="13" spans="1:5" ht="15" customHeight="1">
      <c r="B13" s="76" t="s">
        <v>20</v>
      </c>
      <c r="C13" s="54" t="s">
        <v>274</v>
      </c>
      <c r="D13" s="55">
        <v>1</v>
      </c>
      <c r="E13" s="56">
        <v>6.993006993006993E-4</v>
      </c>
    </row>
    <row r="14" spans="1:5" ht="15" customHeight="1">
      <c r="B14" s="77"/>
      <c r="C14" s="54" t="s">
        <v>273</v>
      </c>
      <c r="D14" s="55">
        <v>3</v>
      </c>
      <c r="E14" s="56">
        <v>2.0979020979020979E-3</v>
      </c>
    </row>
    <row r="15" spans="1:5" ht="15" customHeight="1">
      <c r="B15" s="78"/>
      <c r="C15" s="57" t="s">
        <v>15</v>
      </c>
      <c r="D15" s="58">
        <v>4</v>
      </c>
      <c r="E15" s="59">
        <v>2.7972027972027972E-3</v>
      </c>
    </row>
    <row r="16" spans="1:5" ht="15" customHeight="1">
      <c r="B16" s="76" t="s">
        <v>304</v>
      </c>
      <c r="C16" s="54" t="s">
        <v>274</v>
      </c>
      <c r="D16" s="55">
        <v>1</v>
      </c>
      <c r="E16" s="56">
        <v>6.993006993006993E-4</v>
      </c>
    </row>
    <row r="17" spans="2:5" ht="15" customHeight="1">
      <c r="B17" s="78"/>
      <c r="C17" s="57" t="s">
        <v>15</v>
      </c>
      <c r="D17" s="58">
        <v>1</v>
      </c>
      <c r="E17" s="59">
        <v>6.993006993006993E-4</v>
      </c>
    </row>
    <row r="18" spans="2:5" ht="15" customHeight="1">
      <c r="B18" s="76" t="s">
        <v>34</v>
      </c>
      <c r="C18" s="54" t="s">
        <v>274</v>
      </c>
      <c r="D18" s="55">
        <v>81</v>
      </c>
      <c r="E18" s="56">
        <v>5.6643356643356645E-2</v>
      </c>
    </row>
    <row r="19" spans="2:5" ht="15" customHeight="1">
      <c r="B19" s="77"/>
      <c r="C19" s="54" t="s">
        <v>273</v>
      </c>
      <c r="D19" s="55">
        <v>22</v>
      </c>
      <c r="E19" s="56">
        <v>1.5384615384615385E-2</v>
      </c>
    </row>
    <row r="20" spans="2:5" ht="15" customHeight="1">
      <c r="B20" s="78"/>
      <c r="C20" s="57" t="s">
        <v>15</v>
      </c>
      <c r="D20" s="58">
        <v>103</v>
      </c>
      <c r="E20" s="59">
        <v>7.2027972027972023E-2</v>
      </c>
    </row>
    <row r="21" spans="2:5" ht="15" customHeight="1">
      <c r="B21" s="76" t="s">
        <v>303</v>
      </c>
      <c r="C21" s="54" t="s">
        <v>274</v>
      </c>
      <c r="D21" s="55">
        <v>2</v>
      </c>
      <c r="E21" s="56">
        <v>1.3986013986013986E-3</v>
      </c>
    </row>
    <row r="22" spans="2:5" ht="15" customHeight="1">
      <c r="B22" s="77"/>
      <c r="C22" s="54" t="s">
        <v>273</v>
      </c>
      <c r="D22" s="55">
        <v>1</v>
      </c>
      <c r="E22" s="56">
        <v>6.993006993006993E-4</v>
      </c>
    </row>
    <row r="23" spans="2:5" ht="15" customHeight="1">
      <c r="B23" s="78"/>
      <c r="C23" s="57" t="s">
        <v>15</v>
      </c>
      <c r="D23" s="58">
        <v>3</v>
      </c>
      <c r="E23" s="59">
        <v>2.0979020979020979E-3</v>
      </c>
    </row>
    <row r="24" spans="2:5" ht="15" customHeight="1">
      <c r="B24" s="76" t="s">
        <v>23</v>
      </c>
      <c r="C24" s="54" t="s">
        <v>273</v>
      </c>
      <c r="D24" s="55">
        <v>1</v>
      </c>
      <c r="E24" s="56">
        <v>6.993006993006993E-4</v>
      </c>
    </row>
    <row r="25" spans="2:5" ht="15" customHeight="1">
      <c r="B25" s="78"/>
      <c r="C25" s="57" t="s">
        <v>15</v>
      </c>
      <c r="D25" s="58">
        <v>1</v>
      </c>
      <c r="E25" s="59">
        <v>6.993006993006993E-4</v>
      </c>
    </row>
    <row r="26" spans="2:5" ht="15" customHeight="1">
      <c r="B26" s="76" t="s">
        <v>19</v>
      </c>
      <c r="C26" s="54" t="s">
        <v>274</v>
      </c>
      <c r="D26" s="55">
        <v>3</v>
      </c>
      <c r="E26" s="56">
        <v>2.0979020979020979E-3</v>
      </c>
    </row>
    <row r="27" spans="2:5" ht="15" customHeight="1">
      <c r="B27" s="77"/>
      <c r="C27" s="54" t="s">
        <v>273</v>
      </c>
      <c r="D27" s="55">
        <v>1</v>
      </c>
      <c r="E27" s="56">
        <v>6.993006993006993E-4</v>
      </c>
    </row>
    <row r="28" spans="2:5" ht="15" customHeight="1">
      <c r="B28" s="78"/>
      <c r="C28" s="57" t="s">
        <v>15</v>
      </c>
      <c r="D28" s="58">
        <v>4</v>
      </c>
      <c r="E28" s="59">
        <v>2.7972027972027972E-3</v>
      </c>
    </row>
    <row r="29" spans="2:5" ht="15" customHeight="1">
      <c r="B29" s="76" t="s">
        <v>39</v>
      </c>
      <c r="C29" s="54" t="s">
        <v>274</v>
      </c>
      <c r="D29" s="55">
        <v>42</v>
      </c>
      <c r="E29" s="56">
        <v>2.937062937062937E-2</v>
      </c>
    </row>
    <row r="30" spans="2:5" ht="15" customHeight="1">
      <c r="B30" s="77"/>
      <c r="C30" s="54" t="s">
        <v>273</v>
      </c>
      <c r="D30" s="55">
        <v>26</v>
      </c>
      <c r="E30" s="56">
        <v>1.8181818181818181E-2</v>
      </c>
    </row>
    <row r="31" spans="2:5" ht="15" customHeight="1">
      <c r="B31" s="78"/>
      <c r="C31" s="57" t="s">
        <v>15</v>
      </c>
      <c r="D31" s="58">
        <v>68</v>
      </c>
      <c r="E31" s="59">
        <v>4.7552447552447551E-2</v>
      </c>
    </row>
    <row r="32" spans="2:5" ht="15" customHeight="1">
      <c r="B32" s="76" t="s">
        <v>22</v>
      </c>
      <c r="C32" s="54" t="s">
        <v>274</v>
      </c>
      <c r="D32" s="55">
        <v>4</v>
      </c>
      <c r="E32" s="56">
        <v>2.7972027972027972E-3</v>
      </c>
    </row>
    <row r="33" spans="2:5" ht="15" customHeight="1">
      <c r="B33" s="77"/>
      <c r="C33" s="54" t="s">
        <v>273</v>
      </c>
      <c r="D33" s="55">
        <v>1</v>
      </c>
      <c r="E33" s="56">
        <v>6.993006993006993E-4</v>
      </c>
    </row>
    <row r="34" spans="2:5" ht="15" customHeight="1">
      <c r="B34" s="78"/>
      <c r="C34" s="57" t="s">
        <v>15</v>
      </c>
      <c r="D34" s="58">
        <v>5</v>
      </c>
      <c r="E34" s="59">
        <v>3.4965034965034965E-3</v>
      </c>
    </row>
    <row r="35" spans="2:5" ht="15" customHeight="1">
      <c r="B35" s="76" t="s">
        <v>35</v>
      </c>
      <c r="C35" s="54" t="s">
        <v>274</v>
      </c>
      <c r="D35" s="55">
        <v>29</v>
      </c>
      <c r="E35" s="56">
        <v>2.0279720279720279E-2</v>
      </c>
    </row>
    <row r="36" spans="2:5" ht="15" customHeight="1">
      <c r="B36" s="77"/>
      <c r="C36" s="54" t="s">
        <v>273</v>
      </c>
      <c r="D36" s="55">
        <v>16</v>
      </c>
      <c r="E36" s="56">
        <v>1.1188811188811189E-2</v>
      </c>
    </row>
    <row r="37" spans="2:5" ht="15" customHeight="1">
      <c r="B37" s="78"/>
      <c r="C37" s="57" t="s">
        <v>15</v>
      </c>
      <c r="D37" s="58">
        <v>45</v>
      </c>
      <c r="E37" s="59">
        <v>3.1468531468531472E-2</v>
      </c>
    </row>
    <row r="38" spans="2:5" ht="15" customHeight="1">
      <c r="B38" s="76" t="s">
        <v>30</v>
      </c>
      <c r="C38" s="54" t="s">
        <v>274</v>
      </c>
      <c r="D38" s="55">
        <v>14</v>
      </c>
      <c r="E38" s="56">
        <v>9.7902097902097911E-3</v>
      </c>
    </row>
    <row r="39" spans="2:5" ht="15" customHeight="1">
      <c r="B39" s="77"/>
      <c r="C39" s="54" t="s">
        <v>273</v>
      </c>
      <c r="D39" s="55">
        <v>2</v>
      </c>
      <c r="E39" s="56">
        <v>1.3986013986013986E-3</v>
      </c>
    </row>
    <row r="40" spans="2:5" ht="15" customHeight="1">
      <c r="B40" s="78"/>
      <c r="C40" s="57" t="s">
        <v>15</v>
      </c>
      <c r="D40" s="58">
        <v>16</v>
      </c>
      <c r="E40" s="59">
        <v>1.1188811188811189E-2</v>
      </c>
    </row>
    <row r="41" spans="2:5" ht="15" customHeight="1">
      <c r="B41" s="76" t="s">
        <v>38</v>
      </c>
      <c r="C41" s="54" t="s">
        <v>274</v>
      </c>
      <c r="D41" s="55">
        <v>63</v>
      </c>
      <c r="E41" s="56">
        <v>4.4055944055944055E-2</v>
      </c>
    </row>
    <row r="42" spans="2:5" ht="15" customHeight="1">
      <c r="B42" s="77"/>
      <c r="C42" s="54" t="s">
        <v>273</v>
      </c>
      <c r="D42" s="55">
        <v>38</v>
      </c>
      <c r="E42" s="56">
        <v>2.6573426573426574E-2</v>
      </c>
    </row>
    <row r="43" spans="2:5" ht="15" customHeight="1">
      <c r="B43" s="78"/>
      <c r="C43" s="57" t="s">
        <v>15</v>
      </c>
      <c r="D43" s="58">
        <v>101</v>
      </c>
      <c r="E43" s="59">
        <v>7.0629370629370636E-2</v>
      </c>
    </row>
    <row r="44" spans="2:5" ht="15" customHeight="1">
      <c r="B44" s="76" t="s">
        <v>32</v>
      </c>
      <c r="C44" s="54" t="s">
        <v>274</v>
      </c>
      <c r="D44" s="55">
        <v>15</v>
      </c>
      <c r="E44" s="56">
        <v>1.048951048951049E-2</v>
      </c>
    </row>
    <row r="45" spans="2:5" ht="15" customHeight="1">
      <c r="B45" s="77"/>
      <c r="C45" s="54" t="s">
        <v>273</v>
      </c>
      <c r="D45" s="55">
        <v>7</v>
      </c>
      <c r="E45" s="56">
        <v>4.8951048951048955E-3</v>
      </c>
    </row>
    <row r="46" spans="2:5" ht="15" customHeight="1">
      <c r="B46" s="78"/>
      <c r="C46" s="57" t="s">
        <v>15</v>
      </c>
      <c r="D46" s="58">
        <v>22</v>
      </c>
      <c r="E46" s="59">
        <v>1.5384615384615385E-2</v>
      </c>
    </row>
    <row r="47" spans="2:5" ht="15" customHeight="1">
      <c r="B47" s="76" t="s">
        <v>31</v>
      </c>
      <c r="C47" s="54" t="s">
        <v>274</v>
      </c>
      <c r="D47" s="55">
        <v>15</v>
      </c>
      <c r="E47" s="56">
        <v>1.048951048951049E-2</v>
      </c>
    </row>
    <row r="48" spans="2:5" ht="15" customHeight="1">
      <c r="B48" s="77"/>
      <c r="C48" s="54" t="s">
        <v>273</v>
      </c>
      <c r="D48" s="55">
        <v>2</v>
      </c>
      <c r="E48" s="56">
        <v>1.3986013986013986E-3</v>
      </c>
    </row>
    <row r="49" spans="2:5" ht="15" customHeight="1">
      <c r="B49" s="78"/>
      <c r="C49" s="57" t="s">
        <v>15</v>
      </c>
      <c r="D49" s="58">
        <v>17</v>
      </c>
      <c r="E49" s="59">
        <v>1.1888111888111888E-2</v>
      </c>
    </row>
    <row r="50" spans="2:5" ht="15" customHeight="1">
      <c r="B50" s="76" t="s">
        <v>37</v>
      </c>
      <c r="C50" s="54" t="s">
        <v>274</v>
      </c>
      <c r="D50" s="55">
        <v>30</v>
      </c>
      <c r="E50" s="56">
        <v>2.097902097902098E-2</v>
      </c>
    </row>
    <row r="51" spans="2:5" ht="15" customHeight="1">
      <c r="B51" s="77"/>
      <c r="C51" s="54" t="s">
        <v>273</v>
      </c>
      <c r="D51" s="55">
        <v>18</v>
      </c>
      <c r="E51" s="56">
        <v>1.2587412587412588E-2</v>
      </c>
    </row>
    <row r="52" spans="2:5" ht="15" customHeight="1">
      <c r="B52" s="78"/>
      <c r="C52" s="57" t="s">
        <v>15</v>
      </c>
      <c r="D52" s="58">
        <v>48</v>
      </c>
      <c r="E52" s="59">
        <v>3.3566433566433566E-2</v>
      </c>
    </row>
    <row r="53" spans="2:5" ht="15" customHeight="1">
      <c r="B53" s="76" t="s">
        <v>33</v>
      </c>
      <c r="C53" s="54" t="s">
        <v>274</v>
      </c>
      <c r="D53" s="55">
        <v>34</v>
      </c>
      <c r="E53" s="56">
        <v>2.3776223776223775E-2</v>
      </c>
    </row>
    <row r="54" spans="2:5" ht="15" customHeight="1">
      <c r="B54" s="77"/>
      <c r="C54" s="54" t="s">
        <v>273</v>
      </c>
      <c r="D54" s="55">
        <v>21</v>
      </c>
      <c r="E54" s="56">
        <v>1.4685314685314685E-2</v>
      </c>
    </row>
    <row r="55" spans="2:5" ht="15" customHeight="1">
      <c r="B55" s="78"/>
      <c r="C55" s="57" t="s">
        <v>15</v>
      </c>
      <c r="D55" s="58">
        <v>55</v>
      </c>
      <c r="E55" s="59">
        <v>3.8461538461538464E-2</v>
      </c>
    </row>
    <row r="56" spans="2:5" ht="15" customHeight="1">
      <c r="B56" s="76" t="s">
        <v>301</v>
      </c>
      <c r="C56" s="54" t="s">
        <v>274</v>
      </c>
      <c r="D56" s="55">
        <v>1</v>
      </c>
      <c r="E56" s="56">
        <v>6.993006993006993E-4</v>
      </c>
    </row>
    <row r="57" spans="2:5" ht="15" customHeight="1">
      <c r="B57" s="78"/>
      <c r="C57" s="57" t="s">
        <v>15</v>
      </c>
      <c r="D57" s="58">
        <v>1</v>
      </c>
      <c r="E57" s="59">
        <v>6.993006993006993E-4</v>
      </c>
    </row>
    <row r="58" spans="2:5" ht="15" customHeight="1">
      <c r="B58" s="76" t="s">
        <v>18</v>
      </c>
      <c r="C58" s="54" t="s">
        <v>274</v>
      </c>
      <c r="D58" s="55">
        <v>2</v>
      </c>
      <c r="E58" s="56">
        <v>1.3986013986013986E-3</v>
      </c>
    </row>
    <row r="59" spans="2:5" ht="15" customHeight="1">
      <c r="B59" s="77"/>
      <c r="C59" s="54" t="s">
        <v>273</v>
      </c>
      <c r="D59" s="55">
        <v>4</v>
      </c>
      <c r="E59" s="56">
        <v>2.7972027972027972E-3</v>
      </c>
    </row>
    <row r="60" spans="2:5" ht="15" customHeight="1">
      <c r="B60" s="78"/>
      <c r="C60" s="57" t="s">
        <v>15</v>
      </c>
      <c r="D60" s="58">
        <v>6</v>
      </c>
      <c r="E60" s="59">
        <v>4.1958041958041958E-3</v>
      </c>
    </row>
    <row r="61" spans="2:5" ht="15" customHeight="1">
      <c r="B61" s="76" t="s">
        <v>40</v>
      </c>
      <c r="C61" s="54" t="s">
        <v>274</v>
      </c>
      <c r="D61" s="55">
        <v>88</v>
      </c>
      <c r="E61" s="56">
        <v>6.1538461538461542E-2</v>
      </c>
    </row>
    <row r="62" spans="2:5" ht="15" customHeight="1">
      <c r="B62" s="77"/>
      <c r="C62" s="54" t="s">
        <v>273</v>
      </c>
      <c r="D62" s="55">
        <v>33</v>
      </c>
      <c r="E62" s="56">
        <v>2.3076923076923078E-2</v>
      </c>
    </row>
    <row r="63" spans="2:5" ht="15" customHeight="1">
      <c r="B63" s="78"/>
      <c r="C63" s="57" t="s">
        <v>15</v>
      </c>
      <c r="D63" s="58">
        <v>121</v>
      </c>
      <c r="E63" s="59">
        <v>8.461538461538462E-2</v>
      </c>
    </row>
    <row r="64" spans="2:5" ht="15" customHeight="1">
      <c r="B64" s="76" t="s">
        <v>42</v>
      </c>
      <c r="C64" s="54" t="s">
        <v>274</v>
      </c>
      <c r="D64" s="55">
        <v>310</v>
      </c>
      <c r="E64" s="56">
        <v>0.21678321678321677</v>
      </c>
    </row>
    <row r="65" spans="2:5" ht="15" customHeight="1">
      <c r="B65" s="77"/>
      <c r="C65" s="54" t="s">
        <v>273</v>
      </c>
      <c r="D65" s="55">
        <v>169</v>
      </c>
      <c r="E65" s="56">
        <v>0.11818181818181818</v>
      </c>
    </row>
    <row r="66" spans="2:5" ht="15" customHeight="1">
      <c r="B66" s="78"/>
      <c r="C66" s="57" t="s">
        <v>15</v>
      </c>
      <c r="D66" s="58">
        <v>479</v>
      </c>
      <c r="E66" s="59">
        <v>0.33496503496503499</v>
      </c>
    </row>
    <row r="67" spans="2:5" ht="15" customHeight="1">
      <c r="B67" s="76" t="s">
        <v>28</v>
      </c>
      <c r="C67" s="54" t="s">
        <v>274</v>
      </c>
      <c r="D67" s="55">
        <v>4</v>
      </c>
      <c r="E67" s="56">
        <v>2.7972027972027972E-3</v>
      </c>
    </row>
    <row r="68" spans="2:5" ht="15" customHeight="1">
      <c r="B68" s="78"/>
      <c r="C68" s="57" t="s">
        <v>15</v>
      </c>
      <c r="D68" s="58">
        <v>4</v>
      </c>
      <c r="E68" s="59">
        <v>2.7972027972027972E-3</v>
      </c>
    </row>
    <row r="69" spans="2:5" ht="15" customHeight="1">
      <c r="B69" s="76" t="s">
        <v>17</v>
      </c>
      <c r="C69" s="54" t="s">
        <v>274</v>
      </c>
      <c r="D69" s="55">
        <v>1</v>
      </c>
      <c r="E69" s="56">
        <v>6.993006993006993E-4</v>
      </c>
    </row>
    <row r="70" spans="2:5" ht="15" customHeight="1">
      <c r="B70" s="78"/>
      <c r="C70" s="57" t="s">
        <v>15</v>
      </c>
      <c r="D70" s="58">
        <v>1</v>
      </c>
      <c r="E70" s="59">
        <v>6.993006993006993E-4</v>
      </c>
    </row>
    <row r="71" spans="2:5" ht="15" customHeight="1">
      <c r="B71" s="76" t="s">
        <v>29</v>
      </c>
      <c r="C71" s="54" t="s">
        <v>274</v>
      </c>
      <c r="D71" s="55">
        <v>9</v>
      </c>
      <c r="E71" s="56">
        <v>6.2937062937062941E-3</v>
      </c>
    </row>
    <row r="72" spans="2:5" ht="15" customHeight="1">
      <c r="B72" s="77"/>
      <c r="C72" s="54" t="s">
        <v>273</v>
      </c>
      <c r="D72" s="55">
        <v>1</v>
      </c>
      <c r="E72" s="56">
        <v>6.993006993006993E-4</v>
      </c>
    </row>
    <row r="73" spans="2:5" ht="15" customHeight="1">
      <c r="B73" s="78"/>
      <c r="C73" s="57" t="s">
        <v>15</v>
      </c>
      <c r="D73" s="58">
        <v>10</v>
      </c>
      <c r="E73" s="59">
        <v>6.993006993006993E-3</v>
      </c>
    </row>
    <row r="74" spans="2:5" ht="15" customHeight="1">
      <c r="B74" s="76" t="s">
        <v>21</v>
      </c>
      <c r="C74" s="54" t="s">
        <v>274</v>
      </c>
      <c r="D74" s="55">
        <v>5</v>
      </c>
      <c r="E74" s="56">
        <v>3.4965034965034965E-3</v>
      </c>
    </row>
    <row r="75" spans="2:5" ht="15" customHeight="1">
      <c r="B75" s="77"/>
      <c r="C75" s="54" t="s">
        <v>273</v>
      </c>
      <c r="D75" s="55">
        <v>3</v>
      </c>
      <c r="E75" s="56">
        <v>2.0979020979020979E-3</v>
      </c>
    </row>
    <row r="76" spans="2:5" ht="15" customHeight="1">
      <c r="B76" s="78"/>
      <c r="C76" s="57" t="s">
        <v>15</v>
      </c>
      <c r="D76" s="58">
        <v>8</v>
      </c>
      <c r="E76" s="59">
        <v>5.5944055944055944E-3</v>
      </c>
    </row>
    <row r="77" spans="2:5" ht="15" customHeight="1">
      <c r="B77" s="76" t="s">
        <v>302</v>
      </c>
      <c r="C77" s="54" t="s">
        <v>273</v>
      </c>
      <c r="D77" s="55">
        <v>3</v>
      </c>
      <c r="E77" s="56">
        <v>2.0979020979020979E-3</v>
      </c>
    </row>
    <row r="78" spans="2:5" ht="15" customHeight="1">
      <c r="B78" s="78"/>
      <c r="C78" s="57" t="s">
        <v>15</v>
      </c>
      <c r="D78" s="58">
        <v>3</v>
      </c>
      <c r="E78" s="59">
        <v>2.0979020979020979E-3</v>
      </c>
    </row>
    <row r="79" spans="2:5" ht="15" customHeight="1">
      <c r="B79" s="76" t="s">
        <v>26</v>
      </c>
      <c r="C79" s="54" t="s">
        <v>274</v>
      </c>
      <c r="D79" s="55">
        <v>3</v>
      </c>
      <c r="E79" s="56">
        <v>2.0979020979020979E-3</v>
      </c>
    </row>
    <row r="80" spans="2:5" ht="15" customHeight="1">
      <c r="B80" s="77"/>
      <c r="C80" s="54" t="s">
        <v>273</v>
      </c>
      <c r="D80" s="55">
        <v>1</v>
      </c>
      <c r="E80" s="56">
        <v>6.993006993006993E-4</v>
      </c>
    </row>
    <row r="81" spans="2:6" ht="15" customHeight="1">
      <c r="B81" s="78"/>
      <c r="C81" s="57" t="s">
        <v>15</v>
      </c>
      <c r="D81" s="58">
        <v>4</v>
      </c>
      <c r="E81" s="59">
        <v>2.7972027972027972E-3</v>
      </c>
    </row>
    <row r="82" spans="2:6" ht="15" customHeight="1">
      <c r="B82" s="76" t="s">
        <v>27</v>
      </c>
      <c r="C82" s="54" t="s">
        <v>274</v>
      </c>
      <c r="D82" s="55">
        <v>4</v>
      </c>
      <c r="E82" s="56">
        <v>2.7972027972027972E-3</v>
      </c>
    </row>
    <row r="83" spans="2:6" ht="15" customHeight="1">
      <c r="B83" s="77"/>
      <c r="C83" s="54" t="s">
        <v>273</v>
      </c>
      <c r="D83" s="55">
        <v>3</v>
      </c>
      <c r="E83" s="56">
        <v>2.0979020979020979E-3</v>
      </c>
    </row>
    <row r="84" spans="2:6" ht="15" customHeight="1">
      <c r="B84" s="78"/>
      <c r="C84" s="57" t="s">
        <v>15</v>
      </c>
      <c r="D84" s="58">
        <v>7</v>
      </c>
      <c r="E84" s="59">
        <v>4.8951048951048955E-3</v>
      </c>
    </row>
    <row r="85" spans="2:6" ht="15" customHeight="1">
      <c r="B85" s="76" t="s">
        <v>41</v>
      </c>
      <c r="C85" s="54" t="s">
        <v>274</v>
      </c>
      <c r="D85" s="55">
        <v>132</v>
      </c>
      <c r="E85" s="56">
        <v>9.2307692307692313E-2</v>
      </c>
    </row>
    <row r="86" spans="2:6" ht="15" customHeight="1">
      <c r="B86" s="77"/>
      <c r="C86" s="54" t="s">
        <v>273</v>
      </c>
      <c r="D86" s="55">
        <v>71</v>
      </c>
      <c r="E86" s="56">
        <v>4.9650349650349652E-2</v>
      </c>
    </row>
    <row r="87" spans="2:6" ht="15" customHeight="1">
      <c r="B87" s="78"/>
      <c r="C87" s="57" t="s">
        <v>15</v>
      </c>
      <c r="D87" s="58">
        <v>203</v>
      </c>
      <c r="E87" s="59">
        <v>0.14195804195804196</v>
      </c>
    </row>
    <row r="88" spans="2:6" ht="15" customHeight="1">
      <c r="B88" s="76" t="s">
        <v>36</v>
      </c>
      <c r="C88" s="54" t="s">
        <v>274</v>
      </c>
      <c r="D88" s="55">
        <v>61</v>
      </c>
      <c r="E88" s="56">
        <v>4.265734265734266E-2</v>
      </c>
    </row>
    <row r="89" spans="2:6" ht="15" customHeight="1">
      <c r="B89" s="77"/>
      <c r="C89" s="54" t="s">
        <v>273</v>
      </c>
      <c r="D89" s="55">
        <v>20</v>
      </c>
      <c r="E89" s="56">
        <v>1.3986013986013986E-2</v>
      </c>
    </row>
    <row r="90" spans="2:6" ht="15" customHeight="1">
      <c r="B90" s="78"/>
      <c r="C90" s="57" t="s">
        <v>15</v>
      </c>
      <c r="D90" s="58">
        <v>81</v>
      </c>
      <c r="E90" s="59">
        <v>5.6643356643356645E-2</v>
      </c>
    </row>
    <row r="91" spans="2:6" ht="15" customHeight="1">
      <c r="B91" s="76" t="s">
        <v>16</v>
      </c>
      <c r="C91" s="54" t="s">
        <v>273</v>
      </c>
      <c r="D91" s="55">
        <v>1</v>
      </c>
      <c r="E91" s="56">
        <v>6.993006993006993E-4</v>
      </c>
    </row>
    <row r="92" spans="2:6" ht="15" customHeight="1">
      <c r="B92" s="78"/>
      <c r="C92" s="57" t="s">
        <v>15</v>
      </c>
      <c r="D92" s="58">
        <v>1</v>
      </c>
      <c r="E92" s="59">
        <v>6.993006993006993E-4</v>
      </c>
    </row>
    <row r="93" spans="2:6" ht="15" customHeight="1">
      <c r="B93" s="76" t="s">
        <v>24</v>
      </c>
      <c r="C93" s="54" t="s">
        <v>274</v>
      </c>
      <c r="D93" s="55">
        <v>2</v>
      </c>
      <c r="E93" s="56">
        <v>1.3986013986013986E-3</v>
      </c>
    </row>
    <row r="94" spans="2:6" ht="15" customHeight="1">
      <c r="B94" s="78"/>
      <c r="C94" s="57" t="s">
        <v>15</v>
      </c>
      <c r="D94" s="58">
        <v>2</v>
      </c>
      <c r="E94" s="59">
        <v>1.3986013986013986E-3</v>
      </c>
      <c r="F94" s="17"/>
    </row>
    <row r="95" spans="2:6" ht="15" customHeight="1">
      <c r="B95" s="79" t="s">
        <v>15</v>
      </c>
      <c r="C95" s="80"/>
      <c r="D95" s="60">
        <f>SUMIF(C10:C94,"TOTAL",D10:D94)</f>
        <v>1430</v>
      </c>
      <c r="E95" s="61">
        <v>1</v>
      </c>
      <c r="F95" s="17"/>
    </row>
    <row r="96" spans="2:6" ht="15" customHeight="1">
      <c r="B96" s="62"/>
      <c r="C96" s="62"/>
      <c r="D96" s="62"/>
      <c r="E96" s="62"/>
      <c r="F96" s="17"/>
    </row>
    <row r="97" spans="2:6" ht="15" customHeight="1">
      <c r="B97" s="63" t="s">
        <v>549</v>
      </c>
      <c r="C97" s="62"/>
      <c r="D97" s="62"/>
      <c r="E97" s="62"/>
      <c r="F97" s="17"/>
    </row>
    <row r="98" spans="2:6" ht="15" customHeight="1">
      <c r="B98" s="64" t="s">
        <v>14</v>
      </c>
      <c r="C98" s="62"/>
      <c r="D98" s="62"/>
      <c r="E98" s="62"/>
      <c r="F98" s="17"/>
    </row>
    <row r="99" spans="2:6" ht="15" customHeight="1">
      <c r="B99" s="65" t="s">
        <v>13</v>
      </c>
      <c r="C99" s="62"/>
      <c r="D99" s="62"/>
      <c r="E99" s="62"/>
    </row>
    <row r="100" spans="2:6" ht="15" customHeight="1">
      <c r="B100" s="63" t="s">
        <v>12</v>
      </c>
      <c r="C100" s="62"/>
      <c r="D100" s="62"/>
      <c r="E100" s="62"/>
    </row>
    <row r="101" spans="2:6" ht="15" customHeight="1">
      <c r="B101" s="63" t="s">
        <v>550</v>
      </c>
      <c r="C101" s="62"/>
      <c r="D101" s="62"/>
      <c r="E101" s="62"/>
    </row>
    <row r="102" spans="2:6" ht="15" customHeight="1">
      <c r="B102" s="19"/>
    </row>
    <row r="103" spans="2:6" ht="15" customHeight="1">
      <c r="B103" s="21"/>
    </row>
    <row r="104" spans="2:6" ht="15" customHeight="1">
      <c r="B104" s="20"/>
    </row>
    <row r="105" spans="2:6" ht="15" customHeight="1">
      <c r="B105" s="19"/>
    </row>
    <row r="106" spans="2:6" ht="15" customHeight="1">
      <c r="B106" s="19"/>
    </row>
    <row r="377" spans="2:2" s="37" customFormat="1" ht="15" customHeight="1">
      <c r="B377" s="48"/>
    </row>
    <row r="378" spans="2:2" s="37" customFormat="1" ht="15" customHeight="1">
      <c r="B378" s="49"/>
    </row>
    <row r="379" spans="2:2" s="37" customFormat="1" ht="15" customHeight="1">
      <c r="B379" s="49"/>
    </row>
    <row r="380" spans="2:2" s="37" customFormat="1" ht="15" customHeight="1">
      <c r="B380" s="48"/>
    </row>
    <row r="381" spans="2:2" s="37" customFormat="1" ht="15" customHeight="1">
      <c r="B381" s="48"/>
    </row>
  </sheetData>
  <mergeCells count="33">
    <mergeCell ref="B50:B52"/>
    <mergeCell ref="B53:B55"/>
    <mergeCell ref="B56:B57"/>
    <mergeCell ref="B13:B15"/>
    <mergeCell ref="B85:B87"/>
    <mergeCell ref="B7:E8"/>
    <mergeCell ref="B10:B12"/>
    <mergeCell ref="B82:B84"/>
    <mergeCell ref="B79:B81"/>
    <mergeCell ref="B16:B17"/>
    <mergeCell ref="B18:B20"/>
    <mergeCell ref="B21:B23"/>
    <mergeCell ref="B24:B25"/>
    <mergeCell ref="B26:B28"/>
    <mergeCell ref="B29:B31"/>
    <mergeCell ref="B32:B34"/>
    <mergeCell ref="B35:B37"/>
    <mergeCell ref="B38:B40"/>
    <mergeCell ref="B41:B43"/>
    <mergeCell ref="B44:B46"/>
    <mergeCell ref="B47:B49"/>
    <mergeCell ref="B58:B60"/>
    <mergeCell ref="B61:B63"/>
    <mergeCell ref="B64:B66"/>
    <mergeCell ref="B67:B68"/>
    <mergeCell ref="B69:B70"/>
    <mergeCell ref="B95:C95"/>
    <mergeCell ref="B71:B73"/>
    <mergeCell ref="B74:B76"/>
    <mergeCell ref="B77:B78"/>
    <mergeCell ref="B91:B92"/>
    <mergeCell ref="B93:B94"/>
    <mergeCell ref="B88:B9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462"/>
  <sheetViews>
    <sheetView showGridLines="0" zoomScaleNormal="100" zoomScaleSheetLayoutView="100" workbookViewId="0">
      <selection activeCell="F1" sqref="F1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42" customFormat="1" ht="12" customHeight="1">
      <c r="B1" s="46"/>
      <c r="C1" s="45"/>
      <c r="D1" s="45"/>
      <c r="E1" s="45"/>
    </row>
    <row r="2" spans="1:5" s="42" customFormat="1" ht="15" customHeight="1">
      <c r="C2" s="44"/>
    </row>
    <row r="3" spans="1:5" s="42" customFormat="1" ht="15" customHeight="1">
      <c r="C3" s="44"/>
    </row>
    <row r="4" spans="1:5" s="42" customFormat="1" ht="30" customHeight="1">
      <c r="C4" s="44"/>
      <c r="D4" s="43"/>
    </row>
    <row r="5" spans="1:5" s="42" customFormat="1" ht="15" customHeight="1">
      <c r="C5" s="44"/>
      <c r="D5" s="43"/>
    </row>
    <row r="6" spans="1:5" s="39" customFormat="1" ht="24" customHeight="1">
      <c r="B6" s="41"/>
      <c r="C6" s="38"/>
      <c r="D6" s="38"/>
      <c r="E6" s="38"/>
    </row>
    <row r="7" spans="1:5" s="39" customFormat="1" ht="26.25" customHeight="1">
      <c r="A7" s="40"/>
      <c r="B7" s="81"/>
      <c r="C7" s="81"/>
      <c r="D7" s="81"/>
      <c r="E7" s="81"/>
    </row>
    <row r="8" spans="1:5" s="39" customFormat="1" ht="33" customHeight="1">
      <c r="A8" s="40"/>
      <c r="B8" s="81"/>
      <c r="C8" s="81"/>
      <c r="D8" s="81"/>
      <c r="E8" s="81"/>
    </row>
    <row r="9" spans="1:5" s="29" customFormat="1" ht="40.5" customHeight="1">
      <c r="B9" s="52" t="s">
        <v>272</v>
      </c>
      <c r="C9" s="52" t="s">
        <v>282</v>
      </c>
      <c r="D9" s="53" t="s">
        <v>44</v>
      </c>
      <c r="E9" s="52" t="s">
        <v>43</v>
      </c>
    </row>
    <row r="10" spans="1:5" ht="15" customHeight="1">
      <c r="B10" s="76" t="s">
        <v>274</v>
      </c>
      <c r="C10" s="54" t="s">
        <v>281</v>
      </c>
      <c r="D10" s="55">
        <v>1</v>
      </c>
      <c r="E10" s="56">
        <v>6.993006993006993E-4</v>
      </c>
    </row>
    <row r="11" spans="1:5" ht="15" customHeight="1">
      <c r="B11" s="77"/>
      <c r="C11" s="54" t="s">
        <v>280</v>
      </c>
      <c r="D11" s="55">
        <v>5</v>
      </c>
      <c r="E11" s="56">
        <v>3.4965034965034965E-3</v>
      </c>
    </row>
    <row r="12" spans="1:5" ht="15" customHeight="1">
      <c r="B12" s="77"/>
      <c r="C12" s="54" t="s">
        <v>279</v>
      </c>
      <c r="D12" s="55">
        <v>196</v>
      </c>
      <c r="E12" s="56">
        <v>0.13706293706293707</v>
      </c>
    </row>
    <row r="13" spans="1:5" ht="15" customHeight="1">
      <c r="B13" s="77"/>
      <c r="C13" s="54" t="s">
        <v>278</v>
      </c>
      <c r="D13" s="55">
        <v>343</v>
      </c>
      <c r="E13" s="56">
        <v>0.23986013986013985</v>
      </c>
    </row>
    <row r="14" spans="1:5" ht="15" customHeight="1">
      <c r="B14" s="77"/>
      <c r="C14" s="54" t="s">
        <v>277</v>
      </c>
      <c r="D14" s="55">
        <v>271</v>
      </c>
      <c r="E14" s="56">
        <v>0.18951048951048952</v>
      </c>
    </row>
    <row r="15" spans="1:5" ht="15" customHeight="1">
      <c r="B15" s="77"/>
      <c r="C15" s="54" t="s">
        <v>276</v>
      </c>
      <c r="D15" s="55">
        <v>138</v>
      </c>
      <c r="E15" s="56">
        <v>9.6503496503496503E-2</v>
      </c>
    </row>
    <row r="16" spans="1:5" ht="15" customHeight="1">
      <c r="B16" s="78"/>
      <c r="C16" s="54" t="s">
        <v>275</v>
      </c>
      <c r="D16" s="55">
        <v>5</v>
      </c>
      <c r="E16" s="56">
        <v>3.4965034965034965E-3</v>
      </c>
    </row>
    <row r="17" spans="2:6" ht="15" customHeight="1">
      <c r="B17" s="76" t="s">
        <v>273</v>
      </c>
      <c r="C17" s="54" t="s">
        <v>281</v>
      </c>
      <c r="D17" s="55">
        <v>1</v>
      </c>
      <c r="E17" s="56">
        <v>6.993006993006993E-4</v>
      </c>
    </row>
    <row r="18" spans="2:6" ht="15" customHeight="1">
      <c r="B18" s="77"/>
      <c r="C18" s="54" t="s">
        <v>280</v>
      </c>
      <c r="D18" s="55">
        <v>2</v>
      </c>
      <c r="E18" s="56">
        <v>1.3986013986013986E-3</v>
      </c>
    </row>
    <row r="19" spans="2:6" ht="15" customHeight="1">
      <c r="B19" s="77"/>
      <c r="C19" s="54" t="s">
        <v>279</v>
      </c>
      <c r="D19" s="55">
        <v>67</v>
      </c>
      <c r="E19" s="56">
        <v>4.685314685314685E-2</v>
      </c>
    </row>
    <row r="20" spans="2:6" ht="15" customHeight="1">
      <c r="B20" s="77"/>
      <c r="C20" s="54" t="s">
        <v>278</v>
      </c>
      <c r="D20" s="55">
        <v>169</v>
      </c>
      <c r="E20" s="56">
        <v>0.11818181818181818</v>
      </c>
    </row>
    <row r="21" spans="2:6" ht="15" customHeight="1">
      <c r="B21" s="77"/>
      <c r="C21" s="54" t="s">
        <v>277</v>
      </c>
      <c r="D21" s="55">
        <v>160</v>
      </c>
      <c r="E21" s="56">
        <v>0.11188811188811189</v>
      </c>
    </row>
    <row r="22" spans="2:6" ht="15" customHeight="1">
      <c r="B22" s="77"/>
      <c r="C22" s="54" t="s">
        <v>276</v>
      </c>
      <c r="D22" s="55">
        <v>70</v>
      </c>
      <c r="E22" s="56">
        <v>4.8951048951048952E-2</v>
      </c>
    </row>
    <row r="23" spans="2:6" ht="15" customHeight="1">
      <c r="B23" s="78"/>
      <c r="C23" s="54" t="s">
        <v>275</v>
      </c>
      <c r="D23" s="55">
        <v>2</v>
      </c>
      <c r="E23" s="56">
        <v>1.3986013986013986E-3</v>
      </c>
    </row>
    <row r="24" spans="2:6" ht="15" customHeight="1">
      <c r="B24" s="79" t="s">
        <v>15</v>
      </c>
      <c r="C24" s="80"/>
      <c r="D24" s="60">
        <v>1430</v>
      </c>
      <c r="E24" s="61">
        <v>1</v>
      </c>
    </row>
    <row r="25" spans="2:6" ht="15" customHeight="1">
      <c r="B25" s="62"/>
      <c r="C25" s="62"/>
      <c r="D25" s="62"/>
      <c r="E25" s="62"/>
    </row>
    <row r="26" spans="2:6" ht="15" customHeight="1">
      <c r="B26" s="63" t="s">
        <v>549</v>
      </c>
      <c r="C26" s="62"/>
      <c r="D26" s="62"/>
      <c r="E26" s="62"/>
      <c r="F26" s="17"/>
    </row>
    <row r="27" spans="2:6" ht="15" customHeight="1">
      <c r="B27" s="64" t="s">
        <v>14</v>
      </c>
      <c r="C27" s="62"/>
      <c r="D27" s="62"/>
      <c r="E27" s="62"/>
      <c r="F27" s="17"/>
    </row>
    <row r="28" spans="2:6" ht="15" customHeight="1">
      <c r="B28" s="65" t="s">
        <v>13</v>
      </c>
      <c r="C28" s="62"/>
      <c r="D28" s="62"/>
      <c r="E28" s="62"/>
      <c r="F28" s="17"/>
    </row>
    <row r="29" spans="2:6" ht="15" customHeight="1">
      <c r="B29" s="63" t="s">
        <v>12</v>
      </c>
      <c r="C29" s="62"/>
      <c r="D29" s="62"/>
      <c r="E29" s="62"/>
      <c r="F29" s="17"/>
    </row>
    <row r="30" spans="2:6" ht="15" customHeight="1">
      <c r="B30" s="63" t="s">
        <v>550</v>
      </c>
      <c r="C30" s="62"/>
      <c r="D30" s="62"/>
      <c r="E30" s="62"/>
      <c r="F30" s="17"/>
    </row>
    <row r="458" spans="2:2" s="37" customFormat="1" ht="15" customHeight="1">
      <c r="B458" s="48"/>
    </row>
    <row r="459" spans="2:2" s="37" customFormat="1" ht="15" customHeight="1">
      <c r="B459" s="49"/>
    </row>
    <row r="460" spans="2:2" s="37" customFormat="1" ht="15" customHeight="1">
      <c r="B460" s="49"/>
    </row>
    <row r="461" spans="2:2" s="37" customFormat="1" ht="15" customHeight="1">
      <c r="B461" s="48"/>
    </row>
    <row r="462" spans="2:2" s="37" customFormat="1" ht="15" customHeight="1">
      <c r="B462" s="48"/>
    </row>
  </sheetData>
  <mergeCells count="4">
    <mergeCell ref="B24:C24"/>
    <mergeCell ref="B7:E8"/>
    <mergeCell ref="B10:B16"/>
    <mergeCell ref="B17:B23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36"/>
  <sheetViews>
    <sheetView showGridLines="0" zoomScaleNormal="100" zoomScaleSheetLayoutView="115" workbookViewId="0">
      <selection activeCell="F19" sqref="F19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75" t="s">
        <v>424</v>
      </c>
      <c r="C7" s="75"/>
      <c r="D7" s="75"/>
    </row>
    <row r="8" spans="1:5" s="29" customFormat="1" ht="15" customHeight="1">
      <c r="B8" s="75"/>
      <c r="C8" s="75"/>
      <c r="D8" s="75"/>
    </row>
    <row r="9" spans="1:5" s="29" customFormat="1" ht="33" customHeight="1">
      <c r="B9" s="75"/>
      <c r="C9" s="75"/>
      <c r="D9" s="75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296</v>
      </c>
      <c r="C11" s="31" t="s">
        <v>44</v>
      </c>
      <c r="D11" s="30" t="s">
        <v>43</v>
      </c>
    </row>
    <row r="12" spans="1:5">
      <c r="B12" s="27" t="s">
        <v>295</v>
      </c>
      <c r="C12" s="26">
        <v>1127</v>
      </c>
      <c r="D12" s="25">
        <v>0.78811188811188815</v>
      </c>
    </row>
    <row r="13" spans="1:5">
      <c r="B13" s="27" t="s">
        <v>294</v>
      </c>
      <c r="C13" s="26">
        <v>205</v>
      </c>
      <c r="D13" s="25">
        <v>0.14335664335664336</v>
      </c>
    </row>
    <row r="14" spans="1:5">
      <c r="A14" s="28"/>
      <c r="B14" s="27" t="s">
        <v>293</v>
      </c>
      <c r="C14" s="26">
        <v>28</v>
      </c>
      <c r="D14" s="25">
        <v>1.9580419580419582E-2</v>
      </c>
      <c r="E14" s="28"/>
    </row>
    <row r="15" spans="1:5">
      <c r="A15" s="28"/>
      <c r="B15" s="27" t="s">
        <v>292</v>
      </c>
      <c r="C15" s="26">
        <v>22</v>
      </c>
      <c r="D15" s="25">
        <v>1.5384615384615385E-2</v>
      </c>
      <c r="E15" s="28"/>
    </row>
    <row r="16" spans="1:5">
      <c r="B16" s="27" t="s">
        <v>291</v>
      </c>
      <c r="C16" s="26">
        <v>18</v>
      </c>
      <c r="D16" s="25">
        <v>1.2587412587412588E-2</v>
      </c>
    </row>
    <row r="17" spans="2:4">
      <c r="B17" s="27" t="s">
        <v>290</v>
      </c>
      <c r="C17" s="26">
        <v>8</v>
      </c>
      <c r="D17" s="25">
        <v>5.5944055944055944E-3</v>
      </c>
    </row>
    <row r="18" spans="2:4">
      <c r="B18" s="27" t="s">
        <v>289</v>
      </c>
      <c r="C18" s="26">
        <v>8</v>
      </c>
      <c r="D18" s="25">
        <v>5.5944055944055944E-3</v>
      </c>
    </row>
    <row r="19" spans="2:4">
      <c r="B19" s="27" t="s">
        <v>285</v>
      </c>
      <c r="C19" s="26">
        <v>4</v>
      </c>
      <c r="D19" s="25">
        <v>2.7972027972027972E-3</v>
      </c>
    </row>
    <row r="20" spans="2:4">
      <c r="B20" s="27" t="s">
        <v>287</v>
      </c>
      <c r="C20" s="26">
        <v>3</v>
      </c>
      <c r="D20" s="25">
        <v>2.0979020979020979E-3</v>
      </c>
    </row>
    <row r="21" spans="2:4">
      <c r="B21" s="27" t="s">
        <v>283</v>
      </c>
      <c r="C21" s="26">
        <v>2</v>
      </c>
      <c r="D21" s="25">
        <v>1.3986013986013986E-3</v>
      </c>
    </row>
    <row r="22" spans="2:4">
      <c r="B22" s="27" t="s">
        <v>288</v>
      </c>
      <c r="C22" s="26">
        <v>2</v>
      </c>
      <c r="D22" s="25">
        <v>1.3986013986013986E-3</v>
      </c>
    </row>
    <row r="23" spans="2:4">
      <c r="B23" s="27" t="s">
        <v>553</v>
      </c>
      <c r="C23" s="26">
        <v>1</v>
      </c>
      <c r="D23" s="25">
        <v>6.993006993006993E-4</v>
      </c>
    </row>
    <row r="24" spans="2:4">
      <c r="B24" s="27" t="s">
        <v>286</v>
      </c>
      <c r="C24" s="26">
        <v>1</v>
      </c>
      <c r="D24" s="25">
        <v>6.993006993006993E-4</v>
      </c>
    </row>
    <row r="25" spans="2:4">
      <c r="B25" s="27" t="s">
        <v>284</v>
      </c>
      <c r="C25" s="26">
        <v>1</v>
      </c>
      <c r="D25" s="25">
        <v>6.993006993006993E-4</v>
      </c>
    </row>
    <row r="26" spans="2:4">
      <c r="B26" s="24" t="s">
        <v>15</v>
      </c>
      <c r="C26" s="23">
        <v>1430</v>
      </c>
      <c r="D26" s="22">
        <v>1</v>
      </c>
    </row>
    <row r="28" spans="2:4">
      <c r="B28" s="19" t="s">
        <v>549</v>
      </c>
    </row>
    <row r="29" spans="2:4">
      <c r="B29" s="21" t="s">
        <v>14</v>
      </c>
    </row>
    <row r="30" spans="2:4">
      <c r="B30" s="20" t="s">
        <v>13</v>
      </c>
    </row>
    <row r="31" spans="2:4">
      <c r="B31" s="19" t="s">
        <v>12</v>
      </c>
    </row>
    <row r="32" spans="2:4">
      <c r="B32" s="19" t="s">
        <v>550</v>
      </c>
    </row>
    <row r="33" spans="2:2">
      <c r="B33" s="21"/>
    </row>
    <row r="34" spans="2:2">
      <c r="B34" s="20"/>
    </row>
    <row r="35" spans="2:2">
      <c r="B35" s="19"/>
    </row>
    <row r="36" spans="2:2">
      <c r="B36" s="19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5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Connecticut_Edomexgral</vt:lpstr>
      <vt:lpstr>Connecticut_EDOMEX</vt:lpstr>
      <vt:lpstr>Connecticut_Educagral</vt:lpstr>
      <vt:lpstr>Connecticut_Eduedo</vt:lpstr>
      <vt:lpstr>Connecticut_gengral</vt:lpstr>
      <vt:lpstr>Connecticut_edomexgen</vt:lpstr>
      <vt:lpstr>Connecticut_edadgen</vt:lpstr>
      <vt:lpstr>Connecticut_ocupgral</vt:lpstr>
      <vt:lpstr>Connecticut_edadgen!Área_de_impresión</vt:lpstr>
      <vt:lpstr>Connecticut_EDOMEX!Área_de_impresión</vt:lpstr>
      <vt:lpstr>Connecticut_edomexgen!Área_de_impresión</vt:lpstr>
      <vt:lpstr>Connecticut_Eduedo!Área_de_impresión</vt:lpstr>
      <vt:lpstr>Connecticut_edadgen!Títulos_a_imprimir</vt:lpstr>
      <vt:lpstr>Connecticut_EDOMEX!Títulos_a_imprimir</vt:lpstr>
      <vt:lpstr>Connecticut_edomexgen!Títulos_a_imprimir</vt:lpstr>
      <vt:lpstr>Connecticut_Edomexgral!Títulos_a_imprimir</vt:lpstr>
      <vt:lpstr>Connecticut_Educagral!Títulos_a_imprimir</vt:lpstr>
      <vt:lpstr>Connecticut_Eduedo!Títulos_a_imprimir</vt:lpstr>
      <vt:lpstr>Connecticut_gengral!Títulos_a_imprimir</vt:lpstr>
      <vt:lpstr>Connecticut_ocupgral!Títulos_a_imprimir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2020-06-18T19:26:14Z</dcterms:created>
  <dcterms:modified xsi:type="dcterms:W3CDTF">2023-07-03T22:39:03Z</dcterms:modified>
</cp:coreProperties>
</file>