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USA\Finales_USA\"/>
    </mc:Choice>
  </mc:AlternateContent>
  <bookViews>
    <workbookView xWindow="0" yWindow="0" windowWidth="24000" windowHeight="9735" tabRatio="740"/>
  </bookViews>
  <sheets>
    <sheet name="Índice" sheetId="1" r:id="rId1"/>
    <sheet name="Hawaii_Edomexgral" sheetId="2" r:id="rId2"/>
    <sheet name="Hawaii_EDOMEX" sheetId="11" r:id="rId3"/>
    <sheet name="Hawaii_Educagral" sheetId="4" r:id="rId4"/>
    <sheet name="Hawaii_Eduedo" sheetId="10" r:id="rId5"/>
    <sheet name="Hawaii_gengral" sheetId="6" r:id="rId6"/>
    <sheet name="Hawaii_edomexgen" sheetId="7" r:id="rId7"/>
    <sheet name="Hawaii_edadgen" sheetId="8" r:id="rId8"/>
    <sheet name="Hawaii_ocupgral" sheetId="9" r:id="rId9"/>
  </sheets>
  <definedNames>
    <definedName name="_xlnm._FilterDatabase" localSheetId="7" hidden="1">Hawaii_edadgen!$B$9:$E$9</definedName>
    <definedName name="_xlnm._FilterDatabase" localSheetId="2" hidden="1">Hawaii_EDOMEX!$B$9:$E$9</definedName>
    <definedName name="_xlnm._FilterDatabase" localSheetId="6" hidden="1">Hawaii_edomexgen!$B$9:$E$9</definedName>
    <definedName name="_xlnm._FilterDatabase" localSheetId="1" hidden="1">Hawaii_Edomexgral!$B$11:$D$11</definedName>
    <definedName name="_xlnm._FilterDatabase" localSheetId="3" hidden="1">Hawaii_Educagral!$B$11:$D$11</definedName>
    <definedName name="_xlnm._FilterDatabase" localSheetId="4" hidden="1">Hawaii_Eduedo!$B$9:$E$9</definedName>
    <definedName name="_xlnm._FilterDatabase" localSheetId="5" hidden="1">Hawaii_gengral!$B$11:$D$11</definedName>
    <definedName name="_xlnm._FilterDatabase" localSheetId="8" hidden="1">Hawaii_ocupgral!$B$11:$D$11</definedName>
    <definedName name="_xlnm.Print_Area" localSheetId="7">Hawaii_edadgen!$A$1:$E$9</definedName>
    <definedName name="_xlnm.Print_Area" localSheetId="2">Hawaii_EDOMEX!$A$1:$E$9</definedName>
    <definedName name="_xlnm.Print_Area" localSheetId="6">Hawaii_edomexgen!$A$1:$E$9</definedName>
    <definedName name="_xlnm.Print_Area" localSheetId="4">Hawaii_Eduedo!$A$1:$E$9</definedName>
    <definedName name="_xlnm.Print_Titles" localSheetId="7">Hawaii_edadgen!$1:$9</definedName>
    <definedName name="_xlnm.Print_Titles" localSheetId="2">Hawaii_EDOMEX!$1:$9</definedName>
    <definedName name="_xlnm.Print_Titles" localSheetId="6">Hawaii_edomexgen!$1:$9</definedName>
    <definedName name="_xlnm.Print_Titles" localSheetId="1">Hawaii_Edomexgral!$1:$11</definedName>
    <definedName name="_xlnm.Print_Titles" localSheetId="3">Hawaii_Educagral!$1:$11</definedName>
    <definedName name="_xlnm.Print_Titles" localSheetId="4">Hawaii_Eduedo!$1:$9</definedName>
    <definedName name="_xlnm.Print_Titles" localSheetId="5">Hawaii_gengral!$1:$11</definedName>
    <definedName name="_xlnm.Print_Titles" localSheetId="8">Hawaii_ocupgral!$1:$11</definedName>
  </definedNames>
  <calcPr calcId="152511"/>
</workbook>
</file>

<file path=xl/calcChain.xml><?xml version="1.0" encoding="utf-8"?>
<calcChain xmlns="http://schemas.openxmlformats.org/spreadsheetml/2006/main">
  <c r="D20" i="7" l="1"/>
  <c r="D20" i="11" l="1"/>
</calcChain>
</file>

<file path=xl/sharedStrings.xml><?xml version="1.0" encoding="utf-8"?>
<sst xmlns="http://schemas.openxmlformats.org/spreadsheetml/2006/main" count="152" uniqueCount="54">
  <si>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</si>
  <si>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</si>
  <si>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</si>
  <si>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</si>
  <si>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</si>
  <si>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</si>
  <si>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</si>
  <si>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</si>
  <si>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</si>
  <si>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</si>
  <si>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</si>
  <si>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</si>
  <si>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</si>
  <si>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</si>
  <si>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</si>
  <si>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</si>
  <si>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Zacatecas</t>
  </si>
  <si>
    <t>Puebla</t>
  </si>
  <si>
    <t>Nayarit</t>
  </si>
  <si>
    <t>Ciudad de México</t>
  </si>
  <si>
    <t>Jalisco</t>
  </si>
  <si>
    <t>Porcentaje de Matrículas</t>
  </si>
  <si>
    <t>Número de Matrículas</t>
  </si>
  <si>
    <t>Estado de Origen</t>
  </si>
  <si>
    <t>Municipio Origen</t>
  </si>
  <si>
    <t>Preparatoria con certificado</t>
  </si>
  <si>
    <t>Secundaria con certificado</t>
  </si>
  <si>
    <t>Nivel de Estudios</t>
  </si>
  <si>
    <t>MATRÍCULAS CONSULARES EXPEDIDAS EN EL ESTADO DE HAWAII EN EE.UU. POR NIVEL DE EDUCACIÓN</t>
  </si>
  <si>
    <t>TOTAL</t>
  </si>
  <si>
    <t>MUJER</t>
  </si>
  <si>
    <t>HOMBRE</t>
  </si>
  <si>
    <t>Género</t>
  </si>
  <si>
    <t>Hombre</t>
  </si>
  <si>
    <t>Entre 50 y 65 Años</t>
  </si>
  <si>
    <t>Entre 40 y 49 Años</t>
  </si>
  <si>
    <t>Edad cumplida</t>
  </si>
  <si>
    <t>Empleado(a)</t>
  </si>
  <si>
    <t>Ocupación</t>
  </si>
  <si>
    <t>Tamaño de la muestra: 701,861</t>
  </si>
  <si>
    <t>Mayo de 2022</t>
  </si>
  <si>
    <t>MATRÍCULAS CONSULARES DE ALTA SEGURIDAD EXPEDIDAS EN EL ESTADO DE HAWAII EN EE.UU. POR ESTADO DE LA REPÚBLICA MEXICANA DURANTE EL 2021</t>
  </si>
  <si>
    <t>Álvaro Obregón</t>
  </si>
  <si>
    <t>Guadalajara</t>
  </si>
  <si>
    <t>Tuxpan</t>
  </si>
  <si>
    <t>Izúcar de Matamoros</t>
  </si>
  <si>
    <t>Ojocaliente</t>
  </si>
  <si>
    <t>Primaria con certificado</t>
  </si>
  <si>
    <t>MATRÍCULAS CONSULARES DE ALTA SEGURIDAD EXPEDIDAS EN EE.UU A MEXICANOS EN EL ESTADO DE HAWAII, POR GÉNERO 2021</t>
  </si>
  <si>
    <t>Mujer</t>
  </si>
  <si>
    <t>Entre 18 y 28 Años</t>
  </si>
  <si>
    <t>Hogar</t>
  </si>
  <si>
    <t>MATRÍCULAS CONSULARES DE ALTA SEGURIDAD EXPEDIDAS EN EE.UU A MEXICANOS EN EL ESTADO DE  HAWAII, POR PERFIL OCUPACIONAL 2021</t>
  </si>
  <si>
    <t>Matrículas consulares expedidas a mexicanos  en el estado de Hawaii en el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</si>
</sst>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u/>
      <sz val="12"/>
      <color theme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9" fontId="6" fillId="0" borderId="0" applyFont="0" applyFill="0" applyBorder="0" applyAlignment="0" applyProtection="0"/>
    <xf numFmtId="0" fontId="20" fillId="0" borderId="0"/>
  </cellStyleXfs>
  <cellXfs count="80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 applyAlignment="1"/>
    <xf numFmtId="0" fontId="3" fillId="0" borderId="0" xfId="0" applyFont="1" applyBorder="1" applyAlignment="1"/>
    <xf numFmtId="0" fontId="3" fillId="0" borderId="5" xfId="0" applyFont="1" applyBorder="1" applyAlignment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164" fontId="8" fillId="4" borderId="9" xfId="0" applyNumberFormat="1" applyFont="1" applyFill="1" applyBorder="1" applyAlignment="1">
      <alignment horizontal="right" vertical="top" wrapText="1"/>
    </xf>
    <xf numFmtId="3" fontId="8" fillId="4" borderId="9" xfId="0" applyNumberFormat="1" applyFont="1" applyFill="1" applyBorder="1" applyAlignment="1">
      <alignment horizontal="right" vertical="top" wrapText="1"/>
    </xf>
    <xf numFmtId="49" fontId="8" fillId="4" borderId="9" xfId="0" applyNumberFormat="1" applyFont="1" applyFill="1" applyBorder="1" applyAlignment="1">
      <alignment vertical="top" wrapText="1"/>
    </xf>
    <xf numFmtId="164" fontId="9" fillId="3" borderId="9" xfId="0" applyNumberFormat="1" applyFont="1" applyFill="1" applyBorder="1" applyAlignment="1">
      <alignment horizontal="right" vertical="top" wrapText="1"/>
    </xf>
    <xf numFmtId="3" fontId="9" fillId="3" borderId="9" xfId="0" applyNumberFormat="1" applyFont="1" applyFill="1" applyBorder="1" applyAlignment="1">
      <alignment horizontal="right" vertical="top" wrapText="1"/>
    </xf>
    <xf numFmtId="49" fontId="10" fillId="3" borderId="9" xfId="0" applyNumberFormat="1" applyFont="1" applyFill="1" applyBorder="1" applyAlignment="1">
      <alignment vertical="top" wrapText="1"/>
    </xf>
    <xf numFmtId="0" fontId="11" fillId="3" borderId="0" xfId="0" applyFont="1" applyFill="1"/>
    <xf numFmtId="0" fontId="12" fillId="0" borderId="0" xfId="0" applyFont="1"/>
    <xf numFmtId="0" fontId="8" fillId="2" borderId="10" xfId="0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3" fontId="12" fillId="0" borderId="0" xfId="0" applyNumberFormat="1" applyFont="1"/>
    <xf numFmtId="1" fontId="12" fillId="0" borderId="0" xfId="0" applyNumberFormat="1" applyFont="1"/>
    <xf numFmtId="0" fontId="15" fillId="3" borderId="0" xfId="0" applyFont="1" applyFill="1"/>
    <xf numFmtId="0" fontId="16" fillId="3" borderId="0" xfId="0" applyFont="1" applyFill="1"/>
    <xf numFmtId="0" fontId="17" fillId="0" borderId="0" xfId="0" applyFont="1" applyBorder="1"/>
    <xf numFmtId="0" fontId="17" fillId="0" borderId="0" xfId="0" applyFont="1" applyBorder="1" applyAlignment="1">
      <alignment vertical="top"/>
    </xf>
    <xf numFmtId="165" fontId="8" fillId="5" borderId="9" xfId="3" applyNumberFormat="1" applyFont="1" applyFill="1" applyBorder="1" applyAlignment="1">
      <alignment vertical="center" wrapText="1"/>
    </xf>
    <xf numFmtId="3" fontId="8" fillId="5" borderId="9" xfId="2" applyNumberFormat="1" applyFont="1" applyFill="1" applyBorder="1" applyAlignment="1">
      <alignment horizontal="right" vertical="center" wrapText="1"/>
    </xf>
    <xf numFmtId="49" fontId="8" fillId="5" borderId="9" xfId="2" applyNumberFormat="1" applyFont="1" applyFill="1" applyBorder="1" applyAlignment="1">
      <alignment vertical="center" wrapText="1"/>
    </xf>
    <xf numFmtId="164" fontId="18" fillId="3" borderId="9" xfId="2" applyNumberFormat="1" applyFont="1" applyFill="1" applyBorder="1" applyAlignment="1">
      <alignment horizontal="right" vertical="center" wrapText="1"/>
    </xf>
    <xf numFmtId="166" fontId="18" fillId="3" borderId="9" xfId="2" applyNumberFormat="1" applyFont="1" applyFill="1" applyBorder="1" applyAlignment="1">
      <alignment horizontal="right" vertical="center" wrapText="1"/>
    </xf>
    <xf numFmtId="49" fontId="18" fillId="3" borderId="9" xfId="2" applyNumberFormat="1" applyFont="1" applyFill="1" applyBorder="1" applyAlignment="1">
      <alignment vertical="center" wrapText="1"/>
    </xf>
    <xf numFmtId="0" fontId="19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8" fillId="2" borderId="10" xfId="4" applyFont="1" applyFill="1" applyBorder="1" applyAlignment="1">
      <alignment horizontal="center" vertical="center" wrapText="1"/>
    </xf>
    <xf numFmtId="0" fontId="12" fillId="3" borderId="0" xfId="0" applyFont="1" applyFill="1"/>
    <xf numFmtId="0" fontId="22" fillId="3" borderId="0" xfId="0" applyFont="1" applyFill="1" applyAlignment="1"/>
    <xf numFmtId="0" fontId="19" fillId="3" borderId="0" xfId="0" applyFont="1" applyFill="1" applyAlignment="1">
      <alignment vertical="center"/>
    </xf>
    <xf numFmtId="0" fontId="12" fillId="3" borderId="0" xfId="0" applyFont="1" applyFill="1" applyBorder="1"/>
    <xf numFmtId="3" fontId="12" fillId="3" borderId="0" xfId="0" applyNumberFormat="1" applyFont="1" applyFill="1" applyBorder="1"/>
    <xf numFmtId="1" fontId="12" fillId="3" borderId="0" xfId="0" applyNumberFormat="1" applyFont="1" applyFill="1" applyBorder="1"/>
    <xf numFmtId="0" fontId="19" fillId="3" borderId="0" xfId="0" applyFont="1" applyFill="1" applyBorder="1"/>
    <xf numFmtId="0" fontId="19" fillId="3" borderId="0" xfId="0" applyFont="1" applyFill="1" applyBorder="1" applyAlignment="1">
      <alignment vertical="center"/>
    </xf>
    <xf numFmtId="0" fontId="17" fillId="0" borderId="0" xfId="0" applyFont="1" applyAlignment="1">
      <alignment horizontal="justify" vertical="center"/>
    </xf>
    <xf numFmtId="3" fontId="11" fillId="3" borderId="0" xfId="0" applyNumberFormat="1" applyFont="1" applyFill="1"/>
    <xf numFmtId="3" fontId="8" fillId="4" borderId="9" xfId="0" applyNumberFormat="1" applyFont="1" applyFill="1" applyBorder="1" applyAlignment="1">
      <alignment horizontal="right" vertical="center" wrapText="1"/>
    </xf>
    <xf numFmtId="164" fontId="8" fillId="4" borderId="9" xfId="0" applyNumberFormat="1" applyFont="1" applyFill="1" applyBorder="1" applyAlignment="1">
      <alignment horizontal="right" vertical="center" wrapText="1"/>
    </xf>
    <xf numFmtId="0" fontId="17" fillId="0" borderId="0" xfId="0" applyFont="1" applyAlignment="1">
      <alignment vertical="top"/>
    </xf>
    <xf numFmtId="0" fontId="23" fillId="0" borderId="4" xfId="1" applyFont="1" applyBorder="1" applyAlignment="1">
      <alignment horizontal="left"/>
    </xf>
    <xf numFmtId="0" fontId="23" fillId="0" borderId="0" xfId="1" applyFont="1" applyBorder="1" applyAlignment="1">
      <alignment horizontal="left"/>
    </xf>
    <xf numFmtId="0" fontId="23" fillId="0" borderId="5" xfId="1" applyFont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14" fillId="0" borderId="0" xfId="0" applyFont="1" applyBorder="1" applyAlignment="1">
      <alignment horizontal="center" vertical="center" wrapText="1"/>
    </xf>
    <xf numFmtId="49" fontId="8" fillId="4" borderId="13" xfId="0" applyNumberFormat="1" applyFont="1" applyFill="1" applyBorder="1" applyAlignment="1">
      <alignment horizontal="center" vertical="center" wrapText="1"/>
    </xf>
    <xf numFmtId="49" fontId="8" fillId="4" borderId="12" xfId="0" applyNumberFormat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wrapText="1"/>
    </xf>
    <xf numFmtId="49" fontId="18" fillId="3" borderId="10" xfId="2" applyNumberFormat="1" applyFont="1" applyFill="1" applyBorder="1" applyAlignment="1">
      <alignment horizontal="center" vertical="center" wrapText="1"/>
    </xf>
    <xf numFmtId="49" fontId="18" fillId="3" borderId="14" xfId="2" applyNumberFormat="1" applyFont="1" applyFill="1" applyBorder="1" applyAlignment="1">
      <alignment horizontal="center" vertical="center" wrapText="1"/>
    </xf>
    <xf numFmtId="49" fontId="18" fillId="3" borderId="15" xfId="2" applyNumberFormat="1" applyFont="1" applyFill="1" applyBorder="1" applyAlignment="1">
      <alignment horizontal="center" vertical="center" wrapText="1"/>
    </xf>
  </cellXfs>
  <cellStyles count="5">
    <cellStyle name="Hipervínculo" xfId="1" builtinId="8"/>
    <cellStyle name="Normal" xfId="0" builtinId="0"/>
    <cellStyle name="Normal 2" xfId="2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465548</xdr:colOff>
      <xdr:row>1</xdr:row>
      <xdr:rowOff>219405</xdr:rowOff>
    </xdr:from>
    <xdr:to>
      <xdr:col>3</xdr:col>
      <xdr:colOff>977645</xdr:colOff>
      <xdr:row>2</xdr:row>
      <xdr:rowOff>209881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789773" y="7528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7</xdr:row>
      <xdr:rowOff>161925</xdr:rowOff>
    </xdr:from>
    <xdr:to>
      <xdr:col>5</xdr:col>
      <xdr:colOff>102522</xdr:colOff>
      <xdr:row>8</xdr:row>
      <xdr:rowOff>161926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38675" y="16859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HAWAII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602602</xdr:colOff>
      <xdr:row>7</xdr:row>
      <xdr:rowOff>106913</xdr:rowOff>
    </xdr:from>
    <xdr:to>
      <xdr:col>4</xdr:col>
      <xdr:colOff>1114699</xdr:colOff>
      <xdr:row>7</xdr:row>
      <xdr:rowOff>286208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41277" y="1849988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0</xdr:rowOff>
    </xdr:from>
    <xdr:to>
      <xdr:col>5</xdr:col>
      <xdr:colOff>54897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8160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HAWAII,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575468</xdr:colOff>
      <xdr:row>7</xdr:row>
      <xdr:rowOff>158750</xdr:rowOff>
    </xdr:from>
    <xdr:to>
      <xdr:col>4</xdr:col>
      <xdr:colOff>1087565</xdr:colOff>
      <xdr:row>7</xdr:row>
      <xdr:rowOff>349251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18906" y="1895078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7</xdr:row>
      <xdr:rowOff>180975</xdr:rowOff>
    </xdr:from>
    <xdr:to>
      <xdr:col>5</xdr:col>
      <xdr:colOff>73947</xdr:colOff>
      <xdr:row>8</xdr:row>
      <xdr:rowOff>180976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0100" y="17049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HAWAII,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157655</xdr:rowOff>
    </xdr:from>
    <xdr:to>
      <xdr:col>4</xdr:col>
      <xdr:colOff>1037614</xdr:colOff>
      <xdr:row>7</xdr:row>
      <xdr:rowOff>348156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3207" y="1898431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HAWAII,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400707</xdr:colOff>
      <xdr:row>7</xdr:row>
      <xdr:rowOff>118241</xdr:rowOff>
    </xdr:from>
    <xdr:to>
      <xdr:col>4</xdr:col>
      <xdr:colOff>912804</xdr:colOff>
      <xdr:row>7</xdr:row>
      <xdr:rowOff>308742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38397" y="185901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8</xdr:row>
      <xdr:rowOff>0</xdr:rowOff>
    </xdr:from>
    <xdr:to>
      <xdr:col>5</xdr:col>
      <xdr:colOff>102522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386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tabSelected="1" view="pageBreakPreview" zoomScaleNormal="100" zoomScaleSheetLayoutView="100" workbookViewId="0">
      <selection activeCell="A6" sqref="A6:D6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7" t="s">
        <v>53</v>
      </c>
      <c r="B1" s="68"/>
      <c r="C1" s="68"/>
      <c r="D1" s="69"/>
    </row>
    <row r="2" spans="1:4" ht="18.75">
      <c r="A2" s="2"/>
      <c r="B2" s="3"/>
      <c r="C2" s="3"/>
      <c r="D2" s="4"/>
    </row>
    <row r="3" spans="1:4">
      <c r="A3" s="70" t="s">
        <v>0</v>
      </c>
      <c r="B3" s="71"/>
      <c r="C3" s="71"/>
      <c r="D3" s="72"/>
    </row>
    <row r="4" spans="1:4">
      <c r="A4" s="70"/>
      <c r="B4" s="71"/>
      <c r="C4" s="71"/>
      <c r="D4" s="72"/>
    </row>
    <row r="5" spans="1:4" ht="18.75">
      <c r="A5" s="5"/>
      <c r="B5" s="6"/>
      <c r="C5" s="6"/>
      <c r="D5" s="7"/>
    </row>
    <row r="6" spans="1:4" ht="18.75">
      <c r="A6" s="64" t="s">
        <v>1</v>
      </c>
      <c r="B6" s="65"/>
      <c r="C6" s="65"/>
      <c r="D6" s="66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64" t="s">
        <v>3</v>
      </c>
      <c r="C9" s="65"/>
      <c r="D9" s="65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64" t="s">
        <v>5</v>
      </c>
      <c r="C11" s="65"/>
      <c r="D11" s="65"/>
    </row>
    <row r="12" spans="1:4" ht="18.75">
      <c r="A12" s="11"/>
      <c r="B12" s="64" t="s">
        <v>6</v>
      </c>
      <c r="C12" s="65"/>
      <c r="D12" s="65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64" t="s">
        <v>8</v>
      </c>
      <c r="C15" s="65"/>
      <c r="D15" s="65"/>
    </row>
    <row r="16" spans="1:4" ht="18.75">
      <c r="A16" s="11"/>
      <c r="B16" s="64" t="s">
        <v>9</v>
      </c>
      <c r="C16" s="65"/>
      <c r="D16" s="65"/>
    </row>
    <row r="17" spans="1:4" ht="18.75">
      <c r="A17" s="11"/>
      <c r="B17" s="12"/>
      <c r="C17" s="12"/>
      <c r="D17" s="13"/>
    </row>
    <row r="18" spans="1:4" ht="18.75">
      <c r="A18" s="64" t="s">
        <v>10</v>
      </c>
      <c r="B18" s="65"/>
      <c r="C18" s="65"/>
      <c r="D18" s="66"/>
    </row>
    <row r="19" spans="1:4" ht="18.75">
      <c r="A19" s="11"/>
      <c r="B19" s="12"/>
      <c r="C19" s="12"/>
      <c r="D19" s="13"/>
    </row>
    <row r="20" spans="1:4" ht="18.75">
      <c r="A20" s="64" t="s">
        <v>11</v>
      </c>
      <c r="B20" s="65"/>
      <c r="C20" s="65"/>
      <c r="D20" s="66"/>
    </row>
    <row r="21" spans="1:4" ht="19.5" thickBot="1">
      <c r="A21" s="14"/>
      <c r="B21" s="15"/>
      <c r="C21" s="15"/>
      <c r="D21" s="16"/>
    </row>
    <row r="22" spans="1:4" ht="18.75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Hawaii_Edomexgral!A1" display="1. Por Estados de la República Mexicana"/>
    <hyperlink ref="B9" location="Alabama_EDOMEX!Área_de_impresión" display="2.1 Por estado de la República Mexicana y municipio de origen"/>
    <hyperlink ref="B11:D11" location="Hawaii_Educagral!A1" display="3.1 Educación general"/>
    <hyperlink ref="B12:D12" location="Hawaii_Eduedo!A1" display="3.2 Por Estado de la República Mexicana"/>
    <hyperlink ref="B15:D15" location="Hawaii_gengral!A1" display="4.1 Género General"/>
    <hyperlink ref="B16:D16" location="Hawaii_edomexgen!A1" display="4.2 Por Estados de la República Mexicana"/>
    <hyperlink ref="A18:D18" location="Hawaii_edadgen!A1" display="5. Por estructura de Edad"/>
    <hyperlink ref="A20:D20" location="Hawaii_ocupgral!A1" display="6. Por Ocupación"/>
    <hyperlink ref="B9:D9" location="Hawaii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23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30" customFormat="1" ht="15" customHeight="1">
      <c r="C1" s="36"/>
    </row>
    <row r="2" spans="1:5" s="30" customFormat="1" ht="15" customHeight="1">
      <c r="C2" s="36"/>
    </row>
    <row r="3" spans="1:5" s="30" customFormat="1" ht="15" customHeight="1">
      <c r="C3" s="36"/>
    </row>
    <row r="4" spans="1:5" s="30" customFormat="1" ht="30" customHeight="1">
      <c r="C4" s="36"/>
      <c r="D4" s="35"/>
    </row>
    <row r="5" spans="1:5" s="30" customFormat="1" ht="15" customHeight="1">
      <c r="C5" s="36"/>
      <c r="D5" s="35"/>
    </row>
    <row r="6" spans="1:5" s="30" customFormat="1" ht="15" customHeight="1">
      <c r="C6" s="36"/>
      <c r="D6" s="35"/>
    </row>
    <row r="7" spans="1:5" s="30" customFormat="1" ht="15" customHeight="1">
      <c r="B7" s="73" t="s">
        <v>41</v>
      </c>
      <c r="C7" s="73"/>
      <c r="D7" s="73"/>
    </row>
    <row r="8" spans="1:5" s="30" customFormat="1" ht="15" customHeight="1">
      <c r="B8" s="73"/>
      <c r="C8" s="73"/>
      <c r="D8" s="73"/>
    </row>
    <row r="9" spans="1:5" s="30" customFormat="1" ht="33" customHeight="1">
      <c r="B9" s="73"/>
      <c r="C9" s="73"/>
      <c r="D9" s="73"/>
    </row>
    <row r="10" spans="1:5" s="30" customFormat="1" ht="4.5" customHeight="1">
      <c r="B10" s="34"/>
      <c r="C10" s="34"/>
      <c r="D10" s="34"/>
    </row>
    <row r="11" spans="1:5" s="30" customFormat="1" ht="33" customHeight="1">
      <c r="B11" s="33" t="s">
        <v>23</v>
      </c>
      <c r="C11" s="32" t="s">
        <v>22</v>
      </c>
      <c r="D11" s="31" t="s">
        <v>21</v>
      </c>
    </row>
    <row r="12" spans="1:5">
      <c r="B12" s="28" t="s">
        <v>19</v>
      </c>
      <c r="C12" s="27">
        <v>1</v>
      </c>
      <c r="D12" s="26">
        <v>0.2</v>
      </c>
    </row>
    <row r="13" spans="1:5">
      <c r="B13" s="28" t="s">
        <v>20</v>
      </c>
      <c r="C13" s="27">
        <v>1</v>
      </c>
      <c r="D13" s="26">
        <v>0.2</v>
      </c>
    </row>
    <row r="14" spans="1:5">
      <c r="A14" s="29"/>
      <c r="B14" s="28" t="s">
        <v>18</v>
      </c>
      <c r="C14" s="27">
        <v>1</v>
      </c>
      <c r="D14" s="26">
        <v>0.2</v>
      </c>
      <c r="E14" s="29"/>
    </row>
    <row r="15" spans="1:5">
      <c r="A15" s="29"/>
      <c r="B15" s="28" t="s">
        <v>17</v>
      </c>
      <c r="C15" s="27">
        <v>1</v>
      </c>
      <c r="D15" s="26">
        <v>0.2</v>
      </c>
      <c r="E15" s="29"/>
    </row>
    <row r="16" spans="1:5">
      <c r="B16" s="28" t="s">
        <v>16</v>
      </c>
      <c r="C16" s="27">
        <v>1</v>
      </c>
      <c r="D16" s="26">
        <v>0.2</v>
      </c>
    </row>
    <row r="17" spans="2:4">
      <c r="B17" s="25" t="s">
        <v>15</v>
      </c>
      <c r="C17" s="24">
        <v>5</v>
      </c>
      <c r="D17" s="23">
        <v>1</v>
      </c>
    </row>
    <row r="19" spans="2:4">
      <c r="B19" s="20" t="s">
        <v>39</v>
      </c>
    </row>
    <row r="20" spans="2:4">
      <c r="B20" s="22" t="s">
        <v>14</v>
      </c>
    </row>
    <row r="21" spans="2:4">
      <c r="B21" s="21" t="s">
        <v>13</v>
      </c>
    </row>
    <row r="22" spans="2:4">
      <c r="B22" s="20" t="s">
        <v>12</v>
      </c>
    </row>
    <row r="23" spans="2:4">
      <c r="B23" s="20" t="s">
        <v>40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345"/>
  <sheetViews>
    <sheetView showGridLines="0" zoomScale="98" zoomScaleNormal="98" zoomScaleSheetLayoutView="100" workbookViewId="0">
      <selection activeCell="F10" sqref="F10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54" customFormat="1" ht="12" customHeight="1">
      <c r="B1" s="58"/>
      <c r="C1" s="57"/>
      <c r="D1" s="57"/>
      <c r="E1" s="57"/>
    </row>
    <row r="2" spans="1:5" s="54" customFormat="1" ht="15" customHeight="1">
      <c r="C2" s="56"/>
    </row>
    <row r="3" spans="1:5" s="54" customFormat="1" ht="15" customHeight="1">
      <c r="C3" s="56"/>
    </row>
    <row r="4" spans="1:5" s="54" customFormat="1" ht="30" customHeight="1">
      <c r="C4" s="56"/>
      <c r="D4" s="55"/>
    </row>
    <row r="5" spans="1:5" s="54" customFormat="1" ht="15" customHeight="1">
      <c r="C5" s="56"/>
      <c r="D5" s="55"/>
    </row>
    <row r="6" spans="1:5" s="51" customFormat="1" ht="24" customHeight="1">
      <c r="B6" s="53"/>
      <c r="C6" s="47"/>
      <c r="D6" s="47"/>
      <c r="E6" s="47"/>
    </row>
    <row r="7" spans="1:5" s="51" customFormat="1" ht="26.25" customHeight="1">
      <c r="A7" s="52"/>
      <c r="B7" s="76"/>
      <c r="C7" s="76"/>
      <c r="D7" s="76"/>
      <c r="E7" s="76"/>
    </row>
    <row r="8" spans="1:5" s="51" customFormat="1" ht="33" customHeight="1">
      <c r="A8" s="52"/>
      <c r="B8" s="76"/>
      <c r="C8" s="76"/>
      <c r="D8" s="76"/>
      <c r="E8" s="76"/>
    </row>
    <row r="9" spans="1:5" s="30" customFormat="1" ht="40.5" customHeight="1">
      <c r="B9" s="48" t="s">
        <v>23</v>
      </c>
      <c r="C9" s="50" t="s">
        <v>24</v>
      </c>
      <c r="D9" s="49" t="s">
        <v>22</v>
      </c>
      <c r="E9" s="48" t="s">
        <v>21</v>
      </c>
    </row>
    <row r="10" spans="1:5" ht="15" customHeight="1">
      <c r="B10" s="77" t="s">
        <v>19</v>
      </c>
      <c r="C10" s="46" t="s">
        <v>42</v>
      </c>
      <c r="D10" s="45">
        <v>1</v>
      </c>
      <c r="E10" s="44">
        <v>0.2</v>
      </c>
    </row>
    <row r="11" spans="1:5" ht="15" customHeight="1">
      <c r="B11" s="78"/>
      <c r="C11" s="43" t="s">
        <v>15</v>
      </c>
      <c r="D11" s="42">
        <v>1</v>
      </c>
      <c r="E11" s="41">
        <v>0.2</v>
      </c>
    </row>
    <row r="12" spans="1:5" ht="15" customHeight="1">
      <c r="B12" s="77" t="s">
        <v>20</v>
      </c>
      <c r="C12" s="46" t="s">
        <v>43</v>
      </c>
      <c r="D12" s="45">
        <v>1</v>
      </c>
      <c r="E12" s="44">
        <v>0.2</v>
      </c>
    </row>
    <row r="13" spans="1:5" ht="15" customHeight="1">
      <c r="B13" s="78"/>
      <c r="C13" s="43" t="s">
        <v>15</v>
      </c>
      <c r="D13" s="42">
        <v>1</v>
      </c>
      <c r="E13" s="41">
        <v>0.2</v>
      </c>
    </row>
    <row r="14" spans="1:5" ht="15" customHeight="1">
      <c r="B14" s="77" t="s">
        <v>18</v>
      </c>
      <c r="C14" s="46" t="s">
        <v>44</v>
      </c>
      <c r="D14" s="45">
        <v>1</v>
      </c>
      <c r="E14" s="44">
        <v>0.2</v>
      </c>
    </row>
    <row r="15" spans="1:5" ht="15" customHeight="1">
      <c r="B15" s="78"/>
      <c r="C15" s="43" t="s">
        <v>15</v>
      </c>
      <c r="D15" s="42">
        <v>1</v>
      </c>
      <c r="E15" s="41">
        <v>0.2</v>
      </c>
    </row>
    <row r="16" spans="1:5" ht="15" customHeight="1">
      <c r="B16" s="77" t="s">
        <v>17</v>
      </c>
      <c r="C16" s="46" t="s">
        <v>45</v>
      </c>
      <c r="D16" s="45">
        <v>1</v>
      </c>
      <c r="E16" s="44">
        <v>0.2</v>
      </c>
    </row>
    <row r="17" spans="2:6" ht="15" customHeight="1">
      <c r="B17" s="78"/>
      <c r="C17" s="43" t="s">
        <v>15</v>
      </c>
      <c r="D17" s="42">
        <v>1</v>
      </c>
      <c r="E17" s="41">
        <v>0.2</v>
      </c>
    </row>
    <row r="18" spans="2:6" ht="15" customHeight="1">
      <c r="B18" s="77" t="s">
        <v>16</v>
      </c>
      <c r="C18" s="46" t="s">
        <v>46</v>
      </c>
      <c r="D18" s="45">
        <v>1</v>
      </c>
      <c r="E18" s="44">
        <v>0.2</v>
      </c>
    </row>
    <row r="19" spans="2:6" ht="15" customHeight="1">
      <c r="B19" s="78"/>
      <c r="C19" s="43" t="s">
        <v>15</v>
      </c>
      <c r="D19" s="42">
        <v>1</v>
      </c>
      <c r="E19" s="41">
        <v>0.2</v>
      </c>
    </row>
    <row r="20" spans="2:6" ht="15" customHeight="1">
      <c r="B20" s="74" t="s">
        <v>15</v>
      </c>
      <c r="C20" s="75"/>
      <c r="D20" s="61">
        <f>SUMIF(C$10:C19,"Total",D$10:D19)</f>
        <v>5</v>
      </c>
      <c r="E20" s="62">
        <v>1</v>
      </c>
      <c r="F20" s="18"/>
    </row>
    <row r="21" spans="2:6" ht="15" customHeight="1">
      <c r="F21" s="18"/>
    </row>
    <row r="22" spans="2:6" ht="15" customHeight="1">
      <c r="B22" s="20" t="s">
        <v>39</v>
      </c>
      <c r="F22" s="18"/>
    </row>
    <row r="23" spans="2:6" ht="15" customHeight="1">
      <c r="B23" s="22" t="s">
        <v>14</v>
      </c>
      <c r="F23" s="18"/>
    </row>
    <row r="24" spans="2:6" ht="15" customHeight="1">
      <c r="B24" s="21" t="s">
        <v>13</v>
      </c>
      <c r="F24" s="18"/>
    </row>
    <row r="25" spans="2:6" ht="15" customHeight="1">
      <c r="B25" s="20" t="s">
        <v>12</v>
      </c>
    </row>
    <row r="26" spans="2:6" ht="15" customHeight="1">
      <c r="B26" s="20" t="s">
        <v>40</v>
      </c>
    </row>
    <row r="341" spans="1:2" s="38" customFormat="1" ht="15" customHeight="1">
      <c r="A341" s="37"/>
      <c r="B341" s="39"/>
    </row>
    <row r="342" spans="1:2" s="38" customFormat="1" ht="15" customHeight="1">
      <c r="A342" s="37"/>
      <c r="B342" s="40"/>
    </row>
    <row r="343" spans="1:2" s="38" customFormat="1" ht="15" customHeight="1">
      <c r="A343" s="37"/>
      <c r="B343" s="40"/>
    </row>
    <row r="344" spans="1:2" s="38" customFormat="1" ht="15" customHeight="1">
      <c r="A344" s="37"/>
      <c r="B344" s="39"/>
    </row>
    <row r="345" spans="1:2" s="38" customFormat="1" ht="15" customHeight="1">
      <c r="A345" s="37"/>
      <c r="B345" s="39"/>
    </row>
  </sheetData>
  <mergeCells count="7">
    <mergeCell ref="B20:C20"/>
    <mergeCell ref="B7:E8"/>
    <mergeCell ref="B10:B11"/>
    <mergeCell ref="B12:B13"/>
    <mergeCell ref="B14:B15"/>
    <mergeCell ref="B16:B17"/>
    <mergeCell ref="B18:B19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21"/>
  <sheetViews>
    <sheetView showGridLines="0" zoomScaleNormal="100" zoomScaleSheetLayoutView="115" workbookViewId="0">
      <selection activeCell="C21" sqref="C21"/>
    </sheetView>
  </sheetViews>
  <sheetFormatPr baseColWidth="10" defaultColWidth="11.42578125" defaultRowHeight="15"/>
  <cols>
    <col min="1" max="1" width="9.28515625" style="18" customWidth="1"/>
    <col min="2" max="2" width="30.570312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4" s="30" customFormat="1" ht="15" customHeight="1">
      <c r="C1" s="36"/>
    </row>
    <row r="2" spans="1:4" s="30" customFormat="1" ht="15" customHeight="1">
      <c r="C2" s="36"/>
    </row>
    <row r="3" spans="1:4" s="30" customFormat="1" ht="15" customHeight="1">
      <c r="C3" s="36"/>
    </row>
    <row r="4" spans="1:4" s="30" customFormat="1" ht="30" customHeight="1">
      <c r="C4" s="36"/>
      <c r="D4" s="35"/>
    </row>
    <row r="5" spans="1:4" s="30" customFormat="1" ht="15" customHeight="1">
      <c r="C5" s="36"/>
      <c r="D5" s="35"/>
    </row>
    <row r="6" spans="1:4" s="30" customFormat="1" ht="15" customHeight="1">
      <c r="C6" s="36"/>
      <c r="D6" s="35"/>
    </row>
    <row r="7" spans="1:4" s="30" customFormat="1" ht="15" customHeight="1">
      <c r="B7" s="73" t="s">
        <v>28</v>
      </c>
      <c r="C7" s="73"/>
      <c r="D7" s="73"/>
    </row>
    <row r="8" spans="1:4" s="30" customFormat="1" ht="15" customHeight="1">
      <c r="B8" s="73"/>
      <c r="C8" s="73"/>
      <c r="D8" s="73"/>
    </row>
    <row r="9" spans="1:4" s="30" customFormat="1" ht="33" customHeight="1">
      <c r="B9" s="73"/>
      <c r="C9" s="73"/>
      <c r="D9" s="73"/>
    </row>
    <row r="10" spans="1:4" s="30" customFormat="1" ht="4.5" customHeight="1">
      <c r="B10" s="34"/>
      <c r="C10" s="34"/>
      <c r="D10" s="34"/>
    </row>
    <row r="11" spans="1:4" s="30" customFormat="1" ht="33" customHeight="1">
      <c r="B11" s="33" t="s">
        <v>27</v>
      </c>
      <c r="C11" s="32" t="s">
        <v>22</v>
      </c>
      <c r="D11" s="31" t="s">
        <v>21</v>
      </c>
    </row>
    <row r="12" spans="1:4">
      <c r="B12" s="28" t="s">
        <v>47</v>
      </c>
      <c r="C12" s="27">
        <v>1</v>
      </c>
      <c r="D12" s="26">
        <v>0.2</v>
      </c>
    </row>
    <row r="13" spans="1:4">
      <c r="B13" s="28" t="s">
        <v>26</v>
      </c>
      <c r="C13" s="27">
        <v>1</v>
      </c>
      <c r="D13" s="26">
        <v>0.2</v>
      </c>
    </row>
    <row r="14" spans="1:4">
      <c r="A14" s="29"/>
      <c r="B14" s="28" t="s">
        <v>25</v>
      </c>
      <c r="C14" s="27">
        <v>3</v>
      </c>
      <c r="D14" s="26">
        <v>0.6</v>
      </c>
    </row>
    <row r="15" spans="1:4">
      <c r="A15" s="29"/>
      <c r="B15" s="25" t="s">
        <v>15</v>
      </c>
      <c r="C15" s="24">
        <v>5</v>
      </c>
      <c r="D15" s="23">
        <v>1</v>
      </c>
    </row>
    <row r="16" spans="1:4">
      <c r="B16" s="22"/>
      <c r="C16" s="59"/>
      <c r="D16" s="59"/>
    </row>
    <row r="17" spans="2:4">
      <c r="B17" s="20" t="s">
        <v>39</v>
      </c>
      <c r="C17" s="63"/>
      <c r="D17" s="63"/>
    </row>
    <row r="18" spans="2:4">
      <c r="B18" s="22" t="s">
        <v>14</v>
      </c>
    </row>
    <row r="19" spans="2:4">
      <c r="B19" s="21" t="s">
        <v>13</v>
      </c>
    </row>
    <row r="20" spans="2:4">
      <c r="B20" s="20" t="s">
        <v>12</v>
      </c>
    </row>
    <row r="21" spans="2:4">
      <c r="B21" s="20" t="s">
        <v>40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24"/>
  <sheetViews>
    <sheetView showGridLines="0" zoomScaleNormal="100" zoomScaleSheetLayoutView="100" workbookViewId="0">
      <selection activeCell="D10" sqref="D10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54" customFormat="1" ht="12" customHeight="1">
      <c r="B1" s="58"/>
      <c r="C1" s="57"/>
      <c r="D1" s="57"/>
      <c r="E1" s="57"/>
    </row>
    <row r="2" spans="1:5" s="54" customFormat="1" ht="15" customHeight="1">
      <c r="C2" s="56"/>
    </row>
    <row r="3" spans="1:5" s="54" customFormat="1" ht="15" customHeight="1">
      <c r="C3" s="56"/>
    </row>
    <row r="4" spans="1:5" s="54" customFormat="1" ht="30" customHeight="1">
      <c r="C4" s="56"/>
      <c r="D4" s="55"/>
    </row>
    <row r="5" spans="1:5" s="54" customFormat="1" ht="15" customHeight="1">
      <c r="C5" s="56"/>
      <c r="D5" s="55"/>
    </row>
    <row r="6" spans="1:5" s="51" customFormat="1" ht="24" customHeight="1">
      <c r="B6" s="53"/>
      <c r="C6" s="47"/>
      <c r="D6" s="47"/>
      <c r="E6" s="47"/>
    </row>
    <row r="7" spans="1:5" s="51" customFormat="1" ht="26.25" customHeight="1">
      <c r="A7" s="52"/>
      <c r="B7" s="76"/>
      <c r="C7" s="76"/>
      <c r="D7" s="76"/>
      <c r="E7" s="76"/>
    </row>
    <row r="8" spans="1:5" s="51" customFormat="1" ht="33" customHeight="1">
      <c r="A8" s="52"/>
      <c r="B8" s="76"/>
      <c r="C8" s="76"/>
      <c r="D8" s="76"/>
      <c r="E8" s="76"/>
    </row>
    <row r="9" spans="1:5" s="30" customFormat="1" ht="40.5" customHeight="1">
      <c r="B9" s="48" t="s">
        <v>27</v>
      </c>
      <c r="C9" s="50" t="s">
        <v>23</v>
      </c>
      <c r="D9" s="49" t="s">
        <v>22</v>
      </c>
      <c r="E9" s="48" t="s">
        <v>21</v>
      </c>
    </row>
    <row r="10" spans="1:5" ht="15" customHeight="1">
      <c r="B10" s="77" t="s">
        <v>47</v>
      </c>
      <c r="C10" s="46" t="s">
        <v>18</v>
      </c>
      <c r="D10" s="45">
        <v>1</v>
      </c>
      <c r="E10" s="44">
        <v>0.2</v>
      </c>
    </row>
    <row r="11" spans="1:5" ht="15" customHeight="1">
      <c r="B11" s="78"/>
      <c r="C11" s="43" t="s">
        <v>15</v>
      </c>
      <c r="D11" s="42">
        <v>1</v>
      </c>
      <c r="E11" s="41">
        <v>0.2</v>
      </c>
    </row>
    <row r="12" spans="1:5" ht="15" customHeight="1">
      <c r="B12" s="77" t="s">
        <v>26</v>
      </c>
      <c r="C12" s="46" t="s">
        <v>17</v>
      </c>
      <c r="D12" s="45">
        <v>1</v>
      </c>
      <c r="E12" s="44">
        <v>0.2</v>
      </c>
    </row>
    <row r="13" spans="1:5" ht="15" customHeight="1">
      <c r="B13" s="78"/>
      <c r="C13" s="43" t="s">
        <v>15</v>
      </c>
      <c r="D13" s="42">
        <v>1</v>
      </c>
      <c r="E13" s="41">
        <v>0.2</v>
      </c>
    </row>
    <row r="14" spans="1:5" ht="15" customHeight="1">
      <c r="B14" s="77" t="s">
        <v>25</v>
      </c>
      <c r="C14" s="46" t="s">
        <v>19</v>
      </c>
      <c r="D14" s="45">
        <v>1</v>
      </c>
      <c r="E14" s="44">
        <v>0.2</v>
      </c>
    </row>
    <row r="15" spans="1:5" ht="15" customHeight="1">
      <c r="B15" s="79"/>
      <c r="C15" s="46" t="s">
        <v>20</v>
      </c>
      <c r="D15" s="45">
        <v>1</v>
      </c>
      <c r="E15" s="44">
        <v>0.2</v>
      </c>
    </row>
    <row r="16" spans="1:5" ht="15" customHeight="1">
      <c r="B16" s="79"/>
      <c r="C16" s="46" t="s">
        <v>16</v>
      </c>
      <c r="D16" s="45">
        <v>1</v>
      </c>
      <c r="E16" s="44">
        <v>0.2</v>
      </c>
    </row>
    <row r="17" spans="2:6" ht="15" customHeight="1">
      <c r="B17" s="78"/>
      <c r="C17" s="43" t="s">
        <v>15</v>
      </c>
      <c r="D17" s="42">
        <v>3</v>
      </c>
      <c r="E17" s="41">
        <v>0.6</v>
      </c>
    </row>
    <row r="18" spans="2:6" ht="15" customHeight="1">
      <c r="B18" s="74" t="s">
        <v>15</v>
      </c>
      <c r="C18" s="75"/>
      <c r="D18" s="61">
        <v>5</v>
      </c>
      <c r="E18" s="62">
        <v>1</v>
      </c>
    </row>
    <row r="19" spans="2:6" ht="15" customHeight="1">
      <c r="F19" s="18"/>
    </row>
    <row r="20" spans="2:6" ht="15" customHeight="1">
      <c r="B20" s="20" t="s">
        <v>39</v>
      </c>
      <c r="F20" s="18"/>
    </row>
    <row r="21" spans="2:6" ht="15" customHeight="1">
      <c r="B21" s="22" t="s">
        <v>14</v>
      </c>
      <c r="F21" s="18"/>
    </row>
    <row r="22" spans="2:6" ht="15" customHeight="1">
      <c r="B22" s="21" t="s">
        <v>13</v>
      </c>
      <c r="F22" s="18"/>
    </row>
    <row r="23" spans="2:6" ht="15" customHeight="1">
      <c r="B23" s="20" t="s">
        <v>12</v>
      </c>
      <c r="F23" s="18"/>
    </row>
    <row r="24" spans="2:6" ht="15" customHeight="1">
      <c r="B24" s="20" t="s">
        <v>40</v>
      </c>
    </row>
  </sheetData>
  <mergeCells count="5">
    <mergeCell ref="B18:C18"/>
    <mergeCell ref="B7:E8"/>
    <mergeCell ref="B10:B11"/>
    <mergeCell ref="B12:B13"/>
    <mergeCell ref="B14:B1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D18" sqref="D18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30" customFormat="1" ht="15" customHeight="1">
      <c r="C1" s="36"/>
    </row>
    <row r="2" spans="1:5" s="30" customFormat="1" ht="15" customHeight="1">
      <c r="C2" s="36"/>
    </row>
    <row r="3" spans="1:5" s="30" customFormat="1" ht="15" customHeight="1">
      <c r="C3" s="36"/>
    </row>
    <row r="4" spans="1:5" s="30" customFormat="1" ht="30" customHeight="1">
      <c r="C4" s="36"/>
      <c r="D4" s="35"/>
    </row>
    <row r="5" spans="1:5" s="30" customFormat="1" ht="15" customHeight="1">
      <c r="C5" s="36"/>
      <c r="D5" s="35"/>
    </row>
    <row r="6" spans="1:5" s="30" customFormat="1" ht="15" customHeight="1">
      <c r="C6" s="36"/>
      <c r="D6" s="35"/>
    </row>
    <row r="7" spans="1:5" s="30" customFormat="1" ht="15" customHeight="1">
      <c r="B7" s="73" t="s">
        <v>48</v>
      </c>
      <c r="C7" s="73"/>
      <c r="D7" s="73"/>
    </row>
    <row r="8" spans="1:5" s="30" customFormat="1" ht="15" customHeight="1">
      <c r="B8" s="73"/>
      <c r="C8" s="73"/>
      <c r="D8" s="73"/>
    </row>
    <row r="9" spans="1:5" s="30" customFormat="1" ht="33" customHeight="1">
      <c r="B9" s="73"/>
      <c r="C9" s="73"/>
      <c r="D9" s="73"/>
    </row>
    <row r="10" spans="1:5" s="30" customFormat="1" ht="4.5" customHeight="1">
      <c r="B10" s="34"/>
      <c r="C10" s="34"/>
      <c r="D10" s="34"/>
    </row>
    <row r="11" spans="1:5" s="30" customFormat="1" ht="33" customHeight="1">
      <c r="B11" s="33" t="s">
        <v>32</v>
      </c>
      <c r="C11" s="32" t="s">
        <v>22</v>
      </c>
      <c r="D11" s="31" t="s">
        <v>21</v>
      </c>
    </row>
    <row r="12" spans="1:5">
      <c r="B12" s="28" t="s">
        <v>31</v>
      </c>
      <c r="C12" s="27">
        <v>3</v>
      </c>
      <c r="D12" s="26">
        <v>0.6</v>
      </c>
    </row>
    <row r="13" spans="1:5">
      <c r="B13" s="28" t="s">
        <v>30</v>
      </c>
      <c r="C13" s="27">
        <v>2</v>
      </c>
      <c r="D13" s="26">
        <v>0.4</v>
      </c>
    </row>
    <row r="14" spans="1:5">
      <c r="B14" s="25" t="s">
        <v>29</v>
      </c>
      <c r="C14" s="24">
        <v>5</v>
      </c>
      <c r="D14" s="23">
        <v>1</v>
      </c>
    </row>
    <row r="15" spans="1:5">
      <c r="A15" s="29"/>
      <c r="B15" s="29"/>
      <c r="C15" s="60"/>
      <c r="D15" s="29"/>
      <c r="E15" s="29"/>
    </row>
    <row r="16" spans="1:5">
      <c r="B16" s="20" t="s">
        <v>39</v>
      </c>
      <c r="C16" s="60"/>
      <c r="D16" s="29"/>
    </row>
    <row r="17" spans="2:4">
      <c r="B17" s="22" t="s">
        <v>14</v>
      </c>
      <c r="C17" s="59"/>
      <c r="D17" s="59"/>
    </row>
    <row r="18" spans="2:4">
      <c r="B18" s="21" t="s">
        <v>13</v>
      </c>
      <c r="C18" s="63"/>
      <c r="D18" s="63"/>
    </row>
    <row r="19" spans="2:4">
      <c r="B19" s="20" t="s">
        <v>12</v>
      </c>
    </row>
    <row r="20" spans="2:4">
      <c r="B20" s="20" t="s">
        <v>40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zoomScale="98" zoomScaleNormal="98" zoomScaleSheetLayoutView="100" workbookViewId="0">
      <selection activeCell="B10" sqref="B10:B11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54" customFormat="1" ht="12" customHeight="1">
      <c r="B1" s="58"/>
      <c r="C1" s="57"/>
      <c r="D1" s="57"/>
      <c r="E1" s="57"/>
    </row>
    <row r="2" spans="1:5" s="54" customFormat="1" ht="15" customHeight="1">
      <c r="C2" s="56"/>
    </row>
    <row r="3" spans="1:5" s="54" customFormat="1" ht="15" customHeight="1">
      <c r="C3" s="56"/>
    </row>
    <row r="4" spans="1:5" s="54" customFormat="1" ht="30" customHeight="1">
      <c r="C4" s="56"/>
      <c r="D4" s="55"/>
    </row>
    <row r="5" spans="1:5" s="54" customFormat="1" ht="15" customHeight="1">
      <c r="C5" s="56"/>
      <c r="D5" s="55"/>
    </row>
    <row r="6" spans="1:5" s="51" customFormat="1" ht="24" customHeight="1">
      <c r="B6" s="53"/>
      <c r="C6" s="47"/>
      <c r="D6" s="47"/>
      <c r="E6" s="47"/>
    </row>
    <row r="7" spans="1:5" s="51" customFormat="1" ht="26.25" customHeight="1">
      <c r="A7" s="52"/>
      <c r="B7" s="76"/>
      <c r="C7" s="76"/>
      <c r="D7" s="76"/>
      <c r="E7" s="76"/>
    </row>
    <row r="8" spans="1:5" s="51" customFormat="1" ht="33" customHeight="1">
      <c r="A8" s="52"/>
      <c r="B8" s="76"/>
      <c r="C8" s="76"/>
      <c r="D8" s="76"/>
      <c r="E8" s="76"/>
    </row>
    <row r="9" spans="1:5" s="30" customFormat="1" ht="40.5" customHeight="1">
      <c r="B9" s="48" t="s">
        <v>23</v>
      </c>
      <c r="C9" s="50" t="s">
        <v>32</v>
      </c>
      <c r="D9" s="49" t="s">
        <v>22</v>
      </c>
      <c r="E9" s="48" t="s">
        <v>21</v>
      </c>
    </row>
    <row r="10" spans="1:5" ht="15" customHeight="1">
      <c r="B10" s="77" t="s">
        <v>19</v>
      </c>
      <c r="C10" s="46" t="s">
        <v>49</v>
      </c>
      <c r="D10" s="45">
        <v>1</v>
      </c>
      <c r="E10" s="44">
        <v>0.2</v>
      </c>
    </row>
    <row r="11" spans="1:5" ht="15" customHeight="1">
      <c r="B11" s="78"/>
      <c r="C11" s="43" t="s">
        <v>15</v>
      </c>
      <c r="D11" s="42">
        <v>1</v>
      </c>
      <c r="E11" s="41">
        <v>0.2</v>
      </c>
    </row>
    <row r="12" spans="1:5" ht="15" customHeight="1">
      <c r="B12" s="77" t="s">
        <v>20</v>
      </c>
      <c r="C12" s="46" t="s">
        <v>49</v>
      </c>
      <c r="D12" s="45">
        <v>1</v>
      </c>
      <c r="E12" s="44">
        <v>0.2</v>
      </c>
    </row>
    <row r="13" spans="1:5" ht="15" customHeight="1">
      <c r="B13" s="78"/>
      <c r="C13" s="43" t="s">
        <v>15</v>
      </c>
      <c r="D13" s="42">
        <v>1</v>
      </c>
      <c r="E13" s="41">
        <v>0.2</v>
      </c>
    </row>
    <row r="14" spans="1:5" ht="15" customHeight="1">
      <c r="B14" s="77" t="s">
        <v>18</v>
      </c>
      <c r="C14" s="46" t="s">
        <v>33</v>
      </c>
      <c r="D14" s="45">
        <v>1</v>
      </c>
      <c r="E14" s="44">
        <v>0.2</v>
      </c>
    </row>
    <row r="15" spans="1:5" ht="15" customHeight="1">
      <c r="B15" s="78"/>
      <c r="C15" s="43" t="s">
        <v>15</v>
      </c>
      <c r="D15" s="42">
        <v>1</v>
      </c>
      <c r="E15" s="41">
        <v>0.2</v>
      </c>
    </row>
    <row r="16" spans="1:5" ht="15" customHeight="1">
      <c r="B16" s="77" t="s">
        <v>17</v>
      </c>
      <c r="C16" s="46" t="s">
        <v>33</v>
      </c>
      <c r="D16" s="45">
        <v>1</v>
      </c>
      <c r="E16" s="44">
        <v>0.2</v>
      </c>
    </row>
    <row r="17" spans="2:6" ht="15" customHeight="1">
      <c r="B17" s="78"/>
      <c r="C17" s="43" t="s">
        <v>15</v>
      </c>
      <c r="D17" s="42">
        <v>1</v>
      </c>
      <c r="E17" s="41">
        <v>0.2</v>
      </c>
    </row>
    <row r="18" spans="2:6" ht="15" customHeight="1">
      <c r="B18" s="77" t="s">
        <v>16</v>
      </c>
      <c r="C18" s="46" t="s">
        <v>33</v>
      </c>
      <c r="D18" s="45">
        <v>1</v>
      </c>
      <c r="E18" s="44">
        <v>0.2</v>
      </c>
    </row>
    <row r="19" spans="2:6" ht="15" customHeight="1">
      <c r="B19" s="78"/>
      <c r="C19" s="43" t="s">
        <v>15</v>
      </c>
      <c r="D19" s="42">
        <v>1</v>
      </c>
      <c r="E19" s="41">
        <v>0.2</v>
      </c>
    </row>
    <row r="20" spans="2:6" ht="15" customHeight="1">
      <c r="B20" s="74" t="s">
        <v>15</v>
      </c>
      <c r="C20" s="75"/>
      <c r="D20" s="61">
        <f>SUMIF(C10:C19,"TOTAL",D10:D19)</f>
        <v>5</v>
      </c>
      <c r="E20" s="62">
        <v>1</v>
      </c>
      <c r="F20" s="18"/>
    </row>
    <row r="21" spans="2:6" ht="15" customHeight="1">
      <c r="F21" s="18"/>
    </row>
    <row r="22" spans="2:6" ht="15" customHeight="1">
      <c r="B22" s="20" t="s">
        <v>39</v>
      </c>
      <c r="F22" s="18"/>
    </row>
    <row r="23" spans="2:6" ht="15" customHeight="1">
      <c r="B23" s="22" t="s">
        <v>14</v>
      </c>
      <c r="F23" s="18"/>
    </row>
    <row r="24" spans="2:6" ht="15" customHeight="1">
      <c r="B24" s="21" t="s">
        <v>13</v>
      </c>
      <c r="F24" s="18"/>
    </row>
    <row r="25" spans="2:6" ht="15" customHeight="1">
      <c r="B25" s="20" t="s">
        <v>12</v>
      </c>
    </row>
    <row r="26" spans="2:6" ht="15" customHeight="1">
      <c r="B26" s="20" t="s">
        <v>40</v>
      </c>
    </row>
    <row r="377" spans="2:2" s="38" customFormat="1" ht="15" customHeight="1">
      <c r="B377" s="39"/>
    </row>
    <row r="378" spans="2:2" s="38" customFormat="1" ht="15" customHeight="1">
      <c r="B378" s="40"/>
    </row>
    <row r="379" spans="2:2" s="38" customFormat="1" ht="15" customHeight="1">
      <c r="B379" s="40"/>
    </row>
    <row r="380" spans="2:2" s="38" customFormat="1" ht="15" customHeight="1">
      <c r="B380" s="39"/>
    </row>
    <row r="381" spans="2:2" s="38" customFormat="1" ht="15" customHeight="1">
      <c r="B381" s="39"/>
    </row>
  </sheetData>
  <mergeCells count="7">
    <mergeCell ref="B20:C20"/>
    <mergeCell ref="B7:E8"/>
    <mergeCell ref="B10:B11"/>
    <mergeCell ref="B12:B13"/>
    <mergeCell ref="B14:B15"/>
    <mergeCell ref="B16:B17"/>
    <mergeCell ref="B18:B1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467"/>
  <sheetViews>
    <sheetView showGridLines="0" zoomScale="98" zoomScaleNormal="98" zoomScaleSheetLayoutView="100" workbookViewId="0">
      <selection activeCell="C21" sqref="C21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6" s="54" customFormat="1" ht="12" customHeight="1">
      <c r="B1" s="58"/>
      <c r="C1" s="57"/>
      <c r="D1" s="57"/>
      <c r="E1" s="57"/>
    </row>
    <row r="2" spans="1:6" s="54" customFormat="1" ht="15" customHeight="1">
      <c r="C2" s="56"/>
    </row>
    <row r="3" spans="1:6" s="54" customFormat="1" ht="15" customHeight="1">
      <c r="C3" s="56"/>
    </row>
    <row r="4" spans="1:6" s="54" customFormat="1" ht="30" customHeight="1">
      <c r="C4" s="56"/>
      <c r="D4" s="55"/>
    </row>
    <row r="5" spans="1:6" s="54" customFormat="1" ht="15" customHeight="1">
      <c r="C5" s="56"/>
      <c r="D5" s="55"/>
    </row>
    <row r="6" spans="1:6" s="51" customFormat="1" ht="24" customHeight="1">
      <c r="B6" s="53"/>
      <c r="C6" s="47"/>
      <c r="D6" s="47"/>
      <c r="E6" s="47"/>
    </row>
    <row r="7" spans="1:6" s="51" customFormat="1" ht="26.25" customHeight="1">
      <c r="A7" s="52"/>
      <c r="B7" s="76"/>
      <c r="C7" s="76"/>
      <c r="D7" s="76"/>
      <c r="E7" s="76"/>
    </row>
    <row r="8" spans="1:6" s="51" customFormat="1" ht="33" customHeight="1">
      <c r="A8" s="52"/>
      <c r="B8" s="76"/>
      <c r="C8" s="76"/>
      <c r="D8" s="76"/>
      <c r="E8" s="76"/>
    </row>
    <row r="9" spans="1:6" s="30" customFormat="1" ht="40.5" customHeight="1">
      <c r="B9" s="48" t="s">
        <v>32</v>
      </c>
      <c r="C9" s="50" t="s">
        <v>36</v>
      </c>
      <c r="D9" s="49" t="s">
        <v>22</v>
      </c>
      <c r="E9" s="48" t="s">
        <v>21</v>
      </c>
    </row>
    <row r="10" spans="1:6" ht="15" customHeight="1">
      <c r="B10" s="77" t="s">
        <v>33</v>
      </c>
      <c r="C10" s="46" t="s">
        <v>35</v>
      </c>
      <c r="D10" s="45">
        <v>1</v>
      </c>
      <c r="E10" s="44">
        <v>0.2</v>
      </c>
    </row>
    <row r="11" spans="1:6" ht="15" customHeight="1">
      <c r="B11" s="78"/>
      <c r="C11" s="46" t="s">
        <v>34</v>
      </c>
      <c r="D11" s="45">
        <v>2</v>
      </c>
      <c r="E11" s="44">
        <v>0.4</v>
      </c>
    </row>
    <row r="12" spans="1:6" ht="15" customHeight="1">
      <c r="B12" s="77" t="s">
        <v>49</v>
      </c>
      <c r="C12" s="46" t="s">
        <v>50</v>
      </c>
      <c r="D12" s="45">
        <v>1</v>
      </c>
      <c r="E12" s="44">
        <v>0.2</v>
      </c>
    </row>
    <row r="13" spans="1:6" ht="15" customHeight="1">
      <c r="B13" s="78"/>
      <c r="C13" s="46" t="s">
        <v>35</v>
      </c>
      <c r="D13" s="45">
        <v>1</v>
      </c>
      <c r="E13" s="44">
        <v>0.2</v>
      </c>
    </row>
    <row r="14" spans="1:6" ht="15" customHeight="1">
      <c r="B14" s="74" t="s">
        <v>15</v>
      </c>
      <c r="C14" s="75"/>
      <c r="D14" s="61">
        <v>5</v>
      </c>
      <c r="E14" s="62">
        <v>1</v>
      </c>
    </row>
    <row r="15" spans="1:6" ht="15" customHeight="1">
      <c r="B15" s="20"/>
      <c r="C15" s="47"/>
      <c r="D15" s="47"/>
      <c r="E15" s="47"/>
      <c r="F15" s="18"/>
    </row>
    <row r="16" spans="1:6" ht="15" customHeight="1">
      <c r="B16" s="20" t="s">
        <v>39</v>
      </c>
      <c r="C16" s="47"/>
      <c r="D16" s="47"/>
      <c r="E16" s="47"/>
      <c r="F16" s="18"/>
    </row>
    <row r="17" spans="2:6" ht="15" customHeight="1">
      <c r="B17" s="22" t="s">
        <v>14</v>
      </c>
      <c r="C17" s="47"/>
      <c r="D17" s="47"/>
      <c r="E17" s="47"/>
      <c r="F17" s="18"/>
    </row>
    <row r="18" spans="2:6" ht="15" customHeight="1">
      <c r="B18" s="21" t="s">
        <v>13</v>
      </c>
      <c r="C18" s="47"/>
      <c r="D18" s="47"/>
      <c r="E18" s="47"/>
      <c r="F18" s="18"/>
    </row>
    <row r="19" spans="2:6" ht="15" customHeight="1">
      <c r="B19" s="20" t="s">
        <v>12</v>
      </c>
      <c r="C19" s="47"/>
      <c r="D19" s="47"/>
      <c r="E19" s="47"/>
      <c r="F19" s="18"/>
    </row>
    <row r="20" spans="2:6" ht="15" customHeight="1">
      <c r="B20" s="20" t="s">
        <v>40</v>
      </c>
    </row>
    <row r="463" spans="2:2" s="38" customFormat="1" ht="15" customHeight="1">
      <c r="B463" s="39"/>
    </row>
    <row r="464" spans="2:2" s="38" customFormat="1" ht="15" customHeight="1">
      <c r="B464" s="40"/>
    </row>
    <row r="465" spans="2:2" s="38" customFormat="1" ht="15" customHeight="1">
      <c r="B465" s="40"/>
    </row>
    <row r="466" spans="2:2" s="38" customFormat="1" ht="15" customHeight="1">
      <c r="B466" s="39"/>
    </row>
    <row r="467" spans="2:2" s="38" customFormat="1" ht="15" customHeight="1">
      <c r="B467" s="39"/>
    </row>
  </sheetData>
  <mergeCells count="4">
    <mergeCell ref="B7:E8"/>
    <mergeCell ref="B10:B11"/>
    <mergeCell ref="B12:B13"/>
    <mergeCell ref="B14:C1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20"/>
  <sheetViews>
    <sheetView showGridLines="0" zoomScaleNormal="100" zoomScaleSheetLayoutView="115" workbookViewId="0">
      <selection activeCell="D22" sqref="D22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30" customFormat="1" ht="15" customHeight="1">
      <c r="C1" s="36"/>
    </row>
    <row r="2" spans="1:5" s="30" customFormat="1" ht="15" customHeight="1">
      <c r="C2" s="36"/>
    </row>
    <row r="3" spans="1:5" s="30" customFormat="1" ht="15" customHeight="1">
      <c r="C3" s="36"/>
    </row>
    <row r="4" spans="1:5" s="30" customFormat="1" ht="30" customHeight="1">
      <c r="C4" s="36"/>
      <c r="D4" s="35"/>
    </row>
    <row r="5" spans="1:5" s="30" customFormat="1" ht="15" customHeight="1">
      <c r="C5" s="36"/>
      <c r="D5" s="35"/>
    </row>
    <row r="6" spans="1:5" s="30" customFormat="1" ht="15" customHeight="1">
      <c r="C6" s="36"/>
      <c r="D6" s="35"/>
    </row>
    <row r="7" spans="1:5" s="30" customFormat="1" ht="15" customHeight="1">
      <c r="B7" s="73" t="s">
        <v>52</v>
      </c>
      <c r="C7" s="73"/>
      <c r="D7" s="73"/>
    </row>
    <row r="8" spans="1:5" s="30" customFormat="1" ht="15" customHeight="1">
      <c r="B8" s="73"/>
      <c r="C8" s="73"/>
      <c r="D8" s="73"/>
    </row>
    <row r="9" spans="1:5" s="30" customFormat="1" ht="33" customHeight="1">
      <c r="B9" s="73"/>
      <c r="C9" s="73"/>
      <c r="D9" s="73"/>
    </row>
    <row r="10" spans="1:5" s="30" customFormat="1" ht="4.5" customHeight="1">
      <c r="B10" s="34"/>
      <c r="C10" s="34"/>
      <c r="D10" s="34"/>
    </row>
    <row r="11" spans="1:5" s="30" customFormat="1" ht="33" customHeight="1">
      <c r="B11" s="33" t="s">
        <v>38</v>
      </c>
      <c r="C11" s="32" t="s">
        <v>22</v>
      </c>
      <c r="D11" s="31" t="s">
        <v>21</v>
      </c>
    </row>
    <row r="12" spans="1:5">
      <c r="B12" s="28" t="s">
        <v>37</v>
      </c>
      <c r="C12" s="27">
        <v>3</v>
      </c>
      <c r="D12" s="26">
        <v>0.6</v>
      </c>
    </row>
    <row r="13" spans="1:5">
      <c r="B13" s="28" t="s">
        <v>51</v>
      </c>
      <c r="C13" s="27">
        <v>2</v>
      </c>
      <c r="D13" s="26">
        <v>0.4</v>
      </c>
    </row>
    <row r="14" spans="1:5">
      <c r="A14" s="29"/>
      <c r="B14" s="25" t="s">
        <v>15</v>
      </c>
      <c r="C14" s="24">
        <v>5</v>
      </c>
      <c r="D14" s="23">
        <v>1</v>
      </c>
      <c r="E14" s="29"/>
    </row>
    <row r="15" spans="1:5">
      <c r="A15" s="29"/>
      <c r="B15" s="20"/>
      <c r="C15" s="60"/>
      <c r="D15" s="29"/>
      <c r="E15" s="29"/>
    </row>
    <row r="16" spans="1:5">
      <c r="B16" s="20" t="s">
        <v>39</v>
      </c>
      <c r="C16" s="59"/>
      <c r="D16" s="59"/>
    </row>
    <row r="17" spans="2:4">
      <c r="B17" s="22" t="s">
        <v>14</v>
      </c>
      <c r="C17" s="63"/>
      <c r="D17" s="63"/>
    </row>
    <row r="18" spans="2:4">
      <c r="B18" s="21" t="s">
        <v>13</v>
      </c>
    </row>
    <row r="19" spans="2:4">
      <c r="B19" s="20" t="s">
        <v>12</v>
      </c>
    </row>
    <row r="20" spans="2:4">
      <c r="B20" s="20" t="s">
        <v>40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Hawaii_Edomexgral</vt:lpstr>
      <vt:lpstr>Hawaii_EDOMEX</vt:lpstr>
      <vt:lpstr>Hawaii_Educagral</vt:lpstr>
      <vt:lpstr>Hawaii_Eduedo</vt:lpstr>
      <vt:lpstr>Hawaii_gengral</vt:lpstr>
      <vt:lpstr>Hawaii_edomexgen</vt:lpstr>
      <vt:lpstr>Hawaii_edadgen</vt:lpstr>
      <vt:lpstr>Hawaii_ocupgral</vt:lpstr>
      <vt:lpstr>Hawaii_edadgen!Área_de_impresión</vt:lpstr>
      <vt:lpstr>Hawaii_EDOMEX!Área_de_impresión</vt:lpstr>
      <vt:lpstr>Hawaii_edomexgen!Área_de_impresión</vt:lpstr>
      <vt:lpstr>Hawaii_Eduedo!Área_de_impresión</vt:lpstr>
      <vt:lpstr>Hawaii_edadgen!Títulos_a_imprimir</vt:lpstr>
      <vt:lpstr>Hawaii_EDOMEX!Títulos_a_imprimir</vt:lpstr>
      <vt:lpstr>Hawaii_edomexgen!Títulos_a_imprimir</vt:lpstr>
      <vt:lpstr>Hawaii_Edomexgral!Títulos_a_imprimir</vt:lpstr>
      <vt:lpstr>Hawaii_Educagral!Títulos_a_imprimir</vt:lpstr>
      <vt:lpstr>Hawaii_Eduedo!Títulos_a_imprimir</vt:lpstr>
      <vt:lpstr>Hawaii_gengral!Títulos_a_imprimir</vt:lpstr>
      <vt:lpstr>Hawaii_ocupgral!Títulos_a_imprimir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2020-06-18T20:41:32Z</dcterms:created>
  <dcterms:modified xsi:type="dcterms:W3CDTF">2022-08-03T16:34:32Z</dcterms:modified>
</cp:coreProperties>
</file>