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3355" windowHeight="8880" tabRatio="920" activeTab="8"/>
  </bookViews>
  <sheets>
    <sheet name="Índice" sheetId="1" r:id="rId1"/>
    <sheet name="Delaware_Edomexgral" sheetId="2" r:id="rId2"/>
    <sheet name="Delaware_EDOMEX" sheetId="11" r:id="rId3"/>
    <sheet name="Delaware_Educagral" sheetId="4" r:id="rId4"/>
    <sheet name="Delaware_Eduedo" sheetId="10" r:id="rId5"/>
    <sheet name="Delaware_gengral" sheetId="6" r:id="rId6"/>
    <sheet name="Delaware_edomexgen" sheetId="7" r:id="rId7"/>
    <sheet name="Delaware_edadgen" sheetId="8" r:id="rId8"/>
    <sheet name="Delaware_ocupgral" sheetId="9" r:id="rId9"/>
  </sheets>
  <definedNames>
    <definedName name="_xlnm._FilterDatabase" localSheetId="7" hidden="1">Delaware_edadgen!$B$9:$E$9</definedName>
    <definedName name="_xlnm._FilterDatabase" localSheetId="2" hidden="1">Delaware_EDOMEX!$B$9:$E$9</definedName>
    <definedName name="_xlnm._FilterDatabase" localSheetId="6" hidden="1">Delaware_edomexgen!$B$9:$E$9</definedName>
    <definedName name="_xlnm._FilterDatabase" localSheetId="1" hidden="1">Delaware_Edomexgral!$B$11:$D$11</definedName>
    <definedName name="_xlnm._FilterDatabase" localSheetId="3" hidden="1">Delaware_Educagral!$B$11:$D$11</definedName>
    <definedName name="_xlnm._FilterDatabase" localSheetId="4" hidden="1">Delaware_Eduedo!$B$9:$E$9</definedName>
    <definedName name="_xlnm._FilterDatabase" localSheetId="5" hidden="1">Delaware_gengral!$B$11:$D$11</definedName>
    <definedName name="_xlnm._FilterDatabase" localSheetId="8" hidden="1">Delaware_ocupgral!$B$11:$D$11</definedName>
    <definedName name="_xlnm.Print_Area" localSheetId="7">Delaware_edadgen!$A$1:$E$9</definedName>
    <definedName name="_xlnm.Print_Area" localSheetId="2">Delaware_EDOMEX!$A$1:$E$9</definedName>
    <definedName name="_xlnm.Print_Area" localSheetId="6">Delaware_edomexgen!$A$1:$E$9</definedName>
    <definedName name="_xlnm.Print_Area" localSheetId="4">Delaware_Eduedo!$A$1:$E$9</definedName>
    <definedName name="_xlnm.Print_Titles" localSheetId="7">Delaware_edadgen!$1:$9</definedName>
    <definedName name="_xlnm.Print_Titles" localSheetId="2">Delaware_EDOMEX!$1:$9</definedName>
    <definedName name="_xlnm.Print_Titles" localSheetId="6">Delaware_edomexgen!$1:$9</definedName>
    <definedName name="_xlnm.Print_Titles" localSheetId="1">Delaware_Edomexgral!$1:$11</definedName>
    <definedName name="_xlnm.Print_Titles" localSheetId="3">Delaware_Educagral!$1:$11</definedName>
    <definedName name="_xlnm.Print_Titles" localSheetId="4">Delaware_Eduedo!$1:$9</definedName>
    <definedName name="_xlnm.Print_Titles" localSheetId="5">Delaware_gengral!$1:$11</definedName>
    <definedName name="_xlnm.Print_Titles" localSheetId="8">Delaware_ocupgral!$1:$11</definedName>
  </definedNames>
  <calcPr calcId="152511"/>
</workbook>
</file>

<file path=xl/calcChain.xml><?xml version="1.0" encoding="utf-8"?>
<calcChain xmlns="http://schemas.openxmlformats.org/spreadsheetml/2006/main">
  <c r="D92" i="7" l="1"/>
  <c r="D421" i="11" l="1"/>
</calcChain>
</file>

<file path=xl/sharedStrings.xml><?xml version="1.0" encoding="utf-8"?>
<sst xmlns="http://schemas.openxmlformats.org/spreadsheetml/2006/main" count="1010" uniqueCount="491">
  <si>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</si>
  <si>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</si>
  <si>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</si>
  <si>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</si>
  <si>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</si>
  <si>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</si>
  <si>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</si>
  <si>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</si>
  <si>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</si>
  <si>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</si>
  <si>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</si>
  <si>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</si>
  <si>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</si>
  <si>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</si>
  <si>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</si>
  <si>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</si>
  <si>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</si>
  <si>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Campeche</t>
  </si>
  <si>
    <t>Baja California Sur</t>
  </si>
  <si>
    <t>Coahuila</t>
  </si>
  <si>
    <t>Sonora</t>
  </si>
  <si>
    <t>Sinaloa</t>
  </si>
  <si>
    <t>Nuevo León</t>
  </si>
  <si>
    <t>Tlaxcala</t>
  </si>
  <si>
    <t>Baja California</t>
  </si>
  <si>
    <t>Aguascalientes</t>
  </si>
  <si>
    <t>Tabasco</t>
  </si>
  <si>
    <t>Querétaro</t>
  </si>
  <si>
    <t>Nayarit</t>
  </si>
  <si>
    <t>Durango</t>
  </si>
  <si>
    <t>Zacatecas</t>
  </si>
  <si>
    <t>Tamaulipas</t>
  </si>
  <si>
    <t>Chihuahua</t>
  </si>
  <si>
    <t>Hidalgo</t>
  </si>
  <si>
    <t>San Luis Potosí</t>
  </si>
  <si>
    <t>Oaxaca</t>
  </si>
  <si>
    <t>Chiapas</t>
  </si>
  <si>
    <t>Morelos</t>
  </si>
  <si>
    <t>Jalisco</t>
  </si>
  <si>
    <t>Guanajuato</t>
  </si>
  <si>
    <t>Ciudad de México</t>
  </si>
  <si>
    <t>Guerrero</t>
  </si>
  <si>
    <t>Veracruz</t>
  </si>
  <si>
    <t>Michoacán</t>
  </si>
  <si>
    <t>Puebla</t>
  </si>
  <si>
    <t>Estado de México</t>
  </si>
  <si>
    <t>Porcentaje de Matrículas</t>
  </si>
  <si>
    <t>Número de Matrículas</t>
  </si>
  <si>
    <t>Estado de Origen</t>
  </si>
  <si>
    <t>Río Grande</t>
  </si>
  <si>
    <t>Tres Valles</t>
  </si>
  <si>
    <t>Tlalixcoyan</t>
  </si>
  <si>
    <t>Tierra Blanca</t>
  </si>
  <si>
    <t>Soledad de Doblado</t>
  </si>
  <si>
    <t>San Andrés Tuxtla</t>
  </si>
  <si>
    <t>Poza Rica de Hidalgo</t>
  </si>
  <si>
    <t>Misantla</t>
  </si>
  <si>
    <t>Martínez de la Torre</t>
  </si>
  <si>
    <t>Ignacio de la Llave</t>
  </si>
  <si>
    <t>Cuitláhuac</t>
  </si>
  <si>
    <t>Cosamaloapan de Carpio</t>
  </si>
  <si>
    <t>Atzalan</t>
  </si>
  <si>
    <t>Alvarado</t>
  </si>
  <si>
    <t>Calpulalpan</t>
  </si>
  <si>
    <t>Reynosa</t>
  </si>
  <si>
    <t>El Mante</t>
  </si>
  <si>
    <t>Rioverde</t>
  </si>
  <si>
    <t>Ciudad del Maíz</t>
  </si>
  <si>
    <t>Cárdenas</t>
  </si>
  <si>
    <t>Zoquitlán</t>
  </si>
  <si>
    <t>Zautla</t>
  </si>
  <si>
    <t>Zacapoaxtla</t>
  </si>
  <si>
    <t>Tlahuapan</t>
  </si>
  <si>
    <t>Tlacotepec de Benito Juárez</t>
  </si>
  <si>
    <t>San Martín Texmelucan</t>
  </si>
  <si>
    <t>Quecholac</t>
  </si>
  <si>
    <t>Izúcar de Matamoros</t>
  </si>
  <si>
    <t>Huejotzingo</t>
  </si>
  <si>
    <t>Huehuetlán el Chico</t>
  </si>
  <si>
    <t>Domingo Arenas</t>
  </si>
  <si>
    <t>Chietla</t>
  </si>
  <si>
    <t>Chichiquila</t>
  </si>
  <si>
    <t>Chiautla</t>
  </si>
  <si>
    <t>Calpan</t>
  </si>
  <si>
    <t>Atlixco</t>
  </si>
  <si>
    <t>Ajalpan</t>
  </si>
  <si>
    <t>Acatlán</t>
  </si>
  <si>
    <t>Santiago Juxtlahuaca</t>
  </si>
  <si>
    <t>Oaxaca de Juárez</t>
  </si>
  <si>
    <t>Magdalena Tequisistlán</t>
  </si>
  <si>
    <t>Tepic</t>
  </si>
  <si>
    <t>La Yesca</t>
  </si>
  <si>
    <t>Zacatepec</t>
  </si>
  <si>
    <t>Yautepec</t>
  </si>
  <si>
    <t>Tlaquiltenango</t>
  </si>
  <si>
    <t>Tlaltizapán de Zapata</t>
  </si>
  <si>
    <t>Tetecala</t>
  </si>
  <si>
    <t>Temixco</t>
  </si>
  <si>
    <t>Jojutla</t>
  </si>
  <si>
    <t>Cuernavaca</t>
  </si>
  <si>
    <t>Cuautla</t>
  </si>
  <si>
    <t>Axochiapan</t>
  </si>
  <si>
    <t>Amacuzac</t>
  </si>
  <si>
    <t>Zitácuaro</t>
  </si>
  <si>
    <t>Zinapécuaro</t>
  </si>
  <si>
    <t>Zamora</t>
  </si>
  <si>
    <t>Zacapu</t>
  </si>
  <si>
    <t>Uruapan</t>
  </si>
  <si>
    <t>Quiroga</t>
  </si>
  <si>
    <t>Pátzcuaro</t>
  </si>
  <si>
    <t>Nocupétaro</t>
  </si>
  <si>
    <t>Morelia</t>
  </si>
  <si>
    <t>Lázaro Cárdenas</t>
  </si>
  <si>
    <t>Huetamo</t>
  </si>
  <si>
    <t>Coeneo</t>
  </si>
  <si>
    <t>Carácuaro</t>
  </si>
  <si>
    <t>Zapotlanejo</t>
  </si>
  <si>
    <t>Lagos de Moreno</t>
  </si>
  <si>
    <t>Guadalajara</t>
  </si>
  <si>
    <t>Encarnación de Díaz</t>
  </si>
  <si>
    <t>El Salto</t>
  </si>
  <si>
    <t>Tulancingo de Bravo</t>
  </si>
  <si>
    <t>Chapulhuacán</t>
  </si>
  <si>
    <t>Tetipac</t>
  </si>
  <si>
    <t>Tepecoacuilco de Trujano</t>
  </si>
  <si>
    <t>Taxco de Alarcón</t>
  </si>
  <si>
    <t>Pilcaya</t>
  </si>
  <si>
    <t>Leonardo Bravo</t>
  </si>
  <si>
    <t>Iguala de la Independencia</t>
  </si>
  <si>
    <t>Huitzuco de los Figueroa</t>
  </si>
  <si>
    <t>General Heliodoro Castillo</t>
  </si>
  <si>
    <t>General Canuto A. Neri</t>
  </si>
  <si>
    <t>Ayutla de los Libres</t>
  </si>
  <si>
    <t>Acapulco de Juárez</t>
  </si>
  <si>
    <t>Yuriria</t>
  </si>
  <si>
    <t>Uriangato</t>
  </si>
  <si>
    <t>Pénjamo</t>
  </si>
  <si>
    <t>Moroleón</t>
  </si>
  <si>
    <t>Manuel Doblado</t>
  </si>
  <si>
    <t>León</t>
  </si>
  <si>
    <t>Irapuato</t>
  </si>
  <si>
    <t>Celaya</t>
  </si>
  <si>
    <t>Zumpahuacán</t>
  </si>
  <si>
    <t>Zinacantepec</t>
  </si>
  <si>
    <t>Zacualpan</t>
  </si>
  <si>
    <t>Valle de Bravo</t>
  </si>
  <si>
    <t>Toluca</t>
  </si>
  <si>
    <t>Tlalnepantla de Baz</t>
  </si>
  <si>
    <t>Texcaltitlán</t>
  </si>
  <si>
    <t>Tenango del Valle</t>
  </si>
  <si>
    <t>Tenancingo</t>
  </si>
  <si>
    <t>Temoaya</t>
  </si>
  <si>
    <t>Temascaltepec</t>
  </si>
  <si>
    <t>Sultepec</t>
  </si>
  <si>
    <t>San Felipe del Progreso</t>
  </si>
  <si>
    <t>Nezahualcóyotl</t>
  </si>
  <si>
    <t>Naucalpan de Juárez</t>
  </si>
  <si>
    <t>Malinalco</t>
  </si>
  <si>
    <t>Ixtlahuaca</t>
  </si>
  <si>
    <t>Ixtapan de la Sal</t>
  </si>
  <si>
    <t>Ixtapaluca</t>
  </si>
  <si>
    <t>Ecatepec de Morelos</t>
  </si>
  <si>
    <t>Coatepec Harinas</t>
  </si>
  <si>
    <t>Chalco</t>
  </si>
  <si>
    <t>Atlautla</t>
  </si>
  <si>
    <t>Amecameca</t>
  </si>
  <si>
    <t>Amatepec</t>
  </si>
  <si>
    <t>Amanalco</t>
  </si>
  <si>
    <t>Almoloya de Juárez</t>
  </si>
  <si>
    <t>Almoloya de Alquisiras</t>
  </si>
  <si>
    <t>Iztapalapa</t>
  </si>
  <si>
    <t>Gustavo A. Madero</t>
  </si>
  <si>
    <t>Cuauhtémoc</t>
  </si>
  <si>
    <t>Benito Juárez</t>
  </si>
  <si>
    <t>Azcapotzalco</t>
  </si>
  <si>
    <t>Álvaro Obregón</t>
  </si>
  <si>
    <t>Unión Juárez</t>
  </si>
  <si>
    <t>Tapachula</t>
  </si>
  <si>
    <t>Motozintla</t>
  </si>
  <si>
    <t>La Grandeza</t>
  </si>
  <si>
    <t>Huixtla</t>
  </si>
  <si>
    <t>Huehuetán</t>
  </si>
  <si>
    <t>Cacahoatán</t>
  </si>
  <si>
    <t>Amatenango de la Frontera</t>
  </si>
  <si>
    <t>Tijuana</t>
  </si>
  <si>
    <t>Municipio Origen</t>
  </si>
  <si>
    <t>Menores de edad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</si>
  <si>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</si>
  <si>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</si>
  <si>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</si>
  <si>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</si>
  <si>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</si>
  <si>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</si>
  <si>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</si>
  <si>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</si>
  <si>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</si>
  <si>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</si>
  <si>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</si>
  <si>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</si>
  <si>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</si>
  <si>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</si>
  <si>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</si>
  <si>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</si>
  <si>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</si>
  <si>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</si>
  <si>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</si>
  <si>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</si>
  <si>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DELAWARE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</si>
  <si>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</si>
  <si>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</si>
  <si>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</si>
  <si>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</si>
  <si>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</si>
  <si>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</si>
  <si>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</si>
  <si>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</si>
  <si>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</si>
  <si>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</si>
  <si>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</si>
  <si>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</si>
  <si>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Más de 75 Años</t>
  </si>
  <si>
    <t>Edad cumplida</t>
  </si>
  <si>
    <t>Mesero(a)</t>
  </si>
  <si>
    <t>Operario(a)</t>
  </si>
  <si>
    <t>Comerciante</t>
  </si>
  <si>
    <t>Albañil</t>
  </si>
  <si>
    <t>Otro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</si>
  <si>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</si>
  <si>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</si>
  <si>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</si>
  <si>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</si>
  <si>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</si>
  <si>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</si>
  <si>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</si>
  <si>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</si>
  <si>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</si>
  <si>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</si>
  <si>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</si>
  <si>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</si>
  <si>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Yucatán</t>
  </si>
  <si>
    <t>Colima</t>
  </si>
  <si>
    <t>Jesús María</t>
  </si>
  <si>
    <t>Teopisca</t>
  </si>
  <si>
    <t>Villa Comaltitlán</t>
  </si>
  <si>
    <t>Pánuco de Coronado</t>
  </si>
  <si>
    <t>Ixtapan del Oro</t>
  </si>
  <si>
    <t>Coyuca de Catalán</t>
  </si>
  <si>
    <t>Florencio Villarreal</t>
  </si>
  <si>
    <t>Tizapán el Alto</t>
  </si>
  <si>
    <t>Tangamandapio</t>
  </si>
  <si>
    <t>San Juan Bautista Tuxtepec</t>
  </si>
  <si>
    <t>San Juan Quiahije</t>
  </si>
  <si>
    <t>San Miguel Tequixtepec</t>
  </si>
  <si>
    <t>Santiago Jocotepec</t>
  </si>
  <si>
    <t>Tlacolula de Matamoros</t>
  </si>
  <si>
    <t>Libres</t>
  </si>
  <si>
    <t>Tecali de Herrera</t>
  </si>
  <si>
    <t>Tamasopo</t>
  </si>
  <si>
    <t>Macuspana</t>
  </si>
  <si>
    <t>Natívitas</t>
  </si>
  <si>
    <t>Actopan</t>
  </si>
  <si>
    <t>Boca del Río</t>
  </si>
  <si>
    <t>Córdoba</t>
  </si>
  <si>
    <t>Omealca</t>
  </si>
  <si>
    <t>Mérida</t>
  </si>
  <si>
    <t>Jubilado(a)</t>
  </si>
  <si>
    <t>MATRÍCULAS CONSULARES DE ALTA SEGURIDAD EXPEDIDAS EN EE.UU A MEXICANOS EN EL ESTADO DE  DELAWARE, POR PERFIL OCUPACIONAL 2021</t>
  </si>
  <si>
    <t>Carnicero</t>
  </si>
  <si>
    <t>Cajero(a)</t>
  </si>
  <si>
    <t>Chofer</t>
  </si>
  <si>
    <t>Panadero(a)</t>
  </si>
  <si>
    <t>Tamaño de la muestra: 701,861</t>
  </si>
  <si>
    <t>Mayo de 2022</t>
  </si>
  <si>
    <t>MATRÍCULAS CONSULARES DE ALTA SEGURIDAD EXPEDIDAS EN EL ESTADO DE DELAWARE EN EE.UU. POR ESTADO DE LA REPÚBLICA MEXICANA DURANTE EL 2021</t>
  </si>
  <si>
    <t>Tepezalá</t>
  </si>
  <si>
    <t>Mexicali</t>
  </si>
  <si>
    <t>Los Cabos</t>
  </si>
  <si>
    <t>Calkiní</t>
  </si>
  <si>
    <t>Carmen</t>
  </si>
  <si>
    <t>Palizada</t>
  </si>
  <si>
    <t>Acacoyagua</t>
  </si>
  <si>
    <t>Arriaga</t>
  </si>
  <si>
    <t>Bella Vista</t>
  </si>
  <si>
    <t>Chamula</t>
  </si>
  <si>
    <t>Chenalhó</t>
  </si>
  <si>
    <t>Frontera Hidalgo</t>
  </si>
  <si>
    <t>Juárez</t>
  </si>
  <si>
    <t>La Trinitaria</t>
  </si>
  <si>
    <t>Mapastepec</t>
  </si>
  <si>
    <t>Ocosingo</t>
  </si>
  <si>
    <t>Pijijiapan</t>
  </si>
  <si>
    <t>San Cristóbal de las Casas</t>
  </si>
  <si>
    <t>Siltepec</t>
  </si>
  <si>
    <t>Tecpatán</t>
  </si>
  <si>
    <t>Tumbalá</t>
  </si>
  <si>
    <t>Zinacantán</t>
  </si>
  <si>
    <t>Aldama</t>
  </si>
  <si>
    <t>Allende</t>
  </si>
  <si>
    <t>Bocoyna</t>
  </si>
  <si>
    <t>Saucillo</t>
  </si>
  <si>
    <t>San Juan de Sabinas</t>
  </si>
  <si>
    <t>San Pedro</t>
  </si>
  <si>
    <t>Iztacalco</t>
  </si>
  <si>
    <t>Miguel Hidalgo</t>
  </si>
  <si>
    <t>Milpa Alta</t>
  </si>
  <si>
    <t>Tláhuac</t>
  </si>
  <si>
    <t>Venustiano Carranza</t>
  </si>
  <si>
    <t>Xochimilco</t>
  </si>
  <si>
    <t>El Oro</t>
  </si>
  <si>
    <t>Mezquital</t>
  </si>
  <si>
    <t>San Bernardo</t>
  </si>
  <si>
    <t>Atenco</t>
  </si>
  <si>
    <t>Atizapán de Zaragoza</t>
  </si>
  <si>
    <t>Chicoloapan</t>
  </si>
  <si>
    <t>Chimalhuacán</t>
  </si>
  <si>
    <t>Isidro Fabela</t>
  </si>
  <si>
    <t>Jiquipilco</t>
  </si>
  <si>
    <t>Ocuilan</t>
  </si>
  <si>
    <t>Otzolotepec</t>
  </si>
  <si>
    <t>Ozumba</t>
  </si>
  <si>
    <t>San Simón de Guerrero</t>
  </si>
  <si>
    <t>Santo Tomás</t>
  </si>
  <si>
    <t>Tejupilco</t>
  </si>
  <si>
    <t>Temascalapa</t>
  </si>
  <si>
    <t>Temascalcingo</t>
  </si>
  <si>
    <t>Tianguistenco</t>
  </si>
  <si>
    <t>Tlalmanalco</t>
  </si>
  <si>
    <t>Tlatlaya</t>
  </si>
  <si>
    <t>Villa de Allende</t>
  </si>
  <si>
    <t>Villa Guerrero</t>
  </si>
  <si>
    <t>Apaseo el Alto</t>
  </si>
  <si>
    <t>Apaseo el Grande</t>
  </si>
  <si>
    <t>Cuerámaro</t>
  </si>
  <si>
    <t>Jerécuaro</t>
  </si>
  <si>
    <t>Romita</t>
  </si>
  <si>
    <t>Salamanca</t>
  </si>
  <si>
    <t>San Felipe</t>
  </si>
  <si>
    <t>San José Iturbide</t>
  </si>
  <si>
    <t>Valle de Santiago</t>
  </si>
  <si>
    <t>Villagrán</t>
  </si>
  <si>
    <t>Alcozauca de Guerrero</t>
  </si>
  <si>
    <t>Atlamajalcingo del Monte</t>
  </si>
  <si>
    <t>Buenavista de Cuéllar</t>
  </si>
  <si>
    <t>Chilpancingo de los Bravo</t>
  </si>
  <si>
    <t>Coyuca de Benítez</t>
  </si>
  <si>
    <t>Cuajinicuilapa</t>
  </si>
  <si>
    <t>Cualác</t>
  </si>
  <si>
    <t>Cuautepec</t>
  </si>
  <si>
    <t>Eduardo Neri</t>
  </si>
  <si>
    <t>La Unión de Isidoro Montes de Oca</t>
  </si>
  <si>
    <t>Mochitlán</t>
  </si>
  <si>
    <t>Ometepec</t>
  </si>
  <si>
    <t>Petatlán</t>
  </si>
  <si>
    <t>Quechultenango</t>
  </si>
  <si>
    <t>San Miguel Totolapan</t>
  </si>
  <si>
    <t>Tixtla de Guerrero</t>
  </si>
  <si>
    <t>Tlalchapa</t>
  </si>
  <si>
    <t>Xochistlahuaca</t>
  </si>
  <si>
    <t>Francisco I. Madero</t>
  </si>
  <si>
    <t>Huejutla de Reyes</t>
  </si>
  <si>
    <t>Ixmiquilpan</t>
  </si>
  <si>
    <t>Pisaflores</t>
  </si>
  <si>
    <t>San Salvador</t>
  </si>
  <si>
    <t>Tecozautla</t>
  </si>
  <si>
    <t>Tepehuacán de Guerrero</t>
  </si>
  <si>
    <t>Tlanchinol</t>
  </si>
  <si>
    <t>Ayotlán</t>
  </si>
  <si>
    <t>Colotlán</t>
  </si>
  <si>
    <t>San Martín de Bolaños</t>
  </si>
  <si>
    <t>Tlajomulco de Zúñiga</t>
  </si>
  <si>
    <t>San Pedro Tlaquepaque</t>
  </si>
  <si>
    <t>Zapotlán el Grande</t>
  </si>
  <si>
    <t>Angangueo</t>
  </si>
  <si>
    <t>Coahuayana</t>
  </si>
  <si>
    <t>La Piedad</t>
  </si>
  <si>
    <t>Los Reyes</t>
  </si>
  <si>
    <t>Maravatío</t>
  </si>
  <si>
    <t>Nuevo Urecho</t>
  </si>
  <si>
    <t>Penjamillo</t>
  </si>
  <si>
    <t>Peribán</t>
  </si>
  <si>
    <t>Tiquicheo de Nicolás Romero</t>
  </si>
  <si>
    <t>Turicato</t>
  </si>
  <si>
    <t>Yurécuaro</t>
  </si>
  <si>
    <t>Emiliano Zapata</t>
  </si>
  <si>
    <t>Miacatlán</t>
  </si>
  <si>
    <t>Xochitepec</t>
  </si>
  <si>
    <t>Jala</t>
  </si>
  <si>
    <t>Santa María del Oro</t>
  </si>
  <si>
    <t>Tecuala</t>
  </si>
  <si>
    <t>Guadalupe</t>
  </si>
  <si>
    <t>Mier y Noriega</t>
  </si>
  <si>
    <t>Monterrey</t>
  </si>
  <si>
    <t>Cosolapa</t>
  </si>
  <si>
    <t>Fresnillo de Trujano</t>
  </si>
  <si>
    <t>Heroica Ciudad de Tlaxiaco</t>
  </si>
  <si>
    <t>Heroica Ciudad de Juchitán de Zaragoza</t>
  </si>
  <si>
    <t>Magdalena Apasco</t>
  </si>
  <si>
    <t>Ocotlán de Morelos</t>
  </si>
  <si>
    <t>San Ildefonso Villa Alta</t>
  </si>
  <si>
    <t>San Juan Bautista Valle Nacional</t>
  </si>
  <si>
    <t>San Juan Mixtepec - Distr. 08 -</t>
  </si>
  <si>
    <t>San Juan Ñumí</t>
  </si>
  <si>
    <t>San Marcos Arteaga</t>
  </si>
  <si>
    <t>San Miguel Soyaltepec</t>
  </si>
  <si>
    <t>San Pablo Huitzo</t>
  </si>
  <si>
    <t>Santa María Camotlán</t>
  </si>
  <si>
    <t>Santa María Huazolotitlán</t>
  </si>
  <si>
    <t>Santiago Jamiltepec</t>
  </si>
  <si>
    <t>Santiago Pinotepa Nacional</t>
  </si>
  <si>
    <t>Santos Reyes Nopala</t>
  </si>
  <si>
    <t>Atzala</t>
  </si>
  <si>
    <t>Chilchotla</t>
  </si>
  <si>
    <t>Chinantla</t>
  </si>
  <si>
    <t>Cuautempan</t>
  </si>
  <si>
    <t>Cuautlancingo</t>
  </si>
  <si>
    <t>Cuyoaco</t>
  </si>
  <si>
    <t>Huehuetlán el Grande</t>
  </si>
  <si>
    <t>Hueytlalpan</t>
  </si>
  <si>
    <t>Ixtacamaxtitlán</t>
  </si>
  <si>
    <t>Juan C. Bonilla</t>
  </si>
  <si>
    <t>Palmar de Bravo</t>
  </si>
  <si>
    <t>San Felipe Teotlalcingo</t>
  </si>
  <si>
    <t>San Pedro Cholula</t>
  </si>
  <si>
    <t>San Pedro Yeloixtlahuaca</t>
  </si>
  <si>
    <t>San Salvador el Seco</t>
  </si>
  <si>
    <t>San Salvador el Verde</t>
  </si>
  <si>
    <t>Tehuitzingo</t>
  </si>
  <si>
    <t>Tetela de Ocampo</t>
  </si>
  <si>
    <t>Tlachichuca</t>
  </si>
  <si>
    <t>Tlacuilotepec</t>
  </si>
  <si>
    <t>Tlatlauquitepec</t>
  </si>
  <si>
    <t>Tochimilco</t>
  </si>
  <si>
    <t>Vicente Guerrero</t>
  </si>
  <si>
    <t>Amealco de Bonfil</t>
  </si>
  <si>
    <t>Axtla de Terrazas</t>
  </si>
  <si>
    <t>Ciudad Valles</t>
  </si>
  <si>
    <t>Salinas</t>
  </si>
  <si>
    <t>Santa María del Río</t>
  </si>
  <si>
    <t>Tamazunchale</t>
  </si>
  <si>
    <t>Tamuín</t>
  </si>
  <si>
    <t>Villa de Arista</t>
  </si>
  <si>
    <t>Puerto Peñasco</t>
  </si>
  <si>
    <t>Teapa</t>
  </si>
  <si>
    <t>Ciudad Madero</t>
  </si>
  <si>
    <t>Padilla</t>
  </si>
  <si>
    <t>San Fernando</t>
  </si>
  <si>
    <t>Tampico</t>
  </si>
  <si>
    <t>Tula</t>
  </si>
  <si>
    <t>Valle Hermoso</t>
  </si>
  <si>
    <t>Apizaco</t>
  </si>
  <si>
    <t>Nanacamilpa de Mariano Arista</t>
  </si>
  <si>
    <t>Panotla</t>
  </si>
  <si>
    <t>Papalotla de Xicohténcatl</t>
  </si>
  <si>
    <t>San Pablo del Monte</t>
  </si>
  <si>
    <t>Xaltocan</t>
  </si>
  <si>
    <t>Zacatelco</t>
  </si>
  <si>
    <t>Acula</t>
  </si>
  <si>
    <t>Angel R. Cabada</t>
  </si>
  <si>
    <t>Apazapan</t>
  </si>
  <si>
    <t>Castillo de Teayo</t>
  </si>
  <si>
    <t>Chiconquiaco</t>
  </si>
  <si>
    <t>Chocamán</t>
  </si>
  <si>
    <t>Coatepec</t>
  </si>
  <si>
    <t>Coatzacoalcos</t>
  </si>
  <si>
    <t>Coscomatepec</t>
  </si>
  <si>
    <t>Huatusco</t>
  </si>
  <si>
    <t>Ixtaczoquitlán</t>
  </si>
  <si>
    <t>Jalacingo</t>
  </si>
  <si>
    <t>Jalcomulco</t>
  </si>
  <si>
    <t>La Antigua</t>
  </si>
  <si>
    <t>Las Choapas</t>
  </si>
  <si>
    <t>Mecayapan</t>
  </si>
  <si>
    <t>Medellín de Bravo</t>
  </si>
  <si>
    <t>Moloacán</t>
  </si>
  <si>
    <t>Paso del Macho</t>
  </si>
  <si>
    <t>Perote</t>
  </si>
  <si>
    <t>Sayula de Alemán</t>
  </si>
  <si>
    <t>Soconusco</t>
  </si>
  <si>
    <t>Tecolutla</t>
  </si>
  <si>
    <t>Tequila</t>
  </si>
  <si>
    <t>Tihuatlán</t>
  </si>
  <si>
    <t>Tlapacoyan</t>
  </si>
  <si>
    <t>Tuxtilla</t>
  </si>
  <si>
    <t>Ursulo Galván</t>
  </si>
  <si>
    <t>Xalapa</t>
  </si>
  <si>
    <t>Sombrerete</t>
  </si>
  <si>
    <t>3° Año de profesional</t>
  </si>
  <si>
    <t>Posgrado [Maestría]</t>
  </si>
  <si>
    <t>MATRÍCULAS CONSULARES DE ALTA SEGURIDAD EXPEDIDAS EN EE.UU A MEXICANOS EN EL ESTADO DE DELAWARE, POR GÉNERO 2021</t>
  </si>
  <si>
    <t>Hasta 10 Años</t>
  </si>
  <si>
    <t>Matrículas consulares expedidas a mexicanos  en el estado de Delaware en 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</si>
</sst>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4" fillId="0" borderId="0" xfId="0" applyFont="1"/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228930</xdr:rowOff>
    </xdr:from>
    <xdr:to>
      <xdr:col>3</xdr:col>
      <xdr:colOff>996695</xdr:colOff>
      <xdr:row>2</xdr:row>
      <xdr:rowOff>219406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623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DELAWARE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151086</xdr:rowOff>
    </xdr:from>
    <xdr:to>
      <xdr:col>4</xdr:col>
      <xdr:colOff>1096735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3313" y="189416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DELAWARE,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171450</xdr:rowOff>
    </xdr:from>
    <xdr:to>
      <xdr:col>5</xdr:col>
      <xdr:colOff>112047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72258</xdr:rowOff>
    </xdr:from>
    <xdr:to>
      <xdr:col>4</xdr:col>
      <xdr:colOff>991632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9525</xdr:rowOff>
    </xdr:from>
    <xdr:to>
      <xdr:col>5</xdr:col>
      <xdr:colOff>121572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7" t="s">
        <v>490</v>
      </c>
      <c r="B1" s="68"/>
      <c r="C1" s="68"/>
      <c r="D1" s="69"/>
    </row>
    <row r="2" spans="1:4" ht="18.75">
      <c r="A2" s="2"/>
      <c r="B2" s="3"/>
      <c r="C2" s="3"/>
      <c r="D2" s="4"/>
    </row>
    <row r="3" spans="1:4">
      <c r="A3" s="70" t="s">
        <v>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"/>
      <c r="B5" s="6"/>
      <c r="C5" s="6"/>
      <c r="D5" s="7"/>
    </row>
    <row r="6" spans="1:4" ht="18.75">
      <c r="A6" s="66" t="s">
        <v>1</v>
      </c>
      <c r="B6" s="64"/>
      <c r="C6" s="64"/>
      <c r="D6" s="6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4" t="s">
        <v>3</v>
      </c>
      <c r="C9" s="64"/>
      <c r="D9" s="6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4" t="s">
        <v>5</v>
      </c>
      <c r="C11" s="64"/>
      <c r="D11" s="65"/>
    </row>
    <row r="12" spans="1:4" ht="18.75">
      <c r="A12" s="11"/>
      <c r="B12" s="64" t="s">
        <v>6</v>
      </c>
      <c r="C12" s="64"/>
      <c r="D12" s="6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4" t="s">
        <v>8</v>
      </c>
      <c r="C15" s="64"/>
      <c r="D15" s="65"/>
    </row>
    <row r="16" spans="1:4" ht="18.75">
      <c r="A16" s="11"/>
      <c r="B16" s="64" t="s">
        <v>9</v>
      </c>
      <c r="C16" s="64"/>
      <c r="D16" s="65"/>
    </row>
    <row r="17" spans="1:4" ht="18.75">
      <c r="A17" s="11"/>
      <c r="B17" s="12"/>
      <c r="C17" s="12"/>
      <c r="D17" s="13"/>
    </row>
    <row r="18" spans="1:4" ht="18.75">
      <c r="A18" s="66" t="s">
        <v>10</v>
      </c>
      <c r="B18" s="64"/>
      <c r="C18" s="64"/>
      <c r="D18" s="65"/>
    </row>
    <row r="19" spans="1:4" ht="18.75">
      <c r="A19" s="11"/>
      <c r="B19" s="12"/>
      <c r="C19" s="12"/>
      <c r="D19" s="13"/>
    </row>
    <row r="20" spans="1:4" ht="18.75">
      <c r="A20" s="66" t="s">
        <v>11</v>
      </c>
      <c r="B20" s="64"/>
      <c r="C20" s="64"/>
      <c r="D20" s="65"/>
    </row>
    <row r="21" spans="1:4" ht="19.5" thickBot="1">
      <c r="A21" s="14"/>
      <c r="B21" s="15"/>
      <c r="C21" s="15"/>
      <c r="D21" s="16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Delaware_Edomexgral!A1" display="1. Por Estados de la República Mexicana"/>
    <hyperlink ref="B9" location="Alabama_EDOMEX!Área_de_impresión" display="2.1 Por estado de la República Mexicana y municipio de origen"/>
    <hyperlink ref="B11:D11" location="Delaware_Educagral!A1" display="3.1 Educación general"/>
    <hyperlink ref="B12:D12" location="Delaware_Eduedo!A1" display="3.2 Por Estado de la República Mexicana"/>
    <hyperlink ref="B15:D15" location="Delaware_gengral!A1" display="4.1 Género General"/>
    <hyperlink ref="B16:D16" location="Delaware_edomexgen!A1" display="4.2 Por Estados de la República Mexicana"/>
    <hyperlink ref="A18:D18" location="Delaware_edadgen!A1" display="5. Por estructura de Edad"/>
    <hyperlink ref="A20:D20" location="Delaware_ocupgral!A1" display="6. Por Ocupación"/>
    <hyperlink ref="B9:D9" location="Delawar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3" t="s">
        <v>273</v>
      </c>
      <c r="C7" s="73"/>
      <c r="D7" s="73"/>
    </row>
    <row r="8" spans="1:5" s="29" customFormat="1" ht="15" customHeight="1">
      <c r="B8" s="73"/>
      <c r="C8" s="73"/>
      <c r="D8" s="73"/>
    </row>
    <row r="9" spans="1:5" s="29" customFormat="1" ht="33" customHeight="1">
      <c r="B9" s="73"/>
      <c r="C9" s="73"/>
      <c r="D9" s="73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48</v>
      </c>
      <c r="C11" s="31" t="s">
        <v>47</v>
      </c>
      <c r="D11" s="30" t="s">
        <v>46</v>
      </c>
    </row>
    <row r="12" spans="1:5">
      <c r="B12" s="27" t="s">
        <v>44</v>
      </c>
      <c r="C12" s="26">
        <v>329</v>
      </c>
      <c r="D12" s="25">
        <v>0.22095366017461385</v>
      </c>
    </row>
    <row r="13" spans="1:5">
      <c r="B13" s="27" t="s">
        <v>45</v>
      </c>
      <c r="C13" s="26">
        <v>322</v>
      </c>
      <c r="D13" s="25">
        <v>0.216252518468771</v>
      </c>
    </row>
    <row r="14" spans="1:5">
      <c r="A14" s="28"/>
      <c r="B14" s="27" t="s">
        <v>42</v>
      </c>
      <c r="C14" s="26">
        <v>134</v>
      </c>
      <c r="D14" s="25">
        <v>8.9993284083277364E-2</v>
      </c>
      <c r="E14" s="28"/>
    </row>
    <row r="15" spans="1:5">
      <c r="A15" s="28"/>
      <c r="B15" s="27" t="s">
        <v>39</v>
      </c>
      <c r="C15" s="26">
        <v>99</v>
      </c>
      <c r="D15" s="25">
        <v>6.6487575554063136E-2</v>
      </c>
      <c r="E15" s="28"/>
    </row>
    <row r="16" spans="1:5">
      <c r="B16" s="27" t="s">
        <v>41</v>
      </c>
      <c r="C16" s="26">
        <v>92</v>
      </c>
      <c r="D16" s="25">
        <v>6.178643384822028E-2</v>
      </c>
    </row>
    <row r="17" spans="2:4">
      <c r="B17" s="27" t="s">
        <v>36</v>
      </c>
      <c r="C17" s="26">
        <v>67</v>
      </c>
      <c r="D17" s="25">
        <v>4.4996642041638682E-2</v>
      </c>
    </row>
    <row r="18" spans="2:4">
      <c r="B18" s="27" t="s">
        <v>40</v>
      </c>
      <c r="C18" s="26">
        <v>66</v>
      </c>
      <c r="D18" s="25">
        <v>4.4325050369375417E-2</v>
      </c>
    </row>
    <row r="19" spans="2:4">
      <c r="B19" s="27" t="s">
        <v>43</v>
      </c>
      <c r="C19" s="26">
        <v>63</v>
      </c>
      <c r="D19" s="25">
        <v>4.2310275352585629E-2</v>
      </c>
    </row>
    <row r="20" spans="2:4">
      <c r="B20" s="27" t="s">
        <v>37</v>
      </c>
      <c r="C20" s="26">
        <v>63</v>
      </c>
      <c r="D20" s="25">
        <v>4.2310275352585629E-2</v>
      </c>
    </row>
    <row r="21" spans="2:4">
      <c r="B21" s="27" t="s">
        <v>38</v>
      </c>
      <c r="C21" s="26">
        <v>57</v>
      </c>
      <c r="D21" s="25">
        <v>3.8280725319006045E-2</v>
      </c>
    </row>
    <row r="22" spans="2:4">
      <c r="B22" s="27" t="s">
        <v>35</v>
      </c>
      <c r="C22" s="26">
        <v>42</v>
      </c>
      <c r="D22" s="25">
        <v>2.8206850235057087E-2</v>
      </c>
    </row>
    <row r="23" spans="2:4">
      <c r="B23" s="27" t="s">
        <v>34</v>
      </c>
      <c r="C23" s="26">
        <v>30</v>
      </c>
      <c r="D23" s="25">
        <v>2.0147750167897917E-2</v>
      </c>
    </row>
    <row r="24" spans="2:4">
      <c r="B24" s="27" t="s">
        <v>23</v>
      </c>
      <c r="C24" s="26">
        <v>21</v>
      </c>
      <c r="D24" s="25">
        <v>1.4103425117528543E-2</v>
      </c>
    </row>
    <row r="25" spans="2:4">
      <c r="B25" s="27" t="s">
        <v>33</v>
      </c>
      <c r="C25" s="26">
        <v>20</v>
      </c>
      <c r="D25" s="25">
        <v>1.3431833445265278E-2</v>
      </c>
    </row>
    <row r="26" spans="2:4">
      <c r="B26" s="27" t="s">
        <v>29</v>
      </c>
      <c r="C26" s="26">
        <v>18</v>
      </c>
      <c r="D26" s="25">
        <v>1.208865010073875E-2</v>
      </c>
    </row>
    <row r="27" spans="2:4">
      <c r="B27" s="27" t="s">
        <v>31</v>
      </c>
      <c r="C27" s="26">
        <v>17</v>
      </c>
      <c r="D27" s="25">
        <v>1.1417058428475487E-2</v>
      </c>
    </row>
    <row r="28" spans="2:4">
      <c r="B28" s="27" t="s">
        <v>25</v>
      </c>
      <c r="C28" s="26">
        <v>9</v>
      </c>
      <c r="D28" s="25">
        <v>6.044325050369375E-3</v>
      </c>
    </row>
    <row r="29" spans="2:4">
      <c r="B29" s="27" t="s">
        <v>30</v>
      </c>
      <c r="C29" s="26">
        <v>7</v>
      </c>
      <c r="D29" s="25">
        <v>4.7011417058428475E-3</v>
      </c>
    </row>
    <row r="30" spans="2:4">
      <c r="B30" s="27" t="s">
        <v>32</v>
      </c>
      <c r="C30" s="26">
        <v>6</v>
      </c>
      <c r="D30" s="25">
        <v>4.0295500335795834E-3</v>
      </c>
    </row>
    <row r="31" spans="2:4">
      <c r="B31" s="27" t="s">
        <v>28</v>
      </c>
      <c r="C31" s="26">
        <v>6</v>
      </c>
      <c r="D31" s="25">
        <v>4.0295500335795834E-3</v>
      </c>
    </row>
    <row r="32" spans="2:4">
      <c r="B32" s="27" t="s">
        <v>22</v>
      </c>
      <c r="C32" s="26">
        <v>5</v>
      </c>
      <c r="D32" s="25">
        <v>3.3579583613163196E-3</v>
      </c>
    </row>
    <row r="33" spans="2:4">
      <c r="B33" s="27" t="s">
        <v>17</v>
      </c>
      <c r="C33" s="26">
        <v>4</v>
      </c>
      <c r="D33" s="25">
        <v>2.6863666890530559E-3</v>
      </c>
    </row>
    <row r="34" spans="2:4">
      <c r="B34" s="27" t="s">
        <v>24</v>
      </c>
      <c r="C34" s="26">
        <v>3</v>
      </c>
      <c r="D34" s="25">
        <v>2.0147750167897917E-3</v>
      </c>
    </row>
    <row r="35" spans="2:4">
      <c r="B35" s="27" t="s">
        <v>26</v>
      </c>
      <c r="C35" s="26">
        <v>3</v>
      </c>
      <c r="D35" s="25">
        <v>2.0147750167897917E-3</v>
      </c>
    </row>
    <row r="36" spans="2:4">
      <c r="B36" s="27" t="s">
        <v>19</v>
      </c>
      <c r="C36" s="26">
        <v>2</v>
      </c>
      <c r="D36" s="25">
        <v>1.3431833445265279E-3</v>
      </c>
    </row>
    <row r="37" spans="2:4">
      <c r="B37" s="27" t="s">
        <v>18</v>
      </c>
      <c r="C37" s="26">
        <v>1</v>
      </c>
      <c r="D37" s="25">
        <v>6.7159167226326397E-4</v>
      </c>
    </row>
    <row r="38" spans="2:4">
      <c r="B38" s="27" t="s">
        <v>27</v>
      </c>
      <c r="C38" s="26">
        <v>1</v>
      </c>
      <c r="D38" s="25">
        <v>6.7159167226326397E-4</v>
      </c>
    </row>
    <row r="39" spans="2:4">
      <c r="B39" s="27" t="s">
        <v>20</v>
      </c>
      <c r="C39" s="26">
        <v>1</v>
      </c>
      <c r="D39" s="25">
        <v>6.7159167226326397E-4</v>
      </c>
    </row>
    <row r="40" spans="2:4">
      <c r="B40" s="27" t="s">
        <v>239</v>
      </c>
      <c r="C40" s="26">
        <v>1</v>
      </c>
      <c r="D40" s="25">
        <v>6.7159167226326397E-4</v>
      </c>
    </row>
    <row r="41" spans="2:4">
      <c r="B41" s="27" t="s">
        <v>240</v>
      </c>
      <c r="C41" s="26"/>
      <c r="D41" s="25">
        <v>0</v>
      </c>
    </row>
    <row r="42" spans="2:4">
      <c r="B42" s="27" t="s">
        <v>16</v>
      </c>
      <c r="C42" s="26"/>
      <c r="D42" s="25">
        <v>0</v>
      </c>
    </row>
    <row r="43" spans="2:4">
      <c r="B43" s="27" t="s">
        <v>21</v>
      </c>
      <c r="C43" s="26"/>
      <c r="D43" s="25">
        <v>0</v>
      </c>
    </row>
    <row r="44" spans="2:4">
      <c r="B44" s="24" t="s">
        <v>15</v>
      </c>
      <c r="C44" s="23">
        <v>1489</v>
      </c>
      <c r="D44" s="22">
        <v>1</v>
      </c>
    </row>
    <row r="46" spans="2:4">
      <c r="B46" s="19" t="s">
        <v>271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272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27"/>
  <sheetViews>
    <sheetView showGridLines="0" zoomScaleNormal="100" zoomScaleSheetLayoutView="100" workbookViewId="0">
      <selection activeCell="B10" sqref="B10:B1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9"/>
      <c r="C7" s="79"/>
      <c r="D7" s="79"/>
      <c r="E7" s="79"/>
    </row>
    <row r="8" spans="1:5" s="50" customFormat="1" ht="33" customHeight="1">
      <c r="A8" s="51"/>
      <c r="B8" s="79"/>
      <c r="C8" s="79"/>
      <c r="D8" s="79"/>
      <c r="E8" s="79"/>
    </row>
    <row r="9" spans="1:5" s="29" customFormat="1" ht="40.5" customHeight="1">
      <c r="B9" s="47" t="s">
        <v>48</v>
      </c>
      <c r="C9" s="49" t="s">
        <v>185</v>
      </c>
      <c r="D9" s="48" t="s">
        <v>47</v>
      </c>
      <c r="E9" s="47" t="s">
        <v>46</v>
      </c>
    </row>
    <row r="10" spans="1:5" ht="15" customHeight="1">
      <c r="B10" s="74" t="s">
        <v>25</v>
      </c>
      <c r="C10" s="45" t="s">
        <v>25</v>
      </c>
      <c r="D10" s="44">
        <v>7</v>
      </c>
      <c r="E10" s="43">
        <v>4.7011417058428475E-3</v>
      </c>
    </row>
    <row r="11" spans="1:5" ht="15" customHeight="1">
      <c r="B11" s="76"/>
      <c r="C11" s="45" t="s">
        <v>241</v>
      </c>
      <c r="D11" s="44">
        <v>1</v>
      </c>
      <c r="E11" s="43">
        <v>6.7159167226326397E-4</v>
      </c>
    </row>
    <row r="12" spans="1:5" ht="15" customHeight="1">
      <c r="B12" s="76"/>
      <c r="C12" s="45" t="s">
        <v>274</v>
      </c>
      <c r="D12" s="44">
        <v>1</v>
      </c>
      <c r="E12" s="43">
        <v>6.7159167226326397E-4</v>
      </c>
    </row>
    <row r="13" spans="1:5" ht="15" customHeight="1">
      <c r="B13" s="75"/>
      <c r="C13" s="42" t="s">
        <v>15</v>
      </c>
      <c r="D13" s="41">
        <v>9</v>
      </c>
      <c r="E13" s="40">
        <v>6.044325050369375E-3</v>
      </c>
    </row>
    <row r="14" spans="1:5" ht="15" customHeight="1">
      <c r="B14" s="74" t="s">
        <v>24</v>
      </c>
      <c r="C14" s="45" t="s">
        <v>275</v>
      </c>
      <c r="D14" s="44">
        <v>2</v>
      </c>
      <c r="E14" s="43">
        <v>1.3431833445265279E-3</v>
      </c>
    </row>
    <row r="15" spans="1:5" ht="15" customHeight="1">
      <c r="B15" s="76"/>
      <c r="C15" s="45" t="s">
        <v>184</v>
      </c>
      <c r="D15" s="44">
        <v>1</v>
      </c>
      <c r="E15" s="43">
        <v>6.7159167226326397E-4</v>
      </c>
    </row>
    <row r="16" spans="1:5" ht="15" customHeight="1">
      <c r="B16" s="75"/>
      <c r="C16" s="42" t="s">
        <v>15</v>
      </c>
      <c r="D16" s="41">
        <v>3</v>
      </c>
      <c r="E16" s="40">
        <v>2.0147750167897917E-3</v>
      </c>
    </row>
    <row r="17" spans="1:5" ht="15" customHeight="1">
      <c r="B17" s="74" t="s">
        <v>18</v>
      </c>
      <c r="C17" s="45" t="s">
        <v>276</v>
      </c>
      <c r="D17" s="44">
        <v>1</v>
      </c>
      <c r="E17" s="43">
        <v>6.7159167226326397E-4</v>
      </c>
    </row>
    <row r="18" spans="1:5" ht="15" customHeight="1">
      <c r="B18" s="75"/>
      <c r="C18" s="42" t="s">
        <v>15</v>
      </c>
      <c r="D18" s="41">
        <v>1</v>
      </c>
      <c r="E18" s="40">
        <v>6.7159167226326397E-4</v>
      </c>
    </row>
    <row r="19" spans="1:5" ht="15" customHeight="1">
      <c r="B19" s="74" t="s">
        <v>17</v>
      </c>
      <c r="C19" s="45" t="s">
        <v>277</v>
      </c>
      <c r="D19" s="44">
        <v>1</v>
      </c>
      <c r="E19" s="43">
        <v>6.7159167226326397E-4</v>
      </c>
    </row>
    <row r="20" spans="1:5" ht="15" customHeight="1">
      <c r="B20" s="76"/>
      <c r="C20" s="45" t="s">
        <v>17</v>
      </c>
      <c r="D20" s="44">
        <v>1</v>
      </c>
      <c r="E20" s="43">
        <v>6.7159167226326397E-4</v>
      </c>
    </row>
    <row r="21" spans="1:5" ht="15" customHeight="1">
      <c r="B21" s="76"/>
      <c r="C21" s="45" t="s">
        <v>278</v>
      </c>
      <c r="D21" s="44">
        <v>1</v>
      </c>
      <c r="E21" s="43">
        <v>6.7159167226326397E-4</v>
      </c>
    </row>
    <row r="22" spans="1:5" ht="15" customHeight="1">
      <c r="B22" s="76"/>
      <c r="C22" s="45" t="s">
        <v>279</v>
      </c>
      <c r="D22" s="44">
        <v>1</v>
      </c>
      <c r="E22" s="43">
        <v>6.7159167226326397E-4</v>
      </c>
    </row>
    <row r="23" spans="1:5" ht="15" customHeight="1">
      <c r="B23" s="75"/>
      <c r="C23" s="42" t="s">
        <v>15</v>
      </c>
      <c r="D23" s="41">
        <v>4</v>
      </c>
      <c r="E23" s="40">
        <v>2.6863666890530559E-3</v>
      </c>
    </row>
    <row r="24" spans="1:5" ht="15" customHeight="1">
      <c r="B24" s="74" t="s">
        <v>36</v>
      </c>
      <c r="C24" s="45" t="s">
        <v>280</v>
      </c>
      <c r="D24" s="44">
        <v>2</v>
      </c>
      <c r="E24" s="43">
        <v>1.3431833445265279E-3</v>
      </c>
    </row>
    <row r="25" spans="1:5" ht="15" customHeight="1">
      <c r="B25" s="76"/>
      <c r="C25" s="45" t="s">
        <v>183</v>
      </c>
      <c r="D25" s="44">
        <v>2</v>
      </c>
      <c r="E25" s="43">
        <v>1.3431833445265279E-3</v>
      </c>
    </row>
    <row r="26" spans="1:5" ht="15" customHeight="1">
      <c r="B26" s="76"/>
      <c r="C26" s="45" t="s">
        <v>281</v>
      </c>
      <c r="D26" s="44">
        <v>2</v>
      </c>
      <c r="E26" s="43">
        <v>1.3431833445265279E-3</v>
      </c>
    </row>
    <row r="27" spans="1:5" ht="15" customHeight="1">
      <c r="B27" s="76"/>
      <c r="C27" s="45" t="s">
        <v>282</v>
      </c>
      <c r="D27" s="44">
        <v>2</v>
      </c>
      <c r="E27" s="43">
        <v>1.3431833445265279E-3</v>
      </c>
    </row>
    <row r="28" spans="1:5" ht="15" customHeight="1">
      <c r="B28" s="76"/>
      <c r="C28" s="45" t="s">
        <v>182</v>
      </c>
      <c r="D28" s="44">
        <v>8</v>
      </c>
      <c r="E28" s="43">
        <v>5.3727333781061117E-3</v>
      </c>
    </row>
    <row r="29" spans="1:5" ht="15" customHeight="1">
      <c r="B29" s="76"/>
      <c r="C29" s="45" t="s">
        <v>283</v>
      </c>
      <c r="D29" s="44">
        <v>2</v>
      </c>
      <c r="E29" s="43">
        <v>1.3431833445265279E-3</v>
      </c>
    </row>
    <row r="30" spans="1:5" ht="15" customHeight="1">
      <c r="B30" s="76"/>
      <c r="C30" s="45" t="s">
        <v>284</v>
      </c>
      <c r="D30" s="44">
        <v>1</v>
      </c>
      <c r="E30" s="43">
        <v>6.7159167226326397E-4</v>
      </c>
    </row>
    <row r="31" spans="1:5" ht="15" customHeight="1">
      <c r="B31" s="76"/>
      <c r="C31" s="45" t="s">
        <v>285</v>
      </c>
      <c r="D31" s="44">
        <v>1</v>
      </c>
      <c r="E31" s="43">
        <v>6.7159167226326397E-4</v>
      </c>
    </row>
    <row r="32" spans="1:5" s="37" customFormat="1" ht="15" customHeight="1">
      <c r="A32" s="36"/>
      <c r="B32" s="76"/>
      <c r="C32" s="45" t="s">
        <v>181</v>
      </c>
      <c r="D32" s="44">
        <v>2</v>
      </c>
      <c r="E32" s="43">
        <v>1.3431833445265279E-3</v>
      </c>
    </row>
    <row r="33" spans="1:5" s="37" customFormat="1" ht="15" customHeight="1">
      <c r="A33" s="36"/>
      <c r="B33" s="76"/>
      <c r="C33" s="45" t="s">
        <v>180</v>
      </c>
      <c r="D33" s="44">
        <v>1</v>
      </c>
      <c r="E33" s="43">
        <v>6.7159167226326397E-4</v>
      </c>
    </row>
    <row r="34" spans="1:5" s="37" customFormat="1" ht="15" customHeight="1">
      <c r="A34" s="36"/>
      <c r="B34" s="76"/>
      <c r="C34" s="45" t="s">
        <v>286</v>
      </c>
      <c r="D34" s="44">
        <v>1</v>
      </c>
      <c r="E34" s="43">
        <v>6.7159167226326397E-4</v>
      </c>
    </row>
    <row r="35" spans="1:5" s="37" customFormat="1" ht="15" customHeight="1">
      <c r="A35" s="36"/>
      <c r="B35" s="76"/>
      <c r="C35" s="45" t="s">
        <v>179</v>
      </c>
      <c r="D35" s="44">
        <v>1</v>
      </c>
      <c r="E35" s="43">
        <v>6.7159167226326397E-4</v>
      </c>
    </row>
    <row r="36" spans="1:5" s="37" customFormat="1" ht="15" customHeight="1">
      <c r="A36" s="36"/>
      <c r="B36" s="76"/>
      <c r="C36" s="45" t="s">
        <v>287</v>
      </c>
      <c r="D36" s="44">
        <v>1</v>
      </c>
      <c r="E36" s="43">
        <v>6.7159167226326397E-4</v>
      </c>
    </row>
    <row r="37" spans="1:5" ht="15" customHeight="1">
      <c r="B37" s="76"/>
      <c r="C37" s="45" t="s">
        <v>288</v>
      </c>
      <c r="D37" s="44">
        <v>3</v>
      </c>
      <c r="E37" s="43">
        <v>2.0147750167897917E-3</v>
      </c>
    </row>
    <row r="38" spans="1:5" ht="15" customHeight="1">
      <c r="B38" s="76"/>
      <c r="C38" s="45" t="s">
        <v>178</v>
      </c>
      <c r="D38" s="44">
        <v>3</v>
      </c>
      <c r="E38" s="43">
        <v>2.0147750167897917E-3</v>
      </c>
    </row>
    <row r="39" spans="1:5" ht="15" customHeight="1">
      <c r="B39" s="76"/>
      <c r="C39" s="45" t="s">
        <v>289</v>
      </c>
      <c r="D39" s="44">
        <v>1</v>
      </c>
      <c r="E39" s="43">
        <v>6.7159167226326397E-4</v>
      </c>
    </row>
    <row r="40" spans="1:5" ht="15" customHeight="1">
      <c r="B40" s="76"/>
      <c r="C40" s="45" t="s">
        <v>290</v>
      </c>
      <c r="D40" s="44">
        <v>1</v>
      </c>
      <c r="E40" s="43">
        <v>6.7159167226326397E-4</v>
      </c>
    </row>
    <row r="41" spans="1:5" ht="15" customHeight="1">
      <c r="B41" s="76"/>
      <c r="C41" s="45" t="s">
        <v>291</v>
      </c>
      <c r="D41" s="44">
        <v>1</v>
      </c>
      <c r="E41" s="43">
        <v>6.7159167226326397E-4</v>
      </c>
    </row>
    <row r="42" spans="1:5" ht="15" customHeight="1">
      <c r="B42" s="76"/>
      <c r="C42" s="45" t="s">
        <v>292</v>
      </c>
      <c r="D42" s="44">
        <v>2</v>
      </c>
      <c r="E42" s="43">
        <v>1.3431833445265279E-3</v>
      </c>
    </row>
    <row r="43" spans="1:5" ht="15" customHeight="1">
      <c r="B43" s="76"/>
      <c r="C43" s="45" t="s">
        <v>177</v>
      </c>
      <c r="D43" s="44">
        <v>12</v>
      </c>
      <c r="E43" s="43">
        <v>8.0591000671591667E-3</v>
      </c>
    </row>
    <row r="44" spans="1:5" ht="15" customHeight="1">
      <c r="B44" s="76"/>
      <c r="C44" s="45" t="s">
        <v>293</v>
      </c>
      <c r="D44" s="44">
        <v>1</v>
      </c>
      <c r="E44" s="43">
        <v>6.7159167226326397E-4</v>
      </c>
    </row>
    <row r="45" spans="1:5" ht="15" customHeight="1">
      <c r="B45" s="76"/>
      <c r="C45" s="45" t="s">
        <v>242</v>
      </c>
      <c r="D45" s="44">
        <v>1</v>
      </c>
      <c r="E45" s="43">
        <v>6.7159167226326397E-4</v>
      </c>
    </row>
    <row r="46" spans="1:5" ht="15" customHeight="1">
      <c r="B46" s="76"/>
      <c r="C46" s="45" t="s">
        <v>294</v>
      </c>
      <c r="D46" s="44">
        <v>1</v>
      </c>
      <c r="E46" s="43">
        <v>6.7159167226326397E-4</v>
      </c>
    </row>
    <row r="47" spans="1:5" ht="15" customHeight="1">
      <c r="B47" s="76"/>
      <c r="C47" s="45" t="s">
        <v>176</v>
      </c>
      <c r="D47" s="44">
        <v>11</v>
      </c>
      <c r="E47" s="43">
        <v>7.3875083948959034E-3</v>
      </c>
    </row>
    <row r="48" spans="1:5" ht="15" customHeight="1">
      <c r="B48" s="76"/>
      <c r="C48" s="45" t="s">
        <v>243</v>
      </c>
      <c r="D48" s="44">
        <v>3</v>
      </c>
      <c r="E48" s="43">
        <v>2.0147750167897917E-3</v>
      </c>
    </row>
    <row r="49" spans="2:5" ht="15" customHeight="1">
      <c r="B49" s="76"/>
      <c r="C49" s="45" t="s">
        <v>295</v>
      </c>
      <c r="D49" s="44">
        <v>1</v>
      </c>
      <c r="E49" s="43">
        <v>6.7159167226326397E-4</v>
      </c>
    </row>
    <row r="50" spans="2:5" ht="15" customHeight="1">
      <c r="B50" s="75"/>
      <c r="C50" s="42" t="s">
        <v>15</v>
      </c>
      <c r="D50" s="41">
        <v>67</v>
      </c>
      <c r="E50" s="40">
        <v>4.4996642041638682E-2</v>
      </c>
    </row>
    <row r="51" spans="2:5" ht="15" customHeight="1">
      <c r="B51" s="74" t="s">
        <v>32</v>
      </c>
      <c r="C51" s="45" t="s">
        <v>296</v>
      </c>
      <c r="D51" s="44">
        <v>1</v>
      </c>
      <c r="E51" s="43">
        <v>6.7159167226326397E-4</v>
      </c>
    </row>
    <row r="52" spans="2:5" ht="15" customHeight="1">
      <c r="B52" s="76"/>
      <c r="C52" s="45" t="s">
        <v>297</v>
      </c>
      <c r="D52" s="44">
        <v>1</v>
      </c>
      <c r="E52" s="43">
        <v>6.7159167226326397E-4</v>
      </c>
    </row>
    <row r="53" spans="2:5" ht="15" customHeight="1">
      <c r="B53" s="76"/>
      <c r="C53" s="45" t="s">
        <v>298</v>
      </c>
      <c r="D53" s="44">
        <v>1</v>
      </c>
      <c r="E53" s="43">
        <v>6.7159167226326397E-4</v>
      </c>
    </row>
    <row r="54" spans="2:5" ht="15" customHeight="1">
      <c r="B54" s="76"/>
      <c r="C54" s="45" t="s">
        <v>32</v>
      </c>
      <c r="D54" s="44">
        <v>2</v>
      </c>
      <c r="E54" s="43">
        <v>1.3431833445265279E-3</v>
      </c>
    </row>
    <row r="55" spans="2:5" ht="15" customHeight="1">
      <c r="B55" s="76"/>
      <c r="C55" s="45" t="s">
        <v>299</v>
      </c>
      <c r="D55" s="44">
        <v>1</v>
      </c>
      <c r="E55" s="43">
        <v>6.7159167226326397E-4</v>
      </c>
    </row>
    <row r="56" spans="2:5" ht="15" customHeight="1">
      <c r="B56" s="75"/>
      <c r="C56" s="42" t="s">
        <v>15</v>
      </c>
      <c r="D56" s="41">
        <v>6</v>
      </c>
      <c r="E56" s="40">
        <v>4.0295500335795834E-3</v>
      </c>
    </row>
    <row r="57" spans="2:5" ht="15" customHeight="1">
      <c r="B57" s="74" t="s">
        <v>19</v>
      </c>
      <c r="C57" s="45" t="s">
        <v>300</v>
      </c>
      <c r="D57" s="44">
        <v>1</v>
      </c>
      <c r="E57" s="43">
        <v>6.7159167226326397E-4</v>
      </c>
    </row>
    <row r="58" spans="2:5" ht="15" customHeight="1">
      <c r="B58" s="76"/>
      <c r="C58" s="45" t="s">
        <v>301</v>
      </c>
      <c r="D58" s="44">
        <v>1</v>
      </c>
      <c r="E58" s="43">
        <v>6.7159167226326397E-4</v>
      </c>
    </row>
    <row r="59" spans="2:5" ht="15" customHeight="1">
      <c r="B59" s="75"/>
      <c r="C59" s="42" t="s">
        <v>15</v>
      </c>
      <c r="D59" s="41">
        <v>2</v>
      </c>
      <c r="E59" s="40">
        <v>1.3431833445265279E-3</v>
      </c>
    </row>
    <row r="60" spans="2:5" ht="15" customHeight="1">
      <c r="B60" s="74" t="s">
        <v>40</v>
      </c>
      <c r="C60" s="45" t="s">
        <v>175</v>
      </c>
      <c r="D60" s="44">
        <v>3</v>
      </c>
      <c r="E60" s="43">
        <v>2.0147750167897917E-3</v>
      </c>
    </row>
    <row r="61" spans="2:5" ht="15" customHeight="1">
      <c r="B61" s="76"/>
      <c r="C61" s="45" t="s">
        <v>174</v>
      </c>
      <c r="D61" s="44">
        <v>2</v>
      </c>
      <c r="E61" s="43">
        <v>1.3431833445265279E-3</v>
      </c>
    </row>
    <row r="62" spans="2:5" ht="15" customHeight="1">
      <c r="B62" s="76"/>
      <c r="C62" s="45" t="s">
        <v>173</v>
      </c>
      <c r="D62" s="44">
        <v>2</v>
      </c>
      <c r="E62" s="43">
        <v>1.3431833445265279E-3</v>
      </c>
    </row>
    <row r="63" spans="2:5" ht="15" customHeight="1">
      <c r="B63" s="76"/>
      <c r="C63" s="45" t="s">
        <v>172</v>
      </c>
      <c r="D63" s="44">
        <v>7</v>
      </c>
      <c r="E63" s="43">
        <v>4.7011417058428475E-3</v>
      </c>
    </row>
    <row r="64" spans="2:5" ht="15" customHeight="1">
      <c r="B64" s="76"/>
      <c r="C64" s="45" t="s">
        <v>171</v>
      </c>
      <c r="D64" s="44">
        <v>9</v>
      </c>
      <c r="E64" s="43">
        <v>6.044325050369375E-3</v>
      </c>
    </row>
    <row r="65" spans="2:5" ht="15" customHeight="1">
      <c r="B65" s="76"/>
      <c r="C65" s="45" t="s">
        <v>302</v>
      </c>
      <c r="D65" s="44">
        <v>10</v>
      </c>
      <c r="E65" s="43">
        <v>6.7159167226326392E-3</v>
      </c>
    </row>
    <row r="66" spans="2:5" ht="15" customHeight="1">
      <c r="B66" s="76"/>
      <c r="C66" s="45" t="s">
        <v>170</v>
      </c>
      <c r="D66" s="44">
        <v>14</v>
      </c>
      <c r="E66" s="43">
        <v>9.4022834116856951E-3</v>
      </c>
    </row>
    <row r="67" spans="2:5" ht="15" customHeight="1">
      <c r="B67" s="76"/>
      <c r="C67" s="45" t="s">
        <v>303</v>
      </c>
      <c r="D67" s="44">
        <v>10</v>
      </c>
      <c r="E67" s="43">
        <v>6.7159167226326392E-3</v>
      </c>
    </row>
    <row r="68" spans="2:5" ht="15" customHeight="1">
      <c r="B68" s="76"/>
      <c r="C68" s="45" t="s">
        <v>304</v>
      </c>
      <c r="D68" s="44">
        <v>2</v>
      </c>
      <c r="E68" s="43">
        <v>1.3431833445265279E-3</v>
      </c>
    </row>
    <row r="69" spans="2:5" ht="15" customHeight="1">
      <c r="B69" s="76"/>
      <c r="C69" s="45" t="s">
        <v>305</v>
      </c>
      <c r="D69" s="44">
        <v>3</v>
      </c>
      <c r="E69" s="43">
        <v>2.0147750167897917E-3</v>
      </c>
    </row>
    <row r="70" spans="2:5" ht="15" customHeight="1">
      <c r="B70" s="76"/>
      <c r="C70" s="45" t="s">
        <v>306</v>
      </c>
      <c r="D70" s="44">
        <v>3</v>
      </c>
      <c r="E70" s="43">
        <v>2.0147750167897917E-3</v>
      </c>
    </row>
    <row r="71" spans="2:5" ht="15" customHeight="1">
      <c r="B71" s="76"/>
      <c r="C71" s="45" t="s">
        <v>307</v>
      </c>
      <c r="D71" s="44">
        <v>1</v>
      </c>
      <c r="E71" s="43">
        <v>6.7159167226326397E-4</v>
      </c>
    </row>
    <row r="72" spans="2:5" ht="15" customHeight="1">
      <c r="B72" s="75"/>
      <c r="C72" s="42" t="s">
        <v>15</v>
      </c>
      <c r="D72" s="41">
        <v>66</v>
      </c>
      <c r="E72" s="40">
        <v>4.4325050369375417E-2</v>
      </c>
    </row>
    <row r="73" spans="2:5" ht="15" customHeight="1">
      <c r="B73" s="74" t="s">
        <v>29</v>
      </c>
      <c r="C73" s="45" t="s">
        <v>29</v>
      </c>
      <c r="D73" s="44">
        <v>11</v>
      </c>
      <c r="E73" s="43">
        <v>7.3875083948959034E-3</v>
      </c>
    </row>
    <row r="74" spans="2:5" ht="15" customHeight="1">
      <c r="B74" s="76"/>
      <c r="C74" s="45" t="s">
        <v>308</v>
      </c>
      <c r="D74" s="44">
        <v>1</v>
      </c>
      <c r="E74" s="43">
        <v>6.7159167226326397E-4</v>
      </c>
    </row>
    <row r="75" spans="2:5" ht="15" customHeight="1">
      <c r="B75" s="76"/>
      <c r="C75" s="45" t="s">
        <v>309</v>
      </c>
      <c r="D75" s="44">
        <v>2</v>
      </c>
      <c r="E75" s="43">
        <v>1.3431833445265279E-3</v>
      </c>
    </row>
    <row r="76" spans="2:5" ht="15" customHeight="1">
      <c r="B76" s="76"/>
      <c r="C76" s="45" t="s">
        <v>244</v>
      </c>
      <c r="D76" s="44">
        <v>2</v>
      </c>
      <c r="E76" s="43">
        <v>1.3431833445265279E-3</v>
      </c>
    </row>
    <row r="77" spans="2:5" ht="15" customHeight="1">
      <c r="B77" s="76"/>
      <c r="C77" s="45" t="s">
        <v>310</v>
      </c>
      <c r="D77" s="44">
        <v>2</v>
      </c>
      <c r="E77" s="43">
        <v>1.3431833445265279E-3</v>
      </c>
    </row>
    <row r="78" spans="2:5" ht="15" customHeight="1">
      <c r="B78" s="75"/>
      <c r="C78" s="42" t="s">
        <v>15</v>
      </c>
      <c r="D78" s="41">
        <v>18</v>
      </c>
      <c r="E78" s="40">
        <v>1.208865010073875E-2</v>
      </c>
    </row>
    <row r="79" spans="2:5" ht="15" customHeight="1">
      <c r="B79" s="74" t="s">
        <v>45</v>
      </c>
      <c r="C79" s="45" t="s">
        <v>169</v>
      </c>
      <c r="D79" s="44">
        <v>59</v>
      </c>
      <c r="E79" s="43">
        <v>3.9623908663532575E-2</v>
      </c>
    </row>
    <row r="80" spans="2:5" ht="15" customHeight="1">
      <c r="B80" s="76"/>
      <c r="C80" s="45" t="s">
        <v>168</v>
      </c>
      <c r="D80" s="44">
        <v>6</v>
      </c>
      <c r="E80" s="43">
        <v>4.0295500335795834E-3</v>
      </c>
    </row>
    <row r="81" spans="2:5" ht="15" customHeight="1">
      <c r="B81" s="76"/>
      <c r="C81" s="45" t="s">
        <v>167</v>
      </c>
      <c r="D81" s="44">
        <v>4</v>
      </c>
      <c r="E81" s="43">
        <v>2.6863666890530559E-3</v>
      </c>
    </row>
    <row r="82" spans="2:5" ht="15" customHeight="1">
      <c r="B82" s="76"/>
      <c r="C82" s="45" t="s">
        <v>166</v>
      </c>
      <c r="D82" s="44">
        <v>1</v>
      </c>
      <c r="E82" s="43">
        <v>6.7159167226326397E-4</v>
      </c>
    </row>
    <row r="83" spans="2:5" ht="15" customHeight="1">
      <c r="B83" s="76"/>
      <c r="C83" s="45" t="s">
        <v>165</v>
      </c>
      <c r="D83" s="44">
        <v>1</v>
      </c>
      <c r="E83" s="43">
        <v>6.7159167226326397E-4</v>
      </c>
    </row>
    <row r="84" spans="2:5" ht="15" customHeight="1">
      <c r="B84" s="76"/>
      <c r="C84" s="45" t="s">
        <v>311</v>
      </c>
      <c r="D84" s="44">
        <v>1</v>
      </c>
      <c r="E84" s="43">
        <v>6.7159167226326397E-4</v>
      </c>
    </row>
    <row r="85" spans="2:5" ht="15" customHeight="1">
      <c r="B85" s="76"/>
      <c r="C85" s="45" t="s">
        <v>312</v>
      </c>
      <c r="D85" s="44">
        <v>2</v>
      </c>
      <c r="E85" s="43">
        <v>1.3431833445265279E-3</v>
      </c>
    </row>
    <row r="86" spans="2:5" ht="15" customHeight="1">
      <c r="B86" s="76"/>
      <c r="C86" s="45" t="s">
        <v>164</v>
      </c>
      <c r="D86" s="44">
        <v>5</v>
      </c>
      <c r="E86" s="43">
        <v>3.3579583613163196E-3</v>
      </c>
    </row>
    <row r="87" spans="2:5" ht="15" customHeight="1">
      <c r="B87" s="76"/>
      <c r="C87" s="45" t="s">
        <v>163</v>
      </c>
      <c r="D87" s="44">
        <v>3</v>
      </c>
      <c r="E87" s="43">
        <v>2.0147750167897917E-3</v>
      </c>
    </row>
    <row r="88" spans="2:5" ht="15" customHeight="1">
      <c r="B88" s="76"/>
      <c r="C88" s="45" t="s">
        <v>313</v>
      </c>
      <c r="D88" s="44">
        <v>1</v>
      </c>
      <c r="E88" s="43">
        <v>6.7159167226326397E-4</v>
      </c>
    </row>
    <row r="89" spans="2:5" ht="15" customHeight="1">
      <c r="B89" s="76"/>
      <c r="C89" s="45" t="s">
        <v>314</v>
      </c>
      <c r="D89" s="44">
        <v>1</v>
      </c>
      <c r="E89" s="43">
        <v>6.7159167226326397E-4</v>
      </c>
    </row>
    <row r="90" spans="2:5" ht="15" customHeight="1">
      <c r="B90" s="76"/>
      <c r="C90" s="45" t="s">
        <v>162</v>
      </c>
      <c r="D90" s="44">
        <v>8</v>
      </c>
      <c r="E90" s="43">
        <v>5.3727333781061117E-3</v>
      </c>
    </row>
    <row r="91" spans="2:5" ht="15" customHeight="1">
      <c r="B91" s="76"/>
      <c r="C91" s="45" t="s">
        <v>161</v>
      </c>
      <c r="D91" s="44">
        <v>2</v>
      </c>
      <c r="E91" s="43">
        <v>1.3431833445265279E-3</v>
      </c>
    </row>
    <row r="92" spans="2:5" ht="15" customHeight="1">
      <c r="B92" s="76"/>
      <c r="C92" s="45" t="s">
        <v>315</v>
      </c>
      <c r="D92" s="44">
        <v>1</v>
      </c>
      <c r="E92" s="43">
        <v>6.7159167226326397E-4</v>
      </c>
    </row>
    <row r="93" spans="2:5" ht="15" customHeight="1">
      <c r="B93" s="76"/>
      <c r="C93" s="45" t="s">
        <v>160</v>
      </c>
      <c r="D93" s="44">
        <v>17</v>
      </c>
      <c r="E93" s="43">
        <v>1.1417058428475487E-2</v>
      </c>
    </row>
    <row r="94" spans="2:5" ht="15" customHeight="1">
      <c r="B94" s="76"/>
      <c r="C94" s="45" t="s">
        <v>159</v>
      </c>
      <c r="D94" s="44">
        <v>7</v>
      </c>
      <c r="E94" s="43">
        <v>4.7011417058428475E-3</v>
      </c>
    </row>
    <row r="95" spans="2:5" ht="15" customHeight="1">
      <c r="B95" s="76"/>
      <c r="C95" s="45" t="s">
        <v>245</v>
      </c>
      <c r="D95" s="44">
        <v>1</v>
      </c>
      <c r="E95" s="43">
        <v>6.7159167226326397E-4</v>
      </c>
    </row>
    <row r="96" spans="2:5" ht="15" customHeight="1">
      <c r="B96" s="76"/>
      <c r="C96" s="45" t="s">
        <v>158</v>
      </c>
      <c r="D96" s="44">
        <v>2</v>
      </c>
      <c r="E96" s="43">
        <v>1.3431833445265279E-3</v>
      </c>
    </row>
    <row r="97" spans="2:5" ht="15" customHeight="1">
      <c r="B97" s="76"/>
      <c r="C97" s="45" t="s">
        <v>316</v>
      </c>
      <c r="D97" s="44">
        <v>1</v>
      </c>
      <c r="E97" s="43">
        <v>6.7159167226326397E-4</v>
      </c>
    </row>
    <row r="98" spans="2:5" ht="15" customHeight="1">
      <c r="B98" s="76"/>
      <c r="C98" s="45" t="s">
        <v>157</v>
      </c>
      <c r="D98" s="44">
        <v>1</v>
      </c>
      <c r="E98" s="43">
        <v>6.7159167226326397E-4</v>
      </c>
    </row>
    <row r="99" spans="2:5" ht="15" customHeight="1">
      <c r="B99" s="76"/>
      <c r="C99" s="45" t="s">
        <v>156</v>
      </c>
      <c r="D99" s="44">
        <v>5</v>
      </c>
      <c r="E99" s="43">
        <v>3.3579583613163196E-3</v>
      </c>
    </row>
    <row r="100" spans="2:5" ht="15" customHeight="1">
      <c r="B100" s="76"/>
      <c r="C100" s="45" t="s">
        <v>155</v>
      </c>
      <c r="D100" s="44">
        <v>8</v>
      </c>
      <c r="E100" s="43">
        <v>5.3727333781061117E-3</v>
      </c>
    </row>
    <row r="101" spans="2:5" ht="15" customHeight="1">
      <c r="B101" s="76"/>
      <c r="C101" s="45" t="s">
        <v>317</v>
      </c>
      <c r="D101" s="44">
        <v>1</v>
      </c>
      <c r="E101" s="43">
        <v>6.7159167226326397E-4</v>
      </c>
    </row>
    <row r="102" spans="2:5" ht="15" customHeight="1">
      <c r="B102" s="76"/>
      <c r="C102" s="45" t="s">
        <v>318</v>
      </c>
      <c r="D102" s="44">
        <v>1</v>
      </c>
      <c r="E102" s="43">
        <v>6.7159167226326397E-4</v>
      </c>
    </row>
    <row r="103" spans="2:5" ht="15" customHeight="1">
      <c r="B103" s="76"/>
      <c r="C103" s="45" t="s">
        <v>319</v>
      </c>
      <c r="D103" s="44">
        <v>4</v>
      </c>
      <c r="E103" s="43">
        <v>2.6863666890530559E-3</v>
      </c>
    </row>
    <row r="104" spans="2:5" ht="15" customHeight="1">
      <c r="B104" s="76"/>
      <c r="C104" s="45" t="s">
        <v>154</v>
      </c>
      <c r="D104" s="44">
        <v>4</v>
      </c>
      <c r="E104" s="43">
        <v>2.6863666890530559E-3</v>
      </c>
    </row>
    <row r="105" spans="2:5" ht="15" customHeight="1">
      <c r="B105" s="76"/>
      <c r="C105" s="45" t="s">
        <v>320</v>
      </c>
      <c r="D105" s="44">
        <v>2</v>
      </c>
      <c r="E105" s="43">
        <v>1.3431833445265279E-3</v>
      </c>
    </row>
    <row r="106" spans="2:5" ht="15" customHeight="1">
      <c r="B106" s="76"/>
      <c r="C106" s="45" t="s">
        <v>321</v>
      </c>
      <c r="D106" s="44">
        <v>2</v>
      </c>
      <c r="E106" s="43">
        <v>1.3431833445265279E-3</v>
      </c>
    </row>
    <row r="107" spans="2:5" ht="15" customHeight="1">
      <c r="B107" s="76"/>
      <c r="C107" s="45" t="s">
        <v>153</v>
      </c>
      <c r="D107" s="44">
        <v>14</v>
      </c>
      <c r="E107" s="43">
        <v>9.4022834116856951E-3</v>
      </c>
    </row>
    <row r="108" spans="2:5" ht="15" customHeight="1">
      <c r="B108" s="76"/>
      <c r="C108" s="45" t="s">
        <v>322</v>
      </c>
      <c r="D108" s="44">
        <v>1</v>
      </c>
      <c r="E108" s="43">
        <v>6.7159167226326397E-4</v>
      </c>
    </row>
    <row r="109" spans="2:5" ht="15" customHeight="1">
      <c r="B109" s="76"/>
      <c r="C109" s="45" t="s">
        <v>323</v>
      </c>
      <c r="D109" s="44">
        <v>1</v>
      </c>
      <c r="E109" s="43">
        <v>6.7159167226326397E-4</v>
      </c>
    </row>
    <row r="110" spans="2:5" ht="15" customHeight="1">
      <c r="B110" s="76"/>
      <c r="C110" s="45" t="s">
        <v>324</v>
      </c>
      <c r="D110" s="44">
        <v>1</v>
      </c>
      <c r="E110" s="43">
        <v>6.7159167226326397E-4</v>
      </c>
    </row>
    <row r="111" spans="2:5" ht="15" customHeight="1">
      <c r="B111" s="76"/>
      <c r="C111" s="45" t="s">
        <v>152</v>
      </c>
      <c r="D111" s="44">
        <v>2</v>
      </c>
      <c r="E111" s="43">
        <v>1.3431833445265279E-3</v>
      </c>
    </row>
    <row r="112" spans="2:5" ht="15" customHeight="1">
      <c r="B112" s="76"/>
      <c r="C112" s="45" t="s">
        <v>151</v>
      </c>
      <c r="D112" s="44">
        <v>3</v>
      </c>
      <c r="E112" s="43">
        <v>2.0147750167897917E-3</v>
      </c>
    </row>
    <row r="113" spans="2:5" ht="15" customHeight="1">
      <c r="B113" s="76"/>
      <c r="C113" s="45" t="s">
        <v>150</v>
      </c>
      <c r="D113" s="44">
        <v>80</v>
      </c>
      <c r="E113" s="43">
        <v>5.3727333781061114E-2</v>
      </c>
    </row>
    <row r="114" spans="2:5" ht="15" customHeight="1">
      <c r="B114" s="76"/>
      <c r="C114" s="45" t="s">
        <v>149</v>
      </c>
      <c r="D114" s="44">
        <v>2</v>
      </c>
      <c r="E114" s="43">
        <v>1.3431833445265279E-3</v>
      </c>
    </row>
    <row r="115" spans="2:5" ht="15" customHeight="1">
      <c r="B115" s="76"/>
      <c r="C115" s="45" t="s">
        <v>148</v>
      </c>
      <c r="D115" s="44">
        <v>2</v>
      </c>
      <c r="E115" s="43">
        <v>1.3431833445265279E-3</v>
      </c>
    </row>
    <row r="116" spans="2:5" ht="15" customHeight="1">
      <c r="B116" s="76"/>
      <c r="C116" s="45" t="s">
        <v>325</v>
      </c>
      <c r="D116" s="44">
        <v>2</v>
      </c>
      <c r="E116" s="43">
        <v>1.3431833445265279E-3</v>
      </c>
    </row>
    <row r="117" spans="2:5" ht="15" customHeight="1">
      <c r="B117" s="76"/>
      <c r="C117" s="45" t="s">
        <v>326</v>
      </c>
      <c r="D117" s="44">
        <v>1</v>
      </c>
      <c r="E117" s="43">
        <v>6.7159167226326397E-4</v>
      </c>
    </row>
    <row r="118" spans="2:5" ht="15" customHeight="1">
      <c r="B118" s="76"/>
      <c r="C118" s="45" t="s">
        <v>147</v>
      </c>
      <c r="D118" s="44">
        <v>4</v>
      </c>
      <c r="E118" s="43">
        <v>2.6863666890530559E-3</v>
      </c>
    </row>
    <row r="119" spans="2:5" ht="15" customHeight="1">
      <c r="B119" s="76"/>
      <c r="C119" s="45" t="s">
        <v>327</v>
      </c>
      <c r="D119" s="44">
        <v>1</v>
      </c>
      <c r="E119" s="43">
        <v>6.7159167226326397E-4</v>
      </c>
    </row>
    <row r="120" spans="2:5" ht="15" customHeight="1">
      <c r="B120" s="76"/>
      <c r="C120" s="45" t="s">
        <v>146</v>
      </c>
      <c r="D120" s="44">
        <v>16</v>
      </c>
      <c r="E120" s="43">
        <v>1.0745466756212223E-2</v>
      </c>
    </row>
    <row r="121" spans="2:5" ht="15" customHeight="1">
      <c r="B121" s="76"/>
      <c r="C121" s="45" t="s">
        <v>145</v>
      </c>
      <c r="D121" s="44">
        <v>6</v>
      </c>
      <c r="E121" s="43">
        <v>4.0295500335795834E-3</v>
      </c>
    </row>
    <row r="122" spans="2:5" ht="15" customHeight="1">
      <c r="B122" s="76"/>
      <c r="C122" s="45" t="s">
        <v>328</v>
      </c>
      <c r="D122" s="44">
        <v>1</v>
      </c>
      <c r="E122" s="43">
        <v>6.7159167226326397E-4</v>
      </c>
    </row>
    <row r="123" spans="2:5" ht="15" customHeight="1">
      <c r="B123" s="76"/>
      <c r="C123" s="45" t="s">
        <v>329</v>
      </c>
      <c r="D123" s="44">
        <v>2</v>
      </c>
      <c r="E123" s="43">
        <v>1.3431833445265279E-3</v>
      </c>
    </row>
    <row r="124" spans="2:5" ht="15" customHeight="1">
      <c r="B124" s="76"/>
      <c r="C124" s="45" t="s">
        <v>144</v>
      </c>
      <c r="D124" s="44">
        <v>9</v>
      </c>
      <c r="E124" s="43">
        <v>6.044325050369375E-3</v>
      </c>
    </row>
    <row r="125" spans="2:5" ht="15" customHeight="1">
      <c r="B125" s="76"/>
      <c r="C125" s="45" t="s">
        <v>143</v>
      </c>
      <c r="D125" s="44">
        <v>4</v>
      </c>
      <c r="E125" s="43">
        <v>2.6863666890530559E-3</v>
      </c>
    </row>
    <row r="126" spans="2:5" ht="15" customHeight="1">
      <c r="B126" s="76"/>
      <c r="C126" s="45" t="s">
        <v>142</v>
      </c>
      <c r="D126" s="44">
        <v>19</v>
      </c>
      <c r="E126" s="43">
        <v>1.2760241773002015E-2</v>
      </c>
    </row>
    <row r="127" spans="2:5" ht="15" customHeight="1">
      <c r="B127" s="75"/>
      <c r="C127" s="42" t="s">
        <v>15</v>
      </c>
      <c r="D127" s="41">
        <v>322</v>
      </c>
      <c r="E127" s="40">
        <v>0.216252518468771</v>
      </c>
    </row>
    <row r="128" spans="2:5" ht="15" customHeight="1">
      <c r="B128" s="74" t="s">
        <v>39</v>
      </c>
      <c r="C128" s="45" t="s">
        <v>330</v>
      </c>
      <c r="D128" s="44">
        <v>1</v>
      </c>
      <c r="E128" s="43">
        <v>6.7159167226326397E-4</v>
      </c>
    </row>
    <row r="129" spans="2:5" ht="15" customHeight="1">
      <c r="B129" s="76"/>
      <c r="C129" s="45" t="s">
        <v>331</v>
      </c>
      <c r="D129" s="44">
        <v>2</v>
      </c>
      <c r="E129" s="43">
        <v>1.3431833445265279E-3</v>
      </c>
    </row>
    <row r="130" spans="2:5" ht="15" customHeight="1">
      <c r="B130" s="76"/>
      <c r="C130" s="45" t="s">
        <v>141</v>
      </c>
      <c r="D130" s="44">
        <v>5</v>
      </c>
      <c r="E130" s="43">
        <v>3.3579583613163196E-3</v>
      </c>
    </row>
    <row r="131" spans="2:5" ht="15" customHeight="1">
      <c r="B131" s="76"/>
      <c r="C131" s="45" t="s">
        <v>332</v>
      </c>
      <c r="D131" s="44">
        <v>1</v>
      </c>
      <c r="E131" s="43">
        <v>6.7159167226326397E-4</v>
      </c>
    </row>
    <row r="132" spans="2:5" ht="15" customHeight="1">
      <c r="B132" s="76"/>
      <c r="C132" s="45" t="s">
        <v>39</v>
      </c>
      <c r="D132" s="44">
        <v>3</v>
      </c>
      <c r="E132" s="43">
        <v>2.0147750167897917E-3</v>
      </c>
    </row>
    <row r="133" spans="2:5" ht="15" customHeight="1">
      <c r="B133" s="76"/>
      <c r="C133" s="45" t="s">
        <v>140</v>
      </c>
      <c r="D133" s="44">
        <v>5</v>
      </c>
      <c r="E133" s="43">
        <v>3.3579583613163196E-3</v>
      </c>
    </row>
    <row r="134" spans="2:5" ht="15" customHeight="1">
      <c r="B134" s="76"/>
      <c r="C134" s="45" t="s">
        <v>333</v>
      </c>
      <c r="D134" s="44">
        <v>1</v>
      </c>
      <c r="E134" s="43">
        <v>6.7159167226326397E-4</v>
      </c>
    </row>
    <row r="135" spans="2:5" ht="15" customHeight="1">
      <c r="B135" s="76"/>
      <c r="C135" s="45" t="s">
        <v>139</v>
      </c>
      <c r="D135" s="44">
        <v>6</v>
      </c>
      <c r="E135" s="43">
        <v>4.0295500335795834E-3</v>
      </c>
    </row>
    <row r="136" spans="2:5" ht="15" customHeight="1">
      <c r="B136" s="76"/>
      <c r="C136" s="45" t="s">
        <v>138</v>
      </c>
      <c r="D136" s="44">
        <v>2</v>
      </c>
      <c r="E136" s="43">
        <v>1.3431833445265279E-3</v>
      </c>
    </row>
    <row r="137" spans="2:5" ht="15" customHeight="1">
      <c r="B137" s="76"/>
      <c r="C137" s="45" t="s">
        <v>137</v>
      </c>
      <c r="D137" s="44">
        <v>43</v>
      </c>
      <c r="E137" s="43">
        <v>2.8878441907320349E-2</v>
      </c>
    </row>
    <row r="138" spans="2:5" ht="15" customHeight="1">
      <c r="B138" s="76"/>
      <c r="C138" s="45" t="s">
        <v>136</v>
      </c>
      <c r="D138" s="44">
        <v>2</v>
      </c>
      <c r="E138" s="43">
        <v>1.3431833445265279E-3</v>
      </c>
    </row>
    <row r="139" spans="2:5" ht="15" customHeight="1">
      <c r="B139" s="76"/>
      <c r="C139" s="45" t="s">
        <v>334</v>
      </c>
      <c r="D139" s="44">
        <v>1</v>
      </c>
      <c r="E139" s="43">
        <v>6.7159167226326397E-4</v>
      </c>
    </row>
    <row r="140" spans="2:5" ht="15" customHeight="1">
      <c r="B140" s="76"/>
      <c r="C140" s="45" t="s">
        <v>335</v>
      </c>
      <c r="D140" s="44">
        <v>1</v>
      </c>
      <c r="E140" s="43">
        <v>6.7159167226326397E-4</v>
      </c>
    </row>
    <row r="141" spans="2:5" ht="15" customHeight="1">
      <c r="B141" s="76"/>
      <c r="C141" s="45" t="s">
        <v>336</v>
      </c>
      <c r="D141" s="44">
        <v>3</v>
      </c>
      <c r="E141" s="43">
        <v>2.0147750167897917E-3</v>
      </c>
    </row>
    <row r="142" spans="2:5" ht="15" customHeight="1">
      <c r="B142" s="76"/>
      <c r="C142" s="45" t="s">
        <v>337</v>
      </c>
      <c r="D142" s="44">
        <v>1</v>
      </c>
      <c r="E142" s="43">
        <v>6.7159167226326397E-4</v>
      </c>
    </row>
    <row r="143" spans="2:5" ht="15" customHeight="1">
      <c r="B143" s="76"/>
      <c r="C143" s="45" t="s">
        <v>135</v>
      </c>
      <c r="D143" s="44">
        <v>2</v>
      </c>
      <c r="E143" s="43">
        <v>1.3431833445265279E-3</v>
      </c>
    </row>
    <row r="144" spans="2:5" ht="15" customHeight="1">
      <c r="B144" s="76"/>
      <c r="C144" s="45" t="s">
        <v>338</v>
      </c>
      <c r="D144" s="44">
        <v>2</v>
      </c>
      <c r="E144" s="43">
        <v>1.3431833445265279E-3</v>
      </c>
    </row>
    <row r="145" spans="2:5" ht="15" customHeight="1">
      <c r="B145" s="76"/>
      <c r="C145" s="45" t="s">
        <v>339</v>
      </c>
      <c r="D145" s="44">
        <v>1</v>
      </c>
      <c r="E145" s="43">
        <v>6.7159167226326397E-4</v>
      </c>
    </row>
    <row r="146" spans="2:5" ht="15" customHeight="1">
      <c r="B146" s="76"/>
      <c r="C146" s="45" t="s">
        <v>134</v>
      </c>
      <c r="D146" s="44">
        <v>17</v>
      </c>
      <c r="E146" s="43">
        <v>1.1417058428475487E-2</v>
      </c>
    </row>
    <row r="147" spans="2:5" ht="15" customHeight="1">
      <c r="B147" s="75"/>
      <c r="C147" s="42" t="s">
        <v>15</v>
      </c>
      <c r="D147" s="41">
        <v>99</v>
      </c>
      <c r="E147" s="40">
        <v>6.6487575554063136E-2</v>
      </c>
    </row>
    <row r="148" spans="2:5" ht="15" customHeight="1">
      <c r="B148" s="74" t="s">
        <v>41</v>
      </c>
      <c r="C148" s="45" t="s">
        <v>133</v>
      </c>
      <c r="D148" s="44">
        <v>8</v>
      </c>
      <c r="E148" s="43">
        <v>5.3727333781061117E-3</v>
      </c>
    </row>
    <row r="149" spans="2:5" ht="15" customHeight="1">
      <c r="B149" s="76"/>
      <c r="C149" s="45" t="s">
        <v>340</v>
      </c>
      <c r="D149" s="44">
        <v>1</v>
      </c>
      <c r="E149" s="43">
        <v>6.7159167226326397E-4</v>
      </c>
    </row>
    <row r="150" spans="2:5" ht="15" customHeight="1">
      <c r="B150" s="76"/>
      <c r="C150" s="45" t="s">
        <v>341</v>
      </c>
      <c r="D150" s="44">
        <v>1</v>
      </c>
      <c r="E150" s="43">
        <v>6.7159167226326397E-4</v>
      </c>
    </row>
    <row r="151" spans="2:5" ht="15" customHeight="1">
      <c r="B151" s="76"/>
      <c r="C151" s="45" t="s">
        <v>132</v>
      </c>
      <c r="D151" s="44">
        <v>1</v>
      </c>
      <c r="E151" s="43">
        <v>6.7159167226326397E-4</v>
      </c>
    </row>
    <row r="152" spans="2:5" ht="15" customHeight="1">
      <c r="B152" s="76"/>
      <c r="C152" s="45" t="s">
        <v>342</v>
      </c>
      <c r="D152" s="44">
        <v>1</v>
      </c>
      <c r="E152" s="43">
        <v>6.7159167226326397E-4</v>
      </c>
    </row>
    <row r="153" spans="2:5" ht="15" customHeight="1">
      <c r="B153" s="76"/>
      <c r="C153" s="45" t="s">
        <v>343</v>
      </c>
      <c r="D153" s="44">
        <v>2</v>
      </c>
      <c r="E153" s="43">
        <v>1.3431833445265279E-3</v>
      </c>
    </row>
    <row r="154" spans="2:5" ht="15" customHeight="1">
      <c r="B154" s="76"/>
      <c r="C154" s="45" t="s">
        <v>344</v>
      </c>
      <c r="D154" s="44">
        <v>2</v>
      </c>
      <c r="E154" s="43">
        <v>1.3431833445265279E-3</v>
      </c>
    </row>
    <row r="155" spans="2:5" ht="15" customHeight="1">
      <c r="B155" s="76"/>
      <c r="C155" s="45" t="s">
        <v>246</v>
      </c>
      <c r="D155" s="44">
        <v>1</v>
      </c>
      <c r="E155" s="43">
        <v>6.7159167226326397E-4</v>
      </c>
    </row>
    <row r="156" spans="2:5" ht="15" customHeight="1">
      <c r="B156" s="76"/>
      <c r="C156" s="45" t="s">
        <v>345</v>
      </c>
      <c r="D156" s="44">
        <v>1</v>
      </c>
      <c r="E156" s="43">
        <v>6.7159167226326397E-4</v>
      </c>
    </row>
    <row r="157" spans="2:5" ht="15" customHeight="1">
      <c r="B157" s="76"/>
      <c r="C157" s="45" t="s">
        <v>346</v>
      </c>
      <c r="D157" s="44">
        <v>1</v>
      </c>
      <c r="E157" s="43">
        <v>6.7159167226326397E-4</v>
      </c>
    </row>
    <row r="158" spans="2:5" ht="15" customHeight="1">
      <c r="B158" s="76"/>
      <c r="C158" s="45" t="s">
        <v>347</v>
      </c>
      <c r="D158" s="44">
        <v>1</v>
      </c>
      <c r="E158" s="43">
        <v>6.7159167226326397E-4</v>
      </c>
    </row>
    <row r="159" spans="2:5" ht="15" customHeight="1">
      <c r="B159" s="76"/>
      <c r="C159" s="45" t="s">
        <v>348</v>
      </c>
      <c r="D159" s="44">
        <v>1</v>
      </c>
      <c r="E159" s="43">
        <v>6.7159167226326397E-4</v>
      </c>
    </row>
    <row r="160" spans="2:5" ht="15" customHeight="1">
      <c r="B160" s="76"/>
      <c r="C160" s="45" t="s">
        <v>247</v>
      </c>
      <c r="D160" s="44">
        <v>1</v>
      </c>
      <c r="E160" s="43">
        <v>6.7159167226326397E-4</v>
      </c>
    </row>
    <row r="161" spans="2:5" ht="15" customHeight="1">
      <c r="B161" s="76"/>
      <c r="C161" s="45" t="s">
        <v>131</v>
      </c>
      <c r="D161" s="44">
        <v>4</v>
      </c>
      <c r="E161" s="43">
        <v>2.6863666890530559E-3</v>
      </c>
    </row>
    <row r="162" spans="2:5" ht="15" customHeight="1">
      <c r="B162" s="76"/>
      <c r="C162" s="45" t="s">
        <v>130</v>
      </c>
      <c r="D162" s="44">
        <v>1</v>
      </c>
      <c r="E162" s="43">
        <v>6.7159167226326397E-4</v>
      </c>
    </row>
    <row r="163" spans="2:5" ht="15" customHeight="1">
      <c r="B163" s="76"/>
      <c r="C163" s="45" t="s">
        <v>129</v>
      </c>
      <c r="D163" s="44">
        <v>1</v>
      </c>
      <c r="E163" s="43">
        <v>6.7159167226326397E-4</v>
      </c>
    </row>
    <row r="164" spans="2:5" ht="15" customHeight="1">
      <c r="B164" s="76"/>
      <c r="C164" s="45" t="s">
        <v>128</v>
      </c>
      <c r="D164" s="44">
        <v>2</v>
      </c>
      <c r="E164" s="43">
        <v>1.3431833445265279E-3</v>
      </c>
    </row>
    <row r="165" spans="2:5" ht="15" customHeight="1">
      <c r="B165" s="76"/>
      <c r="C165" s="45" t="s">
        <v>349</v>
      </c>
      <c r="D165" s="44">
        <v>4</v>
      </c>
      <c r="E165" s="43">
        <v>2.6863666890530559E-3</v>
      </c>
    </row>
    <row r="166" spans="2:5" ht="15" customHeight="1">
      <c r="B166" s="76"/>
      <c r="C166" s="45" t="s">
        <v>127</v>
      </c>
      <c r="D166" s="44">
        <v>3</v>
      </c>
      <c r="E166" s="43">
        <v>2.0147750167897917E-3</v>
      </c>
    </row>
    <row r="167" spans="2:5" ht="15" customHeight="1">
      <c r="B167" s="76"/>
      <c r="C167" s="45" t="s">
        <v>350</v>
      </c>
      <c r="D167" s="44">
        <v>1</v>
      </c>
      <c r="E167" s="43">
        <v>6.7159167226326397E-4</v>
      </c>
    </row>
    <row r="168" spans="2:5" ht="15" customHeight="1">
      <c r="B168" s="76"/>
      <c r="C168" s="45" t="s">
        <v>351</v>
      </c>
      <c r="D168" s="44">
        <v>1</v>
      </c>
      <c r="E168" s="43">
        <v>6.7159167226326397E-4</v>
      </c>
    </row>
    <row r="169" spans="2:5" ht="15" customHeight="1">
      <c r="B169" s="76"/>
      <c r="C169" s="45" t="s">
        <v>352</v>
      </c>
      <c r="D169" s="44">
        <v>1</v>
      </c>
      <c r="E169" s="43">
        <v>6.7159167226326397E-4</v>
      </c>
    </row>
    <row r="170" spans="2:5" ht="15" customHeight="1">
      <c r="B170" s="76"/>
      <c r="C170" s="45" t="s">
        <v>126</v>
      </c>
      <c r="D170" s="44">
        <v>2</v>
      </c>
      <c r="E170" s="43">
        <v>1.3431833445265279E-3</v>
      </c>
    </row>
    <row r="171" spans="2:5" ht="15" customHeight="1">
      <c r="B171" s="76"/>
      <c r="C171" s="45" t="s">
        <v>353</v>
      </c>
      <c r="D171" s="44">
        <v>1</v>
      </c>
      <c r="E171" s="43">
        <v>6.7159167226326397E-4</v>
      </c>
    </row>
    <row r="172" spans="2:5" ht="15" customHeight="1">
      <c r="B172" s="76"/>
      <c r="C172" s="45" t="s">
        <v>354</v>
      </c>
      <c r="D172" s="44">
        <v>1</v>
      </c>
      <c r="E172" s="43">
        <v>6.7159167226326397E-4</v>
      </c>
    </row>
    <row r="173" spans="2:5" ht="15" customHeight="1">
      <c r="B173" s="76"/>
      <c r="C173" s="45" t="s">
        <v>125</v>
      </c>
      <c r="D173" s="44">
        <v>3</v>
      </c>
      <c r="E173" s="43">
        <v>2.0147750167897917E-3</v>
      </c>
    </row>
    <row r="174" spans="2:5" ht="15" customHeight="1">
      <c r="B174" s="76"/>
      <c r="C174" s="45" t="s">
        <v>124</v>
      </c>
      <c r="D174" s="44">
        <v>27</v>
      </c>
      <c r="E174" s="43">
        <v>1.8132975151108125E-2</v>
      </c>
    </row>
    <row r="175" spans="2:5" ht="15" customHeight="1">
      <c r="B175" s="76"/>
      <c r="C175" s="45" t="s">
        <v>123</v>
      </c>
      <c r="D175" s="44">
        <v>10</v>
      </c>
      <c r="E175" s="43">
        <v>6.7159167226326392E-3</v>
      </c>
    </row>
    <row r="176" spans="2:5" ht="15" customHeight="1">
      <c r="B176" s="76"/>
      <c r="C176" s="45" t="s">
        <v>355</v>
      </c>
      <c r="D176" s="44">
        <v>1</v>
      </c>
      <c r="E176" s="43">
        <v>6.7159167226326397E-4</v>
      </c>
    </row>
    <row r="177" spans="2:5" ht="15" customHeight="1">
      <c r="B177" s="76"/>
      <c r="C177" s="45" t="s">
        <v>356</v>
      </c>
      <c r="D177" s="44">
        <v>1</v>
      </c>
      <c r="E177" s="43">
        <v>6.7159167226326397E-4</v>
      </c>
    </row>
    <row r="178" spans="2:5" ht="15" customHeight="1">
      <c r="B178" s="76"/>
      <c r="C178" s="45" t="s">
        <v>357</v>
      </c>
      <c r="D178" s="44">
        <v>6</v>
      </c>
      <c r="E178" s="43">
        <v>4.0295500335795834E-3</v>
      </c>
    </row>
    <row r="179" spans="2:5" ht="15" customHeight="1">
      <c r="B179" s="75"/>
      <c r="C179" s="42" t="s">
        <v>15</v>
      </c>
      <c r="D179" s="41">
        <v>92</v>
      </c>
      <c r="E179" s="40">
        <v>6.178643384822028E-2</v>
      </c>
    </row>
    <row r="180" spans="2:5" ht="15" customHeight="1">
      <c r="B180" s="74" t="s">
        <v>33</v>
      </c>
      <c r="C180" s="45" t="s">
        <v>260</v>
      </c>
      <c r="D180" s="44">
        <v>2</v>
      </c>
      <c r="E180" s="43">
        <v>1.3431833445265279E-3</v>
      </c>
    </row>
    <row r="181" spans="2:5" ht="15" customHeight="1">
      <c r="B181" s="76"/>
      <c r="C181" s="45" t="s">
        <v>122</v>
      </c>
      <c r="D181" s="44">
        <v>4</v>
      </c>
      <c r="E181" s="43">
        <v>2.6863666890530559E-3</v>
      </c>
    </row>
    <row r="182" spans="2:5" ht="15" customHeight="1">
      <c r="B182" s="76"/>
      <c r="C182" s="45" t="s">
        <v>358</v>
      </c>
      <c r="D182" s="44">
        <v>2</v>
      </c>
      <c r="E182" s="43">
        <v>1.3431833445265279E-3</v>
      </c>
    </row>
    <row r="183" spans="2:5" ht="15" customHeight="1">
      <c r="B183" s="76"/>
      <c r="C183" s="45" t="s">
        <v>359</v>
      </c>
      <c r="D183" s="44">
        <v>2</v>
      </c>
      <c r="E183" s="43">
        <v>1.3431833445265279E-3</v>
      </c>
    </row>
    <row r="184" spans="2:5" ht="15" customHeight="1">
      <c r="B184" s="76"/>
      <c r="C184" s="45" t="s">
        <v>360</v>
      </c>
      <c r="D184" s="44">
        <v>3</v>
      </c>
      <c r="E184" s="43">
        <v>2.0147750167897917E-3</v>
      </c>
    </row>
    <row r="185" spans="2:5" ht="15" customHeight="1">
      <c r="B185" s="76"/>
      <c r="C185" s="45" t="s">
        <v>361</v>
      </c>
      <c r="D185" s="44">
        <v>2</v>
      </c>
      <c r="E185" s="43">
        <v>1.3431833445265279E-3</v>
      </c>
    </row>
    <row r="186" spans="2:5" ht="15" customHeight="1">
      <c r="B186" s="76"/>
      <c r="C186" s="45" t="s">
        <v>362</v>
      </c>
      <c r="D186" s="44">
        <v>1</v>
      </c>
      <c r="E186" s="43">
        <v>6.7159167226326397E-4</v>
      </c>
    </row>
    <row r="187" spans="2:5" ht="15" customHeight="1">
      <c r="B187" s="76"/>
      <c r="C187" s="45" t="s">
        <v>363</v>
      </c>
      <c r="D187" s="44">
        <v>1</v>
      </c>
      <c r="E187" s="43">
        <v>6.7159167226326397E-4</v>
      </c>
    </row>
    <row r="188" spans="2:5" ht="15" customHeight="1">
      <c r="B188" s="76"/>
      <c r="C188" s="45" t="s">
        <v>364</v>
      </c>
      <c r="D188" s="44">
        <v>1</v>
      </c>
      <c r="E188" s="43">
        <v>6.7159167226326397E-4</v>
      </c>
    </row>
    <row r="189" spans="2:5" ht="15" customHeight="1">
      <c r="B189" s="76"/>
      <c r="C189" s="45" t="s">
        <v>365</v>
      </c>
      <c r="D189" s="44">
        <v>1</v>
      </c>
      <c r="E189" s="43">
        <v>6.7159167226326397E-4</v>
      </c>
    </row>
    <row r="190" spans="2:5" ht="15" customHeight="1">
      <c r="B190" s="76"/>
      <c r="C190" s="45" t="s">
        <v>121</v>
      </c>
      <c r="D190" s="44">
        <v>1</v>
      </c>
      <c r="E190" s="43">
        <v>6.7159167226326397E-4</v>
      </c>
    </row>
    <row r="191" spans="2:5" ht="15" customHeight="1">
      <c r="B191" s="75"/>
      <c r="C191" s="42" t="s">
        <v>15</v>
      </c>
      <c r="D191" s="41">
        <v>20</v>
      </c>
      <c r="E191" s="40">
        <v>1.3431833445265278E-2</v>
      </c>
    </row>
    <row r="192" spans="2:5" ht="15" customHeight="1">
      <c r="B192" s="74" t="s">
        <v>38</v>
      </c>
      <c r="C192" s="45" t="s">
        <v>366</v>
      </c>
      <c r="D192" s="44">
        <v>1</v>
      </c>
      <c r="E192" s="43">
        <v>6.7159167226326397E-4</v>
      </c>
    </row>
    <row r="193" spans="2:5" ht="15" customHeight="1">
      <c r="B193" s="76"/>
      <c r="C193" s="45" t="s">
        <v>367</v>
      </c>
      <c r="D193" s="44">
        <v>1</v>
      </c>
      <c r="E193" s="43">
        <v>6.7159167226326397E-4</v>
      </c>
    </row>
    <row r="194" spans="2:5" ht="15" customHeight="1">
      <c r="B194" s="76"/>
      <c r="C194" s="45" t="s">
        <v>120</v>
      </c>
      <c r="D194" s="44">
        <v>1</v>
      </c>
      <c r="E194" s="43">
        <v>6.7159167226326397E-4</v>
      </c>
    </row>
    <row r="195" spans="2:5" ht="15" customHeight="1">
      <c r="B195" s="76"/>
      <c r="C195" s="45" t="s">
        <v>119</v>
      </c>
      <c r="D195" s="44">
        <v>9</v>
      </c>
      <c r="E195" s="43">
        <v>6.044325050369375E-3</v>
      </c>
    </row>
    <row r="196" spans="2:5" ht="15" customHeight="1">
      <c r="B196" s="76"/>
      <c r="C196" s="45" t="s">
        <v>118</v>
      </c>
      <c r="D196" s="44">
        <v>2</v>
      </c>
      <c r="E196" s="43">
        <v>1.3431833445265279E-3</v>
      </c>
    </row>
    <row r="197" spans="2:5" ht="15" customHeight="1">
      <c r="B197" s="76"/>
      <c r="C197" s="45" t="s">
        <v>117</v>
      </c>
      <c r="D197" s="44">
        <v>33</v>
      </c>
      <c r="E197" s="43">
        <v>2.2162525184687708E-2</v>
      </c>
    </row>
    <row r="198" spans="2:5" ht="15" customHeight="1">
      <c r="B198" s="76"/>
      <c r="C198" s="45" t="s">
        <v>368</v>
      </c>
      <c r="D198" s="44">
        <v>2</v>
      </c>
      <c r="E198" s="43">
        <v>1.3431833445265279E-3</v>
      </c>
    </row>
    <row r="199" spans="2:5" ht="15" customHeight="1">
      <c r="B199" s="76"/>
      <c r="C199" s="45" t="s">
        <v>248</v>
      </c>
      <c r="D199" s="44">
        <v>1</v>
      </c>
      <c r="E199" s="43">
        <v>6.7159167226326397E-4</v>
      </c>
    </row>
    <row r="200" spans="2:5" ht="15" customHeight="1">
      <c r="B200" s="76"/>
      <c r="C200" s="45" t="s">
        <v>369</v>
      </c>
      <c r="D200" s="44">
        <v>2</v>
      </c>
      <c r="E200" s="43">
        <v>1.3431833445265279E-3</v>
      </c>
    </row>
    <row r="201" spans="2:5" ht="15" customHeight="1">
      <c r="B201" s="76"/>
      <c r="C201" s="45" t="s">
        <v>370</v>
      </c>
      <c r="D201" s="44">
        <v>1</v>
      </c>
      <c r="E201" s="43">
        <v>6.7159167226326397E-4</v>
      </c>
    </row>
    <row r="202" spans="2:5" ht="15" customHeight="1">
      <c r="B202" s="76"/>
      <c r="C202" s="45" t="s">
        <v>371</v>
      </c>
      <c r="D202" s="44">
        <v>1</v>
      </c>
      <c r="E202" s="43">
        <v>6.7159167226326397E-4</v>
      </c>
    </row>
    <row r="203" spans="2:5" ht="15" customHeight="1">
      <c r="B203" s="76"/>
      <c r="C203" s="45" t="s">
        <v>116</v>
      </c>
      <c r="D203" s="44">
        <v>3</v>
      </c>
      <c r="E203" s="43">
        <v>2.0147750167897917E-3</v>
      </c>
    </row>
    <row r="204" spans="2:5" ht="15" customHeight="1">
      <c r="B204" s="75"/>
      <c r="C204" s="42" t="s">
        <v>15</v>
      </c>
      <c r="D204" s="41">
        <v>57</v>
      </c>
      <c r="E204" s="40">
        <v>3.8280725319006045E-2</v>
      </c>
    </row>
    <row r="205" spans="2:5" ht="15" customHeight="1">
      <c r="B205" s="74" t="s">
        <v>43</v>
      </c>
      <c r="C205" s="45" t="s">
        <v>372</v>
      </c>
      <c r="D205" s="44">
        <v>1</v>
      </c>
      <c r="E205" s="43">
        <v>6.7159167226326397E-4</v>
      </c>
    </row>
    <row r="206" spans="2:5" ht="15" customHeight="1">
      <c r="B206" s="76"/>
      <c r="C206" s="45" t="s">
        <v>115</v>
      </c>
      <c r="D206" s="44">
        <v>2</v>
      </c>
      <c r="E206" s="43">
        <v>1.3431833445265279E-3</v>
      </c>
    </row>
    <row r="207" spans="2:5" ht="15" customHeight="1">
      <c r="B207" s="76"/>
      <c r="C207" s="45" t="s">
        <v>373</v>
      </c>
      <c r="D207" s="44">
        <v>1</v>
      </c>
      <c r="E207" s="43">
        <v>6.7159167226326397E-4</v>
      </c>
    </row>
    <row r="208" spans="2:5" ht="15" customHeight="1">
      <c r="B208" s="76"/>
      <c r="C208" s="45" t="s">
        <v>114</v>
      </c>
      <c r="D208" s="44">
        <v>3</v>
      </c>
      <c r="E208" s="43">
        <v>2.0147750167897917E-3</v>
      </c>
    </row>
    <row r="209" spans="2:5" ht="15" customHeight="1">
      <c r="B209" s="76"/>
      <c r="C209" s="45" t="s">
        <v>113</v>
      </c>
      <c r="D209" s="44">
        <v>3</v>
      </c>
      <c r="E209" s="43">
        <v>2.0147750167897917E-3</v>
      </c>
    </row>
    <row r="210" spans="2:5" ht="15" customHeight="1">
      <c r="B210" s="76"/>
      <c r="C210" s="45" t="s">
        <v>374</v>
      </c>
      <c r="D210" s="44">
        <v>1</v>
      </c>
      <c r="E210" s="43">
        <v>6.7159167226326397E-4</v>
      </c>
    </row>
    <row r="211" spans="2:5" ht="15" customHeight="1">
      <c r="B211" s="76"/>
      <c r="C211" s="45" t="s">
        <v>112</v>
      </c>
      <c r="D211" s="44">
        <v>3</v>
      </c>
      <c r="E211" s="43">
        <v>2.0147750167897917E-3</v>
      </c>
    </row>
    <row r="212" spans="2:5" ht="15" customHeight="1">
      <c r="B212" s="76"/>
      <c r="C212" s="45" t="s">
        <v>375</v>
      </c>
      <c r="D212" s="44">
        <v>1</v>
      </c>
      <c r="E212" s="43">
        <v>6.7159167226326397E-4</v>
      </c>
    </row>
    <row r="213" spans="2:5" ht="15" customHeight="1">
      <c r="B213" s="76"/>
      <c r="C213" s="45" t="s">
        <v>376</v>
      </c>
      <c r="D213" s="44">
        <v>1</v>
      </c>
      <c r="E213" s="43">
        <v>6.7159167226326397E-4</v>
      </c>
    </row>
    <row r="214" spans="2:5" ht="15" customHeight="1">
      <c r="B214" s="76"/>
      <c r="C214" s="45" t="s">
        <v>111</v>
      </c>
      <c r="D214" s="44">
        <v>3</v>
      </c>
      <c r="E214" s="43">
        <v>2.0147750167897917E-3</v>
      </c>
    </row>
    <row r="215" spans="2:5" ht="15" customHeight="1">
      <c r="B215" s="76"/>
      <c r="C215" s="45" t="s">
        <v>110</v>
      </c>
      <c r="D215" s="44">
        <v>21</v>
      </c>
      <c r="E215" s="43">
        <v>1.4103425117528543E-2</v>
      </c>
    </row>
    <row r="216" spans="2:5" ht="15" customHeight="1">
      <c r="B216" s="76"/>
      <c r="C216" s="45" t="s">
        <v>377</v>
      </c>
      <c r="D216" s="44">
        <v>1</v>
      </c>
      <c r="E216" s="43">
        <v>6.7159167226326397E-4</v>
      </c>
    </row>
    <row r="217" spans="2:5" ht="15" customHeight="1">
      <c r="B217" s="76"/>
      <c r="C217" s="45" t="s">
        <v>109</v>
      </c>
      <c r="D217" s="44">
        <v>1</v>
      </c>
      <c r="E217" s="43">
        <v>6.7159167226326397E-4</v>
      </c>
    </row>
    <row r="218" spans="2:5" ht="15" customHeight="1">
      <c r="B218" s="76"/>
      <c r="C218" s="45" t="s">
        <v>378</v>
      </c>
      <c r="D218" s="44">
        <v>1</v>
      </c>
      <c r="E218" s="43">
        <v>6.7159167226326397E-4</v>
      </c>
    </row>
    <row r="219" spans="2:5" ht="15" customHeight="1">
      <c r="B219" s="76"/>
      <c r="C219" s="45" t="s">
        <v>379</v>
      </c>
      <c r="D219" s="44">
        <v>1</v>
      </c>
      <c r="E219" s="43">
        <v>6.7159167226326397E-4</v>
      </c>
    </row>
    <row r="220" spans="2:5" ht="15" customHeight="1">
      <c r="B220" s="76"/>
      <c r="C220" s="45" t="s">
        <v>108</v>
      </c>
      <c r="D220" s="44">
        <v>2</v>
      </c>
      <c r="E220" s="43">
        <v>1.3431833445265279E-3</v>
      </c>
    </row>
    <row r="221" spans="2:5" ht="15" customHeight="1">
      <c r="B221" s="76"/>
      <c r="C221" s="45" t="s">
        <v>249</v>
      </c>
      <c r="D221" s="44">
        <v>3</v>
      </c>
      <c r="E221" s="43">
        <v>2.0147750167897917E-3</v>
      </c>
    </row>
    <row r="222" spans="2:5" ht="15" customHeight="1">
      <c r="B222" s="76"/>
      <c r="C222" s="45" t="s">
        <v>380</v>
      </c>
      <c r="D222" s="44">
        <v>1</v>
      </c>
      <c r="E222" s="43">
        <v>6.7159167226326397E-4</v>
      </c>
    </row>
    <row r="223" spans="2:5" ht="15" customHeight="1">
      <c r="B223" s="76"/>
      <c r="C223" s="45" t="s">
        <v>381</v>
      </c>
      <c r="D223" s="44">
        <v>2</v>
      </c>
      <c r="E223" s="43">
        <v>1.3431833445265279E-3</v>
      </c>
    </row>
    <row r="224" spans="2:5" ht="15" customHeight="1">
      <c r="B224" s="76"/>
      <c r="C224" s="45" t="s">
        <v>107</v>
      </c>
      <c r="D224" s="44">
        <v>2</v>
      </c>
      <c r="E224" s="43">
        <v>1.3431833445265279E-3</v>
      </c>
    </row>
    <row r="225" spans="2:5" ht="15" customHeight="1">
      <c r="B225" s="76"/>
      <c r="C225" s="45" t="s">
        <v>382</v>
      </c>
      <c r="D225" s="44">
        <v>1</v>
      </c>
      <c r="E225" s="43">
        <v>6.7159167226326397E-4</v>
      </c>
    </row>
    <row r="226" spans="2:5" ht="15" customHeight="1">
      <c r="B226" s="76"/>
      <c r="C226" s="45" t="s">
        <v>106</v>
      </c>
      <c r="D226" s="44">
        <v>2</v>
      </c>
      <c r="E226" s="43">
        <v>1.3431833445265279E-3</v>
      </c>
    </row>
    <row r="227" spans="2:5" ht="15" customHeight="1">
      <c r="B227" s="76"/>
      <c r="C227" s="45" t="s">
        <v>105</v>
      </c>
      <c r="D227" s="44">
        <v>3</v>
      </c>
      <c r="E227" s="43">
        <v>2.0147750167897917E-3</v>
      </c>
    </row>
    <row r="228" spans="2:5" ht="15" customHeight="1">
      <c r="B228" s="76"/>
      <c r="C228" s="45" t="s">
        <v>104</v>
      </c>
      <c r="D228" s="44">
        <v>1</v>
      </c>
      <c r="E228" s="43">
        <v>6.7159167226326397E-4</v>
      </c>
    </row>
    <row r="229" spans="2:5" ht="15" customHeight="1">
      <c r="B229" s="76"/>
      <c r="C229" s="45" t="s">
        <v>103</v>
      </c>
      <c r="D229" s="44">
        <v>2</v>
      </c>
      <c r="E229" s="43">
        <v>1.3431833445265279E-3</v>
      </c>
    </row>
    <row r="230" spans="2:5" ht="15" customHeight="1">
      <c r="B230" s="75"/>
      <c r="C230" s="42" t="s">
        <v>15</v>
      </c>
      <c r="D230" s="41">
        <v>63</v>
      </c>
      <c r="E230" s="40">
        <v>4.2310275352585629E-2</v>
      </c>
    </row>
    <row r="231" spans="2:5" ht="15" customHeight="1">
      <c r="B231" s="74" t="s">
        <v>37</v>
      </c>
      <c r="C231" s="45" t="s">
        <v>102</v>
      </c>
      <c r="D231" s="44">
        <v>1</v>
      </c>
      <c r="E231" s="43">
        <v>6.7159167226326397E-4</v>
      </c>
    </row>
    <row r="232" spans="2:5" ht="15" customHeight="1">
      <c r="B232" s="76"/>
      <c r="C232" s="45" t="s">
        <v>101</v>
      </c>
      <c r="D232" s="44">
        <v>2</v>
      </c>
      <c r="E232" s="43">
        <v>1.3431833445265279E-3</v>
      </c>
    </row>
    <row r="233" spans="2:5" ht="15" customHeight="1">
      <c r="B233" s="76"/>
      <c r="C233" s="45" t="s">
        <v>100</v>
      </c>
      <c r="D233" s="44">
        <v>4</v>
      </c>
      <c r="E233" s="43">
        <v>2.6863666890530559E-3</v>
      </c>
    </row>
    <row r="234" spans="2:5" ht="15" customHeight="1">
      <c r="B234" s="76"/>
      <c r="C234" s="45" t="s">
        <v>99</v>
      </c>
      <c r="D234" s="44">
        <v>9</v>
      </c>
      <c r="E234" s="43">
        <v>6.044325050369375E-3</v>
      </c>
    </row>
    <row r="235" spans="2:5" ht="15" customHeight="1">
      <c r="B235" s="76"/>
      <c r="C235" s="45" t="s">
        <v>383</v>
      </c>
      <c r="D235" s="44">
        <v>2</v>
      </c>
      <c r="E235" s="43">
        <v>1.3431833445265279E-3</v>
      </c>
    </row>
    <row r="236" spans="2:5" ht="15" customHeight="1">
      <c r="B236" s="76"/>
      <c r="C236" s="45" t="s">
        <v>98</v>
      </c>
      <c r="D236" s="44">
        <v>14</v>
      </c>
      <c r="E236" s="43">
        <v>9.4022834116856951E-3</v>
      </c>
    </row>
    <row r="237" spans="2:5" ht="15" customHeight="1">
      <c r="B237" s="76"/>
      <c r="C237" s="45" t="s">
        <v>384</v>
      </c>
      <c r="D237" s="44">
        <v>1</v>
      </c>
      <c r="E237" s="43">
        <v>6.7159167226326397E-4</v>
      </c>
    </row>
    <row r="238" spans="2:5" ht="15" customHeight="1">
      <c r="B238" s="76"/>
      <c r="C238" s="45" t="s">
        <v>97</v>
      </c>
      <c r="D238" s="44">
        <v>1</v>
      </c>
      <c r="E238" s="43">
        <v>6.7159167226326397E-4</v>
      </c>
    </row>
    <row r="239" spans="2:5" ht="15" customHeight="1">
      <c r="B239" s="76"/>
      <c r="C239" s="45" t="s">
        <v>96</v>
      </c>
      <c r="D239" s="44">
        <v>3</v>
      </c>
      <c r="E239" s="43">
        <v>2.0147750167897917E-3</v>
      </c>
    </row>
    <row r="240" spans="2:5" ht="15" customHeight="1">
      <c r="B240" s="76"/>
      <c r="C240" s="45" t="s">
        <v>95</v>
      </c>
      <c r="D240" s="44">
        <v>6</v>
      </c>
      <c r="E240" s="43">
        <v>4.0295500335795834E-3</v>
      </c>
    </row>
    <row r="241" spans="2:5" ht="15" customHeight="1">
      <c r="B241" s="76"/>
      <c r="C241" s="45" t="s">
        <v>94</v>
      </c>
      <c r="D241" s="44">
        <v>3</v>
      </c>
      <c r="E241" s="43">
        <v>2.0147750167897917E-3</v>
      </c>
    </row>
    <row r="242" spans="2:5" ht="15" customHeight="1">
      <c r="B242" s="76"/>
      <c r="C242" s="45" t="s">
        <v>385</v>
      </c>
      <c r="D242" s="44">
        <v>3</v>
      </c>
      <c r="E242" s="43">
        <v>2.0147750167897917E-3</v>
      </c>
    </row>
    <row r="243" spans="2:5" ht="15" customHeight="1">
      <c r="B243" s="76"/>
      <c r="C243" s="45" t="s">
        <v>93</v>
      </c>
      <c r="D243" s="44">
        <v>8</v>
      </c>
      <c r="E243" s="43">
        <v>5.3727333781061117E-3</v>
      </c>
    </row>
    <row r="244" spans="2:5" ht="15" customHeight="1">
      <c r="B244" s="76"/>
      <c r="C244" s="45" t="s">
        <v>92</v>
      </c>
      <c r="D244" s="44">
        <v>6</v>
      </c>
      <c r="E244" s="43">
        <v>4.0295500335795834E-3</v>
      </c>
    </row>
    <row r="245" spans="2:5" ht="15" customHeight="1">
      <c r="B245" s="75"/>
      <c r="C245" s="42" t="s">
        <v>15</v>
      </c>
      <c r="D245" s="41">
        <v>63</v>
      </c>
      <c r="E245" s="40">
        <v>4.2310275352585629E-2</v>
      </c>
    </row>
    <row r="246" spans="2:5" ht="15" customHeight="1">
      <c r="B246" s="74" t="s">
        <v>28</v>
      </c>
      <c r="C246" s="45" t="s">
        <v>386</v>
      </c>
      <c r="D246" s="44">
        <v>1</v>
      </c>
      <c r="E246" s="43">
        <v>6.7159167226326397E-4</v>
      </c>
    </row>
    <row r="247" spans="2:5" ht="15" customHeight="1">
      <c r="B247" s="76"/>
      <c r="C247" s="45" t="s">
        <v>91</v>
      </c>
      <c r="D247" s="44">
        <v>2</v>
      </c>
      <c r="E247" s="43">
        <v>1.3431833445265279E-3</v>
      </c>
    </row>
    <row r="248" spans="2:5" ht="15" customHeight="1">
      <c r="B248" s="76"/>
      <c r="C248" s="45" t="s">
        <v>387</v>
      </c>
      <c r="D248" s="44">
        <v>1</v>
      </c>
      <c r="E248" s="43">
        <v>6.7159167226326397E-4</v>
      </c>
    </row>
    <row r="249" spans="2:5" ht="15" customHeight="1">
      <c r="B249" s="76"/>
      <c r="C249" s="45" t="s">
        <v>388</v>
      </c>
      <c r="D249" s="44">
        <v>1</v>
      </c>
      <c r="E249" s="43">
        <v>6.7159167226326397E-4</v>
      </c>
    </row>
    <row r="250" spans="2:5" ht="15" customHeight="1">
      <c r="B250" s="76"/>
      <c r="C250" s="45" t="s">
        <v>90</v>
      </c>
      <c r="D250" s="44">
        <v>1</v>
      </c>
      <c r="E250" s="43">
        <v>6.7159167226326397E-4</v>
      </c>
    </row>
    <row r="251" spans="2:5" ht="15" customHeight="1">
      <c r="B251" s="75"/>
      <c r="C251" s="42" t="s">
        <v>15</v>
      </c>
      <c r="D251" s="41">
        <v>6</v>
      </c>
      <c r="E251" s="40">
        <v>4.0295500335795834E-3</v>
      </c>
    </row>
    <row r="252" spans="2:5" ht="15" customHeight="1">
      <c r="B252" s="74" t="s">
        <v>22</v>
      </c>
      <c r="C252" s="45" t="s">
        <v>389</v>
      </c>
      <c r="D252" s="44">
        <v>1</v>
      </c>
      <c r="E252" s="43">
        <v>6.7159167226326397E-4</v>
      </c>
    </row>
    <row r="253" spans="2:5" ht="15" customHeight="1">
      <c r="B253" s="76"/>
      <c r="C253" s="45" t="s">
        <v>390</v>
      </c>
      <c r="D253" s="44">
        <v>1</v>
      </c>
      <c r="E253" s="43">
        <v>6.7159167226326397E-4</v>
      </c>
    </row>
    <row r="254" spans="2:5" ht="15" customHeight="1">
      <c r="B254" s="76"/>
      <c r="C254" s="45" t="s">
        <v>391</v>
      </c>
      <c r="D254" s="44">
        <v>3</v>
      </c>
      <c r="E254" s="43">
        <v>2.0147750167897917E-3</v>
      </c>
    </row>
    <row r="255" spans="2:5" ht="15" customHeight="1">
      <c r="B255" s="75"/>
      <c r="C255" s="42" t="s">
        <v>15</v>
      </c>
      <c r="D255" s="41">
        <v>5</v>
      </c>
      <c r="E255" s="40">
        <v>3.3579583613163196E-3</v>
      </c>
    </row>
    <row r="256" spans="2:5" ht="15" customHeight="1">
      <c r="B256" s="74" t="s">
        <v>35</v>
      </c>
      <c r="C256" s="45" t="s">
        <v>392</v>
      </c>
      <c r="D256" s="44">
        <v>1</v>
      </c>
      <c r="E256" s="43">
        <v>6.7159167226326397E-4</v>
      </c>
    </row>
    <row r="257" spans="2:5" ht="15" customHeight="1">
      <c r="B257" s="76"/>
      <c r="C257" s="45" t="s">
        <v>393</v>
      </c>
      <c r="D257" s="44">
        <v>3</v>
      </c>
      <c r="E257" s="43">
        <v>2.0147750167897917E-3</v>
      </c>
    </row>
    <row r="258" spans="2:5" ht="15" customHeight="1">
      <c r="B258" s="76"/>
      <c r="C258" s="45" t="s">
        <v>394</v>
      </c>
      <c r="D258" s="44">
        <v>1</v>
      </c>
      <c r="E258" s="43">
        <v>6.7159167226326397E-4</v>
      </c>
    </row>
    <row r="259" spans="2:5" ht="15" customHeight="1">
      <c r="B259" s="76"/>
      <c r="C259" s="45" t="s">
        <v>395</v>
      </c>
      <c r="D259" s="44">
        <v>1</v>
      </c>
      <c r="E259" s="43">
        <v>6.7159167226326397E-4</v>
      </c>
    </row>
    <row r="260" spans="2:5" ht="15" customHeight="1">
      <c r="B260" s="76"/>
      <c r="C260" s="45" t="s">
        <v>396</v>
      </c>
      <c r="D260" s="44">
        <v>1</v>
      </c>
      <c r="E260" s="43">
        <v>6.7159167226326397E-4</v>
      </c>
    </row>
    <row r="261" spans="2:5" ht="15" customHeight="1">
      <c r="B261" s="76"/>
      <c r="C261" s="45" t="s">
        <v>89</v>
      </c>
      <c r="D261" s="44">
        <v>5</v>
      </c>
      <c r="E261" s="43">
        <v>3.3579583613163196E-3</v>
      </c>
    </row>
    <row r="262" spans="2:5" ht="15" customHeight="1">
      <c r="B262" s="76"/>
      <c r="C262" s="45" t="s">
        <v>88</v>
      </c>
      <c r="D262" s="44">
        <v>2</v>
      </c>
      <c r="E262" s="43">
        <v>1.3431833445265279E-3</v>
      </c>
    </row>
    <row r="263" spans="2:5" ht="15" customHeight="1">
      <c r="B263" s="76"/>
      <c r="C263" s="45" t="s">
        <v>397</v>
      </c>
      <c r="D263" s="44">
        <v>1</v>
      </c>
      <c r="E263" s="43">
        <v>6.7159167226326397E-4</v>
      </c>
    </row>
    <row r="264" spans="2:5" ht="15" customHeight="1">
      <c r="B264" s="76"/>
      <c r="C264" s="45" t="s">
        <v>398</v>
      </c>
      <c r="D264" s="44">
        <v>1</v>
      </c>
      <c r="E264" s="43">
        <v>6.7159167226326397E-4</v>
      </c>
    </row>
    <row r="265" spans="2:5" ht="15" customHeight="1">
      <c r="B265" s="76"/>
      <c r="C265" s="45" t="s">
        <v>250</v>
      </c>
      <c r="D265" s="44">
        <v>3</v>
      </c>
      <c r="E265" s="43">
        <v>2.0147750167897917E-3</v>
      </c>
    </row>
    <row r="266" spans="2:5" ht="15" customHeight="1">
      <c r="B266" s="76"/>
      <c r="C266" s="45" t="s">
        <v>399</v>
      </c>
      <c r="D266" s="44">
        <v>1</v>
      </c>
      <c r="E266" s="43">
        <v>6.7159167226326397E-4</v>
      </c>
    </row>
    <row r="267" spans="2:5" ht="15" customHeight="1">
      <c r="B267" s="76"/>
      <c r="C267" s="45" t="s">
        <v>400</v>
      </c>
      <c r="D267" s="44">
        <v>1</v>
      </c>
      <c r="E267" s="43">
        <v>6.7159167226326397E-4</v>
      </c>
    </row>
    <row r="268" spans="2:5" ht="15" customHeight="1">
      <c r="B268" s="76"/>
      <c r="C268" s="45" t="s">
        <v>251</v>
      </c>
      <c r="D268" s="44">
        <v>1</v>
      </c>
      <c r="E268" s="43">
        <v>6.7159167226326397E-4</v>
      </c>
    </row>
    <row r="269" spans="2:5" ht="15" customHeight="1">
      <c r="B269" s="76"/>
      <c r="C269" s="45" t="s">
        <v>401</v>
      </c>
      <c r="D269" s="44">
        <v>3</v>
      </c>
      <c r="E269" s="43">
        <v>2.0147750167897917E-3</v>
      </c>
    </row>
    <row r="270" spans="2:5" ht="15" customHeight="1">
      <c r="B270" s="76"/>
      <c r="C270" s="45" t="s">
        <v>402</v>
      </c>
      <c r="D270" s="44">
        <v>1</v>
      </c>
      <c r="E270" s="43">
        <v>6.7159167226326397E-4</v>
      </c>
    </row>
    <row r="271" spans="2:5" ht="15" customHeight="1">
      <c r="B271" s="76"/>
      <c r="C271" s="45" t="s">
        <v>403</v>
      </c>
      <c r="D271" s="44">
        <v>2</v>
      </c>
      <c r="E271" s="43">
        <v>1.3431833445265279E-3</v>
      </c>
    </row>
    <row r="272" spans="2:5" ht="15" customHeight="1">
      <c r="B272" s="76"/>
      <c r="C272" s="45" t="s">
        <v>252</v>
      </c>
      <c r="D272" s="44">
        <v>1</v>
      </c>
      <c r="E272" s="43">
        <v>6.7159167226326397E-4</v>
      </c>
    </row>
    <row r="273" spans="2:5" ht="15" customHeight="1">
      <c r="B273" s="76"/>
      <c r="C273" s="45" t="s">
        <v>404</v>
      </c>
      <c r="D273" s="44">
        <v>1</v>
      </c>
      <c r="E273" s="43">
        <v>6.7159167226326397E-4</v>
      </c>
    </row>
    <row r="274" spans="2:5" ht="15" customHeight="1">
      <c r="B274" s="76"/>
      <c r="C274" s="45" t="s">
        <v>405</v>
      </c>
      <c r="D274" s="44">
        <v>1</v>
      </c>
      <c r="E274" s="43">
        <v>6.7159167226326397E-4</v>
      </c>
    </row>
    <row r="275" spans="2:5" ht="15" customHeight="1">
      <c r="B275" s="76"/>
      <c r="C275" s="45" t="s">
        <v>406</v>
      </c>
      <c r="D275" s="44">
        <v>1</v>
      </c>
      <c r="E275" s="43">
        <v>6.7159167226326397E-4</v>
      </c>
    </row>
    <row r="276" spans="2:5" ht="15" customHeight="1">
      <c r="B276" s="76"/>
      <c r="C276" s="45" t="s">
        <v>407</v>
      </c>
      <c r="D276" s="44">
        <v>3</v>
      </c>
      <c r="E276" s="43">
        <v>2.0147750167897917E-3</v>
      </c>
    </row>
    <row r="277" spans="2:5" ht="15" customHeight="1">
      <c r="B277" s="76"/>
      <c r="C277" s="45" t="s">
        <v>253</v>
      </c>
      <c r="D277" s="44">
        <v>1</v>
      </c>
      <c r="E277" s="43">
        <v>6.7159167226326397E-4</v>
      </c>
    </row>
    <row r="278" spans="2:5" ht="15" customHeight="1">
      <c r="B278" s="76"/>
      <c r="C278" s="45" t="s">
        <v>87</v>
      </c>
      <c r="D278" s="44">
        <v>2</v>
      </c>
      <c r="E278" s="43">
        <v>1.3431833445265279E-3</v>
      </c>
    </row>
    <row r="279" spans="2:5" ht="15" customHeight="1">
      <c r="B279" s="76"/>
      <c r="C279" s="45" t="s">
        <v>408</v>
      </c>
      <c r="D279" s="44">
        <v>1</v>
      </c>
      <c r="E279" s="43">
        <v>6.7159167226326397E-4</v>
      </c>
    </row>
    <row r="280" spans="2:5" ht="15" customHeight="1">
      <c r="B280" s="76"/>
      <c r="C280" s="45" t="s">
        <v>409</v>
      </c>
      <c r="D280" s="44">
        <v>1</v>
      </c>
      <c r="E280" s="43">
        <v>6.7159167226326397E-4</v>
      </c>
    </row>
    <row r="281" spans="2:5" ht="15" customHeight="1">
      <c r="B281" s="76"/>
      <c r="C281" s="45" t="s">
        <v>254</v>
      </c>
      <c r="D281" s="44">
        <v>2</v>
      </c>
      <c r="E281" s="43">
        <v>1.3431833445265279E-3</v>
      </c>
    </row>
    <row r="282" spans="2:5" ht="15" customHeight="1">
      <c r="B282" s="75"/>
      <c r="C282" s="42" t="s">
        <v>15</v>
      </c>
      <c r="D282" s="41">
        <v>42</v>
      </c>
      <c r="E282" s="40">
        <v>2.8206850235057087E-2</v>
      </c>
    </row>
    <row r="283" spans="2:5" ht="15" customHeight="1">
      <c r="B283" s="74" t="s">
        <v>44</v>
      </c>
      <c r="C283" s="45" t="s">
        <v>86</v>
      </c>
      <c r="D283" s="44">
        <v>3</v>
      </c>
      <c r="E283" s="43">
        <v>2.0147750167897917E-3</v>
      </c>
    </row>
    <row r="284" spans="2:5" ht="15" customHeight="1">
      <c r="B284" s="76"/>
      <c r="C284" s="45" t="s">
        <v>85</v>
      </c>
      <c r="D284" s="44">
        <v>20</v>
      </c>
      <c r="E284" s="43">
        <v>1.3431833445265278E-2</v>
      </c>
    </row>
    <row r="285" spans="2:5" ht="15" customHeight="1">
      <c r="B285" s="76"/>
      <c r="C285" s="45" t="s">
        <v>84</v>
      </c>
      <c r="D285" s="44">
        <v>6</v>
      </c>
      <c r="E285" s="43">
        <v>4.0295500335795834E-3</v>
      </c>
    </row>
    <row r="286" spans="2:5" ht="15" customHeight="1">
      <c r="B286" s="76"/>
      <c r="C286" s="45" t="s">
        <v>410</v>
      </c>
      <c r="D286" s="44">
        <v>1</v>
      </c>
      <c r="E286" s="43">
        <v>6.7159167226326397E-4</v>
      </c>
    </row>
    <row r="287" spans="2:5" ht="15" customHeight="1">
      <c r="B287" s="76"/>
      <c r="C287" s="45" t="s">
        <v>83</v>
      </c>
      <c r="D287" s="44">
        <v>4</v>
      </c>
      <c r="E287" s="43">
        <v>2.6863666890530559E-3</v>
      </c>
    </row>
    <row r="288" spans="2:5" ht="15" customHeight="1">
      <c r="B288" s="76"/>
      <c r="C288" s="45" t="s">
        <v>82</v>
      </c>
      <c r="D288" s="44">
        <v>13</v>
      </c>
      <c r="E288" s="43">
        <v>8.7306917394224318E-3</v>
      </c>
    </row>
    <row r="289" spans="2:5" ht="15" customHeight="1">
      <c r="B289" s="76"/>
      <c r="C289" s="45" t="s">
        <v>81</v>
      </c>
      <c r="D289" s="44">
        <v>5</v>
      </c>
      <c r="E289" s="43">
        <v>3.3579583613163196E-3</v>
      </c>
    </row>
    <row r="290" spans="2:5" ht="15" customHeight="1">
      <c r="B290" s="76"/>
      <c r="C290" s="45" t="s">
        <v>80</v>
      </c>
      <c r="D290" s="44">
        <v>4</v>
      </c>
      <c r="E290" s="43">
        <v>2.6863666890530559E-3</v>
      </c>
    </row>
    <row r="291" spans="2:5" ht="15" customHeight="1">
      <c r="B291" s="76"/>
      <c r="C291" s="45" t="s">
        <v>411</v>
      </c>
      <c r="D291" s="44">
        <v>1</v>
      </c>
      <c r="E291" s="43">
        <v>6.7159167226326397E-4</v>
      </c>
    </row>
    <row r="292" spans="2:5" ht="15" customHeight="1">
      <c r="B292" s="76"/>
      <c r="C292" s="45" t="s">
        <v>412</v>
      </c>
      <c r="D292" s="44">
        <v>2</v>
      </c>
      <c r="E292" s="43">
        <v>1.3431833445265279E-3</v>
      </c>
    </row>
    <row r="293" spans="2:5" ht="15" customHeight="1">
      <c r="B293" s="76"/>
      <c r="C293" s="45" t="s">
        <v>413</v>
      </c>
      <c r="D293" s="44">
        <v>1</v>
      </c>
      <c r="E293" s="43">
        <v>6.7159167226326397E-4</v>
      </c>
    </row>
    <row r="294" spans="2:5" ht="15" customHeight="1">
      <c r="B294" s="76"/>
      <c r="C294" s="45" t="s">
        <v>414</v>
      </c>
      <c r="D294" s="44">
        <v>1</v>
      </c>
      <c r="E294" s="43">
        <v>6.7159167226326397E-4</v>
      </c>
    </row>
    <row r="295" spans="2:5" ht="15" customHeight="1">
      <c r="B295" s="76"/>
      <c r="C295" s="45" t="s">
        <v>415</v>
      </c>
      <c r="D295" s="44">
        <v>2</v>
      </c>
      <c r="E295" s="43">
        <v>1.3431833445265279E-3</v>
      </c>
    </row>
    <row r="296" spans="2:5" ht="15" customHeight="1">
      <c r="B296" s="76"/>
      <c r="C296" s="45" t="s">
        <v>79</v>
      </c>
      <c r="D296" s="44">
        <v>10</v>
      </c>
      <c r="E296" s="43">
        <v>6.7159167226326392E-3</v>
      </c>
    </row>
    <row r="297" spans="2:5" ht="15" customHeight="1">
      <c r="B297" s="76"/>
      <c r="C297" s="45" t="s">
        <v>78</v>
      </c>
      <c r="D297" s="44">
        <v>72</v>
      </c>
      <c r="E297" s="43">
        <v>4.8354600402955E-2</v>
      </c>
    </row>
    <row r="298" spans="2:5" ht="15" customHeight="1">
      <c r="B298" s="76"/>
      <c r="C298" s="45" t="s">
        <v>416</v>
      </c>
      <c r="D298" s="44">
        <v>1</v>
      </c>
      <c r="E298" s="43">
        <v>6.7159167226326397E-4</v>
      </c>
    </row>
    <row r="299" spans="2:5" ht="15" customHeight="1">
      <c r="B299" s="76"/>
      <c r="C299" s="45" t="s">
        <v>77</v>
      </c>
      <c r="D299" s="44">
        <v>112</v>
      </c>
      <c r="E299" s="43">
        <v>7.5218267293485561E-2</v>
      </c>
    </row>
    <row r="300" spans="2:5" ht="15" customHeight="1">
      <c r="B300" s="76"/>
      <c r="C300" s="45" t="s">
        <v>417</v>
      </c>
      <c r="D300" s="44">
        <v>1</v>
      </c>
      <c r="E300" s="43">
        <v>6.7159167226326397E-4</v>
      </c>
    </row>
    <row r="301" spans="2:5" ht="15" customHeight="1">
      <c r="B301" s="76"/>
      <c r="C301" s="45" t="s">
        <v>418</v>
      </c>
      <c r="D301" s="44">
        <v>2</v>
      </c>
      <c r="E301" s="43">
        <v>1.3431833445265279E-3</v>
      </c>
    </row>
    <row r="302" spans="2:5" ht="15" customHeight="1">
      <c r="B302" s="76"/>
      <c r="C302" s="45" t="s">
        <v>76</v>
      </c>
      <c r="D302" s="44">
        <v>2</v>
      </c>
      <c r="E302" s="43">
        <v>1.3431833445265279E-3</v>
      </c>
    </row>
    <row r="303" spans="2:5" ht="15" customHeight="1">
      <c r="B303" s="76"/>
      <c r="C303" s="45" t="s">
        <v>419</v>
      </c>
      <c r="D303" s="44">
        <v>1</v>
      </c>
      <c r="E303" s="43">
        <v>6.7159167226326397E-4</v>
      </c>
    </row>
    <row r="304" spans="2:5" ht="15" customHeight="1">
      <c r="B304" s="76"/>
      <c r="C304" s="45" t="s">
        <v>255</v>
      </c>
      <c r="D304" s="44">
        <v>2</v>
      </c>
      <c r="E304" s="43">
        <v>1.3431833445265279E-3</v>
      </c>
    </row>
    <row r="305" spans="2:5" ht="15" customHeight="1">
      <c r="B305" s="76"/>
      <c r="C305" s="45" t="s">
        <v>420</v>
      </c>
      <c r="D305" s="44">
        <v>1</v>
      </c>
      <c r="E305" s="43">
        <v>6.7159167226326397E-4</v>
      </c>
    </row>
    <row r="306" spans="2:5" ht="15" customHeight="1">
      <c r="B306" s="76"/>
      <c r="C306" s="45" t="s">
        <v>44</v>
      </c>
      <c r="D306" s="44">
        <v>10</v>
      </c>
      <c r="E306" s="43">
        <v>6.7159167226326392E-3</v>
      </c>
    </row>
    <row r="307" spans="2:5" ht="15" customHeight="1">
      <c r="B307" s="76"/>
      <c r="C307" s="45" t="s">
        <v>75</v>
      </c>
      <c r="D307" s="44">
        <v>1</v>
      </c>
      <c r="E307" s="43">
        <v>6.7159167226326397E-4</v>
      </c>
    </row>
    <row r="308" spans="2:5" ht="15" customHeight="1">
      <c r="B308" s="76"/>
      <c r="C308" s="45" t="s">
        <v>421</v>
      </c>
      <c r="D308" s="44">
        <v>2</v>
      </c>
      <c r="E308" s="43">
        <v>1.3431833445265279E-3</v>
      </c>
    </row>
    <row r="309" spans="2:5" ht="15" customHeight="1">
      <c r="B309" s="76"/>
      <c r="C309" s="45" t="s">
        <v>74</v>
      </c>
      <c r="D309" s="44">
        <v>4</v>
      </c>
      <c r="E309" s="43">
        <v>2.6863666890530559E-3</v>
      </c>
    </row>
    <row r="310" spans="2:5" ht="15" customHeight="1">
      <c r="B310" s="76"/>
      <c r="C310" s="45" t="s">
        <v>422</v>
      </c>
      <c r="D310" s="44">
        <v>2</v>
      </c>
      <c r="E310" s="43">
        <v>1.3431833445265279E-3</v>
      </c>
    </row>
    <row r="311" spans="2:5" ht="15" customHeight="1">
      <c r="B311" s="76"/>
      <c r="C311" s="45" t="s">
        <v>423</v>
      </c>
      <c r="D311" s="44">
        <v>1</v>
      </c>
      <c r="E311" s="43">
        <v>6.7159167226326397E-4</v>
      </c>
    </row>
    <row r="312" spans="2:5" ht="15" customHeight="1">
      <c r="B312" s="76"/>
      <c r="C312" s="45" t="s">
        <v>424</v>
      </c>
      <c r="D312" s="44">
        <v>1</v>
      </c>
      <c r="E312" s="43">
        <v>6.7159167226326397E-4</v>
      </c>
    </row>
    <row r="313" spans="2:5" ht="15" customHeight="1">
      <c r="B313" s="76"/>
      <c r="C313" s="45" t="s">
        <v>425</v>
      </c>
      <c r="D313" s="44">
        <v>1</v>
      </c>
      <c r="E313" s="43">
        <v>6.7159167226326397E-4</v>
      </c>
    </row>
    <row r="314" spans="2:5" ht="15" customHeight="1">
      <c r="B314" s="76"/>
      <c r="C314" s="45" t="s">
        <v>256</v>
      </c>
      <c r="D314" s="44">
        <v>1</v>
      </c>
      <c r="E314" s="43">
        <v>6.7159167226326397E-4</v>
      </c>
    </row>
    <row r="315" spans="2:5" ht="15" customHeight="1">
      <c r="B315" s="76"/>
      <c r="C315" s="45" t="s">
        <v>426</v>
      </c>
      <c r="D315" s="44">
        <v>2</v>
      </c>
      <c r="E315" s="43">
        <v>1.3431833445265279E-3</v>
      </c>
    </row>
    <row r="316" spans="2:5" ht="15" customHeight="1">
      <c r="B316" s="76"/>
      <c r="C316" s="45" t="s">
        <v>427</v>
      </c>
      <c r="D316" s="44">
        <v>4</v>
      </c>
      <c r="E316" s="43">
        <v>2.6863666890530559E-3</v>
      </c>
    </row>
    <row r="317" spans="2:5" ht="15" customHeight="1">
      <c r="B317" s="76"/>
      <c r="C317" s="45" t="s">
        <v>428</v>
      </c>
      <c r="D317" s="44">
        <v>1</v>
      </c>
      <c r="E317" s="43">
        <v>6.7159167226326397E-4</v>
      </c>
    </row>
    <row r="318" spans="2:5" ht="15" customHeight="1">
      <c r="B318" s="76"/>
      <c r="C318" s="45" t="s">
        <v>73</v>
      </c>
      <c r="D318" s="44">
        <v>2</v>
      </c>
      <c r="E318" s="43">
        <v>1.3431833445265279E-3</v>
      </c>
    </row>
    <row r="319" spans="2:5" ht="15" customHeight="1">
      <c r="B319" s="76"/>
      <c r="C319" s="45" t="s">
        <v>429</v>
      </c>
      <c r="D319" s="44">
        <v>1</v>
      </c>
      <c r="E319" s="43">
        <v>6.7159167226326397E-4</v>
      </c>
    </row>
    <row r="320" spans="2:5" ht="15" customHeight="1">
      <c r="B320" s="76"/>
      <c r="C320" s="45" t="s">
        <v>72</v>
      </c>
      <c r="D320" s="44">
        <v>14</v>
      </c>
      <c r="E320" s="43">
        <v>9.4022834116856951E-3</v>
      </c>
    </row>
    <row r="321" spans="2:6" ht="15" customHeight="1">
      <c r="B321" s="76"/>
      <c r="C321" s="45" t="s">
        <v>430</v>
      </c>
      <c r="D321" s="44">
        <v>3</v>
      </c>
      <c r="E321" s="43">
        <v>2.0147750167897917E-3</v>
      </c>
    </row>
    <row r="322" spans="2:6" ht="15" customHeight="1">
      <c r="B322" s="76"/>
      <c r="C322" s="45" t="s">
        <v>431</v>
      </c>
      <c r="D322" s="44">
        <v>1</v>
      </c>
      <c r="E322" s="43">
        <v>6.7159167226326397E-4</v>
      </c>
    </row>
    <row r="323" spans="2:6" ht="15" customHeight="1">
      <c r="B323" s="76"/>
      <c r="C323" s="45" t="s">
        <v>432</v>
      </c>
      <c r="D323" s="44">
        <v>3</v>
      </c>
      <c r="E323" s="43">
        <v>2.0147750167897917E-3</v>
      </c>
    </row>
    <row r="324" spans="2:6" ht="15" customHeight="1">
      <c r="B324" s="76"/>
      <c r="C324" s="45" t="s">
        <v>71</v>
      </c>
      <c r="D324" s="44">
        <v>6</v>
      </c>
      <c r="E324" s="43">
        <v>4.0295500335795834E-3</v>
      </c>
    </row>
    <row r="325" spans="2:6" ht="15" customHeight="1">
      <c r="B325" s="76"/>
      <c r="C325" s="45" t="s">
        <v>70</v>
      </c>
      <c r="D325" s="44">
        <v>1</v>
      </c>
      <c r="E325" s="43">
        <v>6.7159167226326397E-4</v>
      </c>
    </row>
    <row r="326" spans="2:6" ht="15" customHeight="1">
      <c r="B326" s="76"/>
      <c r="C326" s="45" t="s">
        <v>69</v>
      </c>
      <c r="D326" s="44">
        <v>1</v>
      </c>
      <c r="E326" s="43">
        <v>6.7159167226326397E-4</v>
      </c>
    </row>
    <row r="327" spans="2:6" ht="15" customHeight="1">
      <c r="B327" s="75"/>
      <c r="C327" s="42" t="s">
        <v>15</v>
      </c>
      <c r="D327" s="41">
        <v>329</v>
      </c>
      <c r="E327" s="40">
        <v>0.22095366017461385</v>
      </c>
    </row>
    <row r="328" spans="2:6" ht="15" customHeight="1">
      <c r="B328" s="74" t="s">
        <v>27</v>
      </c>
      <c r="C328" s="45" t="s">
        <v>433</v>
      </c>
      <c r="D328" s="44">
        <v>1</v>
      </c>
      <c r="E328" s="43">
        <v>6.7159167226326397E-4</v>
      </c>
    </row>
    <row r="329" spans="2:6" ht="15" customHeight="1">
      <c r="B329" s="75"/>
      <c r="C329" s="42" t="s">
        <v>15</v>
      </c>
      <c r="D329" s="41">
        <v>1</v>
      </c>
      <c r="E329" s="40">
        <v>6.7159167226326397E-4</v>
      </c>
    </row>
    <row r="330" spans="2:6" ht="15" customHeight="1">
      <c r="B330" s="74" t="s">
        <v>34</v>
      </c>
      <c r="C330" s="45" t="s">
        <v>434</v>
      </c>
      <c r="D330" s="44">
        <v>1</v>
      </c>
      <c r="E330" s="43">
        <v>6.7159167226326397E-4</v>
      </c>
    </row>
    <row r="331" spans="2:6" ht="15" customHeight="1">
      <c r="B331" s="76"/>
      <c r="C331" s="45" t="s">
        <v>67</v>
      </c>
      <c r="D331" s="44">
        <v>9</v>
      </c>
      <c r="E331" s="43">
        <v>6.044325050369375E-3</v>
      </c>
    </row>
    <row r="332" spans="2:6" ht="15" customHeight="1">
      <c r="B332" s="76"/>
      <c r="C332" s="45" t="s">
        <v>435</v>
      </c>
      <c r="D332" s="44">
        <v>2</v>
      </c>
      <c r="E332" s="43">
        <v>1.3431833445265279E-3</v>
      </c>
    </row>
    <row r="333" spans="2:6" ht="15" customHeight="1">
      <c r="B333" s="76"/>
      <c r="C333" s="45" t="s">
        <v>66</v>
      </c>
      <c r="D333" s="44">
        <v>1</v>
      </c>
      <c r="E333" s="43">
        <v>6.7159167226326397E-4</v>
      </c>
      <c r="F333" s="17"/>
    </row>
    <row r="334" spans="2:6" ht="15" customHeight="1">
      <c r="B334" s="76"/>
      <c r="C334" s="45" t="s">
        <v>436</v>
      </c>
      <c r="D334" s="44">
        <v>5</v>
      </c>
      <c r="E334" s="43">
        <v>3.3579583613163196E-3</v>
      </c>
      <c r="F334" s="17"/>
    </row>
    <row r="335" spans="2:6" ht="15" customHeight="1">
      <c r="B335" s="76"/>
      <c r="C335" s="45" t="s">
        <v>34</v>
      </c>
      <c r="D335" s="44">
        <v>1</v>
      </c>
      <c r="E335" s="43">
        <v>6.7159167226326397E-4</v>
      </c>
      <c r="F335" s="17"/>
    </row>
    <row r="336" spans="2:6" ht="15" customHeight="1">
      <c r="B336" s="76"/>
      <c r="C336" s="45" t="s">
        <v>437</v>
      </c>
      <c r="D336" s="44">
        <v>1</v>
      </c>
      <c r="E336" s="43">
        <v>6.7159167226326397E-4</v>
      </c>
      <c r="F336" s="17"/>
    </row>
    <row r="337" spans="2:6" ht="15" customHeight="1">
      <c r="B337" s="76"/>
      <c r="C337" s="45" t="s">
        <v>257</v>
      </c>
      <c r="D337" s="44">
        <v>4</v>
      </c>
      <c r="E337" s="43">
        <v>2.6863666890530559E-3</v>
      </c>
      <c r="F337" s="17"/>
    </row>
    <row r="338" spans="2:6" ht="15" customHeight="1">
      <c r="B338" s="76"/>
      <c r="C338" s="45" t="s">
        <v>438</v>
      </c>
      <c r="D338" s="44">
        <v>4</v>
      </c>
      <c r="E338" s="43">
        <v>2.6863666890530559E-3</v>
      </c>
    </row>
    <row r="339" spans="2:6" ht="15" customHeight="1">
      <c r="B339" s="76"/>
      <c r="C339" s="45" t="s">
        <v>439</v>
      </c>
      <c r="D339" s="44">
        <v>1</v>
      </c>
      <c r="E339" s="43">
        <v>6.7159167226326397E-4</v>
      </c>
    </row>
    <row r="340" spans="2:6" ht="15" customHeight="1">
      <c r="B340" s="76"/>
      <c r="C340" s="45" t="s">
        <v>440</v>
      </c>
      <c r="D340" s="44">
        <v>1</v>
      </c>
      <c r="E340" s="43">
        <v>6.7159167226326397E-4</v>
      </c>
    </row>
    <row r="341" spans="2:6" ht="15" customHeight="1">
      <c r="B341" s="75"/>
      <c r="C341" s="42" t="s">
        <v>15</v>
      </c>
      <c r="D341" s="41">
        <v>30</v>
      </c>
      <c r="E341" s="40">
        <v>2.0147750167897917E-2</v>
      </c>
    </row>
    <row r="342" spans="2:6" ht="15" customHeight="1">
      <c r="B342" s="74" t="s">
        <v>20</v>
      </c>
      <c r="C342" s="45" t="s">
        <v>441</v>
      </c>
      <c r="D342" s="44">
        <v>1</v>
      </c>
      <c r="E342" s="43">
        <v>6.7159167226326397E-4</v>
      </c>
    </row>
    <row r="343" spans="2:6" ht="15" customHeight="1">
      <c r="B343" s="75"/>
      <c r="C343" s="42" t="s">
        <v>15</v>
      </c>
      <c r="D343" s="41">
        <v>1</v>
      </c>
      <c r="E343" s="40">
        <v>6.7159167226326397E-4</v>
      </c>
    </row>
    <row r="344" spans="2:6" ht="15" customHeight="1">
      <c r="B344" s="74" t="s">
        <v>26</v>
      </c>
      <c r="C344" s="45" t="s">
        <v>68</v>
      </c>
      <c r="D344" s="44">
        <v>1</v>
      </c>
      <c r="E344" s="43">
        <v>6.7159167226326397E-4</v>
      </c>
    </row>
    <row r="345" spans="2:6" ht="15" customHeight="1">
      <c r="B345" s="76"/>
      <c r="C345" s="45" t="s">
        <v>258</v>
      </c>
      <c r="D345" s="44">
        <v>1</v>
      </c>
      <c r="E345" s="43">
        <v>6.7159167226326397E-4</v>
      </c>
    </row>
    <row r="346" spans="2:6" ht="15" customHeight="1">
      <c r="B346" s="76"/>
      <c r="C346" s="45" t="s">
        <v>442</v>
      </c>
      <c r="D346" s="44">
        <v>1</v>
      </c>
      <c r="E346" s="43">
        <v>6.7159167226326397E-4</v>
      </c>
    </row>
    <row r="347" spans="2:6" ht="15" customHeight="1">
      <c r="B347" s="75"/>
      <c r="C347" s="42" t="s">
        <v>15</v>
      </c>
      <c r="D347" s="41">
        <v>3</v>
      </c>
      <c r="E347" s="40">
        <v>2.0147750167897917E-3</v>
      </c>
    </row>
    <row r="348" spans="2:6" ht="15" customHeight="1">
      <c r="B348" s="74" t="s">
        <v>31</v>
      </c>
      <c r="C348" s="45" t="s">
        <v>443</v>
      </c>
      <c r="D348" s="44">
        <v>2</v>
      </c>
      <c r="E348" s="43">
        <v>1.3431833445265279E-3</v>
      </c>
    </row>
    <row r="349" spans="2:6" ht="15" customHeight="1">
      <c r="B349" s="76"/>
      <c r="C349" s="45" t="s">
        <v>65</v>
      </c>
      <c r="D349" s="44">
        <v>2</v>
      </c>
      <c r="E349" s="43">
        <v>1.3431833445265279E-3</v>
      </c>
    </row>
    <row r="350" spans="2:6" ht="15" customHeight="1">
      <c r="B350" s="76"/>
      <c r="C350" s="45" t="s">
        <v>444</v>
      </c>
      <c r="D350" s="44">
        <v>1</v>
      </c>
      <c r="E350" s="43">
        <v>6.7159167226326397E-4</v>
      </c>
    </row>
    <row r="351" spans="2:6" ht="15" customHeight="1">
      <c r="B351" s="76"/>
      <c r="C351" s="45" t="s">
        <v>64</v>
      </c>
      <c r="D351" s="44">
        <v>6</v>
      </c>
      <c r="E351" s="43">
        <v>4.0295500335795834E-3</v>
      </c>
    </row>
    <row r="352" spans="2:6" ht="15" customHeight="1">
      <c r="B352" s="76"/>
      <c r="C352" s="45" t="s">
        <v>445</v>
      </c>
      <c r="D352" s="44">
        <v>1</v>
      </c>
      <c r="E352" s="43">
        <v>6.7159167226326397E-4</v>
      </c>
    </row>
    <row r="353" spans="2:5" ht="15" customHeight="1">
      <c r="B353" s="76"/>
      <c r="C353" s="45" t="s">
        <v>446</v>
      </c>
      <c r="D353" s="44">
        <v>3</v>
      </c>
      <c r="E353" s="43">
        <v>2.0147750167897917E-3</v>
      </c>
    </row>
    <row r="354" spans="2:5" ht="15" customHeight="1">
      <c r="B354" s="76"/>
      <c r="C354" s="45" t="s">
        <v>447</v>
      </c>
      <c r="D354" s="44">
        <v>1</v>
      </c>
      <c r="E354" s="43">
        <v>6.7159167226326397E-4</v>
      </c>
    </row>
    <row r="355" spans="2:5" ht="15" customHeight="1">
      <c r="B355" s="76"/>
      <c r="C355" s="45" t="s">
        <v>448</v>
      </c>
      <c r="D355" s="44">
        <v>1</v>
      </c>
      <c r="E355" s="43">
        <v>6.7159167226326397E-4</v>
      </c>
    </row>
    <row r="356" spans="2:5" ht="15" customHeight="1">
      <c r="B356" s="75"/>
      <c r="C356" s="42" t="s">
        <v>15</v>
      </c>
      <c r="D356" s="41">
        <v>17</v>
      </c>
      <c r="E356" s="40">
        <v>1.1417058428475487E-2</v>
      </c>
    </row>
    <row r="357" spans="2:5" ht="15" customHeight="1">
      <c r="B357" s="74" t="s">
        <v>23</v>
      </c>
      <c r="C357" s="45" t="s">
        <v>449</v>
      </c>
      <c r="D357" s="44">
        <v>1</v>
      </c>
      <c r="E357" s="43">
        <v>6.7159167226326397E-4</v>
      </c>
    </row>
    <row r="358" spans="2:5" ht="15" customHeight="1">
      <c r="B358" s="76"/>
      <c r="C358" s="45" t="s">
        <v>63</v>
      </c>
      <c r="D358" s="44">
        <v>11</v>
      </c>
      <c r="E358" s="43">
        <v>7.3875083948959034E-3</v>
      </c>
    </row>
    <row r="359" spans="2:5" ht="15" customHeight="1">
      <c r="B359" s="76"/>
      <c r="C359" s="45" t="s">
        <v>450</v>
      </c>
      <c r="D359" s="44">
        <v>2</v>
      </c>
      <c r="E359" s="43">
        <v>1.3431833445265279E-3</v>
      </c>
    </row>
    <row r="360" spans="2:5" ht="15" customHeight="1">
      <c r="B360" s="76"/>
      <c r="C360" s="45" t="s">
        <v>259</v>
      </c>
      <c r="D360" s="44">
        <v>1</v>
      </c>
      <c r="E360" s="43">
        <v>6.7159167226326397E-4</v>
      </c>
    </row>
    <row r="361" spans="2:5" ht="15" customHeight="1">
      <c r="B361" s="76"/>
      <c r="C361" s="45" t="s">
        <v>451</v>
      </c>
      <c r="D361" s="44">
        <v>1</v>
      </c>
      <c r="E361" s="43">
        <v>6.7159167226326397E-4</v>
      </c>
    </row>
    <row r="362" spans="2:5" ht="15" customHeight="1">
      <c r="B362" s="76"/>
      <c r="C362" s="45" t="s">
        <v>452</v>
      </c>
      <c r="D362" s="44">
        <v>1</v>
      </c>
      <c r="E362" s="43">
        <v>6.7159167226326397E-4</v>
      </c>
    </row>
    <row r="363" spans="2:5" ht="15" customHeight="1">
      <c r="B363" s="76"/>
      <c r="C363" s="45" t="s">
        <v>453</v>
      </c>
      <c r="D363" s="44">
        <v>1</v>
      </c>
      <c r="E363" s="43">
        <v>6.7159167226326397E-4</v>
      </c>
    </row>
    <row r="364" spans="2:5" ht="15" customHeight="1">
      <c r="B364" s="76"/>
      <c r="C364" s="45" t="s">
        <v>150</v>
      </c>
      <c r="D364" s="44">
        <v>1</v>
      </c>
      <c r="E364" s="43">
        <v>6.7159167226326397E-4</v>
      </c>
    </row>
    <row r="365" spans="2:5" ht="15" customHeight="1">
      <c r="B365" s="76"/>
      <c r="C365" s="45" t="s">
        <v>454</v>
      </c>
      <c r="D365" s="44">
        <v>1</v>
      </c>
      <c r="E365" s="43">
        <v>6.7159167226326397E-4</v>
      </c>
    </row>
    <row r="366" spans="2:5" ht="15" customHeight="1">
      <c r="B366" s="76"/>
      <c r="C366" s="45" t="s">
        <v>455</v>
      </c>
      <c r="D366" s="44">
        <v>1</v>
      </c>
      <c r="E366" s="43">
        <v>6.7159167226326397E-4</v>
      </c>
    </row>
    <row r="367" spans="2:5" ht="15" customHeight="1">
      <c r="B367" s="75"/>
      <c r="C367" s="42" t="s">
        <v>15</v>
      </c>
      <c r="D367" s="41">
        <v>21</v>
      </c>
      <c r="E367" s="40">
        <v>1.4103425117528543E-2</v>
      </c>
    </row>
    <row r="368" spans="2:5" ht="15" customHeight="1">
      <c r="B368" s="74" t="s">
        <v>42</v>
      </c>
      <c r="C368" s="45" t="s">
        <v>456</v>
      </c>
      <c r="D368" s="44">
        <v>1</v>
      </c>
      <c r="E368" s="43">
        <v>6.7159167226326397E-4</v>
      </c>
    </row>
    <row r="369" spans="2:5" ht="15" customHeight="1">
      <c r="B369" s="76"/>
      <c r="C369" s="45" t="s">
        <v>62</v>
      </c>
      <c r="D369" s="44">
        <v>5</v>
      </c>
      <c r="E369" s="43">
        <v>3.3579583613163196E-3</v>
      </c>
    </row>
    <row r="370" spans="2:5" ht="15" customHeight="1">
      <c r="B370" s="76"/>
      <c r="C370" s="45" t="s">
        <v>457</v>
      </c>
      <c r="D370" s="44">
        <v>2</v>
      </c>
      <c r="E370" s="43">
        <v>1.3431833445265279E-3</v>
      </c>
    </row>
    <row r="371" spans="2:5" ht="15" customHeight="1">
      <c r="B371" s="76"/>
      <c r="C371" s="45" t="s">
        <v>458</v>
      </c>
      <c r="D371" s="44">
        <v>2</v>
      </c>
      <c r="E371" s="43">
        <v>1.3431833445265279E-3</v>
      </c>
    </row>
    <row r="372" spans="2:5" ht="15" customHeight="1">
      <c r="B372" s="76"/>
      <c r="C372" s="45" t="s">
        <v>61</v>
      </c>
      <c r="D372" s="44">
        <v>1</v>
      </c>
      <c r="E372" s="43">
        <v>6.7159167226326397E-4</v>
      </c>
    </row>
    <row r="373" spans="2:5" ht="15" customHeight="1">
      <c r="B373" s="76"/>
      <c r="C373" s="45" t="s">
        <v>261</v>
      </c>
      <c r="D373" s="44">
        <v>1</v>
      </c>
      <c r="E373" s="43">
        <v>6.7159167226326397E-4</v>
      </c>
    </row>
    <row r="374" spans="2:5" ht="15" customHeight="1">
      <c r="B374" s="76"/>
      <c r="C374" s="45" t="s">
        <v>459</v>
      </c>
      <c r="D374" s="44">
        <v>1</v>
      </c>
      <c r="E374" s="43">
        <v>6.7159167226326397E-4</v>
      </c>
    </row>
    <row r="375" spans="2:5" ht="15" customHeight="1">
      <c r="B375" s="76"/>
      <c r="C375" s="45" t="s">
        <v>460</v>
      </c>
      <c r="D375" s="44">
        <v>1</v>
      </c>
      <c r="E375" s="43">
        <v>6.7159167226326397E-4</v>
      </c>
    </row>
    <row r="376" spans="2:5" ht="15" customHeight="1">
      <c r="B376" s="76"/>
      <c r="C376" s="45" t="s">
        <v>461</v>
      </c>
      <c r="D376" s="44">
        <v>1</v>
      </c>
      <c r="E376" s="43">
        <v>6.7159167226326397E-4</v>
      </c>
    </row>
    <row r="377" spans="2:5" ht="15" customHeight="1">
      <c r="B377" s="76"/>
      <c r="C377" s="45" t="s">
        <v>462</v>
      </c>
      <c r="D377" s="44">
        <v>1</v>
      </c>
      <c r="E377" s="43">
        <v>6.7159167226326397E-4</v>
      </c>
    </row>
    <row r="378" spans="2:5" ht="15" customHeight="1">
      <c r="B378" s="76"/>
      <c r="C378" s="45" t="s">
        <v>463</v>
      </c>
      <c r="D378" s="44">
        <v>1</v>
      </c>
      <c r="E378" s="43">
        <v>6.7159167226326397E-4</v>
      </c>
    </row>
    <row r="379" spans="2:5" ht="15" customHeight="1">
      <c r="B379" s="76"/>
      <c r="C379" s="45" t="s">
        <v>262</v>
      </c>
      <c r="D379" s="44">
        <v>3</v>
      </c>
      <c r="E379" s="43">
        <v>2.0147750167897917E-3</v>
      </c>
    </row>
    <row r="380" spans="2:5" ht="15" customHeight="1">
      <c r="B380" s="76"/>
      <c r="C380" s="45" t="s">
        <v>60</v>
      </c>
      <c r="D380" s="44">
        <v>4</v>
      </c>
      <c r="E380" s="43">
        <v>2.6863666890530559E-3</v>
      </c>
    </row>
    <row r="381" spans="2:5" ht="15" customHeight="1">
      <c r="B381" s="76"/>
      <c r="C381" s="45" t="s">
        <v>464</v>
      </c>
      <c r="D381" s="44">
        <v>1</v>
      </c>
      <c r="E381" s="43">
        <v>6.7159167226326397E-4</v>
      </c>
    </row>
    <row r="382" spans="2:5" ht="15" customHeight="1">
      <c r="B382" s="76"/>
      <c r="C382" s="45" t="s">
        <v>59</v>
      </c>
      <c r="D382" s="44">
        <v>1</v>
      </c>
      <c r="E382" s="43">
        <v>6.7159167226326397E-4</v>
      </c>
    </row>
    <row r="383" spans="2:5" ht="15" customHeight="1">
      <c r="B383" s="76"/>
      <c r="C383" s="45" t="s">
        <v>465</v>
      </c>
      <c r="D383" s="44">
        <v>3</v>
      </c>
      <c r="E383" s="43">
        <v>2.0147750167897917E-3</v>
      </c>
    </row>
    <row r="384" spans="2:5" ht="15" customHeight="1">
      <c r="B384" s="76"/>
      <c r="C384" s="45" t="s">
        <v>58</v>
      </c>
      <c r="D384" s="44">
        <v>1</v>
      </c>
      <c r="E384" s="43">
        <v>6.7159167226326397E-4</v>
      </c>
    </row>
    <row r="385" spans="2:5" ht="15" customHeight="1">
      <c r="B385" s="76"/>
      <c r="C385" s="45" t="s">
        <v>466</v>
      </c>
      <c r="D385" s="44">
        <v>2</v>
      </c>
      <c r="E385" s="43">
        <v>1.3431833445265279E-3</v>
      </c>
    </row>
    <row r="386" spans="2:5" ht="15" customHeight="1">
      <c r="B386" s="76"/>
      <c r="C386" s="45" t="s">
        <v>467</v>
      </c>
      <c r="D386" s="44">
        <v>1</v>
      </c>
      <c r="E386" s="43">
        <v>6.7159167226326397E-4</v>
      </c>
    </row>
    <row r="387" spans="2:5" ht="15" customHeight="1">
      <c r="B387" s="76"/>
      <c r="C387" s="45" t="s">
        <v>468</v>
      </c>
      <c r="D387" s="44">
        <v>1</v>
      </c>
      <c r="E387" s="43">
        <v>6.7159167226326397E-4</v>
      </c>
    </row>
    <row r="388" spans="2:5" ht="15" customHeight="1">
      <c r="B388" s="76"/>
      <c r="C388" s="45" t="s">
        <v>469</v>
      </c>
      <c r="D388" s="44">
        <v>2</v>
      </c>
      <c r="E388" s="43">
        <v>1.3431833445265279E-3</v>
      </c>
    </row>
    <row r="389" spans="2:5" ht="15" customHeight="1">
      <c r="B389" s="76"/>
      <c r="C389" s="45" t="s">
        <v>470</v>
      </c>
      <c r="D389" s="44">
        <v>1</v>
      </c>
      <c r="E389" s="43">
        <v>6.7159167226326397E-4</v>
      </c>
    </row>
    <row r="390" spans="2:5" ht="15" customHeight="1">
      <c r="B390" s="76"/>
      <c r="C390" s="45" t="s">
        <v>57</v>
      </c>
      <c r="D390" s="44">
        <v>4</v>
      </c>
      <c r="E390" s="43">
        <v>2.6863666890530559E-3</v>
      </c>
    </row>
    <row r="391" spans="2:5" ht="15" customHeight="1">
      <c r="B391" s="76"/>
      <c r="C391" s="45" t="s">
        <v>471</v>
      </c>
      <c r="D391" s="44">
        <v>2</v>
      </c>
      <c r="E391" s="43">
        <v>1.3431833445265279E-3</v>
      </c>
    </row>
    <row r="392" spans="2:5" ht="15" customHeight="1">
      <c r="B392" s="76"/>
      <c r="C392" s="45" t="s">
        <v>472</v>
      </c>
      <c r="D392" s="44">
        <v>1</v>
      </c>
      <c r="E392" s="43">
        <v>6.7159167226326397E-4</v>
      </c>
    </row>
    <row r="393" spans="2:5" ht="15" customHeight="1">
      <c r="B393" s="76"/>
      <c r="C393" s="45" t="s">
        <v>56</v>
      </c>
      <c r="D393" s="44">
        <v>3</v>
      </c>
      <c r="E393" s="43">
        <v>2.0147750167897917E-3</v>
      </c>
    </row>
    <row r="394" spans="2:5" ht="15" customHeight="1">
      <c r="B394" s="76"/>
      <c r="C394" s="45" t="s">
        <v>473</v>
      </c>
      <c r="D394" s="44">
        <v>1</v>
      </c>
      <c r="E394" s="43">
        <v>6.7159167226326397E-4</v>
      </c>
    </row>
    <row r="395" spans="2:5" ht="15" customHeight="1">
      <c r="B395" s="76"/>
      <c r="C395" s="45" t="s">
        <v>263</v>
      </c>
      <c r="D395" s="44">
        <v>1</v>
      </c>
      <c r="E395" s="43">
        <v>6.7159167226326397E-4</v>
      </c>
    </row>
    <row r="396" spans="2:5" ht="15" customHeight="1">
      <c r="B396" s="76"/>
      <c r="C396" s="45" t="s">
        <v>474</v>
      </c>
      <c r="D396" s="44">
        <v>1</v>
      </c>
      <c r="E396" s="43">
        <v>6.7159167226326397E-4</v>
      </c>
    </row>
    <row r="397" spans="2:5" ht="15" customHeight="1">
      <c r="B397" s="76"/>
      <c r="C397" s="45" t="s">
        <v>475</v>
      </c>
      <c r="D397" s="44">
        <v>1</v>
      </c>
      <c r="E397" s="43">
        <v>6.7159167226326397E-4</v>
      </c>
    </row>
    <row r="398" spans="2:5" ht="15" customHeight="1">
      <c r="B398" s="76"/>
      <c r="C398" s="45" t="s">
        <v>55</v>
      </c>
      <c r="D398" s="44">
        <v>1</v>
      </c>
      <c r="E398" s="43">
        <v>6.7159167226326397E-4</v>
      </c>
    </row>
    <row r="399" spans="2:5" ht="15" customHeight="1">
      <c r="B399" s="76"/>
      <c r="C399" s="45" t="s">
        <v>54</v>
      </c>
      <c r="D399" s="44">
        <v>4</v>
      </c>
      <c r="E399" s="43">
        <v>2.6863666890530559E-3</v>
      </c>
    </row>
    <row r="400" spans="2:5" ht="15" customHeight="1">
      <c r="B400" s="76"/>
      <c r="C400" s="45" t="s">
        <v>476</v>
      </c>
      <c r="D400" s="44">
        <v>1</v>
      </c>
      <c r="E400" s="43">
        <v>6.7159167226326397E-4</v>
      </c>
    </row>
    <row r="401" spans="2:5" ht="15" customHeight="1">
      <c r="B401" s="76"/>
      <c r="C401" s="45" t="s">
        <v>477</v>
      </c>
      <c r="D401" s="44">
        <v>1</v>
      </c>
      <c r="E401" s="43">
        <v>6.7159167226326397E-4</v>
      </c>
    </row>
    <row r="402" spans="2:5" ht="15" customHeight="1">
      <c r="B402" s="76"/>
      <c r="C402" s="45" t="s">
        <v>53</v>
      </c>
      <c r="D402" s="44">
        <v>1</v>
      </c>
      <c r="E402" s="43">
        <v>6.7159167226326397E-4</v>
      </c>
    </row>
    <row r="403" spans="2:5" ht="15" customHeight="1">
      <c r="B403" s="76"/>
      <c r="C403" s="45" t="s">
        <v>478</v>
      </c>
      <c r="D403" s="44">
        <v>1</v>
      </c>
      <c r="E403" s="43">
        <v>6.7159167226326397E-4</v>
      </c>
    </row>
    <row r="404" spans="2:5" ht="15" customHeight="1">
      <c r="B404" s="76"/>
      <c r="C404" s="45" t="s">
        <v>479</v>
      </c>
      <c r="D404" s="44">
        <v>1</v>
      </c>
      <c r="E404" s="43">
        <v>6.7159167226326397E-4</v>
      </c>
    </row>
    <row r="405" spans="2:5" ht="15" customHeight="1">
      <c r="B405" s="76"/>
      <c r="C405" s="45" t="s">
        <v>52</v>
      </c>
      <c r="D405" s="44">
        <v>29</v>
      </c>
      <c r="E405" s="43">
        <v>1.9476158495634655E-2</v>
      </c>
    </row>
    <row r="406" spans="2:5" ht="15" customHeight="1">
      <c r="B406" s="76"/>
      <c r="C406" s="45" t="s">
        <v>480</v>
      </c>
      <c r="D406" s="44">
        <v>1</v>
      </c>
      <c r="E406" s="43">
        <v>6.7159167226326397E-4</v>
      </c>
    </row>
    <row r="407" spans="2:5" ht="15" customHeight="1">
      <c r="B407" s="76"/>
      <c r="C407" s="45" t="s">
        <v>51</v>
      </c>
      <c r="D407" s="44">
        <v>15</v>
      </c>
      <c r="E407" s="43">
        <v>1.0073875083948958E-2</v>
      </c>
    </row>
    <row r="408" spans="2:5" ht="15" customHeight="1">
      <c r="B408" s="76"/>
      <c r="C408" s="45" t="s">
        <v>481</v>
      </c>
      <c r="D408" s="44">
        <v>1</v>
      </c>
      <c r="E408" s="43">
        <v>6.7159167226326397E-4</v>
      </c>
    </row>
    <row r="409" spans="2:5" ht="15" customHeight="1">
      <c r="B409" s="76"/>
      <c r="C409" s="45" t="s">
        <v>50</v>
      </c>
      <c r="D409" s="44">
        <v>2</v>
      </c>
      <c r="E409" s="43">
        <v>1.3431833445265279E-3</v>
      </c>
    </row>
    <row r="410" spans="2:5" ht="15" customHeight="1">
      <c r="B410" s="76"/>
      <c r="C410" s="45" t="s">
        <v>482</v>
      </c>
      <c r="D410" s="44">
        <v>1</v>
      </c>
      <c r="E410" s="43">
        <v>6.7159167226326397E-4</v>
      </c>
    </row>
    <row r="411" spans="2:5" ht="15" customHeight="1">
      <c r="B411" s="76"/>
      <c r="C411" s="45" t="s">
        <v>483</v>
      </c>
      <c r="D411" s="44">
        <v>1</v>
      </c>
      <c r="E411" s="43">
        <v>6.7159167226326397E-4</v>
      </c>
    </row>
    <row r="412" spans="2:5" ht="15" customHeight="1">
      <c r="B412" s="76"/>
      <c r="C412" s="45" t="s">
        <v>42</v>
      </c>
      <c r="D412" s="44">
        <v>17</v>
      </c>
      <c r="E412" s="43">
        <v>1.1417058428475487E-2</v>
      </c>
    </row>
    <row r="413" spans="2:5" ht="15" customHeight="1">
      <c r="B413" s="76"/>
      <c r="C413" s="45" t="s">
        <v>484</v>
      </c>
      <c r="D413" s="44">
        <v>6</v>
      </c>
      <c r="E413" s="43">
        <v>4.0295500335795834E-3</v>
      </c>
    </row>
    <row r="414" spans="2:5" ht="15" customHeight="1">
      <c r="B414" s="75"/>
      <c r="C414" s="42" t="s">
        <v>15</v>
      </c>
      <c r="D414" s="41">
        <v>134</v>
      </c>
      <c r="E414" s="40">
        <v>8.9993284083277364E-2</v>
      </c>
    </row>
    <row r="415" spans="2:5" ht="15" customHeight="1">
      <c r="B415" s="74" t="s">
        <v>239</v>
      </c>
      <c r="C415" s="45" t="s">
        <v>264</v>
      </c>
      <c r="D415" s="44">
        <v>1</v>
      </c>
      <c r="E415" s="43">
        <v>6.7159167226326397E-4</v>
      </c>
    </row>
    <row r="416" spans="2:5" ht="15" customHeight="1">
      <c r="B416" s="75"/>
      <c r="C416" s="42" t="s">
        <v>15</v>
      </c>
      <c r="D416" s="41">
        <v>1</v>
      </c>
      <c r="E416" s="40">
        <v>6.7159167226326397E-4</v>
      </c>
    </row>
    <row r="417" spans="2:5" ht="15" customHeight="1">
      <c r="B417" s="74" t="s">
        <v>30</v>
      </c>
      <c r="C417" s="45" t="s">
        <v>172</v>
      </c>
      <c r="D417" s="44">
        <v>1</v>
      </c>
      <c r="E417" s="43">
        <v>6.7159167226326397E-4</v>
      </c>
    </row>
    <row r="418" spans="2:5" ht="15" customHeight="1">
      <c r="B418" s="76"/>
      <c r="C418" s="45" t="s">
        <v>49</v>
      </c>
      <c r="D418" s="44">
        <v>5</v>
      </c>
      <c r="E418" s="43">
        <v>3.3579583613163196E-3</v>
      </c>
    </row>
    <row r="419" spans="2:5" ht="15" customHeight="1">
      <c r="B419" s="76"/>
      <c r="C419" s="45" t="s">
        <v>485</v>
      </c>
      <c r="D419" s="44">
        <v>1</v>
      </c>
      <c r="E419" s="43">
        <v>6.7159167226326397E-4</v>
      </c>
    </row>
    <row r="420" spans="2:5" ht="15" customHeight="1">
      <c r="B420" s="75"/>
      <c r="C420" s="42" t="s">
        <v>15</v>
      </c>
      <c r="D420" s="41">
        <v>7</v>
      </c>
      <c r="E420" s="40">
        <v>4.7011417058428475E-3</v>
      </c>
    </row>
    <row r="421" spans="2:5" ht="15" customHeight="1">
      <c r="B421" s="77" t="s">
        <v>15</v>
      </c>
      <c r="C421" s="78"/>
      <c r="D421" s="60">
        <f>SUMIF(C$10:C420,"Total",D$10:D420)</f>
        <v>1489</v>
      </c>
      <c r="E421" s="61">
        <v>1</v>
      </c>
    </row>
    <row r="423" spans="2:5" ht="15" customHeight="1">
      <c r="B423" s="19" t="s">
        <v>271</v>
      </c>
    </row>
    <row r="424" spans="2:5" ht="15" customHeight="1">
      <c r="B424" s="21" t="s">
        <v>14</v>
      </c>
    </row>
    <row r="425" spans="2:5" ht="15" customHeight="1">
      <c r="B425" s="20" t="s">
        <v>13</v>
      </c>
    </row>
    <row r="426" spans="2:5" ht="15" customHeight="1">
      <c r="B426" s="19" t="s">
        <v>12</v>
      </c>
    </row>
    <row r="427" spans="2:5" ht="15" customHeight="1">
      <c r="B427" s="19" t="s">
        <v>272</v>
      </c>
    </row>
  </sheetData>
  <mergeCells count="31">
    <mergeCell ref="B283:B327"/>
    <mergeCell ref="B328:B329"/>
    <mergeCell ref="B330:B341"/>
    <mergeCell ref="B205:B230"/>
    <mergeCell ref="B231:B245"/>
    <mergeCell ref="B246:B251"/>
    <mergeCell ref="B252:B255"/>
    <mergeCell ref="B256:B282"/>
    <mergeCell ref="B128:B147"/>
    <mergeCell ref="B7:E8"/>
    <mergeCell ref="B148:B179"/>
    <mergeCell ref="B180:B191"/>
    <mergeCell ref="B192:B204"/>
    <mergeCell ref="B51:B56"/>
    <mergeCell ref="B57:B59"/>
    <mergeCell ref="B60:B72"/>
    <mergeCell ref="B73:B78"/>
    <mergeCell ref="B79:B127"/>
    <mergeCell ref="B10:B13"/>
    <mergeCell ref="B14:B16"/>
    <mergeCell ref="B17:B18"/>
    <mergeCell ref="B19:B23"/>
    <mergeCell ref="B24:B50"/>
    <mergeCell ref="B415:B416"/>
    <mergeCell ref="B417:B420"/>
    <mergeCell ref="B421:C421"/>
    <mergeCell ref="B342:B343"/>
    <mergeCell ref="B344:B347"/>
    <mergeCell ref="B348:B356"/>
    <mergeCell ref="B357:B367"/>
    <mergeCell ref="B368:B4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0"/>
  <sheetViews>
    <sheetView showGridLines="0" zoomScaleNormal="100" zoomScaleSheetLayoutView="115" workbookViewId="0">
      <selection activeCell="D16" sqref="D16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3" t="s">
        <v>207</v>
      </c>
      <c r="C7" s="73"/>
      <c r="D7" s="73"/>
    </row>
    <row r="8" spans="1:4" s="29" customFormat="1" ht="15" customHeight="1">
      <c r="B8" s="73"/>
      <c r="C8" s="73"/>
      <c r="D8" s="73"/>
    </row>
    <row r="9" spans="1:4" s="29" customFormat="1" ht="33" customHeight="1">
      <c r="B9" s="73"/>
      <c r="C9" s="73"/>
      <c r="D9" s="73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206</v>
      </c>
      <c r="C11" s="31" t="s">
        <v>47</v>
      </c>
      <c r="D11" s="30" t="s">
        <v>46</v>
      </c>
    </row>
    <row r="12" spans="1:4">
      <c r="B12" s="27" t="s">
        <v>205</v>
      </c>
      <c r="C12" s="26">
        <v>28</v>
      </c>
      <c r="D12" s="25">
        <v>1.880456682337139E-2</v>
      </c>
    </row>
    <row r="13" spans="1:4">
      <c r="B13" s="27" t="s">
        <v>204</v>
      </c>
      <c r="C13" s="26">
        <v>8</v>
      </c>
      <c r="D13" s="25">
        <v>5.3727333781061117E-3</v>
      </c>
    </row>
    <row r="14" spans="1:4">
      <c r="A14" s="28"/>
      <c r="B14" s="27" t="s">
        <v>203</v>
      </c>
      <c r="C14" s="26">
        <v>22</v>
      </c>
      <c r="D14" s="25">
        <v>1.4775016789791807E-2</v>
      </c>
    </row>
    <row r="15" spans="1:4">
      <c r="A15" s="28"/>
      <c r="B15" s="27" t="s">
        <v>202</v>
      </c>
      <c r="C15" s="26">
        <v>38</v>
      </c>
      <c r="D15" s="25">
        <v>2.552048354600403E-2</v>
      </c>
    </row>
    <row r="16" spans="1:4">
      <c r="B16" s="27" t="s">
        <v>201</v>
      </c>
      <c r="C16" s="26">
        <v>27</v>
      </c>
      <c r="D16" s="25">
        <v>1.8132975151108125E-2</v>
      </c>
    </row>
    <row r="17" spans="2:4">
      <c r="B17" s="27" t="s">
        <v>200</v>
      </c>
      <c r="C17" s="26">
        <v>27</v>
      </c>
      <c r="D17" s="25">
        <v>1.8132975151108125E-2</v>
      </c>
    </row>
    <row r="18" spans="2:4">
      <c r="B18" s="27" t="s">
        <v>199</v>
      </c>
      <c r="C18" s="26">
        <v>114</v>
      </c>
      <c r="D18" s="25">
        <v>7.6561450638012091E-2</v>
      </c>
    </row>
    <row r="19" spans="2:4">
      <c r="B19" s="27" t="s">
        <v>198</v>
      </c>
      <c r="C19" s="26">
        <v>226</v>
      </c>
      <c r="D19" s="25">
        <v>0.15177971793149764</v>
      </c>
    </row>
    <row r="20" spans="2:4">
      <c r="B20" s="27" t="s">
        <v>197</v>
      </c>
      <c r="C20" s="26">
        <v>21</v>
      </c>
      <c r="D20" s="25">
        <v>1.4103425117528543E-2</v>
      </c>
    </row>
    <row r="21" spans="2:4">
      <c r="B21" s="27" t="s">
        <v>196</v>
      </c>
      <c r="C21" s="26">
        <v>52</v>
      </c>
      <c r="D21" s="25">
        <v>3.4922766957689727E-2</v>
      </c>
    </row>
    <row r="22" spans="2:4">
      <c r="B22" s="27" t="s">
        <v>195</v>
      </c>
      <c r="C22" s="26">
        <v>54</v>
      </c>
      <c r="D22" s="25">
        <v>3.626595030221625E-2</v>
      </c>
    </row>
    <row r="23" spans="2:4">
      <c r="B23" s="27" t="s">
        <v>194</v>
      </c>
      <c r="C23" s="26">
        <v>530</v>
      </c>
      <c r="D23" s="25">
        <v>0.35594358629952988</v>
      </c>
    </row>
    <row r="24" spans="2:4">
      <c r="B24" s="27" t="s">
        <v>193</v>
      </c>
      <c r="C24" s="26">
        <v>13</v>
      </c>
      <c r="D24" s="25">
        <v>8.7306917394224318E-3</v>
      </c>
    </row>
    <row r="25" spans="2:4">
      <c r="B25" s="27" t="s">
        <v>192</v>
      </c>
      <c r="C25" s="26">
        <v>84</v>
      </c>
      <c r="D25" s="25">
        <v>5.6413700470114174E-2</v>
      </c>
    </row>
    <row r="26" spans="2:4">
      <c r="B26" s="27" t="s">
        <v>191</v>
      </c>
      <c r="C26" s="26">
        <v>197</v>
      </c>
      <c r="D26" s="25">
        <v>0.132303559435863</v>
      </c>
    </row>
    <row r="27" spans="2:4">
      <c r="B27" s="27" t="s">
        <v>190</v>
      </c>
      <c r="C27" s="26">
        <v>3</v>
      </c>
      <c r="D27" s="25">
        <v>2.0147750167897917E-3</v>
      </c>
    </row>
    <row r="28" spans="2:4">
      <c r="B28" s="27" t="s">
        <v>189</v>
      </c>
      <c r="C28" s="26">
        <v>2</v>
      </c>
      <c r="D28" s="25">
        <v>1.3431833445265279E-3</v>
      </c>
    </row>
    <row r="29" spans="2:4">
      <c r="B29" s="27" t="s">
        <v>486</v>
      </c>
      <c r="C29" s="26">
        <v>1</v>
      </c>
      <c r="D29" s="25">
        <v>6.7159167226326397E-4</v>
      </c>
    </row>
    <row r="30" spans="2:4">
      <c r="B30" s="27" t="s">
        <v>188</v>
      </c>
      <c r="C30" s="26">
        <v>16</v>
      </c>
      <c r="D30" s="25">
        <v>1.0745466756212223E-2</v>
      </c>
    </row>
    <row r="31" spans="2:4">
      <c r="B31" s="27" t="s">
        <v>187</v>
      </c>
      <c r="C31" s="26">
        <v>24</v>
      </c>
      <c r="D31" s="25">
        <v>1.6118200134318333E-2</v>
      </c>
    </row>
    <row r="32" spans="2:4">
      <c r="B32" s="27" t="s">
        <v>186</v>
      </c>
      <c r="C32" s="26">
        <v>1</v>
      </c>
      <c r="D32" s="25">
        <v>6.7159167226326397E-4</v>
      </c>
    </row>
    <row r="33" spans="2:4">
      <c r="B33" s="27" t="s">
        <v>487</v>
      </c>
      <c r="C33" s="26">
        <v>1</v>
      </c>
      <c r="D33" s="25">
        <v>6.7159167226326397E-4</v>
      </c>
    </row>
    <row r="34" spans="2:4">
      <c r="B34" s="24" t="s">
        <v>15</v>
      </c>
      <c r="C34" s="23">
        <v>1489</v>
      </c>
      <c r="D34" s="22">
        <v>1</v>
      </c>
    </row>
    <row r="36" spans="2:4">
      <c r="B36" s="19" t="s">
        <v>271</v>
      </c>
    </row>
    <row r="37" spans="2:4">
      <c r="B37" s="21" t="s">
        <v>14</v>
      </c>
    </row>
    <row r="38" spans="2:4">
      <c r="B38" s="20" t="s">
        <v>13</v>
      </c>
    </row>
    <row r="39" spans="2:4">
      <c r="B39" s="19" t="s">
        <v>12</v>
      </c>
    </row>
    <row r="40" spans="2:4">
      <c r="B40" s="19" t="s">
        <v>272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70"/>
  <sheetViews>
    <sheetView showGridLines="0" zoomScaleNormal="100" zoomScaleSheetLayoutView="100" workbookViewId="0">
      <selection activeCell="B10" sqref="B10:B1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9"/>
      <c r="C7" s="79"/>
      <c r="D7" s="79"/>
      <c r="E7" s="79"/>
    </row>
    <row r="8" spans="1:5" s="50" customFormat="1" ht="33" customHeight="1">
      <c r="A8" s="51"/>
      <c r="B8" s="79"/>
      <c r="C8" s="79"/>
      <c r="D8" s="79"/>
      <c r="E8" s="79"/>
    </row>
    <row r="9" spans="1:5" s="29" customFormat="1" ht="40.5" customHeight="1">
      <c r="B9" s="47" t="s">
        <v>206</v>
      </c>
      <c r="C9" s="49" t="s">
        <v>48</v>
      </c>
      <c r="D9" s="48" t="s">
        <v>47</v>
      </c>
      <c r="E9" s="47" t="s">
        <v>46</v>
      </c>
    </row>
    <row r="10" spans="1:5" ht="15" customHeight="1">
      <c r="B10" s="74" t="s">
        <v>205</v>
      </c>
      <c r="C10" s="45" t="s">
        <v>36</v>
      </c>
      <c r="D10" s="44">
        <v>3</v>
      </c>
      <c r="E10" s="43">
        <v>2.0147750167897917E-3</v>
      </c>
    </row>
    <row r="11" spans="1:5" ht="15" customHeight="1">
      <c r="B11" s="76"/>
      <c r="C11" s="45" t="s">
        <v>45</v>
      </c>
      <c r="D11" s="44">
        <v>6</v>
      </c>
      <c r="E11" s="43">
        <v>4.0295500335795834E-3</v>
      </c>
    </row>
    <row r="12" spans="1:5" ht="15" customHeight="1">
      <c r="B12" s="76"/>
      <c r="C12" s="45" t="s">
        <v>41</v>
      </c>
      <c r="D12" s="44">
        <v>4</v>
      </c>
      <c r="E12" s="43">
        <v>2.6863666890530559E-3</v>
      </c>
    </row>
    <row r="13" spans="1:5" ht="15" customHeight="1">
      <c r="B13" s="76"/>
      <c r="C13" s="45" t="s">
        <v>43</v>
      </c>
      <c r="D13" s="44">
        <v>3</v>
      </c>
      <c r="E13" s="43">
        <v>2.0147750167897917E-3</v>
      </c>
    </row>
    <row r="14" spans="1:5" ht="15" customHeight="1">
      <c r="B14" s="76"/>
      <c r="C14" s="45" t="s">
        <v>35</v>
      </c>
      <c r="D14" s="44">
        <v>1</v>
      </c>
      <c r="E14" s="43">
        <v>6.7159167226326397E-4</v>
      </c>
    </row>
    <row r="15" spans="1:5" ht="15" customHeight="1">
      <c r="B15" s="76"/>
      <c r="C15" s="45" t="s">
        <v>44</v>
      </c>
      <c r="D15" s="44">
        <v>2</v>
      </c>
      <c r="E15" s="43">
        <v>1.3431833445265279E-3</v>
      </c>
    </row>
    <row r="16" spans="1:5" ht="15" customHeight="1">
      <c r="B16" s="76"/>
      <c r="C16" s="45" t="s">
        <v>34</v>
      </c>
      <c r="D16" s="44">
        <v>2</v>
      </c>
      <c r="E16" s="43">
        <v>1.3431833445265279E-3</v>
      </c>
    </row>
    <row r="17" spans="2:5" ht="15" customHeight="1">
      <c r="B17" s="76"/>
      <c r="C17" s="45" t="s">
        <v>31</v>
      </c>
      <c r="D17" s="44">
        <v>1</v>
      </c>
      <c r="E17" s="43">
        <v>6.7159167226326397E-4</v>
      </c>
    </row>
    <row r="18" spans="2:5" ht="15" customHeight="1">
      <c r="B18" s="76"/>
      <c r="C18" s="45" t="s">
        <v>42</v>
      </c>
      <c r="D18" s="44">
        <v>6</v>
      </c>
      <c r="E18" s="43">
        <v>4.0295500335795834E-3</v>
      </c>
    </row>
    <row r="19" spans="2:5" ht="15" customHeight="1">
      <c r="B19" s="75"/>
      <c r="C19" s="42" t="s">
        <v>15</v>
      </c>
      <c r="D19" s="41">
        <v>28</v>
      </c>
      <c r="E19" s="40">
        <v>1.880456682337139E-2</v>
      </c>
    </row>
    <row r="20" spans="2:5" ht="15" customHeight="1">
      <c r="B20" s="74" t="s">
        <v>204</v>
      </c>
      <c r="C20" s="45" t="s">
        <v>45</v>
      </c>
      <c r="D20" s="44">
        <v>3</v>
      </c>
      <c r="E20" s="43">
        <v>2.0147750167897917E-3</v>
      </c>
    </row>
    <row r="21" spans="2:5" ht="15" customHeight="1">
      <c r="B21" s="76"/>
      <c r="C21" s="45" t="s">
        <v>41</v>
      </c>
      <c r="D21" s="44">
        <v>1</v>
      </c>
      <c r="E21" s="43">
        <v>6.7159167226326397E-4</v>
      </c>
    </row>
    <row r="22" spans="2:5" ht="15" customHeight="1">
      <c r="B22" s="76"/>
      <c r="C22" s="45" t="s">
        <v>35</v>
      </c>
      <c r="D22" s="44">
        <v>1</v>
      </c>
      <c r="E22" s="43">
        <v>6.7159167226326397E-4</v>
      </c>
    </row>
    <row r="23" spans="2:5" ht="15" customHeight="1">
      <c r="B23" s="76"/>
      <c r="C23" s="45" t="s">
        <v>44</v>
      </c>
      <c r="D23" s="44">
        <v>1</v>
      </c>
      <c r="E23" s="43">
        <v>6.7159167226326397E-4</v>
      </c>
    </row>
    <row r="24" spans="2:5" ht="15" customHeight="1">
      <c r="B24" s="76"/>
      <c r="C24" s="45" t="s">
        <v>42</v>
      </c>
      <c r="D24" s="44">
        <v>2</v>
      </c>
      <c r="E24" s="43">
        <v>1.3431833445265279E-3</v>
      </c>
    </row>
    <row r="25" spans="2:5" ht="15" customHeight="1">
      <c r="B25" s="75"/>
      <c r="C25" s="42" t="s">
        <v>15</v>
      </c>
      <c r="D25" s="41">
        <v>8</v>
      </c>
      <c r="E25" s="40">
        <v>5.3727333781061117E-3</v>
      </c>
    </row>
    <row r="26" spans="2:5" ht="15" customHeight="1">
      <c r="B26" s="74" t="s">
        <v>203</v>
      </c>
      <c r="C26" s="45" t="s">
        <v>36</v>
      </c>
      <c r="D26" s="44">
        <v>1</v>
      </c>
      <c r="E26" s="43">
        <v>6.7159167226326397E-4</v>
      </c>
    </row>
    <row r="27" spans="2:5" ht="15" customHeight="1">
      <c r="B27" s="76"/>
      <c r="C27" s="45" t="s">
        <v>29</v>
      </c>
      <c r="D27" s="44">
        <v>1</v>
      </c>
      <c r="E27" s="43">
        <v>6.7159167226326397E-4</v>
      </c>
    </row>
    <row r="28" spans="2:5" ht="15" customHeight="1">
      <c r="B28" s="76"/>
      <c r="C28" s="45" t="s">
        <v>45</v>
      </c>
      <c r="D28" s="44">
        <v>3</v>
      </c>
      <c r="E28" s="43">
        <v>2.0147750167897917E-3</v>
      </c>
    </row>
    <row r="29" spans="2:5" ht="15" customHeight="1">
      <c r="B29" s="76"/>
      <c r="C29" s="45" t="s">
        <v>39</v>
      </c>
      <c r="D29" s="44">
        <v>1</v>
      </c>
      <c r="E29" s="43">
        <v>6.7159167226326397E-4</v>
      </c>
    </row>
    <row r="30" spans="2:5" ht="15" customHeight="1">
      <c r="B30" s="76"/>
      <c r="C30" s="45" t="s">
        <v>38</v>
      </c>
      <c r="D30" s="44">
        <v>1</v>
      </c>
      <c r="E30" s="43">
        <v>6.7159167226326397E-4</v>
      </c>
    </row>
    <row r="31" spans="2:5" ht="15" customHeight="1">
      <c r="B31" s="76"/>
      <c r="C31" s="45" t="s">
        <v>43</v>
      </c>
      <c r="D31" s="44">
        <v>3</v>
      </c>
      <c r="E31" s="43">
        <v>2.0147750167897917E-3</v>
      </c>
    </row>
    <row r="32" spans="2:5" ht="15" customHeight="1">
      <c r="B32" s="76"/>
      <c r="C32" s="45" t="s">
        <v>37</v>
      </c>
      <c r="D32" s="44">
        <v>1</v>
      </c>
      <c r="E32" s="43">
        <v>6.7159167226326397E-4</v>
      </c>
    </row>
    <row r="33" spans="2:5" ht="15" customHeight="1">
      <c r="B33" s="76"/>
      <c r="C33" s="45" t="s">
        <v>35</v>
      </c>
      <c r="D33" s="44">
        <v>1</v>
      </c>
      <c r="E33" s="43">
        <v>6.7159167226326397E-4</v>
      </c>
    </row>
    <row r="34" spans="2:5" ht="15" customHeight="1">
      <c r="B34" s="76"/>
      <c r="C34" s="45" t="s">
        <v>44</v>
      </c>
      <c r="D34" s="44">
        <v>6</v>
      </c>
      <c r="E34" s="43">
        <v>4.0295500335795834E-3</v>
      </c>
    </row>
    <row r="35" spans="2:5" ht="15" customHeight="1">
      <c r="B35" s="76"/>
      <c r="C35" s="45" t="s">
        <v>42</v>
      </c>
      <c r="D35" s="44">
        <v>3</v>
      </c>
      <c r="E35" s="43">
        <v>2.0147750167897917E-3</v>
      </c>
    </row>
    <row r="36" spans="2:5" ht="15" customHeight="1">
      <c r="B36" s="76"/>
      <c r="C36" s="45" t="s">
        <v>30</v>
      </c>
      <c r="D36" s="44">
        <v>1</v>
      </c>
      <c r="E36" s="43">
        <v>6.7159167226326397E-4</v>
      </c>
    </row>
    <row r="37" spans="2:5" ht="15" customHeight="1">
      <c r="B37" s="75"/>
      <c r="C37" s="42" t="s">
        <v>15</v>
      </c>
      <c r="D37" s="41">
        <v>22</v>
      </c>
      <c r="E37" s="40">
        <v>1.4775016789791807E-2</v>
      </c>
    </row>
    <row r="38" spans="2:5" ht="15" customHeight="1">
      <c r="B38" s="74" t="s">
        <v>202</v>
      </c>
      <c r="C38" s="45" t="s">
        <v>36</v>
      </c>
      <c r="D38" s="44">
        <v>3</v>
      </c>
      <c r="E38" s="43">
        <v>2.0147750167897917E-3</v>
      </c>
    </row>
    <row r="39" spans="2:5" ht="15" customHeight="1">
      <c r="B39" s="76"/>
      <c r="C39" s="45" t="s">
        <v>40</v>
      </c>
      <c r="D39" s="44">
        <v>1</v>
      </c>
      <c r="E39" s="43">
        <v>6.7159167226326397E-4</v>
      </c>
    </row>
    <row r="40" spans="2:5" ht="15" customHeight="1">
      <c r="B40" s="76"/>
      <c r="C40" s="45" t="s">
        <v>45</v>
      </c>
      <c r="D40" s="44">
        <v>8</v>
      </c>
      <c r="E40" s="43">
        <v>5.3727333781061117E-3</v>
      </c>
    </row>
    <row r="41" spans="2:5" ht="15" customHeight="1">
      <c r="B41" s="76"/>
      <c r="C41" s="45" t="s">
        <v>39</v>
      </c>
      <c r="D41" s="44">
        <v>1</v>
      </c>
      <c r="E41" s="43">
        <v>6.7159167226326397E-4</v>
      </c>
    </row>
    <row r="42" spans="2:5" ht="15" customHeight="1">
      <c r="B42" s="76"/>
      <c r="C42" s="45" t="s">
        <v>41</v>
      </c>
      <c r="D42" s="44">
        <v>2</v>
      </c>
      <c r="E42" s="43">
        <v>1.3431833445265279E-3</v>
      </c>
    </row>
    <row r="43" spans="2:5" ht="15" customHeight="1">
      <c r="B43" s="76"/>
      <c r="C43" s="45" t="s">
        <v>38</v>
      </c>
      <c r="D43" s="44">
        <v>1</v>
      </c>
      <c r="E43" s="43">
        <v>6.7159167226326397E-4</v>
      </c>
    </row>
    <row r="44" spans="2:5" ht="15" customHeight="1">
      <c r="B44" s="76"/>
      <c r="C44" s="45" t="s">
        <v>43</v>
      </c>
      <c r="D44" s="44">
        <v>5</v>
      </c>
      <c r="E44" s="43">
        <v>3.3579583613163196E-3</v>
      </c>
    </row>
    <row r="45" spans="2:5" ht="15" customHeight="1">
      <c r="B45" s="76"/>
      <c r="C45" s="45" t="s">
        <v>37</v>
      </c>
      <c r="D45" s="44">
        <v>1</v>
      </c>
      <c r="E45" s="43">
        <v>6.7159167226326397E-4</v>
      </c>
    </row>
    <row r="46" spans="2:5" ht="15" customHeight="1">
      <c r="B46" s="76"/>
      <c r="C46" s="45" t="s">
        <v>28</v>
      </c>
      <c r="D46" s="44">
        <v>1</v>
      </c>
      <c r="E46" s="43">
        <v>6.7159167226326397E-4</v>
      </c>
    </row>
    <row r="47" spans="2:5" ht="15" customHeight="1">
      <c r="B47" s="76"/>
      <c r="C47" s="45" t="s">
        <v>35</v>
      </c>
      <c r="D47" s="44">
        <v>1</v>
      </c>
      <c r="E47" s="43">
        <v>6.7159167226326397E-4</v>
      </c>
    </row>
    <row r="48" spans="2:5" ht="15" customHeight="1">
      <c r="B48" s="76"/>
      <c r="C48" s="45" t="s">
        <v>44</v>
      </c>
      <c r="D48" s="44">
        <v>10</v>
      </c>
      <c r="E48" s="43">
        <v>6.7159167226326392E-3</v>
      </c>
    </row>
    <row r="49" spans="2:5" ht="15" customHeight="1">
      <c r="B49" s="76"/>
      <c r="C49" s="45" t="s">
        <v>34</v>
      </c>
      <c r="D49" s="44">
        <v>1</v>
      </c>
      <c r="E49" s="43">
        <v>6.7159167226326397E-4</v>
      </c>
    </row>
    <row r="50" spans="2:5" ht="15" customHeight="1">
      <c r="B50" s="76"/>
      <c r="C50" s="45" t="s">
        <v>31</v>
      </c>
      <c r="D50" s="44">
        <v>1</v>
      </c>
      <c r="E50" s="43">
        <v>6.7159167226326397E-4</v>
      </c>
    </row>
    <row r="51" spans="2:5" ht="15" customHeight="1">
      <c r="B51" s="76"/>
      <c r="C51" s="45" t="s">
        <v>42</v>
      </c>
      <c r="D51" s="44">
        <v>2</v>
      </c>
      <c r="E51" s="43">
        <v>1.3431833445265279E-3</v>
      </c>
    </row>
    <row r="52" spans="2:5" ht="15" customHeight="1">
      <c r="B52" s="75"/>
      <c r="C52" s="42" t="s">
        <v>15</v>
      </c>
      <c r="D52" s="41">
        <v>38</v>
      </c>
      <c r="E52" s="40">
        <v>2.552048354600403E-2</v>
      </c>
    </row>
    <row r="53" spans="2:5" ht="15" customHeight="1">
      <c r="B53" s="74" t="s">
        <v>201</v>
      </c>
      <c r="C53" s="45" t="s">
        <v>36</v>
      </c>
      <c r="D53" s="44">
        <v>2</v>
      </c>
      <c r="E53" s="43">
        <v>1.3431833445265279E-3</v>
      </c>
    </row>
    <row r="54" spans="2:5" ht="15" customHeight="1">
      <c r="B54" s="76"/>
      <c r="C54" s="45" t="s">
        <v>45</v>
      </c>
      <c r="D54" s="44">
        <v>5</v>
      </c>
      <c r="E54" s="43">
        <v>3.3579583613163196E-3</v>
      </c>
    </row>
    <row r="55" spans="2:5" ht="15" customHeight="1">
      <c r="B55" s="76"/>
      <c r="C55" s="45" t="s">
        <v>39</v>
      </c>
      <c r="D55" s="44">
        <v>3</v>
      </c>
      <c r="E55" s="43">
        <v>2.0147750167897917E-3</v>
      </c>
    </row>
    <row r="56" spans="2:5" ht="15" customHeight="1">
      <c r="B56" s="76"/>
      <c r="C56" s="45" t="s">
        <v>41</v>
      </c>
      <c r="D56" s="44">
        <v>4</v>
      </c>
      <c r="E56" s="43">
        <v>2.6863666890530559E-3</v>
      </c>
    </row>
    <row r="57" spans="2:5" ht="15" customHeight="1">
      <c r="B57" s="76"/>
      <c r="C57" s="45" t="s">
        <v>38</v>
      </c>
      <c r="D57" s="44">
        <v>1</v>
      </c>
      <c r="E57" s="43">
        <v>6.7159167226326397E-4</v>
      </c>
    </row>
    <row r="58" spans="2:5" ht="15" customHeight="1">
      <c r="B58" s="76"/>
      <c r="C58" s="45" t="s">
        <v>37</v>
      </c>
      <c r="D58" s="44">
        <v>1</v>
      </c>
      <c r="E58" s="43">
        <v>6.7159167226326397E-4</v>
      </c>
    </row>
    <row r="59" spans="2:5" ht="15" customHeight="1">
      <c r="B59" s="76"/>
      <c r="C59" s="45" t="s">
        <v>44</v>
      </c>
      <c r="D59" s="44">
        <v>7</v>
      </c>
      <c r="E59" s="43">
        <v>4.7011417058428475E-3</v>
      </c>
    </row>
    <row r="60" spans="2:5" ht="15" customHeight="1">
      <c r="B60" s="76"/>
      <c r="C60" s="45" t="s">
        <v>42</v>
      </c>
      <c r="D60" s="44">
        <v>4</v>
      </c>
      <c r="E60" s="43">
        <v>2.6863666890530559E-3</v>
      </c>
    </row>
    <row r="61" spans="2:5" ht="15" customHeight="1">
      <c r="B61" s="75"/>
      <c r="C61" s="42" t="s">
        <v>15</v>
      </c>
      <c r="D61" s="41">
        <v>27</v>
      </c>
      <c r="E61" s="40">
        <v>1.8132975151108125E-2</v>
      </c>
    </row>
    <row r="62" spans="2:5" ht="15" customHeight="1">
      <c r="B62" s="74" t="s">
        <v>200</v>
      </c>
      <c r="C62" s="45" t="s">
        <v>36</v>
      </c>
      <c r="D62" s="44">
        <v>3</v>
      </c>
      <c r="E62" s="43">
        <v>2.0147750167897917E-3</v>
      </c>
    </row>
    <row r="63" spans="2:5" ht="15" customHeight="1">
      <c r="B63" s="76"/>
      <c r="C63" s="45" t="s">
        <v>29</v>
      </c>
      <c r="D63" s="44">
        <v>1</v>
      </c>
      <c r="E63" s="43">
        <v>6.7159167226326397E-4</v>
      </c>
    </row>
    <row r="64" spans="2:5" ht="15" customHeight="1">
      <c r="B64" s="76"/>
      <c r="C64" s="45" t="s">
        <v>45</v>
      </c>
      <c r="D64" s="44">
        <v>3</v>
      </c>
      <c r="E64" s="43">
        <v>2.0147750167897917E-3</v>
      </c>
    </row>
    <row r="65" spans="2:5" ht="15" customHeight="1">
      <c r="B65" s="76"/>
      <c r="C65" s="45" t="s">
        <v>39</v>
      </c>
      <c r="D65" s="44">
        <v>2</v>
      </c>
      <c r="E65" s="43">
        <v>1.3431833445265279E-3</v>
      </c>
    </row>
    <row r="66" spans="2:5" ht="15" customHeight="1">
      <c r="B66" s="76"/>
      <c r="C66" s="45" t="s">
        <v>41</v>
      </c>
      <c r="D66" s="44">
        <v>4</v>
      </c>
      <c r="E66" s="43">
        <v>2.6863666890530559E-3</v>
      </c>
    </row>
    <row r="67" spans="2:5" ht="15" customHeight="1">
      <c r="B67" s="76"/>
      <c r="C67" s="45" t="s">
        <v>33</v>
      </c>
      <c r="D67" s="44">
        <v>1</v>
      </c>
      <c r="E67" s="43">
        <v>6.7159167226326397E-4</v>
      </c>
    </row>
    <row r="68" spans="2:5" ht="15" customHeight="1">
      <c r="B68" s="76"/>
      <c r="C68" s="45" t="s">
        <v>35</v>
      </c>
      <c r="D68" s="44">
        <v>1</v>
      </c>
      <c r="E68" s="43">
        <v>6.7159167226326397E-4</v>
      </c>
    </row>
    <row r="69" spans="2:5" ht="15" customHeight="1">
      <c r="B69" s="76"/>
      <c r="C69" s="45" t="s">
        <v>44</v>
      </c>
      <c r="D69" s="44">
        <v>7</v>
      </c>
      <c r="E69" s="43">
        <v>4.7011417058428475E-3</v>
      </c>
    </row>
    <row r="70" spans="2:5" ht="15" customHeight="1">
      <c r="B70" s="76"/>
      <c r="C70" s="45" t="s">
        <v>31</v>
      </c>
      <c r="D70" s="44">
        <v>1</v>
      </c>
      <c r="E70" s="43">
        <v>6.7159167226326397E-4</v>
      </c>
    </row>
    <row r="71" spans="2:5" ht="15" customHeight="1">
      <c r="B71" s="76"/>
      <c r="C71" s="45" t="s">
        <v>42</v>
      </c>
      <c r="D71" s="44">
        <v>4</v>
      </c>
      <c r="E71" s="43">
        <v>2.6863666890530559E-3</v>
      </c>
    </row>
    <row r="72" spans="2:5" ht="15" customHeight="1">
      <c r="B72" s="75"/>
      <c r="C72" s="42" t="s">
        <v>15</v>
      </c>
      <c r="D72" s="41">
        <v>27</v>
      </c>
      <c r="E72" s="40">
        <v>1.8132975151108125E-2</v>
      </c>
    </row>
    <row r="73" spans="2:5" ht="15" customHeight="1">
      <c r="B73" s="74" t="s">
        <v>199</v>
      </c>
      <c r="C73" s="45" t="s">
        <v>25</v>
      </c>
      <c r="D73" s="44">
        <v>1</v>
      </c>
      <c r="E73" s="43">
        <v>6.7159167226326397E-4</v>
      </c>
    </row>
    <row r="74" spans="2:5" ht="15" customHeight="1">
      <c r="B74" s="76"/>
      <c r="C74" s="45" t="s">
        <v>24</v>
      </c>
      <c r="D74" s="44">
        <v>1</v>
      </c>
      <c r="E74" s="43">
        <v>6.7159167226326397E-4</v>
      </c>
    </row>
    <row r="75" spans="2:5" ht="15" customHeight="1">
      <c r="B75" s="76"/>
      <c r="C75" s="45" t="s">
        <v>36</v>
      </c>
      <c r="D75" s="44">
        <v>4</v>
      </c>
      <c r="E75" s="43">
        <v>2.6863666890530559E-3</v>
      </c>
    </row>
    <row r="76" spans="2:5" ht="15" customHeight="1">
      <c r="B76" s="76"/>
      <c r="C76" s="45" t="s">
        <v>32</v>
      </c>
      <c r="D76" s="44">
        <v>1</v>
      </c>
      <c r="E76" s="43">
        <v>6.7159167226326397E-4</v>
      </c>
    </row>
    <row r="77" spans="2:5" ht="15" customHeight="1">
      <c r="B77" s="76"/>
      <c r="C77" s="45" t="s">
        <v>40</v>
      </c>
      <c r="D77" s="44">
        <v>1</v>
      </c>
      <c r="E77" s="43">
        <v>6.7159167226326397E-4</v>
      </c>
    </row>
    <row r="78" spans="2:5" ht="15" customHeight="1">
      <c r="B78" s="76"/>
      <c r="C78" s="45" t="s">
        <v>29</v>
      </c>
      <c r="D78" s="44">
        <v>1</v>
      </c>
      <c r="E78" s="43">
        <v>6.7159167226326397E-4</v>
      </c>
    </row>
    <row r="79" spans="2:5" ht="15" customHeight="1">
      <c r="B79" s="76"/>
      <c r="C79" s="45" t="s">
        <v>45</v>
      </c>
      <c r="D79" s="44">
        <v>22</v>
      </c>
      <c r="E79" s="43">
        <v>1.4775016789791807E-2</v>
      </c>
    </row>
    <row r="80" spans="2:5" ht="15" customHeight="1">
      <c r="B80" s="76"/>
      <c r="C80" s="45" t="s">
        <v>39</v>
      </c>
      <c r="D80" s="44">
        <v>16</v>
      </c>
      <c r="E80" s="43">
        <v>1.0745466756212223E-2</v>
      </c>
    </row>
    <row r="81" spans="2:5" ht="15" customHeight="1">
      <c r="B81" s="76"/>
      <c r="C81" s="45" t="s">
        <v>41</v>
      </c>
      <c r="D81" s="44">
        <v>8</v>
      </c>
      <c r="E81" s="43">
        <v>5.3727333781061117E-3</v>
      </c>
    </row>
    <row r="82" spans="2:5" ht="15" customHeight="1">
      <c r="B82" s="76"/>
      <c r="C82" s="45" t="s">
        <v>38</v>
      </c>
      <c r="D82" s="44">
        <v>8</v>
      </c>
      <c r="E82" s="43">
        <v>5.3727333781061117E-3</v>
      </c>
    </row>
    <row r="83" spans="2:5" ht="15" customHeight="1">
      <c r="B83" s="76"/>
      <c r="C83" s="45" t="s">
        <v>43</v>
      </c>
      <c r="D83" s="44">
        <v>4</v>
      </c>
      <c r="E83" s="43">
        <v>2.6863666890530559E-3</v>
      </c>
    </row>
    <row r="84" spans="2:5" ht="15" customHeight="1">
      <c r="B84" s="76"/>
      <c r="C84" s="45" t="s">
        <v>37</v>
      </c>
      <c r="D84" s="44">
        <v>6</v>
      </c>
      <c r="E84" s="43">
        <v>4.0295500335795834E-3</v>
      </c>
    </row>
    <row r="85" spans="2:5" ht="15" customHeight="1">
      <c r="B85" s="76"/>
      <c r="C85" s="45" t="s">
        <v>22</v>
      </c>
      <c r="D85" s="44">
        <v>1</v>
      </c>
      <c r="E85" s="43">
        <v>6.7159167226326397E-4</v>
      </c>
    </row>
    <row r="86" spans="2:5" ht="15" customHeight="1">
      <c r="B86" s="76"/>
      <c r="C86" s="45" t="s">
        <v>35</v>
      </c>
      <c r="D86" s="44">
        <v>4</v>
      </c>
      <c r="E86" s="43">
        <v>2.6863666890530559E-3</v>
      </c>
    </row>
    <row r="87" spans="2:5" ht="15" customHeight="1">
      <c r="B87" s="76"/>
      <c r="C87" s="45" t="s">
        <v>44</v>
      </c>
      <c r="D87" s="44">
        <v>25</v>
      </c>
      <c r="E87" s="43">
        <v>1.6789791806581598E-2</v>
      </c>
    </row>
    <row r="88" spans="2:5" ht="15" customHeight="1">
      <c r="B88" s="76"/>
      <c r="C88" s="45" t="s">
        <v>31</v>
      </c>
      <c r="D88" s="44">
        <v>1</v>
      </c>
      <c r="E88" s="43">
        <v>6.7159167226326397E-4</v>
      </c>
    </row>
    <row r="89" spans="2:5" ht="15" customHeight="1">
      <c r="B89" s="76"/>
      <c r="C89" s="45" t="s">
        <v>23</v>
      </c>
      <c r="D89" s="44">
        <v>1</v>
      </c>
      <c r="E89" s="43">
        <v>6.7159167226326397E-4</v>
      </c>
    </row>
    <row r="90" spans="2:5" ht="15" customHeight="1">
      <c r="B90" s="76"/>
      <c r="C90" s="45" t="s">
        <v>42</v>
      </c>
      <c r="D90" s="44">
        <v>8</v>
      </c>
      <c r="E90" s="43">
        <v>5.3727333781061117E-3</v>
      </c>
    </row>
    <row r="91" spans="2:5" ht="15" customHeight="1">
      <c r="B91" s="76"/>
      <c r="C91" s="45" t="s">
        <v>30</v>
      </c>
      <c r="D91" s="44">
        <v>1</v>
      </c>
      <c r="E91" s="43">
        <v>6.7159167226326397E-4</v>
      </c>
    </row>
    <row r="92" spans="2:5" ht="15" customHeight="1">
      <c r="B92" s="75"/>
      <c r="C92" s="42" t="s">
        <v>15</v>
      </c>
      <c r="D92" s="41">
        <v>114</v>
      </c>
      <c r="E92" s="40">
        <v>7.6561450638012091E-2</v>
      </c>
    </row>
    <row r="93" spans="2:5" ht="15" customHeight="1">
      <c r="B93" s="74" t="s">
        <v>198</v>
      </c>
      <c r="C93" s="45" t="s">
        <v>25</v>
      </c>
      <c r="D93" s="44">
        <v>1</v>
      </c>
      <c r="E93" s="43">
        <v>6.7159167226326397E-4</v>
      </c>
    </row>
    <row r="94" spans="2:5" ht="15" customHeight="1">
      <c r="B94" s="76"/>
      <c r="C94" s="45" t="s">
        <v>24</v>
      </c>
      <c r="D94" s="44">
        <v>1</v>
      </c>
      <c r="E94" s="43">
        <v>6.7159167226326397E-4</v>
      </c>
    </row>
    <row r="95" spans="2:5" ht="15" customHeight="1">
      <c r="B95" s="76"/>
      <c r="C95" s="45" t="s">
        <v>36</v>
      </c>
      <c r="D95" s="44">
        <v>10</v>
      </c>
      <c r="E95" s="43">
        <v>6.7159167226326392E-3</v>
      </c>
    </row>
    <row r="96" spans="2:5" ht="15" customHeight="1">
      <c r="B96" s="76"/>
      <c r="C96" s="45" t="s">
        <v>40</v>
      </c>
      <c r="D96" s="44">
        <v>4</v>
      </c>
      <c r="E96" s="43">
        <v>2.6863666890530559E-3</v>
      </c>
    </row>
    <row r="97" spans="2:5" ht="15" customHeight="1">
      <c r="B97" s="76"/>
      <c r="C97" s="45" t="s">
        <v>29</v>
      </c>
      <c r="D97" s="44">
        <v>2</v>
      </c>
      <c r="E97" s="43">
        <v>1.3431833445265279E-3</v>
      </c>
    </row>
    <row r="98" spans="2:5" ht="15" customHeight="1">
      <c r="B98" s="76"/>
      <c r="C98" s="45" t="s">
        <v>45</v>
      </c>
      <c r="D98" s="44">
        <v>46</v>
      </c>
      <c r="E98" s="43">
        <v>3.089321692411014E-2</v>
      </c>
    </row>
    <row r="99" spans="2:5" ht="15" customHeight="1">
      <c r="B99" s="76"/>
      <c r="C99" s="45" t="s">
        <v>39</v>
      </c>
      <c r="D99" s="44">
        <v>20</v>
      </c>
      <c r="E99" s="43">
        <v>1.3431833445265278E-2</v>
      </c>
    </row>
    <row r="100" spans="2:5" ht="15" customHeight="1">
      <c r="B100" s="76"/>
      <c r="C100" s="45" t="s">
        <v>41</v>
      </c>
      <c r="D100" s="44">
        <v>13</v>
      </c>
      <c r="E100" s="43">
        <v>8.7306917394224318E-3</v>
      </c>
    </row>
    <row r="101" spans="2:5" ht="15" customHeight="1">
      <c r="B101" s="76"/>
      <c r="C101" s="45" t="s">
        <v>33</v>
      </c>
      <c r="D101" s="44">
        <v>3</v>
      </c>
      <c r="E101" s="43">
        <v>2.0147750167897917E-3</v>
      </c>
    </row>
    <row r="102" spans="2:5" ht="15" customHeight="1">
      <c r="B102" s="76"/>
      <c r="C102" s="45" t="s">
        <v>38</v>
      </c>
      <c r="D102" s="44">
        <v>15</v>
      </c>
      <c r="E102" s="43">
        <v>1.0073875083948958E-2</v>
      </c>
    </row>
    <row r="103" spans="2:5" ht="15" customHeight="1">
      <c r="B103" s="76"/>
      <c r="C103" s="45" t="s">
        <v>43</v>
      </c>
      <c r="D103" s="44">
        <v>15</v>
      </c>
      <c r="E103" s="43">
        <v>1.0073875083948958E-2</v>
      </c>
    </row>
    <row r="104" spans="2:5" ht="15" customHeight="1">
      <c r="B104" s="76"/>
      <c r="C104" s="45" t="s">
        <v>37</v>
      </c>
      <c r="D104" s="44">
        <v>4</v>
      </c>
      <c r="E104" s="43">
        <v>2.6863666890530559E-3</v>
      </c>
    </row>
    <row r="105" spans="2:5" ht="15" customHeight="1">
      <c r="B105" s="76"/>
      <c r="C105" s="45" t="s">
        <v>35</v>
      </c>
      <c r="D105" s="44">
        <v>8</v>
      </c>
      <c r="E105" s="43">
        <v>5.3727333781061117E-3</v>
      </c>
    </row>
    <row r="106" spans="2:5" ht="15" customHeight="1">
      <c r="B106" s="76"/>
      <c r="C106" s="45" t="s">
        <v>44</v>
      </c>
      <c r="D106" s="44">
        <v>47</v>
      </c>
      <c r="E106" s="43">
        <v>3.1564808596373402E-2</v>
      </c>
    </row>
    <row r="107" spans="2:5" ht="15" customHeight="1">
      <c r="B107" s="76"/>
      <c r="C107" s="45" t="s">
        <v>34</v>
      </c>
      <c r="D107" s="44">
        <v>5</v>
      </c>
      <c r="E107" s="43">
        <v>3.3579583613163196E-3</v>
      </c>
    </row>
    <row r="108" spans="2:5" ht="15" customHeight="1">
      <c r="B108" s="76"/>
      <c r="C108" s="45" t="s">
        <v>20</v>
      </c>
      <c r="D108" s="44">
        <v>1</v>
      </c>
      <c r="E108" s="43">
        <v>6.7159167226326397E-4</v>
      </c>
    </row>
    <row r="109" spans="2:5" ht="15" customHeight="1">
      <c r="B109" s="76"/>
      <c r="C109" s="45" t="s">
        <v>26</v>
      </c>
      <c r="D109" s="44">
        <v>1</v>
      </c>
      <c r="E109" s="43">
        <v>6.7159167226326397E-4</v>
      </c>
    </row>
    <row r="110" spans="2:5" ht="15" customHeight="1">
      <c r="B110" s="76"/>
      <c r="C110" s="45" t="s">
        <v>31</v>
      </c>
      <c r="D110" s="44">
        <v>2</v>
      </c>
      <c r="E110" s="43">
        <v>1.3431833445265279E-3</v>
      </c>
    </row>
    <row r="111" spans="2:5" ht="15" customHeight="1">
      <c r="B111" s="76"/>
      <c r="C111" s="45" t="s">
        <v>23</v>
      </c>
      <c r="D111" s="44">
        <v>3</v>
      </c>
      <c r="E111" s="43">
        <v>2.0147750167897917E-3</v>
      </c>
    </row>
    <row r="112" spans="2:5" ht="15" customHeight="1">
      <c r="B112" s="76"/>
      <c r="C112" s="45" t="s">
        <v>42</v>
      </c>
      <c r="D112" s="44">
        <v>25</v>
      </c>
      <c r="E112" s="43">
        <v>1.6789791806581598E-2</v>
      </c>
    </row>
    <row r="113" spans="2:5" ht="15" customHeight="1">
      <c r="B113" s="75"/>
      <c r="C113" s="42" t="s">
        <v>15</v>
      </c>
      <c r="D113" s="41">
        <v>226</v>
      </c>
      <c r="E113" s="40">
        <v>0.15177971793149764</v>
      </c>
    </row>
    <row r="114" spans="2:5" ht="15" customHeight="1">
      <c r="B114" s="74" t="s">
        <v>197</v>
      </c>
      <c r="C114" s="45" t="s">
        <v>36</v>
      </c>
      <c r="D114" s="44">
        <v>1</v>
      </c>
      <c r="E114" s="43">
        <v>6.7159167226326397E-4</v>
      </c>
    </row>
    <row r="115" spans="2:5" ht="15" customHeight="1">
      <c r="B115" s="76"/>
      <c r="C115" s="45" t="s">
        <v>45</v>
      </c>
      <c r="D115" s="44">
        <v>7</v>
      </c>
      <c r="E115" s="43">
        <v>4.7011417058428475E-3</v>
      </c>
    </row>
    <row r="116" spans="2:5" ht="15" customHeight="1">
      <c r="B116" s="76"/>
      <c r="C116" s="45" t="s">
        <v>39</v>
      </c>
      <c r="D116" s="44">
        <v>1</v>
      </c>
      <c r="E116" s="43">
        <v>6.7159167226326397E-4</v>
      </c>
    </row>
    <row r="117" spans="2:5" ht="15" customHeight="1">
      <c r="B117" s="76"/>
      <c r="C117" s="45" t="s">
        <v>41</v>
      </c>
      <c r="D117" s="44">
        <v>3</v>
      </c>
      <c r="E117" s="43">
        <v>2.0147750167897917E-3</v>
      </c>
    </row>
    <row r="118" spans="2:5" ht="15" customHeight="1">
      <c r="B118" s="76"/>
      <c r="C118" s="45" t="s">
        <v>38</v>
      </c>
      <c r="D118" s="44">
        <v>1</v>
      </c>
      <c r="E118" s="43">
        <v>6.7159167226326397E-4</v>
      </c>
    </row>
    <row r="119" spans="2:5" ht="15" customHeight="1">
      <c r="B119" s="76"/>
      <c r="C119" s="45" t="s">
        <v>43</v>
      </c>
      <c r="D119" s="44">
        <v>1</v>
      </c>
      <c r="E119" s="43">
        <v>6.7159167226326397E-4</v>
      </c>
    </row>
    <row r="120" spans="2:5" ht="15" customHeight="1">
      <c r="B120" s="76"/>
      <c r="C120" s="45" t="s">
        <v>37</v>
      </c>
      <c r="D120" s="44">
        <v>1</v>
      </c>
      <c r="E120" s="43">
        <v>6.7159167226326397E-4</v>
      </c>
    </row>
    <row r="121" spans="2:5" ht="15" customHeight="1">
      <c r="B121" s="76"/>
      <c r="C121" s="45" t="s">
        <v>35</v>
      </c>
      <c r="D121" s="44">
        <v>1</v>
      </c>
      <c r="E121" s="43">
        <v>6.7159167226326397E-4</v>
      </c>
    </row>
    <row r="122" spans="2:5" ht="15" customHeight="1">
      <c r="B122" s="76"/>
      <c r="C122" s="45" t="s">
        <v>44</v>
      </c>
      <c r="D122" s="44">
        <v>2</v>
      </c>
      <c r="E122" s="43">
        <v>1.3431833445265279E-3</v>
      </c>
    </row>
    <row r="123" spans="2:5" ht="15" customHeight="1">
      <c r="B123" s="76"/>
      <c r="C123" s="45" t="s">
        <v>34</v>
      </c>
      <c r="D123" s="44">
        <v>1</v>
      </c>
      <c r="E123" s="43">
        <v>6.7159167226326397E-4</v>
      </c>
    </row>
    <row r="124" spans="2:5" ht="15" customHeight="1">
      <c r="B124" s="76"/>
      <c r="C124" s="45" t="s">
        <v>42</v>
      </c>
      <c r="D124" s="44">
        <v>2</v>
      </c>
      <c r="E124" s="43">
        <v>1.3431833445265279E-3</v>
      </c>
    </row>
    <row r="125" spans="2:5" ht="15" customHeight="1">
      <c r="B125" s="75"/>
      <c r="C125" s="42" t="s">
        <v>15</v>
      </c>
      <c r="D125" s="41">
        <v>21</v>
      </c>
      <c r="E125" s="40">
        <v>1.4103425117528543E-2</v>
      </c>
    </row>
    <row r="126" spans="2:5" ht="15" customHeight="1">
      <c r="B126" s="74" t="s">
        <v>196</v>
      </c>
      <c r="C126" s="45" t="s">
        <v>36</v>
      </c>
      <c r="D126" s="44">
        <v>1</v>
      </c>
      <c r="E126" s="43">
        <v>6.7159167226326397E-4</v>
      </c>
    </row>
    <row r="127" spans="2:5" ht="15" customHeight="1">
      <c r="B127" s="76"/>
      <c r="C127" s="45" t="s">
        <v>40</v>
      </c>
      <c r="D127" s="44">
        <v>2</v>
      </c>
      <c r="E127" s="43">
        <v>1.3431833445265279E-3</v>
      </c>
    </row>
    <row r="128" spans="2:5" ht="15" customHeight="1">
      <c r="B128" s="76"/>
      <c r="C128" s="45" t="s">
        <v>45</v>
      </c>
      <c r="D128" s="44">
        <v>9</v>
      </c>
      <c r="E128" s="43">
        <v>6.044325050369375E-3</v>
      </c>
    </row>
    <row r="129" spans="2:5" ht="15" customHeight="1">
      <c r="B129" s="76"/>
      <c r="C129" s="45" t="s">
        <v>39</v>
      </c>
      <c r="D129" s="44">
        <v>8</v>
      </c>
      <c r="E129" s="43">
        <v>5.3727333781061117E-3</v>
      </c>
    </row>
    <row r="130" spans="2:5" ht="15" customHeight="1">
      <c r="B130" s="76"/>
      <c r="C130" s="45" t="s">
        <v>41</v>
      </c>
      <c r="D130" s="44">
        <v>2</v>
      </c>
      <c r="E130" s="43">
        <v>1.3431833445265279E-3</v>
      </c>
    </row>
    <row r="131" spans="2:5" ht="15" customHeight="1">
      <c r="B131" s="76"/>
      <c r="C131" s="45" t="s">
        <v>38</v>
      </c>
      <c r="D131" s="44">
        <v>5</v>
      </c>
      <c r="E131" s="43">
        <v>3.3579583613163196E-3</v>
      </c>
    </row>
    <row r="132" spans="2:5" ht="15" customHeight="1">
      <c r="B132" s="76"/>
      <c r="C132" s="45" t="s">
        <v>43</v>
      </c>
      <c r="D132" s="44">
        <v>2</v>
      </c>
      <c r="E132" s="43">
        <v>1.3431833445265279E-3</v>
      </c>
    </row>
    <row r="133" spans="2:5" ht="15" customHeight="1">
      <c r="B133" s="76"/>
      <c r="C133" s="45" t="s">
        <v>37</v>
      </c>
      <c r="D133" s="44">
        <v>2</v>
      </c>
      <c r="E133" s="43">
        <v>1.3431833445265279E-3</v>
      </c>
    </row>
    <row r="134" spans="2:5" ht="15" customHeight="1">
      <c r="B134" s="76"/>
      <c r="C134" s="45" t="s">
        <v>35</v>
      </c>
      <c r="D134" s="44">
        <v>2</v>
      </c>
      <c r="E134" s="43">
        <v>1.3431833445265279E-3</v>
      </c>
    </row>
    <row r="135" spans="2:5" ht="15" customHeight="1">
      <c r="B135" s="76"/>
      <c r="C135" s="45" t="s">
        <v>44</v>
      </c>
      <c r="D135" s="44">
        <v>14</v>
      </c>
      <c r="E135" s="43">
        <v>9.4022834116856951E-3</v>
      </c>
    </row>
    <row r="136" spans="2:5" ht="15" customHeight="1">
      <c r="B136" s="76"/>
      <c r="C136" s="45" t="s">
        <v>42</v>
      </c>
      <c r="D136" s="44">
        <v>5</v>
      </c>
      <c r="E136" s="43">
        <v>3.3579583613163196E-3</v>
      </c>
    </row>
    <row r="137" spans="2:5" ht="15" customHeight="1">
      <c r="B137" s="75"/>
      <c r="C137" s="42" t="s">
        <v>15</v>
      </c>
      <c r="D137" s="41">
        <v>52</v>
      </c>
      <c r="E137" s="40">
        <v>3.4922766957689727E-2</v>
      </c>
    </row>
    <row r="138" spans="2:5" ht="15" customHeight="1">
      <c r="B138" s="74" t="s">
        <v>195</v>
      </c>
      <c r="C138" s="45" t="s">
        <v>36</v>
      </c>
      <c r="D138" s="44">
        <v>1</v>
      </c>
      <c r="E138" s="43">
        <v>6.7159167226326397E-4</v>
      </c>
    </row>
    <row r="139" spans="2:5" ht="15" customHeight="1">
      <c r="B139" s="76"/>
      <c r="C139" s="45" t="s">
        <v>40</v>
      </c>
      <c r="D139" s="44">
        <v>1</v>
      </c>
      <c r="E139" s="43">
        <v>6.7159167226326397E-4</v>
      </c>
    </row>
    <row r="140" spans="2:5" ht="15" customHeight="1">
      <c r="B140" s="76"/>
      <c r="C140" s="45" t="s">
        <v>29</v>
      </c>
      <c r="D140" s="44">
        <v>1</v>
      </c>
      <c r="E140" s="43">
        <v>6.7159167226326397E-4</v>
      </c>
    </row>
    <row r="141" spans="2:5" ht="15" customHeight="1">
      <c r="B141" s="76"/>
      <c r="C141" s="45" t="s">
        <v>45</v>
      </c>
      <c r="D141" s="44">
        <v>13</v>
      </c>
      <c r="E141" s="43">
        <v>8.7306917394224318E-3</v>
      </c>
    </row>
    <row r="142" spans="2:5" ht="15" customHeight="1">
      <c r="B142" s="76"/>
      <c r="C142" s="45" t="s">
        <v>39</v>
      </c>
      <c r="D142" s="44">
        <v>2</v>
      </c>
      <c r="E142" s="43">
        <v>1.3431833445265279E-3</v>
      </c>
    </row>
    <row r="143" spans="2:5" ht="15" customHeight="1">
      <c r="B143" s="76"/>
      <c r="C143" s="45" t="s">
        <v>41</v>
      </c>
      <c r="D143" s="44">
        <v>2</v>
      </c>
      <c r="E143" s="43">
        <v>1.3431833445265279E-3</v>
      </c>
    </row>
    <row r="144" spans="2:5" ht="15" customHeight="1">
      <c r="B144" s="76"/>
      <c r="C144" s="45" t="s">
        <v>33</v>
      </c>
      <c r="D144" s="44">
        <v>1</v>
      </c>
      <c r="E144" s="43">
        <v>6.7159167226326397E-4</v>
      </c>
    </row>
    <row r="145" spans="2:5" ht="15" customHeight="1">
      <c r="B145" s="76"/>
      <c r="C145" s="45" t="s">
        <v>38</v>
      </c>
      <c r="D145" s="44">
        <v>2</v>
      </c>
      <c r="E145" s="43">
        <v>1.3431833445265279E-3</v>
      </c>
    </row>
    <row r="146" spans="2:5" ht="15" customHeight="1">
      <c r="B146" s="76"/>
      <c r="C146" s="45" t="s">
        <v>43</v>
      </c>
      <c r="D146" s="44">
        <v>1</v>
      </c>
      <c r="E146" s="43">
        <v>6.7159167226326397E-4</v>
      </c>
    </row>
    <row r="147" spans="2:5" ht="15" customHeight="1">
      <c r="B147" s="76"/>
      <c r="C147" s="45" t="s">
        <v>37</v>
      </c>
      <c r="D147" s="44">
        <v>4</v>
      </c>
      <c r="E147" s="43">
        <v>2.6863666890530559E-3</v>
      </c>
    </row>
    <row r="148" spans="2:5" ht="15" customHeight="1">
      <c r="B148" s="76"/>
      <c r="C148" s="45" t="s">
        <v>35</v>
      </c>
      <c r="D148" s="44">
        <v>4</v>
      </c>
      <c r="E148" s="43">
        <v>2.6863666890530559E-3</v>
      </c>
    </row>
    <row r="149" spans="2:5" ht="15" customHeight="1">
      <c r="B149" s="76"/>
      <c r="C149" s="45" t="s">
        <v>44</v>
      </c>
      <c r="D149" s="44">
        <v>15</v>
      </c>
      <c r="E149" s="43">
        <v>1.0073875083948958E-2</v>
      </c>
    </row>
    <row r="150" spans="2:5" ht="15" customHeight="1">
      <c r="B150" s="76"/>
      <c r="C150" s="45" t="s">
        <v>34</v>
      </c>
      <c r="D150" s="44">
        <v>1</v>
      </c>
      <c r="E150" s="43">
        <v>6.7159167226326397E-4</v>
      </c>
    </row>
    <row r="151" spans="2:5" ht="15" customHeight="1">
      <c r="B151" s="76"/>
      <c r="C151" s="45" t="s">
        <v>31</v>
      </c>
      <c r="D151" s="44">
        <v>2</v>
      </c>
      <c r="E151" s="43">
        <v>1.3431833445265279E-3</v>
      </c>
    </row>
    <row r="152" spans="2:5" ht="15" customHeight="1">
      <c r="B152" s="76"/>
      <c r="C152" s="45" t="s">
        <v>23</v>
      </c>
      <c r="D152" s="44">
        <v>2</v>
      </c>
      <c r="E152" s="43">
        <v>1.3431833445265279E-3</v>
      </c>
    </row>
    <row r="153" spans="2:5" ht="15" customHeight="1">
      <c r="B153" s="76"/>
      <c r="C153" s="45" t="s">
        <v>42</v>
      </c>
      <c r="D153" s="44">
        <v>2</v>
      </c>
      <c r="E153" s="43">
        <v>1.3431833445265279E-3</v>
      </c>
    </row>
    <row r="154" spans="2:5" ht="15" customHeight="1">
      <c r="B154" s="75"/>
      <c r="C154" s="42" t="s">
        <v>15</v>
      </c>
      <c r="D154" s="41">
        <v>54</v>
      </c>
      <c r="E154" s="40">
        <v>3.626595030221625E-2</v>
      </c>
    </row>
    <row r="155" spans="2:5" ht="15" customHeight="1">
      <c r="B155" s="74" t="s">
        <v>194</v>
      </c>
      <c r="C155" s="45" t="s">
        <v>25</v>
      </c>
      <c r="D155" s="44">
        <v>6</v>
      </c>
      <c r="E155" s="43">
        <v>4.0295500335795834E-3</v>
      </c>
    </row>
    <row r="156" spans="2:5" ht="15" customHeight="1">
      <c r="B156" s="76"/>
      <c r="C156" s="45" t="s">
        <v>18</v>
      </c>
      <c r="D156" s="44">
        <v>1</v>
      </c>
      <c r="E156" s="43">
        <v>6.7159167226326397E-4</v>
      </c>
    </row>
    <row r="157" spans="2:5" ht="15" customHeight="1">
      <c r="B157" s="76"/>
      <c r="C157" s="45" t="s">
        <v>17</v>
      </c>
      <c r="D157" s="44">
        <v>2</v>
      </c>
      <c r="E157" s="43">
        <v>1.3431833445265279E-3</v>
      </c>
    </row>
    <row r="158" spans="2:5" ht="15" customHeight="1">
      <c r="B158" s="76"/>
      <c r="C158" s="45" t="s">
        <v>36</v>
      </c>
      <c r="D158" s="44">
        <v>21</v>
      </c>
      <c r="E158" s="43">
        <v>1.4103425117528543E-2</v>
      </c>
    </row>
    <row r="159" spans="2:5" ht="15" customHeight="1">
      <c r="B159" s="76"/>
      <c r="C159" s="45" t="s">
        <v>32</v>
      </c>
      <c r="D159" s="44">
        <v>3</v>
      </c>
      <c r="E159" s="43">
        <v>2.0147750167897917E-3</v>
      </c>
    </row>
    <row r="160" spans="2:5" ht="15" customHeight="1">
      <c r="B160" s="76"/>
      <c r="C160" s="45" t="s">
        <v>19</v>
      </c>
      <c r="D160" s="44">
        <v>1</v>
      </c>
      <c r="E160" s="43">
        <v>6.7159167226326397E-4</v>
      </c>
    </row>
    <row r="161" spans="2:5" ht="15" customHeight="1">
      <c r="B161" s="76"/>
      <c r="C161" s="45" t="s">
        <v>40</v>
      </c>
      <c r="D161" s="44">
        <v>28</v>
      </c>
      <c r="E161" s="43">
        <v>1.880456682337139E-2</v>
      </c>
    </row>
    <row r="162" spans="2:5" ht="15" customHeight="1">
      <c r="B162" s="76"/>
      <c r="C162" s="45" t="s">
        <v>29</v>
      </c>
      <c r="D162" s="44">
        <v>8</v>
      </c>
      <c r="E162" s="43">
        <v>5.3727333781061117E-3</v>
      </c>
    </row>
    <row r="163" spans="2:5" ht="15" customHeight="1">
      <c r="B163" s="76"/>
      <c r="C163" s="45" t="s">
        <v>45</v>
      </c>
      <c r="D163" s="44">
        <v>129</v>
      </c>
      <c r="E163" s="43">
        <v>8.6635325721961046E-2</v>
      </c>
    </row>
    <row r="164" spans="2:5" ht="15" customHeight="1">
      <c r="B164" s="76"/>
      <c r="C164" s="45" t="s">
        <v>39</v>
      </c>
      <c r="D164" s="44">
        <v>24</v>
      </c>
      <c r="E164" s="43">
        <v>1.6118200134318333E-2</v>
      </c>
    </row>
    <row r="165" spans="2:5" ht="15" customHeight="1">
      <c r="B165" s="76"/>
      <c r="C165" s="45" t="s">
        <v>41</v>
      </c>
      <c r="D165" s="44">
        <v>29</v>
      </c>
      <c r="E165" s="43">
        <v>1.9476158495634655E-2</v>
      </c>
    </row>
    <row r="166" spans="2:5" ht="15" customHeight="1">
      <c r="B166" s="76"/>
      <c r="C166" s="45" t="s">
        <v>33</v>
      </c>
      <c r="D166" s="44">
        <v>5</v>
      </c>
      <c r="E166" s="43">
        <v>3.3579583613163196E-3</v>
      </c>
    </row>
    <row r="167" spans="2:5" ht="15" customHeight="1">
      <c r="B167" s="76"/>
      <c r="C167" s="45" t="s">
        <v>38</v>
      </c>
      <c r="D167" s="44">
        <v>10</v>
      </c>
      <c r="E167" s="43">
        <v>6.7159167226326392E-3</v>
      </c>
    </row>
    <row r="168" spans="2:5" ht="15" customHeight="1">
      <c r="B168" s="76"/>
      <c r="C168" s="45" t="s">
        <v>43</v>
      </c>
      <c r="D168" s="44">
        <v>15</v>
      </c>
      <c r="E168" s="43">
        <v>1.0073875083948958E-2</v>
      </c>
    </row>
    <row r="169" spans="2:5" ht="15" customHeight="1">
      <c r="B169" s="76"/>
      <c r="C169" s="45" t="s">
        <v>37</v>
      </c>
      <c r="D169" s="44">
        <v>29</v>
      </c>
      <c r="E169" s="43">
        <v>1.9476158495634655E-2</v>
      </c>
    </row>
    <row r="170" spans="2:5" ht="15" customHeight="1">
      <c r="B170" s="76"/>
      <c r="C170" s="45" t="s">
        <v>28</v>
      </c>
      <c r="D170" s="44">
        <v>4</v>
      </c>
      <c r="E170" s="43">
        <v>2.6863666890530559E-3</v>
      </c>
    </row>
    <row r="171" spans="2:5" ht="15" customHeight="1">
      <c r="B171" s="76"/>
      <c r="C171" s="45" t="s">
        <v>35</v>
      </c>
      <c r="D171" s="44">
        <v>12</v>
      </c>
      <c r="E171" s="43">
        <v>8.0591000671591667E-3</v>
      </c>
    </row>
    <row r="172" spans="2:5" ht="15" customHeight="1">
      <c r="B172" s="76"/>
      <c r="C172" s="45" t="s">
        <v>44</v>
      </c>
      <c r="D172" s="44">
        <v>123</v>
      </c>
      <c r="E172" s="43">
        <v>8.2605775688381469E-2</v>
      </c>
    </row>
    <row r="173" spans="2:5" ht="15" customHeight="1">
      <c r="B173" s="76"/>
      <c r="C173" s="45" t="s">
        <v>27</v>
      </c>
      <c r="D173" s="44">
        <v>1</v>
      </c>
      <c r="E173" s="43">
        <v>6.7159167226326397E-4</v>
      </c>
    </row>
    <row r="174" spans="2:5" ht="15" customHeight="1">
      <c r="B174" s="76"/>
      <c r="C174" s="45" t="s">
        <v>34</v>
      </c>
      <c r="D174" s="44">
        <v>14</v>
      </c>
      <c r="E174" s="43">
        <v>9.4022834116856951E-3</v>
      </c>
    </row>
    <row r="175" spans="2:5" ht="15" customHeight="1">
      <c r="B175" s="76"/>
      <c r="C175" s="45" t="s">
        <v>26</v>
      </c>
      <c r="D175" s="44">
        <v>1</v>
      </c>
      <c r="E175" s="43">
        <v>6.7159167226326397E-4</v>
      </c>
    </row>
    <row r="176" spans="2:5" ht="15" customHeight="1">
      <c r="B176" s="76"/>
      <c r="C176" s="45" t="s">
        <v>31</v>
      </c>
      <c r="D176" s="44">
        <v>5</v>
      </c>
      <c r="E176" s="43">
        <v>3.3579583613163196E-3</v>
      </c>
    </row>
    <row r="177" spans="2:5" ht="15" customHeight="1">
      <c r="B177" s="76"/>
      <c r="C177" s="45" t="s">
        <v>23</v>
      </c>
      <c r="D177" s="44">
        <v>13</v>
      </c>
      <c r="E177" s="43">
        <v>8.7306917394224318E-3</v>
      </c>
    </row>
    <row r="178" spans="2:5" ht="15" customHeight="1">
      <c r="B178" s="76"/>
      <c r="C178" s="45" t="s">
        <v>42</v>
      </c>
      <c r="D178" s="44">
        <v>42</v>
      </c>
      <c r="E178" s="43">
        <v>2.8206850235057087E-2</v>
      </c>
    </row>
    <row r="179" spans="2:5" ht="15" customHeight="1">
      <c r="B179" s="76"/>
      <c r="C179" s="45" t="s">
        <v>30</v>
      </c>
      <c r="D179" s="44">
        <v>4</v>
      </c>
      <c r="E179" s="43">
        <v>2.6863666890530559E-3</v>
      </c>
    </row>
    <row r="180" spans="2:5" ht="15" customHeight="1">
      <c r="B180" s="75"/>
      <c r="C180" s="42" t="s">
        <v>15</v>
      </c>
      <c r="D180" s="41">
        <v>530</v>
      </c>
      <c r="E180" s="40">
        <v>0.35594358629952988</v>
      </c>
    </row>
    <row r="181" spans="2:5" ht="15" customHeight="1">
      <c r="B181" s="74" t="s">
        <v>238</v>
      </c>
      <c r="C181" s="45" t="s">
        <v>40</v>
      </c>
      <c r="D181" s="44">
        <v>1</v>
      </c>
      <c r="E181" s="43">
        <v>6.7159167226326397E-4</v>
      </c>
    </row>
    <row r="182" spans="2:5" ht="15" customHeight="1">
      <c r="B182" s="76"/>
      <c r="C182" s="45" t="s">
        <v>45</v>
      </c>
      <c r="D182" s="44">
        <v>5</v>
      </c>
      <c r="E182" s="43">
        <v>3.3579583613163196E-3</v>
      </c>
    </row>
    <row r="183" spans="2:5" ht="15" customHeight="1">
      <c r="B183" s="76"/>
      <c r="C183" s="45" t="s">
        <v>39</v>
      </c>
      <c r="D183" s="44">
        <v>1</v>
      </c>
      <c r="E183" s="43">
        <v>6.7159167226326397E-4</v>
      </c>
    </row>
    <row r="184" spans="2:5" ht="15" customHeight="1">
      <c r="B184" s="76"/>
      <c r="C184" s="45" t="s">
        <v>41</v>
      </c>
      <c r="D184" s="44">
        <v>2</v>
      </c>
      <c r="E184" s="43">
        <v>1.3431833445265279E-3</v>
      </c>
    </row>
    <row r="185" spans="2:5" ht="15" customHeight="1">
      <c r="B185" s="76"/>
      <c r="C185" s="45" t="s">
        <v>33</v>
      </c>
      <c r="D185" s="44">
        <v>1</v>
      </c>
      <c r="E185" s="43">
        <v>6.7159167226326397E-4</v>
      </c>
    </row>
    <row r="186" spans="2:5" ht="15" customHeight="1">
      <c r="B186" s="76"/>
      <c r="C186" s="45" t="s">
        <v>22</v>
      </c>
      <c r="D186" s="44">
        <v>1</v>
      </c>
      <c r="E186" s="43">
        <v>6.7159167226326397E-4</v>
      </c>
    </row>
    <row r="187" spans="2:5" ht="15" customHeight="1">
      <c r="B187" s="76"/>
      <c r="C187" s="45" t="s">
        <v>35</v>
      </c>
      <c r="D187" s="44">
        <v>1</v>
      </c>
      <c r="E187" s="43">
        <v>6.7159167226326397E-4</v>
      </c>
    </row>
    <row r="188" spans="2:5" ht="15" customHeight="1">
      <c r="B188" s="76"/>
      <c r="C188" s="45" t="s">
        <v>44</v>
      </c>
      <c r="D188" s="44">
        <v>1</v>
      </c>
      <c r="E188" s="43">
        <v>6.7159167226326397E-4</v>
      </c>
    </row>
    <row r="189" spans="2:5" ht="15" customHeight="1">
      <c r="B189" s="75"/>
      <c r="C189" s="42" t="s">
        <v>15</v>
      </c>
      <c r="D189" s="41">
        <v>13</v>
      </c>
      <c r="E189" s="40">
        <v>8.7306917394224318E-3</v>
      </c>
    </row>
    <row r="190" spans="2:5" ht="15" customHeight="1">
      <c r="B190" s="74" t="s">
        <v>192</v>
      </c>
      <c r="C190" s="45" t="s">
        <v>25</v>
      </c>
      <c r="D190" s="44">
        <v>1</v>
      </c>
      <c r="E190" s="43">
        <v>6.7159167226326397E-4</v>
      </c>
    </row>
    <row r="191" spans="2:5" ht="15" customHeight="1">
      <c r="B191" s="76"/>
      <c r="C191" s="45" t="s">
        <v>36</v>
      </c>
      <c r="D191" s="44">
        <v>1</v>
      </c>
      <c r="E191" s="43">
        <v>6.7159167226326397E-4</v>
      </c>
    </row>
    <row r="192" spans="2:5" ht="15" customHeight="1">
      <c r="B192" s="76"/>
      <c r="C192" s="45" t="s">
        <v>40</v>
      </c>
      <c r="D192" s="44">
        <v>6</v>
      </c>
      <c r="E192" s="43">
        <v>4.0295500335795834E-3</v>
      </c>
    </row>
    <row r="193" spans="2:5" ht="15" customHeight="1">
      <c r="B193" s="76"/>
      <c r="C193" s="45" t="s">
        <v>45</v>
      </c>
      <c r="D193" s="44">
        <v>18</v>
      </c>
      <c r="E193" s="43">
        <v>1.208865010073875E-2</v>
      </c>
    </row>
    <row r="194" spans="2:5" ht="15" customHeight="1">
      <c r="B194" s="76"/>
      <c r="C194" s="45" t="s">
        <v>39</v>
      </c>
      <c r="D194" s="44">
        <v>5</v>
      </c>
      <c r="E194" s="43">
        <v>3.3579583613163196E-3</v>
      </c>
    </row>
    <row r="195" spans="2:5" ht="15" customHeight="1">
      <c r="B195" s="76"/>
      <c r="C195" s="45" t="s">
        <v>41</v>
      </c>
      <c r="D195" s="44">
        <v>5</v>
      </c>
      <c r="E195" s="43">
        <v>3.3579583613163196E-3</v>
      </c>
    </row>
    <row r="196" spans="2:5" ht="15" customHeight="1">
      <c r="B196" s="76"/>
      <c r="C196" s="45" t="s">
        <v>33</v>
      </c>
      <c r="D196" s="44">
        <v>2</v>
      </c>
      <c r="E196" s="43">
        <v>1.3431833445265279E-3</v>
      </c>
    </row>
    <row r="197" spans="2:5" ht="15" customHeight="1">
      <c r="B197" s="76"/>
      <c r="C197" s="45" t="s">
        <v>38</v>
      </c>
      <c r="D197" s="44">
        <v>5</v>
      </c>
      <c r="E197" s="43">
        <v>3.3579583613163196E-3</v>
      </c>
    </row>
    <row r="198" spans="2:5" ht="15" customHeight="1">
      <c r="B198" s="76"/>
      <c r="C198" s="45" t="s">
        <v>43</v>
      </c>
      <c r="D198" s="44">
        <v>7</v>
      </c>
      <c r="E198" s="43">
        <v>4.7011417058428475E-3</v>
      </c>
    </row>
    <row r="199" spans="2:5" ht="15" customHeight="1">
      <c r="B199" s="76"/>
      <c r="C199" s="45" t="s">
        <v>37</v>
      </c>
      <c r="D199" s="44">
        <v>6</v>
      </c>
      <c r="E199" s="43">
        <v>4.0295500335795834E-3</v>
      </c>
    </row>
    <row r="200" spans="2:5" ht="15" customHeight="1">
      <c r="B200" s="76"/>
      <c r="C200" s="45" t="s">
        <v>35</v>
      </c>
      <c r="D200" s="44">
        <v>1</v>
      </c>
      <c r="E200" s="43">
        <v>6.7159167226326397E-4</v>
      </c>
    </row>
    <row r="201" spans="2:5" ht="15" customHeight="1">
      <c r="B201" s="76"/>
      <c r="C201" s="45" t="s">
        <v>44</v>
      </c>
      <c r="D201" s="44">
        <v>12</v>
      </c>
      <c r="E201" s="43">
        <v>8.0591000671591667E-3</v>
      </c>
    </row>
    <row r="202" spans="2:5" ht="15" customHeight="1">
      <c r="B202" s="76"/>
      <c r="C202" s="45" t="s">
        <v>34</v>
      </c>
      <c r="D202" s="44">
        <v>2</v>
      </c>
      <c r="E202" s="43">
        <v>1.3431833445265279E-3</v>
      </c>
    </row>
    <row r="203" spans="2:5" ht="15" customHeight="1">
      <c r="B203" s="76"/>
      <c r="C203" s="45" t="s">
        <v>31</v>
      </c>
      <c r="D203" s="44">
        <v>2</v>
      </c>
      <c r="E203" s="43">
        <v>1.3431833445265279E-3</v>
      </c>
    </row>
    <row r="204" spans="2:5" ht="15" customHeight="1">
      <c r="B204" s="76"/>
      <c r="C204" s="45" t="s">
        <v>42</v>
      </c>
      <c r="D204" s="44">
        <v>11</v>
      </c>
      <c r="E204" s="43">
        <v>7.3875083948959034E-3</v>
      </c>
    </row>
    <row r="205" spans="2:5" ht="15" customHeight="1">
      <c r="B205" s="75"/>
      <c r="C205" s="42" t="s">
        <v>15</v>
      </c>
      <c r="D205" s="41">
        <v>84</v>
      </c>
      <c r="E205" s="40">
        <v>5.6413700470114174E-2</v>
      </c>
    </row>
    <row r="206" spans="2:5" ht="15" customHeight="1">
      <c r="B206" s="74" t="s">
        <v>191</v>
      </c>
      <c r="C206" s="45" t="s">
        <v>24</v>
      </c>
      <c r="D206" s="44">
        <v>1</v>
      </c>
      <c r="E206" s="43">
        <v>6.7159167226326397E-4</v>
      </c>
    </row>
    <row r="207" spans="2:5" ht="15" customHeight="1">
      <c r="B207" s="76"/>
      <c r="C207" s="45" t="s">
        <v>17</v>
      </c>
      <c r="D207" s="44">
        <v>2</v>
      </c>
      <c r="E207" s="43">
        <v>1.3431833445265279E-3</v>
      </c>
    </row>
    <row r="208" spans="2:5" ht="15" customHeight="1">
      <c r="B208" s="76"/>
      <c r="C208" s="45" t="s">
        <v>36</v>
      </c>
      <c r="D208" s="44">
        <v>15</v>
      </c>
      <c r="E208" s="43">
        <v>1.0073875083948958E-2</v>
      </c>
    </row>
    <row r="209" spans="2:6" ht="15" customHeight="1">
      <c r="B209" s="76"/>
      <c r="C209" s="45" t="s">
        <v>32</v>
      </c>
      <c r="D209" s="44">
        <v>2</v>
      </c>
      <c r="E209" s="43">
        <v>1.3431833445265279E-3</v>
      </c>
    </row>
    <row r="210" spans="2:6" ht="15" customHeight="1">
      <c r="B210" s="76"/>
      <c r="C210" s="45" t="s">
        <v>40</v>
      </c>
      <c r="D210" s="44">
        <v>18</v>
      </c>
      <c r="E210" s="43">
        <v>1.208865010073875E-2</v>
      </c>
    </row>
    <row r="211" spans="2:6" ht="15" customHeight="1">
      <c r="B211" s="76"/>
      <c r="C211" s="45" t="s">
        <v>29</v>
      </c>
      <c r="D211" s="44">
        <v>4</v>
      </c>
      <c r="E211" s="43">
        <v>2.6863666890530559E-3</v>
      </c>
    </row>
    <row r="212" spans="2:6" ht="15" customHeight="1">
      <c r="B212" s="76"/>
      <c r="C212" s="45" t="s">
        <v>45</v>
      </c>
      <c r="D212" s="44">
        <v>36</v>
      </c>
      <c r="E212" s="43">
        <v>2.41773002014775E-2</v>
      </c>
    </row>
    <row r="213" spans="2:6" ht="15" customHeight="1">
      <c r="B213" s="76"/>
      <c r="C213" s="45" t="s">
        <v>39</v>
      </c>
      <c r="D213" s="44">
        <v>13</v>
      </c>
      <c r="E213" s="43">
        <v>8.7306917394224318E-3</v>
      </c>
    </row>
    <row r="214" spans="2:6" ht="15" customHeight="1">
      <c r="B214" s="76"/>
      <c r="C214" s="45" t="s">
        <v>41</v>
      </c>
      <c r="D214" s="44">
        <v>8</v>
      </c>
      <c r="E214" s="43">
        <v>5.3727333781061117E-3</v>
      </c>
    </row>
    <row r="215" spans="2:6" ht="15" customHeight="1">
      <c r="B215" s="76"/>
      <c r="C215" s="45" t="s">
        <v>33</v>
      </c>
      <c r="D215" s="44">
        <v>5</v>
      </c>
      <c r="E215" s="43">
        <v>3.3579583613163196E-3</v>
      </c>
    </row>
    <row r="216" spans="2:6" ht="15" customHeight="1">
      <c r="B216" s="76"/>
      <c r="C216" s="45" t="s">
        <v>38</v>
      </c>
      <c r="D216" s="44">
        <v>7</v>
      </c>
      <c r="E216" s="43">
        <v>4.7011417058428475E-3</v>
      </c>
    </row>
    <row r="217" spans="2:6" ht="15" customHeight="1">
      <c r="B217" s="76"/>
      <c r="C217" s="45" t="s">
        <v>43</v>
      </c>
      <c r="D217" s="44">
        <v>4</v>
      </c>
      <c r="E217" s="43">
        <v>2.6863666890530559E-3</v>
      </c>
    </row>
    <row r="218" spans="2:6" ht="15" customHeight="1">
      <c r="B218" s="76"/>
      <c r="C218" s="45" t="s">
        <v>37</v>
      </c>
      <c r="D218" s="44">
        <v>6</v>
      </c>
      <c r="E218" s="43">
        <v>4.0295500335795834E-3</v>
      </c>
    </row>
    <row r="219" spans="2:6" ht="15" customHeight="1">
      <c r="B219" s="76"/>
      <c r="C219" s="45" t="s">
        <v>28</v>
      </c>
      <c r="D219" s="44">
        <v>1</v>
      </c>
      <c r="E219" s="43">
        <v>6.7159167226326397E-4</v>
      </c>
    </row>
    <row r="220" spans="2:6" ht="15" customHeight="1">
      <c r="B220" s="76"/>
      <c r="C220" s="45" t="s">
        <v>22</v>
      </c>
      <c r="D220" s="44">
        <v>2</v>
      </c>
      <c r="E220" s="43">
        <v>1.3431833445265279E-3</v>
      </c>
    </row>
    <row r="221" spans="2:6" ht="15" customHeight="1">
      <c r="B221" s="76"/>
      <c r="C221" s="45" t="s">
        <v>35</v>
      </c>
      <c r="D221" s="44">
        <v>3</v>
      </c>
      <c r="E221" s="43">
        <v>2.0147750167897917E-3</v>
      </c>
      <c r="F221" s="17"/>
    </row>
    <row r="222" spans="2:6" ht="15" customHeight="1">
      <c r="B222" s="76"/>
      <c r="C222" s="45" t="s">
        <v>44</v>
      </c>
      <c r="D222" s="44">
        <v>45</v>
      </c>
      <c r="E222" s="43">
        <v>3.0221625251846879E-2</v>
      </c>
      <c r="F222" s="17"/>
    </row>
    <row r="223" spans="2:6" ht="15" customHeight="1">
      <c r="B223" s="76"/>
      <c r="C223" s="45" t="s">
        <v>34</v>
      </c>
      <c r="D223" s="44">
        <v>4</v>
      </c>
      <c r="E223" s="43">
        <v>2.6863666890530559E-3</v>
      </c>
      <c r="F223" s="17"/>
    </row>
    <row r="224" spans="2:6" ht="15" customHeight="1">
      <c r="B224" s="76"/>
      <c r="C224" s="45" t="s">
        <v>26</v>
      </c>
      <c r="D224" s="44">
        <v>1</v>
      </c>
      <c r="E224" s="43">
        <v>6.7159167226326397E-4</v>
      </c>
      <c r="F224" s="17"/>
    </row>
    <row r="225" spans="2:6" ht="15" customHeight="1">
      <c r="B225" s="76"/>
      <c r="C225" s="45" t="s">
        <v>31</v>
      </c>
      <c r="D225" s="44">
        <v>2</v>
      </c>
      <c r="E225" s="43">
        <v>1.3431833445265279E-3</v>
      </c>
      <c r="F225" s="17"/>
    </row>
    <row r="226" spans="2:6" ht="15" customHeight="1">
      <c r="B226" s="76"/>
      <c r="C226" s="45" t="s">
        <v>23</v>
      </c>
      <c r="D226" s="44">
        <v>1</v>
      </c>
      <c r="E226" s="43">
        <v>6.7159167226326397E-4</v>
      </c>
    </row>
    <row r="227" spans="2:6" ht="15" customHeight="1">
      <c r="B227" s="76"/>
      <c r="C227" s="45" t="s">
        <v>42</v>
      </c>
      <c r="D227" s="44">
        <v>16</v>
      </c>
      <c r="E227" s="43">
        <v>1.0745466756212223E-2</v>
      </c>
    </row>
    <row r="228" spans="2:6" ht="15" customHeight="1">
      <c r="B228" s="76"/>
      <c r="C228" s="45" t="s">
        <v>30</v>
      </c>
      <c r="D228" s="44">
        <v>1</v>
      </c>
      <c r="E228" s="43">
        <v>6.7159167226326397E-4</v>
      </c>
    </row>
    <row r="229" spans="2:6" ht="15" customHeight="1">
      <c r="B229" s="75"/>
      <c r="C229" s="42" t="s">
        <v>15</v>
      </c>
      <c r="D229" s="41">
        <v>197</v>
      </c>
      <c r="E229" s="40">
        <v>0.132303559435863</v>
      </c>
    </row>
    <row r="230" spans="2:6" ht="15" customHeight="1">
      <c r="B230" s="74" t="s">
        <v>190</v>
      </c>
      <c r="C230" s="45" t="s">
        <v>45</v>
      </c>
      <c r="D230" s="44">
        <v>1</v>
      </c>
      <c r="E230" s="43">
        <v>6.7159167226326397E-4</v>
      </c>
    </row>
    <row r="231" spans="2:6" ht="15" customHeight="1">
      <c r="B231" s="76"/>
      <c r="C231" s="45" t="s">
        <v>41</v>
      </c>
      <c r="D231" s="44">
        <v>1</v>
      </c>
      <c r="E231" s="43">
        <v>6.7159167226326397E-4</v>
      </c>
    </row>
    <row r="232" spans="2:6" ht="15" customHeight="1">
      <c r="B232" s="76"/>
      <c r="C232" s="45" t="s">
        <v>37</v>
      </c>
      <c r="D232" s="44">
        <v>1</v>
      </c>
      <c r="E232" s="43">
        <v>6.7159167226326397E-4</v>
      </c>
    </row>
    <row r="233" spans="2:6" ht="15" customHeight="1">
      <c r="B233" s="75"/>
      <c r="C233" s="42" t="s">
        <v>15</v>
      </c>
      <c r="D233" s="41">
        <v>3</v>
      </c>
      <c r="E233" s="40">
        <v>2.0147750167897917E-3</v>
      </c>
    </row>
    <row r="234" spans="2:6" ht="15" customHeight="1">
      <c r="B234" s="74" t="s">
        <v>189</v>
      </c>
      <c r="C234" s="45" t="s">
        <v>45</v>
      </c>
      <c r="D234" s="44">
        <v>1</v>
      </c>
      <c r="E234" s="43">
        <v>6.7159167226326397E-4</v>
      </c>
    </row>
    <row r="235" spans="2:6" ht="15" customHeight="1">
      <c r="B235" s="76"/>
      <c r="C235" s="45" t="s">
        <v>44</v>
      </c>
      <c r="D235" s="44">
        <v>1</v>
      </c>
      <c r="E235" s="43">
        <v>6.7159167226326397E-4</v>
      </c>
    </row>
    <row r="236" spans="2:6" ht="15" customHeight="1">
      <c r="B236" s="75"/>
      <c r="C236" s="42" t="s">
        <v>15</v>
      </c>
      <c r="D236" s="41">
        <v>2</v>
      </c>
      <c r="E236" s="40">
        <v>1.3431833445265279E-3</v>
      </c>
    </row>
    <row r="237" spans="2:6" ht="15" customHeight="1">
      <c r="B237" s="74" t="s">
        <v>486</v>
      </c>
      <c r="C237" s="45" t="s">
        <v>19</v>
      </c>
      <c r="D237" s="44">
        <v>1</v>
      </c>
      <c r="E237" s="43">
        <v>6.7159167226326397E-4</v>
      </c>
    </row>
    <row r="238" spans="2:6" ht="15" customHeight="1">
      <c r="B238" s="75"/>
      <c r="C238" s="42" t="s">
        <v>15</v>
      </c>
      <c r="D238" s="41">
        <v>1</v>
      </c>
      <c r="E238" s="40">
        <v>6.7159167226326397E-4</v>
      </c>
    </row>
    <row r="239" spans="2:6" ht="15" customHeight="1">
      <c r="B239" s="74" t="s">
        <v>188</v>
      </c>
      <c r="C239" s="45" t="s">
        <v>40</v>
      </c>
      <c r="D239" s="44">
        <v>3</v>
      </c>
      <c r="E239" s="43">
        <v>2.0147750167897917E-3</v>
      </c>
    </row>
    <row r="240" spans="2:6" ht="15" customHeight="1">
      <c r="B240" s="76"/>
      <c r="C240" s="45" t="s">
        <v>45</v>
      </c>
      <c r="D240" s="44">
        <v>4</v>
      </c>
      <c r="E240" s="43">
        <v>2.6863666890530559E-3</v>
      </c>
    </row>
    <row r="241" spans="2:5" ht="15" customHeight="1">
      <c r="B241" s="76"/>
      <c r="C241" s="45" t="s">
        <v>43</v>
      </c>
      <c r="D241" s="44">
        <v>2</v>
      </c>
      <c r="E241" s="43">
        <v>1.3431833445265279E-3</v>
      </c>
    </row>
    <row r="242" spans="2:5" ht="15" customHeight="1">
      <c r="B242" s="76"/>
      <c r="C242" s="45" t="s">
        <v>37</v>
      </c>
      <c r="D242" s="44">
        <v>1</v>
      </c>
      <c r="E242" s="43">
        <v>6.7159167226326397E-4</v>
      </c>
    </row>
    <row r="243" spans="2:5" ht="15" customHeight="1">
      <c r="B243" s="76"/>
      <c r="C243" s="45" t="s">
        <v>22</v>
      </c>
      <c r="D243" s="44">
        <v>1</v>
      </c>
      <c r="E243" s="43">
        <v>6.7159167226326397E-4</v>
      </c>
    </row>
    <row r="244" spans="2:5" ht="15" customHeight="1">
      <c r="B244" s="76"/>
      <c r="C244" s="45" t="s">
        <v>44</v>
      </c>
      <c r="D244" s="44">
        <v>4</v>
      </c>
      <c r="E244" s="43">
        <v>2.6863666890530559E-3</v>
      </c>
    </row>
    <row r="245" spans="2:5" ht="15" customHeight="1">
      <c r="B245" s="76"/>
      <c r="C245" s="45" t="s">
        <v>42</v>
      </c>
      <c r="D245" s="44">
        <v>1</v>
      </c>
      <c r="E245" s="43">
        <v>6.7159167226326397E-4</v>
      </c>
    </row>
    <row r="246" spans="2:5" ht="15" customHeight="1">
      <c r="B246" s="75"/>
      <c r="C246" s="42" t="s">
        <v>15</v>
      </c>
      <c r="D246" s="41">
        <v>16</v>
      </c>
      <c r="E246" s="40">
        <v>1.0745466756212223E-2</v>
      </c>
    </row>
    <row r="247" spans="2:5" ht="15" customHeight="1">
      <c r="B247" s="74" t="s">
        <v>237</v>
      </c>
      <c r="C247" s="45" t="s">
        <v>36</v>
      </c>
      <c r="D247" s="44">
        <v>1</v>
      </c>
      <c r="E247" s="43">
        <v>6.7159167226326397E-4</v>
      </c>
    </row>
    <row r="248" spans="2:5" ht="15" customHeight="1">
      <c r="B248" s="76"/>
      <c r="C248" s="45" t="s">
        <v>40</v>
      </c>
      <c r="D248" s="44">
        <v>1</v>
      </c>
      <c r="E248" s="43">
        <v>6.7159167226326397E-4</v>
      </c>
    </row>
    <row r="249" spans="2:5" ht="15" customHeight="1">
      <c r="B249" s="76"/>
      <c r="C249" s="45" t="s">
        <v>45</v>
      </c>
      <c r="D249" s="44">
        <v>3</v>
      </c>
      <c r="E249" s="43">
        <v>2.0147750167897917E-3</v>
      </c>
    </row>
    <row r="250" spans="2:5" ht="15" customHeight="1">
      <c r="B250" s="76"/>
      <c r="C250" s="45" t="s">
        <v>39</v>
      </c>
      <c r="D250" s="44">
        <v>2</v>
      </c>
      <c r="E250" s="43">
        <v>1.3431833445265279E-3</v>
      </c>
    </row>
    <row r="251" spans="2:5" ht="15" customHeight="1">
      <c r="B251" s="76"/>
      <c r="C251" s="45" t="s">
        <v>41</v>
      </c>
      <c r="D251" s="44">
        <v>4</v>
      </c>
      <c r="E251" s="43">
        <v>2.6863666890530559E-3</v>
      </c>
    </row>
    <row r="252" spans="2:5" ht="15" customHeight="1">
      <c r="B252" s="76"/>
      <c r="C252" s="45" t="s">
        <v>33</v>
      </c>
      <c r="D252" s="44">
        <v>2</v>
      </c>
      <c r="E252" s="43">
        <v>1.3431833445265279E-3</v>
      </c>
    </row>
    <row r="253" spans="2:5" ht="15" customHeight="1">
      <c r="B253" s="76"/>
      <c r="C253" s="45" t="s">
        <v>38</v>
      </c>
      <c r="D253" s="44">
        <v>1</v>
      </c>
      <c r="E253" s="43">
        <v>6.7159167226326397E-4</v>
      </c>
    </row>
    <row r="254" spans="2:5" ht="15" customHeight="1">
      <c r="B254" s="76"/>
      <c r="C254" s="45" t="s">
        <v>35</v>
      </c>
      <c r="D254" s="44">
        <v>1</v>
      </c>
      <c r="E254" s="43">
        <v>6.7159167226326397E-4</v>
      </c>
    </row>
    <row r="255" spans="2:5" ht="15" customHeight="1">
      <c r="B255" s="76"/>
      <c r="C255" s="45" t="s">
        <v>44</v>
      </c>
      <c r="D255" s="44">
        <v>6</v>
      </c>
      <c r="E255" s="43">
        <v>4.0295500335795834E-3</v>
      </c>
    </row>
    <row r="256" spans="2:5" ht="15" customHeight="1">
      <c r="B256" s="76"/>
      <c r="C256" s="45" t="s">
        <v>23</v>
      </c>
      <c r="D256" s="44">
        <v>1</v>
      </c>
      <c r="E256" s="43">
        <v>6.7159167226326397E-4</v>
      </c>
    </row>
    <row r="257" spans="2:5" ht="15" customHeight="1">
      <c r="B257" s="76"/>
      <c r="C257" s="45" t="s">
        <v>42</v>
      </c>
      <c r="D257" s="44">
        <v>1</v>
      </c>
      <c r="E257" s="43">
        <v>6.7159167226326397E-4</v>
      </c>
    </row>
    <row r="258" spans="2:5" ht="15" customHeight="1">
      <c r="B258" s="76"/>
      <c r="C258" s="45" t="s">
        <v>239</v>
      </c>
      <c r="D258" s="44">
        <v>1</v>
      </c>
      <c r="E258" s="43">
        <v>6.7159167226326397E-4</v>
      </c>
    </row>
    <row r="259" spans="2:5" ht="15" customHeight="1">
      <c r="B259" s="75"/>
      <c r="C259" s="42" t="s">
        <v>15</v>
      </c>
      <c r="D259" s="41">
        <v>24</v>
      </c>
      <c r="E259" s="40">
        <v>1.6118200134318333E-2</v>
      </c>
    </row>
    <row r="260" spans="2:5" ht="15" customHeight="1">
      <c r="B260" s="74" t="s">
        <v>236</v>
      </c>
      <c r="C260" s="45" t="s">
        <v>43</v>
      </c>
      <c r="D260" s="44">
        <v>1</v>
      </c>
      <c r="E260" s="43">
        <v>6.7159167226326397E-4</v>
      </c>
    </row>
    <row r="261" spans="2:5" ht="15" customHeight="1">
      <c r="B261" s="75"/>
      <c r="C261" s="42" t="s">
        <v>15</v>
      </c>
      <c r="D261" s="41">
        <v>1</v>
      </c>
      <c r="E261" s="40">
        <v>6.7159167226326397E-4</v>
      </c>
    </row>
    <row r="262" spans="2:5" ht="15" customHeight="1">
      <c r="B262" s="74" t="s">
        <v>487</v>
      </c>
      <c r="C262" s="45" t="s">
        <v>44</v>
      </c>
      <c r="D262" s="44">
        <v>1</v>
      </c>
      <c r="E262" s="43">
        <v>6.7159167226326397E-4</v>
      </c>
    </row>
    <row r="263" spans="2:5" ht="15" customHeight="1">
      <c r="B263" s="75"/>
      <c r="C263" s="42" t="s">
        <v>15</v>
      </c>
      <c r="D263" s="41">
        <v>1</v>
      </c>
      <c r="E263" s="40">
        <v>6.7159167226326397E-4</v>
      </c>
    </row>
    <row r="264" spans="2:5" ht="15" customHeight="1">
      <c r="B264" s="77" t="s">
        <v>15</v>
      </c>
      <c r="C264" s="78"/>
      <c r="D264" s="60">
        <v>1489</v>
      </c>
      <c r="E264" s="61">
        <v>1</v>
      </c>
    </row>
    <row r="266" spans="2:5" ht="15" customHeight="1">
      <c r="B266" s="19" t="s">
        <v>271</v>
      </c>
    </row>
    <row r="267" spans="2:5" ht="15" customHeight="1">
      <c r="B267" s="21" t="s">
        <v>14</v>
      </c>
    </row>
    <row r="268" spans="2:5" ht="15" customHeight="1">
      <c r="B268" s="20" t="s">
        <v>13</v>
      </c>
    </row>
    <row r="269" spans="2:5" ht="15" customHeight="1">
      <c r="B269" s="19" t="s">
        <v>12</v>
      </c>
    </row>
    <row r="270" spans="2:5" ht="15" customHeight="1">
      <c r="B270" s="19" t="s">
        <v>272</v>
      </c>
    </row>
  </sheetData>
  <mergeCells count="24">
    <mergeCell ref="B53:B61"/>
    <mergeCell ref="B62:B72"/>
    <mergeCell ref="B73:B92"/>
    <mergeCell ref="B93:B113"/>
    <mergeCell ref="B7:E8"/>
    <mergeCell ref="B10:B19"/>
    <mergeCell ref="B20:B25"/>
    <mergeCell ref="B26:B37"/>
    <mergeCell ref="B38:B52"/>
    <mergeCell ref="B114:B125"/>
    <mergeCell ref="B126:B137"/>
    <mergeCell ref="B138:B154"/>
    <mergeCell ref="B155:B180"/>
    <mergeCell ref="B181:B189"/>
    <mergeCell ref="B190:B205"/>
    <mergeCell ref="B206:B229"/>
    <mergeCell ref="B230:B233"/>
    <mergeCell ref="B234:B236"/>
    <mergeCell ref="B237:B238"/>
    <mergeCell ref="B239:B246"/>
    <mergeCell ref="B247:B259"/>
    <mergeCell ref="B260:B261"/>
    <mergeCell ref="B262:B263"/>
    <mergeCell ref="B264:C2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6" sqref="D2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3" t="s">
        <v>488</v>
      </c>
      <c r="C7" s="73"/>
      <c r="D7" s="73"/>
    </row>
    <row r="8" spans="1:5" s="29" customFormat="1" ht="15" customHeight="1">
      <c r="B8" s="73"/>
      <c r="C8" s="73"/>
      <c r="D8" s="73"/>
    </row>
    <row r="9" spans="1:5" s="29" customFormat="1" ht="33" customHeight="1">
      <c r="B9" s="73"/>
      <c r="C9" s="73"/>
      <c r="D9" s="73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211</v>
      </c>
      <c r="C11" s="31" t="s">
        <v>47</v>
      </c>
      <c r="D11" s="30" t="s">
        <v>46</v>
      </c>
    </row>
    <row r="12" spans="1:5">
      <c r="B12" s="27" t="s">
        <v>210</v>
      </c>
      <c r="C12" s="26">
        <v>896</v>
      </c>
      <c r="D12" s="25">
        <v>0.60174613834788448</v>
      </c>
    </row>
    <row r="13" spans="1:5">
      <c r="B13" s="27" t="s">
        <v>209</v>
      </c>
      <c r="C13" s="26">
        <v>593</v>
      </c>
      <c r="D13" s="25">
        <v>0.39825386165211552</v>
      </c>
    </row>
    <row r="14" spans="1:5">
      <c r="B14" s="24" t="s">
        <v>208</v>
      </c>
      <c r="C14" s="23">
        <v>1489</v>
      </c>
      <c r="D14" s="22">
        <v>1</v>
      </c>
    </row>
    <row r="15" spans="1:5">
      <c r="A15" s="28"/>
      <c r="B15" s="28"/>
      <c r="C15" s="58"/>
      <c r="D15" s="28"/>
      <c r="E15" s="28"/>
    </row>
    <row r="16" spans="1:5">
      <c r="B16" s="19" t="s">
        <v>271</v>
      </c>
      <c r="C16" s="58"/>
      <c r="D16" s="28"/>
    </row>
    <row r="17" spans="2:4">
      <c r="B17" s="21" t="s">
        <v>14</v>
      </c>
      <c r="C17" s="62"/>
      <c r="D17" s="62"/>
    </row>
    <row r="18" spans="2:4">
      <c r="B18" s="20" t="s">
        <v>13</v>
      </c>
      <c r="C18" s="63"/>
      <c r="D18" s="63"/>
    </row>
    <row r="19" spans="2:4">
      <c r="B19" s="19" t="s">
        <v>12</v>
      </c>
    </row>
    <row r="20" spans="2:4">
      <c r="B20" s="19" t="s">
        <v>272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81" zoomScaleNormal="100" zoomScaleSheetLayoutView="100" workbookViewId="0">
      <selection activeCell="G31" sqref="G3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9"/>
      <c r="C7" s="79"/>
      <c r="D7" s="79"/>
      <c r="E7" s="79"/>
    </row>
    <row r="8" spans="1:5" s="50" customFormat="1" ht="33" customHeight="1">
      <c r="A8" s="51"/>
      <c r="B8" s="79"/>
      <c r="C8" s="79"/>
      <c r="D8" s="79"/>
      <c r="E8" s="79"/>
    </row>
    <row r="9" spans="1:5" s="29" customFormat="1" ht="40.5" customHeight="1">
      <c r="B9" s="47" t="s">
        <v>48</v>
      </c>
      <c r="C9" s="49" t="s">
        <v>211</v>
      </c>
      <c r="D9" s="48" t="s">
        <v>47</v>
      </c>
      <c r="E9" s="47" t="s">
        <v>46</v>
      </c>
    </row>
    <row r="10" spans="1:5" ht="15" customHeight="1">
      <c r="B10" s="74" t="s">
        <v>25</v>
      </c>
      <c r="C10" s="45" t="s">
        <v>213</v>
      </c>
      <c r="D10" s="44">
        <v>5</v>
      </c>
      <c r="E10" s="43">
        <v>3.3579583613163196E-3</v>
      </c>
    </row>
    <row r="11" spans="1:5" ht="15" customHeight="1">
      <c r="B11" s="76"/>
      <c r="C11" s="45" t="s">
        <v>212</v>
      </c>
      <c r="D11" s="44">
        <v>4</v>
      </c>
      <c r="E11" s="43">
        <v>2.6863666890530559E-3</v>
      </c>
    </row>
    <row r="12" spans="1:5" ht="15" customHeight="1">
      <c r="B12" s="75"/>
      <c r="C12" s="42" t="s">
        <v>15</v>
      </c>
      <c r="D12" s="41">
        <v>9</v>
      </c>
      <c r="E12" s="40">
        <v>6.044325050369375E-3</v>
      </c>
    </row>
    <row r="13" spans="1:5" ht="15" customHeight="1">
      <c r="B13" s="74" t="s">
        <v>24</v>
      </c>
      <c r="C13" s="45" t="s">
        <v>213</v>
      </c>
      <c r="D13" s="44">
        <v>2</v>
      </c>
      <c r="E13" s="43">
        <v>1.3431833445265279E-3</v>
      </c>
    </row>
    <row r="14" spans="1:5" ht="15" customHeight="1">
      <c r="B14" s="76"/>
      <c r="C14" s="45" t="s">
        <v>212</v>
      </c>
      <c r="D14" s="44">
        <v>1</v>
      </c>
      <c r="E14" s="43">
        <v>6.7159167226326397E-4</v>
      </c>
    </row>
    <row r="15" spans="1:5" ht="15" customHeight="1">
      <c r="B15" s="75"/>
      <c r="C15" s="42" t="s">
        <v>15</v>
      </c>
      <c r="D15" s="41">
        <v>3</v>
      </c>
      <c r="E15" s="40">
        <v>2.0147750167897917E-3</v>
      </c>
    </row>
    <row r="16" spans="1:5" ht="15" customHeight="1">
      <c r="B16" s="74" t="s">
        <v>18</v>
      </c>
      <c r="C16" s="45" t="s">
        <v>213</v>
      </c>
      <c r="D16" s="44">
        <v>1</v>
      </c>
      <c r="E16" s="43">
        <v>6.7159167226326397E-4</v>
      </c>
    </row>
    <row r="17" spans="2:5" ht="15" customHeight="1">
      <c r="B17" s="75"/>
      <c r="C17" s="42" t="s">
        <v>15</v>
      </c>
      <c r="D17" s="41">
        <v>1</v>
      </c>
      <c r="E17" s="40">
        <v>6.7159167226326397E-4</v>
      </c>
    </row>
    <row r="18" spans="2:5" ht="15" customHeight="1">
      <c r="B18" s="74" t="s">
        <v>17</v>
      </c>
      <c r="C18" s="45" t="s">
        <v>213</v>
      </c>
      <c r="D18" s="44">
        <v>2</v>
      </c>
      <c r="E18" s="43">
        <v>1.3431833445265279E-3</v>
      </c>
    </row>
    <row r="19" spans="2:5" ht="15" customHeight="1">
      <c r="B19" s="76"/>
      <c r="C19" s="45" t="s">
        <v>212</v>
      </c>
      <c r="D19" s="44">
        <v>2</v>
      </c>
      <c r="E19" s="43">
        <v>1.3431833445265279E-3</v>
      </c>
    </row>
    <row r="20" spans="2:5" ht="15" customHeight="1">
      <c r="B20" s="75"/>
      <c r="C20" s="42" t="s">
        <v>15</v>
      </c>
      <c r="D20" s="41">
        <v>4</v>
      </c>
      <c r="E20" s="40">
        <v>2.6863666890530559E-3</v>
      </c>
    </row>
    <row r="21" spans="2:5" ht="15" customHeight="1">
      <c r="B21" s="74" t="s">
        <v>36</v>
      </c>
      <c r="C21" s="45" t="s">
        <v>213</v>
      </c>
      <c r="D21" s="44">
        <v>50</v>
      </c>
      <c r="E21" s="43">
        <v>3.3579583613163197E-2</v>
      </c>
    </row>
    <row r="22" spans="2:5" ht="15" customHeight="1">
      <c r="B22" s="76"/>
      <c r="C22" s="45" t="s">
        <v>212</v>
      </c>
      <c r="D22" s="44">
        <v>17</v>
      </c>
      <c r="E22" s="43">
        <v>1.1417058428475487E-2</v>
      </c>
    </row>
    <row r="23" spans="2:5" ht="15" customHeight="1">
      <c r="B23" s="75"/>
      <c r="C23" s="42" t="s">
        <v>15</v>
      </c>
      <c r="D23" s="41">
        <v>67</v>
      </c>
      <c r="E23" s="40">
        <v>4.4996642041638682E-2</v>
      </c>
    </row>
    <row r="24" spans="2:5" ht="15" customHeight="1">
      <c r="B24" s="74" t="s">
        <v>32</v>
      </c>
      <c r="C24" s="45" t="s">
        <v>213</v>
      </c>
      <c r="D24" s="44">
        <v>4</v>
      </c>
      <c r="E24" s="43">
        <v>2.6863666890530559E-3</v>
      </c>
    </row>
    <row r="25" spans="2:5" ht="15" customHeight="1">
      <c r="B25" s="76"/>
      <c r="C25" s="45" t="s">
        <v>212</v>
      </c>
      <c r="D25" s="44">
        <v>2</v>
      </c>
      <c r="E25" s="43">
        <v>1.3431833445265279E-3</v>
      </c>
    </row>
    <row r="26" spans="2:5" ht="15" customHeight="1">
      <c r="B26" s="75"/>
      <c r="C26" s="42" t="s">
        <v>15</v>
      </c>
      <c r="D26" s="41">
        <v>6</v>
      </c>
      <c r="E26" s="40">
        <v>4.0295500335795834E-3</v>
      </c>
    </row>
    <row r="27" spans="2:5" ht="15" customHeight="1">
      <c r="B27" s="74" t="s">
        <v>19</v>
      </c>
      <c r="C27" s="45" t="s">
        <v>213</v>
      </c>
      <c r="D27" s="44">
        <v>2</v>
      </c>
      <c r="E27" s="43">
        <v>1.3431833445265279E-3</v>
      </c>
    </row>
    <row r="28" spans="2:5" ht="15" customHeight="1">
      <c r="B28" s="75"/>
      <c r="C28" s="42" t="s">
        <v>15</v>
      </c>
      <c r="D28" s="41">
        <v>2</v>
      </c>
      <c r="E28" s="40">
        <v>1.3431833445265279E-3</v>
      </c>
    </row>
    <row r="29" spans="2:5" ht="15" customHeight="1">
      <c r="B29" s="74" t="s">
        <v>40</v>
      </c>
      <c r="C29" s="45" t="s">
        <v>213</v>
      </c>
      <c r="D29" s="44">
        <v>33</v>
      </c>
      <c r="E29" s="43">
        <v>2.2162525184687708E-2</v>
      </c>
    </row>
    <row r="30" spans="2:5" ht="15" customHeight="1">
      <c r="B30" s="76"/>
      <c r="C30" s="45" t="s">
        <v>212</v>
      </c>
      <c r="D30" s="44">
        <v>33</v>
      </c>
      <c r="E30" s="43">
        <v>2.2162525184687708E-2</v>
      </c>
    </row>
    <row r="31" spans="2:5" ht="15" customHeight="1">
      <c r="B31" s="75"/>
      <c r="C31" s="42" t="s">
        <v>15</v>
      </c>
      <c r="D31" s="41">
        <v>66</v>
      </c>
      <c r="E31" s="40">
        <v>4.4325050369375417E-2</v>
      </c>
    </row>
    <row r="32" spans="2:5" ht="15" customHeight="1">
      <c r="B32" s="74" t="s">
        <v>29</v>
      </c>
      <c r="C32" s="45" t="s">
        <v>213</v>
      </c>
      <c r="D32" s="44">
        <v>6</v>
      </c>
      <c r="E32" s="43">
        <v>4.0295500335795834E-3</v>
      </c>
    </row>
    <row r="33" spans="2:5" ht="15" customHeight="1">
      <c r="B33" s="76"/>
      <c r="C33" s="45" t="s">
        <v>212</v>
      </c>
      <c r="D33" s="44">
        <v>12</v>
      </c>
      <c r="E33" s="43">
        <v>8.0591000671591667E-3</v>
      </c>
    </row>
    <row r="34" spans="2:5" ht="15" customHeight="1">
      <c r="B34" s="75"/>
      <c r="C34" s="42" t="s">
        <v>15</v>
      </c>
      <c r="D34" s="41">
        <v>18</v>
      </c>
      <c r="E34" s="40">
        <v>1.208865010073875E-2</v>
      </c>
    </row>
    <row r="35" spans="2:5" ht="15" customHeight="1">
      <c r="B35" s="74" t="s">
        <v>45</v>
      </c>
      <c r="C35" s="45" t="s">
        <v>213</v>
      </c>
      <c r="D35" s="44">
        <v>213</v>
      </c>
      <c r="E35" s="43">
        <v>0.14304902619207521</v>
      </c>
    </row>
    <row r="36" spans="2:5" ht="15" customHeight="1">
      <c r="B36" s="76"/>
      <c r="C36" s="45" t="s">
        <v>212</v>
      </c>
      <c r="D36" s="44">
        <v>109</v>
      </c>
      <c r="E36" s="43">
        <v>7.3203492276695772E-2</v>
      </c>
    </row>
    <row r="37" spans="2:5" ht="15" customHeight="1">
      <c r="B37" s="75"/>
      <c r="C37" s="42" t="s">
        <v>15</v>
      </c>
      <c r="D37" s="41">
        <v>322</v>
      </c>
      <c r="E37" s="40">
        <v>0.216252518468771</v>
      </c>
    </row>
    <row r="38" spans="2:5" ht="15" customHeight="1">
      <c r="B38" s="74" t="s">
        <v>39</v>
      </c>
      <c r="C38" s="45" t="s">
        <v>213</v>
      </c>
      <c r="D38" s="44">
        <v>60</v>
      </c>
      <c r="E38" s="43">
        <v>4.0295500335795834E-2</v>
      </c>
    </row>
    <row r="39" spans="2:5" ht="15" customHeight="1">
      <c r="B39" s="76"/>
      <c r="C39" s="45" t="s">
        <v>212</v>
      </c>
      <c r="D39" s="44">
        <v>39</v>
      </c>
      <c r="E39" s="43">
        <v>2.6192075218267292E-2</v>
      </c>
    </row>
    <row r="40" spans="2:5" ht="15" customHeight="1">
      <c r="B40" s="75"/>
      <c r="C40" s="42" t="s">
        <v>15</v>
      </c>
      <c r="D40" s="41">
        <v>99</v>
      </c>
      <c r="E40" s="40">
        <v>6.6487575554063136E-2</v>
      </c>
    </row>
    <row r="41" spans="2:5" ht="15" customHeight="1">
      <c r="B41" s="74" t="s">
        <v>41</v>
      </c>
      <c r="C41" s="45" t="s">
        <v>213</v>
      </c>
      <c r="D41" s="44">
        <v>49</v>
      </c>
      <c r="E41" s="43">
        <v>3.2907991940899932E-2</v>
      </c>
    </row>
    <row r="42" spans="2:5" ht="15" customHeight="1">
      <c r="B42" s="76"/>
      <c r="C42" s="45" t="s">
        <v>212</v>
      </c>
      <c r="D42" s="44">
        <v>43</v>
      </c>
      <c r="E42" s="43">
        <v>2.8878441907320349E-2</v>
      </c>
    </row>
    <row r="43" spans="2:5" ht="15" customHeight="1">
      <c r="B43" s="75"/>
      <c r="C43" s="42" t="s">
        <v>15</v>
      </c>
      <c r="D43" s="41">
        <v>92</v>
      </c>
      <c r="E43" s="40">
        <v>6.178643384822028E-2</v>
      </c>
    </row>
    <row r="44" spans="2:5" ht="15" customHeight="1">
      <c r="B44" s="74" t="s">
        <v>33</v>
      </c>
      <c r="C44" s="45" t="s">
        <v>213</v>
      </c>
      <c r="D44" s="44">
        <v>10</v>
      </c>
      <c r="E44" s="43">
        <v>6.7159167226326392E-3</v>
      </c>
    </row>
    <row r="45" spans="2:5" ht="15" customHeight="1">
      <c r="B45" s="76"/>
      <c r="C45" s="45" t="s">
        <v>212</v>
      </c>
      <c r="D45" s="44">
        <v>10</v>
      </c>
      <c r="E45" s="43">
        <v>6.7159167226326392E-3</v>
      </c>
    </row>
    <row r="46" spans="2:5" ht="15" customHeight="1">
      <c r="B46" s="75"/>
      <c r="C46" s="42" t="s">
        <v>15</v>
      </c>
      <c r="D46" s="41">
        <v>20</v>
      </c>
      <c r="E46" s="40">
        <v>1.3431833445265278E-2</v>
      </c>
    </row>
    <row r="47" spans="2:5" ht="15" customHeight="1">
      <c r="B47" s="74" t="s">
        <v>38</v>
      </c>
      <c r="C47" s="45" t="s">
        <v>213</v>
      </c>
      <c r="D47" s="44">
        <v>35</v>
      </c>
      <c r="E47" s="43">
        <v>2.3505708529214239E-2</v>
      </c>
    </row>
    <row r="48" spans="2:5" ht="15" customHeight="1">
      <c r="B48" s="76"/>
      <c r="C48" s="45" t="s">
        <v>212</v>
      </c>
      <c r="D48" s="44">
        <v>22</v>
      </c>
      <c r="E48" s="43">
        <v>1.4775016789791807E-2</v>
      </c>
    </row>
    <row r="49" spans="2:5" ht="15" customHeight="1">
      <c r="B49" s="75"/>
      <c r="C49" s="42" t="s">
        <v>15</v>
      </c>
      <c r="D49" s="41">
        <v>57</v>
      </c>
      <c r="E49" s="40">
        <v>3.8280725319006045E-2</v>
      </c>
    </row>
    <row r="50" spans="2:5" ht="15" customHeight="1">
      <c r="B50" s="74" t="s">
        <v>43</v>
      </c>
      <c r="C50" s="45" t="s">
        <v>213</v>
      </c>
      <c r="D50" s="44">
        <v>33</v>
      </c>
      <c r="E50" s="43">
        <v>2.2162525184687708E-2</v>
      </c>
    </row>
    <row r="51" spans="2:5" ht="15" customHeight="1">
      <c r="B51" s="76"/>
      <c r="C51" s="45" t="s">
        <v>212</v>
      </c>
      <c r="D51" s="44">
        <v>30</v>
      </c>
      <c r="E51" s="43">
        <v>2.0147750167897917E-2</v>
      </c>
    </row>
    <row r="52" spans="2:5" ht="15" customHeight="1">
      <c r="B52" s="75"/>
      <c r="C52" s="42" t="s">
        <v>15</v>
      </c>
      <c r="D52" s="41">
        <v>63</v>
      </c>
      <c r="E52" s="40">
        <v>4.2310275352585629E-2</v>
      </c>
    </row>
    <row r="53" spans="2:5" ht="15" customHeight="1">
      <c r="B53" s="74" t="s">
        <v>37</v>
      </c>
      <c r="C53" s="45" t="s">
        <v>213</v>
      </c>
      <c r="D53" s="44">
        <v>36</v>
      </c>
      <c r="E53" s="43">
        <v>2.41773002014775E-2</v>
      </c>
    </row>
    <row r="54" spans="2:5" ht="15" customHeight="1">
      <c r="B54" s="76"/>
      <c r="C54" s="45" t="s">
        <v>212</v>
      </c>
      <c r="D54" s="44">
        <v>27</v>
      </c>
      <c r="E54" s="43">
        <v>1.8132975151108125E-2</v>
      </c>
    </row>
    <row r="55" spans="2:5" ht="15" customHeight="1">
      <c r="B55" s="75"/>
      <c r="C55" s="42" t="s">
        <v>15</v>
      </c>
      <c r="D55" s="41">
        <v>63</v>
      </c>
      <c r="E55" s="40">
        <v>4.2310275352585629E-2</v>
      </c>
    </row>
    <row r="56" spans="2:5" ht="15" customHeight="1">
      <c r="B56" s="74" t="s">
        <v>28</v>
      </c>
      <c r="C56" s="45" t="s">
        <v>213</v>
      </c>
      <c r="D56" s="44">
        <v>2</v>
      </c>
      <c r="E56" s="43">
        <v>1.3431833445265279E-3</v>
      </c>
    </row>
    <row r="57" spans="2:5" ht="15" customHeight="1">
      <c r="B57" s="76"/>
      <c r="C57" s="45" t="s">
        <v>212</v>
      </c>
      <c r="D57" s="44">
        <v>4</v>
      </c>
      <c r="E57" s="43">
        <v>2.6863666890530559E-3</v>
      </c>
    </row>
    <row r="58" spans="2:5" ht="15" customHeight="1">
      <c r="B58" s="75"/>
      <c r="C58" s="42" t="s">
        <v>15</v>
      </c>
      <c r="D58" s="41">
        <v>6</v>
      </c>
      <c r="E58" s="40">
        <v>4.0295500335795834E-3</v>
      </c>
    </row>
    <row r="59" spans="2:5" ht="15" customHeight="1">
      <c r="B59" s="74" t="s">
        <v>22</v>
      </c>
      <c r="C59" s="45" t="s">
        <v>213</v>
      </c>
      <c r="D59" s="44">
        <v>3</v>
      </c>
      <c r="E59" s="43">
        <v>2.0147750167897917E-3</v>
      </c>
    </row>
    <row r="60" spans="2:5" ht="15" customHeight="1">
      <c r="B60" s="76"/>
      <c r="C60" s="45" t="s">
        <v>212</v>
      </c>
      <c r="D60" s="44">
        <v>2</v>
      </c>
      <c r="E60" s="43">
        <v>1.3431833445265279E-3</v>
      </c>
    </row>
    <row r="61" spans="2:5" ht="15" customHeight="1">
      <c r="B61" s="75"/>
      <c r="C61" s="42" t="s">
        <v>15</v>
      </c>
      <c r="D61" s="41">
        <v>5</v>
      </c>
      <c r="E61" s="40">
        <v>3.3579583613163196E-3</v>
      </c>
    </row>
    <row r="62" spans="2:5" ht="15" customHeight="1">
      <c r="B62" s="74" t="s">
        <v>35</v>
      </c>
      <c r="C62" s="45" t="s">
        <v>213</v>
      </c>
      <c r="D62" s="44">
        <v>26</v>
      </c>
      <c r="E62" s="43">
        <v>1.7461383478844864E-2</v>
      </c>
    </row>
    <row r="63" spans="2:5" ht="15" customHeight="1">
      <c r="B63" s="76"/>
      <c r="C63" s="45" t="s">
        <v>212</v>
      </c>
      <c r="D63" s="44">
        <v>16</v>
      </c>
      <c r="E63" s="43">
        <v>1.0745466756212223E-2</v>
      </c>
    </row>
    <row r="64" spans="2:5" ht="15" customHeight="1">
      <c r="B64" s="75"/>
      <c r="C64" s="42" t="s">
        <v>15</v>
      </c>
      <c r="D64" s="41">
        <v>42</v>
      </c>
      <c r="E64" s="40">
        <v>2.8206850235057087E-2</v>
      </c>
    </row>
    <row r="65" spans="2:5" ht="15" customHeight="1">
      <c r="B65" s="74" t="s">
        <v>44</v>
      </c>
      <c r="C65" s="45" t="s">
        <v>213</v>
      </c>
      <c r="D65" s="44">
        <v>205</v>
      </c>
      <c r="E65" s="43">
        <v>0.13767629281396912</v>
      </c>
    </row>
    <row r="66" spans="2:5" ht="15" customHeight="1">
      <c r="B66" s="76"/>
      <c r="C66" s="45" t="s">
        <v>212</v>
      </c>
      <c r="D66" s="44">
        <v>124</v>
      </c>
      <c r="E66" s="43">
        <v>8.3277367360644727E-2</v>
      </c>
    </row>
    <row r="67" spans="2:5" ht="15" customHeight="1">
      <c r="B67" s="75"/>
      <c r="C67" s="42" t="s">
        <v>15</v>
      </c>
      <c r="D67" s="41">
        <v>329</v>
      </c>
      <c r="E67" s="40">
        <v>0.22095366017461385</v>
      </c>
    </row>
    <row r="68" spans="2:5" ht="15" customHeight="1">
      <c r="B68" s="74" t="s">
        <v>27</v>
      </c>
      <c r="C68" s="45" t="s">
        <v>212</v>
      </c>
      <c r="D68" s="44">
        <v>1</v>
      </c>
      <c r="E68" s="43">
        <v>6.7159167226326397E-4</v>
      </c>
    </row>
    <row r="69" spans="2:5" ht="15" customHeight="1">
      <c r="B69" s="75"/>
      <c r="C69" s="42" t="s">
        <v>15</v>
      </c>
      <c r="D69" s="41">
        <v>1</v>
      </c>
      <c r="E69" s="40">
        <v>6.7159167226326397E-4</v>
      </c>
    </row>
    <row r="70" spans="2:5" ht="15" customHeight="1">
      <c r="B70" s="74" t="s">
        <v>34</v>
      </c>
      <c r="C70" s="45" t="s">
        <v>213</v>
      </c>
      <c r="D70" s="44">
        <v>17</v>
      </c>
      <c r="E70" s="43">
        <v>1.1417058428475487E-2</v>
      </c>
    </row>
    <row r="71" spans="2:5" ht="15" customHeight="1">
      <c r="B71" s="76"/>
      <c r="C71" s="45" t="s">
        <v>212</v>
      </c>
      <c r="D71" s="44">
        <v>13</v>
      </c>
      <c r="E71" s="43">
        <v>8.7306917394224318E-3</v>
      </c>
    </row>
    <row r="72" spans="2:5" ht="15" customHeight="1">
      <c r="B72" s="75"/>
      <c r="C72" s="42" t="s">
        <v>15</v>
      </c>
      <c r="D72" s="41">
        <v>30</v>
      </c>
      <c r="E72" s="40">
        <v>2.0147750167897917E-2</v>
      </c>
    </row>
    <row r="73" spans="2:5" ht="15" customHeight="1">
      <c r="B73" s="74" t="s">
        <v>20</v>
      </c>
      <c r="C73" s="45" t="s">
        <v>213</v>
      </c>
      <c r="D73" s="44">
        <v>1</v>
      </c>
      <c r="E73" s="43">
        <v>6.7159167226326397E-4</v>
      </c>
    </row>
    <row r="74" spans="2:5" ht="15" customHeight="1">
      <c r="B74" s="75"/>
      <c r="C74" s="42" t="s">
        <v>15</v>
      </c>
      <c r="D74" s="41">
        <v>1</v>
      </c>
      <c r="E74" s="40">
        <v>6.7159167226326397E-4</v>
      </c>
    </row>
    <row r="75" spans="2:5" ht="15" customHeight="1">
      <c r="B75" s="74" t="s">
        <v>26</v>
      </c>
      <c r="C75" s="45" t="s">
        <v>213</v>
      </c>
      <c r="D75" s="44">
        <v>2</v>
      </c>
      <c r="E75" s="43">
        <v>1.3431833445265279E-3</v>
      </c>
    </row>
    <row r="76" spans="2:5" ht="15" customHeight="1">
      <c r="B76" s="76"/>
      <c r="C76" s="45" t="s">
        <v>212</v>
      </c>
      <c r="D76" s="44">
        <v>1</v>
      </c>
      <c r="E76" s="43">
        <v>6.7159167226326397E-4</v>
      </c>
    </row>
    <row r="77" spans="2:5" ht="15" customHeight="1">
      <c r="B77" s="75"/>
      <c r="C77" s="42" t="s">
        <v>15</v>
      </c>
      <c r="D77" s="41">
        <v>3</v>
      </c>
      <c r="E77" s="40">
        <v>2.0147750167897917E-3</v>
      </c>
    </row>
    <row r="78" spans="2:5" ht="15" customHeight="1">
      <c r="B78" s="74" t="s">
        <v>31</v>
      </c>
      <c r="C78" s="45" t="s">
        <v>213</v>
      </c>
      <c r="D78" s="44">
        <v>8</v>
      </c>
      <c r="E78" s="43">
        <v>5.3727333781061117E-3</v>
      </c>
    </row>
    <row r="79" spans="2:5" ht="15" customHeight="1">
      <c r="B79" s="76"/>
      <c r="C79" s="45" t="s">
        <v>212</v>
      </c>
      <c r="D79" s="44">
        <v>9</v>
      </c>
      <c r="E79" s="43">
        <v>6.044325050369375E-3</v>
      </c>
    </row>
    <row r="80" spans="2:5" ht="15" customHeight="1">
      <c r="B80" s="75"/>
      <c r="C80" s="42" t="s">
        <v>15</v>
      </c>
      <c r="D80" s="41">
        <v>17</v>
      </c>
      <c r="E80" s="40">
        <v>1.1417058428475487E-2</v>
      </c>
    </row>
    <row r="81" spans="2:6" ht="15" customHeight="1">
      <c r="B81" s="74" t="s">
        <v>23</v>
      </c>
      <c r="C81" s="45" t="s">
        <v>213</v>
      </c>
      <c r="D81" s="44">
        <v>13</v>
      </c>
      <c r="E81" s="43">
        <v>8.7306917394224318E-3</v>
      </c>
    </row>
    <row r="82" spans="2:6" ht="15" customHeight="1">
      <c r="B82" s="76"/>
      <c r="C82" s="45" t="s">
        <v>212</v>
      </c>
      <c r="D82" s="44">
        <v>8</v>
      </c>
      <c r="E82" s="43">
        <v>5.3727333781061117E-3</v>
      </c>
    </row>
    <row r="83" spans="2:6" ht="15" customHeight="1">
      <c r="B83" s="75"/>
      <c r="C83" s="42" t="s">
        <v>15</v>
      </c>
      <c r="D83" s="41">
        <v>21</v>
      </c>
      <c r="E83" s="40">
        <v>1.4103425117528543E-2</v>
      </c>
      <c r="F83" s="17"/>
    </row>
    <row r="84" spans="2:6" ht="15" customHeight="1">
      <c r="B84" s="74" t="s">
        <v>42</v>
      </c>
      <c r="C84" s="45" t="s">
        <v>213</v>
      </c>
      <c r="D84" s="44">
        <v>76</v>
      </c>
      <c r="E84" s="43">
        <v>5.104096709200806E-2</v>
      </c>
      <c r="F84" s="17"/>
    </row>
    <row r="85" spans="2:6" ht="15" customHeight="1">
      <c r="B85" s="76"/>
      <c r="C85" s="45" t="s">
        <v>212</v>
      </c>
      <c r="D85" s="44">
        <v>58</v>
      </c>
      <c r="E85" s="43">
        <v>3.895231699126931E-2</v>
      </c>
      <c r="F85" s="17"/>
    </row>
    <row r="86" spans="2:6" ht="15" customHeight="1">
      <c r="B86" s="75"/>
      <c r="C86" s="42" t="s">
        <v>15</v>
      </c>
      <c r="D86" s="41">
        <v>134</v>
      </c>
      <c r="E86" s="40">
        <v>8.9993284083277364E-2</v>
      </c>
      <c r="F86" s="17"/>
    </row>
    <row r="87" spans="2:6" ht="15" customHeight="1">
      <c r="B87" s="74" t="s">
        <v>239</v>
      </c>
      <c r="C87" s="45" t="s">
        <v>212</v>
      </c>
      <c r="D87" s="44">
        <v>1</v>
      </c>
      <c r="E87" s="43">
        <v>6.7159167226326397E-4</v>
      </c>
      <c r="F87" s="17"/>
    </row>
    <row r="88" spans="2:6" ht="15" customHeight="1">
      <c r="B88" s="75"/>
      <c r="C88" s="42" t="s">
        <v>15</v>
      </c>
      <c r="D88" s="41">
        <v>1</v>
      </c>
      <c r="E88" s="40">
        <v>6.7159167226326397E-4</v>
      </c>
    </row>
    <row r="89" spans="2:6" ht="15" customHeight="1">
      <c r="B89" s="74" t="s">
        <v>30</v>
      </c>
      <c r="C89" s="45" t="s">
        <v>213</v>
      </c>
      <c r="D89" s="44">
        <v>2</v>
      </c>
      <c r="E89" s="43">
        <v>1.3431833445265279E-3</v>
      </c>
    </row>
    <row r="90" spans="2:6" ht="15" customHeight="1">
      <c r="B90" s="76"/>
      <c r="C90" s="45" t="s">
        <v>212</v>
      </c>
      <c r="D90" s="44">
        <v>5</v>
      </c>
      <c r="E90" s="43">
        <v>3.3579583613163196E-3</v>
      </c>
    </row>
    <row r="91" spans="2:6" ht="15" customHeight="1">
      <c r="B91" s="75"/>
      <c r="C91" s="42" t="s">
        <v>15</v>
      </c>
      <c r="D91" s="41">
        <v>7</v>
      </c>
      <c r="E91" s="40">
        <v>4.7011417058428475E-3</v>
      </c>
    </row>
    <row r="92" spans="2:6" ht="15" customHeight="1">
      <c r="B92" s="77" t="s">
        <v>15</v>
      </c>
      <c r="C92" s="78"/>
      <c r="D92" s="60">
        <f>SUMIF(C10:C91,"TOTAL",D10:D91)</f>
        <v>1489</v>
      </c>
      <c r="E92" s="61">
        <v>1</v>
      </c>
    </row>
    <row r="94" spans="2:6" ht="15" customHeight="1">
      <c r="B94" s="19" t="s">
        <v>271</v>
      </c>
    </row>
    <row r="95" spans="2:6" ht="15" customHeight="1">
      <c r="B95" s="21" t="s">
        <v>14</v>
      </c>
    </row>
    <row r="96" spans="2:6" ht="15" customHeight="1">
      <c r="B96" s="20" t="s">
        <v>13</v>
      </c>
    </row>
    <row r="97" spans="2:2" ht="15" customHeight="1">
      <c r="B97" s="19" t="s">
        <v>12</v>
      </c>
    </row>
    <row r="98" spans="2:2" ht="15" customHeight="1">
      <c r="B98" s="19" t="s">
        <v>272</v>
      </c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31">
    <mergeCell ref="B84:B86"/>
    <mergeCell ref="B87:B88"/>
    <mergeCell ref="B89:B91"/>
    <mergeCell ref="B92:C92"/>
    <mergeCell ref="B16:B17"/>
    <mergeCell ref="B18:B20"/>
    <mergeCell ref="B21:B23"/>
    <mergeCell ref="B24:B26"/>
    <mergeCell ref="B27:B28"/>
    <mergeCell ref="B35:B37"/>
    <mergeCell ref="B38:B40"/>
    <mergeCell ref="B41:B43"/>
    <mergeCell ref="B44:B46"/>
    <mergeCell ref="B70:B72"/>
    <mergeCell ref="B78:B80"/>
    <mergeCell ref="B62:B64"/>
    <mergeCell ref="B7:E8"/>
    <mergeCell ref="B29:B31"/>
    <mergeCell ref="B32:B34"/>
    <mergeCell ref="B10:B12"/>
    <mergeCell ref="B13:B15"/>
    <mergeCell ref="B65:B67"/>
    <mergeCell ref="B68:B69"/>
    <mergeCell ref="B73:B74"/>
    <mergeCell ref="B75:B77"/>
    <mergeCell ref="B81:B83"/>
    <mergeCell ref="B47:B49"/>
    <mergeCell ref="B50:B52"/>
    <mergeCell ref="B53:B55"/>
    <mergeCell ref="B56:B58"/>
    <mergeCell ref="B59:B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3"/>
  <sheetViews>
    <sheetView showGridLines="0" zoomScaleNormal="100" zoomScaleSheetLayoutView="100" workbookViewId="0">
      <selection activeCell="G27" sqref="G2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9"/>
      <c r="C7" s="79"/>
      <c r="D7" s="79"/>
      <c r="E7" s="79"/>
    </row>
    <row r="8" spans="1:5" s="50" customFormat="1" ht="33" customHeight="1">
      <c r="A8" s="51"/>
      <c r="B8" s="79"/>
      <c r="C8" s="79"/>
      <c r="D8" s="79"/>
      <c r="E8" s="79"/>
    </row>
    <row r="9" spans="1:5" s="29" customFormat="1" ht="40.5" customHeight="1">
      <c r="B9" s="47" t="s">
        <v>211</v>
      </c>
      <c r="C9" s="49" t="s">
        <v>221</v>
      </c>
      <c r="D9" s="48" t="s">
        <v>47</v>
      </c>
      <c r="E9" s="47" t="s">
        <v>46</v>
      </c>
    </row>
    <row r="10" spans="1:5" ht="15" customHeight="1">
      <c r="B10" s="74" t="s">
        <v>213</v>
      </c>
      <c r="C10" s="45" t="s">
        <v>219</v>
      </c>
      <c r="D10" s="44">
        <v>3</v>
      </c>
      <c r="E10" s="43">
        <v>2.0147750167897917E-3</v>
      </c>
    </row>
    <row r="11" spans="1:5" ht="15" customHeight="1">
      <c r="B11" s="76"/>
      <c r="C11" s="45" t="s">
        <v>218</v>
      </c>
      <c r="D11" s="44">
        <v>169</v>
      </c>
      <c r="E11" s="43">
        <v>0.11349899261249161</v>
      </c>
    </row>
    <row r="12" spans="1:5" ht="15" customHeight="1">
      <c r="B12" s="76"/>
      <c r="C12" s="45" t="s">
        <v>217</v>
      </c>
      <c r="D12" s="44">
        <v>356</v>
      </c>
      <c r="E12" s="43">
        <v>0.23908663532572197</v>
      </c>
    </row>
    <row r="13" spans="1:5" ht="15" customHeight="1">
      <c r="B13" s="76"/>
      <c r="C13" s="45" t="s">
        <v>216</v>
      </c>
      <c r="D13" s="44">
        <v>265</v>
      </c>
      <c r="E13" s="43">
        <v>0.17797179314976494</v>
      </c>
    </row>
    <row r="14" spans="1:5" ht="15" customHeight="1">
      <c r="B14" s="76"/>
      <c r="C14" s="45" t="s">
        <v>215</v>
      </c>
      <c r="D14" s="44">
        <v>100</v>
      </c>
      <c r="E14" s="43">
        <v>6.7159167226326394E-2</v>
      </c>
    </row>
    <row r="15" spans="1:5" ht="15" customHeight="1">
      <c r="B15" s="75"/>
      <c r="C15" s="45" t="s">
        <v>214</v>
      </c>
      <c r="D15" s="44">
        <v>3</v>
      </c>
      <c r="E15" s="43">
        <v>2.0147750167897917E-3</v>
      </c>
    </row>
    <row r="16" spans="1:5" ht="15" customHeight="1">
      <c r="B16" s="74" t="s">
        <v>212</v>
      </c>
      <c r="C16" s="45" t="s">
        <v>489</v>
      </c>
      <c r="D16" s="44">
        <v>2</v>
      </c>
      <c r="E16" s="43">
        <v>1.3431833445265279E-3</v>
      </c>
    </row>
    <row r="17" spans="2:6" ht="15" customHeight="1">
      <c r="B17" s="76"/>
      <c r="C17" s="45" t="s">
        <v>219</v>
      </c>
      <c r="D17" s="44">
        <v>7</v>
      </c>
      <c r="E17" s="43">
        <v>4.7011417058428475E-3</v>
      </c>
    </row>
    <row r="18" spans="2:6" ht="15" customHeight="1">
      <c r="B18" s="76"/>
      <c r="C18" s="45" t="s">
        <v>218</v>
      </c>
      <c r="D18" s="44">
        <v>74</v>
      </c>
      <c r="E18" s="43">
        <v>4.969778374748153E-2</v>
      </c>
    </row>
    <row r="19" spans="2:6" ht="15" customHeight="1">
      <c r="B19" s="76"/>
      <c r="C19" s="45" t="s">
        <v>217</v>
      </c>
      <c r="D19" s="44">
        <v>201</v>
      </c>
      <c r="E19" s="43">
        <v>0.13498992612491606</v>
      </c>
    </row>
    <row r="20" spans="2:6" ht="15" customHeight="1">
      <c r="B20" s="76"/>
      <c r="C20" s="45" t="s">
        <v>216</v>
      </c>
      <c r="D20" s="44">
        <v>214</v>
      </c>
      <c r="E20" s="43">
        <v>0.14372061786433848</v>
      </c>
    </row>
    <row r="21" spans="2:6" ht="15" customHeight="1">
      <c r="B21" s="76"/>
      <c r="C21" s="45" t="s">
        <v>215</v>
      </c>
      <c r="D21" s="44">
        <v>85</v>
      </c>
      <c r="E21" s="43">
        <v>5.7085292142377432E-2</v>
      </c>
    </row>
    <row r="22" spans="2:6" ht="15" customHeight="1">
      <c r="B22" s="76"/>
      <c r="C22" s="45" t="s">
        <v>214</v>
      </c>
      <c r="D22" s="44">
        <v>9</v>
      </c>
      <c r="E22" s="43">
        <v>6.044325050369375E-3</v>
      </c>
    </row>
    <row r="23" spans="2:6" ht="15" customHeight="1">
      <c r="B23" s="75"/>
      <c r="C23" s="45" t="s">
        <v>220</v>
      </c>
      <c r="D23" s="44">
        <v>1</v>
      </c>
      <c r="E23" s="43">
        <v>6.7159167226326397E-4</v>
      </c>
    </row>
    <row r="24" spans="2:6" ht="15" customHeight="1">
      <c r="B24" s="77" t="s">
        <v>15</v>
      </c>
      <c r="C24" s="78"/>
      <c r="D24" s="60">
        <v>1489</v>
      </c>
      <c r="E24" s="61">
        <v>1</v>
      </c>
    </row>
    <row r="25" spans="2:6" ht="15" customHeight="1">
      <c r="F25" s="17"/>
    </row>
    <row r="26" spans="2:6" ht="15" customHeight="1">
      <c r="B26" s="19" t="s">
        <v>271</v>
      </c>
      <c r="F26" s="17"/>
    </row>
    <row r="27" spans="2:6" ht="15" customHeight="1">
      <c r="B27" s="21" t="s">
        <v>14</v>
      </c>
      <c r="F27" s="17"/>
    </row>
    <row r="28" spans="2:6" ht="15" customHeight="1">
      <c r="B28" s="20" t="s">
        <v>13</v>
      </c>
      <c r="F28" s="17"/>
    </row>
    <row r="29" spans="2:6" ht="15" customHeight="1">
      <c r="B29" s="19" t="s">
        <v>12</v>
      </c>
      <c r="F29" s="17"/>
    </row>
    <row r="30" spans="2:6" ht="15" customHeight="1">
      <c r="B30" s="19" t="s">
        <v>272</v>
      </c>
    </row>
    <row r="459" spans="2:2" s="37" customFormat="1" ht="15" customHeight="1">
      <c r="B459" s="38"/>
    </row>
    <row r="460" spans="2:2" s="37" customFormat="1" ht="15" customHeight="1">
      <c r="B460" s="39"/>
    </row>
    <row r="461" spans="2:2" s="37" customFormat="1" ht="15" customHeight="1">
      <c r="B461" s="39"/>
    </row>
    <row r="462" spans="2:2" s="37" customFormat="1" ht="15" customHeight="1">
      <c r="B462" s="38"/>
    </row>
    <row r="463" spans="2:2" s="37" customFormat="1" ht="15" customHeight="1">
      <c r="B463" s="38"/>
    </row>
  </sheetData>
  <mergeCells count="4">
    <mergeCell ref="B24:C24"/>
    <mergeCell ref="B7:E8"/>
    <mergeCell ref="B10:B15"/>
    <mergeCell ref="B16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tabSelected="1" zoomScaleNormal="100" zoomScaleSheetLayoutView="115" workbookViewId="0">
      <selection activeCell="E18" sqref="E18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3" t="s">
        <v>266</v>
      </c>
      <c r="C7" s="73"/>
      <c r="D7" s="73"/>
    </row>
    <row r="8" spans="1:5" s="29" customFormat="1" ht="15" customHeight="1">
      <c r="B8" s="73"/>
      <c r="C8" s="73"/>
      <c r="D8" s="73"/>
    </row>
    <row r="9" spans="1:5" s="29" customFormat="1" ht="33" customHeight="1">
      <c r="B9" s="73"/>
      <c r="C9" s="73"/>
      <c r="D9" s="73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235</v>
      </c>
      <c r="C11" s="31" t="s">
        <v>47</v>
      </c>
      <c r="D11" s="30" t="s">
        <v>46</v>
      </c>
    </row>
    <row r="12" spans="1:5">
      <c r="B12" s="27" t="s">
        <v>234</v>
      </c>
      <c r="C12" s="26">
        <v>1042</v>
      </c>
      <c r="D12" s="25">
        <v>0.69979852249832097</v>
      </c>
    </row>
    <row r="13" spans="1:5">
      <c r="B13" s="27" t="s">
        <v>233</v>
      </c>
      <c r="C13" s="26">
        <v>296</v>
      </c>
      <c r="D13" s="25">
        <v>0.19879113498992612</v>
      </c>
    </row>
    <row r="14" spans="1:5">
      <c r="A14" s="28"/>
      <c r="B14" s="27" t="s">
        <v>232</v>
      </c>
      <c r="C14" s="26">
        <v>29</v>
      </c>
      <c r="D14" s="25">
        <v>1.9476158495634655E-2</v>
      </c>
      <c r="E14" s="28"/>
    </row>
    <row r="15" spans="1:5">
      <c r="A15" s="28"/>
      <c r="B15" s="27" t="s">
        <v>231</v>
      </c>
      <c r="C15" s="26">
        <v>29</v>
      </c>
      <c r="D15" s="25">
        <v>1.9476158495634655E-2</v>
      </c>
      <c r="E15" s="28"/>
    </row>
    <row r="16" spans="1:5">
      <c r="B16" s="27" t="s">
        <v>230</v>
      </c>
      <c r="C16" s="26">
        <v>23</v>
      </c>
      <c r="D16" s="25">
        <v>1.544660846205507E-2</v>
      </c>
    </row>
    <row r="17" spans="2:4">
      <c r="B17" s="27" t="s">
        <v>228</v>
      </c>
      <c r="C17" s="26">
        <v>18</v>
      </c>
      <c r="D17" s="25">
        <v>1.208865010073875E-2</v>
      </c>
    </row>
    <row r="18" spans="2:4">
      <c r="B18" s="27" t="s">
        <v>226</v>
      </c>
      <c r="C18" s="26">
        <v>16</v>
      </c>
      <c r="D18" s="25">
        <v>1.0745466756212223E-2</v>
      </c>
    </row>
    <row r="19" spans="2:4">
      <c r="B19" s="27" t="s">
        <v>227</v>
      </c>
      <c r="C19" s="26">
        <v>13</v>
      </c>
      <c r="D19" s="25">
        <v>8.7306917394224318E-3</v>
      </c>
    </row>
    <row r="20" spans="2:4">
      <c r="B20" s="27" t="s">
        <v>229</v>
      </c>
      <c r="C20" s="26">
        <v>9</v>
      </c>
      <c r="D20" s="25">
        <v>6.044325050369375E-3</v>
      </c>
    </row>
    <row r="21" spans="2:4">
      <c r="B21" s="27" t="s">
        <v>225</v>
      </c>
      <c r="C21" s="26">
        <v>4</v>
      </c>
      <c r="D21" s="25">
        <v>2.6863666890530559E-3</v>
      </c>
    </row>
    <row r="22" spans="2:4">
      <c r="B22" s="27" t="s">
        <v>267</v>
      </c>
      <c r="C22" s="26">
        <v>3</v>
      </c>
      <c r="D22" s="25">
        <v>2.0147750167897917E-3</v>
      </c>
    </row>
    <row r="23" spans="2:4">
      <c r="B23" s="27" t="s">
        <v>268</v>
      </c>
      <c r="C23" s="26">
        <v>1</v>
      </c>
      <c r="D23" s="25">
        <v>6.7159167226326397E-4</v>
      </c>
    </row>
    <row r="24" spans="2:4">
      <c r="B24" s="27" t="s">
        <v>269</v>
      </c>
      <c r="C24" s="26">
        <v>1</v>
      </c>
      <c r="D24" s="25">
        <v>6.7159167226326397E-4</v>
      </c>
    </row>
    <row r="25" spans="2:4">
      <c r="B25" s="27" t="s">
        <v>224</v>
      </c>
      <c r="C25" s="26">
        <v>1</v>
      </c>
      <c r="D25" s="25">
        <v>6.7159167226326397E-4</v>
      </c>
    </row>
    <row r="26" spans="2:4">
      <c r="B26" s="27" t="s">
        <v>265</v>
      </c>
      <c r="C26" s="26">
        <v>1</v>
      </c>
      <c r="D26" s="25">
        <v>6.7159167226326397E-4</v>
      </c>
    </row>
    <row r="27" spans="2:4">
      <c r="B27" s="27" t="s">
        <v>222</v>
      </c>
      <c r="C27" s="26">
        <v>1</v>
      </c>
      <c r="D27" s="25">
        <v>6.7159167226326397E-4</v>
      </c>
    </row>
    <row r="28" spans="2:4">
      <c r="B28" s="27" t="s">
        <v>223</v>
      </c>
      <c r="C28" s="26">
        <v>1</v>
      </c>
      <c r="D28" s="25">
        <v>6.7159167226326397E-4</v>
      </c>
    </row>
    <row r="29" spans="2:4">
      <c r="B29" s="27" t="s">
        <v>270</v>
      </c>
      <c r="C29" s="26">
        <v>1</v>
      </c>
      <c r="D29" s="25">
        <v>6.7159167226326397E-4</v>
      </c>
    </row>
    <row r="30" spans="2:4">
      <c r="B30" s="24" t="s">
        <v>15</v>
      </c>
      <c r="C30" s="23">
        <v>1489</v>
      </c>
      <c r="D30" s="22">
        <v>1</v>
      </c>
    </row>
    <row r="32" spans="2:4">
      <c r="B32" s="19" t="s">
        <v>271</v>
      </c>
    </row>
    <row r="33" spans="2:2">
      <c r="B33" s="21" t="s">
        <v>14</v>
      </c>
    </row>
    <row r="34" spans="2:2">
      <c r="B34" s="20" t="s">
        <v>13</v>
      </c>
    </row>
    <row r="35" spans="2:2">
      <c r="B35" s="19" t="s">
        <v>12</v>
      </c>
    </row>
    <row r="36" spans="2:2">
      <c r="B36" s="19" t="s">
        <v>272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Delaware_Edomexgral</vt:lpstr>
      <vt:lpstr>Delaware_EDOMEX</vt:lpstr>
      <vt:lpstr>Delaware_Educagral</vt:lpstr>
      <vt:lpstr>Delaware_Eduedo</vt:lpstr>
      <vt:lpstr>Delaware_gengral</vt:lpstr>
      <vt:lpstr>Delaware_edomexgen</vt:lpstr>
      <vt:lpstr>Delaware_edadgen</vt:lpstr>
      <vt:lpstr>Delaware_ocupgral</vt:lpstr>
      <vt:lpstr>Delaware_edadgen!Área_de_impresión</vt:lpstr>
      <vt:lpstr>Delaware_EDOMEX!Área_de_impresión</vt:lpstr>
      <vt:lpstr>Delaware_edomexgen!Área_de_impresión</vt:lpstr>
      <vt:lpstr>Delaware_Eduedo!Área_de_impresión</vt:lpstr>
      <vt:lpstr>Delaware_edadgen!Títulos_a_imprimir</vt:lpstr>
      <vt:lpstr>Delaware_EDOMEX!Títulos_a_imprimir</vt:lpstr>
      <vt:lpstr>Delaware_edomexgen!Títulos_a_imprimir</vt:lpstr>
      <vt:lpstr>Delaware_Edomexgral!Títulos_a_imprimir</vt:lpstr>
      <vt:lpstr>Delaware_Educagral!Títulos_a_imprimir</vt:lpstr>
      <vt:lpstr>Delaware_Eduedo!Títulos_a_imprimir</vt:lpstr>
      <vt:lpstr>Delaware_gengral!Títulos_a_imprimir</vt:lpstr>
      <vt:lpstr>Delaware_ocupgral!Títulos_a_imprimir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2020-06-18T19:27:49Z</dcterms:created>
  <dcterms:modified xsi:type="dcterms:W3CDTF">2022-05-18T14:30:21Z</dcterms:modified>
</cp:coreProperties>
</file>