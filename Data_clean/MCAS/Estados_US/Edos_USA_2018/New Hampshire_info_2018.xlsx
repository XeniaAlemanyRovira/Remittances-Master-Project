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sime05\Desktop\CONS\CONS\1)EdoUSA_archivo_único\"/>
    </mc:Choice>
  </mc:AlternateContent>
  <bookViews>
    <workbookView xWindow="0" yWindow="0" windowWidth="24000" windowHeight="9345" tabRatio="942"/>
  </bookViews>
  <sheets>
    <sheet name="Índice" sheetId="1" r:id="rId1"/>
    <sheet name="New Hampshire_Edomexgral" sheetId="7" r:id="rId2"/>
    <sheet name="New Hampshire_EDOMEX" sheetId="9" r:id="rId3"/>
    <sheet name="New Hampshire_Educagral" sheetId="4" r:id="rId4"/>
    <sheet name="New Hampshire_Eduedo" sheetId="3" r:id="rId5"/>
    <sheet name="New Hampshire_gengral18" sheetId="6" r:id="rId6"/>
    <sheet name="New Hampshire_edomexgen" sheetId="2" r:id="rId7"/>
    <sheet name="New Hampshire_edadgen" sheetId="5" r:id="rId8"/>
    <sheet name="New Hampshire_ocupgral18" sheetId="8" r:id="rId9"/>
  </sheets>
  <definedNames>
    <definedName name="_xlnm._FilterDatabase" localSheetId="7" hidden="1">'New Hampshire_edadgen'!$B$9:$E$13</definedName>
    <definedName name="_xlnm._FilterDatabase" localSheetId="2" hidden="1">'New Hampshire_EDOMEX'!$B$9:$E$13</definedName>
    <definedName name="_xlnm._FilterDatabase" localSheetId="6" hidden="1">'New Hampshire_edomexgen'!$B$9:$E$13</definedName>
    <definedName name="_xlnm._FilterDatabase" localSheetId="1" hidden="1">'New Hampshire_Edomexgral'!$B$11:$D$12</definedName>
    <definedName name="_xlnm._FilterDatabase" localSheetId="3" hidden="1">'New Hampshire_Educagral'!$B$11:$D$12</definedName>
    <definedName name="_xlnm._FilterDatabase" localSheetId="4" hidden="1">'New Hampshire_Eduedo'!$B$9:$E$13</definedName>
    <definedName name="_xlnm._FilterDatabase" localSheetId="5" hidden="1">'New Hampshire_gengral18'!$B$11:$D$12</definedName>
    <definedName name="_xlnm._FilterDatabase" localSheetId="8" hidden="1">'New Hampshire_ocupgral18'!$B$11:$D$12</definedName>
    <definedName name="_xlnm.Print_Area" localSheetId="7">'New Hampshire_edadgen'!$A$1:$E$26</definedName>
    <definedName name="_xlnm.Print_Area" localSheetId="2">'New Hampshire_EDOMEX'!$A$1:$E$102</definedName>
    <definedName name="_xlnm.Print_Area" localSheetId="6">'New Hampshire_edomexgen'!$A$1:$E$73</definedName>
    <definedName name="_xlnm.Print_Area" localSheetId="4">'New Hampshire_Eduedo'!$A$1:$E$103</definedName>
    <definedName name="_xlnm.Print_Titles" localSheetId="7">'New Hampshire_edadgen'!$1:$9</definedName>
    <definedName name="_xlnm.Print_Titles" localSheetId="2">'New Hampshire_EDOMEX'!$1:$9</definedName>
    <definedName name="_xlnm.Print_Titles" localSheetId="6">'New Hampshire_edomexgen'!$1:$9</definedName>
    <definedName name="_xlnm.Print_Titles" localSheetId="1">'New Hampshire_Edomexgral'!$1:$11</definedName>
    <definedName name="_xlnm.Print_Titles" localSheetId="3">'New Hampshire_Educagral'!$1:$11</definedName>
    <definedName name="_xlnm.Print_Titles" localSheetId="4">'New Hampshire_Eduedo'!$1:$9</definedName>
    <definedName name="_xlnm.Print_Titles" localSheetId="5">'New Hampshire_gengral18'!$1:$11</definedName>
    <definedName name="_xlnm.Print_Titles" localSheetId="8">'New Hampshire_ocupgral18'!$1:$11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6" i="9" l="1"/>
  <c r="D67" i="2"/>
</calcChain>
</file>

<file path=xl/sharedStrings.xml><?xml version="1.0" encoding="utf-8"?>
<sst xmlns="http://schemas.openxmlformats.org/spreadsheetml/2006/main" count="458" uniqueCount="164">
  <si>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</si>
  <si>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</si>
  <si>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</si>
  <si>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</si>
  <si>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</si>
  <si>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</si>
  <si>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</si>
  <si>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</si>
  <si>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</si>
  <si>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</si>
  <si>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</si>
  <si>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</si>
  <si>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New Hampshire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</si>
  <si>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</si>
  <si>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</si>
  <si>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</si>
  <si>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</si>
  <si>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</si>
  <si>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</si>
  <si>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</si>
  <si>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</si>
  <si>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</si>
  <si>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Veracruz</t>
  </si>
  <si>
    <t>Tamaulipas</t>
  </si>
  <si>
    <t>Tabasco</t>
  </si>
  <si>
    <t>San Luis Potosí</t>
  </si>
  <si>
    <t>Querétaro</t>
  </si>
  <si>
    <t>Puebla</t>
  </si>
  <si>
    <t>Oaxaca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</si>
  <si>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</si>
  <si>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</si>
  <si>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</si>
  <si>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</si>
  <si>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</si>
  <si>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</si>
  <si>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</si>
  <si>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</si>
  <si>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</si>
  <si>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</si>
  <si>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</si>
  <si>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</si>
  <si>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</si>
  <si>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</si>
  <si>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</si>
  <si>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</si>
  <si>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</si>
  <si>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</si>
  <si>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</si>
  <si>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</si>
  <si>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Profesional titulado</t>
  </si>
  <si>
    <t>Profesional pasante</t>
  </si>
  <si>
    <t>3°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</si>
  <si>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</si>
  <si>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</si>
  <si>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</si>
  <si>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</si>
  <si>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</si>
  <si>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</si>
  <si>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</si>
  <si>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Primaria con certificado</t>
  </si>
  <si>
    <t>6° Primaria</t>
  </si>
  <si>
    <t>5° Primaria</t>
  </si>
  <si>
    <t>4° Primaria</t>
  </si>
  <si>
    <t>3° Primaria</t>
  </si>
  <si>
    <t>1° Primaria</t>
  </si>
  <si>
    <t>Nivel de Estudios</t>
  </si>
  <si>
    <t>Posgrado [Doctorado]</t>
  </si>
  <si>
    <t>Posgrado [Maestría]</t>
  </si>
  <si>
    <t>Profesional Titulado</t>
  </si>
  <si>
    <t>4° Año de profesional</t>
  </si>
  <si>
    <t>2° Año de profesional</t>
  </si>
  <si>
    <t>Capacitación Técnica</t>
  </si>
  <si>
    <t>1° Secundaria</t>
  </si>
  <si>
    <t>2° Primaria</t>
  </si>
  <si>
    <t>Sin Estudios</t>
  </si>
  <si>
    <t>Menores de edad</t>
  </si>
  <si>
    <t>MATRÍCULAS CONSULARES EXPEDIDAS EN EL ESTADO DE NEW HAMPSHIRE EN EE.UU. POR NIVEL DE EDUCACIÓN</t>
  </si>
  <si>
    <t>Entre 50 y 65 Años</t>
  </si>
  <si>
    <t>Entre 40 y 49 Años</t>
  </si>
  <si>
    <t>Entre 29 y 39 Años</t>
  </si>
  <si>
    <t>Entre 18 y 28 Años</t>
  </si>
  <si>
    <t>Entre 66 y 75 Años</t>
  </si>
  <si>
    <t>Entre 11 y 17 Años</t>
  </si>
  <si>
    <t>Edad cumplida</t>
  </si>
  <si>
    <t>TOTAL</t>
  </si>
  <si>
    <t>MUJER</t>
  </si>
  <si>
    <t>HOMBRE</t>
  </si>
  <si>
    <t>MATRÍCULAS CONSULARES DE ALTA SEGURIDAD EXPEDIDAS EN EE.UU A MEXICANOS EN EL ESTADO DE NEW HAMPSHIRE, POR GÉNERO 2018</t>
  </si>
  <si>
    <t>MATRÍCULAS CONSULARES DE ALTA SEGURIDAD EXPEDIDAS EN EL ESTADO DE NEW HAMPSHIRE EN EE.UU. POR ESTADO DE LA REPÚBLICA MEXICANA DURANTE EL 2018</t>
  </si>
  <si>
    <t>Pintor(a)</t>
  </si>
  <si>
    <t>Jardinero(a)</t>
  </si>
  <si>
    <t>Estudiante</t>
  </si>
  <si>
    <t>Cocinero(a)</t>
  </si>
  <si>
    <t>Albañil</t>
  </si>
  <si>
    <t>Otro</t>
  </si>
  <si>
    <t>Mesero(a)</t>
  </si>
  <si>
    <t>Campesino(a)</t>
  </si>
  <si>
    <t>Obrero(a)</t>
  </si>
  <si>
    <t>Hogar</t>
  </si>
  <si>
    <t>Empleado(a)</t>
  </si>
  <si>
    <t>Ocupación</t>
  </si>
  <si>
    <t>MATRÍCULAS CONSULARES DE ALTA SEGURIDAD EXPEDIDAS EN EE.UU A MEXICANOS EN EL ESTADO DE  NEW HAMPSHIRE, POR PERFIL OCUPACIONAL 2018</t>
  </si>
  <si>
    <t>Sombrerete</t>
  </si>
  <si>
    <t>Tlapacoyan</t>
  </si>
  <si>
    <t>Juchique de Ferrer</t>
  </si>
  <si>
    <t>Hidalgotitlán</t>
  </si>
  <si>
    <t>Coatzacoalcos</t>
  </si>
  <si>
    <t>Tampico</t>
  </si>
  <si>
    <t>Emiliano Zapata</t>
  </si>
  <si>
    <t>Xilitla</t>
  </si>
  <si>
    <t>Landa de Matamoros</t>
  </si>
  <si>
    <t>Cadereyta de Montes</t>
  </si>
  <si>
    <t>Teziutlán</t>
  </si>
  <si>
    <t>Palmar de Bravo</t>
  </si>
  <si>
    <t>Huaquechula</t>
  </si>
  <si>
    <t>Chiautla</t>
  </si>
  <si>
    <t>San Sebastián Ixcapa</t>
  </si>
  <si>
    <t>Putla Villa de Guerrero</t>
  </si>
  <si>
    <t>Heroica Ciudad de Huajuapan de León</t>
  </si>
  <si>
    <t>Heroica Ciudad de Ejutla de Crespo</t>
  </si>
  <si>
    <t>Tepic</t>
  </si>
  <si>
    <t>Rosamorada</t>
  </si>
  <si>
    <t>Tlayacapan</t>
  </si>
  <si>
    <t>Cuernavaca</t>
  </si>
  <si>
    <t>Uruapan</t>
  </si>
  <si>
    <t>Zapotitlán de Vadillo</t>
  </si>
  <si>
    <t>Villa Purificación</t>
  </si>
  <si>
    <t>Tecalitlán</t>
  </si>
  <si>
    <t>Pihuamo</t>
  </si>
  <si>
    <t>Guadalajara</t>
  </si>
  <si>
    <t>Degollado</t>
  </si>
  <si>
    <t>Cuquío</t>
  </si>
  <si>
    <t>Casimiro Castillo</t>
  </si>
  <si>
    <t>Autlán de Navarro</t>
  </si>
  <si>
    <t>San Bartolo Tutotepec</t>
  </si>
  <si>
    <t>Ixmiquilpan</t>
  </si>
  <si>
    <t>Taxco de Alarcón</t>
  </si>
  <si>
    <t>San Luis Acatlán</t>
  </si>
  <si>
    <t>Ometepec</t>
  </si>
  <si>
    <t>Mártir de Cuilapan</t>
  </si>
  <si>
    <t>Igualapa</t>
  </si>
  <si>
    <t>Huitzuco de los Figueroa</t>
  </si>
  <si>
    <t>Chilpancingo de los Bravo</t>
  </si>
  <si>
    <t>Acapulco de Juárez</t>
  </si>
  <si>
    <t>Jaral del Progreso</t>
  </si>
  <si>
    <t>Celaya</t>
  </si>
  <si>
    <t>Tenancingo</t>
  </si>
  <si>
    <t>Ecatepec de Morelos</t>
  </si>
  <si>
    <t>Vicente Guerrero</t>
  </si>
  <si>
    <t>Súchil</t>
  </si>
  <si>
    <t>Guadalupe Victoria</t>
  </si>
  <si>
    <t>Venustiano Carranza</t>
  </si>
  <si>
    <t>Tláhuac</t>
  </si>
  <si>
    <t>Miguel Hidalgo</t>
  </si>
  <si>
    <t>Gustavo A. Madero</t>
  </si>
  <si>
    <t>Benito Juárez</t>
  </si>
  <si>
    <t>Villa de Álvarez</t>
  </si>
  <si>
    <t>Manzanillo</t>
  </si>
  <si>
    <t>Armería</t>
  </si>
  <si>
    <t>Múzquiz</t>
  </si>
  <si>
    <t>Juárez</t>
  </si>
  <si>
    <t>Las Margaritas</t>
  </si>
  <si>
    <t>Comitán de Domínguez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</si>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</sst>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</cellXfs>
  <cellStyles count="5">
    <cellStyle name="Hipervínculo" xfId="2" builtinId="8" customBuiltin="1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361950</xdr:colOff>
      <xdr:row>6</xdr:row>
      <xdr:rowOff>142875</xdr:rowOff>
    </xdr:from>
    <xdr:to>
      <xdr:col>5</xdr:col>
      <xdr:colOff>302547</xdr:colOff>
      <xdr:row>8</xdr:row>
      <xdr:rowOff>9525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91075" y="1476375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NEW HAMPSHIRE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571499</xdr:colOff>
      <xdr:row>5</xdr:row>
      <xdr:rowOff>39414</xdr:rowOff>
    </xdr:from>
    <xdr:to>
      <xdr:col>5</xdr:col>
      <xdr:colOff>1131221</xdr:colOff>
      <xdr:row>5</xdr:row>
      <xdr:rowOff>287064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332482" y="1143000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6</xdr:row>
      <xdr:rowOff>57150</xdr:rowOff>
    </xdr:from>
    <xdr:to>
      <xdr:col>5</xdr:col>
      <xdr:colOff>321597</xdr:colOff>
      <xdr:row>7</xdr:row>
      <xdr:rowOff>114300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10200" y="1390650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NEW HAMPSHIRE,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5</xdr:row>
      <xdr:rowOff>26277</xdr:rowOff>
    </xdr:from>
    <xdr:to>
      <xdr:col>4</xdr:col>
      <xdr:colOff>1078670</xdr:colOff>
      <xdr:row>5</xdr:row>
      <xdr:rowOff>273927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56638" y="1129863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HAMPSHIRE,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5</xdr:row>
      <xdr:rowOff>26277</xdr:rowOff>
    </xdr:from>
    <xdr:to>
      <xdr:col>4</xdr:col>
      <xdr:colOff>1072101</xdr:colOff>
      <xdr:row>5</xdr:row>
      <xdr:rowOff>273927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50069" y="1129863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HAMPSHIRE,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5</xdr:row>
      <xdr:rowOff>32845</xdr:rowOff>
    </xdr:from>
    <xdr:to>
      <xdr:col>4</xdr:col>
      <xdr:colOff>1078670</xdr:colOff>
      <xdr:row>5</xdr:row>
      <xdr:rowOff>280495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56638" y="1136431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371475</xdr:colOff>
      <xdr:row>6</xdr:row>
      <xdr:rowOff>19050</xdr:rowOff>
    </xdr:from>
    <xdr:to>
      <xdr:col>5</xdr:col>
      <xdr:colOff>312072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00600" y="1352550"/>
          <a:ext cx="5597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Hampshire_Edomexgral'!A1" display="1. Por Estados de la República Mexicana"/>
    <hyperlink ref="B9" location="California_EDOMEX!A1" display="2.1 Por estado de la República Mexicana y municipio de origen"/>
    <hyperlink ref="B11:D11" location="'New Hampshire_Educagral'!A1" display="3.1 Educación general"/>
    <hyperlink ref="B12:D12" location="'New Hampshire_Eduedo'!A1" display="3.2 Por Estado de la República Mexicana"/>
    <hyperlink ref="B15:D15" location="'New Hampshire_edomexgen'!A1" display="4.1 Género General"/>
    <hyperlink ref="B16:D16" location="'New Hampshire_edomexgen'!A1" display="4.2 Por Estados de la República Mexicana"/>
    <hyperlink ref="A18:D18" location="'New Hampshire_edadgen'!A1" display="5. Por estructura de Edad"/>
    <hyperlink ref="A20:D20" location="'New Hampshire_ocupgral18'!A1" display="6. Por Ocupación"/>
    <hyperlink ref="B9:D9" location="'New Hampshire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42"/>
  <sheetViews>
    <sheetView showGridLines="0" zoomScaleNormal="100" zoomScaleSheetLayoutView="115" workbookViewId="0">
      <selection activeCell="F10" sqref="F10"/>
    </sheetView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88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48</v>
      </c>
      <c r="C11" s="55" t="s">
        <v>46</v>
      </c>
      <c r="D11" s="54" t="s">
        <v>45</v>
      </c>
    </row>
    <row r="12" spans="2:4" ht="15" customHeight="1" x14ac:dyDescent="0.25">
      <c r="B12" s="52" t="s">
        <v>21</v>
      </c>
      <c r="C12" s="51">
        <v>20</v>
      </c>
      <c r="D12" s="50">
        <v>0.17094017094017094</v>
      </c>
    </row>
    <row r="13" spans="2:4" x14ac:dyDescent="0.25">
      <c r="B13" s="52" t="s">
        <v>32</v>
      </c>
      <c r="C13" s="51">
        <v>15</v>
      </c>
      <c r="D13" s="50">
        <v>0.12820512820512819</v>
      </c>
    </row>
    <row r="14" spans="2:4" s="53" customFormat="1" ht="15.75" x14ac:dyDescent="0.25">
      <c r="B14" s="52" t="s">
        <v>34</v>
      </c>
      <c r="C14" s="51">
        <v>11</v>
      </c>
      <c r="D14" s="50">
        <v>9.4017094017094016E-2</v>
      </c>
    </row>
    <row r="15" spans="2:4" s="53" customFormat="1" ht="15.75" x14ac:dyDescent="0.25">
      <c r="B15" s="52" t="s">
        <v>39</v>
      </c>
      <c r="C15" s="51">
        <v>9</v>
      </c>
      <c r="D15" s="50">
        <v>7.6923076923076927E-2</v>
      </c>
    </row>
    <row r="16" spans="2:4" x14ac:dyDescent="0.25">
      <c r="B16" s="52" t="s">
        <v>26</v>
      </c>
      <c r="C16" s="51">
        <v>9</v>
      </c>
      <c r="D16" s="50">
        <v>7.6923076923076927E-2</v>
      </c>
    </row>
    <row r="17" spans="2:4" x14ac:dyDescent="0.25">
      <c r="B17" s="52" t="s">
        <v>38</v>
      </c>
      <c r="C17" s="51">
        <v>6</v>
      </c>
      <c r="D17" s="50">
        <v>5.128205128205128E-2</v>
      </c>
    </row>
    <row r="18" spans="2:4" x14ac:dyDescent="0.25">
      <c r="B18" s="52" t="s">
        <v>37</v>
      </c>
      <c r="C18" s="51">
        <v>6</v>
      </c>
      <c r="D18" s="50">
        <v>5.128205128205128E-2</v>
      </c>
    </row>
    <row r="19" spans="2:4" x14ac:dyDescent="0.25">
      <c r="B19" s="52" t="s">
        <v>22</v>
      </c>
      <c r="C19" s="51">
        <v>5</v>
      </c>
      <c r="D19" s="50">
        <v>4.2735042735042736E-2</v>
      </c>
    </row>
    <row r="20" spans="2:4" x14ac:dyDescent="0.25">
      <c r="B20" s="52" t="s">
        <v>42</v>
      </c>
      <c r="C20" s="51">
        <v>4</v>
      </c>
      <c r="D20" s="50">
        <v>3.4188034188034191E-2</v>
      </c>
    </row>
    <row r="21" spans="2:4" x14ac:dyDescent="0.25">
      <c r="B21" s="52" t="s">
        <v>28</v>
      </c>
      <c r="C21" s="51">
        <v>4</v>
      </c>
      <c r="D21" s="50">
        <v>3.4188034188034191E-2</v>
      </c>
    </row>
    <row r="22" spans="2:4" x14ac:dyDescent="0.25">
      <c r="B22" s="52" t="s">
        <v>27</v>
      </c>
      <c r="C22" s="51">
        <v>4</v>
      </c>
      <c r="D22" s="50">
        <v>3.4188034188034191E-2</v>
      </c>
    </row>
    <row r="23" spans="2:4" x14ac:dyDescent="0.25">
      <c r="B23" s="52" t="s">
        <v>43</v>
      </c>
      <c r="C23" s="51">
        <v>3</v>
      </c>
      <c r="D23" s="50">
        <v>2.564102564102564E-2</v>
      </c>
    </row>
    <row r="24" spans="2:4" x14ac:dyDescent="0.25">
      <c r="B24" s="52" t="s">
        <v>35</v>
      </c>
      <c r="C24" s="51">
        <v>3</v>
      </c>
      <c r="D24" s="50">
        <v>2.564102564102564E-2</v>
      </c>
    </row>
    <row r="25" spans="2:4" x14ac:dyDescent="0.25">
      <c r="B25" s="52" t="s">
        <v>30</v>
      </c>
      <c r="C25" s="51">
        <v>3</v>
      </c>
      <c r="D25" s="50">
        <v>2.564102564102564E-2</v>
      </c>
    </row>
    <row r="26" spans="2:4" x14ac:dyDescent="0.25">
      <c r="B26" s="52" t="s">
        <v>44</v>
      </c>
      <c r="C26" s="51">
        <v>2</v>
      </c>
      <c r="D26" s="50">
        <v>1.7094017094017096E-2</v>
      </c>
    </row>
    <row r="27" spans="2:4" x14ac:dyDescent="0.25">
      <c r="B27" s="52" t="s">
        <v>41</v>
      </c>
      <c r="C27" s="51">
        <v>2</v>
      </c>
      <c r="D27" s="50">
        <v>1.7094017094017096E-2</v>
      </c>
    </row>
    <row r="28" spans="2:4" x14ac:dyDescent="0.25">
      <c r="B28" s="52" t="s">
        <v>36</v>
      </c>
      <c r="C28" s="51">
        <v>2</v>
      </c>
      <c r="D28" s="50">
        <v>1.7094017094017096E-2</v>
      </c>
    </row>
    <row r="29" spans="2:4" x14ac:dyDescent="0.25">
      <c r="B29" s="52" t="s">
        <v>33</v>
      </c>
      <c r="C29" s="51">
        <v>2</v>
      </c>
      <c r="D29" s="50">
        <v>1.7094017094017096E-2</v>
      </c>
    </row>
    <row r="30" spans="2:4" x14ac:dyDescent="0.25">
      <c r="B30" s="52" t="s">
        <v>29</v>
      </c>
      <c r="C30" s="51">
        <v>2</v>
      </c>
      <c r="D30" s="50">
        <v>1.7094017094017096E-2</v>
      </c>
    </row>
    <row r="31" spans="2:4" x14ac:dyDescent="0.25">
      <c r="B31" s="52" t="s">
        <v>40</v>
      </c>
      <c r="C31" s="51">
        <v>1</v>
      </c>
      <c r="D31" s="50">
        <v>8.5470085470085479E-3</v>
      </c>
    </row>
    <row r="32" spans="2:4" x14ac:dyDescent="0.25">
      <c r="B32" s="52" t="s">
        <v>31</v>
      </c>
      <c r="C32" s="51">
        <v>1</v>
      </c>
      <c r="D32" s="50">
        <v>8.5470085470085479E-3</v>
      </c>
    </row>
    <row r="33" spans="2:4" x14ac:dyDescent="0.25">
      <c r="B33" s="52" t="s">
        <v>25</v>
      </c>
      <c r="C33" s="51">
        <v>1</v>
      </c>
      <c r="D33" s="50">
        <v>8.5470085470085479E-3</v>
      </c>
    </row>
    <row r="34" spans="2:4" x14ac:dyDescent="0.25">
      <c r="B34" s="52" t="s">
        <v>24</v>
      </c>
      <c r="C34" s="51">
        <v>1</v>
      </c>
      <c r="D34" s="50">
        <v>8.5470085470085479E-3</v>
      </c>
    </row>
    <row r="35" spans="2:4" x14ac:dyDescent="0.25">
      <c r="B35" s="52" t="s">
        <v>23</v>
      </c>
      <c r="C35" s="51">
        <v>1</v>
      </c>
      <c r="D35" s="50">
        <v>8.5470085470085479E-3</v>
      </c>
    </row>
    <row r="36" spans="2:4" x14ac:dyDescent="0.25">
      <c r="B36" s="49" t="s">
        <v>18</v>
      </c>
      <c r="C36" s="48">
        <v>117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488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3"/>
      <c r="C7" s="73"/>
      <c r="D7" s="73"/>
      <c r="E7" s="73"/>
    </row>
    <row r="8" spans="1:5" s="37" customFormat="1" ht="33" customHeight="1" x14ac:dyDescent="0.3">
      <c r="A8" s="38"/>
      <c r="B8" s="73"/>
      <c r="C8" s="73"/>
      <c r="D8" s="73"/>
      <c r="E8" s="73"/>
    </row>
    <row r="9" spans="1:5" s="33" customFormat="1" ht="40.5" customHeight="1" x14ac:dyDescent="0.2">
      <c r="B9" s="34" t="s">
        <v>48</v>
      </c>
      <c r="C9" s="36" t="s">
        <v>163</v>
      </c>
      <c r="D9" s="35" t="s">
        <v>46</v>
      </c>
      <c r="E9" s="34" t="s">
        <v>45</v>
      </c>
    </row>
    <row r="10" spans="1:5" ht="15" customHeight="1" x14ac:dyDescent="0.25">
      <c r="B10" s="74" t="s">
        <v>42</v>
      </c>
      <c r="C10" s="31" t="s">
        <v>162</v>
      </c>
      <c r="D10" s="30">
        <v>1</v>
      </c>
      <c r="E10" s="29">
        <v>9.0909090909090905E-3</v>
      </c>
    </row>
    <row r="11" spans="1:5" ht="15" customHeight="1" x14ac:dyDescent="0.25">
      <c r="B11" s="75"/>
      <c r="C11" s="31" t="s">
        <v>161</v>
      </c>
      <c r="D11" s="30">
        <v>1</v>
      </c>
      <c r="E11" s="29">
        <v>9.0909090909090905E-3</v>
      </c>
    </row>
    <row r="12" spans="1:5" ht="15" customHeight="1" x14ac:dyDescent="0.25">
      <c r="B12" s="76"/>
      <c r="C12" s="28" t="s">
        <v>18</v>
      </c>
      <c r="D12" s="27">
        <v>2</v>
      </c>
      <c r="E12" s="26">
        <v>1.8181818181818181E-2</v>
      </c>
    </row>
    <row r="13" spans="1:5" ht="15" customHeight="1" x14ac:dyDescent="0.25">
      <c r="B13" s="74" t="s">
        <v>41</v>
      </c>
      <c r="C13" s="31" t="s">
        <v>160</v>
      </c>
      <c r="D13" s="30">
        <v>2</v>
      </c>
      <c r="E13" s="29">
        <v>1.8181818181818181E-2</v>
      </c>
    </row>
    <row r="14" spans="1:5" ht="15" customHeight="1" x14ac:dyDescent="0.25">
      <c r="B14" s="76"/>
      <c r="C14" s="28" t="s">
        <v>18</v>
      </c>
      <c r="D14" s="27">
        <v>2</v>
      </c>
      <c r="E14" s="26">
        <v>1.8181818181818181E-2</v>
      </c>
    </row>
    <row r="15" spans="1:5" s="32" customFormat="1" ht="15" customHeight="1" x14ac:dyDescent="0.2">
      <c r="B15" s="74" t="s">
        <v>40</v>
      </c>
      <c r="C15" s="31" t="s">
        <v>159</v>
      </c>
      <c r="D15" s="30">
        <v>1</v>
      </c>
      <c r="E15" s="29">
        <v>9.0909090909090905E-3</v>
      </c>
    </row>
    <row r="16" spans="1:5" s="32" customFormat="1" ht="15" customHeight="1" x14ac:dyDescent="0.2">
      <c r="B16" s="76"/>
      <c r="C16" s="28" t="s">
        <v>18</v>
      </c>
      <c r="D16" s="27">
        <v>1</v>
      </c>
      <c r="E16" s="26">
        <v>9.0909090909090905E-3</v>
      </c>
    </row>
    <row r="17" spans="2:5" s="32" customFormat="1" ht="15" customHeight="1" x14ac:dyDescent="0.2">
      <c r="B17" s="74" t="s">
        <v>39</v>
      </c>
      <c r="C17" s="31" t="s">
        <v>158</v>
      </c>
      <c r="D17" s="30">
        <v>1</v>
      </c>
      <c r="E17" s="29">
        <v>9.0909090909090905E-3</v>
      </c>
    </row>
    <row r="18" spans="2:5" s="32" customFormat="1" ht="15" customHeight="1" x14ac:dyDescent="0.2">
      <c r="B18" s="75"/>
      <c r="C18" s="31" t="s">
        <v>39</v>
      </c>
      <c r="D18" s="30">
        <v>1</v>
      </c>
      <c r="E18" s="29">
        <v>9.0909090909090905E-3</v>
      </c>
    </row>
    <row r="19" spans="2:5" s="32" customFormat="1" ht="15" customHeight="1" x14ac:dyDescent="0.2">
      <c r="B19" s="75"/>
      <c r="C19" s="31" t="s">
        <v>157</v>
      </c>
      <c r="D19" s="30">
        <v>6</v>
      </c>
      <c r="E19" s="29">
        <v>5.4545454545454543E-2</v>
      </c>
    </row>
    <row r="20" spans="2:5" ht="15" customHeight="1" x14ac:dyDescent="0.25">
      <c r="B20" s="75"/>
      <c r="C20" s="31" t="s">
        <v>156</v>
      </c>
      <c r="D20" s="30">
        <v>1</v>
      </c>
      <c r="E20" s="29">
        <v>9.0909090909090905E-3</v>
      </c>
    </row>
    <row r="21" spans="2:5" ht="15" customHeight="1" x14ac:dyDescent="0.25">
      <c r="B21" s="76"/>
      <c r="C21" s="28" t="s">
        <v>18</v>
      </c>
      <c r="D21" s="27">
        <v>9</v>
      </c>
      <c r="E21" s="26">
        <v>8.1818181818181818E-2</v>
      </c>
    </row>
    <row r="22" spans="2:5" ht="15" customHeight="1" x14ac:dyDescent="0.25">
      <c r="B22" s="74" t="s">
        <v>38</v>
      </c>
      <c r="C22" s="31" t="s">
        <v>155</v>
      </c>
      <c r="D22" s="30">
        <v>2</v>
      </c>
      <c r="E22" s="29">
        <v>1.8181818181818181E-2</v>
      </c>
    </row>
    <row r="23" spans="2:5" ht="15" customHeight="1" x14ac:dyDescent="0.25">
      <c r="B23" s="75"/>
      <c r="C23" s="31" t="s">
        <v>154</v>
      </c>
      <c r="D23" s="30">
        <v>1</v>
      </c>
      <c r="E23" s="29">
        <v>9.0909090909090905E-3</v>
      </c>
    </row>
    <row r="24" spans="2:5" ht="15" customHeight="1" x14ac:dyDescent="0.25">
      <c r="B24" s="75"/>
      <c r="C24" s="31" t="s">
        <v>153</v>
      </c>
      <c r="D24" s="30">
        <v>1</v>
      </c>
      <c r="E24" s="29">
        <v>9.0909090909090905E-3</v>
      </c>
    </row>
    <row r="25" spans="2:5" ht="15" customHeight="1" x14ac:dyDescent="0.25">
      <c r="B25" s="75"/>
      <c r="C25" s="31" t="s">
        <v>152</v>
      </c>
      <c r="D25" s="30">
        <v>1</v>
      </c>
      <c r="E25" s="29">
        <v>9.0909090909090905E-3</v>
      </c>
    </row>
    <row r="26" spans="2:5" ht="15" customHeight="1" x14ac:dyDescent="0.25">
      <c r="B26" s="75"/>
      <c r="C26" s="31" t="s">
        <v>151</v>
      </c>
      <c r="D26" s="30">
        <v>1</v>
      </c>
      <c r="E26" s="29">
        <v>9.0909090909090905E-3</v>
      </c>
    </row>
    <row r="27" spans="2:5" ht="15" customHeight="1" x14ac:dyDescent="0.25">
      <c r="B27" s="76"/>
      <c r="C27" s="28" t="s">
        <v>18</v>
      </c>
      <c r="D27" s="27">
        <v>6</v>
      </c>
      <c r="E27" s="26">
        <v>5.4545454545454543E-2</v>
      </c>
    </row>
    <row r="28" spans="2:5" ht="15" customHeight="1" x14ac:dyDescent="0.25">
      <c r="B28" s="74" t="s">
        <v>37</v>
      </c>
      <c r="C28" s="31" t="s">
        <v>150</v>
      </c>
      <c r="D28" s="30">
        <v>1</v>
      </c>
      <c r="E28" s="29">
        <v>9.0909090909090905E-3</v>
      </c>
    </row>
    <row r="29" spans="2:5" ht="15" customHeight="1" x14ac:dyDescent="0.25">
      <c r="B29" s="75"/>
      <c r="C29" s="31" t="s">
        <v>149</v>
      </c>
      <c r="D29" s="30">
        <v>1</v>
      </c>
      <c r="E29" s="29">
        <v>9.0909090909090905E-3</v>
      </c>
    </row>
    <row r="30" spans="2:5" ht="15" customHeight="1" x14ac:dyDescent="0.25">
      <c r="B30" s="75"/>
      <c r="C30" s="31" t="s">
        <v>148</v>
      </c>
      <c r="D30" s="30">
        <v>4</v>
      </c>
      <c r="E30" s="29">
        <v>3.6363636363636362E-2</v>
      </c>
    </row>
    <row r="31" spans="2:5" ht="15" customHeight="1" x14ac:dyDescent="0.25">
      <c r="B31" s="76"/>
      <c r="C31" s="28" t="s">
        <v>18</v>
      </c>
      <c r="D31" s="27">
        <v>6</v>
      </c>
      <c r="E31" s="26">
        <v>5.4545454545454543E-2</v>
      </c>
    </row>
    <row r="32" spans="2:5" ht="15" customHeight="1" x14ac:dyDescent="0.25">
      <c r="B32" s="74" t="s">
        <v>36</v>
      </c>
      <c r="C32" s="31" t="s">
        <v>147</v>
      </c>
      <c r="D32" s="30">
        <v>1</v>
      </c>
      <c r="E32" s="29">
        <v>9.0909090909090905E-3</v>
      </c>
    </row>
    <row r="33" spans="2:5" ht="15" customHeight="1" x14ac:dyDescent="0.25">
      <c r="B33" s="75"/>
      <c r="C33" s="31" t="s">
        <v>146</v>
      </c>
      <c r="D33" s="30">
        <v>1</v>
      </c>
      <c r="E33" s="29">
        <v>9.0909090909090905E-3</v>
      </c>
    </row>
    <row r="34" spans="2:5" ht="15" customHeight="1" x14ac:dyDescent="0.25">
      <c r="B34" s="76"/>
      <c r="C34" s="28" t="s">
        <v>18</v>
      </c>
      <c r="D34" s="27">
        <v>2</v>
      </c>
      <c r="E34" s="26">
        <v>1.8181818181818181E-2</v>
      </c>
    </row>
    <row r="35" spans="2:5" ht="15" customHeight="1" x14ac:dyDescent="0.25">
      <c r="B35" s="74" t="s">
        <v>35</v>
      </c>
      <c r="C35" s="31" t="s">
        <v>145</v>
      </c>
      <c r="D35" s="30">
        <v>2</v>
      </c>
      <c r="E35" s="29">
        <v>1.8181818181818181E-2</v>
      </c>
    </row>
    <row r="36" spans="2:5" ht="15" customHeight="1" x14ac:dyDescent="0.25">
      <c r="B36" s="75"/>
      <c r="C36" s="31" t="s">
        <v>144</v>
      </c>
      <c r="D36" s="30">
        <v>1</v>
      </c>
      <c r="E36" s="29">
        <v>9.0909090909090905E-3</v>
      </c>
    </row>
    <row r="37" spans="2:5" ht="15" customHeight="1" x14ac:dyDescent="0.25">
      <c r="B37" s="76"/>
      <c r="C37" s="28" t="s">
        <v>18</v>
      </c>
      <c r="D37" s="27">
        <v>3</v>
      </c>
      <c r="E37" s="26">
        <v>2.7272727272727271E-2</v>
      </c>
    </row>
    <row r="38" spans="2:5" ht="15" customHeight="1" x14ac:dyDescent="0.25">
      <c r="B38" s="74" t="s">
        <v>34</v>
      </c>
      <c r="C38" s="31" t="s">
        <v>143</v>
      </c>
      <c r="D38" s="30">
        <v>1</v>
      </c>
      <c r="E38" s="29">
        <v>9.0909090909090905E-3</v>
      </c>
    </row>
    <row r="39" spans="2:5" ht="15" customHeight="1" x14ac:dyDescent="0.25">
      <c r="B39" s="75"/>
      <c r="C39" s="31" t="s">
        <v>142</v>
      </c>
      <c r="D39" s="30">
        <v>1</v>
      </c>
      <c r="E39" s="29">
        <v>9.0909090909090905E-3</v>
      </c>
    </row>
    <row r="40" spans="2:5" ht="15" customHeight="1" x14ac:dyDescent="0.25">
      <c r="B40" s="75"/>
      <c r="C40" s="31" t="s">
        <v>141</v>
      </c>
      <c r="D40" s="30">
        <v>2</v>
      </c>
      <c r="E40" s="29">
        <v>1.8181818181818181E-2</v>
      </c>
    </row>
    <row r="41" spans="2:5" ht="15" customHeight="1" x14ac:dyDescent="0.25">
      <c r="B41" s="75"/>
      <c r="C41" s="31" t="s">
        <v>140</v>
      </c>
      <c r="D41" s="30">
        <v>1</v>
      </c>
      <c r="E41" s="29">
        <v>9.0909090909090905E-3</v>
      </c>
    </row>
    <row r="42" spans="2:5" ht="15" customHeight="1" x14ac:dyDescent="0.25">
      <c r="B42" s="75"/>
      <c r="C42" s="31" t="s">
        <v>139</v>
      </c>
      <c r="D42" s="30">
        <v>1</v>
      </c>
      <c r="E42" s="29">
        <v>9.0909090909090905E-3</v>
      </c>
    </row>
    <row r="43" spans="2:5" ht="15" customHeight="1" x14ac:dyDescent="0.25">
      <c r="B43" s="75"/>
      <c r="C43" s="31" t="s">
        <v>138</v>
      </c>
      <c r="D43" s="30">
        <v>1</v>
      </c>
      <c r="E43" s="29">
        <v>9.0909090909090905E-3</v>
      </c>
    </row>
    <row r="44" spans="2:5" ht="15" customHeight="1" x14ac:dyDescent="0.25">
      <c r="B44" s="75"/>
      <c r="C44" s="31" t="s">
        <v>137</v>
      </c>
      <c r="D44" s="30">
        <v>3</v>
      </c>
      <c r="E44" s="29">
        <v>2.7272727272727271E-2</v>
      </c>
    </row>
    <row r="45" spans="2:5" ht="15" customHeight="1" x14ac:dyDescent="0.25">
      <c r="B45" s="75"/>
      <c r="C45" s="31" t="s">
        <v>136</v>
      </c>
      <c r="D45" s="30">
        <v>1</v>
      </c>
      <c r="E45" s="29">
        <v>9.0909090909090905E-3</v>
      </c>
    </row>
    <row r="46" spans="2:5" ht="15" customHeight="1" x14ac:dyDescent="0.25">
      <c r="B46" s="76"/>
      <c r="C46" s="28" t="s">
        <v>18</v>
      </c>
      <c r="D46" s="27">
        <v>11</v>
      </c>
      <c r="E46" s="26">
        <v>0.1</v>
      </c>
    </row>
    <row r="47" spans="2:5" ht="15" customHeight="1" x14ac:dyDescent="0.25">
      <c r="B47" s="74" t="s">
        <v>33</v>
      </c>
      <c r="C47" s="31" t="s">
        <v>135</v>
      </c>
      <c r="D47" s="30">
        <v>1</v>
      </c>
      <c r="E47" s="29">
        <v>9.0909090909090905E-3</v>
      </c>
    </row>
    <row r="48" spans="2:5" ht="15" customHeight="1" x14ac:dyDescent="0.25">
      <c r="B48" s="75"/>
      <c r="C48" s="31" t="s">
        <v>134</v>
      </c>
      <c r="D48" s="30">
        <v>1</v>
      </c>
      <c r="E48" s="29">
        <v>9.0909090909090905E-3</v>
      </c>
    </row>
    <row r="49" spans="2:5" ht="15" customHeight="1" x14ac:dyDescent="0.25">
      <c r="B49" s="76"/>
      <c r="C49" s="28" t="s">
        <v>18</v>
      </c>
      <c r="D49" s="27">
        <v>2</v>
      </c>
      <c r="E49" s="26">
        <v>1.8181818181818181E-2</v>
      </c>
    </row>
    <row r="50" spans="2:5" ht="15" customHeight="1" x14ac:dyDescent="0.25">
      <c r="B50" s="74" t="s">
        <v>32</v>
      </c>
      <c r="C50" s="31" t="s">
        <v>133</v>
      </c>
      <c r="D50" s="30">
        <v>1</v>
      </c>
      <c r="E50" s="29">
        <v>9.0909090909090905E-3</v>
      </c>
    </row>
    <row r="51" spans="2:5" ht="15" customHeight="1" x14ac:dyDescent="0.25">
      <c r="B51" s="75"/>
      <c r="C51" s="31" t="s">
        <v>132</v>
      </c>
      <c r="D51" s="30">
        <v>1</v>
      </c>
      <c r="E51" s="29">
        <v>9.0909090909090905E-3</v>
      </c>
    </row>
    <row r="52" spans="2:5" ht="15" customHeight="1" x14ac:dyDescent="0.25">
      <c r="B52" s="75"/>
      <c r="C52" s="31" t="s">
        <v>131</v>
      </c>
      <c r="D52" s="30">
        <v>1</v>
      </c>
      <c r="E52" s="29">
        <v>9.0909090909090905E-3</v>
      </c>
    </row>
    <row r="53" spans="2:5" ht="15" customHeight="1" x14ac:dyDescent="0.25">
      <c r="B53" s="75"/>
      <c r="C53" s="31" t="s">
        <v>130</v>
      </c>
      <c r="D53" s="30">
        <v>6</v>
      </c>
      <c r="E53" s="29">
        <v>5.4545454545454543E-2</v>
      </c>
    </row>
    <row r="54" spans="2:5" ht="15" customHeight="1" x14ac:dyDescent="0.25">
      <c r="B54" s="75"/>
      <c r="C54" s="31" t="s">
        <v>129</v>
      </c>
      <c r="D54" s="30">
        <v>2</v>
      </c>
      <c r="E54" s="29">
        <v>1.8181818181818181E-2</v>
      </c>
    </row>
    <row r="55" spans="2:5" ht="15" customHeight="1" x14ac:dyDescent="0.25">
      <c r="B55" s="75"/>
      <c r="C55" s="31" t="s">
        <v>128</v>
      </c>
      <c r="D55" s="30">
        <v>1</v>
      </c>
      <c r="E55" s="29">
        <v>9.0909090909090905E-3</v>
      </c>
    </row>
    <row r="56" spans="2:5" ht="15" customHeight="1" x14ac:dyDescent="0.25">
      <c r="B56" s="75"/>
      <c r="C56" s="31" t="s">
        <v>127</v>
      </c>
      <c r="D56" s="30">
        <v>1</v>
      </c>
      <c r="E56" s="29">
        <v>9.0909090909090905E-3</v>
      </c>
    </row>
    <row r="57" spans="2:5" ht="15" customHeight="1" x14ac:dyDescent="0.25">
      <c r="B57" s="75"/>
      <c r="C57" s="31" t="s">
        <v>126</v>
      </c>
      <c r="D57" s="30">
        <v>1</v>
      </c>
      <c r="E57" s="29">
        <v>9.0909090909090905E-3</v>
      </c>
    </row>
    <row r="58" spans="2:5" ht="15" customHeight="1" x14ac:dyDescent="0.25">
      <c r="B58" s="75"/>
      <c r="C58" s="31" t="s">
        <v>125</v>
      </c>
      <c r="D58" s="30">
        <v>1</v>
      </c>
      <c r="E58" s="29">
        <v>9.0909090909090905E-3</v>
      </c>
    </row>
    <row r="59" spans="2:5" ht="15" customHeight="1" x14ac:dyDescent="0.25">
      <c r="B59" s="76"/>
      <c r="C59" s="28" t="s">
        <v>18</v>
      </c>
      <c r="D59" s="27">
        <v>15</v>
      </c>
      <c r="E59" s="26">
        <v>0.13636363636363635</v>
      </c>
    </row>
    <row r="60" spans="2:5" ht="15" customHeight="1" x14ac:dyDescent="0.25">
      <c r="B60" s="74" t="s">
        <v>31</v>
      </c>
      <c r="C60" s="31" t="s">
        <v>124</v>
      </c>
      <c r="D60" s="30">
        <v>1</v>
      </c>
      <c r="E60" s="29">
        <v>9.0909090909090905E-3</v>
      </c>
    </row>
    <row r="61" spans="2:5" ht="15" customHeight="1" x14ac:dyDescent="0.25">
      <c r="B61" s="76"/>
      <c r="C61" s="28" t="s">
        <v>18</v>
      </c>
      <c r="D61" s="27">
        <v>1</v>
      </c>
      <c r="E61" s="26">
        <v>9.0909090909090905E-3</v>
      </c>
    </row>
    <row r="62" spans="2:5" ht="15" customHeight="1" x14ac:dyDescent="0.25">
      <c r="B62" s="74" t="s">
        <v>30</v>
      </c>
      <c r="C62" s="31" t="s">
        <v>123</v>
      </c>
      <c r="D62" s="30">
        <v>2</v>
      </c>
      <c r="E62" s="29">
        <v>1.8181818181818181E-2</v>
      </c>
    </row>
    <row r="63" spans="2:5" ht="15" customHeight="1" x14ac:dyDescent="0.25">
      <c r="B63" s="75"/>
      <c r="C63" s="31" t="s">
        <v>122</v>
      </c>
      <c r="D63" s="30">
        <v>1</v>
      </c>
      <c r="E63" s="29">
        <v>9.0909090909090905E-3</v>
      </c>
    </row>
    <row r="64" spans="2:5" ht="15" customHeight="1" x14ac:dyDescent="0.25">
      <c r="B64" s="76"/>
      <c r="C64" s="28" t="s">
        <v>18</v>
      </c>
      <c r="D64" s="27">
        <v>3</v>
      </c>
      <c r="E64" s="26">
        <v>2.7272727272727271E-2</v>
      </c>
    </row>
    <row r="65" spans="2:5" ht="15" customHeight="1" x14ac:dyDescent="0.25">
      <c r="B65" s="74" t="s">
        <v>29</v>
      </c>
      <c r="C65" s="31" t="s">
        <v>121</v>
      </c>
      <c r="D65" s="30">
        <v>1</v>
      </c>
      <c r="E65" s="29">
        <v>9.0909090909090905E-3</v>
      </c>
    </row>
    <row r="66" spans="2:5" ht="15" customHeight="1" x14ac:dyDescent="0.25">
      <c r="B66" s="75"/>
      <c r="C66" s="31" t="s">
        <v>120</v>
      </c>
      <c r="D66" s="30">
        <v>1</v>
      </c>
      <c r="E66" s="29">
        <v>9.0909090909090905E-3</v>
      </c>
    </row>
    <row r="67" spans="2:5" ht="15" customHeight="1" x14ac:dyDescent="0.25">
      <c r="B67" s="76"/>
      <c r="C67" s="28" t="s">
        <v>18</v>
      </c>
      <c r="D67" s="27">
        <v>2</v>
      </c>
      <c r="E67" s="26">
        <v>1.8181818181818181E-2</v>
      </c>
    </row>
    <row r="68" spans="2:5" ht="15" customHeight="1" x14ac:dyDescent="0.25">
      <c r="B68" s="74" t="s">
        <v>28</v>
      </c>
      <c r="C68" s="31" t="s">
        <v>119</v>
      </c>
      <c r="D68" s="30">
        <v>1</v>
      </c>
      <c r="E68" s="29">
        <v>9.0909090909090905E-3</v>
      </c>
    </row>
    <row r="69" spans="2:5" ht="15" customHeight="1" x14ac:dyDescent="0.25">
      <c r="B69" s="75"/>
      <c r="C69" s="31" t="s">
        <v>118</v>
      </c>
      <c r="D69" s="30">
        <v>1</v>
      </c>
      <c r="E69" s="29">
        <v>9.0909090909090905E-3</v>
      </c>
    </row>
    <row r="70" spans="2:5" ht="15" customHeight="1" x14ac:dyDescent="0.25">
      <c r="B70" s="75"/>
      <c r="C70" s="31" t="s">
        <v>117</v>
      </c>
      <c r="D70" s="30">
        <v>1</v>
      </c>
      <c r="E70" s="29">
        <v>9.0909090909090905E-3</v>
      </c>
    </row>
    <row r="71" spans="2:5" ht="15" customHeight="1" x14ac:dyDescent="0.25">
      <c r="B71" s="75"/>
      <c r="C71" s="31" t="s">
        <v>116</v>
      </c>
      <c r="D71" s="30">
        <v>1</v>
      </c>
      <c r="E71" s="29">
        <v>9.0909090909090905E-3</v>
      </c>
    </row>
    <row r="72" spans="2:5" ht="15" customHeight="1" x14ac:dyDescent="0.25">
      <c r="B72" s="76"/>
      <c r="C72" s="28" t="s">
        <v>18</v>
      </c>
      <c r="D72" s="27">
        <v>4</v>
      </c>
      <c r="E72" s="26">
        <v>3.6363636363636362E-2</v>
      </c>
    </row>
    <row r="73" spans="2:5" ht="15" customHeight="1" x14ac:dyDescent="0.25">
      <c r="B73" s="74" t="s">
        <v>27</v>
      </c>
      <c r="C73" s="31" t="s">
        <v>115</v>
      </c>
      <c r="D73" s="30">
        <v>1</v>
      </c>
      <c r="E73" s="29">
        <v>9.0909090909090905E-3</v>
      </c>
    </row>
    <row r="74" spans="2:5" ht="15" customHeight="1" x14ac:dyDescent="0.25">
      <c r="B74" s="75"/>
      <c r="C74" s="31" t="s">
        <v>114</v>
      </c>
      <c r="D74" s="30">
        <v>1</v>
      </c>
      <c r="E74" s="29">
        <v>9.0909090909090905E-3</v>
      </c>
    </row>
    <row r="75" spans="2:5" ht="15" customHeight="1" x14ac:dyDescent="0.25">
      <c r="B75" s="75"/>
      <c r="C75" s="31" t="s">
        <v>113</v>
      </c>
      <c r="D75" s="30">
        <v>1</v>
      </c>
      <c r="E75" s="29">
        <v>9.0909090909090905E-3</v>
      </c>
    </row>
    <row r="76" spans="2:5" ht="15" customHeight="1" x14ac:dyDescent="0.25">
      <c r="B76" s="75"/>
      <c r="C76" s="31" t="s">
        <v>112</v>
      </c>
      <c r="D76" s="30">
        <v>1</v>
      </c>
      <c r="E76" s="29">
        <v>9.0909090909090905E-3</v>
      </c>
    </row>
    <row r="77" spans="2:5" ht="15" customHeight="1" x14ac:dyDescent="0.25">
      <c r="B77" s="76"/>
      <c r="C77" s="28" t="s">
        <v>18</v>
      </c>
      <c r="D77" s="27">
        <v>4</v>
      </c>
      <c r="E77" s="26">
        <v>3.6363636363636362E-2</v>
      </c>
    </row>
    <row r="78" spans="2:5" ht="15" customHeight="1" x14ac:dyDescent="0.25">
      <c r="B78" s="74" t="s">
        <v>26</v>
      </c>
      <c r="C78" s="31" t="s">
        <v>111</v>
      </c>
      <c r="D78" s="30">
        <v>1</v>
      </c>
      <c r="E78" s="29">
        <v>9.0909090909090905E-3</v>
      </c>
    </row>
    <row r="79" spans="2:5" ht="15" customHeight="1" x14ac:dyDescent="0.25">
      <c r="B79" s="75"/>
      <c r="C79" s="31" t="s">
        <v>110</v>
      </c>
      <c r="D79" s="30">
        <v>3</v>
      </c>
      <c r="E79" s="29">
        <v>2.7272727272727271E-2</v>
      </c>
    </row>
    <row r="80" spans="2:5" ht="15" customHeight="1" x14ac:dyDescent="0.25">
      <c r="B80" s="75"/>
      <c r="C80" s="31" t="s">
        <v>26</v>
      </c>
      <c r="D80" s="30">
        <v>5</v>
      </c>
      <c r="E80" s="29">
        <v>4.5454545454545456E-2</v>
      </c>
    </row>
    <row r="81" spans="2:5" ht="15" customHeight="1" x14ac:dyDescent="0.25">
      <c r="B81" s="76"/>
      <c r="C81" s="28" t="s">
        <v>18</v>
      </c>
      <c r="D81" s="27">
        <v>9</v>
      </c>
      <c r="E81" s="26">
        <v>8.1818181818181818E-2</v>
      </c>
    </row>
    <row r="82" spans="2:5" ht="15" customHeight="1" x14ac:dyDescent="0.25">
      <c r="B82" s="74" t="s">
        <v>25</v>
      </c>
      <c r="C82" s="31" t="s">
        <v>109</v>
      </c>
      <c r="D82" s="30">
        <v>1</v>
      </c>
      <c r="E82" s="29">
        <v>9.0909090909090905E-3</v>
      </c>
    </row>
    <row r="83" spans="2:5" ht="15" customHeight="1" x14ac:dyDescent="0.25">
      <c r="B83" s="76"/>
      <c r="C83" s="28" t="s">
        <v>18</v>
      </c>
      <c r="D83" s="27">
        <v>1</v>
      </c>
      <c r="E83" s="26">
        <v>9.0909090909090905E-3</v>
      </c>
    </row>
    <row r="84" spans="2:5" ht="15" customHeight="1" x14ac:dyDescent="0.25">
      <c r="B84" s="74" t="s">
        <v>24</v>
      </c>
      <c r="C84" s="31" t="s">
        <v>108</v>
      </c>
      <c r="D84" s="30">
        <v>1</v>
      </c>
      <c r="E84" s="29">
        <v>9.0909090909090905E-3</v>
      </c>
    </row>
    <row r="85" spans="2:5" ht="15" customHeight="1" x14ac:dyDescent="0.25">
      <c r="B85" s="76"/>
      <c r="C85" s="28" t="s">
        <v>18</v>
      </c>
      <c r="D85" s="27">
        <v>1</v>
      </c>
      <c r="E85" s="26">
        <v>9.0909090909090905E-3</v>
      </c>
    </row>
    <row r="86" spans="2:5" ht="15" customHeight="1" x14ac:dyDescent="0.25">
      <c r="B86" s="74" t="s">
        <v>23</v>
      </c>
      <c r="C86" s="31" t="s">
        <v>107</v>
      </c>
      <c r="D86" s="30">
        <v>1</v>
      </c>
      <c r="E86" s="29">
        <v>9.0909090909090905E-3</v>
      </c>
    </row>
    <row r="87" spans="2:5" ht="15" customHeight="1" x14ac:dyDescent="0.25">
      <c r="B87" s="76"/>
      <c r="C87" s="28" t="s">
        <v>18</v>
      </c>
      <c r="D87" s="27">
        <v>1</v>
      </c>
      <c r="E87" s="26">
        <v>9.0909090909090905E-3</v>
      </c>
    </row>
    <row r="88" spans="2:5" ht="15" customHeight="1" x14ac:dyDescent="0.25">
      <c r="B88" s="74" t="s">
        <v>22</v>
      </c>
      <c r="C88" s="31" t="s">
        <v>106</v>
      </c>
      <c r="D88" s="30">
        <v>1</v>
      </c>
      <c r="E88" s="29">
        <v>9.0909090909090905E-3</v>
      </c>
    </row>
    <row r="89" spans="2:5" ht="15" customHeight="1" x14ac:dyDescent="0.25">
      <c r="B89" s="75"/>
      <c r="C89" s="31" t="s">
        <v>105</v>
      </c>
      <c r="D89" s="30">
        <v>1</v>
      </c>
      <c r="E89" s="29">
        <v>9.0909090909090905E-3</v>
      </c>
    </row>
    <row r="90" spans="2:5" ht="15" customHeight="1" x14ac:dyDescent="0.25">
      <c r="B90" s="75"/>
      <c r="C90" s="31" t="s">
        <v>104</v>
      </c>
      <c r="D90" s="30">
        <v>1</v>
      </c>
      <c r="E90" s="29">
        <v>9.0909090909090905E-3</v>
      </c>
    </row>
    <row r="91" spans="2:5" ht="15" customHeight="1" x14ac:dyDescent="0.25">
      <c r="B91" s="75"/>
      <c r="C91" s="31" t="s">
        <v>103</v>
      </c>
      <c r="D91" s="30">
        <v>1</v>
      </c>
      <c r="E91" s="29">
        <v>9.0909090909090905E-3</v>
      </c>
    </row>
    <row r="92" spans="2:5" ht="15" customHeight="1" x14ac:dyDescent="0.25">
      <c r="B92" s="75"/>
      <c r="C92" s="31" t="s">
        <v>22</v>
      </c>
      <c r="D92" s="30">
        <v>1</v>
      </c>
      <c r="E92" s="29">
        <v>9.0909090909090905E-3</v>
      </c>
    </row>
    <row r="93" spans="2:5" ht="15" customHeight="1" x14ac:dyDescent="0.25">
      <c r="B93" s="76"/>
      <c r="C93" s="28" t="s">
        <v>18</v>
      </c>
      <c r="D93" s="27">
        <v>5</v>
      </c>
      <c r="E93" s="26">
        <v>4.5454545454545456E-2</v>
      </c>
    </row>
    <row r="94" spans="2:5" ht="15" customHeight="1" x14ac:dyDescent="0.25">
      <c r="B94" s="74" t="s">
        <v>21</v>
      </c>
      <c r="C94" s="31" t="s">
        <v>102</v>
      </c>
      <c r="D94" s="30">
        <v>20</v>
      </c>
      <c r="E94" s="29">
        <v>0.18181818181818182</v>
      </c>
    </row>
    <row r="95" spans="2:5" ht="15" customHeight="1" x14ac:dyDescent="0.25">
      <c r="B95" s="76"/>
      <c r="C95" s="28" t="s">
        <v>18</v>
      </c>
      <c r="D95" s="27">
        <v>20</v>
      </c>
      <c r="E95" s="26">
        <v>0.18181818181818182</v>
      </c>
    </row>
    <row r="96" spans="2:5" ht="15" customHeight="1" x14ac:dyDescent="0.25">
      <c r="B96" s="77" t="s">
        <v>18</v>
      </c>
      <c r="C96" s="78"/>
      <c r="D96" s="25">
        <f>SUMIF(C$10:C95,"Total",D$10:D95)</f>
        <v>110</v>
      </c>
      <c r="E96" s="24">
        <v>1</v>
      </c>
    </row>
    <row r="98" spans="2:2" ht="15" customHeight="1" x14ac:dyDescent="0.25">
      <c r="B98" s="21" t="s">
        <v>17</v>
      </c>
    </row>
    <row r="99" spans="2:2" ht="15" customHeight="1" x14ac:dyDescent="0.25">
      <c r="B99" s="23" t="s">
        <v>16</v>
      </c>
    </row>
    <row r="100" spans="2:2" ht="15" customHeight="1" x14ac:dyDescent="0.25">
      <c r="B100" s="22" t="s">
        <v>15</v>
      </c>
    </row>
    <row r="101" spans="2:2" ht="15" customHeight="1" x14ac:dyDescent="0.25">
      <c r="B101" s="21" t="s">
        <v>14</v>
      </c>
    </row>
    <row r="102" spans="2:2" ht="15" customHeight="1" x14ac:dyDescent="0.25">
      <c r="B102" s="21" t="s">
        <v>13</v>
      </c>
    </row>
    <row r="484" spans="1:2" s="18" customFormat="1" ht="15" customHeight="1" x14ac:dyDescent="0.25">
      <c r="A484" s="17"/>
      <c r="B484" s="19"/>
    </row>
    <row r="485" spans="1:2" s="18" customFormat="1" ht="15" customHeight="1" x14ac:dyDescent="0.25">
      <c r="A485" s="17"/>
      <c r="B485" s="20"/>
    </row>
    <row r="486" spans="1:2" s="18" customFormat="1" ht="15" customHeight="1" x14ac:dyDescent="0.25">
      <c r="A486" s="17"/>
      <c r="B486" s="20"/>
    </row>
    <row r="487" spans="1:2" s="18" customFormat="1" ht="15" customHeight="1" x14ac:dyDescent="0.25">
      <c r="A487" s="17"/>
      <c r="B487" s="19"/>
    </row>
    <row r="488" spans="1:2" s="18" customFormat="1" ht="15" customHeight="1" x14ac:dyDescent="0.25">
      <c r="A488" s="17"/>
      <c r="B488" s="19"/>
    </row>
  </sheetData>
  <mergeCells count="24">
    <mergeCell ref="B86:B87"/>
    <mergeCell ref="B88:B93"/>
    <mergeCell ref="B94:B95"/>
    <mergeCell ref="B96:C96"/>
    <mergeCell ref="B68:B72"/>
    <mergeCell ref="B73:B77"/>
    <mergeCell ref="B78:B81"/>
    <mergeCell ref="B82:B83"/>
    <mergeCell ref="B84:B85"/>
    <mergeCell ref="B22:B27"/>
    <mergeCell ref="B28:B31"/>
    <mergeCell ref="B32:B34"/>
    <mergeCell ref="B35:B37"/>
    <mergeCell ref="B38:B46"/>
    <mergeCell ref="B47:B49"/>
    <mergeCell ref="B50:B59"/>
    <mergeCell ref="B60:B61"/>
    <mergeCell ref="B62:B64"/>
    <mergeCell ref="B65:B67"/>
    <mergeCell ref="B7:E8"/>
    <mergeCell ref="B10:B12"/>
    <mergeCell ref="B13:B14"/>
    <mergeCell ref="B15:B16"/>
    <mergeCell ref="B17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9" max="4" man="1"/>
    <brk id="93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30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76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65</v>
      </c>
      <c r="C11" s="55" t="s">
        <v>46</v>
      </c>
      <c r="D11" s="54" t="s">
        <v>45</v>
      </c>
    </row>
    <row r="12" spans="2:4" ht="15" customHeight="1" x14ac:dyDescent="0.25">
      <c r="B12" s="52" t="s">
        <v>75</v>
      </c>
      <c r="C12" s="51">
        <v>0</v>
      </c>
      <c r="D12" s="50">
        <v>0</v>
      </c>
    </row>
    <row r="13" spans="2:4" x14ac:dyDescent="0.25">
      <c r="B13" s="52" t="s">
        <v>74</v>
      </c>
      <c r="C13" s="51">
        <v>0</v>
      </c>
      <c r="D13" s="50">
        <v>0</v>
      </c>
    </row>
    <row r="14" spans="2:4" s="53" customFormat="1" ht="15.75" x14ac:dyDescent="0.25">
      <c r="B14" s="52" t="s">
        <v>64</v>
      </c>
      <c r="C14" s="51">
        <v>1</v>
      </c>
      <c r="D14" s="50">
        <v>8.5470085470085479E-3</v>
      </c>
    </row>
    <row r="15" spans="2:4" s="53" customFormat="1" ht="15.75" x14ac:dyDescent="0.25">
      <c r="B15" s="52" t="s">
        <v>73</v>
      </c>
      <c r="C15" s="51">
        <v>0</v>
      </c>
      <c r="D15" s="50">
        <v>0</v>
      </c>
    </row>
    <row r="16" spans="2:4" x14ac:dyDescent="0.25">
      <c r="B16" s="52" t="s">
        <v>63</v>
      </c>
      <c r="C16" s="51">
        <v>2</v>
      </c>
      <c r="D16" s="50">
        <v>1.7094017094017096E-2</v>
      </c>
    </row>
    <row r="17" spans="2:4" x14ac:dyDescent="0.25">
      <c r="B17" s="52" t="s">
        <v>62</v>
      </c>
      <c r="C17" s="51">
        <v>1</v>
      </c>
      <c r="D17" s="50">
        <v>8.5470085470085479E-3</v>
      </c>
    </row>
    <row r="18" spans="2:4" x14ac:dyDescent="0.25">
      <c r="B18" s="52" t="s">
        <v>61</v>
      </c>
      <c r="C18" s="51">
        <v>4</v>
      </c>
      <c r="D18" s="50">
        <v>3.4188034188034191E-2</v>
      </c>
    </row>
    <row r="19" spans="2:4" x14ac:dyDescent="0.25">
      <c r="B19" s="52" t="s">
        <v>60</v>
      </c>
      <c r="C19" s="51">
        <v>10</v>
      </c>
      <c r="D19" s="50">
        <v>8.5470085470085472E-2</v>
      </c>
    </row>
    <row r="20" spans="2:4" x14ac:dyDescent="0.25">
      <c r="B20" s="52" t="s">
        <v>59</v>
      </c>
      <c r="C20" s="51">
        <v>19</v>
      </c>
      <c r="D20" s="50">
        <v>0.1623931623931624</v>
      </c>
    </row>
    <row r="21" spans="2:4" x14ac:dyDescent="0.25">
      <c r="B21" s="52" t="s">
        <v>72</v>
      </c>
      <c r="C21" s="51">
        <v>0</v>
      </c>
      <c r="D21" s="50">
        <v>0</v>
      </c>
    </row>
    <row r="22" spans="2:4" x14ac:dyDescent="0.25">
      <c r="B22" s="52" t="s">
        <v>58</v>
      </c>
      <c r="C22" s="51">
        <v>6</v>
      </c>
      <c r="D22" s="50">
        <v>5.128205128205128E-2</v>
      </c>
    </row>
    <row r="23" spans="2:4" x14ac:dyDescent="0.25">
      <c r="B23" s="52" t="s">
        <v>57</v>
      </c>
      <c r="C23" s="51">
        <v>2</v>
      </c>
      <c r="D23" s="50">
        <v>1.7094017094017096E-2</v>
      </c>
    </row>
    <row r="24" spans="2:4" x14ac:dyDescent="0.25">
      <c r="B24" s="52" t="s">
        <v>56</v>
      </c>
      <c r="C24" s="51">
        <v>37</v>
      </c>
      <c r="D24" s="50">
        <v>0.31623931623931623</v>
      </c>
    </row>
    <row r="25" spans="2:4" x14ac:dyDescent="0.25">
      <c r="B25" s="52" t="s">
        <v>71</v>
      </c>
      <c r="C25" s="51">
        <v>2</v>
      </c>
      <c r="D25" s="50">
        <v>1.7094017094017096E-2</v>
      </c>
    </row>
    <row r="26" spans="2:4" x14ac:dyDescent="0.25">
      <c r="B26" s="52" t="s">
        <v>54</v>
      </c>
      <c r="C26" s="51">
        <v>5</v>
      </c>
      <c r="D26" s="50">
        <v>4.2735042735042736E-2</v>
      </c>
    </row>
    <row r="27" spans="2:4" x14ac:dyDescent="0.25">
      <c r="B27" s="52" t="s">
        <v>53</v>
      </c>
      <c r="C27" s="51">
        <v>22</v>
      </c>
      <c r="D27" s="50">
        <v>0.18803418803418803</v>
      </c>
    </row>
    <row r="28" spans="2:4" x14ac:dyDescent="0.25">
      <c r="B28" s="52" t="s">
        <v>52</v>
      </c>
      <c r="C28" s="51">
        <v>1</v>
      </c>
      <c r="D28" s="50">
        <v>8.5470085470085479E-3</v>
      </c>
    </row>
    <row r="29" spans="2:4" x14ac:dyDescent="0.25">
      <c r="B29" s="52" t="s">
        <v>70</v>
      </c>
      <c r="C29" s="51">
        <v>0</v>
      </c>
      <c r="D29" s="50">
        <v>0</v>
      </c>
    </row>
    <row r="30" spans="2:4" x14ac:dyDescent="0.25">
      <c r="B30" s="52" t="s">
        <v>51</v>
      </c>
      <c r="C30" s="51">
        <v>1</v>
      </c>
      <c r="D30" s="50">
        <v>8.5470085470085479E-3</v>
      </c>
    </row>
    <row r="31" spans="2:4" x14ac:dyDescent="0.25">
      <c r="B31" s="52" t="s">
        <v>69</v>
      </c>
      <c r="C31" s="51">
        <v>0</v>
      </c>
      <c r="D31" s="50">
        <v>0</v>
      </c>
    </row>
    <row r="32" spans="2:4" x14ac:dyDescent="0.25">
      <c r="B32" s="52" t="s">
        <v>50</v>
      </c>
      <c r="C32" s="51">
        <v>1</v>
      </c>
      <c r="D32" s="50">
        <v>8.5470085470085479E-3</v>
      </c>
    </row>
    <row r="33" spans="2:4" x14ac:dyDescent="0.25">
      <c r="B33" s="52" t="s">
        <v>68</v>
      </c>
      <c r="C33" s="51">
        <v>3</v>
      </c>
      <c r="D33" s="50">
        <v>2.564102564102564E-2</v>
      </c>
    </row>
    <row r="34" spans="2:4" x14ac:dyDescent="0.25">
      <c r="B34" s="52" t="s">
        <v>67</v>
      </c>
      <c r="C34" s="51">
        <v>0</v>
      </c>
      <c r="D34" s="50">
        <v>0</v>
      </c>
    </row>
    <row r="35" spans="2:4" x14ac:dyDescent="0.25">
      <c r="B35" s="52" t="s">
        <v>66</v>
      </c>
      <c r="C35" s="51">
        <v>0</v>
      </c>
      <c r="D35" s="50">
        <v>0</v>
      </c>
    </row>
    <row r="36" spans="2:4" x14ac:dyDescent="0.25">
      <c r="B36" s="49" t="s">
        <v>18</v>
      </c>
      <c r="C36" s="48">
        <v>117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03"/>
  <sheetViews>
    <sheetView zoomScale="145" zoomScaleNormal="145" zoomScaleSheetLayoutView="115" workbookViewId="0">
      <selection activeCell="F6" sqref="F6"/>
    </sheetView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3"/>
      <c r="C7" s="73"/>
      <c r="D7" s="73"/>
      <c r="E7" s="73"/>
    </row>
    <row r="8" spans="1:5" s="37" customFormat="1" ht="33" customHeight="1" x14ac:dyDescent="0.3">
      <c r="A8" s="38"/>
      <c r="B8" s="73"/>
      <c r="C8" s="73"/>
      <c r="D8" s="73"/>
      <c r="E8" s="73"/>
    </row>
    <row r="9" spans="1:5" s="33" customFormat="1" ht="40.5" customHeight="1" x14ac:dyDescent="0.2">
      <c r="B9" s="34" t="s">
        <v>65</v>
      </c>
      <c r="C9" s="36" t="s">
        <v>48</v>
      </c>
      <c r="D9" s="35" t="s">
        <v>46</v>
      </c>
      <c r="E9" s="34" t="s">
        <v>45</v>
      </c>
    </row>
    <row r="10" spans="1:5" ht="15" customHeight="1" x14ac:dyDescent="0.25">
      <c r="B10" s="74" t="s">
        <v>64</v>
      </c>
      <c r="C10" s="31" t="s">
        <v>34</v>
      </c>
      <c r="D10" s="30">
        <v>1</v>
      </c>
      <c r="E10" s="29">
        <v>8.6206896551724137E-3</v>
      </c>
    </row>
    <row r="11" spans="1:5" ht="15" customHeight="1" x14ac:dyDescent="0.25">
      <c r="B11" s="76"/>
      <c r="C11" s="28" t="s">
        <v>18</v>
      </c>
      <c r="D11" s="27">
        <v>1</v>
      </c>
      <c r="E11" s="26">
        <v>8.6206896551724137E-3</v>
      </c>
    </row>
    <row r="12" spans="1:5" ht="15" customHeight="1" x14ac:dyDescent="0.25">
      <c r="B12" s="74" t="s">
        <v>63</v>
      </c>
      <c r="C12" s="31" t="s">
        <v>35</v>
      </c>
      <c r="D12" s="30">
        <v>1</v>
      </c>
      <c r="E12" s="29">
        <v>8.6206896551724137E-3</v>
      </c>
    </row>
    <row r="13" spans="1:5" ht="15" customHeight="1" x14ac:dyDescent="0.25">
      <c r="B13" s="75"/>
      <c r="C13" s="31" t="s">
        <v>29</v>
      </c>
      <c r="D13" s="30">
        <v>1</v>
      </c>
      <c r="E13" s="29">
        <v>8.6206896551724137E-3</v>
      </c>
    </row>
    <row r="14" spans="1:5" ht="15" customHeight="1" x14ac:dyDescent="0.25">
      <c r="B14" s="76"/>
      <c r="C14" s="28" t="s">
        <v>18</v>
      </c>
      <c r="D14" s="27">
        <v>2</v>
      </c>
      <c r="E14" s="26">
        <v>1.7241379310344827E-2</v>
      </c>
    </row>
    <row r="15" spans="1:5" s="32" customFormat="1" ht="15" customHeight="1" x14ac:dyDescent="0.25">
      <c r="A15" s="17"/>
      <c r="B15" s="74" t="s">
        <v>62</v>
      </c>
      <c r="C15" s="31" t="s">
        <v>32</v>
      </c>
      <c r="D15" s="30">
        <v>1</v>
      </c>
      <c r="E15" s="29">
        <v>8.6206896551724137E-3</v>
      </c>
    </row>
    <row r="16" spans="1:5" s="32" customFormat="1" ht="15" customHeight="1" x14ac:dyDescent="0.25">
      <c r="A16" s="17"/>
      <c r="B16" s="76"/>
      <c r="C16" s="28" t="s">
        <v>18</v>
      </c>
      <c r="D16" s="27">
        <v>1</v>
      </c>
      <c r="E16" s="26">
        <v>8.6206896551724137E-3</v>
      </c>
    </row>
    <row r="17" spans="1:5" s="32" customFormat="1" ht="15" customHeight="1" x14ac:dyDescent="0.25">
      <c r="A17" s="17"/>
      <c r="B17" s="74" t="s">
        <v>61</v>
      </c>
      <c r="C17" s="31" t="s">
        <v>42</v>
      </c>
      <c r="D17" s="30">
        <v>1</v>
      </c>
      <c r="E17" s="29">
        <v>8.6206896551724137E-3</v>
      </c>
    </row>
    <row r="18" spans="1:5" s="32" customFormat="1" ht="15" customHeight="1" x14ac:dyDescent="0.25">
      <c r="A18" s="17"/>
      <c r="B18" s="75"/>
      <c r="C18" s="31" t="s">
        <v>39</v>
      </c>
      <c r="D18" s="30">
        <v>1</v>
      </c>
      <c r="E18" s="29">
        <v>8.6206896551724137E-3</v>
      </c>
    </row>
    <row r="19" spans="1:5" s="32" customFormat="1" ht="15" customHeight="1" x14ac:dyDescent="0.25">
      <c r="A19" s="17"/>
      <c r="B19" s="75"/>
      <c r="C19" s="31" t="s">
        <v>25</v>
      </c>
      <c r="D19" s="30">
        <v>1</v>
      </c>
      <c r="E19" s="29">
        <v>8.6206896551724137E-3</v>
      </c>
    </row>
    <row r="20" spans="1:5" ht="15" customHeight="1" x14ac:dyDescent="0.25">
      <c r="B20" s="75"/>
      <c r="C20" s="31" t="s">
        <v>21</v>
      </c>
      <c r="D20" s="30">
        <v>1</v>
      </c>
      <c r="E20" s="29">
        <v>8.6206896551724137E-3</v>
      </c>
    </row>
    <row r="21" spans="1:5" ht="15" customHeight="1" x14ac:dyDescent="0.25">
      <c r="B21" s="76"/>
      <c r="C21" s="28" t="s">
        <v>18</v>
      </c>
      <c r="D21" s="27">
        <v>4</v>
      </c>
      <c r="E21" s="26">
        <v>3.4482758620689655E-2</v>
      </c>
    </row>
    <row r="22" spans="1:5" ht="15" customHeight="1" x14ac:dyDescent="0.25">
      <c r="B22" s="74" t="s">
        <v>60</v>
      </c>
      <c r="C22" s="31" t="s">
        <v>43</v>
      </c>
      <c r="D22" s="30">
        <v>1</v>
      </c>
      <c r="E22" s="29">
        <v>8.6206896551724137E-3</v>
      </c>
    </row>
    <row r="23" spans="1:5" ht="15" customHeight="1" x14ac:dyDescent="0.25">
      <c r="B23" s="75"/>
      <c r="C23" s="31" t="s">
        <v>42</v>
      </c>
      <c r="D23" s="30">
        <v>1</v>
      </c>
      <c r="E23" s="29">
        <v>8.6206896551724137E-3</v>
      </c>
    </row>
    <row r="24" spans="1:5" ht="15" customHeight="1" x14ac:dyDescent="0.25">
      <c r="B24" s="75"/>
      <c r="C24" s="31" t="s">
        <v>37</v>
      </c>
      <c r="D24" s="30">
        <v>1</v>
      </c>
      <c r="E24" s="29">
        <v>8.6206896551724137E-3</v>
      </c>
    </row>
    <row r="25" spans="1:5" ht="15" customHeight="1" x14ac:dyDescent="0.25">
      <c r="B25" s="75"/>
      <c r="C25" s="31" t="s">
        <v>32</v>
      </c>
      <c r="D25" s="30">
        <v>3</v>
      </c>
      <c r="E25" s="29">
        <v>2.5862068965517241E-2</v>
      </c>
    </row>
    <row r="26" spans="1:5" ht="15" customHeight="1" x14ac:dyDescent="0.25">
      <c r="B26" s="75"/>
      <c r="C26" s="31" t="s">
        <v>27</v>
      </c>
      <c r="D26" s="30">
        <v>2</v>
      </c>
      <c r="E26" s="29">
        <v>1.7241379310344827E-2</v>
      </c>
    </row>
    <row r="27" spans="1:5" ht="15" customHeight="1" x14ac:dyDescent="0.25">
      <c r="B27" s="75"/>
      <c r="C27" s="31" t="s">
        <v>21</v>
      </c>
      <c r="D27" s="30">
        <v>2</v>
      </c>
      <c r="E27" s="29">
        <v>1.7241379310344827E-2</v>
      </c>
    </row>
    <row r="28" spans="1:5" ht="15" customHeight="1" x14ac:dyDescent="0.25">
      <c r="B28" s="76"/>
      <c r="C28" s="28" t="s">
        <v>18</v>
      </c>
      <c r="D28" s="27">
        <v>10</v>
      </c>
      <c r="E28" s="26">
        <v>8.6206896551724144E-2</v>
      </c>
    </row>
    <row r="29" spans="1:5" ht="15" customHeight="1" x14ac:dyDescent="0.25">
      <c r="B29" s="74" t="s">
        <v>59</v>
      </c>
      <c r="C29" s="31" t="s">
        <v>43</v>
      </c>
      <c r="D29" s="30">
        <v>1</v>
      </c>
      <c r="E29" s="29">
        <v>8.6206896551724137E-3</v>
      </c>
    </row>
    <row r="30" spans="1:5" ht="15" customHeight="1" x14ac:dyDescent="0.25">
      <c r="B30" s="75"/>
      <c r="C30" s="31" t="s">
        <v>38</v>
      </c>
      <c r="D30" s="30">
        <v>1</v>
      </c>
      <c r="E30" s="29">
        <v>8.6206896551724137E-3</v>
      </c>
    </row>
    <row r="31" spans="1:5" ht="15" customHeight="1" x14ac:dyDescent="0.25">
      <c r="B31" s="75"/>
      <c r="C31" s="31" t="s">
        <v>37</v>
      </c>
      <c r="D31" s="30">
        <v>1</v>
      </c>
      <c r="E31" s="29">
        <v>8.6206896551724137E-3</v>
      </c>
    </row>
    <row r="32" spans="1:5" ht="15" customHeight="1" x14ac:dyDescent="0.25">
      <c r="B32" s="75"/>
      <c r="C32" s="31" t="s">
        <v>32</v>
      </c>
      <c r="D32" s="30">
        <v>6</v>
      </c>
      <c r="E32" s="29">
        <v>5.1724137931034482E-2</v>
      </c>
    </row>
    <row r="33" spans="2:5" ht="15" customHeight="1" x14ac:dyDescent="0.25">
      <c r="B33" s="75"/>
      <c r="C33" s="31" t="s">
        <v>31</v>
      </c>
      <c r="D33" s="30">
        <v>1</v>
      </c>
      <c r="E33" s="29">
        <v>8.6206896551724137E-3</v>
      </c>
    </row>
    <row r="34" spans="2:5" ht="15" customHeight="1" x14ac:dyDescent="0.25">
      <c r="B34" s="75"/>
      <c r="C34" s="31" t="s">
        <v>27</v>
      </c>
      <c r="D34" s="30">
        <v>2</v>
      </c>
      <c r="E34" s="29">
        <v>1.7241379310344827E-2</v>
      </c>
    </row>
    <row r="35" spans="2:5" ht="15" customHeight="1" x14ac:dyDescent="0.25">
      <c r="B35" s="75"/>
      <c r="C35" s="31" t="s">
        <v>26</v>
      </c>
      <c r="D35" s="30">
        <v>1</v>
      </c>
      <c r="E35" s="29">
        <v>8.6206896551724137E-3</v>
      </c>
    </row>
    <row r="36" spans="2:5" ht="15" customHeight="1" x14ac:dyDescent="0.25">
      <c r="B36" s="75"/>
      <c r="C36" s="31" t="s">
        <v>22</v>
      </c>
      <c r="D36" s="30">
        <v>1</v>
      </c>
      <c r="E36" s="29">
        <v>8.6206896551724137E-3</v>
      </c>
    </row>
    <row r="37" spans="2:5" ht="15" customHeight="1" x14ac:dyDescent="0.25">
      <c r="B37" s="75"/>
      <c r="C37" s="31" t="s">
        <v>21</v>
      </c>
      <c r="D37" s="30">
        <v>5</v>
      </c>
      <c r="E37" s="29">
        <v>4.3103448275862072E-2</v>
      </c>
    </row>
    <row r="38" spans="2:5" ht="15" customHeight="1" x14ac:dyDescent="0.25">
      <c r="B38" s="76"/>
      <c r="C38" s="28" t="s">
        <v>18</v>
      </c>
      <c r="D38" s="27">
        <v>19</v>
      </c>
      <c r="E38" s="26">
        <v>0.16379310344827586</v>
      </c>
    </row>
    <row r="39" spans="2:5" ht="15" customHeight="1" x14ac:dyDescent="0.25">
      <c r="B39" s="74" t="s">
        <v>58</v>
      </c>
      <c r="C39" s="31" t="s">
        <v>44</v>
      </c>
      <c r="D39" s="30">
        <v>1</v>
      </c>
      <c r="E39" s="29">
        <v>8.6206896551724137E-3</v>
      </c>
    </row>
    <row r="40" spans="2:5" ht="15" customHeight="1" x14ac:dyDescent="0.25">
      <c r="B40" s="75"/>
      <c r="C40" s="31" t="s">
        <v>42</v>
      </c>
      <c r="D40" s="30">
        <v>1</v>
      </c>
      <c r="E40" s="29">
        <v>8.6206896551724137E-3</v>
      </c>
    </row>
    <row r="41" spans="2:5" ht="15" customHeight="1" x14ac:dyDescent="0.25">
      <c r="B41" s="75"/>
      <c r="C41" s="31" t="s">
        <v>34</v>
      </c>
      <c r="D41" s="30">
        <v>1</v>
      </c>
      <c r="E41" s="29">
        <v>8.6206896551724137E-3</v>
      </c>
    </row>
    <row r="42" spans="2:5" ht="15" customHeight="1" x14ac:dyDescent="0.25">
      <c r="B42" s="75"/>
      <c r="C42" s="31" t="s">
        <v>32</v>
      </c>
      <c r="D42" s="30">
        <v>1</v>
      </c>
      <c r="E42" s="29">
        <v>8.6206896551724137E-3</v>
      </c>
    </row>
    <row r="43" spans="2:5" ht="15" customHeight="1" x14ac:dyDescent="0.25">
      <c r="B43" s="75"/>
      <c r="C43" s="31" t="s">
        <v>29</v>
      </c>
      <c r="D43" s="30">
        <v>1</v>
      </c>
      <c r="E43" s="29">
        <v>8.6206896551724137E-3</v>
      </c>
    </row>
    <row r="44" spans="2:5" ht="15" customHeight="1" x14ac:dyDescent="0.25">
      <c r="B44" s="75"/>
      <c r="C44" s="31" t="s">
        <v>22</v>
      </c>
      <c r="D44" s="30">
        <v>1</v>
      </c>
      <c r="E44" s="29">
        <v>8.6206896551724137E-3</v>
      </c>
    </row>
    <row r="45" spans="2:5" ht="15" customHeight="1" x14ac:dyDescent="0.25">
      <c r="B45" s="76"/>
      <c r="C45" s="28" t="s">
        <v>18</v>
      </c>
      <c r="D45" s="27">
        <v>6</v>
      </c>
      <c r="E45" s="26">
        <v>5.1724137931034482E-2</v>
      </c>
    </row>
    <row r="46" spans="2:5" ht="15" customHeight="1" x14ac:dyDescent="0.25">
      <c r="B46" s="74" t="s">
        <v>57</v>
      </c>
      <c r="C46" s="31" t="s">
        <v>39</v>
      </c>
      <c r="D46" s="30">
        <v>1</v>
      </c>
      <c r="E46" s="29">
        <v>8.6206896551724137E-3</v>
      </c>
    </row>
    <row r="47" spans="2:5" ht="15" customHeight="1" x14ac:dyDescent="0.25">
      <c r="B47" s="75"/>
      <c r="C47" s="31" t="s">
        <v>21</v>
      </c>
      <c r="D47" s="30">
        <v>1</v>
      </c>
      <c r="E47" s="29">
        <v>8.6206896551724137E-3</v>
      </c>
    </row>
    <row r="48" spans="2:5" ht="15" customHeight="1" x14ac:dyDescent="0.25">
      <c r="B48" s="76"/>
      <c r="C48" s="28" t="s">
        <v>18</v>
      </c>
      <c r="D48" s="27">
        <v>2</v>
      </c>
      <c r="E48" s="26">
        <v>1.7241379310344827E-2</v>
      </c>
    </row>
    <row r="49" spans="2:5" ht="15" customHeight="1" x14ac:dyDescent="0.25">
      <c r="B49" s="74" t="s">
        <v>56</v>
      </c>
      <c r="C49" s="31" t="s">
        <v>43</v>
      </c>
      <c r="D49" s="30">
        <v>1</v>
      </c>
      <c r="E49" s="29">
        <v>8.6206896551724137E-3</v>
      </c>
    </row>
    <row r="50" spans="2:5" ht="15" customHeight="1" x14ac:dyDescent="0.25">
      <c r="B50" s="75"/>
      <c r="C50" s="31" t="s">
        <v>42</v>
      </c>
      <c r="D50" s="30">
        <v>1</v>
      </c>
      <c r="E50" s="29">
        <v>8.6206896551724137E-3</v>
      </c>
    </row>
    <row r="51" spans="2:5" ht="15" customHeight="1" x14ac:dyDescent="0.25">
      <c r="B51" s="75"/>
      <c r="C51" s="31" t="s">
        <v>38</v>
      </c>
      <c r="D51" s="30">
        <v>3</v>
      </c>
      <c r="E51" s="29">
        <v>2.5862068965517241E-2</v>
      </c>
    </row>
    <row r="52" spans="2:5" ht="15" customHeight="1" x14ac:dyDescent="0.25">
      <c r="B52" s="75"/>
      <c r="C52" s="31" t="s">
        <v>39</v>
      </c>
      <c r="D52" s="30">
        <v>6</v>
      </c>
      <c r="E52" s="29">
        <v>5.1724137931034482E-2</v>
      </c>
    </row>
    <row r="53" spans="2:5" ht="15" customHeight="1" x14ac:dyDescent="0.25">
      <c r="B53" s="75"/>
      <c r="C53" s="31" t="s">
        <v>37</v>
      </c>
      <c r="D53" s="30">
        <v>2</v>
      </c>
      <c r="E53" s="29">
        <v>1.7241379310344827E-2</v>
      </c>
    </row>
    <row r="54" spans="2:5" ht="15" customHeight="1" x14ac:dyDescent="0.25">
      <c r="B54" s="75"/>
      <c r="C54" s="31" t="s">
        <v>36</v>
      </c>
      <c r="D54" s="30">
        <v>1</v>
      </c>
      <c r="E54" s="29">
        <v>8.6206896551724137E-3</v>
      </c>
    </row>
    <row r="55" spans="2:5" ht="15" customHeight="1" x14ac:dyDescent="0.25">
      <c r="B55" s="75"/>
      <c r="C55" s="31" t="s">
        <v>35</v>
      </c>
      <c r="D55" s="30">
        <v>1</v>
      </c>
      <c r="E55" s="29">
        <v>8.6206896551724137E-3</v>
      </c>
    </row>
    <row r="56" spans="2:5" ht="15" customHeight="1" x14ac:dyDescent="0.25">
      <c r="B56" s="75"/>
      <c r="C56" s="31" t="s">
        <v>34</v>
      </c>
      <c r="D56" s="30">
        <v>3</v>
      </c>
      <c r="E56" s="29">
        <v>2.5862068965517241E-2</v>
      </c>
    </row>
    <row r="57" spans="2:5" ht="15" customHeight="1" x14ac:dyDescent="0.25">
      <c r="B57" s="75"/>
      <c r="C57" s="31" t="s">
        <v>33</v>
      </c>
      <c r="D57" s="30">
        <v>1</v>
      </c>
      <c r="E57" s="29">
        <v>8.6206896551724137E-3</v>
      </c>
    </row>
    <row r="58" spans="2:5" ht="15" customHeight="1" x14ac:dyDescent="0.25">
      <c r="B58" s="75"/>
      <c r="C58" s="31" t="s">
        <v>32</v>
      </c>
      <c r="D58" s="30">
        <v>1</v>
      </c>
      <c r="E58" s="29">
        <v>8.6206896551724137E-3</v>
      </c>
    </row>
    <row r="59" spans="2:5" ht="15" customHeight="1" x14ac:dyDescent="0.25">
      <c r="B59" s="75"/>
      <c r="C59" s="31" t="s">
        <v>30</v>
      </c>
      <c r="D59" s="30">
        <v>1</v>
      </c>
      <c r="E59" s="29">
        <v>8.6206896551724137E-3</v>
      </c>
    </row>
    <row r="60" spans="2:5" ht="15" customHeight="1" x14ac:dyDescent="0.25">
      <c r="B60" s="75"/>
      <c r="C60" s="31" t="s">
        <v>28</v>
      </c>
      <c r="D60" s="30">
        <v>3</v>
      </c>
      <c r="E60" s="29">
        <v>2.5862068965517241E-2</v>
      </c>
    </row>
    <row r="61" spans="2:5" ht="15" customHeight="1" x14ac:dyDescent="0.25">
      <c r="B61" s="75"/>
      <c r="C61" s="31" t="s">
        <v>26</v>
      </c>
      <c r="D61" s="30">
        <v>6</v>
      </c>
      <c r="E61" s="29">
        <v>5.1724137931034482E-2</v>
      </c>
    </row>
    <row r="62" spans="2:5" ht="15" customHeight="1" x14ac:dyDescent="0.25">
      <c r="B62" s="75"/>
      <c r="C62" s="31" t="s">
        <v>24</v>
      </c>
      <c r="D62" s="30">
        <v>1</v>
      </c>
      <c r="E62" s="29">
        <v>8.6206896551724137E-3</v>
      </c>
    </row>
    <row r="63" spans="2:5" ht="15" customHeight="1" x14ac:dyDescent="0.25">
      <c r="B63" s="75"/>
      <c r="C63" s="31" t="s">
        <v>21</v>
      </c>
      <c r="D63" s="30">
        <v>6</v>
      </c>
      <c r="E63" s="29">
        <v>5.1724137931034482E-2</v>
      </c>
    </row>
    <row r="64" spans="2:5" ht="15" customHeight="1" x14ac:dyDescent="0.25">
      <c r="B64" s="76"/>
      <c r="C64" s="28" t="s">
        <v>18</v>
      </c>
      <c r="D64" s="27">
        <v>37</v>
      </c>
      <c r="E64" s="26">
        <v>0.31896551724137934</v>
      </c>
    </row>
    <row r="65" spans="2:5" ht="15" customHeight="1" x14ac:dyDescent="0.25">
      <c r="B65" s="74" t="s">
        <v>55</v>
      </c>
      <c r="C65" s="31" t="s">
        <v>34</v>
      </c>
      <c r="D65" s="30">
        <v>1</v>
      </c>
      <c r="E65" s="29">
        <v>8.6206896551724137E-3</v>
      </c>
    </row>
    <row r="66" spans="2:5" ht="15" customHeight="1" x14ac:dyDescent="0.25">
      <c r="B66" s="75"/>
      <c r="C66" s="31" t="s">
        <v>21</v>
      </c>
      <c r="D66" s="30">
        <v>1</v>
      </c>
      <c r="E66" s="29">
        <v>8.6206896551724137E-3</v>
      </c>
    </row>
    <row r="67" spans="2:5" ht="15" customHeight="1" x14ac:dyDescent="0.25">
      <c r="B67" s="76"/>
      <c r="C67" s="28" t="s">
        <v>18</v>
      </c>
      <c r="D67" s="27">
        <v>2</v>
      </c>
      <c r="E67" s="26">
        <v>1.7241379310344827E-2</v>
      </c>
    </row>
    <row r="68" spans="2:5" ht="15" customHeight="1" x14ac:dyDescent="0.25">
      <c r="B68" s="74" t="s">
        <v>54</v>
      </c>
      <c r="C68" s="31" t="s">
        <v>34</v>
      </c>
      <c r="D68" s="30">
        <v>1</v>
      </c>
      <c r="E68" s="29">
        <v>8.6206896551724137E-3</v>
      </c>
    </row>
    <row r="69" spans="2:5" ht="15" customHeight="1" x14ac:dyDescent="0.25">
      <c r="B69" s="75"/>
      <c r="C69" s="31" t="s">
        <v>32</v>
      </c>
      <c r="D69" s="30">
        <v>1</v>
      </c>
      <c r="E69" s="29">
        <v>8.6206896551724137E-3</v>
      </c>
    </row>
    <row r="70" spans="2:5" ht="15" customHeight="1" x14ac:dyDescent="0.25">
      <c r="B70" s="75"/>
      <c r="C70" s="31" t="s">
        <v>30</v>
      </c>
      <c r="D70" s="30">
        <v>1</v>
      </c>
      <c r="E70" s="29">
        <v>8.6206896551724137E-3</v>
      </c>
    </row>
    <row r="71" spans="2:5" ht="15" customHeight="1" x14ac:dyDescent="0.25">
      <c r="B71" s="75"/>
      <c r="C71" s="31" t="s">
        <v>21</v>
      </c>
      <c r="D71" s="30">
        <v>1</v>
      </c>
      <c r="E71" s="29">
        <v>8.6206896551724137E-3</v>
      </c>
    </row>
    <row r="72" spans="2:5" ht="15" customHeight="1" x14ac:dyDescent="0.25">
      <c r="B72" s="76"/>
      <c r="C72" s="28" t="s">
        <v>18</v>
      </c>
      <c r="D72" s="27">
        <v>4</v>
      </c>
      <c r="E72" s="26">
        <v>3.4482758620689655E-2</v>
      </c>
    </row>
    <row r="73" spans="2:5" ht="15" customHeight="1" x14ac:dyDescent="0.25">
      <c r="B73" s="74" t="s">
        <v>53</v>
      </c>
      <c r="C73" s="31" t="s">
        <v>44</v>
      </c>
      <c r="D73" s="30">
        <v>1</v>
      </c>
      <c r="E73" s="29">
        <v>8.6206896551724137E-3</v>
      </c>
    </row>
    <row r="74" spans="2:5" ht="15" customHeight="1" x14ac:dyDescent="0.25">
      <c r="B74" s="75"/>
      <c r="C74" s="31" t="s">
        <v>38</v>
      </c>
      <c r="D74" s="30">
        <v>2</v>
      </c>
      <c r="E74" s="29">
        <v>1.7241379310344827E-2</v>
      </c>
    </row>
    <row r="75" spans="2:5" ht="15" customHeight="1" x14ac:dyDescent="0.25">
      <c r="B75" s="75"/>
      <c r="C75" s="31" t="s">
        <v>37</v>
      </c>
      <c r="D75" s="30">
        <v>2</v>
      </c>
      <c r="E75" s="29">
        <v>1.7241379310344827E-2</v>
      </c>
    </row>
    <row r="76" spans="2:5" ht="15" customHeight="1" x14ac:dyDescent="0.25">
      <c r="B76" s="75"/>
      <c r="C76" s="31" t="s">
        <v>36</v>
      </c>
      <c r="D76" s="30">
        <v>1</v>
      </c>
      <c r="E76" s="29">
        <v>8.6206896551724137E-3</v>
      </c>
    </row>
    <row r="77" spans="2:5" ht="15" customHeight="1" x14ac:dyDescent="0.25">
      <c r="B77" s="75"/>
      <c r="C77" s="31" t="s">
        <v>35</v>
      </c>
      <c r="D77" s="30">
        <v>1</v>
      </c>
      <c r="E77" s="29">
        <v>8.6206896551724137E-3</v>
      </c>
    </row>
    <row r="78" spans="2:5" ht="15" customHeight="1" x14ac:dyDescent="0.25">
      <c r="B78" s="75"/>
      <c r="C78" s="31" t="s">
        <v>34</v>
      </c>
      <c r="D78" s="30">
        <v>2</v>
      </c>
      <c r="E78" s="29">
        <v>1.7241379310344827E-2</v>
      </c>
    </row>
    <row r="79" spans="2:5" ht="15" customHeight="1" x14ac:dyDescent="0.25">
      <c r="B79" s="75"/>
      <c r="C79" s="31" t="s">
        <v>33</v>
      </c>
      <c r="D79" s="30">
        <v>1</v>
      </c>
      <c r="E79" s="29">
        <v>8.6206896551724137E-3</v>
      </c>
    </row>
    <row r="80" spans="2:5" ht="15" customHeight="1" x14ac:dyDescent="0.25">
      <c r="B80" s="75"/>
      <c r="C80" s="31" t="s">
        <v>32</v>
      </c>
      <c r="D80" s="30">
        <v>2</v>
      </c>
      <c r="E80" s="29">
        <v>1.7241379310344827E-2</v>
      </c>
    </row>
    <row r="81" spans="2:5" ht="15" customHeight="1" x14ac:dyDescent="0.25">
      <c r="B81" s="75"/>
      <c r="C81" s="31" t="s">
        <v>28</v>
      </c>
      <c r="D81" s="30">
        <v>1</v>
      </c>
      <c r="E81" s="29">
        <v>8.6206896551724137E-3</v>
      </c>
    </row>
    <row r="82" spans="2:5" ht="15" customHeight="1" x14ac:dyDescent="0.25">
      <c r="B82" s="75"/>
      <c r="C82" s="31" t="s">
        <v>26</v>
      </c>
      <c r="D82" s="30">
        <v>2</v>
      </c>
      <c r="E82" s="29">
        <v>1.7241379310344827E-2</v>
      </c>
    </row>
    <row r="83" spans="2:5" ht="15" customHeight="1" x14ac:dyDescent="0.25">
      <c r="B83" s="75"/>
      <c r="C83" s="31" t="s">
        <v>22</v>
      </c>
      <c r="D83" s="30">
        <v>3</v>
      </c>
      <c r="E83" s="29">
        <v>2.5862068965517241E-2</v>
      </c>
    </row>
    <row r="84" spans="2:5" ht="15" customHeight="1" x14ac:dyDescent="0.25">
      <c r="B84" s="75"/>
      <c r="C84" s="31" t="s">
        <v>21</v>
      </c>
      <c r="D84" s="30">
        <v>3</v>
      </c>
      <c r="E84" s="29">
        <v>2.5862068965517241E-2</v>
      </c>
    </row>
    <row r="85" spans="2:5" ht="15" customHeight="1" x14ac:dyDescent="0.25">
      <c r="B85" s="76"/>
      <c r="C85" s="28" t="s">
        <v>18</v>
      </c>
      <c r="D85" s="27">
        <v>21</v>
      </c>
      <c r="E85" s="26">
        <v>0.18103448275862069</v>
      </c>
    </row>
    <row r="86" spans="2:5" ht="15" customHeight="1" x14ac:dyDescent="0.25">
      <c r="B86" s="74" t="s">
        <v>52</v>
      </c>
      <c r="C86" s="31" t="s">
        <v>23</v>
      </c>
      <c r="D86" s="30">
        <v>1</v>
      </c>
      <c r="E86" s="29">
        <v>8.6206896551724137E-3</v>
      </c>
    </row>
    <row r="87" spans="2:5" ht="15" customHeight="1" x14ac:dyDescent="0.25">
      <c r="B87" s="76"/>
      <c r="C87" s="28" t="s">
        <v>18</v>
      </c>
      <c r="D87" s="27">
        <v>1</v>
      </c>
      <c r="E87" s="26">
        <v>8.6206896551724137E-3</v>
      </c>
    </row>
    <row r="88" spans="2:5" ht="15" customHeight="1" x14ac:dyDescent="0.25">
      <c r="B88" s="74" t="s">
        <v>51</v>
      </c>
      <c r="C88" s="31" t="s">
        <v>34</v>
      </c>
      <c r="D88" s="30">
        <v>1</v>
      </c>
      <c r="E88" s="29">
        <v>8.6206896551724137E-3</v>
      </c>
    </row>
    <row r="89" spans="2:5" ht="15" customHeight="1" x14ac:dyDescent="0.25">
      <c r="B89" s="76"/>
      <c r="C89" s="28" t="s">
        <v>18</v>
      </c>
      <c r="D89" s="27">
        <v>1</v>
      </c>
      <c r="E89" s="26">
        <v>8.6206896551724137E-3</v>
      </c>
    </row>
    <row r="90" spans="2:5" ht="15" customHeight="1" x14ac:dyDescent="0.25">
      <c r="B90" s="74" t="s">
        <v>50</v>
      </c>
      <c r="C90" s="31" t="s">
        <v>34</v>
      </c>
      <c r="D90" s="30">
        <v>1</v>
      </c>
      <c r="E90" s="29">
        <v>8.6206896551724137E-3</v>
      </c>
    </row>
    <row r="91" spans="2:5" ht="15" customHeight="1" x14ac:dyDescent="0.25">
      <c r="B91" s="76"/>
      <c r="C91" s="28" t="s">
        <v>18</v>
      </c>
      <c r="D91" s="27">
        <v>1</v>
      </c>
      <c r="E91" s="26">
        <v>8.6206896551724137E-3</v>
      </c>
    </row>
    <row r="92" spans="2:5" ht="15" customHeight="1" x14ac:dyDescent="0.25">
      <c r="B92" s="74" t="s">
        <v>49</v>
      </c>
      <c r="C92" s="31" t="s">
        <v>41</v>
      </c>
      <c r="D92" s="30">
        <v>1</v>
      </c>
      <c r="E92" s="29">
        <v>8.6206896551724137E-3</v>
      </c>
    </row>
    <row r="93" spans="2:5" ht="15" customHeight="1" x14ac:dyDescent="0.25">
      <c r="B93" s="75"/>
      <c r="C93" s="31" t="s">
        <v>40</v>
      </c>
      <c r="D93" s="30">
        <v>1</v>
      </c>
      <c r="E93" s="29">
        <v>8.6206896551724137E-3</v>
      </c>
    </row>
    <row r="94" spans="2:5" ht="15" customHeight="1" x14ac:dyDescent="0.25">
      <c r="B94" s="75"/>
      <c r="C94" s="31" t="s">
        <v>39</v>
      </c>
      <c r="D94" s="30">
        <v>1</v>
      </c>
      <c r="E94" s="29">
        <v>8.6206896551724137E-3</v>
      </c>
    </row>
    <row r="95" spans="2:5" ht="15" customHeight="1" x14ac:dyDescent="0.25">
      <c r="B95" s="75"/>
      <c r="C95" s="31" t="s">
        <v>30</v>
      </c>
      <c r="D95" s="30">
        <v>1</v>
      </c>
      <c r="E95" s="29">
        <v>8.6206896551724137E-3</v>
      </c>
    </row>
    <row r="96" spans="2:5" ht="15" customHeight="1" x14ac:dyDescent="0.25">
      <c r="B96" s="76"/>
      <c r="C96" s="28" t="s">
        <v>18</v>
      </c>
      <c r="D96" s="27">
        <v>4</v>
      </c>
      <c r="E96" s="26">
        <v>3.4482758620689655E-2</v>
      </c>
    </row>
    <row r="97" spans="2:5" ht="15" customHeight="1" x14ac:dyDescent="0.25">
      <c r="B97" s="77" t="s">
        <v>18</v>
      </c>
      <c r="C97" s="78"/>
      <c r="D97" s="25">
        <v>116</v>
      </c>
      <c r="E97" s="24">
        <v>1</v>
      </c>
    </row>
    <row r="99" spans="2:5" ht="15" customHeight="1" x14ac:dyDescent="0.25">
      <c r="B99" s="21" t="s">
        <v>17</v>
      </c>
    </row>
    <row r="100" spans="2:5" ht="15" customHeight="1" x14ac:dyDescent="0.25">
      <c r="B100" s="23" t="s">
        <v>16</v>
      </c>
    </row>
    <row r="101" spans="2:5" ht="15" customHeight="1" x14ac:dyDescent="0.25">
      <c r="B101" s="22" t="s">
        <v>15</v>
      </c>
    </row>
    <row r="102" spans="2:5" ht="15" customHeight="1" x14ac:dyDescent="0.25">
      <c r="B102" s="21" t="s">
        <v>14</v>
      </c>
    </row>
    <row r="103" spans="2:5" ht="15" customHeight="1" x14ac:dyDescent="0.25">
      <c r="B103" s="21" t="s">
        <v>13</v>
      </c>
    </row>
  </sheetData>
  <mergeCells count="18">
    <mergeCell ref="B90:B91"/>
    <mergeCell ref="B92:B96"/>
    <mergeCell ref="B97:C97"/>
    <mergeCell ref="B65:B67"/>
    <mergeCell ref="B68:B72"/>
    <mergeCell ref="B73:B85"/>
    <mergeCell ref="B86:B87"/>
    <mergeCell ref="B88:B89"/>
    <mergeCell ref="B7:E8"/>
    <mergeCell ref="B10:B11"/>
    <mergeCell ref="B12:B14"/>
    <mergeCell ref="B15:B16"/>
    <mergeCell ref="B17:B21"/>
    <mergeCell ref="B22:B28"/>
    <mergeCell ref="B29:B38"/>
    <mergeCell ref="B39:B45"/>
    <mergeCell ref="B46:B48"/>
    <mergeCell ref="B49:B6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8" max="4" man="1"/>
    <brk id="91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>
      <selection activeCell="B7" sqref="B7:D9"/>
    </sheetView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87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47</v>
      </c>
      <c r="C11" s="55" t="s">
        <v>46</v>
      </c>
      <c r="D11" s="54" t="s">
        <v>45</v>
      </c>
    </row>
    <row r="12" spans="2:4" ht="15" customHeight="1" x14ac:dyDescent="0.25">
      <c r="B12" s="52" t="s">
        <v>86</v>
      </c>
      <c r="C12" s="51">
        <v>90</v>
      </c>
      <c r="D12" s="50">
        <v>0.38461538461538464</v>
      </c>
    </row>
    <row r="13" spans="2:4" ht="15" customHeight="1" x14ac:dyDescent="0.25">
      <c r="B13" s="52" t="s">
        <v>85</v>
      </c>
      <c r="C13" s="51">
        <v>27</v>
      </c>
      <c r="D13" s="50">
        <v>0.11538461538461539</v>
      </c>
    </row>
    <row r="14" spans="2:4" x14ac:dyDescent="0.25">
      <c r="B14" s="49" t="s">
        <v>84</v>
      </c>
      <c r="C14" s="48">
        <v>234</v>
      </c>
      <c r="D14" s="47">
        <v>1</v>
      </c>
    </row>
    <row r="15" spans="2:4" s="53" customFormat="1" ht="15.75" x14ac:dyDescent="0.25">
      <c r="C15" s="62"/>
    </row>
    <row r="16" spans="2:4" s="53" customFormat="1" ht="15.75" x14ac:dyDescent="0.25">
      <c r="B16" s="21" t="s">
        <v>17</v>
      </c>
      <c r="C16" s="62"/>
    </row>
    <row r="17" spans="2:4" x14ac:dyDescent="0.25">
      <c r="B17" s="23" t="s">
        <v>16</v>
      </c>
      <c r="C17" s="61"/>
      <c r="D17" s="61"/>
    </row>
    <row r="18" spans="2:4" x14ac:dyDescent="0.25">
      <c r="B18" s="22" t="s">
        <v>15</v>
      </c>
      <c r="C18" s="60"/>
      <c r="D18" s="60"/>
    </row>
    <row r="19" spans="2:4" x14ac:dyDescent="0.25">
      <c r="B19" s="21" t="s">
        <v>14</v>
      </c>
    </row>
    <row r="20" spans="2:4" x14ac:dyDescent="0.25">
      <c r="B2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3"/>
      <c r="C7" s="73"/>
      <c r="D7" s="73"/>
      <c r="E7" s="73"/>
    </row>
    <row r="8" spans="1:5" s="37" customFormat="1" ht="33" customHeight="1" x14ac:dyDescent="0.3">
      <c r="A8" s="38"/>
      <c r="B8" s="73"/>
      <c r="C8" s="73"/>
      <c r="D8" s="73"/>
      <c r="E8" s="73"/>
    </row>
    <row r="9" spans="1:5" s="33" customFormat="1" ht="40.5" customHeight="1" x14ac:dyDescent="0.2">
      <c r="B9" s="34" t="s">
        <v>48</v>
      </c>
      <c r="C9" s="36" t="s">
        <v>47</v>
      </c>
      <c r="D9" s="35" t="s">
        <v>46</v>
      </c>
      <c r="E9" s="34" t="s">
        <v>45</v>
      </c>
    </row>
    <row r="10" spans="1:5" ht="15" customHeight="1" x14ac:dyDescent="0.25">
      <c r="B10" s="74" t="s">
        <v>44</v>
      </c>
      <c r="C10" s="31" t="s">
        <v>20</v>
      </c>
      <c r="D10" s="30">
        <v>2</v>
      </c>
      <c r="E10" s="29">
        <v>1.7094017094017096E-2</v>
      </c>
    </row>
    <row r="11" spans="1:5" ht="15" customHeight="1" x14ac:dyDescent="0.25">
      <c r="B11" s="76"/>
      <c r="C11" s="28" t="s">
        <v>18</v>
      </c>
      <c r="D11" s="27">
        <v>2</v>
      </c>
      <c r="E11" s="26">
        <v>1.7094017094017096E-2</v>
      </c>
    </row>
    <row r="12" spans="1:5" ht="15" customHeight="1" x14ac:dyDescent="0.25">
      <c r="B12" s="74" t="s">
        <v>43</v>
      </c>
      <c r="C12" s="31" t="s">
        <v>20</v>
      </c>
      <c r="D12" s="30">
        <v>3</v>
      </c>
      <c r="E12" s="29">
        <v>2.564102564102564E-2</v>
      </c>
    </row>
    <row r="13" spans="1:5" ht="15" customHeight="1" x14ac:dyDescent="0.25">
      <c r="B13" s="76"/>
      <c r="C13" s="28" t="s">
        <v>18</v>
      </c>
      <c r="D13" s="27">
        <v>3</v>
      </c>
      <c r="E13" s="26">
        <v>2.564102564102564E-2</v>
      </c>
    </row>
    <row r="14" spans="1:5" ht="15" customHeight="1" x14ac:dyDescent="0.25">
      <c r="B14" s="74" t="s">
        <v>42</v>
      </c>
      <c r="C14" s="31" t="s">
        <v>20</v>
      </c>
      <c r="D14" s="30">
        <v>4</v>
      </c>
      <c r="E14" s="29">
        <v>3.4188034188034191E-2</v>
      </c>
    </row>
    <row r="15" spans="1:5" s="32" customFormat="1" ht="15" customHeight="1" x14ac:dyDescent="0.2">
      <c r="B15" s="76"/>
      <c r="C15" s="28" t="s">
        <v>18</v>
      </c>
      <c r="D15" s="27">
        <v>4</v>
      </c>
      <c r="E15" s="26">
        <v>3.4188034188034191E-2</v>
      </c>
    </row>
    <row r="16" spans="1:5" s="32" customFormat="1" ht="15" customHeight="1" x14ac:dyDescent="0.2">
      <c r="B16" s="74" t="s">
        <v>41</v>
      </c>
      <c r="C16" s="31" t="s">
        <v>20</v>
      </c>
      <c r="D16" s="30">
        <v>1</v>
      </c>
      <c r="E16" s="29">
        <v>8.5470085470085479E-3</v>
      </c>
    </row>
    <row r="17" spans="2:5" s="32" customFormat="1" ht="15" customHeight="1" x14ac:dyDescent="0.2">
      <c r="B17" s="75"/>
      <c r="C17" s="31" t="s">
        <v>19</v>
      </c>
      <c r="D17" s="30">
        <v>1</v>
      </c>
      <c r="E17" s="29">
        <v>8.5470085470085479E-3</v>
      </c>
    </row>
    <row r="18" spans="2:5" s="32" customFormat="1" ht="15" customHeight="1" x14ac:dyDescent="0.2">
      <c r="B18" s="76"/>
      <c r="C18" s="28" t="s">
        <v>18</v>
      </c>
      <c r="D18" s="27">
        <v>2</v>
      </c>
      <c r="E18" s="26">
        <v>1.7094017094017096E-2</v>
      </c>
    </row>
    <row r="19" spans="2:5" s="32" customFormat="1" ht="15" customHeight="1" x14ac:dyDescent="0.2">
      <c r="B19" s="74" t="s">
        <v>40</v>
      </c>
      <c r="C19" s="31" t="s">
        <v>20</v>
      </c>
      <c r="D19" s="30">
        <v>1</v>
      </c>
      <c r="E19" s="29">
        <v>8.5470085470085479E-3</v>
      </c>
    </row>
    <row r="20" spans="2:5" ht="15" customHeight="1" x14ac:dyDescent="0.25">
      <c r="B20" s="76"/>
      <c r="C20" s="28" t="s">
        <v>18</v>
      </c>
      <c r="D20" s="27">
        <v>1</v>
      </c>
      <c r="E20" s="26">
        <v>8.5470085470085479E-3</v>
      </c>
    </row>
    <row r="21" spans="2:5" ht="15" customHeight="1" x14ac:dyDescent="0.25">
      <c r="B21" s="74" t="s">
        <v>39</v>
      </c>
      <c r="C21" s="31" t="s">
        <v>20</v>
      </c>
      <c r="D21" s="30">
        <v>6</v>
      </c>
      <c r="E21" s="29">
        <v>5.128205128205128E-2</v>
      </c>
    </row>
    <row r="22" spans="2:5" ht="15" customHeight="1" x14ac:dyDescent="0.25">
      <c r="B22" s="75"/>
      <c r="C22" s="31" t="s">
        <v>19</v>
      </c>
      <c r="D22" s="30">
        <v>3</v>
      </c>
      <c r="E22" s="29">
        <v>2.564102564102564E-2</v>
      </c>
    </row>
    <row r="23" spans="2:5" ht="15" customHeight="1" x14ac:dyDescent="0.25">
      <c r="B23" s="76"/>
      <c r="C23" s="28" t="s">
        <v>18</v>
      </c>
      <c r="D23" s="27">
        <v>9</v>
      </c>
      <c r="E23" s="26">
        <v>7.6923076923076927E-2</v>
      </c>
    </row>
    <row r="24" spans="2:5" ht="15" customHeight="1" x14ac:dyDescent="0.25">
      <c r="B24" s="74" t="s">
        <v>38</v>
      </c>
      <c r="C24" s="31" t="s">
        <v>20</v>
      </c>
      <c r="D24" s="30">
        <v>5</v>
      </c>
      <c r="E24" s="29">
        <v>4.2735042735042736E-2</v>
      </c>
    </row>
    <row r="25" spans="2:5" ht="15" customHeight="1" x14ac:dyDescent="0.25">
      <c r="B25" s="75"/>
      <c r="C25" s="31" t="s">
        <v>19</v>
      </c>
      <c r="D25" s="30">
        <v>1</v>
      </c>
      <c r="E25" s="29">
        <v>8.5470085470085479E-3</v>
      </c>
    </row>
    <row r="26" spans="2:5" ht="15" customHeight="1" x14ac:dyDescent="0.25">
      <c r="B26" s="76"/>
      <c r="C26" s="28" t="s">
        <v>18</v>
      </c>
      <c r="D26" s="27">
        <v>6</v>
      </c>
      <c r="E26" s="26">
        <v>5.128205128205128E-2</v>
      </c>
    </row>
    <row r="27" spans="2:5" ht="15" customHeight="1" x14ac:dyDescent="0.25">
      <c r="B27" s="74" t="s">
        <v>37</v>
      </c>
      <c r="C27" s="31" t="s">
        <v>20</v>
      </c>
      <c r="D27" s="30">
        <v>5</v>
      </c>
      <c r="E27" s="29">
        <v>4.2735042735042736E-2</v>
      </c>
    </row>
    <row r="28" spans="2:5" ht="15" customHeight="1" x14ac:dyDescent="0.25">
      <c r="B28" s="75"/>
      <c r="C28" s="31" t="s">
        <v>19</v>
      </c>
      <c r="D28" s="30">
        <v>1</v>
      </c>
      <c r="E28" s="29">
        <v>8.5470085470085479E-3</v>
      </c>
    </row>
    <row r="29" spans="2:5" ht="15" customHeight="1" x14ac:dyDescent="0.25">
      <c r="B29" s="76"/>
      <c r="C29" s="28" t="s">
        <v>18</v>
      </c>
      <c r="D29" s="27">
        <v>6</v>
      </c>
      <c r="E29" s="26">
        <v>5.128205128205128E-2</v>
      </c>
    </row>
    <row r="30" spans="2:5" ht="15" customHeight="1" x14ac:dyDescent="0.25">
      <c r="B30" s="74" t="s">
        <v>36</v>
      </c>
      <c r="C30" s="31" t="s">
        <v>20</v>
      </c>
      <c r="D30" s="30">
        <v>2</v>
      </c>
      <c r="E30" s="29">
        <v>1.7094017094017096E-2</v>
      </c>
    </row>
    <row r="31" spans="2:5" ht="15" customHeight="1" x14ac:dyDescent="0.25">
      <c r="B31" s="76"/>
      <c r="C31" s="28" t="s">
        <v>18</v>
      </c>
      <c r="D31" s="27">
        <v>2</v>
      </c>
      <c r="E31" s="26">
        <v>1.7094017094017096E-2</v>
      </c>
    </row>
    <row r="32" spans="2:5" ht="15" customHeight="1" x14ac:dyDescent="0.25">
      <c r="B32" s="74" t="s">
        <v>35</v>
      </c>
      <c r="C32" s="31" t="s">
        <v>20</v>
      </c>
      <c r="D32" s="30">
        <v>3</v>
      </c>
      <c r="E32" s="29">
        <v>2.564102564102564E-2</v>
      </c>
    </row>
    <row r="33" spans="2:5" ht="15" customHeight="1" x14ac:dyDescent="0.25">
      <c r="B33" s="76"/>
      <c r="C33" s="28" t="s">
        <v>18</v>
      </c>
      <c r="D33" s="27">
        <v>3</v>
      </c>
      <c r="E33" s="26">
        <v>2.564102564102564E-2</v>
      </c>
    </row>
    <row r="34" spans="2:5" ht="15" customHeight="1" x14ac:dyDescent="0.25">
      <c r="B34" s="74" t="s">
        <v>34</v>
      </c>
      <c r="C34" s="31" t="s">
        <v>20</v>
      </c>
      <c r="D34" s="30">
        <v>8</v>
      </c>
      <c r="E34" s="29">
        <v>6.8376068376068383E-2</v>
      </c>
    </row>
    <row r="35" spans="2:5" ht="15" customHeight="1" x14ac:dyDescent="0.25">
      <c r="B35" s="75"/>
      <c r="C35" s="31" t="s">
        <v>19</v>
      </c>
      <c r="D35" s="30">
        <v>3</v>
      </c>
      <c r="E35" s="29">
        <v>2.564102564102564E-2</v>
      </c>
    </row>
    <row r="36" spans="2:5" ht="15" customHeight="1" x14ac:dyDescent="0.25">
      <c r="B36" s="76"/>
      <c r="C36" s="28" t="s">
        <v>18</v>
      </c>
      <c r="D36" s="27">
        <v>11</v>
      </c>
      <c r="E36" s="26">
        <v>9.4017094017094016E-2</v>
      </c>
    </row>
    <row r="37" spans="2:5" ht="15" customHeight="1" x14ac:dyDescent="0.25">
      <c r="B37" s="74" t="s">
        <v>33</v>
      </c>
      <c r="C37" s="31" t="s">
        <v>20</v>
      </c>
      <c r="D37" s="30">
        <v>2</v>
      </c>
      <c r="E37" s="29">
        <v>1.7094017094017096E-2</v>
      </c>
    </row>
    <row r="38" spans="2:5" ht="15" customHeight="1" x14ac:dyDescent="0.25">
      <c r="B38" s="76"/>
      <c r="C38" s="28" t="s">
        <v>18</v>
      </c>
      <c r="D38" s="27">
        <v>2</v>
      </c>
      <c r="E38" s="26">
        <v>1.7094017094017096E-2</v>
      </c>
    </row>
    <row r="39" spans="2:5" ht="15" customHeight="1" x14ac:dyDescent="0.25">
      <c r="B39" s="74" t="s">
        <v>32</v>
      </c>
      <c r="C39" s="31" t="s">
        <v>20</v>
      </c>
      <c r="D39" s="30">
        <v>11</v>
      </c>
      <c r="E39" s="29">
        <v>9.4017094017094016E-2</v>
      </c>
    </row>
    <row r="40" spans="2:5" ht="15" customHeight="1" x14ac:dyDescent="0.25">
      <c r="B40" s="75"/>
      <c r="C40" s="31" t="s">
        <v>19</v>
      </c>
      <c r="D40" s="30">
        <v>4</v>
      </c>
      <c r="E40" s="29">
        <v>3.4188034188034191E-2</v>
      </c>
    </row>
    <row r="41" spans="2:5" ht="15" customHeight="1" x14ac:dyDescent="0.25">
      <c r="B41" s="76"/>
      <c r="C41" s="28" t="s">
        <v>18</v>
      </c>
      <c r="D41" s="27">
        <v>15</v>
      </c>
      <c r="E41" s="26">
        <v>0.12820512820512819</v>
      </c>
    </row>
    <row r="42" spans="2:5" ht="15" customHeight="1" x14ac:dyDescent="0.25">
      <c r="B42" s="74" t="s">
        <v>31</v>
      </c>
      <c r="C42" s="31" t="s">
        <v>20</v>
      </c>
      <c r="D42" s="30">
        <v>1</v>
      </c>
      <c r="E42" s="29">
        <v>8.5470085470085479E-3</v>
      </c>
    </row>
    <row r="43" spans="2:5" ht="15" customHeight="1" x14ac:dyDescent="0.25">
      <c r="B43" s="76"/>
      <c r="C43" s="28" t="s">
        <v>18</v>
      </c>
      <c r="D43" s="27">
        <v>1</v>
      </c>
      <c r="E43" s="26">
        <v>8.5470085470085479E-3</v>
      </c>
    </row>
    <row r="44" spans="2:5" ht="15" customHeight="1" x14ac:dyDescent="0.25">
      <c r="B44" s="74" t="s">
        <v>30</v>
      </c>
      <c r="C44" s="31" t="s">
        <v>20</v>
      </c>
      <c r="D44" s="30">
        <v>1</v>
      </c>
      <c r="E44" s="29">
        <v>8.5470085470085479E-3</v>
      </c>
    </row>
    <row r="45" spans="2:5" ht="15" customHeight="1" x14ac:dyDescent="0.25">
      <c r="B45" s="75"/>
      <c r="C45" s="31" t="s">
        <v>19</v>
      </c>
      <c r="D45" s="30">
        <v>2</v>
      </c>
      <c r="E45" s="29">
        <v>1.7094017094017096E-2</v>
      </c>
    </row>
    <row r="46" spans="2:5" ht="15" customHeight="1" x14ac:dyDescent="0.25">
      <c r="B46" s="76"/>
      <c r="C46" s="28" t="s">
        <v>18</v>
      </c>
      <c r="D46" s="27">
        <v>3</v>
      </c>
      <c r="E46" s="26">
        <v>2.564102564102564E-2</v>
      </c>
    </row>
    <row r="47" spans="2:5" ht="15" customHeight="1" x14ac:dyDescent="0.25">
      <c r="B47" s="74" t="s">
        <v>29</v>
      </c>
      <c r="C47" s="31" t="s">
        <v>19</v>
      </c>
      <c r="D47" s="30">
        <v>2</v>
      </c>
      <c r="E47" s="29">
        <v>1.7094017094017096E-2</v>
      </c>
    </row>
    <row r="48" spans="2:5" ht="15" customHeight="1" x14ac:dyDescent="0.25">
      <c r="B48" s="76"/>
      <c r="C48" s="28" t="s">
        <v>18</v>
      </c>
      <c r="D48" s="27">
        <v>2</v>
      </c>
      <c r="E48" s="26">
        <v>1.7094017094017096E-2</v>
      </c>
    </row>
    <row r="49" spans="2:5" ht="15" customHeight="1" x14ac:dyDescent="0.25">
      <c r="B49" s="74" t="s">
        <v>28</v>
      </c>
      <c r="C49" s="31" t="s">
        <v>20</v>
      </c>
      <c r="D49" s="30">
        <v>3</v>
      </c>
      <c r="E49" s="29">
        <v>2.564102564102564E-2</v>
      </c>
    </row>
    <row r="50" spans="2:5" ht="15" customHeight="1" x14ac:dyDescent="0.25">
      <c r="B50" s="75"/>
      <c r="C50" s="31" t="s">
        <v>19</v>
      </c>
      <c r="D50" s="30">
        <v>1</v>
      </c>
      <c r="E50" s="29">
        <v>8.5470085470085479E-3</v>
      </c>
    </row>
    <row r="51" spans="2:5" ht="15" customHeight="1" x14ac:dyDescent="0.25">
      <c r="B51" s="76"/>
      <c r="C51" s="28" t="s">
        <v>18</v>
      </c>
      <c r="D51" s="27">
        <v>4</v>
      </c>
      <c r="E51" s="26">
        <v>3.4188034188034191E-2</v>
      </c>
    </row>
    <row r="52" spans="2:5" ht="15" customHeight="1" x14ac:dyDescent="0.25">
      <c r="B52" s="74" t="s">
        <v>27</v>
      </c>
      <c r="C52" s="31" t="s">
        <v>20</v>
      </c>
      <c r="D52" s="30">
        <v>4</v>
      </c>
      <c r="E52" s="29">
        <v>3.4188034188034191E-2</v>
      </c>
    </row>
    <row r="53" spans="2:5" ht="15" customHeight="1" x14ac:dyDescent="0.25">
      <c r="B53" s="76"/>
      <c r="C53" s="28" t="s">
        <v>18</v>
      </c>
      <c r="D53" s="27">
        <v>4</v>
      </c>
      <c r="E53" s="26">
        <v>3.4188034188034191E-2</v>
      </c>
    </row>
    <row r="54" spans="2:5" ht="15" customHeight="1" x14ac:dyDescent="0.25">
      <c r="B54" s="74" t="s">
        <v>26</v>
      </c>
      <c r="C54" s="31" t="s">
        <v>20</v>
      </c>
      <c r="D54" s="30">
        <v>9</v>
      </c>
      <c r="E54" s="29">
        <v>7.6923076923076927E-2</v>
      </c>
    </row>
    <row r="55" spans="2:5" ht="15" customHeight="1" x14ac:dyDescent="0.25">
      <c r="B55" s="76"/>
      <c r="C55" s="28" t="s">
        <v>18</v>
      </c>
      <c r="D55" s="27">
        <v>9</v>
      </c>
      <c r="E55" s="26">
        <v>7.6923076923076927E-2</v>
      </c>
    </row>
    <row r="56" spans="2:5" ht="15" customHeight="1" x14ac:dyDescent="0.25">
      <c r="B56" s="74" t="s">
        <v>25</v>
      </c>
      <c r="C56" s="31" t="s">
        <v>20</v>
      </c>
      <c r="D56" s="30">
        <v>1</v>
      </c>
      <c r="E56" s="29">
        <v>8.5470085470085479E-3</v>
      </c>
    </row>
    <row r="57" spans="2:5" ht="15" customHeight="1" x14ac:dyDescent="0.25">
      <c r="B57" s="76"/>
      <c r="C57" s="28" t="s">
        <v>18</v>
      </c>
      <c r="D57" s="27">
        <v>1</v>
      </c>
      <c r="E57" s="26">
        <v>8.5470085470085479E-3</v>
      </c>
    </row>
    <row r="58" spans="2:5" ht="15" customHeight="1" x14ac:dyDescent="0.25">
      <c r="B58" s="74" t="s">
        <v>24</v>
      </c>
      <c r="C58" s="31" t="s">
        <v>20</v>
      </c>
      <c r="D58" s="30">
        <v>1</v>
      </c>
      <c r="E58" s="29">
        <v>8.5470085470085479E-3</v>
      </c>
    </row>
    <row r="59" spans="2:5" ht="15" customHeight="1" x14ac:dyDescent="0.25">
      <c r="B59" s="76"/>
      <c r="C59" s="28" t="s">
        <v>18</v>
      </c>
      <c r="D59" s="27">
        <v>1</v>
      </c>
      <c r="E59" s="26">
        <v>8.5470085470085479E-3</v>
      </c>
    </row>
    <row r="60" spans="2:5" ht="15" customHeight="1" x14ac:dyDescent="0.25">
      <c r="B60" s="74" t="s">
        <v>23</v>
      </c>
      <c r="C60" s="31" t="s">
        <v>19</v>
      </c>
      <c r="D60" s="30">
        <v>1</v>
      </c>
      <c r="E60" s="29">
        <v>8.5470085470085479E-3</v>
      </c>
    </row>
    <row r="61" spans="2:5" ht="15" customHeight="1" x14ac:dyDescent="0.25">
      <c r="B61" s="76"/>
      <c r="C61" s="28" t="s">
        <v>18</v>
      </c>
      <c r="D61" s="27">
        <v>1</v>
      </c>
      <c r="E61" s="26">
        <v>8.5470085470085479E-3</v>
      </c>
    </row>
    <row r="62" spans="2:5" ht="15" customHeight="1" x14ac:dyDescent="0.25">
      <c r="B62" s="74" t="s">
        <v>22</v>
      </c>
      <c r="C62" s="31" t="s">
        <v>20</v>
      </c>
      <c r="D62" s="30">
        <v>5</v>
      </c>
      <c r="E62" s="29">
        <v>4.2735042735042736E-2</v>
      </c>
    </row>
    <row r="63" spans="2:5" ht="15" customHeight="1" x14ac:dyDescent="0.25">
      <c r="B63" s="76"/>
      <c r="C63" s="28" t="s">
        <v>18</v>
      </c>
      <c r="D63" s="27">
        <v>5</v>
      </c>
      <c r="E63" s="26">
        <v>4.2735042735042736E-2</v>
      </c>
    </row>
    <row r="64" spans="2:5" ht="15" customHeight="1" x14ac:dyDescent="0.25">
      <c r="B64" s="74" t="s">
        <v>21</v>
      </c>
      <c r="C64" s="31" t="s">
        <v>20</v>
      </c>
      <c r="D64" s="30">
        <v>12</v>
      </c>
      <c r="E64" s="29">
        <v>0.10256410256410256</v>
      </c>
    </row>
    <row r="65" spans="2:5" ht="15" customHeight="1" x14ac:dyDescent="0.25">
      <c r="B65" s="75"/>
      <c r="C65" s="31" t="s">
        <v>19</v>
      </c>
      <c r="D65" s="30">
        <v>8</v>
      </c>
      <c r="E65" s="29">
        <v>6.8376068376068383E-2</v>
      </c>
    </row>
    <row r="66" spans="2:5" ht="15" customHeight="1" x14ac:dyDescent="0.25">
      <c r="B66" s="76"/>
      <c r="C66" s="28" t="s">
        <v>18</v>
      </c>
      <c r="D66" s="27">
        <v>20</v>
      </c>
      <c r="E66" s="26">
        <v>0.17094017094017094</v>
      </c>
    </row>
    <row r="67" spans="2:5" ht="15" customHeight="1" x14ac:dyDescent="0.25">
      <c r="B67" s="77" t="s">
        <v>18</v>
      </c>
      <c r="C67" s="78"/>
      <c r="D67" s="25">
        <f>SUMIF(C10:C66,"TOTAL",D10:D66)</f>
        <v>117</v>
      </c>
      <c r="E67" s="24">
        <v>1</v>
      </c>
    </row>
    <row r="69" spans="2:5" ht="15" customHeight="1" x14ac:dyDescent="0.25">
      <c r="B69" s="21" t="s">
        <v>17</v>
      </c>
    </row>
    <row r="70" spans="2:5" ht="15" customHeight="1" x14ac:dyDescent="0.25">
      <c r="B70" s="23" t="s">
        <v>16</v>
      </c>
    </row>
    <row r="71" spans="2:5" ht="15" customHeight="1" x14ac:dyDescent="0.25">
      <c r="B71" s="22" t="s">
        <v>15</v>
      </c>
    </row>
    <row r="72" spans="2:5" ht="15" customHeight="1" x14ac:dyDescent="0.25">
      <c r="B72" s="21" t="s">
        <v>14</v>
      </c>
    </row>
    <row r="73" spans="2:5" ht="15" customHeight="1" x14ac:dyDescent="0.25">
      <c r="B73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26">
    <mergeCell ref="B64:B66"/>
    <mergeCell ref="B67:C67"/>
    <mergeCell ref="B52:B53"/>
    <mergeCell ref="B54:B55"/>
    <mergeCell ref="B56:B57"/>
    <mergeCell ref="B58:B59"/>
    <mergeCell ref="B60:B61"/>
    <mergeCell ref="B62:B63"/>
    <mergeCell ref="B32:B33"/>
    <mergeCell ref="B34:B36"/>
    <mergeCell ref="B37:B38"/>
    <mergeCell ref="B39:B41"/>
    <mergeCell ref="B42:B43"/>
    <mergeCell ref="B44:B46"/>
    <mergeCell ref="B47:B48"/>
    <mergeCell ref="B49:B51"/>
    <mergeCell ref="B7:E8"/>
    <mergeCell ref="B10:B11"/>
    <mergeCell ref="B12:B13"/>
    <mergeCell ref="B14:B15"/>
    <mergeCell ref="B16:B18"/>
    <mergeCell ref="B19:B20"/>
    <mergeCell ref="B21:B23"/>
    <mergeCell ref="B24:B26"/>
    <mergeCell ref="B27:B29"/>
    <mergeCell ref="B30:B3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1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>
      <selection activeCell="F7" sqref="F7"/>
    </sheetView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3"/>
      <c r="C7" s="73"/>
      <c r="D7" s="73"/>
      <c r="E7" s="73"/>
    </row>
    <row r="8" spans="1:5" s="37" customFormat="1" ht="33" customHeight="1" x14ac:dyDescent="0.3">
      <c r="A8" s="38"/>
      <c r="B8" s="73"/>
      <c r="C8" s="73"/>
      <c r="D8" s="73"/>
      <c r="E8" s="73"/>
    </row>
    <row r="9" spans="1:5" s="33" customFormat="1" ht="40.5" customHeight="1" x14ac:dyDescent="0.2">
      <c r="B9" s="34" t="s">
        <v>47</v>
      </c>
      <c r="C9" s="36" t="s">
        <v>83</v>
      </c>
      <c r="D9" s="35" t="s">
        <v>46</v>
      </c>
      <c r="E9" s="34" t="s">
        <v>45</v>
      </c>
    </row>
    <row r="10" spans="1:5" ht="15" customHeight="1" x14ac:dyDescent="0.25">
      <c r="B10" s="74" t="s">
        <v>20</v>
      </c>
      <c r="C10" s="31" t="s">
        <v>82</v>
      </c>
      <c r="D10" s="30">
        <v>1</v>
      </c>
      <c r="E10" s="29">
        <v>8.5470085470085479E-3</v>
      </c>
    </row>
    <row r="11" spans="1:5" ht="15" customHeight="1" x14ac:dyDescent="0.25">
      <c r="B11" s="75"/>
      <c r="C11" s="31" t="s">
        <v>80</v>
      </c>
      <c r="D11" s="30">
        <v>27</v>
      </c>
      <c r="E11" s="29">
        <v>0.23076923076923078</v>
      </c>
    </row>
    <row r="12" spans="1:5" ht="15" customHeight="1" x14ac:dyDescent="0.25">
      <c r="B12" s="75"/>
      <c r="C12" s="31" t="s">
        <v>79</v>
      </c>
      <c r="D12" s="30">
        <v>38</v>
      </c>
      <c r="E12" s="29">
        <v>0.3247863247863248</v>
      </c>
    </row>
    <row r="13" spans="1:5" ht="15" customHeight="1" x14ac:dyDescent="0.25">
      <c r="B13" s="75"/>
      <c r="C13" s="31" t="s">
        <v>78</v>
      </c>
      <c r="D13" s="30">
        <v>19</v>
      </c>
      <c r="E13" s="29">
        <v>0.1623931623931624</v>
      </c>
    </row>
    <row r="14" spans="1:5" ht="15" customHeight="1" x14ac:dyDescent="0.25">
      <c r="B14" s="75"/>
      <c r="C14" s="31" t="s">
        <v>77</v>
      </c>
      <c r="D14" s="30">
        <v>4</v>
      </c>
      <c r="E14" s="29">
        <v>3.4188034188034191E-2</v>
      </c>
    </row>
    <row r="15" spans="1:5" s="32" customFormat="1" ht="15" customHeight="1" x14ac:dyDescent="0.2">
      <c r="B15" s="76"/>
      <c r="C15" s="31" t="s">
        <v>81</v>
      </c>
      <c r="D15" s="30">
        <v>1</v>
      </c>
      <c r="E15" s="29">
        <v>8.5470085470085479E-3</v>
      </c>
    </row>
    <row r="16" spans="1:5" s="32" customFormat="1" ht="15" customHeight="1" x14ac:dyDescent="0.2">
      <c r="B16" s="74" t="s">
        <v>19</v>
      </c>
      <c r="C16" s="31" t="s">
        <v>80</v>
      </c>
      <c r="D16" s="30">
        <v>6</v>
      </c>
      <c r="E16" s="29">
        <v>5.128205128205128E-2</v>
      </c>
    </row>
    <row r="17" spans="2:5" s="32" customFormat="1" ht="15" customHeight="1" x14ac:dyDescent="0.2">
      <c r="B17" s="75"/>
      <c r="C17" s="31" t="s">
        <v>79</v>
      </c>
      <c r="D17" s="30">
        <v>6</v>
      </c>
      <c r="E17" s="29">
        <v>5.128205128205128E-2</v>
      </c>
    </row>
    <row r="18" spans="2:5" s="32" customFormat="1" ht="15" customHeight="1" x14ac:dyDescent="0.2">
      <c r="B18" s="75"/>
      <c r="C18" s="31" t="s">
        <v>78</v>
      </c>
      <c r="D18" s="30">
        <v>14</v>
      </c>
      <c r="E18" s="29">
        <v>0.11965811965811966</v>
      </c>
    </row>
    <row r="19" spans="2:5" s="32" customFormat="1" ht="15" customHeight="1" x14ac:dyDescent="0.2">
      <c r="B19" s="76"/>
      <c r="C19" s="31" t="s">
        <v>77</v>
      </c>
      <c r="D19" s="30">
        <v>1</v>
      </c>
      <c r="E19" s="29">
        <v>8.5470085470085479E-3</v>
      </c>
    </row>
    <row r="20" spans="2:5" ht="15" customHeight="1" x14ac:dyDescent="0.25">
      <c r="B20" s="77" t="s">
        <v>18</v>
      </c>
      <c r="C20" s="78"/>
      <c r="D20" s="25">
        <v>117</v>
      </c>
      <c r="E20" s="24">
        <v>1</v>
      </c>
    </row>
    <row r="22" spans="2:5" ht="15" customHeight="1" x14ac:dyDescent="0.25">
      <c r="B22" s="21" t="s">
        <v>17</v>
      </c>
    </row>
    <row r="23" spans="2:5" ht="15" customHeight="1" x14ac:dyDescent="0.25">
      <c r="B23" s="23" t="s">
        <v>16</v>
      </c>
    </row>
    <row r="24" spans="2:5" ht="15" customHeight="1" x14ac:dyDescent="0.25">
      <c r="B24" s="22" t="s">
        <v>15</v>
      </c>
    </row>
    <row r="25" spans="2:5" ht="15" customHeight="1" x14ac:dyDescent="0.25">
      <c r="B25" s="21" t="s">
        <v>14</v>
      </c>
    </row>
    <row r="26" spans="2:5" ht="15" customHeight="1" x14ac:dyDescent="0.25">
      <c r="B26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4">
    <mergeCell ref="B7:E8"/>
    <mergeCell ref="B10:B15"/>
    <mergeCell ref="B16:B19"/>
    <mergeCell ref="B20:C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9"/>
  <sheetViews>
    <sheetView showGridLines="0" zoomScaleNormal="100" zoomScaleSheetLayoutView="115" workbookViewId="0">
      <selection activeCell="G12" sqref="G12"/>
    </sheetView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101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100</v>
      </c>
      <c r="C11" s="55" t="s">
        <v>46</v>
      </c>
      <c r="D11" s="54" t="s">
        <v>45</v>
      </c>
    </row>
    <row r="12" spans="2:4" ht="15" customHeight="1" x14ac:dyDescent="0.25">
      <c r="B12" s="52" t="s">
        <v>99</v>
      </c>
      <c r="C12" s="51">
        <v>78</v>
      </c>
      <c r="D12" s="50">
        <v>0.66666666666666663</v>
      </c>
    </row>
    <row r="13" spans="2:4" x14ac:dyDescent="0.25">
      <c r="B13" s="52" t="s">
        <v>98</v>
      </c>
      <c r="C13" s="51">
        <v>16</v>
      </c>
      <c r="D13" s="50">
        <v>0.13675213675213677</v>
      </c>
    </row>
    <row r="14" spans="2:4" s="53" customFormat="1" ht="15.75" x14ac:dyDescent="0.25">
      <c r="B14" s="52" t="s">
        <v>97</v>
      </c>
      <c r="C14" s="51">
        <v>9</v>
      </c>
      <c r="D14" s="50">
        <v>7.6923076923076927E-2</v>
      </c>
    </row>
    <row r="15" spans="2:4" s="53" customFormat="1" ht="15.75" x14ac:dyDescent="0.25">
      <c r="B15" s="52" t="s">
        <v>96</v>
      </c>
      <c r="C15" s="51">
        <v>5</v>
      </c>
      <c r="D15" s="50">
        <v>4.2735042735042736E-2</v>
      </c>
    </row>
    <row r="16" spans="2:4" x14ac:dyDescent="0.25">
      <c r="B16" s="52" t="s">
        <v>95</v>
      </c>
      <c r="C16" s="51">
        <v>2</v>
      </c>
      <c r="D16" s="50">
        <v>1.7094017094017096E-2</v>
      </c>
    </row>
    <row r="17" spans="2:4" x14ac:dyDescent="0.25">
      <c r="B17" s="52" t="s">
        <v>94</v>
      </c>
      <c r="C17" s="51">
        <v>2</v>
      </c>
      <c r="D17" s="50">
        <v>1.7094017094017096E-2</v>
      </c>
    </row>
    <row r="18" spans="2:4" x14ac:dyDescent="0.25">
      <c r="B18" s="52" t="s">
        <v>93</v>
      </c>
      <c r="C18" s="51">
        <v>1</v>
      </c>
      <c r="D18" s="50">
        <v>8.5470085470085479E-3</v>
      </c>
    </row>
    <row r="19" spans="2:4" x14ac:dyDescent="0.25">
      <c r="B19" s="52" t="s">
        <v>92</v>
      </c>
      <c r="C19" s="51">
        <v>1</v>
      </c>
      <c r="D19" s="50">
        <v>8.5470085470085479E-3</v>
      </c>
    </row>
    <row r="20" spans="2:4" x14ac:dyDescent="0.25">
      <c r="B20" s="52" t="s">
        <v>91</v>
      </c>
      <c r="C20" s="51">
        <v>1</v>
      </c>
      <c r="D20" s="50">
        <v>8.5470085470085479E-3</v>
      </c>
    </row>
    <row r="21" spans="2:4" x14ac:dyDescent="0.25">
      <c r="B21" s="52" t="s">
        <v>90</v>
      </c>
      <c r="C21" s="51">
        <v>1</v>
      </c>
      <c r="D21" s="50">
        <v>8.5470085470085479E-3</v>
      </c>
    </row>
    <row r="22" spans="2:4" x14ac:dyDescent="0.25">
      <c r="B22" s="52" t="s">
        <v>89</v>
      </c>
      <c r="C22" s="51">
        <v>1</v>
      </c>
      <c r="D22" s="50">
        <v>8.5470085470085479E-3</v>
      </c>
    </row>
    <row r="23" spans="2:4" x14ac:dyDescent="0.25">
      <c r="B23" s="49" t="s">
        <v>18</v>
      </c>
      <c r="C23" s="48">
        <v>117</v>
      </c>
      <c r="D23" s="47">
        <v>1</v>
      </c>
    </row>
    <row r="25" spans="2:4" x14ac:dyDescent="0.25">
      <c r="B25" s="21" t="s">
        <v>17</v>
      </c>
    </row>
    <row r="26" spans="2:4" x14ac:dyDescent="0.25">
      <c r="B26" s="23" t="s">
        <v>16</v>
      </c>
    </row>
    <row r="27" spans="2:4" x14ac:dyDescent="0.25">
      <c r="B27" s="22" t="s">
        <v>15</v>
      </c>
    </row>
    <row r="28" spans="2:4" x14ac:dyDescent="0.25">
      <c r="B28" s="21" t="s">
        <v>14</v>
      </c>
    </row>
    <row r="29" spans="2:4" x14ac:dyDescent="0.25">
      <c r="B29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Hampshire_Edomexgral</vt:lpstr>
      <vt:lpstr>New Hampshire_EDOMEX</vt:lpstr>
      <vt:lpstr>New Hampshire_Educagral</vt:lpstr>
      <vt:lpstr>New Hampshire_Eduedo</vt:lpstr>
      <vt:lpstr>New Hampshire_gengral18</vt:lpstr>
      <vt:lpstr>New Hampshire_edomexgen</vt:lpstr>
      <vt:lpstr>New Hampshire_edadgen</vt:lpstr>
      <vt:lpstr>New Hampshire_ocupgral18</vt:lpstr>
      <vt:lpstr>'New Hampshire_edadgen'!Área_de_impresión</vt:lpstr>
      <vt:lpstr>'New Hampshire_EDOMEX'!Área_de_impresión</vt:lpstr>
      <vt:lpstr>'New Hampshire_edomexgen'!Área_de_impresión</vt:lpstr>
      <vt:lpstr>'New Hampshire_Eduedo'!Área_de_impresión</vt:lpstr>
      <vt:lpstr>'New Hampshire_edadgen'!Títulos_a_imprimir</vt:lpstr>
      <vt:lpstr>'New Hampshire_EDOMEX'!Títulos_a_imprimir</vt:lpstr>
      <vt:lpstr>'New Hampshire_edomexgen'!Títulos_a_imprimir</vt:lpstr>
      <vt:lpstr>'New Hampshire_Edomexgral'!Títulos_a_imprimir</vt:lpstr>
      <vt:lpstr>'New Hampshire_Educagral'!Títulos_a_imprimir</vt:lpstr>
      <vt:lpstr>'New Hampshire_Eduedo'!Títulos_a_imprimir</vt:lpstr>
      <vt:lpstr>'New Hampshire_gengral18'!Títulos_a_imprimir</vt:lpstr>
      <vt:lpstr>'New Hampshire_ocupgral18'!Títulos_a_imprimir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05</cp:lastModifiedBy>
  <dcterms:created xsi:type="dcterms:W3CDTF">2019-12-17T21:51:29Z</dcterms:created>
  <dcterms:modified xsi:type="dcterms:W3CDTF">2019-12-20T19:50:05Z</dcterms:modified>
</cp:coreProperties>
</file>