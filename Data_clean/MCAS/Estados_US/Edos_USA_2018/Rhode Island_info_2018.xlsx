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oto\AnálisisInfo2.7\Matrículas\Anual\Matriculas2018\Tablas_estadísticas 2018\USA\Finales\"/>
    </mc:Choice>
  </mc:AlternateContent>
  <bookViews>
    <workbookView xWindow="0" yWindow="0" windowWidth="24000" windowHeight="9345" tabRatio="942"/>
  </bookViews>
  <sheets>
    <sheet name="Índice" sheetId="1" r:id="rId1"/>
    <sheet name="Rhode Island_Edomexgral" sheetId="7" r:id="rId2"/>
    <sheet name="Rhode Island_EDOMEX" sheetId="9" r:id="rId3"/>
    <sheet name="Rhode Island_Educagral" sheetId="4" r:id="rId4"/>
    <sheet name="Rhode Island_Eduedo" sheetId="3" r:id="rId5"/>
    <sheet name="Rhode Island_gengral18" sheetId="6" r:id="rId6"/>
    <sheet name="Rhode Island_edomexgen" sheetId="2" r:id="rId7"/>
    <sheet name="Rhode Island_edadgen" sheetId="5" r:id="rId8"/>
    <sheet name="Rhode Island_ocupgral18" sheetId="8" r:id="rId9"/>
  </sheets>
  <definedNames>
    <definedName name="_xlnm._FilterDatabase" localSheetId="7" hidden="1">'Rhode Island_edadgen'!$B$9:$E$13</definedName>
    <definedName name="_xlnm._FilterDatabase" localSheetId="2" hidden="1">'Rhode Island_EDOMEX'!$B$9:$E$13</definedName>
    <definedName name="_xlnm._FilterDatabase" localSheetId="6" hidden="1">'Rhode Island_edomexgen'!$B$9:$E$13</definedName>
    <definedName name="_xlnm._FilterDatabase" localSheetId="1" hidden="1">'Rhode Island_Edomexgral'!$B$11:$D$12</definedName>
    <definedName name="_xlnm._FilterDatabase" localSheetId="3" hidden="1">'Rhode Island_Educagral'!$B$11:$D$12</definedName>
    <definedName name="_xlnm._FilterDatabase" localSheetId="4" hidden="1">'Rhode Island_Eduedo'!$B$9:$E$13</definedName>
    <definedName name="_xlnm._FilterDatabase" localSheetId="5" hidden="1">'Rhode Island_gengral18'!$B$11:$D$12</definedName>
    <definedName name="_xlnm._FilterDatabase" localSheetId="8" hidden="1">'Rhode Island_ocupgral18'!$B$11:$D$12</definedName>
    <definedName name="_xlnm.Print_Area" localSheetId="7">'Rhode Island_edadgen'!$A$1:$E$26</definedName>
    <definedName name="_xlnm.Print_Area" localSheetId="2">'Rhode Island_EDOMEX'!$A$1:$E$145</definedName>
    <definedName name="_xlnm.Print_Area" localSheetId="6">'Rhode Island_edomexgen'!$A$1:$E$72</definedName>
    <definedName name="_xlnm.Print_Area" localSheetId="4">'Rhode Island_Eduedo'!$A$1:$E$129</definedName>
    <definedName name="_xlnm.Print_Titles" localSheetId="7">'Rhode Island_edadgen'!$1:$9</definedName>
    <definedName name="_xlnm.Print_Titles" localSheetId="2">'Rhode Island_EDOMEX'!$1:$9</definedName>
    <definedName name="_xlnm.Print_Titles" localSheetId="6">'Rhode Island_edomexgen'!$1:$9</definedName>
    <definedName name="_xlnm.Print_Titles" localSheetId="1">'Rhode Island_Edomexgral'!$1:$11</definedName>
    <definedName name="_xlnm.Print_Titles" localSheetId="3">'Rhode Island_Educagral'!$1:$11</definedName>
    <definedName name="_xlnm.Print_Titles" localSheetId="4">'Rhode Island_Eduedo'!$1:$9</definedName>
    <definedName name="_xlnm.Print_Titles" localSheetId="5">'Rhode Island_gengral18'!$1:$11</definedName>
    <definedName name="_xlnm.Print_Titles" localSheetId="8">'Rhode Island_ocupgral18'!$1:$11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9" i="9" l="1"/>
  <c r="D66" i="2"/>
</calcChain>
</file>

<file path=xl/sharedStrings.xml><?xml version="1.0" encoding="utf-8"?>
<sst xmlns="http://schemas.openxmlformats.org/spreadsheetml/2006/main" count="525" uniqueCount="207">
  <si>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</si>
  <si>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</si>
  <si>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</si>
  <si>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</si>
  <si>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</si>
  <si>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</si>
  <si>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</si>
  <si>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</si>
  <si>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</si>
  <si>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</si>
  <si>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</si>
  <si>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</si>
  <si>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Rhode Island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</si>
  <si>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</si>
  <si>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</si>
  <si>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</si>
  <si>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</si>
  <si>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</si>
  <si>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</si>
  <si>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</si>
  <si>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</si>
  <si>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Veracruz</t>
  </si>
  <si>
    <t>Tlaxcala</t>
  </si>
  <si>
    <t>Tamaulipas</t>
  </si>
  <si>
    <t>Sinaloa</t>
  </si>
  <si>
    <t>San Luis Potosí</t>
  </si>
  <si>
    <t>Querétaro</t>
  </si>
  <si>
    <t>Puebla</t>
  </si>
  <si>
    <t>Oaxaca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</si>
  <si>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</si>
  <si>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</si>
  <si>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</si>
  <si>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</si>
  <si>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</si>
  <si>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</si>
  <si>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</si>
  <si>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</si>
  <si>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</si>
  <si>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</si>
  <si>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Chihuahua</t>
  </si>
  <si>
    <t>Chiapas</t>
  </si>
  <si>
    <t>Baja California</t>
  </si>
  <si>
    <t>Porcentaje de Matrículas</t>
  </si>
  <si>
    <t>Número de Matrículas</t>
  </si>
  <si>
    <t>Género</t>
  </si>
  <si>
    <t>Estado de Origen</t>
  </si>
  <si>
    <t>Posgrado [Maestría]</t>
  </si>
  <si>
    <t>Profesional titulado</t>
  </si>
  <si>
    <t>Profesional pasante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</si>
  <si>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</si>
  <si>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</si>
  <si>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</si>
  <si>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</si>
  <si>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</si>
  <si>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</si>
  <si>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</si>
  <si>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</si>
  <si>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</si>
  <si>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</si>
  <si>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</si>
  <si>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</si>
  <si>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</si>
  <si>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</si>
  <si>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</si>
  <si>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Sin Estudios</t>
  </si>
  <si>
    <t>Nivel de Estudios</t>
  </si>
  <si>
    <t>Posgrado [Doctorado]</t>
  </si>
  <si>
    <t>Profesional Titulado</t>
  </si>
  <si>
    <t>4° Año de profesional</t>
  </si>
  <si>
    <t>3° Año de profesional</t>
  </si>
  <si>
    <t>Capacitación Técnica</t>
  </si>
  <si>
    <t>1° Primaria</t>
  </si>
  <si>
    <t>Menores de edad</t>
  </si>
  <si>
    <t>MATRÍCULAS CONSULARES EXPEDIDAS EN EL ESTADO DE RHODE ISLAND EN EE.UU. POR NIVEL DE EDUCACIÓN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</si>
  <si>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</si>
  <si>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</si>
  <si>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</si>
  <si>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</si>
  <si>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</si>
  <si>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</si>
  <si>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</si>
  <si>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TOTAL</t>
  </si>
  <si>
    <t>MUJER</t>
  </si>
  <si>
    <t>HOMBRE</t>
  </si>
  <si>
    <t>MATRÍCULAS CONSULARES DE ALTA SEGURIDAD EXPEDIDAS EN EE.UU A MEXICANOS EN EL ESTADO DE RHODE ISLAND, POR GÉNERO 2018</t>
  </si>
  <si>
    <t>MATRÍCULAS CONSULARES DE ALTA SEGURIDAD EXPEDIDAS EN EL ESTADO DE RHODE ISLAND EN EE.UU. POR ESTADO DE LA REPÚBLICA MEXICANA DURANTE EL 2018</t>
  </si>
  <si>
    <t>Profesionista</t>
  </si>
  <si>
    <t>Mesero(a)</t>
  </si>
  <si>
    <t>Jardinero(a)</t>
  </si>
  <si>
    <t>Comerciante</t>
  </si>
  <si>
    <t>Carnicero</t>
  </si>
  <si>
    <t>Albañil</t>
  </si>
  <si>
    <t>Pintor(a)</t>
  </si>
  <si>
    <t>Operario(a)</t>
  </si>
  <si>
    <t>Campesino(a)</t>
  </si>
  <si>
    <t>Cocinero(a)</t>
  </si>
  <si>
    <t>Otro</t>
  </si>
  <si>
    <t>Estudiante</t>
  </si>
  <si>
    <t>Obrero(a)</t>
  </si>
  <si>
    <t>Hogar</t>
  </si>
  <si>
    <t>Empleado(a)</t>
  </si>
  <si>
    <t>Ocupación</t>
  </si>
  <si>
    <t>MATRÍCULAS CONSULARES DE ALTA SEGURIDAD EXPEDIDAS EN EE.UU A MEXICANOS EN EL ESTADO DE  RHODE ISLAND, POR PERFIL OCUPACIONAL 2018</t>
  </si>
  <si>
    <t>Zentla</t>
  </si>
  <si>
    <t>Ursulo Galván</t>
  </si>
  <si>
    <t>Tlaltetela</t>
  </si>
  <si>
    <t>Tierra Blanca</t>
  </si>
  <si>
    <t>Minatitlán</t>
  </si>
  <si>
    <t>Huayacocotla</t>
  </si>
  <si>
    <t>Huatusco</t>
  </si>
  <si>
    <t>Coscomatepec</t>
  </si>
  <si>
    <t>Tenancingo</t>
  </si>
  <si>
    <t>Tampico</t>
  </si>
  <si>
    <t>Nuevo Laredo</t>
  </si>
  <si>
    <t>Guasave</t>
  </si>
  <si>
    <t>Culiacán</t>
  </si>
  <si>
    <t>Xilitla</t>
  </si>
  <si>
    <t>Guadalcázar</t>
  </si>
  <si>
    <t>Landa de Matamoros</t>
  </si>
  <si>
    <t>Jalpan de Serra</t>
  </si>
  <si>
    <t>Tlahuapan</t>
  </si>
  <si>
    <t>Tlacuilotepec</t>
  </si>
  <si>
    <t>Tepexco</t>
  </si>
  <si>
    <t>Tepeaca</t>
  </si>
  <si>
    <t>Piaxtla</t>
  </si>
  <si>
    <t>Huehuetla</t>
  </si>
  <si>
    <t>Guadalupe Victoria</t>
  </si>
  <si>
    <t>Cuayuca de Andrade</t>
  </si>
  <si>
    <t>Chietla</t>
  </si>
  <si>
    <t>Chalchicomula de Sesma</t>
  </si>
  <si>
    <t>Atlixco</t>
  </si>
  <si>
    <t>Santos Reyes Nopala</t>
  </si>
  <si>
    <t>Santo Domingo Tepuxtepec</t>
  </si>
  <si>
    <t>Santiago Jamiltepec</t>
  </si>
  <si>
    <t>San Pedro Mixtepec - Distr. 22 -</t>
  </si>
  <si>
    <t>Salina Cruz</t>
  </si>
  <si>
    <t>Cosolapa</t>
  </si>
  <si>
    <t>Ruíz</t>
  </si>
  <si>
    <t>La Yesca</t>
  </si>
  <si>
    <t>Yecapixtla</t>
  </si>
  <si>
    <t>Temixco</t>
  </si>
  <si>
    <t>Cuernavaca</t>
  </si>
  <si>
    <t>Cuautla</t>
  </si>
  <si>
    <t>Zitácuaro</t>
  </si>
  <si>
    <t>Zacapu</t>
  </si>
  <si>
    <t>Tuzantla</t>
  </si>
  <si>
    <t>Tepalcatepec</t>
  </si>
  <si>
    <t>Morelia</t>
  </si>
  <si>
    <t>Lázaro Cárdenas</t>
  </si>
  <si>
    <t>Villa Purificación</t>
  </si>
  <si>
    <t>Teocuitatlán de Corona</t>
  </si>
  <si>
    <t>Tamazula de Gordiano</t>
  </si>
  <si>
    <t>Lagos de Moreno</t>
  </si>
  <si>
    <t>Cuautitlán de García Barragán</t>
  </si>
  <si>
    <t>Zimapán</t>
  </si>
  <si>
    <t>Tepeapulco</t>
  </si>
  <si>
    <t>Tecozautla</t>
  </si>
  <si>
    <t>Ixmiquilpan</t>
  </si>
  <si>
    <t>Chilcuautla</t>
  </si>
  <si>
    <t>Chapantongo</t>
  </si>
  <si>
    <t>Atotonilco de Tula</t>
  </si>
  <si>
    <t>Alfajayucan</t>
  </si>
  <si>
    <t>Xochistlahuaca</t>
  </si>
  <si>
    <t>Tlacoapa</t>
  </si>
  <si>
    <t>Tepecoacuilco de Trujano</t>
  </si>
  <si>
    <t>Tecoanapa</t>
  </si>
  <si>
    <t>San Miguel Totolapan</t>
  </si>
  <si>
    <t>San Luis Acatlán</t>
  </si>
  <si>
    <t>Quechultenango</t>
  </si>
  <si>
    <t>Zihuatanejo de Azueta</t>
  </si>
  <si>
    <t>Florencio Villarreal</t>
  </si>
  <si>
    <t>Cutzamala de Pinzón</t>
  </si>
  <si>
    <t>Coyuca de Catalán</t>
  </si>
  <si>
    <t>Azoyú</t>
  </si>
  <si>
    <t>Ayutla de los Libres</t>
  </si>
  <si>
    <t>Atoyac de Álvarez</t>
  </si>
  <si>
    <t>Arcelia</t>
  </si>
  <si>
    <t>Ahuacuotzingo</t>
  </si>
  <si>
    <t>Acapulco de Juárez</t>
  </si>
  <si>
    <t>Silao de la Victoria</t>
  </si>
  <si>
    <t>Dolores Hidalgo Cuna de la Independencia Nacional</t>
  </si>
  <si>
    <t>Celaya</t>
  </si>
  <si>
    <t>Apaseo el Alto</t>
  </si>
  <si>
    <t>Temascaltepec</t>
  </si>
  <si>
    <t>Tecámac</t>
  </si>
  <si>
    <t>Nezahualcóyotl</t>
  </si>
  <si>
    <t>La Paz</t>
  </si>
  <si>
    <t>Ecatepec de Morelos</t>
  </si>
  <si>
    <t>Venustiano Carranza</t>
  </si>
  <si>
    <t>Miguel Hidalgo</t>
  </si>
  <si>
    <t>La Magdalena Contreras</t>
  </si>
  <si>
    <t>Iztapalapa</t>
  </si>
  <si>
    <t>Gustavo A. Madero</t>
  </si>
  <si>
    <t>Cuauhtémoc</t>
  </si>
  <si>
    <t>Coyoacán</t>
  </si>
  <si>
    <t>Benito Juárez</t>
  </si>
  <si>
    <t>Álvaro Obregón</t>
  </si>
  <si>
    <t>Tuzantán</t>
  </si>
  <si>
    <t>Tuxtla Gutiérrez</t>
  </si>
  <si>
    <t>Tapachula</t>
  </si>
  <si>
    <t>Mazatán</t>
  </si>
  <si>
    <t>Mapastepec</t>
  </si>
  <si>
    <t>La Trinitaria</t>
  </si>
  <si>
    <t>Huehuetán</t>
  </si>
  <si>
    <t>Comitán de Domínguez</t>
  </si>
  <si>
    <t>Cacahoatán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</si>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</sst>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  <font>
      <u/>
      <sz val="11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4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6" fillId="3" borderId="0" xfId="0" applyFont="1" applyFill="1"/>
    <xf numFmtId="0" fontId="7" fillId="3" borderId="0" xfId="0" applyFont="1" applyFill="1"/>
    <xf numFmtId="0" fontId="8" fillId="0" borderId="0" xfId="0" applyFont="1" applyBorder="1"/>
    <xf numFmtId="0" fontId="8" fillId="0" borderId="0" xfId="0" applyFont="1" applyBorder="1" applyAlignment="1">
      <alignment vertical="top"/>
    </xf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center" wrapText="1"/>
    </xf>
    <xf numFmtId="3" fontId="10" fillId="4" borderId="9" xfId="0" applyNumberFormat="1" applyFont="1" applyFill="1" applyBorder="1" applyAlignment="1">
      <alignment horizontal="right" vertical="center" wrapText="1"/>
    </xf>
    <xf numFmtId="165" fontId="10" fillId="5" borderId="9" xfId="3" applyNumberFormat="1" applyFont="1" applyFill="1" applyBorder="1" applyAlignment="1">
      <alignment vertical="center" wrapText="1"/>
    </xf>
    <xf numFmtId="3" fontId="10" fillId="5" borderId="9" xfId="1" applyNumberFormat="1" applyFont="1" applyFill="1" applyBorder="1" applyAlignment="1">
      <alignment horizontal="right" vertical="center" wrapText="1"/>
    </xf>
    <xf numFmtId="49" fontId="10" fillId="5" borderId="9" xfId="1" applyNumberFormat="1" applyFont="1" applyFill="1" applyBorder="1" applyAlignment="1">
      <alignment vertical="center" wrapText="1"/>
    </xf>
    <xf numFmtId="164" fontId="11" fillId="3" borderId="9" xfId="1" applyNumberFormat="1" applyFont="1" applyFill="1" applyBorder="1" applyAlignment="1">
      <alignment horizontal="right" vertical="center" wrapText="1"/>
    </xf>
    <xf numFmtId="166" fontId="11" fillId="3" borderId="9" xfId="1" applyNumberFormat="1" applyFont="1" applyFill="1" applyBorder="1" applyAlignment="1">
      <alignment horizontal="right" vertical="center" wrapText="1"/>
    </xf>
    <xf numFmtId="49" fontId="11" fillId="3" borderId="9" xfId="1" applyNumberFormat="1" applyFont="1" applyFill="1" applyBorder="1" applyAlignment="1">
      <alignment vertical="center" wrapText="1"/>
    </xf>
    <xf numFmtId="0" fontId="12" fillId="3" borderId="0" xfId="0" applyFont="1" applyFill="1"/>
    <xf numFmtId="0" fontId="13" fillId="0" borderId="0" xfId="0" applyFont="1"/>
    <xf numFmtId="0" fontId="15" fillId="2" borderId="14" xfId="4" applyFont="1" applyFill="1" applyBorder="1" applyAlignment="1">
      <alignment horizontal="center" vertical="center" wrapText="1"/>
    </xf>
    <xf numFmtId="1" fontId="15" fillId="2" borderId="14" xfId="4" applyNumberFormat="1" applyFont="1" applyFill="1" applyBorder="1" applyAlignment="1">
      <alignment horizontal="center" vertical="center" wrapText="1"/>
    </xf>
    <xf numFmtId="0" fontId="10" fillId="2" borderId="14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17" fillId="3" borderId="0" xfId="0" applyFont="1" applyFill="1" applyAlignment="1"/>
    <xf numFmtId="0" fontId="12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2" fillId="3" borderId="0" xfId="0" applyFont="1" applyFill="1" applyBorder="1"/>
    <xf numFmtId="0" fontId="12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0" fillId="6" borderId="9" xfId="0" applyNumberFormat="1" applyFont="1" applyFill="1" applyBorder="1" applyAlignment="1">
      <alignment horizontal="right" vertical="top" wrapText="1"/>
    </xf>
    <xf numFmtId="3" fontId="10" fillId="6" borderId="9" xfId="0" applyNumberFormat="1" applyFont="1" applyFill="1" applyBorder="1" applyAlignment="1">
      <alignment horizontal="right" vertical="top" wrapText="1"/>
    </xf>
    <xf numFmtId="49" fontId="10" fillId="6" borderId="9" xfId="0" applyNumberFormat="1" applyFont="1" applyFill="1" applyBorder="1" applyAlignment="1">
      <alignment vertical="top" wrapText="1"/>
    </xf>
    <xf numFmtId="164" fontId="18" fillId="3" borderId="9" xfId="0" applyNumberFormat="1" applyFont="1" applyFill="1" applyBorder="1" applyAlignment="1">
      <alignment horizontal="right" vertical="top" wrapText="1"/>
    </xf>
    <xf numFmtId="3" fontId="18" fillId="3" borderId="9" xfId="0" applyNumberFormat="1" applyFont="1" applyFill="1" applyBorder="1" applyAlignment="1">
      <alignment horizontal="right" vertical="top" wrapText="1"/>
    </xf>
    <xf numFmtId="49" fontId="19" fillId="3" borderId="9" xfId="0" applyNumberFormat="1" applyFont="1" applyFill="1" applyBorder="1" applyAlignment="1">
      <alignment vertical="top" wrapText="1"/>
    </xf>
    <xf numFmtId="0" fontId="16" fillId="3" borderId="0" xfId="0" applyFont="1" applyFill="1"/>
    <xf numFmtId="0" fontId="10" fillId="2" borderId="14" xfId="0" applyFont="1" applyFill="1" applyBorder="1" applyAlignment="1">
      <alignment horizontal="center" vertical="center" wrapText="1"/>
    </xf>
    <xf numFmtId="1" fontId="10" fillId="2" borderId="14" xfId="0" applyNumberFormat="1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8" fillId="0" borderId="0" xfId="0" applyFont="1" applyAlignment="1">
      <alignment vertical="top"/>
    </xf>
    <xf numFmtId="0" fontId="8" fillId="0" borderId="0" xfId="0" applyFont="1" applyAlignment="1">
      <alignment horizontal="justify" vertical="center"/>
    </xf>
    <xf numFmtId="3" fontId="16" fillId="3" borderId="0" xfId="0" applyNumberFormat="1" applyFont="1" applyFill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1" fillId="0" borderId="0" xfId="0" applyFont="1" applyBorder="1" applyAlignment="1">
      <alignment horizontal="center" vertical="center" wrapText="1"/>
    </xf>
    <xf numFmtId="49" fontId="10" fillId="4" borderId="11" xfId="0" applyNumberFormat="1" applyFont="1" applyFill="1" applyBorder="1" applyAlignment="1">
      <alignment horizontal="center" vertical="center" wrapText="1"/>
    </xf>
    <xf numFmtId="49" fontId="10" fillId="4" borderId="10" xfId="0" applyNumberFormat="1" applyFont="1" applyFill="1" applyBorder="1" applyAlignment="1">
      <alignment horizontal="center" vertical="center" wrapText="1"/>
    </xf>
    <xf numFmtId="49" fontId="11" fillId="3" borderId="14" xfId="1" applyNumberFormat="1" applyFont="1" applyFill="1" applyBorder="1" applyAlignment="1">
      <alignment horizontal="center" vertical="center" wrapText="1"/>
    </xf>
    <xf numFmtId="49" fontId="11" fillId="3" borderId="13" xfId="1" applyNumberFormat="1" applyFont="1" applyFill="1" applyBorder="1" applyAlignment="1">
      <alignment horizontal="center" vertical="center" wrapText="1"/>
    </xf>
    <xf numFmtId="49" fontId="11" fillId="3" borderId="12" xfId="1" applyNumberFormat="1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wrapText="1"/>
    </xf>
    <xf numFmtId="0" fontId="22" fillId="0" borderId="1" xfId="2" applyFont="1" applyBorder="1" applyAlignment="1">
      <alignment horizontal="left"/>
    </xf>
    <xf numFmtId="0" fontId="22" fillId="0" borderId="0" xfId="2" applyFont="1" applyBorder="1" applyAlignment="1">
      <alignment horizontal="left"/>
    </xf>
    <xf numFmtId="0" fontId="22" fillId="0" borderId="2" xfId="2" applyFont="1" applyBorder="1" applyAlignment="1">
      <alignment horizontal="left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371475</xdr:colOff>
      <xdr:row>5</xdr:row>
      <xdr:rowOff>180975</xdr:rowOff>
    </xdr:from>
    <xdr:to>
      <xdr:col>5</xdr:col>
      <xdr:colOff>331122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00600" y="132397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RHODE ISLAND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538654</xdr:colOff>
      <xdr:row>5</xdr:row>
      <xdr:rowOff>59121</xdr:rowOff>
    </xdr:from>
    <xdr:to>
      <xdr:col>4</xdr:col>
      <xdr:colOff>1076369</xdr:colOff>
      <xdr:row>5</xdr:row>
      <xdr:rowOff>243052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76344" y="1162707"/>
          <a:ext cx="537715" cy="18393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400050</xdr:colOff>
      <xdr:row>6</xdr:row>
      <xdr:rowOff>0</xdr:rowOff>
    </xdr:from>
    <xdr:to>
      <xdr:col>5</xdr:col>
      <xdr:colOff>359697</xdr:colOff>
      <xdr:row>7</xdr:row>
      <xdr:rowOff>66675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29250" y="133350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RHODE ISLAND,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558361</xdr:colOff>
      <xdr:row>5</xdr:row>
      <xdr:rowOff>52553</xdr:rowOff>
    </xdr:from>
    <xdr:to>
      <xdr:col>4</xdr:col>
      <xdr:colOff>1089508</xdr:colOff>
      <xdr:row>5</xdr:row>
      <xdr:rowOff>256191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96051" y="1156139"/>
          <a:ext cx="531147" cy="20363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390525</xdr:colOff>
      <xdr:row>5</xdr:row>
      <xdr:rowOff>171450</xdr:rowOff>
    </xdr:from>
    <xdr:to>
      <xdr:col>5</xdr:col>
      <xdr:colOff>350172</xdr:colOff>
      <xdr:row>7</xdr:row>
      <xdr:rowOff>47625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9650" y="131445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RHODE ISLAND,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564930</xdr:colOff>
      <xdr:row>5</xdr:row>
      <xdr:rowOff>59122</xdr:rowOff>
    </xdr:from>
    <xdr:to>
      <xdr:col>4</xdr:col>
      <xdr:colOff>1089507</xdr:colOff>
      <xdr:row>5</xdr:row>
      <xdr:rowOff>249622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2620" y="1162708"/>
          <a:ext cx="52457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RHODE ISLAND,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564931</xdr:colOff>
      <xdr:row>5</xdr:row>
      <xdr:rowOff>78828</xdr:rowOff>
    </xdr:from>
    <xdr:to>
      <xdr:col>4</xdr:col>
      <xdr:colOff>1069801</xdr:colOff>
      <xdr:row>5</xdr:row>
      <xdr:rowOff>249621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2621" y="1182414"/>
          <a:ext cx="504870" cy="17079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390525</xdr:colOff>
      <xdr:row>6</xdr:row>
      <xdr:rowOff>9525</xdr:rowOff>
    </xdr:from>
    <xdr:to>
      <xdr:col>5</xdr:col>
      <xdr:colOff>350172</xdr:colOff>
      <xdr:row>7</xdr:row>
      <xdr:rowOff>76200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9650" y="134302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sqref="A1:D1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3" t="s">
        <v>12</v>
      </c>
      <c r="B1" s="64"/>
      <c r="C1" s="64"/>
      <c r="D1" s="65"/>
    </row>
    <row r="2" spans="1:4" x14ac:dyDescent="0.35">
      <c r="A2" s="2"/>
      <c r="B2" s="3"/>
      <c r="C2" s="3"/>
      <c r="D2" s="4"/>
    </row>
    <row r="3" spans="1:4" x14ac:dyDescent="0.35">
      <c r="A3" s="66" t="s">
        <v>0</v>
      </c>
      <c r="B3" s="67"/>
      <c r="C3" s="67"/>
      <c r="D3" s="68"/>
    </row>
    <row r="4" spans="1:4" x14ac:dyDescent="0.35">
      <c r="A4" s="66"/>
      <c r="B4" s="67"/>
      <c r="C4" s="67"/>
      <c r="D4" s="68"/>
    </row>
    <row r="5" spans="1:4" x14ac:dyDescent="0.35">
      <c r="A5" s="60"/>
      <c r="B5" s="61"/>
      <c r="C5" s="61"/>
      <c r="D5" s="62"/>
    </row>
    <row r="6" spans="1:4" x14ac:dyDescent="0.35">
      <c r="A6" s="76" t="s">
        <v>1</v>
      </c>
      <c r="B6" s="77"/>
      <c r="C6" s="77"/>
      <c r="D6" s="78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77" t="s">
        <v>7</v>
      </c>
      <c r="C9" s="77"/>
      <c r="D9" s="78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77" t="s">
        <v>8</v>
      </c>
      <c r="C11" s="77"/>
      <c r="D11" s="78"/>
    </row>
    <row r="12" spans="1:4" x14ac:dyDescent="0.35">
      <c r="A12" s="8"/>
      <c r="B12" s="77" t="s">
        <v>9</v>
      </c>
      <c r="C12" s="77"/>
      <c r="D12" s="78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77" t="s">
        <v>10</v>
      </c>
      <c r="C15" s="77"/>
      <c r="D15" s="78"/>
    </row>
    <row r="16" spans="1:4" x14ac:dyDescent="0.35">
      <c r="A16" s="8"/>
      <c r="B16" s="77" t="s">
        <v>11</v>
      </c>
      <c r="C16" s="77"/>
      <c r="D16" s="78"/>
    </row>
    <row r="17" spans="1:4" x14ac:dyDescent="0.35">
      <c r="A17" s="8"/>
      <c r="B17" s="9"/>
      <c r="C17" s="9"/>
      <c r="D17" s="10"/>
    </row>
    <row r="18" spans="1:4" x14ac:dyDescent="0.35">
      <c r="A18" s="76" t="s">
        <v>5</v>
      </c>
      <c r="B18" s="77"/>
      <c r="C18" s="77"/>
      <c r="D18" s="78"/>
    </row>
    <row r="19" spans="1:4" x14ac:dyDescent="0.35">
      <c r="A19" s="8"/>
      <c r="B19" s="9"/>
      <c r="C19" s="9"/>
      <c r="D19" s="10"/>
    </row>
    <row r="20" spans="1:4" x14ac:dyDescent="0.35">
      <c r="A20" s="76" t="s">
        <v>6</v>
      </c>
      <c r="B20" s="77"/>
      <c r="C20" s="77"/>
      <c r="D20" s="78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Rhode Island_Edomexgral'!A1" display="1. Por Estados de la República Mexicana"/>
    <hyperlink ref="B9" location="'Rhode Island_EDOMEX'!A1" display="2.1 Por estado de la República Mexicana y municipio de origen"/>
    <hyperlink ref="B11:D11" location="'Rhode Island_Educagral'!A1" display="3.1 Educación general"/>
    <hyperlink ref="B12:D12" location="'Rhode Island_Eduedo'!A1" display="3.2 Por Estado de la República Mexicana"/>
    <hyperlink ref="B15:D15" location="'Rhode Island_gengral18'!A1" display="4.1 Género General"/>
    <hyperlink ref="B16:D16" location="'Rhode Island_edomexgen'!A1" display="4.2 Por Estados de la República Mexicana"/>
    <hyperlink ref="A18:D18" location="'Rhode Island_edadgen'!A1" display="5. Por estructura de Edad"/>
    <hyperlink ref="A20:D20" location="'Rhode Island_ocupgral18'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39"/>
  <sheetViews>
    <sheetView showGridLines="0" zoomScaleNormal="100" zoomScaleSheetLayoutView="115" workbookViewId="0">
      <selection activeCell="J8" sqref="J8"/>
    </sheetView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69" t="s">
        <v>85</v>
      </c>
      <c r="C7" s="69"/>
      <c r="D7" s="69"/>
    </row>
    <row r="8" spans="2:4" s="30" customFormat="1" ht="15" customHeight="1" x14ac:dyDescent="0.2">
      <c r="B8" s="69"/>
      <c r="C8" s="69"/>
      <c r="D8" s="69"/>
    </row>
    <row r="9" spans="2:4" s="30" customFormat="1" ht="33" customHeight="1" x14ac:dyDescent="0.2">
      <c r="B9" s="69"/>
      <c r="C9" s="69"/>
      <c r="D9" s="69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45</v>
      </c>
      <c r="C11" s="52" t="s">
        <v>43</v>
      </c>
      <c r="D11" s="51" t="s">
        <v>42</v>
      </c>
    </row>
    <row r="12" spans="2:4" ht="15" customHeight="1" x14ac:dyDescent="0.25">
      <c r="B12" s="49" t="s">
        <v>33</v>
      </c>
      <c r="C12" s="48">
        <v>48</v>
      </c>
      <c r="D12" s="47">
        <v>0.23645320197044334</v>
      </c>
    </row>
    <row r="13" spans="2:4" x14ac:dyDescent="0.25">
      <c r="B13" s="49" t="s">
        <v>34</v>
      </c>
      <c r="C13" s="48">
        <v>37</v>
      </c>
      <c r="D13" s="47">
        <v>0.18226600985221675</v>
      </c>
    </row>
    <row r="14" spans="2:4" s="50" customFormat="1" ht="15.75" x14ac:dyDescent="0.25">
      <c r="B14" s="49" t="s">
        <v>27</v>
      </c>
      <c r="C14" s="48">
        <v>20</v>
      </c>
      <c r="D14" s="47">
        <v>9.8522167487684734E-2</v>
      </c>
    </row>
    <row r="15" spans="2:4" s="50" customFormat="1" ht="15.75" x14ac:dyDescent="0.25">
      <c r="B15" s="49" t="s">
        <v>38</v>
      </c>
      <c r="C15" s="48">
        <v>15</v>
      </c>
      <c r="D15" s="47">
        <v>7.3891625615763554E-2</v>
      </c>
    </row>
    <row r="16" spans="2:4" x14ac:dyDescent="0.25">
      <c r="B16" s="49" t="s">
        <v>31</v>
      </c>
      <c r="C16" s="48">
        <v>12</v>
      </c>
      <c r="D16" s="47">
        <v>5.9113300492610835E-2</v>
      </c>
    </row>
    <row r="17" spans="2:4" x14ac:dyDescent="0.25">
      <c r="B17" s="49" t="s">
        <v>28</v>
      </c>
      <c r="C17" s="48">
        <v>11</v>
      </c>
      <c r="D17" s="47">
        <v>5.4187192118226604E-2</v>
      </c>
    </row>
    <row r="18" spans="2:4" x14ac:dyDescent="0.25">
      <c r="B18" s="49" t="s">
        <v>21</v>
      </c>
      <c r="C18" s="48">
        <v>11</v>
      </c>
      <c r="D18" s="47">
        <v>5.4187192118226604E-2</v>
      </c>
    </row>
    <row r="19" spans="2:4" x14ac:dyDescent="0.25">
      <c r="B19" s="49" t="s">
        <v>40</v>
      </c>
      <c r="C19" s="48">
        <v>9</v>
      </c>
      <c r="D19" s="47">
        <v>4.4334975369458129E-2</v>
      </c>
    </row>
    <row r="20" spans="2:4" x14ac:dyDescent="0.25">
      <c r="B20" s="49" t="s">
        <v>36</v>
      </c>
      <c r="C20" s="48">
        <v>6</v>
      </c>
      <c r="D20" s="47">
        <v>2.9556650246305417E-2</v>
      </c>
    </row>
    <row r="21" spans="2:4" x14ac:dyDescent="0.25">
      <c r="B21" s="49" t="s">
        <v>35</v>
      </c>
      <c r="C21" s="48">
        <v>6</v>
      </c>
      <c r="D21" s="47">
        <v>2.9556650246305417E-2</v>
      </c>
    </row>
    <row r="22" spans="2:4" x14ac:dyDescent="0.25">
      <c r="B22" s="49" t="s">
        <v>32</v>
      </c>
      <c r="C22" s="48">
        <v>5</v>
      </c>
      <c r="D22" s="47">
        <v>2.4630541871921183E-2</v>
      </c>
    </row>
    <row r="23" spans="2:4" x14ac:dyDescent="0.25">
      <c r="B23" s="49" t="s">
        <v>30</v>
      </c>
      <c r="C23" s="48">
        <v>5</v>
      </c>
      <c r="D23" s="47">
        <v>2.4630541871921183E-2</v>
      </c>
    </row>
    <row r="24" spans="2:4" x14ac:dyDescent="0.25">
      <c r="B24" s="49" t="s">
        <v>26</v>
      </c>
      <c r="C24" s="48">
        <v>4</v>
      </c>
      <c r="D24" s="47">
        <v>1.9704433497536946E-2</v>
      </c>
    </row>
    <row r="25" spans="2:4" x14ac:dyDescent="0.25">
      <c r="B25" s="49" t="s">
        <v>25</v>
      </c>
      <c r="C25" s="48">
        <v>4</v>
      </c>
      <c r="D25" s="47">
        <v>1.9704433497536946E-2</v>
      </c>
    </row>
    <row r="26" spans="2:4" x14ac:dyDescent="0.25">
      <c r="B26" s="49" t="s">
        <v>29</v>
      </c>
      <c r="C26" s="48">
        <v>2</v>
      </c>
      <c r="D26" s="47">
        <v>9.852216748768473E-3</v>
      </c>
    </row>
    <row r="27" spans="2:4" x14ac:dyDescent="0.25">
      <c r="B27" s="49" t="s">
        <v>24</v>
      </c>
      <c r="C27" s="48">
        <v>2</v>
      </c>
      <c r="D27" s="47">
        <v>9.852216748768473E-3</v>
      </c>
    </row>
    <row r="28" spans="2:4" x14ac:dyDescent="0.25">
      <c r="B28" s="49" t="s">
        <v>23</v>
      </c>
      <c r="C28" s="48">
        <v>2</v>
      </c>
      <c r="D28" s="47">
        <v>9.852216748768473E-3</v>
      </c>
    </row>
    <row r="29" spans="2:4" x14ac:dyDescent="0.25">
      <c r="B29" s="49" t="s">
        <v>41</v>
      </c>
      <c r="C29" s="48">
        <v>1</v>
      </c>
      <c r="D29" s="47">
        <v>4.9261083743842365E-3</v>
      </c>
    </row>
    <row r="30" spans="2:4" x14ac:dyDescent="0.25">
      <c r="B30" s="49" t="s">
        <v>39</v>
      </c>
      <c r="C30" s="48">
        <v>1</v>
      </c>
      <c r="D30" s="47">
        <v>4.9261083743842365E-3</v>
      </c>
    </row>
    <row r="31" spans="2:4" x14ac:dyDescent="0.25">
      <c r="B31" s="49" t="s">
        <v>37</v>
      </c>
      <c r="C31" s="48">
        <v>1</v>
      </c>
      <c r="D31" s="47">
        <v>4.9261083743842365E-3</v>
      </c>
    </row>
    <row r="32" spans="2:4" x14ac:dyDescent="0.25">
      <c r="B32" s="49" t="s">
        <v>22</v>
      </c>
      <c r="C32" s="48">
        <v>1</v>
      </c>
      <c r="D32" s="47">
        <v>4.9261083743842365E-3</v>
      </c>
    </row>
    <row r="33" spans="2:4" x14ac:dyDescent="0.25">
      <c r="B33" s="46" t="s">
        <v>18</v>
      </c>
      <c r="C33" s="45">
        <v>203</v>
      </c>
      <c r="D33" s="44">
        <v>1</v>
      </c>
    </row>
    <row r="35" spans="2:4" x14ac:dyDescent="0.25">
      <c r="B35" s="18" t="s">
        <v>17</v>
      </c>
    </row>
    <row r="36" spans="2:4" x14ac:dyDescent="0.25">
      <c r="B36" s="20" t="s">
        <v>16</v>
      </c>
    </row>
    <row r="37" spans="2:4" x14ac:dyDescent="0.25">
      <c r="B37" s="19" t="s">
        <v>15</v>
      </c>
    </row>
    <row r="38" spans="2:4" x14ac:dyDescent="0.25">
      <c r="B38" s="18" t="s">
        <v>14</v>
      </c>
    </row>
    <row r="39" spans="2:4" x14ac:dyDescent="0.25">
      <c r="B39" s="18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488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5"/>
      <c r="C7" s="75"/>
      <c r="D7" s="75"/>
      <c r="E7" s="75"/>
    </row>
    <row r="8" spans="1:5" s="34" customFormat="1" ht="33" customHeight="1" x14ac:dyDescent="0.3">
      <c r="A8" s="35"/>
      <c r="B8" s="75"/>
      <c r="C8" s="75"/>
      <c r="D8" s="75"/>
      <c r="E8" s="75"/>
    </row>
    <row r="9" spans="1:5" s="30" customFormat="1" ht="40.5" customHeight="1" x14ac:dyDescent="0.2">
      <c r="B9" s="31" t="s">
        <v>45</v>
      </c>
      <c r="C9" s="33" t="s">
        <v>206</v>
      </c>
      <c r="D9" s="32" t="s">
        <v>43</v>
      </c>
      <c r="E9" s="31" t="s">
        <v>42</v>
      </c>
    </row>
    <row r="10" spans="1:5" ht="15" customHeight="1" x14ac:dyDescent="0.25">
      <c r="B10" s="72" t="s">
        <v>40</v>
      </c>
      <c r="C10" s="28" t="s">
        <v>205</v>
      </c>
      <c r="D10" s="27">
        <v>1</v>
      </c>
      <c r="E10" s="26">
        <v>4.8780487804878049E-3</v>
      </c>
    </row>
    <row r="11" spans="1:5" ht="15" customHeight="1" x14ac:dyDescent="0.25">
      <c r="B11" s="73"/>
      <c r="C11" s="28" t="s">
        <v>204</v>
      </c>
      <c r="D11" s="27">
        <v>1</v>
      </c>
      <c r="E11" s="26">
        <v>4.8780487804878049E-3</v>
      </c>
    </row>
    <row r="12" spans="1:5" ht="15" customHeight="1" x14ac:dyDescent="0.25">
      <c r="B12" s="73"/>
      <c r="C12" s="28" t="s">
        <v>203</v>
      </c>
      <c r="D12" s="27">
        <v>1</v>
      </c>
      <c r="E12" s="26">
        <v>4.8780487804878049E-3</v>
      </c>
    </row>
    <row r="13" spans="1:5" ht="15" customHeight="1" x14ac:dyDescent="0.25">
      <c r="B13" s="73"/>
      <c r="C13" s="28" t="s">
        <v>202</v>
      </c>
      <c r="D13" s="27">
        <v>1</v>
      </c>
      <c r="E13" s="26">
        <v>4.8780487804878049E-3</v>
      </c>
    </row>
    <row r="14" spans="1:5" ht="15" customHeight="1" x14ac:dyDescent="0.25">
      <c r="B14" s="73"/>
      <c r="C14" s="28" t="s">
        <v>201</v>
      </c>
      <c r="D14" s="27">
        <v>2</v>
      </c>
      <c r="E14" s="26">
        <v>9.7560975609756097E-3</v>
      </c>
    </row>
    <row r="15" spans="1:5" s="29" customFormat="1" ht="15" customHeight="1" x14ac:dyDescent="0.2">
      <c r="B15" s="73"/>
      <c r="C15" s="28" t="s">
        <v>200</v>
      </c>
      <c r="D15" s="27">
        <v>1</v>
      </c>
      <c r="E15" s="26">
        <v>4.8780487804878049E-3</v>
      </c>
    </row>
    <row r="16" spans="1:5" s="29" customFormat="1" ht="15" customHeight="1" x14ac:dyDescent="0.2">
      <c r="B16" s="73"/>
      <c r="C16" s="28" t="s">
        <v>199</v>
      </c>
      <c r="D16" s="27">
        <v>3</v>
      </c>
      <c r="E16" s="26">
        <v>1.4634146341463415E-2</v>
      </c>
    </row>
    <row r="17" spans="2:5" s="29" customFormat="1" ht="15" customHeight="1" x14ac:dyDescent="0.2">
      <c r="B17" s="73"/>
      <c r="C17" s="28" t="s">
        <v>198</v>
      </c>
      <c r="D17" s="27">
        <v>1</v>
      </c>
      <c r="E17" s="26">
        <v>4.8780487804878049E-3</v>
      </c>
    </row>
    <row r="18" spans="2:5" s="29" customFormat="1" ht="15" customHeight="1" x14ac:dyDescent="0.2">
      <c r="B18" s="73"/>
      <c r="C18" s="28" t="s">
        <v>197</v>
      </c>
      <c r="D18" s="27">
        <v>1</v>
      </c>
      <c r="E18" s="26">
        <v>4.8780487804878049E-3</v>
      </c>
    </row>
    <row r="19" spans="2:5" s="29" customFormat="1" ht="15" customHeight="1" x14ac:dyDescent="0.2">
      <c r="B19" s="74"/>
      <c r="C19" s="25" t="s">
        <v>18</v>
      </c>
      <c r="D19" s="24">
        <v>12</v>
      </c>
      <c r="E19" s="23">
        <v>5.8536585365853662E-2</v>
      </c>
    </row>
    <row r="20" spans="2:5" ht="15" customHeight="1" x14ac:dyDescent="0.25">
      <c r="B20" s="72" t="s">
        <v>39</v>
      </c>
      <c r="C20" s="28" t="s">
        <v>39</v>
      </c>
      <c r="D20" s="27">
        <v>1</v>
      </c>
      <c r="E20" s="26">
        <v>4.8780487804878049E-3</v>
      </c>
    </row>
    <row r="21" spans="2:5" ht="15" customHeight="1" x14ac:dyDescent="0.25">
      <c r="B21" s="74"/>
      <c r="C21" s="25" t="s">
        <v>18</v>
      </c>
      <c r="D21" s="24">
        <v>1</v>
      </c>
      <c r="E21" s="23">
        <v>4.8780487804878049E-3</v>
      </c>
    </row>
    <row r="22" spans="2:5" ht="15" customHeight="1" x14ac:dyDescent="0.25">
      <c r="B22" s="72" t="s">
        <v>38</v>
      </c>
      <c r="C22" s="28" t="s">
        <v>196</v>
      </c>
      <c r="D22" s="27">
        <v>1</v>
      </c>
      <c r="E22" s="26">
        <v>4.8780487804878049E-3</v>
      </c>
    </row>
    <row r="23" spans="2:5" ht="15" customHeight="1" x14ac:dyDescent="0.25">
      <c r="B23" s="73"/>
      <c r="C23" s="28" t="s">
        <v>195</v>
      </c>
      <c r="D23" s="27">
        <v>2</v>
      </c>
      <c r="E23" s="26">
        <v>9.7560975609756097E-3</v>
      </c>
    </row>
    <row r="24" spans="2:5" ht="15" customHeight="1" x14ac:dyDescent="0.25">
      <c r="B24" s="73"/>
      <c r="C24" s="28" t="s">
        <v>194</v>
      </c>
      <c r="D24" s="27">
        <v>1</v>
      </c>
      <c r="E24" s="26">
        <v>4.8780487804878049E-3</v>
      </c>
    </row>
    <row r="25" spans="2:5" ht="15" customHeight="1" x14ac:dyDescent="0.25">
      <c r="B25" s="73"/>
      <c r="C25" s="28" t="s">
        <v>193</v>
      </c>
      <c r="D25" s="27">
        <v>3</v>
      </c>
      <c r="E25" s="26">
        <v>1.4634146341463415E-2</v>
      </c>
    </row>
    <row r="26" spans="2:5" ht="15" customHeight="1" x14ac:dyDescent="0.25">
      <c r="B26" s="73"/>
      <c r="C26" s="28" t="s">
        <v>192</v>
      </c>
      <c r="D26" s="27">
        <v>3</v>
      </c>
      <c r="E26" s="26">
        <v>1.4634146341463415E-2</v>
      </c>
    </row>
    <row r="27" spans="2:5" ht="15" customHeight="1" x14ac:dyDescent="0.25">
      <c r="B27" s="73"/>
      <c r="C27" s="28" t="s">
        <v>191</v>
      </c>
      <c r="D27" s="27">
        <v>2</v>
      </c>
      <c r="E27" s="26">
        <v>9.7560975609756097E-3</v>
      </c>
    </row>
    <row r="28" spans="2:5" ht="15" customHeight="1" x14ac:dyDescent="0.25">
      <c r="B28" s="73"/>
      <c r="C28" s="28" t="s">
        <v>190</v>
      </c>
      <c r="D28" s="27">
        <v>1</v>
      </c>
      <c r="E28" s="26">
        <v>4.8780487804878049E-3</v>
      </c>
    </row>
    <row r="29" spans="2:5" ht="15" customHeight="1" x14ac:dyDescent="0.25">
      <c r="B29" s="73"/>
      <c r="C29" s="28" t="s">
        <v>189</v>
      </c>
      <c r="D29" s="27">
        <v>1</v>
      </c>
      <c r="E29" s="26">
        <v>4.8780487804878049E-3</v>
      </c>
    </row>
    <row r="30" spans="2:5" ht="15" customHeight="1" x14ac:dyDescent="0.25">
      <c r="B30" s="73"/>
      <c r="C30" s="28" t="s">
        <v>188</v>
      </c>
      <c r="D30" s="27">
        <v>1</v>
      </c>
      <c r="E30" s="26">
        <v>4.8780487804878049E-3</v>
      </c>
    </row>
    <row r="31" spans="2:5" ht="15" customHeight="1" x14ac:dyDescent="0.25">
      <c r="B31" s="74"/>
      <c r="C31" s="25" t="s">
        <v>18</v>
      </c>
      <c r="D31" s="24">
        <v>15</v>
      </c>
      <c r="E31" s="23">
        <v>7.3170731707317069E-2</v>
      </c>
    </row>
    <row r="32" spans="2:5" ht="15" customHeight="1" x14ac:dyDescent="0.25">
      <c r="B32" s="72" t="s">
        <v>37</v>
      </c>
      <c r="C32" s="28" t="s">
        <v>126</v>
      </c>
      <c r="D32" s="27">
        <v>1</v>
      </c>
      <c r="E32" s="26">
        <v>4.8780487804878049E-3</v>
      </c>
    </row>
    <row r="33" spans="2:5" ht="15" customHeight="1" x14ac:dyDescent="0.25">
      <c r="B33" s="74"/>
      <c r="C33" s="25" t="s">
        <v>18</v>
      </c>
      <c r="D33" s="24">
        <v>1</v>
      </c>
      <c r="E33" s="23">
        <v>4.8780487804878049E-3</v>
      </c>
    </row>
    <row r="34" spans="2:5" ht="15" customHeight="1" x14ac:dyDescent="0.25">
      <c r="B34" s="72" t="s">
        <v>36</v>
      </c>
      <c r="C34" s="28" t="s">
        <v>187</v>
      </c>
      <c r="D34" s="27">
        <v>1</v>
      </c>
      <c r="E34" s="26">
        <v>4.8780487804878049E-3</v>
      </c>
    </row>
    <row r="35" spans="2:5" ht="15" customHeight="1" x14ac:dyDescent="0.25">
      <c r="B35" s="73"/>
      <c r="C35" s="28" t="s">
        <v>186</v>
      </c>
      <c r="D35" s="27">
        <v>1</v>
      </c>
      <c r="E35" s="26">
        <v>4.8780487804878049E-3</v>
      </c>
    </row>
    <row r="36" spans="2:5" ht="15" customHeight="1" x14ac:dyDescent="0.25">
      <c r="B36" s="73"/>
      <c r="C36" s="28" t="s">
        <v>30</v>
      </c>
      <c r="D36" s="27">
        <v>1</v>
      </c>
      <c r="E36" s="26">
        <v>4.8780487804878049E-3</v>
      </c>
    </row>
    <row r="37" spans="2:5" ht="15" customHeight="1" x14ac:dyDescent="0.25">
      <c r="B37" s="73"/>
      <c r="C37" s="28" t="s">
        <v>185</v>
      </c>
      <c r="D37" s="27">
        <v>1</v>
      </c>
      <c r="E37" s="26">
        <v>4.8780487804878049E-3</v>
      </c>
    </row>
    <row r="38" spans="2:5" ht="15" customHeight="1" x14ac:dyDescent="0.25">
      <c r="B38" s="73"/>
      <c r="C38" s="28" t="s">
        <v>184</v>
      </c>
      <c r="D38" s="27">
        <v>1</v>
      </c>
      <c r="E38" s="26">
        <v>4.8780487804878049E-3</v>
      </c>
    </row>
    <row r="39" spans="2:5" ht="15" customHeight="1" x14ac:dyDescent="0.25">
      <c r="B39" s="73"/>
      <c r="C39" s="28" t="s">
        <v>183</v>
      </c>
      <c r="D39" s="27">
        <v>1</v>
      </c>
      <c r="E39" s="26">
        <v>4.8780487804878049E-3</v>
      </c>
    </row>
    <row r="40" spans="2:5" ht="15" customHeight="1" x14ac:dyDescent="0.25">
      <c r="B40" s="74"/>
      <c r="C40" s="25" t="s">
        <v>18</v>
      </c>
      <c r="D40" s="24">
        <v>6</v>
      </c>
      <c r="E40" s="23">
        <v>2.9268292682926831E-2</v>
      </c>
    </row>
    <row r="41" spans="2:5" ht="15" customHeight="1" x14ac:dyDescent="0.25">
      <c r="B41" s="72" t="s">
        <v>35</v>
      </c>
      <c r="C41" s="28" t="s">
        <v>182</v>
      </c>
      <c r="D41" s="27">
        <v>3</v>
      </c>
      <c r="E41" s="26">
        <v>1.4634146341463415E-2</v>
      </c>
    </row>
    <row r="42" spans="2:5" ht="15" customHeight="1" x14ac:dyDescent="0.25">
      <c r="B42" s="73"/>
      <c r="C42" s="28" t="s">
        <v>181</v>
      </c>
      <c r="D42" s="27">
        <v>1</v>
      </c>
      <c r="E42" s="26">
        <v>4.8780487804878049E-3</v>
      </c>
    </row>
    <row r="43" spans="2:5" ht="15" customHeight="1" x14ac:dyDescent="0.25">
      <c r="B43" s="73"/>
      <c r="C43" s="28" t="s">
        <v>180</v>
      </c>
      <c r="D43" s="27">
        <v>1</v>
      </c>
      <c r="E43" s="26">
        <v>4.8780487804878049E-3</v>
      </c>
    </row>
    <row r="44" spans="2:5" ht="15" customHeight="1" x14ac:dyDescent="0.25">
      <c r="B44" s="73"/>
      <c r="C44" s="28" t="s">
        <v>179</v>
      </c>
      <c r="D44" s="27">
        <v>1</v>
      </c>
      <c r="E44" s="26">
        <v>4.8780487804878049E-3</v>
      </c>
    </row>
    <row r="45" spans="2:5" ht="15" customHeight="1" x14ac:dyDescent="0.25">
      <c r="B45" s="74"/>
      <c r="C45" s="25" t="s">
        <v>18</v>
      </c>
      <c r="D45" s="24">
        <v>6</v>
      </c>
      <c r="E45" s="23">
        <v>2.9268292682926831E-2</v>
      </c>
    </row>
    <row r="46" spans="2:5" ht="15" customHeight="1" x14ac:dyDescent="0.25">
      <c r="B46" s="72" t="s">
        <v>34</v>
      </c>
      <c r="C46" s="28" t="s">
        <v>178</v>
      </c>
      <c r="D46" s="27">
        <v>4</v>
      </c>
      <c r="E46" s="26">
        <v>1.9512195121951219E-2</v>
      </c>
    </row>
    <row r="47" spans="2:5" ht="15" customHeight="1" x14ac:dyDescent="0.25">
      <c r="B47" s="73"/>
      <c r="C47" s="28" t="s">
        <v>177</v>
      </c>
      <c r="D47" s="27">
        <v>1</v>
      </c>
      <c r="E47" s="26">
        <v>4.8780487804878049E-3</v>
      </c>
    </row>
    <row r="48" spans="2:5" ht="15" customHeight="1" x14ac:dyDescent="0.25">
      <c r="B48" s="73"/>
      <c r="C48" s="28" t="s">
        <v>176</v>
      </c>
      <c r="D48" s="27">
        <v>1</v>
      </c>
      <c r="E48" s="26">
        <v>4.8780487804878049E-3</v>
      </c>
    </row>
    <row r="49" spans="2:5" ht="15" customHeight="1" x14ac:dyDescent="0.25">
      <c r="B49" s="73"/>
      <c r="C49" s="28" t="s">
        <v>175</v>
      </c>
      <c r="D49" s="27">
        <v>2</v>
      </c>
      <c r="E49" s="26">
        <v>9.7560975609756097E-3</v>
      </c>
    </row>
    <row r="50" spans="2:5" ht="15" customHeight="1" x14ac:dyDescent="0.25">
      <c r="B50" s="73"/>
      <c r="C50" s="28" t="s">
        <v>174</v>
      </c>
      <c r="D50" s="27">
        <v>4</v>
      </c>
      <c r="E50" s="26">
        <v>1.9512195121951219E-2</v>
      </c>
    </row>
    <row r="51" spans="2:5" ht="15" customHeight="1" x14ac:dyDescent="0.25">
      <c r="B51" s="73"/>
      <c r="C51" s="28" t="s">
        <v>173</v>
      </c>
      <c r="D51" s="27">
        <v>1</v>
      </c>
      <c r="E51" s="26">
        <v>4.8780487804878049E-3</v>
      </c>
    </row>
    <row r="52" spans="2:5" ht="15" customHeight="1" x14ac:dyDescent="0.25">
      <c r="B52" s="73"/>
      <c r="C52" s="28" t="s">
        <v>172</v>
      </c>
      <c r="D52" s="27">
        <v>1</v>
      </c>
      <c r="E52" s="26">
        <v>4.8780487804878049E-3</v>
      </c>
    </row>
    <row r="53" spans="2:5" ht="15" customHeight="1" x14ac:dyDescent="0.25">
      <c r="B53" s="73"/>
      <c r="C53" s="28" t="s">
        <v>171</v>
      </c>
      <c r="D53" s="27">
        <v>1</v>
      </c>
      <c r="E53" s="26">
        <v>4.8780487804878049E-3</v>
      </c>
    </row>
    <row r="54" spans="2:5" ht="15" customHeight="1" x14ac:dyDescent="0.25">
      <c r="B54" s="73"/>
      <c r="C54" s="28" t="s">
        <v>170</v>
      </c>
      <c r="D54" s="27">
        <v>1</v>
      </c>
      <c r="E54" s="26">
        <v>4.8780487804878049E-3</v>
      </c>
    </row>
    <row r="55" spans="2:5" ht="15" customHeight="1" x14ac:dyDescent="0.25">
      <c r="B55" s="73"/>
      <c r="C55" s="28" t="s">
        <v>169</v>
      </c>
      <c r="D55" s="27">
        <v>2</v>
      </c>
      <c r="E55" s="26">
        <v>9.7560975609756097E-3</v>
      </c>
    </row>
    <row r="56" spans="2:5" ht="15" customHeight="1" x14ac:dyDescent="0.25">
      <c r="B56" s="73"/>
      <c r="C56" s="28" t="s">
        <v>168</v>
      </c>
      <c r="D56" s="27">
        <v>1</v>
      </c>
      <c r="E56" s="26">
        <v>4.8780487804878049E-3</v>
      </c>
    </row>
    <row r="57" spans="2:5" ht="15" customHeight="1" x14ac:dyDescent="0.25">
      <c r="B57" s="73"/>
      <c r="C57" s="28" t="s">
        <v>167</v>
      </c>
      <c r="D57" s="27">
        <v>2</v>
      </c>
      <c r="E57" s="26">
        <v>9.7560975609756097E-3</v>
      </c>
    </row>
    <row r="58" spans="2:5" ht="15" customHeight="1" x14ac:dyDescent="0.25">
      <c r="B58" s="73"/>
      <c r="C58" s="28" t="s">
        <v>166</v>
      </c>
      <c r="D58" s="27">
        <v>1</v>
      </c>
      <c r="E58" s="26">
        <v>4.8780487804878049E-3</v>
      </c>
    </row>
    <row r="59" spans="2:5" ht="15" customHeight="1" x14ac:dyDescent="0.25">
      <c r="B59" s="73"/>
      <c r="C59" s="28" t="s">
        <v>165</v>
      </c>
      <c r="D59" s="27">
        <v>12</v>
      </c>
      <c r="E59" s="26">
        <v>5.8536585365853662E-2</v>
      </c>
    </row>
    <row r="60" spans="2:5" ht="15" customHeight="1" x14ac:dyDescent="0.25">
      <c r="B60" s="73"/>
      <c r="C60" s="28" t="s">
        <v>164</v>
      </c>
      <c r="D60" s="27">
        <v>1</v>
      </c>
      <c r="E60" s="26">
        <v>4.8780487804878049E-3</v>
      </c>
    </row>
    <row r="61" spans="2:5" ht="15" customHeight="1" x14ac:dyDescent="0.25">
      <c r="B61" s="73"/>
      <c r="C61" s="28" t="s">
        <v>163</v>
      </c>
      <c r="D61" s="27">
        <v>1</v>
      </c>
      <c r="E61" s="26">
        <v>4.8780487804878049E-3</v>
      </c>
    </row>
    <row r="62" spans="2:5" ht="15" customHeight="1" x14ac:dyDescent="0.25">
      <c r="B62" s="73"/>
      <c r="C62" s="28" t="s">
        <v>162</v>
      </c>
      <c r="D62" s="27">
        <v>1</v>
      </c>
      <c r="E62" s="26">
        <v>4.8780487804878049E-3</v>
      </c>
    </row>
    <row r="63" spans="2:5" ht="15" customHeight="1" x14ac:dyDescent="0.25">
      <c r="B63" s="74"/>
      <c r="C63" s="25" t="s">
        <v>18</v>
      </c>
      <c r="D63" s="24">
        <v>37</v>
      </c>
      <c r="E63" s="23">
        <v>0.18048780487804877</v>
      </c>
    </row>
    <row r="64" spans="2:5" ht="15" customHeight="1" x14ac:dyDescent="0.25">
      <c r="B64" s="72" t="s">
        <v>33</v>
      </c>
      <c r="C64" s="28" t="s">
        <v>161</v>
      </c>
      <c r="D64" s="27">
        <v>24</v>
      </c>
      <c r="E64" s="26">
        <v>0.11707317073170732</v>
      </c>
    </row>
    <row r="65" spans="2:5" ht="15" customHeight="1" x14ac:dyDescent="0.25">
      <c r="B65" s="73"/>
      <c r="C65" s="28" t="s">
        <v>160</v>
      </c>
      <c r="D65" s="27">
        <v>1</v>
      </c>
      <c r="E65" s="26">
        <v>4.8780487804878049E-3</v>
      </c>
    </row>
    <row r="66" spans="2:5" ht="15" customHeight="1" x14ac:dyDescent="0.25">
      <c r="B66" s="73"/>
      <c r="C66" s="28" t="s">
        <v>159</v>
      </c>
      <c r="D66" s="27">
        <v>6</v>
      </c>
      <c r="E66" s="26">
        <v>2.9268292682926831E-2</v>
      </c>
    </row>
    <row r="67" spans="2:5" ht="15" customHeight="1" x14ac:dyDescent="0.25">
      <c r="B67" s="73"/>
      <c r="C67" s="28" t="s">
        <v>158</v>
      </c>
      <c r="D67" s="27">
        <v>1</v>
      </c>
      <c r="E67" s="26">
        <v>4.8780487804878049E-3</v>
      </c>
    </row>
    <row r="68" spans="2:5" ht="15" customHeight="1" x14ac:dyDescent="0.25">
      <c r="B68" s="73"/>
      <c r="C68" s="28" t="s">
        <v>157</v>
      </c>
      <c r="D68" s="27">
        <v>11</v>
      </c>
      <c r="E68" s="26">
        <v>5.3658536585365853E-2</v>
      </c>
    </row>
    <row r="69" spans="2:5" ht="15" customHeight="1" x14ac:dyDescent="0.25">
      <c r="B69" s="73"/>
      <c r="C69" s="28" t="s">
        <v>156</v>
      </c>
      <c r="D69" s="27">
        <v>1</v>
      </c>
      <c r="E69" s="26">
        <v>4.8780487804878049E-3</v>
      </c>
    </row>
    <row r="70" spans="2:5" ht="15" customHeight="1" x14ac:dyDescent="0.25">
      <c r="B70" s="73"/>
      <c r="C70" s="28" t="s">
        <v>155</v>
      </c>
      <c r="D70" s="27">
        <v>1</v>
      </c>
      <c r="E70" s="26">
        <v>4.8780487804878049E-3</v>
      </c>
    </row>
    <row r="71" spans="2:5" ht="15" customHeight="1" x14ac:dyDescent="0.25">
      <c r="B71" s="73"/>
      <c r="C71" s="28" t="s">
        <v>154</v>
      </c>
      <c r="D71" s="27">
        <v>3</v>
      </c>
      <c r="E71" s="26">
        <v>1.4634146341463415E-2</v>
      </c>
    </row>
    <row r="72" spans="2:5" ht="15" customHeight="1" x14ac:dyDescent="0.25">
      <c r="B72" s="74"/>
      <c r="C72" s="25" t="s">
        <v>18</v>
      </c>
      <c r="D72" s="24">
        <v>48</v>
      </c>
      <c r="E72" s="23">
        <v>0.23414634146341465</v>
      </c>
    </row>
    <row r="73" spans="2:5" ht="15" customHeight="1" x14ac:dyDescent="0.25">
      <c r="B73" s="72" t="s">
        <v>32</v>
      </c>
      <c r="C73" s="28" t="s">
        <v>153</v>
      </c>
      <c r="D73" s="27">
        <v>1</v>
      </c>
      <c r="E73" s="26">
        <v>4.8780487804878049E-3</v>
      </c>
    </row>
    <row r="74" spans="2:5" ht="15" customHeight="1" x14ac:dyDescent="0.25">
      <c r="B74" s="73"/>
      <c r="C74" s="28" t="s">
        <v>152</v>
      </c>
      <c r="D74" s="27">
        <v>1</v>
      </c>
      <c r="E74" s="26">
        <v>4.8780487804878049E-3</v>
      </c>
    </row>
    <row r="75" spans="2:5" ht="15" customHeight="1" x14ac:dyDescent="0.25">
      <c r="B75" s="73"/>
      <c r="C75" s="28" t="s">
        <v>151</v>
      </c>
      <c r="D75" s="27">
        <v>1</v>
      </c>
      <c r="E75" s="26">
        <v>4.8780487804878049E-3</v>
      </c>
    </row>
    <row r="76" spans="2:5" ht="15" customHeight="1" x14ac:dyDescent="0.25">
      <c r="B76" s="73"/>
      <c r="C76" s="28" t="s">
        <v>150</v>
      </c>
      <c r="D76" s="27">
        <v>1</v>
      </c>
      <c r="E76" s="26">
        <v>4.8780487804878049E-3</v>
      </c>
    </row>
    <row r="77" spans="2:5" ht="15" customHeight="1" x14ac:dyDescent="0.25">
      <c r="B77" s="73"/>
      <c r="C77" s="28" t="s">
        <v>149</v>
      </c>
      <c r="D77" s="27">
        <v>1</v>
      </c>
      <c r="E77" s="26">
        <v>4.8780487804878049E-3</v>
      </c>
    </row>
    <row r="78" spans="2:5" ht="15" customHeight="1" x14ac:dyDescent="0.25">
      <c r="B78" s="74"/>
      <c r="C78" s="25" t="s">
        <v>18</v>
      </c>
      <c r="D78" s="24">
        <v>5</v>
      </c>
      <c r="E78" s="23">
        <v>2.4390243902439025E-2</v>
      </c>
    </row>
    <row r="79" spans="2:5" ht="15" customHeight="1" x14ac:dyDescent="0.25">
      <c r="B79" s="72" t="s">
        <v>31</v>
      </c>
      <c r="C79" s="28" t="s">
        <v>33</v>
      </c>
      <c r="D79" s="27">
        <v>1</v>
      </c>
      <c r="E79" s="26">
        <v>4.8780487804878049E-3</v>
      </c>
    </row>
    <row r="80" spans="2:5" ht="15" customHeight="1" x14ac:dyDescent="0.25">
      <c r="B80" s="73"/>
      <c r="C80" s="28" t="s">
        <v>148</v>
      </c>
      <c r="D80" s="27">
        <v>1</v>
      </c>
      <c r="E80" s="26">
        <v>4.8780487804878049E-3</v>
      </c>
    </row>
    <row r="81" spans="2:5" ht="15" customHeight="1" x14ac:dyDescent="0.25">
      <c r="B81" s="73"/>
      <c r="C81" s="28" t="s">
        <v>147</v>
      </c>
      <c r="D81" s="27">
        <v>6</v>
      </c>
      <c r="E81" s="26">
        <v>2.9268292682926831E-2</v>
      </c>
    </row>
    <row r="82" spans="2:5" ht="15" customHeight="1" x14ac:dyDescent="0.25">
      <c r="B82" s="73"/>
      <c r="C82" s="28" t="s">
        <v>146</v>
      </c>
      <c r="D82" s="27">
        <v>1</v>
      </c>
      <c r="E82" s="26">
        <v>4.8780487804878049E-3</v>
      </c>
    </row>
    <row r="83" spans="2:5" ht="15" customHeight="1" x14ac:dyDescent="0.25">
      <c r="B83" s="73"/>
      <c r="C83" s="28" t="s">
        <v>145</v>
      </c>
      <c r="D83" s="27">
        <v>1</v>
      </c>
      <c r="E83" s="26">
        <v>4.8780487804878049E-3</v>
      </c>
    </row>
    <row r="84" spans="2:5" ht="15" customHeight="1" x14ac:dyDescent="0.25">
      <c r="B84" s="73"/>
      <c r="C84" s="28" t="s">
        <v>144</v>
      </c>
      <c r="D84" s="27">
        <v>1</v>
      </c>
      <c r="E84" s="26">
        <v>4.8780487804878049E-3</v>
      </c>
    </row>
    <row r="85" spans="2:5" ht="15" customHeight="1" x14ac:dyDescent="0.25">
      <c r="B85" s="73"/>
      <c r="C85" s="28" t="s">
        <v>143</v>
      </c>
      <c r="D85" s="27">
        <v>1</v>
      </c>
      <c r="E85" s="26">
        <v>4.8780487804878049E-3</v>
      </c>
    </row>
    <row r="86" spans="2:5" ht="15" customHeight="1" x14ac:dyDescent="0.25">
      <c r="B86" s="74"/>
      <c r="C86" s="25" t="s">
        <v>18</v>
      </c>
      <c r="D86" s="24">
        <v>12</v>
      </c>
      <c r="E86" s="23">
        <v>5.8536585365853662E-2</v>
      </c>
    </row>
    <row r="87" spans="2:5" ht="15" customHeight="1" x14ac:dyDescent="0.25">
      <c r="B87" s="72" t="s">
        <v>30</v>
      </c>
      <c r="C87" s="28" t="s">
        <v>142</v>
      </c>
      <c r="D87" s="27">
        <v>1</v>
      </c>
      <c r="E87" s="26">
        <v>4.8780487804878049E-3</v>
      </c>
    </row>
    <row r="88" spans="2:5" ht="15" customHeight="1" x14ac:dyDescent="0.25">
      <c r="B88" s="73"/>
      <c r="C88" s="28" t="s">
        <v>141</v>
      </c>
      <c r="D88" s="27">
        <v>2</v>
      </c>
      <c r="E88" s="26">
        <v>9.7560975609756097E-3</v>
      </c>
    </row>
    <row r="89" spans="2:5" ht="15" customHeight="1" x14ac:dyDescent="0.25">
      <c r="B89" s="73"/>
      <c r="C89" s="28" t="s">
        <v>140</v>
      </c>
      <c r="D89" s="27">
        <v>1</v>
      </c>
      <c r="E89" s="26">
        <v>4.8780487804878049E-3</v>
      </c>
    </row>
    <row r="90" spans="2:5" ht="15" customHeight="1" x14ac:dyDescent="0.25">
      <c r="B90" s="73"/>
      <c r="C90" s="28" t="s">
        <v>139</v>
      </c>
      <c r="D90" s="27">
        <v>1</v>
      </c>
      <c r="E90" s="26">
        <v>4.8780487804878049E-3</v>
      </c>
    </row>
    <row r="91" spans="2:5" ht="15" customHeight="1" x14ac:dyDescent="0.25">
      <c r="B91" s="74"/>
      <c r="C91" s="25" t="s">
        <v>18</v>
      </c>
      <c r="D91" s="24">
        <v>5</v>
      </c>
      <c r="E91" s="23">
        <v>2.4390243902439025E-2</v>
      </c>
    </row>
    <row r="92" spans="2:5" ht="15" customHeight="1" x14ac:dyDescent="0.25">
      <c r="B92" s="72" t="s">
        <v>29</v>
      </c>
      <c r="C92" s="28" t="s">
        <v>138</v>
      </c>
      <c r="D92" s="27">
        <v>1</v>
      </c>
      <c r="E92" s="26">
        <v>4.8780487804878049E-3</v>
      </c>
    </row>
    <row r="93" spans="2:5" ht="15" customHeight="1" x14ac:dyDescent="0.25">
      <c r="B93" s="73"/>
      <c r="C93" s="28" t="s">
        <v>137</v>
      </c>
      <c r="D93" s="27">
        <v>1</v>
      </c>
      <c r="E93" s="26">
        <v>4.8780487804878049E-3</v>
      </c>
    </row>
    <row r="94" spans="2:5" ht="15" customHeight="1" x14ac:dyDescent="0.25">
      <c r="B94" s="74"/>
      <c r="C94" s="25" t="s">
        <v>18</v>
      </c>
      <c r="D94" s="24">
        <v>2</v>
      </c>
      <c r="E94" s="23">
        <v>9.7560975609756097E-3</v>
      </c>
    </row>
    <row r="95" spans="2:5" ht="15" customHeight="1" x14ac:dyDescent="0.25">
      <c r="B95" s="72" t="s">
        <v>28</v>
      </c>
      <c r="C95" s="28" t="s">
        <v>136</v>
      </c>
      <c r="D95" s="27">
        <v>2</v>
      </c>
      <c r="E95" s="26">
        <v>9.7560975609756097E-3</v>
      </c>
    </row>
    <row r="96" spans="2:5" ht="15" customHeight="1" x14ac:dyDescent="0.25">
      <c r="B96" s="73"/>
      <c r="C96" s="28" t="s">
        <v>135</v>
      </c>
      <c r="D96" s="27">
        <v>1</v>
      </c>
      <c r="E96" s="26">
        <v>4.8780487804878049E-3</v>
      </c>
    </row>
    <row r="97" spans="2:5" ht="15" customHeight="1" x14ac:dyDescent="0.25">
      <c r="B97" s="73"/>
      <c r="C97" s="28" t="s">
        <v>134</v>
      </c>
      <c r="D97" s="27">
        <v>1</v>
      </c>
      <c r="E97" s="26">
        <v>4.8780487804878049E-3</v>
      </c>
    </row>
    <row r="98" spans="2:5" ht="15" customHeight="1" x14ac:dyDescent="0.25">
      <c r="B98" s="73"/>
      <c r="C98" s="28" t="s">
        <v>133</v>
      </c>
      <c r="D98" s="27">
        <v>1</v>
      </c>
      <c r="E98" s="26">
        <v>4.8780487804878049E-3</v>
      </c>
    </row>
    <row r="99" spans="2:5" ht="15" customHeight="1" x14ac:dyDescent="0.25">
      <c r="B99" s="73"/>
      <c r="C99" s="28" t="s">
        <v>132</v>
      </c>
      <c r="D99" s="27">
        <v>1</v>
      </c>
      <c r="E99" s="26">
        <v>4.8780487804878049E-3</v>
      </c>
    </row>
    <row r="100" spans="2:5" ht="15" customHeight="1" x14ac:dyDescent="0.25">
      <c r="B100" s="73"/>
      <c r="C100" s="28" t="s">
        <v>131</v>
      </c>
      <c r="D100" s="27">
        <v>5</v>
      </c>
      <c r="E100" s="26">
        <v>2.4390243902439025E-2</v>
      </c>
    </row>
    <row r="101" spans="2:5" ht="15" customHeight="1" x14ac:dyDescent="0.25">
      <c r="B101" s="74"/>
      <c r="C101" s="25" t="s">
        <v>18</v>
      </c>
      <c r="D101" s="24">
        <v>11</v>
      </c>
      <c r="E101" s="23">
        <v>5.3658536585365853E-2</v>
      </c>
    </row>
    <row r="102" spans="2:5" ht="15" customHeight="1" x14ac:dyDescent="0.25">
      <c r="B102" s="72" t="s">
        <v>27</v>
      </c>
      <c r="C102" s="28" t="s">
        <v>130</v>
      </c>
      <c r="D102" s="27">
        <v>5</v>
      </c>
      <c r="E102" s="26">
        <v>2.4390243902439025E-2</v>
      </c>
    </row>
    <row r="103" spans="2:5" ht="15" customHeight="1" x14ac:dyDescent="0.25">
      <c r="B103" s="73"/>
      <c r="C103" s="28" t="s">
        <v>129</v>
      </c>
      <c r="D103" s="27">
        <v>1</v>
      </c>
      <c r="E103" s="26">
        <v>4.8780487804878049E-3</v>
      </c>
    </row>
    <row r="104" spans="2:5" ht="15" customHeight="1" x14ac:dyDescent="0.25">
      <c r="B104" s="73"/>
      <c r="C104" s="28" t="s">
        <v>128</v>
      </c>
      <c r="D104" s="27">
        <v>1</v>
      </c>
      <c r="E104" s="26">
        <v>4.8780487804878049E-3</v>
      </c>
    </row>
    <row r="105" spans="2:5" ht="15" customHeight="1" x14ac:dyDescent="0.25">
      <c r="B105" s="73"/>
      <c r="C105" s="28" t="s">
        <v>127</v>
      </c>
      <c r="D105" s="27">
        <v>1</v>
      </c>
      <c r="E105" s="26">
        <v>4.8780487804878049E-3</v>
      </c>
    </row>
    <row r="106" spans="2:5" ht="15" customHeight="1" x14ac:dyDescent="0.25">
      <c r="B106" s="73"/>
      <c r="C106" s="28" t="s">
        <v>126</v>
      </c>
      <c r="D106" s="27">
        <v>1</v>
      </c>
      <c r="E106" s="26">
        <v>4.8780487804878049E-3</v>
      </c>
    </row>
    <row r="107" spans="2:5" ht="15" customHeight="1" x14ac:dyDescent="0.25">
      <c r="B107" s="73"/>
      <c r="C107" s="28" t="s">
        <v>125</v>
      </c>
      <c r="D107" s="27">
        <v>1</v>
      </c>
      <c r="E107" s="26">
        <v>4.8780487804878049E-3</v>
      </c>
    </row>
    <row r="108" spans="2:5" ht="15" customHeight="1" x14ac:dyDescent="0.25">
      <c r="B108" s="73"/>
      <c r="C108" s="28" t="s">
        <v>124</v>
      </c>
      <c r="D108" s="27">
        <v>3</v>
      </c>
      <c r="E108" s="26">
        <v>1.4634146341463415E-2</v>
      </c>
    </row>
    <row r="109" spans="2:5" ht="15" customHeight="1" x14ac:dyDescent="0.25">
      <c r="B109" s="73"/>
      <c r="C109" s="28" t="s">
        <v>27</v>
      </c>
      <c r="D109" s="27">
        <v>3</v>
      </c>
      <c r="E109" s="26">
        <v>1.4634146341463415E-2</v>
      </c>
    </row>
    <row r="110" spans="2:5" ht="15" customHeight="1" x14ac:dyDescent="0.25">
      <c r="B110" s="73"/>
      <c r="C110" s="28" t="s">
        <v>123</v>
      </c>
      <c r="D110" s="27">
        <v>1</v>
      </c>
      <c r="E110" s="26">
        <v>4.8780487804878049E-3</v>
      </c>
    </row>
    <row r="111" spans="2:5" ht="15" customHeight="1" x14ac:dyDescent="0.25">
      <c r="B111" s="73"/>
      <c r="C111" s="28" t="s">
        <v>122</v>
      </c>
      <c r="D111" s="27">
        <v>1</v>
      </c>
      <c r="E111" s="26">
        <v>4.8780487804878049E-3</v>
      </c>
    </row>
    <row r="112" spans="2:5" ht="15" customHeight="1" x14ac:dyDescent="0.25">
      <c r="B112" s="73"/>
      <c r="C112" s="28" t="s">
        <v>121</v>
      </c>
      <c r="D112" s="27">
        <v>1</v>
      </c>
      <c r="E112" s="26">
        <v>4.8780487804878049E-3</v>
      </c>
    </row>
    <row r="113" spans="2:5" ht="15" customHeight="1" x14ac:dyDescent="0.25">
      <c r="B113" s="73"/>
      <c r="C113" s="28" t="s">
        <v>120</v>
      </c>
      <c r="D113" s="27">
        <v>1</v>
      </c>
      <c r="E113" s="26">
        <v>4.8780487804878049E-3</v>
      </c>
    </row>
    <row r="114" spans="2:5" ht="15" customHeight="1" x14ac:dyDescent="0.25">
      <c r="B114" s="74"/>
      <c r="C114" s="25" t="s">
        <v>18</v>
      </c>
      <c r="D114" s="24">
        <v>20</v>
      </c>
      <c r="E114" s="23">
        <v>9.7560975609756101E-2</v>
      </c>
    </row>
    <row r="115" spans="2:5" ht="15" customHeight="1" x14ac:dyDescent="0.25">
      <c r="B115" s="72" t="s">
        <v>26</v>
      </c>
      <c r="C115" s="28" t="s">
        <v>119</v>
      </c>
      <c r="D115" s="27">
        <v>2</v>
      </c>
      <c r="E115" s="26">
        <v>9.7560975609756097E-3</v>
      </c>
    </row>
    <row r="116" spans="2:5" ht="15" customHeight="1" x14ac:dyDescent="0.25">
      <c r="B116" s="73"/>
      <c r="C116" s="28" t="s">
        <v>118</v>
      </c>
      <c r="D116" s="27">
        <v>2</v>
      </c>
      <c r="E116" s="26">
        <v>9.7560975609756097E-3</v>
      </c>
    </row>
    <row r="117" spans="2:5" ht="15" customHeight="1" x14ac:dyDescent="0.25">
      <c r="B117" s="74"/>
      <c r="C117" s="25" t="s">
        <v>18</v>
      </c>
      <c r="D117" s="24">
        <v>4</v>
      </c>
      <c r="E117" s="23">
        <v>1.9512195121951219E-2</v>
      </c>
    </row>
    <row r="118" spans="2:5" ht="15" customHeight="1" x14ac:dyDescent="0.25">
      <c r="B118" s="72" t="s">
        <v>25</v>
      </c>
      <c r="C118" s="28" t="s">
        <v>117</v>
      </c>
      <c r="D118" s="27">
        <v>1</v>
      </c>
      <c r="E118" s="26">
        <v>4.8780487804878049E-3</v>
      </c>
    </row>
    <row r="119" spans="2:5" ht="15" customHeight="1" x14ac:dyDescent="0.25">
      <c r="B119" s="73"/>
      <c r="C119" s="28" t="s">
        <v>25</v>
      </c>
      <c r="D119" s="27">
        <v>2</v>
      </c>
      <c r="E119" s="26">
        <v>9.7560975609756097E-3</v>
      </c>
    </row>
    <row r="120" spans="2:5" ht="15" customHeight="1" x14ac:dyDescent="0.25">
      <c r="B120" s="73"/>
      <c r="C120" s="28" t="s">
        <v>116</v>
      </c>
      <c r="D120" s="27">
        <v>1</v>
      </c>
      <c r="E120" s="26">
        <v>4.8780487804878049E-3</v>
      </c>
    </row>
    <row r="121" spans="2:5" ht="15" customHeight="1" x14ac:dyDescent="0.25">
      <c r="B121" s="74"/>
      <c r="C121" s="25" t="s">
        <v>18</v>
      </c>
      <c r="D121" s="24">
        <v>4</v>
      </c>
      <c r="E121" s="23">
        <v>1.9512195121951219E-2</v>
      </c>
    </row>
    <row r="122" spans="2:5" ht="15" customHeight="1" x14ac:dyDescent="0.25">
      <c r="B122" s="72" t="s">
        <v>24</v>
      </c>
      <c r="C122" s="28" t="s">
        <v>115</v>
      </c>
      <c r="D122" s="27">
        <v>1</v>
      </c>
      <c r="E122" s="26">
        <v>4.8780487804878049E-3</v>
      </c>
    </row>
    <row r="123" spans="2:5" ht="15" customHeight="1" x14ac:dyDescent="0.25">
      <c r="B123" s="73"/>
      <c r="C123" s="28" t="s">
        <v>114</v>
      </c>
      <c r="D123" s="27">
        <v>1</v>
      </c>
      <c r="E123" s="26">
        <v>4.8780487804878049E-3</v>
      </c>
    </row>
    <row r="124" spans="2:5" ht="15" customHeight="1" x14ac:dyDescent="0.25">
      <c r="B124" s="74"/>
      <c r="C124" s="25" t="s">
        <v>18</v>
      </c>
      <c r="D124" s="24">
        <v>2</v>
      </c>
      <c r="E124" s="23">
        <v>9.7560975609756097E-3</v>
      </c>
    </row>
    <row r="125" spans="2:5" ht="15" customHeight="1" x14ac:dyDescent="0.25">
      <c r="B125" s="72" t="s">
        <v>23</v>
      </c>
      <c r="C125" s="28" t="s">
        <v>113</v>
      </c>
      <c r="D125" s="27">
        <v>1</v>
      </c>
      <c r="E125" s="26">
        <v>4.8780487804878049E-3</v>
      </c>
    </row>
    <row r="126" spans="2:5" ht="15" customHeight="1" x14ac:dyDescent="0.25">
      <c r="B126" s="73"/>
      <c r="C126" s="28" t="s">
        <v>112</v>
      </c>
      <c r="D126" s="27">
        <v>1</v>
      </c>
      <c r="E126" s="26">
        <v>4.8780487804878049E-3</v>
      </c>
    </row>
    <row r="127" spans="2:5" ht="15" customHeight="1" x14ac:dyDescent="0.25">
      <c r="B127" s="74"/>
      <c r="C127" s="25" t="s">
        <v>18</v>
      </c>
      <c r="D127" s="24">
        <v>2</v>
      </c>
      <c r="E127" s="23">
        <v>9.7560975609756097E-3</v>
      </c>
    </row>
    <row r="128" spans="2:5" ht="15" customHeight="1" x14ac:dyDescent="0.25">
      <c r="B128" s="72" t="s">
        <v>22</v>
      </c>
      <c r="C128" s="28" t="s">
        <v>111</v>
      </c>
      <c r="D128" s="27">
        <v>1</v>
      </c>
      <c r="E128" s="26">
        <v>4.8780487804878049E-3</v>
      </c>
    </row>
    <row r="129" spans="2:5" ht="15" customHeight="1" x14ac:dyDescent="0.25">
      <c r="B129" s="74"/>
      <c r="C129" s="25" t="s">
        <v>18</v>
      </c>
      <c r="D129" s="24">
        <v>1</v>
      </c>
      <c r="E129" s="23">
        <v>4.8780487804878049E-3</v>
      </c>
    </row>
    <row r="130" spans="2:5" ht="15" customHeight="1" x14ac:dyDescent="0.25">
      <c r="B130" s="72" t="s">
        <v>21</v>
      </c>
      <c r="C130" s="28" t="s">
        <v>110</v>
      </c>
      <c r="D130" s="27">
        <v>1</v>
      </c>
      <c r="E130" s="26">
        <v>4.8780487804878049E-3</v>
      </c>
    </row>
    <row r="131" spans="2:5" ht="15" customHeight="1" x14ac:dyDescent="0.25">
      <c r="B131" s="73"/>
      <c r="C131" s="28" t="s">
        <v>109</v>
      </c>
      <c r="D131" s="27">
        <v>1</v>
      </c>
      <c r="E131" s="26">
        <v>4.8780487804878049E-3</v>
      </c>
    </row>
    <row r="132" spans="2:5" ht="15" customHeight="1" x14ac:dyDescent="0.25">
      <c r="B132" s="73"/>
      <c r="C132" s="28" t="s">
        <v>108</v>
      </c>
      <c r="D132" s="27">
        <v>1</v>
      </c>
      <c r="E132" s="26">
        <v>4.8780487804878049E-3</v>
      </c>
    </row>
    <row r="133" spans="2:5" ht="15" customHeight="1" x14ac:dyDescent="0.25">
      <c r="B133" s="73"/>
      <c r="C133" s="28" t="s">
        <v>107</v>
      </c>
      <c r="D133" s="27">
        <v>3</v>
      </c>
      <c r="E133" s="26">
        <v>1.4634146341463415E-2</v>
      </c>
    </row>
    <row r="134" spans="2:5" ht="15" customHeight="1" x14ac:dyDescent="0.25">
      <c r="B134" s="73"/>
      <c r="C134" s="28" t="s">
        <v>106</v>
      </c>
      <c r="D134" s="27">
        <v>1</v>
      </c>
      <c r="E134" s="26">
        <v>4.8780487804878049E-3</v>
      </c>
    </row>
    <row r="135" spans="2:5" ht="15" customHeight="1" x14ac:dyDescent="0.25">
      <c r="B135" s="73"/>
      <c r="C135" s="28" t="s">
        <v>105</v>
      </c>
      <c r="D135" s="27">
        <v>1</v>
      </c>
      <c r="E135" s="26">
        <v>4.8780487804878049E-3</v>
      </c>
    </row>
    <row r="136" spans="2:5" ht="15" customHeight="1" x14ac:dyDescent="0.25">
      <c r="B136" s="73"/>
      <c r="C136" s="28" t="s">
        <v>104</v>
      </c>
      <c r="D136" s="27">
        <v>1</v>
      </c>
      <c r="E136" s="26">
        <v>4.8780487804878049E-3</v>
      </c>
    </row>
    <row r="137" spans="2:5" ht="15" customHeight="1" x14ac:dyDescent="0.25">
      <c r="B137" s="73"/>
      <c r="C137" s="28" t="s">
        <v>103</v>
      </c>
      <c r="D137" s="27">
        <v>2</v>
      </c>
      <c r="E137" s="26">
        <v>9.7560975609756097E-3</v>
      </c>
    </row>
    <row r="138" spans="2:5" ht="15" customHeight="1" x14ac:dyDescent="0.25">
      <c r="B138" s="74"/>
      <c r="C138" s="25" t="s">
        <v>18</v>
      </c>
      <c r="D138" s="24">
        <v>11</v>
      </c>
      <c r="E138" s="23">
        <v>5.3658536585365853E-2</v>
      </c>
    </row>
    <row r="139" spans="2:5" ht="15" customHeight="1" x14ac:dyDescent="0.25">
      <c r="B139" s="70" t="s">
        <v>18</v>
      </c>
      <c r="C139" s="71"/>
      <c r="D139" s="22">
        <f>SUMIF(C$10:C138,"Total",D$10:D138)</f>
        <v>205</v>
      </c>
      <c r="E139" s="21">
        <v>1</v>
      </c>
    </row>
    <row r="141" spans="2:5" ht="15" customHeight="1" x14ac:dyDescent="0.25">
      <c r="B141" s="18" t="s">
        <v>17</v>
      </c>
    </row>
    <row r="142" spans="2:5" ht="15" customHeight="1" x14ac:dyDescent="0.25">
      <c r="B142" s="20" t="s">
        <v>16</v>
      </c>
    </row>
    <row r="143" spans="2:5" ht="15" customHeight="1" x14ac:dyDescent="0.25">
      <c r="B143" s="19" t="s">
        <v>15</v>
      </c>
    </row>
    <row r="144" spans="2:5" ht="15" customHeight="1" x14ac:dyDescent="0.25">
      <c r="B144" s="18" t="s">
        <v>14</v>
      </c>
    </row>
    <row r="145" spans="2:2" ht="15" customHeight="1" x14ac:dyDescent="0.25">
      <c r="B145" s="18" t="s">
        <v>13</v>
      </c>
    </row>
    <row r="484" spans="1:2" s="15" customFormat="1" ht="15" customHeight="1" x14ac:dyDescent="0.25">
      <c r="A484" s="14"/>
      <c r="B484" s="16"/>
    </row>
    <row r="485" spans="1:2" s="15" customFormat="1" ht="15" customHeight="1" x14ac:dyDescent="0.25">
      <c r="A485" s="14"/>
      <c r="B485" s="17"/>
    </row>
    <row r="486" spans="1:2" s="15" customFormat="1" ht="15" customHeight="1" x14ac:dyDescent="0.25">
      <c r="A486" s="14"/>
      <c r="B486" s="17"/>
    </row>
    <row r="487" spans="1:2" s="15" customFormat="1" ht="15" customHeight="1" x14ac:dyDescent="0.25">
      <c r="A487" s="14"/>
      <c r="B487" s="16"/>
    </row>
    <row r="488" spans="1:2" s="15" customFormat="1" ht="15" customHeight="1" x14ac:dyDescent="0.25">
      <c r="A488" s="14"/>
      <c r="B488" s="16"/>
    </row>
  </sheetData>
  <mergeCells count="22">
    <mergeCell ref="B7:E8"/>
    <mergeCell ref="B10:B19"/>
    <mergeCell ref="B20:B21"/>
    <mergeCell ref="B22:B31"/>
    <mergeCell ref="B32:B33"/>
    <mergeCell ref="B79:B86"/>
    <mergeCell ref="B87:B91"/>
    <mergeCell ref="B125:B127"/>
    <mergeCell ref="B128:B129"/>
    <mergeCell ref="B130:B138"/>
    <mergeCell ref="B34:B40"/>
    <mergeCell ref="B41:B45"/>
    <mergeCell ref="B46:B63"/>
    <mergeCell ref="B64:B72"/>
    <mergeCell ref="B73:B78"/>
    <mergeCell ref="B139:C139"/>
    <mergeCell ref="B92:B94"/>
    <mergeCell ref="B95:B101"/>
    <mergeCell ref="B102:B114"/>
    <mergeCell ref="B115:B117"/>
    <mergeCell ref="B118:B121"/>
    <mergeCell ref="B122:B1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3" manualBreakCount="3">
    <brk id="45" max="4" man="1"/>
    <brk id="86" max="4" man="1"/>
    <brk id="129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30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69" t="s">
        <v>73</v>
      </c>
      <c r="C7" s="69"/>
      <c r="D7" s="69"/>
    </row>
    <row r="8" spans="2:4" s="30" customFormat="1" ht="15" customHeight="1" x14ac:dyDescent="0.2">
      <c r="B8" s="69"/>
      <c r="C8" s="69"/>
      <c r="D8" s="69"/>
    </row>
    <row r="9" spans="2:4" s="30" customFormat="1" ht="33" customHeight="1" x14ac:dyDescent="0.2">
      <c r="B9" s="69"/>
      <c r="C9" s="69"/>
      <c r="D9" s="69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65</v>
      </c>
      <c r="C11" s="52" t="s">
        <v>43</v>
      </c>
      <c r="D11" s="51" t="s">
        <v>42</v>
      </c>
    </row>
    <row r="12" spans="2:4" ht="15" customHeight="1" x14ac:dyDescent="0.25">
      <c r="B12" s="49" t="s">
        <v>72</v>
      </c>
      <c r="C12" s="48">
        <v>0</v>
      </c>
      <c r="D12" s="47">
        <v>0</v>
      </c>
    </row>
    <row r="13" spans="2:4" x14ac:dyDescent="0.25">
      <c r="B13" s="49" t="s">
        <v>64</v>
      </c>
      <c r="C13" s="48">
        <v>4</v>
      </c>
      <c r="D13" s="47">
        <v>1.9704433497536946E-2</v>
      </c>
    </row>
    <row r="14" spans="2:4" s="50" customFormat="1" ht="15.75" x14ac:dyDescent="0.25">
      <c r="B14" s="49" t="s">
        <v>71</v>
      </c>
      <c r="C14" s="48">
        <v>0</v>
      </c>
      <c r="D14" s="47">
        <v>0</v>
      </c>
    </row>
    <row r="15" spans="2:4" s="50" customFormat="1" ht="15.75" x14ac:dyDescent="0.25">
      <c r="B15" s="49" t="s">
        <v>63</v>
      </c>
      <c r="C15" s="48">
        <v>1</v>
      </c>
      <c r="D15" s="47">
        <v>4.9261083743842365E-3</v>
      </c>
    </row>
    <row r="16" spans="2:4" x14ac:dyDescent="0.25">
      <c r="B16" s="49" t="s">
        <v>62</v>
      </c>
      <c r="C16" s="48">
        <v>3</v>
      </c>
      <c r="D16" s="47">
        <v>1.4778325123152709E-2</v>
      </c>
    </row>
    <row r="17" spans="2:4" x14ac:dyDescent="0.25">
      <c r="B17" s="49" t="s">
        <v>61</v>
      </c>
      <c r="C17" s="48">
        <v>2</v>
      </c>
      <c r="D17" s="47">
        <v>9.852216748768473E-3</v>
      </c>
    </row>
    <row r="18" spans="2:4" x14ac:dyDescent="0.25">
      <c r="B18" s="49" t="s">
        <v>60</v>
      </c>
      <c r="C18" s="48">
        <v>5</v>
      </c>
      <c r="D18" s="47">
        <v>2.4630541871921183E-2</v>
      </c>
    </row>
    <row r="19" spans="2:4" x14ac:dyDescent="0.25">
      <c r="B19" s="49" t="s">
        <v>59</v>
      </c>
      <c r="C19" s="48">
        <v>8</v>
      </c>
      <c r="D19" s="47">
        <v>3.9408866995073892E-2</v>
      </c>
    </row>
    <row r="20" spans="2:4" x14ac:dyDescent="0.25">
      <c r="B20" s="49" t="s">
        <v>58</v>
      </c>
      <c r="C20" s="48">
        <v>29</v>
      </c>
      <c r="D20" s="47">
        <v>0.14285714285714285</v>
      </c>
    </row>
    <row r="21" spans="2:4" x14ac:dyDescent="0.25">
      <c r="B21" s="49" t="s">
        <v>57</v>
      </c>
      <c r="C21" s="48">
        <v>5</v>
      </c>
      <c r="D21" s="47">
        <v>2.4630541871921183E-2</v>
      </c>
    </row>
    <row r="22" spans="2:4" x14ac:dyDescent="0.25">
      <c r="B22" s="49" t="s">
        <v>56</v>
      </c>
      <c r="C22" s="48">
        <v>7</v>
      </c>
      <c r="D22" s="47">
        <v>3.4482758620689655E-2</v>
      </c>
    </row>
    <row r="23" spans="2:4" x14ac:dyDescent="0.25">
      <c r="B23" s="49" t="s">
        <v>55</v>
      </c>
      <c r="C23" s="48">
        <v>7</v>
      </c>
      <c r="D23" s="47">
        <v>3.4482758620689655E-2</v>
      </c>
    </row>
    <row r="24" spans="2:4" x14ac:dyDescent="0.25">
      <c r="B24" s="49" t="s">
        <v>54</v>
      </c>
      <c r="C24" s="48">
        <v>71</v>
      </c>
      <c r="D24" s="47">
        <v>0.34975369458128081</v>
      </c>
    </row>
    <row r="25" spans="2:4" x14ac:dyDescent="0.25">
      <c r="B25" s="49" t="s">
        <v>70</v>
      </c>
      <c r="C25" s="48">
        <v>2</v>
      </c>
      <c r="D25" s="47">
        <v>9.852216748768473E-3</v>
      </c>
    </row>
    <row r="26" spans="2:4" x14ac:dyDescent="0.25">
      <c r="B26" s="49" t="s">
        <v>52</v>
      </c>
      <c r="C26" s="48">
        <v>11</v>
      </c>
      <c r="D26" s="47">
        <v>5.4187192118226604E-2</v>
      </c>
    </row>
    <row r="27" spans="2:4" x14ac:dyDescent="0.25">
      <c r="B27" s="49" t="s">
        <v>51</v>
      </c>
      <c r="C27" s="48">
        <v>32</v>
      </c>
      <c r="D27" s="47">
        <v>0.15763546798029557</v>
      </c>
    </row>
    <row r="28" spans="2:4" x14ac:dyDescent="0.25">
      <c r="B28" s="49" t="s">
        <v>50</v>
      </c>
      <c r="C28" s="48">
        <v>2</v>
      </c>
      <c r="D28" s="47">
        <v>9.852216748768473E-3</v>
      </c>
    </row>
    <row r="29" spans="2:4" x14ac:dyDescent="0.25">
      <c r="B29" s="49" t="s">
        <v>49</v>
      </c>
      <c r="C29" s="48">
        <v>1</v>
      </c>
      <c r="D29" s="47">
        <v>4.9261083743842365E-3</v>
      </c>
    </row>
    <row r="30" spans="2:4" x14ac:dyDescent="0.25">
      <c r="B30" s="49" t="s">
        <v>69</v>
      </c>
      <c r="C30" s="48">
        <v>0</v>
      </c>
      <c r="D30" s="47">
        <v>0</v>
      </c>
    </row>
    <row r="31" spans="2:4" x14ac:dyDescent="0.25">
      <c r="B31" s="49" t="s">
        <v>68</v>
      </c>
      <c r="C31" s="48">
        <v>0</v>
      </c>
      <c r="D31" s="47">
        <v>0</v>
      </c>
    </row>
    <row r="32" spans="2:4" x14ac:dyDescent="0.25">
      <c r="B32" s="49" t="s">
        <v>48</v>
      </c>
      <c r="C32" s="48">
        <v>4</v>
      </c>
      <c r="D32" s="47">
        <v>1.9704433497536946E-2</v>
      </c>
    </row>
    <row r="33" spans="2:4" x14ac:dyDescent="0.25">
      <c r="B33" s="49" t="s">
        <v>67</v>
      </c>
      <c r="C33" s="48">
        <v>8</v>
      </c>
      <c r="D33" s="47">
        <v>3.9408866995073892E-2</v>
      </c>
    </row>
    <row r="34" spans="2:4" x14ac:dyDescent="0.25">
      <c r="B34" s="49" t="s">
        <v>46</v>
      </c>
      <c r="C34" s="48">
        <v>1</v>
      </c>
      <c r="D34" s="47">
        <v>4.9261083743842365E-3</v>
      </c>
    </row>
    <row r="35" spans="2:4" x14ac:dyDescent="0.25">
      <c r="B35" s="49" t="s">
        <v>66</v>
      </c>
      <c r="C35" s="48">
        <v>0</v>
      </c>
      <c r="D35" s="47">
        <v>0</v>
      </c>
    </row>
    <row r="36" spans="2:4" x14ac:dyDescent="0.25">
      <c r="B36" s="46" t="s">
        <v>18</v>
      </c>
      <c r="C36" s="45">
        <v>203</v>
      </c>
      <c r="D36" s="44">
        <v>1</v>
      </c>
    </row>
    <row r="38" spans="2:4" x14ac:dyDescent="0.25">
      <c r="B38" s="18" t="s">
        <v>17</v>
      </c>
    </row>
    <row r="39" spans="2:4" x14ac:dyDescent="0.25">
      <c r="B39" s="20" t="s">
        <v>16</v>
      </c>
    </row>
    <row r="40" spans="2:4" x14ac:dyDescent="0.25">
      <c r="B40" s="19" t="s">
        <v>15</v>
      </c>
    </row>
    <row r="41" spans="2:4" x14ac:dyDescent="0.25">
      <c r="B41" s="18" t="s">
        <v>14</v>
      </c>
    </row>
    <row r="42" spans="2:4" x14ac:dyDescent="0.25">
      <c r="B42" s="18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29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5"/>
      <c r="C7" s="75"/>
      <c r="D7" s="75"/>
      <c r="E7" s="75"/>
    </row>
    <row r="8" spans="1:5" s="34" customFormat="1" ht="33" customHeight="1" x14ac:dyDescent="0.3">
      <c r="A8" s="35"/>
      <c r="B8" s="75"/>
      <c r="C8" s="75"/>
      <c r="D8" s="75"/>
      <c r="E8" s="75"/>
    </row>
    <row r="9" spans="1:5" s="30" customFormat="1" ht="40.5" customHeight="1" x14ac:dyDescent="0.2">
      <c r="B9" s="31" t="s">
        <v>65</v>
      </c>
      <c r="C9" s="33" t="s">
        <v>45</v>
      </c>
      <c r="D9" s="32" t="s">
        <v>43</v>
      </c>
      <c r="E9" s="31" t="s">
        <v>42</v>
      </c>
    </row>
    <row r="10" spans="1:5" ht="15" customHeight="1" x14ac:dyDescent="0.25">
      <c r="B10" s="72" t="s">
        <v>64</v>
      </c>
      <c r="C10" s="28" t="s">
        <v>34</v>
      </c>
      <c r="D10" s="27">
        <v>1</v>
      </c>
      <c r="E10" s="26">
        <v>4.9504950495049506E-3</v>
      </c>
    </row>
    <row r="11" spans="1:5" ht="15" customHeight="1" x14ac:dyDescent="0.25">
      <c r="B11" s="73"/>
      <c r="C11" s="28" t="s">
        <v>28</v>
      </c>
      <c r="D11" s="27">
        <v>1</v>
      </c>
      <c r="E11" s="26">
        <v>4.9504950495049506E-3</v>
      </c>
    </row>
    <row r="12" spans="1:5" ht="15" customHeight="1" x14ac:dyDescent="0.25">
      <c r="B12" s="73"/>
      <c r="C12" s="28" t="s">
        <v>27</v>
      </c>
      <c r="D12" s="27">
        <v>2</v>
      </c>
      <c r="E12" s="26">
        <v>9.9009900990099011E-3</v>
      </c>
    </row>
    <row r="13" spans="1:5" ht="15" customHeight="1" x14ac:dyDescent="0.25">
      <c r="B13" s="74"/>
      <c r="C13" s="25" t="s">
        <v>18</v>
      </c>
      <c r="D13" s="24">
        <v>4</v>
      </c>
      <c r="E13" s="23">
        <v>1.9801980198019802E-2</v>
      </c>
    </row>
    <row r="14" spans="1:5" ht="15" customHeight="1" x14ac:dyDescent="0.25">
      <c r="B14" s="72" t="s">
        <v>63</v>
      </c>
      <c r="C14" s="28" t="s">
        <v>28</v>
      </c>
      <c r="D14" s="27">
        <v>1</v>
      </c>
      <c r="E14" s="26">
        <v>4.9504950495049506E-3</v>
      </c>
    </row>
    <row r="15" spans="1:5" s="29" customFormat="1" ht="15" customHeight="1" x14ac:dyDescent="0.25">
      <c r="A15" s="14"/>
      <c r="B15" s="74"/>
      <c r="C15" s="25" t="s">
        <v>18</v>
      </c>
      <c r="D15" s="24">
        <v>1</v>
      </c>
      <c r="E15" s="23">
        <v>4.9504950495049506E-3</v>
      </c>
    </row>
    <row r="16" spans="1:5" s="29" customFormat="1" ht="15" customHeight="1" x14ac:dyDescent="0.25">
      <c r="A16" s="14"/>
      <c r="B16" s="72" t="s">
        <v>62</v>
      </c>
      <c r="C16" s="28" t="s">
        <v>35</v>
      </c>
      <c r="D16" s="27">
        <v>1</v>
      </c>
      <c r="E16" s="26">
        <v>4.9504950495049506E-3</v>
      </c>
    </row>
    <row r="17" spans="1:5" s="29" customFormat="1" ht="15" customHeight="1" x14ac:dyDescent="0.25">
      <c r="A17" s="14"/>
      <c r="B17" s="73"/>
      <c r="C17" s="28" t="s">
        <v>34</v>
      </c>
      <c r="D17" s="27">
        <v>1</v>
      </c>
      <c r="E17" s="26">
        <v>4.9504950495049506E-3</v>
      </c>
    </row>
    <row r="18" spans="1:5" s="29" customFormat="1" ht="15" customHeight="1" x14ac:dyDescent="0.25">
      <c r="A18" s="14"/>
      <c r="B18" s="73"/>
      <c r="C18" s="28" t="s">
        <v>31</v>
      </c>
      <c r="D18" s="27">
        <v>1</v>
      </c>
      <c r="E18" s="26">
        <v>4.9504950495049506E-3</v>
      </c>
    </row>
    <row r="19" spans="1:5" s="29" customFormat="1" ht="15" customHeight="1" x14ac:dyDescent="0.25">
      <c r="A19" s="14"/>
      <c r="B19" s="74"/>
      <c r="C19" s="25" t="s">
        <v>18</v>
      </c>
      <c r="D19" s="24">
        <v>3</v>
      </c>
      <c r="E19" s="23">
        <v>1.4851485148514851E-2</v>
      </c>
    </row>
    <row r="20" spans="1:5" ht="15" customHeight="1" x14ac:dyDescent="0.25">
      <c r="B20" s="72" t="s">
        <v>61</v>
      </c>
      <c r="C20" s="28" t="s">
        <v>28</v>
      </c>
      <c r="D20" s="27">
        <v>1</v>
      </c>
      <c r="E20" s="26">
        <v>4.9504950495049506E-3</v>
      </c>
    </row>
    <row r="21" spans="1:5" ht="15" customHeight="1" x14ac:dyDescent="0.25">
      <c r="B21" s="73"/>
      <c r="C21" s="28" t="s">
        <v>27</v>
      </c>
      <c r="D21" s="27">
        <v>1</v>
      </c>
      <c r="E21" s="26">
        <v>4.9504950495049506E-3</v>
      </c>
    </row>
    <row r="22" spans="1:5" ht="15" customHeight="1" x14ac:dyDescent="0.25">
      <c r="B22" s="74"/>
      <c r="C22" s="25" t="s">
        <v>18</v>
      </c>
      <c r="D22" s="24">
        <v>2</v>
      </c>
      <c r="E22" s="23">
        <v>9.9009900990099011E-3</v>
      </c>
    </row>
    <row r="23" spans="1:5" ht="15" customHeight="1" x14ac:dyDescent="0.25">
      <c r="B23" s="72" t="s">
        <v>60</v>
      </c>
      <c r="C23" s="28" t="s">
        <v>40</v>
      </c>
      <c r="D23" s="27">
        <v>1</v>
      </c>
      <c r="E23" s="26">
        <v>4.9504950495049506E-3</v>
      </c>
    </row>
    <row r="24" spans="1:5" ht="15" customHeight="1" x14ac:dyDescent="0.25">
      <c r="B24" s="73"/>
      <c r="C24" s="28" t="s">
        <v>34</v>
      </c>
      <c r="D24" s="27">
        <v>2</v>
      </c>
      <c r="E24" s="26">
        <v>9.9009900990099011E-3</v>
      </c>
    </row>
    <row r="25" spans="1:5" ht="15" customHeight="1" x14ac:dyDescent="0.25">
      <c r="B25" s="73"/>
      <c r="C25" s="28" t="s">
        <v>31</v>
      </c>
      <c r="D25" s="27">
        <v>1</v>
      </c>
      <c r="E25" s="26">
        <v>4.9504950495049506E-3</v>
      </c>
    </row>
    <row r="26" spans="1:5" ht="15" customHeight="1" x14ac:dyDescent="0.25">
      <c r="B26" s="73"/>
      <c r="C26" s="28" t="s">
        <v>26</v>
      </c>
      <c r="D26" s="27">
        <v>1</v>
      </c>
      <c r="E26" s="26">
        <v>4.9504950495049506E-3</v>
      </c>
    </row>
    <row r="27" spans="1:5" ht="15" customHeight="1" x14ac:dyDescent="0.25">
      <c r="B27" s="74"/>
      <c r="C27" s="25" t="s">
        <v>18</v>
      </c>
      <c r="D27" s="24">
        <v>5</v>
      </c>
      <c r="E27" s="23">
        <v>2.4752475247524754E-2</v>
      </c>
    </row>
    <row r="28" spans="1:5" ht="15" customHeight="1" x14ac:dyDescent="0.25">
      <c r="B28" s="72" t="s">
        <v>59</v>
      </c>
      <c r="C28" s="28" t="s">
        <v>35</v>
      </c>
      <c r="D28" s="27">
        <v>1</v>
      </c>
      <c r="E28" s="26">
        <v>4.9504950495049506E-3</v>
      </c>
    </row>
    <row r="29" spans="1:5" ht="15" customHeight="1" x14ac:dyDescent="0.25">
      <c r="B29" s="73"/>
      <c r="C29" s="28" t="s">
        <v>34</v>
      </c>
      <c r="D29" s="27">
        <v>1</v>
      </c>
      <c r="E29" s="26">
        <v>4.9504950495049506E-3</v>
      </c>
    </row>
    <row r="30" spans="1:5" ht="15" customHeight="1" x14ac:dyDescent="0.25">
      <c r="B30" s="73"/>
      <c r="C30" s="28" t="s">
        <v>33</v>
      </c>
      <c r="D30" s="27">
        <v>3</v>
      </c>
      <c r="E30" s="26">
        <v>1.4851485148514851E-2</v>
      </c>
    </row>
    <row r="31" spans="1:5" ht="15" customHeight="1" x14ac:dyDescent="0.25">
      <c r="B31" s="73"/>
      <c r="C31" s="28" t="s">
        <v>30</v>
      </c>
      <c r="D31" s="27">
        <v>1</v>
      </c>
      <c r="E31" s="26">
        <v>4.9504950495049506E-3</v>
      </c>
    </row>
    <row r="32" spans="1:5" ht="15" customHeight="1" x14ac:dyDescent="0.25">
      <c r="B32" s="73"/>
      <c r="C32" s="28" t="s">
        <v>27</v>
      </c>
      <c r="D32" s="27">
        <v>1</v>
      </c>
      <c r="E32" s="26">
        <v>4.9504950495049506E-3</v>
      </c>
    </row>
    <row r="33" spans="2:5" ht="15" customHeight="1" x14ac:dyDescent="0.25">
      <c r="B33" s="73"/>
      <c r="C33" s="28" t="s">
        <v>22</v>
      </c>
      <c r="D33" s="27">
        <v>1</v>
      </c>
      <c r="E33" s="26">
        <v>4.9504950495049506E-3</v>
      </c>
    </row>
    <row r="34" spans="2:5" ht="15" customHeight="1" x14ac:dyDescent="0.25">
      <c r="B34" s="74"/>
      <c r="C34" s="25" t="s">
        <v>18</v>
      </c>
      <c r="D34" s="24">
        <v>8</v>
      </c>
      <c r="E34" s="23">
        <v>3.9603960396039604E-2</v>
      </c>
    </row>
    <row r="35" spans="2:5" ht="15" customHeight="1" x14ac:dyDescent="0.25">
      <c r="B35" s="72" t="s">
        <v>58</v>
      </c>
      <c r="C35" s="28" t="s">
        <v>40</v>
      </c>
      <c r="D35" s="27">
        <v>1</v>
      </c>
      <c r="E35" s="26">
        <v>4.9504950495049506E-3</v>
      </c>
    </row>
    <row r="36" spans="2:5" ht="15" customHeight="1" x14ac:dyDescent="0.25">
      <c r="B36" s="73"/>
      <c r="C36" s="28" t="s">
        <v>36</v>
      </c>
      <c r="D36" s="27">
        <v>1</v>
      </c>
      <c r="E36" s="26">
        <v>4.9504950495049506E-3</v>
      </c>
    </row>
    <row r="37" spans="2:5" ht="15" customHeight="1" x14ac:dyDescent="0.25">
      <c r="B37" s="73"/>
      <c r="C37" s="28" t="s">
        <v>35</v>
      </c>
      <c r="D37" s="27">
        <v>2</v>
      </c>
      <c r="E37" s="26">
        <v>9.9009900990099011E-3</v>
      </c>
    </row>
    <row r="38" spans="2:5" ht="15" customHeight="1" x14ac:dyDescent="0.25">
      <c r="B38" s="73"/>
      <c r="C38" s="28" t="s">
        <v>34</v>
      </c>
      <c r="D38" s="27">
        <v>6</v>
      </c>
      <c r="E38" s="26">
        <v>2.9702970297029702E-2</v>
      </c>
    </row>
    <row r="39" spans="2:5" ht="15" customHeight="1" x14ac:dyDescent="0.25">
      <c r="B39" s="73"/>
      <c r="C39" s="28" t="s">
        <v>33</v>
      </c>
      <c r="D39" s="27">
        <v>8</v>
      </c>
      <c r="E39" s="26">
        <v>3.9603960396039604E-2</v>
      </c>
    </row>
    <row r="40" spans="2:5" ht="15" customHeight="1" x14ac:dyDescent="0.25">
      <c r="B40" s="73"/>
      <c r="C40" s="28" t="s">
        <v>32</v>
      </c>
      <c r="D40" s="27">
        <v>1</v>
      </c>
      <c r="E40" s="26">
        <v>4.9504950495049506E-3</v>
      </c>
    </row>
    <row r="41" spans="2:5" ht="15" customHeight="1" x14ac:dyDescent="0.25">
      <c r="B41" s="73"/>
      <c r="C41" s="28" t="s">
        <v>27</v>
      </c>
      <c r="D41" s="27">
        <v>2</v>
      </c>
      <c r="E41" s="26">
        <v>9.9009900990099011E-3</v>
      </c>
    </row>
    <row r="42" spans="2:5" ht="15" customHeight="1" x14ac:dyDescent="0.25">
      <c r="B42" s="73"/>
      <c r="C42" s="28" t="s">
        <v>25</v>
      </c>
      <c r="D42" s="27">
        <v>1</v>
      </c>
      <c r="E42" s="26">
        <v>4.9504950495049506E-3</v>
      </c>
    </row>
    <row r="43" spans="2:5" ht="15" customHeight="1" x14ac:dyDescent="0.25">
      <c r="B43" s="73"/>
      <c r="C43" s="28" t="s">
        <v>21</v>
      </c>
      <c r="D43" s="27">
        <v>7</v>
      </c>
      <c r="E43" s="26">
        <v>3.4653465346534656E-2</v>
      </c>
    </row>
    <row r="44" spans="2:5" ht="15" customHeight="1" x14ac:dyDescent="0.25">
      <c r="B44" s="74"/>
      <c r="C44" s="25" t="s">
        <v>18</v>
      </c>
      <c r="D44" s="24">
        <v>29</v>
      </c>
      <c r="E44" s="23">
        <v>0.14356435643564355</v>
      </c>
    </row>
    <row r="45" spans="2:5" ht="15" customHeight="1" x14ac:dyDescent="0.25">
      <c r="B45" s="72" t="s">
        <v>57</v>
      </c>
      <c r="C45" s="28" t="s">
        <v>37</v>
      </c>
      <c r="D45" s="27">
        <v>1</v>
      </c>
      <c r="E45" s="26">
        <v>4.9504950495049506E-3</v>
      </c>
    </row>
    <row r="46" spans="2:5" ht="15" customHeight="1" x14ac:dyDescent="0.25">
      <c r="B46" s="73"/>
      <c r="C46" s="28" t="s">
        <v>36</v>
      </c>
      <c r="D46" s="27">
        <v>1</v>
      </c>
      <c r="E46" s="26">
        <v>4.9504950495049506E-3</v>
      </c>
    </row>
    <row r="47" spans="2:5" ht="15" customHeight="1" x14ac:dyDescent="0.25">
      <c r="B47" s="73"/>
      <c r="C47" s="28" t="s">
        <v>33</v>
      </c>
      <c r="D47" s="27">
        <v>2</v>
      </c>
      <c r="E47" s="26">
        <v>9.9009900990099011E-3</v>
      </c>
    </row>
    <row r="48" spans="2:5" ht="15" customHeight="1" x14ac:dyDescent="0.25">
      <c r="B48" s="73"/>
      <c r="C48" s="28" t="s">
        <v>31</v>
      </c>
      <c r="D48" s="27">
        <v>1</v>
      </c>
      <c r="E48" s="26">
        <v>4.9504950495049506E-3</v>
      </c>
    </row>
    <row r="49" spans="2:5" ht="15" customHeight="1" x14ac:dyDescent="0.25">
      <c r="B49" s="74"/>
      <c r="C49" s="25" t="s">
        <v>18</v>
      </c>
      <c r="D49" s="24">
        <v>5</v>
      </c>
      <c r="E49" s="23">
        <v>2.4752475247524754E-2</v>
      </c>
    </row>
    <row r="50" spans="2:5" ht="15" customHeight="1" x14ac:dyDescent="0.25">
      <c r="B50" s="72" t="s">
        <v>56</v>
      </c>
      <c r="C50" s="28" t="s">
        <v>38</v>
      </c>
      <c r="D50" s="27">
        <v>1</v>
      </c>
      <c r="E50" s="26">
        <v>4.9504950495049506E-3</v>
      </c>
    </row>
    <row r="51" spans="2:5" ht="15" customHeight="1" x14ac:dyDescent="0.25">
      <c r="B51" s="73"/>
      <c r="C51" s="28" t="s">
        <v>35</v>
      </c>
      <c r="D51" s="27">
        <v>2</v>
      </c>
      <c r="E51" s="26">
        <v>9.9009900990099011E-3</v>
      </c>
    </row>
    <row r="52" spans="2:5" ht="15" customHeight="1" x14ac:dyDescent="0.25">
      <c r="B52" s="73"/>
      <c r="C52" s="28" t="s">
        <v>34</v>
      </c>
      <c r="D52" s="27">
        <v>1</v>
      </c>
      <c r="E52" s="26">
        <v>4.9504950495049506E-3</v>
      </c>
    </row>
    <row r="53" spans="2:5" ht="15" customHeight="1" x14ac:dyDescent="0.25">
      <c r="B53" s="73"/>
      <c r="C53" s="28" t="s">
        <v>31</v>
      </c>
      <c r="D53" s="27">
        <v>1</v>
      </c>
      <c r="E53" s="26">
        <v>4.9504950495049506E-3</v>
      </c>
    </row>
    <row r="54" spans="2:5" ht="15" customHeight="1" x14ac:dyDescent="0.25">
      <c r="B54" s="73"/>
      <c r="C54" s="28" t="s">
        <v>26</v>
      </c>
      <c r="D54" s="27">
        <v>1</v>
      </c>
      <c r="E54" s="26">
        <v>4.9504950495049506E-3</v>
      </c>
    </row>
    <row r="55" spans="2:5" ht="15" customHeight="1" x14ac:dyDescent="0.25">
      <c r="B55" s="73"/>
      <c r="C55" s="28" t="s">
        <v>25</v>
      </c>
      <c r="D55" s="27">
        <v>1</v>
      </c>
      <c r="E55" s="26">
        <v>4.9504950495049506E-3</v>
      </c>
    </row>
    <row r="56" spans="2:5" ht="15" customHeight="1" x14ac:dyDescent="0.25">
      <c r="B56" s="74"/>
      <c r="C56" s="25" t="s">
        <v>18</v>
      </c>
      <c r="D56" s="24">
        <v>7</v>
      </c>
      <c r="E56" s="23">
        <v>3.4653465346534656E-2</v>
      </c>
    </row>
    <row r="57" spans="2:5" ht="15" customHeight="1" x14ac:dyDescent="0.25">
      <c r="B57" s="72" t="s">
        <v>55</v>
      </c>
      <c r="C57" s="28" t="s">
        <v>40</v>
      </c>
      <c r="D57" s="27">
        <v>1</v>
      </c>
      <c r="E57" s="26">
        <v>4.9504950495049506E-3</v>
      </c>
    </row>
    <row r="58" spans="2:5" ht="15" customHeight="1" x14ac:dyDescent="0.25">
      <c r="B58" s="73"/>
      <c r="C58" s="28" t="s">
        <v>38</v>
      </c>
      <c r="D58" s="27">
        <v>1</v>
      </c>
      <c r="E58" s="26">
        <v>4.9504950495049506E-3</v>
      </c>
    </row>
    <row r="59" spans="2:5" ht="15" customHeight="1" x14ac:dyDescent="0.25">
      <c r="B59" s="73"/>
      <c r="C59" s="28" t="s">
        <v>36</v>
      </c>
      <c r="D59" s="27">
        <v>1</v>
      </c>
      <c r="E59" s="26">
        <v>4.9504950495049506E-3</v>
      </c>
    </row>
    <row r="60" spans="2:5" ht="15" customHeight="1" x14ac:dyDescent="0.25">
      <c r="B60" s="73"/>
      <c r="C60" s="28" t="s">
        <v>34</v>
      </c>
      <c r="D60" s="27">
        <v>1</v>
      </c>
      <c r="E60" s="26">
        <v>4.9504950495049506E-3</v>
      </c>
    </row>
    <row r="61" spans="2:5" ht="15" customHeight="1" x14ac:dyDescent="0.25">
      <c r="B61" s="73"/>
      <c r="C61" s="28" t="s">
        <v>33</v>
      </c>
      <c r="D61" s="27">
        <v>1</v>
      </c>
      <c r="E61" s="26">
        <v>4.9504950495049506E-3</v>
      </c>
    </row>
    <row r="62" spans="2:5" ht="15" customHeight="1" x14ac:dyDescent="0.25">
      <c r="B62" s="73"/>
      <c r="C62" s="28" t="s">
        <v>31</v>
      </c>
      <c r="D62" s="27">
        <v>1</v>
      </c>
      <c r="E62" s="26">
        <v>4.9504950495049506E-3</v>
      </c>
    </row>
    <row r="63" spans="2:5" ht="15" customHeight="1" x14ac:dyDescent="0.25">
      <c r="B63" s="73"/>
      <c r="C63" s="28" t="s">
        <v>27</v>
      </c>
      <c r="D63" s="27">
        <v>1</v>
      </c>
      <c r="E63" s="26">
        <v>4.9504950495049506E-3</v>
      </c>
    </row>
    <row r="64" spans="2:5" ht="15" customHeight="1" x14ac:dyDescent="0.25">
      <c r="B64" s="74"/>
      <c r="C64" s="25" t="s">
        <v>18</v>
      </c>
      <c r="D64" s="24">
        <v>7</v>
      </c>
      <c r="E64" s="23">
        <v>3.4653465346534656E-2</v>
      </c>
    </row>
    <row r="65" spans="2:5" ht="15" customHeight="1" x14ac:dyDescent="0.25">
      <c r="B65" s="72" t="s">
        <v>54</v>
      </c>
      <c r="C65" s="28" t="s">
        <v>40</v>
      </c>
      <c r="D65" s="27">
        <v>3</v>
      </c>
      <c r="E65" s="26">
        <v>1.4851485148514851E-2</v>
      </c>
    </row>
    <row r="66" spans="2:5" ht="15" customHeight="1" x14ac:dyDescent="0.25">
      <c r="B66" s="73"/>
      <c r="C66" s="28" t="s">
        <v>38</v>
      </c>
      <c r="D66" s="27">
        <v>4</v>
      </c>
      <c r="E66" s="26">
        <v>1.9801980198019802E-2</v>
      </c>
    </row>
    <row r="67" spans="2:5" ht="15" customHeight="1" x14ac:dyDescent="0.25">
      <c r="B67" s="73"/>
      <c r="C67" s="28" t="s">
        <v>34</v>
      </c>
      <c r="D67" s="27">
        <v>13</v>
      </c>
      <c r="E67" s="26">
        <v>6.4356435643564358E-2</v>
      </c>
    </row>
    <row r="68" spans="2:5" ht="15" customHeight="1" x14ac:dyDescent="0.25">
      <c r="B68" s="73"/>
      <c r="C68" s="28" t="s">
        <v>33</v>
      </c>
      <c r="D68" s="27">
        <v>24</v>
      </c>
      <c r="E68" s="26">
        <v>0.11881188118811881</v>
      </c>
    </row>
    <row r="69" spans="2:5" ht="15" customHeight="1" x14ac:dyDescent="0.25">
      <c r="B69" s="73"/>
      <c r="C69" s="28" t="s">
        <v>32</v>
      </c>
      <c r="D69" s="27">
        <v>1</v>
      </c>
      <c r="E69" s="26">
        <v>4.9504950495049506E-3</v>
      </c>
    </row>
    <row r="70" spans="2:5" ht="15" customHeight="1" x14ac:dyDescent="0.25">
      <c r="B70" s="73"/>
      <c r="C70" s="28" t="s">
        <v>31</v>
      </c>
      <c r="D70" s="27">
        <v>4</v>
      </c>
      <c r="E70" s="26">
        <v>1.9801980198019802E-2</v>
      </c>
    </row>
    <row r="71" spans="2:5" ht="15" customHeight="1" x14ac:dyDescent="0.25">
      <c r="B71" s="73"/>
      <c r="C71" s="28" t="s">
        <v>30</v>
      </c>
      <c r="D71" s="27">
        <v>2</v>
      </c>
      <c r="E71" s="26">
        <v>9.9009900990099011E-3</v>
      </c>
    </row>
    <row r="72" spans="2:5" ht="15" customHeight="1" x14ac:dyDescent="0.25">
      <c r="B72" s="73"/>
      <c r="C72" s="28" t="s">
        <v>29</v>
      </c>
      <c r="D72" s="27">
        <v>1</v>
      </c>
      <c r="E72" s="26">
        <v>4.9504950495049506E-3</v>
      </c>
    </row>
    <row r="73" spans="2:5" ht="15" customHeight="1" x14ac:dyDescent="0.25">
      <c r="B73" s="73"/>
      <c r="C73" s="28" t="s">
        <v>28</v>
      </c>
      <c r="D73" s="27">
        <v>5</v>
      </c>
      <c r="E73" s="26">
        <v>2.4752475247524754E-2</v>
      </c>
    </row>
    <row r="74" spans="2:5" ht="15" customHeight="1" x14ac:dyDescent="0.25">
      <c r="B74" s="73"/>
      <c r="C74" s="28" t="s">
        <v>27</v>
      </c>
      <c r="D74" s="27">
        <v>10</v>
      </c>
      <c r="E74" s="26">
        <v>4.9504950495049507E-2</v>
      </c>
    </row>
    <row r="75" spans="2:5" ht="15" customHeight="1" x14ac:dyDescent="0.25">
      <c r="B75" s="73"/>
      <c r="C75" s="28" t="s">
        <v>26</v>
      </c>
      <c r="D75" s="27">
        <v>1</v>
      </c>
      <c r="E75" s="26">
        <v>4.9504950495049506E-3</v>
      </c>
    </row>
    <row r="76" spans="2:5" ht="15" customHeight="1" x14ac:dyDescent="0.25">
      <c r="B76" s="73"/>
      <c r="C76" s="28" t="s">
        <v>25</v>
      </c>
      <c r="D76" s="27">
        <v>1</v>
      </c>
      <c r="E76" s="26">
        <v>4.9504950495049506E-3</v>
      </c>
    </row>
    <row r="77" spans="2:5" ht="15" customHeight="1" x14ac:dyDescent="0.25">
      <c r="B77" s="73"/>
      <c r="C77" s="28" t="s">
        <v>21</v>
      </c>
      <c r="D77" s="27">
        <v>2</v>
      </c>
      <c r="E77" s="26">
        <v>9.9009900990099011E-3</v>
      </c>
    </row>
    <row r="78" spans="2:5" ht="15" customHeight="1" x14ac:dyDescent="0.25">
      <c r="B78" s="74"/>
      <c r="C78" s="25" t="s">
        <v>18</v>
      </c>
      <c r="D78" s="24">
        <v>71</v>
      </c>
      <c r="E78" s="23">
        <v>0.35148514851485146</v>
      </c>
    </row>
    <row r="79" spans="2:5" ht="15" customHeight="1" x14ac:dyDescent="0.25">
      <c r="B79" s="72" t="s">
        <v>53</v>
      </c>
      <c r="C79" s="28" t="s">
        <v>27</v>
      </c>
      <c r="D79" s="27">
        <v>2</v>
      </c>
      <c r="E79" s="26">
        <v>9.9009900990099011E-3</v>
      </c>
    </row>
    <row r="80" spans="2:5" ht="15" customHeight="1" x14ac:dyDescent="0.25">
      <c r="B80" s="74"/>
      <c r="C80" s="25" t="s">
        <v>18</v>
      </c>
      <c r="D80" s="24">
        <v>2</v>
      </c>
      <c r="E80" s="23">
        <v>9.9009900990099011E-3</v>
      </c>
    </row>
    <row r="81" spans="2:5" ht="15" customHeight="1" x14ac:dyDescent="0.25">
      <c r="B81" s="72" t="s">
        <v>52</v>
      </c>
      <c r="C81" s="28" t="s">
        <v>38</v>
      </c>
      <c r="D81" s="27">
        <v>4</v>
      </c>
      <c r="E81" s="26">
        <v>1.9801980198019802E-2</v>
      </c>
    </row>
    <row r="82" spans="2:5" ht="15" customHeight="1" x14ac:dyDescent="0.25">
      <c r="B82" s="73"/>
      <c r="C82" s="28" t="s">
        <v>36</v>
      </c>
      <c r="D82" s="27">
        <v>1</v>
      </c>
      <c r="E82" s="26">
        <v>4.9504950495049506E-3</v>
      </c>
    </row>
    <row r="83" spans="2:5" ht="15" customHeight="1" x14ac:dyDescent="0.25">
      <c r="B83" s="73"/>
      <c r="C83" s="28" t="s">
        <v>34</v>
      </c>
      <c r="D83" s="27">
        <v>1</v>
      </c>
      <c r="E83" s="26">
        <v>4.9504950495049506E-3</v>
      </c>
    </row>
    <row r="84" spans="2:5" ht="15" customHeight="1" x14ac:dyDescent="0.25">
      <c r="B84" s="73"/>
      <c r="C84" s="28" t="s">
        <v>33</v>
      </c>
      <c r="D84" s="27">
        <v>2</v>
      </c>
      <c r="E84" s="26">
        <v>9.9009900990099011E-3</v>
      </c>
    </row>
    <row r="85" spans="2:5" ht="15" customHeight="1" x14ac:dyDescent="0.25">
      <c r="B85" s="73"/>
      <c r="C85" s="28" t="s">
        <v>31</v>
      </c>
      <c r="D85" s="27">
        <v>1</v>
      </c>
      <c r="E85" s="26">
        <v>4.9504950495049506E-3</v>
      </c>
    </row>
    <row r="86" spans="2:5" ht="15" customHeight="1" x14ac:dyDescent="0.25">
      <c r="B86" s="73"/>
      <c r="C86" s="28" t="s">
        <v>28</v>
      </c>
      <c r="D86" s="27">
        <v>1</v>
      </c>
      <c r="E86" s="26">
        <v>4.9504950495049506E-3</v>
      </c>
    </row>
    <row r="87" spans="2:5" ht="15" customHeight="1" x14ac:dyDescent="0.25">
      <c r="B87" s="73"/>
      <c r="C87" s="28" t="s">
        <v>24</v>
      </c>
      <c r="D87" s="27">
        <v>1</v>
      </c>
      <c r="E87" s="26">
        <v>4.9504950495049506E-3</v>
      </c>
    </row>
    <row r="88" spans="2:5" ht="15" customHeight="1" x14ac:dyDescent="0.25">
      <c r="B88" s="74"/>
      <c r="C88" s="25" t="s">
        <v>18</v>
      </c>
      <c r="D88" s="24">
        <v>11</v>
      </c>
      <c r="E88" s="23">
        <v>5.4455445544554455E-2</v>
      </c>
    </row>
    <row r="89" spans="2:5" ht="15" customHeight="1" x14ac:dyDescent="0.25">
      <c r="B89" s="72" t="s">
        <v>51</v>
      </c>
      <c r="C89" s="28" t="s">
        <v>41</v>
      </c>
      <c r="D89" s="27">
        <v>1</v>
      </c>
      <c r="E89" s="26">
        <v>4.9504950495049506E-3</v>
      </c>
    </row>
    <row r="90" spans="2:5" ht="15" customHeight="1" x14ac:dyDescent="0.25">
      <c r="B90" s="73"/>
      <c r="C90" s="28" t="s">
        <v>40</v>
      </c>
      <c r="D90" s="27">
        <v>3</v>
      </c>
      <c r="E90" s="26">
        <v>1.4851485148514851E-2</v>
      </c>
    </row>
    <row r="91" spans="2:5" ht="15" customHeight="1" x14ac:dyDescent="0.25">
      <c r="B91" s="73"/>
      <c r="C91" s="28" t="s">
        <v>38</v>
      </c>
      <c r="D91" s="27">
        <v>3</v>
      </c>
      <c r="E91" s="26">
        <v>1.4851485148514851E-2</v>
      </c>
    </row>
    <row r="92" spans="2:5" ht="15" customHeight="1" x14ac:dyDescent="0.25">
      <c r="B92" s="73"/>
      <c r="C92" s="28" t="s">
        <v>36</v>
      </c>
      <c r="D92" s="27">
        <v>1</v>
      </c>
      <c r="E92" s="26">
        <v>4.9504950495049506E-3</v>
      </c>
    </row>
    <row r="93" spans="2:5" ht="15" customHeight="1" x14ac:dyDescent="0.25">
      <c r="B93" s="73"/>
      <c r="C93" s="28" t="s">
        <v>34</v>
      </c>
      <c r="D93" s="27">
        <v>7</v>
      </c>
      <c r="E93" s="26">
        <v>3.4653465346534656E-2</v>
      </c>
    </row>
    <row r="94" spans="2:5" ht="15" customHeight="1" x14ac:dyDescent="0.25">
      <c r="B94" s="73"/>
      <c r="C94" s="28" t="s">
        <v>33</v>
      </c>
      <c r="D94" s="27">
        <v>6</v>
      </c>
      <c r="E94" s="26">
        <v>2.9702970297029702E-2</v>
      </c>
    </row>
    <row r="95" spans="2:5" ht="15" customHeight="1" x14ac:dyDescent="0.25">
      <c r="B95" s="73"/>
      <c r="C95" s="28" t="s">
        <v>32</v>
      </c>
      <c r="D95" s="27">
        <v>3</v>
      </c>
      <c r="E95" s="26">
        <v>1.4851485148514851E-2</v>
      </c>
    </row>
    <row r="96" spans="2:5" ht="15" customHeight="1" x14ac:dyDescent="0.25">
      <c r="B96" s="73"/>
      <c r="C96" s="28" t="s">
        <v>30</v>
      </c>
      <c r="D96" s="27">
        <v>2</v>
      </c>
      <c r="E96" s="26">
        <v>9.9009900990099011E-3</v>
      </c>
    </row>
    <row r="97" spans="2:5" ht="15" customHeight="1" x14ac:dyDescent="0.25">
      <c r="B97" s="73"/>
      <c r="C97" s="28" t="s">
        <v>28</v>
      </c>
      <c r="D97" s="27">
        <v>2</v>
      </c>
      <c r="E97" s="26">
        <v>9.9009900990099011E-3</v>
      </c>
    </row>
    <row r="98" spans="2:5" ht="15" customHeight="1" x14ac:dyDescent="0.25">
      <c r="B98" s="73"/>
      <c r="C98" s="28" t="s">
        <v>25</v>
      </c>
      <c r="D98" s="27">
        <v>1</v>
      </c>
      <c r="E98" s="26">
        <v>4.9504950495049506E-3</v>
      </c>
    </row>
    <row r="99" spans="2:5" ht="15" customHeight="1" x14ac:dyDescent="0.25">
      <c r="B99" s="73"/>
      <c r="C99" s="28" t="s">
        <v>23</v>
      </c>
      <c r="D99" s="27">
        <v>1</v>
      </c>
      <c r="E99" s="26">
        <v>4.9504950495049506E-3</v>
      </c>
    </row>
    <row r="100" spans="2:5" ht="15" customHeight="1" x14ac:dyDescent="0.25">
      <c r="B100" s="73"/>
      <c r="C100" s="28" t="s">
        <v>21</v>
      </c>
      <c r="D100" s="27">
        <v>1</v>
      </c>
      <c r="E100" s="26">
        <v>4.9504950495049506E-3</v>
      </c>
    </row>
    <row r="101" spans="2:5" ht="15" customHeight="1" x14ac:dyDescent="0.25">
      <c r="B101" s="74"/>
      <c r="C101" s="25" t="s">
        <v>18</v>
      </c>
      <c r="D101" s="24">
        <v>31</v>
      </c>
      <c r="E101" s="23">
        <v>0.15346534653465346</v>
      </c>
    </row>
    <row r="102" spans="2:5" ht="15" customHeight="1" x14ac:dyDescent="0.25">
      <c r="B102" s="72" t="s">
        <v>50</v>
      </c>
      <c r="C102" s="28" t="s">
        <v>38</v>
      </c>
      <c r="D102" s="27">
        <v>1</v>
      </c>
      <c r="E102" s="26">
        <v>4.9504950495049506E-3</v>
      </c>
    </row>
    <row r="103" spans="2:5" ht="15" customHeight="1" x14ac:dyDescent="0.25">
      <c r="B103" s="73"/>
      <c r="C103" s="28" t="s">
        <v>34</v>
      </c>
      <c r="D103" s="27">
        <v>1</v>
      </c>
      <c r="E103" s="26">
        <v>4.9504950495049506E-3</v>
      </c>
    </row>
    <row r="104" spans="2:5" ht="15" customHeight="1" x14ac:dyDescent="0.25">
      <c r="B104" s="74"/>
      <c r="C104" s="25" t="s">
        <v>18</v>
      </c>
      <c r="D104" s="24">
        <v>2</v>
      </c>
      <c r="E104" s="23">
        <v>9.9009900990099011E-3</v>
      </c>
    </row>
    <row r="105" spans="2:5" ht="15" customHeight="1" x14ac:dyDescent="0.25">
      <c r="B105" s="72" t="s">
        <v>49</v>
      </c>
      <c r="C105" s="28" t="s">
        <v>33</v>
      </c>
      <c r="D105" s="27">
        <v>1</v>
      </c>
      <c r="E105" s="26">
        <v>4.9504950495049506E-3</v>
      </c>
    </row>
    <row r="106" spans="2:5" ht="15" customHeight="1" x14ac:dyDescent="0.25">
      <c r="B106" s="74"/>
      <c r="C106" s="25" t="s">
        <v>18</v>
      </c>
      <c r="D106" s="24">
        <v>1</v>
      </c>
      <c r="E106" s="23">
        <v>4.9504950495049506E-3</v>
      </c>
    </row>
    <row r="107" spans="2:5" ht="15" customHeight="1" x14ac:dyDescent="0.25">
      <c r="B107" s="72" t="s">
        <v>48</v>
      </c>
      <c r="C107" s="28" t="s">
        <v>34</v>
      </c>
      <c r="D107" s="27">
        <v>1</v>
      </c>
      <c r="E107" s="26">
        <v>4.9504950495049506E-3</v>
      </c>
    </row>
    <row r="108" spans="2:5" ht="15" customHeight="1" x14ac:dyDescent="0.25">
      <c r="B108" s="73"/>
      <c r="C108" s="28" t="s">
        <v>33</v>
      </c>
      <c r="D108" s="27">
        <v>1</v>
      </c>
      <c r="E108" s="26">
        <v>4.9504950495049506E-3</v>
      </c>
    </row>
    <row r="109" spans="2:5" ht="15" customHeight="1" x14ac:dyDescent="0.25">
      <c r="B109" s="73"/>
      <c r="C109" s="28" t="s">
        <v>31</v>
      </c>
      <c r="D109" s="27">
        <v>1</v>
      </c>
      <c r="E109" s="26">
        <v>4.9504950495049506E-3</v>
      </c>
    </row>
    <row r="110" spans="2:5" ht="15" customHeight="1" x14ac:dyDescent="0.25">
      <c r="B110" s="73"/>
      <c r="C110" s="28" t="s">
        <v>21</v>
      </c>
      <c r="D110" s="27">
        <v>1</v>
      </c>
      <c r="E110" s="26">
        <v>4.9504950495049506E-3</v>
      </c>
    </row>
    <row r="111" spans="2:5" ht="15" customHeight="1" x14ac:dyDescent="0.25">
      <c r="B111" s="74"/>
      <c r="C111" s="25" t="s">
        <v>18</v>
      </c>
      <c r="D111" s="24">
        <v>4</v>
      </c>
      <c r="E111" s="23">
        <v>1.9801980198019802E-2</v>
      </c>
    </row>
    <row r="112" spans="2:5" ht="15" customHeight="1" x14ac:dyDescent="0.25">
      <c r="B112" s="72" t="s">
        <v>47</v>
      </c>
      <c r="C112" s="28" t="s">
        <v>38</v>
      </c>
      <c r="D112" s="27">
        <v>1</v>
      </c>
      <c r="E112" s="26">
        <v>4.9504950495049506E-3</v>
      </c>
    </row>
    <row r="113" spans="2:5" ht="15" customHeight="1" x14ac:dyDescent="0.25">
      <c r="B113" s="73"/>
      <c r="C113" s="28" t="s">
        <v>36</v>
      </c>
      <c r="D113" s="27">
        <v>1</v>
      </c>
      <c r="E113" s="26">
        <v>4.9504950495049506E-3</v>
      </c>
    </row>
    <row r="114" spans="2:5" ht="15" customHeight="1" x14ac:dyDescent="0.25">
      <c r="B114" s="73"/>
      <c r="C114" s="28" t="s">
        <v>34</v>
      </c>
      <c r="D114" s="27">
        <v>1</v>
      </c>
      <c r="E114" s="26">
        <v>4.9504950495049506E-3</v>
      </c>
    </row>
    <row r="115" spans="2:5" ht="15" customHeight="1" x14ac:dyDescent="0.25">
      <c r="B115" s="73"/>
      <c r="C115" s="28" t="s">
        <v>31</v>
      </c>
      <c r="D115" s="27">
        <v>1</v>
      </c>
      <c r="E115" s="26">
        <v>4.9504950495049506E-3</v>
      </c>
    </row>
    <row r="116" spans="2:5" ht="15" customHeight="1" x14ac:dyDescent="0.25">
      <c r="B116" s="73"/>
      <c r="C116" s="28" t="s">
        <v>27</v>
      </c>
      <c r="D116" s="27">
        <v>1</v>
      </c>
      <c r="E116" s="26">
        <v>4.9504950495049506E-3</v>
      </c>
    </row>
    <row r="117" spans="2:5" ht="15" customHeight="1" x14ac:dyDescent="0.25">
      <c r="B117" s="73"/>
      <c r="C117" s="28" t="s">
        <v>26</v>
      </c>
      <c r="D117" s="27">
        <v>1</v>
      </c>
      <c r="E117" s="26">
        <v>4.9504950495049506E-3</v>
      </c>
    </row>
    <row r="118" spans="2:5" ht="15" customHeight="1" x14ac:dyDescent="0.25">
      <c r="B118" s="73"/>
      <c r="C118" s="28" t="s">
        <v>24</v>
      </c>
      <c r="D118" s="27">
        <v>1</v>
      </c>
      <c r="E118" s="26">
        <v>4.9504950495049506E-3</v>
      </c>
    </row>
    <row r="119" spans="2:5" ht="15" customHeight="1" x14ac:dyDescent="0.25">
      <c r="B119" s="73"/>
      <c r="C119" s="28" t="s">
        <v>23</v>
      </c>
      <c r="D119" s="27">
        <v>1</v>
      </c>
      <c r="E119" s="26">
        <v>4.9504950495049506E-3</v>
      </c>
    </row>
    <row r="120" spans="2:5" ht="15" customHeight="1" x14ac:dyDescent="0.25">
      <c r="B120" s="74"/>
      <c r="C120" s="25" t="s">
        <v>18</v>
      </c>
      <c r="D120" s="24">
        <v>8</v>
      </c>
      <c r="E120" s="23">
        <v>3.9603960396039604E-2</v>
      </c>
    </row>
    <row r="121" spans="2:5" ht="15" customHeight="1" x14ac:dyDescent="0.25">
      <c r="B121" s="72" t="s">
        <v>46</v>
      </c>
      <c r="C121" s="28" t="s">
        <v>29</v>
      </c>
      <c r="D121" s="27">
        <v>1</v>
      </c>
      <c r="E121" s="26">
        <v>4.9504950495049506E-3</v>
      </c>
    </row>
    <row r="122" spans="2:5" ht="15" customHeight="1" x14ac:dyDescent="0.25">
      <c r="B122" s="74"/>
      <c r="C122" s="25" t="s">
        <v>18</v>
      </c>
      <c r="D122" s="24">
        <v>1</v>
      </c>
      <c r="E122" s="23">
        <v>4.9504950495049506E-3</v>
      </c>
    </row>
    <row r="123" spans="2:5" ht="15" customHeight="1" x14ac:dyDescent="0.25">
      <c r="B123" s="70" t="s">
        <v>18</v>
      </c>
      <c r="C123" s="71"/>
      <c r="D123" s="22">
        <v>202</v>
      </c>
      <c r="E123" s="21">
        <v>1</v>
      </c>
    </row>
    <row r="125" spans="2:5" ht="15" customHeight="1" x14ac:dyDescent="0.25">
      <c r="B125" s="18" t="s">
        <v>17</v>
      </c>
    </row>
    <row r="126" spans="2:5" ht="15" customHeight="1" x14ac:dyDescent="0.25">
      <c r="B126" s="20" t="s">
        <v>16</v>
      </c>
    </row>
    <row r="127" spans="2:5" ht="15" customHeight="1" x14ac:dyDescent="0.25">
      <c r="B127" s="19" t="s">
        <v>15</v>
      </c>
    </row>
    <row r="128" spans="2:5" ht="15" customHeight="1" x14ac:dyDescent="0.25">
      <c r="B128" s="18" t="s">
        <v>14</v>
      </c>
    </row>
    <row r="129" spans="2:2" ht="15" customHeight="1" x14ac:dyDescent="0.25">
      <c r="B129" s="18" t="s">
        <v>13</v>
      </c>
    </row>
  </sheetData>
  <mergeCells count="21">
    <mergeCell ref="B57:B64"/>
    <mergeCell ref="B65:B78"/>
    <mergeCell ref="B7:E8"/>
    <mergeCell ref="B10:B13"/>
    <mergeCell ref="B14:B15"/>
    <mergeCell ref="B16:B19"/>
    <mergeCell ref="B20:B22"/>
    <mergeCell ref="B23:B27"/>
    <mergeCell ref="B28:B34"/>
    <mergeCell ref="B35:B44"/>
    <mergeCell ref="B45:B49"/>
    <mergeCell ref="B50:B56"/>
    <mergeCell ref="B112:B120"/>
    <mergeCell ref="B121:B122"/>
    <mergeCell ref="B123:C123"/>
    <mergeCell ref="B79:B80"/>
    <mergeCell ref="B81:B88"/>
    <mergeCell ref="B89:B101"/>
    <mergeCell ref="B102:B104"/>
    <mergeCell ref="B105:B106"/>
    <mergeCell ref="B107:B11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49" max="4" man="1"/>
    <brk id="88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>
      <selection activeCell="I8" sqref="I8"/>
    </sheetView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69" t="s">
        <v>84</v>
      </c>
      <c r="C7" s="69"/>
      <c r="D7" s="69"/>
    </row>
    <row r="8" spans="2:4" s="30" customFormat="1" ht="15" customHeight="1" x14ac:dyDescent="0.2">
      <c r="B8" s="69"/>
      <c r="C8" s="69"/>
      <c r="D8" s="69"/>
    </row>
    <row r="9" spans="2:4" s="30" customFormat="1" ht="33" customHeight="1" x14ac:dyDescent="0.2">
      <c r="B9" s="69"/>
      <c r="C9" s="69"/>
      <c r="D9" s="69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44</v>
      </c>
      <c r="C11" s="52" t="s">
        <v>43</v>
      </c>
      <c r="D11" s="51" t="s">
        <v>42</v>
      </c>
    </row>
    <row r="12" spans="2:4" ht="15" customHeight="1" x14ac:dyDescent="0.25">
      <c r="B12" s="49" t="s">
        <v>83</v>
      </c>
      <c r="C12" s="48">
        <v>129</v>
      </c>
      <c r="D12" s="47">
        <v>0.31773399014778325</v>
      </c>
    </row>
    <row r="13" spans="2:4" ht="15" customHeight="1" x14ac:dyDescent="0.25">
      <c r="B13" s="49" t="s">
        <v>82</v>
      </c>
      <c r="C13" s="48">
        <v>74</v>
      </c>
      <c r="D13" s="47">
        <v>0.18226600985221675</v>
      </c>
    </row>
    <row r="14" spans="2:4" x14ac:dyDescent="0.25">
      <c r="B14" s="46" t="s">
        <v>81</v>
      </c>
      <c r="C14" s="45">
        <v>406</v>
      </c>
      <c r="D14" s="44">
        <v>1</v>
      </c>
    </row>
    <row r="15" spans="2:4" s="50" customFormat="1" ht="15.75" x14ac:dyDescent="0.25">
      <c r="C15" s="59"/>
    </row>
    <row r="16" spans="2:4" s="50" customFormat="1" ht="15.75" x14ac:dyDescent="0.25">
      <c r="B16" s="18" t="s">
        <v>17</v>
      </c>
      <c r="C16" s="59"/>
    </row>
    <row r="17" spans="2:4" x14ac:dyDescent="0.25">
      <c r="B17" s="20" t="s">
        <v>16</v>
      </c>
      <c r="C17" s="58"/>
      <c r="D17" s="58"/>
    </row>
    <row r="18" spans="2:4" x14ac:dyDescent="0.25">
      <c r="B18" s="19" t="s">
        <v>15</v>
      </c>
      <c r="C18" s="57"/>
      <c r="D18" s="57"/>
    </row>
    <row r="19" spans="2:4" x14ac:dyDescent="0.25">
      <c r="B19" s="18" t="s">
        <v>14</v>
      </c>
    </row>
    <row r="20" spans="2:4" x14ac:dyDescent="0.25">
      <c r="B20" s="18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5"/>
      <c r="C7" s="75"/>
      <c r="D7" s="75"/>
      <c r="E7" s="75"/>
    </row>
    <row r="8" spans="1:5" s="34" customFormat="1" ht="33" customHeight="1" x14ac:dyDescent="0.3">
      <c r="A8" s="35"/>
      <c r="B8" s="75"/>
      <c r="C8" s="75"/>
      <c r="D8" s="75"/>
      <c r="E8" s="75"/>
    </row>
    <row r="9" spans="1:5" s="30" customFormat="1" ht="40.5" customHeight="1" x14ac:dyDescent="0.2">
      <c r="B9" s="31" t="s">
        <v>45</v>
      </c>
      <c r="C9" s="33" t="s">
        <v>44</v>
      </c>
      <c r="D9" s="32" t="s">
        <v>43</v>
      </c>
      <c r="E9" s="31" t="s">
        <v>42</v>
      </c>
    </row>
    <row r="10" spans="1:5" ht="15" customHeight="1" x14ac:dyDescent="0.25">
      <c r="B10" s="72" t="s">
        <v>41</v>
      </c>
      <c r="C10" s="28" t="s">
        <v>19</v>
      </c>
      <c r="D10" s="27">
        <v>1</v>
      </c>
      <c r="E10" s="26">
        <v>4.9261083743842365E-3</v>
      </c>
    </row>
    <row r="11" spans="1:5" ht="15" customHeight="1" x14ac:dyDescent="0.25">
      <c r="B11" s="74"/>
      <c r="C11" s="25" t="s">
        <v>18</v>
      </c>
      <c r="D11" s="24">
        <v>1</v>
      </c>
      <c r="E11" s="23">
        <v>4.9261083743842365E-3</v>
      </c>
    </row>
    <row r="12" spans="1:5" ht="15" customHeight="1" x14ac:dyDescent="0.25">
      <c r="B12" s="72" t="s">
        <v>40</v>
      </c>
      <c r="C12" s="28" t="s">
        <v>20</v>
      </c>
      <c r="D12" s="27">
        <v>8</v>
      </c>
      <c r="E12" s="26">
        <v>3.9408866995073892E-2</v>
      </c>
    </row>
    <row r="13" spans="1:5" ht="15" customHeight="1" x14ac:dyDescent="0.25">
      <c r="B13" s="73"/>
      <c r="C13" s="28" t="s">
        <v>19</v>
      </c>
      <c r="D13" s="27">
        <v>1</v>
      </c>
      <c r="E13" s="26">
        <v>4.9261083743842365E-3</v>
      </c>
    </row>
    <row r="14" spans="1:5" ht="15" customHeight="1" x14ac:dyDescent="0.25">
      <c r="B14" s="74"/>
      <c r="C14" s="25" t="s">
        <v>18</v>
      </c>
      <c r="D14" s="24">
        <v>9</v>
      </c>
      <c r="E14" s="23">
        <v>4.4334975369458129E-2</v>
      </c>
    </row>
    <row r="15" spans="1:5" s="29" customFormat="1" ht="15" customHeight="1" x14ac:dyDescent="0.2">
      <c r="B15" s="72" t="s">
        <v>39</v>
      </c>
      <c r="C15" s="28" t="s">
        <v>19</v>
      </c>
      <c r="D15" s="27">
        <v>1</v>
      </c>
      <c r="E15" s="26">
        <v>4.9261083743842365E-3</v>
      </c>
    </row>
    <row r="16" spans="1:5" s="29" customFormat="1" ht="15" customHeight="1" x14ac:dyDescent="0.2">
      <c r="B16" s="74"/>
      <c r="C16" s="25" t="s">
        <v>18</v>
      </c>
      <c r="D16" s="24">
        <v>1</v>
      </c>
      <c r="E16" s="23">
        <v>4.9261083743842365E-3</v>
      </c>
    </row>
    <row r="17" spans="2:5" s="29" customFormat="1" ht="15" customHeight="1" x14ac:dyDescent="0.2">
      <c r="B17" s="72" t="s">
        <v>38</v>
      </c>
      <c r="C17" s="28" t="s">
        <v>20</v>
      </c>
      <c r="D17" s="27">
        <v>10</v>
      </c>
      <c r="E17" s="26">
        <v>4.9261083743842367E-2</v>
      </c>
    </row>
    <row r="18" spans="2:5" s="29" customFormat="1" ht="15" customHeight="1" x14ac:dyDescent="0.2">
      <c r="B18" s="73"/>
      <c r="C18" s="28" t="s">
        <v>19</v>
      </c>
      <c r="D18" s="27">
        <v>5</v>
      </c>
      <c r="E18" s="26">
        <v>2.4630541871921183E-2</v>
      </c>
    </row>
    <row r="19" spans="2:5" s="29" customFormat="1" ht="15" customHeight="1" x14ac:dyDescent="0.2">
      <c r="B19" s="74"/>
      <c r="C19" s="25" t="s">
        <v>18</v>
      </c>
      <c r="D19" s="24">
        <v>15</v>
      </c>
      <c r="E19" s="23">
        <v>7.3891625615763554E-2</v>
      </c>
    </row>
    <row r="20" spans="2:5" ht="15" customHeight="1" x14ac:dyDescent="0.25">
      <c r="B20" s="72" t="s">
        <v>37</v>
      </c>
      <c r="C20" s="28" t="s">
        <v>20</v>
      </c>
      <c r="D20" s="27">
        <v>1</v>
      </c>
      <c r="E20" s="26">
        <v>4.9261083743842365E-3</v>
      </c>
    </row>
    <row r="21" spans="2:5" ht="15" customHeight="1" x14ac:dyDescent="0.25">
      <c r="B21" s="74"/>
      <c r="C21" s="25" t="s">
        <v>18</v>
      </c>
      <c r="D21" s="24">
        <v>1</v>
      </c>
      <c r="E21" s="23">
        <v>4.9261083743842365E-3</v>
      </c>
    </row>
    <row r="22" spans="2:5" ht="15" customHeight="1" x14ac:dyDescent="0.25">
      <c r="B22" s="72" t="s">
        <v>36</v>
      </c>
      <c r="C22" s="28" t="s">
        <v>20</v>
      </c>
      <c r="D22" s="27">
        <v>3</v>
      </c>
      <c r="E22" s="26">
        <v>1.4778325123152709E-2</v>
      </c>
    </row>
    <row r="23" spans="2:5" ht="15" customHeight="1" x14ac:dyDescent="0.25">
      <c r="B23" s="73"/>
      <c r="C23" s="28" t="s">
        <v>19</v>
      </c>
      <c r="D23" s="27">
        <v>3</v>
      </c>
      <c r="E23" s="26">
        <v>1.4778325123152709E-2</v>
      </c>
    </row>
    <row r="24" spans="2:5" ht="15" customHeight="1" x14ac:dyDescent="0.25">
      <c r="B24" s="74"/>
      <c r="C24" s="25" t="s">
        <v>18</v>
      </c>
      <c r="D24" s="24">
        <v>6</v>
      </c>
      <c r="E24" s="23">
        <v>2.9556650246305417E-2</v>
      </c>
    </row>
    <row r="25" spans="2:5" ht="15" customHeight="1" x14ac:dyDescent="0.25">
      <c r="B25" s="72" t="s">
        <v>35</v>
      </c>
      <c r="C25" s="28" t="s">
        <v>20</v>
      </c>
      <c r="D25" s="27">
        <v>6</v>
      </c>
      <c r="E25" s="26">
        <v>2.9556650246305417E-2</v>
      </c>
    </row>
    <row r="26" spans="2:5" ht="15" customHeight="1" x14ac:dyDescent="0.25">
      <c r="B26" s="74"/>
      <c r="C26" s="25" t="s">
        <v>18</v>
      </c>
      <c r="D26" s="24">
        <v>6</v>
      </c>
      <c r="E26" s="23">
        <v>2.9556650246305417E-2</v>
      </c>
    </row>
    <row r="27" spans="2:5" ht="15" customHeight="1" x14ac:dyDescent="0.25">
      <c r="B27" s="72" t="s">
        <v>34</v>
      </c>
      <c r="C27" s="28" t="s">
        <v>20</v>
      </c>
      <c r="D27" s="27">
        <v>24</v>
      </c>
      <c r="E27" s="26">
        <v>0.11822660098522167</v>
      </c>
    </row>
    <row r="28" spans="2:5" ht="15" customHeight="1" x14ac:dyDescent="0.25">
      <c r="B28" s="73"/>
      <c r="C28" s="28" t="s">
        <v>19</v>
      </c>
      <c r="D28" s="27">
        <v>13</v>
      </c>
      <c r="E28" s="26">
        <v>6.4039408866995079E-2</v>
      </c>
    </row>
    <row r="29" spans="2:5" ht="15" customHeight="1" x14ac:dyDescent="0.25">
      <c r="B29" s="74"/>
      <c r="C29" s="25" t="s">
        <v>18</v>
      </c>
      <c r="D29" s="24">
        <v>37</v>
      </c>
      <c r="E29" s="23">
        <v>0.18226600985221675</v>
      </c>
    </row>
    <row r="30" spans="2:5" ht="15" customHeight="1" x14ac:dyDescent="0.25">
      <c r="B30" s="72" t="s">
        <v>33</v>
      </c>
      <c r="C30" s="28" t="s">
        <v>20</v>
      </c>
      <c r="D30" s="27">
        <v>29</v>
      </c>
      <c r="E30" s="26">
        <v>0.14285714285714285</v>
      </c>
    </row>
    <row r="31" spans="2:5" ht="15" customHeight="1" x14ac:dyDescent="0.25">
      <c r="B31" s="73"/>
      <c r="C31" s="28" t="s">
        <v>19</v>
      </c>
      <c r="D31" s="27">
        <v>19</v>
      </c>
      <c r="E31" s="26">
        <v>9.3596059113300489E-2</v>
      </c>
    </row>
    <row r="32" spans="2:5" ht="15" customHeight="1" x14ac:dyDescent="0.25">
      <c r="B32" s="74"/>
      <c r="C32" s="25" t="s">
        <v>18</v>
      </c>
      <c r="D32" s="24">
        <v>48</v>
      </c>
      <c r="E32" s="23">
        <v>0.23645320197044334</v>
      </c>
    </row>
    <row r="33" spans="2:5" ht="15" customHeight="1" x14ac:dyDescent="0.25">
      <c r="B33" s="72" t="s">
        <v>32</v>
      </c>
      <c r="C33" s="28" t="s">
        <v>20</v>
      </c>
      <c r="D33" s="27">
        <v>3</v>
      </c>
      <c r="E33" s="26">
        <v>1.4778325123152709E-2</v>
      </c>
    </row>
    <row r="34" spans="2:5" ht="15" customHeight="1" x14ac:dyDescent="0.25">
      <c r="B34" s="73"/>
      <c r="C34" s="28" t="s">
        <v>19</v>
      </c>
      <c r="D34" s="27">
        <v>2</v>
      </c>
      <c r="E34" s="26">
        <v>9.852216748768473E-3</v>
      </c>
    </row>
    <row r="35" spans="2:5" ht="15" customHeight="1" x14ac:dyDescent="0.25">
      <c r="B35" s="74"/>
      <c r="C35" s="25" t="s">
        <v>18</v>
      </c>
      <c r="D35" s="24">
        <v>5</v>
      </c>
      <c r="E35" s="23">
        <v>2.4630541871921183E-2</v>
      </c>
    </row>
    <row r="36" spans="2:5" ht="15" customHeight="1" x14ac:dyDescent="0.25">
      <c r="B36" s="72" t="s">
        <v>31</v>
      </c>
      <c r="C36" s="28" t="s">
        <v>20</v>
      </c>
      <c r="D36" s="27">
        <v>9</v>
      </c>
      <c r="E36" s="26">
        <v>4.4334975369458129E-2</v>
      </c>
    </row>
    <row r="37" spans="2:5" ht="15" customHeight="1" x14ac:dyDescent="0.25">
      <c r="B37" s="73"/>
      <c r="C37" s="28" t="s">
        <v>19</v>
      </c>
      <c r="D37" s="27">
        <v>3</v>
      </c>
      <c r="E37" s="26">
        <v>1.4778325123152709E-2</v>
      </c>
    </row>
    <row r="38" spans="2:5" ht="15" customHeight="1" x14ac:dyDescent="0.25">
      <c r="B38" s="74"/>
      <c r="C38" s="25" t="s">
        <v>18</v>
      </c>
      <c r="D38" s="24">
        <v>12</v>
      </c>
      <c r="E38" s="23">
        <v>5.9113300492610835E-2</v>
      </c>
    </row>
    <row r="39" spans="2:5" ht="15" customHeight="1" x14ac:dyDescent="0.25">
      <c r="B39" s="72" t="s">
        <v>30</v>
      </c>
      <c r="C39" s="28" t="s">
        <v>20</v>
      </c>
      <c r="D39" s="27">
        <v>3</v>
      </c>
      <c r="E39" s="26">
        <v>1.4778325123152709E-2</v>
      </c>
    </row>
    <row r="40" spans="2:5" ht="15" customHeight="1" x14ac:dyDescent="0.25">
      <c r="B40" s="73"/>
      <c r="C40" s="28" t="s">
        <v>19</v>
      </c>
      <c r="D40" s="27">
        <v>2</v>
      </c>
      <c r="E40" s="26">
        <v>9.852216748768473E-3</v>
      </c>
    </row>
    <row r="41" spans="2:5" ht="15" customHeight="1" x14ac:dyDescent="0.25">
      <c r="B41" s="74"/>
      <c r="C41" s="25" t="s">
        <v>18</v>
      </c>
      <c r="D41" s="24">
        <v>5</v>
      </c>
      <c r="E41" s="23">
        <v>2.4630541871921183E-2</v>
      </c>
    </row>
    <row r="42" spans="2:5" ht="15" customHeight="1" x14ac:dyDescent="0.25">
      <c r="B42" s="72" t="s">
        <v>29</v>
      </c>
      <c r="C42" s="28" t="s">
        <v>20</v>
      </c>
      <c r="D42" s="27">
        <v>1</v>
      </c>
      <c r="E42" s="26">
        <v>4.9261083743842365E-3</v>
      </c>
    </row>
    <row r="43" spans="2:5" ht="15" customHeight="1" x14ac:dyDescent="0.25">
      <c r="B43" s="73"/>
      <c r="C43" s="28" t="s">
        <v>19</v>
      </c>
      <c r="D43" s="27">
        <v>1</v>
      </c>
      <c r="E43" s="26">
        <v>4.9261083743842365E-3</v>
      </c>
    </row>
    <row r="44" spans="2:5" ht="15" customHeight="1" x14ac:dyDescent="0.25">
      <c r="B44" s="74"/>
      <c r="C44" s="25" t="s">
        <v>18</v>
      </c>
      <c r="D44" s="24">
        <v>2</v>
      </c>
      <c r="E44" s="23">
        <v>9.852216748768473E-3</v>
      </c>
    </row>
    <row r="45" spans="2:5" ht="15" customHeight="1" x14ac:dyDescent="0.25">
      <c r="B45" s="72" t="s">
        <v>28</v>
      </c>
      <c r="C45" s="28" t="s">
        <v>20</v>
      </c>
      <c r="D45" s="27">
        <v>9</v>
      </c>
      <c r="E45" s="26">
        <v>4.4334975369458129E-2</v>
      </c>
    </row>
    <row r="46" spans="2:5" ht="15" customHeight="1" x14ac:dyDescent="0.25">
      <c r="B46" s="73"/>
      <c r="C46" s="28" t="s">
        <v>19</v>
      </c>
      <c r="D46" s="27">
        <v>2</v>
      </c>
      <c r="E46" s="26">
        <v>9.852216748768473E-3</v>
      </c>
    </row>
    <row r="47" spans="2:5" ht="15" customHeight="1" x14ac:dyDescent="0.25">
      <c r="B47" s="74"/>
      <c r="C47" s="25" t="s">
        <v>18</v>
      </c>
      <c r="D47" s="24">
        <v>11</v>
      </c>
      <c r="E47" s="23">
        <v>5.4187192118226604E-2</v>
      </c>
    </row>
    <row r="48" spans="2:5" ht="15" customHeight="1" x14ac:dyDescent="0.25">
      <c r="B48" s="72" t="s">
        <v>27</v>
      </c>
      <c r="C48" s="28" t="s">
        <v>20</v>
      </c>
      <c r="D48" s="27">
        <v>13</v>
      </c>
      <c r="E48" s="26">
        <v>6.4039408866995079E-2</v>
      </c>
    </row>
    <row r="49" spans="2:5" ht="15" customHeight="1" x14ac:dyDescent="0.25">
      <c r="B49" s="73"/>
      <c r="C49" s="28" t="s">
        <v>19</v>
      </c>
      <c r="D49" s="27">
        <v>7</v>
      </c>
      <c r="E49" s="26">
        <v>3.4482758620689655E-2</v>
      </c>
    </row>
    <row r="50" spans="2:5" ht="15" customHeight="1" x14ac:dyDescent="0.25">
      <c r="B50" s="74"/>
      <c r="C50" s="25" t="s">
        <v>18</v>
      </c>
      <c r="D50" s="24">
        <v>20</v>
      </c>
      <c r="E50" s="23">
        <v>9.8522167487684734E-2</v>
      </c>
    </row>
    <row r="51" spans="2:5" ht="15" customHeight="1" x14ac:dyDescent="0.25">
      <c r="B51" s="72" t="s">
        <v>26</v>
      </c>
      <c r="C51" s="28" t="s">
        <v>20</v>
      </c>
      <c r="D51" s="27">
        <v>2</v>
      </c>
      <c r="E51" s="26">
        <v>9.852216748768473E-3</v>
      </c>
    </row>
    <row r="52" spans="2:5" ht="15" customHeight="1" x14ac:dyDescent="0.25">
      <c r="B52" s="73"/>
      <c r="C52" s="28" t="s">
        <v>19</v>
      </c>
      <c r="D52" s="27">
        <v>2</v>
      </c>
      <c r="E52" s="26">
        <v>9.852216748768473E-3</v>
      </c>
    </row>
    <row r="53" spans="2:5" ht="15" customHeight="1" x14ac:dyDescent="0.25">
      <c r="B53" s="74"/>
      <c r="C53" s="25" t="s">
        <v>18</v>
      </c>
      <c r="D53" s="24">
        <v>4</v>
      </c>
      <c r="E53" s="23">
        <v>1.9704433497536946E-2</v>
      </c>
    </row>
    <row r="54" spans="2:5" ht="15" customHeight="1" x14ac:dyDescent="0.25">
      <c r="B54" s="72" t="s">
        <v>25</v>
      </c>
      <c r="C54" s="28" t="s">
        <v>19</v>
      </c>
      <c r="D54" s="27">
        <v>4</v>
      </c>
      <c r="E54" s="26">
        <v>1.9704433497536946E-2</v>
      </c>
    </row>
    <row r="55" spans="2:5" ht="15" customHeight="1" x14ac:dyDescent="0.25">
      <c r="B55" s="74"/>
      <c r="C55" s="25" t="s">
        <v>18</v>
      </c>
      <c r="D55" s="24">
        <v>4</v>
      </c>
      <c r="E55" s="23">
        <v>1.9704433497536946E-2</v>
      </c>
    </row>
    <row r="56" spans="2:5" ht="15" customHeight="1" x14ac:dyDescent="0.25">
      <c r="B56" s="72" t="s">
        <v>24</v>
      </c>
      <c r="C56" s="28" t="s">
        <v>19</v>
      </c>
      <c r="D56" s="27">
        <v>2</v>
      </c>
      <c r="E56" s="26">
        <v>9.852216748768473E-3</v>
      </c>
    </row>
    <row r="57" spans="2:5" ht="15" customHeight="1" x14ac:dyDescent="0.25">
      <c r="B57" s="74"/>
      <c r="C57" s="25" t="s">
        <v>18</v>
      </c>
      <c r="D57" s="24">
        <v>2</v>
      </c>
      <c r="E57" s="23">
        <v>9.852216748768473E-3</v>
      </c>
    </row>
    <row r="58" spans="2:5" ht="15" customHeight="1" x14ac:dyDescent="0.25">
      <c r="B58" s="72" t="s">
        <v>23</v>
      </c>
      <c r="C58" s="28" t="s">
        <v>20</v>
      </c>
      <c r="D58" s="27">
        <v>1</v>
      </c>
      <c r="E58" s="26">
        <v>4.9261083743842365E-3</v>
      </c>
    </row>
    <row r="59" spans="2:5" ht="15" customHeight="1" x14ac:dyDescent="0.25">
      <c r="B59" s="73"/>
      <c r="C59" s="28" t="s">
        <v>19</v>
      </c>
      <c r="D59" s="27">
        <v>1</v>
      </c>
      <c r="E59" s="26">
        <v>4.9261083743842365E-3</v>
      </c>
    </row>
    <row r="60" spans="2:5" ht="15" customHeight="1" x14ac:dyDescent="0.25">
      <c r="B60" s="74"/>
      <c r="C60" s="25" t="s">
        <v>18</v>
      </c>
      <c r="D60" s="24">
        <v>2</v>
      </c>
      <c r="E60" s="23">
        <v>9.852216748768473E-3</v>
      </c>
    </row>
    <row r="61" spans="2:5" ht="15" customHeight="1" x14ac:dyDescent="0.25">
      <c r="B61" s="72" t="s">
        <v>22</v>
      </c>
      <c r="C61" s="28" t="s">
        <v>19</v>
      </c>
      <c r="D61" s="27">
        <v>1</v>
      </c>
      <c r="E61" s="26">
        <v>4.9261083743842365E-3</v>
      </c>
    </row>
    <row r="62" spans="2:5" ht="15" customHeight="1" x14ac:dyDescent="0.25">
      <c r="B62" s="74"/>
      <c r="C62" s="25" t="s">
        <v>18</v>
      </c>
      <c r="D62" s="24">
        <v>1</v>
      </c>
      <c r="E62" s="23">
        <v>4.9261083743842365E-3</v>
      </c>
    </row>
    <row r="63" spans="2:5" ht="15" customHeight="1" x14ac:dyDescent="0.25">
      <c r="B63" s="72" t="s">
        <v>21</v>
      </c>
      <c r="C63" s="28" t="s">
        <v>20</v>
      </c>
      <c r="D63" s="27">
        <v>7</v>
      </c>
      <c r="E63" s="26">
        <v>3.4482758620689655E-2</v>
      </c>
    </row>
    <row r="64" spans="2:5" ht="15" customHeight="1" x14ac:dyDescent="0.25">
      <c r="B64" s="73"/>
      <c r="C64" s="28" t="s">
        <v>19</v>
      </c>
      <c r="D64" s="27">
        <v>4</v>
      </c>
      <c r="E64" s="26">
        <v>1.9704433497536946E-2</v>
      </c>
    </row>
    <row r="65" spans="2:5" ht="15" customHeight="1" x14ac:dyDescent="0.25">
      <c r="B65" s="74"/>
      <c r="C65" s="25" t="s">
        <v>18</v>
      </c>
      <c r="D65" s="24">
        <v>11</v>
      </c>
      <c r="E65" s="23">
        <v>5.4187192118226604E-2</v>
      </c>
    </row>
    <row r="66" spans="2:5" ht="15" customHeight="1" x14ac:dyDescent="0.25">
      <c r="B66" s="70" t="s">
        <v>18</v>
      </c>
      <c r="C66" s="71"/>
      <c r="D66" s="22">
        <f>SUMIF(C10:C65,"TOTAL",D10:D65)</f>
        <v>203</v>
      </c>
      <c r="E66" s="21">
        <v>1</v>
      </c>
    </row>
    <row r="68" spans="2:5" ht="15" customHeight="1" x14ac:dyDescent="0.25">
      <c r="B68" s="18" t="s">
        <v>17</v>
      </c>
    </row>
    <row r="69" spans="2:5" ht="15" customHeight="1" x14ac:dyDescent="0.25">
      <c r="B69" s="20" t="s">
        <v>16</v>
      </c>
    </row>
    <row r="70" spans="2:5" ht="15" customHeight="1" x14ac:dyDescent="0.25">
      <c r="B70" s="19" t="s">
        <v>15</v>
      </c>
    </row>
    <row r="71" spans="2:5" ht="15" customHeight="1" x14ac:dyDescent="0.25">
      <c r="B71" s="18" t="s">
        <v>14</v>
      </c>
    </row>
    <row r="72" spans="2:5" ht="15" customHeight="1" x14ac:dyDescent="0.25">
      <c r="B72" s="18" t="s">
        <v>13</v>
      </c>
    </row>
    <row r="485" spans="2:2" s="15" customFormat="1" ht="15" customHeight="1" x14ac:dyDescent="0.25">
      <c r="B485" s="16"/>
    </row>
    <row r="486" spans="2:2" s="15" customFormat="1" ht="15" customHeight="1" x14ac:dyDescent="0.25">
      <c r="B486" s="17"/>
    </row>
    <row r="487" spans="2:2" s="15" customFormat="1" ht="15" customHeight="1" x14ac:dyDescent="0.25">
      <c r="B487" s="17"/>
    </row>
    <row r="488" spans="2:2" s="15" customFormat="1" ht="15" customHeight="1" x14ac:dyDescent="0.25">
      <c r="B488" s="16"/>
    </row>
    <row r="489" spans="2:2" s="15" customFormat="1" ht="15" customHeight="1" x14ac:dyDescent="0.25">
      <c r="B489" s="16"/>
    </row>
  </sheetData>
  <mergeCells count="23">
    <mergeCell ref="B20:B21"/>
    <mergeCell ref="B7:E8"/>
    <mergeCell ref="B10:B11"/>
    <mergeCell ref="B12:B14"/>
    <mergeCell ref="B15:B16"/>
    <mergeCell ref="B17:B19"/>
    <mergeCell ref="B58:B60"/>
    <mergeCell ref="B61:B62"/>
    <mergeCell ref="B63:B65"/>
    <mergeCell ref="B66:C66"/>
    <mergeCell ref="B48:B50"/>
    <mergeCell ref="B51:B53"/>
    <mergeCell ref="B54:B55"/>
    <mergeCell ref="B22:B24"/>
    <mergeCell ref="B25:B26"/>
    <mergeCell ref="B27:B29"/>
    <mergeCell ref="B56:B57"/>
    <mergeCell ref="B30:B32"/>
    <mergeCell ref="B33:B35"/>
    <mergeCell ref="B36:B38"/>
    <mergeCell ref="B39:B41"/>
    <mergeCell ref="B42:B44"/>
    <mergeCell ref="B45:B4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0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5"/>
      <c r="C7" s="75"/>
      <c r="D7" s="75"/>
      <c r="E7" s="75"/>
    </row>
    <row r="8" spans="1:5" s="34" customFormat="1" ht="33" customHeight="1" x14ac:dyDescent="0.3">
      <c r="A8" s="35"/>
      <c r="B8" s="75"/>
      <c r="C8" s="75"/>
      <c r="D8" s="75"/>
      <c r="E8" s="75"/>
    </row>
    <row r="9" spans="1:5" s="30" customFormat="1" ht="40.5" customHeight="1" x14ac:dyDescent="0.2">
      <c r="B9" s="31" t="s">
        <v>44</v>
      </c>
      <c r="C9" s="33" t="s">
        <v>80</v>
      </c>
      <c r="D9" s="32" t="s">
        <v>43</v>
      </c>
      <c r="E9" s="31" t="s">
        <v>42</v>
      </c>
    </row>
    <row r="10" spans="1:5" ht="15" customHeight="1" x14ac:dyDescent="0.25">
      <c r="B10" s="72" t="s">
        <v>20</v>
      </c>
      <c r="C10" s="28" t="s">
        <v>79</v>
      </c>
      <c r="D10" s="27">
        <v>1</v>
      </c>
      <c r="E10" s="26">
        <v>4.9261083743842365E-3</v>
      </c>
    </row>
    <row r="11" spans="1:5" ht="15" customHeight="1" x14ac:dyDescent="0.25">
      <c r="B11" s="73"/>
      <c r="C11" s="28" t="s">
        <v>78</v>
      </c>
      <c r="D11" s="27">
        <v>18</v>
      </c>
      <c r="E11" s="26">
        <v>8.8669950738916259E-2</v>
      </c>
    </row>
    <row r="12" spans="1:5" ht="15" customHeight="1" x14ac:dyDescent="0.25">
      <c r="B12" s="73"/>
      <c r="C12" s="28" t="s">
        <v>77</v>
      </c>
      <c r="D12" s="27">
        <v>55</v>
      </c>
      <c r="E12" s="26">
        <v>0.27093596059113301</v>
      </c>
    </row>
    <row r="13" spans="1:5" ht="15" customHeight="1" x14ac:dyDescent="0.25">
      <c r="B13" s="73"/>
      <c r="C13" s="28" t="s">
        <v>76</v>
      </c>
      <c r="D13" s="27">
        <v>39</v>
      </c>
      <c r="E13" s="26">
        <v>0.19211822660098521</v>
      </c>
    </row>
    <row r="14" spans="1:5" ht="15" customHeight="1" x14ac:dyDescent="0.25">
      <c r="B14" s="74"/>
      <c r="C14" s="28" t="s">
        <v>75</v>
      </c>
      <c r="D14" s="27">
        <v>16</v>
      </c>
      <c r="E14" s="26">
        <v>7.8817733990147784E-2</v>
      </c>
    </row>
    <row r="15" spans="1:5" s="29" customFormat="1" ht="15" customHeight="1" x14ac:dyDescent="0.2">
      <c r="B15" s="72" t="s">
        <v>19</v>
      </c>
      <c r="C15" s="28" t="s">
        <v>78</v>
      </c>
      <c r="D15" s="27">
        <v>11</v>
      </c>
      <c r="E15" s="26">
        <v>5.4187192118226604E-2</v>
      </c>
    </row>
    <row r="16" spans="1:5" s="29" customFormat="1" ht="15" customHeight="1" x14ac:dyDescent="0.2">
      <c r="B16" s="73"/>
      <c r="C16" s="28" t="s">
        <v>77</v>
      </c>
      <c r="D16" s="27">
        <v>27</v>
      </c>
      <c r="E16" s="26">
        <v>0.13300492610837439</v>
      </c>
    </row>
    <row r="17" spans="2:5" s="29" customFormat="1" ht="15" customHeight="1" x14ac:dyDescent="0.2">
      <c r="B17" s="73"/>
      <c r="C17" s="28" t="s">
        <v>76</v>
      </c>
      <c r="D17" s="27">
        <v>24</v>
      </c>
      <c r="E17" s="26">
        <v>0.11822660098522167</v>
      </c>
    </row>
    <row r="18" spans="2:5" s="29" customFormat="1" ht="15" customHeight="1" x14ac:dyDescent="0.2">
      <c r="B18" s="73"/>
      <c r="C18" s="28" t="s">
        <v>75</v>
      </c>
      <c r="D18" s="27">
        <v>11</v>
      </c>
      <c r="E18" s="26">
        <v>5.4187192118226604E-2</v>
      </c>
    </row>
    <row r="19" spans="2:5" s="29" customFormat="1" ht="15" customHeight="1" x14ac:dyDescent="0.2">
      <c r="B19" s="74"/>
      <c r="C19" s="28" t="s">
        <v>74</v>
      </c>
      <c r="D19" s="27">
        <v>1</v>
      </c>
      <c r="E19" s="26">
        <v>4.9261083743842365E-3</v>
      </c>
    </row>
    <row r="20" spans="2:5" ht="15" customHeight="1" x14ac:dyDescent="0.25">
      <c r="B20" s="70" t="s">
        <v>18</v>
      </c>
      <c r="C20" s="71"/>
      <c r="D20" s="22">
        <v>203</v>
      </c>
      <c r="E20" s="21">
        <v>1</v>
      </c>
    </row>
    <row r="22" spans="2:5" ht="15" customHeight="1" x14ac:dyDescent="0.25">
      <c r="B22" s="18" t="s">
        <v>17</v>
      </c>
    </row>
    <row r="23" spans="2:5" ht="15" customHeight="1" x14ac:dyDescent="0.25">
      <c r="B23" s="20" t="s">
        <v>16</v>
      </c>
    </row>
    <row r="24" spans="2:5" ht="15" customHeight="1" x14ac:dyDescent="0.25">
      <c r="B24" s="19" t="s">
        <v>15</v>
      </c>
    </row>
    <row r="25" spans="2:5" ht="15" customHeight="1" x14ac:dyDescent="0.25">
      <c r="B25" s="18" t="s">
        <v>14</v>
      </c>
    </row>
    <row r="26" spans="2:5" ht="15" customHeight="1" x14ac:dyDescent="0.25">
      <c r="B26" s="18" t="s">
        <v>13</v>
      </c>
    </row>
    <row r="485" spans="2:2" s="15" customFormat="1" ht="15" customHeight="1" x14ac:dyDescent="0.25">
      <c r="B485" s="16"/>
    </row>
    <row r="486" spans="2:2" s="15" customFormat="1" ht="15" customHeight="1" x14ac:dyDescent="0.25">
      <c r="B486" s="17"/>
    </row>
    <row r="487" spans="2:2" s="15" customFormat="1" ht="15" customHeight="1" x14ac:dyDescent="0.25">
      <c r="B487" s="17"/>
    </row>
    <row r="488" spans="2:2" s="15" customFormat="1" ht="15" customHeight="1" x14ac:dyDescent="0.25">
      <c r="B488" s="16"/>
    </row>
    <row r="489" spans="2:2" s="15" customFormat="1" ht="15" customHeight="1" x14ac:dyDescent="0.25">
      <c r="B489" s="16"/>
    </row>
  </sheetData>
  <mergeCells count="4">
    <mergeCell ref="B7:E8"/>
    <mergeCell ref="B10:B14"/>
    <mergeCell ref="B15:B19"/>
    <mergeCell ref="B20:C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3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69" t="s">
        <v>102</v>
      </c>
      <c r="C7" s="69"/>
      <c r="D7" s="69"/>
    </row>
    <row r="8" spans="2:4" s="30" customFormat="1" ht="15" customHeight="1" x14ac:dyDescent="0.2">
      <c r="B8" s="69"/>
      <c r="C8" s="69"/>
      <c r="D8" s="69"/>
    </row>
    <row r="9" spans="2:4" s="30" customFormat="1" ht="33" customHeight="1" x14ac:dyDescent="0.2">
      <c r="B9" s="69"/>
      <c r="C9" s="69"/>
      <c r="D9" s="69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101</v>
      </c>
      <c r="C11" s="52" t="s">
        <v>43</v>
      </c>
      <c r="D11" s="51" t="s">
        <v>42</v>
      </c>
    </row>
    <row r="12" spans="2:4" ht="15" customHeight="1" x14ac:dyDescent="0.25">
      <c r="B12" s="49" t="s">
        <v>100</v>
      </c>
      <c r="C12" s="48">
        <v>140</v>
      </c>
      <c r="D12" s="47">
        <v>0.68965517241379315</v>
      </c>
    </row>
    <row r="13" spans="2:4" x14ac:dyDescent="0.25">
      <c r="B13" s="49" t="s">
        <v>99</v>
      </c>
      <c r="C13" s="48">
        <v>28</v>
      </c>
      <c r="D13" s="47">
        <v>0.13793103448275862</v>
      </c>
    </row>
    <row r="14" spans="2:4" s="50" customFormat="1" ht="15.75" x14ac:dyDescent="0.25">
      <c r="B14" s="49" t="s">
        <v>98</v>
      </c>
      <c r="C14" s="48">
        <v>9</v>
      </c>
      <c r="D14" s="47">
        <v>4.4334975369458129E-2</v>
      </c>
    </row>
    <row r="15" spans="2:4" s="50" customFormat="1" ht="15.75" x14ac:dyDescent="0.25">
      <c r="B15" s="49" t="s">
        <v>97</v>
      </c>
      <c r="C15" s="48">
        <v>7</v>
      </c>
      <c r="D15" s="47">
        <v>3.4482758620689655E-2</v>
      </c>
    </row>
    <row r="16" spans="2:4" x14ac:dyDescent="0.25">
      <c r="B16" s="49" t="s">
        <v>96</v>
      </c>
      <c r="C16" s="48">
        <v>4</v>
      </c>
      <c r="D16" s="47">
        <v>1.9704433497536946E-2</v>
      </c>
    </row>
    <row r="17" spans="2:4" x14ac:dyDescent="0.25">
      <c r="B17" s="49" t="s">
        <v>95</v>
      </c>
      <c r="C17" s="48">
        <v>3</v>
      </c>
      <c r="D17" s="47">
        <v>1.4778325123152709E-2</v>
      </c>
    </row>
    <row r="18" spans="2:4" x14ac:dyDescent="0.25">
      <c r="B18" s="49" t="s">
        <v>94</v>
      </c>
      <c r="C18" s="48">
        <v>2</v>
      </c>
      <c r="D18" s="47">
        <v>9.852216748768473E-3</v>
      </c>
    </row>
    <row r="19" spans="2:4" x14ac:dyDescent="0.25">
      <c r="B19" s="49" t="s">
        <v>93</v>
      </c>
      <c r="C19" s="48">
        <v>2</v>
      </c>
      <c r="D19" s="47">
        <v>9.852216748768473E-3</v>
      </c>
    </row>
    <row r="20" spans="2:4" x14ac:dyDescent="0.25">
      <c r="B20" s="49" t="s">
        <v>92</v>
      </c>
      <c r="C20" s="48">
        <v>2</v>
      </c>
      <c r="D20" s="47">
        <v>9.852216748768473E-3</v>
      </c>
    </row>
    <row r="21" spans="2:4" x14ac:dyDescent="0.25">
      <c r="B21" s="49" t="s">
        <v>91</v>
      </c>
      <c r="C21" s="48">
        <v>1</v>
      </c>
      <c r="D21" s="47">
        <v>4.9261083743842365E-3</v>
      </c>
    </row>
    <row r="22" spans="2:4" x14ac:dyDescent="0.25">
      <c r="B22" s="49" t="s">
        <v>90</v>
      </c>
      <c r="C22" s="48">
        <v>1</v>
      </c>
      <c r="D22" s="47">
        <v>4.9261083743842365E-3</v>
      </c>
    </row>
    <row r="23" spans="2:4" x14ac:dyDescent="0.25">
      <c r="B23" s="49" t="s">
        <v>89</v>
      </c>
      <c r="C23" s="48">
        <v>1</v>
      </c>
      <c r="D23" s="47">
        <v>4.9261083743842365E-3</v>
      </c>
    </row>
    <row r="24" spans="2:4" x14ac:dyDescent="0.25">
      <c r="B24" s="49" t="s">
        <v>88</v>
      </c>
      <c r="C24" s="48">
        <v>1</v>
      </c>
      <c r="D24" s="47">
        <v>4.9261083743842365E-3</v>
      </c>
    </row>
    <row r="25" spans="2:4" x14ac:dyDescent="0.25">
      <c r="B25" s="49" t="s">
        <v>87</v>
      </c>
      <c r="C25" s="48">
        <v>1</v>
      </c>
      <c r="D25" s="47">
        <v>4.9261083743842365E-3</v>
      </c>
    </row>
    <row r="26" spans="2:4" x14ac:dyDescent="0.25">
      <c r="B26" s="49" t="s">
        <v>86</v>
      </c>
      <c r="C26" s="48">
        <v>1</v>
      </c>
      <c r="D26" s="47">
        <v>4.9261083743842365E-3</v>
      </c>
    </row>
    <row r="27" spans="2:4" x14ac:dyDescent="0.25">
      <c r="B27" s="46" t="s">
        <v>18</v>
      </c>
      <c r="C27" s="45">
        <v>203</v>
      </c>
      <c r="D27" s="44">
        <v>1</v>
      </c>
    </row>
    <row r="29" spans="2:4" x14ac:dyDescent="0.25">
      <c r="B29" s="18" t="s">
        <v>17</v>
      </c>
    </row>
    <row r="30" spans="2:4" x14ac:dyDescent="0.25">
      <c r="B30" s="20" t="s">
        <v>16</v>
      </c>
    </row>
    <row r="31" spans="2:4" x14ac:dyDescent="0.25">
      <c r="B31" s="19" t="s">
        <v>15</v>
      </c>
    </row>
    <row r="32" spans="2:4" x14ac:dyDescent="0.25">
      <c r="B32" s="18" t="s">
        <v>14</v>
      </c>
    </row>
    <row r="33" spans="2:2" x14ac:dyDescent="0.25">
      <c r="B33" s="18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Rhode Island_Edomexgral</vt:lpstr>
      <vt:lpstr>Rhode Island_EDOMEX</vt:lpstr>
      <vt:lpstr>Rhode Island_Educagral</vt:lpstr>
      <vt:lpstr>Rhode Island_Eduedo</vt:lpstr>
      <vt:lpstr>Rhode Island_gengral18</vt:lpstr>
      <vt:lpstr>Rhode Island_edomexgen</vt:lpstr>
      <vt:lpstr>Rhode Island_edadgen</vt:lpstr>
      <vt:lpstr>Rhode Island_ocupgral18</vt:lpstr>
      <vt:lpstr>'Rhode Island_edadgen'!Área_de_impresión</vt:lpstr>
      <vt:lpstr>'Rhode Island_EDOMEX'!Área_de_impresión</vt:lpstr>
      <vt:lpstr>'Rhode Island_edomexgen'!Área_de_impresión</vt:lpstr>
      <vt:lpstr>'Rhode Island_Eduedo'!Área_de_impresión</vt:lpstr>
      <vt:lpstr>'Rhode Island_edadgen'!Títulos_a_imprimir</vt:lpstr>
      <vt:lpstr>'Rhode Island_EDOMEX'!Títulos_a_imprimir</vt:lpstr>
      <vt:lpstr>'Rhode Island_edomexgen'!Títulos_a_imprimir</vt:lpstr>
      <vt:lpstr>'Rhode Island_Edomexgral'!Títulos_a_imprimir</vt:lpstr>
      <vt:lpstr>'Rhode Island_Educagral'!Títulos_a_imprimir</vt:lpstr>
      <vt:lpstr>'Rhode Island_Eduedo'!Títulos_a_imprimir</vt:lpstr>
      <vt:lpstr>'Rhode Island_gengral18'!Títulos_a_imprimir</vt:lpstr>
      <vt:lpstr>'Rhode Island_ocupgral18'!Títulos_a_imprimir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García Ayala, Miguel Ángel</cp:lastModifiedBy>
  <dcterms:created xsi:type="dcterms:W3CDTF">2019-12-17T21:51:29Z</dcterms:created>
  <dcterms:modified xsi:type="dcterms:W3CDTF">2019-12-20T23:58:45Z</dcterms:modified>
</cp:coreProperties>
</file>