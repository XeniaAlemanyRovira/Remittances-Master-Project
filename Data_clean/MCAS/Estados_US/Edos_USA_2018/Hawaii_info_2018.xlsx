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ssime05\Desktop\CONS\CONS\1)EdoUSA_archivo_único\"/>
    </mc:Choice>
  </mc:AlternateContent>
  <bookViews>
    <workbookView xWindow="0" yWindow="0" windowWidth="24000" windowHeight="9345" tabRatio="942"/>
  </bookViews>
  <sheets>
    <sheet name="Índice" sheetId="1" r:id="rId1"/>
    <sheet name="Hawaii_edomexgen" sheetId="2" r:id="rId2"/>
    <sheet name="Hawaii_EDOMEX" sheetId="9" r:id="rId3"/>
    <sheet name="Hawaii_Educagral" sheetId="4" r:id="rId4"/>
    <sheet name="Hawaii_Eduedo" sheetId="3" r:id="rId5"/>
    <sheet name="Hawaii_gengral18" sheetId="6" r:id="rId6"/>
    <sheet name="Hawaii_Edomexgral" sheetId="7" r:id="rId7"/>
    <sheet name="Hawaii_edadgen" sheetId="5" r:id="rId8"/>
    <sheet name="Hawaii_ocupgral18" sheetId="8" r:id="rId9"/>
  </sheets>
  <definedNames>
    <definedName name="_xlnm._FilterDatabase" localSheetId="7" hidden="1">Hawaii_edadgen!$B$9:$E$13</definedName>
    <definedName name="_xlnm._FilterDatabase" localSheetId="2" hidden="1">Hawaii_EDOMEX!$B$9:$E$13</definedName>
    <definedName name="_xlnm._FilterDatabase" localSheetId="1" hidden="1">Hawaii_edomexgen!$B$9:$E$13</definedName>
    <definedName name="_xlnm._FilterDatabase" localSheetId="6" hidden="1">Hawaii_Edomexgral!$B$11:$D$12</definedName>
    <definedName name="_xlnm._FilterDatabase" localSheetId="3" hidden="1">Hawaii_Educagral!$B$11:$D$12</definedName>
    <definedName name="_xlnm._FilterDatabase" localSheetId="4" hidden="1">Hawaii_Eduedo!$B$9:$E$13</definedName>
    <definedName name="_xlnm._FilterDatabase" localSheetId="5" hidden="1">Hawaii_gengral18!$B$11:$D$12</definedName>
    <definedName name="_xlnm._FilterDatabase" localSheetId="8" hidden="1">Hawaii_ocupgral18!$B$11:$D$12</definedName>
    <definedName name="_xlnm.Print_Area" localSheetId="7">Hawaii_edadgen!$A$1:$E$27</definedName>
    <definedName name="_xlnm.Print_Area" localSheetId="2">Hawaii_EDOMEX!$A$1:$E$135</definedName>
    <definedName name="_xlnm.Print_Area" localSheetId="1">Hawaii_edomexgen!$A$1:$E$72</definedName>
    <definedName name="_xlnm.Print_Area" localSheetId="4">Hawaii_Eduedo!$A$1:$E$115</definedName>
    <definedName name="_xlnm.Print_Titles" localSheetId="7">Hawaii_edadgen!$1:$9</definedName>
    <definedName name="_xlnm.Print_Titles" localSheetId="2">Hawaii_EDOMEX!$1:$9</definedName>
    <definedName name="_xlnm.Print_Titles" localSheetId="1">Hawaii_edomexgen!$1:$9</definedName>
    <definedName name="_xlnm.Print_Titles" localSheetId="6">Hawaii_Edomexgral!$1:$11</definedName>
    <definedName name="_xlnm.Print_Titles" localSheetId="3">Hawaii_Educagral!$1:$11</definedName>
    <definedName name="_xlnm.Print_Titles" localSheetId="4">Hawaii_Eduedo!$1:$9</definedName>
    <definedName name="_xlnm.Print_Titles" localSheetId="5">Hawaii_gengral18!$1:$11</definedName>
    <definedName name="_xlnm.Print_Titles" localSheetId="8">Hawaii_ocupgral18!$1:$11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29" i="9" l="1"/>
  <c r="D66" i="2"/>
</calcChain>
</file>

<file path=xl/sharedStrings.xml><?xml version="1.0" encoding="utf-8"?>
<sst xmlns="http://schemas.openxmlformats.org/spreadsheetml/2006/main" count="504" uniqueCount="201">
  <si>
    <t xml:space="preserve">Da clic al texto para ir a la información, selecciona                 para regresar. </t>
  </si>
  <si>
    <t>1. Por Estados de la República Mexicana</t>
  </si>
  <si>
    <t>2. Por Municipio de origen</t>
  </si>
  <si>
    <t>3. Por Nivel Educativo</t>
  </si>
  <si>
    <t>4. Por Género</t>
  </si>
  <si>
    <t>5. Por estructura de Edad</t>
  </si>
  <si>
    <t>6. Por Ocupación</t>
  </si>
  <si>
    <t>2.1 Por estado de la República Mexicana y municipio de origen</t>
  </si>
  <si>
    <t>3.1 Educación general</t>
  </si>
  <si>
    <t>3.2 Por Estado de la República Mexicana</t>
  </si>
  <si>
    <t>4.1 Género General</t>
  </si>
  <si>
    <t>4.2 Por Estados de la República Mexicana</t>
  </si>
  <si>
    <t>Matrículas consulares expedidas a mexicanos  en el estado de Hawaii en el 2018</t>
  </si>
  <si>
    <t>Diciembre de 2019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</si>
  <si>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</si>
  <si>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</si>
  <si>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</si>
  <si>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794,748</t>
  </si>
  <si>
    <t>Total</t>
  </si>
  <si>
    <t>Mujer</t>
  </si>
  <si>
    <t>Yucatán</t>
  </si>
  <si>
    <t>Hombre</t>
  </si>
  <si>
    <t>Veracruz</t>
  </si>
  <si>
    <t>Tlaxcala</t>
  </si>
  <si>
    <t>Tamaulipas</t>
  </si>
  <si>
    <t>Tabasco</t>
  </si>
  <si>
    <t>Sonora</t>
  </si>
  <si>
    <t>Sinaloa</t>
  </si>
  <si>
    <t>Querétaro</t>
  </si>
  <si>
    <t>Puebla</t>
  </si>
  <si>
    <t>Oaxaca</t>
  </si>
  <si>
    <t>Nayarit</t>
  </si>
  <si>
    <t>Morelos</t>
  </si>
  <si>
    <t>Michoacán</t>
  </si>
  <si>
    <t>Jalisco</t>
  </si>
  <si>
    <t>Guerrero</t>
  </si>
  <si>
    <t>Guanajuato</t>
  </si>
  <si>
    <t>Estado de México</t>
  </si>
  <si>
    <t>Durango</t>
  </si>
  <si>
    <t>Ciudad de México</t>
  </si>
  <si>
    <t>Chiapas</t>
  </si>
  <si>
    <t>Campeche</t>
  </si>
  <si>
    <t>Baja California</t>
  </si>
  <si>
    <t>Porcentaje de Matrículas</t>
  </si>
  <si>
    <t>Número de Matrículas</t>
  </si>
  <si>
    <t>Género</t>
  </si>
  <si>
    <t>Estado de Origen</t>
  </si>
  <si>
    <t>Posgrado [Maestría]</t>
  </si>
  <si>
    <t>Profesional titulado</t>
  </si>
  <si>
    <t>Profesional pasante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</si>
  <si>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</si>
  <si>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</si>
  <si>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</si>
  <si>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</si>
  <si>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</si>
  <si>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</si>
  <si>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</si>
  <si>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</si>
  <si>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</si>
  <si>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</si>
  <si>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</si>
  <si>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</si>
  <si>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4° Primaria</t>
  </si>
  <si>
    <t>3° Primaria</t>
  </si>
  <si>
    <t>2° Primaria</t>
  </si>
  <si>
    <t>1° Primaria</t>
  </si>
  <si>
    <t>Sin Estudios</t>
  </si>
  <si>
    <t>Nivel de Estudios</t>
  </si>
  <si>
    <t>Posgrado [Doctorado]</t>
  </si>
  <si>
    <t>Profesional Titulado</t>
  </si>
  <si>
    <t>4° Año de profesional</t>
  </si>
  <si>
    <t>Capacitación Técnica</t>
  </si>
  <si>
    <t>5° Primaria</t>
  </si>
  <si>
    <t>Menores de edad</t>
  </si>
  <si>
    <t>MATRÍCULAS CONSULARES EXPEDIDAS EN EL ESTADO DE HAWAII EN EE.UU. POR NIVEL DE EDUCACIÓN</t>
  </si>
  <si>
    <t>Más de 75 Años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</si>
  <si>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</si>
  <si>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</si>
  <si>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</si>
  <si>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</si>
  <si>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</si>
  <si>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</si>
  <si>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Edad cumplida</t>
  </si>
  <si>
    <t>TOTAL</t>
  </si>
  <si>
    <t>MUJER</t>
  </si>
  <si>
    <t>HOMBRE</t>
  </si>
  <si>
    <t>MATRÍCULAS CONSULARES DE ALTA SEGURIDAD EXPEDIDAS EN EE.UU A MEXICANOS EN EL ESTADO DE HAWAII, POR GÉNERO 2018</t>
  </si>
  <si>
    <t>MATRÍCULAS CONSULARES DE ALTA SEGURIDAD EXPEDIDAS EN EL ESTADO DE HAWAII EN EE.UU. POR ESTADO DE LA REPÚBLICA MEXICANA DURANTE EL 2018</t>
  </si>
  <si>
    <t>Profesionista</t>
  </si>
  <si>
    <t>Mesero(a)</t>
  </si>
  <si>
    <t>Pintor(a)</t>
  </si>
  <si>
    <t>Albañil</t>
  </si>
  <si>
    <t>Comerciante</t>
  </si>
  <si>
    <t>Estudiante</t>
  </si>
  <si>
    <t>Campesino(a)</t>
  </si>
  <si>
    <t>Otro</t>
  </si>
  <si>
    <t>Obrero(a)</t>
  </si>
  <si>
    <t>Jardinero(a)</t>
  </si>
  <si>
    <t>Cocinero(a)</t>
  </si>
  <si>
    <t>Hogar</t>
  </si>
  <si>
    <t>Empleado(a)</t>
  </si>
  <si>
    <t>Ocupación</t>
  </si>
  <si>
    <t>MATRÍCULAS CONSULARES DE ALTA SEGURIDAD EXPEDIDAS EN EE.UU A MEXICANOS EN EL ESTADO DE  HAWAII, POR PERFIL OCUPACIONAL 2018</t>
  </si>
  <si>
    <t>Mérida</t>
  </si>
  <si>
    <t>Xalapa</t>
  </si>
  <si>
    <t>Tierra Blanca</t>
  </si>
  <si>
    <t>Las Choapas</t>
  </si>
  <si>
    <t>Chicontepec</t>
  </si>
  <si>
    <t>Natívitas</t>
  </si>
  <si>
    <t>Nuevo Laredo</t>
  </si>
  <si>
    <t>Huimanguillo</t>
  </si>
  <si>
    <t>Fronteras</t>
  </si>
  <si>
    <t>Cajeme</t>
  </si>
  <si>
    <t>Mazatlán</t>
  </si>
  <si>
    <t>Cadereyta de Montes</t>
  </si>
  <si>
    <t>Tlachichuca</t>
  </si>
  <si>
    <t>Mazapiltepec de Juárez</t>
  </si>
  <si>
    <t>Los Reyes de Juárez</t>
  </si>
  <si>
    <t>Libres</t>
  </si>
  <si>
    <t>Cuayuca de Andrade</t>
  </si>
  <si>
    <t>Cohetzala</t>
  </si>
  <si>
    <t>Aquixtla</t>
  </si>
  <si>
    <t>Santa María Tonameca</t>
  </si>
  <si>
    <t>San Miguel Coatlán</t>
  </si>
  <si>
    <t>San Juan Mixtepec - Distr. 08 -</t>
  </si>
  <si>
    <t>San Juan Bautista Cuicatlán</t>
  </si>
  <si>
    <t>San Esteban Atatlahuca</t>
  </si>
  <si>
    <t>Oaxaca de Juárez</t>
  </si>
  <si>
    <t>Miahuatlán de Porfirio Díaz</t>
  </si>
  <si>
    <t>Heroica Ciudad de Juchitán de Zaragoza</t>
  </si>
  <si>
    <t>Ixpantepec Nieves</t>
  </si>
  <si>
    <t>Heroica Ciudad de Ejutla de Crespo</t>
  </si>
  <si>
    <t>Chalcatongo de Hidalgo</t>
  </si>
  <si>
    <t>Tuxpan</t>
  </si>
  <si>
    <t>Tepic</t>
  </si>
  <si>
    <t>Santiago Ixcuintla</t>
  </si>
  <si>
    <t>Santa María del Oro</t>
  </si>
  <si>
    <t>San Blas</t>
  </si>
  <si>
    <t>La Yesca</t>
  </si>
  <si>
    <t>Ixtlán del Río</t>
  </si>
  <si>
    <t>Acaponeta</t>
  </si>
  <si>
    <t>Tlaquiltenango</t>
  </si>
  <si>
    <t>Zacapu</t>
  </si>
  <si>
    <t>Villamar</t>
  </si>
  <si>
    <t>Salvador Escalante</t>
  </si>
  <si>
    <t>Sahuayo</t>
  </si>
  <si>
    <t>Puruándiro</t>
  </si>
  <si>
    <t>Pajacuarán</t>
  </si>
  <si>
    <t>Apatzingán</t>
  </si>
  <si>
    <t>Tonalá</t>
  </si>
  <si>
    <t>Tequila</t>
  </si>
  <si>
    <t>Tala</t>
  </si>
  <si>
    <t>Quitupan</t>
  </si>
  <si>
    <t>Mezquitic</t>
  </si>
  <si>
    <t>Magdalena</t>
  </si>
  <si>
    <t>Lagos de Moreno</t>
  </si>
  <si>
    <t>La Manzanilla de la Paz</t>
  </si>
  <si>
    <t>La Huerta</t>
  </si>
  <si>
    <t>Guadalajara</t>
  </si>
  <si>
    <t>Degollado</t>
  </si>
  <si>
    <t>Autlán de Navarro</t>
  </si>
  <si>
    <t>Ameca</t>
  </si>
  <si>
    <t>Amatitán</t>
  </si>
  <si>
    <t>Acatic</t>
  </si>
  <si>
    <t>Técpan de Galeana</t>
  </si>
  <si>
    <t>San Marcos</t>
  </si>
  <si>
    <t>Cocula</t>
  </si>
  <si>
    <t>Chilpancingo de los Bravo</t>
  </si>
  <si>
    <t>Acapulco de Juárez</t>
  </si>
  <si>
    <t>Yuriria</t>
  </si>
  <si>
    <t>Xichú</t>
  </si>
  <si>
    <t>Valle de Santiago</t>
  </si>
  <si>
    <t>Tarimoro</t>
  </si>
  <si>
    <t>Salvatierra</t>
  </si>
  <si>
    <t>Moroleón</t>
  </si>
  <si>
    <t>Irapuato</t>
  </si>
  <si>
    <t>Acámbaro</t>
  </si>
  <si>
    <t>Toluca</t>
  </si>
  <si>
    <t>Tlatlaya</t>
  </si>
  <si>
    <t>Tenancingo</t>
  </si>
  <si>
    <t>San Felipe del Progreso</t>
  </si>
  <si>
    <t>San Antonio la Isla</t>
  </si>
  <si>
    <t>Ozumba</t>
  </si>
  <si>
    <t>Nezahualcóyotl</t>
  </si>
  <si>
    <t>Malinalco</t>
  </si>
  <si>
    <t>Chalco</t>
  </si>
  <si>
    <t>Amatepec</t>
  </si>
  <si>
    <t>Pueblo Nuevo</t>
  </si>
  <si>
    <t>Guadalupe Victoria</t>
  </si>
  <si>
    <t>Tláhuac</t>
  </si>
  <si>
    <t>Miguel Hidalgo</t>
  </si>
  <si>
    <t>Iztapalapa</t>
  </si>
  <si>
    <t>Iztacalco</t>
  </si>
  <si>
    <t>Gustavo A. Madero</t>
  </si>
  <si>
    <t>Cuauhtémoc</t>
  </si>
  <si>
    <t>Benito Juárez</t>
  </si>
  <si>
    <t>Siltepec</t>
  </si>
  <si>
    <t>Mapastepec</t>
  </si>
  <si>
    <t>Acapetahua</t>
  </si>
  <si>
    <t>Mexicali</t>
  </si>
  <si>
    <t>Municipio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</si>
</sst>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3" x14ac:knownFonts="1">
    <font>
      <sz val="11"/>
      <color theme="1"/>
      <name val="Calibri"/>
      <family val="2"/>
      <scheme val="minor"/>
    </font>
    <font>
      <b/>
      <sz val="11"/>
      <color theme="0"/>
      <name val="Montserrat"/>
    </font>
    <font>
      <sz val="11"/>
      <color theme="1"/>
      <name val="Montserrat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sz val="7"/>
      <color indexed="8"/>
      <name val="Montserrat"/>
    </font>
    <font>
      <b/>
      <sz val="9"/>
      <color theme="0"/>
      <name val="Montserrat"/>
    </font>
    <font>
      <sz val="9"/>
      <name val="Montserrat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Montserrat"/>
    </font>
    <font>
      <sz val="11"/>
      <color theme="1"/>
      <name val="Soberana Sans"/>
      <family val="3"/>
    </font>
    <font>
      <b/>
      <sz val="11"/>
      <name val="Arial Narrow"/>
      <family val="2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Arial Narrow"/>
      <family val="2"/>
    </font>
    <font>
      <sz val="10"/>
      <color theme="1"/>
      <name val="Montserrat"/>
    </font>
    <font>
      <u/>
      <sz val="11"/>
      <color theme="10"/>
      <name val="Montserrat"/>
    </font>
  </fonts>
  <fills count="7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3" fillId="0" borderId="0"/>
    <xf numFmtId="0" fontId="4" fillId="0" borderId="0" applyNumberFormat="0" applyFill="0" applyBorder="0" applyAlignment="0" applyProtection="0"/>
    <xf numFmtId="9" fontId="5" fillId="0" borderId="0" applyFont="0" applyFill="0" applyBorder="0" applyAlignment="0" applyProtection="0"/>
    <xf numFmtId="0" fontId="14" fillId="0" borderId="0"/>
  </cellStyleXfs>
  <cellXfs count="79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/>
    </xf>
    <xf numFmtId="0" fontId="2" fillId="0" borderId="0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1" xfId="0" applyFont="1" applyBorder="1" applyAlignment="1"/>
    <xf numFmtId="0" fontId="2" fillId="0" borderId="0" xfId="0" applyFont="1" applyBorder="1" applyAlignment="1"/>
    <xf numFmtId="0" fontId="2" fillId="0" borderId="2" xfId="0" applyFont="1" applyBorder="1" applyAlignment="1"/>
    <xf numFmtId="0" fontId="2" fillId="0" borderId="1" xfId="0" applyFont="1" applyBorder="1"/>
    <xf numFmtId="0" fontId="2" fillId="0" borderId="0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6" fillId="3" borderId="0" xfId="0" applyFont="1" applyFill="1"/>
    <xf numFmtId="0" fontId="7" fillId="3" borderId="0" xfId="0" applyFont="1" applyFill="1"/>
    <xf numFmtId="0" fontId="8" fillId="0" borderId="0" xfId="0" applyFont="1" applyBorder="1"/>
    <xf numFmtId="0" fontId="8" fillId="0" borderId="0" xfId="0" applyFont="1" applyBorder="1" applyAlignment="1">
      <alignment vertical="top"/>
    </xf>
    <xf numFmtId="0" fontId="9" fillId="3" borderId="0" xfId="0" applyFont="1" applyFill="1"/>
    <xf numFmtId="0" fontId="9" fillId="3" borderId="0" xfId="0" applyFont="1" applyFill="1" applyAlignment="1">
      <alignment vertical="top"/>
    </xf>
    <xf numFmtId="0" fontId="9" fillId="3" borderId="0" xfId="0" applyFont="1" applyFill="1" applyAlignment="1">
      <alignment vertical="center"/>
    </xf>
    <xf numFmtId="164" fontId="10" fillId="4" borderId="9" xfId="0" applyNumberFormat="1" applyFont="1" applyFill="1" applyBorder="1" applyAlignment="1">
      <alignment horizontal="right" vertical="center" wrapText="1"/>
    </xf>
    <xf numFmtId="3" fontId="10" fillId="4" borderId="9" xfId="0" applyNumberFormat="1" applyFont="1" applyFill="1" applyBorder="1" applyAlignment="1">
      <alignment horizontal="right" vertical="center" wrapText="1"/>
    </xf>
    <xf numFmtId="165" fontId="10" fillId="5" borderId="9" xfId="3" applyNumberFormat="1" applyFont="1" applyFill="1" applyBorder="1" applyAlignment="1">
      <alignment vertical="center" wrapText="1"/>
    </xf>
    <xf numFmtId="3" fontId="10" fillId="5" borderId="9" xfId="1" applyNumberFormat="1" applyFont="1" applyFill="1" applyBorder="1" applyAlignment="1">
      <alignment horizontal="right" vertical="center" wrapText="1"/>
    </xf>
    <xf numFmtId="49" fontId="10" fillId="5" borderId="9" xfId="1" applyNumberFormat="1" applyFont="1" applyFill="1" applyBorder="1" applyAlignment="1">
      <alignment vertical="center" wrapText="1"/>
    </xf>
    <xf numFmtId="164" fontId="11" fillId="3" borderId="9" xfId="1" applyNumberFormat="1" applyFont="1" applyFill="1" applyBorder="1" applyAlignment="1">
      <alignment horizontal="right" vertical="center" wrapText="1"/>
    </xf>
    <xf numFmtId="166" fontId="11" fillId="3" borderId="9" xfId="1" applyNumberFormat="1" applyFont="1" applyFill="1" applyBorder="1" applyAlignment="1">
      <alignment horizontal="right" vertical="center" wrapText="1"/>
    </xf>
    <xf numFmtId="49" fontId="11" fillId="3" borderId="9" xfId="1" applyNumberFormat="1" applyFont="1" applyFill="1" applyBorder="1" applyAlignment="1">
      <alignment vertical="center" wrapText="1"/>
    </xf>
    <xf numFmtId="0" fontId="12" fillId="3" borderId="0" xfId="0" applyFont="1" applyFill="1"/>
    <xf numFmtId="0" fontId="13" fillId="0" borderId="0" xfId="0" applyFont="1"/>
    <xf numFmtId="0" fontId="15" fillId="2" borderId="13" xfId="4" applyFont="1" applyFill="1" applyBorder="1" applyAlignment="1">
      <alignment horizontal="center" vertical="center" wrapText="1"/>
    </xf>
    <xf numFmtId="1" fontId="15" fillId="2" borderId="13" xfId="4" applyNumberFormat="1" applyFont="1" applyFill="1" applyBorder="1" applyAlignment="1">
      <alignment horizontal="center" vertical="center" wrapText="1"/>
    </xf>
    <xf numFmtId="0" fontId="10" fillId="2" borderId="13" xfId="4" applyFont="1" applyFill="1" applyBorder="1" applyAlignment="1">
      <alignment horizontal="center" vertical="center" wrapText="1"/>
    </xf>
    <xf numFmtId="0" fontId="13" fillId="3" borderId="0" xfId="0" applyFont="1" applyFill="1"/>
    <xf numFmtId="0" fontId="17" fillId="3" borderId="0" xfId="0" applyFont="1" applyFill="1" applyAlignment="1"/>
    <xf numFmtId="0" fontId="12" fillId="3" borderId="0" xfId="0" applyFont="1" applyFill="1" applyAlignment="1">
      <alignment vertical="center"/>
    </xf>
    <xf numFmtId="0" fontId="13" fillId="3" borderId="0" xfId="0" applyFont="1" applyFill="1" applyBorder="1"/>
    <xf numFmtId="3" fontId="13" fillId="3" borderId="0" xfId="0" applyNumberFormat="1" applyFont="1" applyFill="1" applyBorder="1"/>
    <xf numFmtId="1" fontId="13" fillId="3" borderId="0" xfId="0" applyNumberFormat="1" applyFont="1" applyFill="1" applyBorder="1"/>
    <xf numFmtId="0" fontId="12" fillId="3" borderId="0" xfId="0" applyFont="1" applyFill="1" applyBorder="1"/>
    <xf numFmtId="0" fontId="12" fillId="3" borderId="0" xfId="0" applyFont="1" applyFill="1" applyBorder="1" applyAlignment="1">
      <alignment vertical="center"/>
    </xf>
    <xf numFmtId="0" fontId="0" fillId="3" borderId="0" xfId="0" applyFont="1" applyFill="1"/>
    <xf numFmtId="3" fontId="0" fillId="3" borderId="0" xfId="0" applyNumberFormat="1" applyFont="1" applyFill="1"/>
    <xf numFmtId="164" fontId="10" fillId="6" borderId="9" xfId="0" applyNumberFormat="1" applyFont="1" applyFill="1" applyBorder="1" applyAlignment="1">
      <alignment horizontal="right" vertical="top" wrapText="1"/>
    </xf>
    <xf numFmtId="3" fontId="10" fillId="6" borderId="9" xfId="0" applyNumberFormat="1" applyFont="1" applyFill="1" applyBorder="1" applyAlignment="1">
      <alignment horizontal="right" vertical="top" wrapText="1"/>
    </xf>
    <xf numFmtId="49" fontId="10" fillId="6" borderId="9" xfId="0" applyNumberFormat="1" applyFont="1" applyFill="1" applyBorder="1" applyAlignment="1">
      <alignment vertical="top" wrapText="1"/>
    </xf>
    <xf numFmtId="164" fontId="18" fillId="3" borderId="9" xfId="0" applyNumberFormat="1" applyFont="1" applyFill="1" applyBorder="1" applyAlignment="1">
      <alignment horizontal="right" vertical="top" wrapText="1"/>
    </xf>
    <xf numFmtId="3" fontId="18" fillId="3" borderId="9" xfId="0" applyNumberFormat="1" applyFont="1" applyFill="1" applyBorder="1" applyAlignment="1">
      <alignment horizontal="right" vertical="top" wrapText="1"/>
    </xf>
    <xf numFmtId="49" fontId="19" fillId="3" borderId="9" xfId="0" applyNumberFormat="1" applyFont="1" applyFill="1" applyBorder="1" applyAlignment="1">
      <alignment vertical="top" wrapText="1"/>
    </xf>
    <xf numFmtId="0" fontId="16" fillId="3" borderId="0" xfId="0" applyFont="1" applyFill="1"/>
    <xf numFmtId="0" fontId="10" fillId="2" borderId="13" xfId="0" applyFont="1" applyFill="1" applyBorder="1" applyAlignment="1">
      <alignment horizontal="center" vertical="center" wrapText="1"/>
    </xf>
    <xf numFmtId="1" fontId="10" fillId="2" borderId="13" xfId="0" applyNumberFormat="1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20" fillId="0" borderId="0" xfId="0" applyFont="1" applyBorder="1" applyAlignment="1">
      <alignment horizontal="center" vertical="center" wrapText="1"/>
    </xf>
    <xf numFmtId="3" fontId="13" fillId="0" borderId="0" xfId="0" applyNumberFormat="1" applyFont="1"/>
    <xf numFmtId="1" fontId="13" fillId="0" borderId="0" xfId="0" applyNumberFormat="1" applyFont="1"/>
    <xf numFmtId="0" fontId="8" fillId="0" borderId="0" xfId="0" applyFont="1" applyAlignment="1">
      <alignment vertical="top"/>
    </xf>
    <xf numFmtId="0" fontId="8" fillId="0" borderId="0" xfId="0" applyFont="1" applyAlignment="1">
      <alignment horizontal="justify" vertical="center"/>
    </xf>
    <xf numFmtId="3" fontId="16" fillId="3" borderId="0" xfId="0" applyNumberFormat="1" applyFont="1" applyFill="1"/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1" fillId="2" borderId="6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49" fontId="11" fillId="3" borderId="13" xfId="1" applyNumberFormat="1" applyFont="1" applyFill="1" applyBorder="1" applyAlignment="1">
      <alignment horizontal="center" vertical="center" wrapText="1"/>
    </xf>
    <xf numFmtId="49" fontId="11" fillId="3" borderId="12" xfId="1" applyNumberFormat="1" applyFont="1" applyFill="1" applyBorder="1" applyAlignment="1">
      <alignment horizontal="center" vertical="center" wrapText="1"/>
    </xf>
    <xf numFmtId="49" fontId="11" fillId="3" borderId="14" xfId="1" applyNumberFormat="1" applyFont="1" applyFill="1" applyBorder="1" applyAlignment="1">
      <alignment horizontal="center" vertical="center" wrapText="1"/>
    </xf>
    <xf numFmtId="49" fontId="10" fillId="4" borderId="11" xfId="0" applyNumberFormat="1" applyFont="1" applyFill="1" applyBorder="1" applyAlignment="1">
      <alignment horizontal="center" vertical="center" wrapText="1"/>
    </xf>
    <xf numFmtId="49" fontId="10" fillId="4" borderId="10" xfId="0" applyNumberFormat="1" applyFont="1" applyFill="1" applyBorder="1" applyAlignment="1">
      <alignment horizontal="center" vertical="center" wrapText="1"/>
    </xf>
    <xf numFmtId="0" fontId="16" fillId="3" borderId="0" xfId="0" applyFont="1" applyFill="1" applyAlignment="1">
      <alignment horizontal="center" wrapText="1"/>
    </xf>
    <xf numFmtId="0" fontId="21" fillId="0" borderId="0" xfId="0" applyFont="1" applyBorder="1" applyAlignment="1">
      <alignment horizontal="center" vertical="center" wrapText="1"/>
    </xf>
    <xf numFmtId="0" fontId="22" fillId="0" borderId="1" xfId="2" applyFont="1" applyBorder="1" applyAlignment="1">
      <alignment horizontal="left"/>
    </xf>
    <xf numFmtId="0" fontId="22" fillId="0" borderId="0" xfId="2" applyFont="1" applyBorder="1" applyAlignment="1">
      <alignment horizontal="left"/>
    </xf>
    <xf numFmtId="0" fontId="22" fillId="0" borderId="2" xfId="2" applyFont="1" applyBorder="1" applyAlignment="1">
      <alignment horizontal="left"/>
    </xf>
  </cellXfs>
  <cellStyles count="5">
    <cellStyle name="Hipervínculo" xfId="2" builtinId="8"/>
    <cellStyle name="Normal" xfId="0" builtinId="0"/>
    <cellStyle name="Normal 2" xfId="1"/>
    <cellStyle name="Normal_Hoja1" xfId="4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63259</xdr:colOff>
      <xdr:row>2</xdr:row>
      <xdr:rowOff>204837</xdr:rowOff>
    </xdr:from>
    <xdr:to>
      <xdr:col>3</xdr:col>
      <xdr:colOff>575356</xdr:colOff>
      <xdr:row>3</xdr:row>
      <xdr:rowOff>204838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391406" y="966837"/>
          <a:ext cx="512097" cy="224119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HAWAII,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HAWAII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551793</xdr:colOff>
      <xdr:row>5</xdr:row>
      <xdr:rowOff>39414</xdr:rowOff>
    </xdr:from>
    <xdr:to>
      <xdr:col>4</xdr:col>
      <xdr:colOff>1063890</xdr:colOff>
      <xdr:row>5</xdr:row>
      <xdr:rowOff>248965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89483" y="1143000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EL ESTADO DE HAWAII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HAWAII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551793</xdr:colOff>
      <xdr:row>5</xdr:row>
      <xdr:rowOff>65690</xdr:rowOff>
    </xdr:from>
    <xdr:to>
      <xdr:col>4</xdr:col>
      <xdr:colOff>1063890</xdr:colOff>
      <xdr:row>5</xdr:row>
      <xdr:rowOff>275241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89483" y="1169276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HAWAII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447676</xdr:colOff>
      <xdr:row>5</xdr:row>
      <xdr:rowOff>161925</xdr:rowOff>
    </xdr:from>
    <xdr:to>
      <xdr:col>5</xdr:col>
      <xdr:colOff>369223</xdr:colOff>
      <xdr:row>7</xdr:row>
      <xdr:rowOff>38100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5476876" y="1304925"/>
          <a:ext cx="540672" cy="2571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 HAWAII, POR NIVEL DE EDUCACIÓN Y ESTADO DE LA REPÚBLICA, DURANTE EL 2018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HAWAII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0044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004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551793</xdr:colOff>
      <xdr:row>5</xdr:row>
      <xdr:rowOff>52552</xdr:rowOff>
    </xdr:from>
    <xdr:to>
      <xdr:col>4</xdr:col>
      <xdr:colOff>1063890</xdr:colOff>
      <xdr:row>5</xdr:row>
      <xdr:rowOff>262103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89483" y="1156138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HAWAII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381000</xdr:colOff>
      <xdr:row>6</xdr:row>
      <xdr:rowOff>0</xdr:rowOff>
    </xdr:from>
    <xdr:to>
      <xdr:col>5</xdr:col>
      <xdr:colOff>331122</xdr:colOff>
      <xdr:row>7</xdr:row>
      <xdr:rowOff>28575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810125" y="1333500"/>
          <a:ext cx="569247" cy="21907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HAWAII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381001</xdr:colOff>
      <xdr:row>6</xdr:row>
      <xdr:rowOff>0</xdr:rowOff>
    </xdr:from>
    <xdr:to>
      <xdr:col>5</xdr:col>
      <xdr:colOff>359698</xdr:colOff>
      <xdr:row>7</xdr:row>
      <xdr:rowOff>76200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810126" y="1333500"/>
          <a:ext cx="597822" cy="26670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Montserrat" panose="00000500000000000000" pitchFamily="2" charset="0"/>
            </a:rPr>
            <a:t>MATRÍCULAS CONSULARES DE ALTA SEGURIDAD EXPEDIDAS EN EE.UU A MEXICANOS EN EL ESTADO DE HAWAII,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HAWAII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7839"/>
    <xdr:pic>
      <xdr:nvPicPr>
        <xdr:cNvPr id="5" name="Imagen 4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7839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532086</xdr:colOff>
      <xdr:row>5</xdr:row>
      <xdr:rowOff>52552</xdr:rowOff>
    </xdr:from>
    <xdr:to>
      <xdr:col>4</xdr:col>
      <xdr:colOff>1044183</xdr:colOff>
      <xdr:row>5</xdr:row>
      <xdr:rowOff>262103</xdr:rowOff>
    </xdr:to>
    <xdr:sp macro="" textlink="">
      <xdr:nvSpPr>
        <xdr:cNvPr id="6" name="Rectángulo redondeado 5">
          <a:hlinkClick xmlns:r="http://schemas.openxmlformats.org/officeDocument/2006/relationships" r:id="rId3"/>
        </xdr:cNvPr>
        <xdr:cNvSpPr/>
      </xdr:nvSpPr>
      <xdr:spPr>
        <a:xfrm>
          <a:off x="5169776" y="1156138"/>
          <a:ext cx="512097" cy="20955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HAWAII 2018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853107" cy="350092"/>
    <xdr:pic>
      <xdr:nvPicPr>
        <xdr:cNvPr id="3" name="Imagen 2" descr="D:\Users\miguelg\Pictures\Nuevo Logo IME\IME_horizontal_color.pn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853107" cy="350092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097650" cy="619124"/>
    <xdr:pic>
      <xdr:nvPicPr>
        <xdr:cNvPr id="4" name="Imagen 3" descr="D:\Users\yayala\Desktop\logo SRE.jpg"/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097650" cy="619124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361951</xdr:colOff>
      <xdr:row>5</xdr:row>
      <xdr:rowOff>161925</xdr:rowOff>
    </xdr:from>
    <xdr:to>
      <xdr:col>5</xdr:col>
      <xdr:colOff>340648</xdr:colOff>
      <xdr:row>7</xdr:row>
      <xdr:rowOff>28575</xdr:rowOff>
    </xdr:to>
    <xdr:sp macro="" textlink="">
      <xdr:nvSpPr>
        <xdr:cNvPr id="5" name="Rectángulo redondeado 4">
          <a:hlinkClick xmlns:r="http://schemas.openxmlformats.org/officeDocument/2006/relationships" r:id="rId3"/>
        </xdr:cNvPr>
        <xdr:cNvSpPr/>
      </xdr:nvSpPr>
      <xdr:spPr>
        <a:xfrm>
          <a:off x="4791076" y="1304925"/>
          <a:ext cx="597822" cy="247650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showGridLines="0" tabSelected="1" view="pageBreakPreview" zoomScale="85" zoomScaleNormal="100" zoomScaleSheetLayoutView="85" workbookViewId="0">
      <selection sqref="A1:D1"/>
    </sheetView>
  </sheetViews>
  <sheetFormatPr baseColWidth="10" defaultRowHeight="18" x14ac:dyDescent="0.35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 x14ac:dyDescent="0.4">
      <c r="A1" s="63" t="s">
        <v>12</v>
      </c>
      <c r="B1" s="64"/>
      <c r="C1" s="64"/>
      <c r="D1" s="65"/>
    </row>
    <row r="2" spans="1:4" x14ac:dyDescent="0.35">
      <c r="A2" s="2"/>
      <c r="B2" s="3"/>
      <c r="C2" s="3"/>
      <c r="D2" s="4"/>
    </row>
    <row r="3" spans="1:4" x14ac:dyDescent="0.35">
      <c r="A3" s="66" t="s">
        <v>0</v>
      </c>
      <c r="B3" s="67"/>
      <c r="C3" s="67"/>
      <c r="D3" s="68"/>
    </row>
    <row r="4" spans="1:4" x14ac:dyDescent="0.35">
      <c r="A4" s="66"/>
      <c r="B4" s="67"/>
      <c r="C4" s="67"/>
      <c r="D4" s="68"/>
    </row>
    <row r="5" spans="1:4" x14ac:dyDescent="0.35">
      <c r="A5" s="60"/>
      <c r="B5" s="61"/>
      <c r="C5" s="61"/>
      <c r="D5" s="62"/>
    </row>
    <row r="6" spans="1:4" x14ac:dyDescent="0.35">
      <c r="A6" s="76" t="s">
        <v>1</v>
      </c>
      <c r="B6" s="77"/>
      <c r="C6" s="77"/>
      <c r="D6" s="78"/>
    </row>
    <row r="7" spans="1:4" x14ac:dyDescent="0.35">
      <c r="A7" s="5"/>
      <c r="B7" s="6"/>
      <c r="C7" s="6"/>
      <c r="D7" s="7"/>
    </row>
    <row r="8" spans="1:4" x14ac:dyDescent="0.35">
      <c r="A8" s="8" t="s">
        <v>2</v>
      </c>
      <c r="B8" s="9"/>
      <c r="C8" s="9"/>
      <c r="D8" s="10"/>
    </row>
    <row r="9" spans="1:4" x14ac:dyDescent="0.35">
      <c r="A9" s="8"/>
      <c r="B9" s="77" t="s">
        <v>7</v>
      </c>
      <c r="C9" s="77"/>
      <c r="D9" s="78"/>
    </row>
    <row r="10" spans="1:4" x14ac:dyDescent="0.35">
      <c r="A10" s="8" t="s">
        <v>3</v>
      </c>
      <c r="B10" s="9"/>
      <c r="C10" s="9"/>
      <c r="D10" s="10"/>
    </row>
    <row r="11" spans="1:4" x14ac:dyDescent="0.35">
      <c r="A11" s="8"/>
      <c r="B11" s="77" t="s">
        <v>8</v>
      </c>
      <c r="C11" s="77"/>
      <c r="D11" s="78"/>
    </row>
    <row r="12" spans="1:4" x14ac:dyDescent="0.35">
      <c r="A12" s="8"/>
      <c r="B12" s="77" t="s">
        <v>9</v>
      </c>
      <c r="C12" s="77"/>
      <c r="D12" s="78"/>
    </row>
    <row r="13" spans="1:4" x14ac:dyDescent="0.35">
      <c r="A13" s="8"/>
      <c r="B13" s="9"/>
      <c r="C13" s="9"/>
      <c r="D13" s="10"/>
    </row>
    <row r="14" spans="1:4" x14ac:dyDescent="0.35">
      <c r="A14" s="8" t="s">
        <v>4</v>
      </c>
      <c r="B14" s="9"/>
      <c r="C14" s="9"/>
      <c r="D14" s="10"/>
    </row>
    <row r="15" spans="1:4" x14ac:dyDescent="0.35">
      <c r="A15" s="8"/>
      <c r="B15" s="77" t="s">
        <v>10</v>
      </c>
      <c r="C15" s="77"/>
      <c r="D15" s="78"/>
    </row>
    <row r="16" spans="1:4" x14ac:dyDescent="0.35">
      <c r="A16" s="8"/>
      <c r="B16" s="77" t="s">
        <v>11</v>
      </c>
      <c r="C16" s="77"/>
      <c r="D16" s="78"/>
    </row>
    <row r="17" spans="1:4" x14ac:dyDescent="0.35">
      <c r="A17" s="8"/>
      <c r="B17" s="9"/>
      <c r="C17" s="9"/>
      <c r="D17" s="10"/>
    </row>
    <row r="18" spans="1:4" x14ac:dyDescent="0.35">
      <c r="A18" s="76" t="s">
        <v>5</v>
      </c>
      <c r="B18" s="77"/>
      <c r="C18" s="77"/>
      <c r="D18" s="78"/>
    </row>
    <row r="19" spans="1:4" x14ac:dyDescent="0.35">
      <c r="A19" s="8"/>
      <c r="B19" s="9"/>
      <c r="C19" s="9"/>
      <c r="D19" s="10"/>
    </row>
    <row r="20" spans="1:4" x14ac:dyDescent="0.35">
      <c r="A20" s="76" t="s">
        <v>6</v>
      </c>
      <c r="B20" s="77"/>
      <c r="C20" s="77"/>
      <c r="D20" s="78"/>
    </row>
    <row r="21" spans="1:4" ht="18.75" thickBot="1" x14ac:dyDescent="0.4">
      <c r="A21" s="11"/>
      <c r="B21" s="12"/>
      <c r="C21" s="12"/>
      <c r="D21" s="13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11:D11"/>
    <mergeCell ref="B12:D12"/>
    <mergeCell ref="B9:D9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Hawaii_edomexgen!A1" display="1. Por Estados de la República Mexicana"/>
    <hyperlink ref="B9" location="Hawaii_EDOMEX!A1" display="2.1 Por estado de la República Mexicana y municipio de origen"/>
    <hyperlink ref="B11:D11" location="Hawaii_Educagral!A1" display="3.1 Educación general"/>
    <hyperlink ref="B12:D12" location="Hawaii_Eduedo!A1" display="3.2 Por Estado de la República Mexicana"/>
    <hyperlink ref="B15:D15" location="Hawaii_gengral18!A1" display="4.1 Género General"/>
    <hyperlink ref="B16:D16" location="Hawaii_Edomexgral!A1" display="4.2 Por Estados de la República Mexicana"/>
    <hyperlink ref="A18:D18" location="Hawaii_edadgen!A1" display="5. Por estructura de Edad"/>
    <hyperlink ref="A20:D20" location="Hawaii_ocupgral18!A1" display="6. Por Ocupació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E489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4" customWidth="1"/>
    <col min="2" max="2" width="22.85546875" style="15" customWidth="1"/>
    <col min="3" max="3" width="31.42578125" style="15" customWidth="1"/>
    <col min="4" max="4" width="14.28515625" style="15" customWidth="1"/>
    <col min="5" max="5" width="16.85546875" style="15" customWidth="1"/>
    <col min="6" max="16384" width="35" style="14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29"/>
      <c r="D6" s="29"/>
      <c r="E6" s="29"/>
    </row>
    <row r="7" spans="1:5" s="34" customFormat="1" ht="26.25" customHeight="1" x14ac:dyDescent="0.3">
      <c r="A7" s="35"/>
      <c r="B7" s="74"/>
      <c r="C7" s="74"/>
      <c r="D7" s="74"/>
      <c r="E7" s="74"/>
    </row>
    <row r="8" spans="1:5" s="34" customFormat="1" ht="33" customHeight="1" x14ac:dyDescent="0.3">
      <c r="A8" s="35"/>
      <c r="B8" s="74"/>
      <c r="C8" s="74"/>
      <c r="D8" s="74"/>
      <c r="E8" s="74"/>
    </row>
    <row r="9" spans="1:5" s="30" customFormat="1" ht="40.5" customHeight="1" x14ac:dyDescent="0.2">
      <c r="B9" s="31" t="s">
        <v>46</v>
      </c>
      <c r="C9" s="33" t="s">
        <v>45</v>
      </c>
      <c r="D9" s="32" t="s">
        <v>44</v>
      </c>
      <c r="E9" s="31" t="s">
        <v>43</v>
      </c>
    </row>
    <row r="10" spans="1:5" ht="15" customHeight="1" x14ac:dyDescent="0.25">
      <c r="B10" s="69" t="s">
        <v>42</v>
      </c>
      <c r="C10" s="28" t="s">
        <v>21</v>
      </c>
      <c r="D10" s="27">
        <v>1</v>
      </c>
      <c r="E10" s="26">
        <v>5.9523809523809521E-3</v>
      </c>
    </row>
    <row r="11" spans="1:5" ht="15" customHeight="1" x14ac:dyDescent="0.25">
      <c r="B11" s="71"/>
      <c r="C11" s="28" t="s">
        <v>19</v>
      </c>
      <c r="D11" s="27">
        <v>2</v>
      </c>
      <c r="E11" s="26">
        <v>1.1904761904761904E-2</v>
      </c>
    </row>
    <row r="12" spans="1:5" ht="15" customHeight="1" x14ac:dyDescent="0.25">
      <c r="B12" s="70"/>
      <c r="C12" s="25" t="s">
        <v>18</v>
      </c>
      <c r="D12" s="24">
        <v>3</v>
      </c>
      <c r="E12" s="23">
        <v>1.7857142857142856E-2</v>
      </c>
    </row>
    <row r="13" spans="1:5" ht="15" customHeight="1" x14ac:dyDescent="0.25">
      <c r="B13" s="69" t="s">
        <v>41</v>
      </c>
      <c r="C13" s="28" t="s">
        <v>19</v>
      </c>
      <c r="D13" s="27">
        <v>1</v>
      </c>
      <c r="E13" s="26">
        <v>5.9523809523809521E-3</v>
      </c>
    </row>
    <row r="14" spans="1:5" ht="15" customHeight="1" x14ac:dyDescent="0.25">
      <c r="B14" s="70"/>
      <c r="C14" s="25" t="s">
        <v>18</v>
      </c>
      <c r="D14" s="24">
        <v>1</v>
      </c>
      <c r="E14" s="23">
        <v>5.9523809523809521E-3</v>
      </c>
    </row>
    <row r="15" spans="1:5" s="29" customFormat="1" ht="15" customHeight="1" x14ac:dyDescent="0.2">
      <c r="B15" s="69" t="s">
        <v>40</v>
      </c>
      <c r="C15" s="28" t="s">
        <v>21</v>
      </c>
      <c r="D15" s="27">
        <v>11</v>
      </c>
      <c r="E15" s="26">
        <v>6.5476190476190479E-2</v>
      </c>
    </row>
    <row r="16" spans="1:5" s="29" customFormat="1" ht="15" customHeight="1" x14ac:dyDescent="0.2">
      <c r="B16" s="71"/>
      <c r="C16" s="28" t="s">
        <v>19</v>
      </c>
      <c r="D16" s="27">
        <v>5</v>
      </c>
      <c r="E16" s="26">
        <v>2.976190476190476E-2</v>
      </c>
    </row>
    <row r="17" spans="2:5" s="29" customFormat="1" ht="15" customHeight="1" x14ac:dyDescent="0.2">
      <c r="B17" s="70"/>
      <c r="C17" s="25" t="s">
        <v>18</v>
      </c>
      <c r="D17" s="24">
        <v>16</v>
      </c>
      <c r="E17" s="23">
        <v>9.5238095238095233E-2</v>
      </c>
    </row>
    <row r="18" spans="2:5" s="29" customFormat="1" ht="15" customHeight="1" x14ac:dyDescent="0.2">
      <c r="B18" s="69" t="s">
        <v>39</v>
      </c>
      <c r="C18" s="28" t="s">
        <v>21</v>
      </c>
      <c r="D18" s="27">
        <v>15</v>
      </c>
      <c r="E18" s="26">
        <v>8.9285714285714288E-2</v>
      </c>
    </row>
    <row r="19" spans="2:5" s="29" customFormat="1" ht="15" customHeight="1" x14ac:dyDescent="0.2">
      <c r="B19" s="71"/>
      <c r="C19" s="28" t="s">
        <v>19</v>
      </c>
      <c r="D19" s="27">
        <v>10</v>
      </c>
      <c r="E19" s="26">
        <v>5.9523809523809521E-2</v>
      </c>
    </row>
    <row r="20" spans="2:5" ht="15" customHeight="1" x14ac:dyDescent="0.25">
      <c r="B20" s="70"/>
      <c r="C20" s="25" t="s">
        <v>18</v>
      </c>
      <c r="D20" s="24">
        <v>25</v>
      </c>
      <c r="E20" s="23">
        <v>0.14880952380952381</v>
      </c>
    </row>
    <row r="21" spans="2:5" ht="15" customHeight="1" x14ac:dyDescent="0.25">
      <c r="B21" s="69" t="s">
        <v>38</v>
      </c>
      <c r="C21" s="28" t="s">
        <v>21</v>
      </c>
      <c r="D21" s="27">
        <v>2</v>
      </c>
      <c r="E21" s="26">
        <v>1.1904761904761904E-2</v>
      </c>
    </row>
    <row r="22" spans="2:5" ht="15" customHeight="1" x14ac:dyDescent="0.25">
      <c r="B22" s="70"/>
      <c r="C22" s="25" t="s">
        <v>18</v>
      </c>
      <c r="D22" s="24">
        <v>2</v>
      </c>
      <c r="E22" s="23">
        <v>1.1904761904761904E-2</v>
      </c>
    </row>
    <row r="23" spans="2:5" ht="15" customHeight="1" x14ac:dyDescent="0.25">
      <c r="B23" s="69" t="s">
        <v>37</v>
      </c>
      <c r="C23" s="28" t="s">
        <v>21</v>
      </c>
      <c r="D23" s="27">
        <v>9</v>
      </c>
      <c r="E23" s="26">
        <v>5.3571428571428568E-2</v>
      </c>
    </row>
    <row r="24" spans="2:5" ht="15" customHeight="1" x14ac:dyDescent="0.25">
      <c r="B24" s="71"/>
      <c r="C24" s="28" t="s">
        <v>19</v>
      </c>
      <c r="D24" s="27">
        <v>5</v>
      </c>
      <c r="E24" s="26">
        <v>2.976190476190476E-2</v>
      </c>
    </row>
    <row r="25" spans="2:5" ht="15" customHeight="1" x14ac:dyDescent="0.25">
      <c r="B25" s="70"/>
      <c r="C25" s="25" t="s">
        <v>18</v>
      </c>
      <c r="D25" s="24">
        <v>14</v>
      </c>
      <c r="E25" s="23">
        <v>8.3333333333333329E-2</v>
      </c>
    </row>
    <row r="26" spans="2:5" ht="15" customHeight="1" x14ac:dyDescent="0.25">
      <c r="B26" s="69" t="s">
        <v>36</v>
      </c>
      <c r="C26" s="28" t="s">
        <v>21</v>
      </c>
      <c r="D26" s="27">
        <v>6</v>
      </c>
      <c r="E26" s="26">
        <v>3.5714285714285712E-2</v>
      </c>
    </row>
    <row r="27" spans="2:5" ht="15" customHeight="1" x14ac:dyDescent="0.25">
      <c r="B27" s="71"/>
      <c r="C27" s="28" t="s">
        <v>19</v>
      </c>
      <c r="D27" s="27">
        <v>3</v>
      </c>
      <c r="E27" s="26">
        <v>1.7857142857142856E-2</v>
      </c>
    </row>
    <row r="28" spans="2:5" ht="15" customHeight="1" x14ac:dyDescent="0.25">
      <c r="B28" s="70"/>
      <c r="C28" s="25" t="s">
        <v>18</v>
      </c>
      <c r="D28" s="24">
        <v>9</v>
      </c>
      <c r="E28" s="23">
        <v>5.3571428571428568E-2</v>
      </c>
    </row>
    <row r="29" spans="2:5" ht="15" customHeight="1" x14ac:dyDescent="0.25">
      <c r="B29" s="69" t="s">
        <v>35</v>
      </c>
      <c r="C29" s="28" t="s">
        <v>21</v>
      </c>
      <c r="D29" s="27">
        <v>1</v>
      </c>
      <c r="E29" s="26">
        <v>5.9523809523809521E-3</v>
      </c>
    </row>
    <row r="30" spans="2:5" ht="15" customHeight="1" x14ac:dyDescent="0.25">
      <c r="B30" s="71"/>
      <c r="C30" s="28" t="s">
        <v>19</v>
      </c>
      <c r="D30" s="27">
        <v>5</v>
      </c>
      <c r="E30" s="26">
        <v>2.976190476190476E-2</v>
      </c>
    </row>
    <row r="31" spans="2:5" ht="15" customHeight="1" x14ac:dyDescent="0.25">
      <c r="B31" s="70"/>
      <c r="C31" s="25" t="s">
        <v>18</v>
      </c>
      <c r="D31" s="24">
        <v>6</v>
      </c>
      <c r="E31" s="23">
        <v>3.5714285714285712E-2</v>
      </c>
    </row>
    <row r="32" spans="2:5" ht="15" customHeight="1" x14ac:dyDescent="0.25">
      <c r="B32" s="69" t="s">
        <v>34</v>
      </c>
      <c r="C32" s="28" t="s">
        <v>21</v>
      </c>
      <c r="D32" s="27">
        <v>15</v>
      </c>
      <c r="E32" s="26">
        <v>8.9285714285714288E-2</v>
      </c>
    </row>
    <row r="33" spans="2:5" ht="15" customHeight="1" x14ac:dyDescent="0.25">
      <c r="B33" s="71"/>
      <c r="C33" s="28" t="s">
        <v>19</v>
      </c>
      <c r="D33" s="27">
        <v>9</v>
      </c>
      <c r="E33" s="26">
        <v>5.3571428571428568E-2</v>
      </c>
    </row>
    <row r="34" spans="2:5" ht="15" customHeight="1" x14ac:dyDescent="0.25">
      <c r="B34" s="70"/>
      <c r="C34" s="25" t="s">
        <v>18</v>
      </c>
      <c r="D34" s="24">
        <v>24</v>
      </c>
      <c r="E34" s="23">
        <v>0.14285714285714285</v>
      </c>
    </row>
    <row r="35" spans="2:5" ht="15" customHeight="1" x14ac:dyDescent="0.25">
      <c r="B35" s="69" t="s">
        <v>33</v>
      </c>
      <c r="C35" s="28" t="s">
        <v>21</v>
      </c>
      <c r="D35" s="27">
        <v>11</v>
      </c>
      <c r="E35" s="26">
        <v>6.5476190476190479E-2</v>
      </c>
    </row>
    <row r="36" spans="2:5" ht="15" customHeight="1" x14ac:dyDescent="0.25">
      <c r="B36" s="71"/>
      <c r="C36" s="28" t="s">
        <v>19</v>
      </c>
      <c r="D36" s="27">
        <v>2</v>
      </c>
      <c r="E36" s="26">
        <v>1.1904761904761904E-2</v>
      </c>
    </row>
    <row r="37" spans="2:5" ht="15" customHeight="1" x14ac:dyDescent="0.25">
      <c r="B37" s="70"/>
      <c r="C37" s="25" t="s">
        <v>18</v>
      </c>
      <c r="D37" s="24">
        <v>13</v>
      </c>
      <c r="E37" s="23">
        <v>7.7380952380952384E-2</v>
      </c>
    </row>
    <row r="38" spans="2:5" ht="15" customHeight="1" x14ac:dyDescent="0.25">
      <c r="B38" s="69" t="s">
        <v>32</v>
      </c>
      <c r="C38" s="28" t="s">
        <v>19</v>
      </c>
      <c r="D38" s="27">
        <v>1</v>
      </c>
      <c r="E38" s="26">
        <v>5.9523809523809521E-3</v>
      </c>
    </row>
    <row r="39" spans="2:5" ht="15" customHeight="1" x14ac:dyDescent="0.25">
      <c r="B39" s="70"/>
      <c r="C39" s="25" t="s">
        <v>18</v>
      </c>
      <c r="D39" s="24">
        <v>1</v>
      </c>
      <c r="E39" s="23">
        <v>5.9523809523809521E-3</v>
      </c>
    </row>
    <row r="40" spans="2:5" ht="15" customHeight="1" x14ac:dyDescent="0.25">
      <c r="B40" s="69" t="s">
        <v>31</v>
      </c>
      <c r="C40" s="28" t="s">
        <v>21</v>
      </c>
      <c r="D40" s="27">
        <v>15</v>
      </c>
      <c r="E40" s="26">
        <v>8.9285714285714288E-2</v>
      </c>
    </row>
    <row r="41" spans="2:5" ht="15" customHeight="1" x14ac:dyDescent="0.25">
      <c r="B41" s="71"/>
      <c r="C41" s="28" t="s">
        <v>19</v>
      </c>
      <c r="D41" s="27">
        <v>4</v>
      </c>
      <c r="E41" s="26">
        <v>2.3809523809523808E-2</v>
      </c>
    </row>
    <row r="42" spans="2:5" ht="15" customHeight="1" x14ac:dyDescent="0.25">
      <c r="B42" s="70"/>
      <c r="C42" s="25" t="s">
        <v>18</v>
      </c>
      <c r="D42" s="24">
        <v>19</v>
      </c>
      <c r="E42" s="23">
        <v>0.1130952380952381</v>
      </c>
    </row>
    <row r="43" spans="2:5" ht="15" customHeight="1" x14ac:dyDescent="0.25">
      <c r="B43" s="69" t="s">
        <v>30</v>
      </c>
      <c r="C43" s="28" t="s">
        <v>21</v>
      </c>
      <c r="D43" s="27">
        <v>8</v>
      </c>
      <c r="E43" s="26">
        <v>4.7619047619047616E-2</v>
      </c>
    </row>
    <row r="44" spans="2:5" ht="15" customHeight="1" x14ac:dyDescent="0.25">
      <c r="B44" s="71"/>
      <c r="C44" s="28" t="s">
        <v>19</v>
      </c>
      <c r="D44" s="27">
        <v>4</v>
      </c>
      <c r="E44" s="26">
        <v>2.3809523809523808E-2</v>
      </c>
    </row>
    <row r="45" spans="2:5" ht="15" customHeight="1" x14ac:dyDescent="0.25">
      <c r="B45" s="70"/>
      <c r="C45" s="25" t="s">
        <v>18</v>
      </c>
      <c r="D45" s="24">
        <v>12</v>
      </c>
      <c r="E45" s="23">
        <v>7.1428571428571425E-2</v>
      </c>
    </row>
    <row r="46" spans="2:5" ht="15" customHeight="1" x14ac:dyDescent="0.25">
      <c r="B46" s="69" t="s">
        <v>29</v>
      </c>
      <c r="C46" s="28" t="s">
        <v>21</v>
      </c>
      <c r="D46" s="27">
        <v>9</v>
      </c>
      <c r="E46" s="26">
        <v>5.3571428571428568E-2</v>
      </c>
    </row>
    <row r="47" spans="2:5" ht="15" customHeight="1" x14ac:dyDescent="0.25">
      <c r="B47" s="71"/>
      <c r="C47" s="28" t="s">
        <v>19</v>
      </c>
      <c r="D47" s="27">
        <v>1</v>
      </c>
      <c r="E47" s="26">
        <v>5.9523809523809521E-3</v>
      </c>
    </row>
    <row r="48" spans="2:5" ht="15" customHeight="1" x14ac:dyDescent="0.25">
      <c r="B48" s="70"/>
      <c r="C48" s="25" t="s">
        <v>18</v>
      </c>
      <c r="D48" s="24">
        <v>10</v>
      </c>
      <c r="E48" s="23">
        <v>5.9523809523809521E-2</v>
      </c>
    </row>
    <row r="49" spans="2:5" ht="15" customHeight="1" x14ac:dyDescent="0.25">
      <c r="B49" s="69" t="s">
        <v>28</v>
      </c>
      <c r="C49" s="28" t="s">
        <v>19</v>
      </c>
      <c r="D49" s="27">
        <v>1</v>
      </c>
      <c r="E49" s="26">
        <v>5.9523809523809521E-3</v>
      </c>
    </row>
    <row r="50" spans="2:5" ht="15" customHeight="1" x14ac:dyDescent="0.25">
      <c r="B50" s="70"/>
      <c r="C50" s="25" t="s">
        <v>18</v>
      </c>
      <c r="D50" s="24">
        <v>1</v>
      </c>
      <c r="E50" s="23">
        <v>5.9523809523809521E-3</v>
      </c>
    </row>
    <row r="51" spans="2:5" ht="15" customHeight="1" x14ac:dyDescent="0.25">
      <c r="B51" s="69" t="s">
        <v>27</v>
      </c>
      <c r="C51" s="28" t="s">
        <v>21</v>
      </c>
      <c r="D51" s="27">
        <v>1</v>
      </c>
      <c r="E51" s="26">
        <v>5.9523809523809521E-3</v>
      </c>
    </row>
    <row r="52" spans="2:5" ht="15" customHeight="1" x14ac:dyDescent="0.25">
      <c r="B52" s="70"/>
      <c r="C52" s="25" t="s">
        <v>18</v>
      </c>
      <c r="D52" s="24">
        <v>1</v>
      </c>
      <c r="E52" s="23">
        <v>5.9523809523809521E-3</v>
      </c>
    </row>
    <row r="53" spans="2:5" ht="15" customHeight="1" x14ac:dyDescent="0.25">
      <c r="B53" s="69" t="s">
        <v>26</v>
      </c>
      <c r="C53" s="28" t="s">
        <v>19</v>
      </c>
      <c r="D53" s="27">
        <v>2</v>
      </c>
      <c r="E53" s="26">
        <v>1.1904761904761904E-2</v>
      </c>
    </row>
    <row r="54" spans="2:5" ht="15" customHeight="1" x14ac:dyDescent="0.25">
      <c r="B54" s="70"/>
      <c r="C54" s="25" t="s">
        <v>18</v>
      </c>
      <c r="D54" s="24">
        <v>2</v>
      </c>
      <c r="E54" s="23">
        <v>1.1904761904761904E-2</v>
      </c>
    </row>
    <row r="55" spans="2:5" ht="15" customHeight="1" x14ac:dyDescent="0.25">
      <c r="B55" s="69" t="s">
        <v>25</v>
      </c>
      <c r="C55" s="28" t="s">
        <v>21</v>
      </c>
      <c r="D55" s="27">
        <v>1</v>
      </c>
      <c r="E55" s="26">
        <v>5.9523809523809521E-3</v>
      </c>
    </row>
    <row r="56" spans="2:5" ht="15" customHeight="1" x14ac:dyDescent="0.25">
      <c r="B56" s="70"/>
      <c r="C56" s="25" t="s">
        <v>18</v>
      </c>
      <c r="D56" s="24">
        <v>1</v>
      </c>
      <c r="E56" s="23">
        <v>5.9523809523809521E-3</v>
      </c>
    </row>
    <row r="57" spans="2:5" ht="15" customHeight="1" x14ac:dyDescent="0.25">
      <c r="B57" s="69" t="s">
        <v>24</v>
      </c>
      <c r="C57" s="28" t="s">
        <v>21</v>
      </c>
      <c r="D57" s="27">
        <v>1</v>
      </c>
      <c r="E57" s="26">
        <v>5.9523809523809521E-3</v>
      </c>
    </row>
    <row r="58" spans="2:5" ht="15" customHeight="1" x14ac:dyDescent="0.25">
      <c r="B58" s="70"/>
      <c r="C58" s="25" t="s">
        <v>18</v>
      </c>
      <c r="D58" s="24">
        <v>1</v>
      </c>
      <c r="E58" s="23">
        <v>5.9523809523809521E-3</v>
      </c>
    </row>
    <row r="59" spans="2:5" ht="15" customHeight="1" x14ac:dyDescent="0.25">
      <c r="B59" s="69" t="s">
        <v>23</v>
      </c>
      <c r="C59" s="28" t="s">
        <v>19</v>
      </c>
      <c r="D59" s="27">
        <v>1</v>
      </c>
      <c r="E59" s="26">
        <v>5.9523809523809521E-3</v>
      </c>
    </row>
    <row r="60" spans="2:5" ht="15" customHeight="1" x14ac:dyDescent="0.25">
      <c r="B60" s="70"/>
      <c r="C60" s="25" t="s">
        <v>18</v>
      </c>
      <c r="D60" s="24">
        <v>1</v>
      </c>
      <c r="E60" s="23">
        <v>5.9523809523809521E-3</v>
      </c>
    </row>
    <row r="61" spans="2:5" ht="15" customHeight="1" x14ac:dyDescent="0.25">
      <c r="B61" s="69" t="s">
        <v>22</v>
      </c>
      <c r="C61" s="28" t="s">
        <v>21</v>
      </c>
      <c r="D61" s="27">
        <v>3</v>
      </c>
      <c r="E61" s="26">
        <v>1.7857142857142856E-2</v>
      </c>
    </row>
    <row r="62" spans="2:5" ht="15" customHeight="1" x14ac:dyDescent="0.25">
      <c r="B62" s="71"/>
      <c r="C62" s="28" t="s">
        <v>19</v>
      </c>
      <c r="D62" s="27">
        <v>2</v>
      </c>
      <c r="E62" s="26">
        <v>1.1904761904761904E-2</v>
      </c>
    </row>
    <row r="63" spans="2:5" ht="15" customHeight="1" x14ac:dyDescent="0.25">
      <c r="B63" s="70"/>
      <c r="C63" s="25" t="s">
        <v>18</v>
      </c>
      <c r="D63" s="24">
        <v>5</v>
      </c>
      <c r="E63" s="23">
        <v>2.976190476190476E-2</v>
      </c>
    </row>
    <row r="64" spans="2:5" ht="15" customHeight="1" x14ac:dyDescent="0.25">
      <c r="B64" s="69" t="s">
        <v>20</v>
      </c>
      <c r="C64" s="28" t="s">
        <v>19</v>
      </c>
      <c r="D64" s="27">
        <v>1</v>
      </c>
      <c r="E64" s="26">
        <v>5.9523809523809521E-3</v>
      </c>
    </row>
    <row r="65" spans="2:5" ht="15" customHeight="1" x14ac:dyDescent="0.25">
      <c r="B65" s="70"/>
      <c r="C65" s="25" t="s">
        <v>18</v>
      </c>
      <c r="D65" s="24">
        <v>1</v>
      </c>
      <c r="E65" s="23">
        <v>5.9523809523809521E-3</v>
      </c>
    </row>
    <row r="66" spans="2:5" ht="15" customHeight="1" x14ac:dyDescent="0.25">
      <c r="B66" s="72" t="s">
        <v>18</v>
      </c>
      <c r="C66" s="73"/>
      <c r="D66" s="22">
        <f>SUMIF(C10:C65,"TOTAL",D10:D65)</f>
        <v>168</v>
      </c>
      <c r="E66" s="21">
        <v>1</v>
      </c>
    </row>
    <row r="68" spans="2:5" ht="15" customHeight="1" x14ac:dyDescent="0.25">
      <c r="B68" s="18" t="s">
        <v>17</v>
      </c>
    </row>
    <row r="69" spans="2:5" ht="15" customHeight="1" x14ac:dyDescent="0.25">
      <c r="B69" s="20" t="s">
        <v>16</v>
      </c>
    </row>
    <row r="70" spans="2:5" ht="15" customHeight="1" x14ac:dyDescent="0.25">
      <c r="B70" s="19" t="s">
        <v>15</v>
      </c>
    </row>
    <row r="71" spans="2:5" ht="15" customHeight="1" x14ac:dyDescent="0.25">
      <c r="B71" s="18" t="s">
        <v>14</v>
      </c>
    </row>
    <row r="72" spans="2:5" ht="15" customHeight="1" x14ac:dyDescent="0.25">
      <c r="B72" s="18" t="s">
        <v>13</v>
      </c>
    </row>
    <row r="485" spans="2:2" s="15" customFormat="1" ht="15" customHeight="1" x14ac:dyDescent="0.25">
      <c r="B485" s="16"/>
    </row>
    <row r="486" spans="2:2" s="15" customFormat="1" ht="15" customHeight="1" x14ac:dyDescent="0.25">
      <c r="B486" s="17"/>
    </row>
    <row r="487" spans="2:2" s="15" customFormat="1" ht="15" customHeight="1" x14ac:dyDescent="0.25">
      <c r="B487" s="17"/>
    </row>
    <row r="488" spans="2:2" s="15" customFormat="1" ht="15" customHeight="1" x14ac:dyDescent="0.25">
      <c r="B488" s="16"/>
    </row>
    <row r="489" spans="2:2" s="15" customFormat="1" ht="15" customHeight="1" x14ac:dyDescent="0.25">
      <c r="B489" s="16"/>
    </row>
  </sheetData>
  <mergeCells count="24">
    <mergeCell ref="B7:E8"/>
    <mergeCell ref="B10:B12"/>
    <mergeCell ref="B13:B14"/>
    <mergeCell ref="B15:B17"/>
    <mergeCell ref="B18:B20"/>
    <mergeCell ref="B35:B37"/>
    <mergeCell ref="B38:B39"/>
    <mergeCell ref="B40:B42"/>
    <mergeCell ref="B43:B45"/>
    <mergeCell ref="B46:B48"/>
    <mergeCell ref="B21:B22"/>
    <mergeCell ref="B23:B25"/>
    <mergeCell ref="B26:B28"/>
    <mergeCell ref="B29:B31"/>
    <mergeCell ref="B32:B34"/>
    <mergeCell ref="B59:B60"/>
    <mergeCell ref="B61:B63"/>
    <mergeCell ref="B64:B65"/>
    <mergeCell ref="B66:C66"/>
    <mergeCell ref="B49:B50"/>
    <mergeCell ref="B51:B52"/>
    <mergeCell ref="B53:B54"/>
    <mergeCell ref="B55:B56"/>
    <mergeCell ref="B57:B58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1" manualBreakCount="1">
    <brk id="52" max="4" man="1"/>
  </rowBreaks>
  <colBreaks count="1" manualBreakCount="1">
    <brk id="5" max="18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E488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4" customWidth="1"/>
    <col min="2" max="2" width="22.85546875" style="15" customWidth="1"/>
    <col min="3" max="3" width="31.42578125" style="15" customWidth="1"/>
    <col min="4" max="4" width="14.28515625" style="15" customWidth="1"/>
    <col min="5" max="5" width="16.85546875" style="15" customWidth="1"/>
    <col min="6" max="16384" width="35" style="14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29"/>
      <c r="D6" s="29"/>
      <c r="E6" s="29"/>
    </row>
    <row r="7" spans="1:5" s="34" customFormat="1" ht="26.25" customHeight="1" x14ac:dyDescent="0.3">
      <c r="A7" s="35"/>
      <c r="B7" s="74"/>
      <c r="C7" s="74"/>
      <c r="D7" s="74"/>
      <c r="E7" s="74"/>
    </row>
    <row r="8" spans="1:5" s="34" customFormat="1" ht="33" customHeight="1" x14ac:dyDescent="0.3">
      <c r="A8" s="35"/>
      <c r="B8" s="74"/>
      <c r="C8" s="74"/>
      <c r="D8" s="74"/>
      <c r="E8" s="74"/>
    </row>
    <row r="9" spans="1:5" s="30" customFormat="1" ht="40.5" customHeight="1" x14ac:dyDescent="0.2">
      <c r="B9" s="31" t="s">
        <v>46</v>
      </c>
      <c r="C9" s="33" t="s">
        <v>200</v>
      </c>
      <c r="D9" s="32" t="s">
        <v>44</v>
      </c>
      <c r="E9" s="31" t="s">
        <v>43</v>
      </c>
    </row>
    <row r="10" spans="1:5" ht="15" customHeight="1" x14ac:dyDescent="0.25">
      <c r="B10" s="69" t="s">
        <v>42</v>
      </c>
      <c r="C10" s="28" t="s">
        <v>199</v>
      </c>
      <c r="D10" s="27">
        <v>1</v>
      </c>
      <c r="E10" s="26">
        <v>6.4935064935064939E-3</v>
      </c>
    </row>
    <row r="11" spans="1:5" ht="15" customHeight="1" x14ac:dyDescent="0.25">
      <c r="B11" s="70"/>
      <c r="C11" s="25" t="s">
        <v>18</v>
      </c>
      <c r="D11" s="24">
        <v>1</v>
      </c>
      <c r="E11" s="23">
        <v>6.4935064935064939E-3</v>
      </c>
    </row>
    <row r="12" spans="1:5" ht="15" customHeight="1" x14ac:dyDescent="0.25">
      <c r="B12" s="69" t="s">
        <v>40</v>
      </c>
      <c r="C12" s="28" t="s">
        <v>198</v>
      </c>
      <c r="D12" s="27">
        <v>1</v>
      </c>
      <c r="E12" s="26">
        <v>6.4935064935064939E-3</v>
      </c>
    </row>
    <row r="13" spans="1:5" ht="15" customHeight="1" x14ac:dyDescent="0.25">
      <c r="B13" s="71"/>
      <c r="C13" s="28" t="s">
        <v>197</v>
      </c>
      <c r="D13" s="27">
        <v>3</v>
      </c>
      <c r="E13" s="26">
        <v>1.948051948051948E-2</v>
      </c>
    </row>
    <row r="14" spans="1:5" ht="15" customHeight="1" x14ac:dyDescent="0.25">
      <c r="B14" s="71"/>
      <c r="C14" s="28" t="s">
        <v>196</v>
      </c>
      <c r="D14" s="27">
        <v>1</v>
      </c>
      <c r="E14" s="26">
        <v>6.4935064935064939E-3</v>
      </c>
    </row>
    <row r="15" spans="1:5" s="29" customFormat="1" ht="15" customHeight="1" x14ac:dyDescent="0.2">
      <c r="B15" s="70"/>
      <c r="C15" s="25" t="s">
        <v>18</v>
      </c>
      <c r="D15" s="24">
        <v>5</v>
      </c>
      <c r="E15" s="23">
        <v>3.2467532467532464E-2</v>
      </c>
    </row>
    <row r="16" spans="1:5" s="29" customFormat="1" ht="15" customHeight="1" x14ac:dyDescent="0.2">
      <c r="B16" s="69" t="s">
        <v>39</v>
      </c>
      <c r="C16" s="28" t="s">
        <v>195</v>
      </c>
      <c r="D16" s="27">
        <v>3</v>
      </c>
      <c r="E16" s="26">
        <v>1.948051948051948E-2</v>
      </c>
    </row>
    <row r="17" spans="2:5" s="29" customFormat="1" ht="15" customHeight="1" x14ac:dyDescent="0.2">
      <c r="B17" s="71"/>
      <c r="C17" s="28" t="s">
        <v>194</v>
      </c>
      <c r="D17" s="27">
        <v>2</v>
      </c>
      <c r="E17" s="26">
        <v>1.2987012987012988E-2</v>
      </c>
    </row>
    <row r="18" spans="2:5" s="29" customFormat="1" ht="15" customHeight="1" x14ac:dyDescent="0.2">
      <c r="B18" s="71"/>
      <c r="C18" s="28" t="s">
        <v>193</v>
      </c>
      <c r="D18" s="27">
        <v>10</v>
      </c>
      <c r="E18" s="26">
        <v>6.4935064935064929E-2</v>
      </c>
    </row>
    <row r="19" spans="2:5" s="29" customFormat="1" ht="15" customHeight="1" x14ac:dyDescent="0.2">
      <c r="B19" s="71"/>
      <c r="C19" s="28" t="s">
        <v>192</v>
      </c>
      <c r="D19" s="27">
        <v>1</v>
      </c>
      <c r="E19" s="26">
        <v>6.4935064935064939E-3</v>
      </c>
    </row>
    <row r="20" spans="2:5" ht="15" customHeight="1" x14ac:dyDescent="0.25">
      <c r="B20" s="71"/>
      <c r="C20" s="28" t="s">
        <v>191</v>
      </c>
      <c r="D20" s="27">
        <v>5</v>
      </c>
      <c r="E20" s="26">
        <v>3.2467532467532464E-2</v>
      </c>
    </row>
    <row r="21" spans="2:5" ht="15" customHeight="1" x14ac:dyDescent="0.25">
      <c r="B21" s="71"/>
      <c r="C21" s="28" t="s">
        <v>190</v>
      </c>
      <c r="D21" s="27">
        <v>2</v>
      </c>
      <c r="E21" s="26">
        <v>1.2987012987012988E-2</v>
      </c>
    </row>
    <row r="22" spans="2:5" ht="15" customHeight="1" x14ac:dyDescent="0.25">
      <c r="B22" s="71"/>
      <c r="C22" s="28" t="s">
        <v>189</v>
      </c>
      <c r="D22" s="27">
        <v>2</v>
      </c>
      <c r="E22" s="26">
        <v>1.2987012987012988E-2</v>
      </c>
    </row>
    <row r="23" spans="2:5" ht="15" customHeight="1" x14ac:dyDescent="0.25">
      <c r="B23" s="70"/>
      <c r="C23" s="25" t="s">
        <v>18</v>
      </c>
      <c r="D23" s="24">
        <v>25</v>
      </c>
      <c r="E23" s="23">
        <v>0.16233766233766234</v>
      </c>
    </row>
    <row r="24" spans="2:5" ht="15" customHeight="1" x14ac:dyDescent="0.25">
      <c r="B24" s="69" t="s">
        <v>38</v>
      </c>
      <c r="C24" s="28" t="s">
        <v>188</v>
      </c>
      <c r="D24" s="27">
        <v>1</v>
      </c>
      <c r="E24" s="26">
        <v>6.4935064935064939E-3</v>
      </c>
    </row>
    <row r="25" spans="2:5" ht="15" customHeight="1" x14ac:dyDescent="0.25">
      <c r="B25" s="71"/>
      <c r="C25" s="28" t="s">
        <v>187</v>
      </c>
      <c r="D25" s="27">
        <v>1</v>
      </c>
      <c r="E25" s="26">
        <v>6.4935064935064939E-3</v>
      </c>
    </row>
    <row r="26" spans="2:5" ht="15" customHeight="1" x14ac:dyDescent="0.25">
      <c r="B26" s="70"/>
      <c r="C26" s="25" t="s">
        <v>18</v>
      </c>
      <c r="D26" s="24">
        <v>2</v>
      </c>
      <c r="E26" s="23">
        <v>1.2987012987012988E-2</v>
      </c>
    </row>
    <row r="27" spans="2:5" ht="15" customHeight="1" x14ac:dyDescent="0.25">
      <c r="B27" s="69" t="s">
        <v>37</v>
      </c>
      <c r="C27" s="28" t="s">
        <v>186</v>
      </c>
      <c r="D27" s="27">
        <v>1</v>
      </c>
      <c r="E27" s="26">
        <v>6.4935064935064939E-3</v>
      </c>
    </row>
    <row r="28" spans="2:5" ht="15" customHeight="1" x14ac:dyDescent="0.25">
      <c r="B28" s="71"/>
      <c r="C28" s="28" t="s">
        <v>185</v>
      </c>
      <c r="D28" s="27">
        <v>1</v>
      </c>
      <c r="E28" s="26">
        <v>6.4935064935064939E-3</v>
      </c>
    </row>
    <row r="29" spans="2:5" ht="15" customHeight="1" x14ac:dyDescent="0.25">
      <c r="B29" s="71"/>
      <c r="C29" s="28" t="s">
        <v>184</v>
      </c>
      <c r="D29" s="27">
        <v>1</v>
      </c>
      <c r="E29" s="26">
        <v>6.4935064935064939E-3</v>
      </c>
    </row>
    <row r="30" spans="2:5" ht="15" customHeight="1" x14ac:dyDescent="0.25">
      <c r="B30" s="71"/>
      <c r="C30" s="28" t="s">
        <v>183</v>
      </c>
      <c r="D30" s="27">
        <v>3</v>
      </c>
      <c r="E30" s="26">
        <v>1.948051948051948E-2</v>
      </c>
    </row>
    <row r="31" spans="2:5" ht="15" customHeight="1" x14ac:dyDescent="0.25">
      <c r="B31" s="71"/>
      <c r="C31" s="28" t="s">
        <v>182</v>
      </c>
      <c r="D31" s="27">
        <v>1</v>
      </c>
      <c r="E31" s="26">
        <v>6.4935064935064939E-3</v>
      </c>
    </row>
    <row r="32" spans="2:5" ht="15" customHeight="1" x14ac:dyDescent="0.25">
      <c r="B32" s="71"/>
      <c r="C32" s="28" t="s">
        <v>181</v>
      </c>
      <c r="D32" s="27">
        <v>1</v>
      </c>
      <c r="E32" s="26">
        <v>6.4935064935064939E-3</v>
      </c>
    </row>
    <row r="33" spans="2:5" ht="15" customHeight="1" x14ac:dyDescent="0.25">
      <c r="B33" s="71"/>
      <c r="C33" s="28" t="s">
        <v>180</v>
      </c>
      <c r="D33" s="27">
        <v>3</v>
      </c>
      <c r="E33" s="26">
        <v>1.948051948051948E-2</v>
      </c>
    </row>
    <row r="34" spans="2:5" ht="15" customHeight="1" x14ac:dyDescent="0.25">
      <c r="B34" s="71"/>
      <c r="C34" s="28" t="s">
        <v>179</v>
      </c>
      <c r="D34" s="27">
        <v>1</v>
      </c>
      <c r="E34" s="26">
        <v>6.4935064935064939E-3</v>
      </c>
    </row>
    <row r="35" spans="2:5" ht="15" customHeight="1" x14ac:dyDescent="0.25">
      <c r="B35" s="71"/>
      <c r="C35" s="28" t="s">
        <v>178</v>
      </c>
      <c r="D35" s="27">
        <v>1</v>
      </c>
      <c r="E35" s="26">
        <v>6.4935064935064939E-3</v>
      </c>
    </row>
    <row r="36" spans="2:5" ht="15" customHeight="1" x14ac:dyDescent="0.25">
      <c r="B36" s="71"/>
      <c r="C36" s="28" t="s">
        <v>177</v>
      </c>
      <c r="D36" s="27">
        <v>1</v>
      </c>
      <c r="E36" s="26">
        <v>6.4935064935064939E-3</v>
      </c>
    </row>
    <row r="37" spans="2:5" ht="15" customHeight="1" x14ac:dyDescent="0.25">
      <c r="B37" s="70"/>
      <c r="C37" s="25" t="s">
        <v>18</v>
      </c>
      <c r="D37" s="24">
        <v>14</v>
      </c>
      <c r="E37" s="23">
        <v>9.0909090909090912E-2</v>
      </c>
    </row>
    <row r="38" spans="2:5" ht="15" customHeight="1" x14ac:dyDescent="0.25">
      <c r="B38" s="69" t="s">
        <v>36</v>
      </c>
      <c r="C38" s="28" t="s">
        <v>176</v>
      </c>
      <c r="D38" s="27">
        <v>2</v>
      </c>
      <c r="E38" s="26">
        <v>1.2987012987012988E-2</v>
      </c>
    </row>
    <row r="39" spans="2:5" ht="15" customHeight="1" x14ac:dyDescent="0.25">
      <c r="B39" s="71"/>
      <c r="C39" s="28" t="s">
        <v>175</v>
      </c>
      <c r="D39" s="27">
        <v>1</v>
      </c>
      <c r="E39" s="26">
        <v>6.4935064935064939E-3</v>
      </c>
    </row>
    <row r="40" spans="2:5" ht="15" customHeight="1" x14ac:dyDescent="0.25">
      <c r="B40" s="71"/>
      <c r="C40" s="28" t="s">
        <v>174</v>
      </c>
      <c r="D40" s="27">
        <v>1</v>
      </c>
      <c r="E40" s="26">
        <v>6.4935064935064939E-3</v>
      </c>
    </row>
    <row r="41" spans="2:5" ht="15" customHeight="1" x14ac:dyDescent="0.25">
      <c r="B41" s="71"/>
      <c r="C41" s="28" t="s">
        <v>173</v>
      </c>
      <c r="D41" s="27">
        <v>1</v>
      </c>
      <c r="E41" s="26">
        <v>6.4935064935064939E-3</v>
      </c>
    </row>
    <row r="42" spans="2:5" ht="15" customHeight="1" x14ac:dyDescent="0.25">
      <c r="B42" s="71"/>
      <c r="C42" s="28" t="s">
        <v>172</v>
      </c>
      <c r="D42" s="27">
        <v>1</v>
      </c>
      <c r="E42" s="26">
        <v>6.4935064935064939E-3</v>
      </c>
    </row>
    <row r="43" spans="2:5" ht="15" customHeight="1" x14ac:dyDescent="0.25">
      <c r="B43" s="71"/>
      <c r="C43" s="28" t="s">
        <v>171</v>
      </c>
      <c r="D43" s="27">
        <v>1</v>
      </c>
      <c r="E43" s="26">
        <v>6.4935064935064939E-3</v>
      </c>
    </row>
    <row r="44" spans="2:5" ht="15" customHeight="1" x14ac:dyDescent="0.25">
      <c r="B44" s="71"/>
      <c r="C44" s="28" t="s">
        <v>170</v>
      </c>
      <c r="D44" s="27">
        <v>1</v>
      </c>
      <c r="E44" s="26">
        <v>6.4935064935064939E-3</v>
      </c>
    </row>
    <row r="45" spans="2:5" ht="15" customHeight="1" x14ac:dyDescent="0.25">
      <c r="B45" s="71"/>
      <c r="C45" s="28" t="s">
        <v>169</v>
      </c>
      <c r="D45" s="27">
        <v>1</v>
      </c>
      <c r="E45" s="26">
        <v>6.4935064935064939E-3</v>
      </c>
    </row>
    <row r="46" spans="2:5" ht="15" customHeight="1" x14ac:dyDescent="0.25">
      <c r="B46" s="70"/>
      <c r="C46" s="25" t="s">
        <v>18</v>
      </c>
      <c r="D46" s="24">
        <v>9</v>
      </c>
      <c r="E46" s="23">
        <v>5.844155844155844E-2</v>
      </c>
    </row>
    <row r="47" spans="2:5" ht="15" customHeight="1" x14ac:dyDescent="0.25">
      <c r="B47" s="69" t="s">
        <v>35</v>
      </c>
      <c r="C47" s="28" t="s">
        <v>168</v>
      </c>
      <c r="D47" s="27">
        <v>2</v>
      </c>
      <c r="E47" s="26">
        <v>1.2987012987012988E-2</v>
      </c>
    </row>
    <row r="48" spans="2:5" ht="15" customHeight="1" x14ac:dyDescent="0.25">
      <c r="B48" s="71"/>
      <c r="C48" s="28" t="s">
        <v>167</v>
      </c>
      <c r="D48" s="27">
        <v>1</v>
      </c>
      <c r="E48" s="26">
        <v>6.4935064935064939E-3</v>
      </c>
    </row>
    <row r="49" spans="2:5" ht="15" customHeight="1" x14ac:dyDescent="0.25">
      <c r="B49" s="71"/>
      <c r="C49" s="28" t="s">
        <v>166</v>
      </c>
      <c r="D49" s="27">
        <v>1</v>
      </c>
      <c r="E49" s="26">
        <v>6.4935064935064939E-3</v>
      </c>
    </row>
    <row r="50" spans="2:5" ht="15" customHeight="1" x14ac:dyDescent="0.25">
      <c r="B50" s="71"/>
      <c r="C50" s="28" t="s">
        <v>165</v>
      </c>
      <c r="D50" s="27">
        <v>1</v>
      </c>
      <c r="E50" s="26">
        <v>6.4935064935064939E-3</v>
      </c>
    </row>
    <row r="51" spans="2:5" ht="15" customHeight="1" x14ac:dyDescent="0.25">
      <c r="B51" s="71"/>
      <c r="C51" s="28" t="s">
        <v>164</v>
      </c>
      <c r="D51" s="27">
        <v>1</v>
      </c>
      <c r="E51" s="26">
        <v>6.4935064935064939E-3</v>
      </c>
    </row>
    <row r="52" spans="2:5" ht="15" customHeight="1" x14ac:dyDescent="0.25">
      <c r="B52" s="70"/>
      <c r="C52" s="25" t="s">
        <v>18</v>
      </c>
      <c r="D52" s="24">
        <v>6</v>
      </c>
      <c r="E52" s="23">
        <v>3.896103896103896E-2</v>
      </c>
    </row>
    <row r="53" spans="2:5" ht="15" customHeight="1" x14ac:dyDescent="0.25">
      <c r="B53" s="69" t="s">
        <v>34</v>
      </c>
      <c r="C53" s="28" t="s">
        <v>163</v>
      </c>
      <c r="D53" s="27">
        <v>1</v>
      </c>
      <c r="E53" s="26">
        <v>6.4935064935064939E-3</v>
      </c>
    </row>
    <row r="54" spans="2:5" ht="15" customHeight="1" x14ac:dyDescent="0.25">
      <c r="B54" s="71"/>
      <c r="C54" s="28" t="s">
        <v>162</v>
      </c>
      <c r="D54" s="27">
        <v>1</v>
      </c>
      <c r="E54" s="26">
        <v>6.4935064935064939E-3</v>
      </c>
    </row>
    <row r="55" spans="2:5" ht="15" customHeight="1" x14ac:dyDescent="0.25">
      <c r="B55" s="71"/>
      <c r="C55" s="28" t="s">
        <v>161</v>
      </c>
      <c r="D55" s="27">
        <v>1</v>
      </c>
      <c r="E55" s="26">
        <v>6.4935064935064939E-3</v>
      </c>
    </row>
    <row r="56" spans="2:5" ht="15" customHeight="1" x14ac:dyDescent="0.25">
      <c r="B56" s="71"/>
      <c r="C56" s="28" t="s">
        <v>160</v>
      </c>
      <c r="D56" s="27">
        <v>1</v>
      </c>
      <c r="E56" s="26">
        <v>6.4935064935064939E-3</v>
      </c>
    </row>
    <row r="57" spans="2:5" ht="15" customHeight="1" x14ac:dyDescent="0.25">
      <c r="B57" s="71"/>
      <c r="C57" s="28" t="s">
        <v>159</v>
      </c>
      <c r="D57" s="27">
        <v>1</v>
      </c>
      <c r="E57" s="26">
        <v>6.4935064935064939E-3</v>
      </c>
    </row>
    <row r="58" spans="2:5" ht="15" customHeight="1" x14ac:dyDescent="0.25">
      <c r="B58" s="71"/>
      <c r="C58" s="28" t="s">
        <v>158</v>
      </c>
      <c r="D58" s="27">
        <v>9</v>
      </c>
      <c r="E58" s="26">
        <v>5.844155844155844E-2</v>
      </c>
    </row>
    <row r="59" spans="2:5" ht="15" customHeight="1" x14ac:dyDescent="0.25">
      <c r="B59" s="71"/>
      <c r="C59" s="28" t="s">
        <v>157</v>
      </c>
      <c r="D59" s="27">
        <v>1</v>
      </c>
      <c r="E59" s="26">
        <v>6.4935064935064939E-3</v>
      </c>
    </row>
    <row r="60" spans="2:5" ht="15" customHeight="1" x14ac:dyDescent="0.25">
      <c r="B60" s="71"/>
      <c r="C60" s="28" t="s">
        <v>156</v>
      </c>
      <c r="D60" s="27">
        <v>1</v>
      </c>
      <c r="E60" s="26">
        <v>6.4935064935064939E-3</v>
      </c>
    </row>
    <row r="61" spans="2:5" ht="15" customHeight="1" x14ac:dyDescent="0.25">
      <c r="B61" s="71"/>
      <c r="C61" s="28" t="s">
        <v>155</v>
      </c>
      <c r="D61" s="27">
        <v>1</v>
      </c>
      <c r="E61" s="26">
        <v>6.4935064935064939E-3</v>
      </c>
    </row>
    <row r="62" spans="2:5" ht="15" customHeight="1" x14ac:dyDescent="0.25">
      <c r="B62" s="71"/>
      <c r="C62" s="28" t="s">
        <v>154</v>
      </c>
      <c r="D62" s="27">
        <v>2</v>
      </c>
      <c r="E62" s="26">
        <v>1.2987012987012988E-2</v>
      </c>
    </row>
    <row r="63" spans="2:5" ht="15" customHeight="1" x14ac:dyDescent="0.25">
      <c r="B63" s="71"/>
      <c r="C63" s="28" t="s">
        <v>153</v>
      </c>
      <c r="D63" s="27">
        <v>1</v>
      </c>
      <c r="E63" s="26">
        <v>6.4935064935064939E-3</v>
      </c>
    </row>
    <row r="64" spans="2:5" ht="15" customHeight="1" x14ac:dyDescent="0.25">
      <c r="B64" s="71"/>
      <c r="C64" s="28" t="s">
        <v>152</v>
      </c>
      <c r="D64" s="27">
        <v>1</v>
      </c>
      <c r="E64" s="26">
        <v>6.4935064935064939E-3</v>
      </c>
    </row>
    <row r="65" spans="2:5" ht="15" customHeight="1" x14ac:dyDescent="0.25">
      <c r="B65" s="71"/>
      <c r="C65" s="28" t="s">
        <v>151</v>
      </c>
      <c r="D65" s="27">
        <v>1</v>
      </c>
      <c r="E65" s="26">
        <v>6.4935064935064939E-3</v>
      </c>
    </row>
    <row r="66" spans="2:5" ht="15" customHeight="1" x14ac:dyDescent="0.25">
      <c r="B66" s="71"/>
      <c r="C66" s="28" t="s">
        <v>150</v>
      </c>
      <c r="D66" s="27">
        <v>1</v>
      </c>
      <c r="E66" s="26">
        <v>6.4935064935064939E-3</v>
      </c>
    </row>
    <row r="67" spans="2:5" ht="15" customHeight="1" x14ac:dyDescent="0.25">
      <c r="B67" s="71"/>
      <c r="C67" s="28" t="s">
        <v>149</v>
      </c>
      <c r="D67" s="27">
        <v>1</v>
      </c>
      <c r="E67" s="26">
        <v>6.4935064935064939E-3</v>
      </c>
    </row>
    <row r="68" spans="2:5" ht="15" customHeight="1" x14ac:dyDescent="0.25">
      <c r="B68" s="70"/>
      <c r="C68" s="25" t="s">
        <v>18</v>
      </c>
      <c r="D68" s="24">
        <v>24</v>
      </c>
      <c r="E68" s="23">
        <v>0.15584415584415584</v>
      </c>
    </row>
    <row r="69" spans="2:5" ht="15" customHeight="1" x14ac:dyDescent="0.25">
      <c r="B69" s="69" t="s">
        <v>33</v>
      </c>
      <c r="C69" s="28" t="s">
        <v>148</v>
      </c>
      <c r="D69" s="27">
        <v>1</v>
      </c>
      <c r="E69" s="26">
        <v>6.4935064935064939E-3</v>
      </c>
    </row>
    <row r="70" spans="2:5" ht="15" customHeight="1" x14ac:dyDescent="0.25">
      <c r="B70" s="71"/>
      <c r="C70" s="28" t="s">
        <v>147</v>
      </c>
      <c r="D70" s="27">
        <v>1</v>
      </c>
      <c r="E70" s="26">
        <v>6.4935064935064939E-3</v>
      </c>
    </row>
    <row r="71" spans="2:5" ht="15" customHeight="1" x14ac:dyDescent="0.25">
      <c r="B71" s="71"/>
      <c r="C71" s="28" t="s">
        <v>146</v>
      </c>
      <c r="D71" s="27">
        <v>5</v>
      </c>
      <c r="E71" s="26">
        <v>3.2467532467532464E-2</v>
      </c>
    </row>
    <row r="72" spans="2:5" ht="15" customHeight="1" x14ac:dyDescent="0.25">
      <c r="B72" s="71"/>
      <c r="C72" s="28" t="s">
        <v>145</v>
      </c>
      <c r="D72" s="27">
        <v>1</v>
      </c>
      <c r="E72" s="26">
        <v>6.4935064935064939E-3</v>
      </c>
    </row>
    <row r="73" spans="2:5" ht="15" customHeight="1" x14ac:dyDescent="0.25">
      <c r="B73" s="71"/>
      <c r="C73" s="28" t="s">
        <v>144</v>
      </c>
      <c r="D73" s="27">
        <v>1</v>
      </c>
      <c r="E73" s="26">
        <v>6.4935064935064939E-3</v>
      </c>
    </row>
    <row r="74" spans="2:5" ht="15" customHeight="1" x14ac:dyDescent="0.25">
      <c r="B74" s="71"/>
      <c r="C74" s="28" t="s">
        <v>143</v>
      </c>
      <c r="D74" s="27">
        <v>3</v>
      </c>
      <c r="E74" s="26">
        <v>1.948051948051948E-2</v>
      </c>
    </row>
    <row r="75" spans="2:5" ht="15" customHeight="1" x14ac:dyDescent="0.25">
      <c r="B75" s="71"/>
      <c r="C75" s="28" t="s">
        <v>142</v>
      </c>
      <c r="D75" s="27">
        <v>1</v>
      </c>
      <c r="E75" s="26">
        <v>6.4935064935064939E-3</v>
      </c>
    </row>
    <row r="76" spans="2:5" ht="15" customHeight="1" x14ac:dyDescent="0.25">
      <c r="B76" s="70"/>
      <c r="C76" s="25" t="s">
        <v>18</v>
      </c>
      <c r="D76" s="24">
        <v>13</v>
      </c>
      <c r="E76" s="23">
        <v>8.4415584415584416E-2</v>
      </c>
    </row>
    <row r="77" spans="2:5" ht="15" customHeight="1" x14ac:dyDescent="0.25">
      <c r="B77" s="69" t="s">
        <v>32</v>
      </c>
      <c r="C77" s="28" t="s">
        <v>141</v>
      </c>
      <c r="D77" s="27">
        <v>1</v>
      </c>
      <c r="E77" s="26">
        <v>6.4935064935064939E-3</v>
      </c>
    </row>
    <row r="78" spans="2:5" ht="15" customHeight="1" x14ac:dyDescent="0.25">
      <c r="B78" s="70"/>
      <c r="C78" s="25" t="s">
        <v>18</v>
      </c>
      <c r="D78" s="24">
        <v>1</v>
      </c>
      <c r="E78" s="23">
        <v>6.4935064935064939E-3</v>
      </c>
    </row>
    <row r="79" spans="2:5" ht="15" customHeight="1" x14ac:dyDescent="0.25">
      <c r="B79" s="69" t="s">
        <v>31</v>
      </c>
      <c r="C79" s="28" t="s">
        <v>140</v>
      </c>
      <c r="D79" s="27">
        <v>2</v>
      </c>
      <c r="E79" s="26">
        <v>1.2987012987012988E-2</v>
      </c>
    </row>
    <row r="80" spans="2:5" ht="15" customHeight="1" x14ac:dyDescent="0.25">
      <c r="B80" s="71"/>
      <c r="C80" s="28" t="s">
        <v>139</v>
      </c>
      <c r="D80" s="27">
        <v>2</v>
      </c>
      <c r="E80" s="26">
        <v>1.2987012987012988E-2</v>
      </c>
    </row>
    <row r="81" spans="2:5" ht="15" customHeight="1" x14ac:dyDescent="0.25">
      <c r="B81" s="71"/>
      <c r="C81" s="28" t="s">
        <v>138</v>
      </c>
      <c r="D81" s="27">
        <v>3</v>
      </c>
      <c r="E81" s="26">
        <v>1.948051948051948E-2</v>
      </c>
    </row>
    <row r="82" spans="2:5" ht="15" customHeight="1" x14ac:dyDescent="0.25">
      <c r="B82" s="71"/>
      <c r="C82" s="28" t="s">
        <v>137</v>
      </c>
      <c r="D82" s="27">
        <v>2</v>
      </c>
      <c r="E82" s="26">
        <v>1.2987012987012988E-2</v>
      </c>
    </row>
    <row r="83" spans="2:5" ht="15" customHeight="1" x14ac:dyDescent="0.25">
      <c r="B83" s="71"/>
      <c r="C83" s="28" t="s">
        <v>136</v>
      </c>
      <c r="D83" s="27">
        <v>2</v>
      </c>
      <c r="E83" s="26">
        <v>1.2987012987012988E-2</v>
      </c>
    </row>
    <row r="84" spans="2:5" ht="15" customHeight="1" x14ac:dyDescent="0.25">
      <c r="B84" s="71"/>
      <c r="C84" s="28" t="s">
        <v>135</v>
      </c>
      <c r="D84" s="27">
        <v>2</v>
      </c>
      <c r="E84" s="26">
        <v>1.2987012987012988E-2</v>
      </c>
    </row>
    <row r="85" spans="2:5" ht="15" customHeight="1" x14ac:dyDescent="0.25">
      <c r="B85" s="71"/>
      <c r="C85" s="28" t="s">
        <v>134</v>
      </c>
      <c r="D85" s="27">
        <v>5</v>
      </c>
      <c r="E85" s="26">
        <v>3.2467532467532464E-2</v>
      </c>
    </row>
    <row r="86" spans="2:5" ht="15" customHeight="1" x14ac:dyDescent="0.25">
      <c r="B86" s="71"/>
      <c r="C86" s="28" t="s">
        <v>133</v>
      </c>
      <c r="D86" s="27">
        <v>1</v>
      </c>
      <c r="E86" s="26">
        <v>6.4935064935064939E-3</v>
      </c>
    </row>
    <row r="87" spans="2:5" ht="15" customHeight="1" x14ac:dyDescent="0.25">
      <c r="B87" s="70"/>
      <c r="C87" s="25" t="s">
        <v>18</v>
      </c>
      <c r="D87" s="24">
        <v>19</v>
      </c>
      <c r="E87" s="23">
        <v>0.12337662337662338</v>
      </c>
    </row>
    <row r="88" spans="2:5" ht="15" customHeight="1" x14ac:dyDescent="0.25">
      <c r="B88" s="69" t="s">
        <v>30</v>
      </c>
      <c r="C88" s="28" t="s">
        <v>132</v>
      </c>
      <c r="D88" s="27">
        <v>1</v>
      </c>
      <c r="E88" s="26">
        <v>6.4935064935064939E-3</v>
      </c>
    </row>
    <row r="89" spans="2:5" ht="15" customHeight="1" x14ac:dyDescent="0.25">
      <c r="B89" s="71"/>
      <c r="C89" s="28" t="s">
        <v>131</v>
      </c>
      <c r="D89" s="27">
        <v>1</v>
      </c>
      <c r="E89" s="26">
        <v>6.4935064935064939E-3</v>
      </c>
    </row>
    <row r="90" spans="2:5" ht="15" customHeight="1" x14ac:dyDescent="0.25">
      <c r="B90" s="71"/>
      <c r="C90" s="28" t="s">
        <v>130</v>
      </c>
      <c r="D90" s="27">
        <v>1</v>
      </c>
      <c r="E90" s="26">
        <v>6.4935064935064939E-3</v>
      </c>
    </row>
    <row r="91" spans="2:5" ht="15" customHeight="1" x14ac:dyDescent="0.25">
      <c r="B91" s="71"/>
      <c r="C91" s="28" t="s">
        <v>129</v>
      </c>
      <c r="D91" s="27">
        <v>1</v>
      </c>
      <c r="E91" s="26">
        <v>6.4935064935064939E-3</v>
      </c>
    </row>
    <row r="92" spans="2:5" ht="15" customHeight="1" x14ac:dyDescent="0.25">
      <c r="B92" s="71"/>
      <c r="C92" s="28" t="s">
        <v>128</v>
      </c>
      <c r="D92" s="27">
        <v>1</v>
      </c>
      <c r="E92" s="26">
        <v>6.4935064935064939E-3</v>
      </c>
    </row>
    <row r="93" spans="2:5" ht="15" customHeight="1" x14ac:dyDescent="0.25">
      <c r="B93" s="71"/>
      <c r="C93" s="28" t="s">
        <v>127</v>
      </c>
      <c r="D93" s="27">
        <v>2</v>
      </c>
      <c r="E93" s="26">
        <v>1.2987012987012988E-2</v>
      </c>
    </row>
    <row r="94" spans="2:5" ht="15" customHeight="1" x14ac:dyDescent="0.25">
      <c r="B94" s="71"/>
      <c r="C94" s="28" t="s">
        <v>126</v>
      </c>
      <c r="D94" s="27">
        <v>1</v>
      </c>
      <c r="E94" s="26">
        <v>6.4935064935064939E-3</v>
      </c>
    </row>
    <row r="95" spans="2:5" ht="15" customHeight="1" x14ac:dyDescent="0.25">
      <c r="B95" s="71"/>
      <c r="C95" s="28" t="s">
        <v>125</v>
      </c>
      <c r="D95" s="27">
        <v>1</v>
      </c>
      <c r="E95" s="26">
        <v>6.4935064935064939E-3</v>
      </c>
    </row>
    <row r="96" spans="2:5" ht="15" customHeight="1" x14ac:dyDescent="0.25">
      <c r="B96" s="71"/>
      <c r="C96" s="28" t="s">
        <v>124</v>
      </c>
      <c r="D96" s="27">
        <v>1</v>
      </c>
      <c r="E96" s="26">
        <v>6.4935064935064939E-3</v>
      </c>
    </row>
    <row r="97" spans="2:5" ht="15" customHeight="1" x14ac:dyDescent="0.25">
      <c r="B97" s="71"/>
      <c r="C97" s="28" t="s">
        <v>123</v>
      </c>
      <c r="D97" s="27">
        <v>1</v>
      </c>
      <c r="E97" s="26">
        <v>6.4935064935064939E-3</v>
      </c>
    </row>
    <row r="98" spans="2:5" ht="15" customHeight="1" x14ac:dyDescent="0.25">
      <c r="B98" s="71"/>
      <c r="C98" s="28" t="s">
        <v>122</v>
      </c>
      <c r="D98" s="27">
        <v>1</v>
      </c>
      <c r="E98" s="26">
        <v>6.4935064935064939E-3</v>
      </c>
    </row>
    <row r="99" spans="2:5" ht="15" customHeight="1" x14ac:dyDescent="0.25">
      <c r="B99" s="70"/>
      <c r="C99" s="25" t="s">
        <v>18</v>
      </c>
      <c r="D99" s="24">
        <v>12</v>
      </c>
      <c r="E99" s="23">
        <v>7.792207792207792E-2</v>
      </c>
    </row>
    <row r="100" spans="2:5" ht="15" customHeight="1" x14ac:dyDescent="0.25">
      <c r="B100" s="69" t="s">
        <v>29</v>
      </c>
      <c r="C100" s="28" t="s">
        <v>121</v>
      </c>
      <c r="D100" s="27">
        <v>1</v>
      </c>
      <c r="E100" s="26">
        <v>6.4935064935064939E-3</v>
      </c>
    </row>
    <row r="101" spans="2:5" ht="15" customHeight="1" x14ac:dyDescent="0.25">
      <c r="B101" s="71"/>
      <c r="C101" s="28" t="s">
        <v>120</v>
      </c>
      <c r="D101" s="27">
        <v>1</v>
      </c>
      <c r="E101" s="26">
        <v>6.4935064935064939E-3</v>
      </c>
    </row>
    <row r="102" spans="2:5" ht="15" customHeight="1" x14ac:dyDescent="0.25">
      <c r="B102" s="71"/>
      <c r="C102" s="28" t="s">
        <v>119</v>
      </c>
      <c r="D102" s="27">
        <v>1</v>
      </c>
      <c r="E102" s="26">
        <v>6.4935064935064939E-3</v>
      </c>
    </row>
    <row r="103" spans="2:5" ht="15" customHeight="1" x14ac:dyDescent="0.25">
      <c r="B103" s="71"/>
      <c r="C103" s="28" t="s">
        <v>118</v>
      </c>
      <c r="D103" s="27">
        <v>1</v>
      </c>
      <c r="E103" s="26">
        <v>6.4935064935064939E-3</v>
      </c>
    </row>
    <row r="104" spans="2:5" ht="15" customHeight="1" x14ac:dyDescent="0.25">
      <c r="B104" s="71"/>
      <c r="C104" s="28" t="s">
        <v>117</v>
      </c>
      <c r="D104" s="27">
        <v>3</v>
      </c>
      <c r="E104" s="26">
        <v>1.948051948051948E-2</v>
      </c>
    </row>
    <row r="105" spans="2:5" ht="15" customHeight="1" x14ac:dyDescent="0.25">
      <c r="B105" s="71"/>
      <c r="C105" s="28" t="s">
        <v>116</v>
      </c>
      <c r="D105" s="27">
        <v>1</v>
      </c>
      <c r="E105" s="26">
        <v>6.4935064935064939E-3</v>
      </c>
    </row>
    <row r="106" spans="2:5" ht="15" customHeight="1" x14ac:dyDescent="0.25">
      <c r="B106" s="71"/>
      <c r="C106" s="28" t="s">
        <v>29</v>
      </c>
      <c r="D106" s="27">
        <v>1</v>
      </c>
      <c r="E106" s="26">
        <v>6.4935064935064939E-3</v>
      </c>
    </row>
    <row r="107" spans="2:5" ht="15" customHeight="1" x14ac:dyDescent="0.25">
      <c r="B107" s="71"/>
      <c r="C107" s="28" t="s">
        <v>115</v>
      </c>
      <c r="D107" s="27">
        <v>1</v>
      </c>
      <c r="E107" s="26">
        <v>6.4935064935064939E-3</v>
      </c>
    </row>
    <row r="108" spans="2:5" ht="15" customHeight="1" x14ac:dyDescent="0.25">
      <c r="B108" s="70"/>
      <c r="C108" s="25" t="s">
        <v>18</v>
      </c>
      <c r="D108" s="24">
        <v>10</v>
      </c>
      <c r="E108" s="23">
        <v>6.4935064935064929E-2</v>
      </c>
    </row>
    <row r="109" spans="2:5" ht="15" customHeight="1" x14ac:dyDescent="0.25">
      <c r="B109" s="69" t="s">
        <v>28</v>
      </c>
      <c r="C109" s="28" t="s">
        <v>114</v>
      </c>
      <c r="D109" s="27">
        <v>1</v>
      </c>
      <c r="E109" s="26">
        <v>6.4935064935064939E-3</v>
      </c>
    </row>
    <row r="110" spans="2:5" ht="15" customHeight="1" x14ac:dyDescent="0.25">
      <c r="B110" s="70"/>
      <c r="C110" s="25" t="s">
        <v>18</v>
      </c>
      <c r="D110" s="24">
        <v>1</v>
      </c>
      <c r="E110" s="23">
        <v>6.4935064935064939E-3</v>
      </c>
    </row>
    <row r="111" spans="2:5" ht="15" customHeight="1" x14ac:dyDescent="0.25">
      <c r="B111" s="69" t="s">
        <v>27</v>
      </c>
      <c r="C111" s="28" t="s">
        <v>113</v>
      </c>
      <c r="D111" s="27">
        <v>1</v>
      </c>
      <c r="E111" s="26">
        <v>6.4935064935064939E-3</v>
      </c>
    </row>
    <row r="112" spans="2:5" ht="15" customHeight="1" x14ac:dyDescent="0.25">
      <c r="B112" s="70"/>
      <c r="C112" s="25" t="s">
        <v>18</v>
      </c>
      <c r="D112" s="24">
        <v>1</v>
      </c>
      <c r="E112" s="23">
        <v>6.4935064935064939E-3</v>
      </c>
    </row>
    <row r="113" spans="2:5" ht="15" customHeight="1" x14ac:dyDescent="0.25">
      <c r="B113" s="69" t="s">
        <v>26</v>
      </c>
      <c r="C113" s="28" t="s">
        <v>112</v>
      </c>
      <c r="D113" s="27">
        <v>1</v>
      </c>
      <c r="E113" s="26">
        <v>6.4935064935064939E-3</v>
      </c>
    </row>
    <row r="114" spans="2:5" ht="15" customHeight="1" x14ac:dyDescent="0.25">
      <c r="B114" s="71"/>
      <c r="C114" s="28" t="s">
        <v>111</v>
      </c>
      <c r="D114" s="27">
        <v>1</v>
      </c>
      <c r="E114" s="26">
        <v>6.4935064935064939E-3</v>
      </c>
    </row>
    <row r="115" spans="2:5" ht="15" customHeight="1" x14ac:dyDescent="0.25">
      <c r="B115" s="70"/>
      <c r="C115" s="25" t="s">
        <v>18</v>
      </c>
      <c r="D115" s="24">
        <v>2</v>
      </c>
      <c r="E115" s="23">
        <v>1.2987012987012988E-2</v>
      </c>
    </row>
    <row r="116" spans="2:5" ht="15" customHeight="1" x14ac:dyDescent="0.25">
      <c r="B116" s="69" t="s">
        <v>25</v>
      </c>
      <c r="C116" s="28" t="s">
        <v>110</v>
      </c>
      <c r="D116" s="27">
        <v>1</v>
      </c>
      <c r="E116" s="26">
        <v>6.4935064935064939E-3</v>
      </c>
    </row>
    <row r="117" spans="2:5" ht="15" customHeight="1" x14ac:dyDescent="0.25">
      <c r="B117" s="70"/>
      <c r="C117" s="25" t="s">
        <v>18</v>
      </c>
      <c r="D117" s="24">
        <v>1</v>
      </c>
      <c r="E117" s="23">
        <v>6.4935064935064939E-3</v>
      </c>
    </row>
    <row r="118" spans="2:5" ht="15" customHeight="1" x14ac:dyDescent="0.25">
      <c r="B118" s="69" t="s">
        <v>24</v>
      </c>
      <c r="C118" s="28" t="s">
        <v>109</v>
      </c>
      <c r="D118" s="27">
        <v>1</v>
      </c>
      <c r="E118" s="26">
        <v>6.4935064935064939E-3</v>
      </c>
    </row>
    <row r="119" spans="2:5" ht="15" customHeight="1" x14ac:dyDescent="0.25">
      <c r="B119" s="70"/>
      <c r="C119" s="25" t="s">
        <v>18</v>
      </c>
      <c r="D119" s="24">
        <v>1</v>
      </c>
      <c r="E119" s="23">
        <v>6.4935064935064939E-3</v>
      </c>
    </row>
    <row r="120" spans="2:5" ht="15" customHeight="1" x14ac:dyDescent="0.25">
      <c r="B120" s="69" t="s">
        <v>23</v>
      </c>
      <c r="C120" s="28" t="s">
        <v>108</v>
      </c>
      <c r="D120" s="27">
        <v>1</v>
      </c>
      <c r="E120" s="26">
        <v>6.4935064935064939E-3</v>
      </c>
    </row>
    <row r="121" spans="2:5" ht="15" customHeight="1" x14ac:dyDescent="0.25">
      <c r="B121" s="70"/>
      <c r="C121" s="25" t="s">
        <v>18</v>
      </c>
      <c r="D121" s="24">
        <v>1</v>
      </c>
      <c r="E121" s="23">
        <v>6.4935064935064939E-3</v>
      </c>
    </row>
    <row r="122" spans="2:5" ht="15" customHeight="1" x14ac:dyDescent="0.25">
      <c r="B122" s="69" t="s">
        <v>22</v>
      </c>
      <c r="C122" s="28" t="s">
        <v>107</v>
      </c>
      <c r="D122" s="27">
        <v>1</v>
      </c>
      <c r="E122" s="26">
        <v>6.4935064935064939E-3</v>
      </c>
    </row>
    <row r="123" spans="2:5" ht="15" customHeight="1" x14ac:dyDescent="0.25">
      <c r="B123" s="71"/>
      <c r="C123" s="28" t="s">
        <v>106</v>
      </c>
      <c r="D123" s="27">
        <v>1</v>
      </c>
      <c r="E123" s="26">
        <v>6.4935064935064939E-3</v>
      </c>
    </row>
    <row r="124" spans="2:5" ht="15" customHeight="1" x14ac:dyDescent="0.25">
      <c r="B124" s="71"/>
      <c r="C124" s="28" t="s">
        <v>105</v>
      </c>
      <c r="D124" s="27">
        <v>1</v>
      </c>
      <c r="E124" s="26">
        <v>6.4935064935064939E-3</v>
      </c>
    </row>
    <row r="125" spans="2:5" ht="15" customHeight="1" x14ac:dyDescent="0.25">
      <c r="B125" s="71"/>
      <c r="C125" s="28" t="s">
        <v>104</v>
      </c>
      <c r="D125" s="27">
        <v>2</v>
      </c>
      <c r="E125" s="26">
        <v>1.2987012987012988E-2</v>
      </c>
    </row>
    <row r="126" spans="2:5" ht="15" customHeight="1" x14ac:dyDescent="0.25">
      <c r="B126" s="70"/>
      <c r="C126" s="25" t="s">
        <v>18</v>
      </c>
      <c r="D126" s="24">
        <v>5</v>
      </c>
      <c r="E126" s="23">
        <v>3.2467532467532464E-2</v>
      </c>
    </row>
    <row r="127" spans="2:5" ht="15" customHeight="1" x14ac:dyDescent="0.25">
      <c r="B127" s="69" t="s">
        <v>20</v>
      </c>
      <c r="C127" s="28" t="s">
        <v>103</v>
      </c>
      <c r="D127" s="27">
        <v>1</v>
      </c>
      <c r="E127" s="26">
        <v>6.4935064935064939E-3</v>
      </c>
    </row>
    <row r="128" spans="2:5" ht="15" customHeight="1" x14ac:dyDescent="0.25">
      <c r="B128" s="70"/>
      <c r="C128" s="25" t="s">
        <v>18</v>
      </c>
      <c r="D128" s="24">
        <v>1</v>
      </c>
      <c r="E128" s="23">
        <v>6.4935064935064939E-3</v>
      </c>
    </row>
    <row r="129" spans="2:5" ht="15" customHeight="1" x14ac:dyDescent="0.25">
      <c r="B129" s="72" t="s">
        <v>18</v>
      </c>
      <c r="C129" s="73"/>
      <c r="D129" s="22">
        <f>SUMIF(C$10:C128,"Total",D$10:D128)</f>
        <v>154</v>
      </c>
      <c r="E129" s="21">
        <v>1</v>
      </c>
    </row>
    <row r="131" spans="2:5" ht="15" customHeight="1" x14ac:dyDescent="0.25">
      <c r="B131" s="18" t="s">
        <v>17</v>
      </c>
    </row>
    <row r="132" spans="2:5" ht="15" customHeight="1" x14ac:dyDescent="0.25">
      <c r="B132" s="20" t="s">
        <v>16</v>
      </c>
    </row>
    <row r="133" spans="2:5" ht="15" customHeight="1" x14ac:dyDescent="0.25">
      <c r="B133" s="19" t="s">
        <v>15</v>
      </c>
    </row>
    <row r="134" spans="2:5" ht="15" customHeight="1" x14ac:dyDescent="0.25">
      <c r="B134" s="18" t="s">
        <v>14</v>
      </c>
    </row>
    <row r="135" spans="2:5" ht="15" customHeight="1" x14ac:dyDescent="0.25">
      <c r="B135" s="18" t="s">
        <v>13</v>
      </c>
    </row>
    <row r="484" spans="1:2" s="15" customFormat="1" ht="15" customHeight="1" x14ac:dyDescent="0.25">
      <c r="A484" s="14"/>
      <c r="B484" s="16"/>
    </row>
    <row r="485" spans="1:2" s="15" customFormat="1" ht="15" customHeight="1" x14ac:dyDescent="0.25">
      <c r="A485" s="14"/>
      <c r="B485" s="17"/>
    </row>
    <row r="486" spans="1:2" s="15" customFormat="1" ht="15" customHeight="1" x14ac:dyDescent="0.25">
      <c r="A486" s="14"/>
      <c r="B486" s="17"/>
    </row>
    <row r="487" spans="1:2" s="15" customFormat="1" ht="15" customHeight="1" x14ac:dyDescent="0.25">
      <c r="A487" s="14"/>
      <c r="B487" s="16"/>
    </row>
    <row r="488" spans="1:2" s="15" customFormat="1" ht="15" customHeight="1" x14ac:dyDescent="0.25">
      <c r="A488" s="14"/>
      <c r="B488" s="16"/>
    </row>
  </sheetData>
  <mergeCells count="23">
    <mergeCell ref="B27:B37"/>
    <mergeCell ref="B7:E8"/>
    <mergeCell ref="B10:B11"/>
    <mergeCell ref="B12:B15"/>
    <mergeCell ref="B16:B23"/>
    <mergeCell ref="B24:B26"/>
    <mergeCell ref="B120:B121"/>
    <mergeCell ref="B122:B126"/>
    <mergeCell ref="B127:B128"/>
    <mergeCell ref="B129:C129"/>
    <mergeCell ref="B111:B112"/>
    <mergeCell ref="B113:B115"/>
    <mergeCell ref="B116:B117"/>
    <mergeCell ref="B38:B46"/>
    <mergeCell ref="B47:B52"/>
    <mergeCell ref="B53:B68"/>
    <mergeCell ref="B118:B119"/>
    <mergeCell ref="B69:B76"/>
    <mergeCell ref="B77:B78"/>
    <mergeCell ref="B79:B87"/>
    <mergeCell ref="B88:B99"/>
    <mergeCell ref="B100:B108"/>
    <mergeCell ref="B109:B11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2" max="4" man="1"/>
    <brk id="87" max="4" man="1"/>
  </rowBreaks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1:D42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2" customWidth="1"/>
    <col min="2" max="2" width="30.7109375" style="42" customWidth="1"/>
    <col min="3" max="3" width="17.7109375" style="43" customWidth="1"/>
    <col min="4" max="4" width="17.7109375" style="42" customWidth="1"/>
    <col min="5" max="5" width="9.28515625" style="42" customWidth="1"/>
    <col min="6" max="6" width="5.7109375" style="42" customWidth="1"/>
    <col min="7" max="16384" width="11.42578125" style="42"/>
  </cols>
  <sheetData>
    <row r="1" spans="2:4" s="30" customFormat="1" ht="15" customHeight="1" x14ac:dyDescent="0.2">
      <c r="C1" s="56"/>
    </row>
    <row r="2" spans="2:4" s="30" customFormat="1" ht="15" customHeight="1" x14ac:dyDescent="0.2">
      <c r="C2" s="56"/>
    </row>
    <row r="3" spans="2:4" s="30" customFormat="1" ht="15" customHeight="1" x14ac:dyDescent="0.2">
      <c r="C3" s="56"/>
    </row>
    <row r="4" spans="2:4" s="30" customFormat="1" ht="30" customHeight="1" x14ac:dyDescent="0.2">
      <c r="C4" s="56"/>
      <c r="D4" s="55"/>
    </row>
    <row r="5" spans="2:4" s="30" customFormat="1" ht="15" customHeight="1" x14ac:dyDescent="0.2">
      <c r="C5" s="56"/>
      <c r="D5" s="55"/>
    </row>
    <row r="6" spans="2:4" s="30" customFormat="1" ht="15" customHeight="1" x14ac:dyDescent="0.2">
      <c r="C6" s="56"/>
      <c r="D6" s="55"/>
    </row>
    <row r="7" spans="2:4" s="30" customFormat="1" ht="15" customHeight="1" x14ac:dyDescent="0.2">
      <c r="B7" s="75" t="s">
        <v>74</v>
      </c>
      <c r="C7" s="75"/>
      <c r="D7" s="75"/>
    </row>
    <row r="8" spans="2:4" s="30" customFormat="1" ht="15" customHeight="1" x14ac:dyDescent="0.2">
      <c r="B8" s="75"/>
      <c r="C8" s="75"/>
      <c r="D8" s="75"/>
    </row>
    <row r="9" spans="2:4" s="30" customFormat="1" ht="33" customHeight="1" x14ac:dyDescent="0.2">
      <c r="B9" s="75"/>
      <c r="C9" s="75"/>
      <c r="D9" s="75"/>
    </row>
    <row r="10" spans="2:4" s="30" customFormat="1" ht="4.5" customHeight="1" x14ac:dyDescent="0.2">
      <c r="B10" s="54"/>
      <c r="C10" s="54"/>
      <c r="D10" s="54"/>
    </row>
    <row r="11" spans="2:4" s="30" customFormat="1" ht="33" customHeight="1" x14ac:dyDescent="0.2">
      <c r="B11" s="53" t="s">
        <v>67</v>
      </c>
      <c r="C11" s="52" t="s">
        <v>44</v>
      </c>
      <c r="D11" s="51" t="s">
        <v>43</v>
      </c>
    </row>
    <row r="12" spans="2:4" ht="15" customHeight="1" x14ac:dyDescent="0.25">
      <c r="B12" s="49" t="s">
        <v>73</v>
      </c>
      <c r="C12" s="48">
        <v>0</v>
      </c>
      <c r="D12" s="47">
        <v>0</v>
      </c>
    </row>
    <row r="13" spans="2:4" x14ac:dyDescent="0.25">
      <c r="B13" s="49" t="s">
        <v>66</v>
      </c>
      <c r="C13" s="48">
        <v>1</v>
      </c>
      <c r="D13" s="47">
        <v>5.9523809523809521E-3</v>
      </c>
    </row>
    <row r="14" spans="2:4" s="50" customFormat="1" ht="15.75" x14ac:dyDescent="0.25">
      <c r="B14" s="49" t="s">
        <v>65</v>
      </c>
      <c r="C14" s="48">
        <v>1</v>
      </c>
      <c r="D14" s="47">
        <v>5.9523809523809521E-3</v>
      </c>
    </row>
    <row r="15" spans="2:4" s="50" customFormat="1" ht="15.75" x14ac:dyDescent="0.25">
      <c r="B15" s="49" t="s">
        <v>64</v>
      </c>
      <c r="C15" s="48">
        <v>1</v>
      </c>
      <c r="D15" s="47">
        <v>5.9523809523809521E-3</v>
      </c>
    </row>
    <row r="16" spans="2:4" x14ac:dyDescent="0.25">
      <c r="B16" s="49" t="s">
        <v>63</v>
      </c>
      <c r="C16" s="48">
        <v>4</v>
      </c>
      <c r="D16" s="47">
        <v>2.3809523809523808E-2</v>
      </c>
    </row>
    <row r="17" spans="2:4" x14ac:dyDescent="0.25">
      <c r="B17" s="49" t="s">
        <v>62</v>
      </c>
      <c r="C17" s="48">
        <v>1</v>
      </c>
      <c r="D17" s="47">
        <v>5.9523809523809521E-3</v>
      </c>
    </row>
    <row r="18" spans="2:4" x14ac:dyDescent="0.25">
      <c r="B18" s="49" t="s">
        <v>72</v>
      </c>
      <c r="C18" s="48">
        <v>0</v>
      </c>
      <c r="D18" s="47">
        <v>0</v>
      </c>
    </row>
    <row r="19" spans="2:4" x14ac:dyDescent="0.25">
      <c r="B19" s="49" t="s">
        <v>61</v>
      </c>
      <c r="C19" s="48">
        <v>11</v>
      </c>
      <c r="D19" s="47">
        <v>6.5476190476190479E-2</v>
      </c>
    </row>
    <row r="20" spans="2:4" x14ac:dyDescent="0.25">
      <c r="B20" s="49" t="s">
        <v>60</v>
      </c>
      <c r="C20" s="48">
        <v>18</v>
      </c>
      <c r="D20" s="47">
        <v>0.10714285714285714</v>
      </c>
    </row>
    <row r="21" spans="2:4" x14ac:dyDescent="0.25">
      <c r="B21" s="49" t="s">
        <v>59</v>
      </c>
      <c r="C21" s="48">
        <v>2</v>
      </c>
      <c r="D21" s="47">
        <v>1.1904761904761904E-2</v>
      </c>
    </row>
    <row r="22" spans="2:4" x14ac:dyDescent="0.25">
      <c r="B22" s="49" t="s">
        <v>58</v>
      </c>
      <c r="C22" s="48">
        <v>4</v>
      </c>
      <c r="D22" s="47">
        <v>2.3809523809523808E-2</v>
      </c>
    </row>
    <row r="23" spans="2:4" x14ac:dyDescent="0.25">
      <c r="B23" s="49" t="s">
        <v>57</v>
      </c>
      <c r="C23" s="48">
        <v>2</v>
      </c>
      <c r="D23" s="47">
        <v>1.1904761904761904E-2</v>
      </c>
    </row>
    <row r="24" spans="2:4" x14ac:dyDescent="0.25">
      <c r="B24" s="49" t="s">
        <v>56</v>
      </c>
      <c r="C24" s="48">
        <v>64</v>
      </c>
      <c r="D24" s="47">
        <v>0.38095238095238093</v>
      </c>
    </row>
    <row r="25" spans="2:4" x14ac:dyDescent="0.25">
      <c r="B25" s="49" t="s">
        <v>71</v>
      </c>
      <c r="C25" s="48">
        <v>2</v>
      </c>
      <c r="D25" s="47">
        <v>1.1904761904761904E-2</v>
      </c>
    </row>
    <row r="26" spans="2:4" x14ac:dyDescent="0.25">
      <c r="B26" s="49" t="s">
        <v>54</v>
      </c>
      <c r="C26" s="48">
        <v>8</v>
      </c>
      <c r="D26" s="47">
        <v>4.7619047619047616E-2</v>
      </c>
    </row>
    <row r="27" spans="2:4" x14ac:dyDescent="0.25">
      <c r="B27" s="49" t="s">
        <v>53</v>
      </c>
      <c r="C27" s="48">
        <v>36</v>
      </c>
      <c r="D27" s="47">
        <v>0.21428571428571427</v>
      </c>
    </row>
    <row r="28" spans="2:4" x14ac:dyDescent="0.25">
      <c r="B28" s="49" t="s">
        <v>52</v>
      </c>
      <c r="C28" s="48">
        <v>2</v>
      </c>
      <c r="D28" s="47">
        <v>1.1904761904761904E-2</v>
      </c>
    </row>
    <row r="29" spans="2:4" x14ac:dyDescent="0.25">
      <c r="B29" s="49" t="s">
        <v>51</v>
      </c>
      <c r="C29" s="48">
        <v>1</v>
      </c>
      <c r="D29" s="47">
        <v>5.9523809523809521E-3</v>
      </c>
    </row>
    <row r="30" spans="2:4" x14ac:dyDescent="0.25">
      <c r="B30" s="49" t="s">
        <v>50</v>
      </c>
      <c r="C30" s="48">
        <v>1</v>
      </c>
      <c r="D30" s="47">
        <v>5.9523809523809521E-3</v>
      </c>
    </row>
    <row r="31" spans="2:4" x14ac:dyDescent="0.25">
      <c r="B31" s="49" t="s">
        <v>70</v>
      </c>
      <c r="C31" s="48">
        <v>0</v>
      </c>
      <c r="D31" s="47">
        <v>0</v>
      </c>
    </row>
    <row r="32" spans="2:4" x14ac:dyDescent="0.25">
      <c r="B32" s="49" t="s">
        <v>49</v>
      </c>
      <c r="C32" s="48">
        <v>3</v>
      </c>
      <c r="D32" s="47">
        <v>1.7857142857142856E-2</v>
      </c>
    </row>
    <row r="33" spans="2:4" x14ac:dyDescent="0.25">
      <c r="B33" s="49" t="s">
        <v>69</v>
      </c>
      <c r="C33" s="48">
        <v>5</v>
      </c>
      <c r="D33" s="47">
        <v>2.976190476190476E-2</v>
      </c>
    </row>
    <row r="34" spans="2:4" x14ac:dyDescent="0.25">
      <c r="B34" s="49" t="s">
        <v>47</v>
      </c>
      <c r="C34" s="48">
        <v>1</v>
      </c>
      <c r="D34" s="47">
        <v>5.9523809523809521E-3</v>
      </c>
    </row>
    <row r="35" spans="2:4" x14ac:dyDescent="0.25">
      <c r="B35" s="49" t="s">
        <v>68</v>
      </c>
      <c r="C35" s="48">
        <v>0</v>
      </c>
      <c r="D35" s="47">
        <v>0</v>
      </c>
    </row>
    <row r="36" spans="2:4" x14ac:dyDescent="0.25">
      <c r="B36" s="46" t="s">
        <v>18</v>
      </c>
      <c r="C36" s="45">
        <v>168</v>
      </c>
      <c r="D36" s="44">
        <v>1</v>
      </c>
    </row>
    <row r="38" spans="2:4" x14ac:dyDescent="0.25">
      <c r="B38" s="18" t="s">
        <v>17</v>
      </c>
    </row>
    <row r="39" spans="2:4" x14ac:dyDescent="0.25">
      <c r="B39" s="20" t="s">
        <v>16</v>
      </c>
    </row>
    <row r="40" spans="2:4" x14ac:dyDescent="0.25">
      <c r="B40" s="19" t="s">
        <v>15</v>
      </c>
    </row>
    <row r="41" spans="2:4" x14ac:dyDescent="0.25">
      <c r="B41" s="18" t="s">
        <v>14</v>
      </c>
    </row>
    <row r="42" spans="2:4" x14ac:dyDescent="0.25">
      <c r="B42" s="18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115"/>
  <sheetViews>
    <sheetView zoomScale="145" zoomScaleNormal="145" zoomScaleSheetLayoutView="115" workbookViewId="0"/>
  </sheetViews>
  <sheetFormatPr baseColWidth="10" defaultColWidth="35" defaultRowHeight="15" customHeight="1" x14ac:dyDescent="0.25"/>
  <cols>
    <col min="1" max="1" width="1" style="14" customWidth="1"/>
    <col min="2" max="2" width="22.85546875" style="15" customWidth="1"/>
    <col min="3" max="3" width="31.42578125" style="15" customWidth="1"/>
    <col min="4" max="4" width="14.28515625" style="15" customWidth="1"/>
    <col min="5" max="5" width="16.85546875" style="15" customWidth="1"/>
    <col min="6" max="16384" width="35" style="14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29"/>
      <c r="D6" s="29"/>
      <c r="E6" s="29"/>
    </row>
    <row r="7" spans="1:5" s="34" customFormat="1" ht="26.25" customHeight="1" x14ac:dyDescent="0.3">
      <c r="A7" s="35"/>
      <c r="B7" s="74"/>
      <c r="C7" s="74"/>
      <c r="D7" s="74"/>
      <c r="E7" s="74"/>
    </row>
    <row r="8" spans="1:5" s="34" customFormat="1" ht="33" customHeight="1" x14ac:dyDescent="0.3">
      <c r="A8" s="35"/>
      <c r="B8" s="74"/>
      <c r="C8" s="74"/>
      <c r="D8" s="74"/>
      <c r="E8" s="74"/>
    </row>
    <row r="9" spans="1:5" s="30" customFormat="1" ht="40.5" customHeight="1" x14ac:dyDescent="0.2">
      <c r="B9" s="31" t="s">
        <v>67</v>
      </c>
      <c r="C9" s="33" t="s">
        <v>46</v>
      </c>
      <c r="D9" s="32" t="s">
        <v>44</v>
      </c>
      <c r="E9" s="31" t="s">
        <v>43</v>
      </c>
    </row>
    <row r="10" spans="1:5" ht="15" customHeight="1" x14ac:dyDescent="0.25">
      <c r="B10" s="69" t="s">
        <v>66</v>
      </c>
      <c r="C10" s="28" t="s">
        <v>40</v>
      </c>
      <c r="D10" s="27">
        <v>1</v>
      </c>
      <c r="E10" s="26">
        <v>5.9523809523809521E-3</v>
      </c>
    </row>
    <row r="11" spans="1:5" ht="15" customHeight="1" x14ac:dyDescent="0.25">
      <c r="B11" s="70"/>
      <c r="C11" s="25" t="s">
        <v>18</v>
      </c>
      <c r="D11" s="24">
        <v>1</v>
      </c>
      <c r="E11" s="23">
        <v>5.9523809523809521E-3</v>
      </c>
    </row>
    <row r="12" spans="1:5" ht="15" customHeight="1" x14ac:dyDescent="0.25">
      <c r="B12" s="69" t="s">
        <v>65</v>
      </c>
      <c r="C12" s="28" t="s">
        <v>39</v>
      </c>
      <c r="D12" s="27">
        <v>1</v>
      </c>
      <c r="E12" s="26">
        <v>5.9523809523809521E-3</v>
      </c>
    </row>
    <row r="13" spans="1:5" ht="15" customHeight="1" x14ac:dyDescent="0.25">
      <c r="B13" s="70"/>
      <c r="C13" s="25" t="s">
        <v>18</v>
      </c>
      <c r="D13" s="24">
        <v>1</v>
      </c>
      <c r="E13" s="23">
        <v>5.9523809523809521E-3</v>
      </c>
    </row>
    <row r="14" spans="1:5" ht="15" customHeight="1" x14ac:dyDescent="0.25">
      <c r="B14" s="69" t="s">
        <v>64</v>
      </c>
      <c r="C14" s="28" t="s">
        <v>34</v>
      </c>
      <c r="D14" s="27">
        <v>1</v>
      </c>
      <c r="E14" s="26">
        <v>5.9523809523809521E-3</v>
      </c>
    </row>
    <row r="15" spans="1:5" s="29" customFormat="1" ht="15" customHeight="1" x14ac:dyDescent="0.25">
      <c r="A15" s="14"/>
      <c r="B15" s="70"/>
      <c r="C15" s="25" t="s">
        <v>18</v>
      </c>
      <c r="D15" s="24">
        <v>1</v>
      </c>
      <c r="E15" s="23">
        <v>5.9523809523809521E-3</v>
      </c>
    </row>
    <row r="16" spans="1:5" s="29" customFormat="1" ht="15" customHeight="1" x14ac:dyDescent="0.25">
      <c r="A16" s="14"/>
      <c r="B16" s="69" t="s">
        <v>63</v>
      </c>
      <c r="C16" s="28" t="s">
        <v>37</v>
      </c>
      <c r="D16" s="27">
        <v>1</v>
      </c>
      <c r="E16" s="26">
        <v>5.9523809523809521E-3</v>
      </c>
    </row>
    <row r="17" spans="1:5" s="29" customFormat="1" ht="15" customHeight="1" x14ac:dyDescent="0.25">
      <c r="A17" s="14"/>
      <c r="B17" s="71"/>
      <c r="C17" s="28" t="s">
        <v>35</v>
      </c>
      <c r="D17" s="27">
        <v>1</v>
      </c>
      <c r="E17" s="26">
        <v>5.9523809523809521E-3</v>
      </c>
    </row>
    <row r="18" spans="1:5" s="29" customFormat="1" ht="15" customHeight="1" x14ac:dyDescent="0.25">
      <c r="A18" s="14"/>
      <c r="B18" s="71"/>
      <c r="C18" s="28" t="s">
        <v>34</v>
      </c>
      <c r="D18" s="27">
        <v>1</v>
      </c>
      <c r="E18" s="26">
        <v>5.9523809523809521E-3</v>
      </c>
    </row>
    <row r="19" spans="1:5" s="29" customFormat="1" ht="15" customHeight="1" x14ac:dyDescent="0.25">
      <c r="A19" s="14"/>
      <c r="B19" s="71"/>
      <c r="C19" s="28" t="s">
        <v>30</v>
      </c>
      <c r="D19" s="27">
        <v>1</v>
      </c>
      <c r="E19" s="26">
        <v>5.9523809523809521E-3</v>
      </c>
    </row>
    <row r="20" spans="1:5" ht="15" customHeight="1" x14ac:dyDescent="0.25">
      <c r="B20" s="70"/>
      <c r="C20" s="25" t="s">
        <v>18</v>
      </c>
      <c r="D20" s="24">
        <v>4</v>
      </c>
      <c r="E20" s="23">
        <v>2.3809523809523808E-2</v>
      </c>
    </row>
    <row r="21" spans="1:5" ht="15" customHeight="1" x14ac:dyDescent="0.25">
      <c r="B21" s="69" t="s">
        <v>62</v>
      </c>
      <c r="C21" s="28" t="s">
        <v>33</v>
      </c>
      <c r="D21" s="27">
        <v>1</v>
      </c>
      <c r="E21" s="26">
        <v>5.9523809523809521E-3</v>
      </c>
    </row>
    <row r="22" spans="1:5" ht="15" customHeight="1" x14ac:dyDescent="0.25">
      <c r="B22" s="70"/>
      <c r="C22" s="25" t="s">
        <v>18</v>
      </c>
      <c r="D22" s="24">
        <v>1</v>
      </c>
      <c r="E22" s="23">
        <v>5.9523809523809521E-3</v>
      </c>
    </row>
    <row r="23" spans="1:5" ht="15" customHeight="1" x14ac:dyDescent="0.25">
      <c r="B23" s="69" t="s">
        <v>61</v>
      </c>
      <c r="C23" s="28" t="s">
        <v>40</v>
      </c>
      <c r="D23" s="27">
        <v>1</v>
      </c>
      <c r="E23" s="26">
        <v>5.9523809523809521E-3</v>
      </c>
    </row>
    <row r="24" spans="1:5" ht="15" customHeight="1" x14ac:dyDescent="0.25">
      <c r="B24" s="71"/>
      <c r="C24" s="28" t="s">
        <v>37</v>
      </c>
      <c r="D24" s="27">
        <v>4</v>
      </c>
      <c r="E24" s="26">
        <v>2.3809523809523808E-2</v>
      </c>
    </row>
    <row r="25" spans="1:5" ht="15" customHeight="1" x14ac:dyDescent="0.25">
      <c r="B25" s="71"/>
      <c r="C25" s="28" t="s">
        <v>36</v>
      </c>
      <c r="D25" s="27">
        <v>1</v>
      </c>
      <c r="E25" s="26">
        <v>5.9523809523809521E-3</v>
      </c>
    </row>
    <row r="26" spans="1:5" ht="15" customHeight="1" x14ac:dyDescent="0.25">
      <c r="B26" s="71"/>
      <c r="C26" s="28" t="s">
        <v>34</v>
      </c>
      <c r="D26" s="27">
        <v>1</v>
      </c>
      <c r="E26" s="26">
        <v>5.9523809523809521E-3</v>
      </c>
    </row>
    <row r="27" spans="1:5" ht="15" customHeight="1" x14ac:dyDescent="0.25">
      <c r="B27" s="71"/>
      <c r="C27" s="28" t="s">
        <v>33</v>
      </c>
      <c r="D27" s="27">
        <v>2</v>
      </c>
      <c r="E27" s="26">
        <v>1.1904761904761904E-2</v>
      </c>
    </row>
    <row r="28" spans="1:5" ht="15" customHeight="1" x14ac:dyDescent="0.25">
      <c r="B28" s="71"/>
      <c r="C28" s="28" t="s">
        <v>30</v>
      </c>
      <c r="D28" s="27">
        <v>1</v>
      </c>
      <c r="E28" s="26">
        <v>5.9523809523809521E-3</v>
      </c>
    </row>
    <row r="29" spans="1:5" ht="15" customHeight="1" x14ac:dyDescent="0.25">
      <c r="B29" s="71"/>
      <c r="C29" s="28" t="s">
        <v>29</v>
      </c>
      <c r="D29" s="27">
        <v>1</v>
      </c>
      <c r="E29" s="26">
        <v>5.9523809523809521E-3</v>
      </c>
    </row>
    <row r="30" spans="1:5" ht="15" customHeight="1" x14ac:dyDescent="0.25">
      <c r="B30" s="70"/>
      <c r="C30" s="25" t="s">
        <v>18</v>
      </c>
      <c r="D30" s="24">
        <v>11</v>
      </c>
      <c r="E30" s="23">
        <v>6.5476190476190479E-2</v>
      </c>
    </row>
    <row r="31" spans="1:5" ht="15" customHeight="1" x14ac:dyDescent="0.25">
      <c r="B31" s="69" t="s">
        <v>60</v>
      </c>
      <c r="C31" s="28" t="s">
        <v>40</v>
      </c>
      <c r="D31" s="27">
        <v>2</v>
      </c>
      <c r="E31" s="26">
        <v>1.1904761904761904E-2</v>
      </c>
    </row>
    <row r="32" spans="1:5" ht="15" customHeight="1" x14ac:dyDescent="0.25">
      <c r="B32" s="71"/>
      <c r="C32" s="28" t="s">
        <v>39</v>
      </c>
      <c r="D32" s="27">
        <v>2</v>
      </c>
      <c r="E32" s="26">
        <v>1.1904761904761904E-2</v>
      </c>
    </row>
    <row r="33" spans="2:5" ht="15" customHeight="1" x14ac:dyDescent="0.25">
      <c r="B33" s="71"/>
      <c r="C33" s="28" t="s">
        <v>36</v>
      </c>
      <c r="D33" s="27">
        <v>2</v>
      </c>
      <c r="E33" s="26">
        <v>1.1904761904761904E-2</v>
      </c>
    </row>
    <row r="34" spans="2:5" ht="15" customHeight="1" x14ac:dyDescent="0.25">
      <c r="B34" s="71"/>
      <c r="C34" s="28" t="s">
        <v>35</v>
      </c>
      <c r="D34" s="27">
        <v>1</v>
      </c>
      <c r="E34" s="26">
        <v>5.9523809523809521E-3</v>
      </c>
    </row>
    <row r="35" spans="2:5" ht="15" customHeight="1" x14ac:dyDescent="0.25">
      <c r="B35" s="71"/>
      <c r="C35" s="28" t="s">
        <v>34</v>
      </c>
      <c r="D35" s="27">
        <v>1</v>
      </c>
      <c r="E35" s="26">
        <v>5.9523809523809521E-3</v>
      </c>
    </row>
    <row r="36" spans="2:5" ht="15" customHeight="1" x14ac:dyDescent="0.25">
      <c r="B36" s="71"/>
      <c r="C36" s="28" t="s">
        <v>33</v>
      </c>
      <c r="D36" s="27">
        <v>2</v>
      </c>
      <c r="E36" s="26">
        <v>1.1904761904761904E-2</v>
      </c>
    </row>
    <row r="37" spans="2:5" ht="15" customHeight="1" x14ac:dyDescent="0.25">
      <c r="B37" s="71"/>
      <c r="C37" s="28" t="s">
        <v>32</v>
      </c>
      <c r="D37" s="27">
        <v>1</v>
      </c>
      <c r="E37" s="26">
        <v>5.9523809523809521E-3</v>
      </c>
    </row>
    <row r="38" spans="2:5" ht="15" customHeight="1" x14ac:dyDescent="0.25">
      <c r="B38" s="71"/>
      <c r="C38" s="28" t="s">
        <v>30</v>
      </c>
      <c r="D38" s="27">
        <v>2</v>
      </c>
      <c r="E38" s="26">
        <v>1.1904761904761904E-2</v>
      </c>
    </row>
    <row r="39" spans="2:5" ht="15" customHeight="1" x14ac:dyDescent="0.25">
      <c r="B39" s="71"/>
      <c r="C39" s="28" t="s">
        <v>27</v>
      </c>
      <c r="D39" s="27">
        <v>1</v>
      </c>
      <c r="E39" s="26">
        <v>5.9523809523809521E-3</v>
      </c>
    </row>
    <row r="40" spans="2:5" ht="15" customHeight="1" x14ac:dyDescent="0.25">
      <c r="B40" s="71"/>
      <c r="C40" s="28" t="s">
        <v>25</v>
      </c>
      <c r="D40" s="27">
        <v>1</v>
      </c>
      <c r="E40" s="26">
        <v>5.9523809523809521E-3</v>
      </c>
    </row>
    <row r="41" spans="2:5" ht="15" customHeight="1" x14ac:dyDescent="0.25">
      <c r="B41" s="71"/>
      <c r="C41" s="28" t="s">
        <v>24</v>
      </c>
      <c r="D41" s="27">
        <v>1</v>
      </c>
      <c r="E41" s="26">
        <v>5.9523809523809521E-3</v>
      </c>
    </row>
    <row r="42" spans="2:5" ht="15" customHeight="1" x14ac:dyDescent="0.25">
      <c r="B42" s="71"/>
      <c r="C42" s="28" t="s">
        <v>23</v>
      </c>
      <c r="D42" s="27">
        <v>1</v>
      </c>
      <c r="E42" s="26">
        <v>5.9523809523809521E-3</v>
      </c>
    </row>
    <row r="43" spans="2:5" ht="15" customHeight="1" x14ac:dyDescent="0.25">
      <c r="B43" s="71"/>
      <c r="C43" s="28" t="s">
        <v>22</v>
      </c>
      <c r="D43" s="27">
        <v>1</v>
      </c>
      <c r="E43" s="26">
        <v>5.9523809523809521E-3</v>
      </c>
    </row>
    <row r="44" spans="2:5" ht="15" customHeight="1" x14ac:dyDescent="0.25">
      <c r="B44" s="70"/>
      <c r="C44" s="25" t="s">
        <v>18</v>
      </c>
      <c r="D44" s="24">
        <v>18</v>
      </c>
      <c r="E44" s="23">
        <v>0.10714285714285714</v>
      </c>
    </row>
    <row r="45" spans="2:5" ht="15" customHeight="1" x14ac:dyDescent="0.25">
      <c r="B45" s="69" t="s">
        <v>59</v>
      </c>
      <c r="C45" s="28" t="s">
        <v>30</v>
      </c>
      <c r="D45" s="27">
        <v>2</v>
      </c>
      <c r="E45" s="26">
        <v>1.1904761904761904E-2</v>
      </c>
    </row>
    <row r="46" spans="2:5" ht="15" customHeight="1" x14ac:dyDescent="0.25">
      <c r="B46" s="70"/>
      <c r="C46" s="25" t="s">
        <v>18</v>
      </c>
      <c r="D46" s="24">
        <v>2</v>
      </c>
      <c r="E46" s="23">
        <v>1.1904761904761904E-2</v>
      </c>
    </row>
    <row r="47" spans="2:5" ht="15" customHeight="1" x14ac:dyDescent="0.25">
      <c r="B47" s="69" t="s">
        <v>58</v>
      </c>
      <c r="C47" s="28" t="s">
        <v>36</v>
      </c>
      <c r="D47" s="27">
        <v>2</v>
      </c>
      <c r="E47" s="26">
        <v>1.1904761904761904E-2</v>
      </c>
    </row>
    <row r="48" spans="2:5" ht="15" customHeight="1" x14ac:dyDescent="0.25">
      <c r="B48" s="71"/>
      <c r="C48" s="28" t="s">
        <v>34</v>
      </c>
      <c r="D48" s="27">
        <v>2</v>
      </c>
      <c r="E48" s="26">
        <v>1.1904761904761904E-2</v>
      </c>
    </row>
    <row r="49" spans="2:5" ht="15" customHeight="1" x14ac:dyDescent="0.25">
      <c r="B49" s="70"/>
      <c r="C49" s="25" t="s">
        <v>18</v>
      </c>
      <c r="D49" s="24">
        <v>4</v>
      </c>
      <c r="E49" s="23">
        <v>2.3809523809523808E-2</v>
      </c>
    </row>
    <row r="50" spans="2:5" ht="15" customHeight="1" x14ac:dyDescent="0.25">
      <c r="B50" s="69" t="s">
        <v>57</v>
      </c>
      <c r="C50" s="28" t="s">
        <v>39</v>
      </c>
      <c r="D50" s="27">
        <v>1</v>
      </c>
      <c r="E50" s="26">
        <v>5.9523809523809521E-3</v>
      </c>
    </row>
    <row r="51" spans="2:5" ht="15" customHeight="1" x14ac:dyDescent="0.25">
      <c r="B51" s="71"/>
      <c r="C51" s="28" t="s">
        <v>22</v>
      </c>
      <c r="D51" s="27">
        <v>1</v>
      </c>
      <c r="E51" s="26">
        <v>5.9523809523809521E-3</v>
      </c>
    </row>
    <row r="52" spans="2:5" ht="15" customHeight="1" x14ac:dyDescent="0.25">
      <c r="B52" s="70"/>
      <c r="C52" s="25" t="s">
        <v>18</v>
      </c>
      <c r="D52" s="24">
        <v>2</v>
      </c>
      <c r="E52" s="23">
        <v>1.1904761904761904E-2</v>
      </c>
    </row>
    <row r="53" spans="2:5" ht="15" customHeight="1" x14ac:dyDescent="0.25">
      <c r="B53" s="69" t="s">
        <v>56</v>
      </c>
      <c r="C53" s="28" t="s">
        <v>42</v>
      </c>
      <c r="D53" s="27">
        <v>2</v>
      </c>
      <c r="E53" s="26">
        <v>1.1904761904761904E-2</v>
      </c>
    </row>
    <row r="54" spans="2:5" ht="15" customHeight="1" x14ac:dyDescent="0.25">
      <c r="B54" s="71"/>
      <c r="C54" s="28" t="s">
        <v>40</v>
      </c>
      <c r="D54" s="27">
        <v>7</v>
      </c>
      <c r="E54" s="26">
        <v>4.1666666666666664E-2</v>
      </c>
    </row>
    <row r="55" spans="2:5" ht="15" customHeight="1" x14ac:dyDescent="0.25">
      <c r="B55" s="71"/>
      <c r="C55" s="28" t="s">
        <v>39</v>
      </c>
      <c r="D55" s="27">
        <v>6</v>
      </c>
      <c r="E55" s="26">
        <v>3.5714285714285712E-2</v>
      </c>
    </row>
    <row r="56" spans="2:5" ht="15" customHeight="1" x14ac:dyDescent="0.25">
      <c r="B56" s="71"/>
      <c r="C56" s="28" t="s">
        <v>38</v>
      </c>
      <c r="D56" s="27">
        <v>2</v>
      </c>
      <c r="E56" s="26">
        <v>1.1904761904761904E-2</v>
      </c>
    </row>
    <row r="57" spans="2:5" ht="15" customHeight="1" x14ac:dyDescent="0.25">
      <c r="B57" s="71"/>
      <c r="C57" s="28" t="s">
        <v>37</v>
      </c>
      <c r="D57" s="27">
        <v>3</v>
      </c>
      <c r="E57" s="26">
        <v>1.7857142857142856E-2</v>
      </c>
    </row>
    <row r="58" spans="2:5" ht="15" customHeight="1" x14ac:dyDescent="0.25">
      <c r="B58" s="71"/>
      <c r="C58" s="28" t="s">
        <v>36</v>
      </c>
      <c r="D58" s="27">
        <v>2</v>
      </c>
      <c r="E58" s="26">
        <v>1.1904761904761904E-2</v>
      </c>
    </row>
    <row r="59" spans="2:5" ht="15" customHeight="1" x14ac:dyDescent="0.25">
      <c r="B59" s="71"/>
      <c r="C59" s="28" t="s">
        <v>35</v>
      </c>
      <c r="D59" s="27">
        <v>3</v>
      </c>
      <c r="E59" s="26">
        <v>1.7857142857142856E-2</v>
      </c>
    </row>
    <row r="60" spans="2:5" ht="15" customHeight="1" x14ac:dyDescent="0.25">
      <c r="B60" s="71"/>
      <c r="C60" s="28" t="s">
        <v>34</v>
      </c>
      <c r="D60" s="27">
        <v>8</v>
      </c>
      <c r="E60" s="26">
        <v>4.7619047619047616E-2</v>
      </c>
    </row>
    <row r="61" spans="2:5" ht="15" customHeight="1" x14ac:dyDescent="0.25">
      <c r="B61" s="71"/>
      <c r="C61" s="28" t="s">
        <v>33</v>
      </c>
      <c r="D61" s="27">
        <v>7</v>
      </c>
      <c r="E61" s="26">
        <v>4.1666666666666664E-2</v>
      </c>
    </row>
    <row r="62" spans="2:5" ht="15" customHeight="1" x14ac:dyDescent="0.25">
      <c r="B62" s="71"/>
      <c r="C62" s="28" t="s">
        <v>31</v>
      </c>
      <c r="D62" s="27">
        <v>11</v>
      </c>
      <c r="E62" s="26">
        <v>6.5476190476190479E-2</v>
      </c>
    </row>
    <row r="63" spans="2:5" ht="15" customHeight="1" x14ac:dyDescent="0.25">
      <c r="B63" s="71"/>
      <c r="C63" s="28" t="s">
        <v>30</v>
      </c>
      <c r="D63" s="27">
        <v>4</v>
      </c>
      <c r="E63" s="26">
        <v>2.3809523809523808E-2</v>
      </c>
    </row>
    <row r="64" spans="2:5" ht="15" customHeight="1" x14ac:dyDescent="0.25">
      <c r="B64" s="71"/>
      <c r="C64" s="28" t="s">
        <v>29</v>
      </c>
      <c r="D64" s="27">
        <v>5</v>
      </c>
      <c r="E64" s="26">
        <v>2.976190476190476E-2</v>
      </c>
    </row>
    <row r="65" spans="2:5" ht="15" customHeight="1" x14ac:dyDescent="0.25">
      <c r="B65" s="71"/>
      <c r="C65" s="28" t="s">
        <v>26</v>
      </c>
      <c r="D65" s="27">
        <v>1</v>
      </c>
      <c r="E65" s="26">
        <v>5.9523809523809521E-3</v>
      </c>
    </row>
    <row r="66" spans="2:5" ht="15" customHeight="1" x14ac:dyDescent="0.25">
      <c r="B66" s="71"/>
      <c r="C66" s="28" t="s">
        <v>22</v>
      </c>
      <c r="D66" s="27">
        <v>2</v>
      </c>
      <c r="E66" s="26">
        <v>1.1904761904761904E-2</v>
      </c>
    </row>
    <row r="67" spans="2:5" ht="15" customHeight="1" x14ac:dyDescent="0.25">
      <c r="B67" s="71"/>
      <c r="C67" s="28" t="s">
        <v>20</v>
      </c>
      <c r="D67" s="27">
        <v>1</v>
      </c>
      <c r="E67" s="26">
        <v>5.9523809523809521E-3</v>
      </c>
    </row>
    <row r="68" spans="2:5" ht="15" customHeight="1" x14ac:dyDescent="0.25">
      <c r="B68" s="70"/>
      <c r="C68" s="25" t="s">
        <v>18</v>
      </c>
      <c r="D68" s="24">
        <v>64</v>
      </c>
      <c r="E68" s="23">
        <v>0.38095238095238093</v>
      </c>
    </row>
    <row r="69" spans="2:5" ht="15" customHeight="1" x14ac:dyDescent="0.25">
      <c r="B69" s="69" t="s">
        <v>55</v>
      </c>
      <c r="C69" s="28" t="s">
        <v>35</v>
      </c>
      <c r="D69" s="27">
        <v>1</v>
      </c>
      <c r="E69" s="26">
        <v>5.9523809523809521E-3</v>
      </c>
    </row>
    <row r="70" spans="2:5" ht="15" customHeight="1" x14ac:dyDescent="0.25">
      <c r="B70" s="71"/>
      <c r="C70" s="28" t="s">
        <v>34</v>
      </c>
      <c r="D70" s="27">
        <v>1</v>
      </c>
      <c r="E70" s="26">
        <v>5.9523809523809521E-3</v>
      </c>
    </row>
    <row r="71" spans="2:5" ht="15" customHeight="1" x14ac:dyDescent="0.25">
      <c r="B71" s="70"/>
      <c r="C71" s="25" t="s">
        <v>18</v>
      </c>
      <c r="D71" s="24">
        <v>2</v>
      </c>
      <c r="E71" s="23">
        <v>1.1904761904761904E-2</v>
      </c>
    </row>
    <row r="72" spans="2:5" ht="15" customHeight="1" x14ac:dyDescent="0.25">
      <c r="B72" s="69" t="s">
        <v>54</v>
      </c>
      <c r="C72" s="28" t="s">
        <v>39</v>
      </c>
      <c r="D72" s="27">
        <v>1</v>
      </c>
      <c r="E72" s="26">
        <v>5.9523809523809521E-3</v>
      </c>
    </row>
    <row r="73" spans="2:5" ht="15" customHeight="1" x14ac:dyDescent="0.25">
      <c r="B73" s="71"/>
      <c r="C73" s="28" t="s">
        <v>37</v>
      </c>
      <c r="D73" s="27">
        <v>1</v>
      </c>
      <c r="E73" s="26">
        <v>5.9523809523809521E-3</v>
      </c>
    </row>
    <row r="74" spans="2:5" ht="15" customHeight="1" x14ac:dyDescent="0.25">
      <c r="B74" s="71"/>
      <c r="C74" s="28" t="s">
        <v>34</v>
      </c>
      <c r="D74" s="27">
        <v>1</v>
      </c>
      <c r="E74" s="26">
        <v>5.9523809523809521E-3</v>
      </c>
    </row>
    <row r="75" spans="2:5" ht="15" customHeight="1" x14ac:dyDescent="0.25">
      <c r="B75" s="71"/>
      <c r="C75" s="28" t="s">
        <v>33</v>
      </c>
      <c r="D75" s="27">
        <v>1</v>
      </c>
      <c r="E75" s="26">
        <v>5.9523809523809521E-3</v>
      </c>
    </row>
    <row r="76" spans="2:5" ht="15" customHeight="1" x14ac:dyDescent="0.25">
      <c r="B76" s="71"/>
      <c r="C76" s="28" t="s">
        <v>31</v>
      </c>
      <c r="D76" s="27">
        <v>1</v>
      </c>
      <c r="E76" s="26">
        <v>5.9523809523809521E-3</v>
      </c>
    </row>
    <row r="77" spans="2:5" ht="15" customHeight="1" x14ac:dyDescent="0.25">
      <c r="B77" s="71"/>
      <c r="C77" s="28" t="s">
        <v>30</v>
      </c>
      <c r="D77" s="27">
        <v>1</v>
      </c>
      <c r="E77" s="26">
        <v>5.9523809523809521E-3</v>
      </c>
    </row>
    <row r="78" spans="2:5" ht="15" customHeight="1" x14ac:dyDescent="0.25">
      <c r="B78" s="71"/>
      <c r="C78" s="28" t="s">
        <v>28</v>
      </c>
      <c r="D78" s="27">
        <v>1</v>
      </c>
      <c r="E78" s="26">
        <v>5.9523809523809521E-3</v>
      </c>
    </row>
    <row r="79" spans="2:5" ht="15" customHeight="1" x14ac:dyDescent="0.25">
      <c r="B79" s="71"/>
      <c r="C79" s="28" t="s">
        <v>26</v>
      </c>
      <c r="D79" s="27">
        <v>1</v>
      </c>
      <c r="E79" s="26">
        <v>5.9523809523809521E-3</v>
      </c>
    </row>
    <row r="80" spans="2:5" ht="15" customHeight="1" x14ac:dyDescent="0.25">
      <c r="B80" s="70"/>
      <c r="C80" s="25" t="s">
        <v>18</v>
      </c>
      <c r="D80" s="24">
        <v>8</v>
      </c>
      <c r="E80" s="23">
        <v>4.7619047619047616E-2</v>
      </c>
    </row>
    <row r="81" spans="2:5" ht="15" customHeight="1" x14ac:dyDescent="0.25">
      <c r="B81" s="69" t="s">
        <v>53</v>
      </c>
      <c r="C81" s="28" t="s">
        <v>42</v>
      </c>
      <c r="D81" s="27">
        <v>1</v>
      </c>
      <c r="E81" s="26">
        <v>5.9523809523809521E-3</v>
      </c>
    </row>
    <row r="82" spans="2:5" ht="15" customHeight="1" x14ac:dyDescent="0.25">
      <c r="B82" s="71"/>
      <c r="C82" s="28" t="s">
        <v>40</v>
      </c>
      <c r="D82" s="27">
        <v>5</v>
      </c>
      <c r="E82" s="26">
        <v>2.976190476190476E-2</v>
      </c>
    </row>
    <row r="83" spans="2:5" ht="15" customHeight="1" x14ac:dyDescent="0.25">
      <c r="B83" s="71"/>
      <c r="C83" s="28" t="s">
        <v>39</v>
      </c>
      <c r="D83" s="27">
        <v>9</v>
      </c>
      <c r="E83" s="26">
        <v>5.3571428571428568E-2</v>
      </c>
    </row>
    <row r="84" spans="2:5" ht="15" customHeight="1" x14ac:dyDescent="0.25">
      <c r="B84" s="71"/>
      <c r="C84" s="28" t="s">
        <v>37</v>
      </c>
      <c r="D84" s="27">
        <v>4</v>
      </c>
      <c r="E84" s="26">
        <v>2.3809523809523808E-2</v>
      </c>
    </row>
    <row r="85" spans="2:5" ht="15" customHeight="1" x14ac:dyDescent="0.25">
      <c r="B85" s="71"/>
      <c r="C85" s="28" t="s">
        <v>36</v>
      </c>
      <c r="D85" s="27">
        <v>1</v>
      </c>
      <c r="E85" s="26">
        <v>5.9523809523809521E-3</v>
      </c>
    </row>
    <row r="86" spans="2:5" ht="15" customHeight="1" x14ac:dyDescent="0.25">
      <c r="B86" s="71"/>
      <c r="C86" s="28" t="s">
        <v>34</v>
      </c>
      <c r="D86" s="27">
        <v>4</v>
      </c>
      <c r="E86" s="26">
        <v>2.3809523809523808E-2</v>
      </c>
    </row>
    <row r="87" spans="2:5" ht="15" customHeight="1" x14ac:dyDescent="0.25">
      <c r="B87" s="71"/>
      <c r="C87" s="28" t="s">
        <v>31</v>
      </c>
      <c r="D87" s="27">
        <v>7</v>
      </c>
      <c r="E87" s="26">
        <v>4.1666666666666664E-2</v>
      </c>
    </row>
    <row r="88" spans="2:5" ht="15" customHeight="1" x14ac:dyDescent="0.25">
      <c r="B88" s="71"/>
      <c r="C88" s="28" t="s">
        <v>29</v>
      </c>
      <c r="D88" s="27">
        <v>4</v>
      </c>
      <c r="E88" s="26">
        <v>2.3809523809523808E-2</v>
      </c>
    </row>
    <row r="89" spans="2:5" ht="15" customHeight="1" x14ac:dyDescent="0.25">
      <c r="B89" s="71"/>
      <c r="C89" s="28" t="s">
        <v>22</v>
      </c>
      <c r="D89" s="27">
        <v>1</v>
      </c>
      <c r="E89" s="26">
        <v>5.9523809523809521E-3</v>
      </c>
    </row>
    <row r="90" spans="2:5" ht="15" customHeight="1" x14ac:dyDescent="0.25">
      <c r="B90" s="70"/>
      <c r="C90" s="25" t="s">
        <v>18</v>
      </c>
      <c r="D90" s="24">
        <v>36</v>
      </c>
      <c r="E90" s="23">
        <v>0.21428571428571427</v>
      </c>
    </row>
    <row r="91" spans="2:5" ht="15" customHeight="1" x14ac:dyDescent="0.25">
      <c r="B91" s="69" t="s">
        <v>52</v>
      </c>
      <c r="C91" s="28" t="s">
        <v>39</v>
      </c>
      <c r="D91" s="27">
        <v>1</v>
      </c>
      <c r="E91" s="26">
        <v>5.9523809523809521E-3</v>
      </c>
    </row>
    <row r="92" spans="2:5" ht="15" customHeight="1" x14ac:dyDescent="0.25">
      <c r="B92" s="71"/>
      <c r="C92" s="28" t="s">
        <v>36</v>
      </c>
      <c r="D92" s="27">
        <v>1</v>
      </c>
      <c r="E92" s="26">
        <v>5.9523809523809521E-3</v>
      </c>
    </row>
    <row r="93" spans="2:5" ht="15" customHeight="1" x14ac:dyDescent="0.25">
      <c r="B93" s="70"/>
      <c r="C93" s="25" t="s">
        <v>18</v>
      </c>
      <c r="D93" s="24">
        <v>2</v>
      </c>
      <c r="E93" s="23">
        <v>1.1904761904761904E-2</v>
      </c>
    </row>
    <row r="94" spans="2:5" ht="15" customHeight="1" x14ac:dyDescent="0.25">
      <c r="B94" s="69" t="s">
        <v>51</v>
      </c>
      <c r="C94" s="28" t="s">
        <v>34</v>
      </c>
      <c r="D94" s="27">
        <v>1</v>
      </c>
      <c r="E94" s="26">
        <v>5.9523809523809521E-3</v>
      </c>
    </row>
    <row r="95" spans="2:5" ht="15" customHeight="1" x14ac:dyDescent="0.25">
      <c r="B95" s="70"/>
      <c r="C95" s="25" t="s">
        <v>18</v>
      </c>
      <c r="D95" s="24">
        <v>1</v>
      </c>
      <c r="E95" s="23">
        <v>5.9523809523809521E-3</v>
      </c>
    </row>
    <row r="96" spans="2:5" ht="15" customHeight="1" x14ac:dyDescent="0.25">
      <c r="B96" s="69" t="s">
        <v>50</v>
      </c>
      <c r="C96" s="28" t="s">
        <v>34</v>
      </c>
      <c r="D96" s="27">
        <v>1</v>
      </c>
      <c r="E96" s="26">
        <v>5.9523809523809521E-3</v>
      </c>
    </row>
    <row r="97" spans="2:5" ht="15" customHeight="1" x14ac:dyDescent="0.25">
      <c r="B97" s="70"/>
      <c r="C97" s="25" t="s">
        <v>18</v>
      </c>
      <c r="D97" s="24">
        <v>1</v>
      </c>
      <c r="E97" s="23">
        <v>5.9523809523809521E-3</v>
      </c>
    </row>
    <row r="98" spans="2:5" ht="15" customHeight="1" x14ac:dyDescent="0.25">
      <c r="B98" s="69" t="s">
        <v>49</v>
      </c>
      <c r="C98" s="28" t="s">
        <v>39</v>
      </c>
      <c r="D98" s="27">
        <v>1</v>
      </c>
      <c r="E98" s="26">
        <v>5.9523809523809521E-3</v>
      </c>
    </row>
    <row r="99" spans="2:5" ht="15" customHeight="1" x14ac:dyDescent="0.25">
      <c r="B99" s="71"/>
      <c r="C99" s="28" t="s">
        <v>37</v>
      </c>
      <c r="D99" s="27">
        <v>1</v>
      </c>
      <c r="E99" s="26">
        <v>5.9523809523809521E-3</v>
      </c>
    </row>
    <row r="100" spans="2:5" ht="15" customHeight="1" x14ac:dyDescent="0.25">
      <c r="B100" s="71"/>
      <c r="C100" s="28" t="s">
        <v>34</v>
      </c>
      <c r="D100" s="27">
        <v>1</v>
      </c>
      <c r="E100" s="26">
        <v>5.9523809523809521E-3</v>
      </c>
    </row>
    <row r="101" spans="2:5" ht="15" customHeight="1" x14ac:dyDescent="0.25">
      <c r="B101" s="70"/>
      <c r="C101" s="25" t="s">
        <v>18</v>
      </c>
      <c r="D101" s="24">
        <v>3</v>
      </c>
      <c r="E101" s="23">
        <v>1.7857142857142856E-2</v>
      </c>
    </row>
    <row r="102" spans="2:5" ht="15" customHeight="1" x14ac:dyDescent="0.25">
      <c r="B102" s="69" t="s">
        <v>48</v>
      </c>
      <c r="C102" s="28" t="s">
        <v>41</v>
      </c>
      <c r="D102" s="27">
        <v>1</v>
      </c>
      <c r="E102" s="26">
        <v>5.9523809523809521E-3</v>
      </c>
    </row>
    <row r="103" spans="2:5" ht="15" customHeight="1" x14ac:dyDescent="0.25">
      <c r="B103" s="71"/>
      <c r="C103" s="28" t="s">
        <v>39</v>
      </c>
      <c r="D103" s="27">
        <v>2</v>
      </c>
      <c r="E103" s="26">
        <v>1.1904761904761904E-2</v>
      </c>
    </row>
    <row r="104" spans="2:5" ht="15" customHeight="1" x14ac:dyDescent="0.25">
      <c r="B104" s="71"/>
      <c r="C104" s="28" t="s">
        <v>34</v>
      </c>
      <c r="D104" s="27">
        <v>1</v>
      </c>
      <c r="E104" s="26">
        <v>5.9523809523809521E-3</v>
      </c>
    </row>
    <row r="105" spans="2:5" ht="15" customHeight="1" x14ac:dyDescent="0.25">
      <c r="B105" s="71"/>
      <c r="C105" s="28" t="s">
        <v>30</v>
      </c>
      <c r="D105" s="27">
        <v>1</v>
      </c>
      <c r="E105" s="26">
        <v>5.9523809523809521E-3</v>
      </c>
    </row>
    <row r="106" spans="2:5" ht="15" customHeight="1" x14ac:dyDescent="0.25">
      <c r="B106" s="70"/>
      <c r="C106" s="25" t="s">
        <v>18</v>
      </c>
      <c r="D106" s="24">
        <v>5</v>
      </c>
      <c r="E106" s="23">
        <v>2.976190476190476E-2</v>
      </c>
    </row>
    <row r="107" spans="2:5" ht="15" customHeight="1" x14ac:dyDescent="0.25">
      <c r="B107" s="69" t="s">
        <v>47</v>
      </c>
      <c r="C107" s="28" t="s">
        <v>39</v>
      </c>
      <c r="D107" s="27">
        <v>1</v>
      </c>
      <c r="E107" s="26">
        <v>5.9523809523809521E-3</v>
      </c>
    </row>
    <row r="108" spans="2:5" ht="15" customHeight="1" x14ac:dyDescent="0.25">
      <c r="B108" s="70"/>
      <c r="C108" s="25" t="s">
        <v>18</v>
      </c>
      <c r="D108" s="24">
        <v>1</v>
      </c>
      <c r="E108" s="23">
        <v>5.9523809523809521E-3</v>
      </c>
    </row>
    <row r="109" spans="2:5" ht="15" customHeight="1" x14ac:dyDescent="0.25">
      <c r="B109" s="72" t="s">
        <v>18</v>
      </c>
      <c r="C109" s="73"/>
      <c r="D109" s="22">
        <v>168</v>
      </c>
      <c r="E109" s="21">
        <v>1</v>
      </c>
    </row>
    <row r="111" spans="2:5" ht="15" customHeight="1" x14ac:dyDescent="0.25">
      <c r="B111" s="18" t="s">
        <v>17</v>
      </c>
    </row>
    <row r="112" spans="2:5" ht="15" customHeight="1" x14ac:dyDescent="0.25">
      <c r="B112" s="20" t="s">
        <v>16</v>
      </c>
    </row>
    <row r="113" spans="2:2" ht="15" customHeight="1" x14ac:dyDescent="0.25">
      <c r="B113" s="19" t="s">
        <v>15</v>
      </c>
    </row>
    <row r="114" spans="2:2" ht="15" customHeight="1" x14ac:dyDescent="0.25">
      <c r="B114" s="18" t="s">
        <v>14</v>
      </c>
    </row>
    <row r="115" spans="2:2" ht="15" customHeight="1" x14ac:dyDescent="0.25">
      <c r="B115" s="18" t="s">
        <v>13</v>
      </c>
    </row>
  </sheetData>
  <mergeCells count="22">
    <mergeCell ref="B7:E8"/>
    <mergeCell ref="B10:B11"/>
    <mergeCell ref="B12:B13"/>
    <mergeCell ref="B14:B15"/>
    <mergeCell ref="B16:B20"/>
    <mergeCell ref="B50:B52"/>
    <mergeCell ref="B53:B68"/>
    <mergeCell ref="B98:B101"/>
    <mergeCell ref="B102:B106"/>
    <mergeCell ref="B107:B108"/>
    <mergeCell ref="B21:B22"/>
    <mergeCell ref="B23:B30"/>
    <mergeCell ref="B31:B44"/>
    <mergeCell ref="B45:B46"/>
    <mergeCell ref="B47:B49"/>
    <mergeCell ref="B109:C109"/>
    <mergeCell ref="B69:B71"/>
    <mergeCell ref="B72:B80"/>
    <mergeCell ref="B81:B90"/>
    <mergeCell ref="B91:B93"/>
    <mergeCell ref="B94:B95"/>
    <mergeCell ref="B96:B97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" manualBreakCount="2">
    <brk id="52" max="4" man="1"/>
    <brk id="95" max="4" man="1"/>
  </rowBreaks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20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2" customWidth="1"/>
    <col min="2" max="2" width="21.7109375" style="42" customWidth="1"/>
    <col min="3" max="3" width="17.7109375" style="43" customWidth="1"/>
    <col min="4" max="4" width="17.7109375" style="42" customWidth="1"/>
    <col min="5" max="5" width="9.28515625" style="42" customWidth="1"/>
    <col min="6" max="6" width="5.7109375" style="42" customWidth="1"/>
    <col min="7" max="16384" width="11.42578125" style="42"/>
  </cols>
  <sheetData>
    <row r="1" spans="2:4" s="30" customFormat="1" ht="15" customHeight="1" x14ac:dyDescent="0.2">
      <c r="C1" s="56"/>
    </row>
    <row r="2" spans="2:4" s="30" customFormat="1" ht="15" customHeight="1" x14ac:dyDescent="0.2">
      <c r="C2" s="56"/>
    </row>
    <row r="3" spans="2:4" s="30" customFormat="1" ht="15" customHeight="1" x14ac:dyDescent="0.2">
      <c r="C3" s="56"/>
    </row>
    <row r="4" spans="2:4" s="30" customFormat="1" ht="30" customHeight="1" x14ac:dyDescent="0.2">
      <c r="C4" s="56"/>
      <c r="D4" s="55"/>
    </row>
    <row r="5" spans="2:4" s="30" customFormat="1" ht="15" customHeight="1" x14ac:dyDescent="0.2">
      <c r="C5" s="56"/>
      <c r="D5" s="55"/>
    </row>
    <row r="6" spans="2:4" s="30" customFormat="1" ht="15" customHeight="1" x14ac:dyDescent="0.2">
      <c r="C6" s="56"/>
      <c r="D6" s="55"/>
    </row>
    <row r="7" spans="2:4" s="30" customFormat="1" ht="15" customHeight="1" x14ac:dyDescent="0.2">
      <c r="B7" s="75" t="s">
        <v>86</v>
      </c>
      <c r="C7" s="75"/>
      <c r="D7" s="75"/>
    </row>
    <row r="8" spans="2:4" s="30" customFormat="1" ht="15" customHeight="1" x14ac:dyDescent="0.2">
      <c r="B8" s="75"/>
      <c r="C8" s="75"/>
      <c r="D8" s="75"/>
    </row>
    <row r="9" spans="2:4" s="30" customFormat="1" ht="33" customHeight="1" x14ac:dyDescent="0.2">
      <c r="B9" s="75"/>
      <c r="C9" s="75"/>
      <c r="D9" s="75"/>
    </row>
    <row r="10" spans="2:4" s="30" customFormat="1" ht="4.5" customHeight="1" x14ac:dyDescent="0.2">
      <c r="B10" s="54"/>
      <c r="C10" s="54"/>
      <c r="D10" s="54"/>
    </row>
    <row r="11" spans="2:4" s="30" customFormat="1" ht="33" customHeight="1" x14ac:dyDescent="0.2">
      <c r="B11" s="53" t="s">
        <v>45</v>
      </c>
      <c r="C11" s="52" t="s">
        <v>44</v>
      </c>
      <c r="D11" s="51" t="s">
        <v>43</v>
      </c>
    </row>
    <row r="12" spans="2:4" ht="15" customHeight="1" x14ac:dyDescent="0.25">
      <c r="B12" s="49" t="s">
        <v>85</v>
      </c>
      <c r="C12" s="48">
        <v>109</v>
      </c>
      <c r="D12" s="47">
        <v>0.32440476190476192</v>
      </c>
    </row>
    <row r="13" spans="2:4" ht="15" customHeight="1" x14ac:dyDescent="0.25">
      <c r="B13" s="49" t="s">
        <v>84</v>
      </c>
      <c r="C13" s="48">
        <v>59</v>
      </c>
      <c r="D13" s="47">
        <v>0.17559523809523808</v>
      </c>
    </row>
    <row r="14" spans="2:4" x14ac:dyDescent="0.25">
      <c r="B14" s="46" t="s">
        <v>83</v>
      </c>
      <c r="C14" s="45">
        <v>336</v>
      </c>
      <c r="D14" s="44">
        <v>1</v>
      </c>
    </row>
    <row r="15" spans="2:4" s="50" customFormat="1" ht="15.75" x14ac:dyDescent="0.25">
      <c r="C15" s="59"/>
    </row>
    <row r="16" spans="2:4" s="50" customFormat="1" ht="15.75" x14ac:dyDescent="0.25">
      <c r="B16" s="18" t="s">
        <v>17</v>
      </c>
      <c r="C16" s="59"/>
    </row>
    <row r="17" spans="2:4" x14ac:dyDescent="0.25">
      <c r="B17" s="20" t="s">
        <v>16</v>
      </c>
      <c r="C17" s="58"/>
      <c r="D17" s="58"/>
    </row>
    <row r="18" spans="2:4" x14ac:dyDescent="0.25">
      <c r="B18" s="19" t="s">
        <v>15</v>
      </c>
      <c r="C18" s="57"/>
      <c r="D18" s="57"/>
    </row>
    <row r="19" spans="2:4" x14ac:dyDescent="0.25">
      <c r="B19" s="18" t="s">
        <v>14</v>
      </c>
    </row>
    <row r="20" spans="2:4" x14ac:dyDescent="0.25">
      <c r="B20" s="18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B1:D40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2" customWidth="1"/>
    <col min="2" max="2" width="21.7109375" style="42" customWidth="1"/>
    <col min="3" max="3" width="17.7109375" style="43" customWidth="1"/>
    <col min="4" max="4" width="17.7109375" style="42" customWidth="1"/>
    <col min="5" max="5" width="9.28515625" style="42" customWidth="1"/>
    <col min="6" max="6" width="5.7109375" style="42" customWidth="1"/>
    <col min="7" max="16384" width="11.42578125" style="42"/>
  </cols>
  <sheetData>
    <row r="1" spans="2:4" s="30" customFormat="1" ht="15" customHeight="1" x14ac:dyDescent="0.2">
      <c r="C1" s="56"/>
    </row>
    <row r="2" spans="2:4" s="30" customFormat="1" ht="15" customHeight="1" x14ac:dyDescent="0.2">
      <c r="C2" s="56"/>
    </row>
    <row r="3" spans="2:4" s="30" customFormat="1" ht="15" customHeight="1" x14ac:dyDescent="0.2">
      <c r="C3" s="56"/>
    </row>
    <row r="4" spans="2:4" s="30" customFormat="1" ht="30" customHeight="1" x14ac:dyDescent="0.2">
      <c r="C4" s="56"/>
      <c r="D4" s="55"/>
    </row>
    <row r="5" spans="2:4" s="30" customFormat="1" ht="15" customHeight="1" x14ac:dyDescent="0.2">
      <c r="C5" s="56"/>
      <c r="D5" s="55"/>
    </row>
    <row r="6" spans="2:4" s="30" customFormat="1" ht="15" customHeight="1" x14ac:dyDescent="0.2">
      <c r="C6" s="56"/>
      <c r="D6" s="55"/>
    </row>
    <row r="7" spans="2:4" s="30" customFormat="1" ht="15" customHeight="1" x14ac:dyDescent="0.2">
      <c r="B7" s="75" t="s">
        <v>87</v>
      </c>
      <c r="C7" s="75"/>
      <c r="D7" s="75"/>
    </row>
    <row r="8" spans="2:4" s="30" customFormat="1" ht="15" customHeight="1" x14ac:dyDescent="0.2">
      <c r="B8" s="75"/>
      <c r="C8" s="75"/>
      <c r="D8" s="75"/>
    </row>
    <row r="9" spans="2:4" s="30" customFormat="1" ht="33" customHeight="1" x14ac:dyDescent="0.2">
      <c r="B9" s="75"/>
      <c r="C9" s="75"/>
      <c r="D9" s="75"/>
    </row>
    <row r="10" spans="2:4" s="30" customFormat="1" ht="4.5" customHeight="1" x14ac:dyDescent="0.2">
      <c r="B10" s="54"/>
      <c r="C10" s="54"/>
      <c r="D10" s="54"/>
    </row>
    <row r="11" spans="2:4" s="30" customFormat="1" ht="33" customHeight="1" x14ac:dyDescent="0.2">
      <c r="B11" s="53" t="s">
        <v>46</v>
      </c>
      <c r="C11" s="52" t="s">
        <v>44</v>
      </c>
      <c r="D11" s="51" t="s">
        <v>43</v>
      </c>
    </row>
    <row r="12" spans="2:4" ht="15" customHeight="1" x14ac:dyDescent="0.25">
      <c r="B12" s="49" t="s">
        <v>39</v>
      </c>
      <c r="C12" s="48">
        <v>25</v>
      </c>
      <c r="D12" s="47">
        <v>0.14880952380952381</v>
      </c>
    </row>
    <row r="13" spans="2:4" x14ac:dyDescent="0.25">
      <c r="B13" s="49" t="s">
        <v>34</v>
      </c>
      <c r="C13" s="48">
        <v>24</v>
      </c>
      <c r="D13" s="47">
        <v>0.14285714285714285</v>
      </c>
    </row>
    <row r="14" spans="2:4" s="50" customFormat="1" ht="15.75" x14ac:dyDescent="0.25">
      <c r="B14" s="49" t="s">
        <v>31</v>
      </c>
      <c r="C14" s="48">
        <v>19</v>
      </c>
      <c r="D14" s="47">
        <v>0.1130952380952381</v>
      </c>
    </row>
    <row r="15" spans="2:4" s="50" customFormat="1" ht="15.75" x14ac:dyDescent="0.25">
      <c r="B15" s="49" t="s">
        <v>40</v>
      </c>
      <c r="C15" s="48">
        <v>16</v>
      </c>
      <c r="D15" s="47">
        <v>9.5238095238095233E-2</v>
      </c>
    </row>
    <row r="16" spans="2:4" x14ac:dyDescent="0.25">
      <c r="B16" s="49" t="s">
        <v>37</v>
      </c>
      <c r="C16" s="48">
        <v>14</v>
      </c>
      <c r="D16" s="47">
        <v>8.3333333333333329E-2</v>
      </c>
    </row>
    <row r="17" spans="2:4" x14ac:dyDescent="0.25">
      <c r="B17" s="49" t="s">
        <v>33</v>
      </c>
      <c r="C17" s="48">
        <v>13</v>
      </c>
      <c r="D17" s="47">
        <v>7.7380952380952384E-2</v>
      </c>
    </row>
    <row r="18" spans="2:4" x14ac:dyDescent="0.25">
      <c r="B18" s="49" t="s">
        <v>30</v>
      </c>
      <c r="C18" s="48">
        <v>12</v>
      </c>
      <c r="D18" s="47">
        <v>7.1428571428571425E-2</v>
      </c>
    </row>
    <row r="19" spans="2:4" x14ac:dyDescent="0.25">
      <c r="B19" s="49" t="s">
        <v>29</v>
      </c>
      <c r="C19" s="48">
        <v>10</v>
      </c>
      <c r="D19" s="47">
        <v>5.9523809523809521E-2</v>
      </c>
    </row>
    <row r="20" spans="2:4" x14ac:dyDescent="0.25">
      <c r="B20" s="49" t="s">
        <v>36</v>
      </c>
      <c r="C20" s="48">
        <v>9</v>
      </c>
      <c r="D20" s="47">
        <v>5.3571428571428568E-2</v>
      </c>
    </row>
    <row r="21" spans="2:4" x14ac:dyDescent="0.25">
      <c r="B21" s="49" t="s">
        <v>35</v>
      </c>
      <c r="C21" s="48">
        <v>6</v>
      </c>
      <c r="D21" s="47">
        <v>3.5714285714285712E-2</v>
      </c>
    </row>
    <row r="22" spans="2:4" x14ac:dyDescent="0.25">
      <c r="B22" s="49" t="s">
        <v>22</v>
      </c>
      <c r="C22" s="48">
        <v>5</v>
      </c>
      <c r="D22" s="47">
        <v>2.976190476190476E-2</v>
      </c>
    </row>
    <row r="23" spans="2:4" x14ac:dyDescent="0.25">
      <c r="B23" s="49" t="s">
        <v>42</v>
      </c>
      <c r="C23" s="48">
        <v>3</v>
      </c>
      <c r="D23" s="47">
        <v>1.7857142857142856E-2</v>
      </c>
    </row>
    <row r="24" spans="2:4" x14ac:dyDescent="0.25">
      <c r="B24" s="49" t="s">
        <v>38</v>
      </c>
      <c r="C24" s="48">
        <v>2</v>
      </c>
      <c r="D24" s="47">
        <v>1.1904761904761904E-2</v>
      </c>
    </row>
    <row r="25" spans="2:4" x14ac:dyDescent="0.25">
      <c r="B25" s="49" t="s">
        <v>26</v>
      </c>
      <c r="C25" s="48">
        <v>2</v>
      </c>
      <c r="D25" s="47">
        <v>1.1904761904761904E-2</v>
      </c>
    </row>
    <row r="26" spans="2:4" x14ac:dyDescent="0.25">
      <c r="B26" s="49" t="s">
        <v>41</v>
      </c>
      <c r="C26" s="48">
        <v>1</v>
      </c>
      <c r="D26" s="47">
        <v>5.9523809523809521E-3</v>
      </c>
    </row>
    <row r="27" spans="2:4" x14ac:dyDescent="0.25">
      <c r="B27" s="49" t="s">
        <v>32</v>
      </c>
      <c r="C27" s="48">
        <v>1</v>
      </c>
      <c r="D27" s="47">
        <v>5.9523809523809521E-3</v>
      </c>
    </row>
    <row r="28" spans="2:4" x14ac:dyDescent="0.25">
      <c r="B28" s="49" t="s">
        <v>28</v>
      </c>
      <c r="C28" s="48">
        <v>1</v>
      </c>
      <c r="D28" s="47">
        <v>5.9523809523809521E-3</v>
      </c>
    </row>
    <row r="29" spans="2:4" x14ac:dyDescent="0.25">
      <c r="B29" s="49" t="s">
        <v>27</v>
      </c>
      <c r="C29" s="48">
        <v>1</v>
      </c>
      <c r="D29" s="47">
        <v>5.9523809523809521E-3</v>
      </c>
    </row>
    <row r="30" spans="2:4" x14ac:dyDescent="0.25">
      <c r="B30" s="49" t="s">
        <v>25</v>
      </c>
      <c r="C30" s="48">
        <v>1</v>
      </c>
      <c r="D30" s="47">
        <v>5.9523809523809521E-3</v>
      </c>
    </row>
    <row r="31" spans="2:4" x14ac:dyDescent="0.25">
      <c r="B31" s="49" t="s">
        <v>24</v>
      </c>
      <c r="C31" s="48">
        <v>1</v>
      </c>
      <c r="D31" s="47">
        <v>5.9523809523809521E-3</v>
      </c>
    </row>
    <row r="32" spans="2:4" x14ac:dyDescent="0.25">
      <c r="B32" s="49" t="s">
        <v>23</v>
      </c>
      <c r="C32" s="48">
        <v>1</v>
      </c>
      <c r="D32" s="47">
        <v>5.9523809523809521E-3</v>
      </c>
    </row>
    <row r="33" spans="2:4" x14ac:dyDescent="0.25">
      <c r="B33" s="49" t="s">
        <v>20</v>
      </c>
      <c r="C33" s="48">
        <v>1</v>
      </c>
      <c r="D33" s="47">
        <v>5.9523809523809521E-3</v>
      </c>
    </row>
    <row r="34" spans="2:4" x14ac:dyDescent="0.25">
      <c r="B34" s="46" t="s">
        <v>18</v>
      </c>
      <c r="C34" s="45">
        <v>168</v>
      </c>
      <c r="D34" s="44">
        <v>1</v>
      </c>
    </row>
    <row r="36" spans="2:4" x14ac:dyDescent="0.25">
      <c r="B36" s="18" t="s">
        <v>17</v>
      </c>
    </row>
    <row r="37" spans="2:4" x14ac:dyDescent="0.25">
      <c r="B37" s="20" t="s">
        <v>16</v>
      </c>
    </row>
    <row r="38" spans="2:4" x14ac:dyDescent="0.25">
      <c r="B38" s="19" t="s">
        <v>15</v>
      </c>
    </row>
    <row r="39" spans="2:4" x14ac:dyDescent="0.25">
      <c r="B39" s="18" t="s">
        <v>14</v>
      </c>
    </row>
    <row r="40" spans="2:4" x14ac:dyDescent="0.25">
      <c r="B40" s="18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8" orientation="portrait" r:id="rId1"/>
  <headerFooter>
    <oddFooter>&amp;C&amp;P de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E489"/>
  <sheetViews>
    <sheetView zoomScale="145" zoomScaleNormal="145" zoomScaleSheetLayoutView="85" workbookViewId="0"/>
  </sheetViews>
  <sheetFormatPr baseColWidth="10" defaultColWidth="35" defaultRowHeight="15" customHeight="1" x14ac:dyDescent="0.25"/>
  <cols>
    <col min="1" max="1" width="1" style="14" customWidth="1"/>
    <col min="2" max="2" width="22.85546875" style="15" customWidth="1"/>
    <col min="3" max="3" width="31.42578125" style="15" customWidth="1"/>
    <col min="4" max="4" width="14.28515625" style="15" customWidth="1"/>
    <col min="5" max="5" width="16.85546875" style="15" customWidth="1"/>
    <col min="6" max="16384" width="35" style="14"/>
  </cols>
  <sheetData>
    <row r="1" spans="1:5" s="37" customFormat="1" ht="12" customHeight="1" x14ac:dyDescent="0.2">
      <c r="B1" s="41"/>
      <c r="C1" s="40"/>
      <c r="D1" s="40"/>
      <c r="E1" s="40"/>
    </row>
    <row r="2" spans="1:5" s="37" customFormat="1" ht="15" customHeight="1" x14ac:dyDescent="0.2">
      <c r="C2" s="39"/>
    </row>
    <row r="3" spans="1:5" s="37" customFormat="1" ht="15" customHeight="1" x14ac:dyDescent="0.2">
      <c r="C3" s="39"/>
    </row>
    <row r="4" spans="1:5" s="37" customFormat="1" ht="30" customHeight="1" x14ac:dyDescent="0.2">
      <c r="C4" s="39"/>
      <c r="D4" s="38"/>
    </row>
    <row r="5" spans="1:5" s="37" customFormat="1" ht="15" customHeight="1" x14ac:dyDescent="0.2">
      <c r="C5" s="39"/>
      <c r="D5" s="38"/>
    </row>
    <row r="6" spans="1:5" s="34" customFormat="1" ht="24" customHeight="1" x14ac:dyDescent="0.2">
      <c r="B6" s="36"/>
      <c r="C6" s="29"/>
      <c r="D6" s="29"/>
      <c r="E6" s="29"/>
    </row>
    <row r="7" spans="1:5" s="34" customFormat="1" ht="26.25" customHeight="1" x14ac:dyDescent="0.3">
      <c r="A7" s="35"/>
      <c r="B7" s="74"/>
      <c r="C7" s="74"/>
      <c r="D7" s="74"/>
      <c r="E7" s="74"/>
    </row>
    <row r="8" spans="1:5" s="34" customFormat="1" ht="33" customHeight="1" x14ac:dyDescent="0.3">
      <c r="A8" s="35"/>
      <c r="B8" s="74"/>
      <c r="C8" s="74"/>
      <c r="D8" s="74"/>
      <c r="E8" s="74"/>
    </row>
    <row r="9" spans="1:5" s="30" customFormat="1" ht="40.5" customHeight="1" x14ac:dyDescent="0.2">
      <c r="B9" s="31" t="s">
        <v>45</v>
      </c>
      <c r="C9" s="33" t="s">
        <v>82</v>
      </c>
      <c r="D9" s="32" t="s">
        <v>44</v>
      </c>
      <c r="E9" s="31" t="s">
        <v>43</v>
      </c>
    </row>
    <row r="10" spans="1:5" ht="15" customHeight="1" x14ac:dyDescent="0.25">
      <c r="B10" s="69" t="s">
        <v>21</v>
      </c>
      <c r="C10" s="28" t="s">
        <v>80</v>
      </c>
      <c r="D10" s="27">
        <v>16</v>
      </c>
      <c r="E10" s="26">
        <v>9.5238095238095233E-2</v>
      </c>
    </row>
    <row r="11" spans="1:5" ht="15" customHeight="1" x14ac:dyDescent="0.25">
      <c r="B11" s="71"/>
      <c r="C11" s="28" t="s">
        <v>79</v>
      </c>
      <c r="D11" s="27">
        <v>38</v>
      </c>
      <c r="E11" s="26">
        <v>0.22619047619047619</v>
      </c>
    </row>
    <row r="12" spans="1:5" ht="15" customHeight="1" x14ac:dyDescent="0.25">
      <c r="B12" s="71"/>
      <c r="C12" s="28" t="s">
        <v>78</v>
      </c>
      <c r="D12" s="27">
        <v>44</v>
      </c>
      <c r="E12" s="26">
        <v>0.26190476190476192</v>
      </c>
    </row>
    <row r="13" spans="1:5" ht="15" customHeight="1" x14ac:dyDescent="0.25">
      <c r="B13" s="70"/>
      <c r="C13" s="28" t="s">
        <v>77</v>
      </c>
      <c r="D13" s="27">
        <v>11</v>
      </c>
      <c r="E13" s="26">
        <v>6.5476190476190479E-2</v>
      </c>
    </row>
    <row r="14" spans="1:5" ht="15" customHeight="1" x14ac:dyDescent="0.25">
      <c r="B14" s="69" t="s">
        <v>19</v>
      </c>
      <c r="C14" s="28" t="s">
        <v>81</v>
      </c>
      <c r="D14" s="27">
        <v>1</v>
      </c>
      <c r="E14" s="26">
        <v>5.9523809523809521E-3</v>
      </c>
    </row>
    <row r="15" spans="1:5" s="29" customFormat="1" ht="15" customHeight="1" x14ac:dyDescent="0.2">
      <c r="B15" s="71"/>
      <c r="C15" s="28" t="s">
        <v>80</v>
      </c>
      <c r="D15" s="27">
        <v>8</v>
      </c>
      <c r="E15" s="26">
        <v>4.7619047619047616E-2</v>
      </c>
    </row>
    <row r="16" spans="1:5" s="29" customFormat="1" ht="15" customHeight="1" x14ac:dyDescent="0.2">
      <c r="B16" s="71"/>
      <c r="C16" s="28" t="s">
        <v>79</v>
      </c>
      <c r="D16" s="27">
        <v>11</v>
      </c>
      <c r="E16" s="26">
        <v>6.5476190476190479E-2</v>
      </c>
    </row>
    <row r="17" spans="2:5" s="29" customFormat="1" ht="15" customHeight="1" x14ac:dyDescent="0.2">
      <c r="B17" s="71"/>
      <c r="C17" s="28" t="s">
        <v>78</v>
      </c>
      <c r="D17" s="27">
        <v>26</v>
      </c>
      <c r="E17" s="26">
        <v>0.15476190476190477</v>
      </c>
    </row>
    <row r="18" spans="2:5" s="29" customFormat="1" ht="15" customHeight="1" x14ac:dyDescent="0.2">
      <c r="B18" s="71"/>
      <c r="C18" s="28" t="s">
        <v>77</v>
      </c>
      <c r="D18" s="27">
        <v>9</v>
      </c>
      <c r="E18" s="26">
        <v>5.3571428571428568E-2</v>
      </c>
    </row>
    <row r="19" spans="2:5" s="29" customFormat="1" ht="15" customHeight="1" x14ac:dyDescent="0.2">
      <c r="B19" s="71"/>
      <c r="C19" s="28" t="s">
        <v>76</v>
      </c>
      <c r="D19" s="27">
        <v>3</v>
      </c>
      <c r="E19" s="26">
        <v>1.7857142857142856E-2</v>
      </c>
    </row>
    <row r="20" spans="2:5" ht="15" customHeight="1" x14ac:dyDescent="0.25">
      <c r="B20" s="70"/>
      <c r="C20" s="28" t="s">
        <v>75</v>
      </c>
      <c r="D20" s="27">
        <v>1</v>
      </c>
      <c r="E20" s="26">
        <v>5.9523809523809521E-3</v>
      </c>
    </row>
    <row r="21" spans="2:5" ht="15" customHeight="1" x14ac:dyDescent="0.25">
      <c r="B21" s="72" t="s">
        <v>18</v>
      </c>
      <c r="C21" s="73"/>
      <c r="D21" s="22">
        <v>168</v>
      </c>
      <c r="E21" s="21">
        <v>1</v>
      </c>
    </row>
    <row r="23" spans="2:5" ht="15" customHeight="1" x14ac:dyDescent="0.25">
      <c r="B23" s="18" t="s">
        <v>17</v>
      </c>
    </row>
    <row r="24" spans="2:5" ht="15" customHeight="1" x14ac:dyDescent="0.25">
      <c r="B24" s="20" t="s">
        <v>16</v>
      </c>
    </row>
    <row r="25" spans="2:5" ht="15" customHeight="1" x14ac:dyDescent="0.25">
      <c r="B25" s="19" t="s">
        <v>15</v>
      </c>
    </row>
    <row r="26" spans="2:5" ht="15" customHeight="1" x14ac:dyDescent="0.25">
      <c r="B26" s="18" t="s">
        <v>14</v>
      </c>
    </row>
    <row r="27" spans="2:5" ht="15" customHeight="1" x14ac:dyDescent="0.25">
      <c r="B27" s="18" t="s">
        <v>13</v>
      </c>
    </row>
    <row r="485" spans="2:2" s="15" customFormat="1" ht="15" customHeight="1" x14ac:dyDescent="0.25">
      <c r="B485" s="16"/>
    </row>
    <row r="486" spans="2:2" s="15" customFormat="1" ht="15" customHeight="1" x14ac:dyDescent="0.25">
      <c r="B486" s="17"/>
    </row>
    <row r="487" spans="2:2" s="15" customFormat="1" ht="15" customHeight="1" x14ac:dyDescent="0.25">
      <c r="B487" s="17"/>
    </row>
    <row r="488" spans="2:2" s="15" customFormat="1" ht="15" customHeight="1" x14ac:dyDescent="0.25">
      <c r="B488" s="16"/>
    </row>
    <row r="489" spans="2:2" s="15" customFormat="1" ht="15" customHeight="1" x14ac:dyDescent="0.25">
      <c r="B489" s="16"/>
    </row>
  </sheetData>
  <mergeCells count="4">
    <mergeCell ref="B7:E8"/>
    <mergeCell ref="B10:B13"/>
    <mergeCell ref="B14:B20"/>
    <mergeCell ref="B21:C2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  <pageSetUpPr fitToPage="1"/>
  </sheetPr>
  <dimension ref="B1:D31"/>
  <sheetViews>
    <sheetView showGridLines="0" zoomScaleNormal="100" zoomScaleSheetLayoutView="115" workbookViewId="0"/>
  </sheetViews>
  <sheetFormatPr baseColWidth="10" defaultRowHeight="15" x14ac:dyDescent="0.25"/>
  <cols>
    <col min="1" max="1" width="9.28515625" style="42" customWidth="1"/>
    <col min="2" max="2" width="21.7109375" style="42" customWidth="1"/>
    <col min="3" max="3" width="17.7109375" style="43" customWidth="1"/>
    <col min="4" max="4" width="17.7109375" style="42" customWidth="1"/>
    <col min="5" max="5" width="9.28515625" style="42" customWidth="1"/>
    <col min="6" max="6" width="5.7109375" style="42" customWidth="1"/>
    <col min="7" max="16384" width="11.42578125" style="42"/>
  </cols>
  <sheetData>
    <row r="1" spans="2:4" s="30" customFormat="1" ht="15" customHeight="1" x14ac:dyDescent="0.2">
      <c r="C1" s="56"/>
    </row>
    <row r="2" spans="2:4" s="30" customFormat="1" ht="15" customHeight="1" x14ac:dyDescent="0.2">
      <c r="C2" s="56"/>
    </row>
    <row r="3" spans="2:4" s="30" customFormat="1" ht="15" customHeight="1" x14ac:dyDescent="0.2">
      <c r="C3" s="56"/>
    </row>
    <row r="4" spans="2:4" s="30" customFormat="1" ht="30" customHeight="1" x14ac:dyDescent="0.2">
      <c r="C4" s="56"/>
      <c r="D4" s="55"/>
    </row>
    <row r="5" spans="2:4" s="30" customFormat="1" ht="15" customHeight="1" x14ac:dyDescent="0.2">
      <c r="C5" s="56"/>
      <c r="D5" s="55"/>
    </row>
    <row r="6" spans="2:4" s="30" customFormat="1" ht="15" customHeight="1" x14ac:dyDescent="0.2">
      <c r="C6" s="56"/>
      <c r="D6" s="55"/>
    </row>
    <row r="7" spans="2:4" s="30" customFormat="1" ht="15" customHeight="1" x14ac:dyDescent="0.2">
      <c r="B7" s="75" t="s">
        <v>102</v>
      </c>
      <c r="C7" s="75"/>
      <c r="D7" s="75"/>
    </row>
    <row r="8" spans="2:4" s="30" customFormat="1" ht="15" customHeight="1" x14ac:dyDescent="0.2">
      <c r="B8" s="75"/>
      <c r="C8" s="75"/>
      <c r="D8" s="75"/>
    </row>
    <row r="9" spans="2:4" s="30" customFormat="1" ht="33" customHeight="1" x14ac:dyDescent="0.2">
      <c r="B9" s="75"/>
      <c r="C9" s="75"/>
      <c r="D9" s="75"/>
    </row>
    <row r="10" spans="2:4" s="30" customFormat="1" ht="4.5" customHeight="1" x14ac:dyDescent="0.2">
      <c r="B10" s="54"/>
      <c r="C10" s="54"/>
      <c r="D10" s="54"/>
    </row>
    <row r="11" spans="2:4" s="30" customFormat="1" ht="33" customHeight="1" x14ac:dyDescent="0.2">
      <c r="B11" s="53" t="s">
        <v>101</v>
      </c>
      <c r="C11" s="52" t="s">
        <v>44</v>
      </c>
      <c r="D11" s="51" t="s">
        <v>43</v>
      </c>
    </row>
    <row r="12" spans="2:4" ht="15" customHeight="1" x14ac:dyDescent="0.25">
      <c r="B12" s="49" t="s">
        <v>100</v>
      </c>
      <c r="C12" s="48">
        <v>86</v>
      </c>
      <c r="D12" s="47">
        <v>0.51190476190476186</v>
      </c>
    </row>
    <row r="13" spans="2:4" x14ac:dyDescent="0.25">
      <c r="B13" s="49" t="s">
        <v>99</v>
      </c>
      <c r="C13" s="48">
        <v>25</v>
      </c>
      <c r="D13" s="47">
        <v>0.14880952380952381</v>
      </c>
    </row>
    <row r="14" spans="2:4" s="50" customFormat="1" ht="15.75" x14ac:dyDescent="0.25">
      <c r="B14" s="49" t="s">
        <v>98</v>
      </c>
      <c r="C14" s="48">
        <v>14</v>
      </c>
      <c r="D14" s="47">
        <v>8.3333333333333329E-2</v>
      </c>
    </row>
    <row r="15" spans="2:4" s="50" customFormat="1" ht="15.75" x14ac:dyDescent="0.25">
      <c r="B15" s="49" t="s">
        <v>97</v>
      </c>
      <c r="C15" s="48">
        <v>8</v>
      </c>
      <c r="D15" s="47">
        <v>4.7619047619047616E-2</v>
      </c>
    </row>
    <row r="16" spans="2:4" x14ac:dyDescent="0.25">
      <c r="B16" s="49" t="s">
        <v>96</v>
      </c>
      <c r="C16" s="48">
        <v>8</v>
      </c>
      <c r="D16" s="47">
        <v>4.7619047619047616E-2</v>
      </c>
    </row>
    <row r="17" spans="2:4" x14ac:dyDescent="0.25">
      <c r="B17" s="49" t="s">
        <v>95</v>
      </c>
      <c r="C17" s="48">
        <v>8</v>
      </c>
      <c r="D17" s="47">
        <v>4.7619047619047616E-2</v>
      </c>
    </row>
    <row r="18" spans="2:4" x14ac:dyDescent="0.25">
      <c r="B18" s="49" t="s">
        <v>94</v>
      </c>
      <c r="C18" s="48">
        <v>5</v>
      </c>
      <c r="D18" s="47">
        <v>2.976190476190476E-2</v>
      </c>
    </row>
    <row r="19" spans="2:4" x14ac:dyDescent="0.25">
      <c r="B19" s="49" t="s">
        <v>93</v>
      </c>
      <c r="C19" s="48">
        <v>5</v>
      </c>
      <c r="D19" s="47">
        <v>2.976190476190476E-2</v>
      </c>
    </row>
    <row r="20" spans="2:4" x14ac:dyDescent="0.25">
      <c r="B20" s="49" t="s">
        <v>92</v>
      </c>
      <c r="C20" s="48">
        <v>3</v>
      </c>
      <c r="D20" s="47">
        <v>1.7857142857142856E-2</v>
      </c>
    </row>
    <row r="21" spans="2:4" x14ac:dyDescent="0.25">
      <c r="B21" s="49" t="s">
        <v>91</v>
      </c>
      <c r="C21" s="48">
        <v>2</v>
      </c>
      <c r="D21" s="47">
        <v>1.1904761904761904E-2</v>
      </c>
    </row>
    <row r="22" spans="2:4" x14ac:dyDescent="0.25">
      <c r="B22" s="49" t="s">
        <v>90</v>
      </c>
      <c r="C22" s="48">
        <v>2</v>
      </c>
      <c r="D22" s="47">
        <v>1.1904761904761904E-2</v>
      </c>
    </row>
    <row r="23" spans="2:4" x14ac:dyDescent="0.25">
      <c r="B23" s="49" t="s">
        <v>89</v>
      </c>
      <c r="C23" s="48">
        <v>1</v>
      </c>
      <c r="D23" s="47">
        <v>5.9523809523809521E-3</v>
      </c>
    </row>
    <row r="24" spans="2:4" x14ac:dyDescent="0.25">
      <c r="B24" s="49" t="s">
        <v>88</v>
      </c>
      <c r="C24" s="48">
        <v>1</v>
      </c>
      <c r="D24" s="47">
        <v>5.9523809523809521E-3</v>
      </c>
    </row>
    <row r="25" spans="2:4" x14ac:dyDescent="0.25">
      <c r="B25" s="46" t="s">
        <v>18</v>
      </c>
      <c r="C25" s="45">
        <v>168</v>
      </c>
      <c r="D25" s="44">
        <v>1</v>
      </c>
    </row>
    <row r="27" spans="2:4" x14ac:dyDescent="0.25">
      <c r="B27" s="18" t="s">
        <v>17</v>
      </c>
    </row>
    <row r="28" spans="2:4" x14ac:dyDescent="0.25">
      <c r="B28" s="20" t="s">
        <v>16</v>
      </c>
    </row>
    <row r="29" spans="2:4" x14ac:dyDescent="0.25">
      <c r="B29" s="19" t="s">
        <v>15</v>
      </c>
    </row>
    <row r="30" spans="2:4" x14ac:dyDescent="0.25">
      <c r="B30" s="18" t="s">
        <v>14</v>
      </c>
    </row>
    <row r="31" spans="2:4" x14ac:dyDescent="0.25">
      <c r="B31" s="18" t="s">
        <v>13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94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Hawaii_edomexgen</vt:lpstr>
      <vt:lpstr>Hawaii_EDOMEX</vt:lpstr>
      <vt:lpstr>Hawaii_Educagral</vt:lpstr>
      <vt:lpstr>Hawaii_Eduedo</vt:lpstr>
      <vt:lpstr>Hawaii_gengral18</vt:lpstr>
      <vt:lpstr>Hawaii_Edomexgral</vt:lpstr>
      <vt:lpstr>Hawaii_edadgen</vt:lpstr>
      <vt:lpstr>Hawaii_ocupgral18</vt:lpstr>
      <vt:lpstr>Hawaii_edadgen!Área_de_impresión</vt:lpstr>
      <vt:lpstr>Hawaii_EDOMEX!Área_de_impresión</vt:lpstr>
      <vt:lpstr>Hawaii_edomexgen!Área_de_impresión</vt:lpstr>
      <vt:lpstr>Hawaii_Eduedo!Área_de_impresión</vt:lpstr>
      <vt:lpstr>Hawaii_edadgen!Títulos_a_imprimir</vt:lpstr>
      <vt:lpstr>Hawaii_EDOMEX!Títulos_a_imprimir</vt:lpstr>
      <vt:lpstr>Hawaii_edomexgen!Títulos_a_imprimir</vt:lpstr>
      <vt:lpstr>Hawaii_Edomexgral!Títulos_a_imprimir</vt:lpstr>
      <vt:lpstr>Hawaii_Educagral!Títulos_a_imprimir</vt:lpstr>
      <vt:lpstr>Hawaii_Eduedo!Títulos_a_imprimir</vt:lpstr>
      <vt:lpstr>Hawaii_gengral18!Títulos_a_imprimir</vt:lpstr>
      <vt:lpstr>Hawaii_ocupgral18!Títulos_a_imprimir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Servicio Social IME 05</dc:creator>
  <cp:lastModifiedBy>Servicio Social IME 05</cp:lastModifiedBy>
  <dcterms:created xsi:type="dcterms:W3CDTF">2019-12-17T21:51:29Z</dcterms:created>
  <dcterms:modified xsi:type="dcterms:W3CDTF">2019-12-20T19:33:36Z</dcterms:modified>
</cp:coreProperties>
</file>