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West Virginia_Edomexgral" sheetId="7" r:id="rId2"/>
    <sheet name="West Virginia_EDOMEX" sheetId="9" r:id="rId3"/>
    <sheet name="West Virginia_Educagral" sheetId="4" r:id="rId4"/>
    <sheet name="West Virginia_Eduedo" sheetId="3" r:id="rId5"/>
    <sheet name="West Virginia_gengral18" sheetId="6" r:id="rId6"/>
    <sheet name="West Virginia_edomexgen" sheetId="2" r:id="rId7"/>
    <sheet name="West Virginia_edadgen" sheetId="5" r:id="rId8"/>
    <sheet name="West Virginia_ocupgral18" sheetId="8" r:id="rId9"/>
  </sheets>
  <definedNames>
    <definedName name="_xlnm._FilterDatabase" localSheetId="7" hidden="1">'West Virginia_edadgen'!$B$9:$E$13</definedName>
    <definedName name="_xlnm._FilterDatabase" localSheetId="2" hidden="1">'West Virginia_EDOMEX'!$B$9:$E$13</definedName>
    <definedName name="_xlnm._FilterDatabase" localSheetId="6" hidden="1">'West Virginia_edomexgen'!$B$9:$E$13</definedName>
    <definedName name="_xlnm._FilterDatabase" localSheetId="1" hidden="1">'West Virginia_Edomexgral'!$B$11:$D$12</definedName>
    <definedName name="_xlnm._FilterDatabase" localSheetId="3" hidden="1">'West Virginia_Educagral'!$B$11:$D$12</definedName>
    <definedName name="_xlnm._FilterDatabase" localSheetId="4" hidden="1">'West Virginia_Eduedo'!$B$9:$E$13</definedName>
    <definedName name="_xlnm._FilterDatabase" localSheetId="5" hidden="1">'West Virginia_gengral18'!$B$11:$D$12</definedName>
    <definedName name="_xlnm._FilterDatabase" localSheetId="8" hidden="1">'West Virginia_ocupgral18'!$B$11:$D$12</definedName>
    <definedName name="_xlnm.Print_Area" localSheetId="7">'West Virginia_edadgen'!$A$1:$E$26</definedName>
    <definedName name="_xlnm.Print_Area" localSheetId="2">'West Virginia_EDOMEX'!$A$1:$E$177</definedName>
    <definedName name="_xlnm.Print_Area" localSheetId="6">'West Virginia_edomexgen'!$A$1:$E$77</definedName>
    <definedName name="_xlnm.Print_Area" localSheetId="4">'West Virginia_Eduedo'!$A$1:$E$131</definedName>
    <definedName name="_xlnm.Print_Titles" localSheetId="7">'West Virginia_edadgen'!$1:$9</definedName>
    <definedName name="_xlnm.Print_Titles" localSheetId="2">'West Virginia_EDOMEX'!$1:$9</definedName>
    <definedName name="_xlnm.Print_Titles" localSheetId="6">'West Virginia_edomexgen'!$1:$9</definedName>
    <definedName name="_xlnm.Print_Titles" localSheetId="1">'West Virginia_Edomexgral'!$1:$11</definedName>
    <definedName name="_xlnm.Print_Titles" localSheetId="3">'West Virginia_Educagral'!$1:$11</definedName>
    <definedName name="_xlnm.Print_Titles" localSheetId="4">'West Virginia_Eduedo'!$1:$9</definedName>
    <definedName name="_xlnm.Print_Titles" localSheetId="5">'West Virginia_gengral18'!$1:$11</definedName>
    <definedName name="_xlnm.Print_Titles" localSheetId="8">'West Virginia_ocupgral18'!$1:$11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1" i="9" l="1"/>
  <c r="D71" i="2"/>
</calcChain>
</file>

<file path=xl/sharedStrings.xml><?xml version="1.0" encoding="utf-8"?>
<sst xmlns="http://schemas.openxmlformats.org/spreadsheetml/2006/main" count="567" uniqueCount="239">
  <si>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</si>
  <si>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</si>
  <si>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</si>
  <si>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</si>
  <si>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</si>
  <si>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</si>
  <si>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</si>
  <si>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</si>
  <si>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</si>
  <si>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</si>
  <si>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</si>
  <si>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</si>
  <si>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West Virginia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</si>
  <si>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</si>
  <si>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</si>
  <si>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</si>
  <si>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</si>
  <si>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</si>
  <si>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</si>
  <si>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Hombre</t>
  </si>
  <si>
    <t>Yucatán</t>
  </si>
  <si>
    <t>Mujer</t>
  </si>
  <si>
    <t>Veracruz</t>
  </si>
  <si>
    <t>Tabasco</t>
  </si>
  <si>
    <t>Sinaloa</t>
  </si>
  <si>
    <t>San Luis Potosí</t>
  </si>
  <si>
    <t>Querétaro</t>
  </si>
  <si>
    <t>Puebla</t>
  </si>
  <si>
    <t>Oaxaca</t>
  </si>
  <si>
    <t>Nuevo León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</si>
  <si>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</si>
  <si>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</si>
  <si>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</si>
  <si>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</si>
  <si>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</si>
  <si>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</si>
  <si>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</si>
  <si>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</si>
  <si>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</si>
  <si>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Coahuila</t>
  </si>
  <si>
    <t>Chihuahua</t>
  </si>
  <si>
    <t>Chiapas</t>
  </si>
  <si>
    <t>Baja California</t>
  </si>
  <si>
    <t>Porcentaje de Matrículas</t>
  </si>
  <si>
    <t>Número de Matrículas</t>
  </si>
  <si>
    <t>Género</t>
  </si>
  <si>
    <t>Estado de Origen</t>
  </si>
  <si>
    <t>Posgrado [Maestría]</t>
  </si>
  <si>
    <t>Profesional titulado</t>
  </si>
  <si>
    <t>4° Año de profesional</t>
  </si>
  <si>
    <t>Preparatoria con certificado</t>
  </si>
  <si>
    <t>Preparatoria sin certificado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</si>
  <si>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</si>
  <si>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</si>
  <si>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</si>
  <si>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</si>
  <si>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</si>
  <si>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</si>
  <si>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</si>
  <si>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</si>
  <si>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</si>
  <si>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Sin Estudios</t>
  </si>
  <si>
    <t>Menores De Edad</t>
  </si>
  <si>
    <t>Nivel de Estudios</t>
  </si>
  <si>
    <t>Posgrado [Doctorado]</t>
  </si>
  <si>
    <t>Profesional Titulado</t>
  </si>
  <si>
    <t>Profesional pasante</t>
  </si>
  <si>
    <t>3° Año de profesional</t>
  </si>
  <si>
    <t>2° Año de profesional</t>
  </si>
  <si>
    <t>1° Año de profesional</t>
  </si>
  <si>
    <t>Capacitación Técnica</t>
  </si>
  <si>
    <t>2° Primaria</t>
  </si>
  <si>
    <t>1° Primaria</t>
  </si>
  <si>
    <t>Menores de edad</t>
  </si>
  <si>
    <t>MATRÍCULAS CONSULARES EXPEDIDAS EN EL ESTADO DE WEST VIRGINIA EN EE.UU. POR NIVEL DE EDUCACIÓN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</si>
  <si>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</si>
  <si>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</si>
  <si>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</si>
  <si>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</si>
  <si>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</si>
  <si>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</si>
  <si>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</si>
  <si>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TOTAL</t>
  </si>
  <si>
    <t>MUJER</t>
  </si>
  <si>
    <t>HOMBRE</t>
  </si>
  <si>
    <t>MATRÍCULAS CONSULARES DE ALTA SEGURIDAD EXPEDIDAS EN EE.UU A MEXICANOS EN EL ESTADO DE WEST VIRGINIA, POR GÉNERO 2018</t>
  </si>
  <si>
    <t>MATRÍCULAS CONSULARES DE ALTA SEGURIDAD EXPEDIDAS EN EL ESTADO DE WEST VIRGINIA EN EE.UU. POR ESTADO DE LA REPÚBLICA MEXICANA DURANTE EL 2018</t>
  </si>
  <si>
    <t>Pintor(a)</t>
  </si>
  <si>
    <t>Chofer</t>
  </si>
  <si>
    <t>Cajero(a)</t>
  </si>
  <si>
    <t>Comerciante</t>
  </si>
  <si>
    <t>Profesionista</t>
  </si>
  <si>
    <t>Estudiante</t>
  </si>
  <si>
    <t>Operario(a)</t>
  </si>
  <si>
    <t>Albañil</t>
  </si>
  <si>
    <t>Mesero(a)</t>
  </si>
  <si>
    <t>Campesino(a)</t>
  </si>
  <si>
    <t>Jardinero(a)</t>
  </si>
  <si>
    <t>Obrero(a)</t>
  </si>
  <si>
    <t>Otro</t>
  </si>
  <si>
    <t>Cocinero(a)</t>
  </si>
  <si>
    <t>Hogar</t>
  </si>
  <si>
    <t>Empleado(a)</t>
  </si>
  <si>
    <t>Ocupación</t>
  </si>
  <si>
    <t>MATRÍCULAS CONSULARES DE ALTA SEGURIDAD EXPEDIDAS EN EE.UU A MEXICANOS EN EL ESTADO DE  WEST VIRGINIA, POR PERFIL OCUPACIONAL 2018</t>
  </si>
  <si>
    <t>Sucilá</t>
  </si>
  <si>
    <t>Tlaquilpa</t>
  </si>
  <si>
    <t>San Andrés Tuxtla</t>
  </si>
  <si>
    <t>Poza Rica de Hidalgo</t>
  </si>
  <si>
    <t>Playa Vicente</t>
  </si>
  <si>
    <t>Jesús Carranza</t>
  </si>
  <si>
    <t>Huayacocotla</t>
  </si>
  <si>
    <t>Cuitláhuac</t>
  </si>
  <si>
    <t>Córdoba</t>
  </si>
  <si>
    <t>Comapa</t>
  </si>
  <si>
    <t>Catemaco</t>
  </si>
  <si>
    <t>Calcahualco</t>
  </si>
  <si>
    <t>Atoyac</t>
  </si>
  <si>
    <t>Alvarado</t>
  </si>
  <si>
    <t>Huimanguillo</t>
  </si>
  <si>
    <t>Cárdenas</t>
  </si>
  <si>
    <t>Guasave</t>
  </si>
  <si>
    <t>Culiacán</t>
  </si>
  <si>
    <t>Choix</t>
  </si>
  <si>
    <t>Tamuín</t>
  </si>
  <si>
    <t>Rioverde</t>
  </si>
  <si>
    <t>Axtla de Terrazas</t>
  </si>
  <si>
    <t>Aquismón</t>
  </si>
  <si>
    <t>San Juan del Río</t>
  </si>
  <si>
    <t>San Joaquín</t>
  </si>
  <si>
    <t>Pinal de Amoles</t>
  </si>
  <si>
    <t>Cadereyta de Montes</t>
  </si>
  <si>
    <t>Venustiano Carranza</t>
  </si>
  <si>
    <t>Pahuatlán</t>
  </si>
  <si>
    <t>Honey</t>
  </si>
  <si>
    <t>Atzitzihuacán</t>
  </si>
  <si>
    <t>Atlixco</t>
  </si>
  <si>
    <t>Villa de Chilapa de Díaz</t>
  </si>
  <si>
    <t>Tlacolula de Matamoros</t>
  </si>
  <si>
    <t>Heroica Villa Tezoatlán de Segura y Luna, Cuna de la Independencia de Oaxaca</t>
  </si>
  <si>
    <t>Silacayoápam</t>
  </si>
  <si>
    <t>Santos Reyes Tepejillo</t>
  </si>
  <si>
    <t>Santos Reyes Nopala</t>
  </si>
  <si>
    <t>Santo Tomás Ocotepec</t>
  </si>
  <si>
    <t>Santa María Zacatepec</t>
  </si>
  <si>
    <t>Santa María Yosoyúa</t>
  </si>
  <si>
    <t>San Antonino el Alto</t>
  </si>
  <si>
    <t>San Agustín Loxicha</t>
  </si>
  <si>
    <t>Monjas</t>
  </si>
  <si>
    <t>Miahuatlán de Porfirio Díaz</t>
  </si>
  <si>
    <t>Matías Romero Avendaño</t>
  </si>
  <si>
    <t>Ixtlán de Juárez</t>
  </si>
  <si>
    <t>Heroica Ciudad de Ejutla de Crespo</t>
  </si>
  <si>
    <t>Cosolapa</t>
  </si>
  <si>
    <t>Ayotzintepec</t>
  </si>
  <si>
    <t>Monterrey</t>
  </si>
  <si>
    <t>Mier y Noriega</t>
  </si>
  <si>
    <t>Axochiapan</t>
  </si>
  <si>
    <t>Zitácuaro</t>
  </si>
  <si>
    <t>Zamora</t>
  </si>
  <si>
    <t>Zacapu</t>
  </si>
  <si>
    <t>Tzitzio</t>
  </si>
  <si>
    <t>Tiquicheo de Nicolás Romero</t>
  </si>
  <si>
    <t>Santa Ana Maya</t>
  </si>
  <si>
    <t>San Lucas</t>
  </si>
  <si>
    <t>Parácuaro</t>
  </si>
  <si>
    <t>Paracho</t>
  </si>
  <si>
    <t>Morelia</t>
  </si>
  <si>
    <t>La Huacana</t>
  </si>
  <si>
    <t>Huetamo</t>
  </si>
  <si>
    <t>Zapotlanejo</t>
  </si>
  <si>
    <t>Villa Hidalgo</t>
  </si>
  <si>
    <t>Tala</t>
  </si>
  <si>
    <t>Juanacatlán</t>
  </si>
  <si>
    <t>Jesús María</t>
  </si>
  <si>
    <t>Guadalajara</t>
  </si>
  <si>
    <t>Degollado</t>
  </si>
  <si>
    <t>Ayotlán</t>
  </si>
  <si>
    <t>Ahualulco de Mercado</t>
  </si>
  <si>
    <t>Tula de Allende</t>
  </si>
  <si>
    <t>Tecozautla</t>
  </si>
  <si>
    <t>Santiago de Anaya</t>
  </si>
  <si>
    <t>Pisaflores</t>
  </si>
  <si>
    <t>Huasca de Ocampo</t>
  </si>
  <si>
    <t>Acaxochitlán</t>
  </si>
  <si>
    <t>Tetipac</t>
  </si>
  <si>
    <t>Técpan de Galeana</t>
  </si>
  <si>
    <t>San Luis Acatlán</t>
  </si>
  <si>
    <t>Petatlán</t>
  </si>
  <si>
    <t>Malinaltepec</t>
  </si>
  <si>
    <t>Florencio Villarreal</t>
  </si>
  <si>
    <t>Cutzamala de Pinzón</t>
  </si>
  <si>
    <t>Cuajinicuilapa</t>
  </si>
  <si>
    <t>Coyuca de Catalán</t>
  </si>
  <si>
    <t>Chilapa de Álvarez</t>
  </si>
  <si>
    <t>Ayutla de los Libres</t>
  </si>
  <si>
    <t>Atoyac de Álvarez</t>
  </si>
  <si>
    <t>Arcelia</t>
  </si>
  <si>
    <t>Acapulco de Juárez</t>
  </si>
  <si>
    <t>Valle de Santiago</t>
  </si>
  <si>
    <t>Silao de la Victoria</t>
  </si>
  <si>
    <t>San José Iturbide</t>
  </si>
  <si>
    <t>Salvatierra</t>
  </si>
  <si>
    <t>Pénjamo</t>
  </si>
  <si>
    <t>Manuel Doblado</t>
  </si>
  <si>
    <t>León</t>
  </si>
  <si>
    <t>Jerécuaro</t>
  </si>
  <si>
    <t>Dolores Hidalgo Cuna de la Independencia Nacional</t>
  </si>
  <si>
    <t>Cortazar</t>
  </si>
  <si>
    <t>Zacualpan</t>
  </si>
  <si>
    <t>Tlatlaya</t>
  </si>
  <si>
    <t>Tenancingo</t>
  </si>
  <si>
    <t>Tejupilco</t>
  </si>
  <si>
    <t>Sultepec</t>
  </si>
  <si>
    <t>Nezahualcóyotl</t>
  </si>
  <si>
    <t>Atlacomulco</t>
  </si>
  <si>
    <t>San Dimas</t>
  </si>
  <si>
    <t>Xochimilco</t>
  </si>
  <si>
    <t>Miguel Hidalgo</t>
  </si>
  <si>
    <t>Iztapalapa</t>
  </si>
  <si>
    <t>Cuauhtémoc</t>
  </si>
  <si>
    <t>Coyoacán</t>
  </si>
  <si>
    <t>Álvaro Obregón</t>
  </si>
  <si>
    <t>San Juan de Sabinas</t>
  </si>
  <si>
    <t>Saltillo</t>
  </si>
  <si>
    <t>Parras</t>
  </si>
  <si>
    <t>San Francisco del Oro</t>
  </si>
  <si>
    <t>Jiménez</t>
  </si>
  <si>
    <t>Tuxtla Gutiérrez</t>
  </si>
  <si>
    <t>Tapachula</t>
  </si>
  <si>
    <t>San Cristóbal de las Casas</t>
  </si>
  <si>
    <t>Pijijiapan</t>
  </si>
  <si>
    <t>Mazapa de Madero</t>
  </si>
  <si>
    <t>Las Margaritas</t>
  </si>
  <si>
    <t>Chenalhó</t>
  </si>
  <si>
    <t>Chamula</t>
  </si>
  <si>
    <t>Tijuana</t>
  </si>
  <si>
    <t>Aguascalientes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</si>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</sst>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3" xfId="4" applyFont="1" applyFill="1" applyBorder="1" applyAlignment="1">
      <alignment horizontal="center" vertical="center" wrapText="1"/>
    </xf>
    <xf numFmtId="1" fontId="16" fillId="2" borderId="13" xfId="4" applyNumberFormat="1" applyFont="1" applyFill="1" applyBorder="1" applyAlignment="1">
      <alignment horizontal="center" vertical="center" wrapText="1"/>
    </xf>
    <xf numFmtId="0" fontId="11" fillId="2" borderId="13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3" xfId="0" applyFont="1" applyFill="1" applyBorder="1" applyAlignment="1">
      <alignment horizontal="center" vertical="center" wrapText="1"/>
    </xf>
    <xf numFmtId="1" fontId="11" fillId="2" borderId="13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6</xdr:row>
      <xdr:rowOff>19050</xdr:rowOff>
    </xdr:from>
    <xdr:to>
      <xdr:col>5</xdr:col>
      <xdr:colOff>359697</xdr:colOff>
      <xdr:row>7</xdr:row>
      <xdr:rowOff>85725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29175" y="135255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WEST VIRGINIA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558361</xdr:colOff>
      <xdr:row>5</xdr:row>
      <xdr:rowOff>72259</xdr:rowOff>
    </xdr:from>
    <xdr:to>
      <xdr:col>4</xdr:col>
      <xdr:colOff>1089508</xdr:colOff>
      <xdr:row>5</xdr:row>
      <xdr:rowOff>256190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1" y="1175845"/>
          <a:ext cx="531147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371475</xdr:colOff>
      <xdr:row>6</xdr:row>
      <xdr:rowOff>0</xdr:rowOff>
    </xdr:from>
    <xdr:to>
      <xdr:col>5</xdr:col>
      <xdr:colOff>331122</xdr:colOff>
      <xdr:row>7</xdr:row>
      <xdr:rowOff>66675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00675" y="133350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WEST VIRGINIA,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538654</xdr:colOff>
      <xdr:row>5</xdr:row>
      <xdr:rowOff>59121</xdr:rowOff>
    </xdr:from>
    <xdr:to>
      <xdr:col>4</xdr:col>
      <xdr:colOff>1082939</xdr:colOff>
      <xdr:row>5</xdr:row>
      <xdr:rowOff>282467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76344" y="1162707"/>
          <a:ext cx="544285" cy="22334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438150</xdr:colOff>
      <xdr:row>5</xdr:row>
      <xdr:rowOff>180975</xdr:rowOff>
    </xdr:from>
    <xdr:to>
      <xdr:col>5</xdr:col>
      <xdr:colOff>340647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67275" y="1323975"/>
          <a:ext cx="52162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WEST VIRGINIA,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5</xdr:row>
      <xdr:rowOff>78828</xdr:rowOff>
    </xdr:from>
    <xdr:to>
      <xdr:col>4</xdr:col>
      <xdr:colOff>1063232</xdr:colOff>
      <xdr:row>5</xdr:row>
      <xdr:rowOff>262759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43500" y="1182414"/>
          <a:ext cx="557422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WEST VIRGINIA,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525516</xdr:colOff>
      <xdr:row>5</xdr:row>
      <xdr:rowOff>72260</xdr:rowOff>
    </xdr:from>
    <xdr:to>
      <xdr:col>4</xdr:col>
      <xdr:colOff>1082939</xdr:colOff>
      <xdr:row>5</xdr:row>
      <xdr:rowOff>289036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63206" y="1175846"/>
          <a:ext cx="557423" cy="2167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6</xdr:row>
      <xdr:rowOff>9525</xdr:rowOff>
    </xdr:from>
    <xdr:to>
      <xdr:col>5</xdr:col>
      <xdr:colOff>359697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29175" y="134302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West Virginia_Edomexgral'!A1" display="1. Por Estados de la República Mexicana"/>
    <hyperlink ref="B9" location="'West Virginia_EDOMEX'!A1" display="2.1 Por estado de la República Mexicana y municipio de origen"/>
    <hyperlink ref="B11:D11" location="'West Virginia_Educagral'!A1" display="3.1 Educación general"/>
    <hyperlink ref="B12:D12" location="'West Virginia_Eduedo'!A1" display="3.2 Por Estado de la República Mexicana"/>
    <hyperlink ref="B15:D15" location="'West Virginia_gengral18'!A1" display="4.1 Género General"/>
    <hyperlink ref="B16:D16" location="'West Virginia_edomexgen'!A1" display="4.2 Por Estados de la República Mexicana"/>
    <hyperlink ref="A18:D18" location="'West Virginia_edadgen'!A1" display="5. Por estructura de Edad"/>
    <hyperlink ref="A20:D20" location="'West Virginia_ocupgral18'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40"/>
  <sheetViews>
    <sheetView showGridLines="0" zoomScaleNormal="100" zoomScaleSheetLayoutView="115" workbookViewId="0">
      <selection activeCell="J5" sqref="J5"/>
    </sheetView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86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46</v>
      </c>
      <c r="C11" s="55" t="s">
        <v>44</v>
      </c>
      <c r="D11" s="54" t="s">
        <v>43</v>
      </c>
    </row>
    <row r="12" spans="2:4" ht="15" customHeight="1" x14ac:dyDescent="0.25">
      <c r="B12" s="52" t="s">
        <v>28</v>
      </c>
      <c r="C12" s="51">
        <v>27</v>
      </c>
      <c r="D12" s="50">
        <v>0.12980769230769232</v>
      </c>
    </row>
    <row r="13" spans="2:4" x14ac:dyDescent="0.25">
      <c r="B13" s="52" t="s">
        <v>31</v>
      </c>
      <c r="C13" s="51">
        <v>22</v>
      </c>
      <c r="D13" s="50">
        <v>0.10576923076923077</v>
      </c>
    </row>
    <row r="14" spans="2:4" s="53" customFormat="1" ht="15.75" x14ac:dyDescent="0.25">
      <c r="B14" s="52" t="s">
        <v>22</v>
      </c>
      <c r="C14" s="51">
        <v>22</v>
      </c>
      <c r="D14" s="50">
        <v>0.10576923076923077</v>
      </c>
    </row>
    <row r="15" spans="2:4" s="53" customFormat="1" ht="15.75" x14ac:dyDescent="0.25">
      <c r="B15" s="52" t="s">
        <v>34</v>
      </c>
      <c r="C15" s="51">
        <v>21</v>
      </c>
      <c r="D15" s="50">
        <v>0.10096153846153846</v>
      </c>
    </row>
    <row r="16" spans="2:4" x14ac:dyDescent="0.25">
      <c r="B16" s="52" t="s">
        <v>32</v>
      </c>
      <c r="C16" s="51">
        <v>17</v>
      </c>
      <c r="D16" s="50">
        <v>8.1730769230769232E-2</v>
      </c>
    </row>
    <row r="17" spans="2:4" x14ac:dyDescent="0.25">
      <c r="B17" s="52" t="s">
        <v>35</v>
      </c>
      <c r="C17" s="51">
        <v>15</v>
      </c>
      <c r="D17" s="50">
        <v>7.2115384615384609E-2</v>
      </c>
    </row>
    <row r="18" spans="2:4" x14ac:dyDescent="0.25">
      <c r="B18" s="52" t="s">
        <v>36</v>
      </c>
      <c r="C18" s="51">
        <v>12</v>
      </c>
      <c r="D18" s="50">
        <v>5.7692307692307696E-2</v>
      </c>
    </row>
    <row r="19" spans="2:4" x14ac:dyDescent="0.25">
      <c r="B19" s="52" t="s">
        <v>41</v>
      </c>
      <c r="C19" s="51">
        <v>11</v>
      </c>
      <c r="D19" s="50">
        <v>5.2884615384615384E-2</v>
      </c>
    </row>
    <row r="20" spans="2:4" x14ac:dyDescent="0.25">
      <c r="B20" s="52" t="s">
        <v>38</v>
      </c>
      <c r="C20" s="51">
        <v>10</v>
      </c>
      <c r="D20" s="50">
        <v>4.807692307692308E-2</v>
      </c>
    </row>
    <row r="21" spans="2:4" x14ac:dyDescent="0.25">
      <c r="B21" s="52" t="s">
        <v>27</v>
      </c>
      <c r="C21" s="51">
        <v>9</v>
      </c>
      <c r="D21" s="50">
        <v>4.3269230769230768E-2</v>
      </c>
    </row>
    <row r="22" spans="2:4" x14ac:dyDescent="0.25">
      <c r="B22" s="52" t="s">
        <v>33</v>
      </c>
      <c r="C22" s="51">
        <v>8</v>
      </c>
      <c r="D22" s="50">
        <v>3.8461538461538464E-2</v>
      </c>
    </row>
    <row r="23" spans="2:4" x14ac:dyDescent="0.25">
      <c r="B23" s="52" t="s">
        <v>26</v>
      </c>
      <c r="C23" s="51">
        <v>7</v>
      </c>
      <c r="D23" s="50">
        <v>3.3653846153846152E-2</v>
      </c>
    </row>
    <row r="24" spans="2:4" x14ac:dyDescent="0.25">
      <c r="B24" s="52" t="s">
        <v>39</v>
      </c>
      <c r="C24" s="51">
        <v>5</v>
      </c>
      <c r="D24" s="50">
        <v>2.403846153846154E-2</v>
      </c>
    </row>
    <row r="25" spans="2:4" x14ac:dyDescent="0.25">
      <c r="B25" s="52" t="s">
        <v>24</v>
      </c>
      <c r="C25" s="51">
        <v>5</v>
      </c>
      <c r="D25" s="50">
        <v>2.403846153846154E-2</v>
      </c>
    </row>
    <row r="26" spans="2:4" x14ac:dyDescent="0.25">
      <c r="B26" s="52" t="s">
        <v>25</v>
      </c>
      <c r="C26" s="51">
        <v>4</v>
      </c>
      <c r="D26" s="50">
        <v>1.9230769230769232E-2</v>
      </c>
    </row>
    <row r="27" spans="2:4" x14ac:dyDescent="0.25">
      <c r="B27" s="52" t="s">
        <v>29</v>
      </c>
      <c r="C27" s="51">
        <v>3</v>
      </c>
      <c r="D27" s="50">
        <v>1.4423076923076924E-2</v>
      </c>
    </row>
    <row r="28" spans="2:4" x14ac:dyDescent="0.25">
      <c r="B28" s="52" t="s">
        <v>23</v>
      </c>
      <c r="C28" s="51">
        <v>3</v>
      </c>
      <c r="D28" s="50">
        <v>1.4423076923076924E-2</v>
      </c>
    </row>
    <row r="29" spans="2:4" x14ac:dyDescent="0.25">
      <c r="B29" s="52" t="s">
        <v>40</v>
      </c>
      <c r="C29" s="51">
        <v>2</v>
      </c>
      <c r="D29" s="50">
        <v>9.6153846153846159E-3</v>
      </c>
    </row>
    <row r="30" spans="2:4" x14ac:dyDescent="0.25">
      <c r="B30" s="52" t="s">
        <v>37</v>
      </c>
      <c r="C30" s="51">
        <v>2</v>
      </c>
      <c r="D30" s="50">
        <v>9.6153846153846159E-3</v>
      </c>
    </row>
    <row r="31" spans="2:4" x14ac:dyDescent="0.25">
      <c r="B31" s="52" t="s">
        <v>42</v>
      </c>
      <c r="C31" s="51">
        <v>1</v>
      </c>
      <c r="D31" s="50">
        <v>4.807692307692308E-3</v>
      </c>
    </row>
    <row r="32" spans="2:4" x14ac:dyDescent="0.25">
      <c r="B32" s="52" t="s">
        <v>30</v>
      </c>
      <c r="C32" s="51">
        <v>1</v>
      </c>
      <c r="D32" s="50">
        <v>4.807692307692308E-3</v>
      </c>
    </row>
    <row r="33" spans="2:4" x14ac:dyDescent="0.25">
      <c r="B33" s="52" t="s">
        <v>20</v>
      </c>
      <c r="C33" s="51">
        <v>1</v>
      </c>
      <c r="D33" s="50">
        <v>4.807692307692308E-3</v>
      </c>
    </row>
    <row r="34" spans="2:4" x14ac:dyDescent="0.25">
      <c r="B34" s="49" t="s">
        <v>18</v>
      </c>
      <c r="C34" s="48">
        <v>208</v>
      </c>
      <c r="D34" s="47">
        <v>1</v>
      </c>
    </row>
    <row r="36" spans="2:4" x14ac:dyDescent="0.25">
      <c r="B36" s="21" t="s">
        <v>17</v>
      </c>
    </row>
    <row r="37" spans="2:4" x14ac:dyDescent="0.25">
      <c r="B37" s="23" t="s">
        <v>16</v>
      </c>
    </row>
    <row r="38" spans="2:4" x14ac:dyDescent="0.25">
      <c r="B38" s="22" t="s">
        <v>15</v>
      </c>
    </row>
    <row r="39" spans="2:4" x14ac:dyDescent="0.25">
      <c r="B39" s="21" t="s">
        <v>14</v>
      </c>
    </row>
    <row r="40" spans="2:4" x14ac:dyDescent="0.25">
      <c r="B4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488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46</v>
      </c>
      <c r="C9" s="36" t="s">
        <v>238</v>
      </c>
      <c r="D9" s="35" t="s">
        <v>44</v>
      </c>
      <c r="E9" s="34" t="s">
        <v>43</v>
      </c>
    </row>
    <row r="10" spans="1:5" ht="15" customHeight="1" x14ac:dyDescent="0.25">
      <c r="B10" s="73" t="s">
        <v>237</v>
      </c>
      <c r="C10" s="31" t="s">
        <v>237</v>
      </c>
      <c r="D10" s="30">
        <v>2</v>
      </c>
      <c r="E10" s="29">
        <v>9.433962264150943E-3</v>
      </c>
    </row>
    <row r="11" spans="1:5" ht="15" customHeight="1" x14ac:dyDescent="0.25">
      <c r="B11" s="75"/>
      <c r="C11" s="28" t="s">
        <v>18</v>
      </c>
      <c r="D11" s="27">
        <v>2</v>
      </c>
      <c r="E11" s="26">
        <v>9.433962264150943E-3</v>
      </c>
    </row>
    <row r="12" spans="1:5" ht="15" customHeight="1" x14ac:dyDescent="0.25">
      <c r="B12" s="73" t="s">
        <v>42</v>
      </c>
      <c r="C12" s="31" t="s">
        <v>236</v>
      </c>
      <c r="D12" s="30">
        <v>1</v>
      </c>
      <c r="E12" s="29">
        <v>4.7169811320754715E-3</v>
      </c>
    </row>
    <row r="13" spans="1:5" ht="15" customHeight="1" x14ac:dyDescent="0.25">
      <c r="B13" s="75"/>
      <c r="C13" s="28" t="s">
        <v>18</v>
      </c>
      <c r="D13" s="27">
        <v>1</v>
      </c>
      <c r="E13" s="26">
        <v>4.7169811320754715E-3</v>
      </c>
    </row>
    <row r="14" spans="1:5" ht="15" customHeight="1" x14ac:dyDescent="0.25">
      <c r="B14" s="73" t="s">
        <v>41</v>
      </c>
      <c r="C14" s="31" t="s">
        <v>235</v>
      </c>
      <c r="D14" s="30">
        <v>4</v>
      </c>
      <c r="E14" s="29">
        <v>1.8867924528301886E-2</v>
      </c>
    </row>
    <row r="15" spans="1:5" s="32" customFormat="1" ht="15" customHeight="1" x14ac:dyDescent="0.2">
      <c r="B15" s="74"/>
      <c r="C15" s="31" t="s">
        <v>234</v>
      </c>
      <c r="D15" s="30">
        <v>1</v>
      </c>
      <c r="E15" s="29">
        <v>4.7169811320754715E-3</v>
      </c>
    </row>
    <row r="16" spans="1:5" s="32" customFormat="1" ht="15" customHeight="1" x14ac:dyDescent="0.2">
      <c r="B16" s="74"/>
      <c r="C16" s="31" t="s">
        <v>233</v>
      </c>
      <c r="D16" s="30">
        <v>1</v>
      </c>
      <c r="E16" s="29">
        <v>4.7169811320754715E-3</v>
      </c>
    </row>
    <row r="17" spans="2:5" s="32" customFormat="1" ht="15" customHeight="1" x14ac:dyDescent="0.2">
      <c r="B17" s="74"/>
      <c r="C17" s="31" t="s">
        <v>232</v>
      </c>
      <c r="D17" s="30">
        <v>1</v>
      </c>
      <c r="E17" s="29">
        <v>4.7169811320754715E-3</v>
      </c>
    </row>
    <row r="18" spans="2:5" s="32" customFormat="1" ht="15" customHeight="1" x14ac:dyDescent="0.2">
      <c r="B18" s="74"/>
      <c r="C18" s="31" t="s">
        <v>231</v>
      </c>
      <c r="D18" s="30">
        <v>1</v>
      </c>
      <c r="E18" s="29">
        <v>4.7169811320754715E-3</v>
      </c>
    </row>
    <row r="19" spans="2:5" s="32" customFormat="1" ht="15" customHeight="1" x14ac:dyDescent="0.2">
      <c r="B19" s="74"/>
      <c r="C19" s="31" t="s">
        <v>230</v>
      </c>
      <c r="D19" s="30">
        <v>1</v>
      </c>
      <c r="E19" s="29">
        <v>4.7169811320754715E-3</v>
      </c>
    </row>
    <row r="20" spans="2:5" ht="15" customHeight="1" x14ac:dyDescent="0.25">
      <c r="B20" s="74"/>
      <c r="C20" s="31" t="s">
        <v>229</v>
      </c>
      <c r="D20" s="30">
        <v>3</v>
      </c>
      <c r="E20" s="29">
        <v>1.4150943396226415E-2</v>
      </c>
    </row>
    <row r="21" spans="2:5" ht="15" customHeight="1" x14ac:dyDescent="0.25">
      <c r="B21" s="74"/>
      <c r="C21" s="31" t="s">
        <v>228</v>
      </c>
      <c r="D21" s="30">
        <v>1</v>
      </c>
      <c r="E21" s="29">
        <v>4.7169811320754715E-3</v>
      </c>
    </row>
    <row r="22" spans="2:5" ht="15" customHeight="1" x14ac:dyDescent="0.25">
      <c r="B22" s="75"/>
      <c r="C22" s="28" t="s">
        <v>18</v>
      </c>
      <c r="D22" s="27">
        <v>13</v>
      </c>
      <c r="E22" s="26">
        <v>6.1320754716981132E-2</v>
      </c>
    </row>
    <row r="23" spans="2:5" ht="15" customHeight="1" x14ac:dyDescent="0.25">
      <c r="B23" s="73" t="s">
        <v>40</v>
      </c>
      <c r="C23" s="31" t="s">
        <v>227</v>
      </c>
      <c r="D23" s="30">
        <v>1</v>
      </c>
      <c r="E23" s="29">
        <v>4.7169811320754715E-3</v>
      </c>
    </row>
    <row r="24" spans="2:5" ht="15" customHeight="1" x14ac:dyDescent="0.25">
      <c r="B24" s="74"/>
      <c r="C24" s="31" t="s">
        <v>226</v>
      </c>
      <c r="D24" s="30">
        <v>1</v>
      </c>
      <c r="E24" s="29">
        <v>4.7169811320754715E-3</v>
      </c>
    </row>
    <row r="25" spans="2:5" ht="15" customHeight="1" x14ac:dyDescent="0.25">
      <c r="B25" s="75"/>
      <c r="C25" s="28" t="s">
        <v>18</v>
      </c>
      <c r="D25" s="27">
        <v>2</v>
      </c>
      <c r="E25" s="26">
        <v>9.433962264150943E-3</v>
      </c>
    </row>
    <row r="26" spans="2:5" ht="15" customHeight="1" x14ac:dyDescent="0.25">
      <c r="B26" s="73" t="s">
        <v>39</v>
      </c>
      <c r="C26" s="31" t="s">
        <v>225</v>
      </c>
      <c r="D26" s="30">
        <v>1</v>
      </c>
      <c r="E26" s="29">
        <v>4.7169811320754715E-3</v>
      </c>
    </row>
    <row r="27" spans="2:5" ht="15" customHeight="1" x14ac:dyDescent="0.25">
      <c r="B27" s="74"/>
      <c r="C27" s="31" t="s">
        <v>224</v>
      </c>
      <c r="D27" s="30">
        <v>3</v>
      </c>
      <c r="E27" s="29">
        <v>1.4150943396226415E-2</v>
      </c>
    </row>
    <row r="28" spans="2:5" ht="15" customHeight="1" x14ac:dyDescent="0.25">
      <c r="B28" s="74"/>
      <c r="C28" s="31" t="s">
        <v>223</v>
      </c>
      <c r="D28" s="30">
        <v>1</v>
      </c>
      <c r="E28" s="29">
        <v>4.7169811320754715E-3</v>
      </c>
    </row>
    <row r="29" spans="2:5" ht="15" customHeight="1" x14ac:dyDescent="0.25">
      <c r="B29" s="75"/>
      <c r="C29" s="28" t="s">
        <v>18</v>
      </c>
      <c r="D29" s="27">
        <v>5</v>
      </c>
      <c r="E29" s="26">
        <v>2.358490566037736E-2</v>
      </c>
    </row>
    <row r="30" spans="2:5" ht="15" customHeight="1" x14ac:dyDescent="0.25">
      <c r="B30" s="73" t="s">
        <v>38</v>
      </c>
      <c r="C30" s="31" t="s">
        <v>222</v>
      </c>
      <c r="D30" s="30">
        <v>1</v>
      </c>
      <c r="E30" s="29">
        <v>4.7169811320754715E-3</v>
      </c>
    </row>
    <row r="31" spans="2:5" ht="15" customHeight="1" x14ac:dyDescent="0.25">
      <c r="B31" s="74"/>
      <c r="C31" s="31" t="s">
        <v>221</v>
      </c>
      <c r="D31" s="30">
        <v>1</v>
      </c>
      <c r="E31" s="29">
        <v>4.7169811320754715E-3</v>
      </c>
    </row>
    <row r="32" spans="2:5" ht="15" customHeight="1" x14ac:dyDescent="0.25">
      <c r="B32" s="74"/>
      <c r="C32" s="31" t="s">
        <v>220</v>
      </c>
      <c r="D32" s="30">
        <v>2</v>
      </c>
      <c r="E32" s="29">
        <v>9.433962264150943E-3</v>
      </c>
    </row>
    <row r="33" spans="2:5" ht="15" customHeight="1" x14ac:dyDescent="0.25">
      <c r="B33" s="74"/>
      <c r="C33" s="31" t="s">
        <v>219</v>
      </c>
      <c r="D33" s="30">
        <v>3</v>
      </c>
      <c r="E33" s="29">
        <v>1.4150943396226415E-2</v>
      </c>
    </row>
    <row r="34" spans="2:5" ht="15" customHeight="1" x14ac:dyDescent="0.25">
      <c r="B34" s="74"/>
      <c r="C34" s="31" t="s">
        <v>218</v>
      </c>
      <c r="D34" s="30">
        <v>1</v>
      </c>
      <c r="E34" s="29">
        <v>4.7169811320754715E-3</v>
      </c>
    </row>
    <row r="35" spans="2:5" ht="15" customHeight="1" x14ac:dyDescent="0.25">
      <c r="B35" s="74"/>
      <c r="C35" s="31" t="s">
        <v>132</v>
      </c>
      <c r="D35" s="30">
        <v>1</v>
      </c>
      <c r="E35" s="29">
        <v>4.7169811320754715E-3</v>
      </c>
    </row>
    <row r="36" spans="2:5" ht="15" customHeight="1" x14ac:dyDescent="0.25">
      <c r="B36" s="74"/>
      <c r="C36" s="31" t="s">
        <v>217</v>
      </c>
      <c r="D36" s="30">
        <v>1</v>
      </c>
      <c r="E36" s="29">
        <v>4.7169811320754715E-3</v>
      </c>
    </row>
    <row r="37" spans="2:5" ht="15" customHeight="1" x14ac:dyDescent="0.25">
      <c r="B37" s="75"/>
      <c r="C37" s="28" t="s">
        <v>18</v>
      </c>
      <c r="D37" s="27">
        <v>10</v>
      </c>
      <c r="E37" s="26">
        <v>4.716981132075472E-2</v>
      </c>
    </row>
    <row r="38" spans="2:5" ht="15" customHeight="1" x14ac:dyDescent="0.25">
      <c r="B38" s="73" t="s">
        <v>37</v>
      </c>
      <c r="C38" s="31" t="s">
        <v>216</v>
      </c>
      <c r="D38" s="30">
        <v>2</v>
      </c>
      <c r="E38" s="29">
        <v>9.433962264150943E-3</v>
      </c>
    </row>
    <row r="39" spans="2:5" ht="15" customHeight="1" x14ac:dyDescent="0.25">
      <c r="B39" s="75"/>
      <c r="C39" s="28" t="s">
        <v>18</v>
      </c>
      <c r="D39" s="27">
        <v>2</v>
      </c>
      <c r="E39" s="26">
        <v>9.433962264150943E-3</v>
      </c>
    </row>
    <row r="40" spans="2:5" ht="15" customHeight="1" x14ac:dyDescent="0.25">
      <c r="B40" s="73" t="s">
        <v>36</v>
      </c>
      <c r="C40" s="31" t="s">
        <v>215</v>
      </c>
      <c r="D40" s="30">
        <v>1</v>
      </c>
      <c r="E40" s="29">
        <v>4.7169811320754715E-3</v>
      </c>
    </row>
    <row r="41" spans="2:5" ht="15" customHeight="1" x14ac:dyDescent="0.25">
      <c r="B41" s="74"/>
      <c r="C41" s="31" t="s">
        <v>214</v>
      </c>
      <c r="D41" s="30">
        <v>2</v>
      </c>
      <c r="E41" s="29">
        <v>9.433962264150943E-3</v>
      </c>
    </row>
    <row r="42" spans="2:5" ht="15" customHeight="1" x14ac:dyDescent="0.25">
      <c r="B42" s="74"/>
      <c r="C42" s="31" t="s">
        <v>213</v>
      </c>
      <c r="D42" s="30">
        <v>4</v>
      </c>
      <c r="E42" s="29">
        <v>1.8867924528301886E-2</v>
      </c>
    </row>
    <row r="43" spans="2:5" ht="15" customHeight="1" x14ac:dyDescent="0.25">
      <c r="B43" s="74"/>
      <c r="C43" s="31" t="s">
        <v>212</v>
      </c>
      <c r="D43" s="30">
        <v>2</v>
      </c>
      <c r="E43" s="29">
        <v>9.433962264150943E-3</v>
      </c>
    </row>
    <row r="44" spans="2:5" ht="15" customHeight="1" x14ac:dyDescent="0.25">
      <c r="B44" s="74"/>
      <c r="C44" s="31" t="s">
        <v>211</v>
      </c>
      <c r="D44" s="30">
        <v>1</v>
      </c>
      <c r="E44" s="29">
        <v>4.7169811320754715E-3</v>
      </c>
    </row>
    <row r="45" spans="2:5" ht="15" customHeight="1" x14ac:dyDescent="0.25">
      <c r="B45" s="74"/>
      <c r="C45" s="31" t="s">
        <v>210</v>
      </c>
      <c r="D45" s="30">
        <v>1</v>
      </c>
      <c r="E45" s="29">
        <v>4.7169811320754715E-3</v>
      </c>
    </row>
    <row r="46" spans="2:5" ht="15" customHeight="1" x14ac:dyDescent="0.25">
      <c r="B46" s="74"/>
      <c r="C46" s="31" t="s">
        <v>209</v>
      </c>
      <c r="D46" s="30">
        <v>1</v>
      </c>
      <c r="E46" s="29">
        <v>4.7169811320754715E-3</v>
      </c>
    </row>
    <row r="47" spans="2:5" ht="15" customHeight="1" x14ac:dyDescent="0.25">
      <c r="B47" s="75"/>
      <c r="C47" s="28" t="s">
        <v>18</v>
      </c>
      <c r="D47" s="27">
        <v>12</v>
      </c>
      <c r="E47" s="26">
        <v>5.6603773584905662E-2</v>
      </c>
    </row>
    <row r="48" spans="2:5" ht="15" customHeight="1" x14ac:dyDescent="0.25">
      <c r="B48" s="73" t="s">
        <v>35</v>
      </c>
      <c r="C48" s="31" t="s">
        <v>208</v>
      </c>
      <c r="D48" s="30">
        <v>1</v>
      </c>
      <c r="E48" s="29">
        <v>4.7169811320754715E-3</v>
      </c>
    </row>
    <row r="49" spans="2:5" ht="15" customHeight="1" x14ac:dyDescent="0.25">
      <c r="B49" s="74"/>
      <c r="C49" s="31" t="s">
        <v>207</v>
      </c>
      <c r="D49" s="30">
        <v>3</v>
      </c>
      <c r="E49" s="29">
        <v>1.4150943396226415E-2</v>
      </c>
    </row>
    <row r="50" spans="2:5" ht="15" customHeight="1" x14ac:dyDescent="0.25">
      <c r="B50" s="74"/>
      <c r="C50" s="31" t="s">
        <v>35</v>
      </c>
      <c r="D50" s="30">
        <v>1</v>
      </c>
      <c r="E50" s="29">
        <v>4.7169811320754715E-3</v>
      </c>
    </row>
    <row r="51" spans="2:5" ht="15" customHeight="1" x14ac:dyDescent="0.25">
      <c r="B51" s="74"/>
      <c r="C51" s="31" t="s">
        <v>206</v>
      </c>
      <c r="D51" s="30">
        <v>1</v>
      </c>
      <c r="E51" s="29">
        <v>4.7169811320754715E-3</v>
      </c>
    </row>
    <row r="52" spans="2:5" ht="15" customHeight="1" x14ac:dyDescent="0.25">
      <c r="B52" s="74"/>
      <c r="C52" s="31" t="s">
        <v>205</v>
      </c>
      <c r="D52" s="30">
        <v>1</v>
      </c>
      <c r="E52" s="29">
        <v>4.7169811320754715E-3</v>
      </c>
    </row>
    <row r="53" spans="2:5" ht="15" customHeight="1" x14ac:dyDescent="0.25">
      <c r="B53" s="74"/>
      <c r="C53" s="31" t="s">
        <v>204</v>
      </c>
      <c r="D53" s="30">
        <v>1</v>
      </c>
      <c r="E53" s="29">
        <v>4.7169811320754715E-3</v>
      </c>
    </row>
    <row r="54" spans="2:5" ht="15" customHeight="1" x14ac:dyDescent="0.25">
      <c r="B54" s="74"/>
      <c r="C54" s="31" t="s">
        <v>203</v>
      </c>
      <c r="D54" s="30">
        <v>1</v>
      </c>
      <c r="E54" s="29">
        <v>4.7169811320754715E-3</v>
      </c>
    </row>
    <row r="55" spans="2:5" ht="15" customHeight="1" x14ac:dyDescent="0.25">
      <c r="B55" s="74"/>
      <c r="C55" s="31" t="s">
        <v>202</v>
      </c>
      <c r="D55" s="30">
        <v>3</v>
      </c>
      <c r="E55" s="29">
        <v>1.4150943396226415E-2</v>
      </c>
    </row>
    <row r="56" spans="2:5" ht="15" customHeight="1" x14ac:dyDescent="0.25">
      <c r="B56" s="74"/>
      <c r="C56" s="31" t="s">
        <v>201</v>
      </c>
      <c r="D56" s="30">
        <v>1</v>
      </c>
      <c r="E56" s="29">
        <v>4.7169811320754715E-3</v>
      </c>
    </row>
    <row r="57" spans="2:5" ht="15" customHeight="1" x14ac:dyDescent="0.25">
      <c r="B57" s="74"/>
      <c r="C57" s="31" t="s">
        <v>200</v>
      </c>
      <c r="D57" s="30">
        <v>1</v>
      </c>
      <c r="E57" s="29">
        <v>4.7169811320754715E-3</v>
      </c>
    </row>
    <row r="58" spans="2:5" ht="15" customHeight="1" x14ac:dyDescent="0.25">
      <c r="B58" s="74"/>
      <c r="C58" s="31" t="s">
        <v>199</v>
      </c>
      <c r="D58" s="30">
        <v>1</v>
      </c>
      <c r="E58" s="29">
        <v>4.7169811320754715E-3</v>
      </c>
    </row>
    <row r="59" spans="2:5" ht="15" customHeight="1" x14ac:dyDescent="0.25">
      <c r="B59" s="75"/>
      <c r="C59" s="28" t="s">
        <v>18</v>
      </c>
      <c r="D59" s="27">
        <v>15</v>
      </c>
      <c r="E59" s="26">
        <v>7.0754716981132074E-2</v>
      </c>
    </row>
    <row r="60" spans="2:5" ht="15" customHeight="1" x14ac:dyDescent="0.25">
      <c r="B60" s="73" t="s">
        <v>34</v>
      </c>
      <c r="C60" s="31" t="s">
        <v>198</v>
      </c>
      <c r="D60" s="30">
        <v>2</v>
      </c>
      <c r="E60" s="29">
        <v>9.433962264150943E-3</v>
      </c>
    </row>
    <row r="61" spans="2:5" ht="15" customHeight="1" x14ac:dyDescent="0.25">
      <c r="B61" s="74"/>
      <c r="C61" s="31" t="s">
        <v>197</v>
      </c>
      <c r="D61" s="30">
        <v>1</v>
      </c>
      <c r="E61" s="29">
        <v>4.7169811320754715E-3</v>
      </c>
    </row>
    <row r="62" spans="2:5" ht="15" customHeight="1" x14ac:dyDescent="0.25">
      <c r="B62" s="74"/>
      <c r="C62" s="31" t="s">
        <v>196</v>
      </c>
      <c r="D62" s="30">
        <v>1</v>
      </c>
      <c r="E62" s="29">
        <v>4.7169811320754715E-3</v>
      </c>
    </row>
    <row r="63" spans="2:5" ht="15" customHeight="1" x14ac:dyDescent="0.25">
      <c r="B63" s="74"/>
      <c r="C63" s="31" t="s">
        <v>195</v>
      </c>
      <c r="D63" s="30">
        <v>1</v>
      </c>
      <c r="E63" s="29">
        <v>4.7169811320754715E-3</v>
      </c>
    </row>
    <row r="64" spans="2:5" ht="15" customHeight="1" x14ac:dyDescent="0.25">
      <c r="B64" s="74"/>
      <c r="C64" s="31" t="s">
        <v>194</v>
      </c>
      <c r="D64" s="30">
        <v>1</v>
      </c>
      <c r="E64" s="29">
        <v>4.7169811320754715E-3</v>
      </c>
    </row>
    <row r="65" spans="2:5" ht="15" customHeight="1" x14ac:dyDescent="0.25">
      <c r="B65" s="74"/>
      <c r="C65" s="31" t="s">
        <v>193</v>
      </c>
      <c r="D65" s="30">
        <v>4</v>
      </c>
      <c r="E65" s="29">
        <v>1.8867924528301886E-2</v>
      </c>
    </row>
    <row r="66" spans="2:5" ht="15" customHeight="1" x14ac:dyDescent="0.25">
      <c r="B66" s="74"/>
      <c r="C66" s="31" t="s">
        <v>192</v>
      </c>
      <c r="D66" s="30">
        <v>1</v>
      </c>
      <c r="E66" s="29">
        <v>4.7169811320754715E-3</v>
      </c>
    </row>
    <row r="67" spans="2:5" ht="15" customHeight="1" x14ac:dyDescent="0.25">
      <c r="B67" s="74"/>
      <c r="C67" s="31" t="s">
        <v>191</v>
      </c>
      <c r="D67" s="30">
        <v>2</v>
      </c>
      <c r="E67" s="29">
        <v>9.433962264150943E-3</v>
      </c>
    </row>
    <row r="68" spans="2:5" ht="15" customHeight="1" x14ac:dyDescent="0.25">
      <c r="B68" s="74"/>
      <c r="C68" s="31" t="s">
        <v>190</v>
      </c>
      <c r="D68" s="30">
        <v>1</v>
      </c>
      <c r="E68" s="29">
        <v>4.7169811320754715E-3</v>
      </c>
    </row>
    <row r="69" spans="2:5" ht="15" customHeight="1" x14ac:dyDescent="0.25">
      <c r="B69" s="74"/>
      <c r="C69" s="31" t="s">
        <v>189</v>
      </c>
      <c r="D69" s="30">
        <v>3</v>
      </c>
      <c r="E69" s="29">
        <v>1.4150943396226415E-2</v>
      </c>
    </row>
    <row r="70" spans="2:5" ht="15" customHeight="1" x14ac:dyDescent="0.25">
      <c r="B70" s="74"/>
      <c r="C70" s="31" t="s">
        <v>188</v>
      </c>
      <c r="D70" s="30">
        <v>1</v>
      </c>
      <c r="E70" s="29">
        <v>4.7169811320754715E-3</v>
      </c>
    </row>
    <row r="71" spans="2:5" ht="15" customHeight="1" x14ac:dyDescent="0.25">
      <c r="B71" s="74"/>
      <c r="C71" s="31" t="s">
        <v>187</v>
      </c>
      <c r="D71" s="30">
        <v>1</v>
      </c>
      <c r="E71" s="29">
        <v>4.7169811320754715E-3</v>
      </c>
    </row>
    <row r="72" spans="2:5" ht="15" customHeight="1" x14ac:dyDescent="0.25">
      <c r="B72" s="74"/>
      <c r="C72" s="31" t="s">
        <v>186</v>
      </c>
      <c r="D72" s="30">
        <v>1</v>
      </c>
      <c r="E72" s="29">
        <v>4.7169811320754715E-3</v>
      </c>
    </row>
    <row r="73" spans="2:5" ht="15" customHeight="1" x14ac:dyDescent="0.25">
      <c r="B73" s="74"/>
      <c r="C73" s="31" t="s">
        <v>185</v>
      </c>
      <c r="D73" s="30">
        <v>1</v>
      </c>
      <c r="E73" s="29">
        <v>4.7169811320754715E-3</v>
      </c>
    </row>
    <row r="74" spans="2:5" ht="15" customHeight="1" x14ac:dyDescent="0.25">
      <c r="B74" s="75"/>
      <c r="C74" s="28" t="s">
        <v>18</v>
      </c>
      <c r="D74" s="27">
        <v>21</v>
      </c>
      <c r="E74" s="26">
        <v>9.9056603773584911E-2</v>
      </c>
    </row>
    <row r="75" spans="2:5" ht="15" customHeight="1" x14ac:dyDescent="0.25">
      <c r="B75" s="73" t="s">
        <v>33</v>
      </c>
      <c r="C75" s="31" t="s">
        <v>184</v>
      </c>
      <c r="D75" s="30">
        <v>1</v>
      </c>
      <c r="E75" s="29">
        <v>4.7169811320754715E-3</v>
      </c>
    </row>
    <row r="76" spans="2:5" ht="15" customHeight="1" x14ac:dyDescent="0.25">
      <c r="B76" s="74"/>
      <c r="C76" s="31" t="s">
        <v>183</v>
      </c>
      <c r="D76" s="30">
        <v>1</v>
      </c>
      <c r="E76" s="29">
        <v>4.7169811320754715E-3</v>
      </c>
    </row>
    <row r="77" spans="2:5" ht="15" customHeight="1" x14ac:dyDescent="0.25">
      <c r="B77" s="74"/>
      <c r="C77" s="31" t="s">
        <v>182</v>
      </c>
      <c r="D77" s="30">
        <v>2</v>
      </c>
      <c r="E77" s="29">
        <v>9.433962264150943E-3</v>
      </c>
    </row>
    <row r="78" spans="2:5" ht="15" customHeight="1" x14ac:dyDescent="0.25">
      <c r="B78" s="74"/>
      <c r="C78" s="31" t="s">
        <v>181</v>
      </c>
      <c r="D78" s="30">
        <v>2</v>
      </c>
      <c r="E78" s="29">
        <v>9.433962264150943E-3</v>
      </c>
    </row>
    <row r="79" spans="2:5" ht="15" customHeight="1" x14ac:dyDescent="0.25">
      <c r="B79" s="74"/>
      <c r="C79" s="31" t="s">
        <v>180</v>
      </c>
      <c r="D79" s="30">
        <v>1</v>
      </c>
      <c r="E79" s="29">
        <v>4.7169811320754715E-3</v>
      </c>
    </row>
    <row r="80" spans="2:5" ht="15" customHeight="1" x14ac:dyDescent="0.25">
      <c r="B80" s="74"/>
      <c r="C80" s="31" t="s">
        <v>179</v>
      </c>
      <c r="D80" s="30">
        <v>1</v>
      </c>
      <c r="E80" s="29">
        <v>4.7169811320754715E-3</v>
      </c>
    </row>
    <row r="81" spans="2:5" ht="15" customHeight="1" x14ac:dyDescent="0.25">
      <c r="B81" s="75"/>
      <c r="C81" s="28" t="s">
        <v>18</v>
      </c>
      <c r="D81" s="27">
        <v>8</v>
      </c>
      <c r="E81" s="26">
        <v>3.7735849056603772E-2</v>
      </c>
    </row>
    <row r="82" spans="2:5" ht="15" customHeight="1" x14ac:dyDescent="0.25">
      <c r="B82" s="73" t="s">
        <v>32</v>
      </c>
      <c r="C82" s="31" t="s">
        <v>178</v>
      </c>
      <c r="D82" s="30">
        <v>1</v>
      </c>
      <c r="E82" s="29">
        <v>4.7169811320754715E-3</v>
      </c>
    </row>
    <row r="83" spans="2:5" ht="15" customHeight="1" x14ac:dyDescent="0.25">
      <c r="B83" s="74"/>
      <c r="C83" s="31" t="s">
        <v>177</v>
      </c>
      <c r="D83" s="30">
        <v>1</v>
      </c>
      <c r="E83" s="29">
        <v>4.7169811320754715E-3</v>
      </c>
    </row>
    <row r="84" spans="2:5" ht="15" customHeight="1" x14ac:dyDescent="0.25">
      <c r="B84" s="74"/>
      <c r="C84" s="31" t="s">
        <v>176</v>
      </c>
      <c r="D84" s="30">
        <v>3</v>
      </c>
      <c r="E84" s="29">
        <v>1.4150943396226415E-2</v>
      </c>
    </row>
    <row r="85" spans="2:5" ht="15" customHeight="1" x14ac:dyDescent="0.25">
      <c r="B85" s="74"/>
      <c r="C85" s="31" t="s">
        <v>175</v>
      </c>
      <c r="D85" s="30">
        <v>6</v>
      </c>
      <c r="E85" s="29">
        <v>2.8301886792452831E-2</v>
      </c>
    </row>
    <row r="86" spans="2:5" ht="15" customHeight="1" x14ac:dyDescent="0.25">
      <c r="B86" s="74"/>
      <c r="C86" s="31" t="s">
        <v>174</v>
      </c>
      <c r="D86" s="30">
        <v>2</v>
      </c>
      <c r="E86" s="29">
        <v>9.433962264150943E-3</v>
      </c>
    </row>
    <row r="87" spans="2:5" ht="15" customHeight="1" x14ac:dyDescent="0.25">
      <c r="B87" s="74"/>
      <c r="C87" s="31" t="s">
        <v>173</v>
      </c>
      <c r="D87" s="30">
        <v>1</v>
      </c>
      <c r="E87" s="29">
        <v>4.7169811320754715E-3</v>
      </c>
    </row>
    <row r="88" spans="2:5" ht="15" customHeight="1" x14ac:dyDescent="0.25">
      <c r="B88" s="74"/>
      <c r="C88" s="31" t="s">
        <v>172</v>
      </c>
      <c r="D88" s="30">
        <v>1</v>
      </c>
      <c r="E88" s="29">
        <v>4.7169811320754715E-3</v>
      </c>
    </row>
    <row r="89" spans="2:5" ht="15" customHeight="1" x14ac:dyDescent="0.25">
      <c r="B89" s="74"/>
      <c r="C89" s="31" t="s">
        <v>171</v>
      </c>
      <c r="D89" s="30">
        <v>1</v>
      </c>
      <c r="E89" s="29">
        <v>4.7169811320754715E-3</v>
      </c>
    </row>
    <row r="90" spans="2:5" ht="15" customHeight="1" x14ac:dyDescent="0.25">
      <c r="B90" s="74"/>
      <c r="C90" s="31" t="s">
        <v>170</v>
      </c>
      <c r="D90" s="30">
        <v>1</v>
      </c>
      <c r="E90" s="29">
        <v>4.7169811320754715E-3</v>
      </c>
    </row>
    <row r="91" spans="2:5" ht="15" customHeight="1" x14ac:dyDescent="0.25">
      <c r="B91" s="75"/>
      <c r="C91" s="28" t="s">
        <v>18</v>
      </c>
      <c r="D91" s="27">
        <v>17</v>
      </c>
      <c r="E91" s="26">
        <v>8.0188679245283015E-2</v>
      </c>
    </row>
    <row r="92" spans="2:5" ht="15" customHeight="1" x14ac:dyDescent="0.25">
      <c r="B92" s="73" t="s">
        <v>31</v>
      </c>
      <c r="C92" s="31" t="s">
        <v>169</v>
      </c>
      <c r="D92" s="30">
        <v>2</v>
      </c>
      <c r="E92" s="29">
        <v>9.433962264150943E-3</v>
      </c>
    </row>
    <row r="93" spans="2:5" ht="15" customHeight="1" x14ac:dyDescent="0.25">
      <c r="B93" s="74"/>
      <c r="C93" s="31" t="s">
        <v>168</v>
      </c>
      <c r="D93" s="30">
        <v>1</v>
      </c>
      <c r="E93" s="29">
        <v>4.7169811320754715E-3</v>
      </c>
    </row>
    <row r="94" spans="2:5" ht="15" customHeight="1" x14ac:dyDescent="0.25">
      <c r="B94" s="74"/>
      <c r="C94" s="31" t="s">
        <v>167</v>
      </c>
      <c r="D94" s="30">
        <v>1</v>
      </c>
      <c r="E94" s="29">
        <v>4.7169811320754715E-3</v>
      </c>
    </row>
    <row r="95" spans="2:5" ht="15" customHeight="1" x14ac:dyDescent="0.25">
      <c r="B95" s="74"/>
      <c r="C95" s="31" t="s">
        <v>30</v>
      </c>
      <c r="D95" s="30">
        <v>1</v>
      </c>
      <c r="E95" s="29">
        <v>4.7169811320754715E-3</v>
      </c>
    </row>
    <row r="96" spans="2:5" ht="15" customHeight="1" x14ac:dyDescent="0.25">
      <c r="B96" s="74"/>
      <c r="C96" s="31" t="s">
        <v>166</v>
      </c>
      <c r="D96" s="30">
        <v>5</v>
      </c>
      <c r="E96" s="29">
        <v>2.358490566037736E-2</v>
      </c>
    </row>
    <row r="97" spans="2:5" ht="15" customHeight="1" x14ac:dyDescent="0.25">
      <c r="B97" s="74"/>
      <c r="C97" s="31" t="s">
        <v>165</v>
      </c>
      <c r="D97" s="30">
        <v>1</v>
      </c>
      <c r="E97" s="29">
        <v>4.7169811320754715E-3</v>
      </c>
    </row>
    <row r="98" spans="2:5" ht="15" customHeight="1" x14ac:dyDescent="0.25">
      <c r="B98" s="74"/>
      <c r="C98" s="31" t="s">
        <v>164</v>
      </c>
      <c r="D98" s="30">
        <v>1</v>
      </c>
      <c r="E98" s="29">
        <v>4.7169811320754715E-3</v>
      </c>
    </row>
    <row r="99" spans="2:5" ht="15" customHeight="1" x14ac:dyDescent="0.25">
      <c r="B99" s="74"/>
      <c r="C99" s="31" t="s">
        <v>163</v>
      </c>
      <c r="D99" s="30">
        <v>1</v>
      </c>
      <c r="E99" s="29">
        <v>4.7169811320754715E-3</v>
      </c>
    </row>
    <row r="100" spans="2:5" ht="15" customHeight="1" x14ac:dyDescent="0.25">
      <c r="B100" s="74"/>
      <c r="C100" s="31" t="s">
        <v>162</v>
      </c>
      <c r="D100" s="30">
        <v>1</v>
      </c>
      <c r="E100" s="29">
        <v>4.7169811320754715E-3</v>
      </c>
    </row>
    <row r="101" spans="2:5" ht="15" customHeight="1" x14ac:dyDescent="0.25">
      <c r="B101" s="74"/>
      <c r="C101" s="31" t="s">
        <v>161</v>
      </c>
      <c r="D101" s="30">
        <v>3</v>
      </c>
      <c r="E101" s="29">
        <v>1.4150943396226415E-2</v>
      </c>
    </row>
    <row r="102" spans="2:5" ht="15" customHeight="1" x14ac:dyDescent="0.25">
      <c r="B102" s="74"/>
      <c r="C102" s="31" t="s">
        <v>160</v>
      </c>
      <c r="D102" s="30">
        <v>2</v>
      </c>
      <c r="E102" s="29">
        <v>9.433962264150943E-3</v>
      </c>
    </row>
    <row r="103" spans="2:5" ht="15" customHeight="1" x14ac:dyDescent="0.25">
      <c r="B103" s="74"/>
      <c r="C103" s="31" t="s">
        <v>159</v>
      </c>
      <c r="D103" s="30">
        <v>2</v>
      </c>
      <c r="E103" s="29">
        <v>9.433962264150943E-3</v>
      </c>
    </row>
    <row r="104" spans="2:5" ht="15" customHeight="1" x14ac:dyDescent="0.25">
      <c r="B104" s="74"/>
      <c r="C104" s="31" t="s">
        <v>158</v>
      </c>
      <c r="D104" s="30">
        <v>1</v>
      </c>
      <c r="E104" s="29">
        <v>4.7169811320754715E-3</v>
      </c>
    </row>
    <row r="105" spans="2:5" ht="15" customHeight="1" x14ac:dyDescent="0.25">
      <c r="B105" s="75"/>
      <c r="C105" s="28" t="s">
        <v>18</v>
      </c>
      <c r="D105" s="27">
        <v>22</v>
      </c>
      <c r="E105" s="26">
        <v>0.10377358490566038</v>
      </c>
    </row>
    <row r="106" spans="2:5" ht="15" customHeight="1" x14ac:dyDescent="0.25">
      <c r="B106" s="73" t="s">
        <v>30</v>
      </c>
      <c r="C106" s="31" t="s">
        <v>157</v>
      </c>
      <c r="D106" s="30">
        <v>1</v>
      </c>
      <c r="E106" s="29">
        <v>4.7169811320754715E-3</v>
      </c>
    </row>
    <row r="107" spans="2:5" ht="15" customHeight="1" x14ac:dyDescent="0.25">
      <c r="B107" s="75"/>
      <c r="C107" s="28" t="s">
        <v>18</v>
      </c>
      <c r="D107" s="27">
        <v>1</v>
      </c>
      <c r="E107" s="26">
        <v>4.7169811320754715E-3</v>
      </c>
    </row>
    <row r="108" spans="2:5" ht="15" customHeight="1" x14ac:dyDescent="0.25">
      <c r="B108" s="73" t="s">
        <v>29</v>
      </c>
      <c r="C108" s="31" t="s">
        <v>156</v>
      </c>
      <c r="D108" s="30">
        <v>1</v>
      </c>
      <c r="E108" s="29">
        <v>4.7169811320754715E-3</v>
      </c>
    </row>
    <row r="109" spans="2:5" ht="15" customHeight="1" x14ac:dyDescent="0.25">
      <c r="B109" s="74"/>
      <c r="C109" s="31" t="s">
        <v>155</v>
      </c>
      <c r="D109" s="30">
        <v>2</v>
      </c>
      <c r="E109" s="29">
        <v>9.433962264150943E-3</v>
      </c>
    </row>
    <row r="110" spans="2:5" ht="15" customHeight="1" x14ac:dyDescent="0.25">
      <c r="B110" s="75"/>
      <c r="C110" s="28" t="s">
        <v>18</v>
      </c>
      <c r="D110" s="27">
        <v>3</v>
      </c>
      <c r="E110" s="26">
        <v>1.4150943396226415E-2</v>
      </c>
    </row>
    <row r="111" spans="2:5" ht="15" customHeight="1" x14ac:dyDescent="0.25">
      <c r="B111" s="73" t="s">
        <v>28</v>
      </c>
      <c r="C111" s="31" t="s">
        <v>154</v>
      </c>
      <c r="D111" s="30">
        <v>2</v>
      </c>
      <c r="E111" s="29">
        <v>9.433962264150943E-3</v>
      </c>
    </row>
    <row r="112" spans="2:5" ht="15" customHeight="1" x14ac:dyDescent="0.25">
      <c r="B112" s="74"/>
      <c r="C112" s="31" t="s">
        <v>153</v>
      </c>
      <c r="D112" s="30">
        <v>1</v>
      </c>
      <c r="E112" s="29">
        <v>4.7169811320754715E-3</v>
      </c>
    </row>
    <row r="113" spans="2:5" ht="15" customHeight="1" x14ac:dyDescent="0.25">
      <c r="B113" s="74"/>
      <c r="C113" s="31" t="s">
        <v>152</v>
      </c>
      <c r="D113" s="30">
        <v>1</v>
      </c>
      <c r="E113" s="29">
        <v>4.7169811320754715E-3</v>
      </c>
    </row>
    <row r="114" spans="2:5" ht="15" customHeight="1" x14ac:dyDescent="0.25">
      <c r="B114" s="74"/>
      <c r="C114" s="31" t="s">
        <v>151</v>
      </c>
      <c r="D114" s="30">
        <v>1</v>
      </c>
      <c r="E114" s="29">
        <v>4.7169811320754715E-3</v>
      </c>
    </row>
    <row r="115" spans="2:5" ht="15" customHeight="1" x14ac:dyDescent="0.25">
      <c r="B115" s="74"/>
      <c r="C115" s="31" t="s">
        <v>150</v>
      </c>
      <c r="D115" s="30">
        <v>1</v>
      </c>
      <c r="E115" s="29">
        <v>4.7169811320754715E-3</v>
      </c>
    </row>
    <row r="116" spans="2:5" ht="15" customHeight="1" x14ac:dyDescent="0.25">
      <c r="B116" s="74"/>
      <c r="C116" s="31" t="s">
        <v>149</v>
      </c>
      <c r="D116" s="30">
        <v>1</v>
      </c>
      <c r="E116" s="29">
        <v>4.7169811320754715E-3</v>
      </c>
    </row>
    <row r="117" spans="2:5" ht="15" customHeight="1" x14ac:dyDescent="0.25">
      <c r="B117" s="74"/>
      <c r="C117" s="31" t="s">
        <v>148</v>
      </c>
      <c r="D117" s="30">
        <v>1</v>
      </c>
      <c r="E117" s="29">
        <v>4.7169811320754715E-3</v>
      </c>
    </row>
    <row r="118" spans="2:5" ht="15" customHeight="1" x14ac:dyDescent="0.25">
      <c r="B118" s="74"/>
      <c r="C118" s="31" t="s">
        <v>147</v>
      </c>
      <c r="D118" s="30">
        <v>1</v>
      </c>
      <c r="E118" s="29">
        <v>4.7169811320754715E-3</v>
      </c>
    </row>
    <row r="119" spans="2:5" ht="15" customHeight="1" x14ac:dyDescent="0.25">
      <c r="B119" s="74"/>
      <c r="C119" s="31" t="s">
        <v>146</v>
      </c>
      <c r="D119" s="30">
        <v>1</v>
      </c>
      <c r="E119" s="29">
        <v>4.7169811320754715E-3</v>
      </c>
    </row>
    <row r="120" spans="2:5" ht="15" customHeight="1" x14ac:dyDescent="0.25">
      <c r="B120" s="74"/>
      <c r="C120" s="31" t="s">
        <v>145</v>
      </c>
      <c r="D120" s="30">
        <v>1</v>
      </c>
      <c r="E120" s="29">
        <v>4.7169811320754715E-3</v>
      </c>
    </row>
    <row r="121" spans="2:5" ht="15" customHeight="1" x14ac:dyDescent="0.25">
      <c r="B121" s="74"/>
      <c r="C121" s="31" t="s">
        <v>144</v>
      </c>
      <c r="D121" s="30">
        <v>5</v>
      </c>
      <c r="E121" s="29">
        <v>2.358490566037736E-2</v>
      </c>
    </row>
    <row r="122" spans="2:5" ht="15" customHeight="1" x14ac:dyDescent="0.25">
      <c r="B122" s="74"/>
      <c r="C122" s="31" t="s">
        <v>143</v>
      </c>
      <c r="D122" s="30">
        <v>2</v>
      </c>
      <c r="E122" s="29">
        <v>9.433962264150943E-3</v>
      </c>
    </row>
    <row r="123" spans="2:5" ht="15" customHeight="1" x14ac:dyDescent="0.25">
      <c r="B123" s="74"/>
      <c r="C123" s="31" t="s">
        <v>142</v>
      </c>
      <c r="D123" s="30">
        <v>3</v>
      </c>
      <c r="E123" s="29">
        <v>1.4150943396226415E-2</v>
      </c>
    </row>
    <row r="124" spans="2:5" ht="15" customHeight="1" x14ac:dyDescent="0.25">
      <c r="B124" s="74"/>
      <c r="C124" s="31" t="s">
        <v>141</v>
      </c>
      <c r="D124" s="30">
        <v>1</v>
      </c>
      <c r="E124" s="29">
        <v>4.7169811320754715E-3</v>
      </c>
    </row>
    <row r="125" spans="2:5" ht="15" customHeight="1" x14ac:dyDescent="0.25">
      <c r="B125" s="74"/>
      <c r="C125" s="31" t="s">
        <v>140</v>
      </c>
      <c r="D125" s="30">
        <v>1</v>
      </c>
      <c r="E125" s="29">
        <v>4.7169811320754715E-3</v>
      </c>
    </row>
    <row r="126" spans="2:5" ht="15" customHeight="1" x14ac:dyDescent="0.25">
      <c r="B126" s="74"/>
      <c r="C126" s="31" t="s">
        <v>139</v>
      </c>
      <c r="D126" s="30">
        <v>1</v>
      </c>
      <c r="E126" s="29">
        <v>4.7169811320754715E-3</v>
      </c>
    </row>
    <row r="127" spans="2:5" ht="15" customHeight="1" x14ac:dyDescent="0.25">
      <c r="B127" s="74"/>
      <c r="C127" s="31" t="s">
        <v>138</v>
      </c>
      <c r="D127" s="30">
        <v>1</v>
      </c>
      <c r="E127" s="29">
        <v>4.7169811320754715E-3</v>
      </c>
    </row>
    <row r="128" spans="2:5" ht="15" customHeight="1" x14ac:dyDescent="0.25">
      <c r="B128" s="74"/>
      <c r="C128" s="31" t="s">
        <v>137</v>
      </c>
      <c r="D128" s="30">
        <v>2</v>
      </c>
      <c r="E128" s="29">
        <v>9.433962264150943E-3</v>
      </c>
    </row>
    <row r="129" spans="2:5" ht="15" customHeight="1" x14ac:dyDescent="0.25">
      <c r="B129" s="75"/>
      <c r="C129" s="28" t="s">
        <v>18</v>
      </c>
      <c r="D129" s="27">
        <v>27</v>
      </c>
      <c r="E129" s="26">
        <v>0.12735849056603774</v>
      </c>
    </row>
    <row r="130" spans="2:5" ht="15" customHeight="1" x14ac:dyDescent="0.25">
      <c r="B130" s="73" t="s">
        <v>27</v>
      </c>
      <c r="C130" s="31" t="s">
        <v>136</v>
      </c>
      <c r="D130" s="30">
        <v>2</v>
      </c>
      <c r="E130" s="29">
        <v>9.433962264150943E-3</v>
      </c>
    </row>
    <row r="131" spans="2:5" ht="15" customHeight="1" x14ac:dyDescent="0.25">
      <c r="B131" s="74"/>
      <c r="C131" s="31" t="s">
        <v>135</v>
      </c>
      <c r="D131" s="30">
        <v>1</v>
      </c>
      <c r="E131" s="29">
        <v>4.7169811320754715E-3</v>
      </c>
    </row>
    <row r="132" spans="2:5" ht="15" customHeight="1" x14ac:dyDescent="0.25">
      <c r="B132" s="74"/>
      <c r="C132" s="31" t="s">
        <v>134</v>
      </c>
      <c r="D132" s="30">
        <v>1</v>
      </c>
      <c r="E132" s="29">
        <v>4.7169811320754715E-3</v>
      </c>
    </row>
    <row r="133" spans="2:5" ht="15" customHeight="1" x14ac:dyDescent="0.25">
      <c r="B133" s="74"/>
      <c r="C133" s="31" t="s">
        <v>133</v>
      </c>
      <c r="D133" s="30">
        <v>1</v>
      </c>
      <c r="E133" s="29">
        <v>4.7169811320754715E-3</v>
      </c>
    </row>
    <row r="134" spans="2:5" ht="15" customHeight="1" x14ac:dyDescent="0.25">
      <c r="B134" s="74"/>
      <c r="C134" s="31" t="s">
        <v>27</v>
      </c>
      <c r="D134" s="30">
        <v>3</v>
      </c>
      <c r="E134" s="29">
        <v>1.4150943396226415E-2</v>
      </c>
    </row>
    <row r="135" spans="2:5" ht="15" customHeight="1" x14ac:dyDescent="0.25">
      <c r="B135" s="74"/>
      <c r="C135" s="31" t="s">
        <v>132</v>
      </c>
      <c r="D135" s="30">
        <v>1</v>
      </c>
      <c r="E135" s="29">
        <v>4.7169811320754715E-3</v>
      </c>
    </row>
    <row r="136" spans="2:5" ht="15" customHeight="1" x14ac:dyDescent="0.25">
      <c r="B136" s="75"/>
      <c r="C136" s="28" t="s">
        <v>18</v>
      </c>
      <c r="D136" s="27">
        <v>9</v>
      </c>
      <c r="E136" s="26">
        <v>4.2452830188679243E-2</v>
      </c>
    </row>
    <row r="137" spans="2:5" ht="15" customHeight="1" x14ac:dyDescent="0.25">
      <c r="B137" s="73" t="s">
        <v>26</v>
      </c>
      <c r="C137" s="31" t="s">
        <v>131</v>
      </c>
      <c r="D137" s="30">
        <v>1</v>
      </c>
      <c r="E137" s="29">
        <v>4.7169811320754715E-3</v>
      </c>
    </row>
    <row r="138" spans="2:5" ht="15" customHeight="1" x14ac:dyDescent="0.25">
      <c r="B138" s="74"/>
      <c r="C138" s="31" t="s">
        <v>130</v>
      </c>
      <c r="D138" s="30">
        <v>1</v>
      </c>
      <c r="E138" s="29">
        <v>4.7169811320754715E-3</v>
      </c>
    </row>
    <row r="139" spans="2:5" ht="15" customHeight="1" x14ac:dyDescent="0.25">
      <c r="B139" s="74"/>
      <c r="C139" s="31" t="s">
        <v>26</v>
      </c>
      <c r="D139" s="30">
        <v>2</v>
      </c>
      <c r="E139" s="29">
        <v>9.433962264150943E-3</v>
      </c>
    </row>
    <row r="140" spans="2:5" ht="15" customHeight="1" x14ac:dyDescent="0.25">
      <c r="B140" s="74"/>
      <c r="C140" s="31" t="s">
        <v>129</v>
      </c>
      <c r="D140" s="30">
        <v>1</v>
      </c>
      <c r="E140" s="29">
        <v>4.7169811320754715E-3</v>
      </c>
    </row>
    <row r="141" spans="2:5" ht="15" customHeight="1" x14ac:dyDescent="0.25">
      <c r="B141" s="74"/>
      <c r="C141" s="31" t="s">
        <v>128</v>
      </c>
      <c r="D141" s="30">
        <v>2</v>
      </c>
      <c r="E141" s="29">
        <v>9.433962264150943E-3</v>
      </c>
    </row>
    <row r="142" spans="2:5" ht="15" customHeight="1" x14ac:dyDescent="0.25">
      <c r="B142" s="75"/>
      <c r="C142" s="28" t="s">
        <v>18</v>
      </c>
      <c r="D142" s="27">
        <v>7</v>
      </c>
      <c r="E142" s="26">
        <v>3.3018867924528301E-2</v>
      </c>
    </row>
    <row r="143" spans="2:5" ht="15" customHeight="1" x14ac:dyDescent="0.25">
      <c r="B143" s="73" t="s">
        <v>25</v>
      </c>
      <c r="C143" s="31" t="s">
        <v>127</v>
      </c>
      <c r="D143" s="30">
        <v>1</v>
      </c>
      <c r="E143" s="29">
        <v>4.7169811320754715E-3</v>
      </c>
    </row>
    <row r="144" spans="2:5" ht="15" customHeight="1" x14ac:dyDescent="0.25">
      <c r="B144" s="74"/>
      <c r="C144" s="31" t="s">
        <v>126</v>
      </c>
      <c r="D144" s="30">
        <v>1</v>
      </c>
      <c r="E144" s="29">
        <v>4.7169811320754715E-3</v>
      </c>
    </row>
    <row r="145" spans="2:5" ht="15" customHeight="1" x14ac:dyDescent="0.25">
      <c r="B145" s="74"/>
      <c r="C145" s="31" t="s">
        <v>125</v>
      </c>
      <c r="D145" s="30">
        <v>1</v>
      </c>
      <c r="E145" s="29">
        <v>4.7169811320754715E-3</v>
      </c>
    </row>
    <row r="146" spans="2:5" ht="15" customHeight="1" x14ac:dyDescent="0.25">
      <c r="B146" s="74"/>
      <c r="C146" s="31" t="s">
        <v>124</v>
      </c>
      <c r="D146" s="30">
        <v>1</v>
      </c>
      <c r="E146" s="29">
        <v>4.7169811320754715E-3</v>
      </c>
    </row>
    <row r="147" spans="2:5" ht="15" customHeight="1" x14ac:dyDescent="0.25">
      <c r="B147" s="75"/>
      <c r="C147" s="28" t="s">
        <v>18</v>
      </c>
      <c r="D147" s="27">
        <v>4</v>
      </c>
      <c r="E147" s="26">
        <v>1.8867924528301886E-2</v>
      </c>
    </row>
    <row r="148" spans="2:5" ht="15" customHeight="1" x14ac:dyDescent="0.25">
      <c r="B148" s="73" t="s">
        <v>24</v>
      </c>
      <c r="C148" s="31" t="s">
        <v>123</v>
      </c>
      <c r="D148" s="30">
        <v>1</v>
      </c>
      <c r="E148" s="29">
        <v>4.7169811320754715E-3</v>
      </c>
    </row>
    <row r="149" spans="2:5" ht="15" customHeight="1" x14ac:dyDescent="0.25">
      <c r="B149" s="74"/>
      <c r="C149" s="31" t="s">
        <v>122</v>
      </c>
      <c r="D149" s="30">
        <v>1</v>
      </c>
      <c r="E149" s="29">
        <v>4.7169811320754715E-3</v>
      </c>
    </row>
    <row r="150" spans="2:5" ht="15" customHeight="1" x14ac:dyDescent="0.25">
      <c r="B150" s="74"/>
      <c r="C150" s="31" t="s">
        <v>121</v>
      </c>
      <c r="D150" s="30">
        <v>3</v>
      </c>
      <c r="E150" s="29">
        <v>1.4150943396226415E-2</v>
      </c>
    </row>
    <row r="151" spans="2:5" ht="15" customHeight="1" x14ac:dyDescent="0.25">
      <c r="B151" s="75"/>
      <c r="C151" s="28" t="s">
        <v>18</v>
      </c>
      <c r="D151" s="27">
        <v>5</v>
      </c>
      <c r="E151" s="26">
        <v>2.358490566037736E-2</v>
      </c>
    </row>
    <row r="152" spans="2:5" ht="15" customHeight="1" x14ac:dyDescent="0.25">
      <c r="B152" s="73" t="s">
        <v>23</v>
      </c>
      <c r="C152" s="31" t="s">
        <v>120</v>
      </c>
      <c r="D152" s="30">
        <v>1</v>
      </c>
      <c r="E152" s="29">
        <v>4.7169811320754715E-3</v>
      </c>
    </row>
    <row r="153" spans="2:5" ht="15" customHeight="1" x14ac:dyDescent="0.25">
      <c r="B153" s="74"/>
      <c r="C153" s="31" t="s">
        <v>119</v>
      </c>
      <c r="D153" s="30">
        <v>2</v>
      </c>
      <c r="E153" s="29">
        <v>9.433962264150943E-3</v>
      </c>
    </row>
    <row r="154" spans="2:5" ht="15" customHeight="1" x14ac:dyDescent="0.25">
      <c r="B154" s="75"/>
      <c r="C154" s="28" t="s">
        <v>18</v>
      </c>
      <c r="D154" s="27">
        <v>3</v>
      </c>
      <c r="E154" s="26">
        <v>1.4150943396226415E-2</v>
      </c>
    </row>
    <row r="155" spans="2:5" ht="15" customHeight="1" x14ac:dyDescent="0.25">
      <c r="B155" s="73" t="s">
        <v>22</v>
      </c>
      <c r="C155" s="31" t="s">
        <v>118</v>
      </c>
      <c r="D155" s="30">
        <v>1</v>
      </c>
      <c r="E155" s="29">
        <v>4.7169811320754715E-3</v>
      </c>
    </row>
    <row r="156" spans="2:5" ht="15" customHeight="1" x14ac:dyDescent="0.25">
      <c r="B156" s="74"/>
      <c r="C156" s="31" t="s">
        <v>117</v>
      </c>
      <c r="D156" s="30">
        <v>1</v>
      </c>
      <c r="E156" s="29">
        <v>4.7169811320754715E-3</v>
      </c>
    </row>
    <row r="157" spans="2:5" ht="15" customHeight="1" x14ac:dyDescent="0.25">
      <c r="B157" s="74"/>
      <c r="C157" s="31" t="s">
        <v>116</v>
      </c>
      <c r="D157" s="30">
        <v>4</v>
      </c>
      <c r="E157" s="29">
        <v>1.8867924528301886E-2</v>
      </c>
    </row>
    <row r="158" spans="2:5" ht="15" customHeight="1" x14ac:dyDescent="0.25">
      <c r="B158" s="74"/>
      <c r="C158" s="31" t="s">
        <v>115</v>
      </c>
      <c r="D158" s="30">
        <v>2</v>
      </c>
      <c r="E158" s="29">
        <v>9.433962264150943E-3</v>
      </c>
    </row>
    <row r="159" spans="2:5" ht="15" customHeight="1" x14ac:dyDescent="0.25">
      <c r="B159" s="74"/>
      <c r="C159" s="31" t="s">
        <v>114</v>
      </c>
      <c r="D159" s="30">
        <v>1</v>
      </c>
      <c r="E159" s="29">
        <v>4.7169811320754715E-3</v>
      </c>
    </row>
    <row r="160" spans="2:5" ht="15" customHeight="1" x14ac:dyDescent="0.25">
      <c r="B160" s="74"/>
      <c r="C160" s="31" t="s">
        <v>113</v>
      </c>
      <c r="D160" s="30">
        <v>1</v>
      </c>
      <c r="E160" s="29">
        <v>4.7169811320754715E-3</v>
      </c>
    </row>
    <row r="161" spans="2:5" ht="15" customHeight="1" x14ac:dyDescent="0.25">
      <c r="B161" s="74"/>
      <c r="C161" s="31" t="s">
        <v>112</v>
      </c>
      <c r="D161" s="30">
        <v>1</v>
      </c>
      <c r="E161" s="29">
        <v>4.7169811320754715E-3</v>
      </c>
    </row>
    <row r="162" spans="2:5" ht="15" customHeight="1" x14ac:dyDescent="0.25">
      <c r="B162" s="74"/>
      <c r="C162" s="31" t="s">
        <v>111</v>
      </c>
      <c r="D162" s="30">
        <v>1</v>
      </c>
      <c r="E162" s="29">
        <v>4.7169811320754715E-3</v>
      </c>
    </row>
    <row r="163" spans="2:5" ht="15" customHeight="1" x14ac:dyDescent="0.25">
      <c r="B163" s="74"/>
      <c r="C163" s="31" t="s">
        <v>110</v>
      </c>
      <c r="D163" s="30">
        <v>1</v>
      </c>
      <c r="E163" s="29">
        <v>4.7169811320754715E-3</v>
      </c>
    </row>
    <row r="164" spans="2:5" ht="15" customHeight="1" x14ac:dyDescent="0.25">
      <c r="B164" s="74"/>
      <c r="C164" s="31" t="s">
        <v>109</v>
      </c>
      <c r="D164" s="30">
        <v>2</v>
      </c>
      <c r="E164" s="29">
        <v>9.433962264150943E-3</v>
      </c>
    </row>
    <row r="165" spans="2:5" ht="15" customHeight="1" x14ac:dyDescent="0.25">
      <c r="B165" s="74"/>
      <c r="C165" s="31" t="s">
        <v>108</v>
      </c>
      <c r="D165" s="30">
        <v>1</v>
      </c>
      <c r="E165" s="29">
        <v>4.7169811320754715E-3</v>
      </c>
    </row>
    <row r="166" spans="2:5" ht="15" customHeight="1" x14ac:dyDescent="0.25">
      <c r="B166" s="74"/>
      <c r="C166" s="31" t="s">
        <v>107</v>
      </c>
      <c r="D166" s="30">
        <v>5</v>
      </c>
      <c r="E166" s="29">
        <v>2.358490566037736E-2</v>
      </c>
    </row>
    <row r="167" spans="2:5" ht="15" customHeight="1" x14ac:dyDescent="0.25">
      <c r="B167" s="74"/>
      <c r="C167" s="31" t="s">
        <v>106</v>
      </c>
      <c r="D167" s="30">
        <v>1</v>
      </c>
      <c r="E167" s="29">
        <v>4.7169811320754715E-3</v>
      </c>
    </row>
    <row r="168" spans="2:5" ht="15" customHeight="1" x14ac:dyDescent="0.25">
      <c r="B168" s="75"/>
      <c r="C168" s="28" t="s">
        <v>18</v>
      </c>
      <c r="D168" s="27">
        <v>22</v>
      </c>
      <c r="E168" s="26">
        <v>0.10377358490566038</v>
      </c>
    </row>
    <row r="169" spans="2:5" ht="15" customHeight="1" x14ac:dyDescent="0.25">
      <c r="B169" s="73" t="s">
        <v>20</v>
      </c>
      <c r="C169" s="31" t="s">
        <v>105</v>
      </c>
      <c r="D169" s="30">
        <v>1</v>
      </c>
      <c r="E169" s="29">
        <v>4.7169811320754715E-3</v>
      </c>
    </row>
    <row r="170" spans="2:5" ht="15" customHeight="1" x14ac:dyDescent="0.25">
      <c r="B170" s="75"/>
      <c r="C170" s="28" t="s">
        <v>18</v>
      </c>
      <c r="D170" s="27">
        <v>1</v>
      </c>
      <c r="E170" s="26">
        <v>4.7169811320754715E-3</v>
      </c>
    </row>
    <row r="171" spans="2:5" ht="15" customHeight="1" x14ac:dyDescent="0.25">
      <c r="B171" s="76" t="s">
        <v>18</v>
      </c>
      <c r="C171" s="77"/>
      <c r="D171" s="25">
        <f>SUMIF(C$10:C170,"Total",D$10:D170)</f>
        <v>212</v>
      </c>
      <c r="E171" s="24">
        <v>1</v>
      </c>
    </row>
    <row r="173" spans="2:5" ht="15" customHeight="1" x14ac:dyDescent="0.25">
      <c r="B173" s="21" t="s">
        <v>17</v>
      </c>
    </row>
    <row r="174" spans="2:5" ht="15" customHeight="1" x14ac:dyDescent="0.25">
      <c r="B174" s="23" t="s">
        <v>16</v>
      </c>
    </row>
    <row r="175" spans="2:5" ht="15" customHeight="1" x14ac:dyDescent="0.25">
      <c r="B175" s="22" t="s">
        <v>15</v>
      </c>
    </row>
    <row r="176" spans="2:5" ht="15" customHeight="1" x14ac:dyDescent="0.25">
      <c r="B176" s="21" t="s">
        <v>14</v>
      </c>
    </row>
    <row r="177" spans="2:2" ht="15" customHeight="1" x14ac:dyDescent="0.25">
      <c r="B177" s="21" t="s">
        <v>13</v>
      </c>
    </row>
    <row r="484" spans="1:2" s="18" customFormat="1" ht="15" customHeight="1" x14ac:dyDescent="0.25">
      <c r="A484" s="17"/>
      <c r="B484" s="19"/>
    </row>
    <row r="485" spans="1:2" s="18" customFormat="1" ht="15" customHeight="1" x14ac:dyDescent="0.25">
      <c r="A485" s="17"/>
      <c r="B485" s="20"/>
    </row>
    <row r="486" spans="1:2" s="18" customFormat="1" ht="15" customHeight="1" x14ac:dyDescent="0.25">
      <c r="A486" s="17"/>
      <c r="B486" s="20"/>
    </row>
    <row r="487" spans="1:2" s="18" customFormat="1" ht="15" customHeight="1" x14ac:dyDescent="0.25">
      <c r="A487" s="17"/>
      <c r="B487" s="19"/>
    </row>
    <row r="488" spans="1:2" s="18" customFormat="1" ht="15" customHeight="1" x14ac:dyDescent="0.25">
      <c r="A488" s="17"/>
      <c r="B488" s="19"/>
    </row>
  </sheetData>
  <mergeCells count="25">
    <mergeCell ref="B7:E8"/>
    <mergeCell ref="B10:B11"/>
    <mergeCell ref="B12:B13"/>
    <mergeCell ref="B14:B22"/>
    <mergeCell ref="B23:B25"/>
    <mergeCell ref="B60:B74"/>
    <mergeCell ref="B75:B81"/>
    <mergeCell ref="B82:B91"/>
    <mergeCell ref="B92:B105"/>
    <mergeCell ref="B106:B107"/>
    <mergeCell ref="B26:B29"/>
    <mergeCell ref="B30:B37"/>
    <mergeCell ref="B38:B39"/>
    <mergeCell ref="B40:B47"/>
    <mergeCell ref="B48:B59"/>
    <mergeCell ref="B108:B110"/>
    <mergeCell ref="B111:B129"/>
    <mergeCell ref="B130:B136"/>
    <mergeCell ref="B171:C171"/>
    <mergeCell ref="B137:B142"/>
    <mergeCell ref="B143:B147"/>
    <mergeCell ref="B148:B151"/>
    <mergeCell ref="B152:B154"/>
    <mergeCell ref="B155:B168"/>
    <mergeCell ref="B169:B17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3" manualBreakCount="3">
    <brk id="47" max="4" man="1"/>
    <brk id="91" max="4" man="1"/>
    <brk id="12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74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63</v>
      </c>
      <c r="C11" s="55" t="s">
        <v>44</v>
      </c>
      <c r="D11" s="54" t="s">
        <v>43</v>
      </c>
    </row>
    <row r="12" spans="2:4" ht="15" customHeight="1" x14ac:dyDescent="0.25">
      <c r="B12" s="52" t="s">
        <v>73</v>
      </c>
      <c r="C12" s="51">
        <v>1</v>
      </c>
      <c r="D12" s="50">
        <v>4.807692307692308E-3</v>
      </c>
    </row>
    <row r="13" spans="2:4" x14ac:dyDescent="0.25">
      <c r="B13" s="52" t="s">
        <v>61</v>
      </c>
      <c r="C13" s="51">
        <v>2</v>
      </c>
      <c r="D13" s="50">
        <v>9.6153846153846159E-3</v>
      </c>
    </row>
    <row r="14" spans="2:4" s="53" customFormat="1" ht="15.75" x14ac:dyDescent="0.25">
      <c r="B14" s="52" t="s">
        <v>72</v>
      </c>
      <c r="C14" s="51">
        <v>0</v>
      </c>
      <c r="D14" s="50">
        <v>0</v>
      </c>
    </row>
    <row r="15" spans="2:4" s="53" customFormat="1" ht="15.75" x14ac:dyDescent="0.25">
      <c r="B15" s="52" t="s">
        <v>71</v>
      </c>
      <c r="C15" s="51">
        <v>0</v>
      </c>
      <c r="D15" s="50">
        <v>0</v>
      </c>
    </row>
    <row r="16" spans="2:4" x14ac:dyDescent="0.25">
      <c r="B16" s="52" t="s">
        <v>60</v>
      </c>
      <c r="C16" s="51">
        <v>3</v>
      </c>
      <c r="D16" s="50">
        <v>1.4423076923076924E-2</v>
      </c>
    </row>
    <row r="17" spans="2:4" x14ac:dyDescent="0.25">
      <c r="B17" s="52" t="s">
        <v>59</v>
      </c>
      <c r="C17" s="51">
        <v>5</v>
      </c>
      <c r="D17" s="50">
        <v>2.403846153846154E-2</v>
      </c>
    </row>
    <row r="18" spans="2:4" x14ac:dyDescent="0.25">
      <c r="B18" s="52" t="s">
        <v>58</v>
      </c>
      <c r="C18" s="51">
        <v>2</v>
      </c>
      <c r="D18" s="50">
        <v>9.6153846153846159E-3</v>
      </c>
    </row>
    <row r="19" spans="2:4" x14ac:dyDescent="0.25">
      <c r="B19" s="52" t="s">
        <v>57</v>
      </c>
      <c r="C19" s="51">
        <v>14</v>
      </c>
      <c r="D19" s="50">
        <v>6.7307692307692304E-2</v>
      </c>
    </row>
    <row r="20" spans="2:4" x14ac:dyDescent="0.25">
      <c r="B20" s="52" t="s">
        <v>56</v>
      </c>
      <c r="C20" s="51">
        <v>33</v>
      </c>
      <c r="D20" s="50">
        <v>0.15865384615384615</v>
      </c>
    </row>
    <row r="21" spans="2:4" x14ac:dyDescent="0.25">
      <c r="B21" s="52" t="s">
        <v>55</v>
      </c>
      <c r="C21" s="51">
        <v>4</v>
      </c>
      <c r="D21" s="50">
        <v>1.9230769230769232E-2</v>
      </c>
    </row>
    <row r="22" spans="2:4" x14ac:dyDescent="0.25">
      <c r="B22" s="52" t="s">
        <v>54</v>
      </c>
      <c r="C22" s="51">
        <v>6</v>
      </c>
      <c r="D22" s="50">
        <v>2.8846153846153848E-2</v>
      </c>
    </row>
    <row r="23" spans="2:4" x14ac:dyDescent="0.25">
      <c r="B23" s="52" t="s">
        <v>53</v>
      </c>
      <c r="C23" s="51">
        <v>9</v>
      </c>
      <c r="D23" s="50">
        <v>4.3269230769230768E-2</v>
      </c>
    </row>
    <row r="24" spans="2:4" x14ac:dyDescent="0.25">
      <c r="B24" s="52" t="s">
        <v>52</v>
      </c>
      <c r="C24" s="51">
        <v>80</v>
      </c>
      <c r="D24" s="50">
        <v>0.38461538461538464</v>
      </c>
    </row>
    <row r="25" spans="2:4" x14ac:dyDescent="0.25">
      <c r="B25" s="52" t="s">
        <v>70</v>
      </c>
      <c r="C25" s="51">
        <v>0</v>
      </c>
      <c r="D25" s="50">
        <v>0</v>
      </c>
    </row>
    <row r="26" spans="2:4" x14ac:dyDescent="0.25">
      <c r="B26" s="52" t="s">
        <v>51</v>
      </c>
      <c r="C26" s="51">
        <v>11</v>
      </c>
      <c r="D26" s="50">
        <v>5.2884615384615384E-2</v>
      </c>
    </row>
    <row r="27" spans="2:4" x14ac:dyDescent="0.25">
      <c r="B27" s="52" t="s">
        <v>50</v>
      </c>
      <c r="C27" s="51">
        <v>28</v>
      </c>
      <c r="D27" s="50">
        <v>0.13461538461538461</v>
      </c>
    </row>
    <row r="28" spans="2:4" x14ac:dyDescent="0.25">
      <c r="B28" s="52" t="s">
        <v>69</v>
      </c>
      <c r="C28" s="51">
        <v>0</v>
      </c>
      <c r="D28" s="50">
        <v>0</v>
      </c>
    </row>
    <row r="29" spans="2:4" x14ac:dyDescent="0.25">
      <c r="B29" s="52" t="s">
        <v>68</v>
      </c>
      <c r="C29" s="51">
        <v>0</v>
      </c>
      <c r="D29" s="50">
        <v>0</v>
      </c>
    </row>
    <row r="30" spans="2:4" x14ac:dyDescent="0.25">
      <c r="B30" s="52" t="s">
        <v>67</v>
      </c>
      <c r="C30" s="51">
        <v>0</v>
      </c>
      <c r="D30" s="50">
        <v>0</v>
      </c>
    </row>
    <row r="31" spans="2:4" x14ac:dyDescent="0.25">
      <c r="B31" s="52" t="s">
        <v>49</v>
      </c>
      <c r="C31" s="51">
        <v>1</v>
      </c>
      <c r="D31" s="50">
        <v>4.807692307692308E-3</v>
      </c>
    </row>
    <row r="32" spans="2:4" x14ac:dyDescent="0.25">
      <c r="B32" s="52" t="s">
        <v>66</v>
      </c>
      <c r="C32" s="51">
        <v>0</v>
      </c>
      <c r="D32" s="50">
        <v>0</v>
      </c>
    </row>
    <row r="33" spans="2:4" x14ac:dyDescent="0.25">
      <c r="B33" s="52" t="s">
        <v>65</v>
      </c>
      <c r="C33" s="51">
        <v>8</v>
      </c>
      <c r="D33" s="50">
        <v>3.8461538461538464E-2</v>
      </c>
    </row>
    <row r="34" spans="2:4" x14ac:dyDescent="0.25">
      <c r="B34" s="52" t="s">
        <v>47</v>
      </c>
      <c r="C34" s="51">
        <v>1</v>
      </c>
      <c r="D34" s="50">
        <v>4.807692307692308E-3</v>
      </c>
    </row>
    <row r="35" spans="2:4" x14ac:dyDescent="0.25">
      <c r="B35" s="52" t="s">
        <v>64</v>
      </c>
      <c r="C35" s="51">
        <v>0</v>
      </c>
      <c r="D35" s="50">
        <v>0</v>
      </c>
    </row>
    <row r="36" spans="2:4" x14ac:dyDescent="0.25">
      <c r="B36" s="49" t="s">
        <v>18</v>
      </c>
      <c r="C36" s="48">
        <v>208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31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63</v>
      </c>
      <c r="C9" s="36" t="s">
        <v>46</v>
      </c>
      <c r="D9" s="35" t="s">
        <v>44</v>
      </c>
      <c r="E9" s="34" t="s">
        <v>43</v>
      </c>
    </row>
    <row r="10" spans="1:5" ht="15" customHeight="1" x14ac:dyDescent="0.25">
      <c r="B10" s="73" t="s">
        <v>62</v>
      </c>
      <c r="C10" s="31" t="s">
        <v>32</v>
      </c>
      <c r="D10" s="30">
        <v>1</v>
      </c>
      <c r="E10" s="29">
        <v>4.7393364928909956E-3</v>
      </c>
    </row>
    <row r="11" spans="1:5" ht="15" customHeight="1" x14ac:dyDescent="0.25">
      <c r="B11" s="75"/>
      <c r="C11" s="28" t="s">
        <v>18</v>
      </c>
      <c r="D11" s="27">
        <v>1</v>
      </c>
      <c r="E11" s="26">
        <v>4.7393364928909956E-3</v>
      </c>
    </row>
    <row r="12" spans="1:5" ht="15" customHeight="1" x14ac:dyDescent="0.25">
      <c r="B12" s="73" t="s">
        <v>61</v>
      </c>
      <c r="C12" s="31" t="s">
        <v>36</v>
      </c>
      <c r="D12" s="30">
        <v>1</v>
      </c>
      <c r="E12" s="29">
        <v>4.7393364928909956E-3</v>
      </c>
    </row>
    <row r="13" spans="1:5" ht="15" customHeight="1" x14ac:dyDescent="0.25">
      <c r="B13" s="74"/>
      <c r="C13" s="31" t="s">
        <v>34</v>
      </c>
      <c r="D13" s="30">
        <v>1</v>
      </c>
      <c r="E13" s="29">
        <v>4.7393364928909956E-3</v>
      </c>
    </row>
    <row r="14" spans="1:5" ht="15" customHeight="1" x14ac:dyDescent="0.25">
      <c r="B14" s="75"/>
      <c r="C14" s="28" t="s">
        <v>18</v>
      </c>
      <c r="D14" s="27">
        <v>2</v>
      </c>
      <c r="E14" s="26">
        <v>9.4786729857819912E-3</v>
      </c>
    </row>
    <row r="15" spans="1:5" s="32" customFormat="1" ht="15" customHeight="1" x14ac:dyDescent="0.25">
      <c r="A15" s="17"/>
      <c r="B15" s="73" t="s">
        <v>60</v>
      </c>
      <c r="C15" s="31" t="s">
        <v>33</v>
      </c>
      <c r="D15" s="30">
        <v>1</v>
      </c>
      <c r="E15" s="29">
        <v>4.7393364928909956E-3</v>
      </c>
    </row>
    <row r="16" spans="1:5" s="32" customFormat="1" ht="15" customHeight="1" x14ac:dyDescent="0.25">
      <c r="A16" s="17"/>
      <c r="B16" s="74"/>
      <c r="C16" s="31" t="s">
        <v>28</v>
      </c>
      <c r="D16" s="30">
        <v>1</v>
      </c>
      <c r="E16" s="29">
        <v>4.7393364928909956E-3</v>
      </c>
    </row>
    <row r="17" spans="1:5" s="32" customFormat="1" ht="15" customHeight="1" x14ac:dyDescent="0.25">
      <c r="A17" s="17"/>
      <c r="B17" s="74"/>
      <c r="C17" s="31" t="s">
        <v>26</v>
      </c>
      <c r="D17" s="30">
        <v>1</v>
      </c>
      <c r="E17" s="29">
        <v>4.7393364928909956E-3</v>
      </c>
    </row>
    <row r="18" spans="1:5" s="32" customFormat="1" ht="15" customHeight="1" x14ac:dyDescent="0.25">
      <c r="A18" s="17"/>
      <c r="B18" s="75"/>
      <c r="C18" s="28" t="s">
        <v>18</v>
      </c>
      <c r="D18" s="27">
        <v>3</v>
      </c>
      <c r="E18" s="26">
        <v>1.4218009478672985E-2</v>
      </c>
    </row>
    <row r="19" spans="1:5" s="32" customFormat="1" ht="15" customHeight="1" x14ac:dyDescent="0.25">
      <c r="A19" s="17"/>
      <c r="B19" s="73" t="s">
        <v>59</v>
      </c>
      <c r="C19" s="31" t="s">
        <v>41</v>
      </c>
      <c r="D19" s="30">
        <v>1</v>
      </c>
      <c r="E19" s="29">
        <v>4.7393364928909956E-3</v>
      </c>
    </row>
    <row r="20" spans="1:5" ht="15" customHeight="1" x14ac:dyDescent="0.25">
      <c r="B20" s="74"/>
      <c r="C20" s="31" t="s">
        <v>35</v>
      </c>
      <c r="D20" s="30">
        <v>1</v>
      </c>
      <c r="E20" s="29">
        <v>4.7393364928909956E-3</v>
      </c>
    </row>
    <row r="21" spans="1:5" ht="15" customHeight="1" x14ac:dyDescent="0.25">
      <c r="B21" s="74"/>
      <c r="C21" s="31" t="s">
        <v>34</v>
      </c>
      <c r="D21" s="30">
        <v>2</v>
      </c>
      <c r="E21" s="29">
        <v>9.4786729857819912E-3</v>
      </c>
    </row>
    <row r="22" spans="1:5" ht="15" customHeight="1" x14ac:dyDescent="0.25">
      <c r="B22" s="74"/>
      <c r="C22" s="31" t="s">
        <v>28</v>
      </c>
      <c r="D22" s="30">
        <v>1</v>
      </c>
      <c r="E22" s="29">
        <v>4.7393364928909956E-3</v>
      </c>
    </row>
    <row r="23" spans="1:5" ht="15" customHeight="1" x14ac:dyDescent="0.25">
      <c r="B23" s="75"/>
      <c r="C23" s="28" t="s">
        <v>18</v>
      </c>
      <c r="D23" s="27">
        <v>5</v>
      </c>
      <c r="E23" s="26">
        <v>2.3696682464454975E-2</v>
      </c>
    </row>
    <row r="24" spans="1:5" ht="15" customHeight="1" x14ac:dyDescent="0.25">
      <c r="B24" s="73" t="s">
        <v>58</v>
      </c>
      <c r="C24" s="31" t="s">
        <v>28</v>
      </c>
      <c r="D24" s="30">
        <v>2</v>
      </c>
      <c r="E24" s="29">
        <v>9.4786729857819912E-3</v>
      </c>
    </row>
    <row r="25" spans="1:5" ht="15" customHeight="1" x14ac:dyDescent="0.25">
      <c r="B25" s="75"/>
      <c r="C25" s="28" t="s">
        <v>18</v>
      </c>
      <c r="D25" s="27">
        <v>2</v>
      </c>
      <c r="E25" s="26">
        <v>9.4786729857819912E-3</v>
      </c>
    </row>
    <row r="26" spans="1:5" ht="15" customHeight="1" x14ac:dyDescent="0.25">
      <c r="B26" s="73" t="s">
        <v>57</v>
      </c>
      <c r="C26" s="31" t="s">
        <v>41</v>
      </c>
      <c r="D26" s="30">
        <v>1</v>
      </c>
      <c r="E26" s="29">
        <v>4.7393364928909956E-3</v>
      </c>
    </row>
    <row r="27" spans="1:5" ht="15" customHeight="1" x14ac:dyDescent="0.25">
      <c r="B27" s="74"/>
      <c r="C27" s="31" t="s">
        <v>35</v>
      </c>
      <c r="D27" s="30">
        <v>1</v>
      </c>
      <c r="E27" s="29">
        <v>4.7393364928909956E-3</v>
      </c>
    </row>
    <row r="28" spans="1:5" ht="15" customHeight="1" x14ac:dyDescent="0.25">
      <c r="B28" s="74"/>
      <c r="C28" s="31" t="s">
        <v>34</v>
      </c>
      <c r="D28" s="30">
        <v>1</v>
      </c>
      <c r="E28" s="29">
        <v>4.7393364928909956E-3</v>
      </c>
    </row>
    <row r="29" spans="1:5" ht="15" customHeight="1" x14ac:dyDescent="0.25">
      <c r="B29" s="74"/>
      <c r="C29" s="31" t="s">
        <v>33</v>
      </c>
      <c r="D29" s="30">
        <v>1</v>
      </c>
      <c r="E29" s="29">
        <v>4.7393364928909956E-3</v>
      </c>
    </row>
    <row r="30" spans="1:5" ht="15" customHeight="1" x14ac:dyDescent="0.25">
      <c r="B30" s="74"/>
      <c r="C30" s="31" t="s">
        <v>32</v>
      </c>
      <c r="D30" s="30">
        <v>1</v>
      </c>
      <c r="E30" s="29">
        <v>4.7393364928909956E-3</v>
      </c>
    </row>
    <row r="31" spans="1:5" ht="15" customHeight="1" x14ac:dyDescent="0.25">
      <c r="B31" s="74"/>
      <c r="C31" s="31" t="s">
        <v>28</v>
      </c>
      <c r="D31" s="30">
        <v>2</v>
      </c>
      <c r="E31" s="29">
        <v>9.4786729857819912E-3</v>
      </c>
    </row>
    <row r="32" spans="1:5" ht="15" customHeight="1" x14ac:dyDescent="0.25">
      <c r="B32" s="74"/>
      <c r="C32" s="31" t="s">
        <v>27</v>
      </c>
      <c r="D32" s="30">
        <v>1</v>
      </c>
      <c r="E32" s="29">
        <v>4.7393364928909956E-3</v>
      </c>
    </row>
    <row r="33" spans="2:5" ht="15" customHeight="1" x14ac:dyDescent="0.25">
      <c r="B33" s="74"/>
      <c r="C33" s="31" t="s">
        <v>26</v>
      </c>
      <c r="D33" s="30">
        <v>1</v>
      </c>
      <c r="E33" s="29">
        <v>4.7393364928909956E-3</v>
      </c>
    </row>
    <row r="34" spans="2:5" ht="15" customHeight="1" x14ac:dyDescent="0.25">
      <c r="B34" s="74"/>
      <c r="C34" s="31" t="s">
        <v>25</v>
      </c>
      <c r="D34" s="30">
        <v>1</v>
      </c>
      <c r="E34" s="29">
        <v>4.7393364928909956E-3</v>
      </c>
    </row>
    <row r="35" spans="2:5" ht="15" customHeight="1" x14ac:dyDescent="0.25">
      <c r="B35" s="74"/>
      <c r="C35" s="31" t="s">
        <v>24</v>
      </c>
      <c r="D35" s="30">
        <v>1</v>
      </c>
      <c r="E35" s="29">
        <v>4.7393364928909956E-3</v>
      </c>
    </row>
    <row r="36" spans="2:5" ht="15" customHeight="1" x14ac:dyDescent="0.25">
      <c r="B36" s="74"/>
      <c r="C36" s="31" t="s">
        <v>22</v>
      </c>
      <c r="D36" s="30">
        <v>2</v>
      </c>
      <c r="E36" s="29">
        <v>9.4786729857819912E-3</v>
      </c>
    </row>
    <row r="37" spans="2:5" ht="15" customHeight="1" x14ac:dyDescent="0.25">
      <c r="B37" s="74"/>
      <c r="C37" s="31" t="s">
        <v>20</v>
      </c>
      <c r="D37" s="30">
        <v>1</v>
      </c>
      <c r="E37" s="29">
        <v>4.7393364928909956E-3</v>
      </c>
    </row>
    <row r="38" spans="2:5" ht="15" customHeight="1" x14ac:dyDescent="0.25">
      <c r="B38" s="75"/>
      <c r="C38" s="28" t="s">
        <v>18</v>
      </c>
      <c r="D38" s="27">
        <v>14</v>
      </c>
      <c r="E38" s="26">
        <v>6.6350710900473939E-2</v>
      </c>
    </row>
    <row r="39" spans="2:5" ht="15" customHeight="1" x14ac:dyDescent="0.25">
      <c r="B39" s="73" t="s">
        <v>56</v>
      </c>
      <c r="C39" s="31" t="s">
        <v>41</v>
      </c>
      <c r="D39" s="30">
        <v>4</v>
      </c>
      <c r="E39" s="29">
        <v>1.8957345971563982E-2</v>
      </c>
    </row>
    <row r="40" spans="2:5" ht="15" customHeight="1" x14ac:dyDescent="0.25">
      <c r="B40" s="74"/>
      <c r="C40" s="31" t="s">
        <v>37</v>
      </c>
      <c r="D40" s="30">
        <v>1</v>
      </c>
      <c r="E40" s="29">
        <v>4.7393364928909956E-3</v>
      </c>
    </row>
    <row r="41" spans="2:5" ht="15" customHeight="1" x14ac:dyDescent="0.25">
      <c r="B41" s="74"/>
      <c r="C41" s="31" t="s">
        <v>35</v>
      </c>
      <c r="D41" s="30">
        <v>4</v>
      </c>
      <c r="E41" s="29">
        <v>1.8957345971563982E-2</v>
      </c>
    </row>
    <row r="42" spans="2:5" ht="15" customHeight="1" x14ac:dyDescent="0.25">
      <c r="B42" s="74"/>
      <c r="C42" s="31" t="s">
        <v>34</v>
      </c>
      <c r="D42" s="30">
        <v>3</v>
      </c>
      <c r="E42" s="29">
        <v>1.4218009478672985E-2</v>
      </c>
    </row>
    <row r="43" spans="2:5" ht="15" customHeight="1" x14ac:dyDescent="0.25">
      <c r="B43" s="74"/>
      <c r="C43" s="31" t="s">
        <v>31</v>
      </c>
      <c r="D43" s="30">
        <v>2</v>
      </c>
      <c r="E43" s="29">
        <v>9.4786729857819912E-3</v>
      </c>
    </row>
    <row r="44" spans="2:5" ht="15" customHeight="1" x14ac:dyDescent="0.25">
      <c r="B44" s="74"/>
      <c r="C44" s="31" t="s">
        <v>29</v>
      </c>
      <c r="D44" s="30">
        <v>2</v>
      </c>
      <c r="E44" s="29">
        <v>9.4786729857819912E-3</v>
      </c>
    </row>
    <row r="45" spans="2:5" ht="15" customHeight="1" x14ac:dyDescent="0.25">
      <c r="B45" s="74"/>
      <c r="C45" s="31" t="s">
        <v>28</v>
      </c>
      <c r="D45" s="30">
        <v>9</v>
      </c>
      <c r="E45" s="29">
        <v>4.2654028436018961E-2</v>
      </c>
    </row>
    <row r="46" spans="2:5" ht="15" customHeight="1" x14ac:dyDescent="0.25">
      <c r="B46" s="74"/>
      <c r="C46" s="31" t="s">
        <v>27</v>
      </c>
      <c r="D46" s="30">
        <v>1</v>
      </c>
      <c r="E46" s="29">
        <v>4.7393364928909956E-3</v>
      </c>
    </row>
    <row r="47" spans="2:5" ht="15" customHeight="1" x14ac:dyDescent="0.25">
      <c r="B47" s="74"/>
      <c r="C47" s="31" t="s">
        <v>26</v>
      </c>
      <c r="D47" s="30">
        <v>2</v>
      </c>
      <c r="E47" s="29">
        <v>9.4786729857819912E-3</v>
      </c>
    </row>
    <row r="48" spans="2:5" ht="15" customHeight="1" x14ac:dyDescent="0.25">
      <c r="B48" s="74"/>
      <c r="C48" s="31" t="s">
        <v>25</v>
      </c>
      <c r="D48" s="30">
        <v>1</v>
      </c>
      <c r="E48" s="29">
        <v>4.7393364928909956E-3</v>
      </c>
    </row>
    <row r="49" spans="2:5" ht="15" customHeight="1" x14ac:dyDescent="0.25">
      <c r="B49" s="74"/>
      <c r="C49" s="31" t="s">
        <v>22</v>
      </c>
      <c r="D49" s="30">
        <v>3</v>
      </c>
      <c r="E49" s="29">
        <v>1.4218009478672985E-2</v>
      </c>
    </row>
    <row r="50" spans="2:5" ht="15" customHeight="1" x14ac:dyDescent="0.25">
      <c r="B50" s="75"/>
      <c r="C50" s="28" t="s">
        <v>18</v>
      </c>
      <c r="D50" s="27">
        <v>32</v>
      </c>
      <c r="E50" s="26">
        <v>0.15165876777251186</v>
      </c>
    </row>
    <row r="51" spans="2:5" ht="15" customHeight="1" x14ac:dyDescent="0.25">
      <c r="B51" s="73" t="s">
        <v>55</v>
      </c>
      <c r="C51" s="31" t="s">
        <v>34</v>
      </c>
      <c r="D51" s="30">
        <v>1</v>
      </c>
      <c r="E51" s="29">
        <v>4.7393364928909956E-3</v>
      </c>
    </row>
    <row r="52" spans="2:5" ht="15" customHeight="1" x14ac:dyDescent="0.25">
      <c r="B52" s="74"/>
      <c r="C52" s="31" t="s">
        <v>28</v>
      </c>
      <c r="D52" s="30">
        <v>1</v>
      </c>
      <c r="E52" s="29">
        <v>4.7393364928909956E-3</v>
      </c>
    </row>
    <row r="53" spans="2:5" ht="15" customHeight="1" x14ac:dyDescent="0.25">
      <c r="B53" s="74"/>
      <c r="C53" s="31" t="s">
        <v>23</v>
      </c>
      <c r="D53" s="30">
        <v>1</v>
      </c>
      <c r="E53" s="29">
        <v>4.7393364928909956E-3</v>
      </c>
    </row>
    <row r="54" spans="2:5" ht="15" customHeight="1" x14ac:dyDescent="0.25">
      <c r="B54" s="74"/>
      <c r="C54" s="31" t="s">
        <v>22</v>
      </c>
      <c r="D54" s="30">
        <v>1</v>
      </c>
      <c r="E54" s="29">
        <v>4.7393364928909956E-3</v>
      </c>
    </row>
    <row r="55" spans="2:5" ht="15" customHeight="1" x14ac:dyDescent="0.25">
      <c r="B55" s="75"/>
      <c r="C55" s="28" t="s">
        <v>18</v>
      </c>
      <c r="D55" s="27">
        <v>4</v>
      </c>
      <c r="E55" s="26">
        <v>1.8957345971563982E-2</v>
      </c>
    </row>
    <row r="56" spans="2:5" ht="15" customHeight="1" x14ac:dyDescent="0.25">
      <c r="B56" s="73" t="s">
        <v>54</v>
      </c>
      <c r="C56" s="31" t="s">
        <v>36</v>
      </c>
      <c r="D56" s="30">
        <v>2</v>
      </c>
      <c r="E56" s="29">
        <v>9.4786729857819912E-3</v>
      </c>
    </row>
    <row r="57" spans="2:5" ht="15" customHeight="1" x14ac:dyDescent="0.25">
      <c r="B57" s="74"/>
      <c r="C57" s="31" t="s">
        <v>34</v>
      </c>
      <c r="D57" s="30">
        <v>1</v>
      </c>
      <c r="E57" s="29">
        <v>4.7393364928909956E-3</v>
      </c>
    </row>
    <row r="58" spans="2:5" ht="15" customHeight="1" x14ac:dyDescent="0.25">
      <c r="B58" s="74"/>
      <c r="C58" s="31" t="s">
        <v>32</v>
      </c>
      <c r="D58" s="30">
        <v>1</v>
      </c>
      <c r="E58" s="29">
        <v>4.7393364928909956E-3</v>
      </c>
    </row>
    <row r="59" spans="2:5" ht="15" customHeight="1" x14ac:dyDescent="0.25">
      <c r="B59" s="74"/>
      <c r="C59" s="31" t="s">
        <v>31</v>
      </c>
      <c r="D59" s="30">
        <v>2</v>
      </c>
      <c r="E59" s="29">
        <v>9.4786729857819912E-3</v>
      </c>
    </row>
    <row r="60" spans="2:5" ht="15" customHeight="1" x14ac:dyDescent="0.25">
      <c r="B60" s="75"/>
      <c r="C60" s="28" t="s">
        <v>18</v>
      </c>
      <c r="D60" s="27">
        <v>6</v>
      </c>
      <c r="E60" s="26">
        <v>2.843601895734597E-2</v>
      </c>
    </row>
    <row r="61" spans="2:5" ht="15" customHeight="1" x14ac:dyDescent="0.25">
      <c r="B61" s="73" t="s">
        <v>53</v>
      </c>
      <c r="C61" s="31" t="s">
        <v>41</v>
      </c>
      <c r="D61" s="30">
        <v>1</v>
      </c>
      <c r="E61" s="29">
        <v>4.7393364928909956E-3</v>
      </c>
    </row>
    <row r="62" spans="2:5" ht="15" customHeight="1" x14ac:dyDescent="0.25">
      <c r="B62" s="74"/>
      <c r="C62" s="31" t="s">
        <v>38</v>
      </c>
      <c r="D62" s="30">
        <v>1</v>
      </c>
      <c r="E62" s="29">
        <v>4.7393364928909956E-3</v>
      </c>
    </row>
    <row r="63" spans="2:5" ht="15" customHeight="1" x14ac:dyDescent="0.25">
      <c r="B63" s="74"/>
      <c r="C63" s="31" t="s">
        <v>36</v>
      </c>
      <c r="D63" s="30">
        <v>2</v>
      </c>
      <c r="E63" s="29">
        <v>9.4786729857819912E-3</v>
      </c>
    </row>
    <row r="64" spans="2:5" ht="15" customHeight="1" x14ac:dyDescent="0.25">
      <c r="B64" s="74"/>
      <c r="C64" s="31" t="s">
        <v>32</v>
      </c>
      <c r="D64" s="30">
        <v>1</v>
      </c>
      <c r="E64" s="29">
        <v>4.7393364928909956E-3</v>
      </c>
    </row>
    <row r="65" spans="2:5" ht="15" customHeight="1" x14ac:dyDescent="0.25">
      <c r="B65" s="74"/>
      <c r="C65" s="31" t="s">
        <v>31</v>
      </c>
      <c r="D65" s="30">
        <v>1</v>
      </c>
      <c r="E65" s="29">
        <v>4.7393364928909956E-3</v>
      </c>
    </row>
    <row r="66" spans="2:5" ht="15" customHeight="1" x14ac:dyDescent="0.25">
      <c r="B66" s="74"/>
      <c r="C66" s="31" t="s">
        <v>28</v>
      </c>
      <c r="D66" s="30">
        <v>1</v>
      </c>
      <c r="E66" s="29">
        <v>4.7393364928909956E-3</v>
      </c>
    </row>
    <row r="67" spans="2:5" ht="15" customHeight="1" x14ac:dyDescent="0.25">
      <c r="B67" s="74"/>
      <c r="C67" s="31" t="s">
        <v>26</v>
      </c>
      <c r="D67" s="30">
        <v>1</v>
      </c>
      <c r="E67" s="29">
        <v>4.7393364928909956E-3</v>
      </c>
    </row>
    <row r="68" spans="2:5" ht="15" customHeight="1" x14ac:dyDescent="0.25">
      <c r="B68" s="74"/>
      <c r="C68" s="31" t="s">
        <v>23</v>
      </c>
      <c r="D68" s="30">
        <v>1</v>
      </c>
      <c r="E68" s="29">
        <v>4.7393364928909956E-3</v>
      </c>
    </row>
    <row r="69" spans="2:5" ht="15" customHeight="1" x14ac:dyDescent="0.25">
      <c r="B69" s="75"/>
      <c r="C69" s="28" t="s">
        <v>18</v>
      </c>
      <c r="D69" s="27">
        <v>9</v>
      </c>
      <c r="E69" s="26">
        <v>4.2654028436018961E-2</v>
      </c>
    </row>
    <row r="70" spans="2:5" ht="15" customHeight="1" x14ac:dyDescent="0.25">
      <c r="B70" s="73" t="s">
        <v>52</v>
      </c>
      <c r="C70" s="31" t="s">
        <v>41</v>
      </c>
      <c r="D70" s="30">
        <v>3</v>
      </c>
      <c r="E70" s="29">
        <v>1.4218009478672985E-2</v>
      </c>
    </row>
    <row r="71" spans="2:5" ht="15" customHeight="1" x14ac:dyDescent="0.25">
      <c r="B71" s="74"/>
      <c r="C71" s="31" t="s">
        <v>40</v>
      </c>
      <c r="D71" s="30">
        <v>3</v>
      </c>
      <c r="E71" s="29">
        <v>1.4218009478672985E-2</v>
      </c>
    </row>
    <row r="72" spans="2:5" ht="15" customHeight="1" x14ac:dyDescent="0.25">
      <c r="B72" s="74"/>
      <c r="C72" s="31" t="s">
        <v>38</v>
      </c>
      <c r="D72" s="30">
        <v>3</v>
      </c>
      <c r="E72" s="29">
        <v>1.4218009478672985E-2</v>
      </c>
    </row>
    <row r="73" spans="2:5" ht="15" customHeight="1" x14ac:dyDescent="0.25">
      <c r="B73" s="74"/>
      <c r="C73" s="31" t="s">
        <v>39</v>
      </c>
      <c r="D73" s="30">
        <v>3</v>
      </c>
      <c r="E73" s="29">
        <v>1.4218009478672985E-2</v>
      </c>
    </row>
    <row r="74" spans="2:5" ht="15" customHeight="1" x14ac:dyDescent="0.25">
      <c r="B74" s="74"/>
      <c r="C74" s="31" t="s">
        <v>37</v>
      </c>
      <c r="D74" s="30">
        <v>1</v>
      </c>
      <c r="E74" s="29">
        <v>4.7393364928909956E-3</v>
      </c>
    </row>
    <row r="75" spans="2:5" ht="15" customHeight="1" x14ac:dyDescent="0.25">
      <c r="B75" s="74"/>
      <c r="C75" s="31" t="s">
        <v>36</v>
      </c>
      <c r="D75" s="30">
        <v>5</v>
      </c>
      <c r="E75" s="29">
        <v>2.3696682464454975E-2</v>
      </c>
    </row>
    <row r="76" spans="2:5" ht="15" customHeight="1" x14ac:dyDescent="0.25">
      <c r="B76" s="74"/>
      <c r="C76" s="31" t="s">
        <v>35</v>
      </c>
      <c r="D76" s="30">
        <v>5</v>
      </c>
      <c r="E76" s="29">
        <v>2.3696682464454975E-2</v>
      </c>
    </row>
    <row r="77" spans="2:5" ht="15" customHeight="1" x14ac:dyDescent="0.25">
      <c r="B77" s="74"/>
      <c r="C77" s="31" t="s">
        <v>34</v>
      </c>
      <c r="D77" s="30">
        <v>5</v>
      </c>
      <c r="E77" s="29">
        <v>2.3696682464454975E-2</v>
      </c>
    </row>
    <row r="78" spans="2:5" ht="15" customHeight="1" x14ac:dyDescent="0.25">
      <c r="B78" s="74"/>
      <c r="C78" s="31" t="s">
        <v>33</v>
      </c>
      <c r="D78" s="30">
        <v>5</v>
      </c>
      <c r="E78" s="29">
        <v>2.3696682464454975E-2</v>
      </c>
    </row>
    <row r="79" spans="2:5" ht="15" customHeight="1" x14ac:dyDescent="0.25">
      <c r="B79" s="74"/>
      <c r="C79" s="31" t="s">
        <v>32</v>
      </c>
      <c r="D79" s="30">
        <v>6</v>
      </c>
      <c r="E79" s="29">
        <v>2.843601895734597E-2</v>
      </c>
    </row>
    <row r="80" spans="2:5" ht="15" customHeight="1" x14ac:dyDescent="0.25">
      <c r="B80" s="74"/>
      <c r="C80" s="31" t="s">
        <v>31</v>
      </c>
      <c r="D80" s="30">
        <v>14</v>
      </c>
      <c r="E80" s="29">
        <v>6.6350710900473939E-2</v>
      </c>
    </row>
    <row r="81" spans="2:5" ht="15" customHeight="1" x14ac:dyDescent="0.25">
      <c r="B81" s="74"/>
      <c r="C81" s="31" t="s">
        <v>30</v>
      </c>
      <c r="D81" s="30">
        <v>1</v>
      </c>
      <c r="E81" s="29">
        <v>4.7393364928909956E-3</v>
      </c>
    </row>
    <row r="82" spans="2:5" ht="15" customHeight="1" x14ac:dyDescent="0.25">
      <c r="B82" s="74"/>
      <c r="C82" s="31" t="s">
        <v>28</v>
      </c>
      <c r="D82" s="30">
        <v>8</v>
      </c>
      <c r="E82" s="29">
        <v>3.7914691943127965E-2</v>
      </c>
    </row>
    <row r="83" spans="2:5" ht="15" customHeight="1" x14ac:dyDescent="0.25">
      <c r="B83" s="74"/>
      <c r="C83" s="31" t="s">
        <v>27</v>
      </c>
      <c r="D83" s="30">
        <v>6</v>
      </c>
      <c r="E83" s="29">
        <v>2.843601895734597E-2</v>
      </c>
    </row>
    <row r="84" spans="2:5" ht="15" customHeight="1" x14ac:dyDescent="0.25">
      <c r="B84" s="74"/>
      <c r="C84" s="31" t="s">
        <v>26</v>
      </c>
      <c r="D84" s="30">
        <v>1</v>
      </c>
      <c r="E84" s="29">
        <v>4.7393364928909956E-3</v>
      </c>
    </row>
    <row r="85" spans="2:5" ht="15" customHeight="1" x14ac:dyDescent="0.25">
      <c r="B85" s="74"/>
      <c r="C85" s="31" t="s">
        <v>25</v>
      </c>
      <c r="D85" s="30">
        <v>2</v>
      </c>
      <c r="E85" s="29">
        <v>9.4786729857819912E-3</v>
      </c>
    </row>
    <row r="86" spans="2:5" ht="15" customHeight="1" x14ac:dyDescent="0.25">
      <c r="B86" s="74"/>
      <c r="C86" s="31" t="s">
        <v>24</v>
      </c>
      <c r="D86" s="30">
        <v>3</v>
      </c>
      <c r="E86" s="29">
        <v>1.4218009478672985E-2</v>
      </c>
    </row>
    <row r="87" spans="2:5" ht="15" customHeight="1" x14ac:dyDescent="0.25">
      <c r="B87" s="74"/>
      <c r="C87" s="31" t="s">
        <v>23</v>
      </c>
      <c r="D87" s="30">
        <v>1</v>
      </c>
      <c r="E87" s="29">
        <v>4.7393364928909956E-3</v>
      </c>
    </row>
    <row r="88" spans="2:5" ht="15" customHeight="1" x14ac:dyDescent="0.25">
      <c r="B88" s="74"/>
      <c r="C88" s="31" t="s">
        <v>22</v>
      </c>
      <c r="D88" s="30">
        <v>7</v>
      </c>
      <c r="E88" s="29">
        <v>3.3175355450236969E-2</v>
      </c>
    </row>
    <row r="89" spans="2:5" ht="15" customHeight="1" x14ac:dyDescent="0.25">
      <c r="B89" s="75"/>
      <c r="C89" s="28" t="s">
        <v>18</v>
      </c>
      <c r="D89" s="27">
        <v>82</v>
      </c>
      <c r="E89" s="26">
        <v>0.38862559241706163</v>
      </c>
    </row>
    <row r="90" spans="2:5" ht="15" customHeight="1" x14ac:dyDescent="0.25">
      <c r="B90" s="73" t="s">
        <v>51</v>
      </c>
      <c r="C90" s="31" t="s">
        <v>35</v>
      </c>
      <c r="D90" s="30">
        <v>1</v>
      </c>
      <c r="E90" s="29">
        <v>4.7393364928909956E-3</v>
      </c>
    </row>
    <row r="91" spans="2:5" ht="15" customHeight="1" x14ac:dyDescent="0.25">
      <c r="B91" s="74"/>
      <c r="C91" s="31" t="s">
        <v>34</v>
      </c>
      <c r="D91" s="30">
        <v>1</v>
      </c>
      <c r="E91" s="29">
        <v>4.7393364928909956E-3</v>
      </c>
    </row>
    <row r="92" spans="2:5" ht="15" customHeight="1" x14ac:dyDescent="0.25">
      <c r="B92" s="74"/>
      <c r="C92" s="31" t="s">
        <v>32</v>
      </c>
      <c r="D92" s="30">
        <v>3</v>
      </c>
      <c r="E92" s="29">
        <v>1.4218009478672985E-2</v>
      </c>
    </row>
    <row r="93" spans="2:5" ht="15" customHeight="1" x14ac:dyDescent="0.25">
      <c r="B93" s="74"/>
      <c r="C93" s="31" t="s">
        <v>31</v>
      </c>
      <c r="D93" s="30">
        <v>1</v>
      </c>
      <c r="E93" s="29">
        <v>4.7393364928909956E-3</v>
      </c>
    </row>
    <row r="94" spans="2:5" ht="15" customHeight="1" x14ac:dyDescent="0.25">
      <c r="B94" s="74"/>
      <c r="C94" s="31" t="s">
        <v>26</v>
      </c>
      <c r="D94" s="30">
        <v>1</v>
      </c>
      <c r="E94" s="29">
        <v>4.7393364928909956E-3</v>
      </c>
    </row>
    <row r="95" spans="2:5" ht="15" customHeight="1" x14ac:dyDescent="0.25">
      <c r="B95" s="74"/>
      <c r="C95" s="31" t="s">
        <v>22</v>
      </c>
      <c r="D95" s="30">
        <v>4</v>
      </c>
      <c r="E95" s="29">
        <v>1.8957345971563982E-2</v>
      </c>
    </row>
    <row r="96" spans="2:5" ht="15" customHeight="1" x14ac:dyDescent="0.25">
      <c r="B96" s="75"/>
      <c r="C96" s="28" t="s">
        <v>18</v>
      </c>
      <c r="D96" s="27">
        <v>11</v>
      </c>
      <c r="E96" s="26">
        <v>5.2132701421800945E-2</v>
      </c>
    </row>
    <row r="97" spans="2:5" ht="15" customHeight="1" x14ac:dyDescent="0.25">
      <c r="B97" s="73" t="s">
        <v>50</v>
      </c>
      <c r="C97" s="31" t="s">
        <v>42</v>
      </c>
      <c r="D97" s="30">
        <v>1</v>
      </c>
      <c r="E97" s="29">
        <v>4.7393364928909956E-3</v>
      </c>
    </row>
    <row r="98" spans="2:5" ht="15" customHeight="1" x14ac:dyDescent="0.25">
      <c r="B98" s="74"/>
      <c r="C98" s="31" t="s">
        <v>41</v>
      </c>
      <c r="D98" s="30">
        <v>1</v>
      </c>
      <c r="E98" s="29">
        <v>4.7393364928909956E-3</v>
      </c>
    </row>
    <row r="99" spans="2:5" ht="15" customHeight="1" x14ac:dyDescent="0.25">
      <c r="B99" s="74"/>
      <c r="C99" s="31" t="s">
        <v>40</v>
      </c>
      <c r="D99" s="30">
        <v>1</v>
      </c>
      <c r="E99" s="29">
        <v>4.7393364928909956E-3</v>
      </c>
    </row>
    <row r="100" spans="2:5" ht="15" customHeight="1" x14ac:dyDescent="0.25">
      <c r="B100" s="74"/>
      <c r="C100" s="31" t="s">
        <v>38</v>
      </c>
      <c r="D100" s="30">
        <v>3</v>
      </c>
      <c r="E100" s="29">
        <v>1.4218009478672985E-2</v>
      </c>
    </row>
    <row r="101" spans="2:5" ht="15" customHeight="1" x14ac:dyDescent="0.25">
      <c r="B101" s="74"/>
      <c r="C101" s="31" t="s">
        <v>39</v>
      </c>
      <c r="D101" s="30">
        <v>1</v>
      </c>
      <c r="E101" s="29">
        <v>4.7393364928909956E-3</v>
      </c>
    </row>
    <row r="102" spans="2:5" ht="15" customHeight="1" x14ac:dyDescent="0.25">
      <c r="B102" s="74"/>
      <c r="C102" s="31" t="s">
        <v>36</v>
      </c>
      <c r="D102" s="30">
        <v>2</v>
      </c>
      <c r="E102" s="29">
        <v>9.4786729857819912E-3</v>
      </c>
    </row>
    <row r="103" spans="2:5" ht="15" customHeight="1" x14ac:dyDescent="0.25">
      <c r="B103" s="74"/>
      <c r="C103" s="31" t="s">
        <v>35</v>
      </c>
      <c r="D103" s="30">
        <v>3</v>
      </c>
      <c r="E103" s="29">
        <v>1.4218009478672985E-2</v>
      </c>
    </row>
    <row r="104" spans="2:5" ht="15" customHeight="1" x14ac:dyDescent="0.25">
      <c r="B104" s="74"/>
      <c r="C104" s="31" t="s">
        <v>34</v>
      </c>
      <c r="D104" s="30">
        <v>4</v>
      </c>
      <c r="E104" s="29">
        <v>1.8957345971563982E-2</v>
      </c>
    </row>
    <row r="105" spans="2:5" ht="15" customHeight="1" x14ac:dyDescent="0.25">
      <c r="B105" s="74"/>
      <c r="C105" s="31" t="s">
        <v>33</v>
      </c>
      <c r="D105" s="30">
        <v>1</v>
      </c>
      <c r="E105" s="29">
        <v>4.7393364928909956E-3</v>
      </c>
    </row>
    <row r="106" spans="2:5" ht="15" customHeight="1" x14ac:dyDescent="0.25">
      <c r="B106" s="74"/>
      <c r="C106" s="31" t="s">
        <v>32</v>
      </c>
      <c r="D106" s="30">
        <v>3</v>
      </c>
      <c r="E106" s="29">
        <v>1.4218009478672985E-2</v>
      </c>
    </row>
    <row r="107" spans="2:5" ht="15" customHeight="1" x14ac:dyDescent="0.25">
      <c r="B107" s="74"/>
      <c r="C107" s="31" t="s">
        <v>31</v>
      </c>
      <c r="D107" s="30">
        <v>1</v>
      </c>
      <c r="E107" s="29">
        <v>4.7393364928909956E-3</v>
      </c>
    </row>
    <row r="108" spans="2:5" ht="15" customHeight="1" x14ac:dyDescent="0.25">
      <c r="B108" s="74"/>
      <c r="C108" s="31" t="s">
        <v>28</v>
      </c>
      <c r="D108" s="30">
        <v>2</v>
      </c>
      <c r="E108" s="29">
        <v>9.4786729857819912E-3</v>
      </c>
    </row>
    <row r="109" spans="2:5" ht="15" customHeight="1" x14ac:dyDescent="0.25">
      <c r="B109" s="74"/>
      <c r="C109" s="31" t="s">
        <v>27</v>
      </c>
      <c r="D109" s="30">
        <v>1</v>
      </c>
      <c r="E109" s="29">
        <v>4.7393364928909956E-3</v>
      </c>
    </row>
    <row r="110" spans="2:5" ht="15" customHeight="1" x14ac:dyDescent="0.25">
      <c r="B110" s="74"/>
      <c r="C110" s="31" t="s">
        <v>24</v>
      </c>
      <c r="D110" s="30">
        <v>1</v>
      </c>
      <c r="E110" s="29">
        <v>4.7393364928909956E-3</v>
      </c>
    </row>
    <row r="111" spans="2:5" ht="15" customHeight="1" x14ac:dyDescent="0.25">
      <c r="B111" s="74"/>
      <c r="C111" s="31" t="s">
        <v>22</v>
      </c>
      <c r="D111" s="30">
        <v>4</v>
      </c>
      <c r="E111" s="29">
        <v>1.8957345971563982E-2</v>
      </c>
    </row>
    <row r="112" spans="2:5" ht="15" customHeight="1" x14ac:dyDescent="0.25">
      <c r="B112" s="75"/>
      <c r="C112" s="28" t="s">
        <v>18</v>
      </c>
      <c r="D112" s="27">
        <v>29</v>
      </c>
      <c r="E112" s="26">
        <v>0.13744075829383887</v>
      </c>
    </row>
    <row r="113" spans="2:5" ht="15" customHeight="1" x14ac:dyDescent="0.25">
      <c r="B113" s="73" t="s">
        <v>49</v>
      </c>
      <c r="C113" s="31" t="s">
        <v>32</v>
      </c>
      <c r="D113" s="30">
        <v>1</v>
      </c>
      <c r="E113" s="29">
        <v>4.7393364928909956E-3</v>
      </c>
    </row>
    <row r="114" spans="2:5" ht="15" customHeight="1" x14ac:dyDescent="0.25">
      <c r="B114" s="75"/>
      <c r="C114" s="28" t="s">
        <v>18</v>
      </c>
      <c r="D114" s="27">
        <v>1</v>
      </c>
      <c r="E114" s="26">
        <v>4.7393364928909956E-3</v>
      </c>
    </row>
    <row r="115" spans="2:5" ht="15" customHeight="1" x14ac:dyDescent="0.25">
      <c r="B115" s="73" t="s">
        <v>48</v>
      </c>
      <c r="C115" s="31" t="s">
        <v>40</v>
      </c>
      <c r="D115" s="30">
        <v>1</v>
      </c>
      <c r="E115" s="29">
        <v>4.7393364928909956E-3</v>
      </c>
    </row>
    <row r="116" spans="2:5" ht="15" customHeight="1" x14ac:dyDescent="0.25">
      <c r="B116" s="74"/>
      <c r="C116" s="31" t="s">
        <v>38</v>
      </c>
      <c r="D116" s="30">
        <v>2</v>
      </c>
      <c r="E116" s="29">
        <v>9.4786729857819912E-3</v>
      </c>
    </row>
    <row r="117" spans="2:5" ht="15" customHeight="1" x14ac:dyDescent="0.25">
      <c r="B117" s="74"/>
      <c r="C117" s="31" t="s">
        <v>39</v>
      </c>
      <c r="D117" s="30">
        <v>1</v>
      </c>
      <c r="E117" s="29">
        <v>4.7393364928909956E-3</v>
      </c>
    </row>
    <row r="118" spans="2:5" ht="15" customHeight="1" x14ac:dyDescent="0.25">
      <c r="B118" s="74"/>
      <c r="C118" s="31" t="s">
        <v>34</v>
      </c>
      <c r="D118" s="30">
        <v>2</v>
      </c>
      <c r="E118" s="29">
        <v>9.4786729857819912E-3</v>
      </c>
    </row>
    <row r="119" spans="2:5" ht="15" customHeight="1" x14ac:dyDescent="0.25">
      <c r="B119" s="74"/>
      <c r="C119" s="31" t="s">
        <v>31</v>
      </c>
      <c r="D119" s="30">
        <v>1</v>
      </c>
      <c r="E119" s="29">
        <v>4.7393364928909956E-3</v>
      </c>
    </row>
    <row r="120" spans="2:5" ht="15" customHeight="1" x14ac:dyDescent="0.25">
      <c r="B120" s="74"/>
      <c r="C120" s="31" t="s">
        <v>29</v>
      </c>
      <c r="D120" s="30">
        <v>1</v>
      </c>
      <c r="E120" s="29">
        <v>4.7393364928909956E-3</v>
      </c>
    </row>
    <row r="121" spans="2:5" ht="15" customHeight="1" x14ac:dyDescent="0.25">
      <c r="B121" s="74"/>
      <c r="C121" s="31" t="s">
        <v>22</v>
      </c>
      <c r="D121" s="30">
        <v>1</v>
      </c>
      <c r="E121" s="29">
        <v>4.7393364928909956E-3</v>
      </c>
    </row>
    <row r="122" spans="2:5" ht="15" customHeight="1" x14ac:dyDescent="0.25">
      <c r="B122" s="75"/>
      <c r="C122" s="28" t="s">
        <v>18</v>
      </c>
      <c r="D122" s="27">
        <v>9</v>
      </c>
      <c r="E122" s="26">
        <v>4.2654028436018961E-2</v>
      </c>
    </row>
    <row r="123" spans="2:5" ht="15" customHeight="1" x14ac:dyDescent="0.25">
      <c r="B123" s="73" t="s">
        <v>47</v>
      </c>
      <c r="C123" s="31" t="s">
        <v>38</v>
      </c>
      <c r="D123" s="30">
        <v>1</v>
      </c>
      <c r="E123" s="29">
        <v>4.7393364928909956E-3</v>
      </c>
    </row>
    <row r="124" spans="2:5" ht="15" customHeight="1" x14ac:dyDescent="0.25">
      <c r="B124" s="75"/>
      <c r="C124" s="28" t="s">
        <v>18</v>
      </c>
      <c r="D124" s="27">
        <v>1</v>
      </c>
      <c r="E124" s="26">
        <v>4.7393364928909956E-3</v>
      </c>
    </row>
    <row r="125" spans="2:5" ht="15" customHeight="1" x14ac:dyDescent="0.25">
      <c r="B125" s="76" t="s">
        <v>18</v>
      </c>
      <c r="C125" s="77"/>
      <c r="D125" s="25">
        <v>211</v>
      </c>
      <c r="E125" s="24">
        <v>1</v>
      </c>
    </row>
    <row r="127" spans="2:5" ht="15" customHeight="1" x14ac:dyDescent="0.25">
      <c r="B127" s="21" t="s">
        <v>17</v>
      </c>
    </row>
    <row r="128" spans="2:5" ht="15" customHeight="1" x14ac:dyDescent="0.25">
      <c r="B128" s="23" t="s">
        <v>16</v>
      </c>
    </row>
    <row r="129" spans="2:2" ht="15" customHeight="1" x14ac:dyDescent="0.25">
      <c r="B129" s="22" t="s">
        <v>15</v>
      </c>
    </row>
    <row r="130" spans="2:2" ht="15" customHeight="1" x14ac:dyDescent="0.25">
      <c r="B130" s="21" t="s">
        <v>14</v>
      </c>
    </row>
    <row r="131" spans="2:2" ht="15" customHeight="1" x14ac:dyDescent="0.25">
      <c r="B131" s="21" t="s">
        <v>13</v>
      </c>
    </row>
  </sheetData>
  <mergeCells count="18">
    <mergeCell ref="B24:B25"/>
    <mergeCell ref="B26:B38"/>
    <mergeCell ref="B39:B50"/>
    <mergeCell ref="B51:B55"/>
    <mergeCell ref="B56:B60"/>
    <mergeCell ref="B7:E8"/>
    <mergeCell ref="B10:B11"/>
    <mergeCell ref="B12:B14"/>
    <mergeCell ref="B15:B18"/>
    <mergeCell ref="B19:B23"/>
    <mergeCell ref="B115:B122"/>
    <mergeCell ref="B123:B124"/>
    <mergeCell ref="B125:C125"/>
    <mergeCell ref="B61:B69"/>
    <mergeCell ref="B70:B89"/>
    <mergeCell ref="B90:B96"/>
    <mergeCell ref="B97:B112"/>
    <mergeCell ref="B113:B11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89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85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45</v>
      </c>
      <c r="C11" s="55" t="s">
        <v>44</v>
      </c>
      <c r="D11" s="54" t="s">
        <v>43</v>
      </c>
    </row>
    <row r="12" spans="2:4" ht="15" customHeight="1" x14ac:dyDescent="0.25">
      <c r="B12" s="52" t="s">
        <v>84</v>
      </c>
      <c r="C12" s="51">
        <v>149</v>
      </c>
      <c r="D12" s="50">
        <v>0.35817307692307693</v>
      </c>
    </row>
    <row r="13" spans="2:4" ht="15" customHeight="1" x14ac:dyDescent="0.25">
      <c r="B13" s="52" t="s">
        <v>83</v>
      </c>
      <c r="C13" s="51">
        <v>59</v>
      </c>
      <c r="D13" s="50">
        <v>0.14182692307692307</v>
      </c>
    </row>
    <row r="14" spans="2:4" x14ac:dyDescent="0.25">
      <c r="B14" s="49" t="s">
        <v>82</v>
      </c>
      <c r="C14" s="48">
        <v>416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46</v>
      </c>
      <c r="C9" s="36" t="s">
        <v>45</v>
      </c>
      <c r="D9" s="35" t="s">
        <v>44</v>
      </c>
      <c r="E9" s="34" t="s">
        <v>43</v>
      </c>
    </row>
    <row r="10" spans="1:5" ht="15" customHeight="1" x14ac:dyDescent="0.25">
      <c r="B10" s="73" t="s">
        <v>42</v>
      </c>
      <c r="C10" s="31" t="s">
        <v>19</v>
      </c>
      <c r="D10" s="30">
        <v>1</v>
      </c>
      <c r="E10" s="29">
        <v>4.807692307692308E-3</v>
      </c>
    </row>
    <row r="11" spans="1:5" ht="15" customHeight="1" x14ac:dyDescent="0.25">
      <c r="B11" s="75"/>
      <c r="C11" s="28" t="s">
        <v>18</v>
      </c>
      <c r="D11" s="27">
        <v>1</v>
      </c>
      <c r="E11" s="26">
        <v>4.807692307692308E-3</v>
      </c>
    </row>
    <row r="12" spans="1:5" ht="15" customHeight="1" x14ac:dyDescent="0.25">
      <c r="B12" s="73" t="s">
        <v>41</v>
      </c>
      <c r="C12" s="31" t="s">
        <v>19</v>
      </c>
      <c r="D12" s="30">
        <v>11</v>
      </c>
      <c r="E12" s="29">
        <v>5.2884615384615384E-2</v>
      </c>
    </row>
    <row r="13" spans="1:5" ht="15" customHeight="1" x14ac:dyDescent="0.25">
      <c r="B13" s="75"/>
      <c r="C13" s="28" t="s">
        <v>18</v>
      </c>
      <c r="D13" s="27">
        <v>11</v>
      </c>
      <c r="E13" s="26">
        <v>5.2884615384615384E-2</v>
      </c>
    </row>
    <row r="14" spans="1:5" ht="15" customHeight="1" x14ac:dyDescent="0.25">
      <c r="B14" s="73" t="s">
        <v>40</v>
      </c>
      <c r="C14" s="31" t="s">
        <v>19</v>
      </c>
      <c r="D14" s="30">
        <v>1</v>
      </c>
      <c r="E14" s="29">
        <v>4.807692307692308E-3</v>
      </c>
    </row>
    <row r="15" spans="1:5" s="32" customFormat="1" ht="15" customHeight="1" x14ac:dyDescent="0.2">
      <c r="B15" s="74"/>
      <c r="C15" s="31" t="s">
        <v>21</v>
      </c>
      <c r="D15" s="30">
        <v>1</v>
      </c>
      <c r="E15" s="29">
        <v>4.807692307692308E-3</v>
      </c>
    </row>
    <row r="16" spans="1:5" s="32" customFormat="1" ht="15" customHeight="1" x14ac:dyDescent="0.2">
      <c r="B16" s="75"/>
      <c r="C16" s="28" t="s">
        <v>18</v>
      </c>
      <c r="D16" s="27">
        <v>2</v>
      </c>
      <c r="E16" s="26">
        <v>9.6153846153846159E-3</v>
      </c>
    </row>
    <row r="17" spans="2:5" s="32" customFormat="1" ht="15" customHeight="1" x14ac:dyDescent="0.2">
      <c r="B17" s="73" t="s">
        <v>39</v>
      </c>
      <c r="C17" s="31" t="s">
        <v>19</v>
      </c>
      <c r="D17" s="30">
        <v>4</v>
      </c>
      <c r="E17" s="29">
        <v>1.9230769230769232E-2</v>
      </c>
    </row>
    <row r="18" spans="2:5" s="32" customFormat="1" ht="15" customHeight="1" x14ac:dyDescent="0.2">
      <c r="B18" s="74"/>
      <c r="C18" s="31" t="s">
        <v>21</v>
      </c>
      <c r="D18" s="30">
        <v>1</v>
      </c>
      <c r="E18" s="29">
        <v>4.807692307692308E-3</v>
      </c>
    </row>
    <row r="19" spans="2:5" s="32" customFormat="1" ht="15" customHeight="1" x14ac:dyDescent="0.2">
      <c r="B19" s="75"/>
      <c r="C19" s="28" t="s">
        <v>18</v>
      </c>
      <c r="D19" s="27">
        <v>5</v>
      </c>
      <c r="E19" s="26">
        <v>2.403846153846154E-2</v>
      </c>
    </row>
    <row r="20" spans="2:5" ht="15" customHeight="1" x14ac:dyDescent="0.25">
      <c r="B20" s="73" t="s">
        <v>38</v>
      </c>
      <c r="C20" s="31" t="s">
        <v>19</v>
      </c>
      <c r="D20" s="30">
        <v>5</v>
      </c>
      <c r="E20" s="29">
        <v>2.403846153846154E-2</v>
      </c>
    </row>
    <row r="21" spans="2:5" ht="15" customHeight="1" x14ac:dyDescent="0.25">
      <c r="B21" s="74"/>
      <c r="C21" s="31" t="s">
        <v>21</v>
      </c>
      <c r="D21" s="30">
        <v>5</v>
      </c>
      <c r="E21" s="29">
        <v>2.403846153846154E-2</v>
      </c>
    </row>
    <row r="22" spans="2:5" ht="15" customHeight="1" x14ac:dyDescent="0.25">
      <c r="B22" s="75"/>
      <c r="C22" s="28" t="s">
        <v>18</v>
      </c>
      <c r="D22" s="27">
        <v>10</v>
      </c>
      <c r="E22" s="26">
        <v>4.807692307692308E-2</v>
      </c>
    </row>
    <row r="23" spans="2:5" ht="15" customHeight="1" x14ac:dyDescent="0.25">
      <c r="B23" s="73" t="s">
        <v>37</v>
      </c>
      <c r="C23" s="31" t="s">
        <v>19</v>
      </c>
      <c r="D23" s="30">
        <v>1</v>
      </c>
      <c r="E23" s="29">
        <v>4.807692307692308E-3</v>
      </c>
    </row>
    <row r="24" spans="2:5" ht="15" customHeight="1" x14ac:dyDescent="0.25">
      <c r="B24" s="74"/>
      <c r="C24" s="31" t="s">
        <v>21</v>
      </c>
      <c r="D24" s="30">
        <v>1</v>
      </c>
      <c r="E24" s="29">
        <v>4.807692307692308E-3</v>
      </c>
    </row>
    <row r="25" spans="2:5" ht="15" customHeight="1" x14ac:dyDescent="0.25">
      <c r="B25" s="75"/>
      <c r="C25" s="28" t="s">
        <v>18</v>
      </c>
      <c r="D25" s="27">
        <v>2</v>
      </c>
      <c r="E25" s="26">
        <v>9.6153846153846159E-3</v>
      </c>
    </row>
    <row r="26" spans="2:5" ht="15" customHeight="1" x14ac:dyDescent="0.25">
      <c r="B26" s="73" t="s">
        <v>36</v>
      </c>
      <c r="C26" s="31" t="s">
        <v>19</v>
      </c>
      <c r="D26" s="30">
        <v>9</v>
      </c>
      <c r="E26" s="29">
        <v>4.3269230769230768E-2</v>
      </c>
    </row>
    <row r="27" spans="2:5" ht="15" customHeight="1" x14ac:dyDescent="0.25">
      <c r="B27" s="74"/>
      <c r="C27" s="31" t="s">
        <v>21</v>
      </c>
      <c r="D27" s="30">
        <v>3</v>
      </c>
      <c r="E27" s="29">
        <v>1.4423076923076924E-2</v>
      </c>
    </row>
    <row r="28" spans="2:5" ht="15" customHeight="1" x14ac:dyDescent="0.25">
      <c r="B28" s="75"/>
      <c r="C28" s="28" t="s">
        <v>18</v>
      </c>
      <c r="D28" s="27">
        <v>12</v>
      </c>
      <c r="E28" s="26">
        <v>5.7692307692307696E-2</v>
      </c>
    </row>
    <row r="29" spans="2:5" ht="15" customHeight="1" x14ac:dyDescent="0.25">
      <c r="B29" s="73" t="s">
        <v>35</v>
      </c>
      <c r="C29" s="31" t="s">
        <v>19</v>
      </c>
      <c r="D29" s="30">
        <v>13</v>
      </c>
      <c r="E29" s="29">
        <v>6.25E-2</v>
      </c>
    </row>
    <row r="30" spans="2:5" ht="15" customHeight="1" x14ac:dyDescent="0.25">
      <c r="B30" s="74"/>
      <c r="C30" s="31" t="s">
        <v>21</v>
      </c>
      <c r="D30" s="30">
        <v>2</v>
      </c>
      <c r="E30" s="29">
        <v>9.6153846153846159E-3</v>
      </c>
    </row>
    <row r="31" spans="2:5" ht="15" customHeight="1" x14ac:dyDescent="0.25">
      <c r="B31" s="75"/>
      <c r="C31" s="28" t="s">
        <v>18</v>
      </c>
      <c r="D31" s="27">
        <v>15</v>
      </c>
      <c r="E31" s="26">
        <v>7.2115384615384609E-2</v>
      </c>
    </row>
    <row r="32" spans="2:5" ht="15" customHeight="1" x14ac:dyDescent="0.25">
      <c r="B32" s="73" t="s">
        <v>34</v>
      </c>
      <c r="C32" s="31" t="s">
        <v>19</v>
      </c>
      <c r="D32" s="30">
        <v>17</v>
      </c>
      <c r="E32" s="29">
        <v>8.1730769230769232E-2</v>
      </c>
    </row>
    <row r="33" spans="2:5" ht="15" customHeight="1" x14ac:dyDescent="0.25">
      <c r="B33" s="74"/>
      <c r="C33" s="31" t="s">
        <v>21</v>
      </c>
      <c r="D33" s="30">
        <v>4</v>
      </c>
      <c r="E33" s="29">
        <v>1.9230769230769232E-2</v>
      </c>
    </row>
    <row r="34" spans="2:5" ht="15" customHeight="1" x14ac:dyDescent="0.25">
      <c r="B34" s="75"/>
      <c r="C34" s="28" t="s">
        <v>18</v>
      </c>
      <c r="D34" s="27">
        <v>21</v>
      </c>
      <c r="E34" s="26">
        <v>0.10096153846153846</v>
      </c>
    </row>
    <row r="35" spans="2:5" ht="15" customHeight="1" x14ac:dyDescent="0.25">
      <c r="B35" s="73" t="s">
        <v>33</v>
      </c>
      <c r="C35" s="31" t="s">
        <v>19</v>
      </c>
      <c r="D35" s="30">
        <v>7</v>
      </c>
      <c r="E35" s="29">
        <v>3.3653846153846152E-2</v>
      </c>
    </row>
    <row r="36" spans="2:5" ht="15" customHeight="1" x14ac:dyDescent="0.25">
      <c r="B36" s="74"/>
      <c r="C36" s="31" t="s">
        <v>21</v>
      </c>
      <c r="D36" s="30">
        <v>1</v>
      </c>
      <c r="E36" s="29">
        <v>4.807692307692308E-3</v>
      </c>
    </row>
    <row r="37" spans="2:5" ht="15" customHeight="1" x14ac:dyDescent="0.25">
      <c r="B37" s="75"/>
      <c r="C37" s="28" t="s">
        <v>18</v>
      </c>
      <c r="D37" s="27">
        <v>8</v>
      </c>
      <c r="E37" s="26">
        <v>3.8461538461538464E-2</v>
      </c>
    </row>
    <row r="38" spans="2:5" ht="15" customHeight="1" x14ac:dyDescent="0.25">
      <c r="B38" s="73" t="s">
        <v>32</v>
      </c>
      <c r="C38" s="31" t="s">
        <v>19</v>
      </c>
      <c r="D38" s="30">
        <v>9</v>
      </c>
      <c r="E38" s="29">
        <v>4.3269230769230768E-2</v>
      </c>
    </row>
    <row r="39" spans="2:5" ht="15" customHeight="1" x14ac:dyDescent="0.25">
      <c r="B39" s="74"/>
      <c r="C39" s="31" t="s">
        <v>21</v>
      </c>
      <c r="D39" s="30">
        <v>8</v>
      </c>
      <c r="E39" s="29">
        <v>3.8461538461538464E-2</v>
      </c>
    </row>
    <row r="40" spans="2:5" ht="15" customHeight="1" x14ac:dyDescent="0.25">
      <c r="B40" s="75"/>
      <c r="C40" s="28" t="s">
        <v>18</v>
      </c>
      <c r="D40" s="27">
        <v>17</v>
      </c>
      <c r="E40" s="26">
        <v>8.1730769230769232E-2</v>
      </c>
    </row>
    <row r="41" spans="2:5" ht="15" customHeight="1" x14ac:dyDescent="0.25">
      <c r="B41" s="73" t="s">
        <v>31</v>
      </c>
      <c r="C41" s="31" t="s">
        <v>19</v>
      </c>
      <c r="D41" s="30">
        <v>13</v>
      </c>
      <c r="E41" s="29">
        <v>6.25E-2</v>
      </c>
    </row>
    <row r="42" spans="2:5" ht="15" customHeight="1" x14ac:dyDescent="0.25">
      <c r="B42" s="74"/>
      <c r="C42" s="31" t="s">
        <v>21</v>
      </c>
      <c r="D42" s="30">
        <v>9</v>
      </c>
      <c r="E42" s="29">
        <v>4.3269230769230768E-2</v>
      </c>
    </row>
    <row r="43" spans="2:5" ht="15" customHeight="1" x14ac:dyDescent="0.25">
      <c r="B43" s="75"/>
      <c r="C43" s="28" t="s">
        <v>18</v>
      </c>
      <c r="D43" s="27">
        <v>22</v>
      </c>
      <c r="E43" s="26">
        <v>0.10576923076923077</v>
      </c>
    </row>
    <row r="44" spans="2:5" ht="15" customHeight="1" x14ac:dyDescent="0.25">
      <c r="B44" s="73" t="s">
        <v>30</v>
      </c>
      <c r="C44" s="31" t="s">
        <v>21</v>
      </c>
      <c r="D44" s="30">
        <v>1</v>
      </c>
      <c r="E44" s="29">
        <v>4.807692307692308E-3</v>
      </c>
    </row>
    <row r="45" spans="2:5" ht="15" customHeight="1" x14ac:dyDescent="0.25">
      <c r="B45" s="75"/>
      <c r="C45" s="28" t="s">
        <v>18</v>
      </c>
      <c r="D45" s="27">
        <v>1</v>
      </c>
      <c r="E45" s="26">
        <v>4.807692307692308E-3</v>
      </c>
    </row>
    <row r="46" spans="2:5" ht="15" customHeight="1" x14ac:dyDescent="0.25">
      <c r="B46" s="73" t="s">
        <v>29</v>
      </c>
      <c r="C46" s="31" t="s">
        <v>19</v>
      </c>
      <c r="D46" s="30">
        <v>2</v>
      </c>
      <c r="E46" s="29">
        <v>9.6153846153846159E-3</v>
      </c>
    </row>
    <row r="47" spans="2:5" ht="15" customHeight="1" x14ac:dyDescent="0.25">
      <c r="B47" s="74"/>
      <c r="C47" s="31" t="s">
        <v>21</v>
      </c>
      <c r="D47" s="30">
        <v>1</v>
      </c>
      <c r="E47" s="29">
        <v>4.807692307692308E-3</v>
      </c>
    </row>
    <row r="48" spans="2:5" ht="15" customHeight="1" x14ac:dyDescent="0.25">
      <c r="B48" s="75"/>
      <c r="C48" s="28" t="s">
        <v>18</v>
      </c>
      <c r="D48" s="27">
        <v>3</v>
      </c>
      <c r="E48" s="26">
        <v>1.4423076923076924E-2</v>
      </c>
    </row>
    <row r="49" spans="2:5" ht="15" customHeight="1" x14ac:dyDescent="0.25">
      <c r="B49" s="73" t="s">
        <v>28</v>
      </c>
      <c r="C49" s="31" t="s">
        <v>19</v>
      </c>
      <c r="D49" s="30">
        <v>21</v>
      </c>
      <c r="E49" s="29">
        <v>0.10096153846153846</v>
      </c>
    </row>
    <row r="50" spans="2:5" ht="15" customHeight="1" x14ac:dyDescent="0.25">
      <c r="B50" s="74"/>
      <c r="C50" s="31" t="s">
        <v>21</v>
      </c>
      <c r="D50" s="30">
        <v>6</v>
      </c>
      <c r="E50" s="29">
        <v>2.8846153846153848E-2</v>
      </c>
    </row>
    <row r="51" spans="2:5" ht="15" customHeight="1" x14ac:dyDescent="0.25">
      <c r="B51" s="75"/>
      <c r="C51" s="28" t="s">
        <v>18</v>
      </c>
      <c r="D51" s="27">
        <v>27</v>
      </c>
      <c r="E51" s="26">
        <v>0.12980769230769232</v>
      </c>
    </row>
    <row r="52" spans="2:5" ht="15" customHeight="1" x14ac:dyDescent="0.25">
      <c r="B52" s="73" t="s">
        <v>27</v>
      </c>
      <c r="C52" s="31" t="s">
        <v>19</v>
      </c>
      <c r="D52" s="30">
        <v>3</v>
      </c>
      <c r="E52" s="29">
        <v>1.4423076923076924E-2</v>
      </c>
    </row>
    <row r="53" spans="2:5" ht="15" customHeight="1" x14ac:dyDescent="0.25">
      <c r="B53" s="74"/>
      <c r="C53" s="31" t="s">
        <v>21</v>
      </c>
      <c r="D53" s="30">
        <v>6</v>
      </c>
      <c r="E53" s="29">
        <v>2.8846153846153848E-2</v>
      </c>
    </row>
    <row r="54" spans="2:5" ht="15" customHeight="1" x14ac:dyDescent="0.25">
      <c r="B54" s="75"/>
      <c r="C54" s="28" t="s">
        <v>18</v>
      </c>
      <c r="D54" s="27">
        <v>9</v>
      </c>
      <c r="E54" s="26">
        <v>4.3269230769230768E-2</v>
      </c>
    </row>
    <row r="55" spans="2:5" ht="15" customHeight="1" x14ac:dyDescent="0.25">
      <c r="B55" s="73" t="s">
        <v>26</v>
      </c>
      <c r="C55" s="31" t="s">
        <v>19</v>
      </c>
      <c r="D55" s="30">
        <v>6</v>
      </c>
      <c r="E55" s="29">
        <v>2.8846153846153848E-2</v>
      </c>
    </row>
    <row r="56" spans="2:5" ht="15" customHeight="1" x14ac:dyDescent="0.25">
      <c r="B56" s="74"/>
      <c r="C56" s="31" t="s">
        <v>21</v>
      </c>
      <c r="D56" s="30">
        <v>1</v>
      </c>
      <c r="E56" s="29">
        <v>4.807692307692308E-3</v>
      </c>
    </row>
    <row r="57" spans="2:5" ht="15" customHeight="1" x14ac:dyDescent="0.25">
      <c r="B57" s="75"/>
      <c r="C57" s="28" t="s">
        <v>18</v>
      </c>
      <c r="D57" s="27">
        <v>7</v>
      </c>
      <c r="E57" s="26">
        <v>3.3653846153846152E-2</v>
      </c>
    </row>
    <row r="58" spans="2:5" ht="15" customHeight="1" x14ac:dyDescent="0.25">
      <c r="B58" s="73" t="s">
        <v>25</v>
      </c>
      <c r="C58" s="31" t="s">
        <v>19</v>
      </c>
      <c r="D58" s="30">
        <v>2</v>
      </c>
      <c r="E58" s="29">
        <v>9.6153846153846159E-3</v>
      </c>
    </row>
    <row r="59" spans="2:5" ht="15" customHeight="1" x14ac:dyDescent="0.25">
      <c r="B59" s="74"/>
      <c r="C59" s="31" t="s">
        <v>21</v>
      </c>
      <c r="D59" s="30">
        <v>2</v>
      </c>
      <c r="E59" s="29">
        <v>9.6153846153846159E-3</v>
      </c>
    </row>
    <row r="60" spans="2:5" ht="15" customHeight="1" x14ac:dyDescent="0.25">
      <c r="B60" s="75"/>
      <c r="C60" s="28" t="s">
        <v>18</v>
      </c>
      <c r="D60" s="27">
        <v>4</v>
      </c>
      <c r="E60" s="26">
        <v>1.9230769230769232E-2</v>
      </c>
    </row>
    <row r="61" spans="2:5" ht="15" customHeight="1" x14ac:dyDescent="0.25">
      <c r="B61" s="73" t="s">
        <v>24</v>
      </c>
      <c r="C61" s="31" t="s">
        <v>19</v>
      </c>
      <c r="D61" s="30">
        <v>3</v>
      </c>
      <c r="E61" s="29">
        <v>1.4423076923076924E-2</v>
      </c>
    </row>
    <row r="62" spans="2:5" ht="15" customHeight="1" x14ac:dyDescent="0.25">
      <c r="B62" s="74"/>
      <c r="C62" s="31" t="s">
        <v>21</v>
      </c>
      <c r="D62" s="30">
        <v>2</v>
      </c>
      <c r="E62" s="29">
        <v>9.6153846153846159E-3</v>
      </c>
    </row>
    <row r="63" spans="2:5" ht="15" customHeight="1" x14ac:dyDescent="0.25">
      <c r="B63" s="75"/>
      <c r="C63" s="28" t="s">
        <v>18</v>
      </c>
      <c r="D63" s="27">
        <v>5</v>
      </c>
      <c r="E63" s="26">
        <v>2.403846153846154E-2</v>
      </c>
    </row>
    <row r="64" spans="2:5" ht="15" customHeight="1" x14ac:dyDescent="0.25">
      <c r="B64" s="73" t="s">
        <v>23</v>
      </c>
      <c r="C64" s="31" t="s">
        <v>19</v>
      </c>
      <c r="D64" s="30">
        <v>3</v>
      </c>
      <c r="E64" s="29">
        <v>1.4423076923076924E-2</v>
      </c>
    </row>
    <row r="65" spans="2:5" ht="15" customHeight="1" x14ac:dyDescent="0.25">
      <c r="B65" s="75"/>
      <c r="C65" s="28" t="s">
        <v>18</v>
      </c>
      <c r="D65" s="27">
        <v>3</v>
      </c>
      <c r="E65" s="26">
        <v>1.4423076923076924E-2</v>
      </c>
    </row>
    <row r="66" spans="2:5" ht="15" customHeight="1" x14ac:dyDescent="0.25">
      <c r="B66" s="73" t="s">
        <v>22</v>
      </c>
      <c r="C66" s="31" t="s">
        <v>19</v>
      </c>
      <c r="D66" s="30">
        <v>17</v>
      </c>
      <c r="E66" s="29">
        <v>8.1730769230769232E-2</v>
      </c>
    </row>
    <row r="67" spans="2:5" ht="15" customHeight="1" x14ac:dyDescent="0.25">
      <c r="B67" s="74"/>
      <c r="C67" s="31" t="s">
        <v>21</v>
      </c>
      <c r="D67" s="30">
        <v>5</v>
      </c>
      <c r="E67" s="29">
        <v>2.403846153846154E-2</v>
      </c>
    </row>
    <row r="68" spans="2:5" ht="15" customHeight="1" x14ac:dyDescent="0.25">
      <c r="B68" s="75"/>
      <c r="C68" s="28" t="s">
        <v>18</v>
      </c>
      <c r="D68" s="27">
        <v>22</v>
      </c>
      <c r="E68" s="26">
        <v>0.10576923076923077</v>
      </c>
    </row>
    <row r="69" spans="2:5" ht="15" customHeight="1" x14ac:dyDescent="0.25">
      <c r="B69" s="73" t="s">
        <v>20</v>
      </c>
      <c r="C69" s="31" t="s">
        <v>19</v>
      </c>
      <c r="D69" s="30">
        <v>1</v>
      </c>
      <c r="E69" s="29">
        <v>4.807692307692308E-3</v>
      </c>
    </row>
    <row r="70" spans="2:5" ht="15" customHeight="1" x14ac:dyDescent="0.25">
      <c r="B70" s="75"/>
      <c r="C70" s="28" t="s">
        <v>18</v>
      </c>
      <c r="D70" s="27">
        <v>1</v>
      </c>
      <c r="E70" s="26">
        <v>4.807692307692308E-3</v>
      </c>
    </row>
    <row r="71" spans="2:5" ht="15" customHeight="1" x14ac:dyDescent="0.25">
      <c r="B71" s="76" t="s">
        <v>18</v>
      </c>
      <c r="C71" s="77"/>
      <c r="D71" s="25">
        <f>SUMIF(C10:C70,"TOTAL",D10:D70)</f>
        <v>208</v>
      </c>
      <c r="E71" s="24">
        <v>1</v>
      </c>
    </row>
    <row r="73" spans="2:5" ht="15" customHeight="1" x14ac:dyDescent="0.25">
      <c r="B73" s="21" t="s">
        <v>17</v>
      </c>
    </row>
    <row r="74" spans="2:5" ht="15" customHeight="1" x14ac:dyDescent="0.25">
      <c r="B74" s="23" t="s">
        <v>16</v>
      </c>
    </row>
    <row r="75" spans="2:5" ht="15" customHeight="1" x14ac:dyDescent="0.25">
      <c r="B75" s="22" t="s">
        <v>15</v>
      </c>
    </row>
    <row r="76" spans="2:5" ht="15" customHeight="1" x14ac:dyDescent="0.25">
      <c r="B76" s="21" t="s">
        <v>14</v>
      </c>
    </row>
    <row r="77" spans="2:5" ht="15" customHeight="1" x14ac:dyDescent="0.25">
      <c r="B77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24">
    <mergeCell ref="B7:E8"/>
    <mergeCell ref="B10:B11"/>
    <mergeCell ref="B12:B13"/>
    <mergeCell ref="B14:B16"/>
    <mergeCell ref="B17:B19"/>
    <mergeCell ref="B35:B37"/>
    <mergeCell ref="B38:B40"/>
    <mergeCell ref="B41:B43"/>
    <mergeCell ref="B44:B45"/>
    <mergeCell ref="B46:B48"/>
    <mergeCell ref="B20:B22"/>
    <mergeCell ref="B23:B25"/>
    <mergeCell ref="B26:B28"/>
    <mergeCell ref="B29:B31"/>
    <mergeCell ref="B32:B34"/>
    <mergeCell ref="B64:B65"/>
    <mergeCell ref="B66:B68"/>
    <mergeCell ref="B69:B70"/>
    <mergeCell ref="B71:C71"/>
    <mergeCell ref="B49:B51"/>
    <mergeCell ref="B52:B54"/>
    <mergeCell ref="B55:B57"/>
    <mergeCell ref="B58:B60"/>
    <mergeCell ref="B61:B6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1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45</v>
      </c>
      <c r="C9" s="36" t="s">
        <v>81</v>
      </c>
      <c r="D9" s="35" t="s">
        <v>44</v>
      </c>
      <c r="E9" s="34" t="s">
        <v>43</v>
      </c>
    </row>
    <row r="10" spans="1:5" ht="15" customHeight="1" x14ac:dyDescent="0.25">
      <c r="B10" s="73" t="s">
        <v>19</v>
      </c>
      <c r="C10" s="31" t="s">
        <v>79</v>
      </c>
      <c r="D10" s="30">
        <v>36</v>
      </c>
      <c r="E10" s="29">
        <v>0.17307692307692307</v>
      </c>
    </row>
    <row r="11" spans="1:5" ht="15" customHeight="1" x14ac:dyDescent="0.25">
      <c r="B11" s="74"/>
      <c r="C11" s="31" t="s">
        <v>78</v>
      </c>
      <c r="D11" s="30">
        <v>69</v>
      </c>
      <c r="E11" s="29">
        <v>0.33173076923076922</v>
      </c>
    </row>
    <row r="12" spans="1:5" ht="15" customHeight="1" x14ac:dyDescent="0.25">
      <c r="B12" s="74"/>
      <c r="C12" s="31" t="s">
        <v>77</v>
      </c>
      <c r="D12" s="30">
        <v>34</v>
      </c>
      <c r="E12" s="29">
        <v>0.16346153846153846</v>
      </c>
    </row>
    <row r="13" spans="1:5" ht="15" customHeight="1" x14ac:dyDescent="0.25">
      <c r="B13" s="75"/>
      <c r="C13" s="31" t="s">
        <v>76</v>
      </c>
      <c r="D13" s="30">
        <v>10</v>
      </c>
      <c r="E13" s="29">
        <v>4.807692307692308E-2</v>
      </c>
    </row>
    <row r="14" spans="1:5" ht="15" customHeight="1" x14ac:dyDescent="0.25">
      <c r="B14" s="73" t="s">
        <v>21</v>
      </c>
      <c r="C14" s="31" t="s">
        <v>80</v>
      </c>
      <c r="D14" s="30">
        <v>2</v>
      </c>
      <c r="E14" s="29">
        <v>9.6153846153846159E-3</v>
      </c>
    </row>
    <row r="15" spans="1:5" s="32" customFormat="1" ht="15" customHeight="1" x14ac:dyDescent="0.2">
      <c r="B15" s="74"/>
      <c r="C15" s="31" t="s">
        <v>79</v>
      </c>
      <c r="D15" s="30">
        <v>9</v>
      </c>
      <c r="E15" s="29">
        <v>4.3269230769230768E-2</v>
      </c>
    </row>
    <row r="16" spans="1:5" s="32" customFormat="1" ht="15" customHeight="1" x14ac:dyDescent="0.2">
      <c r="B16" s="74"/>
      <c r="C16" s="31" t="s">
        <v>78</v>
      </c>
      <c r="D16" s="30">
        <v>28</v>
      </c>
      <c r="E16" s="29">
        <v>0.13461538461538461</v>
      </c>
    </row>
    <row r="17" spans="2:5" s="32" customFormat="1" ht="15" customHeight="1" x14ac:dyDescent="0.2">
      <c r="B17" s="74"/>
      <c r="C17" s="31" t="s">
        <v>77</v>
      </c>
      <c r="D17" s="30">
        <v>18</v>
      </c>
      <c r="E17" s="29">
        <v>8.6538461538461536E-2</v>
      </c>
    </row>
    <row r="18" spans="2:5" s="32" customFormat="1" ht="15" customHeight="1" x14ac:dyDescent="0.2">
      <c r="B18" s="74"/>
      <c r="C18" s="31" t="s">
        <v>76</v>
      </c>
      <c r="D18" s="30">
        <v>1</v>
      </c>
      <c r="E18" s="29">
        <v>4.807692307692308E-3</v>
      </c>
    </row>
    <row r="19" spans="2:5" s="32" customFormat="1" ht="15" customHeight="1" x14ac:dyDescent="0.2">
      <c r="B19" s="75"/>
      <c r="C19" s="31" t="s">
        <v>75</v>
      </c>
      <c r="D19" s="30">
        <v>1</v>
      </c>
      <c r="E19" s="29">
        <v>4.807692307692308E-3</v>
      </c>
    </row>
    <row r="20" spans="2:5" ht="15" customHeight="1" x14ac:dyDescent="0.25">
      <c r="B20" s="76" t="s">
        <v>18</v>
      </c>
      <c r="C20" s="77"/>
      <c r="D20" s="25">
        <v>208</v>
      </c>
      <c r="E20" s="24">
        <v>1</v>
      </c>
    </row>
    <row r="22" spans="2:5" ht="15" customHeight="1" x14ac:dyDescent="0.25">
      <c r="B22" s="21" t="s">
        <v>17</v>
      </c>
    </row>
    <row r="23" spans="2:5" ht="15" customHeight="1" x14ac:dyDescent="0.25">
      <c r="B23" s="23" t="s">
        <v>16</v>
      </c>
    </row>
    <row r="24" spans="2:5" ht="15" customHeight="1" x14ac:dyDescent="0.25">
      <c r="B24" s="22" t="s">
        <v>15</v>
      </c>
    </row>
    <row r="25" spans="2:5" ht="15" customHeight="1" x14ac:dyDescent="0.25">
      <c r="B25" s="21" t="s">
        <v>14</v>
      </c>
    </row>
    <row r="26" spans="2:5" ht="15" customHeight="1" x14ac:dyDescent="0.25">
      <c r="B26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3"/>
    <mergeCell ref="B14:B19"/>
    <mergeCell ref="B20:C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4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104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103</v>
      </c>
      <c r="C11" s="55" t="s">
        <v>44</v>
      </c>
      <c r="D11" s="54" t="s">
        <v>43</v>
      </c>
    </row>
    <row r="12" spans="2:4" ht="15" customHeight="1" x14ac:dyDescent="0.25">
      <c r="B12" s="52" t="s">
        <v>102</v>
      </c>
      <c r="C12" s="51">
        <v>56</v>
      </c>
      <c r="D12" s="50">
        <v>0.26923076923076922</v>
      </c>
    </row>
    <row r="13" spans="2:4" x14ac:dyDescent="0.25">
      <c r="B13" s="52" t="s">
        <v>101</v>
      </c>
      <c r="C13" s="51">
        <v>37</v>
      </c>
      <c r="D13" s="50">
        <v>0.17788461538461539</v>
      </c>
    </row>
    <row r="14" spans="2:4" s="53" customFormat="1" ht="15.75" x14ac:dyDescent="0.25">
      <c r="B14" s="52" t="s">
        <v>100</v>
      </c>
      <c r="C14" s="51">
        <v>21</v>
      </c>
      <c r="D14" s="50">
        <v>0.10096153846153846</v>
      </c>
    </row>
    <row r="15" spans="2:4" s="53" customFormat="1" ht="15.75" x14ac:dyDescent="0.25">
      <c r="B15" s="52" t="s">
        <v>99</v>
      </c>
      <c r="C15" s="51">
        <v>19</v>
      </c>
      <c r="D15" s="50">
        <v>9.1346153846153841E-2</v>
      </c>
    </row>
    <row r="16" spans="2:4" x14ac:dyDescent="0.25">
      <c r="B16" s="52" t="s">
        <v>98</v>
      </c>
      <c r="C16" s="51">
        <v>15</v>
      </c>
      <c r="D16" s="50">
        <v>7.2115384615384609E-2</v>
      </c>
    </row>
    <row r="17" spans="2:4" x14ac:dyDescent="0.25">
      <c r="B17" s="52" t="s">
        <v>97</v>
      </c>
      <c r="C17" s="51">
        <v>12</v>
      </c>
      <c r="D17" s="50">
        <v>5.7692307692307696E-2</v>
      </c>
    </row>
    <row r="18" spans="2:4" x14ac:dyDescent="0.25">
      <c r="B18" s="52" t="s">
        <v>96</v>
      </c>
      <c r="C18" s="51">
        <v>11</v>
      </c>
      <c r="D18" s="50">
        <v>5.2884615384615384E-2</v>
      </c>
    </row>
    <row r="19" spans="2:4" x14ac:dyDescent="0.25">
      <c r="B19" s="52" t="s">
        <v>95</v>
      </c>
      <c r="C19" s="51">
        <v>11</v>
      </c>
      <c r="D19" s="50">
        <v>5.2884615384615384E-2</v>
      </c>
    </row>
    <row r="20" spans="2:4" x14ac:dyDescent="0.25">
      <c r="B20" s="52" t="s">
        <v>94</v>
      </c>
      <c r="C20" s="51">
        <v>10</v>
      </c>
      <c r="D20" s="50">
        <v>4.807692307692308E-2</v>
      </c>
    </row>
    <row r="21" spans="2:4" x14ac:dyDescent="0.25">
      <c r="B21" s="52" t="s">
        <v>93</v>
      </c>
      <c r="C21" s="51">
        <v>5</v>
      </c>
      <c r="D21" s="50">
        <v>2.403846153846154E-2</v>
      </c>
    </row>
    <row r="22" spans="2:4" x14ac:dyDescent="0.25">
      <c r="B22" s="52" t="s">
        <v>92</v>
      </c>
      <c r="C22" s="51">
        <v>3</v>
      </c>
      <c r="D22" s="50">
        <v>1.4423076923076924E-2</v>
      </c>
    </row>
    <row r="23" spans="2:4" x14ac:dyDescent="0.25">
      <c r="B23" s="52" t="s">
        <v>91</v>
      </c>
      <c r="C23" s="51">
        <v>3</v>
      </c>
      <c r="D23" s="50">
        <v>1.4423076923076924E-2</v>
      </c>
    </row>
    <row r="24" spans="2:4" x14ac:dyDescent="0.25">
      <c r="B24" s="52" t="s">
        <v>90</v>
      </c>
      <c r="C24" s="51">
        <v>2</v>
      </c>
      <c r="D24" s="50">
        <v>9.6153846153846159E-3</v>
      </c>
    </row>
    <row r="25" spans="2:4" x14ac:dyDescent="0.25">
      <c r="B25" s="52" t="s">
        <v>89</v>
      </c>
      <c r="C25" s="51">
        <v>1</v>
      </c>
      <c r="D25" s="50">
        <v>4.807692307692308E-3</v>
      </c>
    </row>
    <row r="26" spans="2:4" x14ac:dyDescent="0.25">
      <c r="B26" s="52" t="s">
        <v>88</v>
      </c>
      <c r="C26" s="51">
        <v>1</v>
      </c>
      <c r="D26" s="50">
        <v>4.807692307692308E-3</v>
      </c>
    </row>
    <row r="27" spans="2:4" x14ac:dyDescent="0.25">
      <c r="B27" s="52" t="s">
        <v>87</v>
      </c>
      <c r="C27" s="51">
        <v>1</v>
      </c>
      <c r="D27" s="50">
        <v>4.807692307692308E-3</v>
      </c>
    </row>
    <row r="28" spans="2:4" x14ac:dyDescent="0.25">
      <c r="B28" s="49" t="s">
        <v>18</v>
      </c>
      <c r="C28" s="48">
        <v>208</v>
      </c>
      <c r="D28" s="47">
        <v>1</v>
      </c>
    </row>
    <row r="30" spans="2:4" x14ac:dyDescent="0.25">
      <c r="B30" s="21" t="s">
        <v>17</v>
      </c>
    </row>
    <row r="31" spans="2:4" x14ac:dyDescent="0.25">
      <c r="B31" s="23" t="s">
        <v>16</v>
      </c>
    </row>
    <row r="32" spans="2:4" x14ac:dyDescent="0.25">
      <c r="B32" s="22" t="s">
        <v>15</v>
      </c>
    </row>
    <row r="33" spans="2:2" x14ac:dyDescent="0.25">
      <c r="B33" s="21" t="s">
        <v>14</v>
      </c>
    </row>
    <row r="34" spans="2:2" x14ac:dyDescent="0.25">
      <c r="B34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West Virginia_Edomexgral</vt:lpstr>
      <vt:lpstr>West Virginia_EDOMEX</vt:lpstr>
      <vt:lpstr>West Virginia_Educagral</vt:lpstr>
      <vt:lpstr>West Virginia_Eduedo</vt:lpstr>
      <vt:lpstr>West Virginia_gengral18</vt:lpstr>
      <vt:lpstr>West Virginia_edomexgen</vt:lpstr>
      <vt:lpstr>West Virginia_edadgen</vt:lpstr>
      <vt:lpstr>West Virginia_ocupgral18</vt:lpstr>
      <vt:lpstr>'West Virginia_edadgen'!Área_de_impresión</vt:lpstr>
      <vt:lpstr>'West Virginia_EDOMEX'!Área_de_impresión</vt:lpstr>
      <vt:lpstr>'West Virginia_edomexgen'!Área_de_impresión</vt:lpstr>
      <vt:lpstr>'West Virginia_Eduedo'!Área_de_impresión</vt:lpstr>
      <vt:lpstr>'West Virginia_edadgen'!Títulos_a_imprimir</vt:lpstr>
      <vt:lpstr>'West Virginia_EDOMEX'!Títulos_a_imprimir</vt:lpstr>
      <vt:lpstr>'West Virginia_edomexgen'!Títulos_a_imprimir</vt:lpstr>
      <vt:lpstr>'West Virginia_Edomexgral'!Títulos_a_imprimir</vt:lpstr>
      <vt:lpstr>'West Virginia_Educagral'!Títulos_a_imprimir</vt:lpstr>
      <vt:lpstr>'West Virginia_Eduedo'!Títulos_a_imprimir</vt:lpstr>
      <vt:lpstr>'West Virginia_gengral18'!Títulos_a_imprimir</vt:lpstr>
      <vt:lpstr>'West Virginia_ocupgral18'!Títulos_a_imprimir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2019-12-21T00:16:19Z</dcterms:modified>
</cp:coreProperties>
</file>