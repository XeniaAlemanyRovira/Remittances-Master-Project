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esoto\Documents\Analisisinfo2.7\Matrículas\Anual\Matrículas 2021\República Mexicana\Finales_RM\"/>
    </mc:Choice>
  </mc:AlternateContent>
  <bookViews>
    <workbookView xWindow="0" yWindow="0" windowWidth="24000" windowHeight="9735" tabRatio="783"/>
  </bookViews>
  <sheets>
    <sheet name="Índice" sheetId="1" r:id="rId1"/>
    <sheet name="Yucatán_EdoUsa" sheetId="2" r:id="rId2"/>
    <sheet name="Yucatán_Cons" sheetId="15" r:id="rId3"/>
    <sheet name="YucatánXCons" sheetId="16" r:id="rId4"/>
    <sheet name="Yucatán_EdoMun" sheetId="5" r:id="rId5"/>
    <sheet name="Yucatán_USAMuni" sheetId="6" r:id="rId6"/>
    <sheet name="Yucatán_MUNICIPIO" sheetId="7" r:id="rId7"/>
    <sheet name="Yucatán_educ_gral" sheetId="8" r:id="rId8"/>
    <sheet name="Yucatán_NivelE_Cons" sheetId="9" r:id="rId9"/>
    <sheet name="Yucatán_EducCons" sheetId="10" r:id="rId10"/>
    <sheet name="Yucatán_GenGral" sheetId="11" r:id="rId11"/>
    <sheet name="Yucatán_GENERO" sheetId="12" r:id="rId12"/>
    <sheet name="Yucatán_Gen_Edad" sheetId="13" r:id="rId13"/>
    <sheet name="Yucatán_ocup_gral" sheetId="14" r:id="rId14"/>
  </sheets>
  <definedNames>
    <definedName name="_xlnm._FilterDatabase" localSheetId="2" hidden="1">Yucatán_Cons!$B$11:$D$11</definedName>
    <definedName name="_xlnm._FilterDatabase" localSheetId="4" hidden="1">Yucatán_EdoMun!$B$11:$D$11</definedName>
    <definedName name="_xlnm._FilterDatabase" localSheetId="1" hidden="1">Yucatán_EdoUsa!$B$11:$D$11</definedName>
    <definedName name="_xlnm._FilterDatabase" localSheetId="7" hidden="1">Yucatán_educ_gral!$B$11:$D$11</definedName>
    <definedName name="_xlnm._FilterDatabase" localSheetId="9" hidden="1">Yucatán_EducCons!$B$9:$E$359</definedName>
    <definedName name="_xlnm._FilterDatabase" localSheetId="11" hidden="1">Yucatán_GENERO!$B$12:$E$131</definedName>
    <definedName name="_xlnm._FilterDatabase" localSheetId="10" hidden="1">Yucatán_GenGral!$B$11:$D$11</definedName>
    <definedName name="_xlnm._FilterDatabase" localSheetId="6" hidden="1">Yucatán_MUNICIPIO!$B$9:$E$9</definedName>
    <definedName name="_xlnm._FilterDatabase" localSheetId="8" hidden="1">Yucatán_NivelE_Cons!$B$9:$E$9</definedName>
    <definedName name="_xlnm._FilterDatabase" localSheetId="13" hidden="1">Yucatán_ocup_gral!$B$11:$D$11</definedName>
    <definedName name="_xlnm._FilterDatabase" localSheetId="5" hidden="1">Yucatán_USAMuni!$B$9:$E$9</definedName>
    <definedName name="_xlnm._FilterDatabase" localSheetId="3" hidden="1">YucatánXCons!$B$11:$D$11</definedName>
    <definedName name="_xlnm.Print_Area" localSheetId="9">Yucatán_EducCons!$A$1:$E$9</definedName>
    <definedName name="_xlnm.Print_Area" localSheetId="6">Yucatán_MUNICIPIO!$A$1:$E$9</definedName>
    <definedName name="_xlnm.Print_Area" localSheetId="8">Yucatán_NivelE_Cons!$A$1:$E$9</definedName>
    <definedName name="_xlnm.Print_Area" localSheetId="5">Yucatán_USAMuni!$A$1:$E$9</definedName>
    <definedName name="_xlnm.Print_Titles" localSheetId="2">Yucatán_Cons!$1:$11</definedName>
    <definedName name="_xlnm.Print_Titles" localSheetId="4">Yucatán_EdoMun!$1:$11</definedName>
    <definedName name="_xlnm.Print_Titles" localSheetId="1">Yucatán_EdoUsa!$1:$11</definedName>
    <definedName name="_xlnm.Print_Titles" localSheetId="7">Yucatán_educ_gral!$1:$11</definedName>
    <definedName name="_xlnm.Print_Titles" localSheetId="9">Yucatán_EducCons!$1:$9</definedName>
    <definedName name="_xlnm.Print_Titles" localSheetId="12">Yucatán_Gen_Edad!$1:$12</definedName>
    <definedName name="_xlnm.Print_Titles" localSheetId="11">Yucatán_GENERO!$1:$12</definedName>
    <definedName name="_xlnm.Print_Titles" localSheetId="10">Yucatán_GenGral!$1:$11</definedName>
    <definedName name="_xlnm.Print_Titles" localSheetId="6">Yucatán_MUNICIPIO!$1:$9</definedName>
    <definedName name="_xlnm.Print_Titles" localSheetId="8">Yucatán_NivelE_Cons!$1:$9</definedName>
    <definedName name="_xlnm.Print_Titles" localSheetId="13">Yucatán_ocup_gral!$1:$11</definedName>
    <definedName name="_xlnm.Print_Titles" localSheetId="5">Yucatán_USAMuni!$1:$9</definedName>
    <definedName name="_xlnm.Print_Titles" localSheetId="3">YucatánXCons!$1:$11</definedName>
  </definedNames>
  <calcPr calcId="152511"/>
</workbook>
</file>

<file path=xl/calcChain.xml><?xml version="1.0" encoding="utf-8"?>
<calcChain xmlns="http://schemas.openxmlformats.org/spreadsheetml/2006/main">
  <c r="D32" i="14" l="1"/>
  <c r="D31" i="14"/>
  <c r="D30" i="14"/>
  <c r="D29" i="14"/>
  <c r="D28" i="14"/>
  <c r="D27" i="14"/>
  <c r="D26" i="14"/>
  <c r="D25" i="14"/>
  <c r="D24" i="14"/>
  <c r="D23" i="14"/>
  <c r="D22" i="14"/>
  <c r="D21" i="14"/>
  <c r="D20" i="14"/>
  <c r="D19" i="14"/>
  <c r="D18" i="14"/>
  <c r="D17" i="14"/>
  <c r="D16" i="14"/>
  <c r="D15" i="14"/>
  <c r="D14" i="14"/>
  <c r="D13" i="14"/>
  <c r="D12" i="14"/>
  <c r="F29" i="13" l="1"/>
  <c r="F28" i="13"/>
  <c r="F27" i="13"/>
  <c r="F26" i="13"/>
  <c r="F25" i="13"/>
  <c r="F24" i="13"/>
  <c r="F23" i="13"/>
  <c r="F22" i="13"/>
  <c r="F21" i="13"/>
  <c r="F20" i="13"/>
  <c r="F19" i="13"/>
  <c r="F18" i="13"/>
  <c r="F17" i="13"/>
  <c r="F16" i="13"/>
  <c r="F15" i="13"/>
  <c r="F14" i="13"/>
  <c r="F13" i="13"/>
  <c r="D36" i="8" l="1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21" i="16" l="1"/>
  <c r="D20" i="16"/>
  <c r="D19" i="16"/>
  <c r="D18" i="16"/>
  <c r="D17" i="16"/>
  <c r="D16" i="16"/>
  <c r="D15" i="16"/>
  <c r="D14" i="16"/>
  <c r="D13" i="16"/>
  <c r="D12" i="16"/>
</calcChain>
</file>

<file path=xl/sharedStrings.xml><?xml version="1.0" encoding="utf-8"?>
<sst xmlns="http://schemas.openxmlformats.org/spreadsheetml/2006/main" count="2080" uniqueCount="284">
  <si>
    <t xml:space="preserve">Da clic al texto para ir a la información, selecciona                 para regresar. </t>
  </si>
  <si>
    <t>1. Por Estados de USA</t>
  </si>
  <si>
    <t>2. Por Circunscripción Consular</t>
  </si>
  <si>
    <t>2.1 Top ten por circunscripción consular</t>
  </si>
  <si>
    <t>3. Por Municipio de origen</t>
  </si>
  <si>
    <t>3.1 Municipio general</t>
  </si>
  <si>
    <t>3.2 Por Estado de USA</t>
  </si>
  <si>
    <t>3.3 Por Circunscripción Consular</t>
  </si>
  <si>
    <t>4. Por Nivel Educativo</t>
  </si>
  <si>
    <t>4.1 Educación general</t>
  </si>
  <si>
    <t>4.2 Por Estado de USA</t>
  </si>
  <si>
    <t>4.3 Por Circunscripción Consular</t>
  </si>
  <si>
    <t>5. Por Género</t>
  </si>
  <si>
    <t>5.1 Género General</t>
  </si>
  <si>
    <t>5.2 Por Circunscripción Consular</t>
  </si>
  <si>
    <t>6. Por estructura de Edad</t>
  </si>
  <si>
    <t>7. Por Ocupación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</si>
  <si>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</si>
  <si>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</si>
  <si>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</si>
  <si>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</si>
  <si>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New Mexico</t>
  </si>
  <si>
    <t>Mississippi</t>
  </si>
  <si>
    <t>Connecticut</t>
  </si>
  <si>
    <t>Pennsylvania</t>
  </si>
  <si>
    <t>Iowa</t>
  </si>
  <si>
    <t>Idaho</t>
  </si>
  <si>
    <t>Wisconsin</t>
  </si>
  <si>
    <t>Kentucky</t>
  </si>
  <si>
    <t>New Jersey</t>
  </si>
  <si>
    <t>Missouri</t>
  </si>
  <si>
    <t>Kansas</t>
  </si>
  <si>
    <t>South Carolina</t>
  </si>
  <si>
    <t>Michigan</t>
  </si>
  <si>
    <t>Louisiana</t>
  </si>
  <si>
    <t>Tennessee</t>
  </si>
  <si>
    <t>Arizona</t>
  </si>
  <si>
    <t>Oklahoma</t>
  </si>
  <si>
    <t>Minnesota</t>
  </si>
  <si>
    <t>Alabama</t>
  </si>
  <si>
    <t>Georgia</t>
  </si>
  <si>
    <t>New York</t>
  </si>
  <si>
    <t>Indiana</t>
  </si>
  <si>
    <t>Arkansas</t>
  </si>
  <si>
    <t>North Carolina</t>
  </si>
  <si>
    <t>Utah</t>
  </si>
  <si>
    <t>Illinois</t>
  </si>
  <si>
    <t>Florida</t>
  </si>
  <si>
    <t>Washington</t>
  </si>
  <si>
    <t>Nevada</t>
  </si>
  <si>
    <t>Colorado</t>
  </si>
  <si>
    <t>Texas</t>
  </si>
  <si>
    <t>Oregon</t>
  </si>
  <si>
    <t>California</t>
  </si>
  <si>
    <t>Porcentaje de Matrículas</t>
  </si>
  <si>
    <t>Número de Matrículas</t>
  </si>
  <si>
    <t xml:space="preserve">Estado </t>
  </si>
  <si>
    <t>Aguascalientes</t>
  </si>
  <si>
    <t>Boston</t>
  </si>
  <si>
    <t>Laredo</t>
  </si>
  <si>
    <t>Boise</t>
  </si>
  <si>
    <t>Albuquerque</t>
  </si>
  <si>
    <t>El Paso</t>
  </si>
  <si>
    <t>Nueva Orleans</t>
  </si>
  <si>
    <t>Detroit</t>
  </si>
  <si>
    <t>Omaha</t>
  </si>
  <si>
    <t>Seattle</t>
  </si>
  <si>
    <t>Saint Paul</t>
  </si>
  <si>
    <t>Phoenix</t>
  </si>
  <si>
    <t>Salt Lake City</t>
  </si>
  <si>
    <t>Milwaukee</t>
  </si>
  <si>
    <t>Miami</t>
  </si>
  <si>
    <t>Portland</t>
  </si>
  <si>
    <t>San Diego</t>
  </si>
  <si>
    <t>Kansas City</t>
  </si>
  <si>
    <t>Filadelfia</t>
  </si>
  <si>
    <t>Mcallen</t>
  </si>
  <si>
    <t>San Antonio</t>
  </si>
  <si>
    <t>Denver</t>
  </si>
  <si>
    <t>Indianápolis</t>
  </si>
  <si>
    <t>Oxnard</t>
  </si>
  <si>
    <t>Las Vegas</t>
  </si>
  <si>
    <t>Sacramento</t>
  </si>
  <si>
    <t>Austin</t>
  </si>
  <si>
    <t>Orlando</t>
  </si>
  <si>
    <t>Little Rock</t>
  </si>
  <si>
    <t>San Francisco</t>
  </si>
  <si>
    <t>San José</t>
  </si>
  <si>
    <t>Santa Ana</t>
  </si>
  <si>
    <t>San Bernardino</t>
  </si>
  <si>
    <t>Raleigh</t>
  </si>
  <si>
    <t>Fresno</t>
  </si>
  <si>
    <t>Nueva York</t>
  </si>
  <si>
    <t>Atlanta</t>
  </si>
  <si>
    <t>Dallas</t>
  </si>
  <si>
    <t>Houston</t>
  </si>
  <si>
    <t>Chicago</t>
  </si>
  <si>
    <t>Los Ángeles</t>
  </si>
  <si>
    <t>Consulado</t>
  </si>
  <si>
    <t>Yaxkukul</t>
  </si>
  <si>
    <t>Teya</t>
  </si>
  <si>
    <t>Temozón</t>
  </si>
  <si>
    <t>Sinanché</t>
  </si>
  <si>
    <t>Seyé</t>
  </si>
  <si>
    <t>Dzitás</t>
  </si>
  <si>
    <t>Yobaín</t>
  </si>
  <si>
    <t>Sucilá</t>
  </si>
  <si>
    <t>Mocochá</t>
  </si>
  <si>
    <t>Dzilam González</t>
  </si>
  <si>
    <t>Dzemul</t>
  </si>
  <si>
    <t>Chicxulub Pueblo</t>
  </si>
  <si>
    <t>Chemax</t>
  </si>
  <si>
    <t>Calotmul</t>
  </si>
  <si>
    <t>Yaxcabá</t>
  </si>
  <si>
    <t>Tinum</t>
  </si>
  <si>
    <t>Chocholá</t>
  </si>
  <si>
    <t>Tecoh</t>
  </si>
  <si>
    <t>Sanahcat</t>
  </si>
  <si>
    <t>Maxcanú</t>
  </si>
  <si>
    <t>Homún</t>
  </si>
  <si>
    <t>Halachó</t>
  </si>
  <si>
    <t>Espita</t>
  </si>
  <si>
    <t>Dzidzantún</t>
  </si>
  <si>
    <t>Tahdziú</t>
  </si>
  <si>
    <t>Hocabá</t>
  </si>
  <si>
    <t>Cantamayec</t>
  </si>
  <si>
    <t>Abalá</t>
  </si>
  <si>
    <t>Xocchel</t>
  </si>
  <si>
    <t>Quintana Roo</t>
  </si>
  <si>
    <t>Dzoncauich</t>
  </si>
  <si>
    <t>Baca</t>
  </si>
  <si>
    <t>Muxupip</t>
  </si>
  <si>
    <t>Kanasín</t>
  </si>
  <si>
    <t>Tixkokob</t>
  </si>
  <si>
    <t>Chacsinkín</t>
  </si>
  <si>
    <t>Acanceh</t>
  </si>
  <si>
    <t>Telchac Pueblo</t>
  </si>
  <si>
    <t>Cacalchén</t>
  </si>
  <si>
    <t>Temax</t>
  </si>
  <si>
    <t>Tekit</t>
  </si>
  <si>
    <t>Tixmehuac</t>
  </si>
  <si>
    <t>Tetiz</t>
  </si>
  <si>
    <t>Progreso</t>
  </si>
  <si>
    <t>Kantunil</t>
  </si>
  <si>
    <t>Umán</t>
  </si>
  <si>
    <t>Tekantó</t>
  </si>
  <si>
    <t>Sotuta</t>
  </si>
  <si>
    <t>Tzucacab</t>
  </si>
  <si>
    <t>Hunucmá</t>
  </si>
  <si>
    <t>Chapab</t>
  </si>
  <si>
    <t>Mama</t>
  </si>
  <si>
    <t>Cansahcab</t>
  </si>
  <si>
    <t>Valladolid</t>
  </si>
  <si>
    <t>Huhí</t>
  </si>
  <si>
    <t>Chumayel</t>
  </si>
  <si>
    <t>Tizimín</t>
  </si>
  <si>
    <t>Teabo</t>
  </si>
  <si>
    <t>Dzán</t>
  </si>
  <si>
    <t>Hoctún</t>
  </si>
  <si>
    <t>Buctzotz</t>
  </si>
  <si>
    <t>Izamal</t>
  </si>
  <si>
    <t>Tunkás</t>
  </si>
  <si>
    <t>Santa Elena</t>
  </si>
  <si>
    <t>Maní</t>
  </si>
  <si>
    <t>Cenotillo</t>
  </si>
  <si>
    <t>Akil</t>
  </si>
  <si>
    <t>Ticul</t>
  </si>
  <si>
    <t>Motul</t>
  </si>
  <si>
    <t>Tekax</t>
  </si>
  <si>
    <t>Peto</t>
  </si>
  <si>
    <t>Muna</t>
  </si>
  <si>
    <t>Oxkutzcab</t>
  </si>
  <si>
    <t>Mérida</t>
  </si>
  <si>
    <t>Municipio de origen</t>
  </si>
  <si>
    <t>Municipio de Origen</t>
  </si>
  <si>
    <t>Estado</t>
  </si>
  <si>
    <t>Posgrado [Maestría]</t>
  </si>
  <si>
    <t>Menores De Edad</t>
  </si>
  <si>
    <t>Profesional titulado</t>
  </si>
  <si>
    <t>Profesional pasante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</si>
  <si>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</si>
  <si>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</si>
  <si>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</si>
  <si>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</si>
  <si>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</si>
  <si>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</si>
  <si>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</si>
  <si>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</si>
  <si>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</si>
  <si>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</si>
  <si>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</si>
  <si>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</si>
  <si>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</si>
  <si>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</si>
  <si>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</si>
  <si>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</si>
  <si>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Número de matrículas</t>
  </si>
  <si>
    <t>Nivel de Estudios</t>
  </si>
  <si>
    <t>Nivel</t>
  </si>
  <si>
    <t>San Jose</t>
  </si>
  <si>
    <t>Menores de edad</t>
  </si>
  <si>
    <t>Mc Allen</t>
  </si>
  <si>
    <t>Los Angeles</t>
  </si>
  <si>
    <t>Indianapolis</t>
  </si>
  <si>
    <t>TOTAL</t>
  </si>
  <si>
    <t>MUJER</t>
  </si>
  <si>
    <t>HOMBRE</t>
  </si>
  <si>
    <t>Género</t>
  </si>
  <si>
    <t>Mujer</t>
  </si>
  <si>
    <t>Hombre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</si>
  <si>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</si>
  <si>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</si>
  <si>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</si>
  <si>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</si>
  <si>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</si>
  <si>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</si>
  <si>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</si>
  <si>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</si>
  <si>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Porcentaje con respecto al total de Matrículas</t>
  </si>
  <si>
    <t>Porcentaje con respecto al Género</t>
  </si>
  <si>
    <t>Edad Cumplida</t>
  </si>
  <si>
    <t>MATRÍCULAS CONSULARES EXPEDIDAS A ORIGINARIOS DE YUCATÁN POR GÉNERO Y EDAD EN EE.UU.</t>
  </si>
  <si>
    <t>Chofer</t>
  </si>
  <si>
    <t>Comerciante</t>
  </si>
  <si>
    <t>Operario(a)</t>
  </si>
  <si>
    <t>Cajero(a)</t>
  </si>
  <si>
    <t>Jubilado(a)</t>
  </si>
  <si>
    <t>Profesionista</t>
  </si>
  <si>
    <t>Jardinero(a)</t>
  </si>
  <si>
    <t>Albañil</t>
  </si>
  <si>
    <t>Pintor(a)</t>
  </si>
  <si>
    <t>Mesero(a)</t>
  </si>
  <si>
    <t>Campesino(a)</t>
  </si>
  <si>
    <t>Obrero(a)</t>
  </si>
  <si>
    <t>Estudiante</t>
  </si>
  <si>
    <t>Otro</t>
  </si>
  <si>
    <t>Cocinero(a)</t>
  </si>
  <si>
    <t>Hogar</t>
  </si>
  <si>
    <t>Empleado(a)</t>
  </si>
  <si>
    <t>Ocupación</t>
  </si>
  <si>
    <t>Delaware</t>
  </si>
  <si>
    <t>Nebraska</t>
  </si>
  <si>
    <t>Wyoming</t>
  </si>
  <si>
    <t>Tahmek</t>
  </si>
  <si>
    <t>Conkal</t>
  </si>
  <si>
    <t>San Felipe</t>
  </si>
  <si>
    <t>Tekal de Venegas</t>
  </si>
  <si>
    <t>Uayma</t>
  </si>
  <si>
    <t>MATRÍCULAS CONSULARES DE ALTA SEGURIDAD EXPEDIDAS A ORIGINARIOS DE YUCATÁN POR ESTADO DE LA UNIÓN AMERICANA. DURANTE EL 2021</t>
  </si>
  <si>
    <t>Virginia</t>
  </si>
  <si>
    <t>Rhode Island</t>
  </si>
  <si>
    <t>Tamaño de la muestra: 701,861</t>
  </si>
  <si>
    <t>Mayo de 2022</t>
  </si>
  <si>
    <t>MATRÍCULAS CONSULARES DE ALTA SEGURIDAD EXPEDIDAS DURANTE EL 2021 A ORIGINARIOS DE YUCATÁN EN LOS CONSULADOS DE MÉXICO EN EE.UU.</t>
  </si>
  <si>
    <t>Del Río</t>
  </si>
  <si>
    <t>MATRÍCULAS CONSULARES DE ALTA SEGURIDAD EXPEDIDAS POR MUNICIPIO A ORIGINARIOS DEL ESTADO DE YUCATÁN EN LOS CONSULADOS DE MÉXICO EN EE.UU. 2021</t>
  </si>
  <si>
    <t>Dzan</t>
  </si>
  <si>
    <t>Bokobá</t>
  </si>
  <si>
    <t>Chichimilá</t>
  </si>
  <si>
    <t>Cuzamá</t>
  </si>
  <si>
    <t>Panabá</t>
  </si>
  <si>
    <t xml:space="preserve">Tixpéhual </t>
  </si>
  <si>
    <t>Chikindzonot</t>
  </si>
  <si>
    <t>Dzilam de Bravo</t>
  </si>
  <si>
    <t>Ixil</t>
  </si>
  <si>
    <t>Kinchil</t>
  </si>
  <si>
    <t>Opichén</t>
  </si>
  <si>
    <t>Timucuy</t>
  </si>
  <si>
    <t>Tixcacalcupul</t>
  </si>
  <si>
    <t>Tixpéhual</t>
  </si>
  <si>
    <t>MATRÍCULAS CONSULARES EXPEDIDAS EN EE.UU. A ORIGINARIOS DE YUCATÁN POR NIVEL DE EDUCACIÓN, 2021.</t>
  </si>
  <si>
    <t>2° Año de profesional</t>
  </si>
  <si>
    <t>3° Año de profesional</t>
  </si>
  <si>
    <t>4° Año de profesional</t>
  </si>
  <si>
    <t>Posgrado [Doctorado]</t>
  </si>
  <si>
    <t>Del Rio</t>
  </si>
  <si>
    <t>MATRÍCULAS CONSULARES EXPEDIDAS A ORIGINARIOS DE YUCATÁN POR GÉNERO EN EE.UU DURANTE EL 2021</t>
  </si>
  <si>
    <t>MATRÍCULAS CONSULARES EXPEDIDAS A ORIGINARIOS DE YUCATÁN POR GÉNERO Y CONSULADO DE MÉXICO 2021</t>
  </si>
  <si>
    <t>Carnicero</t>
  </si>
  <si>
    <t>Panadero(a)</t>
  </si>
  <si>
    <t>Misionero(a)</t>
  </si>
  <si>
    <t>MATRÍCULAS CONSULARES EXPEDIDAS EN EE.UU. A ORIGINARIOS DE YUCATÁN POR PERFIL OCUPACIONAL, 2021</t>
  </si>
  <si>
    <t xml:space="preserve">  Matrículas consulares expedidas a originarios de Yucatán en el 2021.</t>
  </si>
  <si>
    <t xml:space="preserve">LOS 10 CONSULADOS DE MÉXICO EN EE.UU. CON MAYOR NÚMERO DE EXPEDICIÓN DE MATRÍCULAS CONSULARES DURANTE EL 2021 A ORIGINARIOS DE YUCATÁN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</si>
</sst>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.0%"/>
    <numFmt numFmtId="165" formatCode="#,###"/>
  </numFmts>
  <fonts count="26">
    <font>
      <sz val="11"/>
      <color theme="1"/>
      <name val="Calibri"/>
      <family val="2"/>
      <scheme val="minor"/>
    </font>
    <font>
      <sz val="11"/>
      <color theme="1"/>
      <name val="Montserrat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11"/>
      <color indexed="8"/>
      <name val="Calibri"/>
      <family val="2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theme="1"/>
      <name val="Soberana Sans"/>
      <family val="3"/>
    </font>
    <font>
      <sz val="8"/>
      <color theme="1"/>
      <name val="Calibri"/>
      <family val="2"/>
      <scheme val="minor"/>
    </font>
    <font>
      <sz val="8"/>
      <color indexed="8"/>
      <name val="Soberana Sans"/>
      <family val="3"/>
    </font>
    <font>
      <sz val="10"/>
      <name val="Montserrat"/>
    </font>
    <font>
      <sz val="7"/>
      <color theme="1"/>
      <name val="Montserrat"/>
    </font>
    <font>
      <b/>
      <sz val="12"/>
      <color theme="0"/>
      <name val="Montserrat"/>
    </font>
    <font>
      <sz val="12"/>
      <color theme="1"/>
      <name val="Montserrat"/>
    </font>
    <font>
      <u/>
      <sz val="12"/>
      <color theme="10"/>
      <name val="Montserrat"/>
    </font>
  </fonts>
  <fills count="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15" fillId="0" borderId="0"/>
  </cellStyleXfs>
  <cellXfs count="131">
    <xf numFmtId="0" fontId="0" fillId="0" borderId="0" xfId="0"/>
    <xf numFmtId="0" fontId="1" fillId="0" borderId="0" xfId="0" applyFont="1"/>
    <xf numFmtId="0" fontId="1" fillId="0" borderId="4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 wrapText="1"/>
    </xf>
    <xf numFmtId="0" fontId="1" fillId="0" borderId="0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1" fillId="0" borderId="4" xfId="0" applyFont="1" applyBorder="1" applyAlignment="1"/>
    <xf numFmtId="0" fontId="1" fillId="0" borderId="0" xfId="0" applyFont="1" applyBorder="1" applyAlignment="1"/>
    <xf numFmtId="0" fontId="1" fillId="0" borderId="5" xfId="0" applyFont="1" applyBorder="1" applyAlignment="1"/>
    <xf numFmtId="0" fontId="1" fillId="0" borderId="4" xfId="0" applyFont="1" applyBorder="1"/>
    <xf numFmtId="0" fontId="1" fillId="0" borderId="0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3" borderId="0" xfId="0" applyFont="1" applyFill="1"/>
    <xf numFmtId="3" fontId="0" fillId="3" borderId="0" xfId="0" applyNumberFormat="1" applyFont="1" applyFill="1"/>
    <xf numFmtId="0" fontId="9" fillId="0" borderId="0" xfId="0" applyFont="1"/>
    <xf numFmtId="0" fontId="5" fillId="2" borderId="10" xfId="0" applyFont="1" applyFill="1" applyBorder="1" applyAlignment="1">
      <alignment horizontal="center" vertical="center" wrapText="1"/>
    </xf>
    <xf numFmtId="1" fontId="5" fillId="2" borderId="10" xfId="0" applyNumberFormat="1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3" fontId="9" fillId="0" borderId="0" xfId="0" applyNumberFormat="1" applyFont="1"/>
    <xf numFmtId="1" fontId="9" fillId="0" borderId="0" xfId="0" applyNumberFormat="1" applyFont="1"/>
    <xf numFmtId="0" fontId="12" fillId="3" borderId="0" xfId="0" applyFont="1" applyFill="1"/>
    <xf numFmtId="0" fontId="13" fillId="3" borderId="0" xfId="0" applyFont="1" applyFill="1"/>
    <xf numFmtId="0" fontId="16" fillId="2" borderId="10" xfId="3" applyFont="1" applyFill="1" applyBorder="1" applyAlignment="1">
      <alignment horizontal="center" vertical="center" wrapText="1"/>
    </xf>
    <xf numFmtId="1" fontId="16" fillId="2" borderId="10" xfId="3" applyNumberFormat="1" applyFont="1" applyFill="1" applyBorder="1" applyAlignment="1">
      <alignment horizontal="center" vertical="center" wrapText="1"/>
    </xf>
    <xf numFmtId="0" fontId="5" fillId="2" borderId="10" xfId="3" applyFont="1" applyFill="1" applyBorder="1" applyAlignment="1">
      <alignment horizontal="center" vertical="center" wrapText="1"/>
    </xf>
    <xf numFmtId="0" fontId="9" fillId="3" borderId="0" xfId="0" applyFont="1" applyFill="1"/>
    <xf numFmtId="0" fontId="17" fillId="3" borderId="0" xfId="0" applyFont="1" applyFill="1" applyAlignment="1"/>
    <xf numFmtId="0" fontId="18" fillId="3" borderId="0" xfId="0" applyFont="1" applyFill="1"/>
    <xf numFmtId="0" fontId="18" fillId="3" borderId="0" xfId="0" applyFont="1" applyFill="1" applyAlignment="1">
      <alignment vertical="center"/>
    </xf>
    <xf numFmtId="0" fontId="9" fillId="3" borderId="0" xfId="0" applyFont="1" applyFill="1" applyBorder="1"/>
    <xf numFmtId="3" fontId="9" fillId="3" borderId="0" xfId="0" applyNumberFormat="1" applyFont="1" applyFill="1" applyBorder="1"/>
    <xf numFmtId="1" fontId="9" fillId="3" borderId="0" xfId="0" applyNumberFormat="1" applyFont="1" applyFill="1" applyBorder="1"/>
    <xf numFmtId="0" fontId="18" fillId="3" borderId="0" xfId="0" applyFont="1" applyFill="1" applyBorder="1"/>
    <xf numFmtId="0" fontId="18" fillId="3" borderId="0" xfId="0" applyFont="1" applyFill="1" applyBorder="1" applyAlignment="1">
      <alignment vertical="center"/>
    </xf>
    <xf numFmtId="3" fontId="9" fillId="3" borderId="0" xfId="0" applyNumberFormat="1" applyFont="1" applyFill="1"/>
    <xf numFmtId="0" fontId="0" fillId="3" borderId="0" xfId="0" applyFill="1"/>
    <xf numFmtId="0" fontId="16" fillId="2" borderId="9" xfId="3" applyFont="1" applyFill="1" applyBorder="1" applyAlignment="1">
      <alignment horizontal="center" vertical="center" wrapText="1"/>
    </xf>
    <xf numFmtId="0" fontId="0" fillId="3" borderId="0" xfId="0" applyFont="1" applyFill="1" applyBorder="1"/>
    <xf numFmtId="0" fontId="3" fillId="3" borderId="0" xfId="0" applyFont="1" applyFill="1" applyBorder="1"/>
    <xf numFmtId="0" fontId="9" fillId="3" borderId="0" xfId="0" applyFont="1" applyFill="1" applyBorder="1" applyAlignment="1">
      <alignment vertical="center"/>
    </xf>
    <xf numFmtId="0" fontId="9" fillId="0" borderId="0" xfId="0" applyFont="1" applyBorder="1" applyAlignment="1">
      <alignment vertical="center"/>
    </xf>
    <xf numFmtId="0" fontId="0" fillId="0" borderId="0" xfId="0"/>
    <xf numFmtId="0" fontId="0" fillId="3" borderId="0" xfId="0" applyFont="1" applyFill="1"/>
    <xf numFmtId="0" fontId="4" fillId="3" borderId="0" xfId="0" applyFont="1" applyFill="1"/>
    <xf numFmtId="0" fontId="0" fillId="0" borderId="0" xfId="0"/>
    <xf numFmtId="0" fontId="0" fillId="3" borderId="0" xfId="0" applyFont="1" applyFill="1"/>
    <xf numFmtId="3" fontId="0" fillId="3" borderId="0" xfId="0" applyNumberFormat="1" applyFont="1" applyFill="1"/>
    <xf numFmtId="0" fontId="4" fillId="3" borderId="0" xfId="0" applyFont="1" applyFill="1"/>
    <xf numFmtId="0" fontId="0" fillId="0" borderId="0" xfId="0"/>
    <xf numFmtId="0" fontId="0" fillId="3" borderId="0" xfId="0" applyFont="1" applyFill="1"/>
    <xf numFmtId="164" fontId="5" fillId="4" borderId="9" xfId="0" applyNumberFormat="1" applyFont="1" applyFill="1" applyBorder="1" applyAlignment="1">
      <alignment horizontal="right" vertical="center" wrapText="1"/>
    </xf>
    <xf numFmtId="3" fontId="5" fillId="4" borderId="9" xfId="0" applyNumberFormat="1" applyFont="1" applyFill="1" applyBorder="1" applyAlignment="1">
      <alignment horizontal="right" vertical="center" wrapText="1"/>
    </xf>
    <xf numFmtId="49" fontId="5" fillId="4" borderId="9" xfId="0" applyNumberFormat="1" applyFont="1" applyFill="1" applyBorder="1" applyAlignment="1">
      <alignment vertical="center" wrapText="1"/>
    </xf>
    <xf numFmtId="0" fontId="0" fillId="0" borderId="0" xfId="0"/>
    <xf numFmtId="0" fontId="0" fillId="3" borderId="0" xfId="0" applyFont="1" applyFill="1"/>
    <xf numFmtId="0" fontId="0" fillId="3" borderId="0" xfId="0" applyFont="1" applyFill="1"/>
    <xf numFmtId="0" fontId="0" fillId="0" borderId="0" xfId="0"/>
    <xf numFmtId="0" fontId="0" fillId="3" borderId="0" xfId="0" applyFont="1" applyFill="1"/>
    <xf numFmtId="0" fontId="13" fillId="3" borderId="0" xfId="0" applyFont="1" applyFill="1"/>
    <xf numFmtId="164" fontId="5" fillId="5" borderId="9" xfId="2" applyNumberFormat="1" applyFont="1" applyFill="1" applyBorder="1" applyAlignment="1">
      <alignment horizontal="right" vertical="top" wrapText="1"/>
    </xf>
    <xf numFmtId="165" fontId="5" fillId="5" borderId="9" xfId="2" applyNumberFormat="1" applyFont="1" applyFill="1" applyBorder="1" applyAlignment="1">
      <alignment horizontal="right" vertical="top" wrapText="1"/>
    </xf>
    <xf numFmtId="49" fontId="5" fillId="5" borderId="9" xfId="2" applyNumberFormat="1" applyFont="1" applyFill="1" applyBorder="1" applyAlignment="1">
      <alignment vertical="top" wrapText="1"/>
    </xf>
    <xf numFmtId="164" fontId="14" fillId="3" borderId="9" xfId="2" applyNumberFormat="1" applyFont="1" applyFill="1" applyBorder="1" applyAlignment="1">
      <alignment horizontal="right" vertical="top" wrapText="1"/>
    </xf>
    <xf numFmtId="165" fontId="14" fillId="3" borderId="9" xfId="2" applyNumberFormat="1" applyFont="1" applyFill="1" applyBorder="1" applyAlignment="1">
      <alignment horizontal="right" vertical="top" wrapText="1"/>
    </xf>
    <xf numFmtId="49" fontId="14" fillId="3" borderId="9" xfId="2" applyNumberFormat="1" applyFont="1" applyFill="1" applyBorder="1" applyAlignment="1">
      <alignment vertical="top" wrapText="1"/>
    </xf>
    <xf numFmtId="3" fontId="0" fillId="3" borderId="0" xfId="0" applyNumberFormat="1" applyFont="1" applyFill="1"/>
    <xf numFmtId="0" fontId="20" fillId="0" borderId="0" xfId="0" applyFont="1" applyAlignment="1">
      <alignment vertical="top"/>
    </xf>
    <xf numFmtId="0" fontId="20" fillId="0" borderId="0" xfId="0" applyFont="1" applyAlignment="1">
      <alignment horizontal="justify" vertical="center"/>
    </xf>
    <xf numFmtId="0" fontId="8" fillId="3" borderId="0" xfId="0" applyFont="1" applyFill="1"/>
    <xf numFmtId="3" fontId="8" fillId="3" borderId="0" xfId="0" applyNumberFormat="1" applyFont="1" applyFill="1"/>
    <xf numFmtId="0" fontId="9" fillId="0" borderId="0" xfId="0" applyFont="1"/>
    <xf numFmtId="0" fontId="0" fillId="0" borderId="0" xfId="0"/>
    <xf numFmtId="0" fontId="9" fillId="0" borderId="0" xfId="0" applyFont="1"/>
    <xf numFmtId="0" fontId="9" fillId="3" borderId="0" xfId="0" applyFont="1" applyFill="1"/>
    <xf numFmtId="3" fontId="9" fillId="3" borderId="0" xfId="0" applyNumberFormat="1" applyFont="1" applyFill="1"/>
    <xf numFmtId="0" fontId="4" fillId="3" borderId="0" xfId="0" applyFont="1" applyFill="1"/>
    <xf numFmtId="0" fontId="4" fillId="3" borderId="0" xfId="0" applyFont="1" applyFill="1" applyAlignment="1">
      <alignment vertical="top"/>
    </xf>
    <xf numFmtId="0" fontId="0" fillId="0" borderId="0" xfId="0"/>
    <xf numFmtId="0" fontId="9" fillId="0" borderId="0" xfId="0" applyFont="1"/>
    <xf numFmtId="0" fontId="4" fillId="3" borderId="0" xfId="0" applyFont="1" applyFill="1"/>
    <xf numFmtId="0" fontId="4" fillId="3" borderId="0" xfId="0" applyFont="1" applyFill="1" applyAlignment="1">
      <alignment vertical="top"/>
    </xf>
    <xf numFmtId="0" fontId="4" fillId="3" borderId="0" xfId="0" applyFont="1" applyFill="1" applyAlignment="1">
      <alignment vertical="center"/>
    </xf>
    <xf numFmtId="49" fontId="7" fillId="3" borderId="9" xfId="0" applyNumberFormat="1" applyFont="1" applyFill="1" applyBorder="1" applyAlignment="1">
      <alignment horizontal="left" vertical="center" wrapText="1"/>
    </xf>
    <xf numFmtId="0" fontId="0" fillId="3" borderId="0" xfId="0" applyFont="1" applyFill="1"/>
    <xf numFmtId="0" fontId="19" fillId="3" borderId="0" xfId="0" applyFont="1" applyFill="1"/>
    <xf numFmtId="164" fontId="5" fillId="4" borderId="9" xfId="0" applyNumberFormat="1" applyFont="1" applyFill="1" applyBorder="1" applyAlignment="1">
      <alignment horizontal="right" vertical="center" wrapText="1"/>
    </xf>
    <xf numFmtId="3" fontId="5" fillId="4" borderId="9" xfId="0" applyNumberFormat="1" applyFont="1" applyFill="1" applyBorder="1" applyAlignment="1">
      <alignment horizontal="right" vertical="center" wrapText="1"/>
    </xf>
    <xf numFmtId="49" fontId="5" fillId="4" borderId="9" xfId="0" applyNumberFormat="1" applyFont="1" applyFill="1" applyBorder="1" applyAlignment="1">
      <alignment vertical="center" wrapText="1"/>
    </xf>
    <xf numFmtId="164" fontId="6" fillId="3" borderId="9" xfId="0" applyNumberFormat="1" applyFont="1" applyFill="1" applyBorder="1" applyAlignment="1">
      <alignment horizontal="right" vertical="center" wrapText="1"/>
    </xf>
    <xf numFmtId="3" fontId="6" fillId="3" borderId="9" xfId="0" applyNumberFormat="1" applyFont="1" applyFill="1" applyBorder="1" applyAlignment="1">
      <alignment horizontal="right" vertical="center" wrapText="1"/>
    </xf>
    <xf numFmtId="49" fontId="7" fillId="3" borderId="9" xfId="0" applyNumberFormat="1" applyFont="1" applyFill="1" applyBorder="1" applyAlignment="1">
      <alignment vertical="center" wrapText="1"/>
    </xf>
    <xf numFmtId="0" fontId="21" fillId="3" borderId="16" xfId="0" applyFont="1" applyFill="1" applyBorder="1" applyAlignment="1">
      <alignment horizontal="center" vertical="distributed"/>
    </xf>
    <xf numFmtId="3" fontId="5" fillId="4" borderId="9" xfId="0" applyNumberFormat="1" applyFont="1" applyFill="1" applyBorder="1" applyAlignment="1">
      <alignment horizontal="right" wrapText="1"/>
    </xf>
    <xf numFmtId="164" fontId="5" fillId="4" borderId="9" xfId="0" applyNumberFormat="1" applyFont="1" applyFill="1" applyBorder="1" applyAlignment="1">
      <alignment horizontal="right" wrapText="1"/>
    </xf>
    <xf numFmtId="49" fontId="5" fillId="6" borderId="12" xfId="0" applyNumberFormat="1" applyFont="1" applyFill="1" applyBorder="1" applyAlignment="1">
      <alignment vertical="center" wrapText="1"/>
    </xf>
    <xf numFmtId="3" fontId="5" fillId="6" borderId="9" xfId="0" applyNumberFormat="1" applyFont="1" applyFill="1" applyBorder="1" applyAlignment="1">
      <alignment horizontal="right" vertical="center" wrapText="1"/>
    </xf>
    <xf numFmtId="164" fontId="5" fillId="6" borderId="9" xfId="0" applyNumberFormat="1" applyFont="1" applyFill="1" applyBorder="1" applyAlignment="1">
      <alignment horizontal="right" vertical="center" wrapText="1"/>
    </xf>
    <xf numFmtId="0" fontId="22" fillId="3" borderId="0" xfId="0" applyFont="1" applyFill="1"/>
    <xf numFmtId="0" fontId="24" fillId="0" borderId="4" xfId="0" applyFont="1" applyBorder="1"/>
    <xf numFmtId="165" fontId="5" fillId="4" borderId="9" xfId="0" applyNumberFormat="1" applyFont="1" applyFill="1" applyBorder="1" applyAlignment="1">
      <alignment horizontal="right" vertical="top" wrapText="1"/>
    </xf>
    <xf numFmtId="49" fontId="7" fillId="7" borderId="9" xfId="0" applyNumberFormat="1" applyFont="1" applyFill="1" applyBorder="1" applyAlignment="1">
      <alignment horizontal="left" vertical="center" wrapText="1"/>
    </xf>
    <xf numFmtId="3" fontId="6" fillId="7" borderId="9" xfId="0" applyNumberFormat="1" applyFont="1" applyFill="1" applyBorder="1" applyAlignment="1">
      <alignment horizontal="right" vertical="center" wrapText="1"/>
    </xf>
    <xf numFmtId="164" fontId="6" fillId="7" borderId="9" xfId="0" applyNumberFormat="1" applyFont="1" applyFill="1" applyBorder="1" applyAlignment="1">
      <alignment horizontal="right" vertical="center" wrapText="1"/>
    </xf>
    <xf numFmtId="0" fontId="25" fillId="0" borderId="4" xfId="1" applyFont="1" applyBorder="1" applyAlignment="1">
      <alignment horizontal="left"/>
    </xf>
    <xf numFmtId="0" fontId="25" fillId="0" borderId="0" xfId="1" applyFont="1" applyBorder="1" applyAlignment="1">
      <alignment horizontal="left"/>
    </xf>
    <xf numFmtId="0" fontId="25" fillId="0" borderId="5" xfId="1" applyFont="1" applyBorder="1" applyAlignment="1">
      <alignment horizontal="left"/>
    </xf>
    <xf numFmtId="0" fontId="23" fillId="2" borderId="1" xfId="0" applyFont="1" applyFill="1" applyBorder="1" applyAlignment="1">
      <alignment horizontal="center" wrapText="1"/>
    </xf>
    <xf numFmtId="0" fontId="23" fillId="2" borderId="2" xfId="0" applyFont="1" applyFill="1" applyBorder="1" applyAlignment="1">
      <alignment horizontal="center" wrapText="1"/>
    </xf>
    <xf numFmtId="0" fontId="23" fillId="2" borderId="3" xfId="0" applyFont="1" applyFill="1" applyBorder="1" applyAlignment="1">
      <alignment horizontal="center" wrapText="1"/>
    </xf>
    <xf numFmtId="0" fontId="24" fillId="0" borderId="4" xfId="0" applyFont="1" applyBorder="1" applyAlignment="1">
      <alignment horizontal="left" wrapText="1"/>
    </xf>
    <xf numFmtId="0" fontId="24" fillId="0" borderId="0" xfId="0" applyFont="1" applyBorder="1" applyAlignment="1">
      <alignment horizontal="left" wrapText="1"/>
    </xf>
    <xf numFmtId="0" fontId="24" fillId="0" borderId="5" xfId="0" applyFont="1" applyBorder="1" applyAlignment="1">
      <alignment horizontal="left" wrapText="1"/>
    </xf>
    <xf numFmtId="0" fontId="11" fillId="0" borderId="0" xfId="0" applyFont="1" applyBorder="1" applyAlignment="1">
      <alignment horizontal="center" vertical="center" wrapText="1"/>
    </xf>
    <xf numFmtId="49" fontId="14" fillId="3" borderId="10" xfId="2" applyNumberFormat="1" applyFont="1" applyFill="1" applyBorder="1" applyAlignment="1">
      <alignment horizontal="center" vertical="center" wrapText="1"/>
    </xf>
    <xf numFmtId="49" fontId="14" fillId="3" borderId="15" xfId="2" applyNumberFormat="1" applyFont="1" applyFill="1" applyBorder="1" applyAlignment="1">
      <alignment horizontal="center" vertical="center" wrapText="1"/>
    </xf>
    <xf numFmtId="49" fontId="14" fillId="3" borderId="14" xfId="2" applyNumberFormat="1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wrapText="1"/>
    </xf>
    <xf numFmtId="49" fontId="5" fillId="4" borderId="13" xfId="0" applyNumberFormat="1" applyFont="1" applyFill="1" applyBorder="1" applyAlignment="1">
      <alignment horizontal="center" vertical="center" wrapText="1"/>
    </xf>
    <xf numFmtId="49" fontId="5" fillId="4" borderId="12" xfId="0" applyNumberFormat="1" applyFont="1" applyFill="1" applyBorder="1" applyAlignment="1">
      <alignment horizontal="center" vertical="center" wrapText="1"/>
    </xf>
    <xf numFmtId="49" fontId="7" fillId="3" borderId="10" xfId="0" applyNumberFormat="1" applyFont="1" applyFill="1" applyBorder="1" applyAlignment="1">
      <alignment horizontal="center" vertical="center" wrapText="1"/>
    </xf>
    <xf numFmtId="49" fontId="7" fillId="3" borderId="15" xfId="0" applyNumberFormat="1" applyFont="1" applyFill="1" applyBorder="1" applyAlignment="1">
      <alignment horizontal="center" vertical="center" wrapText="1"/>
    </xf>
    <xf numFmtId="49" fontId="7" fillId="3" borderId="14" xfId="0" applyNumberFormat="1" applyFont="1" applyFill="1" applyBorder="1" applyAlignment="1">
      <alignment horizontal="center" vertical="center" wrapText="1"/>
    </xf>
    <xf numFmtId="49" fontId="7" fillId="7" borderId="10" xfId="0" applyNumberFormat="1" applyFont="1" applyFill="1" applyBorder="1" applyAlignment="1">
      <alignment horizontal="center" vertical="center" wrapText="1"/>
    </xf>
    <xf numFmtId="49" fontId="7" fillId="7" borderId="15" xfId="0" applyNumberFormat="1" applyFont="1" applyFill="1" applyBorder="1" applyAlignment="1">
      <alignment horizontal="center" vertical="center" wrapText="1"/>
    </xf>
    <xf numFmtId="49" fontId="7" fillId="7" borderId="14" xfId="0" applyNumberFormat="1" applyFont="1" applyFill="1" applyBorder="1" applyAlignment="1">
      <alignment horizontal="center" vertical="center" wrapText="1"/>
    </xf>
  </cellXfs>
  <cellStyles count="4">
    <cellStyle name="Hipervínculo" xfId="1" builtinId="8"/>
    <cellStyle name="Normal" xfId="0" builtinId="0"/>
    <cellStyle name="Normal 2" xfId="2"/>
    <cellStyle name="Normal_Hoja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610316</xdr:colOff>
      <xdr:row>1</xdr:row>
      <xdr:rowOff>221942</xdr:rowOff>
    </xdr:from>
    <xdr:to>
      <xdr:col>3</xdr:col>
      <xdr:colOff>1122413</xdr:colOff>
      <xdr:row>2</xdr:row>
      <xdr:rowOff>221942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934541" y="755342"/>
          <a:ext cx="512097" cy="2286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YUCATÁN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0</xdr:colOff>
      <xdr:row>8</xdr:row>
      <xdr:rowOff>0</xdr:rowOff>
    </xdr:from>
    <xdr:to>
      <xdr:col>4</xdr:col>
      <xdr:colOff>512097</xdr:colOff>
      <xdr:row>8</xdr:row>
      <xdr:rowOff>184355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429125" y="1714500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YUCATÁN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238125</xdr:colOff>
      <xdr:row>8</xdr:row>
      <xdr:rowOff>0</xdr:rowOff>
    </xdr:from>
    <xdr:to>
      <xdr:col>5</xdr:col>
      <xdr:colOff>131097</xdr:colOff>
      <xdr:row>8</xdr:row>
      <xdr:rowOff>184355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3286125" y="1524000"/>
          <a:ext cx="654972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YUCATÁN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285750</xdr:colOff>
      <xdr:row>8</xdr:row>
      <xdr:rowOff>0</xdr:rowOff>
    </xdr:from>
    <xdr:to>
      <xdr:col>5</xdr:col>
      <xdr:colOff>178722</xdr:colOff>
      <xdr:row>8</xdr:row>
      <xdr:rowOff>184355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3333750" y="1524000"/>
          <a:ext cx="654972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YUCATÁN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247650</xdr:colOff>
      <xdr:row>8</xdr:row>
      <xdr:rowOff>19050</xdr:rowOff>
    </xdr:from>
    <xdr:to>
      <xdr:col>5</xdr:col>
      <xdr:colOff>140622</xdr:colOff>
      <xdr:row>8</xdr:row>
      <xdr:rowOff>203405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76775" y="1733550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YUCATÁN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POR MUNICIPIO A ORIGINARIOS DEL ESTADO DE YUCATÁN POR ESTADO EN EE.UU. 2021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D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46967</xdr:colOff>
      <xdr:row>1</xdr:row>
      <xdr:rowOff>21711</xdr:rowOff>
    </xdr:from>
    <xdr:ext cx="1096665" cy="628106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D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0592" y="212211"/>
          <a:ext cx="1096665" cy="62810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407604</xdr:colOff>
      <xdr:row>7</xdr:row>
      <xdr:rowOff>5584</xdr:rowOff>
    </xdr:from>
    <xdr:to>
      <xdr:col>5</xdr:col>
      <xdr:colOff>919701</xdr:colOff>
      <xdr:row>7</xdr:row>
      <xdr:rowOff>189939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6170229" y="1748659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YUCATÁN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POR MUNICIPIO A ORIGINARIOS DEL ESTADO DE YUCATÁN EN LOS CONSULADOS DE MÉXICO EN EE.UU. 2021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D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46967</xdr:colOff>
      <xdr:row>1</xdr:row>
      <xdr:rowOff>21711</xdr:rowOff>
    </xdr:from>
    <xdr:ext cx="1096665" cy="628106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D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0592" y="212211"/>
          <a:ext cx="1096665" cy="62810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0</xdr:colOff>
      <xdr:row>7</xdr:row>
      <xdr:rowOff>0</xdr:rowOff>
    </xdr:from>
    <xdr:to>
      <xdr:col>5</xdr:col>
      <xdr:colOff>512097</xdr:colOff>
      <xdr:row>7</xdr:row>
      <xdr:rowOff>184355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765132" y="1734553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YUCATÁN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161925</xdr:colOff>
      <xdr:row>8</xdr:row>
      <xdr:rowOff>0</xdr:rowOff>
    </xdr:from>
    <xdr:to>
      <xdr:col>5</xdr:col>
      <xdr:colOff>54897</xdr:colOff>
      <xdr:row>8</xdr:row>
      <xdr:rowOff>190500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91050" y="1714500"/>
          <a:ext cx="512097" cy="1905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YUCATÁN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A ORIGINARIOS DEL ESTADO DE YUCATÁN POR NIVEL DE EDUCACIÓN Y ESTADO EN EE.UU. DURANTE EL 2021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D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46967</xdr:colOff>
      <xdr:row>1</xdr:row>
      <xdr:rowOff>21711</xdr:rowOff>
    </xdr:from>
    <xdr:ext cx="1096665" cy="628106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D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0592" y="212211"/>
          <a:ext cx="1096665" cy="628106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YUCATÁN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A ORIGINARIOS DEL ESTADO DE YUCATÁN POR CONSULADO Y NIVEL DE EDUCACIÓN EN EE.UU. DURANTE EL 2021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D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46967</xdr:colOff>
      <xdr:row>1</xdr:row>
      <xdr:rowOff>21711</xdr:rowOff>
    </xdr:from>
    <xdr:ext cx="1096665" cy="628106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D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0592" y="212211"/>
          <a:ext cx="1096665" cy="62810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476249</xdr:colOff>
      <xdr:row>7</xdr:row>
      <xdr:rowOff>121831</xdr:rowOff>
    </xdr:from>
    <xdr:to>
      <xdr:col>4</xdr:col>
      <xdr:colOff>988346</xdr:colOff>
      <xdr:row>7</xdr:row>
      <xdr:rowOff>310116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16918" y="1860697"/>
          <a:ext cx="512097" cy="18828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YUCATÁN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257175</xdr:colOff>
      <xdr:row>7</xdr:row>
      <xdr:rowOff>142875</xdr:rowOff>
    </xdr:from>
    <xdr:to>
      <xdr:col>5</xdr:col>
      <xdr:colOff>150147</xdr:colOff>
      <xdr:row>8</xdr:row>
      <xdr:rowOff>142875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86300" y="1666875"/>
          <a:ext cx="512097" cy="1905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97254</xdr:rowOff>
    </xdr:from>
    <xdr:to>
      <xdr:col>5</xdr:col>
      <xdr:colOff>57150</xdr:colOff>
      <xdr:row>6</xdr:row>
      <xdr:rowOff>47625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762000" y="97254"/>
          <a:ext cx="3105150" cy="1093371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YUCATÁN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76200</xdr:colOff>
      <xdr:row>1</xdr:row>
      <xdr:rowOff>76200</xdr:rowOff>
    </xdr:from>
    <xdr:ext cx="853107" cy="335729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C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266700"/>
          <a:ext cx="853107" cy="33572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38100</xdr:colOff>
      <xdr:row>0</xdr:row>
      <xdr:rowOff>123825</xdr:rowOff>
    </xdr:from>
    <xdr:ext cx="1097650" cy="598411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C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123825"/>
          <a:ext cx="1097650" cy="598411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66454</xdr:colOff>
      <xdr:row>7</xdr:row>
      <xdr:rowOff>132908</xdr:rowOff>
    </xdr:from>
    <xdr:to>
      <xdr:col>6</xdr:col>
      <xdr:colOff>201981</xdr:colOff>
      <xdr:row>8</xdr:row>
      <xdr:rowOff>132908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271977" y="1506280"/>
          <a:ext cx="512097" cy="18828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97254</xdr:rowOff>
    </xdr:from>
    <xdr:to>
      <xdr:col>6</xdr:col>
      <xdr:colOff>57150</xdr:colOff>
      <xdr:row>6</xdr:row>
      <xdr:rowOff>47625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SpPr txBox="1"/>
      </xdr:nvSpPr>
      <xdr:spPr>
        <a:xfrm>
          <a:off x="762000" y="97254"/>
          <a:ext cx="3867150" cy="1093371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YUCATÁN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5</xdr:col>
      <xdr:colOff>76200</xdr:colOff>
      <xdr:row>1</xdr:row>
      <xdr:rowOff>76200</xdr:rowOff>
    </xdr:from>
    <xdr:ext cx="853107" cy="335729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C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6200" y="266700"/>
          <a:ext cx="853107" cy="33572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38100</xdr:colOff>
      <xdr:row>0</xdr:row>
      <xdr:rowOff>123825</xdr:rowOff>
    </xdr:from>
    <xdr:ext cx="1097650" cy="598411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C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123825"/>
          <a:ext cx="1097650" cy="598411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6</xdr:col>
      <xdr:colOff>1</xdr:colOff>
      <xdr:row>8</xdr:row>
      <xdr:rowOff>0</xdr:rowOff>
    </xdr:from>
    <xdr:to>
      <xdr:col>7</xdr:col>
      <xdr:colOff>133146</xdr:colOff>
      <xdr:row>9</xdr:row>
      <xdr:rowOff>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6155404" y="1587500"/>
          <a:ext cx="512097" cy="194597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YUCATÁN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133350</xdr:colOff>
      <xdr:row>7</xdr:row>
      <xdr:rowOff>161925</xdr:rowOff>
    </xdr:from>
    <xdr:to>
      <xdr:col>5</xdr:col>
      <xdr:colOff>26322</xdr:colOff>
      <xdr:row>8</xdr:row>
      <xdr:rowOff>161925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62475" y="1685925"/>
          <a:ext cx="512097" cy="1905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showGridLines="0" tabSelected="1" view="pageBreakPreview" zoomScaleNormal="100" zoomScaleSheetLayoutView="100" workbookViewId="0">
      <selection sqref="A1:D1"/>
    </sheetView>
  </sheetViews>
  <sheetFormatPr baseColWidth="10" defaultColWidth="11.42578125" defaultRowHeight="18"/>
  <cols>
    <col min="1" max="1" width="5.140625" style="1" customWidth="1"/>
    <col min="2" max="2" width="20" style="1" customWidth="1"/>
    <col min="3" max="3" width="24.7109375" style="1" customWidth="1"/>
    <col min="4" max="4" width="20.42578125" style="1" customWidth="1"/>
    <col min="5" max="16384" width="11.42578125" style="1"/>
  </cols>
  <sheetData>
    <row r="1" spans="1:4" ht="42" customHeight="1" thickBot="1">
      <c r="A1" s="112" t="s">
        <v>282</v>
      </c>
      <c r="B1" s="113"/>
      <c r="C1" s="113"/>
      <c r="D1" s="114"/>
    </row>
    <row r="2" spans="1:4">
      <c r="A2" s="2"/>
      <c r="B2" s="3"/>
      <c r="C2" s="3"/>
      <c r="D2" s="4"/>
    </row>
    <row r="3" spans="1:4">
      <c r="A3" s="115" t="s">
        <v>0</v>
      </c>
      <c r="B3" s="116"/>
      <c r="C3" s="116"/>
      <c r="D3" s="117"/>
    </row>
    <row r="4" spans="1:4">
      <c r="A4" s="115"/>
      <c r="B4" s="116"/>
      <c r="C4" s="116"/>
      <c r="D4" s="117"/>
    </row>
    <row r="5" spans="1:4">
      <c r="A5" s="5"/>
      <c r="B5" s="6"/>
      <c r="C5" s="6"/>
      <c r="D5" s="7"/>
    </row>
    <row r="6" spans="1:4" ht="18.75">
      <c r="A6" s="109" t="s">
        <v>1</v>
      </c>
      <c r="B6" s="110"/>
      <c r="C6" s="110"/>
      <c r="D6" s="111"/>
    </row>
    <row r="7" spans="1:4">
      <c r="A7" s="8"/>
      <c r="B7" s="9"/>
      <c r="C7" s="9"/>
      <c r="D7" s="10"/>
    </row>
    <row r="8" spans="1:4" ht="18.75">
      <c r="A8" s="109" t="s">
        <v>2</v>
      </c>
      <c r="B8" s="110"/>
      <c r="C8" s="110"/>
      <c r="D8" s="111"/>
    </row>
    <row r="9" spans="1:4" ht="18.75">
      <c r="A9" s="11"/>
      <c r="B9" s="109" t="s">
        <v>3</v>
      </c>
      <c r="C9" s="110"/>
      <c r="D9" s="110"/>
    </row>
    <row r="10" spans="1:4">
      <c r="A10" s="11"/>
      <c r="B10" s="12"/>
      <c r="C10" s="12"/>
      <c r="D10" s="13"/>
    </row>
    <row r="11" spans="1:4" ht="18.75">
      <c r="A11" s="104" t="s">
        <v>4</v>
      </c>
      <c r="B11" s="12"/>
      <c r="C11" s="12"/>
      <c r="D11" s="13"/>
    </row>
    <row r="12" spans="1:4" ht="18.75">
      <c r="A12" s="11"/>
      <c r="B12" s="109" t="s">
        <v>5</v>
      </c>
      <c r="C12" s="110"/>
      <c r="D12" s="110"/>
    </row>
    <row r="13" spans="1:4" ht="18.75">
      <c r="A13" s="11"/>
      <c r="B13" s="109" t="s">
        <v>6</v>
      </c>
      <c r="C13" s="110"/>
      <c r="D13" s="110"/>
    </row>
    <row r="14" spans="1:4" ht="18.75">
      <c r="A14" s="11"/>
      <c r="B14" s="109" t="s">
        <v>7</v>
      </c>
      <c r="C14" s="110"/>
      <c r="D14" s="110"/>
    </row>
    <row r="15" spans="1:4">
      <c r="A15" s="11"/>
      <c r="B15" s="12"/>
      <c r="C15" s="12"/>
      <c r="D15" s="13"/>
    </row>
    <row r="16" spans="1:4" ht="18.75">
      <c r="A16" s="104" t="s">
        <v>8</v>
      </c>
      <c r="B16" s="12"/>
      <c r="C16" s="12"/>
      <c r="D16" s="13"/>
    </row>
    <row r="17" spans="1:4" ht="18.75">
      <c r="A17" s="11"/>
      <c r="B17" s="109" t="s">
        <v>9</v>
      </c>
      <c r="C17" s="110"/>
      <c r="D17" s="110"/>
    </row>
    <row r="18" spans="1:4" ht="18.75">
      <c r="A18" s="11"/>
      <c r="B18" s="109" t="s">
        <v>10</v>
      </c>
      <c r="C18" s="110"/>
      <c r="D18" s="110"/>
    </row>
    <row r="19" spans="1:4" ht="18.75">
      <c r="A19" s="11"/>
      <c r="B19" s="109" t="s">
        <v>11</v>
      </c>
      <c r="C19" s="110"/>
      <c r="D19" s="110"/>
    </row>
    <row r="20" spans="1:4">
      <c r="A20" s="11"/>
      <c r="B20" s="12"/>
      <c r="C20" s="12"/>
      <c r="D20" s="13"/>
    </row>
    <row r="21" spans="1:4" ht="18.75">
      <c r="A21" s="104" t="s">
        <v>12</v>
      </c>
      <c r="B21" s="12"/>
      <c r="C21" s="12"/>
      <c r="D21" s="13"/>
    </row>
    <row r="22" spans="1:4" ht="18.75">
      <c r="A22" s="11"/>
      <c r="B22" s="109" t="s">
        <v>13</v>
      </c>
      <c r="C22" s="110"/>
      <c r="D22" s="110"/>
    </row>
    <row r="23" spans="1:4" ht="18.75">
      <c r="A23" s="11"/>
      <c r="B23" s="109" t="s">
        <v>14</v>
      </c>
      <c r="C23" s="110"/>
      <c r="D23" s="110"/>
    </row>
    <row r="24" spans="1:4">
      <c r="A24" s="11"/>
      <c r="B24" s="12"/>
      <c r="C24" s="12"/>
      <c r="D24" s="13"/>
    </row>
    <row r="25" spans="1:4" ht="18.75">
      <c r="A25" s="109" t="s">
        <v>15</v>
      </c>
      <c r="B25" s="110"/>
      <c r="C25" s="110"/>
      <c r="D25" s="111"/>
    </row>
    <row r="26" spans="1:4">
      <c r="A26" s="11"/>
      <c r="B26" s="12"/>
      <c r="C26" s="12"/>
      <c r="D26" s="13"/>
    </row>
    <row r="27" spans="1:4" ht="18.75">
      <c r="A27" s="109" t="s">
        <v>16</v>
      </c>
      <c r="B27" s="110"/>
      <c r="C27" s="110"/>
      <c r="D27" s="111"/>
    </row>
    <row r="28" spans="1:4" ht="18.75" thickBot="1">
      <c r="A28" s="14"/>
      <c r="B28" s="15"/>
      <c r="C28" s="15"/>
      <c r="D28" s="16"/>
    </row>
  </sheetData>
  <mergeCells count="15">
    <mergeCell ref="B12:D12"/>
    <mergeCell ref="A1:D1"/>
    <mergeCell ref="A3:D4"/>
    <mergeCell ref="A6:D6"/>
    <mergeCell ref="A8:D8"/>
    <mergeCell ref="B9:D9"/>
    <mergeCell ref="B23:D23"/>
    <mergeCell ref="A25:D25"/>
    <mergeCell ref="A27:D27"/>
    <mergeCell ref="B13:D13"/>
    <mergeCell ref="B14:D14"/>
    <mergeCell ref="B17:D17"/>
    <mergeCell ref="B18:D18"/>
    <mergeCell ref="B19:D19"/>
    <mergeCell ref="B22:D22"/>
  </mergeCells>
  <hyperlinks>
    <hyperlink ref="A6" location="Aguascalientes_EdoUsa!A1" display="1. Por Estados de USA"/>
    <hyperlink ref="A8" location="Aguascalientes_Cons_2018!A1" display="2. Por Circunscripción Consular"/>
    <hyperlink ref="B9" location="AguascalientesXCons2018!A1" display="2.1 Top ten por circunscripción consular"/>
    <hyperlink ref="B12" location="Aguascalientes_EdoMun!A1" display="3.1 Municipio general"/>
    <hyperlink ref="B13" location="Aguascalientes_USAMuni2016!A1" display="3.2 Por Estado de USA"/>
    <hyperlink ref="B14" location="Aguascalientes_MUNICIPIO!A1" display="3.3 Por Circunscripción Consular"/>
    <hyperlink ref="B17" location="Aguascalientes_educ_gral!A1" display="4.1 Educación general"/>
    <hyperlink ref="B18" location="Aguascalientes_NivelE_Cons!A1" display="4.2 Por Estado de USA"/>
    <hyperlink ref="B19" location="Aguascalientes_EducCons!A1" display="4.3 Por Circunscripción Consular"/>
    <hyperlink ref="B22" location="Aguascalientes_GenGral!A1" display="5.1 Género General"/>
    <hyperlink ref="B23" location="Aguascalientes_GENERO!A1" display="5.3 Por Circunscripción Consular"/>
    <hyperlink ref="A25" location="Aguascalientes_Gen_Edad!A1" display="6. Por estructura de Edad"/>
    <hyperlink ref="A27" location="Aguascalientes_ocup_gral!A1" display="7. Por Ocupación"/>
    <hyperlink ref="B13:D13" location="Yucatán_USAMuni!A1" display="3.2 Por Estado de USA"/>
    <hyperlink ref="A8:D8" location="Yucatán_Cons!A1" display="2. Por Circunscripción Consular"/>
    <hyperlink ref="B9:D9" location="YucatánXCons!A1" display="2.1 Top ten por circunscripción consular"/>
    <hyperlink ref="A6:D6" location="Yucatán_EdoUsa!A1" display="1. Por Estados de USA"/>
    <hyperlink ref="B12:D12" location="Yucatán_EdoMun!A1" display="3.1 Municipio general"/>
    <hyperlink ref="B14:D14" location="Yucatán_MUNICIPIO!A1" display="3.3 Por Circunscripción Consular"/>
    <hyperlink ref="B17:D17" location="Yucatán_educ_gral!A1" display="4.1 Educación general"/>
    <hyperlink ref="B18:D18" location="Yucatán_NivelE_Cons!A1" display="4.2 Por Estado de USA"/>
    <hyperlink ref="B19:D19" location="Yucatán_EducCons!A1" display="4.3 Por Circunscripción Consular"/>
    <hyperlink ref="B22:D22" location="Yucatán_GenGral!A1" display="5.1 Género General"/>
    <hyperlink ref="B23:D23" location="Yucatán_GENERO!A1" display="5.2 Por Circunscripción Consular"/>
    <hyperlink ref="A25:D25" location="Yucatán_Gen_Edad!A1" display="6. Por estructura de Edad"/>
    <hyperlink ref="A27:D27" location="Yucatán_ocup_gral!A1" display="7. Por Ocupació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D57"/>
  <sheetViews>
    <sheetView showGridLines="0" zoomScaleNormal="100" zoomScaleSheetLayoutView="115" workbookViewId="0"/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4" s="19" customFormat="1" ht="15" customHeight="1">
      <c r="C1" s="25"/>
    </row>
    <row r="2" spans="1:4" s="19" customFormat="1" ht="15" customHeight="1">
      <c r="C2" s="25"/>
    </row>
    <row r="3" spans="1:4" s="19" customFormat="1" ht="15" customHeight="1">
      <c r="A3" s="19" t="s">
        <v>57</v>
      </c>
      <c r="C3" s="25"/>
    </row>
    <row r="4" spans="1:4" s="19" customFormat="1" ht="30" customHeight="1">
      <c r="C4" s="25"/>
      <c r="D4" s="24"/>
    </row>
    <row r="5" spans="1:4" s="19" customFormat="1" ht="15" customHeight="1">
      <c r="C5" s="25"/>
      <c r="D5" s="24"/>
    </row>
    <row r="6" spans="1:4" s="19" customFormat="1" ht="15" customHeight="1">
      <c r="C6" s="25"/>
      <c r="D6" s="24"/>
    </row>
    <row r="7" spans="1:4" s="19" customFormat="1" ht="15" customHeight="1">
      <c r="B7" s="118" t="s">
        <v>248</v>
      </c>
      <c r="C7" s="118"/>
      <c r="D7" s="118"/>
    </row>
    <row r="8" spans="1:4" s="19" customFormat="1" ht="15" customHeight="1">
      <c r="B8" s="118"/>
      <c r="C8" s="118"/>
      <c r="D8" s="118"/>
    </row>
    <row r="9" spans="1:4" s="19" customFormat="1" ht="33" customHeight="1">
      <c r="B9" s="118"/>
      <c r="C9" s="118"/>
      <c r="D9" s="118"/>
    </row>
    <row r="10" spans="1:4" s="19" customFormat="1" ht="4.5" customHeight="1">
      <c r="B10" s="23"/>
      <c r="C10" s="23"/>
      <c r="D10" s="23"/>
    </row>
    <row r="11" spans="1:4" s="19" customFormat="1" ht="33" customHeight="1">
      <c r="B11" s="22" t="s">
        <v>56</v>
      </c>
      <c r="C11" s="21" t="s">
        <v>55</v>
      </c>
      <c r="D11" s="20" t="s">
        <v>54</v>
      </c>
    </row>
    <row r="12" spans="1:4">
      <c r="A12" s="47"/>
      <c r="B12" s="96" t="s">
        <v>53</v>
      </c>
      <c r="C12" s="95">
        <v>1325</v>
      </c>
      <c r="D12" s="94">
        <v>0.68263781555899017</v>
      </c>
    </row>
    <row r="13" spans="1:4">
      <c r="A13" s="48"/>
      <c r="B13" s="96" t="s">
        <v>51</v>
      </c>
      <c r="C13" s="95">
        <v>117</v>
      </c>
      <c r="D13" s="94">
        <v>6.0278207109737247E-2</v>
      </c>
    </row>
    <row r="14" spans="1:4">
      <c r="A14" s="48"/>
      <c r="B14" s="96" t="s">
        <v>52</v>
      </c>
      <c r="C14" s="95">
        <v>94</v>
      </c>
      <c r="D14" s="94">
        <v>4.8428645028335909E-2</v>
      </c>
    </row>
    <row r="15" spans="1:4">
      <c r="A15" s="47"/>
      <c r="B15" s="96" t="s">
        <v>49</v>
      </c>
      <c r="C15" s="95">
        <v>66</v>
      </c>
      <c r="D15" s="94">
        <v>3.4003091190108192E-2</v>
      </c>
    </row>
    <row r="16" spans="1:4">
      <c r="A16" s="47"/>
      <c r="B16" s="96" t="s">
        <v>50</v>
      </c>
      <c r="C16" s="95">
        <v>55</v>
      </c>
      <c r="D16" s="94">
        <v>2.8335909325090159E-2</v>
      </c>
    </row>
    <row r="17" spans="2:4">
      <c r="B17" s="96" t="s">
        <v>47</v>
      </c>
      <c r="C17" s="95">
        <v>41</v>
      </c>
      <c r="D17" s="94">
        <v>2.1123132405976301E-2</v>
      </c>
    </row>
    <row r="18" spans="2:4">
      <c r="B18" s="96" t="s">
        <v>45</v>
      </c>
      <c r="C18" s="95">
        <v>32</v>
      </c>
      <c r="D18" s="94">
        <v>1.6486347243688821E-2</v>
      </c>
    </row>
    <row r="19" spans="2:4">
      <c r="B19" s="96" t="s">
        <v>46</v>
      </c>
      <c r="C19" s="95">
        <v>25</v>
      </c>
      <c r="D19" s="94">
        <v>1.287995878413189E-2</v>
      </c>
    </row>
    <row r="20" spans="2:4">
      <c r="B20" s="96" t="s">
        <v>48</v>
      </c>
      <c r="C20" s="95">
        <v>24</v>
      </c>
      <c r="D20" s="94">
        <v>1.2364760432766615E-2</v>
      </c>
    </row>
    <row r="21" spans="2:4">
      <c r="B21" s="96" t="s">
        <v>41</v>
      </c>
      <c r="C21" s="95">
        <v>16</v>
      </c>
      <c r="D21" s="94">
        <v>8.2431736218444105E-3</v>
      </c>
    </row>
    <row r="22" spans="2:4">
      <c r="B22" s="96" t="s">
        <v>44</v>
      </c>
      <c r="C22" s="95">
        <v>16</v>
      </c>
      <c r="D22" s="94">
        <v>8.2431736218444105E-3</v>
      </c>
    </row>
    <row r="23" spans="2:4">
      <c r="B23" s="96" t="s">
        <v>39</v>
      </c>
      <c r="C23" s="95">
        <v>13</v>
      </c>
      <c r="D23" s="94">
        <v>6.6975785677485834E-3</v>
      </c>
    </row>
    <row r="24" spans="2:4">
      <c r="B24" s="96" t="s">
        <v>42</v>
      </c>
      <c r="C24" s="95">
        <v>12</v>
      </c>
      <c r="D24" s="94">
        <v>6.1823802163833074E-3</v>
      </c>
    </row>
    <row r="25" spans="2:4">
      <c r="B25" s="96" t="s">
        <v>30</v>
      </c>
      <c r="C25" s="95">
        <v>11</v>
      </c>
      <c r="D25" s="94">
        <v>5.6671818650180323E-3</v>
      </c>
    </row>
    <row r="26" spans="2:4">
      <c r="B26" s="96" t="s">
        <v>43</v>
      </c>
      <c r="C26" s="95">
        <v>10</v>
      </c>
      <c r="D26" s="94">
        <v>5.1519835136527563E-3</v>
      </c>
    </row>
    <row r="27" spans="2:4">
      <c r="B27" s="96" t="s">
        <v>40</v>
      </c>
      <c r="C27" s="95">
        <v>10</v>
      </c>
      <c r="D27" s="94">
        <v>5.1519835136527563E-3</v>
      </c>
    </row>
    <row r="28" spans="2:4">
      <c r="B28" s="96" t="s">
        <v>27</v>
      </c>
      <c r="C28" s="95">
        <v>10</v>
      </c>
      <c r="D28" s="94">
        <v>5.1519835136527563E-3</v>
      </c>
    </row>
    <row r="29" spans="2:4">
      <c r="B29" s="96" t="s">
        <v>33</v>
      </c>
      <c r="C29" s="95">
        <v>6</v>
      </c>
      <c r="D29" s="94">
        <v>3.0911901081916537E-3</v>
      </c>
    </row>
    <row r="30" spans="2:4">
      <c r="B30" s="96" t="s">
        <v>38</v>
      </c>
      <c r="C30" s="95">
        <v>6</v>
      </c>
      <c r="D30" s="94">
        <v>3.0911901081916537E-3</v>
      </c>
    </row>
    <row r="31" spans="2:4">
      <c r="B31" s="96" t="s">
        <v>249</v>
      </c>
      <c r="C31" s="95">
        <v>6</v>
      </c>
      <c r="D31" s="94">
        <v>3.0911901081916537E-3</v>
      </c>
    </row>
    <row r="32" spans="2:4">
      <c r="B32" s="96" t="s">
        <v>31</v>
      </c>
      <c r="C32" s="95">
        <v>4</v>
      </c>
      <c r="D32" s="94">
        <v>2.0607934054611026E-3</v>
      </c>
    </row>
    <row r="33" spans="2:4">
      <c r="B33" s="96" t="s">
        <v>34</v>
      </c>
      <c r="C33" s="95">
        <v>4</v>
      </c>
      <c r="D33" s="94">
        <v>2.0607934054611026E-3</v>
      </c>
    </row>
    <row r="34" spans="2:4">
      <c r="B34" s="96" t="s">
        <v>22</v>
      </c>
      <c r="C34" s="95">
        <v>4</v>
      </c>
      <c r="D34" s="94">
        <v>2.0607934054611026E-3</v>
      </c>
    </row>
    <row r="35" spans="2:4">
      <c r="B35" s="96" t="s">
        <v>36</v>
      </c>
      <c r="C35" s="95">
        <v>3</v>
      </c>
      <c r="D35" s="94">
        <v>1.5455950540958269E-3</v>
      </c>
    </row>
    <row r="36" spans="2:4">
      <c r="B36" s="96" t="s">
        <v>28</v>
      </c>
      <c r="C36" s="95">
        <v>3</v>
      </c>
      <c r="D36" s="94">
        <v>1.5455950540958269E-3</v>
      </c>
    </row>
    <row r="37" spans="2:4">
      <c r="B37" s="96" t="s">
        <v>241</v>
      </c>
      <c r="C37" s="95">
        <v>3</v>
      </c>
      <c r="D37" s="94">
        <v>1.5455950540958269E-3</v>
      </c>
    </row>
    <row r="38" spans="2:4">
      <c r="B38" s="96" t="s">
        <v>29</v>
      </c>
      <c r="C38" s="95">
        <v>3</v>
      </c>
      <c r="D38" s="94">
        <v>1.5455950540958269E-3</v>
      </c>
    </row>
    <row r="39" spans="2:4">
      <c r="B39" s="96" t="s">
        <v>21</v>
      </c>
      <c r="C39" s="95">
        <v>3</v>
      </c>
      <c r="D39" s="94">
        <v>1.5455950540958269E-3</v>
      </c>
    </row>
    <row r="40" spans="2:4">
      <c r="B40" s="96" t="s">
        <v>32</v>
      </c>
      <c r="C40" s="95">
        <v>3</v>
      </c>
      <c r="D40" s="94">
        <v>1.5455950540958269E-3</v>
      </c>
    </row>
    <row r="41" spans="2:4">
      <c r="B41" s="96" t="s">
        <v>35</v>
      </c>
      <c r="C41" s="95">
        <v>3</v>
      </c>
      <c r="D41" s="94">
        <v>1.5455950540958269E-3</v>
      </c>
    </row>
    <row r="42" spans="2:4">
      <c r="B42" s="96" t="s">
        <v>23</v>
      </c>
      <c r="C42" s="95">
        <v>2</v>
      </c>
      <c r="D42" s="94">
        <v>1.0303967027305513E-3</v>
      </c>
    </row>
    <row r="43" spans="2:4">
      <c r="B43" s="96" t="s">
        <v>26</v>
      </c>
      <c r="C43" s="95">
        <v>2</v>
      </c>
      <c r="D43" s="94">
        <v>1.0303967027305513E-3</v>
      </c>
    </row>
    <row r="44" spans="2:4">
      <c r="B44" s="96" t="s">
        <v>37</v>
      </c>
      <c r="C44" s="95">
        <v>2</v>
      </c>
      <c r="D44" s="94">
        <v>1.0303967027305513E-3</v>
      </c>
    </row>
    <row r="45" spans="2:4">
      <c r="B45" s="96" t="s">
        <v>24</v>
      </c>
      <c r="C45" s="95">
        <v>2</v>
      </c>
      <c r="D45" s="94">
        <v>1.0303967027305513E-3</v>
      </c>
    </row>
    <row r="46" spans="2:4">
      <c r="B46" s="96" t="s">
        <v>242</v>
      </c>
      <c r="C46" s="95">
        <v>2</v>
      </c>
      <c r="D46" s="94">
        <v>1.0303967027305513E-3</v>
      </c>
    </row>
    <row r="47" spans="2:4">
      <c r="B47" s="96" t="s">
        <v>240</v>
      </c>
      <c r="C47" s="95">
        <v>1</v>
      </c>
      <c r="D47" s="94">
        <v>5.1519835136527566E-4</v>
      </c>
    </row>
    <row r="48" spans="2:4">
      <c r="B48" s="96" t="s">
        <v>25</v>
      </c>
      <c r="C48" s="95">
        <v>1</v>
      </c>
      <c r="D48" s="94">
        <v>5.1519835136527566E-4</v>
      </c>
    </row>
    <row r="49" spans="2:4">
      <c r="B49" s="96" t="s">
        <v>250</v>
      </c>
      <c r="C49" s="95">
        <v>1</v>
      </c>
      <c r="D49" s="94">
        <v>5.1519835136527566E-4</v>
      </c>
    </row>
    <row r="50" spans="2:4">
      <c r="B50" s="93" t="s">
        <v>20</v>
      </c>
      <c r="C50" s="92">
        <v>1941</v>
      </c>
      <c r="D50" s="91">
        <v>1</v>
      </c>
    </row>
    <row r="51" spans="2:4">
      <c r="B51" s="89"/>
      <c r="C51" s="71"/>
      <c r="D51" s="89"/>
    </row>
    <row r="52" spans="2:4">
      <c r="B52" s="85" t="s">
        <v>251</v>
      </c>
      <c r="C52" s="71"/>
      <c r="D52" s="89"/>
    </row>
    <row r="53" spans="2:4">
      <c r="B53" s="87" t="s">
        <v>19</v>
      </c>
      <c r="C53" s="71"/>
      <c r="D53" s="89"/>
    </row>
    <row r="54" spans="2:4">
      <c r="B54" s="86" t="s">
        <v>18</v>
      </c>
      <c r="C54" s="71"/>
      <c r="D54" s="89"/>
    </row>
    <row r="55" spans="2:4">
      <c r="B55" s="85" t="s">
        <v>17</v>
      </c>
      <c r="C55" s="71"/>
      <c r="D55" s="89"/>
    </row>
    <row r="56" spans="2:4">
      <c r="B56" s="85" t="s">
        <v>252</v>
      </c>
      <c r="C56" s="71"/>
      <c r="D56" s="89"/>
    </row>
    <row r="57" spans="2:4">
      <c r="B57" s="49"/>
      <c r="C57" s="47"/>
      <c r="D57" s="47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D62"/>
  <sheetViews>
    <sheetView showGridLines="0" zoomScaleNormal="100" zoomScaleSheetLayoutView="115" workbookViewId="0">
      <selection activeCell="B61" sqref="B61"/>
    </sheetView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4" s="19" customFormat="1" ht="15" customHeight="1">
      <c r="C1" s="25"/>
    </row>
    <row r="2" spans="1:4" s="19" customFormat="1" ht="15" customHeight="1">
      <c r="C2" s="25"/>
    </row>
    <row r="3" spans="1:4" s="19" customFormat="1" ht="15" customHeight="1">
      <c r="A3" s="19" t="s">
        <v>57</v>
      </c>
      <c r="C3" s="25"/>
    </row>
    <row r="4" spans="1:4" s="19" customFormat="1" ht="30" customHeight="1">
      <c r="C4" s="25"/>
      <c r="D4" s="24"/>
    </row>
    <row r="5" spans="1:4" s="19" customFormat="1" ht="15" customHeight="1">
      <c r="C5" s="25"/>
      <c r="D5" s="24"/>
    </row>
    <row r="6" spans="1:4" s="19" customFormat="1" ht="15" customHeight="1">
      <c r="C6" s="25"/>
      <c r="D6" s="24"/>
    </row>
    <row r="7" spans="1:4" s="19" customFormat="1" ht="15" customHeight="1">
      <c r="B7" s="118" t="s">
        <v>253</v>
      </c>
      <c r="C7" s="118"/>
      <c r="D7" s="118"/>
    </row>
    <row r="8" spans="1:4" s="19" customFormat="1" ht="15" customHeight="1">
      <c r="B8" s="118"/>
      <c r="C8" s="118"/>
      <c r="D8" s="118"/>
    </row>
    <row r="9" spans="1:4" s="19" customFormat="1" ht="33" customHeight="1">
      <c r="B9" s="118"/>
      <c r="C9" s="118"/>
      <c r="D9" s="118"/>
    </row>
    <row r="10" spans="1:4" s="19" customFormat="1" ht="4.5" customHeight="1">
      <c r="B10" s="23"/>
      <c r="C10" s="23"/>
      <c r="D10" s="23"/>
    </row>
    <row r="11" spans="1:4" s="19" customFormat="1" ht="33" customHeight="1">
      <c r="B11" s="22" t="s">
        <v>98</v>
      </c>
      <c r="C11" s="21" t="s">
        <v>55</v>
      </c>
      <c r="D11" s="20" t="s">
        <v>54</v>
      </c>
    </row>
    <row r="12" spans="1:4">
      <c r="A12" s="50"/>
      <c r="B12" s="96" t="s">
        <v>86</v>
      </c>
      <c r="C12" s="95">
        <v>770</v>
      </c>
      <c r="D12" s="94">
        <v>0.39670273055126226</v>
      </c>
    </row>
    <row r="13" spans="1:4">
      <c r="A13" s="50"/>
      <c r="B13" s="96" t="s">
        <v>97</v>
      </c>
      <c r="C13" s="95">
        <v>338</v>
      </c>
      <c r="D13" s="94">
        <v>0.17413704276146316</v>
      </c>
    </row>
    <row r="14" spans="1:4">
      <c r="A14" s="51"/>
      <c r="B14" s="96" t="s">
        <v>72</v>
      </c>
      <c r="C14" s="95">
        <v>99</v>
      </c>
      <c r="D14" s="94">
        <v>5.1004636785162288E-2</v>
      </c>
    </row>
    <row r="15" spans="1:4">
      <c r="A15" s="50"/>
      <c r="B15" s="96" t="s">
        <v>80</v>
      </c>
      <c r="C15" s="95">
        <v>91</v>
      </c>
      <c r="D15" s="94">
        <v>4.6883049974240081E-2</v>
      </c>
    </row>
    <row r="16" spans="1:4">
      <c r="A16" s="50"/>
      <c r="B16" s="96" t="s">
        <v>94</v>
      </c>
      <c r="C16" s="95">
        <v>66</v>
      </c>
      <c r="D16" s="94">
        <v>3.4003091190108192E-2</v>
      </c>
    </row>
    <row r="17" spans="1:4">
      <c r="A17" s="48"/>
      <c r="B17" s="96" t="s">
        <v>81</v>
      </c>
      <c r="C17" s="95">
        <v>66</v>
      </c>
      <c r="D17" s="94">
        <v>3.4003091190108192E-2</v>
      </c>
    </row>
    <row r="18" spans="1:4">
      <c r="A18" s="48"/>
      <c r="B18" s="96" t="s">
        <v>78</v>
      </c>
      <c r="C18" s="95">
        <v>57</v>
      </c>
      <c r="D18" s="94">
        <v>2.9366306027820709E-2</v>
      </c>
    </row>
    <row r="19" spans="1:4">
      <c r="A19" s="48"/>
      <c r="B19" s="96" t="s">
        <v>95</v>
      </c>
      <c r="C19" s="95">
        <v>37</v>
      </c>
      <c r="D19" s="94">
        <v>1.90623390005152E-2</v>
      </c>
    </row>
    <row r="20" spans="1:4">
      <c r="A20" s="48"/>
      <c r="B20" s="96" t="s">
        <v>89</v>
      </c>
      <c r="C20" s="95">
        <v>35</v>
      </c>
      <c r="D20" s="94">
        <v>1.8031942297784646E-2</v>
      </c>
    </row>
    <row r="21" spans="1:4">
      <c r="A21" s="48"/>
      <c r="B21" s="96" t="s">
        <v>69</v>
      </c>
      <c r="C21" s="95">
        <v>32</v>
      </c>
      <c r="D21" s="94">
        <v>1.6486347243688821E-2</v>
      </c>
    </row>
    <row r="22" spans="1:4">
      <c r="A22" s="48"/>
      <c r="B22" s="96" t="s">
        <v>88</v>
      </c>
      <c r="C22" s="95">
        <v>30</v>
      </c>
      <c r="D22" s="94">
        <v>1.5455950540958269E-2</v>
      </c>
    </row>
    <row r="23" spans="1:4">
      <c r="A23" s="48"/>
      <c r="B23" s="96" t="s">
        <v>96</v>
      </c>
      <c r="C23" s="95">
        <v>26</v>
      </c>
      <c r="D23" s="94">
        <v>1.3395157135497167E-2</v>
      </c>
    </row>
    <row r="24" spans="1:4">
      <c r="A24" s="48"/>
      <c r="B24" s="96" t="s">
        <v>87</v>
      </c>
      <c r="C24" s="95">
        <v>26</v>
      </c>
      <c r="D24" s="94">
        <v>1.3395157135497167E-2</v>
      </c>
    </row>
    <row r="25" spans="1:4">
      <c r="A25" s="48"/>
      <c r="B25" s="96" t="s">
        <v>93</v>
      </c>
      <c r="C25" s="95">
        <v>23</v>
      </c>
      <c r="D25" s="94">
        <v>1.184956208140134E-2</v>
      </c>
    </row>
    <row r="26" spans="1:4">
      <c r="A26" s="48"/>
      <c r="B26" s="96" t="s">
        <v>71</v>
      </c>
      <c r="C26" s="95">
        <v>22</v>
      </c>
      <c r="D26" s="94">
        <v>1.1334363730036065E-2</v>
      </c>
    </row>
    <row r="27" spans="1:4">
      <c r="A27" s="48"/>
      <c r="B27" s="96" t="s">
        <v>92</v>
      </c>
      <c r="C27" s="95">
        <v>20</v>
      </c>
      <c r="D27" s="94">
        <v>1.0303967027305513E-2</v>
      </c>
    </row>
    <row r="28" spans="1:4">
      <c r="A28" s="48"/>
      <c r="B28" s="96" t="s">
        <v>90</v>
      </c>
      <c r="C28" s="95">
        <v>20</v>
      </c>
      <c r="D28" s="94">
        <v>1.0303967027305513E-2</v>
      </c>
    </row>
    <row r="29" spans="1:4">
      <c r="A29" s="48"/>
      <c r="B29" s="96" t="s">
        <v>66</v>
      </c>
      <c r="C29" s="95">
        <v>20</v>
      </c>
      <c r="D29" s="94">
        <v>1.0303967027305513E-2</v>
      </c>
    </row>
    <row r="30" spans="1:4">
      <c r="A30" s="48"/>
      <c r="B30" s="96" t="s">
        <v>84</v>
      </c>
      <c r="C30" s="95">
        <v>19</v>
      </c>
      <c r="D30" s="94">
        <v>9.7887686759402376E-3</v>
      </c>
    </row>
    <row r="31" spans="1:4">
      <c r="A31" s="48"/>
      <c r="B31" s="96" t="s">
        <v>74</v>
      </c>
      <c r="C31" s="95">
        <v>15</v>
      </c>
      <c r="D31" s="94">
        <v>7.7279752704791345E-3</v>
      </c>
    </row>
    <row r="32" spans="1:4">
      <c r="A32" s="48"/>
      <c r="B32" s="96" t="s">
        <v>82</v>
      </c>
      <c r="C32" s="95">
        <v>15</v>
      </c>
      <c r="D32" s="94">
        <v>7.7279752704791345E-3</v>
      </c>
    </row>
    <row r="33" spans="1:4">
      <c r="A33" s="48"/>
      <c r="B33" s="96" t="s">
        <v>79</v>
      </c>
      <c r="C33" s="95">
        <v>13</v>
      </c>
      <c r="D33" s="94">
        <v>6.6975785677485834E-3</v>
      </c>
    </row>
    <row r="34" spans="1:4">
      <c r="A34" s="48"/>
      <c r="B34" s="96" t="s">
        <v>91</v>
      </c>
      <c r="C34" s="95">
        <v>12</v>
      </c>
      <c r="D34" s="94">
        <v>6.1823802163833074E-3</v>
      </c>
    </row>
    <row r="35" spans="1:4">
      <c r="A35" s="48"/>
      <c r="B35" s="96" t="s">
        <v>85</v>
      </c>
      <c r="C35" s="95">
        <v>12</v>
      </c>
      <c r="D35" s="94">
        <v>6.1823802163833074E-3</v>
      </c>
    </row>
    <row r="36" spans="1:4">
      <c r="A36" s="48"/>
      <c r="B36" s="96" t="s">
        <v>70</v>
      </c>
      <c r="C36" s="95">
        <v>10</v>
      </c>
      <c r="D36" s="94">
        <v>5.1519835136527563E-3</v>
      </c>
    </row>
    <row r="37" spans="1:4">
      <c r="A37" s="48"/>
      <c r="B37" s="96" t="s">
        <v>63</v>
      </c>
      <c r="C37" s="95">
        <v>9</v>
      </c>
      <c r="D37" s="94">
        <v>4.6367851622874804E-3</v>
      </c>
    </row>
    <row r="38" spans="1:4">
      <c r="A38" s="48"/>
      <c r="B38" s="96" t="s">
        <v>73</v>
      </c>
      <c r="C38" s="95">
        <v>9</v>
      </c>
      <c r="D38" s="94">
        <v>4.6367851622874804E-3</v>
      </c>
    </row>
    <row r="39" spans="1:4">
      <c r="A39" s="48"/>
      <c r="B39" s="96" t="s">
        <v>64</v>
      </c>
      <c r="C39" s="95">
        <v>6</v>
      </c>
      <c r="D39" s="94">
        <v>3.0911901081916537E-3</v>
      </c>
    </row>
    <row r="40" spans="1:4">
      <c r="A40" s="48"/>
      <c r="B40" s="96" t="s">
        <v>67</v>
      </c>
      <c r="C40" s="95">
        <v>6</v>
      </c>
      <c r="D40" s="94">
        <v>3.0911901081916537E-3</v>
      </c>
    </row>
    <row r="41" spans="1:4">
      <c r="A41" s="48"/>
      <c r="B41" s="96" t="s">
        <v>77</v>
      </c>
      <c r="C41" s="95">
        <v>6</v>
      </c>
      <c r="D41" s="94">
        <v>3.0911901081916537E-3</v>
      </c>
    </row>
    <row r="42" spans="1:4">
      <c r="A42" s="48"/>
      <c r="B42" s="96" t="s">
        <v>48</v>
      </c>
      <c r="C42" s="95">
        <v>6</v>
      </c>
      <c r="D42" s="94">
        <v>3.0911901081916537E-3</v>
      </c>
    </row>
    <row r="43" spans="1:4">
      <c r="A43" s="48"/>
      <c r="B43" s="96" t="s">
        <v>83</v>
      </c>
      <c r="C43" s="95">
        <v>4</v>
      </c>
      <c r="D43" s="94">
        <v>2.0607934054611026E-3</v>
      </c>
    </row>
    <row r="44" spans="1:4">
      <c r="A44" s="48"/>
      <c r="B44" s="96" t="s">
        <v>75</v>
      </c>
      <c r="C44" s="95">
        <v>4</v>
      </c>
      <c r="D44" s="94">
        <v>2.0607934054611026E-3</v>
      </c>
    </row>
    <row r="45" spans="1:4">
      <c r="A45" s="48"/>
      <c r="B45" s="96" t="s">
        <v>65</v>
      </c>
      <c r="C45" s="95">
        <v>4</v>
      </c>
      <c r="D45" s="94">
        <v>2.0607934054611026E-3</v>
      </c>
    </row>
    <row r="46" spans="1:4">
      <c r="A46" s="48"/>
      <c r="B46" s="96" t="s">
        <v>68</v>
      </c>
      <c r="C46" s="95">
        <v>3</v>
      </c>
      <c r="D46" s="94">
        <v>1.5455950540958269E-3</v>
      </c>
    </row>
    <row r="47" spans="1:4">
      <c r="A47" s="48"/>
      <c r="B47" s="96" t="s">
        <v>61</v>
      </c>
      <c r="C47" s="95">
        <v>2</v>
      </c>
      <c r="D47" s="94">
        <v>1.0303967027305513E-3</v>
      </c>
    </row>
    <row r="48" spans="1:4">
      <c r="A48" s="48"/>
      <c r="B48" s="96" t="s">
        <v>60</v>
      </c>
      <c r="C48" s="95">
        <v>2</v>
      </c>
      <c r="D48" s="94">
        <v>1.0303967027305513E-3</v>
      </c>
    </row>
    <row r="49" spans="1:4">
      <c r="A49" s="48"/>
      <c r="B49" s="96" t="s">
        <v>76</v>
      </c>
      <c r="C49" s="95">
        <v>2</v>
      </c>
      <c r="D49" s="94">
        <v>1.0303967027305513E-3</v>
      </c>
    </row>
    <row r="50" spans="1:4">
      <c r="A50" s="48"/>
      <c r="B50" s="96" t="s">
        <v>58</v>
      </c>
      <c r="C50" s="95">
        <v>1</v>
      </c>
      <c r="D50" s="94">
        <v>5.1519835136527566E-4</v>
      </c>
    </row>
    <row r="51" spans="1:4">
      <c r="A51" s="48"/>
      <c r="B51" s="96" t="s">
        <v>254</v>
      </c>
      <c r="C51" s="95">
        <v>1</v>
      </c>
      <c r="D51" s="94">
        <v>5.1519835136527566E-4</v>
      </c>
    </row>
    <row r="52" spans="1:4">
      <c r="A52" s="48"/>
      <c r="B52" s="96" t="s">
        <v>62</v>
      </c>
      <c r="C52" s="95">
        <v>1</v>
      </c>
      <c r="D52" s="94">
        <v>5.1519835136527566E-4</v>
      </c>
    </row>
    <row r="53" spans="1:4">
      <c r="A53" s="48"/>
      <c r="B53" s="96" t="s">
        <v>59</v>
      </c>
      <c r="C53" s="95">
        <v>1</v>
      </c>
      <c r="D53" s="94">
        <v>5.1519835136527566E-4</v>
      </c>
    </row>
    <row r="54" spans="1:4">
      <c r="A54" s="48"/>
      <c r="B54" s="93" t="s">
        <v>20</v>
      </c>
      <c r="C54" s="92">
        <v>1941</v>
      </c>
      <c r="D54" s="91">
        <v>1</v>
      </c>
    </row>
    <row r="55" spans="1:4">
      <c r="A55" s="48"/>
      <c r="B55" s="89"/>
      <c r="C55" s="71"/>
      <c r="D55" s="89"/>
    </row>
    <row r="56" spans="1:4">
      <c r="A56" s="48"/>
      <c r="B56" s="85" t="s">
        <v>251</v>
      </c>
      <c r="C56" s="71"/>
      <c r="D56" s="89"/>
    </row>
    <row r="57" spans="1:4">
      <c r="A57" s="48"/>
      <c r="B57" s="87" t="s">
        <v>19</v>
      </c>
      <c r="C57" s="71"/>
      <c r="D57" s="89"/>
    </row>
    <row r="58" spans="1:4">
      <c r="A58" s="48"/>
      <c r="B58" s="86" t="s">
        <v>18</v>
      </c>
      <c r="C58" s="71"/>
      <c r="D58" s="89"/>
    </row>
    <row r="59" spans="1:4">
      <c r="A59" s="48"/>
      <c r="B59" s="85" t="s">
        <v>17</v>
      </c>
      <c r="C59" s="71"/>
      <c r="D59" s="89"/>
    </row>
    <row r="60" spans="1:4">
      <c r="A60" s="48"/>
      <c r="B60" s="85" t="s">
        <v>252</v>
      </c>
      <c r="C60" s="71"/>
      <c r="D60" s="89"/>
    </row>
    <row r="61" spans="1:4">
      <c r="A61" s="48"/>
      <c r="B61" s="53"/>
      <c r="C61" s="50"/>
      <c r="D61" s="50"/>
    </row>
    <row r="62" spans="1:4">
      <c r="A62" s="48"/>
      <c r="B62" s="53"/>
      <c r="C62" s="50"/>
      <c r="D62" s="50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D29"/>
  <sheetViews>
    <sheetView showGridLines="0" topLeftCell="A4" zoomScaleNormal="100" zoomScaleSheetLayoutView="115" workbookViewId="0">
      <selection activeCell="B7" sqref="B7:D9"/>
    </sheetView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4" s="19" customFormat="1" ht="15" customHeight="1">
      <c r="C1" s="25"/>
    </row>
    <row r="2" spans="1:4" s="19" customFormat="1" ht="15" customHeight="1">
      <c r="C2" s="25"/>
    </row>
    <row r="3" spans="1:4" s="19" customFormat="1" ht="15" customHeight="1">
      <c r="A3" s="19" t="s">
        <v>57</v>
      </c>
      <c r="C3" s="25"/>
    </row>
    <row r="4" spans="1:4" s="19" customFormat="1" ht="30" customHeight="1">
      <c r="C4" s="25"/>
      <c r="D4" s="24"/>
    </row>
    <row r="5" spans="1:4" s="19" customFormat="1" ht="15" customHeight="1">
      <c r="C5" s="25"/>
      <c r="D5" s="24"/>
    </row>
    <row r="6" spans="1:4" s="19" customFormat="1" ht="15" customHeight="1">
      <c r="C6" s="25"/>
      <c r="D6" s="24"/>
    </row>
    <row r="7" spans="1:4" s="19" customFormat="1" ht="15" customHeight="1">
      <c r="B7" s="118" t="s">
        <v>283</v>
      </c>
      <c r="C7" s="118"/>
      <c r="D7" s="118"/>
    </row>
    <row r="8" spans="1:4" s="19" customFormat="1" ht="15" customHeight="1">
      <c r="B8" s="118"/>
      <c r="C8" s="118"/>
      <c r="D8" s="118"/>
    </row>
    <row r="9" spans="1:4" s="19" customFormat="1" ht="33" customHeight="1">
      <c r="B9" s="118"/>
      <c r="C9" s="118"/>
      <c r="D9" s="118"/>
    </row>
    <row r="10" spans="1:4" s="19" customFormat="1" ht="4.5" customHeight="1">
      <c r="B10" s="23"/>
      <c r="C10" s="23"/>
      <c r="D10" s="23"/>
    </row>
    <row r="11" spans="1:4" s="19" customFormat="1" ht="33" customHeight="1">
      <c r="B11" s="22" t="s">
        <v>98</v>
      </c>
      <c r="C11" s="21" t="s">
        <v>55</v>
      </c>
      <c r="D11" s="20" t="s">
        <v>54</v>
      </c>
    </row>
    <row r="12" spans="1:4">
      <c r="A12" s="54"/>
      <c r="B12" s="96" t="s">
        <v>86</v>
      </c>
      <c r="C12" s="95">
        <v>770</v>
      </c>
      <c r="D12" s="94">
        <f>C12/$C$22</f>
        <v>0.67073170731707321</v>
      </c>
    </row>
    <row r="13" spans="1:4">
      <c r="A13" s="54"/>
      <c r="B13" s="96" t="s">
        <v>97</v>
      </c>
      <c r="C13" s="95">
        <v>338</v>
      </c>
      <c r="D13" s="94">
        <f t="shared" ref="D13:D21" si="0">C13/$C$22</f>
        <v>0.29442508710801396</v>
      </c>
    </row>
    <row r="14" spans="1:4">
      <c r="A14" s="55"/>
      <c r="B14" s="96" t="s">
        <v>72</v>
      </c>
      <c r="C14" s="95">
        <v>99</v>
      </c>
      <c r="D14" s="94">
        <f t="shared" si="0"/>
        <v>8.6236933797909407E-2</v>
      </c>
    </row>
    <row r="15" spans="1:4">
      <c r="A15" s="55"/>
      <c r="B15" s="96" t="s">
        <v>80</v>
      </c>
      <c r="C15" s="95">
        <v>91</v>
      </c>
      <c r="D15" s="94">
        <f t="shared" si="0"/>
        <v>7.926829268292683E-2</v>
      </c>
    </row>
    <row r="16" spans="1:4">
      <c r="A16" s="54"/>
      <c r="B16" s="96" t="s">
        <v>94</v>
      </c>
      <c r="C16" s="95">
        <v>66</v>
      </c>
      <c r="D16" s="94">
        <f t="shared" si="0"/>
        <v>5.7491289198606271E-2</v>
      </c>
    </row>
    <row r="17" spans="1:4">
      <c r="A17" s="51"/>
      <c r="B17" s="96" t="s">
        <v>81</v>
      </c>
      <c r="C17" s="95">
        <v>66</v>
      </c>
      <c r="D17" s="94">
        <f t="shared" si="0"/>
        <v>5.7491289198606271E-2</v>
      </c>
    </row>
    <row r="18" spans="1:4">
      <c r="A18" s="51"/>
      <c r="B18" s="96" t="s">
        <v>78</v>
      </c>
      <c r="C18" s="95">
        <v>57</v>
      </c>
      <c r="D18" s="94">
        <f t="shared" si="0"/>
        <v>4.9651567944250873E-2</v>
      </c>
    </row>
    <row r="19" spans="1:4">
      <c r="A19" s="51"/>
      <c r="B19" s="96" t="s">
        <v>95</v>
      </c>
      <c r="C19" s="95">
        <v>37</v>
      </c>
      <c r="D19" s="94">
        <f t="shared" si="0"/>
        <v>3.2229965156794424E-2</v>
      </c>
    </row>
    <row r="20" spans="1:4">
      <c r="A20" s="51"/>
      <c r="B20" s="96" t="s">
        <v>89</v>
      </c>
      <c r="C20" s="95">
        <v>35</v>
      </c>
      <c r="D20" s="94">
        <f t="shared" si="0"/>
        <v>3.048780487804878E-2</v>
      </c>
    </row>
    <row r="21" spans="1:4">
      <c r="A21" s="51"/>
      <c r="B21" s="96" t="s">
        <v>69</v>
      </c>
      <c r="C21" s="95">
        <v>32</v>
      </c>
      <c r="D21" s="94">
        <f t="shared" si="0"/>
        <v>2.7874564459930314E-2</v>
      </c>
    </row>
    <row r="22" spans="1:4">
      <c r="A22" s="51"/>
      <c r="B22" s="58" t="s">
        <v>204</v>
      </c>
      <c r="C22" s="57">
        <v>1148</v>
      </c>
      <c r="D22" s="56">
        <v>1</v>
      </c>
    </row>
    <row r="23" spans="1:4">
      <c r="A23" s="51"/>
      <c r="B23" s="51"/>
      <c r="C23" s="52"/>
      <c r="D23" s="51"/>
    </row>
    <row r="24" spans="1:4">
      <c r="A24" s="51"/>
      <c r="B24" s="85" t="s">
        <v>251</v>
      </c>
      <c r="C24" s="54"/>
      <c r="D24" s="54"/>
    </row>
    <row r="25" spans="1:4">
      <c r="A25" s="51"/>
      <c r="B25" s="87" t="s">
        <v>19</v>
      </c>
      <c r="C25" s="54"/>
      <c r="D25" s="54"/>
    </row>
    <row r="26" spans="1:4">
      <c r="A26" s="51"/>
      <c r="B26" s="86" t="s">
        <v>18</v>
      </c>
      <c r="C26" s="54"/>
      <c r="D26" s="54"/>
    </row>
    <row r="27" spans="1:4">
      <c r="A27" s="51"/>
      <c r="B27" s="85" t="s">
        <v>17</v>
      </c>
      <c r="C27" s="54"/>
      <c r="D27" s="54"/>
    </row>
    <row r="28" spans="1:4">
      <c r="A28" s="51"/>
      <c r="B28" s="85" t="s">
        <v>252</v>
      </c>
      <c r="C28" s="54"/>
      <c r="D28" s="54"/>
    </row>
    <row r="29" spans="1:4">
      <c r="B29" s="85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D109"/>
  <sheetViews>
    <sheetView showGridLines="0" zoomScaleNormal="100" zoomScaleSheetLayoutView="115" workbookViewId="0">
      <selection activeCell="G87" sqref="G87"/>
    </sheetView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4" s="19" customFormat="1" ht="15" customHeight="1">
      <c r="C1" s="25"/>
    </row>
    <row r="2" spans="1:4" s="19" customFormat="1" ht="15" customHeight="1">
      <c r="C2" s="25"/>
    </row>
    <row r="3" spans="1:4" s="19" customFormat="1" ht="15" customHeight="1">
      <c r="A3" s="19" t="s">
        <v>57</v>
      </c>
      <c r="C3" s="25"/>
    </row>
    <row r="4" spans="1:4" s="19" customFormat="1" ht="30" customHeight="1">
      <c r="C4" s="25"/>
      <c r="D4" s="24"/>
    </row>
    <row r="5" spans="1:4" s="19" customFormat="1" ht="15" customHeight="1">
      <c r="C5" s="25"/>
      <c r="D5" s="24"/>
    </row>
    <row r="6" spans="1:4" s="19" customFormat="1" ht="15" customHeight="1">
      <c r="C6" s="25"/>
      <c r="D6" s="24"/>
    </row>
    <row r="7" spans="1:4" s="19" customFormat="1" ht="15" customHeight="1">
      <c r="B7" s="118" t="s">
        <v>255</v>
      </c>
      <c r="C7" s="118"/>
      <c r="D7" s="118"/>
    </row>
    <row r="8" spans="1:4" s="19" customFormat="1" ht="15" customHeight="1">
      <c r="B8" s="118"/>
      <c r="C8" s="118"/>
      <c r="D8" s="118"/>
    </row>
    <row r="9" spans="1:4" s="19" customFormat="1" ht="33" customHeight="1">
      <c r="B9" s="118"/>
      <c r="C9" s="118"/>
      <c r="D9" s="118"/>
    </row>
    <row r="10" spans="1:4" s="19" customFormat="1" ht="4.5" customHeight="1">
      <c r="B10" s="23"/>
      <c r="C10" s="23"/>
      <c r="D10" s="23"/>
    </row>
    <row r="11" spans="1:4" s="19" customFormat="1" ht="33" customHeight="1">
      <c r="B11" s="22" t="s">
        <v>173</v>
      </c>
      <c r="C11" s="21" t="s">
        <v>55</v>
      </c>
      <c r="D11" s="20" t="s">
        <v>54</v>
      </c>
    </row>
    <row r="12" spans="1:4">
      <c r="A12" s="59"/>
      <c r="B12" s="96" t="s">
        <v>172</v>
      </c>
      <c r="C12" s="95">
        <v>426</v>
      </c>
      <c r="D12" s="94">
        <v>6.0695778793806753E-4</v>
      </c>
    </row>
    <row r="13" spans="1:4">
      <c r="A13" s="59"/>
      <c r="B13" s="96" t="s">
        <v>171</v>
      </c>
      <c r="C13" s="95">
        <v>377</v>
      </c>
      <c r="D13" s="94">
        <v>5.3714339448979209E-4</v>
      </c>
    </row>
    <row r="14" spans="1:4">
      <c r="A14" s="60"/>
      <c r="B14" s="96" t="s">
        <v>169</v>
      </c>
      <c r="C14" s="95">
        <v>124</v>
      </c>
      <c r="D14" s="94">
        <v>1.766731589303295E-4</v>
      </c>
    </row>
    <row r="15" spans="1:4">
      <c r="A15" s="60"/>
      <c r="B15" s="96" t="s">
        <v>168</v>
      </c>
      <c r="C15" s="95">
        <v>97</v>
      </c>
      <c r="D15" s="94">
        <v>1.3820400335679003E-4</v>
      </c>
    </row>
    <row r="16" spans="1:4">
      <c r="A16" s="59"/>
      <c r="B16" s="96" t="s">
        <v>167</v>
      </c>
      <c r="C16" s="95">
        <v>86</v>
      </c>
      <c r="D16" s="94">
        <v>1.2253138441942207E-4</v>
      </c>
    </row>
    <row r="17" spans="1:4">
      <c r="A17" s="55"/>
      <c r="B17" s="96" t="s">
        <v>166</v>
      </c>
      <c r="C17" s="95">
        <v>83</v>
      </c>
      <c r="D17" s="94">
        <v>1.1825703380013991E-4</v>
      </c>
    </row>
    <row r="18" spans="1:4">
      <c r="A18" s="55"/>
      <c r="B18" s="96" t="s">
        <v>170</v>
      </c>
      <c r="C18" s="95">
        <v>79</v>
      </c>
      <c r="D18" s="94">
        <v>1.1255789964109702E-4</v>
      </c>
    </row>
    <row r="19" spans="1:4">
      <c r="A19" s="55"/>
      <c r="B19" s="96" t="s">
        <v>165</v>
      </c>
      <c r="C19" s="95">
        <v>50</v>
      </c>
      <c r="D19" s="94">
        <v>7.1239176988036098E-5</v>
      </c>
    </row>
    <row r="20" spans="1:4">
      <c r="A20" s="55"/>
      <c r="B20" s="96" t="s">
        <v>164</v>
      </c>
      <c r="C20" s="95">
        <v>38</v>
      </c>
      <c r="D20" s="94">
        <v>5.414177451090743E-5</v>
      </c>
    </row>
    <row r="21" spans="1:4">
      <c r="A21" s="55"/>
      <c r="B21" s="96" t="s">
        <v>161</v>
      </c>
      <c r="C21" s="95">
        <v>37</v>
      </c>
      <c r="D21" s="94">
        <v>5.2716990971146709E-5</v>
      </c>
    </row>
    <row r="22" spans="1:4">
      <c r="A22" s="55"/>
      <c r="B22" s="96" t="s">
        <v>159</v>
      </c>
      <c r="C22" s="95">
        <v>35</v>
      </c>
      <c r="D22" s="94">
        <v>4.9867423891625267E-5</v>
      </c>
    </row>
    <row r="23" spans="1:4">
      <c r="A23" s="55"/>
      <c r="B23" s="96" t="s">
        <v>160</v>
      </c>
      <c r="C23" s="95">
        <v>35</v>
      </c>
      <c r="D23" s="94">
        <v>4.9867423891625267E-5</v>
      </c>
    </row>
    <row r="24" spans="1:4">
      <c r="A24" s="55"/>
      <c r="B24" s="96" t="s">
        <v>162</v>
      </c>
      <c r="C24" s="95">
        <v>30</v>
      </c>
      <c r="D24" s="94">
        <v>4.2743506192821655E-5</v>
      </c>
    </row>
    <row r="25" spans="1:4">
      <c r="A25" s="55"/>
      <c r="B25" s="96" t="s">
        <v>147</v>
      </c>
      <c r="C25" s="95">
        <v>25</v>
      </c>
      <c r="D25" s="94">
        <v>3.5619588494018049E-5</v>
      </c>
    </row>
    <row r="26" spans="1:4">
      <c r="A26" s="55"/>
      <c r="B26" s="96" t="s">
        <v>158</v>
      </c>
      <c r="C26" s="95">
        <v>24</v>
      </c>
      <c r="D26" s="94">
        <v>3.4194804954257328E-5</v>
      </c>
    </row>
    <row r="27" spans="1:4">
      <c r="A27" s="55"/>
      <c r="B27" s="96" t="s">
        <v>155</v>
      </c>
      <c r="C27" s="95">
        <v>23</v>
      </c>
      <c r="D27" s="94">
        <v>3.27700214144966E-5</v>
      </c>
    </row>
    <row r="28" spans="1:4">
      <c r="A28" s="55"/>
      <c r="B28" s="96" t="s">
        <v>150</v>
      </c>
      <c r="C28" s="95">
        <v>21</v>
      </c>
      <c r="D28" s="94">
        <v>2.9920454334975158E-5</v>
      </c>
    </row>
    <row r="29" spans="1:4">
      <c r="A29" s="55"/>
      <c r="B29" s="96" t="s">
        <v>142</v>
      </c>
      <c r="C29" s="95">
        <v>18</v>
      </c>
      <c r="D29" s="94">
        <v>2.5646103715692994E-5</v>
      </c>
    </row>
    <row r="30" spans="1:4">
      <c r="A30" s="55"/>
      <c r="B30" s="96" t="s">
        <v>256</v>
      </c>
      <c r="C30" s="95">
        <v>16</v>
      </c>
      <c r="D30" s="94">
        <v>2.2796536636171548E-5</v>
      </c>
    </row>
    <row r="31" spans="1:4">
      <c r="A31" s="55"/>
      <c r="B31" s="96" t="s">
        <v>131</v>
      </c>
      <c r="C31" s="95">
        <v>16</v>
      </c>
      <c r="D31" s="94">
        <v>2.2796536636171548E-5</v>
      </c>
    </row>
    <row r="32" spans="1:4">
      <c r="A32" s="55"/>
      <c r="B32" s="96" t="s">
        <v>154</v>
      </c>
      <c r="C32" s="95">
        <v>15</v>
      </c>
      <c r="D32" s="94">
        <v>2.1371753096410827E-5</v>
      </c>
    </row>
    <row r="33" spans="1:4">
      <c r="A33" s="55"/>
      <c r="B33" s="96" t="s">
        <v>139</v>
      </c>
      <c r="C33" s="95">
        <v>15</v>
      </c>
      <c r="D33" s="94">
        <v>2.1371753096410827E-5</v>
      </c>
    </row>
    <row r="34" spans="1:4">
      <c r="A34" s="55"/>
      <c r="B34" s="96" t="s">
        <v>151</v>
      </c>
      <c r="C34" s="95">
        <v>13</v>
      </c>
      <c r="D34" s="94">
        <v>1.8522186016889385E-5</v>
      </c>
    </row>
    <row r="35" spans="1:4">
      <c r="A35" s="55"/>
      <c r="B35" s="96" t="s">
        <v>163</v>
      </c>
      <c r="C35" s="95">
        <v>13</v>
      </c>
      <c r="D35" s="94">
        <v>1.8522186016889385E-5</v>
      </c>
    </row>
    <row r="36" spans="1:4">
      <c r="A36" s="55"/>
      <c r="B36" s="96" t="s">
        <v>156</v>
      </c>
      <c r="C36" s="95">
        <v>13</v>
      </c>
      <c r="D36" s="94">
        <v>1.8522186016889385E-5</v>
      </c>
    </row>
    <row r="37" spans="1:4">
      <c r="A37" s="55"/>
      <c r="B37" s="96" t="s">
        <v>136</v>
      </c>
      <c r="C37" s="95">
        <v>9</v>
      </c>
      <c r="D37" s="94">
        <v>1.2823051857846497E-5</v>
      </c>
    </row>
    <row r="38" spans="1:4">
      <c r="A38" s="55"/>
      <c r="B38" s="96" t="s">
        <v>149</v>
      </c>
      <c r="C38" s="95">
        <v>8</v>
      </c>
      <c r="D38" s="94">
        <v>1.1398268318085774E-5</v>
      </c>
    </row>
    <row r="39" spans="1:4">
      <c r="A39" s="55"/>
      <c r="B39" s="96" t="s">
        <v>148</v>
      </c>
      <c r="C39" s="95">
        <v>8</v>
      </c>
      <c r="D39" s="94">
        <v>1.1398268318085774E-5</v>
      </c>
    </row>
    <row r="40" spans="1:4">
      <c r="A40" s="55"/>
      <c r="B40" s="96" t="s">
        <v>138</v>
      </c>
      <c r="C40" s="95">
        <v>8</v>
      </c>
      <c r="D40" s="94">
        <v>1.1398268318085774E-5</v>
      </c>
    </row>
    <row r="41" spans="1:4">
      <c r="A41" s="55"/>
      <c r="B41" s="96" t="s">
        <v>126</v>
      </c>
      <c r="C41" s="95">
        <v>7</v>
      </c>
      <c r="D41" s="94">
        <v>9.9734847783250531E-6</v>
      </c>
    </row>
    <row r="42" spans="1:4">
      <c r="A42" s="55"/>
      <c r="B42" s="96" t="s">
        <v>135</v>
      </c>
      <c r="C42" s="95">
        <v>7</v>
      </c>
      <c r="D42" s="94">
        <v>9.9734847783250531E-6</v>
      </c>
    </row>
    <row r="43" spans="1:4">
      <c r="A43" s="55"/>
      <c r="B43" s="96" t="s">
        <v>129</v>
      </c>
      <c r="C43" s="95">
        <v>7</v>
      </c>
      <c r="D43" s="94">
        <v>9.9734847783250531E-6</v>
      </c>
    </row>
    <row r="44" spans="1:4">
      <c r="A44" s="55"/>
      <c r="B44" s="96" t="s">
        <v>153</v>
      </c>
      <c r="C44" s="95">
        <v>7</v>
      </c>
      <c r="D44" s="94">
        <v>9.9734847783250531E-6</v>
      </c>
    </row>
    <row r="45" spans="1:4">
      <c r="A45" s="55"/>
      <c r="B45" s="96" t="s">
        <v>146</v>
      </c>
      <c r="C45" s="95">
        <v>7</v>
      </c>
      <c r="D45" s="94">
        <v>9.9734847783250531E-6</v>
      </c>
    </row>
    <row r="46" spans="1:4">
      <c r="A46" s="55"/>
      <c r="B46" s="96" t="s">
        <v>144</v>
      </c>
      <c r="C46" s="95">
        <v>7</v>
      </c>
      <c r="D46" s="94">
        <v>9.9734847783250531E-6</v>
      </c>
    </row>
    <row r="47" spans="1:4">
      <c r="A47" s="55"/>
      <c r="B47" s="96" t="s">
        <v>152</v>
      </c>
      <c r="C47" s="95">
        <v>7</v>
      </c>
      <c r="D47" s="94">
        <v>9.9734847783250531E-6</v>
      </c>
    </row>
    <row r="48" spans="1:4">
      <c r="A48" s="55"/>
      <c r="B48" s="96" t="s">
        <v>130</v>
      </c>
      <c r="C48" s="95">
        <v>6</v>
      </c>
      <c r="D48" s="94">
        <v>8.5487012385643319E-6</v>
      </c>
    </row>
    <row r="49" spans="1:4">
      <c r="A49" s="55"/>
      <c r="B49" s="96" t="s">
        <v>143</v>
      </c>
      <c r="C49" s="95">
        <v>6</v>
      </c>
      <c r="D49" s="94">
        <v>8.5487012385643319E-6</v>
      </c>
    </row>
    <row r="50" spans="1:4">
      <c r="A50" s="55"/>
      <c r="B50" s="96" t="s">
        <v>145</v>
      </c>
      <c r="C50" s="95">
        <v>6</v>
      </c>
      <c r="D50" s="94">
        <v>8.5487012385643319E-6</v>
      </c>
    </row>
    <row r="51" spans="1:4">
      <c r="A51" s="55"/>
      <c r="B51" s="96" t="s">
        <v>133</v>
      </c>
      <c r="C51" s="95">
        <v>6</v>
      </c>
      <c r="D51" s="94">
        <v>8.5487012385643319E-6</v>
      </c>
    </row>
    <row r="52" spans="1:4">
      <c r="A52" s="55"/>
      <c r="B52" s="96" t="s">
        <v>140</v>
      </c>
      <c r="C52" s="95">
        <v>6</v>
      </c>
      <c r="D52" s="94">
        <v>8.5487012385643319E-6</v>
      </c>
    </row>
    <row r="53" spans="1:4">
      <c r="A53" s="55"/>
      <c r="B53" s="96" t="s">
        <v>123</v>
      </c>
      <c r="C53" s="95">
        <v>5</v>
      </c>
      <c r="D53" s="94">
        <v>7.1239176988036091E-6</v>
      </c>
    </row>
    <row r="54" spans="1:4">
      <c r="A54" s="55"/>
      <c r="B54" s="96" t="s">
        <v>141</v>
      </c>
      <c r="C54" s="95">
        <v>5</v>
      </c>
      <c r="D54" s="94">
        <v>7.1239176988036091E-6</v>
      </c>
    </row>
    <row r="55" spans="1:4">
      <c r="A55" s="55"/>
      <c r="B55" s="96" t="s">
        <v>134</v>
      </c>
      <c r="C55" s="95">
        <v>4</v>
      </c>
      <c r="D55" s="94">
        <v>5.6991341590428871E-6</v>
      </c>
    </row>
    <row r="56" spans="1:4">
      <c r="A56" s="55"/>
      <c r="B56" s="96" t="s">
        <v>104</v>
      </c>
      <c r="C56" s="95">
        <v>4</v>
      </c>
      <c r="D56" s="94">
        <v>5.6991341590428871E-6</v>
      </c>
    </row>
    <row r="57" spans="1:4">
      <c r="A57" s="55"/>
      <c r="B57" s="96" t="s">
        <v>121</v>
      </c>
      <c r="C57" s="95">
        <v>4</v>
      </c>
      <c r="D57" s="94">
        <v>5.6991341590428871E-6</v>
      </c>
    </row>
    <row r="58" spans="1:4">
      <c r="A58" s="55"/>
      <c r="B58" s="96" t="s">
        <v>120</v>
      </c>
      <c r="C58" s="95">
        <v>4</v>
      </c>
      <c r="D58" s="94">
        <v>5.6991341590428871E-6</v>
      </c>
    </row>
    <row r="59" spans="1:4">
      <c r="A59" s="55"/>
      <c r="B59" s="96" t="s">
        <v>102</v>
      </c>
      <c r="C59" s="95">
        <v>4</v>
      </c>
      <c r="D59" s="94">
        <v>5.6991341590428871E-6</v>
      </c>
    </row>
    <row r="60" spans="1:4">
      <c r="A60" s="55"/>
      <c r="B60" s="96" t="s">
        <v>257</v>
      </c>
      <c r="C60" s="95">
        <v>3</v>
      </c>
      <c r="D60" s="94">
        <v>4.274350619282166E-6</v>
      </c>
    </row>
    <row r="61" spans="1:4">
      <c r="A61" s="55"/>
      <c r="B61" s="96" t="s">
        <v>258</v>
      </c>
      <c r="C61" s="95">
        <v>3</v>
      </c>
      <c r="D61" s="94">
        <v>4.274350619282166E-6</v>
      </c>
    </row>
    <row r="62" spans="1:4">
      <c r="A62" s="55"/>
      <c r="B62" s="96" t="s">
        <v>115</v>
      </c>
      <c r="C62" s="95">
        <v>3</v>
      </c>
      <c r="D62" s="94">
        <v>4.274350619282166E-6</v>
      </c>
    </row>
    <row r="63" spans="1:4">
      <c r="A63" s="55"/>
      <c r="B63" s="96" t="s">
        <v>259</v>
      </c>
      <c r="C63" s="95">
        <v>3</v>
      </c>
      <c r="D63" s="94">
        <v>4.274350619282166E-6</v>
      </c>
    </row>
    <row r="64" spans="1:4">
      <c r="A64" s="55"/>
      <c r="B64" s="96" t="s">
        <v>122</v>
      </c>
      <c r="C64" s="95">
        <v>3</v>
      </c>
      <c r="D64" s="94">
        <v>4.274350619282166E-6</v>
      </c>
    </row>
    <row r="65" spans="1:4">
      <c r="A65" s="55"/>
      <c r="B65" s="96" t="s">
        <v>119</v>
      </c>
      <c r="C65" s="95">
        <v>3</v>
      </c>
      <c r="D65" s="94">
        <v>4.274350619282166E-6</v>
      </c>
    </row>
    <row r="66" spans="1:4">
      <c r="A66" s="55"/>
      <c r="B66" s="96" t="s">
        <v>132</v>
      </c>
      <c r="C66" s="95">
        <v>3</v>
      </c>
      <c r="D66" s="94">
        <v>4.274350619282166E-6</v>
      </c>
    </row>
    <row r="67" spans="1:4">
      <c r="A67" s="55"/>
      <c r="B67" s="96" t="s">
        <v>260</v>
      </c>
      <c r="C67" s="95">
        <v>3</v>
      </c>
      <c r="D67" s="94">
        <v>4.274350619282166E-6</v>
      </c>
    </row>
    <row r="68" spans="1:4">
      <c r="A68" s="55"/>
      <c r="B68" s="96" t="s">
        <v>128</v>
      </c>
      <c r="C68" s="95">
        <v>3</v>
      </c>
      <c r="D68" s="94">
        <v>4.274350619282166E-6</v>
      </c>
    </row>
    <row r="69" spans="1:4">
      <c r="A69" s="55"/>
      <c r="B69" s="96" t="s">
        <v>103</v>
      </c>
      <c r="C69" s="95">
        <v>3</v>
      </c>
      <c r="D69" s="94">
        <v>4.274350619282166E-6</v>
      </c>
    </row>
    <row r="70" spans="1:4">
      <c r="A70" s="55"/>
      <c r="B70" s="96" t="s">
        <v>243</v>
      </c>
      <c r="C70" s="95">
        <v>3</v>
      </c>
      <c r="D70" s="94">
        <v>4.274350619282166E-6</v>
      </c>
    </row>
    <row r="71" spans="1:4">
      <c r="A71" s="55"/>
      <c r="B71" s="96" t="s">
        <v>116</v>
      </c>
      <c r="C71" s="95">
        <v>3</v>
      </c>
      <c r="D71" s="94">
        <v>4.274350619282166E-6</v>
      </c>
    </row>
    <row r="72" spans="1:4">
      <c r="A72" s="55"/>
      <c r="B72" s="96" t="s">
        <v>261</v>
      </c>
      <c r="C72" s="95">
        <v>3</v>
      </c>
      <c r="D72" s="94">
        <v>4.274350619282166E-6</v>
      </c>
    </row>
    <row r="73" spans="1:4">
      <c r="A73" s="55"/>
      <c r="B73" s="96" t="s">
        <v>127</v>
      </c>
      <c r="C73" s="95">
        <v>3</v>
      </c>
      <c r="D73" s="94">
        <v>4.274350619282166E-6</v>
      </c>
    </row>
    <row r="74" spans="1:4">
      <c r="A74" s="55"/>
      <c r="B74" s="96" t="s">
        <v>99</v>
      </c>
      <c r="C74" s="95">
        <v>3</v>
      </c>
      <c r="D74" s="94">
        <v>4.274350619282166E-6</v>
      </c>
    </row>
    <row r="75" spans="1:4">
      <c r="A75" s="55"/>
      <c r="B75" s="96" t="s">
        <v>137</v>
      </c>
      <c r="C75" s="95">
        <v>2</v>
      </c>
      <c r="D75" s="94">
        <v>2.8495670795214436E-6</v>
      </c>
    </row>
    <row r="76" spans="1:4">
      <c r="A76" s="55"/>
      <c r="B76" s="96" t="s">
        <v>112</v>
      </c>
      <c r="C76" s="95">
        <v>2</v>
      </c>
      <c r="D76" s="94">
        <v>2.8495670795214436E-6</v>
      </c>
    </row>
    <row r="77" spans="1:4">
      <c r="A77" s="55"/>
      <c r="B77" s="96" t="s">
        <v>125</v>
      </c>
      <c r="C77" s="95">
        <v>2</v>
      </c>
      <c r="D77" s="94">
        <v>2.8495670795214436E-6</v>
      </c>
    </row>
    <row r="78" spans="1:4">
      <c r="A78" s="55"/>
      <c r="B78" s="96" t="s">
        <v>111</v>
      </c>
      <c r="C78" s="95">
        <v>2</v>
      </c>
      <c r="D78" s="94">
        <v>2.8495670795214436E-6</v>
      </c>
    </row>
    <row r="79" spans="1:4">
      <c r="A79" s="55"/>
      <c r="B79" s="96" t="s">
        <v>110</v>
      </c>
      <c r="C79" s="95">
        <v>2</v>
      </c>
      <c r="D79" s="94">
        <v>2.8495670795214436E-6</v>
      </c>
    </row>
    <row r="80" spans="1:4">
      <c r="A80" s="55"/>
      <c r="B80" s="96" t="s">
        <v>262</v>
      </c>
      <c r="C80" s="95">
        <v>2</v>
      </c>
      <c r="D80" s="94">
        <v>2.8495670795214436E-6</v>
      </c>
    </row>
    <row r="81" spans="1:4">
      <c r="A81" s="55"/>
      <c r="B81" s="96" t="s">
        <v>244</v>
      </c>
      <c r="C81" s="95">
        <v>2</v>
      </c>
      <c r="D81" s="94">
        <v>2.8495670795214436E-6</v>
      </c>
    </row>
    <row r="82" spans="1:4">
      <c r="A82" s="55"/>
      <c r="B82" s="96" t="s">
        <v>109</v>
      </c>
      <c r="C82" s="95">
        <v>2</v>
      </c>
      <c r="D82" s="94">
        <v>2.8495670795214436E-6</v>
      </c>
    </row>
    <row r="83" spans="1:4">
      <c r="A83" s="55"/>
      <c r="B83" s="96" t="s">
        <v>108</v>
      </c>
      <c r="C83" s="95">
        <v>2</v>
      </c>
      <c r="D83" s="94">
        <v>2.8495670795214436E-6</v>
      </c>
    </row>
    <row r="84" spans="1:4">
      <c r="A84" s="55"/>
      <c r="B84" s="96" t="s">
        <v>118</v>
      </c>
      <c r="C84" s="95">
        <v>2</v>
      </c>
      <c r="D84" s="94">
        <v>2.8495670795214436E-6</v>
      </c>
    </row>
    <row r="85" spans="1:4">
      <c r="A85" s="55"/>
      <c r="B85" s="96" t="s">
        <v>107</v>
      </c>
      <c r="C85" s="95">
        <v>2</v>
      </c>
      <c r="D85" s="94">
        <v>2.8495670795214436E-6</v>
      </c>
    </row>
    <row r="86" spans="1:4">
      <c r="A86" s="55"/>
      <c r="B86" s="96" t="s">
        <v>117</v>
      </c>
      <c r="C86" s="95">
        <v>2</v>
      </c>
      <c r="D86" s="94">
        <v>2.8495670795214436E-6</v>
      </c>
    </row>
    <row r="87" spans="1:4">
      <c r="A87" s="55"/>
      <c r="B87" s="96" t="s">
        <v>101</v>
      </c>
      <c r="C87" s="95">
        <v>2</v>
      </c>
      <c r="D87" s="94">
        <v>2.8495670795214436E-6</v>
      </c>
    </row>
    <row r="88" spans="1:4">
      <c r="A88" s="55"/>
      <c r="B88" s="96" t="s">
        <v>114</v>
      </c>
      <c r="C88" s="95">
        <v>2</v>
      </c>
      <c r="D88" s="94">
        <v>2.8495670795214436E-6</v>
      </c>
    </row>
    <row r="89" spans="1:4">
      <c r="A89" s="55"/>
      <c r="B89" s="96" t="s">
        <v>247</v>
      </c>
      <c r="C89" s="95">
        <v>2</v>
      </c>
      <c r="D89" s="94">
        <v>2.8495670795214436E-6</v>
      </c>
    </row>
    <row r="90" spans="1:4">
      <c r="A90" s="55"/>
      <c r="B90" s="96" t="s">
        <v>113</v>
      </c>
      <c r="C90" s="95">
        <v>2</v>
      </c>
      <c r="D90" s="94">
        <v>2.8495670795214436E-6</v>
      </c>
    </row>
    <row r="91" spans="1:4">
      <c r="A91" s="55"/>
      <c r="B91" s="96" t="s">
        <v>105</v>
      </c>
      <c r="C91" s="95">
        <v>2</v>
      </c>
      <c r="D91" s="94">
        <v>2.8495670795214436E-6</v>
      </c>
    </row>
    <row r="92" spans="1:4">
      <c r="A92" s="55"/>
      <c r="B92" s="96" t="s">
        <v>263</v>
      </c>
      <c r="C92" s="95">
        <v>1</v>
      </c>
      <c r="D92" s="94">
        <v>1.4247835397607218E-6</v>
      </c>
    </row>
    <row r="93" spans="1:4">
      <c r="A93" s="55"/>
      <c r="B93" s="96" t="s">
        <v>124</v>
      </c>
      <c r="C93" s="95">
        <v>1</v>
      </c>
      <c r="D93" s="94">
        <v>1.4247835397607218E-6</v>
      </c>
    </row>
    <row r="94" spans="1:4">
      <c r="A94" s="55"/>
      <c r="B94" s="96" t="s">
        <v>264</v>
      </c>
      <c r="C94" s="95">
        <v>1</v>
      </c>
      <c r="D94" s="94">
        <v>1.4247835397607218E-6</v>
      </c>
    </row>
    <row r="95" spans="1:4">
      <c r="A95" s="55"/>
      <c r="B95" s="96" t="s">
        <v>265</v>
      </c>
      <c r="C95" s="95">
        <v>1</v>
      </c>
      <c r="D95" s="94">
        <v>1.4247835397607218E-6</v>
      </c>
    </row>
    <row r="96" spans="1:4">
      <c r="A96" s="55"/>
      <c r="B96" s="96" t="s">
        <v>266</v>
      </c>
      <c r="C96" s="95">
        <v>1</v>
      </c>
      <c r="D96" s="94">
        <v>1.4247835397607218E-6</v>
      </c>
    </row>
    <row r="97" spans="1:4">
      <c r="A97" s="55"/>
      <c r="B97" s="96" t="s">
        <v>245</v>
      </c>
      <c r="C97" s="95">
        <v>1</v>
      </c>
      <c r="D97" s="94">
        <v>1.4247835397607218E-6</v>
      </c>
    </row>
    <row r="98" spans="1:4">
      <c r="A98" s="55"/>
      <c r="B98" s="96" t="s">
        <v>106</v>
      </c>
      <c r="C98" s="95">
        <v>1</v>
      </c>
      <c r="D98" s="94">
        <v>1.4247835397607218E-6</v>
      </c>
    </row>
    <row r="99" spans="1:4">
      <c r="A99" s="55"/>
      <c r="B99" s="96" t="s">
        <v>246</v>
      </c>
      <c r="C99" s="95">
        <v>1</v>
      </c>
      <c r="D99" s="94">
        <v>1.4247835397607218E-6</v>
      </c>
    </row>
    <row r="100" spans="1:4">
      <c r="A100" s="55"/>
      <c r="B100" s="96" t="s">
        <v>100</v>
      </c>
      <c r="C100" s="95">
        <v>1</v>
      </c>
      <c r="D100" s="94">
        <v>1.4247835397607218E-6</v>
      </c>
    </row>
    <row r="101" spans="1:4">
      <c r="A101" s="55"/>
      <c r="B101" s="96" t="s">
        <v>267</v>
      </c>
      <c r="C101" s="95">
        <v>1</v>
      </c>
      <c r="D101" s="94">
        <v>1.4247835397607218E-6</v>
      </c>
    </row>
    <row r="102" spans="1:4">
      <c r="A102" s="55"/>
      <c r="B102" s="96" t="s">
        <v>268</v>
      </c>
      <c r="C102" s="95">
        <v>1</v>
      </c>
      <c r="D102" s="94">
        <v>1.4247835397607218E-6</v>
      </c>
    </row>
    <row r="103" spans="1:4">
      <c r="A103" s="55"/>
      <c r="B103" s="93" t="s">
        <v>20</v>
      </c>
      <c r="C103" s="105">
        <v>1941</v>
      </c>
      <c r="D103" s="91">
        <v>1</v>
      </c>
    </row>
    <row r="104" spans="1:4">
      <c r="A104" s="55"/>
      <c r="B104" s="89"/>
      <c r="C104" s="71"/>
      <c r="D104" s="89"/>
    </row>
    <row r="105" spans="1:4">
      <c r="A105" s="55"/>
      <c r="B105" s="85" t="s">
        <v>251</v>
      </c>
      <c r="C105" s="71"/>
      <c r="D105" s="89"/>
    </row>
    <row r="106" spans="1:4">
      <c r="B106" s="87" t="s">
        <v>19</v>
      </c>
      <c r="C106" s="71"/>
      <c r="D106" s="89"/>
    </row>
    <row r="107" spans="1:4">
      <c r="B107" s="86" t="s">
        <v>18</v>
      </c>
      <c r="C107" s="71"/>
      <c r="D107" s="89"/>
    </row>
    <row r="108" spans="1:4">
      <c r="B108" s="85" t="s">
        <v>17</v>
      </c>
      <c r="C108" s="71"/>
      <c r="D108" s="89"/>
    </row>
    <row r="109" spans="1:4">
      <c r="B109" s="85" t="s">
        <v>252</v>
      </c>
      <c r="C109" s="71"/>
      <c r="D109" s="89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355"/>
  <sheetViews>
    <sheetView showGridLines="0" topLeftCell="B1" zoomScaleNormal="100" zoomScaleSheetLayoutView="85" workbookViewId="0">
      <selection activeCell="D15" sqref="D15"/>
    </sheetView>
  </sheetViews>
  <sheetFormatPr baseColWidth="10" defaultColWidth="35" defaultRowHeight="15" customHeight="1"/>
  <cols>
    <col min="1" max="1" width="1" style="26" customWidth="1"/>
    <col min="2" max="2" width="22.85546875" style="27" customWidth="1"/>
    <col min="3" max="3" width="31.42578125" style="27" customWidth="1"/>
    <col min="4" max="4" width="14.28515625" style="27" customWidth="1"/>
    <col min="5" max="5" width="16.85546875" style="27" customWidth="1"/>
    <col min="6" max="16384" width="35" style="26"/>
  </cols>
  <sheetData>
    <row r="1" spans="1:5" s="35" customFormat="1" ht="12" customHeight="1">
      <c r="B1" s="39"/>
      <c r="C1" s="38"/>
      <c r="D1" s="38"/>
      <c r="E1" s="38"/>
    </row>
    <row r="2" spans="1:5" s="35" customFormat="1" ht="15" customHeight="1">
      <c r="C2" s="37"/>
    </row>
    <row r="3" spans="1:5" s="35" customFormat="1" ht="15" customHeight="1">
      <c r="C3" s="37"/>
    </row>
    <row r="4" spans="1:5" s="35" customFormat="1" ht="30" customHeight="1">
      <c r="C4" s="37"/>
      <c r="D4" s="36"/>
    </row>
    <row r="5" spans="1:5" s="35" customFormat="1" ht="15" customHeight="1">
      <c r="C5" s="37"/>
      <c r="D5" s="36"/>
    </row>
    <row r="6" spans="1:5" s="31" customFormat="1" ht="24" customHeight="1">
      <c r="B6" s="34"/>
      <c r="C6" s="33"/>
      <c r="D6" s="33"/>
      <c r="E6" s="33"/>
    </row>
    <row r="7" spans="1:5" s="31" customFormat="1" ht="26.25" customHeight="1">
      <c r="A7" s="32"/>
      <c r="B7" s="122"/>
      <c r="C7" s="122"/>
      <c r="D7" s="122"/>
      <c r="E7" s="122"/>
    </row>
    <row r="8" spans="1:5" s="31" customFormat="1" ht="33" customHeight="1">
      <c r="A8" s="32"/>
      <c r="B8" s="122"/>
      <c r="C8" s="122"/>
      <c r="D8" s="122"/>
      <c r="E8" s="122"/>
    </row>
    <row r="9" spans="1:5" s="19" customFormat="1" ht="40.5" customHeight="1">
      <c r="B9" s="28" t="s">
        <v>175</v>
      </c>
      <c r="C9" s="30" t="s">
        <v>174</v>
      </c>
      <c r="D9" s="29" t="s">
        <v>55</v>
      </c>
      <c r="E9" s="28" t="s">
        <v>54</v>
      </c>
    </row>
    <row r="10" spans="1:5" ht="15" customHeight="1">
      <c r="B10" s="119" t="s">
        <v>39</v>
      </c>
      <c r="C10" s="70" t="s">
        <v>164</v>
      </c>
      <c r="D10" s="69">
        <v>1</v>
      </c>
      <c r="E10" s="68">
        <v>5.1519835136527566E-4</v>
      </c>
    </row>
    <row r="11" spans="1:5" ht="15" customHeight="1">
      <c r="B11" s="120"/>
      <c r="C11" s="70" t="s">
        <v>160</v>
      </c>
      <c r="D11" s="69">
        <v>1</v>
      </c>
      <c r="E11" s="68">
        <v>5.1519835136527566E-4</v>
      </c>
    </row>
    <row r="12" spans="1:5" ht="15" customHeight="1">
      <c r="B12" s="120"/>
      <c r="C12" s="70" t="s">
        <v>172</v>
      </c>
      <c r="D12" s="69">
        <v>4</v>
      </c>
      <c r="E12" s="68">
        <v>2.0607934054611026E-3</v>
      </c>
    </row>
    <row r="13" spans="1:5" ht="15" customHeight="1">
      <c r="B13" s="120"/>
      <c r="C13" s="70" t="s">
        <v>171</v>
      </c>
      <c r="D13" s="69">
        <v>2</v>
      </c>
      <c r="E13" s="68">
        <v>1.0303967027305513E-3</v>
      </c>
    </row>
    <row r="14" spans="1:5" ht="15" customHeight="1">
      <c r="B14" s="120"/>
      <c r="C14" s="70" t="s">
        <v>168</v>
      </c>
      <c r="D14" s="69">
        <v>3</v>
      </c>
      <c r="E14" s="68">
        <v>1.5455950540958269E-3</v>
      </c>
    </row>
    <row r="15" spans="1:5" ht="15" customHeight="1">
      <c r="B15" s="120"/>
      <c r="C15" s="70" t="s">
        <v>155</v>
      </c>
      <c r="D15" s="69">
        <v>2</v>
      </c>
      <c r="E15" s="68">
        <v>1.0303967027305513E-3</v>
      </c>
    </row>
    <row r="16" spans="1:5" ht="15" customHeight="1">
      <c r="B16" s="121"/>
      <c r="C16" s="67" t="s">
        <v>20</v>
      </c>
      <c r="D16" s="66">
        <v>13</v>
      </c>
      <c r="E16" s="65">
        <v>6.6975785677485834E-3</v>
      </c>
    </row>
    <row r="17" spans="2:5" ht="15" customHeight="1">
      <c r="B17" s="119" t="s">
        <v>36</v>
      </c>
      <c r="C17" s="70" t="s">
        <v>104</v>
      </c>
      <c r="D17" s="69">
        <v>1</v>
      </c>
      <c r="E17" s="68">
        <v>5.1519835136527566E-4</v>
      </c>
    </row>
    <row r="18" spans="2:5" ht="15" customHeight="1">
      <c r="B18" s="120"/>
      <c r="C18" s="70" t="s">
        <v>172</v>
      </c>
      <c r="D18" s="69">
        <v>2</v>
      </c>
      <c r="E18" s="68">
        <v>1.0303967027305513E-3</v>
      </c>
    </row>
    <row r="19" spans="2:5" ht="15" customHeight="1">
      <c r="B19" s="121"/>
      <c r="C19" s="67" t="s">
        <v>20</v>
      </c>
      <c r="D19" s="66">
        <v>3</v>
      </c>
      <c r="E19" s="65">
        <v>1.5455950540958269E-3</v>
      </c>
    </row>
    <row r="20" spans="2:5" ht="15" customHeight="1">
      <c r="B20" s="119" t="s">
        <v>43</v>
      </c>
      <c r="C20" s="70" t="s">
        <v>134</v>
      </c>
      <c r="D20" s="69">
        <v>1</v>
      </c>
      <c r="E20" s="68">
        <v>5.1519835136527566E-4</v>
      </c>
    </row>
    <row r="21" spans="2:5" ht="15" customHeight="1">
      <c r="B21" s="120"/>
      <c r="C21" s="70" t="s">
        <v>120</v>
      </c>
      <c r="D21" s="69">
        <v>2</v>
      </c>
      <c r="E21" s="68">
        <v>1.0303967027305513E-3</v>
      </c>
    </row>
    <row r="22" spans="2:5" ht="15" customHeight="1">
      <c r="B22" s="120"/>
      <c r="C22" s="70" t="s">
        <v>172</v>
      </c>
      <c r="D22" s="69">
        <v>1</v>
      </c>
      <c r="E22" s="68">
        <v>5.1519835136527566E-4</v>
      </c>
    </row>
    <row r="23" spans="2:5" ht="15" customHeight="1">
      <c r="B23" s="120"/>
      <c r="C23" s="70" t="s">
        <v>171</v>
      </c>
      <c r="D23" s="69">
        <v>1</v>
      </c>
      <c r="E23" s="68">
        <v>5.1519835136527566E-4</v>
      </c>
    </row>
    <row r="24" spans="2:5" ht="15" customHeight="1">
      <c r="B24" s="120"/>
      <c r="C24" s="70" t="s">
        <v>168</v>
      </c>
      <c r="D24" s="69">
        <v>5</v>
      </c>
      <c r="E24" s="68">
        <v>2.5759917568263782E-3</v>
      </c>
    </row>
    <row r="25" spans="2:5" ht="15" customHeight="1">
      <c r="B25" s="121"/>
      <c r="C25" s="67" t="s">
        <v>20</v>
      </c>
      <c r="D25" s="66">
        <v>10</v>
      </c>
      <c r="E25" s="65">
        <v>5.1519835136527563E-3</v>
      </c>
    </row>
    <row r="26" spans="2:5" ht="15" customHeight="1">
      <c r="B26" s="119" t="s">
        <v>53</v>
      </c>
      <c r="C26" s="70" t="s">
        <v>126</v>
      </c>
      <c r="D26" s="69">
        <v>5</v>
      </c>
      <c r="E26" s="68">
        <v>2.5759917568263782E-3</v>
      </c>
    </row>
    <row r="27" spans="2:5" ht="15" customHeight="1">
      <c r="B27" s="120"/>
      <c r="C27" s="70" t="s">
        <v>135</v>
      </c>
      <c r="D27" s="69">
        <v>6</v>
      </c>
      <c r="E27" s="68">
        <v>3.0911901081916537E-3</v>
      </c>
    </row>
    <row r="28" spans="2:5" ht="15" customHeight="1">
      <c r="B28" s="120"/>
      <c r="C28" s="70" t="s">
        <v>165</v>
      </c>
      <c r="D28" s="69">
        <v>43</v>
      </c>
      <c r="E28" s="68">
        <v>2.2153529108706851E-2</v>
      </c>
    </row>
    <row r="29" spans="2:5" ht="15" customHeight="1">
      <c r="B29" s="120"/>
      <c r="C29" s="70" t="s">
        <v>130</v>
      </c>
      <c r="D29" s="69">
        <v>3</v>
      </c>
      <c r="E29" s="68">
        <v>1.5455950540958269E-3</v>
      </c>
    </row>
    <row r="30" spans="2:5" ht="15" customHeight="1">
      <c r="B30" s="120"/>
      <c r="C30" s="70" t="s">
        <v>257</v>
      </c>
      <c r="D30" s="69">
        <v>2</v>
      </c>
      <c r="E30" s="68">
        <v>1.0303967027305513E-3</v>
      </c>
    </row>
    <row r="31" spans="2:5" ht="15" customHeight="1">
      <c r="B31" s="120"/>
      <c r="C31" s="70" t="s">
        <v>159</v>
      </c>
      <c r="D31" s="69">
        <v>4</v>
      </c>
      <c r="E31" s="68">
        <v>2.0607934054611026E-3</v>
      </c>
    </row>
    <row r="32" spans="2:5" ht="15" customHeight="1">
      <c r="B32" s="120"/>
      <c r="C32" s="70" t="s">
        <v>137</v>
      </c>
      <c r="D32" s="69">
        <v>2</v>
      </c>
      <c r="E32" s="68">
        <v>1.0303967027305513E-3</v>
      </c>
    </row>
    <row r="33" spans="2:5" ht="15" customHeight="1">
      <c r="B33" s="120"/>
      <c r="C33" s="70" t="s">
        <v>112</v>
      </c>
      <c r="D33" s="69">
        <v>1</v>
      </c>
      <c r="E33" s="68">
        <v>5.1519835136527566E-4</v>
      </c>
    </row>
    <row r="34" spans="2:5" ht="15" customHeight="1">
      <c r="B34" s="120"/>
      <c r="C34" s="70" t="s">
        <v>151</v>
      </c>
      <c r="D34" s="69">
        <v>8</v>
      </c>
      <c r="E34" s="68">
        <v>4.1215868109222053E-3</v>
      </c>
    </row>
    <row r="35" spans="2:5" ht="15" customHeight="1">
      <c r="B35" s="120"/>
      <c r="C35" s="70" t="s">
        <v>125</v>
      </c>
      <c r="D35" s="69">
        <v>1</v>
      </c>
      <c r="E35" s="68">
        <v>5.1519835136527566E-4</v>
      </c>
    </row>
    <row r="36" spans="2:5" ht="15" customHeight="1">
      <c r="B36" s="120"/>
      <c r="C36" s="70" t="s">
        <v>164</v>
      </c>
      <c r="D36" s="69">
        <v>16</v>
      </c>
      <c r="E36" s="68">
        <v>8.2431736218444105E-3</v>
      </c>
    </row>
    <row r="37" spans="2:5" ht="15" customHeight="1">
      <c r="B37" s="120"/>
      <c r="C37" s="70" t="s">
        <v>134</v>
      </c>
      <c r="D37" s="69">
        <v>2</v>
      </c>
      <c r="E37" s="68">
        <v>1.0303967027305513E-3</v>
      </c>
    </row>
    <row r="38" spans="2:5" ht="15" customHeight="1">
      <c r="B38" s="120"/>
      <c r="C38" s="70" t="s">
        <v>149</v>
      </c>
      <c r="D38" s="69">
        <v>2</v>
      </c>
      <c r="E38" s="68">
        <v>1.0303967027305513E-3</v>
      </c>
    </row>
    <row r="39" spans="2:5" ht="15" customHeight="1">
      <c r="B39" s="120"/>
      <c r="C39" s="70" t="s">
        <v>111</v>
      </c>
      <c r="D39" s="69">
        <v>1</v>
      </c>
      <c r="E39" s="68">
        <v>5.1519835136527566E-4</v>
      </c>
    </row>
    <row r="40" spans="2:5" ht="15" customHeight="1">
      <c r="B40" s="120"/>
      <c r="C40" s="70" t="s">
        <v>258</v>
      </c>
      <c r="D40" s="69">
        <v>2</v>
      </c>
      <c r="E40" s="68">
        <v>1.0303967027305513E-3</v>
      </c>
    </row>
    <row r="41" spans="2:5" ht="15" customHeight="1">
      <c r="B41" s="120"/>
      <c r="C41" s="70" t="s">
        <v>110</v>
      </c>
      <c r="D41" s="69">
        <v>1</v>
      </c>
      <c r="E41" s="68">
        <v>5.1519835136527566E-4</v>
      </c>
    </row>
    <row r="42" spans="2:5" ht="15" customHeight="1">
      <c r="B42" s="120"/>
      <c r="C42" s="70" t="s">
        <v>262</v>
      </c>
      <c r="D42" s="69">
        <v>1</v>
      </c>
      <c r="E42" s="68">
        <v>5.1519835136527566E-4</v>
      </c>
    </row>
    <row r="43" spans="2:5" ht="15" customHeight="1">
      <c r="B43" s="120"/>
      <c r="C43" s="70" t="s">
        <v>115</v>
      </c>
      <c r="D43" s="69">
        <v>2</v>
      </c>
      <c r="E43" s="68">
        <v>1.0303967027305513E-3</v>
      </c>
    </row>
    <row r="44" spans="2:5" ht="15" customHeight="1">
      <c r="B44" s="120"/>
      <c r="C44" s="70" t="s">
        <v>154</v>
      </c>
      <c r="D44" s="69">
        <v>12</v>
      </c>
      <c r="E44" s="68">
        <v>6.1823802163833074E-3</v>
      </c>
    </row>
    <row r="45" spans="2:5" ht="15" customHeight="1">
      <c r="B45" s="120"/>
      <c r="C45" s="70" t="s">
        <v>259</v>
      </c>
      <c r="D45" s="69">
        <v>2</v>
      </c>
      <c r="E45" s="68">
        <v>1.0303967027305513E-3</v>
      </c>
    </row>
    <row r="46" spans="2:5" ht="15" customHeight="1">
      <c r="B46" s="120"/>
      <c r="C46" s="70" t="s">
        <v>157</v>
      </c>
      <c r="D46" s="69">
        <v>9</v>
      </c>
      <c r="E46" s="68">
        <v>4.6367851622874804E-3</v>
      </c>
    </row>
    <row r="47" spans="2:5" ht="15" customHeight="1">
      <c r="B47" s="120"/>
      <c r="C47" s="70" t="s">
        <v>109</v>
      </c>
      <c r="D47" s="69">
        <v>1</v>
      </c>
      <c r="E47" s="68">
        <v>5.1519835136527566E-4</v>
      </c>
    </row>
    <row r="48" spans="2:5" ht="15" customHeight="1">
      <c r="B48" s="120"/>
      <c r="C48" s="70" t="s">
        <v>122</v>
      </c>
      <c r="D48" s="69">
        <v>1</v>
      </c>
      <c r="E48" s="68">
        <v>5.1519835136527566E-4</v>
      </c>
    </row>
    <row r="49" spans="2:5" ht="15" customHeight="1">
      <c r="B49" s="120"/>
      <c r="C49" s="70" t="s">
        <v>129</v>
      </c>
      <c r="D49" s="69">
        <v>5</v>
      </c>
      <c r="E49" s="68">
        <v>2.5759917568263782E-3</v>
      </c>
    </row>
    <row r="50" spans="2:5" ht="15" customHeight="1">
      <c r="B50" s="120"/>
      <c r="C50" s="70" t="s">
        <v>121</v>
      </c>
      <c r="D50" s="69">
        <v>2</v>
      </c>
      <c r="E50" s="68">
        <v>1.0303967027305513E-3</v>
      </c>
    </row>
    <row r="51" spans="2:5" ht="15" customHeight="1">
      <c r="B51" s="120"/>
      <c r="C51" s="70" t="s">
        <v>120</v>
      </c>
      <c r="D51" s="69">
        <v>1</v>
      </c>
      <c r="E51" s="68">
        <v>5.1519835136527566E-4</v>
      </c>
    </row>
    <row r="52" spans="2:5" ht="15" customHeight="1">
      <c r="B52" s="120"/>
      <c r="C52" s="70" t="s">
        <v>124</v>
      </c>
      <c r="D52" s="69">
        <v>1</v>
      </c>
      <c r="E52" s="68">
        <v>5.1519835136527566E-4</v>
      </c>
    </row>
    <row r="53" spans="2:5" ht="15" customHeight="1">
      <c r="B53" s="120"/>
      <c r="C53" s="70" t="s">
        <v>158</v>
      </c>
      <c r="D53" s="69">
        <v>4</v>
      </c>
      <c r="E53" s="68">
        <v>2.0607934054611026E-3</v>
      </c>
    </row>
    <row r="54" spans="2:5" ht="15" customHeight="1">
      <c r="B54" s="120"/>
      <c r="C54" s="70" t="s">
        <v>119</v>
      </c>
      <c r="D54" s="69">
        <v>2</v>
      </c>
      <c r="E54" s="68">
        <v>1.0303967027305513E-3</v>
      </c>
    </row>
    <row r="55" spans="2:5" ht="15" customHeight="1">
      <c r="B55" s="120"/>
      <c r="C55" s="70" t="s">
        <v>153</v>
      </c>
      <c r="D55" s="69">
        <v>6</v>
      </c>
      <c r="E55" s="68">
        <v>3.0911901081916537E-3</v>
      </c>
    </row>
    <row r="56" spans="2:5" ht="15" customHeight="1">
      <c r="B56" s="120"/>
      <c r="C56" s="70" t="s">
        <v>148</v>
      </c>
      <c r="D56" s="69">
        <v>3</v>
      </c>
      <c r="E56" s="68">
        <v>1.5455950540958269E-3</v>
      </c>
    </row>
    <row r="57" spans="2:5" ht="15" customHeight="1">
      <c r="B57" s="120"/>
      <c r="C57" s="70" t="s">
        <v>160</v>
      </c>
      <c r="D57" s="69">
        <v>24</v>
      </c>
      <c r="E57" s="68">
        <v>1.2364760432766615E-2</v>
      </c>
    </row>
    <row r="58" spans="2:5" ht="15" customHeight="1">
      <c r="B58" s="120"/>
      <c r="C58" s="70" t="s">
        <v>132</v>
      </c>
      <c r="D58" s="69">
        <v>3</v>
      </c>
      <c r="E58" s="68">
        <v>1.5455950540958269E-3</v>
      </c>
    </row>
    <row r="59" spans="2:5" ht="15" customHeight="1">
      <c r="B59" s="120"/>
      <c r="C59" s="70" t="s">
        <v>143</v>
      </c>
      <c r="D59" s="69">
        <v>5</v>
      </c>
      <c r="E59" s="68">
        <v>2.5759917568263782E-3</v>
      </c>
    </row>
    <row r="60" spans="2:5" ht="15" customHeight="1">
      <c r="B60" s="120"/>
      <c r="C60" s="70" t="s">
        <v>265</v>
      </c>
      <c r="D60" s="69">
        <v>1</v>
      </c>
      <c r="E60" s="68">
        <v>5.1519835136527566E-4</v>
      </c>
    </row>
    <row r="61" spans="2:5" ht="15" customHeight="1">
      <c r="B61" s="120"/>
      <c r="C61" s="70" t="s">
        <v>150</v>
      </c>
      <c r="D61" s="69">
        <v>20</v>
      </c>
      <c r="E61" s="68">
        <v>1.0303967027305513E-2</v>
      </c>
    </row>
    <row r="62" spans="2:5" ht="15" customHeight="1">
      <c r="B62" s="120"/>
      <c r="C62" s="70" t="s">
        <v>163</v>
      </c>
      <c r="D62" s="69">
        <v>3</v>
      </c>
      <c r="E62" s="68">
        <v>1.5455950540958269E-3</v>
      </c>
    </row>
    <row r="63" spans="2:5" ht="15" customHeight="1">
      <c r="B63" s="120"/>
      <c r="C63" s="70" t="s">
        <v>118</v>
      </c>
      <c r="D63" s="69">
        <v>2</v>
      </c>
      <c r="E63" s="68">
        <v>1.0303967027305513E-3</v>
      </c>
    </row>
    <row r="64" spans="2:5" ht="15" customHeight="1">
      <c r="B64" s="120"/>
      <c r="C64" s="70" t="s">
        <v>172</v>
      </c>
      <c r="D64" s="69">
        <v>222</v>
      </c>
      <c r="E64" s="68">
        <v>0.11437403400309119</v>
      </c>
    </row>
    <row r="65" spans="2:5" ht="15" customHeight="1">
      <c r="B65" s="120"/>
      <c r="C65" s="70" t="s">
        <v>107</v>
      </c>
      <c r="D65" s="69">
        <v>1</v>
      </c>
      <c r="E65" s="68">
        <v>5.1519835136527566E-4</v>
      </c>
    </row>
    <row r="66" spans="2:5" ht="15" customHeight="1">
      <c r="B66" s="120"/>
      <c r="C66" s="70" t="s">
        <v>167</v>
      </c>
      <c r="D66" s="69">
        <v>74</v>
      </c>
      <c r="E66" s="68">
        <v>3.81246780010304E-2</v>
      </c>
    </row>
    <row r="67" spans="2:5" ht="15" customHeight="1">
      <c r="B67" s="120"/>
      <c r="C67" s="70" t="s">
        <v>170</v>
      </c>
      <c r="D67" s="69">
        <v>57</v>
      </c>
      <c r="E67" s="68">
        <v>2.9366306027820709E-2</v>
      </c>
    </row>
    <row r="68" spans="2:5" ht="15" customHeight="1">
      <c r="B68" s="120"/>
      <c r="C68" s="70" t="s">
        <v>131</v>
      </c>
      <c r="D68" s="69">
        <v>15</v>
      </c>
      <c r="E68" s="68">
        <v>7.7279752704791345E-3</v>
      </c>
    </row>
    <row r="69" spans="2:5" ht="15" customHeight="1">
      <c r="B69" s="120"/>
      <c r="C69" s="70" t="s">
        <v>171</v>
      </c>
      <c r="D69" s="69">
        <v>323</v>
      </c>
      <c r="E69" s="68">
        <v>0.16640906749098403</v>
      </c>
    </row>
    <row r="70" spans="2:5" ht="15" customHeight="1">
      <c r="B70" s="120"/>
      <c r="C70" s="70" t="s">
        <v>169</v>
      </c>
      <c r="D70" s="69">
        <v>116</v>
      </c>
      <c r="E70" s="68">
        <v>5.9763008758371976E-2</v>
      </c>
    </row>
    <row r="71" spans="2:5" ht="15" customHeight="1">
      <c r="B71" s="120"/>
      <c r="C71" s="70" t="s">
        <v>142</v>
      </c>
      <c r="D71" s="69">
        <v>7</v>
      </c>
      <c r="E71" s="68">
        <v>3.6063884595569293E-3</v>
      </c>
    </row>
    <row r="72" spans="2:5" ht="15" customHeight="1">
      <c r="B72" s="120"/>
      <c r="C72" s="70" t="s">
        <v>128</v>
      </c>
      <c r="D72" s="69">
        <v>2</v>
      </c>
      <c r="E72" s="68">
        <v>1.0303967027305513E-3</v>
      </c>
    </row>
    <row r="73" spans="2:5" ht="15" customHeight="1">
      <c r="B73" s="120"/>
      <c r="C73" s="70" t="s">
        <v>117</v>
      </c>
      <c r="D73" s="69">
        <v>2</v>
      </c>
      <c r="E73" s="68">
        <v>1.0303967027305513E-3</v>
      </c>
    </row>
    <row r="74" spans="2:5" ht="15" customHeight="1">
      <c r="B74" s="120"/>
      <c r="C74" s="70" t="s">
        <v>162</v>
      </c>
      <c r="D74" s="69">
        <v>30</v>
      </c>
      <c r="E74" s="68">
        <v>1.5455950540958269E-2</v>
      </c>
    </row>
    <row r="75" spans="2:5" ht="15" customHeight="1">
      <c r="B75" s="120"/>
      <c r="C75" s="70" t="s">
        <v>103</v>
      </c>
      <c r="D75" s="69">
        <v>2</v>
      </c>
      <c r="E75" s="68">
        <v>1.0303967027305513E-3</v>
      </c>
    </row>
    <row r="76" spans="2:5" ht="15" customHeight="1">
      <c r="B76" s="120"/>
      <c r="C76" s="70" t="s">
        <v>102</v>
      </c>
      <c r="D76" s="69">
        <v>3</v>
      </c>
      <c r="E76" s="68">
        <v>1.5455950540958269E-3</v>
      </c>
    </row>
    <row r="77" spans="2:5" ht="15" customHeight="1">
      <c r="B77" s="120"/>
      <c r="C77" s="70" t="s">
        <v>146</v>
      </c>
      <c r="D77" s="69">
        <v>5</v>
      </c>
      <c r="E77" s="68">
        <v>2.5759917568263782E-3</v>
      </c>
    </row>
    <row r="78" spans="2:5" ht="15" customHeight="1">
      <c r="B78" s="120"/>
      <c r="C78" s="70" t="s">
        <v>123</v>
      </c>
      <c r="D78" s="69">
        <v>4</v>
      </c>
      <c r="E78" s="68">
        <v>2.0607934054611026E-3</v>
      </c>
    </row>
    <row r="79" spans="2:5" ht="15" customHeight="1">
      <c r="B79" s="120"/>
      <c r="C79" s="70" t="s">
        <v>243</v>
      </c>
      <c r="D79" s="69">
        <v>1</v>
      </c>
      <c r="E79" s="68">
        <v>5.1519835136527566E-4</v>
      </c>
    </row>
    <row r="80" spans="2:5" ht="15" customHeight="1">
      <c r="B80" s="120"/>
      <c r="C80" s="70" t="s">
        <v>156</v>
      </c>
      <c r="D80" s="69">
        <v>10</v>
      </c>
      <c r="E80" s="68">
        <v>5.1519835136527563E-3</v>
      </c>
    </row>
    <row r="81" spans="2:5" ht="15" customHeight="1">
      <c r="B81" s="120"/>
      <c r="C81" s="70" t="s">
        <v>116</v>
      </c>
      <c r="D81" s="69">
        <v>1</v>
      </c>
      <c r="E81" s="68">
        <v>5.1519835136527566E-4</v>
      </c>
    </row>
    <row r="82" spans="2:5" ht="15" customHeight="1">
      <c r="B82" s="120"/>
      <c r="C82" s="70" t="s">
        <v>145</v>
      </c>
      <c r="D82" s="69">
        <v>3</v>
      </c>
      <c r="E82" s="68">
        <v>1.5455950540958269E-3</v>
      </c>
    </row>
    <row r="83" spans="2:5" ht="15" customHeight="1">
      <c r="B83" s="120"/>
      <c r="C83" s="70" t="s">
        <v>168</v>
      </c>
      <c r="D83" s="69">
        <v>72</v>
      </c>
      <c r="E83" s="68">
        <v>3.7094281298299843E-2</v>
      </c>
    </row>
    <row r="84" spans="2:5" ht="15" customHeight="1">
      <c r="B84" s="120"/>
      <c r="C84" s="70" t="s">
        <v>139</v>
      </c>
      <c r="D84" s="69">
        <v>7</v>
      </c>
      <c r="E84" s="68">
        <v>3.6063884595569293E-3</v>
      </c>
    </row>
    <row r="85" spans="2:5" ht="15" customHeight="1">
      <c r="B85" s="120"/>
      <c r="C85" s="70" t="s">
        <v>136</v>
      </c>
      <c r="D85" s="69">
        <v>6</v>
      </c>
      <c r="E85" s="68">
        <v>3.0911901081916537E-3</v>
      </c>
    </row>
    <row r="86" spans="2:5" ht="15" customHeight="1">
      <c r="B86" s="120"/>
      <c r="C86" s="70" t="s">
        <v>138</v>
      </c>
      <c r="D86" s="69">
        <v>2</v>
      </c>
      <c r="E86" s="68">
        <v>1.0303967027305513E-3</v>
      </c>
    </row>
    <row r="87" spans="2:5" ht="15" customHeight="1">
      <c r="B87" s="120"/>
      <c r="C87" s="70" t="s">
        <v>101</v>
      </c>
      <c r="D87" s="69">
        <v>1</v>
      </c>
      <c r="E87" s="68">
        <v>5.1519835136527566E-4</v>
      </c>
    </row>
    <row r="88" spans="2:5" ht="15" customHeight="1">
      <c r="B88" s="120"/>
      <c r="C88" s="70" t="s">
        <v>141</v>
      </c>
      <c r="D88" s="69">
        <v>4</v>
      </c>
      <c r="E88" s="68">
        <v>2.0607934054611026E-3</v>
      </c>
    </row>
    <row r="89" spans="2:5" ht="15" customHeight="1">
      <c r="B89" s="120"/>
      <c r="C89" s="70" t="s">
        <v>166</v>
      </c>
      <c r="D89" s="69">
        <v>63</v>
      </c>
      <c r="E89" s="68">
        <v>3.2457496136012363E-2</v>
      </c>
    </row>
    <row r="90" spans="2:5" ht="15" customHeight="1">
      <c r="B90" s="120"/>
      <c r="C90" s="70" t="s">
        <v>114</v>
      </c>
      <c r="D90" s="69">
        <v>1</v>
      </c>
      <c r="E90" s="68">
        <v>5.1519835136527566E-4</v>
      </c>
    </row>
    <row r="91" spans="2:5" ht="15" customHeight="1">
      <c r="B91" s="120"/>
      <c r="C91" s="70" t="s">
        <v>268</v>
      </c>
      <c r="D91" s="69">
        <v>1</v>
      </c>
      <c r="E91" s="68">
        <v>5.1519835136527566E-4</v>
      </c>
    </row>
    <row r="92" spans="2:5" ht="15" customHeight="1">
      <c r="B92" s="120"/>
      <c r="C92" s="70" t="s">
        <v>133</v>
      </c>
      <c r="D92" s="69">
        <v>2</v>
      </c>
      <c r="E92" s="68">
        <v>1.0303967027305513E-3</v>
      </c>
    </row>
    <row r="93" spans="2:5" ht="15" customHeight="1">
      <c r="B93" s="120"/>
      <c r="C93" s="70" t="s">
        <v>140</v>
      </c>
      <c r="D93" s="69">
        <v>4</v>
      </c>
      <c r="E93" s="68">
        <v>2.0607934054611026E-3</v>
      </c>
    </row>
    <row r="94" spans="2:5" ht="15" customHeight="1">
      <c r="B94" s="120"/>
      <c r="C94" s="70" t="s">
        <v>269</v>
      </c>
      <c r="D94" s="69">
        <v>2</v>
      </c>
      <c r="E94" s="68">
        <v>1.0303967027305513E-3</v>
      </c>
    </row>
    <row r="95" spans="2:5" ht="15" customHeight="1">
      <c r="B95" s="120"/>
      <c r="C95" s="70" t="s">
        <v>155</v>
      </c>
      <c r="D95" s="69">
        <v>7</v>
      </c>
      <c r="E95" s="68">
        <v>3.6063884595569293E-3</v>
      </c>
    </row>
    <row r="96" spans="2:5" ht="15" customHeight="1">
      <c r="B96" s="120"/>
      <c r="C96" s="70" t="s">
        <v>161</v>
      </c>
      <c r="D96" s="69">
        <v>33</v>
      </c>
      <c r="E96" s="68">
        <v>1.7001545595054096E-2</v>
      </c>
    </row>
    <row r="97" spans="2:5" ht="15" customHeight="1">
      <c r="B97" s="120"/>
      <c r="C97" s="70" t="s">
        <v>147</v>
      </c>
      <c r="D97" s="69">
        <v>19</v>
      </c>
      <c r="E97" s="68">
        <v>9.7887686759402376E-3</v>
      </c>
    </row>
    <row r="98" spans="2:5" ht="15" customHeight="1">
      <c r="B98" s="120"/>
      <c r="C98" s="70" t="s">
        <v>247</v>
      </c>
      <c r="D98" s="69">
        <v>1</v>
      </c>
      <c r="E98" s="68">
        <v>5.1519835136527566E-4</v>
      </c>
    </row>
    <row r="99" spans="2:5" ht="15" customHeight="1">
      <c r="B99" s="120"/>
      <c r="C99" s="70" t="s">
        <v>144</v>
      </c>
      <c r="D99" s="69">
        <v>5</v>
      </c>
      <c r="E99" s="68">
        <v>2.5759917568263782E-3</v>
      </c>
    </row>
    <row r="100" spans="2:5" ht="15" customHeight="1">
      <c r="B100" s="120"/>
      <c r="C100" s="70" t="s">
        <v>152</v>
      </c>
      <c r="D100" s="69">
        <v>3</v>
      </c>
      <c r="E100" s="68">
        <v>1.5455950540958269E-3</v>
      </c>
    </row>
    <row r="101" spans="2:5" ht="15" customHeight="1">
      <c r="B101" s="120"/>
      <c r="C101" s="70" t="s">
        <v>127</v>
      </c>
      <c r="D101" s="69">
        <v>1</v>
      </c>
      <c r="E101" s="68">
        <v>5.1519835136527566E-4</v>
      </c>
    </row>
    <row r="102" spans="2:5" ht="15" customHeight="1">
      <c r="B102" s="120"/>
      <c r="C102" s="70" t="s">
        <v>113</v>
      </c>
      <c r="D102" s="69">
        <v>2</v>
      </c>
      <c r="E102" s="68">
        <v>1.0303967027305513E-3</v>
      </c>
    </row>
    <row r="103" spans="2:5" ht="15" customHeight="1">
      <c r="B103" s="120"/>
      <c r="C103" s="70" t="s">
        <v>105</v>
      </c>
      <c r="D103" s="69">
        <v>2</v>
      </c>
      <c r="E103" s="68">
        <v>1.0303967027305513E-3</v>
      </c>
    </row>
    <row r="104" spans="2:5" ht="15" customHeight="1">
      <c r="B104" s="121"/>
      <c r="C104" s="67" t="s">
        <v>20</v>
      </c>
      <c r="D104" s="66">
        <v>1325</v>
      </c>
      <c r="E104" s="65">
        <v>0.68263781555899017</v>
      </c>
    </row>
    <row r="105" spans="2:5" ht="15" customHeight="1">
      <c r="B105" s="119" t="s">
        <v>50</v>
      </c>
      <c r="C105" s="70" t="s">
        <v>126</v>
      </c>
      <c r="D105" s="69">
        <v>1</v>
      </c>
      <c r="E105" s="68">
        <v>5.1519835136527566E-4</v>
      </c>
    </row>
    <row r="106" spans="2:5" ht="15" customHeight="1">
      <c r="B106" s="120"/>
      <c r="C106" s="70" t="s">
        <v>165</v>
      </c>
      <c r="D106" s="69">
        <v>1</v>
      </c>
      <c r="E106" s="68">
        <v>5.1519835136527566E-4</v>
      </c>
    </row>
    <row r="107" spans="2:5" ht="15" customHeight="1">
      <c r="B107" s="120"/>
      <c r="C107" s="70" t="s">
        <v>159</v>
      </c>
      <c r="D107" s="69">
        <v>5</v>
      </c>
      <c r="E107" s="68">
        <v>2.5759917568263782E-3</v>
      </c>
    </row>
    <row r="108" spans="2:5" ht="15" customHeight="1">
      <c r="B108" s="120"/>
      <c r="C108" s="70" t="s">
        <v>164</v>
      </c>
      <c r="D108" s="69">
        <v>18</v>
      </c>
      <c r="E108" s="68">
        <v>9.2735703245749607E-3</v>
      </c>
    </row>
    <row r="109" spans="2:5" ht="15" customHeight="1">
      <c r="B109" s="120"/>
      <c r="C109" s="70" t="s">
        <v>108</v>
      </c>
      <c r="D109" s="69">
        <v>1</v>
      </c>
      <c r="E109" s="68">
        <v>5.1519835136527566E-4</v>
      </c>
    </row>
    <row r="110" spans="2:5" ht="15" customHeight="1">
      <c r="B110" s="120"/>
      <c r="C110" s="70" t="s">
        <v>121</v>
      </c>
      <c r="D110" s="69">
        <v>1</v>
      </c>
      <c r="E110" s="68">
        <v>5.1519835136527566E-4</v>
      </c>
    </row>
    <row r="111" spans="2:5" ht="15" customHeight="1">
      <c r="B111" s="120"/>
      <c r="C111" s="70" t="s">
        <v>264</v>
      </c>
      <c r="D111" s="69">
        <v>1</v>
      </c>
      <c r="E111" s="68">
        <v>5.1519835136527566E-4</v>
      </c>
    </row>
    <row r="112" spans="2:5" ht="15" customHeight="1">
      <c r="B112" s="120"/>
      <c r="C112" s="70" t="s">
        <v>160</v>
      </c>
      <c r="D112" s="69">
        <v>4</v>
      </c>
      <c r="E112" s="68">
        <v>2.0607934054611026E-3</v>
      </c>
    </row>
    <row r="113" spans="2:5" ht="15" customHeight="1">
      <c r="B113" s="120"/>
      <c r="C113" s="70" t="s">
        <v>172</v>
      </c>
      <c r="D113" s="69">
        <v>5</v>
      </c>
      <c r="E113" s="68">
        <v>2.5759917568263782E-3</v>
      </c>
    </row>
    <row r="114" spans="2:5" ht="15" customHeight="1">
      <c r="B114" s="120"/>
      <c r="C114" s="70" t="s">
        <v>171</v>
      </c>
      <c r="D114" s="69">
        <v>2</v>
      </c>
      <c r="E114" s="68">
        <v>1.0303967027305513E-3</v>
      </c>
    </row>
    <row r="115" spans="2:5" ht="15" customHeight="1">
      <c r="B115" s="120"/>
      <c r="C115" s="70" t="s">
        <v>106</v>
      </c>
      <c r="D115" s="69">
        <v>1</v>
      </c>
      <c r="E115" s="68">
        <v>5.1519835136527566E-4</v>
      </c>
    </row>
    <row r="116" spans="2:5" ht="15" customHeight="1">
      <c r="B116" s="120"/>
      <c r="C116" s="70" t="s">
        <v>246</v>
      </c>
      <c r="D116" s="69">
        <v>1</v>
      </c>
      <c r="E116" s="68">
        <v>5.1519835136527566E-4</v>
      </c>
    </row>
    <row r="117" spans="2:5" ht="15" customHeight="1">
      <c r="B117" s="120"/>
      <c r="C117" s="70" t="s">
        <v>168</v>
      </c>
      <c r="D117" s="69">
        <v>9</v>
      </c>
      <c r="E117" s="68">
        <v>4.6367851622874804E-3</v>
      </c>
    </row>
    <row r="118" spans="2:5" ht="15" customHeight="1">
      <c r="B118" s="120"/>
      <c r="C118" s="70" t="s">
        <v>101</v>
      </c>
      <c r="D118" s="69">
        <v>1</v>
      </c>
      <c r="E118" s="68">
        <v>5.1519835136527566E-4</v>
      </c>
    </row>
    <row r="119" spans="2:5" ht="15" customHeight="1">
      <c r="B119" s="120"/>
      <c r="C119" s="70" t="s">
        <v>140</v>
      </c>
      <c r="D119" s="69">
        <v>1</v>
      </c>
      <c r="E119" s="68">
        <v>5.1519835136527566E-4</v>
      </c>
    </row>
    <row r="120" spans="2:5" ht="15" customHeight="1">
      <c r="B120" s="120"/>
      <c r="C120" s="70" t="s">
        <v>155</v>
      </c>
      <c r="D120" s="69">
        <v>3</v>
      </c>
      <c r="E120" s="68">
        <v>1.5455950540958269E-3</v>
      </c>
    </row>
    <row r="121" spans="2:5" ht="15" customHeight="1">
      <c r="B121" s="121"/>
      <c r="C121" s="67" t="s">
        <v>20</v>
      </c>
      <c r="D121" s="66">
        <v>55</v>
      </c>
      <c r="E121" s="65">
        <v>2.8335909325090159E-2</v>
      </c>
    </row>
    <row r="122" spans="2:5" ht="15" customHeight="1">
      <c r="B122" s="119" t="s">
        <v>23</v>
      </c>
      <c r="C122" s="70" t="s">
        <v>172</v>
      </c>
      <c r="D122" s="69">
        <v>1</v>
      </c>
      <c r="E122" s="68">
        <v>5.1519835136527566E-4</v>
      </c>
    </row>
    <row r="123" spans="2:5" ht="15" customHeight="1">
      <c r="B123" s="120"/>
      <c r="C123" s="70" t="s">
        <v>100</v>
      </c>
      <c r="D123" s="69">
        <v>1</v>
      </c>
      <c r="E123" s="68">
        <v>5.1519835136527566E-4</v>
      </c>
    </row>
    <row r="124" spans="2:5" ht="15" customHeight="1">
      <c r="B124" s="121"/>
      <c r="C124" s="67" t="s">
        <v>20</v>
      </c>
      <c r="D124" s="66">
        <v>2</v>
      </c>
      <c r="E124" s="65">
        <v>1.0303967027305513E-3</v>
      </c>
    </row>
    <row r="125" spans="2:5" ht="15" customHeight="1">
      <c r="B125" s="119" t="s">
        <v>240</v>
      </c>
      <c r="C125" s="70" t="s">
        <v>172</v>
      </c>
      <c r="D125" s="69">
        <v>1</v>
      </c>
      <c r="E125" s="68">
        <v>5.1519835136527566E-4</v>
      </c>
    </row>
    <row r="126" spans="2:5" ht="15" customHeight="1">
      <c r="B126" s="121"/>
      <c r="C126" s="67" t="s">
        <v>20</v>
      </c>
      <c r="D126" s="66">
        <v>1</v>
      </c>
      <c r="E126" s="65">
        <v>5.1519835136527566E-4</v>
      </c>
    </row>
    <row r="127" spans="2:5" ht="15" customHeight="1">
      <c r="B127" s="119" t="s">
        <v>47</v>
      </c>
      <c r="C127" s="70" t="s">
        <v>244</v>
      </c>
      <c r="D127" s="69">
        <v>1</v>
      </c>
      <c r="E127" s="68">
        <v>5.1519835136527566E-4</v>
      </c>
    </row>
    <row r="128" spans="2:5" ht="15" customHeight="1">
      <c r="B128" s="120"/>
      <c r="C128" s="70" t="s">
        <v>157</v>
      </c>
      <c r="D128" s="69">
        <v>2</v>
      </c>
      <c r="E128" s="68">
        <v>1.0303967027305513E-3</v>
      </c>
    </row>
    <row r="129" spans="2:5" ht="15" customHeight="1">
      <c r="B129" s="120"/>
      <c r="C129" s="70" t="s">
        <v>122</v>
      </c>
      <c r="D129" s="69">
        <v>1</v>
      </c>
      <c r="E129" s="68">
        <v>5.1519835136527566E-4</v>
      </c>
    </row>
    <row r="130" spans="2:5" ht="15" customHeight="1">
      <c r="B130" s="120"/>
      <c r="C130" s="70" t="s">
        <v>104</v>
      </c>
      <c r="D130" s="69">
        <v>2</v>
      </c>
      <c r="E130" s="68">
        <v>1.0303967027305513E-3</v>
      </c>
    </row>
    <row r="131" spans="2:5" ht="15" customHeight="1">
      <c r="B131" s="120"/>
      <c r="C131" s="70" t="s">
        <v>160</v>
      </c>
      <c r="D131" s="69">
        <v>1</v>
      </c>
      <c r="E131" s="68">
        <v>5.1519835136527566E-4</v>
      </c>
    </row>
    <row r="132" spans="2:5" ht="15" customHeight="1">
      <c r="B132" s="120"/>
      <c r="C132" s="70" t="s">
        <v>172</v>
      </c>
      <c r="D132" s="69">
        <v>22</v>
      </c>
      <c r="E132" s="68">
        <v>1.1334363730036065E-2</v>
      </c>
    </row>
    <row r="133" spans="2:5" ht="15" customHeight="1">
      <c r="B133" s="120"/>
      <c r="C133" s="70" t="s">
        <v>107</v>
      </c>
      <c r="D133" s="69">
        <v>1</v>
      </c>
      <c r="E133" s="68">
        <v>5.1519835136527566E-4</v>
      </c>
    </row>
    <row r="134" spans="2:5" ht="15" customHeight="1">
      <c r="B134" s="120"/>
      <c r="C134" s="70" t="s">
        <v>170</v>
      </c>
      <c r="D134" s="69">
        <v>1</v>
      </c>
      <c r="E134" s="68">
        <v>5.1519835136527566E-4</v>
      </c>
    </row>
    <row r="135" spans="2:5" ht="15" customHeight="1">
      <c r="B135" s="120"/>
      <c r="C135" s="70" t="s">
        <v>142</v>
      </c>
      <c r="D135" s="69">
        <v>2</v>
      </c>
      <c r="E135" s="68">
        <v>1.0303967027305513E-3</v>
      </c>
    </row>
    <row r="136" spans="2:5" ht="15" customHeight="1">
      <c r="B136" s="120"/>
      <c r="C136" s="70" t="s">
        <v>139</v>
      </c>
      <c r="D136" s="69">
        <v>3</v>
      </c>
      <c r="E136" s="68">
        <v>1.5455950540958269E-3</v>
      </c>
    </row>
    <row r="137" spans="2:5" ht="15" customHeight="1">
      <c r="B137" s="120"/>
      <c r="C137" s="70" t="s">
        <v>166</v>
      </c>
      <c r="D137" s="69">
        <v>4</v>
      </c>
      <c r="E137" s="68">
        <v>2.0607934054611026E-3</v>
      </c>
    </row>
    <row r="138" spans="2:5" ht="15" customHeight="1">
      <c r="B138" s="120"/>
      <c r="C138" s="70" t="s">
        <v>147</v>
      </c>
      <c r="D138" s="69">
        <v>1</v>
      </c>
      <c r="E138" s="68">
        <v>5.1519835136527566E-4</v>
      </c>
    </row>
    <row r="139" spans="2:5" ht="15" customHeight="1">
      <c r="B139" s="121"/>
      <c r="C139" s="67" t="s">
        <v>20</v>
      </c>
      <c r="D139" s="66">
        <v>41</v>
      </c>
      <c r="E139" s="65">
        <v>2.1123132405976301E-2</v>
      </c>
    </row>
    <row r="140" spans="2:5" ht="15" customHeight="1">
      <c r="B140" s="119" t="s">
        <v>40</v>
      </c>
      <c r="C140" s="70" t="s">
        <v>160</v>
      </c>
      <c r="D140" s="69">
        <v>1</v>
      </c>
      <c r="E140" s="68">
        <v>5.1519835136527566E-4</v>
      </c>
    </row>
    <row r="141" spans="2:5" ht="15" customHeight="1">
      <c r="B141" s="120"/>
      <c r="C141" s="70" t="s">
        <v>172</v>
      </c>
      <c r="D141" s="69">
        <v>4</v>
      </c>
      <c r="E141" s="68">
        <v>2.0607934054611026E-3</v>
      </c>
    </row>
    <row r="142" spans="2:5" ht="15" customHeight="1">
      <c r="B142" s="120"/>
      <c r="C142" s="70" t="s">
        <v>169</v>
      </c>
      <c r="D142" s="69">
        <v>1</v>
      </c>
      <c r="E142" s="68">
        <v>5.1519835136527566E-4</v>
      </c>
    </row>
    <row r="143" spans="2:5" ht="15" customHeight="1">
      <c r="B143" s="120"/>
      <c r="C143" s="70" t="s">
        <v>168</v>
      </c>
      <c r="D143" s="69">
        <v>2</v>
      </c>
      <c r="E143" s="68">
        <v>1.0303967027305513E-3</v>
      </c>
    </row>
    <row r="144" spans="2:5" ht="15" customHeight="1">
      <c r="B144" s="120"/>
      <c r="C144" s="70" t="s">
        <v>166</v>
      </c>
      <c r="D144" s="69">
        <v>2</v>
      </c>
      <c r="E144" s="68">
        <v>1.0303967027305513E-3</v>
      </c>
    </row>
    <row r="145" spans="2:5" ht="15" customHeight="1">
      <c r="B145" s="121"/>
      <c r="C145" s="67" t="s">
        <v>20</v>
      </c>
      <c r="D145" s="66">
        <v>10</v>
      </c>
      <c r="E145" s="65">
        <v>5.1519835136527563E-3</v>
      </c>
    </row>
    <row r="146" spans="2:5" ht="15" customHeight="1">
      <c r="B146" s="119" t="s">
        <v>26</v>
      </c>
      <c r="C146" s="70" t="s">
        <v>165</v>
      </c>
      <c r="D146" s="69">
        <v>2</v>
      </c>
      <c r="E146" s="68">
        <v>1.0303967027305513E-3</v>
      </c>
    </row>
    <row r="147" spans="2:5" ht="15" customHeight="1">
      <c r="B147" s="121"/>
      <c r="C147" s="67" t="s">
        <v>20</v>
      </c>
      <c r="D147" s="66">
        <v>2</v>
      </c>
      <c r="E147" s="65">
        <v>1.0303967027305513E-3</v>
      </c>
    </row>
    <row r="148" spans="2:5" ht="15" customHeight="1">
      <c r="B148" s="119" t="s">
        <v>46</v>
      </c>
      <c r="C148" s="70" t="s">
        <v>164</v>
      </c>
      <c r="D148" s="69">
        <v>1</v>
      </c>
      <c r="E148" s="68">
        <v>5.1519835136527566E-4</v>
      </c>
    </row>
    <row r="149" spans="2:5" ht="15" customHeight="1">
      <c r="B149" s="120"/>
      <c r="C149" s="70" t="s">
        <v>153</v>
      </c>
      <c r="D149" s="69">
        <v>1</v>
      </c>
      <c r="E149" s="68">
        <v>5.1519835136527566E-4</v>
      </c>
    </row>
    <row r="150" spans="2:5" ht="15" customHeight="1">
      <c r="B150" s="120"/>
      <c r="C150" s="70" t="s">
        <v>172</v>
      </c>
      <c r="D150" s="69">
        <v>20</v>
      </c>
      <c r="E150" s="68">
        <v>1.0303967027305513E-2</v>
      </c>
    </row>
    <row r="151" spans="2:5" ht="15" customHeight="1">
      <c r="B151" s="120"/>
      <c r="C151" s="70" t="s">
        <v>167</v>
      </c>
      <c r="D151" s="69">
        <v>1</v>
      </c>
      <c r="E151" s="68">
        <v>5.1519835136527566E-4</v>
      </c>
    </row>
    <row r="152" spans="2:5" ht="15" customHeight="1">
      <c r="B152" s="120"/>
      <c r="C152" s="70" t="s">
        <v>142</v>
      </c>
      <c r="D152" s="69">
        <v>1</v>
      </c>
      <c r="E152" s="68">
        <v>5.1519835136527566E-4</v>
      </c>
    </row>
    <row r="153" spans="2:5" ht="15" customHeight="1">
      <c r="B153" s="120"/>
      <c r="C153" s="70" t="s">
        <v>168</v>
      </c>
      <c r="D153" s="69">
        <v>1</v>
      </c>
      <c r="E153" s="68">
        <v>5.1519835136527566E-4</v>
      </c>
    </row>
    <row r="154" spans="2:5" ht="15" customHeight="1">
      <c r="B154" s="121"/>
      <c r="C154" s="67" t="s">
        <v>20</v>
      </c>
      <c r="D154" s="66">
        <v>25</v>
      </c>
      <c r="E154" s="65">
        <v>1.287995878413189E-2</v>
      </c>
    </row>
    <row r="155" spans="2:5" ht="15" customHeight="1">
      <c r="B155" s="119" t="s">
        <v>42</v>
      </c>
      <c r="C155" s="70" t="s">
        <v>160</v>
      </c>
      <c r="D155" s="69">
        <v>1</v>
      </c>
      <c r="E155" s="68">
        <v>5.1519835136527566E-4</v>
      </c>
    </row>
    <row r="156" spans="2:5" ht="15" customHeight="1">
      <c r="B156" s="120"/>
      <c r="C156" s="70" t="s">
        <v>172</v>
      </c>
      <c r="D156" s="69">
        <v>8</v>
      </c>
      <c r="E156" s="68">
        <v>4.1215868109222053E-3</v>
      </c>
    </row>
    <row r="157" spans="2:5" ht="15" customHeight="1">
      <c r="B157" s="120"/>
      <c r="C157" s="70" t="s">
        <v>139</v>
      </c>
      <c r="D157" s="69">
        <v>2</v>
      </c>
      <c r="E157" s="68">
        <v>1.0303967027305513E-3</v>
      </c>
    </row>
    <row r="158" spans="2:5" ht="15" customHeight="1">
      <c r="B158" s="120"/>
      <c r="C158" s="70" t="s">
        <v>155</v>
      </c>
      <c r="D158" s="69">
        <v>1</v>
      </c>
      <c r="E158" s="68">
        <v>5.1519835136527566E-4</v>
      </c>
    </row>
    <row r="159" spans="2:5" ht="15" customHeight="1">
      <c r="B159" s="121"/>
      <c r="C159" s="67" t="s">
        <v>20</v>
      </c>
      <c r="D159" s="66">
        <v>12</v>
      </c>
      <c r="E159" s="65">
        <v>6.1823802163833074E-3</v>
      </c>
    </row>
    <row r="160" spans="2:5" ht="15" customHeight="1">
      <c r="B160" s="119" t="s">
        <v>25</v>
      </c>
      <c r="C160" s="70" t="s">
        <v>159</v>
      </c>
      <c r="D160" s="69">
        <v>1</v>
      </c>
      <c r="E160" s="68">
        <v>5.1519835136527566E-4</v>
      </c>
    </row>
    <row r="161" spans="2:5" ht="15" customHeight="1">
      <c r="B161" s="121"/>
      <c r="C161" s="67" t="s">
        <v>20</v>
      </c>
      <c r="D161" s="66">
        <v>1</v>
      </c>
      <c r="E161" s="65">
        <v>5.1519835136527566E-4</v>
      </c>
    </row>
    <row r="162" spans="2:5" ht="15" customHeight="1">
      <c r="B162" s="119" t="s">
        <v>31</v>
      </c>
      <c r="C162" s="70" t="s">
        <v>165</v>
      </c>
      <c r="D162" s="69">
        <v>1</v>
      </c>
      <c r="E162" s="68">
        <v>5.1519835136527566E-4</v>
      </c>
    </row>
    <row r="163" spans="2:5" ht="15" customHeight="1">
      <c r="B163" s="120"/>
      <c r="C163" s="70" t="s">
        <v>159</v>
      </c>
      <c r="D163" s="69">
        <v>1</v>
      </c>
      <c r="E163" s="68">
        <v>5.1519835136527566E-4</v>
      </c>
    </row>
    <row r="164" spans="2:5" ht="15" customHeight="1">
      <c r="B164" s="120"/>
      <c r="C164" s="70" t="s">
        <v>172</v>
      </c>
      <c r="D164" s="69">
        <v>1</v>
      </c>
      <c r="E164" s="68">
        <v>5.1519835136527566E-4</v>
      </c>
    </row>
    <row r="165" spans="2:5" ht="15" customHeight="1">
      <c r="B165" s="120"/>
      <c r="C165" s="70" t="s">
        <v>170</v>
      </c>
      <c r="D165" s="69">
        <v>1</v>
      </c>
      <c r="E165" s="68">
        <v>5.1519835136527566E-4</v>
      </c>
    </row>
    <row r="166" spans="2:5" ht="15" customHeight="1">
      <c r="B166" s="121"/>
      <c r="C166" s="67" t="s">
        <v>20</v>
      </c>
      <c r="D166" s="66">
        <v>4</v>
      </c>
      <c r="E166" s="65">
        <v>2.0607934054611026E-3</v>
      </c>
    </row>
    <row r="167" spans="2:5" ht="15" customHeight="1">
      <c r="B167" s="119" t="s">
        <v>28</v>
      </c>
      <c r="C167" s="70" t="s">
        <v>143</v>
      </c>
      <c r="D167" s="69">
        <v>1</v>
      </c>
      <c r="E167" s="68">
        <v>5.1519835136527566E-4</v>
      </c>
    </row>
    <row r="168" spans="2:5" ht="15" customHeight="1">
      <c r="B168" s="120"/>
      <c r="C168" s="70" t="s">
        <v>167</v>
      </c>
      <c r="D168" s="69">
        <v>1</v>
      </c>
      <c r="E168" s="68">
        <v>5.1519835136527566E-4</v>
      </c>
    </row>
    <row r="169" spans="2:5" ht="15" customHeight="1">
      <c r="B169" s="120"/>
      <c r="C169" s="70" t="s">
        <v>171</v>
      </c>
      <c r="D169" s="69">
        <v>1</v>
      </c>
      <c r="E169" s="68">
        <v>5.1519835136527566E-4</v>
      </c>
    </row>
    <row r="170" spans="2:5" ht="15" customHeight="1">
      <c r="B170" s="121"/>
      <c r="C170" s="67" t="s">
        <v>20</v>
      </c>
      <c r="D170" s="66">
        <v>3</v>
      </c>
      <c r="E170" s="65">
        <v>1.5455950540958269E-3</v>
      </c>
    </row>
    <row r="171" spans="2:5" ht="15" customHeight="1">
      <c r="B171" s="119" t="s">
        <v>34</v>
      </c>
      <c r="C171" s="70" t="s">
        <v>172</v>
      </c>
      <c r="D171" s="69">
        <v>3</v>
      </c>
      <c r="E171" s="68">
        <v>1.5455950540958269E-3</v>
      </c>
    </row>
    <row r="172" spans="2:5" ht="15" customHeight="1">
      <c r="B172" s="120"/>
      <c r="C172" s="70" t="s">
        <v>99</v>
      </c>
      <c r="D172" s="69">
        <v>1</v>
      </c>
      <c r="E172" s="68">
        <v>5.1519835136527566E-4</v>
      </c>
    </row>
    <row r="173" spans="2:5" ht="15" customHeight="1">
      <c r="B173" s="121"/>
      <c r="C173" s="67" t="s">
        <v>20</v>
      </c>
      <c r="D173" s="66">
        <v>4</v>
      </c>
      <c r="E173" s="65">
        <v>2.0607934054611026E-3</v>
      </c>
    </row>
    <row r="174" spans="2:5" ht="15" customHeight="1">
      <c r="B174" s="119" t="s">
        <v>33</v>
      </c>
      <c r="C174" s="70" t="s">
        <v>172</v>
      </c>
      <c r="D174" s="69">
        <v>1</v>
      </c>
      <c r="E174" s="68">
        <v>5.1519835136527566E-4</v>
      </c>
    </row>
    <row r="175" spans="2:5" ht="15" customHeight="1">
      <c r="B175" s="120"/>
      <c r="C175" s="70" t="s">
        <v>169</v>
      </c>
      <c r="D175" s="69">
        <v>2</v>
      </c>
      <c r="E175" s="68">
        <v>1.0303967027305513E-3</v>
      </c>
    </row>
    <row r="176" spans="2:5" ht="15" customHeight="1">
      <c r="B176" s="120"/>
      <c r="C176" s="70" t="s">
        <v>116</v>
      </c>
      <c r="D176" s="69">
        <v>1</v>
      </c>
      <c r="E176" s="68">
        <v>5.1519835136527566E-4</v>
      </c>
    </row>
    <row r="177" spans="2:5" ht="15" customHeight="1">
      <c r="B177" s="120"/>
      <c r="C177" s="70" t="s">
        <v>155</v>
      </c>
      <c r="D177" s="69">
        <v>2</v>
      </c>
      <c r="E177" s="68">
        <v>1.0303967027305513E-3</v>
      </c>
    </row>
    <row r="178" spans="2:5" ht="15" customHeight="1">
      <c r="B178" s="121"/>
      <c r="C178" s="67" t="s">
        <v>20</v>
      </c>
      <c r="D178" s="66">
        <v>6</v>
      </c>
      <c r="E178" s="65">
        <v>3.0911901081916537E-3</v>
      </c>
    </row>
    <row r="179" spans="2:5" ht="15" customHeight="1">
      <c r="B179" s="119" t="s">
        <v>38</v>
      </c>
      <c r="C179" s="70" t="s">
        <v>119</v>
      </c>
      <c r="D179" s="69">
        <v>1</v>
      </c>
      <c r="E179" s="68">
        <v>5.1519835136527566E-4</v>
      </c>
    </row>
    <row r="180" spans="2:5" ht="15" customHeight="1">
      <c r="B180" s="120"/>
      <c r="C180" s="70" t="s">
        <v>172</v>
      </c>
      <c r="D180" s="69">
        <v>3</v>
      </c>
      <c r="E180" s="68">
        <v>1.5455950540958269E-3</v>
      </c>
    </row>
    <row r="181" spans="2:5" ht="15" customHeight="1">
      <c r="B181" s="120"/>
      <c r="C181" s="70" t="s">
        <v>142</v>
      </c>
      <c r="D181" s="69">
        <v>1</v>
      </c>
      <c r="E181" s="68">
        <v>5.1519835136527566E-4</v>
      </c>
    </row>
    <row r="182" spans="2:5" ht="15" customHeight="1">
      <c r="B182" s="120"/>
      <c r="C182" s="70" t="s">
        <v>127</v>
      </c>
      <c r="D182" s="69">
        <v>1</v>
      </c>
      <c r="E182" s="68">
        <v>5.1519835136527566E-4</v>
      </c>
    </row>
    <row r="183" spans="2:5" ht="15" customHeight="1">
      <c r="B183" s="121"/>
      <c r="C183" s="67" t="s">
        <v>20</v>
      </c>
      <c r="D183" s="66">
        <v>6</v>
      </c>
      <c r="E183" s="65">
        <v>3.0911901081916537E-3</v>
      </c>
    </row>
    <row r="184" spans="2:5" ht="15" customHeight="1">
      <c r="B184" s="119" t="s">
        <v>22</v>
      </c>
      <c r="C184" s="70" t="s">
        <v>172</v>
      </c>
      <c r="D184" s="69">
        <v>1</v>
      </c>
      <c r="E184" s="68">
        <v>5.1519835136527566E-4</v>
      </c>
    </row>
    <row r="185" spans="2:5" ht="15" customHeight="1">
      <c r="B185" s="120"/>
      <c r="C185" s="70" t="s">
        <v>167</v>
      </c>
      <c r="D185" s="69">
        <v>1</v>
      </c>
      <c r="E185" s="68">
        <v>5.1519835136527566E-4</v>
      </c>
    </row>
    <row r="186" spans="2:5" ht="15" customHeight="1">
      <c r="B186" s="120"/>
      <c r="C186" s="70" t="s">
        <v>99</v>
      </c>
      <c r="D186" s="69">
        <v>2</v>
      </c>
      <c r="E186" s="68">
        <v>1.0303967027305513E-3</v>
      </c>
    </row>
    <row r="187" spans="2:5" ht="15" customHeight="1">
      <c r="B187" s="121"/>
      <c r="C187" s="67" t="s">
        <v>20</v>
      </c>
      <c r="D187" s="66">
        <v>4</v>
      </c>
      <c r="E187" s="65">
        <v>2.0607934054611026E-3</v>
      </c>
    </row>
    <row r="188" spans="2:5" ht="15" customHeight="1">
      <c r="B188" s="119" t="s">
        <v>30</v>
      </c>
      <c r="C188" s="70" t="s">
        <v>159</v>
      </c>
      <c r="D188" s="69">
        <v>6</v>
      </c>
      <c r="E188" s="68">
        <v>3.0911901081916537E-3</v>
      </c>
    </row>
    <row r="189" spans="2:5" ht="15" customHeight="1">
      <c r="B189" s="120"/>
      <c r="C189" s="70" t="s">
        <v>172</v>
      </c>
      <c r="D189" s="69">
        <v>3</v>
      </c>
      <c r="E189" s="68">
        <v>1.5455950540958269E-3</v>
      </c>
    </row>
    <row r="190" spans="2:5" ht="15" customHeight="1">
      <c r="B190" s="120"/>
      <c r="C190" s="70" t="s">
        <v>138</v>
      </c>
      <c r="D190" s="69">
        <v>1</v>
      </c>
      <c r="E190" s="68">
        <v>5.1519835136527566E-4</v>
      </c>
    </row>
    <row r="191" spans="2:5" ht="15" customHeight="1">
      <c r="B191" s="120"/>
      <c r="C191" s="70" t="s">
        <v>152</v>
      </c>
      <c r="D191" s="69">
        <v>1</v>
      </c>
      <c r="E191" s="68">
        <v>5.1519835136527566E-4</v>
      </c>
    </row>
    <row r="192" spans="2:5" ht="15" customHeight="1">
      <c r="B192" s="121"/>
      <c r="C192" s="67" t="s">
        <v>20</v>
      </c>
      <c r="D192" s="66">
        <v>11</v>
      </c>
      <c r="E192" s="65">
        <v>5.6671818650180323E-3</v>
      </c>
    </row>
    <row r="193" spans="2:5" ht="15" customHeight="1">
      <c r="B193" s="119" t="s">
        <v>241</v>
      </c>
      <c r="C193" s="70" t="s">
        <v>172</v>
      </c>
      <c r="D193" s="69">
        <v>2</v>
      </c>
      <c r="E193" s="68">
        <v>1.0303967027305513E-3</v>
      </c>
    </row>
    <row r="194" spans="2:5" ht="15" customHeight="1">
      <c r="B194" s="120"/>
      <c r="C194" s="70" t="s">
        <v>166</v>
      </c>
      <c r="D194" s="69">
        <v>1</v>
      </c>
      <c r="E194" s="68">
        <v>5.1519835136527566E-4</v>
      </c>
    </row>
    <row r="195" spans="2:5" ht="15" customHeight="1">
      <c r="B195" s="121"/>
      <c r="C195" s="67" t="s">
        <v>20</v>
      </c>
      <c r="D195" s="66">
        <v>3</v>
      </c>
      <c r="E195" s="65">
        <v>1.5455950540958269E-3</v>
      </c>
    </row>
    <row r="196" spans="2:5" ht="15" customHeight="1">
      <c r="B196" s="119" t="s">
        <v>49</v>
      </c>
      <c r="C196" s="70" t="s">
        <v>126</v>
      </c>
      <c r="D196" s="69">
        <v>1</v>
      </c>
      <c r="E196" s="68">
        <v>5.1519835136527566E-4</v>
      </c>
    </row>
    <row r="197" spans="2:5" ht="15" customHeight="1">
      <c r="B197" s="120"/>
      <c r="C197" s="70" t="s">
        <v>130</v>
      </c>
      <c r="D197" s="69">
        <v>1</v>
      </c>
      <c r="E197" s="68">
        <v>5.1519835136527566E-4</v>
      </c>
    </row>
    <row r="198" spans="2:5" ht="15" customHeight="1">
      <c r="B198" s="120"/>
      <c r="C198" s="70" t="s">
        <v>159</v>
      </c>
      <c r="D198" s="69">
        <v>4</v>
      </c>
      <c r="E198" s="68">
        <v>2.0607934054611026E-3</v>
      </c>
    </row>
    <row r="199" spans="2:5" ht="15" customHeight="1">
      <c r="B199" s="120"/>
      <c r="C199" s="70" t="s">
        <v>258</v>
      </c>
      <c r="D199" s="69">
        <v>1</v>
      </c>
      <c r="E199" s="68">
        <v>5.1519835136527566E-4</v>
      </c>
    </row>
    <row r="200" spans="2:5" ht="15" customHeight="1">
      <c r="B200" s="120"/>
      <c r="C200" s="70" t="s">
        <v>115</v>
      </c>
      <c r="D200" s="69">
        <v>1</v>
      </c>
      <c r="E200" s="68">
        <v>5.1519835136527566E-4</v>
      </c>
    </row>
    <row r="201" spans="2:5" ht="15" customHeight="1">
      <c r="B201" s="120"/>
      <c r="C201" s="70" t="s">
        <v>122</v>
      </c>
      <c r="D201" s="69">
        <v>1</v>
      </c>
      <c r="E201" s="68">
        <v>5.1519835136527566E-4</v>
      </c>
    </row>
    <row r="202" spans="2:5" ht="15" customHeight="1">
      <c r="B202" s="120"/>
      <c r="C202" s="70" t="s">
        <v>263</v>
      </c>
      <c r="D202" s="69">
        <v>1</v>
      </c>
      <c r="E202" s="68">
        <v>5.1519835136527566E-4</v>
      </c>
    </row>
    <row r="203" spans="2:5" ht="15" customHeight="1">
      <c r="B203" s="120"/>
      <c r="C203" s="70" t="s">
        <v>163</v>
      </c>
      <c r="D203" s="69">
        <v>1</v>
      </c>
      <c r="E203" s="68">
        <v>5.1519835136527566E-4</v>
      </c>
    </row>
    <row r="204" spans="2:5" ht="15" customHeight="1">
      <c r="B204" s="120"/>
      <c r="C204" s="70" t="s">
        <v>172</v>
      </c>
      <c r="D204" s="69">
        <v>27</v>
      </c>
      <c r="E204" s="68">
        <v>1.3910355486862442E-2</v>
      </c>
    </row>
    <row r="205" spans="2:5" ht="15" customHeight="1">
      <c r="B205" s="120"/>
      <c r="C205" s="70" t="s">
        <v>167</v>
      </c>
      <c r="D205" s="69">
        <v>1</v>
      </c>
      <c r="E205" s="68">
        <v>5.1519835136527566E-4</v>
      </c>
    </row>
    <row r="206" spans="2:5" ht="15" customHeight="1">
      <c r="B206" s="120"/>
      <c r="C206" s="70" t="s">
        <v>170</v>
      </c>
      <c r="D206" s="69">
        <v>19</v>
      </c>
      <c r="E206" s="68">
        <v>9.7887686759402376E-3</v>
      </c>
    </row>
    <row r="207" spans="2:5" ht="15" customHeight="1">
      <c r="B207" s="120"/>
      <c r="C207" s="70" t="s">
        <v>169</v>
      </c>
      <c r="D207" s="69">
        <v>2</v>
      </c>
      <c r="E207" s="68">
        <v>1.0303967027305513E-3</v>
      </c>
    </row>
    <row r="208" spans="2:5" ht="15" customHeight="1">
      <c r="B208" s="120"/>
      <c r="C208" s="70" t="s">
        <v>123</v>
      </c>
      <c r="D208" s="69">
        <v>1</v>
      </c>
      <c r="E208" s="68">
        <v>5.1519835136527566E-4</v>
      </c>
    </row>
    <row r="209" spans="2:5" ht="15" customHeight="1">
      <c r="B209" s="120"/>
      <c r="C209" s="70" t="s">
        <v>156</v>
      </c>
      <c r="D209" s="69">
        <v>1</v>
      </c>
      <c r="E209" s="68">
        <v>5.1519835136527566E-4</v>
      </c>
    </row>
    <row r="210" spans="2:5" ht="15" customHeight="1">
      <c r="B210" s="120"/>
      <c r="C210" s="70" t="s">
        <v>139</v>
      </c>
      <c r="D210" s="69">
        <v>1</v>
      </c>
      <c r="E210" s="68">
        <v>5.1519835136527566E-4</v>
      </c>
    </row>
    <row r="211" spans="2:5" ht="15" customHeight="1">
      <c r="B211" s="120"/>
      <c r="C211" s="70" t="s">
        <v>166</v>
      </c>
      <c r="D211" s="69">
        <v>1</v>
      </c>
      <c r="E211" s="68">
        <v>5.1519835136527566E-4</v>
      </c>
    </row>
    <row r="212" spans="2:5" ht="15" customHeight="1">
      <c r="B212" s="120"/>
      <c r="C212" s="70" t="s">
        <v>114</v>
      </c>
      <c r="D212" s="69">
        <v>1</v>
      </c>
      <c r="E212" s="68">
        <v>5.1519835136527566E-4</v>
      </c>
    </row>
    <row r="213" spans="2:5" ht="15" customHeight="1">
      <c r="B213" s="120"/>
      <c r="C213" s="70" t="s">
        <v>147</v>
      </c>
      <c r="D213" s="69">
        <v>1</v>
      </c>
      <c r="E213" s="68">
        <v>5.1519835136527566E-4</v>
      </c>
    </row>
    <row r="214" spans="2:5" ht="15" customHeight="1">
      <c r="B214" s="121"/>
      <c r="C214" s="67" t="s">
        <v>20</v>
      </c>
      <c r="D214" s="66">
        <v>66</v>
      </c>
      <c r="E214" s="65">
        <v>3.4003091190108192E-2</v>
      </c>
    </row>
    <row r="215" spans="2:5" ht="15" customHeight="1">
      <c r="B215" s="119" t="s">
        <v>29</v>
      </c>
      <c r="C215" s="70" t="s">
        <v>159</v>
      </c>
      <c r="D215" s="69">
        <v>1</v>
      </c>
      <c r="E215" s="68">
        <v>5.1519835136527566E-4</v>
      </c>
    </row>
    <row r="216" spans="2:5" ht="15" customHeight="1">
      <c r="B216" s="120"/>
      <c r="C216" s="70" t="s">
        <v>172</v>
      </c>
      <c r="D216" s="69">
        <v>2</v>
      </c>
      <c r="E216" s="68">
        <v>1.0303967027305513E-3</v>
      </c>
    </row>
    <row r="217" spans="2:5" ht="15" customHeight="1">
      <c r="B217" s="121"/>
      <c r="C217" s="67" t="s">
        <v>20</v>
      </c>
      <c r="D217" s="66">
        <v>3</v>
      </c>
      <c r="E217" s="65">
        <v>1.5455950540958269E-3</v>
      </c>
    </row>
    <row r="218" spans="2:5" ht="15" customHeight="1">
      <c r="B218" s="119" t="s">
        <v>21</v>
      </c>
      <c r="C218" s="70" t="s">
        <v>172</v>
      </c>
      <c r="D218" s="69">
        <v>2</v>
      </c>
      <c r="E218" s="68">
        <v>1.0303967027305513E-3</v>
      </c>
    </row>
    <row r="219" spans="2:5" ht="15" customHeight="1">
      <c r="B219" s="120"/>
      <c r="C219" s="70" t="s">
        <v>142</v>
      </c>
      <c r="D219" s="69">
        <v>1</v>
      </c>
      <c r="E219" s="68">
        <v>5.1519835136527566E-4</v>
      </c>
    </row>
    <row r="220" spans="2:5" ht="15" customHeight="1">
      <c r="B220" s="121"/>
      <c r="C220" s="67" t="s">
        <v>20</v>
      </c>
      <c r="D220" s="66">
        <v>3</v>
      </c>
      <c r="E220" s="65">
        <v>1.5455950540958269E-3</v>
      </c>
    </row>
    <row r="221" spans="2:5" ht="15" customHeight="1">
      <c r="B221" s="119" t="s">
        <v>41</v>
      </c>
      <c r="C221" s="70" t="s">
        <v>257</v>
      </c>
      <c r="D221" s="69">
        <v>1</v>
      </c>
      <c r="E221" s="68">
        <v>5.1519835136527566E-4</v>
      </c>
    </row>
    <row r="222" spans="2:5" ht="15" customHeight="1">
      <c r="B222" s="120"/>
      <c r="C222" s="70" t="s">
        <v>112</v>
      </c>
      <c r="D222" s="69">
        <v>1</v>
      </c>
      <c r="E222" s="68">
        <v>5.1519835136527566E-4</v>
      </c>
    </row>
    <row r="223" spans="2:5" ht="15" customHeight="1">
      <c r="B223" s="120"/>
      <c r="C223" s="70" t="s">
        <v>104</v>
      </c>
      <c r="D223" s="69">
        <v>1</v>
      </c>
      <c r="E223" s="68">
        <v>5.1519835136527566E-4</v>
      </c>
    </row>
    <row r="224" spans="2:5" ht="15" customHeight="1">
      <c r="B224" s="120"/>
      <c r="C224" s="70" t="s">
        <v>160</v>
      </c>
      <c r="D224" s="69">
        <v>1</v>
      </c>
      <c r="E224" s="68">
        <v>5.1519835136527566E-4</v>
      </c>
    </row>
    <row r="225" spans="2:5" ht="15" customHeight="1">
      <c r="B225" s="120"/>
      <c r="C225" s="70" t="s">
        <v>172</v>
      </c>
      <c r="D225" s="69">
        <v>10</v>
      </c>
      <c r="E225" s="68">
        <v>5.1519835136527563E-3</v>
      </c>
    </row>
    <row r="226" spans="2:5" ht="15" customHeight="1">
      <c r="B226" s="120"/>
      <c r="C226" s="70" t="s">
        <v>133</v>
      </c>
      <c r="D226" s="69">
        <v>1</v>
      </c>
      <c r="E226" s="68">
        <v>5.1519835136527566E-4</v>
      </c>
    </row>
    <row r="227" spans="2:5" ht="15" customHeight="1">
      <c r="B227" s="120"/>
      <c r="C227" s="70" t="s">
        <v>152</v>
      </c>
      <c r="D227" s="69">
        <v>1</v>
      </c>
      <c r="E227" s="68">
        <v>5.1519835136527566E-4</v>
      </c>
    </row>
    <row r="228" spans="2:5" ht="15" customHeight="1">
      <c r="B228" s="121"/>
      <c r="C228" s="67" t="s">
        <v>20</v>
      </c>
      <c r="D228" s="66">
        <v>16</v>
      </c>
      <c r="E228" s="65">
        <v>8.2431736218444105E-3</v>
      </c>
    </row>
    <row r="229" spans="2:5" ht="15" customHeight="1">
      <c r="B229" s="119" t="s">
        <v>44</v>
      </c>
      <c r="C229" s="70" t="s">
        <v>129</v>
      </c>
      <c r="D229" s="69">
        <v>1</v>
      </c>
      <c r="E229" s="68">
        <v>5.1519835136527566E-4</v>
      </c>
    </row>
    <row r="230" spans="2:5" ht="15" customHeight="1">
      <c r="B230" s="120"/>
      <c r="C230" s="70" t="s">
        <v>172</v>
      </c>
      <c r="D230" s="69">
        <v>8</v>
      </c>
      <c r="E230" s="68">
        <v>4.1215868109222053E-3</v>
      </c>
    </row>
    <row r="231" spans="2:5" ht="15" customHeight="1">
      <c r="B231" s="120"/>
      <c r="C231" s="70" t="s">
        <v>167</v>
      </c>
      <c r="D231" s="69">
        <v>1</v>
      </c>
      <c r="E231" s="68">
        <v>5.1519835136527566E-4</v>
      </c>
    </row>
    <row r="232" spans="2:5" ht="15" customHeight="1">
      <c r="B232" s="120"/>
      <c r="C232" s="70" t="s">
        <v>266</v>
      </c>
      <c r="D232" s="69">
        <v>1</v>
      </c>
      <c r="E232" s="68">
        <v>5.1519835136527566E-4</v>
      </c>
    </row>
    <row r="233" spans="2:5" ht="15" customHeight="1">
      <c r="B233" s="120"/>
      <c r="C233" s="70" t="s">
        <v>146</v>
      </c>
      <c r="D233" s="69">
        <v>1</v>
      </c>
      <c r="E233" s="68">
        <v>5.1519835136527566E-4</v>
      </c>
    </row>
    <row r="234" spans="2:5" ht="15" customHeight="1">
      <c r="B234" s="120"/>
      <c r="C234" s="70" t="s">
        <v>243</v>
      </c>
      <c r="D234" s="69">
        <v>1</v>
      </c>
      <c r="E234" s="68">
        <v>5.1519835136527566E-4</v>
      </c>
    </row>
    <row r="235" spans="2:5" ht="15" customHeight="1">
      <c r="B235" s="120"/>
      <c r="C235" s="70" t="s">
        <v>155</v>
      </c>
      <c r="D235" s="69">
        <v>1</v>
      </c>
      <c r="E235" s="68">
        <v>5.1519835136527566E-4</v>
      </c>
    </row>
    <row r="236" spans="2:5" ht="15" customHeight="1">
      <c r="B236" s="120"/>
      <c r="C236" s="70" t="s">
        <v>152</v>
      </c>
      <c r="D236" s="69">
        <v>2</v>
      </c>
      <c r="E236" s="68">
        <v>1.0303967027305513E-3</v>
      </c>
    </row>
    <row r="237" spans="2:5" ht="15" customHeight="1">
      <c r="B237" s="121"/>
      <c r="C237" s="67" t="s">
        <v>20</v>
      </c>
      <c r="D237" s="66">
        <v>16</v>
      </c>
      <c r="E237" s="65">
        <v>8.2431736218444105E-3</v>
      </c>
    </row>
    <row r="238" spans="2:5" ht="15" customHeight="1">
      <c r="B238" s="119" t="s">
        <v>37</v>
      </c>
      <c r="C238" s="70" t="s">
        <v>172</v>
      </c>
      <c r="D238" s="69">
        <v>1</v>
      </c>
      <c r="E238" s="68">
        <v>5.1519835136527566E-4</v>
      </c>
    </row>
    <row r="239" spans="2:5" ht="15" customHeight="1">
      <c r="B239" s="120"/>
      <c r="C239" s="70" t="s">
        <v>260</v>
      </c>
      <c r="D239" s="69">
        <v>1</v>
      </c>
      <c r="E239" s="68">
        <v>5.1519835136527566E-4</v>
      </c>
    </row>
    <row r="240" spans="2:5" ht="15" customHeight="1">
      <c r="B240" s="121"/>
      <c r="C240" s="67" t="s">
        <v>20</v>
      </c>
      <c r="D240" s="66">
        <v>2</v>
      </c>
      <c r="E240" s="65">
        <v>1.0303967027305513E-3</v>
      </c>
    </row>
    <row r="241" spans="2:5" ht="15" customHeight="1">
      <c r="B241" s="119" t="s">
        <v>52</v>
      </c>
      <c r="C241" s="70" t="s">
        <v>165</v>
      </c>
      <c r="D241" s="69">
        <v>3</v>
      </c>
      <c r="E241" s="68">
        <v>1.5455950540958269E-3</v>
      </c>
    </row>
    <row r="242" spans="2:5" ht="15" customHeight="1">
      <c r="B242" s="120"/>
      <c r="C242" s="70" t="s">
        <v>125</v>
      </c>
      <c r="D242" s="69">
        <v>1</v>
      </c>
      <c r="E242" s="68">
        <v>5.1519835136527566E-4</v>
      </c>
    </row>
    <row r="243" spans="2:5" ht="15" customHeight="1">
      <c r="B243" s="120"/>
      <c r="C243" s="70" t="s">
        <v>149</v>
      </c>
      <c r="D243" s="69">
        <v>6</v>
      </c>
      <c r="E243" s="68">
        <v>3.0911901081916537E-3</v>
      </c>
    </row>
    <row r="244" spans="2:5" ht="15" customHeight="1">
      <c r="B244" s="120"/>
      <c r="C244" s="70" t="s">
        <v>154</v>
      </c>
      <c r="D244" s="69">
        <v>1</v>
      </c>
      <c r="E244" s="68">
        <v>5.1519835136527566E-4</v>
      </c>
    </row>
    <row r="245" spans="2:5" ht="15" customHeight="1">
      <c r="B245" s="120"/>
      <c r="C245" s="70" t="s">
        <v>157</v>
      </c>
      <c r="D245" s="69">
        <v>5</v>
      </c>
      <c r="E245" s="68">
        <v>2.5759917568263782E-3</v>
      </c>
    </row>
    <row r="246" spans="2:5" ht="15" customHeight="1">
      <c r="B246" s="120"/>
      <c r="C246" s="70" t="s">
        <v>163</v>
      </c>
      <c r="D246" s="69">
        <v>8</v>
      </c>
      <c r="E246" s="68">
        <v>4.1215868109222053E-3</v>
      </c>
    </row>
    <row r="247" spans="2:5" ht="15" customHeight="1">
      <c r="B247" s="120"/>
      <c r="C247" s="70" t="s">
        <v>172</v>
      </c>
      <c r="D247" s="69">
        <v>5</v>
      </c>
      <c r="E247" s="68">
        <v>2.5759917568263782E-3</v>
      </c>
    </row>
    <row r="248" spans="2:5" ht="15" customHeight="1">
      <c r="B248" s="120"/>
      <c r="C248" s="70" t="s">
        <v>171</v>
      </c>
      <c r="D248" s="69">
        <v>42</v>
      </c>
      <c r="E248" s="68">
        <v>2.1638330757341576E-2</v>
      </c>
    </row>
    <row r="249" spans="2:5" ht="15" customHeight="1">
      <c r="B249" s="120"/>
      <c r="C249" s="70" t="s">
        <v>169</v>
      </c>
      <c r="D249" s="69">
        <v>1</v>
      </c>
      <c r="E249" s="68">
        <v>5.1519835136527566E-4</v>
      </c>
    </row>
    <row r="250" spans="2:5" ht="15" customHeight="1">
      <c r="B250" s="120"/>
      <c r="C250" s="70" t="s">
        <v>128</v>
      </c>
      <c r="D250" s="69">
        <v>1</v>
      </c>
      <c r="E250" s="68">
        <v>5.1519835136527566E-4</v>
      </c>
    </row>
    <row r="251" spans="2:5" ht="15" customHeight="1">
      <c r="B251" s="120"/>
      <c r="C251" s="70" t="s">
        <v>146</v>
      </c>
      <c r="D251" s="69">
        <v>1</v>
      </c>
      <c r="E251" s="68">
        <v>5.1519835136527566E-4</v>
      </c>
    </row>
    <row r="252" spans="2:5" ht="15" customHeight="1">
      <c r="B252" s="120"/>
      <c r="C252" s="70" t="s">
        <v>156</v>
      </c>
      <c r="D252" s="69">
        <v>1</v>
      </c>
      <c r="E252" s="68">
        <v>5.1519835136527566E-4</v>
      </c>
    </row>
    <row r="253" spans="2:5" ht="15" customHeight="1">
      <c r="B253" s="120"/>
      <c r="C253" s="70" t="s">
        <v>168</v>
      </c>
      <c r="D253" s="69">
        <v>3</v>
      </c>
      <c r="E253" s="68">
        <v>1.5455950540958269E-3</v>
      </c>
    </row>
    <row r="254" spans="2:5" ht="15" customHeight="1">
      <c r="B254" s="120"/>
      <c r="C254" s="70" t="s">
        <v>139</v>
      </c>
      <c r="D254" s="69">
        <v>2</v>
      </c>
      <c r="E254" s="68">
        <v>1.0303967027305513E-3</v>
      </c>
    </row>
    <row r="255" spans="2:5" ht="15" customHeight="1">
      <c r="B255" s="120"/>
      <c r="C255" s="70" t="s">
        <v>166</v>
      </c>
      <c r="D255" s="69">
        <v>8</v>
      </c>
      <c r="E255" s="68">
        <v>4.1215868109222053E-3</v>
      </c>
    </row>
    <row r="256" spans="2:5" ht="15" customHeight="1">
      <c r="B256" s="120"/>
      <c r="C256" s="70" t="s">
        <v>140</v>
      </c>
      <c r="D256" s="69">
        <v>1</v>
      </c>
      <c r="E256" s="68">
        <v>5.1519835136527566E-4</v>
      </c>
    </row>
    <row r="257" spans="2:5" ht="15" customHeight="1">
      <c r="B257" s="120"/>
      <c r="C257" s="70" t="s">
        <v>155</v>
      </c>
      <c r="D257" s="69">
        <v>1</v>
      </c>
      <c r="E257" s="68">
        <v>5.1519835136527566E-4</v>
      </c>
    </row>
    <row r="258" spans="2:5" ht="15" customHeight="1">
      <c r="B258" s="120"/>
      <c r="C258" s="70" t="s">
        <v>161</v>
      </c>
      <c r="D258" s="69">
        <v>3</v>
      </c>
      <c r="E258" s="68">
        <v>1.5455950540958269E-3</v>
      </c>
    </row>
    <row r="259" spans="2:5" ht="15" customHeight="1">
      <c r="B259" s="120"/>
      <c r="C259" s="70" t="s">
        <v>147</v>
      </c>
      <c r="D259" s="69">
        <v>1</v>
      </c>
      <c r="E259" s="68">
        <v>5.1519835136527566E-4</v>
      </c>
    </row>
    <row r="260" spans="2:5" ht="15" customHeight="1">
      <c r="B260" s="121"/>
      <c r="C260" s="67" t="s">
        <v>20</v>
      </c>
      <c r="D260" s="66">
        <v>94</v>
      </c>
      <c r="E260" s="65">
        <v>4.8428645028335909E-2</v>
      </c>
    </row>
    <row r="261" spans="2:5" ht="15" customHeight="1">
      <c r="B261" s="119" t="s">
        <v>24</v>
      </c>
      <c r="C261" s="70" t="s">
        <v>172</v>
      </c>
      <c r="D261" s="69">
        <v>2</v>
      </c>
      <c r="E261" s="68">
        <v>1.0303967027305513E-3</v>
      </c>
    </row>
    <row r="262" spans="2:5" ht="15" customHeight="1">
      <c r="B262" s="121"/>
      <c r="C262" s="67" t="s">
        <v>20</v>
      </c>
      <c r="D262" s="66">
        <v>2</v>
      </c>
      <c r="E262" s="65">
        <v>1.0303967027305513E-3</v>
      </c>
    </row>
    <row r="263" spans="2:5" ht="15" customHeight="1">
      <c r="B263" s="119" t="s">
        <v>250</v>
      </c>
      <c r="C263" s="70" t="s">
        <v>172</v>
      </c>
      <c r="D263" s="69">
        <v>1</v>
      </c>
      <c r="E263" s="68">
        <v>5.1519835136527566E-4</v>
      </c>
    </row>
    <row r="264" spans="2:5" ht="15" customHeight="1">
      <c r="B264" s="121"/>
      <c r="C264" s="67" t="s">
        <v>20</v>
      </c>
      <c r="D264" s="66">
        <v>1</v>
      </c>
      <c r="E264" s="65">
        <v>5.1519835136527566E-4</v>
      </c>
    </row>
    <row r="265" spans="2:5" ht="15" customHeight="1">
      <c r="B265" s="119" t="s">
        <v>32</v>
      </c>
      <c r="C265" s="70" t="s">
        <v>109</v>
      </c>
      <c r="D265" s="69">
        <v>1</v>
      </c>
      <c r="E265" s="68">
        <v>5.1519835136527566E-4</v>
      </c>
    </row>
    <row r="266" spans="2:5" ht="15" customHeight="1">
      <c r="B266" s="120"/>
      <c r="C266" s="70" t="s">
        <v>172</v>
      </c>
      <c r="D266" s="69">
        <v>1</v>
      </c>
      <c r="E266" s="68">
        <v>5.1519835136527566E-4</v>
      </c>
    </row>
    <row r="267" spans="2:5" ht="15" customHeight="1">
      <c r="B267" s="120"/>
      <c r="C267" s="70" t="s">
        <v>243</v>
      </c>
      <c r="D267" s="69">
        <v>1</v>
      </c>
      <c r="E267" s="68">
        <v>5.1519835136527566E-4</v>
      </c>
    </row>
    <row r="268" spans="2:5" ht="15" customHeight="1">
      <c r="B268" s="121"/>
      <c r="C268" s="67" t="s">
        <v>20</v>
      </c>
      <c r="D268" s="66">
        <v>3</v>
      </c>
      <c r="E268" s="65">
        <v>1.5455950540958269E-3</v>
      </c>
    </row>
    <row r="269" spans="2:5" ht="15" customHeight="1">
      <c r="B269" s="119" t="s">
        <v>35</v>
      </c>
      <c r="C269" s="70" t="s">
        <v>172</v>
      </c>
      <c r="D269" s="69">
        <v>3</v>
      </c>
      <c r="E269" s="68">
        <v>1.5455950540958269E-3</v>
      </c>
    </row>
    <row r="270" spans="2:5" ht="15" customHeight="1">
      <c r="B270" s="121"/>
      <c r="C270" s="67" t="s">
        <v>20</v>
      </c>
      <c r="D270" s="66">
        <v>3</v>
      </c>
      <c r="E270" s="65">
        <v>1.5455950540958269E-3</v>
      </c>
    </row>
    <row r="271" spans="2:5" ht="15" customHeight="1">
      <c r="B271" s="119" t="s">
        <v>51</v>
      </c>
      <c r="C271" s="70" t="s">
        <v>135</v>
      </c>
      <c r="D271" s="69">
        <v>1</v>
      </c>
      <c r="E271" s="68">
        <v>5.1519835136527566E-4</v>
      </c>
    </row>
    <row r="272" spans="2:5" ht="15" customHeight="1">
      <c r="B272" s="120"/>
      <c r="C272" s="70" t="s">
        <v>130</v>
      </c>
      <c r="D272" s="69">
        <v>2</v>
      </c>
      <c r="E272" s="68">
        <v>1.0303967027305513E-3</v>
      </c>
    </row>
    <row r="273" spans="2:5" ht="15" customHeight="1">
      <c r="B273" s="120"/>
      <c r="C273" s="70" t="s">
        <v>159</v>
      </c>
      <c r="D273" s="69">
        <v>3</v>
      </c>
      <c r="E273" s="68">
        <v>1.5455950540958269E-3</v>
      </c>
    </row>
    <row r="274" spans="2:5" ht="15" customHeight="1">
      <c r="B274" s="120"/>
      <c r="C274" s="70" t="s">
        <v>151</v>
      </c>
      <c r="D274" s="69">
        <v>5</v>
      </c>
      <c r="E274" s="68">
        <v>2.5759917568263782E-3</v>
      </c>
    </row>
    <row r="275" spans="2:5" ht="15" customHeight="1">
      <c r="B275" s="120"/>
      <c r="C275" s="70" t="s">
        <v>110</v>
      </c>
      <c r="D275" s="69">
        <v>1</v>
      </c>
      <c r="E275" s="68">
        <v>5.1519835136527566E-4</v>
      </c>
    </row>
    <row r="276" spans="2:5" ht="15" customHeight="1">
      <c r="B276" s="120"/>
      <c r="C276" s="70" t="s">
        <v>262</v>
      </c>
      <c r="D276" s="69">
        <v>1</v>
      </c>
      <c r="E276" s="68">
        <v>5.1519835136527566E-4</v>
      </c>
    </row>
    <row r="277" spans="2:5" ht="15" customHeight="1">
      <c r="B277" s="120"/>
      <c r="C277" s="70" t="s">
        <v>108</v>
      </c>
      <c r="D277" s="69">
        <v>1</v>
      </c>
      <c r="E277" s="68">
        <v>5.1519835136527566E-4</v>
      </c>
    </row>
    <row r="278" spans="2:5" ht="15" customHeight="1">
      <c r="B278" s="120"/>
      <c r="C278" s="70" t="s">
        <v>120</v>
      </c>
      <c r="D278" s="69">
        <v>1</v>
      </c>
      <c r="E278" s="68">
        <v>5.1519835136527566E-4</v>
      </c>
    </row>
    <row r="279" spans="2:5" ht="15" customHeight="1">
      <c r="B279" s="120"/>
      <c r="C279" s="70" t="s">
        <v>158</v>
      </c>
      <c r="D279" s="69">
        <v>20</v>
      </c>
      <c r="E279" s="68">
        <v>1.0303967027305513E-2</v>
      </c>
    </row>
    <row r="280" spans="2:5" ht="15" customHeight="1">
      <c r="B280" s="120"/>
      <c r="C280" s="70" t="s">
        <v>148</v>
      </c>
      <c r="D280" s="69">
        <v>1</v>
      </c>
      <c r="E280" s="68">
        <v>5.1519835136527566E-4</v>
      </c>
    </row>
    <row r="281" spans="2:5" ht="15" customHeight="1">
      <c r="B281" s="120"/>
      <c r="C281" s="70" t="s">
        <v>160</v>
      </c>
      <c r="D281" s="69">
        <v>1</v>
      </c>
      <c r="E281" s="68">
        <v>5.1519835136527566E-4</v>
      </c>
    </row>
    <row r="282" spans="2:5" ht="15" customHeight="1">
      <c r="B282" s="120"/>
      <c r="C282" s="70" t="s">
        <v>150</v>
      </c>
      <c r="D282" s="69">
        <v>1</v>
      </c>
      <c r="E282" s="68">
        <v>5.1519835136527566E-4</v>
      </c>
    </row>
    <row r="283" spans="2:5" ht="15" customHeight="1">
      <c r="B283" s="120"/>
      <c r="C283" s="70" t="s">
        <v>172</v>
      </c>
      <c r="D283" s="69">
        <v>39</v>
      </c>
      <c r="E283" s="68">
        <v>2.009273570324575E-2</v>
      </c>
    </row>
    <row r="284" spans="2:5" ht="15" customHeight="1">
      <c r="B284" s="120"/>
      <c r="C284" s="70" t="s">
        <v>167</v>
      </c>
      <c r="D284" s="69">
        <v>5</v>
      </c>
      <c r="E284" s="68">
        <v>2.5759917568263782E-3</v>
      </c>
    </row>
    <row r="285" spans="2:5" ht="15" customHeight="1">
      <c r="B285" s="120"/>
      <c r="C285" s="70" t="s">
        <v>131</v>
      </c>
      <c r="D285" s="69">
        <v>1</v>
      </c>
      <c r="E285" s="68">
        <v>5.1519835136527566E-4</v>
      </c>
    </row>
    <row r="286" spans="2:5" ht="15" customHeight="1">
      <c r="B286" s="120"/>
      <c r="C286" s="70" t="s">
        <v>171</v>
      </c>
      <c r="D286" s="69">
        <v>1</v>
      </c>
      <c r="E286" s="68">
        <v>5.1519835136527566E-4</v>
      </c>
    </row>
    <row r="287" spans="2:5" ht="15" customHeight="1">
      <c r="B287" s="120"/>
      <c r="C287" s="70" t="s">
        <v>260</v>
      </c>
      <c r="D287" s="69">
        <v>2</v>
      </c>
      <c r="E287" s="68">
        <v>1.0303967027305513E-3</v>
      </c>
    </row>
    <row r="288" spans="2:5" ht="15" customHeight="1">
      <c r="B288" s="120"/>
      <c r="C288" s="70" t="s">
        <v>169</v>
      </c>
      <c r="D288" s="69">
        <v>2</v>
      </c>
      <c r="E288" s="68">
        <v>1.0303967027305513E-3</v>
      </c>
    </row>
    <row r="289" spans="2:5" ht="15" customHeight="1">
      <c r="B289" s="120"/>
      <c r="C289" s="70" t="s">
        <v>142</v>
      </c>
      <c r="D289" s="69">
        <v>3</v>
      </c>
      <c r="E289" s="68">
        <v>1.5455950540958269E-3</v>
      </c>
    </row>
    <row r="290" spans="2:5" ht="15" customHeight="1">
      <c r="B290" s="120"/>
      <c r="C290" s="70" t="s">
        <v>103</v>
      </c>
      <c r="D290" s="69">
        <v>1</v>
      </c>
      <c r="E290" s="68">
        <v>5.1519835136527566E-4</v>
      </c>
    </row>
    <row r="291" spans="2:5" ht="15" customHeight="1">
      <c r="B291" s="120"/>
      <c r="C291" s="70" t="s">
        <v>156</v>
      </c>
      <c r="D291" s="69">
        <v>1</v>
      </c>
      <c r="E291" s="68">
        <v>5.1519835136527566E-4</v>
      </c>
    </row>
    <row r="292" spans="2:5" ht="15" customHeight="1">
      <c r="B292" s="120"/>
      <c r="C292" s="70" t="s">
        <v>116</v>
      </c>
      <c r="D292" s="69">
        <v>1</v>
      </c>
      <c r="E292" s="68">
        <v>5.1519835136527566E-4</v>
      </c>
    </row>
    <row r="293" spans="2:5" ht="15" customHeight="1">
      <c r="B293" s="120"/>
      <c r="C293" s="70" t="s">
        <v>145</v>
      </c>
      <c r="D293" s="69">
        <v>3</v>
      </c>
      <c r="E293" s="68">
        <v>1.5455950540958269E-3</v>
      </c>
    </row>
    <row r="294" spans="2:5" ht="15" customHeight="1">
      <c r="B294" s="120"/>
      <c r="C294" s="70" t="s">
        <v>136</v>
      </c>
      <c r="D294" s="69">
        <v>1</v>
      </c>
      <c r="E294" s="68">
        <v>5.1519835136527566E-4</v>
      </c>
    </row>
    <row r="295" spans="2:5" ht="15" customHeight="1">
      <c r="B295" s="120"/>
      <c r="C295" s="70" t="s">
        <v>138</v>
      </c>
      <c r="D295" s="69">
        <v>4</v>
      </c>
      <c r="E295" s="68">
        <v>2.0607934054611026E-3</v>
      </c>
    </row>
    <row r="296" spans="2:5" ht="15" customHeight="1">
      <c r="B296" s="120"/>
      <c r="C296" s="70" t="s">
        <v>166</v>
      </c>
      <c r="D296" s="69">
        <v>2</v>
      </c>
      <c r="E296" s="68">
        <v>1.0303967027305513E-3</v>
      </c>
    </row>
    <row r="297" spans="2:5" ht="15" customHeight="1">
      <c r="B297" s="120"/>
      <c r="C297" s="70" t="s">
        <v>267</v>
      </c>
      <c r="D297" s="69">
        <v>1</v>
      </c>
      <c r="E297" s="68">
        <v>5.1519835136527566E-4</v>
      </c>
    </row>
    <row r="298" spans="2:5" ht="15" customHeight="1">
      <c r="B298" s="120"/>
      <c r="C298" s="70" t="s">
        <v>133</v>
      </c>
      <c r="D298" s="69">
        <v>3</v>
      </c>
      <c r="E298" s="68">
        <v>1.5455950540958269E-3</v>
      </c>
    </row>
    <row r="299" spans="2:5" ht="15" customHeight="1">
      <c r="B299" s="120"/>
      <c r="C299" s="70" t="s">
        <v>155</v>
      </c>
      <c r="D299" s="69">
        <v>5</v>
      </c>
      <c r="E299" s="68">
        <v>2.5759917568263782E-3</v>
      </c>
    </row>
    <row r="300" spans="2:5" ht="15" customHeight="1">
      <c r="B300" s="120"/>
      <c r="C300" s="70" t="s">
        <v>147</v>
      </c>
      <c r="D300" s="69">
        <v>1</v>
      </c>
      <c r="E300" s="68">
        <v>5.1519835136527566E-4</v>
      </c>
    </row>
    <row r="301" spans="2:5" ht="15" customHeight="1">
      <c r="B301" s="120"/>
      <c r="C301" s="70" t="s">
        <v>247</v>
      </c>
      <c r="D301" s="69">
        <v>1</v>
      </c>
      <c r="E301" s="68">
        <v>5.1519835136527566E-4</v>
      </c>
    </row>
    <row r="302" spans="2:5" ht="15" customHeight="1">
      <c r="B302" s="120"/>
      <c r="C302" s="70" t="s">
        <v>144</v>
      </c>
      <c r="D302" s="69">
        <v>1</v>
      </c>
      <c r="E302" s="68">
        <v>5.1519835136527566E-4</v>
      </c>
    </row>
    <row r="303" spans="2:5" ht="15" customHeight="1">
      <c r="B303" s="120"/>
      <c r="C303" s="70" t="s">
        <v>127</v>
      </c>
      <c r="D303" s="69">
        <v>1</v>
      </c>
      <c r="E303" s="68">
        <v>5.1519835136527566E-4</v>
      </c>
    </row>
    <row r="304" spans="2:5" ht="15" customHeight="1">
      <c r="B304" s="121"/>
      <c r="C304" s="67" t="s">
        <v>20</v>
      </c>
      <c r="D304" s="66">
        <v>117</v>
      </c>
      <c r="E304" s="65">
        <v>6.0278207109737247E-2</v>
      </c>
    </row>
    <row r="305" spans="2:5" ht="15" customHeight="1">
      <c r="B305" s="119" t="s">
        <v>45</v>
      </c>
      <c r="C305" s="70" t="s">
        <v>159</v>
      </c>
      <c r="D305" s="69">
        <v>8</v>
      </c>
      <c r="E305" s="68">
        <v>4.1215868109222053E-3</v>
      </c>
    </row>
    <row r="306" spans="2:5" ht="15" customHeight="1">
      <c r="B306" s="120"/>
      <c r="C306" s="70" t="s">
        <v>164</v>
      </c>
      <c r="D306" s="69">
        <v>2</v>
      </c>
      <c r="E306" s="68">
        <v>1.0303967027305513E-3</v>
      </c>
    </row>
    <row r="307" spans="2:5" ht="15" customHeight="1">
      <c r="B307" s="120"/>
      <c r="C307" s="70" t="s">
        <v>121</v>
      </c>
      <c r="D307" s="69">
        <v>1</v>
      </c>
      <c r="E307" s="68">
        <v>5.1519835136527566E-4</v>
      </c>
    </row>
    <row r="308" spans="2:5" ht="15" customHeight="1">
      <c r="B308" s="120"/>
      <c r="C308" s="70" t="s">
        <v>160</v>
      </c>
      <c r="D308" s="69">
        <v>1</v>
      </c>
      <c r="E308" s="68">
        <v>5.1519835136527566E-4</v>
      </c>
    </row>
    <row r="309" spans="2:5" ht="15" customHeight="1">
      <c r="B309" s="120"/>
      <c r="C309" s="70" t="s">
        <v>172</v>
      </c>
      <c r="D309" s="69">
        <v>8</v>
      </c>
      <c r="E309" s="68">
        <v>4.1215868109222053E-3</v>
      </c>
    </row>
    <row r="310" spans="2:5" ht="15" customHeight="1">
      <c r="B310" s="120"/>
      <c r="C310" s="70" t="s">
        <v>167</v>
      </c>
      <c r="D310" s="69">
        <v>1</v>
      </c>
      <c r="E310" s="68">
        <v>5.1519835136527566E-4</v>
      </c>
    </row>
    <row r="311" spans="2:5" ht="15" customHeight="1">
      <c r="B311" s="120"/>
      <c r="C311" s="70" t="s">
        <v>170</v>
      </c>
      <c r="D311" s="69">
        <v>1</v>
      </c>
      <c r="E311" s="68">
        <v>5.1519835136527566E-4</v>
      </c>
    </row>
    <row r="312" spans="2:5" ht="15" customHeight="1">
      <c r="B312" s="120"/>
      <c r="C312" s="70" t="s">
        <v>171</v>
      </c>
      <c r="D312" s="69">
        <v>1</v>
      </c>
      <c r="E312" s="68">
        <v>5.1519835136527566E-4</v>
      </c>
    </row>
    <row r="313" spans="2:5" ht="15" customHeight="1">
      <c r="B313" s="120"/>
      <c r="C313" s="70" t="s">
        <v>142</v>
      </c>
      <c r="D313" s="69">
        <v>2</v>
      </c>
      <c r="E313" s="68">
        <v>1.0303967027305513E-3</v>
      </c>
    </row>
    <row r="314" spans="2:5" ht="15" customHeight="1">
      <c r="B314" s="120"/>
      <c r="C314" s="70" t="s">
        <v>245</v>
      </c>
      <c r="D314" s="69">
        <v>1</v>
      </c>
      <c r="E314" s="68">
        <v>5.1519835136527566E-4</v>
      </c>
    </row>
    <row r="315" spans="2:5" ht="15" customHeight="1">
      <c r="B315" s="120"/>
      <c r="C315" s="70" t="s">
        <v>102</v>
      </c>
      <c r="D315" s="69">
        <v>1</v>
      </c>
      <c r="E315" s="68">
        <v>5.1519835136527566E-4</v>
      </c>
    </row>
    <row r="316" spans="2:5" ht="15" customHeight="1">
      <c r="B316" s="120"/>
      <c r="C316" s="70" t="s">
        <v>136</v>
      </c>
      <c r="D316" s="69">
        <v>2</v>
      </c>
      <c r="E316" s="68">
        <v>1.0303967027305513E-3</v>
      </c>
    </row>
    <row r="317" spans="2:5" ht="15" customHeight="1">
      <c r="B317" s="120"/>
      <c r="C317" s="70" t="s">
        <v>166</v>
      </c>
      <c r="D317" s="69">
        <v>1</v>
      </c>
      <c r="E317" s="68">
        <v>5.1519835136527566E-4</v>
      </c>
    </row>
    <row r="318" spans="2:5" ht="15" customHeight="1">
      <c r="B318" s="120"/>
      <c r="C318" s="70" t="s">
        <v>161</v>
      </c>
      <c r="D318" s="69">
        <v>1</v>
      </c>
      <c r="E318" s="68">
        <v>5.1519835136527566E-4</v>
      </c>
    </row>
    <row r="319" spans="2:5" ht="15" customHeight="1">
      <c r="B319" s="120"/>
      <c r="C319" s="70" t="s">
        <v>144</v>
      </c>
      <c r="D319" s="69">
        <v>1</v>
      </c>
      <c r="E319" s="68">
        <v>5.1519835136527566E-4</v>
      </c>
    </row>
    <row r="320" spans="2:5" ht="15" customHeight="1">
      <c r="B320" s="121"/>
      <c r="C320" s="67" t="s">
        <v>20</v>
      </c>
      <c r="D320" s="66">
        <v>32</v>
      </c>
      <c r="E320" s="65">
        <v>1.6486347243688821E-2</v>
      </c>
    </row>
    <row r="321" spans="2:5" ht="15" customHeight="1">
      <c r="B321" s="119" t="s">
        <v>249</v>
      </c>
      <c r="C321" s="70" t="s">
        <v>134</v>
      </c>
      <c r="D321" s="69">
        <v>1</v>
      </c>
      <c r="E321" s="68">
        <v>5.1519835136527566E-4</v>
      </c>
    </row>
    <row r="322" spans="2:5" ht="15" customHeight="1">
      <c r="B322" s="120"/>
      <c r="C322" s="70" t="s">
        <v>172</v>
      </c>
      <c r="D322" s="69">
        <v>1</v>
      </c>
      <c r="E322" s="68">
        <v>5.1519835136527566E-4</v>
      </c>
    </row>
    <row r="323" spans="2:5" ht="15" customHeight="1">
      <c r="B323" s="120"/>
      <c r="C323" s="70" t="s">
        <v>167</v>
      </c>
      <c r="D323" s="69">
        <v>1</v>
      </c>
      <c r="E323" s="68">
        <v>5.1519835136527566E-4</v>
      </c>
    </row>
    <row r="324" spans="2:5" ht="15" customHeight="1">
      <c r="B324" s="120"/>
      <c r="C324" s="70" t="s">
        <v>171</v>
      </c>
      <c r="D324" s="69">
        <v>1</v>
      </c>
      <c r="E324" s="68">
        <v>5.1519835136527566E-4</v>
      </c>
    </row>
    <row r="325" spans="2:5" ht="15" customHeight="1">
      <c r="B325" s="120"/>
      <c r="C325" s="70" t="s">
        <v>138</v>
      </c>
      <c r="D325" s="69">
        <v>1</v>
      </c>
      <c r="E325" s="68">
        <v>5.1519835136527566E-4</v>
      </c>
    </row>
    <row r="326" spans="2:5" ht="15" customHeight="1">
      <c r="B326" s="120"/>
      <c r="C326" s="70" t="s">
        <v>269</v>
      </c>
      <c r="D326" s="69">
        <v>1</v>
      </c>
      <c r="E326" s="68">
        <v>5.1519835136527566E-4</v>
      </c>
    </row>
    <row r="327" spans="2:5" ht="15" customHeight="1">
      <c r="B327" s="121"/>
      <c r="C327" s="67" t="s">
        <v>20</v>
      </c>
      <c r="D327" s="66">
        <v>6</v>
      </c>
      <c r="E327" s="65">
        <v>3.0911901081916537E-3</v>
      </c>
    </row>
    <row r="328" spans="2:5" ht="15" customHeight="1">
      <c r="B328" s="119" t="s">
        <v>48</v>
      </c>
      <c r="C328" s="70" t="s">
        <v>159</v>
      </c>
      <c r="D328" s="69">
        <v>2</v>
      </c>
      <c r="E328" s="68">
        <v>1.0303967027305513E-3</v>
      </c>
    </row>
    <row r="329" spans="2:5" ht="15" customHeight="1">
      <c r="B329" s="120"/>
      <c r="C329" s="70" t="s">
        <v>111</v>
      </c>
      <c r="D329" s="69">
        <v>1</v>
      </c>
      <c r="E329" s="68">
        <v>5.1519835136527566E-4</v>
      </c>
    </row>
    <row r="330" spans="2:5" ht="15" customHeight="1">
      <c r="B330" s="120"/>
      <c r="C330" s="70" t="s">
        <v>154</v>
      </c>
      <c r="D330" s="69">
        <v>2</v>
      </c>
      <c r="E330" s="68">
        <v>1.0303967027305513E-3</v>
      </c>
    </row>
    <row r="331" spans="2:5" ht="15" customHeight="1">
      <c r="B331" s="120"/>
      <c r="C331" s="70" t="s">
        <v>259</v>
      </c>
      <c r="D331" s="69">
        <v>1</v>
      </c>
      <c r="E331" s="68">
        <v>5.1519835136527566E-4</v>
      </c>
    </row>
    <row r="332" spans="2:5" ht="15" customHeight="1">
      <c r="B332" s="120"/>
      <c r="C332" s="70" t="s">
        <v>129</v>
      </c>
      <c r="D332" s="69">
        <v>1</v>
      </c>
      <c r="E332" s="68">
        <v>5.1519835136527566E-4</v>
      </c>
    </row>
    <row r="333" spans="2:5" ht="15" customHeight="1">
      <c r="B333" s="120"/>
      <c r="C333" s="70" t="s">
        <v>148</v>
      </c>
      <c r="D333" s="69">
        <v>4</v>
      </c>
      <c r="E333" s="68">
        <v>2.0607934054611026E-3</v>
      </c>
    </row>
    <row r="334" spans="2:5" ht="15" customHeight="1">
      <c r="B334" s="120"/>
      <c r="C334" s="70" t="s">
        <v>163</v>
      </c>
      <c r="D334" s="69">
        <v>1</v>
      </c>
      <c r="E334" s="68">
        <v>5.1519835136527566E-4</v>
      </c>
    </row>
    <row r="335" spans="2:5" ht="15" customHeight="1">
      <c r="B335" s="120"/>
      <c r="C335" s="70" t="s">
        <v>172</v>
      </c>
      <c r="D335" s="69">
        <v>6</v>
      </c>
      <c r="E335" s="68">
        <v>3.0911901081916537E-3</v>
      </c>
    </row>
    <row r="336" spans="2:5" ht="15" customHeight="1">
      <c r="B336" s="120"/>
      <c r="C336" s="70" t="s">
        <v>171</v>
      </c>
      <c r="D336" s="69">
        <v>3</v>
      </c>
      <c r="E336" s="68">
        <v>1.5455950540958269E-3</v>
      </c>
    </row>
    <row r="337" spans="2:5" ht="15" customHeight="1">
      <c r="B337" s="120"/>
      <c r="C337" s="70" t="s">
        <v>141</v>
      </c>
      <c r="D337" s="69">
        <v>1</v>
      </c>
      <c r="E337" s="68">
        <v>5.1519835136527566E-4</v>
      </c>
    </row>
    <row r="338" spans="2:5" ht="15" customHeight="1">
      <c r="B338" s="120"/>
      <c r="C338" s="70" t="s">
        <v>147</v>
      </c>
      <c r="D338" s="69">
        <v>2</v>
      </c>
      <c r="E338" s="68">
        <v>1.0303967027305513E-3</v>
      </c>
    </row>
    <row r="339" spans="2:5" ht="15" customHeight="1">
      <c r="B339" s="121"/>
      <c r="C339" s="67" t="s">
        <v>20</v>
      </c>
      <c r="D339" s="66">
        <v>24</v>
      </c>
      <c r="E339" s="65">
        <v>1.2364760432766615E-2</v>
      </c>
    </row>
    <row r="340" spans="2:5" ht="15" customHeight="1">
      <c r="B340" s="119" t="s">
        <v>27</v>
      </c>
      <c r="C340" s="70" t="s">
        <v>244</v>
      </c>
      <c r="D340" s="69">
        <v>1</v>
      </c>
      <c r="E340" s="68">
        <v>5.1519835136527566E-4</v>
      </c>
    </row>
    <row r="341" spans="2:5" ht="15" customHeight="1">
      <c r="B341" s="120"/>
      <c r="C341" s="70" t="s">
        <v>172</v>
      </c>
      <c r="D341" s="69">
        <v>4</v>
      </c>
      <c r="E341" s="68">
        <v>2.0607934054611026E-3</v>
      </c>
    </row>
    <row r="342" spans="2:5" ht="15" customHeight="1">
      <c r="B342" s="120"/>
      <c r="C342" s="70" t="s">
        <v>142</v>
      </c>
      <c r="D342" s="69">
        <v>1</v>
      </c>
      <c r="E342" s="68">
        <v>5.1519835136527566E-4</v>
      </c>
    </row>
    <row r="343" spans="2:5" ht="15" customHeight="1">
      <c r="B343" s="120"/>
      <c r="C343" s="70" t="s">
        <v>168</v>
      </c>
      <c r="D343" s="69">
        <v>2</v>
      </c>
      <c r="E343" s="68">
        <v>1.0303967027305513E-3</v>
      </c>
    </row>
    <row r="344" spans="2:5" ht="15" customHeight="1">
      <c r="B344" s="120"/>
      <c r="C344" s="70" t="s">
        <v>166</v>
      </c>
      <c r="D344" s="69">
        <v>1</v>
      </c>
      <c r="E344" s="68">
        <v>5.1519835136527566E-4</v>
      </c>
    </row>
    <row r="345" spans="2:5" ht="15" customHeight="1">
      <c r="B345" s="120"/>
      <c r="C345" s="70" t="s">
        <v>155</v>
      </c>
      <c r="D345" s="69">
        <v>1</v>
      </c>
      <c r="E345" s="68">
        <v>5.1519835136527566E-4</v>
      </c>
    </row>
    <row r="346" spans="2:5" ht="15" customHeight="1">
      <c r="B346" s="121"/>
      <c r="C346" s="67" t="s">
        <v>20</v>
      </c>
      <c r="D346" s="66">
        <v>10</v>
      </c>
      <c r="E346" s="65">
        <v>5.1519835136527563E-3</v>
      </c>
    </row>
    <row r="347" spans="2:5" ht="15" customHeight="1">
      <c r="B347" s="119" t="s">
        <v>242</v>
      </c>
      <c r="C347" s="70" t="s">
        <v>172</v>
      </c>
      <c r="D347" s="69">
        <v>2</v>
      </c>
      <c r="E347" s="68">
        <v>1.0303967027305513E-3</v>
      </c>
    </row>
    <row r="348" spans="2:5" ht="15" customHeight="1">
      <c r="B348" s="121"/>
      <c r="C348" s="67" t="s">
        <v>20</v>
      </c>
      <c r="D348" s="66">
        <v>2</v>
      </c>
      <c r="E348" s="65">
        <v>1.0303967027305513E-3</v>
      </c>
    </row>
    <row r="349" spans="2:5" ht="15" customHeight="1">
      <c r="B349" s="123" t="s">
        <v>20</v>
      </c>
      <c r="C349" s="124"/>
      <c r="D349" s="98">
        <v>1941</v>
      </c>
      <c r="E349" s="99">
        <v>1</v>
      </c>
    </row>
    <row r="350" spans="2:5" ht="15" customHeight="1">
      <c r="B350" s="64"/>
      <c r="C350" s="64"/>
      <c r="D350" s="64"/>
      <c r="E350" s="64"/>
    </row>
    <row r="351" spans="2:5" ht="15" customHeight="1">
      <c r="B351" s="85" t="s">
        <v>251</v>
      </c>
      <c r="C351" s="64"/>
      <c r="D351" s="64"/>
      <c r="E351" s="64"/>
    </row>
    <row r="352" spans="2:5" ht="15" customHeight="1">
      <c r="B352" s="87" t="s">
        <v>19</v>
      </c>
      <c r="C352" s="64"/>
      <c r="D352" s="64"/>
      <c r="E352" s="64"/>
    </row>
    <row r="353" spans="2:5" ht="15" customHeight="1">
      <c r="B353" s="86" t="s">
        <v>18</v>
      </c>
      <c r="C353" s="64"/>
      <c r="D353" s="64"/>
      <c r="E353" s="64"/>
    </row>
    <row r="354" spans="2:5" ht="15" customHeight="1">
      <c r="B354" s="85" t="s">
        <v>17</v>
      </c>
      <c r="C354" s="64"/>
      <c r="D354" s="64"/>
      <c r="E354" s="64"/>
    </row>
    <row r="355" spans="2:5" ht="15" customHeight="1">
      <c r="B355" s="85" t="s">
        <v>252</v>
      </c>
      <c r="C355" s="64"/>
      <c r="D355" s="64"/>
      <c r="E355" s="64"/>
    </row>
  </sheetData>
  <mergeCells count="40">
    <mergeCell ref="B349:C349"/>
    <mergeCell ref="B305:B320"/>
    <mergeCell ref="B321:B327"/>
    <mergeCell ref="B328:B339"/>
    <mergeCell ref="B340:B346"/>
    <mergeCell ref="B347:B348"/>
    <mergeCell ref="B261:B262"/>
    <mergeCell ref="B263:B264"/>
    <mergeCell ref="B265:B268"/>
    <mergeCell ref="B269:B270"/>
    <mergeCell ref="B271:B304"/>
    <mergeCell ref="B148:B154"/>
    <mergeCell ref="B155:B159"/>
    <mergeCell ref="B160:B161"/>
    <mergeCell ref="B162:B166"/>
    <mergeCell ref="B7:E8"/>
    <mergeCell ref="B122:B124"/>
    <mergeCell ref="B125:B126"/>
    <mergeCell ref="B127:B139"/>
    <mergeCell ref="B140:B145"/>
    <mergeCell ref="B146:B147"/>
    <mergeCell ref="B10:B16"/>
    <mergeCell ref="B17:B19"/>
    <mergeCell ref="B20:B25"/>
    <mergeCell ref="B26:B104"/>
    <mergeCell ref="B105:B121"/>
    <mergeCell ref="B167:B170"/>
    <mergeCell ref="B171:B173"/>
    <mergeCell ref="B174:B178"/>
    <mergeCell ref="B179:B183"/>
    <mergeCell ref="B184:B187"/>
    <mergeCell ref="B221:B228"/>
    <mergeCell ref="B229:B237"/>
    <mergeCell ref="B238:B240"/>
    <mergeCell ref="B241:B260"/>
    <mergeCell ref="B188:B192"/>
    <mergeCell ref="B193:B195"/>
    <mergeCell ref="B196:B214"/>
    <mergeCell ref="B215:B217"/>
    <mergeCell ref="B218:B220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451"/>
  <sheetViews>
    <sheetView showGridLines="0" zoomScaleNormal="100" zoomScaleSheetLayoutView="85" workbookViewId="0">
      <selection activeCell="G11" sqref="G11"/>
    </sheetView>
  </sheetViews>
  <sheetFormatPr baseColWidth="10" defaultColWidth="35" defaultRowHeight="15" customHeight="1"/>
  <cols>
    <col min="1" max="1" width="1" style="26" customWidth="1"/>
    <col min="2" max="2" width="22.85546875" style="27" customWidth="1"/>
    <col min="3" max="3" width="31.42578125" style="27" customWidth="1"/>
    <col min="4" max="4" width="14.28515625" style="27" customWidth="1"/>
    <col min="5" max="5" width="16.85546875" style="27" customWidth="1"/>
    <col min="6" max="16384" width="35" style="26"/>
  </cols>
  <sheetData>
    <row r="1" spans="1:5" s="35" customFormat="1" ht="12" customHeight="1">
      <c r="B1" s="39"/>
      <c r="C1" s="38"/>
      <c r="D1" s="38"/>
      <c r="E1" s="38"/>
    </row>
    <row r="2" spans="1:5" s="35" customFormat="1" ht="15" customHeight="1">
      <c r="C2" s="37"/>
    </row>
    <row r="3" spans="1:5" s="35" customFormat="1" ht="15" customHeight="1">
      <c r="C3" s="37"/>
    </row>
    <row r="4" spans="1:5" s="35" customFormat="1" ht="30" customHeight="1">
      <c r="C4" s="37"/>
      <c r="D4" s="36"/>
    </row>
    <row r="5" spans="1:5" s="35" customFormat="1" ht="15" customHeight="1">
      <c r="C5" s="37"/>
      <c r="D5" s="36"/>
    </row>
    <row r="6" spans="1:5" s="31" customFormat="1" ht="24" customHeight="1">
      <c r="B6" s="34"/>
      <c r="C6" s="33"/>
      <c r="D6" s="33"/>
      <c r="E6" s="33"/>
    </row>
    <row r="7" spans="1:5" s="31" customFormat="1" ht="26.25" customHeight="1">
      <c r="A7" s="32"/>
      <c r="B7" s="122"/>
      <c r="C7" s="122"/>
      <c r="D7" s="122"/>
      <c r="E7" s="122"/>
    </row>
    <row r="8" spans="1:5" s="31" customFormat="1" ht="33" customHeight="1">
      <c r="A8" s="32"/>
      <c r="B8" s="122"/>
      <c r="C8" s="122"/>
      <c r="D8" s="122"/>
      <c r="E8" s="122"/>
    </row>
    <row r="9" spans="1:5" s="19" customFormat="1" ht="40.5" customHeight="1">
      <c r="B9" s="28" t="s">
        <v>98</v>
      </c>
      <c r="C9" s="30" t="s">
        <v>174</v>
      </c>
      <c r="D9" s="29" t="s">
        <v>55</v>
      </c>
      <c r="E9" s="28" t="s">
        <v>54</v>
      </c>
    </row>
    <row r="10" spans="1:5" ht="15" customHeight="1">
      <c r="B10" s="119" t="s">
        <v>61</v>
      </c>
      <c r="C10" s="70" t="s">
        <v>172</v>
      </c>
      <c r="D10" s="69">
        <v>2</v>
      </c>
      <c r="E10" s="68">
        <v>1.0303967027305513E-3</v>
      </c>
    </row>
    <row r="11" spans="1:5" ht="15" customHeight="1">
      <c r="B11" s="121"/>
      <c r="C11" s="67" t="s">
        <v>20</v>
      </c>
      <c r="D11" s="66">
        <v>2</v>
      </c>
      <c r="E11" s="65">
        <v>1.0303967027305513E-3</v>
      </c>
    </row>
    <row r="12" spans="1:5" ht="15" customHeight="1">
      <c r="B12" s="119" t="s">
        <v>93</v>
      </c>
      <c r="C12" s="70" t="s">
        <v>164</v>
      </c>
      <c r="D12" s="69">
        <v>1</v>
      </c>
      <c r="E12" s="68">
        <v>5.1519835136527566E-4</v>
      </c>
    </row>
    <row r="13" spans="1:5" ht="15" customHeight="1">
      <c r="B13" s="120"/>
      <c r="C13" s="70" t="s">
        <v>160</v>
      </c>
      <c r="D13" s="69">
        <v>2</v>
      </c>
      <c r="E13" s="68">
        <v>1.0303967027305513E-3</v>
      </c>
    </row>
    <row r="14" spans="1:5" ht="15" customHeight="1">
      <c r="B14" s="120"/>
      <c r="C14" s="70" t="s">
        <v>172</v>
      </c>
      <c r="D14" s="69">
        <v>10</v>
      </c>
      <c r="E14" s="68">
        <v>5.1519835136527563E-3</v>
      </c>
    </row>
    <row r="15" spans="1:5" ht="15" customHeight="1">
      <c r="B15" s="120"/>
      <c r="C15" s="70" t="s">
        <v>171</v>
      </c>
      <c r="D15" s="69">
        <v>1</v>
      </c>
      <c r="E15" s="68">
        <v>5.1519835136527566E-4</v>
      </c>
    </row>
    <row r="16" spans="1:5" ht="15" customHeight="1">
      <c r="B16" s="120"/>
      <c r="C16" s="70" t="s">
        <v>169</v>
      </c>
      <c r="D16" s="69">
        <v>1</v>
      </c>
      <c r="E16" s="68">
        <v>5.1519835136527566E-4</v>
      </c>
    </row>
    <row r="17" spans="2:5" ht="15" customHeight="1">
      <c r="B17" s="120"/>
      <c r="C17" s="70" t="s">
        <v>168</v>
      </c>
      <c r="D17" s="69">
        <v>4</v>
      </c>
      <c r="E17" s="68">
        <v>2.0607934054611026E-3</v>
      </c>
    </row>
    <row r="18" spans="2:5" ht="15" customHeight="1">
      <c r="B18" s="120"/>
      <c r="C18" s="70" t="s">
        <v>166</v>
      </c>
      <c r="D18" s="69">
        <v>2</v>
      </c>
      <c r="E18" s="68">
        <v>1.0303967027305513E-3</v>
      </c>
    </row>
    <row r="19" spans="2:5" ht="15" customHeight="1">
      <c r="B19" s="120"/>
      <c r="C19" s="70" t="s">
        <v>155</v>
      </c>
      <c r="D19" s="69">
        <v>2</v>
      </c>
      <c r="E19" s="68">
        <v>1.0303967027305513E-3</v>
      </c>
    </row>
    <row r="20" spans="2:5" ht="15" customHeight="1">
      <c r="B20" s="121"/>
      <c r="C20" s="67" t="s">
        <v>20</v>
      </c>
      <c r="D20" s="66">
        <v>23</v>
      </c>
      <c r="E20" s="65">
        <v>1.184956208140134E-2</v>
      </c>
    </row>
    <row r="21" spans="2:5" ht="15" customHeight="1">
      <c r="B21" s="119" t="s">
        <v>83</v>
      </c>
      <c r="C21" s="70" t="s">
        <v>172</v>
      </c>
      <c r="D21" s="69">
        <v>1</v>
      </c>
      <c r="E21" s="68">
        <v>5.1519835136527566E-4</v>
      </c>
    </row>
    <row r="22" spans="2:5" ht="15" customHeight="1">
      <c r="B22" s="120"/>
      <c r="C22" s="70" t="s">
        <v>167</v>
      </c>
      <c r="D22" s="69">
        <v>1</v>
      </c>
      <c r="E22" s="68">
        <v>5.1519835136527566E-4</v>
      </c>
    </row>
    <row r="23" spans="2:5" ht="15" customHeight="1">
      <c r="B23" s="120"/>
      <c r="C23" s="70" t="s">
        <v>155</v>
      </c>
      <c r="D23" s="69">
        <v>2</v>
      </c>
      <c r="E23" s="68">
        <v>1.0303967027305513E-3</v>
      </c>
    </row>
    <row r="24" spans="2:5" ht="15" customHeight="1">
      <c r="B24" s="121"/>
      <c r="C24" s="67" t="s">
        <v>20</v>
      </c>
      <c r="D24" s="66">
        <v>4</v>
      </c>
      <c r="E24" s="65">
        <v>2.0607934054611026E-3</v>
      </c>
    </row>
    <row r="25" spans="2:5" ht="15" customHeight="1">
      <c r="B25" s="119" t="s">
        <v>60</v>
      </c>
      <c r="C25" s="70" t="s">
        <v>165</v>
      </c>
      <c r="D25" s="69">
        <v>2</v>
      </c>
      <c r="E25" s="68">
        <v>1.0303967027305513E-3</v>
      </c>
    </row>
    <row r="26" spans="2:5" ht="15" customHeight="1">
      <c r="B26" s="121"/>
      <c r="C26" s="67" t="s">
        <v>20</v>
      </c>
      <c r="D26" s="66">
        <v>2</v>
      </c>
      <c r="E26" s="65">
        <v>1.0303967027305513E-3</v>
      </c>
    </row>
    <row r="27" spans="2:5" ht="15" customHeight="1">
      <c r="B27" s="119" t="s">
        <v>58</v>
      </c>
      <c r="C27" s="70" t="s">
        <v>172</v>
      </c>
      <c r="D27" s="69">
        <v>1</v>
      </c>
      <c r="E27" s="68">
        <v>5.1519835136527566E-4</v>
      </c>
    </row>
    <row r="28" spans="2:5" ht="15" customHeight="1">
      <c r="B28" s="121"/>
      <c r="C28" s="67" t="s">
        <v>20</v>
      </c>
      <c r="D28" s="66">
        <v>1</v>
      </c>
      <c r="E28" s="65">
        <v>5.1519835136527566E-4</v>
      </c>
    </row>
    <row r="29" spans="2:5" ht="15" customHeight="1">
      <c r="B29" s="119" t="s">
        <v>96</v>
      </c>
      <c r="C29" s="70" t="s">
        <v>164</v>
      </c>
      <c r="D29" s="69">
        <v>1</v>
      </c>
      <c r="E29" s="68">
        <v>5.1519835136527566E-4</v>
      </c>
    </row>
    <row r="30" spans="2:5" ht="15" customHeight="1">
      <c r="B30" s="120"/>
      <c r="C30" s="70" t="s">
        <v>153</v>
      </c>
      <c r="D30" s="69">
        <v>1</v>
      </c>
      <c r="E30" s="68">
        <v>5.1519835136527566E-4</v>
      </c>
    </row>
    <row r="31" spans="2:5" ht="15" customHeight="1">
      <c r="B31" s="120"/>
      <c r="C31" s="70" t="s">
        <v>172</v>
      </c>
      <c r="D31" s="69">
        <v>21</v>
      </c>
      <c r="E31" s="68">
        <v>1.0819165378670788E-2</v>
      </c>
    </row>
    <row r="32" spans="2:5" ht="15" customHeight="1">
      <c r="B32" s="120"/>
      <c r="C32" s="70" t="s">
        <v>167</v>
      </c>
      <c r="D32" s="69">
        <v>1</v>
      </c>
      <c r="E32" s="68">
        <v>5.1519835136527566E-4</v>
      </c>
    </row>
    <row r="33" spans="2:5" ht="15" customHeight="1">
      <c r="B33" s="120"/>
      <c r="C33" s="70" t="s">
        <v>142</v>
      </c>
      <c r="D33" s="69">
        <v>1</v>
      </c>
      <c r="E33" s="68">
        <v>5.1519835136527566E-4</v>
      </c>
    </row>
    <row r="34" spans="2:5" ht="15" customHeight="1">
      <c r="B34" s="120"/>
      <c r="C34" s="70" t="s">
        <v>168</v>
      </c>
      <c r="D34" s="69">
        <v>1</v>
      </c>
      <c r="E34" s="68">
        <v>5.1519835136527566E-4</v>
      </c>
    </row>
    <row r="35" spans="2:5" ht="15" customHeight="1">
      <c r="B35" s="121"/>
      <c r="C35" s="67" t="s">
        <v>20</v>
      </c>
      <c r="D35" s="66">
        <v>26</v>
      </c>
      <c r="E35" s="65">
        <v>1.3395157135497167E-2</v>
      </c>
    </row>
    <row r="36" spans="2:5" ht="15" customHeight="1">
      <c r="B36" s="119" t="s">
        <v>94</v>
      </c>
      <c r="C36" s="70" t="s">
        <v>130</v>
      </c>
      <c r="D36" s="69">
        <v>1</v>
      </c>
      <c r="E36" s="68">
        <v>5.1519835136527566E-4</v>
      </c>
    </row>
    <row r="37" spans="2:5" ht="15" customHeight="1">
      <c r="B37" s="120"/>
      <c r="C37" s="70" t="s">
        <v>151</v>
      </c>
      <c r="D37" s="69">
        <v>5</v>
      </c>
      <c r="E37" s="68">
        <v>2.5759917568263782E-3</v>
      </c>
    </row>
    <row r="38" spans="2:5" ht="15" customHeight="1">
      <c r="B38" s="120"/>
      <c r="C38" s="70" t="s">
        <v>262</v>
      </c>
      <c r="D38" s="69">
        <v>1</v>
      </c>
      <c r="E38" s="68">
        <v>5.1519835136527566E-4</v>
      </c>
    </row>
    <row r="39" spans="2:5" ht="15" customHeight="1">
      <c r="B39" s="120"/>
      <c r="C39" s="70" t="s">
        <v>108</v>
      </c>
      <c r="D39" s="69">
        <v>1</v>
      </c>
      <c r="E39" s="68">
        <v>5.1519835136527566E-4</v>
      </c>
    </row>
    <row r="40" spans="2:5" ht="15" customHeight="1">
      <c r="B40" s="120"/>
      <c r="C40" s="70" t="s">
        <v>120</v>
      </c>
      <c r="D40" s="69">
        <v>1</v>
      </c>
      <c r="E40" s="68">
        <v>5.1519835136527566E-4</v>
      </c>
    </row>
    <row r="41" spans="2:5" ht="15" customHeight="1">
      <c r="B41" s="120"/>
      <c r="C41" s="70" t="s">
        <v>158</v>
      </c>
      <c r="D41" s="69">
        <v>20</v>
      </c>
      <c r="E41" s="68">
        <v>1.0303967027305513E-2</v>
      </c>
    </row>
    <row r="42" spans="2:5" ht="15" customHeight="1">
      <c r="B42" s="120"/>
      <c r="C42" s="70" t="s">
        <v>148</v>
      </c>
      <c r="D42" s="69">
        <v>1</v>
      </c>
      <c r="E42" s="68">
        <v>5.1519835136527566E-4</v>
      </c>
    </row>
    <row r="43" spans="2:5" ht="15" customHeight="1">
      <c r="B43" s="120"/>
      <c r="C43" s="70" t="s">
        <v>160</v>
      </c>
      <c r="D43" s="69">
        <v>1</v>
      </c>
      <c r="E43" s="68">
        <v>5.1519835136527566E-4</v>
      </c>
    </row>
    <row r="44" spans="2:5" ht="15" customHeight="1">
      <c r="B44" s="120"/>
      <c r="C44" s="70" t="s">
        <v>172</v>
      </c>
      <c r="D44" s="69">
        <v>21</v>
      </c>
      <c r="E44" s="68">
        <v>1.0819165378670788E-2</v>
      </c>
    </row>
    <row r="45" spans="2:5" ht="15" customHeight="1">
      <c r="B45" s="120"/>
      <c r="C45" s="70" t="s">
        <v>167</v>
      </c>
      <c r="D45" s="69">
        <v>2</v>
      </c>
      <c r="E45" s="68">
        <v>1.0303967027305513E-3</v>
      </c>
    </row>
    <row r="46" spans="2:5" ht="15" customHeight="1">
      <c r="B46" s="120"/>
      <c r="C46" s="70" t="s">
        <v>171</v>
      </c>
      <c r="D46" s="69">
        <v>1</v>
      </c>
      <c r="E46" s="68">
        <v>5.1519835136527566E-4</v>
      </c>
    </row>
    <row r="47" spans="2:5" ht="15" customHeight="1">
      <c r="B47" s="120"/>
      <c r="C47" s="70" t="s">
        <v>260</v>
      </c>
      <c r="D47" s="69">
        <v>1</v>
      </c>
      <c r="E47" s="68">
        <v>5.1519835136527566E-4</v>
      </c>
    </row>
    <row r="48" spans="2:5" ht="15" customHeight="1">
      <c r="B48" s="120"/>
      <c r="C48" s="70" t="s">
        <v>169</v>
      </c>
      <c r="D48" s="69">
        <v>1</v>
      </c>
      <c r="E48" s="68">
        <v>5.1519835136527566E-4</v>
      </c>
    </row>
    <row r="49" spans="2:5" ht="15" customHeight="1">
      <c r="B49" s="120"/>
      <c r="C49" s="70" t="s">
        <v>142</v>
      </c>
      <c r="D49" s="69">
        <v>1</v>
      </c>
      <c r="E49" s="68">
        <v>5.1519835136527566E-4</v>
      </c>
    </row>
    <row r="50" spans="2:5" ht="15" customHeight="1">
      <c r="B50" s="120"/>
      <c r="C50" s="70" t="s">
        <v>103</v>
      </c>
      <c r="D50" s="69">
        <v>1</v>
      </c>
      <c r="E50" s="68">
        <v>5.1519835136527566E-4</v>
      </c>
    </row>
    <row r="51" spans="2:5" ht="15" customHeight="1">
      <c r="B51" s="120"/>
      <c r="C51" s="70" t="s">
        <v>156</v>
      </c>
      <c r="D51" s="69">
        <v>1</v>
      </c>
      <c r="E51" s="68">
        <v>5.1519835136527566E-4</v>
      </c>
    </row>
    <row r="52" spans="2:5" ht="15" customHeight="1">
      <c r="B52" s="120"/>
      <c r="C52" s="70" t="s">
        <v>116</v>
      </c>
      <c r="D52" s="69">
        <v>1</v>
      </c>
      <c r="E52" s="68">
        <v>5.1519835136527566E-4</v>
      </c>
    </row>
    <row r="53" spans="2:5" ht="15" customHeight="1">
      <c r="B53" s="120"/>
      <c r="C53" s="70" t="s">
        <v>136</v>
      </c>
      <c r="D53" s="69">
        <v>1</v>
      </c>
      <c r="E53" s="68">
        <v>5.1519835136527566E-4</v>
      </c>
    </row>
    <row r="54" spans="2:5" ht="15" customHeight="1">
      <c r="B54" s="120"/>
      <c r="C54" s="70" t="s">
        <v>166</v>
      </c>
      <c r="D54" s="69">
        <v>1</v>
      </c>
      <c r="E54" s="68">
        <v>5.1519835136527566E-4</v>
      </c>
    </row>
    <row r="55" spans="2:5" ht="15" customHeight="1">
      <c r="B55" s="120"/>
      <c r="C55" s="70" t="s">
        <v>133</v>
      </c>
      <c r="D55" s="69">
        <v>1</v>
      </c>
      <c r="E55" s="68">
        <v>5.1519835136527566E-4</v>
      </c>
    </row>
    <row r="56" spans="2:5" ht="15" customHeight="1">
      <c r="B56" s="120"/>
      <c r="C56" s="70" t="s">
        <v>144</v>
      </c>
      <c r="D56" s="69">
        <v>1</v>
      </c>
      <c r="E56" s="68">
        <v>5.1519835136527566E-4</v>
      </c>
    </row>
    <row r="57" spans="2:5" ht="15" customHeight="1">
      <c r="B57" s="120"/>
      <c r="C57" s="70" t="s">
        <v>127</v>
      </c>
      <c r="D57" s="69">
        <v>1</v>
      </c>
      <c r="E57" s="68">
        <v>5.1519835136527566E-4</v>
      </c>
    </row>
    <row r="58" spans="2:5" ht="15" customHeight="1">
      <c r="B58" s="121"/>
      <c r="C58" s="67" t="s">
        <v>20</v>
      </c>
      <c r="D58" s="66">
        <v>66</v>
      </c>
      <c r="E58" s="65">
        <v>3.4003091190108192E-2</v>
      </c>
    </row>
    <row r="59" spans="2:5" ht="15" customHeight="1">
      <c r="B59" s="119" t="s">
        <v>254</v>
      </c>
      <c r="C59" s="70" t="s">
        <v>247</v>
      </c>
      <c r="D59" s="69">
        <v>1</v>
      </c>
      <c r="E59" s="68">
        <v>5.1519835136527566E-4</v>
      </c>
    </row>
    <row r="60" spans="2:5" ht="15" customHeight="1">
      <c r="B60" s="121"/>
      <c r="C60" s="67" t="s">
        <v>20</v>
      </c>
      <c r="D60" s="66">
        <v>1</v>
      </c>
      <c r="E60" s="65">
        <v>5.1519835136527566E-4</v>
      </c>
    </row>
    <row r="61" spans="2:5" ht="15" customHeight="1">
      <c r="B61" s="119" t="s">
        <v>78</v>
      </c>
      <c r="C61" s="70" t="s">
        <v>126</v>
      </c>
      <c r="D61" s="69">
        <v>1</v>
      </c>
      <c r="E61" s="68">
        <v>5.1519835136527566E-4</v>
      </c>
    </row>
    <row r="62" spans="2:5" ht="15" customHeight="1">
      <c r="B62" s="120"/>
      <c r="C62" s="70" t="s">
        <v>165</v>
      </c>
      <c r="D62" s="69">
        <v>1</v>
      </c>
      <c r="E62" s="68">
        <v>5.1519835136527566E-4</v>
      </c>
    </row>
    <row r="63" spans="2:5" ht="15" customHeight="1">
      <c r="B63" s="120"/>
      <c r="C63" s="70" t="s">
        <v>159</v>
      </c>
      <c r="D63" s="69">
        <v>5</v>
      </c>
      <c r="E63" s="68">
        <v>2.5759917568263782E-3</v>
      </c>
    </row>
    <row r="64" spans="2:5" ht="15" customHeight="1">
      <c r="B64" s="120"/>
      <c r="C64" s="70" t="s">
        <v>164</v>
      </c>
      <c r="D64" s="69">
        <v>18</v>
      </c>
      <c r="E64" s="68">
        <v>9.2735703245749607E-3</v>
      </c>
    </row>
    <row r="65" spans="2:5" ht="15" customHeight="1">
      <c r="B65" s="120"/>
      <c r="C65" s="70" t="s">
        <v>108</v>
      </c>
      <c r="D65" s="69">
        <v>1</v>
      </c>
      <c r="E65" s="68">
        <v>5.1519835136527566E-4</v>
      </c>
    </row>
    <row r="66" spans="2:5" ht="15" customHeight="1">
      <c r="B66" s="120"/>
      <c r="C66" s="70" t="s">
        <v>121</v>
      </c>
      <c r="D66" s="69">
        <v>1</v>
      </c>
      <c r="E66" s="68">
        <v>5.1519835136527566E-4</v>
      </c>
    </row>
    <row r="67" spans="2:5" ht="15" customHeight="1">
      <c r="B67" s="120"/>
      <c r="C67" s="70" t="s">
        <v>264</v>
      </c>
      <c r="D67" s="69">
        <v>1</v>
      </c>
      <c r="E67" s="68">
        <v>5.1519835136527566E-4</v>
      </c>
    </row>
    <row r="68" spans="2:5" ht="15" customHeight="1">
      <c r="B68" s="120"/>
      <c r="C68" s="70" t="s">
        <v>160</v>
      </c>
      <c r="D68" s="69">
        <v>4</v>
      </c>
      <c r="E68" s="68">
        <v>2.0607934054611026E-3</v>
      </c>
    </row>
    <row r="69" spans="2:5" ht="15" customHeight="1">
      <c r="B69" s="120"/>
      <c r="C69" s="70" t="s">
        <v>172</v>
      </c>
      <c r="D69" s="69">
        <v>7</v>
      </c>
      <c r="E69" s="68">
        <v>3.6063884595569293E-3</v>
      </c>
    </row>
    <row r="70" spans="2:5" ht="15" customHeight="1">
      <c r="B70" s="120"/>
      <c r="C70" s="70" t="s">
        <v>171</v>
      </c>
      <c r="D70" s="69">
        <v>2</v>
      </c>
      <c r="E70" s="68">
        <v>1.0303967027305513E-3</v>
      </c>
    </row>
    <row r="71" spans="2:5" ht="15" customHeight="1">
      <c r="B71" s="120"/>
      <c r="C71" s="70" t="s">
        <v>106</v>
      </c>
      <c r="D71" s="69">
        <v>1</v>
      </c>
      <c r="E71" s="68">
        <v>5.1519835136527566E-4</v>
      </c>
    </row>
    <row r="72" spans="2:5" ht="15" customHeight="1">
      <c r="B72" s="120"/>
      <c r="C72" s="70" t="s">
        <v>246</v>
      </c>
      <c r="D72" s="69">
        <v>1</v>
      </c>
      <c r="E72" s="68">
        <v>5.1519835136527566E-4</v>
      </c>
    </row>
    <row r="73" spans="2:5" ht="15" customHeight="1">
      <c r="B73" s="120"/>
      <c r="C73" s="70" t="s">
        <v>168</v>
      </c>
      <c r="D73" s="69">
        <v>9</v>
      </c>
      <c r="E73" s="68">
        <v>4.6367851622874804E-3</v>
      </c>
    </row>
    <row r="74" spans="2:5" ht="15" customHeight="1">
      <c r="B74" s="120"/>
      <c r="C74" s="70" t="s">
        <v>101</v>
      </c>
      <c r="D74" s="69">
        <v>1</v>
      </c>
      <c r="E74" s="68">
        <v>5.1519835136527566E-4</v>
      </c>
    </row>
    <row r="75" spans="2:5" ht="15" customHeight="1">
      <c r="B75" s="120"/>
      <c r="C75" s="70" t="s">
        <v>140</v>
      </c>
      <c r="D75" s="69">
        <v>1</v>
      </c>
      <c r="E75" s="68">
        <v>5.1519835136527566E-4</v>
      </c>
    </row>
    <row r="76" spans="2:5" ht="15" customHeight="1">
      <c r="B76" s="120"/>
      <c r="C76" s="70" t="s">
        <v>155</v>
      </c>
      <c r="D76" s="69">
        <v>3</v>
      </c>
      <c r="E76" s="68">
        <v>1.5455950540958269E-3</v>
      </c>
    </row>
    <row r="77" spans="2:5" ht="15" customHeight="1">
      <c r="B77" s="121"/>
      <c r="C77" s="67" t="s">
        <v>20</v>
      </c>
      <c r="D77" s="66">
        <v>57</v>
      </c>
      <c r="E77" s="65">
        <v>2.9366306027820709E-2</v>
      </c>
    </row>
    <row r="78" spans="2:5" ht="15" customHeight="1">
      <c r="B78" s="119" t="s">
        <v>64</v>
      </c>
      <c r="C78" s="70" t="s">
        <v>172</v>
      </c>
      <c r="D78" s="69">
        <v>1</v>
      </c>
      <c r="E78" s="68">
        <v>5.1519835136527566E-4</v>
      </c>
    </row>
    <row r="79" spans="2:5" ht="15" customHeight="1">
      <c r="B79" s="120"/>
      <c r="C79" s="70" t="s">
        <v>169</v>
      </c>
      <c r="D79" s="69">
        <v>2</v>
      </c>
      <c r="E79" s="68">
        <v>1.0303967027305513E-3</v>
      </c>
    </row>
    <row r="80" spans="2:5" ht="15" customHeight="1">
      <c r="B80" s="120"/>
      <c r="C80" s="70" t="s">
        <v>116</v>
      </c>
      <c r="D80" s="69">
        <v>1</v>
      </c>
      <c r="E80" s="68">
        <v>5.1519835136527566E-4</v>
      </c>
    </row>
    <row r="81" spans="2:5" ht="15" customHeight="1">
      <c r="B81" s="120"/>
      <c r="C81" s="70" t="s">
        <v>155</v>
      </c>
      <c r="D81" s="69">
        <v>2</v>
      </c>
      <c r="E81" s="68">
        <v>1.0303967027305513E-3</v>
      </c>
    </row>
    <row r="82" spans="2:5" ht="15" customHeight="1">
      <c r="B82" s="121"/>
      <c r="C82" s="67" t="s">
        <v>20</v>
      </c>
      <c r="D82" s="66">
        <v>6</v>
      </c>
      <c r="E82" s="65">
        <v>3.0911901081916537E-3</v>
      </c>
    </row>
    <row r="83" spans="2:5" ht="15" customHeight="1">
      <c r="B83" s="119" t="s">
        <v>62</v>
      </c>
      <c r="C83" s="70" t="s">
        <v>142</v>
      </c>
      <c r="D83" s="69">
        <v>1</v>
      </c>
      <c r="E83" s="68">
        <v>5.1519835136527566E-4</v>
      </c>
    </row>
    <row r="84" spans="2:5" ht="15" customHeight="1">
      <c r="B84" s="121"/>
      <c r="C84" s="67" t="s">
        <v>20</v>
      </c>
      <c r="D84" s="66">
        <v>1</v>
      </c>
      <c r="E84" s="65">
        <v>5.1519835136527566E-4</v>
      </c>
    </row>
    <row r="85" spans="2:5" ht="15" customHeight="1">
      <c r="B85" s="119" t="s">
        <v>75</v>
      </c>
      <c r="C85" s="70" t="s">
        <v>172</v>
      </c>
      <c r="D85" s="69">
        <v>4</v>
      </c>
      <c r="E85" s="68">
        <v>2.0607934054611026E-3</v>
      </c>
    </row>
    <row r="86" spans="2:5" ht="15" customHeight="1">
      <c r="B86" s="121"/>
      <c r="C86" s="67" t="s">
        <v>20</v>
      </c>
      <c r="D86" s="66">
        <v>4</v>
      </c>
      <c r="E86" s="65">
        <v>2.0607934054611026E-3</v>
      </c>
    </row>
    <row r="87" spans="2:5" ht="15" customHeight="1">
      <c r="B87" s="119" t="s">
        <v>91</v>
      </c>
      <c r="C87" s="70" t="s">
        <v>165</v>
      </c>
      <c r="D87" s="69">
        <v>1</v>
      </c>
      <c r="E87" s="68">
        <v>5.1519835136527566E-4</v>
      </c>
    </row>
    <row r="88" spans="2:5" ht="15" customHeight="1">
      <c r="B88" s="120"/>
      <c r="C88" s="70" t="s">
        <v>172</v>
      </c>
      <c r="D88" s="69">
        <v>9</v>
      </c>
      <c r="E88" s="68">
        <v>4.6367851622874804E-3</v>
      </c>
    </row>
    <row r="89" spans="2:5" ht="15" customHeight="1">
      <c r="B89" s="120"/>
      <c r="C89" s="70" t="s">
        <v>167</v>
      </c>
      <c r="D89" s="69">
        <v>1</v>
      </c>
      <c r="E89" s="68">
        <v>5.1519835136527566E-4</v>
      </c>
    </row>
    <row r="90" spans="2:5" ht="15" customHeight="1">
      <c r="B90" s="120"/>
      <c r="C90" s="70" t="s">
        <v>131</v>
      </c>
      <c r="D90" s="69">
        <v>1</v>
      </c>
      <c r="E90" s="68">
        <v>5.1519835136527566E-4</v>
      </c>
    </row>
    <row r="91" spans="2:5" ht="15" customHeight="1">
      <c r="B91" s="121"/>
      <c r="C91" s="67" t="s">
        <v>20</v>
      </c>
      <c r="D91" s="66">
        <v>12</v>
      </c>
      <c r="E91" s="65">
        <v>6.1823802163833074E-3</v>
      </c>
    </row>
    <row r="92" spans="2:5" ht="15" customHeight="1">
      <c r="B92" s="119" t="s">
        <v>95</v>
      </c>
      <c r="C92" s="70" t="s">
        <v>135</v>
      </c>
      <c r="D92" s="69">
        <v>1</v>
      </c>
      <c r="E92" s="68">
        <v>5.1519835136527566E-4</v>
      </c>
    </row>
    <row r="93" spans="2:5" ht="15" customHeight="1">
      <c r="B93" s="120"/>
      <c r="C93" s="70" t="s">
        <v>159</v>
      </c>
      <c r="D93" s="69">
        <v>3</v>
      </c>
      <c r="E93" s="68">
        <v>1.5455950540958269E-3</v>
      </c>
    </row>
    <row r="94" spans="2:5" ht="15" customHeight="1">
      <c r="B94" s="120"/>
      <c r="C94" s="70" t="s">
        <v>110</v>
      </c>
      <c r="D94" s="69">
        <v>1</v>
      </c>
      <c r="E94" s="68">
        <v>5.1519835136527566E-4</v>
      </c>
    </row>
    <row r="95" spans="2:5" ht="15" customHeight="1">
      <c r="B95" s="120"/>
      <c r="C95" s="70" t="s">
        <v>172</v>
      </c>
      <c r="D95" s="69">
        <v>14</v>
      </c>
      <c r="E95" s="68">
        <v>7.2127769191138585E-3</v>
      </c>
    </row>
    <row r="96" spans="2:5" ht="15" customHeight="1">
      <c r="B96" s="120"/>
      <c r="C96" s="70" t="s">
        <v>167</v>
      </c>
      <c r="D96" s="69">
        <v>2</v>
      </c>
      <c r="E96" s="68">
        <v>1.0303967027305513E-3</v>
      </c>
    </row>
    <row r="97" spans="2:5" ht="15" customHeight="1">
      <c r="B97" s="120"/>
      <c r="C97" s="70" t="s">
        <v>131</v>
      </c>
      <c r="D97" s="69">
        <v>1</v>
      </c>
      <c r="E97" s="68">
        <v>5.1519835136527566E-4</v>
      </c>
    </row>
    <row r="98" spans="2:5" ht="15" customHeight="1">
      <c r="B98" s="120"/>
      <c r="C98" s="70" t="s">
        <v>142</v>
      </c>
      <c r="D98" s="69">
        <v>1</v>
      </c>
      <c r="E98" s="68">
        <v>5.1519835136527566E-4</v>
      </c>
    </row>
    <row r="99" spans="2:5" ht="15" customHeight="1">
      <c r="B99" s="120"/>
      <c r="C99" s="70" t="s">
        <v>145</v>
      </c>
      <c r="D99" s="69">
        <v>3</v>
      </c>
      <c r="E99" s="68">
        <v>1.5455950540958269E-3</v>
      </c>
    </row>
    <row r="100" spans="2:5" ht="15" customHeight="1">
      <c r="B100" s="120"/>
      <c r="C100" s="70" t="s">
        <v>138</v>
      </c>
      <c r="D100" s="69">
        <v>4</v>
      </c>
      <c r="E100" s="68">
        <v>2.0607934054611026E-3</v>
      </c>
    </row>
    <row r="101" spans="2:5" ht="15" customHeight="1">
      <c r="B101" s="120"/>
      <c r="C101" s="70" t="s">
        <v>166</v>
      </c>
      <c r="D101" s="69">
        <v>1</v>
      </c>
      <c r="E101" s="68">
        <v>5.1519835136527566E-4</v>
      </c>
    </row>
    <row r="102" spans="2:5" ht="15" customHeight="1">
      <c r="B102" s="120"/>
      <c r="C102" s="70" t="s">
        <v>267</v>
      </c>
      <c r="D102" s="69">
        <v>1</v>
      </c>
      <c r="E102" s="68">
        <v>5.1519835136527566E-4</v>
      </c>
    </row>
    <row r="103" spans="2:5" ht="15" customHeight="1">
      <c r="B103" s="120"/>
      <c r="C103" s="70" t="s">
        <v>133</v>
      </c>
      <c r="D103" s="69">
        <v>2</v>
      </c>
      <c r="E103" s="68">
        <v>1.0303967027305513E-3</v>
      </c>
    </row>
    <row r="104" spans="2:5" ht="15" customHeight="1">
      <c r="B104" s="120"/>
      <c r="C104" s="70" t="s">
        <v>155</v>
      </c>
      <c r="D104" s="69">
        <v>2</v>
      </c>
      <c r="E104" s="68">
        <v>1.0303967027305513E-3</v>
      </c>
    </row>
    <row r="105" spans="2:5" ht="15" customHeight="1">
      <c r="B105" s="120"/>
      <c r="C105" s="70" t="s">
        <v>147</v>
      </c>
      <c r="D105" s="69">
        <v>1</v>
      </c>
      <c r="E105" s="68">
        <v>5.1519835136527566E-4</v>
      </c>
    </row>
    <row r="106" spans="2:5" ht="15" customHeight="1">
      <c r="B106" s="121"/>
      <c r="C106" s="67" t="s">
        <v>20</v>
      </c>
      <c r="D106" s="66">
        <v>37</v>
      </c>
      <c r="E106" s="65">
        <v>1.90623390005152E-2</v>
      </c>
    </row>
    <row r="107" spans="2:5" ht="15" customHeight="1">
      <c r="B107" s="119" t="s">
        <v>79</v>
      </c>
      <c r="C107" s="70" t="s">
        <v>160</v>
      </c>
      <c r="D107" s="69">
        <v>1</v>
      </c>
      <c r="E107" s="68">
        <v>5.1519835136527566E-4</v>
      </c>
    </row>
    <row r="108" spans="2:5" ht="15" customHeight="1">
      <c r="B108" s="120"/>
      <c r="C108" s="70" t="s">
        <v>143</v>
      </c>
      <c r="D108" s="69">
        <v>1</v>
      </c>
      <c r="E108" s="68">
        <v>5.1519835136527566E-4</v>
      </c>
    </row>
    <row r="109" spans="2:5" ht="15" customHeight="1">
      <c r="B109" s="120"/>
      <c r="C109" s="70" t="s">
        <v>172</v>
      </c>
      <c r="D109" s="69">
        <v>6</v>
      </c>
      <c r="E109" s="68">
        <v>3.0911901081916537E-3</v>
      </c>
    </row>
    <row r="110" spans="2:5" ht="15" customHeight="1">
      <c r="B110" s="120"/>
      <c r="C110" s="70" t="s">
        <v>167</v>
      </c>
      <c r="D110" s="69">
        <v>1</v>
      </c>
      <c r="E110" s="68">
        <v>5.1519835136527566E-4</v>
      </c>
    </row>
    <row r="111" spans="2:5" ht="15" customHeight="1">
      <c r="B111" s="120"/>
      <c r="C111" s="70" t="s">
        <v>171</v>
      </c>
      <c r="D111" s="69">
        <v>1</v>
      </c>
      <c r="E111" s="68">
        <v>5.1519835136527566E-4</v>
      </c>
    </row>
    <row r="112" spans="2:5" ht="15" customHeight="1">
      <c r="B112" s="120"/>
      <c r="C112" s="70" t="s">
        <v>139</v>
      </c>
      <c r="D112" s="69">
        <v>2</v>
      </c>
      <c r="E112" s="68">
        <v>1.0303967027305513E-3</v>
      </c>
    </row>
    <row r="113" spans="2:5" ht="15" customHeight="1">
      <c r="B113" s="120"/>
      <c r="C113" s="70" t="s">
        <v>155</v>
      </c>
      <c r="D113" s="69">
        <v>1</v>
      </c>
      <c r="E113" s="68">
        <v>5.1519835136527566E-4</v>
      </c>
    </row>
    <row r="114" spans="2:5" ht="15" customHeight="1">
      <c r="B114" s="121"/>
      <c r="C114" s="67" t="s">
        <v>20</v>
      </c>
      <c r="D114" s="66">
        <v>13</v>
      </c>
      <c r="E114" s="65">
        <v>6.6975785677485834E-3</v>
      </c>
    </row>
    <row r="115" spans="2:5" ht="15" customHeight="1">
      <c r="B115" s="119" t="s">
        <v>74</v>
      </c>
      <c r="C115" s="70" t="s">
        <v>165</v>
      </c>
      <c r="D115" s="69">
        <v>1</v>
      </c>
      <c r="E115" s="68">
        <v>5.1519835136527566E-4</v>
      </c>
    </row>
    <row r="116" spans="2:5" ht="15" customHeight="1">
      <c r="B116" s="120"/>
      <c r="C116" s="70" t="s">
        <v>159</v>
      </c>
      <c r="D116" s="69">
        <v>7</v>
      </c>
      <c r="E116" s="68">
        <v>3.6063884595569293E-3</v>
      </c>
    </row>
    <row r="117" spans="2:5" ht="15" customHeight="1">
      <c r="B117" s="120"/>
      <c r="C117" s="70" t="s">
        <v>172</v>
      </c>
      <c r="D117" s="69">
        <v>4</v>
      </c>
      <c r="E117" s="68">
        <v>2.0607934054611026E-3</v>
      </c>
    </row>
    <row r="118" spans="2:5" ht="15" customHeight="1">
      <c r="B118" s="120"/>
      <c r="C118" s="70" t="s">
        <v>170</v>
      </c>
      <c r="D118" s="69">
        <v>1</v>
      </c>
      <c r="E118" s="68">
        <v>5.1519835136527566E-4</v>
      </c>
    </row>
    <row r="119" spans="2:5" ht="15" customHeight="1">
      <c r="B119" s="120"/>
      <c r="C119" s="70" t="s">
        <v>138</v>
      </c>
      <c r="D119" s="69">
        <v>1</v>
      </c>
      <c r="E119" s="68">
        <v>5.1519835136527566E-4</v>
      </c>
    </row>
    <row r="120" spans="2:5" ht="15" customHeight="1">
      <c r="B120" s="120"/>
      <c r="C120" s="70" t="s">
        <v>152</v>
      </c>
      <c r="D120" s="69">
        <v>1</v>
      </c>
      <c r="E120" s="68">
        <v>5.1519835136527566E-4</v>
      </c>
    </row>
    <row r="121" spans="2:5" ht="15" customHeight="1">
      <c r="B121" s="121"/>
      <c r="C121" s="67" t="s">
        <v>20</v>
      </c>
      <c r="D121" s="66">
        <v>15</v>
      </c>
      <c r="E121" s="65">
        <v>7.7279752704791345E-3</v>
      </c>
    </row>
    <row r="122" spans="2:5" ht="15" customHeight="1">
      <c r="B122" s="119" t="s">
        <v>59</v>
      </c>
      <c r="C122" s="70" t="s">
        <v>142</v>
      </c>
      <c r="D122" s="69">
        <v>1</v>
      </c>
      <c r="E122" s="68">
        <v>5.1519835136527566E-4</v>
      </c>
    </row>
    <row r="123" spans="2:5" ht="15" customHeight="1">
      <c r="B123" s="121"/>
      <c r="C123" s="67" t="s">
        <v>20</v>
      </c>
      <c r="D123" s="66">
        <v>1</v>
      </c>
      <c r="E123" s="65">
        <v>5.1519835136527566E-4</v>
      </c>
    </row>
    <row r="124" spans="2:5" ht="15" customHeight="1">
      <c r="B124" s="119" t="s">
        <v>81</v>
      </c>
      <c r="C124" s="70" t="s">
        <v>126</v>
      </c>
      <c r="D124" s="69">
        <v>1</v>
      </c>
      <c r="E124" s="68">
        <v>5.1519835136527566E-4</v>
      </c>
    </row>
    <row r="125" spans="2:5" ht="15" customHeight="1">
      <c r="B125" s="120"/>
      <c r="C125" s="70" t="s">
        <v>130</v>
      </c>
      <c r="D125" s="69">
        <v>1</v>
      </c>
      <c r="E125" s="68">
        <v>5.1519835136527566E-4</v>
      </c>
    </row>
    <row r="126" spans="2:5" ht="15" customHeight="1">
      <c r="B126" s="120"/>
      <c r="C126" s="70" t="s">
        <v>159</v>
      </c>
      <c r="D126" s="69">
        <v>4</v>
      </c>
      <c r="E126" s="68">
        <v>2.0607934054611026E-3</v>
      </c>
    </row>
    <row r="127" spans="2:5" ht="15" customHeight="1">
      <c r="B127" s="120"/>
      <c r="C127" s="70" t="s">
        <v>258</v>
      </c>
      <c r="D127" s="69">
        <v>1</v>
      </c>
      <c r="E127" s="68">
        <v>5.1519835136527566E-4</v>
      </c>
    </row>
    <row r="128" spans="2:5" ht="15" customHeight="1">
      <c r="B128" s="120"/>
      <c r="C128" s="70" t="s">
        <v>115</v>
      </c>
      <c r="D128" s="69">
        <v>1</v>
      </c>
      <c r="E128" s="68">
        <v>5.1519835136527566E-4</v>
      </c>
    </row>
    <row r="129" spans="2:5" ht="15" customHeight="1">
      <c r="B129" s="120"/>
      <c r="C129" s="70" t="s">
        <v>122</v>
      </c>
      <c r="D129" s="69">
        <v>1</v>
      </c>
      <c r="E129" s="68">
        <v>5.1519835136527566E-4</v>
      </c>
    </row>
    <row r="130" spans="2:5" ht="15" customHeight="1">
      <c r="B130" s="120"/>
      <c r="C130" s="70" t="s">
        <v>263</v>
      </c>
      <c r="D130" s="69">
        <v>1</v>
      </c>
      <c r="E130" s="68">
        <v>5.1519835136527566E-4</v>
      </c>
    </row>
    <row r="131" spans="2:5" ht="15" customHeight="1">
      <c r="B131" s="120"/>
      <c r="C131" s="70" t="s">
        <v>163</v>
      </c>
      <c r="D131" s="69">
        <v>1</v>
      </c>
      <c r="E131" s="68">
        <v>5.1519835136527566E-4</v>
      </c>
    </row>
    <row r="132" spans="2:5" ht="15" customHeight="1">
      <c r="B132" s="120"/>
      <c r="C132" s="70" t="s">
        <v>172</v>
      </c>
      <c r="D132" s="69">
        <v>27</v>
      </c>
      <c r="E132" s="68">
        <v>1.3910355486862442E-2</v>
      </c>
    </row>
    <row r="133" spans="2:5" ht="15" customHeight="1">
      <c r="B133" s="120"/>
      <c r="C133" s="70" t="s">
        <v>167</v>
      </c>
      <c r="D133" s="69">
        <v>1</v>
      </c>
      <c r="E133" s="68">
        <v>5.1519835136527566E-4</v>
      </c>
    </row>
    <row r="134" spans="2:5" ht="15" customHeight="1">
      <c r="B134" s="120"/>
      <c r="C134" s="70" t="s">
        <v>170</v>
      </c>
      <c r="D134" s="69">
        <v>19</v>
      </c>
      <c r="E134" s="68">
        <v>9.7887686759402376E-3</v>
      </c>
    </row>
    <row r="135" spans="2:5" ht="15" customHeight="1">
      <c r="B135" s="120"/>
      <c r="C135" s="70" t="s">
        <v>169</v>
      </c>
      <c r="D135" s="69">
        <v>2</v>
      </c>
      <c r="E135" s="68">
        <v>1.0303967027305513E-3</v>
      </c>
    </row>
    <row r="136" spans="2:5" ht="15" customHeight="1">
      <c r="B136" s="120"/>
      <c r="C136" s="70" t="s">
        <v>123</v>
      </c>
      <c r="D136" s="69">
        <v>1</v>
      </c>
      <c r="E136" s="68">
        <v>5.1519835136527566E-4</v>
      </c>
    </row>
    <row r="137" spans="2:5" ht="15" customHeight="1">
      <c r="B137" s="120"/>
      <c r="C137" s="70" t="s">
        <v>156</v>
      </c>
      <c r="D137" s="69">
        <v>1</v>
      </c>
      <c r="E137" s="68">
        <v>5.1519835136527566E-4</v>
      </c>
    </row>
    <row r="138" spans="2:5" ht="15" customHeight="1">
      <c r="B138" s="120"/>
      <c r="C138" s="70" t="s">
        <v>139</v>
      </c>
      <c r="D138" s="69">
        <v>1</v>
      </c>
      <c r="E138" s="68">
        <v>5.1519835136527566E-4</v>
      </c>
    </row>
    <row r="139" spans="2:5" ht="15" customHeight="1">
      <c r="B139" s="120"/>
      <c r="C139" s="70" t="s">
        <v>166</v>
      </c>
      <c r="D139" s="69">
        <v>1</v>
      </c>
      <c r="E139" s="68">
        <v>5.1519835136527566E-4</v>
      </c>
    </row>
    <row r="140" spans="2:5" ht="15" customHeight="1">
      <c r="B140" s="120"/>
      <c r="C140" s="70" t="s">
        <v>114</v>
      </c>
      <c r="D140" s="69">
        <v>1</v>
      </c>
      <c r="E140" s="68">
        <v>5.1519835136527566E-4</v>
      </c>
    </row>
    <row r="141" spans="2:5" ht="15" customHeight="1">
      <c r="B141" s="120"/>
      <c r="C141" s="70" t="s">
        <v>147</v>
      </c>
      <c r="D141" s="69">
        <v>1</v>
      </c>
      <c r="E141" s="68">
        <v>5.1519835136527566E-4</v>
      </c>
    </row>
    <row r="142" spans="2:5" ht="15" customHeight="1">
      <c r="B142" s="121"/>
      <c r="C142" s="67" t="s">
        <v>20</v>
      </c>
      <c r="D142" s="66">
        <v>66</v>
      </c>
      <c r="E142" s="65">
        <v>3.4003091190108192E-2</v>
      </c>
    </row>
    <row r="143" spans="2:5" ht="15" customHeight="1">
      <c r="B143" s="119" t="s">
        <v>85</v>
      </c>
      <c r="C143" s="70" t="s">
        <v>134</v>
      </c>
      <c r="D143" s="69">
        <v>1</v>
      </c>
      <c r="E143" s="68">
        <v>5.1519835136527566E-4</v>
      </c>
    </row>
    <row r="144" spans="2:5" ht="15" customHeight="1">
      <c r="B144" s="120"/>
      <c r="C144" s="70" t="s">
        <v>120</v>
      </c>
      <c r="D144" s="69">
        <v>2</v>
      </c>
      <c r="E144" s="68">
        <v>1.0303967027305513E-3</v>
      </c>
    </row>
    <row r="145" spans="2:5" ht="15" customHeight="1">
      <c r="B145" s="120"/>
      <c r="C145" s="70" t="s">
        <v>172</v>
      </c>
      <c r="D145" s="69">
        <v>2</v>
      </c>
      <c r="E145" s="68">
        <v>1.0303967027305513E-3</v>
      </c>
    </row>
    <row r="146" spans="2:5" ht="15" customHeight="1">
      <c r="B146" s="120"/>
      <c r="C146" s="70" t="s">
        <v>171</v>
      </c>
      <c r="D146" s="69">
        <v>1</v>
      </c>
      <c r="E146" s="68">
        <v>5.1519835136527566E-4</v>
      </c>
    </row>
    <row r="147" spans="2:5" ht="15" customHeight="1">
      <c r="B147" s="120"/>
      <c r="C147" s="70" t="s">
        <v>260</v>
      </c>
      <c r="D147" s="69">
        <v>1</v>
      </c>
      <c r="E147" s="68">
        <v>5.1519835136527566E-4</v>
      </c>
    </row>
    <row r="148" spans="2:5" ht="15" customHeight="1">
      <c r="B148" s="120"/>
      <c r="C148" s="70" t="s">
        <v>168</v>
      </c>
      <c r="D148" s="69">
        <v>5</v>
      </c>
      <c r="E148" s="68">
        <v>2.5759917568263782E-3</v>
      </c>
    </row>
    <row r="149" spans="2:5" ht="15" customHeight="1">
      <c r="B149" s="121"/>
      <c r="C149" s="67" t="s">
        <v>20</v>
      </c>
      <c r="D149" s="66">
        <v>12</v>
      </c>
      <c r="E149" s="65">
        <v>6.1823802163833074E-3</v>
      </c>
    </row>
    <row r="150" spans="2:5" ht="15" customHeight="1">
      <c r="B150" s="119" t="s">
        <v>97</v>
      </c>
      <c r="C150" s="70" t="s">
        <v>126</v>
      </c>
      <c r="D150" s="69">
        <v>1</v>
      </c>
      <c r="E150" s="68">
        <v>5.1519835136527566E-4</v>
      </c>
    </row>
    <row r="151" spans="2:5" ht="15" customHeight="1">
      <c r="B151" s="120"/>
      <c r="C151" s="70" t="s">
        <v>165</v>
      </c>
      <c r="D151" s="69">
        <v>3</v>
      </c>
      <c r="E151" s="68">
        <v>1.5455950540958269E-3</v>
      </c>
    </row>
    <row r="152" spans="2:5" ht="15" customHeight="1">
      <c r="B152" s="120"/>
      <c r="C152" s="70" t="s">
        <v>130</v>
      </c>
      <c r="D152" s="69">
        <v>1</v>
      </c>
      <c r="E152" s="68">
        <v>5.1519835136527566E-4</v>
      </c>
    </row>
    <row r="153" spans="2:5" ht="15" customHeight="1">
      <c r="B153" s="120"/>
      <c r="C153" s="70" t="s">
        <v>257</v>
      </c>
      <c r="D153" s="69">
        <v>2</v>
      </c>
      <c r="E153" s="68">
        <v>1.0303967027305513E-3</v>
      </c>
    </row>
    <row r="154" spans="2:5" ht="15" customHeight="1">
      <c r="B154" s="120"/>
      <c r="C154" s="70" t="s">
        <v>159</v>
      </c>
      <c r="D154" s="69">
        <v>1</v>
      </c>
      <c r="E154" s="68">
        <v>5.1519835136527566E-4</v>
      </c>
    </row>
    <row r="155" spans="2:5" ht="15" customHeight="1">
      <c r="B155" s="120"/>
      <c r="C155" s="70" t="s">
        <v>151</v>
      </c>
      <c r="D155" s="69">
        <v>7</v>
      </c>
      <c r="E155" s="68">
        <v>3.6063884595569293E-3</v>
      </c>
    </row>
    <row r="156" spans="2:5" ht="15" customHeight="1">
      <c r="B156" s="120"/>
      <c r="C156" s="70" t="s">
        <v>164</v>
      </c>
      <c r="D156" s="69">
        <v>7</v>
      </c>
      <c r="E156" s="68">
        <v>3.6063884595569293E-3</v>
      </c>
    </row>
    <row r="157" spans="2:5" ht="15" customHeight="1">
      <c r="B157" s="120"/>
      <c r="C157" s="70" t="s">
        <v>149</v>
      </c>
      <c r="D157" s="69">
        <v>2</v>
      </c>
      <c r="E157" s="68">
        <v>1.0303967027305513E-3</v>
      </c>
    </row>
    <row r="158" spans="2:5" ht="15" customHeight="1">
      <c r="B158" s="120"/>
      <c r="C158" s="70" t="s">
        <v>258</v>
      </c>
      <c r="D158" s="69">
        <v>1</v>
      </c>
      <c r="E158" s="68">
        <v>5.1519835136527566E-4</v>
      </c>
    </row>
    <row r="159" spans="2:5" ht="15" customHeight="1">
      <c r="B159" s="120"/>
      <c r="C159" s="70" t="s">
        <v>154</v>
      </c>
      <c r="D159" s="69">
        <v>3</v>
      </c>
      <c r="E159" s="68">
        <v>1.5455950540958269E-3</v>
      </c>
    </row>
    <row r="160" spans="2:5" ht="15" customHeight="1">
      <c r="B160" s="120"/>
      <c r="C160" s="70" t="s">
        <v>122</v>
      </c>
      <c r="D160" s="69">
        <v>1</v>
      </c>
      <c r="E160" s="68">
        <v>5.1519835136527566E-4</v>
      </c>
    </row>
    <row r="161" spans="2:5" ht="15" customHeight="1">
      <c r="B161" s="120"/>
      <c r="C161" s="70" t="s">
        <v>129</v>
      </c>
      <c r="D161" s="69">
        <v>4</v>
      </c>
      <c r="E161" s="68">
        <v>2.0607934054611026E-3</v>
      </c>
    </row>
    <row r="162" spans="2:5" ht="15" customHeight="1">
      <c r="B162" s="120"/>
      <c r="C162" s="70" t="s">
        <v>121</v>
      </c>
      <c r="D162" s="69">
        <v>1</v>
      </c>
      <c r="E162" s="68">
        <v>5.1519835136527566E-4</v>
      </c>
    </row>
    <row r="163" spans="2:5" ht="15" customHeight="1">
      <c r="B163" s="120"/>
      <c r="C163" s="70" t="s">
        <v>158</v>
      </c>
      <c r="D163" s="69">
        <v>1</v>
      </c>
      <c r="E163" s="68">
        <v>5.1519835136527566E-4</v>
      </c>
    </row>
    <row r="164" spans="2:5" ht="15" customHeight="1">
      <c r="B164" s="120"/>
      <c r="C164" s="70" t="s">
        <v>153</v>
      </c>
      <c r="D164" s="69">
        <v>3</v>
      </c>
      <c r="E164" s="68">
        <v>1.5455950540958269E-3</v>
      </c>
    </row>
    <row r="165" spans="2:5" ht="15" customHeight="1">
      <c r="B165" s="120"/>
      <c r="C165" s="70" t="s">
        <v>148</v>
      </c>
      <c r="D165" s="69">
        <v>2</v>
      </c>
      <c r="E165" s="68">
        <v>1.0303967027305513E-3</v>
      </c>
    </row>
    <row r="166" spans="2:5" ht="15" customHeight="1">
      <c r="B166" s="120"/>
      <c r="C166" s="70" t="s">
        <v>160</v>
      </c>
      <c r="D166" s="69">
        <v>12</v>
      </c>
      <c r="E166" s="68">
        <v>6.1823802163833074E-3</v>
      </c>
    </row>
    <row r="167" spans="2:5" ht="15" customHeight="1">
      <c r="B167" s="120"/>
      <c r="C167" s="70" t="s">
        <v>132</v>
      </c>
      <c r="D167" s="69">
        <v>1</v>
      </c>
      <c r="E167" s="68">
        <v>5.1519835136527566E-4</v>
      </c>
    </row>
    <row r="168" spans="2:5" ht="15" customHeight="1">
      <c r="B168" s="120"/>
      <c r="C168" s="70" t="s">
        <v>143</v>
      </c>
      <c r="D168" s="69">
        <v>5</v>
      </c>
      <c r="E168" s="68">
        <v>2.5759917568263782E-3</v>
      </c>
    </row>
    <row r="169" spans="2:5" ht="15" customHeight="1">
      <c r="B169" s="120"/>
      <c r="C169" s="70" t="s">
        <v>265</v>
      </c>
      <c r="D169" s="69">
        <v>1</v>
      </c>
      <c r="E169" s="68">
        <v>5.1519835136527566E-4</v>
      </c>
    </row>
    <row r="170" spans="2:5" ht="15" customHeight="1">
      <c r="B170" s="120"/>
      <c r="C170" s="70" t="s">
        <v>150</v>
      </c>
      <c r="D170" s="69">
        <v>2</v>
      </c>
      <c r="E170" s="68">
        <v>1.0303967027305513E-3</v>
      </c>
    </row>
    <row r="171" spans="2:5" ht="15" customHeight="1">
      <c r="B171" s="120"/>
      <c r="C171" s="70" t="s">
        <v>172</v>
      </c>
      <c r="D171" s="69">
        <v>118</v>
      </c>
      <c r="E171" s="68">
        <v>6.0793405461102526E-2</v>
      </c>
    </row>
    <row r="172" spans="2:5" ht="15" customHeight="1">
      <c r="B172" s="120"/>
      <c r="C172" s="70" t="s">
        <v>107</v>
      </c>
      <c r="D172" s="69">
        <v>1</v>
      </c>
      <c r="E172" s="68">
        <v>5.1519835136527566E-4</v>
      </c>
    </row>
    <row r="173" spans="2:5" ht="15" customHeight="1">
      <c r="B173" s="120"/>
      <c r="C173" s="70" t="s">
        <v>167</v>
      </c>
      <c r="D173" s="69">
        <v>66</v>
      </c>
      <c r="E173" s="68">
        <v>3.4003091190108192E-2</v>
      </c>
    </row>
    <row r="174" spans="2:5" ht="15" customHeight="1">
      <c r="B174" s="120"/>
      <c r="C174" s="70" t="s">
        <v>170</v>
      </c>
      <c r="D174" s="69">
        <v>8</v>
      </c>
      <c r="E174" s="68">
        <v>4.1215868109222053E-3</v>
      </c>
    </row>
    <row r="175" spans="2:5" ht="15" customHeight="1">
      <c r="B175" s="120"/>
      <c r="C175" s="70" t="s">
        <v>131</v>
      </c>
      <c r="D175" s="69">
        <v>14</v>
      </c>
      <c r="E175" s="68">
        <v>7.2127769191138585E-3</v>
      </c>
    </row>
    <row r="176" spans="2:5" ht="15" customHeight="1">
      <c r="B176" s="120"/>
      <c r="C176" s="70" t="s">
        <v>171</v>
      </c>
      <c r="D176" s="69">
        <v>1</v>
      </c>
      <c r="E176" s="68">
        <v>5.1519835136527566E-4</v>
      </c>
    </row>
    <row r="177" spans="2:5" ht="15" customHeight="1">
      <c r="B177" s="120"/>
      <c r="C177" s="70" t="s">
        <v>142</v>
      </c>
      <c r="D177" s="69">
        <v>5</v>
      </c>
      <c r="E177" s="68">
        <v>2.5759917568263782E-3</v>
      </c>
    </row>
    <row r="178" spans="2:5" ht="15" customHeight="1">
      <c r="B178" s="120"/>
      <c r="C178" s="70" t="s">
        <v>128</v>
      </c>
      <c r="D178" s="69">
        <v>1</v>
      </c>
      <c r="E178" s="68">
        <v>5.1519835136527566E-4</v>
      </c>
    </row>
    <row r="179" spans="2:5" ht="15" customHeight="1">
      <c r="B179" s="120"/>
      <c r="C179" s="70" t="s">
        <v>162</v>
      </c>
      <c r="D179" s="69">
        <v>1</v>
      </c>
      <c r="E179" s="68">
        <v>5.1519835136527566E-4</v>
      </c>
    </row>
    <row r="180" spans="2:5" ht="15" customHeight="1">
      <c r="B180" s="120"/>
      <c r="C180" s="70" t="s">
        <v>102</v>
      </c>
      <c r="D180" s="69">
        <v>3</v>
      </c>
      <c r="E180" s="68">
        <v>1.5455950540958269E-3</v>
      </c>
    </row>
    <row r="181" spans="2:5" ht="15" customHeight="1">
      <c r="B181" s="120"/>
      <c r="C181" s="70" t="s">
        <v>146</v>
      </c>
      <c r="D181" s="69">
        <v>3</v>
      </c>
      <c r="E181" s="68">
        <v>1.5455950540958269E-3</v>
      </c>
    </row>
    <row r="182" spans="2:5" ht="15" customHeight="1">
      <c r="B182" s="120"/>
      <c r="C182" s="70" t="s">
        <v>243</v>
      </c>
      <c r="D182" s="69">
        <v>1</v>
      </c>
      <c r="E182" s="68">
        <v>5.1519835136527566E-4</v>
      </c>
    </row>
    <row r="183" spans="2:5" ht="15" customHeight="1">
      <c r="B183" s="120"/>
      <c r="C183" s="70" t="s">
        <v>156</v>
      </c>
      <c r="D183" s="69">
        <v>1</v>
      </c>
      <c r="E183" s="68">
        <v>5.1519835136527566E-4</v>
      </c>
    </row>
    <row r="184" spans="2:5" ht="15" customHeight="1">
      <c r="B184" s="120"/>
      <c r="C184" s="70" t="s">
        <v>145</v>
      </c>
      <c r="D184" s="69">
        <v>3</v>
      </c>
      <c r="E184" s="68">
        <v>1.5455950540958269E-3</v>
      </c>
    </row>
    <row r="185" spans="2:5" ht="15" customHeight="1">
      <c r="B185" s="120"/>
      <c r="C185" s="70" t="s">
        <v>168</v>
      </c>
      <c r="D185" s="69">
        <v>4</v>
      </c>
      <c r="E185" s="68">
        <v>2.0607934054611026E-3</v>
      </c>
    </row>
    <row r="186" spans="2:5" ht="15" customHeight="1">
      <c r="B186" s="120"/>
      <c r="C186" s="70" t="s">
        <v>138</v>
      </c>
      <c r="D186" s="69">
        <v>1</v>
      </c>
      <c r="E186" s="68">
        <v>5.1519835136527566E-4</v>
      </c>
    </row>
    <row r="187" spans="2:5" ht="15" customHeight="1">
      <c r="B187" s="120"/>
      <c r="C187" s="70" t="s">
        <v>141</v>
      </c>
      <c r="D187" s="69">
        <v>3</v>
      </c>
      <c r="E187" s="68">
        <v>1.5455950540958269E-3</v>
      </c>
    </row>
    <row r="188" spans="2:5" ht="15" customHeight="1">
      <c r="B188" s="120"/>
      <c r="C188" s="70" t="s">
        <v>166</v>
      </c>
      <c r="D188" s="69">
        <v>1</v>
      </c>
      <c r="E188" s="68">
        <v>5.1519835136527566E-4</v>
      </c>
    </row>
    <row r="189" spans="2:5" ht="15" customHeight="1">
      <c r="B189" s="120"/>
      <c r="C189" s="70" t="s">
        <v>114</v>
      </c>
      <c r="D189" s="69">
        <v>1</v>
      </c>
      <c r="E189" s="68">
        <v>5.1519835136527566E-4</v>
      </c>
    </row>
    <row r="190" spans="2:5" ht="15" customHeight="1">
      <c r="B190" s="120"/>
      <c r="C190" s="70" t="s">
        <v>133</v>
      </c>
      <c r="D190" s="69">
        <v>2</v>
      </c>
      <c r="E190" s="68">
        <v>1.0303967027305513E-3</v>
      </c>
    </row>
    <row r="191" spans="2:5" ht="15" customHeight="1">
      <c r="B191" s="120"/>
      <c r="C191" s="70" t="s">
        <v>155</v>
      </c>
      <c r="D191" s="69">
        <v>5</v>
      </c>
      <c r="E191" s="68">
        <v>2.5759917568263782E-3</v>
      </c>
    </row>
    <row r="192" spans="2:5" ht="15" customHeight="1">
      <c r="B192" s="120"/>
      <c r="C192" s="70" t="s">
        <v>161</v>
      </c>
      <c r="D192" s="69">
        <v>25</v>
      </c>
      <c r="E192" s="68">
        <v>1.287995878413189E-2</v>
      </c>
    </row>
    <row r="193" spans="2:5" ht="15" customHeight="1">
      <c r="B193" s="120"/>
      <c r="C193" s="70" t="s">
        <v>147</v>
      </c>
      <c r="D193" s="69">
        <v>3</v>
      </c>
      <c r="E193" s="68">
        <v>1.5455950540958269E-3</v>
      </c>
    </row>
    <row r="194" spans="2:5" ht="15" customHeight="1">
      <c r="B194" s="120"/>
      <c r="C194" s="70" t="s">
        <v>247</v>
      </c>
      <c r="D194" s="69">
        <v>1</v>
      </c>
      <c r="E194" s="68">
        <v>5.1519835136527566E-4</v>
      </c>
    </row>
    <row r="195" spans="2:5" ht="15" customHeight="1">
      <c r="B195" s="120"/>
      <c r="C195" s="70" t="s">
        <v>144</v>
      </c>
      <c r="D195" s="69">
        <v>3</v>
      </c>
      <c r="E195" s="68">
        <v>1.5455950540958269E-3</v>
      </c>
    </row>
    <row r="196" spans="2:5" ht="15" customHeight="1">
      <c r="B196" s="120"/>
      <c r="C196" s="70" t="s">
        <v>127</v>
      </c>
      <c r="D196" s="69">
        <v>1</v>
      </c>
      <c r="E196" s="68">
        <v>5.1519835136527566E-4</v>
      </c>
    </row>
    <row r="197" spans="2:5" ht="15" customHeight="1">
      <c r="B197" s="120"/>
      <c r="C197" s="70" t="s">
        <v>105</v>
      </c>
      <c r="D197" s="69">
        <v>1</v>
      </c>
      <c r="E197" s="68">
        <v>5.1519835136527566E-4</v>
      </c>
    </row>
    <row r="198" spans="2:5" ht="15" customHeight="1">
      <c r="B198" s="121"/>
      <c r="C198" s="67" t="s">
        <v>20</v>
      </c>
      <c r="D198" s="66">
        <v>338</v>
      </c>
      <c r="E198" s="65">
        <v>0.17413704276146316</v>
      </c>
    </row>
    <row r="199" spans="2:5" ht="15" customHeight="1">
      <c r="B199" s="119" t="s">
        <v>76</v>
      </c>
      <c r="C199" s="70" t="s">
        <v>172</v>
      </c>
      <c r="D199" s="69">
        <v>2</v>
      </c>
      <c r="E199" s="68">
        <v>1.0303967027305513E-3</v>
      </c>
    </row>
    <row r="200" spans="2:5" ht="15" customHeight="1">
      <c r="B200" s="121"/>
      <c r="C200" s="67" t="s">
        <v>20</v>
      </c>
      <c r="D200" s="66">
        <v>2</v>
      </c>
      <c r="E200" s="65">
        <v>1.0303967027305513E-3</v>
      </c>
    </row>
    <row r="201" spans="2:5" ht="15" customHeight="1">
      <c r="B201" s="119" t="s">
        <v>71</v>
      </c>
      <c r="C201" s="70" t="s">
        <v>122</v>
      </c>
      <c r="D201" s="69">
        <v>1</v>
      </c>
      <c r="E201" s="68">
        <v>5.1519835136527566E-4</v>
      </c>
    </row>
    <row r="202" spans="2:5" ht="15" customHeight="1">
      <c r="B202" s="120"/>
      <c r="C202" s="70" t="s">
        <v>160</v>
      </c>
      <c r="D202" s="69">
        <v>1</v>
      </c>
      <c r="E202" s="68">
        <v>5.1519835136527566E-4</v>
      </c>
    </row>
    <row r="203" spans="2:5" ht="15" customHeight="1">
      <c r="B203" s="120"/>
      <c r="C203" s="70" t="s">
        <v>172</v>
      </c>
      <c r="D203" s="69">
        <v>16</v>
      </c>
      <c r="E203" s="68">
        <v>8.2431736218444105E-3</v>
      </c>
    </row>
    <row r="204" spans="2:5" ht="15" customHeight="1">
      <c r="B204" s="120"/>
      <c r="C204" s="70" t="s">
        <v>142</v>
      </c>
      <c r="D204" s="69">
        <v>2</v>
      </c>
      <c r="E204" s="68">
        <v>1.0303967027305513E-3</v>
      </c>
    </row>
    <row r="205" spans="2:5" ht="15" customHeight="1">
      <c r="B205" s="120"/>
      <c r="C205" s="70" t="s">
        <v>166</v>
      </c>
      <c r="D205" s="69">
        <v>2</v>
      </c>
      <c r="E205" s="68">
        <v>1.0303967027305513E-3</v>
      </c>
    </row>
    <row r="206" spans="2:5" ht="15" customHeight="1">
      <c r="B206" s="121"/>
      <c r="C206" s="67" t="s">
        <v>20</v>
      </c>
      <c r="D206" s="66">
        <v>22</v>
      </c>
      <c r="E206" s="65">
        <v>1.1334363730036065E-2</v>
      </c>
    </row>
    <row r="207" spans="2:5" ht="15" customHeight="1">
      <c r="B207" s="119" t="s">
        <v>70</v>
      </c>
      <c r="C207" s="70" t="s">
        <v>244</v>
      </c>
      <c r="D207" s="69">
        <v>1</v>
      </c>
      <c r="E207" s="68">
        <v>5.1519835136527566E-4</v>
      </c>
    </row>
    <row r="208" spans="2:5" ht="15" customHeight="1">
      <c r="B208" s="120"/>
      <c r="C208" s="70" t="s">
        <v>172</v>
      </c>
      <c r="D208" s="69">
        <v>4</v>
      </c>
      <c r="E208" s="68">
        <v>2.0607934054611026E-3</v>
      </c>
    </row>
    <row r="209" spans="2:5" ht="15" customHeight="1">
      <c r="B209" s="120"/>
      <c r="C209" s="70" t="s">
        <v>142</v>
      </c>
      <c r="D209" s="69">
        <v>1</v>
      </c>
      <c r="E209" s="68">
        <v>5.1519835136527566E-4</v>
      </c>
    </row>
    <row r="210" spans="2:5" ht="15" customHeight="1">
      <c r="B210" s="120"/>
      <c r="C210" s="70" t="s">
        <v>168</v>
      </c>
      <c r="D210" s="69">
        <v>2</v>
      </c>
      <c r="E210" s="68">
        <v>1.0303967027305513E-3</v>
      </c>
    </row>
    <row r="211" spans="2:5" ht="15" customHeight="1">
      <c r="B211" s="120"/>
      <c r="C211" s="70" t="s">
        <v>166</v>
      </c>
      <c r="D211" s="69">
        <v>1</v>
      </c>
      <c r="E211" s="68">
        <v>5.1519835136527566E-4</v>
      </c>
    </row>
    <row r="212" spans="2:5" ht="15" customHeight="1">
      <c r="B212" s="120"/>
      <c r="C212" s="70" t="s">
        <v>155</v>
      </c>
      <c r="D212" s="69">
        <v>1</v>
      </c>
      <c r="E212" s="68">
        <v>5.1519835136527566E-4</v>
      </c>
    </row>
    <row r="213" spans="2:5" ht="15" customHeight="1">
      <c r="B213" s="121"/>
      <c r="C213" s="67" t="s">
        <v>20</v>
      </c>
      <c r="D213" s="66">
        <v>10</v>
      </c>
      <c r="E213" s="65">
        <v>5.1519835136527563E-3</v>
      </c>
    </row>
    <row r="214" spans="2:5" ht="15" customHeight="1">
      <c r="B214" s="119" t="s">
        <v>63</v>
      </c>
      <c r="C214" s="70" t="s">
        <v>172</v>
      </c>
      <c r="D214" s="69">
        <v>5</v>
      </c>
      <c r="E214" s="68">
        <v>2.5759917568263782E-3</v>
      </c>
    </row>
    <row r="215" spans="2:5" ht="15" customHeight="1">
      <c r="B215" s="120"/>
      <c r="C215" s="70" t="s">
        <v>167</v>
      </c>
      <c r="D215" s="69">
        <v>1</v>
      </c>
      <c r="E215" s="68">
        <v>5.1519835136527566E-4</v>
      </c>
    </row>
    <row r="216" spans="2:5" ht="15" customHeight="1">
      <c r="B216" s="120"/>
      <c r="C216" s="70" t="s">
        <v>99</v>
      </c>
      <c r="D216" s="69">
        <v>3</v>
      </c>
      <c r="E216" s="68">
        <v>1.5455950540958269E-3</v>
      </c>
    </row>
    <row r="217" spans="2:5" ht="15" customHeight="1">
      <c r="B217" s="121"/>
      <c r="C217" s="67" t="s">
        <v>20</v>
      </c>
      <c r="D217" s="66">
        <v>9</v>
      </c>
      <c r="E217" s="65">
        <v>4.6367851622874804E-3</v>
      </c>
    </row>
    <row r="218" spans="2:5" ht="15" customHeight="1">
      <c r="B218" s="119" t="s">
        <v>92</v>
      </c>
      <c r="C218" s="70" t="s">
        <v>257</v>
      </c>
      <c r="D218" s="69">
        <v>1</v>
      </c>
      <c r="E218" s="68">
        <v>5.1519835136527566E-4</v>
      </c>
    </row>
    <row r="219" spans="2:5" ht="15" customHeight="1">
      <c r="B219" s="120"/>
      <c r="C219" s="70" t="s">
        <v>159</v>
      </c>
      <c r="D219" s="69">
        <v>1</v>
      </c>
      <c r="E219" s="68">
        <v>5.1519835136527566E-4</v>
      </c>
    </row>
    <row r="220" spans="2:5" ht="15" customHeight="1">
      <c r="B220" s="120"/>
      <c r="C220" s="70" t="s">
        <v>112</v>
      </c>
      <c r="D220" s="69">
        <v>1</v>
      </c>
      <c r="E220" s="68">
        <v>5.1519835136527566E-4</v>
      </c>
    </row>
    <row r="221" spans="2:5" ht="15" customHeight="1">
      <c r="B221" s="120"/>
      <c r="C221" s="70" t="s">
        <v>104</v>
      </c>
      <c r="D221" s="69">
        <v>1</v>
      </c>
      <c r="E221" s="68">
        <v>5.1519835136527566E-4</v>
      </c>
    </row>
    <row r="222" spans="2:5" ht="15" customHeight="1">
      <c r="B222" s="120"/>
      <c r="C222" s="70" t="s">
        <v>160</v>
      </c>
      <c r="D222" s="69">
        <v>1</v>
      </c>
      <c r="E222" s="68">
        <v>5.1519835136527566E-4</v>
      </c>
    </row>
    <row r="223" spans="2:5" ht="15" customHeight="1">
      <c r="B223" s="120"/>
      <c r="C223" s="70" t="s">
        <v>172</v>
      </c>
      <c r="D223" s="69">
        <v>12</v>
      </c>
      <c r="E223" s="68">
        <v>6.1823802163833074E-3</v>
      </c>
    </row>
    <row r="224" spans="2:5" ht="15" customHeight="1">
      <c r="B224" s="120"/>
      <c r="C224" s="70" t="s">
        <v>100</v>
      </c>
      <c r="D224" s="69">
        <v>1</v>
      </c>
      <c r="E224" s="68">
        <v>5.1519835136527566E-4</v>
      </c>
    </row>
    <row r="225" spans="2:5" ht="15" customHeight="1">
      <c r="B225" s="120"/>
      <c r="C225" s="70" t="s">
        <v>133</v>
      </c>
      <c r="D225" s="69">
        <v>1</v>
      </c>
      <c r="E225" s="68">
        <v>5.1519835136527566E-4</v>
      </c>
    </row>
    <row r="226" spans="2:5" ht="15" customHeight="1">
      <c r="B226" s="120"/>
      <c r="C226" s="70" t="s">
        <v>152</v>
      </c>
      <c r="D226" s="69">
        <v>1</v>
      </c>
      <c r="E226" s="68">
        <v>5.1519835136527566E-4</v>
      </c>
    </row>
    <row r="227" spans="2:5" ht="15" customHeight="1">
      <c r="B227" s="121"/>
      <c r="C227" s="67" t="s">
        <v>20</v>
      </c>
      <c r="D227" s="66">
        <v>20</v>
      </c>
      <c r="E227" s="65">
        <v>1.0303967027305513E-2</v>
      </c>
    </row>
    <row r="228" spans="2:5" ht="15" customHeight="1">
      <c r="B228" s="119" t="s">
        <v>65</v>
      </c>
      <c r="C228" s="70" t="s">
        <v>159</v>
      </c>
      <c r="D228" s="69">
        <v>1</v>
      </c>
      <c r="E228" s="68">
        <v>5.1519835136527566E-4</v>
      </c>
    </row>
    <row r="229" spans="2:5" ht="15" customHeight="1">
      <c r="B229" s="120"/>
      <c r="C229" s="70" t="s">
        <v>172</v>
      </c>
      <c r="D229" s="69">
        <v>2</v>
      </c>
      <c r="E229" s="68">
        <v>1.0303967027305513E-3</v>
      </c>
    </row>
    <row r="230" spans="2:5" ht="15" customHeight="1">
      <c r="B230" s="120"/>
      <c r="C230" s="70" t="s">
        <v>166</v>
      </c>
      <c r="D230" s="69">
        <v>1</v>
      </c>
      <c r="E230" s="68">
        <v>5.1519835136527566E-4</v>
      </c>
    </row>
    <row r="231" spans="2:5" ht="15" customHeight="1">
      <c r="B231" s="121"/>
      <c r="C231" s="67" t="s">
        <v>20</v>
      </c>
      <c r="D231" s="66">
        <v>4</v>
      </c>
      <c r="E231" s="65">
        <v>2.0607934054611026E-3</v>
      </c>
    </row>
    <row r="232" spans="2:5" ht="15" customHeight="1">
      <c r="B232" s="119" t="s">
        <v>84</v>
      </c>
      <c r="C232" s="70" t="s">
        <v>244</v>
      </c>
      <c r="D232" s="69">
        <v>1</v>
      </c>
      <c r="E232" s="68">
        <v>5.1519835136527566E-4</v>
      </c>
    </row>
    <row r="233" spans="2:5" ht="15" customHeight="1">
      <c r="B233" s="120"/>
      <c r="C233" s="70" t="s">
        <v>256</v>
      </c>
      <c r="D233" s="69">
        <v>2</v>
      </c>
      <c r="E233" s="68">
        <v>1.0303967027305513E-3</v>
      </c>
    </row>
    <row r="234" spans="2:5" ht="15" customHeight="1">
      <c r="B234" s="120"/>
      <c r="C234" s="70" t="s">
        <v>104</v>
      </c>
      <c r="D234" s="69">
        <v>2</v>
      </c>
      <c r="E234" s="68">
        <v>1.0303967027305513E-3</v>
      </c>
    </row>
    <row r="235" spans="2:5" ht="15" customHeight="1">
      <c r="B235" s="120"/>
      <c r="C235" s="70" t="s">
        <v>172</v>
      </c>
      <c r="D235" s="69">
        <v>6</v>
      </c>
      <c r="E235" s="68">
        <v>3.0911901081916537E-3</v>
      </c>
    </row>
    <row r="236" spans="2:5" ht="15" customHeight="1">
      <c r="B236" s="120"/>
      <c r="C236" s="70" t="s">
        <v>107</v>
      </c>
      <c r="D236" s="69">
        <v>1</v>
      </c>
      <c r="E236" s="68">
        <v>5.1519835136527566E-4</v>
      </c>
    </row>
    <row r="237" spans="2:5" ht="15" customHeight="1">
      <c r="B237" s="120"/>
      <c r="C237" s="70" t="s">
        <v>170</v>
      </c>
      <c r="D237" s="69">
        <v>1</v>
      </c>
      <c r="E237" s="68">
        <v>5.1519835136527566E-4</v>
      </c>
    </row>
    <row r="238" spans="2:5" ht="15" customHeight="1">
      <c r="B238" s="120"/>
      <c r="C238" s="70" t="s">
        <v>139</v>
      </c>
      <c r="D238" s="69">
        <v>3</v>
      </c>
      <c r="E238" s="68">
        <v>1.5455950540958269E-3</v>
      </c>
    </row>
    <row r="239" spans="2:5" ht="15" customHeight="1">
      <c r="B239" s="120"/>
      <c r="C239" s="70" t="s">
        <v>166</v>
      </c>
      <c r="D239" s="69">
        <v>2</v>
      </c>
      <c r="E239" s="68">
        <v>1.0303967027305513E-3</v>
      </c>
    </row>
    <row r="240" spans="2:5" ht="15" customHeight="1">
      <c r="B240" s="120"/>
      <c r="C240" s="70" t="s">
        <v>147</v>
      </c>
      <c r="D240" s="69">
        <v>1</v>
      </c>
      <c r="E240" s="68">
        <v>5.1519835136527566E-4</v>
      </c>
    </row>
    <row r="241" spans="2:5" ht="15" customHeight="1">
      <c r="B241" s="121"/>
      <c r="C241" s="67" t="s">
        <v>20</v>
      </c>
      <c r="D241" s="66">
        <v>19</v>
      </c>
      <c r="E241" s="65">
        <v>9.7887686759402376E-3</v>
      </c>
    </row>
    <row r="242" spans="2:5" ht="15" customHeight="1">
      <c r="B242" s="119" t="s">
        <v>80</v>
      </c>
      <c r="C242" s="70" t="s">
        <v>126</v>
      </c>
      <c r="D242" s="69">
        <v>2</v>
      </c>
      <c r="E242" s="68">
        <v>1.0303967027305513E-3</v>
      </c>
    </row>
    <row r="243" spans="2:5" ht="15" customHeight="1">
      <c r="B243" s="120"/>
      <c r="C243" s="70" t="s">
        <v>119</v>
      </c>
      <c r="D243" s="69">
        <v>1</v>
      </c>
      <c r="E243" s="68">
        <v>5.1519835136527566E-4</v>
      </c>
    </row>
    <row r="244" spans="2:5" ht="15" customHeight="1">
      <c r="B244" s="120"/>
      <c r="C244" s="70" t="s">
        <v>160</v>
      </c>
      <c r="D244" s="69">
        <v>1</v>
      </c>
      <c r="E244" s="68">
        <v>5.1519835136527566E-4</v>
      </c>
    </row>
    <row r="245" spans="2:5" ht="15" customHeight="1">
      <c r="B245" s="120"/>
      <c r="C245" s="70" t="s">
        <v>132</v>
      </c>
      <c r="D245" s="69">
        <v>1</v>
      </c>
      <c r="E245" s="68">
        <v>5.1519835136527566E-4</v>
      </c>
    </row>
    <row r="246" spans="2:5" ht="15" customHeight="1">
      <c r="B246" s="120"/>
      <c r="C246" s="70" t="s">
        <v>150</v>
      </c>
      <c r="D246" s="69">
        <v>1</v>
      </c>
      <c r="E246" s="68">
        <v>5.1519835136527566E-4</v>
      </c>
    </row>
    <row r="247" spans="2:5" ht="15" customHeight="1">
      <c r="B247" s="120"/>
      <c r="C247" s="70" t="s">
        <v>172</v>
      </c>
      <c r="D247" s="69">
        <v>23</v>
      </c>
      <c r="E247" s="68">
        <v>1.184956208140134E-2</v>
      </c>
    </row>
    <row r="248" spans="2:5" ht="15" customHeight="1">
      <c r="B248" s="120"/>
      <c r="C248" s="70" t="s">
        <v>167</v>
      </c>
      <c r="D248" s="69">
        <v>1</v>
      </c>
      <c r="E248" s="68">
        <v>5.1519835136527566E-4</v>
      </c>
    </row>
    <row r="249" spans="2:5" ht="15" customHeight="1">
      <c r="B249" s="120"/>
      <c r="C249" s="70" t="s">
        <v>170</v>
      </c>
      <c r="D249" s="69">
        <v>47</v>
      </c>
      <c r="E249" s="68">
        <v>2.4214322514167955E-2</v>
      </c>
    </row>
    <row r="250" spans="2:5" ht="15" customHeight="1">
      <c r="B250" s="120"/>
      <c r="C250" s="70" t="s">
        <v>171</v>
      </c>
      <c r="D250" s="69">
        <v>1</v>
      </c>
      <c r="E250" s="68">
        <v>5.1519835136527566E-4</v>
      </c>
    </row>
    <row r="251" spans="2:5" ht="15" customHeight="1">
      <c r="B251" s="120"/>
      <c r="C251" s="70" t="s">
        <v>162</v>
      </c>
      <c r="D251" s="69">
        <v>2</v>
      </c>
      <c r="E251" s="68">
        <v>1.0303967027305513E-3</v>
      </c>
    </row>
    <row r="252" spans="2:5" ht="15" customHeight="1">
      <c r="B252" s="120"/>
      <c r="C252" s="70" t="s">
        <v>103</v>
      </c>
      <c r="D252" s="69">
        <v>1</v>
      </c>
      <c r="E252" s="68">
        <v>5.1519835136527566E-4</v>
      </c>
    </row>
    <row r="253" spans="2:5" ht="15" customHeight="1">
      <c r="B253" s="120"/>
      <c r="C253" s="70" t="s">
        <v>146</v>
      </c>
      <c r="D253" s="69">
        <v>1</v>
      </c>
      <c r="E253" s="68">
        <v>5.1519835136527566E-4</v>
      </c>
    </row>
    <row r="254" spans="2:5" ht="15" customHeight="1">
      <c r="B254" s="120"/>
      <c r="C254" s="70" t="s">
        <v>136</v>
      </c>
      <c r="D254" s="69">
        <v>4</v>
      </c>
      <c r="E254" s="68">
        <v>2.0607934054611026E-3</v>
      </c>
    </row>
    <row r="255" spans="2:5" ht="15" customHeight="1">
      <c r="B255" s="120"/>
      <c r="C255" s="70" t="s">
        <v>141</v>
      </c>
      <c r="D255" s="69">
        <v>1</v>
      </c>
      <c r="E255" s="68">
        <v>5.1519835136527566E-4</v>
      </c>
    </row>
    <row r="256" spans="2:5" ht="15" customHeight="1">
      <c r="B256" s="120"/>
      <c r="C256" s="70" t="s">
        <v>166</v>
      </c>
      <c r="D256" s="69">
        <v>1</v>
      </c>
      <c r="E256" s="68">
        <v>5.1519835136527566E-4</v>
      </c>
    </row>
    <row r="257" spans="2:5" ht="15" customHeight="1">
      <c r="B257" s="120"/>
      <c r="C257" s="70" t="s">
        <v>140</v>
      </c>
      <c r="D257" s="69">
        <v>1</v>
      </c>
      <c r="E257" s="68">
        <v>5.1519835136527566E-4</v>
      </c>
    </row>
    <row r="258" spans="2:5" ht="15" customHeight="1">
      <c r="B258" s="120"/>
      <c r="C258" s="70" t="s">
        <v>161</v>
      </c>
      <c r="D258" s="69">
        <v>1</v>
      </c>
      <c r="E258" s="68">
        <v>5.1519835136527566E-4</v>
      </c>
    </row>
    <row r="259" spans="2:5" ht="15" customHeight="1">
      <c r="B259" s="120"/>
      <c r="C259" s="70" t="s">
        <v>144</v>
      </c>
      <c r="D259" s="69">
        <v>1</v>
      </c>
      <c r="E259" s="68">
        <v>5.1519835136527566E-4</v>
      </c>
    </row>
    <row r="260" spans="2:5" ht="15" customHeight="1">
      <c r="B260" s="121"/>
      <c r="C260" s="67" t="s">
        <v>20</v>
      </c>
      <c r="D260" s="66">
        <v>91</v>
      </c>
      <c r="E260" s="65">
        <v>4.6883049974240081E-2</v>
      </c>
    </row>
    <row r="261" spans="2:5" ht="15" customHeight="1">
      <c r="B261" s="119" t="s">
        <v>68</v>
      </c>
      <c r="C261" s="70" t="s">
        <v>104</v>
      </c>
      <c r="D261" s="69">
        <v>1</v>
      </c>
      <c r="E261" s="68">
        <v>5.1519835136527566E-4</v>
      </c>
    </row>
    <row r="262" spans="2:5" ht="15" customHeight="1">
      <c r="B262" s="120"/>
      <c r="C262" s="70" t="s">
        <v>172</v>
      </c>
      <c r="D262" s="69">
        <v>2</v>
      </c>
      <c r="E262" s="68">
        <v>1.0303967027305513E-3</v>
      </c>
    </row>
    <row r="263" spans="2:5" ht="15" customHeight="1">
      <c r="B263" s="121"/>
      <c r="C263" s="67" t="s">
        <v>20</v>
      </c>
      <c r="D263" s="66">
        <v>3</v>
      </c>
      <c r="E263" s="65">
        <v>1.5455950540958269E-3</v>
      </c>
    </row>
    <row r="264" spans="2:5" ht="15" customHeight="1">
      <c r="B264" s="119" t="s">
        <v>72</v>
      </c>
      <c r="C264" s="70" t="s">
        <v>165</v>
      </c>
      <c r="D264" s="69">
        <v>3</v>
      </c>
      <c r="E264" s="68">
        <v>1.5455950540958269E-3</v>
      </c>
    </row>
    <row r="265" spans="2:5" ht="15" customHeight="1">
      <c r="B265" s="120"/>
      <c r="C265" s="70" t="s">
        <v>125</v>
      </c>
      <c r="D265" s="69">
        <v>1</v>
      </c>
      <c r="E265" s="68">
        <v>5.1519835136527566E-4</v>
      </c>
    </row>
    <row r="266" spans="2:5" ht="15" customHeight="1">
      <c r="B266" s="120"/>
      <c r="C266" s="70" t="s">
        <v>149</v>
      </c>
      <c r="D266" s="69">
        <v>6</v>
      </c>
      <c r="E266" s="68">
        <v>3.0911901081916537E-3</v>
      </c>
    </row>
    <row r="267" spans="2:5" ht="15" customHeight="1">
      <c r="B267" s="120"/>
      <c r="C267" s="70" t="s">
        <v>154</v>
      </c>
      <c r="D267" s="69">
        <v>1</v>
      </c>
      <c r="E267" s="68">
        <v>5.1519835136527566E-4</v>
      </c>
    </row>
    <row r="268" spans="2:5" ht="15" customHeight="1">
      <c r="B268" s="120"/>
      <c r="C268" s="70" t="s">
        <v>259</v>
      </c>
      <c r="D268" s="69">
        <v>1</v>
      </c>
      <c r="E268" s="68">
        <v>5.1519835136527566E-4</v>
      </c>
    </row>
    <row r="269" spans="2:5" ht="15" customHeight="1">
      <c r="B269" s="120"/>
      <c r="C269" s="70" t="s">
        <v>256</v>
      </c>
      <c r="D269" s="69">
        <v>5</v>
      </c>
      <c r="E269" s="68">
        <v>2.5759917568263782E-3</v>
      </c>
    </row>
    <row r="270" spans="2:5" ht="15" customHeight="1">
      <c r="B270" s="120"/>
      <c r="C270" s="70" t="s">
        <v>163</v>
      </c>
      <c r="D270" s="69">
        <v>9</v>
      </c>
      <c r="E270" s="68">
        <v>4.6367851622874804E-3</v>
      </c>
    </row>
    <row r="271" spans="2:5" ht="15" customHeight="1">
      <c r="B271" s="120"/>
      <c r="C271" s="70" t="s">
        <v>172</v>
      </c>
      <c r="D271" s="69">
        <v>5</v>
      </c>
      <c r="E271" s="68">
        <v>2.5759917568263782E-3</v>
      </c>
    </row>
    <row r="272" spans="2:5" ht="15" customHeight="1">
      <c r="B272" s="120"/>
      <c r="C272" s="70" t="s">
        <v>171</v>
      </c>
      <c r="D272" s="69">
        <v>44</v>
      </c>
      <c r="E272" s="68">
        <v>2.2668727460072129E-2</v>
      </c>
    </row>
    <row r="273" spans="2:5" ht="15" customHeight="1">
      <c r="B273" s="120"/>
      <c r="C273" s="70" t="s">
        <v>169</v>
      </c>
      <c r="D273" s="69">
        <v>1</v>
      </c>
      <c r="E273" s="68">
        <v>5.1519835136527566E-4</v>
      </c>
    </row>
    <row r="274" spans="2:5" ht="15" customHeight="1">
      <c r="B274" s="120"/>
      <c r="C274" s="70" t="s">
        <v>128</v>
      </c>
      <c r="D274" s="69">
        <v>1</v>
      </c>
      <c r="E274" s="68">
        <v>5.1519835136527566E-4</v>
      </c>
    </row>
    <row r="275" spans="2:5" ht="15" customHeight="1">
      <c r="B275" s="120"/>
      <c r="C275" s="70" t="s">
        <v>146</v>
      </c>
      <c r="D275" s="69">
        <v>1</v>
      </c>
      <c r="E275" s="68">
        <v>5.1519835136527566E-4</v>
      </c>
    </row>
    <row r="276" spans="2:5" ht="15" customHeight="1">
      <c r="B276" s="120"/>
      <c r="C276" s="70" t="s">
        <v>156</v>
      </c>
      <c r="D276" s="69">
        <v>1</v>
      </c>
      <c r="E276" s="68">
        <v>5.1519835136527566E-4</v>
      </c>
    </row>
    <row r="277" spans="2:5" ht="15" customHeight="1">
      <c r="B277" s="120"/>
      <c r="C277" s="70" t="s">
        <v>168</v>
      </c>
      <c r="D277" s="69">
        <v>4</v>
      </c>
      <c r="E277" s="68">
        <v>2.0607934054611026E-3</v>
      </c>
    </row>
    <row r="278" spans="2:5" ht="15" customHeight="1">
      <c r="B278" s="120"/>
      <c r="C278" s="70" t="s">
        <v>139</v>
      </c>
      <c r="D278" s="69">
        <v>2</v>
      </c>
      <c r="E278" s="68">
        <v>1.0303967027305513E-3</v>
      </c>
    </row>
    <row r="279" spans="2:5" ht="15" customHeight="1">
      <c r="B279" s="120"/>
      <c r="C279" s="70" t="s">
        <v>166</v>
      </c>
      <c r="D279" s="69">
        <v>8</v>
      </c>
      <c r="E279" s="68">
        <v>4.1215868109222053E-3</v>
      </c>
    </row>
    <row r="280" spans="2:5" ht="15" customHeight="1">
      <c r="B280" s="120"/>
      <c r="C280" s="70" t="s">
        <v>140</v>
      </c>
      <c r="D280" s="69">
        <v>1</v>
      </c>
      <c r="E280" s="68">
        <v>5.1519835136527566E-4</v>
      </c>
    </row>
    <row r="281" spans="2:5" ht="15" customHeight="1">
      <c r="B281" s="120"/>
      <c r="C281" s="70" t="s">
        <v>155</v>
      </c>
      <c r="D281" s="69">
        <v>1</v>
      </c>
      <c r="E281" s="68">
        <v>5.1519835136527566E-4</v>
      </c>
    </row>
    <row r="282" spans="2:5" ht="15" customHeight="1">
      <c r="B282" s="120"/>
      <c r="C282" s="70" t="s">
        <v>161</v>
      </c>
      <c r="D282" s="69">
        <v>3</v>
      </c>
      <c r="E282" s="68">
        <v>1.5455950540958269E-3</v>
      </c>
    </row>
    <row r="283" spans="2:5" ht="15" customHeight="1">
      <c r="B283" s="120"/>
      <c r="C283" s="70" t="s">
        <v>147</v>
      </c>
      <c r="D283" s="69">
        <v>1</v>
      </c>
      <c r="E283" s="68">
        <v>5.1519835136527566E-4</v>
      </c>
    </row>
    <row r="284" spans="2:5" ht="15" customHeight="1">
      <c r="B284" s="121"/>
      <c r="C284" s="67" t="s">
        <v>20</v>
      </c>
      <c r="D284" s="66">
        <v>99</v>
      </c>
      <c r="E284" s="65">
        <v>5.1004636785162288E-2</v>
      </c>
    </row>
    <row r="285" spans="2:5" ht="15" customHeight="1">
      <c r="B285" s="119" t="s">
        <v>90</v>
      </c>
      <c r="C285" s="70" t="s">
        <v>109</v>
      </c>
      <c r="D285" s="69">
        <v>1</v>
      </c>
      <c r="E285" s="68">
        <v>5.1519835136527566E-4</v>
      </c>
    </row>
    <row r="286" spans="2:5" ht="15" customHeight="1">
      <c r="B286" s="120"/>
      <c r="C286" s="70" t="s">
        <v>129</v>
      </c>
      <c r="D286" s="69">
        <v>1</v>
      </c>
      <c r="E286" s="68">
        <v>5.1519835136527566E-4</v>
      </c>
    </row>
    <row r="287" spans="2:5" ht="15" customHeight="1">
      <c r="B287" s="120"/>
      <c r="C287" s="70" t="s">
        <v>172</v>
      </c>
      <c r="D287" s="69">
        <v>10</v>
      </c>
      <c r="E287" s="68">
        <v>5.1519835136527563E-3</v>
      </c>
    </row>
    <row r="288" spans="2:5" ht="15" customHeight="1">
      <c r="B288" s="120"/>
      <c r="C288" s="70" t="s">
        <v>167</v>
      </c>
      <c r="D288" s="69">
        <v>1</v>
      </c>
      <c r="E288" s="68">
        <v>5.1519835136527566E-4</v>
      </c>
    </row>
    <row r="289" spans="2:5" ht="15" customHeight="1">
      <c r="B289" s="120"/>
      <c r="C289" s="70" t="s">
        <v>266</v>
      </c>
      <c r="D289" s="69">
        <v>1</v>
      </c>
      <c r="E289" s="68">
        <v>5.1519835136527566E-4</v>
      </c>
    </row>
    <row r="290" spans="2:5" ht="15" customHeight="1">
      <c r="B290" s="120"/>
      <c r="C290" s="70" t="s">
        <v>146</v>
      </c>
      <c r="D290" s="69">
        <v>1</v>
      </c>
      <c r="E290" s="68">
        <v>5.1519835136527566E-4</v>
      </c>
    </row>
    <row r="291" spans="2:5" ht="15" customHeight="1">
      <c r="B291" s="120"/>
      <c r="C291" s="70" t="s">
        <v>243</v>
      </c>
      <c r="D291" s="69">
        <v>2</v>
      </c>
      <c r="E291" s="68">
        <v>1.0303967027305513E-3</v>
      </c>
    </row>
    <row r="292" spans="2:5" ht="15" customHeight="1">
      <c r="B292" s="120"/>
      <c r="C292" s="70" t="s">
        <v>155</v>
      </c>
      <c r="D292" s="69">
        <v>1</v>
      </c>
      <c r="E292" s="68">
        <v>5.1519835136527566E-4</v>
      </c>
    </row>
    <row r="293" spans="2:5" ht="15" customHeight="1">
      <c r="B293" s="120"/>
      <c r="C293" s="70" t="s">
        <v>152</v>
      </c>
      <c r="D293" s="69">
        <v>2</v>
      </c>
      <c r="E293" s="68">
        <v>1.0303967027305513E-3</v>
      </c>
    </row>
    <row r="294" spans="2:5" ht="15" customHeight="1">
      <c r="B294" s="121"/>
      <c r="C294" s="67" t="s">
        <v>20</v>
      </c>
      <c r="D294" s="66">
        <v>20</v>
      </c>
      <c r="E294" s="65">
        <v>1.0303967027305513E-2</v>
      </c>
    </row>
    <row r="295" spans="2:5" ht="15" customHeight="1">
      <c r="B295" s="119" t="s">
        <v>82</v>
      </c>
      <c r="C295" s="70" t="s">
        <v>135</v>
      </c>
      <c r="D295" s="69">
        <v>2</v>
      </c>
      <c r="E295" s="68">
        <v>1.0303967027305513E-3</v>
      </c>
    </row>
    <row r="296" spans="2:5" ht="15" customHeight="1">
      <c r="B296" s="120"/>
      <c r="C296" s="70" t="s">
        <v>115</v>
      </c>
      <c r="D296" s="69">
        <v>1</v>
      </c>
      <c r="E296" s="68">
        <v>5.1519835136527566E-4</v>
      </c>
    </row>
    <row r="297" spans="2:5" ht="15" customHeight="1">
      <c r="B297" s="120"/>
      <c r="C297" s="70" t="s">
        <v>256</v>
      </c>
      <c r="D297" s="69">
        <v>1</v>
      </c>
      <c r="E297" s="68">
        <v>5.1519835136527566E-4</v>
      </c>
    </row>
    <row r="298" spans="2:5" ht="15" customHeight="1">
      <c r="B298" s="120"/>
      <c r="C298" s="70" t="s">
        <v>172</v>
      </c>
      <c r="D298" s="69">
        <v>4</v>
      </c>
      <c r="E298" s="68">
        <v>2.0607934054611026E-3</v>
      </c>
    </row>
    <row r="299" spans="2:5" ht="15" customHeight="1">
      <c r="B299" s="120"/>
      <c r="C299" s="70" t="s">
        <v>171</v>
      </c>
      <c r="D299" s="69">
        <v>2</v>
      </c>
      <c r="E299" s="68">
        <v>1.0303967027305513E-3</v>
      </c>
    </row>
    <row r="300" spans="2:5" ht="15" customHeight="1">
      <c r="B300" s="120"/>
      <c r="C300" s="70" t="s">
        <v>169</v>
      </c>
      <c r="D300" s="69">
        <v>3</v>
      </c>
      <c r="E300" s="68">
        <v>1.5455950540958269E-3</v>
      </c>
    </row>
    <row r="301" spans="2:5" ht="15" customHeight="1">
      <c r="B301" s="120"/>
      <c r="C301" s="70" t="s">
        <v>136</v>
      </c>
      <c r="D301" s="69">
        <v>2</v>
      </c>
      <c r="E301" s="68">
        <v>1.0303967027305513E-3</v>
      </c>
    </row>
    <row r="302" spans="2:5" ht="15" customHeight="1">
      <c r="B302" s="121"/>
      <c r="C302" s="67" t="s">
        <v>20</v>
      </c>
      <c r="D302" s="66">
        <v>15</v>
      </c>
      <c r="E302" s="65">
        <v>7.7279752704791345E-3</v>
      </c>
    </row>
    <row r="303" spans="2:5" ht="15" customHeight="1">
      <c r="B303" s="119" t="s">
        <v>67</v>
      </c>
      <c r="C303" s="70" t="s">
        <v>119</v>
      </c>
      <c r="D303" s="69">
        <v>1</v>
      </c>
      <c r="E303" s="68">
        <v>5.1519835136527566E-4</v>
      </c>
    </row>
    <row r="304" spans="2:5" ht="15" customHeight="1">
      <c r="B304" s="120"/>
      <c r="C304" s="70" t="s">
        <v>172</v>
      </c>
      <c r="D304" s="69">
        <v>3</v>
      </c>
      <c r="E304" s="68">
        <v>1.5455950540958269E-3</v>
      </c>
    </row>
    <row r="305" spans="2:5" ht="15" customHeight="1">
      <c r="B305" s="120"/>
      <c r="C305" s="70" t="s">
        <v>142</v>
      </c>
      <c r="D305" s="69">
        <v>1</v>
      </c>
      <c r="E305" s="68">
        <v>5.1519835136527566E-4</v>
      </c>
    </row>
    <row r="306" spans="2:5" ht="15" customHeight="1">
      <c r="B306" s="120"/>
      <c r="C306" s="70" t="s">
        <v>127</v>
      </c>
      <c r="D306" s="69">
        <v>1</v>
      </c>
      <c r="E306" s="68">
        <v>5.1519835136527566E-4</v>
      </c>
    </row>
    <row r="307" spans="2:5" ht="15" customHeight="1">
      <c r="B307" s="121"/>
      <c r="C307" s="67" t="s">
        <v>20</v>
      </c>
      <c r="D307" s="66">
        <v>6</v>
      </c>
      <c r="E307" s="65">
        <v>3.0911901081916537E-3</v>
      </c>
    </row>
    <row r="308" spans="2:5" ht="15" customHeight="1">
      <c r="B308" s="119" t="s">
        <v>69</v>
      </c>
      <c r="C308" s="70" t="s">
        <v>159</v>
      </c>
      <c r="D308" s="69">
        <v>8</v>
      </c>
      <c r="E308" s="68">
        <v>4.1215868109222053E-3</v>
      </c>
    </row>
    <row r="309" spans="2:5" ht="15" customHeight="1">
      <c r="B309" s="120"/>
      <c r="C309" s="70" t="s">
        <v>164</v>
      </c>
      <c r="D309" s="69">
        <v>2</v>
      </c>
      <c r="E309" s="68">
        <v>1.0303967027305513E-3</v>
      </c>
    </row>
    <row r="310" spans="2:5" ht="15" customHeight="1">
      <c r="B310" s="120"/>
      <c r="C310" s="70" t="s">
        <v>121</v>
      </c>
      <c r="D310" s="69">
        <v>1</v>
      </c>
      <c r="E310" s="68">
        <v>5.1519835136527566E-4</v>
      </c>
    </row>
    <row r="311" spans="2:5" ht="15" customHeight="1">
      <c r="B311" s="120"/>
      <c r="C311" s="70" t="s">
        <v>160</v>
      </c>
      <c r="D311" s="69">
        <v>1</v>
      </c>
      <c r="E311" s="68">
        <v>5.1519835136527566E-4</v>
      </c>
    </row>
    <row r="312" spans="2:5" ht="15" customHeight="1">
      <c r="B312" s="120"/>
      <c r="C312" s="70" t="s">
        <v>172</v>
      </c>
      <c r="D312" s="69">
        <v>8</v>
      </c>
      <c r="E312" s="68">
        <v>4.1215868109222053E-3</v>
      </c>
    </row>
    <row r="313" spans="2:5" ht="15" customHeight="1">
      <c r="B313" s="120"/>
      <c r="C313" s="70" t="s">
        <v>167</v>
      </c>
      <c r="D313" s="69">
        <v>1</v>
      </c>
      <c r="E313" s="68">
        <v>5.1519835136527566E-4</v>
      </c>
    </row>
    <row r="314" spans="2:5" ht="15" customHeight="1">
      <c r="B314" s="120"/>
      <c r="C314" s="70" t="s">
        <v>170</v>
      </c>
      <c r="D314" s="69">
        <v>1</v>
      </c>
      <c r="E314" s="68">
        <v>5.1519835136527566E-4</v>
      </c>
    </row>
    <row r="315" spans="2:5" ht="15" customHeight="1">
      <c r="B315" s="120"/>
      <c r="C315" s="70" t="s">
        <v>171</v>
      </c>
      <c r="D315" s="69">
        <v>1</v>
      </c>
      <c r="E315" s="68">
        <v>5.1519835136527566E-4</v>
      </c>
    </row>
    <row r="316" spans="2:5" ht="15" customHeight="1">
      <c r="B316" s="120"/>
      <c r="C316" s="70" t="s">
        <v>142</v>
      </c>
      <c r="D316" s="69">
        <v>2</v>
      </c>
      <c r="E316" s="68">
        <v>1.0303967027305513E-3</v>
      </c>
    </row>
    <row r="317" spans="2:5" ht="15" customHeight="1">
      <c r="B317" s="120"/>
      <c r="C317" s="70" t="s">
        <v>245</v>
      </c>
      <c r="D317" s="69">
        <v>1</v>
      </c>
      <c r="E317" s="68">
        <v>5.1519835136527566E-4</v>
      </c>
    </row>
    <row r="318" spans="2:5" ht="15" customHeight="1">
      <c r="B318" s="120"/>
      <c r="C318" s="70" t="s">
        <v>102</v>
      </c>
      <c r="D318" s="69">
        <v>1</v>
      </c>
      <c r="E318" s="68">
        <v>5.1519835136527566E-4</v>
      </c>
    </row>
    <row r="319" spans="2:5" ht="15" customHeight="1">
      <c r="B319" s="120"/>
      <c r="C319" s="70" t="s">
        <v>136</v>
      </c>
      <c r="D319" s="69">
        <v>2</v>
      </c>
      <c r="E319" s="68">
        <v>1.0303967027305513E-3</v>
      </c>
    </row>
    <row r="320" spans="2:5" ht="15" customHeight="1">
      <c r="B320" s="120"/>
      <c r="C320" s="70" t="s">
        <v>166</v>
      </c>
      <c r="D320" s="69">
        <v>1</v>
      </c>
      <c r="E320" s="68">
        <v>5.1519835136527566E-4</v>
      </c>
    </row>
    <row r="321" spans="2:5" ht="15" customHeight="1">
      <c r="B321" s="120"/>
      <c r="C321" s="70" t="s">
        <v>161</v>
      </c>
      <c r="D321" s="69">
        <v>1</v>
      </c>
      <c r="E321" s="68">
        <v>5.1519835136527566E-4</v>
      </c>
    </row>
    <row r="322" spans="2:5" ht="15" customHeight="1">
      <c r="B322" s="120"/>
      <c r="C322" s="70" t="s">
        <v>144</v>
      </c>
      <c r="D322" s="69">
        <v>1</v>
      </c>
      <c r="E322" s="68">
        <v>5.1519835136527566E-4</v>
      </c>
    </row>
    <row r="323" spans="2:5" ht="15" customHeight="1">
      <c r="B323" s="121"/>
      <c r="C323" s="67" t="s">
        <v>20</v>
      </c>
      <c r="D323" s="66">
        <v>32</v>
      </c>
      <c r="E323" s="65">
        <v>1.6486347243688821E-2</v>
      </c>
    </row>
    <row r="324" spans="2:5" ht="15" customHeight="1">
      <c r="B324" s="119" t="s">
        <v>77</v>
      </c>
      <c r="C324" s="70" t="s">
        <v>130</v>
      </c>
      <c r="D324" s="69">
        <v>1</v>
      </c>
      <c r="E324" s="68">
        <v>5.1519835136527566E-4</v>
      </c>
    </row>
    <row r="325" spans="2:5" ht="15" customHeight="1">
      <c r="B325" s="120"/>
      <c r="C325" s="70" t="s">
        <v>150</v>
      </c>
      <c r="D325" s="69">
        <v>1</v>
      </c>
      <c r="E325" s="68">
        <v>5.1519835136527566E-4</v>
      </c>
    </row>
    <row r="326" spans="2:5" ht="15" customHeight="1">
      <c r="B326" s="120"/>
      <c r="C326" s="70" t="s">
        <v>172</v>
      </c>
      <c r="D326" s="69">
        <v>1</v>
      </c>
      <c r="E326" s="68">
        <v>5.1519835136527566E-4</v>
      </c>
    </row>
    <row r="327" spans="2:5" ht="15" customHeight="1">
      <c r="B327" s="120"/>
      <c r="C327" s="70" t="s">
        <v>260</v>
      </c>
      <c r="D327" s="69">
        <v>1</v>
      </c>
      <c r="E327" s="68">
        <v>5.1519835136527566E-4</v>
      </c>
    </row>
    <row r="328" spans="2:5" ht="15" customHeight="1">
      <c r="B328" s="120"/>
      <c r="C328" s="70" t="s">
        <v>169</v>
      </c>
      <c r="D328" s="69">
        <v>1</v>
      </c>
      <c r="E328" s="68">
        <v>5.1519835136527566E-4</v>
      </c>
    </row>
    <row r="329" spans="2:5" ht="15" customHeight="1">
      <c r="B329" s="120"/>
      <c r="C329" s="70" t="s">
        <v>155</v>
      </c>
      <c r="D329" s="69">
        <v>1</v>
      </c>
      <c r="E329" s="68">
        <v>5.1519835136527566E-4</v>
      </c>
    </row>
    <row r="330" spans="2:5" ht="15" customHeight="1">
      <c r="B330" s="121"/>
      <c r="C330" s="67" t="s">
        <v>20</v>
      </c>
      <c r="D330" s="66">
        <v>6</v>
      </c>
      <c r="E330" s="65">
        <v>3.0911901081916537E-3</v>
      </c>
    </row>
    <row r="331" spans="2:5" ht="15" customHeight="1">
      <c r="B331" s="119" t="s">
        <v>89</v>
      </c>
      <c r="C331" s="70" t="s">
        <v>159</v>
      </c>
      <c r="D331" s="69">
        <v>3</v>
      </c>
      <c r="E331" s="68">
        <v>1.5455950540958269E-3</v>
      </c>
    </row>
    <row r="332" spans="2:5" ht="15" customHeight="1">
      <c r="B332" s="120"/>
      <c r="C332" s="70" t="s">
        <v>164</v>
      </c>
      <c r="D332" s="69">
        <v>7</v>
      </c>
      <c r="E332" s="68">
        <v>3.6063884595569293E-3</v>
      </c>
    </row>
    <row r="333" spans="2:5" ht="15" customHeight="1">
      <c r="B333" s="120"/>
      <c r="C333" s="70" t="s">
        <v>110</v>
      </c>
      <c r="D333" s="69">
        <v>1</v>
      </c>
      <c r="E333" s="68">
        <v>5.1519835136527566E-4</v>
      </c>
    </row>
    <row r="334" spans="2:5" ht="15" customHeight="1">
      <c r="B334" s="120"/>
      <c r="C334" s="70" t="s">
        <v>124</v>
      </c>
      <c r="D334" s="69">
        <v>1</v>
      </c>
      <c r="E334" s="68">
        <v>5.1519835136527566E-4</v>
      </c>
    </row>
    <row r="335" spans="2:5" ht="15" customHeight="1">
      <c r="B335" s="120"/>
      <c r="C335" s="70" t="s">
        <v>158</v>
      </c>
      <c r="D335" s="69">
        <v>3</v>
      </c>
      <c r="E335" s="68">
        <v>1.5455950540958269E-3</v>
      </c>
    </row>
    <row r="336" spans="2:5" ht="15" customHeight="1">
      <c r="B336" s="120"/>
      <c r="C336" s="70" t="s">
        <v>160</v>
      </c>
      <c r="D336" s="69">
        <v>1</v>
      </c>
      <c r="E336" s="68">
        <v>5.1519835136527566E-4</v>
      </c>
    </row>
    <row r="337" spans="2:5" ht="15" customHeight="1">
      <c r="B337" s="120"/>
      <c r="C337" s="70" t="s">
        <v>172</v>
      </c>
      <c r="D337" s="69">
        <v>11</v>
      </c>
      <c r="E337" s="68">
        <v>5.6671818650180323E-3</v>
      </c>
    </row>
    <row r="338" spans="2:5" ht="15" customHeight="1">
      <c r="B338" s="120"/>
      <c r="C338" s="70" t="s">
        <v>167</v>
      </c>
      <c r="D338" s="69">
        <v>2</v>
      </c>
      <c r="E338" s="68">
        <v>1.0303967027305513E-3</v>
      </c>
    </row>
    <row r="339" spans="2:5" ht="15" customHeight="1">
      <c r="B339" s="120"/>
      <c r="C339" s="70" t="s">
        <v>171</v>
      </c>
      <c r="D339" s="69">
        <v>3</v>
      </c>
      <c r="E339" s="68">
        <v>1.5455950540958269E-3</v>
      </c>
    </row>
    <row r="340" spans="2:5" ht="15" customHeight="1">
      <c r="B340" s="120"/>
      <c r="C340" s="70" t="s">
        <v>142</v>
      </c>
      <c r="D340" s="69">
        <v>1</v>
      </c>
      <c r="E340" s="68">
        <v>5.1519835136527566E-4</v>
      </c>
    </row>
    <row r="341" spans="2:5" ht="15" customHeight="1">
      <c r="B341" s="120"/>
      <c r="C341" s="70" t="s">
        <v>152</v>
      </c>
      <c r="D341" s="69">
        <v>1</v>
      </c>
      <c r="E341" s="68">
        <v>5.1519835136527566E-4</v>
      </c>
    </row>
    <row r="342" spans="2:5" ht="15" customHeight="1">
      <c r="B342" s="120"/>
      <c r="C342" s="70" t="s">
        <v>113</v>
      </c>
      <c r="D342" s="69">
        <v>1</v>
      </c>
      <c r="E342" s="68">
        <v>5.1519835136527566E-4</v>
      </c>
    </row>
    <row r="343" spans="2:5" ht="15" customHeight="1">
      <c r="B343" s="121"/>
      <c r="C343" s="67" t="s">
        <v>20</v>
      </c>
      <c r="D343" s="66">
        <v>35</v>
      </c>
      <c r="E343" s="65">
        <v>1.8031942297784646E-2</v>
      </c>
    </row>
    <row r="344" spans="2:5" ht="15" customHeight="1">
      <c r="B344" s="119" t="s">
        <v>73</v>
      </c>
      <c r="C344" s="70" t="s">
        <v>119</v>
      </c>
      <c r="D344" s="69">
        <v>1</v>
      </c>
      <c r="E344" s="68">
        <v>5.1519835136527566E-4</v>
      </c>
    </row>
    <row r="345" spans="2:5" ht="15" customHeight="1">
      <c r="B345" s="120"/>
      <c r="C345" s="70" t="s">
        <v>148</v>
      </c>
      <c r="D345" s="69">
        <v>1</v>
      </c>
      <c r="E345" s="68">
        <v>5.1519835136527566E-4</v>
      </c>
    </row>
    <row r="346" spans="2:5" ht="15" customHeight="1">
      <c r="B346" s="120"/>
      <c r="C346" s="70" t="s">
        <v>172</v>
      </c>
      <c r="D346" s="69">
        <v>4</v>
      </c>
      <c r="E346" s="68">
        <v>2.0607934054611026E-3</v>
      </c>
    </row>
    <row r="347" spans="2:5" ht="15" customHeight="1">
      <c r="B347" s="120"/>
      <c r="C347" s="70" t="s">
        <v>168</v>
      </c>
      <c r="D347" s="69">
        <v>1</v>
      </c>
      <c r="E347" s="68">
        <v>5.1519835136527566E-4</v>
      </c>
    </row>
    <row r="348" spans="2:5" ht="15" customHeight="1">
      <c r="B348" s="120"/>
      <c r="C348" s="70" t="s">
        <v>155</v>
      </c>
      <c r="D348" s="69">
        <v>1</v>
      </c>
      <c r="E348" s="68">
        <v>5.1519835136527566E-4</v>
      </c>
    </row>
    <row r="349" spans="2:5" ht="15" customHeight="1">
      <c r="B349" s="120"/>
      <c r="C349" s="70" t="s">
        <v>152</v>
      </c>
      <c r="D349" s="69">
        <v>1</v>
      </c>
      <c r="E349" s="68">
        <v>5.1519835136527566E-4</v>
      </c>
    </row>
    <row r="350" spans="2:5" ht="15" customHeight="1">
      <c r="B350" s="121"/>
      <c r="C350" s="67" t="s">
        <v>20</v>
      </c>
      <c r="D350" s="66">
        <v>9</v>
      </c>
      <c r="E350" s="65">
        <v>4.6367851622874804E-3</v>
      </c>
    </row>
    <row r="351" spans="2:5" ht="15" customHeight="1">
      <c r="B351" s="119" t="s">
        <v>86</v>
      </c>
      <c r="C351" s="70" t="s">
        <v>126</v>
      </c>
      <c r="D351" s="69">
        <v>2</v>
      </c>
      <c r="E351" s="68">
        <v>1.0303967027305513E-3</v>
      </c>
    </row>
    <row r="352" spans="2:5" ht="15" customHeight="1">
      <c r="B352" s="120"/>
      <c r="C352" s="70" t="s">
        <v>135</v>
      </c>
      <c r="D352" s="69">
        <v>4</v>
      </c>
      <c r="E352" s="68">
        <v>2.0607934054611026E-3</v>
      </c>
    </row>
    <row r="353" spans="2:5" ht="15" customHeight="1">
      <c r="B353" s="120"/>
      <c r="C353" s="70" t="s">
        <v>165</v>
      </c>
      <c r="D353" s="69">
        <v>37</v>
      </c>
      <c r="E353" s="68">
        <v>1.90623390005152E-2</v>
      </c>
    </row>
    <row r="354" spans="2:5" ht="15" customHeight="1">
      <c r="B354" s="120"/>
      <c r="C354" s="70" t="s">
        <v>130</v>
      </c>
      <c r="D354" s="69">
        <v>2</v>
      </c>
      <c r="E354" s="68">
        <v>1.0303967027305513E-3</v>
      </c>
    </row>
    <row r="355" spans="2:5" ht="15" customHeight="1">
      <c r="B355" s="120"/>
      <c r="C355" s="70" t="s">
        <v>137</v>
      </c>
      <c r="D355" s="69">
        <v>1</v>
      </c>
      <c r="E355" s="68">
        <v>5.1519835136527566E-4</v>
      </c>
    </row>
    <row r="356" spans="2:5" ht="15" customHeight="1">
      <c r="B356" s="120"/>
      <c r="C356" s="70" t="s">
        <v>112</v>
      </c>
      <c r="D356" s="69">
        <v>1</v>
      </c>
      <c r="E356" s="68">
        <v>5.1519835136527566E-4</v>
      </c>
    </row>
    <row r="357" spans="2:5" ht="15" customHeight="1">
      <c r="B357" s="120"/>
      <c r="C357" s="70" t="s">
        <v>151</v>
      </c>
      <c r="D357" s="69">
        <v>1</v>
      </c>
      <c r="E357" s="68">
        <v>5.1519835136527566E-4</v>
      </c>
    </row>
    <row r="358" spans="2:5" ht="15" customHeight="1">
      <c r="B358" s="120"/>
      <c r="C358" s="70" t="s">
        <v>164</v>
      </c>
      <c r="D358" s="69">
        <v>1</v>
      </c>
      <c r="E358" s="68">
        <v>5.1519835136527566E-4</v>
      </c>
    </row>
    <row r="359" spans="2:5" ht="15" customHeight="1">
      <c r="B359" s="120"/>
      <c r="C359" s="70" t="s">
        <v>134</v>
      </c>
      <c r="D359" s="69">
        <v>2</v>
      </c>
      <c r="E359" s="68">
        <v>1.0303967027305513E-3</v>
      </c>
    </row>
    <row r="360" spans="2:5" ht="15" customHeight="1">
      <c r="B360" s="120"/>
      <c r="C360" s="70" t="s">
        <v>111</v>
      </c>
      <c r="D360" s="69">
        <v>1</v>
      </c>
      <c r="E360" s="68">
        <v>5.1519835136527566E-4</v>
      </c>
    </row>
    <row r="361" spans="2:5" ht="15" customHeight="1">
      <c r="B361" s="120"/>
      <c r="C361" s="70" t="s">
        <v>258</v>
      </c>
      <c r="D361" s="69">
        <v>1</v>
      </c>
      <c r="E361" s="68">
        <v>5.1519835136527566E-4</v>
      </c>
    </row>
    <row r="362" spans="2:5" ht="15" customHeight="1">
      <c r="B362" s="120"/>
      <c r="C362" s="70" t="s">
        <v>262</v>
      </c>
      <c r="D362" s="69">
        <v>1</v>
      </c>
      <c r="E362" s="68">
        <v>5.1519835136527566E-4</v>
      </c>
    </row>
    <row r="363" spans="2:5" ht="15" customHeight="1">
      <c r="B363" s="120"/>
      <c r="C363" s="70" t="s">
        <v>115</v>
      </c>
      <c r="D363" s="69">
        <v>1</v>
      </c>
      <c r="E363" s="68">
        <v>5.1519835136527566E-4</v>
      </c>
    </row>
    <row r="364" spans="2:5" ht="15" customHeight="1">
      <c r="B364" s="120"/>
      <c r="C364" s="70" t="s">
        <v>154</v>
      </c>
      <c r="D364" s="69">
        <v>5</v>
      </c>
      <c r="E364" s="68">
        <v>2.5759917568263782E-3</v>
      </c>
    </row>
    <row r="365" spans="2:5" ht="15" customHeight="1">
      <c r="B365" s="120"/>
      <c r="C365" s="70" t="s">
        <v>259</v>
      </c>
      <c r="D365" s="69">
        <v>1</v>
      </c>
      <c r="E365" s="68">
        <v>5.1519835136527566E-4</v>
      </c>
    </row>
    <row r="366" spans="2:5" ht="15" customHeight="1">
      <c r="B366" s="120"/>
      <c r="C366" s="70" t="s">
        <v>256</v>
      </c>
      <c r="D366" s="69">
        <v>8</v>
      </c>
      <c r="E366" s="68">
        <v>4.1215868109222053E-3</v>
      </c>
    </row>
    <row r="367" spans="2:5" ht="15" customHeight="1">
      <c r="B367" s="120"/>
      <c r="C367" s="70" t="s">
        <v>109</v>
      </c>
      <c r="D367" s="69">
        <v>1</v>
      </c>
      <c r="E367" s="68">
        <v>5.1519835136527566E-4</v>
      </c>
    </row>
    <row r="368" spans="2:5" ht="15" customHeight="1">
      <c r="B368" s="120"/>
      <c r="C368" s="70" t="s">
        <v>129</v>
      </c>
      <c r="D368" s="69">
        <v>1</v>
      </c>
      <c r="E368" s="68">
        <v>5.1519835136527566E-4</v>
      </c>
    </row>
    <row r="369" spans="2:5" ht="15" customHeight="1">
      <c r="B369" s="120"/>
      <c r="C369" s="70" t="s">
        <v>121</v>
      </c>
      <c r="D369" s="69">
        <v>1</v>
      </c>
      <c r="E369" s="68">
        <v>5.1519835136527566E-4</v>
      </c>
    </row>
    <row r="370" spans="2:5" ht="15" customHeight="1">
      <c r="B370" s="120"/>
      <c r="C370" s="70" t="s">
        <v>153</v>
      </c>
      <c r="D370" s="69">
        <v>2</v>
      </c>
      <c r="E370" s="68">
        <v>1.0303967027305513E-3</v>
      </c>
    </row>
    <row r="371" spans="2:5" ht="15" customHeight="1">
      <c r="B371" s="120"/>
      <c r="C371" s="70" t="s">
        <v>160</v>
      </c>
      <c r="D371" s="69">
        <v>10</v>
      </c>
      <c r="E371" s="68">
        <v>5.1519835136527563E-3</v>
      </c>
    </row>
    <row r="372" spans="2:5" ht="15" customHeight="1">
      <c r="B372" s="120"/>
      <c r="C372" s="70" t="s">
        <v>132</v>
      </c>
      <c r="D372" s="69">
        <v>1</v>
      </c>
      <c r="E372" s="68">
        <v>5.1519835136527566E-4</v>
      </c>
    </row>
    <row r="373" spans="2:5" ht="15" customHeight="1">
      <c r="B373" s="120"/>
      <c r="C373" s="70" t="s">
        <v>150</v>
      </c>
      <c r="D373" s="69">
        <v>17</v>
      </c>
      <c r="E373" s="68">
        <v>8.7583719732096856E-3</v>
      </c>
    </row>
    <row r="374" spans="2:5" ht="15" customHeight="1">
      <c r="B374" s="120"/>
      <c r="C374" s="70" t="s">
        <v>163</v>
      </c>
      <c r="D374" s="69">
        <v>3</v>
      </c>
      <c r="E374" s="68">
        <v>1.5455950540958269E-3</v>
      </c>
    </row>
    <row r="375" spans="2:5" ht="15" customHeight="1">
      <c r="B375" s="120"/>
      <c r="C375" s="70" t="s">
        <v>118</v>
      </c>
      <c r="D375" s="69">
        <v>2</v>
      </c>
      <c r="E375" s="68">
        <v>1.0303967027305513E-3</v>
      </c>
    </row>
    <row r="376" spans="2:5" ht="15" customHeight="1">
      <c r="B376" s="120"/>
      <c r="C376" s="70" t="s">
        <v>172</v>
      </c>
      <c r="D376" s="69">
        <v>39</v>
      </c>
      <c r="E376" s="68">
        <v>2.009273570324575E-2</v>
      </c>
    </row>
    <row r="377" spans="2:5" ht="15" customHeight="1">
      <c r="B377" s="120"/>
      <c r="C377" s="70" t="s">
        <v>167</v>
      </c>
      <c r="D377" s="69">
        <v>2</v>
      </c>
      <c r="E377" s="68">
        <v>1.0303967027305513E-3</v>
      </c>
    </row>
    <row r="378" spans="2:5" ht="15" customHeight="1">
      <c r="B378" s="120"/>
      <c r="C378" s="70" t="s">
        <v>171</v>
      </c>
      <c r="D378" s="69">
        <v>306</v>
      </c>
      <c r="E378" s="68">
        <v>0.15765069551777433</v>
      </c>
    </row>
    <row r="379" spans="2:5" ht="15" customHeight="1">
      <c r="B379" s="120"/>
      <c r="C379" s="70" t="s">
        <v>169</v>
      </c>
      <c r="D379" s="69">
        <v>112</v>
      </c>
      <c r="E379" s="68">
        <v>5.7702215352910868E-2</v>
      </c>
    </row>
    <row r="380" spans="2:5" ht="15" customHeight="1">
      <c r="B380" s="120"/>
      <c r="C380" s="70" t="s">
        <v>142</v>
      </c>
      <c r="D380" s="69">
        <v>1</v>
      </c>
      <c r="E380" s="68">
        <v>5.1519835136527566E-4</v>
      </c>
    </row>
    <row r="381" spans="2:5" ht="15" customHeight="1">
      <c r="B381" s="120"/>
      <c r="C381" s="70" t="s">
        <v>128</v>
      </c>
      <c r="D381" s="69">
        <v>1</v>
      </c>
      <c r="E381" s="68">
        <v>5.1519835136527566E-4</v>
      </c>
    </row>
    <row r="382" spans="2:5" ht="15" customHeight="1">
      <c r="B382" s="120"/>
      <c r="C382" s="70" t="s">
        <v>117</v>
      </c>
      <c r="D382" s="69">
        <v>1</v>
      </c>
      <c r="E382" s="68">
        <v>5.1519835136527566E-4</v>
      </c>
    </row>
    <row r="383" spans="2:5" ht="15" customHeight="1">
      <c r="B383" s="120"/>
      <c r="C383" s="70" t="s">
        <v>162</v>
      </c>
      <c r="D383" s="69">
        <v>27</v>
      </c>
      <c r="E383" s="68">
        <v>1.3910355486862442E-2</v>
      </c>
    </row>
    <row r="384" spans="2:5" ht="15" customHeight="1">
      <c r="B384" s="120"/>
      <c r="C384" s="70" t="s">
        <v>146</v>
      </c>
      <c r="D384" s="69">
        <v>1</v>
      </c>
      <c r="E384" s="68">
        <v>5.1519835136527566E-4</v>
      </c>
    </row>
    <row r="385" spans="2:5" ht="15" customHeight="1">
      <c r="B385" s="120"/>
      <c r="C385" s="70" t="s">
        <v>123</v>
      </c>
      <c r="D385" s="69">
        <v>4</v>
      </c>
      <c r="E385" s="68">
        <v>2.0607934054611026E-3</v>
      </c>
    </row>
    <row r="386" spans="2:5" ht="15" customHeight="1">
      <c r="B386" s="120"/>
      <c r="C386" s="70" t="s">
        <v>156</v>
      </c>
      <c r="D386" s="69">
        <v>7</v>
      </c>
      <c r="E386" s="68">
        <v>3.6063884595569293E-3</v>
      </c>
    </row>
    <row r="387" spans="2:5" ht="15" customHeight="1">
      <c r="B387" s="120"/>
      <c r="C387" s="70" t="s">
        <v>116</v>
      </c>
      <c r="D387" s="69">
        <v>1</v>
      </c>
      <c r="E387" s="68">
        <v>5.1519835136527566E-4</v>
      </c>
    </row>
    <row r="388" spans="2:5" ht="15" customHeight="1">
      <c r="B388" s="120"/>
      <c r="C388" s="70" t="s">
        <v>168</v>
      </c>
      <c r="D388" s="69">
        <v>66</v>
      </c>
      <c r="E388" s="68">
        <v>3.4003091190108192E-2</v>
      </c>
    </row>
    <row r="389" spans="2:5" ht="15" customHeight="1">
      <c r="B389" s="120"/>
      <c r="C389" s="70" t="s">
        <v>139</v>
      </c>
      <c r="D389" s="69">
        <v>7</v>
      </c>
      <c r="E389" s="68">
        <v>3.6063884595569293E-3</v>
      </c>
    </row>
    <row r="390" spans="2:5" ht="15" customHeight="1">
      <c r="B390" s="120"/>
      <c r="C390" s="70" t="s">
        <v>138</v>
      </c>
      <c r="D390" s="69">
        <v>1</v>
      </c>
      <c r="E390" s="68">
        <v>5.1519835136527566E-4</v>
      </c>
    </row>
    <row r="391" spans="2:5" ht="15" customHeight="1">
      <c r="B391" s="120"/>
      <c r="C391" s="70" t="s">
        <v>101</v>
      </c>
      <c r="D391" s="69">
        <v>1</v>
      </c>
      <c r="E391" s="68">
        <v>5.1519835136527566E-4</v>
      </c>
    </row>
    <row r="392" spans="2:5" ht="15" customHeight="1">
      <c r="B392" s="120"/>
      <c r="C392" s="70" t="s">
        <v>166</v>
      </c>
      <c r="D392" s="69">
        <v>60</v>
      </c>
      <c r="E392" s="68">
        <v>3.0911901081916538E-2</v>
      </c>
    </row>
    <row r="393" spans="2:5" ht="15" customHeight="1">
      <c r="B393" s="120"/>
      <c r="C393" s="70" t="s">
        <v>268</v>
      </c>
      <c r="D393" s="69">
        <v>1</v>
      </c>
      <c r="E393" s="68">
        <v>5.1519835136527566E-4</v>
      </c>
    </row>
    <row r="394" spans="2:5" ht="15" customHeight="1">
      <c r="B394" s="120"/>
      <c r="C394" s="70" t="s">
        <v>140</v>
      </c>
      <c r="D394" s="69">
        <v>3</v>
      </c>
      <c r="E394" s="68">
        <v>1.5455950540958269E-3</v>
      </c>
    </row>
    <row r="395" spans="2:5" ht="15" customHeight="1">
      <c r="B395" s="120"/>
      <c r="C395" s="70" t="s">
        <v>261</v>
      </c>
      <c r="D395" s="69">
        <v>2</v>
      </c>
      <c r="E395" s="68">
        <v>1.0303967027305513E-3</v>
      </c>
    </row>
    <row r="396" spans="2:5" ht="15" customHeight="1">
      <c r="B396" s="120"/>
      <c r="C396" s="70" t="s">
        <v>155</v>
      </c>
      <c r="D396" s="69">
        <v>1</v>
      </c>
      <c r="E396" s="68">
        <v>5.1519835136527566E-4</v>
      </c>
    </row>
    <row r="397" spans="2:5" ht="15" customHeight="1">
      <c r="B397" s="120"/>
      <c r="C397" s="70" t="s">
        <v>161</v>
      </c>
      <c r="D397" s="69">
        <v>1</v>
      </c>
      <c r="E397" s="68">
        <v>5.1519835136527566E-4</v>
      </c>
    </row>
    <row r="398" spans="2:5" ht="15" customHeight="1">
      <c r="B398" s="120"/>
      <c r="C398" s="70" t="s">
        <v>147</v>
      </c>
      <c r="D398" s="69">
        <v>16</v>
      </c>
      <c r="E398" s="68">
        <v>8.2431736218444105E-3</v>
      </c>
    </row>
    <row r="399" spans="2:5" ht="15" customHeight="1">
      <c r="B399" s="120"/>
      <c r="C399" s="70" t="s">
        <v>144</v>
      </c>
      <c r="D399" s="69">
        <v>1</v>
      </c>
      <c r="E399" s="68">
        <v>5.1519835136527566E-4</v>
      </c>
    </row>
    <row r="400" spans="2:5" ht="15" customHeight="1">
      <c r="B400" s="120"/>
      <c r="C400" s="70" t="s">
        <v>113</v>
      </c>
      <c r="D400" s="69">
        <v>1</v>
      </c>
      <c r="E400" s="68">
        <v>5.1519835136527566E-4</v>
      </c>
    </row>
    <row r="401" spans="2:5" ht="15" customHeight="1">
      <c r="B401" s="121"/>
      <c r="C401" s="67" t="s">
        <v>20</v>
      </c>
      <c r="D401" s="66">
        <v>770</v>
      </c>
      <c r="E401" s="65">
        <v>0.39670273055126226</v>
      </c>
    </row>
    <row r="402" spans="2:5" ht="15" customHeight="1">
      <c r="B402" s="119" t="s">
        <v>87</v>
      </c>
      <c r="C402" s="70" t="s">
        <v>165</v>
      </c>
      <c r="D402" s="69">
        <v>2</v>
      </c>
      <c r="E402" s="68">
        <v>1.0303967027305513E-3</v>
      </c>
    </row>
    <row r="403" spans="2:5" ht="15" customHeight="1">
      <c r="B403" s="120"/>
      <c r="C403" s="70" t="s">
        <v>125</v>
      </c>
      <c r="D403" s="69">
        <v>1</v>
      </c>
      <c r="E403" s="68">
        <v>5.1519835136527566E-4</v>
      </c>
    </row>
    <row r="404" spans="2:5" ht="15" customHeight="1">
      <c r="B404" s="120"/>
      <c r="C404" s="70" t="s">
        <v>154</v>
      </c>
      <c r="D404" s="69">
        <v>4</v>
      </c>
      <c r="E404" s="68">
        <v>2.0607934054611026E-3</v>
      </c>
    </row>
    <row r="405" spans="2:5" ht="15" customHeight="1">
      <c r="B405" s="120"/>
      <c r="C405" s="70" t="s">
        <v>153</v>
      </c>
      <c r="D405" s="69">
        <v>1</v>
      </c>
      <c r="E405" s="68">
        <v>5.1519835136527566E-4</v>
      </c>
    </row>
    <row r="406" spans="2:5" ht="15" customHeight="1">
      <c r="B406" s="120"/>
      <c r="C406" s="70" t="s">
        <v>172</v>
      </c>
      <c r="D406" s="69">
        <v>4</v>
      </c>
      <c r="E406" s="68">
        <v>2.0607934054611026E-3</v>
      </c>
    </row>
    <row r="407" spans="2:5" ht="15" customHeight="1">
      <c r="B407" s="120"/>
      <c r="C407" s="70" t="s">
        <v>171</v>
      </c>
      <c r="D407" s="69">
        <v>10</v>
      </c>
      <c r="E407" s="68">
        <v>5.1519835136527563E-3</v>
      </c>
    </row>
    <row r="408" spans="2:5" ht="15" customHeight="1">
      <c r="B408" s="120"/>
      <c r="C408" s="70" t="s">
        <v>117</v>
      </c>
      <c r="D408" s="69">
        <v>1</v>
      </c>
      <c r="E408" s="68">
        <v>5.1519835136527566E-4</v>
      </c>
    </row>
    <row r="409" spans="2:5" ht="15" customHeight="1">
      <c r="B409" s="120"/>
      <c r="C409" s="70" t="s">
        <v>103</v>
      </c>
      <c r="D409" s="69">
        <v>1</v>
      </c>
      <c r="E409" s="68">
        <v>5.1519835136527566E-4</v>
      </c>
    </row>
    <row r="410" spans="2:5" ht="15" customHeight="1">
      <c r="B410" s="120"/>
      <c r="C410" s="70" t="s">
        <v>156</v>
      </c>
      <c r="D410" s="69">
        <v>2</v>
      </c>
      <c r="E410" s="68">
        <v>1.0303967027305513E-3</v>
      </c>
    </row>
    <row r="411" spans="2:5" ht="15" customHeight="1">
      <c r="B411" s="121"/>
      <c r="C411" s="67" t="s">
        <v>20</v>
      </c>
      <c r="D411" s="66">
        <v>26</v>
      </c>
      <c r="E411" s="65">
        <v>1.3395157135497167E-2</v>
      </c>
    </row>
    <row r="412" spans="2:5" ht="15" customHeight="1">
      <c r="B412" s="119" t="s">
        <v>88</v>
      </c>
      <c r="C412" s="70" t="s">
        <v>137</v>
      </c>
      <c r="D412" s="69">
        <v>1</v>
      </c>
      <c r="E412" s="68">
        <v>5.1519835136527566E-4</v>
      </c>
    </row>
    <row r="413" spans="2:5" ht="15" customHeight="1">
      <c r="B413" s="120"/>
      <c r="C413" s="70" t="s">
        <v>164</v>
      </c>
      <c r="D413" s="69">
        <v>1</v>
      </c>
      <c r="E413" s="68">
        <v>5.1519835136527566E-4</v>
      </c>
    </row>
    <row r="414" spans="2:5" ht="15" customHeight="1">
      <c r="B414" s="120"/>
      <c r="C414" s="70" t="s">
        <v>259</v>
      </c>
      <c r="D414" s="69">
        <v>1</v>
      </c>
      <c r="E414" s="68">
        <v>5.1519835136527566E-4</v>
      </c>
    </row>
    <row r="415" spans="2:5" ht="15" customHeight="1">
      <c r="B415" s="120"/>
      <c r="C415" s="70" t="s">
        <v>120</v>
      </c>
      <c r="D415" s="69">
        <v>1</v>
      </c>
      <c r="E415" s="68">
        <v>5.1519835136527566E-4</v>
      </c>
    </row>
    <row r="416" spans="2:5" ht="15" customHeight="1">
      <c r="B416" s="120"/>
      <c r="C416" s="70" t="s">
        <v>172</v>
      </c>
      <c r="D416" s="69">
        <v>10</v>
      </c>
      <c r="E416" s="68">
        <v>5.1519835136527563E-3</v>
      </c>
    </row>
    <row r="417" spans="2:5" ht="15" customHeight="1">
      <c r="B417" s="120"/>
      <c r="C417" s="70" t="s">
        <v>167</v>
      </c>
      <c r="D417" s="69">
        <v>2</v>
      </c>
      <c r="E417" s="68">
        <v>1.0303967027305513E-3</v>
      </c>
    </row>
    <row r="418" spans="2:5" ht="15" customHeight="1">
      <c r="B418" s="120"/>
      <c r="C418" s="70" t="s">
        <v>170</v>
      </c>
      <c r="D418" s="69">
        <v>2</v>
      </c>
      <c r="E418" s="68">
        <v>1.0303967027305513E-3</v>
      </c>
    </row>
    <row r="419" spans="2:5" ht="15" customHeight="1">
      <c r="B419" s="120"/>
      <c r="C419" s="70" t="s">
        <v>171</v>
      </c>
      <c r="D419" s="69">
        <v>1</v>
      </c>
      <c r="E419" s="68">
        <v>5.1519835136527566E-4</v>
      </c>
    </row>
    <row r="420" spans="2:5" ht="15" customHeight="1">
      <c r="B420" s="120"/>
      <c r="C420" s="70" t="s">
        <v>169</v>
      </c>
      <c r="D420" s="69">
        <v>1</v>
      </c>
      <c r="E420" s="68">
        <v>5.1519835136527566E-4</v>
      </c>
    </row>
    <row r="421" spans="2:5" ht="15" customHeight="1">
      <c r="B421" s="120"/>
      <c r="C421" s="70" t="s">
        <v>168</v>
      </c>
      <c r="D421" s="69">
        <v>1</v>
      </c>
      <c r="E421" s="68">
        <v>5.1519835136527566E-4</v>
      </c>
    </row>
    <row r="422" spans="2:5" ht="15" customHeight="1">
      <c r="B422" s="120"/>
      <c r="C422" s="70" t="s">
        <v>166</v>
      </c>
      <c r="D422" s="69">
        <v>1</v>
      </c>
      <c r="E422" s="68">
        <v>5.1519835136527566E-4</v>
      </c>
    </row>
    <row r="423" spans="2:5" ht="15" customHeight="1">
      <c r="B423" s="120"/>
      <c r="C423" s="70" t="s">
        <v>161</v>
      </c>
      <c r="D423" s="69">
        <v>6</v>
      </c>
      <c r="E423" s="68">
        <v>3.0911901081916537E-3</v>
      </c>
    </row>
    <row r="424" spans="2:5" ht="15" customHeight="1">
      <c r="B424" s="120"/>
      <c r="C424" s="70" t="s">
        <v>152</v>
      </c>
      <c r="D424" s="69">
        <v>1</v>
      </c>
      <c r="E424" s="68">
        <v>5.1519835136527566E-4</v>
      </c>
    </row>
    <row r="425" spans="2:5" ht="15" customHeight="1">
      <c r="B425" s="120"/>
      <c r="C425" s="70" t="s">
        <v>105</v>
      </c>
      <c r="D425" s="69">
        <v>1</v>
      </c>
      <c r="E425" s="68">
        <v>5.1519835136527566E-4</v>
      </c>
    </row>
    <row r="426" spans="2:5" ht="15" customHeight="1">
      <c r="B426" s="121"/>
      <c r="C426" s="67" t="s">
        <v>20</v>
      </c>
      <c r="D426" s="66">
        <v>30</v>
      </c>
      <c r="E426" s="65">
        <v>1.5455950540958269E-2</v>
      </c>
    </row>
    <row r="427" spans="2:5" ht="15" customHeight="1">
      <c r="B427" s="119" t="s">
        <v>66</v>
      </c>
      <c r="C427" s="70" t="s">
        <v>159</v>
      </c>
      <c r="D427" s="69">
        <v>2</v>
      </c>
      <c r="E427" s="68">
        <v>1.0303967027305513E-3</v>
      </c>
    </row>
    <row r="428" spans="2:5" ht="15" customHeight="1">
      <c r="B428" s="120"/>
      <c r="C428" s="70" t="s">
        <v>111</v>
      </c>
      <c r="D428" s="69">
        <v>1</v>
      </c>
      <c r="E428" s="68">
        <v>5.1519835136527566E-4</v>
      </c>
    </row>
    <row r="429" spans="2:5" ht="15" customHeight="1">
      <c r="B429" s="120"/>
      <c r="C429" s="70" t="s">
        <v>154</v>
      </c>
      <c r="D429" s="69">
        <v>2</v>
      </c>
      <c r="E429" s="68">
        <v>1.0303967027305513E-3</v>
      </c>
    </row>
    <row r="430" spans="2:5" ht="15" customHeight="1">
      <c r="B430" s="120"/>
      <c r="C430" s="70" t="s">
        <v>129</v>
      </c>
      <c r="D430" s="69">
        <v>1</v>
      </c>
      <c r="E430" s="68">
        <v>5.1519835136527566E-4</v>
      </c>
    </row>
    <row r="431" spans="2:5" ht="15" customHeight="1">
      <c r="B431" s="120"/>
      <c r="C431" s="70" t="s">
        <v>148</v>
      </c>
      <c r="D431" s="69">
        <v>4</v>
      </c>
      <c r="E431" s="68">
        <v>2.0607934054611026E-3</v>
      </c>
    </row>
    <row r="432" spans="2:5" ht="15" customHeight="1">
      <c r="B432" s="120"/>
      <c r="C432" s="70" t="s">
        <v>172</v>
      </c>
      <c r="D432" s="69">
        <v>6</v>
      </c>
      <c r="E432" s="68">
        <v>3.0911901081916537E-3</v>
      </c>
    </row>
    <row r="433" spans="2:5" ht="15" customHeight="1">
      <c r="B433" s="120"/>
      <c r="C433" s="70" t="s">
        <v>171</v>
      </c>
      <c r="D433" s="69">
        <v>1</v>
      </c>
      <c r="E433" s="68">
        <v>5.1519835136527566E-4</v>
      </c>
    </row>
    <row r="434" spans="2:5" ht="15" customHeight="1">
      <c r="B434" s="120"/>
      <c r="C434" s="70" t="s">
        <v>141</v>
      </c>
      <c r="D434" s="69">
        <v>1</v>
      </c>
      <c r="E434" s="68">
        <v>5.1519835136527566E-4</v>
      </c>
    </row>
    <row r="435" spans="2:5" ht="15" customHeight="1">
      <c r="B435" s="120"/>
      <c r="C435" s="70" t="s">
        <v>147</v>
      </c>
      <c r="D435" s="69">
        <v>2</v>
      </c>
      <c r="E435" s="68">
        <v>1.0303967027305513E-3</v>
      </c>
    </row>
    <row r="436" spans="2:5" ht="15" customHeight="1">
      <c r="B436" s="121"/>
      <c r="C436" s="67" t="s">
        <v>20</v>
      </c>
      <c r="D436" s="66">
        <v>20</v>
      </c>
      <c r="E436" s="65">
        <v>1.0303967027305513E-2</v>
      </c>
    </row>
    <row r="437" spans="2:5" ht="15" customHeight="1">
      <c r="B437" s="119" t="s">
        <v>48</v>
      </c>
      <c r="C437" s="70" t="s">
        <v>134</v>
      </c>
      <c r="D437" s="69">
        <v>1</v>
      </c>
      <c r="E437" s="68">
        <v>5.1519835136527566E-4</v>
      </c>
    </row>
    <row r="438" spans="2:5" ht="15" customHeight="1">
      <c r="B438" s="120"/>
      <c r="C438" s="70" t="s">
        <v>172</v>
      </c>
      <c r="D438" s="69">
        <v>1</v>
      </c>
      <c r="E438" s="68">
        <v>5.1519835136527566E-4</v>
      </c>
    </row>
    <row r="439" spans="2:5" ht="15" customHeight="1">
      <c r="B439" s="120"/>
      <c r="C439" s="70" t="s">
        <v>167</v>
      </c>
      <c r="D439" s="69">
        <v>1</v>
      </c>
      <c r="E439" s="68">
        <v>5.1519835136527566E-4</v>
      </c>
    </row>
    <row r="440" spans="2:5" ht="15" customHeight="1">
      <c r="B440" s="120"/>
      <c r="C440" s="70" t="s">
        <v>171</v>
      </c>
      <c r="D440" s="69">
        <v>1</v>
      </c>
      <c r="E440" s="68">
        <v>5.1519835136527566E-4</v>
      </c>
    </row>
    <row r="441" spans="2:5" ht="15" customHeight="1">
      <c r="B441" s="120"/>
      <c r="C441" s="70" t="s">
        <v>138</v>
      </c>
      <c r="D441" s="69">
        <v>1</v>
      </c>
      <c r="E441" s="68">
        <v>5.1519835136527566E-4</v>
      </c>
    </row>
    <row r="442" spans="2:5" ht="15" customHeight="1">
      <c r="B442" s="120"/>
      <c r="C442" s="70" t="s">
        <v>261</v>
      </c>
      <c r="D442" s="69">
        <v>1</v>
      </c>
      <c r="E442" s="68">
        <v>5.1519835136527566E-4</v>
      </c>
    </row>
    <row r="443" spans="2:5" ht="15" customHeight="1">
      <c r="B443" s="121"/>
      <c r="C443" s="67" t="s">
        <v>20</v>
      </c>
      <c r="D443" s="66">
        <v>6</v>
      </c>
      <c r="E443" s="65">
        <v>3.0911901081916537E-3</v>
      </c>
    </row>
    <row r="444" spans="2:5" ht="15" customHeight="1">
      <c r="B444" s="123" t="s">
        <v>204</v>
      </c>
      <c r="C444" s="124"/>
      <c r="D444" s="98">
        <v>1941</v>
      </c>
      <c r="E444" s="99">
        <v>1</v>
      </c>
    </row>
    <row r="445" spans="2:5" ht="15" customHeight="1">
      <c r="B445" s="64"/>
      <c r="C445" s="64"/>
      <c r="D445" s="64"/>
      <c r="E445" s="64"/>
    </row>
    <row r="446" spans="2:5" ht="15" customHeight="1">
      <c r="B446" s="85" t="s">
        <v>251</v>
      </c>
      <c r="C446" s="64"/>
      <c r="D446" s="64"/>
      <c r="E446" s="64"/>
    </row>
    <row r="447" spans="2:5" ht="15" customHeight="1">
      <c r="B447" s="87" t="s">
        <v>19</v>
      </c>
      <c r="C447" s="64"/>
      <c r="D447" s="64"/>
      <c r="E447" s="64"/>
    </row>
    <row r="448" spans="2:5" ht="15" customHeight="1">
      <c r="B448" s="86" t="s">
        <v>18</v>
      </c>
      <c r="C448" s="64"/>
      <c r="D448" s="64"/>
      <c r="E448" s="64"/>
    </row>
    <row r="449" spans="2:5" ht="15" customHeight="1">
      <c r="B449" s="85" t="s">
        <v>17</v>
      </c>
      <c r="C449" s="64"/>
      <c r="D449" s="64"/>
      <c r="E449" s="64"/>
    </row>
    <row r="450" spans="2:5" ht="15" customHeight="1">
      <c r="B450" s="85" t="s">
        <v>252</v>
      </c>
      <c r="C450" s="64"/>
      <c r="D450" s="64"/>
      <c r="E450" s="64"/>
    </row>
    <row r="451" spans="2:5" ht="15" customHeight="1">
      <c r="B451" s="64"/>
      <c r="C451" s="64"/>
      <c r="D451" s="64"/>
      <c r="E451" s="64"/>
    </row>
  </sheetData>
  <mergeCells count="44">
    <mergeCell ref="B402:B411"/>
    <mergeCell ref="B412:B426"/>
    <mergeCell ref="B427:B436"/>
    <mergeCell ref="B437:B443"/>
    <mergeCell ref="B444:C444"/>
    <mergeCell ref="B351:B401"/>
    <mergeCell ref="B242:B260"/>
    <mergeCell ref="B261:B263"/>
    <mergeCell ref="B264:B284"/>
    <mergeCell ref="B285:B294"/>
    <mergeCell ref="B295:B302"/>
    <mergeCell ref="B303:B307"/>
    <mergeCell ref="B308:B323"/>
    <mergeCell ref="B324:B330"/>
    <mergeCell ref="B232:B241"/>
    <mergeCell ref="B331:B343"/>
    <mergeCell ref="B344:B350"/>
    <mergeCell ref="B228:B231"/>
    <mergeCell ref="B150:B198"/>
    <mergeCell ref="B199:B200"/>
    <mergeCell ref="B201:B206"/>
    <mergeCell ref="B207:B213"/>
    <mergeCell ref="B214:B217"/>
    <mergeCell ref="B218:B227"/>
    <mergeCell ref="B143:B149"/>
    <mergeCell ref="B107:B114"/>
    <mergeCell ref="B115:B121"/>
    <mergeCell ref="B122:B123"/>
    <mergeCell ref="B124:B142"/>
    <mergeCell ref="B7:E8"/>
    <mergeCell ref="B10:B11"/>
    <mergeCell ref="B12:B20"/>
    <mergeCell ref="B21:B24"/>
    <mergeCell ref="B25:B26"/>
    <mergeCell ref="B27:B28"/>
    <mergeCell ref="B29:B35"/>
    <mergeCell ref="B36:B58"/>
    <mergeCell ref="B59:B60"/>
    <mergeCell ref="B92:B106"/>
    <mergeCell ref="B61:B77"/>
    <mergeCell ref="B78:B82"/>
    <mergeCell ref="B83:B84"/>
    <mergeCell ref="B85:B86"/>
    <mergeCell ref="B87:B9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9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D43"/>
  <sheetViews>
    <sheetView showGridLines="0" zoomScaleNormal="100" zoomScaleSheetLayoutView="115" workbookViewId="0">
      <selection activeCell="F38" sqref="F38"/>
    </sheetView>
  </sheetViews>
  <sheetFormatPr baseColWidth="10" defaultColWidth="11.42578125" defaultRowHeight="15"/>
  <cols>
    <col min="1" max="1" width="9.28515625" style="17" customWidth="1"/>
    <col min="2" max="2" width="23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4" s="19" customFormat="1" ht="15" customHeight="1">
      <c r="C1" s="25"/>
    </row>
    <row r="2" spans="1:4" s="19" customFormat="1" ht="15" customHeight="1">
      <c r="C2" s="25"/>
    </row>
    <row r="3" spans="1:4" s="19" customFormat="1" ht="15" customHeight="1">
      <c r="A3" s="19" t="s">
        <v>57</v>
      </c>
      <c r="C3" s="25"/>
    </row>
    <row r="4" spans="1:4" s="19" customFormat="1" ht="30" customHeight="1">
      <c r="C4" s="25"/>
      <c r="D4" s="24"/>
    </row>
    <row r="5" spans="1:4" s="19" customFormat="1" ht="15" customHeight="1">
      <c r="C5" s="25"/>
      <c r="D5" s="24"/>
    </row>
    <row r="6" spans="1:4" s="19" customFormat="1" ht="15" customHeight="1">
      <c r="C6" s="25"/>
      <c r="D6" s="24"/>
    </row>
    <row r="7" spans="1:4" s="19" customFormat="1" ht="15" customHeight="1">
      <c r="B7" s="118" t="s">
        <v>270</v>
      </c>
      <c r="C7" s="118"/>
      <c r="D7" s="118"/>
    </row>
    <row r="8" spans="1:4" s="19" customFormat="1" ht="15" customHeight="1">
      <c r="B8" s="118"/>
      <c r="C8" s="118"/>
      <c r="D8" s="118"/>
    </row>
    <row r="9" spans="1:4" s="19" customFormat="1" ht="33" customHeight="1">
      <c r="B9" s="118"/>
      <c r="C9" s="118"/>
      <c r="D9" s="118"/>
    </row>
    <row r="10" spans="1:4" s="19" customFormat="1" ht="4.5" customHeight="1">
      <c r="B10" s="23"/>
      <c r="C10" s="23"/>
      <c r="D10" s="23"/>
    </row>
    <row r="11" spans="1:4" s="19" customFormat="1" ht="33" customHeight="1">
      <c r="B11" s="22" t="s">
        <v>197</v>
      </c>
      <c r="C11" s="21" t="s">
        <v>196</v>
      </c>
      <c r="D11" s="20" t="s">
        <v>54</v>
      </c>
    </row>
    <row r="12" spans="1:4">
      <c r="A12" s="89"/>
      <c r="B12" s="96" t="s">
        <v>195</v>
      </c>
      <c r="C12" s="95">
        <v>31</v>
      </c>
      <c r="D12" s="94">
        <f t="shared" ref="D12:D36" si="0">C12/$C$36</f>
        <v>1.5971148892323546E-2</v>
      </c>
    </row>
    <row r="13" spans="1:4">
      <c r="A13" s="89"/>
      <c r="B13" s="96" t="s">
        <v>194</v>
      </c>
      <c r="C13" s="95">
        <v>14</v>
      </c>
      <c r="D13" s="94">
        <f t="shared" si="0"/>
        <v>7.2127769191138585E-3</v>
      </c>
    </row>
    <row r="14" spans="1:4">
      <c r="A14" s="89"/>
      <c r="B14" s="96" t="s">
        <v>193</v>
      </c>
      <c r="C14" s="95">
        <v>26</v>
      </c>
      <c r="D14" s="94">
        <f t="shared" si="0"/>
        <v>1.3395157135497167E-2</v>
      </c>
    </row>
    <row r="15" spans="1:4">
      <c r="A15" s="89"/>
      <c r="B15" s="96" t="s">
        <v>192</v>
      </c>
      <c r="C15" s="95">
        <v>34</v>
      </c>
      <c r="D15" s="94">
        <f t="shared" si="0"/>
        <v>1.7516743946419371E-2</v>
      </c>
    </row>
    <row r="16" spans="1:4">
      <c r="A16" s="89"/>
      <c r="B16" s="96" t="s">
        <v>191</v>
      </c>
      <c r="C16" s="95">
        <v>22</v>
      </c>
      <c r="D16" s="94">
        <f t="shared" si="0"/>
        <v>1.1334363730036065E-2</v>
      </c>
    </row>
    <row r="17" spans="1:4">
      <c r="A17" s="89"/>
      <c r="B17" s="96" t="s">
        <v>190</v>
      </c>
      <c r="C17" s="95">
        <v>35</v>
      </c>
      <c r="D17" s="94">
        <f t="shared" si="0"/>
        <v>1.8031942297784646E-2</v>
      </c>
    </row>
    <row r="18" spans="1:4">
      <c r="A18" s="89"/>
      <c r="B18" s="96" t="s">
        <v>189</v>
      </c>
      <c r="C18" s="95">
        <v>141</v>
      </c>
      <c r="D18" s="94">
        <f t="shared" si="0"/>
        <v>7.2642967542503864E-2</v>
      </c>
    </row>
    <row r="19" spans="1:4" ht="17.25" customHeight="1">
      <c r="A19" s="89"/>
      <c r="B19" s="96" t="s">
        <v>188</v>
      </c>
      <c r="C19" s="95">
        <v>258</v>
      </c>
      <c r="D19" s="94">
        <f t="shared" si="0"/>
        <v>0.13292117465224113</v>
      </c>
    </row>
    <row r="20" spans="1:4">
      <c r="A20" s="89"/>
      <c r="B20" s="96" t="s">
        <v>187</v>
      </c>
      <c r="C20" s="95">
        <v>16</v>
      </c>
      <c r="D20" s="94">
        <f t="shared" si="0"/>
        <v>8.2431736218444105E-3</v>
      </c>
    </row>
    <row r="21" spans="1:4">
      <c r="A21" s="89"/>
      <c r="B21" s="96" t="s">
        <v>186</v>
      </c>
      <c r="C21" s="95">
        <v>46</v>
      </c>
      <c r="D21" s="94">
        <f t="shared" si="0"/>
        <v>2.369912416280268E-2</v>
      </c>
    </row>
    <row r="22" spans="1:4">
      <c r="A22" s="89"/>
      <c r="B22" s="96" t="s">
        <v>185</v>
      </c>
      <c r="C22" s="95">
        <v>58</v>
      </c>
      <c r="D22" s="94">
        <f t="shared" si="0"/>
        <v>2.9881504379185988E-2</v>
      </c>
    </row>
    <row r="23" spans="1:4" ht="15" customHeight="1">
      <c r="A23" s="89"/>
      <c r="B23" s="96" t="s">
        <v>184</v>
      </c>
      <c r="C23" s="95">
        <v>651</v>
      </c>
      <c r="D23" s="94">
        <f t="shared" si="0"/>
        <v>0.33539412673879443</v>
      </c>
    </row>
    <row r="24" spans="1:4">
      <c r="A24" s="89"/>
      <c r="B24" s="96" t="s">
        <v>183</v>
      </c>
      <c r="C24" s="95">
        <v>30</v>
      </c>
      <c r="D24" s="94">
        <f t="shared" si="0"/>
        <v>1.5455950540958269E-2</v>
      </c>
    </row>
    <row r="25" spans="1:4" ht="27">
      <c r="A25" s="89"/>
      <c r="B25" s="96" t="s">
        <v>182</v>
      </c>
      <c r="C25" s="95">
        <v>96</v>
      </c>
      <c r="D25" s="94">
        <f t="shared" si="0"/>
        <v>4.945904173106646E-2</v>
      </c>
    </row>
    <row r="26" spans="1:4" ht="27">
      <c r="A26" s="89"/>
      <c r="B26" s="96" t="s">
        <v>181</v>
      </c>
      <c r="C26" s="95">
        <v>328</v>
      </c>
      <c r="D26" s="94">
        <f t="shared" si="0"/>
        <v>0.1689850592478104</v>
      </c>
    </row>
    <row r="27" spans="1:4">
      <c r="A27" s="89"/>
      <c r="B27" s="96" t="s">
        <v>180</v>
      </c>
      <c r="C27" s="95">
        <v>5</v>
      </c>
      <c r="D27" s="94">
        <f t="shared" si="0"/>
        <v>2.5759917568263782E-3</v>
      </c>
    </row>
    <row r="28" spans="1:4">
      <c r="A28" s="89"/>
      <c r="B28" s="96" t="s">
        <v>271</v>
      </c>
      <c r="C28" s="95">
        <v>4</v>
      </c>
      <c r="D28" s="94">
        <f t="shared" si="0"/>
        <v>2.0607934054611026E-3</v>
      </c>
    </row>
    <row r="29" spans="1:4">
      <c r="A29" s="89"/>
      <c r="B29" s="96" t="s">
        <v>272</v>
      </c>
      <c r="C29" s="95">
        <v>3</v>
      </c>
      <c r="D29" s="94">
        <f t="shared" si="0"/>
        <v>1.5455950540958269E-3</v>
      </c>
    </row>
    <row r="30" spans="1:4">
      <c r="A30" s="89"/>
      <c r="B30" s="96" t="s">
        <v>273</v>
      </c>
      <c r="C30" s="95">
        <v>1</v>
      </c>
      <c r="D30" s="94">
        <f t="shared" si="0"/>
        <v>5.1519835136527566E-4</v>
      </c>
    </row>
    <row r="31" spans="1:4">
      <c r="A31" s="89"/>
      <c r="B31" s="96" t="s">
        <v>179</v>
      </c>
      <c r="C31" s="95">
        <v>38</v>
      </c>
      <c r="D31" s="94">
        <f t="shared" si="0"/>
        <v>1.9577537351880475E-2</v>
      </c>
    </row>
    <row r="32" spans="1:4">
      <c r="A32" s="89"/>
      <c r="B32" s="96" t="s">
        <v>178</v>
      </c>
      <c r="C32" s="95">
        <v>95</v>
      </c>
      <c r="D32" s="94">
        <f t="shared" si="0"/>
        <v>4.8943843379701188E-2</v>
      </c>
    </row>
    <row r="33" spans="1:4">
      <c r="A33" s="89"/>
      <c r="B33" s="96" t="s">
        <v>177</v>
      </c>
      <c r="C33" s="95">
        <v>1</v>
      </c>
      <c r="D33" s="94">
        <f t="shared" si="0"/>
        <v>5.1519835136527566E-4</v>
      </c>
    </row>
    <row r="34" spans="1:4">
      <c r="A34" s="89"/>
      <c r="B34" s="96" t="s">
        <v>176</v>
      </c>
      <c r="C34" s="95">
        <v>5</v>
      </c>
      <c r="D34" s="94">
        <f t="shared" si="0"/>
        <v>2.5759917568263782E-3</v>
      </c>
    </row>
    <row r="35" spans="1:4">
      <c r="A35" s="89"/>
      <c r="B35" s="96" t="s">
        <v>274</v>
      </c>
      <c r="C35" s="95">
        <v>3</v>
      </c>
      <c r="D35" s="94">
        <f t="shared" si="0"/>
        <v>1.5455950540958269E-3</v>
      </c>
    </row>
    <row r="36" spans="1:4">
      <c r="A36" s="89"/>
      <c r="B36" s="93" t="s">
        <v>20</v>
      </c>
      <c r="C36" s="92">
        <v>1941</v>
      </c>
      <c r="D36" s="91">
        <f t="shared" si="0"/>
        <v>1</v>
      </c>
    </row>
    <row r="37" spans="1:4">
      <c r="A37" s="89"/>
      <c r="B37" s="89"/>
      <c r="C37" s="71"/>
      <c r="D37" s="89"/>
    </row>
    <row r="38" spans="1:4">
      <c r="B38" s="103" t="s">
        <v>251</v>
      </c>
      <c r="C38" s="71"/>
      <c r="D38" s="89"/>
    </row>
    <row r="39" spans="1:4">
      <c r="B39" s="103" t="s">
        <v>19</v>
      </c>
      <c r="C39" s="71"/>
      <c r="D39" s="89"/>
    </row>
    <row r="40" spans="1:4">
      <c r="B40" s="103" t="s">
        <v>18</v>
      </c>
      <c r="C40" s="71"/>
      <c r="D40" s="89"/>
    </row>
    <row r="41" spans="1:4">
      <c r="B41" s="103" t="s">
        <v>17</v>
      </c>
      <c r="C41" s="71"/>
      <c r="D41" s="89"/>
    </row>
    <row r="42" spans="1:4">
      <c r="B42" s="103" t="s">
        <v>252</v>
      </c>
      <c r="C42" s="71"/>
      <c r="D42" s="89"/>
    </row>
    <row r="43" spans="1:4">
      <c r="A43" s="90"/>
      <c r="B43" s="89"/>
      <c r="C43" s="71"/>
      <c r="D43" s="89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265"/>
  <sheetViews>
    <sheetView showGridLines="0" zoomScaleNormal="100" zoomScaleSheetLayoutView="85" workbookViewId="0">
      <selection activeCell="B10" sqref="B10:B16"/>
    </sheetView>
  </sheetViews>
  <sheetFormatPr baseColWidth="10" defaultColWidth="35" defaultRowHeight="15" customHeight="1"/>
  <cols>
    <col min="1" max="1" width="1" style="26" customWidth="1"/>
    <col min="2" max="2" width="22.85546875" style="27" customWidth="1"/>
    <col min="3" max="3" width="31.42578125" style="27" customWidth="1"/>
    <col min="4" max="4" width="14.28515625" style="27" customWidth="1"/>
    <col min="5" max="5" width="16.85546875" style="27" customWidth="1"/>
    <col min="6" max="16384" width="35" style="26"/>
  </cols>
  <sheetData>
    <row r="1" spans="1:5" s="35" customFormat="1" ht="12" customHeight="1">
      <c r="B1" s="39"/>
      <c r="C1" s="38"/>
      <c r="D1" s="38"/>
      <c r="E1" s="38"/>
    </row>
    <row r="2" spans="1:5" s="35" customFormat="1" ht="15" customHeight="1">
      <c r="C2" s="37"/>
    </row>
    <row r="3" spans="1:5" s="35" customFormat="1" ht="15" customHeight="1">
      <c r="C3" s="37"/>
    </row>
    <row r="4" spans="1:5" s="35" customFormat="1" ht="30" customHeight="1">
      <c r="C4" s="37"/>
      <c r="D4" s="36"/>
    </row>
    <row r="5" spans="1:5" s="35" customFormat="1" ht="15" customHeight="1">
      <c r="C5" s="37"/>
      <c r="D5" s="36"/>
    </row>
    <row r="6" spans="1:5" s="31" customFormat="1" ht="24" customHeight="1">
      <c r="B6" s="34"/>
      <c r="C6" s="33"/>
      <c r="D6" s="33"/>
      <c r="E6" s="33"/>
    </row>
    <row r="7" spans="1:5" s="31" customFormat="1" ht="26.25" customHeight="1">
      <c r="A7" s="32"/>
      <c r="B7" s="122"/>
      <c r="C7" s="122"/>
      <c r="D7" s="122"/>
      <c r="E7" s="122"/>
    </row>
    <row r="8" spans="1:5" s="31" customFormat="1" ht="33" customHeight="1">
      <c r="A8" s="32"/>
      <c r="B8" s="122"/>
      <c r="C8" s="122"/>
      <c r="D8" s="122"/>
      <c r="E8" s="122"/>
    </row>
    <row r="9" spans="1:5" s="19" customFormat="1" ht="40.5" customHeight="1">
      <c r="B9" s="28" t="s">
        <v>198</v>
      </c>
      <c r="C9" s="30" t="s">
        <v>175</v>
      </c>
      <c r="D9" s="29" t="s">
        <v>55</v>
      </c>
      <c r="E9" s="28" t="s">
        <v>54</v>
      </c>
    </row>
    <row r="10" spans="1:5" ht="15" customHeight="1">
      <c r="B10" s="119" t="s">
        <v>195</v>
      </c>
      <c r="C10" s="70" t="s">
        <v>39</v>
      </c>
      <c r="D10" s="69">
        <v>1</v>
      </c>
      <c r="E10" s="68">
        <v>5.1519835136527566E-4</v>
      </c>
    </row>
    <row r="11" spans="1:5" ht="15" customHeight="1">
      <c r="B11" s="120"/>
      <c r="C11" s="70" t="s">
        <v>53</v>
      </c>
      <c r="D11" s="69">
        <v>26</v>
      </c>
      <c r="E11" s="68">
        <v>1.3395157135497167E-2</v>
      </c>
    </row>
    <row r="12" spans="1:5" ht="15" customHeight="1">
      <c r="B12" s="120"/>
      <c r="C12" s="70" t="s">
        <v>49</v>
      </c>
      <c r="D12" s="69">
        <v>1</v>
      </c>
      <c r="E12" s="68">
        <v>5.1519835136527566E-4</v>
      </c>
    </row>
    <row r="13" spans="1:5" ht="15" customHeight="1">
      <c r="B13" s="120"/>
      <c r="C13" s="70" t="s">
        <v>52</v>
      </c>
      <c r="D13" s="69">
        <v>1</v>
      </c>
      <c r="E13" s="68">
        <v>5.1519835136527566E-4</v>
      </c>
    </row>
    <row r="14" spans="1:5" ht="15" customHeight="1">
      <c r="B14" s="120"/>
      <c r="C14" s="70" t="s">
        <v>250</v>
      </c>
      <c r="D14" s="69">
        <v>1</v>
      </c>
      <c r="E14" s="68">
        <v>5.1519835136527566E-4</v>
      </c>
    </row>
    <row r="15" spans="1:5" ht="15" customHeight="1">
      <c r="B15" s="120"/>
      <c r="C15" s="70" t="s">
        <v>51</v>
      </c>
      <c r="D15" s="69">
        <v>1</v>
      </c>
      <c r="E15" s="68">
        <v>5.1519835136527566E-4</v>
      </c>
    </row>
    <row r="16" spans="1:5" ht="15" customHeight="1">
      <c r="B16" s="121"/>
      <c r="C16" s="67" t="s">
        <v>20</v>
      </c>
      <c r="D16" s="66">
        <v>31</v>
      </c>
      <c r="E16" s="65">
        <v>1.5971148892323546E-2</v>
      </c>
    </row>
    <row r="17" spans="2:5" ht="15" customHeight="1">
      <c r="B17" s="119" t="s">
        <v>194</v>
      </c>
      <c r="C17" s="70" t="s">
        <v>39</v>
      </c>
      <c r="D17" s="69">
        <v>1</v>
      </c>
      <c r="E17" s="68">
        <v>5.1519835136527566E-4</v>
      </c>
    </row>
    <row r="18" spans="2:5" ht="15" customHeight="1">
      <c r="B18" s="120"/>
      <c r="C18" s="70" t="s">
        <v>53</v>
      </c>
      <c r="D18" s="69">
        <v>10</v>
      </c>
      <c r="E18" s="68">
        <v>5.1519835136527563E-3</v>
      </c>
    </row>
    <row r="19" spans="2:5" ht="15" customHeight="1">
      <c r="B19" s="120"/>
      <c r="C19" s="70" t="s">
        <v>49</v>
      </c>
      <c r="D19" s="69">
        <v>1</v>
      </c>
      <c r="E19" s="68">
        <v>5.1519835136527566E-4</v>
      </c>
    </row>
    <row r="20" spans="2:5" ht="15" customHeight="1">
      <c r="B20" s="120"/>
      <c r="C20" s="70" t="s">
        <v>52</v>
      </c>
      <c r="D20" s="69">
        <v>1</v>
      </c>
      <c r="E20" s="68">
        <v>5.1519835136527566E-4</v>
      </c>
    </row>
    <row r="21" spans="2:5" ht="15" customHeight="1">
      <c r="B21" s="120"/>
      <c r="C21" s="70" t="s">
        <v>45</v>
      </c>
      <c r="D21" s="69">
        <v>1</v>
      </c>
      <c r="E21" s="68">
        <v>5.1519835136527566E-4</v>
      </c>
    </row>
    <row r="22" spans="2:5" ht="15" customHeight="1">
      <c r="B22" s="121"/>
      <c r="C22" s="67" t="s">
        <v>20</v>
      </c>
      <c r="D22" s="66">
        <v>14</v>
      </c>
      <c r="E22" s="65">
        <v>7.2127769191138585E-3</v>
      </c>
    </row>
    <row r="23" spans="2:5" ht="15" customHeight="1">
      <c r="B23" s="119" t="s">
        <v>193</v>
      </c>
      <c r="C23" s="70" t="s">
        <v>53</v>
      </c>
      <c r="D23" s="69">
        <v>20</v>
      </c>
      <c r="E23" s="68">
        <v>1.0303967027305513E-2</v>
      </c>
    </row>
    <row r="24" spans="2:5" ht="15" customHeight="1">
      <c r="B24" s="120"/>
      <c r="C24" s="70" t="s">
        <v>50</v>
      </c>
      <c r="D24" s="69">
        <v>1</v>
      </c>
      <c r="E24" s="68">
        <v>5.1519835136527566E-4</v>
      </c>
    </row>
    <row r="25" spans="2:5" ht="15" customHeight="1">
      <c r="B25" s="120"/>
      <c r="C25" s="70" t="s">
        <v>40</v>
      </c>
      <c r="D25" s="69">
        <v>1</v>
      </c>
      <c r="E25" s="68">
        <v>5.1519835136527566E-4</v>
      </c>
    </row>
    <row r="26" spans="2:5" ht="15" customHeight="1">
      <c r="B26" s="120"/>
      <c r="C26" s="70" t="s">
        <v>42</v>
      </c>
      <c r="D26" s="69">
        <v>1</v>
      </c>
      <c r="E26" s="68">
        <v>5.1519835136527566E-4</v>
      </c>
    </row>
    <row r="27" spans="2:5" ht="15" customHeight="1">
      <c r="B27" s="120"/>
      <c r="C27" s="70" t="s">
        <v>49</v>
      </c>
      <c r="D27" s="69">
        <v>1</v>
      </c>
      <c r="E27" s="68">
        <v>5.1519835136527566E-4</v>
      </c>
    </row>
    <row r="28" spans="2:5" ht="15" customHeight="1">
      <c r="B28" s="120"/>
      <c r="C28" s="70" t="s">
        <v>52</v>
      </c>
      <c r="D28" s="69">
        <v>2</v>
      </c>
      <c r="E28" s="68">
        <v>1.0303967027305513E-3</v>
      </c>
    </row>
    <row r="29" spans="2:5" ht="15" customHeight="1">
      <c r="B29" s="121"/>
      <c r="C29" s="67" t="s">
        <v>20</v>
      </c>
      <c r="D29" s="66">
        <v>26</v>
      </c>
      <c r="E29" s="65">
        <v>1.3395157135497167E-2</v>
      </c>
    </row>
    <row r="30" spans="2:5" ht="15" customHeight="1">
      <c r="B30" s="119" t="s">
        <v>192</v>
      </c>
      <c r="C30" s="70" t="s">
        <v>39</v>
      </c>
      <c r="D30" s="69">
        <v>2</v>
      </c>
      <c r="E30" s="68">
        <v>1.0303967027305513E-3</v>
      </c>
    </row>
    <row r="31" spans="2:5" ht="15" customHeight="1">
      <c r="B31" s="120"/>
      <c r="C31" s="70" t="s">
        <v>53</v>
      </c>
      <c r="D31" s="69">
        <v>26</v>
      </c>
      <c r="E31" s="68">
        <v>1.3395157135497167E-2</v>
      </c>
    </row>
    <row r="32" spans="2:5" ht="15" customHeight="1">
      <c r="B32" s="120"/>
      <c r="C32" s="70" t="s">
        <v>46</v>
      </c>
      <c r="D32" s="69">
        <v>1</v>
      </c>
      <c r="E32" s="68">
        <v>5.1519835136527566E-4</v>
      </c>
    </row>
    <row r="33" spans="2:5" ht="15" customHeight="1">
      <c r="B33" s="120"/>
      <c r="C33" s="70" t="s">
        <v>49</v>
      </c>
      <c r="D33" s="69">
        <v>2</v>
      </c>
      <c r="E33" s="68">
        <v>1.0303967027305513E-3</v>
      </c>
    </row>
    <row r="34" spans="2:5" ht="15" customHeight="1">
      <c r="B34" s="120"/>
      <c r="C34" s="70" t="s">
        <v>52</v>
      </c>
      <c r="D34" s="69">
        <v>1</v>
      </c>
      <c r="E34" s="68">
        <v>5.1519835136527566E-4</v>
      </c>
    </row>
    <row r="35" spans="2:5" ht="15" customHeight="1">
      <c r="B35" s="120"/>
      <c r="C35" s="70" t="s">
        <v>51</v>
      </c>
      <c r="D35" s="69">
        <v>1</v>
      </c>
      <c r="E35" s="68">
        <v>5.1519835136527566E-4</v>
      </c>
    </row>
    <row r="36" spans="2:5" ht="15" customHeight="1">
      <c r="B36" s="120"/>
      <c r="C36" s="70" t="s">
        <v>45</v>
      </c>
      <c r="D36" s="69">
        <v>1</v>
      </c>
      <c r="E36" s="68">
        <v>5.1519835136527566E-4</v>
      </c>
    </row>
    <row r="37" spans="2:5" ht="15" customHeight="1">
      <c r="B37" s="121"/>
      <c r="C37" s="67" t="s">
        <v>20</v>
      </c>
      <c r="D37" s="66">
        <v>34</v>
      </c>
      <c r="E37" s="65">
        <v>1.7516743946419371E-2</v>
      </c>
    </row>
    <row r="38" spans="2:5" ht="15" customHeight="1">
      <c r="B38" s="119" t="s">
        <v>191</v>
      </c>
      <c r="C38" s="70" t="s">
        <v>53</v>
      </c>
      <c r="D38" s="69">
        <v>11</v>
      </c>
      <c r="E38" s="68">
        <v>5.6671818650180323E-3</v>
      </c>
    </row>
    <row r="39" spans="2:5" ht="15" customHeight="1">
      <c r="B39" s="120"/>
      <c r="C39" s="70" t="s">
        <v>50</v>
      </c>
      <c r="D39" s="69">
        <v>3</v>
      </c>
      <c r="E39" s="68">
        <v>1.5455950540958269E-3</v>
      </c>
    </row>
    <row r="40" spans="2:5" ht="15" customHeight="1">
      <c r="B40" s="120"/>
      <c r="C40" s="70" t="s">
        <v>40</v>
      </c>
      <c r="D40" s="69">
        <v>1</v>
      </c>
      <c r="E40" s="68">
        <v>5.1519835136527566E-4</v>
      </c>
    </row>
    <row r="41" spans="2:5" ht="15" customHeight="1">
      <c r="B41" s="120"/>
      <c r="C41" s="70" t="s">
        <v>49</v>
      </c>
      <c r="D41" s="69">
        <v>1</v>
      </c>
      <c r="E41" s="68">
        <v>5.1519835136527566E-4</v>
      </c>
    </row>
    <row r="42" spans="2:5" ht="15" customHeight="1">
      <c r="B42" s="120"/>
      <c r="C42" s="70" t="s">
        <v>44</v>
      </c>
      <c r="D42" s="69">
        <v>1</v>
      </c>
      <c r="E42" s="68">
        <v>5.1519835136527566E-4</v>
      </c>
    </row>
    <row r="43" spans="2:5" ht="15" customHeight="1">
      <c r="B43" s="120"/>
      <c r="C43" s="70" t="s">
        <v>52</v>
      </c>
      <c r="D43" s="69">
        <v>2</v>
      </c>
      <c r="E43" s="68">
        <v>1.0303967027305513E-3</v>
      </c>
    </row>
    <row r="44" spans="2:5" ht="15" customHeight="1">
      <c r="B44" s="120"/>
      <c r="C44" s="70" t="s">
        <v>24</v>
      </c>
      <c r="D44" s="69">
        <v>1</v>
      </c>
      <c r="E44" s="68">
        <v>5.1519835136527566E-4</v>
      </c>
    </row>
    <row r="45" spans="2:5" ht="15" customHeight="1">
      <c r="B45" s="120"/>
      <c r="C45" s="70" t="s">
        <v>51</v>
      </c>
      <c r="D45" s="69">
        <v>1</v>
      </c>
      <c r="E45" s="68">
        <v>5.1519835136527566E-4</v>
      </c>
    </row>
    <row r="46" spans="2:5" ht="15" customHeight="1">
      <c r="B46" s="120"/>
      <c r="C46" s="70" t="s">
        <v>45</v>
      </c>
      <c r="D46" s="69">
        <v>1</v>
      </c>
      <c r="E46" s="68">
        <v>5.1519835136527566E-4</v>
      </c>
    </row>
    <row r="47" spans="2:5" ht="15" customHeight="1">
      <c r="B47" s="121"/>
      <c r="C47" s="67" t="s">
        <v>20</v>
      </c>
      <c r="D47" s="66">
        <v>22</v>
      </c>
      <c r="E47" s="65">
        <v>1.1334363730036065E-2</v>
      </c>
    </row>
    <row r="48" spans="2:5" ht="15" customHeight="1">
      <c r="B48" s="119" t="s">
        <v>190</v>
      </c>
      <c r="C48" s="70" t="s">
        <v>53</v>
      </c>
      <c r="D48" s="69">
        <v>28</v>
      </c>
      <c r="E48" s="68">
        <v>1.4425553838227717E-2</v>
      </c>
    </row>
    <row r="49" spans="2:5" ht="15" customHeight="1">
      <c r="B49" s="120"/>
      <c r="C49" s="70" t="s">
        <v>50</v>
      </c>
      <c r="D49" s="69">
        <v>1</v>
      </c>
      <c r="E49" s="68">
        <v>5.1519835136527566E-4</v>
      </c>
    </row>
    <row r="50" spans="2:5" ht="15" customHeight="1">
      <c r="B50" s="120"/>
      <c r="C50" s="70" t="s">
        <v>26</v>
      </c>
      <c r="D50" s="69">
        <v>1</v>
      </c>
      <c r="E50" s="68">
        <v>5.1519835136527566E-4</v>
      </c>
    </row>
    <row r="51" spans="2:5" ht="15" customHeight="1">
      <c r="B51" s="120"/>
      <c r="C51" s="70" t="s">
        <v>49</v>
      </c>
      <c r="D51" s="69">
        <v>1</v>
      </c>
      <c r="E51" s="68">
        <v>5.1519835136527566E-4</v>
      </c>
    </row>
    <row r="52" spans="2:5" ht="15" customHeight="1">
      <c r="B52" s="120"/>
      <c r="C52" s="70" t="s">
        <v>52</v>
      </c>
      <c r="D52" s="69">
        <v>3</v>
      </c>
      <c r="E52" s="68">
        <v>1.5455950540958269E-3</v>
      </c>
    </row>
    <row r="53" spans="2:5" ht="15" customHeight="1">
      <c r="B53" s="120"/>
      <c r="C53" s="70" t="s">
        <v>45</v>
      </c>
      <c r="D53" s="69">
        <v>1</v>
      </c>
      <c r="E53" s="68">
        <v>5.1519835136527566E-4</v>
      </c>
    </row>
    <row r="54" spans="2:5" ht="15" customHeight="1">
      <c r="B54" s="121"/>
      <c r="C54" s="67" t="s">
        <v>20</v>
      </c>
      <c r="D54" s="66">
        <v>35</v>
      </c>
      <c r="E54" s="65">
        <v>1.8031942297784646E-2</v>
      </c>
    </row>
    <row r="55" spans="2:5" ht="15" customHeight="1">
      <c r="B55" s="119" t="s">
        <v>189</v>
      </c>
      <c r="C55" s="70" t="s">
        <v>43</v>
      </c>
      <c r="D55" s="69">
        <v>1</v>
      </c>
      <c r="E55" s="68">
        <v>5.1519835136527566E-4</v>
      </c>
    </row>
    <row r="56" spans="2:5" ht="15" customHeight="1">
      <c r="B56" s="120"/>
      <c r="C56" s="70" t="s">
        <v>53</v>
      </c>
      <c r="D56" s="69">
        <v>107</v>
      </c>
      <c r="E56" s="68">
        <v>5.5126223596084489E-2</v>
      </c>
    </row>
    <row r="57" spans="2:5" ht="15" customHeight="1">
      <c r="B57" s="120"/>
      <c r="C57" s="70" t="s">
        <v>50</v>
      </c>
      <c r="D57" s="69">
        <v>4</v>
      </c>
      <c r="E57" s="68">
        <v>2.0607934054611026E-3</v>
      </c>
    </row>
    <row r="58" spans="2:5" ht="15" customHeight="1">
      <c r="B58" s="120"/>
      <c r="C58" s="70" t="s">
        <v>47</v>
      </c>
      <c r="D58" s="69">
        <v>2</v>
      </c>
      <c r="E58" s="68">
        <v>1.0303967027305513E-3</v>
      </c>
    </row>
    <row r="59" spans="2:5" ht="15" customHeight="1">
      <c r="B59" s="120"/>
      <c r="C59" s="70" t="s">
        <v>46</v>
      </c>
      <c r="D59" s="69">
        <v>1</v>
      </c>
      <c r="E59" s="68">
        <v>5.1519835136527566E-4</v>
      </c>
    </row>
    <row r="60" spans="2:5" ht="15" customHeight="1">
      <c r="B60" s="120"/>
      <c r="C60" s="70" t="s">
        <v>28</v>
      </c>
      <c r="D60" s="69">
        <v>1</v>
      </c>
      <c r="E60" s="68">
        <v>5.1519835136527566E-4</v>
      </c>
    </row>
    <row r="61" spans="2:5" ht="15" customHeight="1">
      <c r="B61" s="120"/>
      <c r="C61" s="70" t="s">
        <v>33</v>
      </c>
      <c r="D61" s="69">
        <v>1</v>
      </c>
      <c r="E61" s="68">
        <v>5.1519835136527566E-4</v>
      </c>
    </row>
    <row r="62" spans="2:5" ht="15" customHeight="1">
      <c r="B62" s="120"/>
      <c r="C62" s="70" t="s">
        <v>30</v>
      </c>
      <c r="D62" s="69">
        <v>3</v>
      </c>
      <c r="E62" s="68">
        <v>1.5455950540958269E-3</v>
      </c>
    </row>
    <row r="63" spans="2:5" ht="15" customHeight="1">
      <c r="B63" s="120"/>
      <c r="C63" s="70" t="s">
        <v>49</v>
      </c>
      <c r="D63" s="69">
        <v>2</v>
      </c>
      <c r="E63" s="68">
        <v>1.0303967027305513E-3</v>
      </c>
    </row>
    <row r="64" spans="2:5" ht="15" customHeight="1">
      <c r="B64" s="120"/>
      <c r="C64" s="70" t="s">
        <v>52</v>
      </c>
      <c r="D64" s="69">
        <v>7</v>
      </c>
      <c r="E64" s="68">
        <v>3.6063884595569293E-3</v>
      </c>
    </row>
    <row r="65" spans="2:5" ht="15" customHeight="1">
      <c r="B65" s="120"/>
      <c r="C65" s="70" t="s">
        <v>51</v>
      </c>
      <c r="D65" s="69">
        <v>8</v>
      </c>
      <c r="E65" s="68">
        <v>4.1215868109222053E-3</v>
      </c>
    </row>
    <row r="66" spans="2:5" ht="15" customHeight="1">
      <c r="B66" s="120"/>
      <c r="C66" s="70" t="s">
        <v>45</v>
      </c>
      <c r="D66" s="69">
        <v>2</v>
      </c>
      <c r="E66" s="68">
        <v>1.0303967027305513E-3</v>
      </c>
    </row>
    <row r="67" spans="2:5" ht="15" customHeight="1">
      <c r="B67" s="120"/>
      <c r="C67" s="70" t="s">
        <v>48</v>
      </c>
      <c r="D67" s="69">
        <v>2</v>
      </c>
      <c r="E67" s="68">
        <v>1.0303967027305513E-3</v>
      </c>
    </row>
    <row r="68" spans="2:5" ht="15" customHeight="1">
      <c r="B68" s="121"/>
      <c r="C68" s="67" t="s">
        <v>20</v>
      </c>
      <c r="D68" s="66">
        <v>141</v>
      </c>
      <c r="E68" s="65">
        <v>7.2642967542503864E-2</v>
      </c>
    </row>
    <row r="69" spans="2:5" ht="15" customHeight="1">
      <c r="B69" s="119" t="s">
        <v>188</v>
      </c>
      <c r="C69" s="70" t="s">
        <v>39</v>
      </c>
      <c r="D69" s="69">
        <v>1</v>
      </c>
      <c r="E69" s="68">
        <v>5.1519835136527566E-4</v>
      </c>
    </row>
    <row r="70" spans="2:5" ht="15" customHeight="1">
      <c r="B70" s="120"/>
      <c r="C70" s="70" t="s">
        <v>43</v>
      </c>
      <c r="D70" s="69">
        <v>1</v>
      </c>
      <c r="E70" s="68">
        <v>5.1519835136527566E-4</v>
      </c>
    </row>
    <row r="71" spans="2:5" ht="15" customHeight="1">
      <c r="B71" s="120"/>
      <c r="C71" s="70" t="s">
        <v>53</v>
      </c>
      <c r="D71" s="69">
        <v>202</v>
      </c>
      <c r="E71" s="68">
        <v>0.10407006697578568</v>
      </c>
    </row>
    <row r="72" spans="2:5" ht="15" customHeight="1">
      <c r="B72" s="120"/>
      <c r="C72" s="70" t="s">
        <v>50</v>
      </c>
      <c r="D72" s="69">
        <v>11</v>
      </c>
      <c r="E72" s="68">
        <v>5.6671818650180323E-3</v>
      </c>
    </row>
    <row r="73" spans="2:5" ht="15" customHeight="1">
      <c r="B73" s="120"/>
      <c r="C73" s="70" t="s">
        <v>40</v>
      </c>
      <c r="D73" s="69">
        <v>1</v>
      </c>
      <c r="E73" s="68">
        <v>5.1519835136527566E-4</v>
      </c>
    </row>
    <row r="74" spans="2:5" ht="15" customHeight="1">
      <c r="B74" s="120"/>
      <c r="C74" s="70" t="s">
        <v>28</v>
      </c>
      <c r="D74" s="69">
        <v>1</v>
      </c>
      <c r="E74" s="68">
        <v>5.1519835136527566E-4</v>
      </c>
    </row>
    <row r="75" spans="2:5" ht="15" customHeight="1">
      <c r="B75" s="120"/>
      <c r="C75" s="70" t="s">
        <v>38</v>
      </c>
      <c r="D75" s="69">
        <v>2</v>
      </c>
      <c r="E75" s="68">
        <v>1.0303967027305513E-3</v>
      </c>
    </row>
    <row r="76" spans="2:5" ht="15" customHeight="1">
      <c r="B76" s="120"/>
      <c r="C76" s="70" t="s">
        <v>30</v>
      </c>
      <c r="D76" s="69">
        <v>2</v>
      </c>
      <c r="E76" s="68">
        <v>1.0303967027305513E-3</v>
      </c>
    </row>
    <row r="77" spans="2:5" ht="15" customHeight="1">
      <c r="B77" s="120"/>
      <c r="C77" s="70" t="s">
        <v>241</v>
      </c>
      <c r="D77" s="69">
        <v>2</v>
      </c>
      <c r="E77" s="68">
        <v>1.0303967027305513E-3</v>
      </c>
    </row>
    <row r="78" spans="2:5" ht="15" customHeight="1">
      <c r="B78" s="120"/>
      <c r="C78" s="70" t="s">
        <v>49</v>
      </c>
      <c r="D78" s="69">
        <v>4</v>
      </c>
      <c r="E78" s="68">
        <v>2.0607934054611026E-3</v>
      </c>
    </row>
    <row r="79" spans="2:5" ht="15" customHeight="1">
      <c r="B79" s="120"/>
      <c r="C79" s="70" t="s">
        <v>41</v>
      </c>
      <c r="D79" s="69">
        <v>2</v>
      </c>
      <c r="E79" s="68">
        <v>1.0303967027305513E-3</v>
      </c>
    </row>
    <row r="80" spans="2:5" ht="15" customHeight="1">
      <c r="B80" s="120"/>
      <c r="C80" s="70" t="s">
        <v>44</v>
      </c>
      <c r="D80" s="69">
        <v>2</v>
      </c>
      <c r="E80" s="68">
        <v>1.0303967027305513E-3</v>
      </c>
    </row>
    <row r="81" spans="2:5" ht="15" customHeight="1">
      <c r="B81" s="120"/>
      <c r="C81" s="70" t="s">
        <v>52</v>
      </c>
      <c r="D81" s="69">
        <v>15</v>
      </c>
      <c r="E81" s="68">
        <v>7.7279752704791345E-3</v>
      </c>
    </row>
    <row r="82" spans="2:5" ht="15" customHeight="1">
      <c r="B82" s="120"/>
      <c r="C82" s="70" t="s">
        <v>51</v>
      </c>
      <c r="D82" s="69">
        <v>4</v>
      </c>
      <c r="E82" s="68">
        <v>2.0607934054611026E-3</v>
      </c>
    </row>
    <row r="83" spans="2:5" ht="15" customHeight="1">
      <c r="B83" s="120"/>
      <c r="C83" s="70" t="s">
        <v>45</v>
      </c>
      <c r="D83" s="69">
        <v>3</v>
      </c>
      <c r="E83" s="68">
        <v>1.5455950540958269E-3</v>
      </c>
    </row>
    <row r="84" spans="2:5" ht="15" customHeight="1">
      <c r="B84" s="120"/>
      <c r="C84" s="70" t="s">
        <v>249</v>
      </c>
      <c r="D84" s="69">
        <v>2</v>
      </c>
      <c r="E84" s="68">
        <v>1.0303967027305513E-3</v>
      </c>
    </row>
    <row r="85" spans="2:5" ht="15" customHeight="1">
      <c r="B85" s="120"/>
      <c r="C85" s="70" t="s">
        <v>48</v>
      </c>
      <c r="D85" s="69">
        <v>1</v>
      </c>
      <c r="E85" s="68">
        <v>5.1519835136527566E-4</v>
      </c>
    </row>
    <row r="86" spans="2:5" ht="15" customHeight="1">
      <c r="B86" s="120"/>
      <c r="C86" s="70" t="s">
        <v>27</v>
      </c>
      <c r="D86" s="69">
        <v>1</v>
      </c>
      <c r="E86" s="68">
        <v>5.1519835136527566E-4</v>
      </c>
    </row>
    <row r="87" spans="2:5" ht="15" customHeight="1">
      <c r="B87" s="120"/>
      <c r="C87" s="70" t="s">
        <v>242</v>
      </c>
      <c r="D87" s="69">
        <v>1</v>
      </c>
      <c r="E87" s="68">
        <v>5.1519835136527566E-4</v>
      </c>
    </row>
    <row r="88" spans="2:5" ht="15" customHeight="1">
      <c r="B88" s="121"/>
      <c r="C88" s="67" t="s">
        <v>20</v>
      </c>
      <c r="D88" s="66">
        <v>258</v>
      </c>
      <c r="E88" s="65">
        <v>0.13292117465224113</v>
      </c>
    </row>
    <row r="89" spans="2:5" ht="15" customHeight="1">
      <c r="B89" s="119" t="s">
        <v>187</v>
      </c>
      <c r="C89" s="70" t="s">
        <v>53</v>
      </c>
      <c r="D89" s="69">
        <v>12</v>
      </c>
      <c r="E89" s="68">
        <v>6.1823802163833074E-3</v>
      </c>
    </row>
    <row r="90" spans="2:5" ht="15" customHeight="1">
      <c r="B90" s="120"/>
      <c r="C90" s="70" t="s">
        <v>50</v>
      </c>
      <c r="D90" s="69">
        <v>1</v>
      </c>
      <c r="E90" s="68">
        <v>5.1519835136527566E-4</v>
      </c>
    </row>
    <row r="91" spans="2:5" ht="15" customHeight="1">
      <c r="B91" s="120"/>
      <c r="C91" s="70" t="s">
        <v>42</v>
      </c>
      <c r="D91" s="69">
        <v>1</v>
      </c>
      <c r="E91" s="68">
        <v>5.1519835136527566E-4</v>
      </c>
    </row>
    <row r="92" spans="2:5" ht="15" customHeight="1">
      <c r="B92" s="120"/>
      <c r="C92" s="70" t="s">
        <v>52</v>
      </c>
      <c r="D92" s="69">
        <v>1</v>
      </c>
      <c r="E92" s="68">
        <v>5.1519835136527566E-4</v>
      </c>
    </row>
    <row r="93" spans="2:5" ht="15" customHeight="1">
      <c r="B93" s="120"/>
      <c r="C93" s="70" t="s">
        <v>51</v>
      </c>
      <c r="D93" s="69">
        <v>1</v>
      </c>
      <c r="E93" s="68">
        <v>5.1519835136527566E-4</v>
      </c>
    </row>
    <row r="94" spans="2:5" ht="15" customHeight="1">
      <c r="B94" s="121"/>
      <c r="C94" s="67" t="s">
        <v>20</v>
      </c>
      <c r="D94" s="66">
        <v>16</v>
      </c>
      <c r="E94" s="65">
        <v>8.2431736218444105E-3</v>
      </c>
    </row>
    <row r="95" spans="2:5" ht="15" customHeight="1">
      <c r="B95" s="119" t="s">
        <v>186</v>
      </c>
      <c r="C95" s="70" t="s">
        <v>39</v>
      </c>
      <c r="D95" s="69">
        <v>2</v>
      </c>
      <c r="E95" s="68">
        <v>1.0303967027305513E-3</v>
      </c>
    </row>
    <row r="96" spans="2:5" ht="15" customHeight="1">
      <c r="B96" s="120"/>
      <c r="C96" s="70" t="s">
        <v>36</v>
      </c>
      <c r="D96" s="69">
        <v>1</v>
      </c>
      <c r="E96" s="68">
        <v>5.1519835136527566E-4</v>
      </c>
    </row>
    <row r="97" spans="2:5" ht="15" customHeight="1">
      <c r="B97" s="120"/>
      <c r="C97" s="70" t="s">
        <v>53</v>
      </c>
      <c r="D97" s="69">
        <v>32</v>
      </c>
      <c r="E97" s="68">
        <v>1.6486347243688821E-2</v>
      </c>
    </row>
    <row r="98" spans="2:5" ht="15" customHeight="1">
      <c r="B98" s="120"/>
      <c r="C98" s="70" t="s">
        <v>50</v>
      </c>
      <c r="D98" s="69">
        <v>1</v>
      </c>
      <c r="E98" s="68">
        <v>5.1519835136527566E-4</v>
      </c>
    </row>
    <row r="99" spans="2:5" ht="15" customHeight="1">
      <c r="B99" s="120"/>
      <c r="C99" s="70" t="s">
        <v>47</v>
      </c>
      <c r="D99" s="69">
        <v>1</v>
      </c>
      <c r="E99" s="68">
        <v>5.1519835136527566E-4</v>
      </c>
    </row>
    <row r="100" spans="2:5" ht="15" customHeight="1">
      <c r="B100" s="120"/>
      <c r="C100" s="70" t="s">
        <v>49</v>
      </c>
      <c r="D100" s="69">
        <v>1</v>
      </c>
      <c r="E100" s="68">
        <v>5.1519835136527566E-4</v>
      </c>
    </row>
    <row r="101" spans="2:5" ht="15" customHeight="1">
      <c r="B101" s="120"/>
      <c r="C101" s="70" t="s">
        <v>21</v>
      </c>
      <c r="D101" s="69">
        <v>1</v>
      </c>
      <c r="E101" s="68">
        <v>5.1519835136527566E-4</v>
      </c>
    </row>
    <row r="102" spans="2:5" ht="15" customHeight="1">
      <c r="B102" s="120"/>
      <c r="C102" s="70" t="s">
        <v>52</v>
      </c>
      <c r="D102" s="69">
        <v>4</v>
      </c>
      <c r="E102" s="68">
        <v>2.0607934054611026E-3</v>
      </c>
    </row>
    <row r="103" spans="2:5" ht="15" customHeight="1">
      <c r="B103" s="120"/>
      <c r="C103" s="70" t="s">
        <v>51</v>
      </c>
      <c r="D103" s="69">
        <v>2</v>
      </c>
      <c r="E103" s="68">
        <v>1.0303967027305513E-3</v>
      </c>
    </row>
    <row r="104" spans="2:5" ht="15" customHeight="1">
      <c r="B104" s="120"/>
      <c r="C104" s="70" t="s">
        <v>27</v>
      </c>
      <c r="D104" s="69">
        <v>1</v>
      </c>
      <c r="E104" s="68">
        <v>5.1519835136527566E-4</v>
      </c>
    </row>
    <row r="105" spans="2:5" ht="15" customHeight="1">
      <c r="B105" s="121"/>
      <c r="C105" s="67" t="s">
        <v>20</v>
      </c>
      <c r="D105" s="66">
        <v>46</v>
      </c>
      <c r="E105" s="65">
        <v>2.369912416280268E-2</v>
      </c>
    </row>
    <row r="106" spans="2:5" ht="15" customHeight="1">
      <c r="B106" s="119" t="s">
        <v>185</v>
      </c>
      <c r="C106" s="70" t="s">
        <v>53</v>
      </c>
      <c r="D106" s="69">
        <v>35</v>
      </c>
      <c r="E106" s="68">
        <v>1.8031942297784646E-2</v>
      </c>
    </row>
    <row r="107" spans="2:5" ht="15" customHeight="1">
      <c r="B107" s="120"/>
      <c r="C107" s="70" t="s">
        <v>50</v>
      </c>
      <c r="D107" s="69">
        <v>5</v>
      </c>
      <c r="E107" s="68">
        <v>2.5759917568263782E-3</v>
      </c>
    </row>
    <row r="108" spans="2:5" ht="15" customHeight="1">
      <c r="B108" s="120"/>
      <c r="C108" s="70" t="s">
        <v>26</v>
      </c>
      <c r="D108" s="69">
        <v>1</v>
      </c>
      <c r="E108" s="68">
        <v>5.1519835136527566E-4</v>
      </c>
    </row>
    <row r="109" spans="2:5" ht="15" customHeight="1">
      <c r="B109" s="120"/>
      <c r="C109" s="70" t="s">
        <v>46</v>
      </c>
      <c r="D109" s="69">
        <v>1</v>
      </c>
      <c r="E109" s="68">
        <v>5.1519835136527566E-4</v>
      </c>
    </row>
    <row r="110" spans="2:5" ht="15" customHeight="1">
      <c r="B110" s="120"/>
      <c r="C110" s="70" t="s">
        <v>49</v>
      </c>
      <c r="D110" s="69">
        <v>3</v>
      </c>
      <c r="E110" s="68">
        <v>1.5455950540958269E-3</v>
      </c>
    </row>
    <row r="111" spans="2:5" ht="15" customHeight="1">
      <c r="B111" s="120"/>
      <c r="C111" s="70" t="s">
        <v>44</v>
      </c>
      <c r="D111" s="69">
        <v>2</v>
      </c>
      <c r="E111" s="68">
        <v>1.0303967027305513E-3</v>
      </c>
    </row>
    <row r="112" spans="2:5" ht="15" customHeight="1">
      <c r="B112" s="120"/>
      <c r="C112" s="70" t="s">
        <v>52</v>
      </c>
      <c r="D112" s="69">
        <v>6</v>
      </c>
      <c r="E112" s="68">
        <v>3.0911901081916537E-3</v>
      </c>
    </row>
    <row r="113" spans="2:5" ht="15" customHeight="1">
      <c r="B113" s="120"/>
      <c r="C113" s="70" t="s">
        <v>51</v>
      </c>
      <c r="D113" s="69">
        <v>3</v>
      </c>
      <c r="E113" s="68">
        <v>1.5455950540958269E-3</v>
      </c>
    </row>
    <row r="114" spans="2:5" ht="15" customHeight="1">
      <c r="B114" s="120"/>
      <c r="C114" s="70" t="s">
        <v>45</v>
      </c>
      <c r="D114" s="69">
        <v>1</v>
      </c>
      <c r="E114" s="68">
        <v>5.1519835136527566E-4</v>
      </c>
    </row>
    <row r="115" spans="2:5" ht="15" customHeight="1">
      <c r="B115" s="120"/>
      <c r="C115" s="70" t="s">
        <v>48</v>
      </c>
      <c r="D115" s="69">
        <v>1</v>
      </c>
      <c r="E115" s="68">
        <v>5.1519835136527566E-4</v>
      </c>
    </row>
    <row r="116" spans="2:5" ht="15" customHeight="1">
      <c r="B116" s="121"/>
      <c r="C116" s="67" t="s">
        <v>20</v>
      </c>
      <c r="D116" s="66">
        <v>58</v>
      </c>
      <c r="E116" s="65">
        <v>2.9881504379185988E-2</v>
      </c>
    </row>
    <row r="117" spans="2:5" ht="15" customHeight="1">
      <c r="B117" s="119" t="s">
        <v>184</v>
      </c>
      <c r="C117" s="70" t="s">
        <v>39</v>
      </c>
      <c r="D117" s="69">
        <v>1</v>
      </c>
      <c r="E117" s="68">
        <v>5.1519835136527566E-4</v>
      </c>
    </row>
    <row r="118" spans="2:5" ht="15" customHeight="1">
      <c r="B118" s="120"/>
      <c r="C118" s="70" t="s">
        <v>36</v>
      </c>
      <c r="D118" s="69">
        <v>2</v>
      </c>
      <c r="E118" s="68">
        <v>1.0303967027305513E-3</v>
      </c>
    </row>
    <row r="119" spans="2:5" ht="15" customHeight="1">
      <c r="B119" s="120"/>
      <c r="C119" s="70" t="s">
        <v>43</v>
      </c>
      <c r="D119" s="69">
        <v>6</v>
      </c>
      <c r="E119" s="68">
        <v>3.0911901081916537E-3</v>
      </c>
    </row>
    <row r="120" spans="2:5" ht="15" customHeight="1">
      <c r="B120" s="120"/>
      <c r="C120" s="70" t="s">
        <v>53</v>
      </c>
      <c r="D120" s="69">
        <v>472</v>
      </c>
      <c r="E120" s="68">
        <v>0.2431736218444101</v>
      </c>
    </row>
    <row r="121" spans="2:5" ht="15" customHeight="1">
      <c r="B121" s="120"/>
      <c r="C121" s="70" t="s">
        <v>50</v>
      </c>
      <c r="D121" s="69">
        <v>11</v>
      </c>
      <c r="E121" s="68">
        <v>5.6671818650180323E-3</v>
      </c>
    </row>
    <row r="122" spans="2:5" ht="15" customHeight="1">
      <c r="B122" s="120"/>
      <c r="C122" s="70" t="s">
        <v>47</v>
      </c>
      <c r="D122" s="69">
        <v>9</v>
      </c>
      <c r="E122" s="68">
        <v>4.6367851622874804E-3</v>
      </c>
    </row>
    <row r="123" spans="2:5" ht="15" customHeight="1">
      <c r="B123" s="120"/>
      <c r="C123" s="70" t="s">
        <v>40</v>
      </c>
      <c r="D123" s="69">
        <v>4</v>
      </c>
      <c r="E123" s="68">
        <v>2.0607934054611026E-3</v>
      </c>
    </row>
    <row r="124" spans="2:5" ht="15" customHeight="1">
      <c r="B124" s="120"/>
      <c r="C124" s="70" t="s">
        <v>46</v>
      </c>
      <c r="D124" s="69">
        <v>5</v>
      </c>
      <c r="E124" s="68">
        <v>2.5759917568263782E-3</v>
      </c>
    </row>
    <row r="125" spans="2:5" ht="15" customHeight="1">
      <c r="B125" s="120"/>
      <c r="C125" s="70" t="s">
        <v>42</v>
      </c>
      <c r="D125" s="69">
        <v>3</v>
      </c>
      <c r="E125" s="68">
        <v>1.5455950540958269E-3</v>
      </c>
    </row>
    <row r="126" spans="2:5" ht="15" customHeight="1">
      <c r="B126" s="120"/>
      <c r="C126" s="70" t="s">
        <v>31</v>
      </c>
      <c r="D126" s="69">
        <v>1</v>
      </c>
      <c r="E126" s="68">
        <v>5.1519835136527566E-4</v>
      </c>
    </row>
    <row r="127" spans="2:5" ht="15" customHeight="1">
      <c r="B127" s="120"/>
      <c r="C127" s="70" t="s">
        <v>28</v>
      </c>
      <c r="D127" s="69">
        <v>1</v>
      </c>
      <c r="E127" s="68">
        <v>5.1519835136527566E-4</v>
      </c>
    </row>
    <row r="128" spans="2:5" ht="15" customHeight="1">
      <c r="B128" s="120"/>
      <c r="C128" s="70" t="s">
        <v>33</v>
      </c>
      <c r="D128" s="69">
        <v>1</v>
      </c>
      <c r="E128" s="68">
        <v>5.1519835136527566E-4</v>
      </c>
    </row>
    <row r="129" spans="2:5" ht="15" customHeight="1">
      <c r="B129" s="120"/>
      <c r="C129" s="70" t="s">
        <v>38</v>
      </c>
      <c r="D129" s="69">
        <v>2</v>
      </c>
      <c r="E129" s="68">
        <v>1.0303967027305513E-3</v>
      </c>
    </row>
    <row r="130" spans="2:5" ht="15" customHeight="1">
      <c r="B130" s="120"/>
      <c r="C130" s="70" t="s">
        <v>22</v>
      </c>
      <c r="D130" s="69">
        <v>1</v>
      </c>
      <c r="E130" s="68">
        <v>5.1519835136527566E-4</v>
      </c>
    </row>
    <row r="131" spans="2:5" ht="15" customHeight="1">
      <c r="B131" s="120"/>
      <c r="C131" s="70" t="s">
        <v>30</v>
      </c>
      <c r="D131" s="69">
        <v>3</v>
      </c>
      <c r="E131" s="68">
        <v>1.5455950540958269E-3</v>
      </c>
    </row>
    <row r="132" spans="2:5" ht="15" customHeight="1">
      <c r="B132" s="120"/>
      <c r="C132" s="70" t="s">
        <v>49</v>
      </c>
      <c r="D132" s="69">
        <v>22</v>
      </c>
      <c r="E132" s="68">
        <v>1.1334363730036065E-2</v>
      </c>
    </row>
    <row r="133" spans="2:5" ht="15" customHeight="1">
      <c r="B133" s="120"/>
      <c r="C133" s="70" t="s">
        <v>29</v>
      </c>
      <c r="D133" s="69">
        <v>1</v>
      </c>
      <c r="E133" s="68">
        <v>5.1519835136527566E-4</v>
      </c>
    </row>
    <row r="134" spans="2:5" ht="15" customHeight="1">
      <c r="B134" s="120"/>
      <c r="C134" s="70" t="s">
        <v>41</v>
      </c>
      <c r="D134" s="69">
        <v>8</v>
      </c>
      <c r="E134" s="68">
        <v>4.1215868109222053E-3</v>
      </c>
    </row>
    <row r="135" spans="2:5" ht="15" customHeight="1">
      <c r="B135" s="120"/>
      <c r="C135" s="70" t="s">
        <v>44</v>
      </c>
      <c r="D135" s="69">
        <v>4</v>
      </c>
      <c r="E135" s="68">
        <v>2.0607934054611026E-3</v>
      </c>
    </row>
    <row r="136" spans="2:5" ht="15" customHeight="1">
      <c r="B136" s="120"/>
      <c r="C136" s="70" t="s">
        <v>52</v>
      </c>
      <c r="D136" s="69">
        <v>29</v>
      </c>
      <c r="E136" s="68">
        <v>1.4940752189592994E-2</v>
      </c>
    </row>
    <row r="137" spans="2:5" ht="15" customHeight="1">
      <c r="B137" s="120"/>
      <c r="C137" s="70" t="s">
        <v>51</v>
      </c>
      <c r="D137" s="69">
        <v>46</v>
      </c>
      <c r="E137" s="68">
        <v>2.369912416280268E-2</v>
      </c>
    </row>
    <row r="138" spans="2:5" ht="15" customHeight="1">
      <c r="B138" s="120"/>
      <c r="C138" s="70" t="s">
        <v>45</v>
      </c>
      <c r="D138" s="69">
        <v>8</v>
      </c>
      <c r="E138" s="68">
        <v>4.1215868109222053E-3</v>
      </c>
    </row>
    <row r="139" spans="2:5" ht="15" customHeight="1">
      <c r="B139" s="120"/>
      <c r="C139" s="70" t="s">
        <v>249</v>
      </c>
      <c r="D139" s="69">
        <v>2</v>
      </c>
      <c r="E139" s="68">
        <v>1.0303967027305513E-3</v>
      </c>
    </row>
    <row r="140" spans="2:5" ht="15" customHeight="1">
      <c r="B140" s="120"/>
      <c r="C140" s="70" t="s">
        <v>48</v>
      </c>
      <c r="D140" s="69">
        <v>7</v>
      </c>
      <c r="E140" s="68">
        <v>3.6063884595569293E-3</v>
      </c>
    </row>
    <row r="141" spans="2:5" ht="15" customHeight="1">
      <c r="B141" s="120"/>
      <c r="C141" s="70" t="s">
        <v>27</v>
      </c>
      <c r="D141" s="69">
        <v>2</v>
      </c>
      <c r="E141" s="68">
        <v>1.0303967027305513E-3</v>
      </c>
    </row>
    <row r="142" spans="2:5" ht="15" customHeight="1">
      <c r="B142" s="121"/>
      <c r="C142" s="67" t="s">
        <v>20</v>
      </c>
      <c r="D142" s="66">
        <v>651</v>
      </c>
      <c r="E142" s="65">
        <v>0.33539412673879443</v>
      </c>
    </row>
    <row r="143" spans="2:5" ht="15" customHeight="1">
      <c r="B143" s="119" t="s">
        <v>183</v>
      </c>
      <c r="C143" s="70" t="s">
        <v>53</v>
      </c>
      <c r="D143" s="69">
        <v>17</v>
      </c>
      <c r="E143" s="68">
        <v>8.7583719732096856E-3</v>
      </c>
    </row>
    <row r="144" spans="2:5" ht="15" customHeight="1">
      <c r="B144" s="120"/>
      <c r="C144" s="70" t="s">
        <v>47</v>
      </c>
      <c r="D144" s="69">
        <v>2</v>
      </c>
      <c r="E144" s="68">
        <v>1.0303967027305513E-3</v>
      </c>
    </row>
    <row r="145" spans="2:5" ht="15" customHeight="1">
      <c r="B145" s="120"/>
      <c r="C145" s="70" t="s">
        <v>46</v>
      </c>
      <c r="D145" s="69">
        <v>2</v>
      </c>
      <c r="E145" s="68">
        <v>1.0303967027305513E-3</v>
      </c>
    </row>
    <row r="146" spans="2:5" ht="15" customHeight="1">
      <c r="B146" s="120"/>
      <c r="C146" s="70" t="s">
        <v>42</v>
      </c>
      <c r="D146" s="69">
        <v>1</v>
      </c>
      <c r="E146" s="68">
        <v>5.1519835136527566E-4</v>
      </c>
    </row>
    <row r="147" spans="2:5" ht="15" customHeight="1">
      <c r="B147" s="120"/>
      <c r="C147" s="70" t="s">
        <v>33</v>
      </c>
      <c r="D147" s="69">
        <v>2</v>
      </c>
      <c r="E147" s="68">
        <v>1.0303967027305513E-3</v>
      </c>
    </row>
    <row r="148" spans="2:5" ht="15" customHeight="1">
      <c r="B148" s="120"/>
      <c r="C148" s="70" t="s">
        <v>49</v>
      </c>
      <c r="D148" s="69">
        <v>1</v>
      </c>
      <c r="E148" s="68">
        <v>5.1519835136527566E-4</v>
      </c>
    </row>
    <row r="149" spans="2:5" ht="15" customHeight="1">
      <c r="B149" s="120"/>
      <c r="C149" s="70" t="s">
        <v>52</v>
      </c>
      <c r="D149" s="69">
        <v>1</v>
      </c>
      <c r="E149" s="68">
        <v>5.1519835136527566E-4</v>
      </c>
    </row>
    <row r="150" spans="2:5" ht="15" customHeight="1">
      <c r="B150" s="120"/>
      <c r="C150" s="70" t="s">
        <v>51</v>
      </c>
      <c r="D150" s="69">
        <v>2</v>
      </c>
      <c r="E150" s="68">
        <v>1.0303967027305513E-3</v>
      </c>
    </row>
    <row r="151" spans="2:5" ht="15" customHeight="1">
      <c r="B151" s="120"/>
      <c r="C151" s="70" t="s">
        <v>45</v>
      </c>
      <c r="D151" s="69">
        <v>1</v>
      </c>
      <c r="E151" s="68">
        <v>5.1519835136527566E-4</v>
      </c>
    </row>
    <row r="152" spans="2:5" ht="15" customHeight="1">
      <c r="B152" s="120"/>
      <c r="C152" s="70" t="s">
        <v>27</v>
      </c>
      <c r="D152" s="69">
        <v>1</v>
      </c>
      <c r="E152" s="68">
        <v>5.1519835136527566E-4</v>
      </c>
    </row>
    <row r="153" spans="2:5" ht="15" customHeight="1">
      <c r="B153" s="121"/>
      <c r="C153" s="67" t="s">
        <v>20</v>
      </c>
      <c r="D153" s="66">
        <v>30</v>
      </c>
      <c r="E153" s="65">
        <v>1.5455950540958269E-2</v>
      </c>
    </row>
    <row r="154" spans="2:5" ht="15" customHeight="1">
      <c r="B154" s="119" t="s">
        <v>182</v>
      </c>
      <c r="C154" s="70" t="s">
        <v>53</v>
      </c>
      <c r="D154" s="69">
        <v>58</v>
      </c>
      <c r="E154" s="68">
        <v>2.9881504379185988E-2</v>
      </c>
    </row>
    <row r="155" spans="2:5" ht="15" customHeight="1">
      <c r="B155" s="120"/>
      <c r="C155" s="70" t="s">
        <v>50</v>
      </c>
      <c r="D155" s="69">
        <v>2</v>
      </c>
      <c r="E155" s="68">
        <v>1.0303967027305513E-3</v>
      </c>
    </row>
    <row r="156" spans="2:5" ht="15" customHeight="1">
      <c r="B156" s="120"/>
      <c r="C156" s="70" t="s">
        <v>47</v>
      </c>
      <c r="D156" s="69">
        <v>1</v>
      </c>
      <c r="E156" s="68">
        <v>5.1519835136527566E-4</v>
      </c>
    </row>
    <row r="157" spans="2:5" ht="15" customHeight="1">
      <c r="B157" s="120"/>
      <c r="C157" s="70" t="s">
        <v>40</v>
      </c>
      <c r="D157" s="69">
        <v>3</v>
      </c>
      <c r="E157" s="68">
        <v>1.5455950540958269E-3</v>
      </c>
    </row>
    <row r="158" spans="2:5" ht="15" customHeight="1">
      <c r="B158" s="120"/>
      <c r="C158" s="70" t="s">
        <v>46</v>
      </c>
      <c r="D158" s="69">
        <v>3</v>
      </c>
      <c r="E158" s="68">
        <v>1.5455950540958269E-3</v>
      </c>
    </row>
    <row r="159" spans="2:5" ht="15" customHeight="1">
      <c r="B159" s="120"/>
      <c r="C159" s="70" t="s">
        <v>31</v>
      </c>
      <c r="D159" s="69">
        <v>1</v>
      </c>
      <c r="E159" s="68">
        <v>5.1519835136527566E-4</v>
      </c>
    </row>
    <row r="160" spans="2:5" ht="15" customHeight="1">
      <c r="B160" s="120"/>
      <c r="C160" s="70" t="s">
        <v>22</v>
      </c>
      <c r="D160" s="69">
        <v>1</v>
      </c>
      <c r="E160" s="68">
        <v>5.1519835136527566E-4</v>
      </c>
    </row>
    <row r="161" spans="2:5" ht="15" customHeight="1">
      <c r="B161" s="120"/>
      <c r="C161" s="70" t="s">
        <v>49</v>
      </c>
      <c r="D161" s="69">
        <v>5</v>
      </c>
      <c r="E161" s="68">
        <v>2.5759917568263782E-3</v>
      </c>
    </row>
    <row r="162" spans="2:5" ht="15" customHeight="1">
      <c r="B162" s="120"/>
      <c r="C162" s="70" t="s">
        <v>44</v>
      </c>
      <c r="D162" s="69">
        <v>2</v>
      </c>
      <c r="E162" s="68">
        <v>1.0303967027305513E-3</v>
      </c>
    </row>
    <row r="163" spans="2:5" ht="15" customHeight="1">
      <c r="B163" s="120"/>
      <c r="C163" s="70" t="s">
        <v>52</v>
      </c>
      <c r="D163" s="69">
        <v>6</v>
      </c>
      <c r="E163" s="68">
        <v>3.0911901081916537E-3</v>
      </c>
    </row>
    <row r="164" spans="2:5" ht="15" customHeight="1">
      <c r="B164" s="120"/>
      <c r="C164" s="70" t="s">
        <v>32</v>
      </c>
      <c r="D164" s="69">
        <v>2</v>
      </c>
      <c r="E164" s="68">
        <v>1.0303967027305513E-3</v>
      </c>
    </row>
    <row r="165" spans="2:5" ht="15" customHeight="1">
      <c r="B165" s="120"/>
      <c r="C165" s="70" t="s">
        <v>51</v>
      </c>
      <c r="D165" s="69">
        <v>7</v>
      </c>
      <c r="E165" s="68">
        <v>3.6063884595569293E-3</v>
      </c>
    </row>
    <row r="166" spans="2:5" ht="15" customHeight="1">
      <c r="B166" s="120"/>
      <c r="C166" s="70" t="s">
        <v>45</v>
      </c>
      <c r="D166" s="69">
        <v>2</v>
      </c>
      <c r="E166" s="68">
        <v>1.0303967027305513E-3</v>
      </c>
    </row>
    <row r="167" spans="2:5" ht="15" customHeight="1">
      <c r="B167" s="120"/>
      <c r="C167" s="70" t="s">
        <v>249</v>
      </c>
      <c r="D167" s="69">
        <v>1</v>
      </c>
      <c r="E167" s="68">
        <v>5.1519835136527566E-4</v>
      </c>
    </row>
    <row r="168" spans="2:5" ht="15" customHeight="1">
      <c r="B168" s="120"/>
      <c r="C168" s="70" t="s">
        <v>48</v>
      </c>
      <c r="D168" s="69">
        <v>1</v>
      </c>
      <c r="E168" s="68">
        <v>5.1519835136527566E-4</v>
      </c>
    </row>
    <row r="169" spans="2:5" ht="15" customHeight="1">
      <c r="B169" s="120"/>
      <c r="C169" s="70" t="s">
        <v>27</v>
      </c>
      <c r="D169" s="69">
        <v>1</v>
      </c>
      <c r="E169" s="68">
        <v>5.1519835136527566E-4</v>
      </c>
    </row>
    <row r="170" spans="2:5" ht="15" customHeight="1">
      <c r="B170" s="121"/>
      <c r="C170" s="67" t="s">
        <v>20</v>
      </c>
      <c r="D170" s="66">
        <v>96</v>
      </c>
      <c r="E170" s="65">
        <v>4.945904173106646E-2</v>
      </c>
    </row>
    <row r="171" spans="2:5" ht="15" customHeight="1">
      <c r="B171" s="119" t="s">
        <v>181</v>
      </c>
      <c r="C171" s="70" t="s">
        <v>39</v>
      </c>
      <c r="D171" s="69">
        <v>3</v>
      </c>
      <c r="E171" s="68">
        <v>1.5455950540958269E-3</v>
      </c>
    </row>
    <row r="172" spans="2:5" ht="15" customHeight="1">
      <c r="B172" s="120"/>
      <c r="C172" s="70" t="s">
        <v>43</v>
      </c>
      <c r="D172" s="69">
        <v>1</v>
      </c>
      <c r="E172" s="68">
        <v>5.1519835136527566E-4</v>
      </c>
    </row>
    <row r="173" spans="2:5" ht="15" customHeight="1">
      <c r="B173" s="120"/>
      <c r="C173" s="70" t="s">
        <v>53</v>
      </c>
      <c r="D173" s="69">
        <v>196</v>
      </c>
      <c r="E173" s="68">
        <v>0.10097887686759402</v>
      </c>
    </row>
    <row r="174" spans="2:5" ht="15" customHeight="1">
      <c r="B174" s="120"/>
      <c r="C174" s="70" t="s">
        <v>50</v>
      </c>
      <c r="D174" s="69">
        <v>14</v>
      </c>
      <c r="E174" s="68">
        <v>7.2127769191138585E-3</v>
      </c>
    </row>
    <row r="175" spans="2:5" ht="15" customHeight="1">
      <c r="B175" s="120"/>
      <c r="C175" s="70" t="s">
        <v>47</v>
      </c>
      <c r="D175" s="69">
        <v>15</v>
      </c>
      <c r="E175" s="68">
        <v>7.7279752704791345E-3</v>
      </c>
    </row>
    <row r="176" spans="2:5" ht="15" customHeight="1">
      <c r="B176" s="120"/>
      <c r="C176" s="70" t="s">
        <v>46</v>
      </c>
      <c r="D176" s="69">
        <v>6</v>
      </c>
      <c r="E176" s="68">
        <v>3.0911901081916537E-3</v>
      </c>
    </row>
    <row r="177" spans="2:5" ht="15" customHeight="1">
      <c r="B177" s="120"/>
      <c r="C177" s="70" t="s">
        <v>42</v>
      </c>
      <c r="D177" s="69">
        <v>3</v>
      </c>
      <c r="E177" s="68">
        <v>1.5455950540958269E-3</v>
      </c>
    </row>
    <row r="178" spans="2:5" ht="15" customHeight="1">
      <c r="B178" s="120"/>
      <c r="C178" s="70" t="s">
        <v>25</v>
      </c>
      <c r="D178" s="69">
        <v>1</v>
      </c>
      <c r="E178" s="68">
        <v>5.1519835136527566E-4</v>
      </c>
    </row>
    <row r="179" spans="2:5" ht="15" customHeight="1">
      <c r="B179" s="120"/>
      <c r="C179" s="70" t="s">
        <v>34</v>
      </c>
      <c r="D179" s="69">
        <v>1</v>
      </c>
      <c r="E179" s="68">
        <v>5.1519835136527566E-4</v>
      </c>
    </row>
    <row r="180" spans="2:5" ht="15" customHeight="1">
      <c r="B180" s="120"/>
      <c r="C180" s="70" t="s">
        <v>33</v>
      </c>
      <c r="D180" s="69">
        <v>1</v>
      </c>
      <c r="E180" s="68">
        <v>5.1519835136527566E-4</v>
      </c>
    </row>
    <row r="181" spans="2:5" ht="15" customHeight="1">
      <c r="B181" s="120"/>
      <c r="C181" s="70" t="s">
        <v>38</v>
      </c>
      <c r="D181" s="69">
        <v>2</v>
      </c>
      <c r="E181" s="68">
        <v>1.0303967027305513E-3</v>
      </c>
    </row>
    <row r="182" spans="2:5" ht="15" customHeight="1">
      <c r="B182" s="120"/>
      <c r="C182" s="70" t="s">
        <v>22</v>
      </c>
      <c r="D182" s="69">
        <v>1</v>
      </c>
      <c r="E182" s="68">
        <v>5.1519835136527566E-4</v>
      </c>
    </row>
    <row r="183" spans="2:5" ht="15" customHeight="1">
      <c r="B183" s="120"/>
      <c r="C183" s="70" t="s">
        <v>30</v>
      </c>
      <c r="D183" s="69">
        <v>3</v>
      </c>
      <c r="E183" s="68">
        <v>1.5455950540958269E-3</v>
      </c>
    </row>
    <row r="184" spans="2:5" ht="15" customHeight="1">
      <c r="B184" s="120"/>
      <c r="C184" s="70" t="s">
        <v>241</v>
      </c>
      <c r="D184" s="69">
        <v>1</v>
      </c>
      <c r="E184" s="68">
        <v>5.1519835136527566E-4</v>
      </c>
    </row>
    <row r="185" spans="2:5" ht="15" customHeight="1">
      <c r="B185" s="120"/>
      <c r="C185" s="70" t="s">
        <v>49</v>
      </c>
      <c r="D185" s="69">
        <v>12</v>
      </c>
      <c r="E185" s="68">
        <v>6.1823802163833074E-3</v>
      </c>
    </row>
    <row r="186" spans="2:5" ht="15" customHeight="1">
      <c r="B186" s="120"/>
      <c r="C186" s="70" t="s">
        <v>29</v>
      </c>
      <c r="D186" s="69">
        <v>2</v>
      </c>
      <c r="E186" s="68">
        <v>1.0303967027305513E-3</v>
      </c>
    </row>
    <row r="187" spans="2:5" ht="15" customHeight="1">
      <c r="B187" s="120"/>
      <c r="C187" s="70" t="s">
        <v>41</v>
      </c>
      <c r="D187" s="69">
        <v>2</v>
      </c>
      <c r="E187" s="68">
        <v>1.0303967027305513E-3</v>
      </c>
    </row>
    <row r="188" spans="2:5" ht="15" customHeight="1">
      <c r="B188" s="120"/>
      <c r="C188" s="70" t="s">
        <v>44</v>
      </c>
      <c r="D188" s="69">
        <v>1</v>
      </c>
      <c r="E188" s="68">
        <v>5.1519835136527566E-4</v>
      </c>
    </row>
    <row r="189" spans="2:5" ht="15" customHeight="1">
      <c r="B189" s="120"/>
      <c r="C189" s="70" t="s">
        <v>37</v>
      </c>
      <c r="D189" s="69">
        <v>1</v>
      </c>
      <c r="E189" s="68">
        <v>5.1519835136527566E-4</v>
      </c>
    </row>
    <row r="190" spans="2:5" ht="15" customHeight="1">
      <c r="B190" s="120"/>
      <c r="C190" s="70" t="s">
        <v>52</v>
      </c>
      <c r="D190" s="69">
        <v>12</v>
      </c>
      <c r="E190" s="68">
        <v>6.1823802163833074E-3</v>
      </c>
    </row>
    <row r="191" spans="2:5" ht="15" customHeight="1">
      <c r="B191" s="120"/>
      <c r="C191" s="70" t="s">
        <v>35</v>
      </c>
      <c r="D191" s="69">
        <v>2</v>
      </c>
      <c r="E191" s="68">
        <v>1.0303967027305513E-3</v>
      </c>
    </row>
    <row r="192" spans="2:5" ht="15" customHeight="1">
      <c r="B192" s="120"/>
      <c r="C192" s="70" t="s">
        <v>51</v>
      </c>
      <c r="D192" s="69">
        <v>29</v>
      </c>
      <c r="E192" s="68">
        <v>1.4940752189592994E-2</v>
      </c>
    </row>
    <row r="193" spans="2:5" ht="15" customHeight="1">
      <c r="B193" s="120"/>
      <c r="C193" s="70" t="s">
        <v>45</v>
      </c>
      <c r="D193" s="69">
        <v>7</v>
      </c>
      <c r="E193" s="68">
        <v>3.6063884595569293E-3</v>
      </c>
    </row>
    <row r="194" spans="2:5" ht="15" customHeight="1">
      <c r="B194" s="120"/>
      <c r="C194" s="70" t="s">
        <v>48</v>
      </c>
      <c r="D194" s="69">
        <v>8</v>
      </c>
      <c r="E194" s="68">
        <v>4.1215868109222053E-3</v>
      </c>
    </row>
    <row r="195" spans="2:5" ht="15" customHeight="1">
      <c r="B195" s="120"/>
      <c r="C195" s="70" t="s">
        <v>27</v>
      </c>
      <c r="D195" s="69">
        <v>3</v>
      </c>
      <c r="E195" s="68">
        <v>1.5455950540958269E-3</v>
      </c>
    </row>
    <row r="196" spans="2:5" ht="15" customHeight="1">
      <c r="B196" s="120"/>
      <c r="C196" s="70" t="s">
        <v>242</v>
      </c>
      <c r="D196" s="69">
        <v>1</v>
      </c>
      <c r="E196" s="68">
        <v>5.1519835136527566E-4</v>
      </c>
    </row>
    <row r="197" spans="2:5" ht="15" customHeight="1">
      <c r="B197" s="121"/>
      <c r="C197" s="67" t="s">
        <v>20</v>
      </c>
      <c r="D197" s="66">
        <v>328</v>
      </c>
      <c r="E197" s="65">
        <v>0.1689850592478104</v>
      </c>
    </row>
    <row r="198" spans="2:5" ht="15" customHeight="1">
      <c r="B198" s="119" t="s">
        <v>180</v>
      </c>
      <c r="C198" s="70" t="s">
        <v>39</v>
      </c>
      <c r="D198" s="69">
        <v>1</v>
      </c>
      <c r="E198" s="68">
        <v>5.1519835136527566E-4</v>
      </c>
    </row>
    <row r="199" spans="2:5" ht="15" customHeight="1">
      <c r="B199" s="120"/>
      <c r="C199" s="70" t="s">
        <v>53</v>
      </c>
      <c r="D199" s="69">
        <v>3</v>
      </c>
      <c r="E199" s="68">
        <v>1.5455950540958269E-3</v>
      </c>
    </row>
    <row r="200" spans="2:5" ht="15" customHeight="1">
      <c r="B200" s="120"/>
      <c r="C200" s="70" t="s">
        <v>52</v>
      </c>
      <c r="D200" s="69">
        <v>1</v>
      </c>
      <c r="E200" s="68">
        <v>5.1519835136527566E-4</v>
      </c>
    </row>
    <row r="201" spans="2:5" ht="15" customHeight="1">
      <c r="B201" s="121"/>
      <c r="C201" s="67" t="s">
        <v>20</v>
      </c>
      <c r="D201" s="66">
        <v>5</v>
      </c>
      <c r="E201" s="65">
        <v>2.5759917568263782E-3</v>
      </c>
    </row>
    <row r="202" spans="2:5" ht="15" customHeight="1">
      <c r="B202" s="119" t="s">
        <v>271</v>
      </c>
      <c r="C202" s="70" t="s">
        <v>53</v>
      </c>
      <c r="D202" s="69">
        <v>2</v>
      </c>
      <c r="E202" s="68">
        <v>1.0303967027305513E-3</v>
      </c>
    </row>
    <row r="203" spans="2:5" ht="15" customHeight="1">
      <c r="B203" s="120"/>
      <c r="C203" s="70" t="s">
        <v>45</v>
      </c>
      <c r="D203" s="69">
        <v>2</v>
      </c>
      <c r="E203" s="68">
        <v>1.0303967027305513E-3</v>
      </c>
    </row>
    <row r="204" spans="2:5" ht="15" customHeight="1">
      <c r="B204" s="121"/>
      <c r="C204" s="67" t="s">
        <v>20</v>
      </c>
      <c r="D204" s="66">
        <v>4</v>
      </c>
      <c r="E204" s="65">
        <v>2.0607934054611026E-3</v>
      </c>
    </row>
    <row r="205" spans="2:5" ht="15" customHeight="1">
      <c r="B205" s="119" t="s">
        <v>272</v>
      </c>
      <c r="C205" s="70" t="s">
        <v>53</v>
      </c>
      <c r="D205" s="69">
        <v>2</v>
      </c>
      <c r="E205" s="68">
        <v>1.0303967027305513E-3</v>
      </c>
    </row>
    <row r="206" spans="2:5" ht="15" customHeight="1">
      <c r="B206" s="120"/>
      <c r="C206" s="70" t="s">
        <v>49</v>
      </c>
      <c r="D206" s="69">
        <v>1</v>
      </c>
      <c r="E206" s="68">
        <v>5.1519835136527566E-4</v>
      </c>
    </row>
    <row r="207" spans="2:5" ht="15" customHeight="1">
      <c r="B207" s="121"/>
      <c r="C207" s="67" t="s">
        <v>20</v>
      </c>
      <c r="D207" s="66">
        <v>3</v>
      </c>
      <c r="E207" s="65">
        <v>1.5455950540958269E-3</v>
      </c>
    </row>
    <row r="208" spans="2:5" ht="15" customHeight="1">
      <c r="B208" s="119" t="s">
        <v>273</v>
      </c>
      <c r="C208" s="70" t="s">
        <v>47</v>
      </c>
      <c r="D208" s="69">
        <v>1</v>
      </c>
      <c r="E208" s="68">
        <v>5.1519835136527566E-4</v>
      </c>
    </row>
    <row r="209" spans="2:5" ht="15" customHeight="1">
      <c r="B209" s="121"/>
      <c r="C209" s="67" t="s">
        <v>20</v>
      </c>
      <c r="D209" s="66">
        <v>1</v>
      </c>
      <c r="E209" s="65">
        <v>5.1519835136527566E-4</v>
      </c>
    </row>
    <row r="210" spans="2:5" ht="15" customHeight="1">
      <c r="B210" s="119" t="s">
        <v>179</v>
      </c>
      <c r="C210" s="70" t="s">
        <v>53</v>
      </c>
      <c r="D210" s="69">
        <v>21</v>
      </c>
      <c r="E210" s="68">
        <v>1.0819165378670788E-2</v>
      </c>
    </row>
    <row r="211" spans="2:5" ht="15" customHeight="1">
      <c r="B211" s="120"/>
      <c r="C211" s="70" t="s">
        <v>23</v>
      </c>
      <c r="D211" s="69">
        <v>1</v>
      </c>
      <c r="E211" s="68">
        <v>5.1519835136527566E-4</v>
      </c>
    </row>
    <row r="212" spans="2:5" ht="15" customHeight="1">
      <c r="B212" s="120"/>
      <c r="C212" s="70" t="s">
        <v>47</v>
      </c>
      <c r="D212" s="69">
        <v>3</v>
      </c>
      <c r="E212" s="68">
        <v>1.5455950540958269E-3</v>
      </c>
    </row>
    <row r="213" spans="2:5" ht="15" customHeight="1">
      <c r="B213" s="120"/>
      <c r="C213" s="70" t="s">
        <v>46</v>
      </c>
      <c r="D213" s="69">
        <v>1</v>
      </c>
      <c r="E213" s="68">
        <v>5.1519835136527566E-4</v>
      </c>
    </row>
    <row r="214" spans="2:5" ht="15" customHeight="1">
      <c r="B214" s="120"/>
      <c r="C214" s="70" t="s">
        <v>34</v>
      </c>
      <c r="D214" s="69">
        <v>1</v>
      </c>
      <c r="E214" s="68">
        <v>5.1519835136527566E-4</v>
      </c>
    </row>
    <row r="215" spans="2:5" ht="15" customHeight="1">
      <c r="B215" s="120"/>
      <c r="C215" s="70" t="s">
        <v>22</v>
      </c>
      <c r="D215" s="69">
        <v>1</v>
      </c>
      <c r="E215" s="68">
        <v>5.1519835136527566E-4</v>
      </c>
    </row>
    <row r="216" spans="2:5" ht="15" customHeight="1">
      <c r="B216" s="120"/>
      <c r="C216" s="70" t="s">
        <v>49</v>
      </c>
      <c r="D216" s="69">
        <v>2</v>
      </c>
      <c r="E216" s="68">
        <v>1.0303967027305513E-3</v>
      </c>
    </row>
    <row r="217" spans="2:5" ht="15" customHeight="1">
      <c r="B217" s="120"/>
      <c r="C217" s="70" t="s">
        <v>21</v>
      </c>
      <c r="D217" s="69">
        <v>1</v>
      </c>
      <c r="E217" s="68">
        <v>5.1519835136527566E-4</v>
      </c>
    </row>
    <row r="218" spans="2:5" ht="15" customHeight="1">
      <c r="B218" s="120"/>
      <c r="C218" s="70" t="s">
        <v>37</v>
      </c>
      <c r="D218" s="69">
        <v>1</v>
      </c>
      <c r="E218" s="68">
        <v>5.1519835136527566E-4</v>
      </c>
    </row>
    <row r="219" spans="2:5" ht="15" customHeight="1">
      <c r="B219" s="120"/>
      <c r="C219" s="70" t="s">
        <v>51</v>
      </c>
      <c r="D219" s="69">
        <v>3</v>
      </c>
      <c r="E219" s="68">
        <v>1.5455950540958269E-3</v>
      </c>
    </row>
    <row r="220" spans="2:5" ht="15" customHeight="1">
      <c r="B220" s="120"/>
      <c r="C220" s="70" t="s">
        <v>45</v>
      </c>
      <c r="D220" s="69">
        <v>1</v>
      </c>
      <c r="E220" s="68">
        <v>5.1519835136527566E-4</v>
      </c>
    </row>
    <row r="221" spans="2:5" ht="15" customHeight="1">
      <c r="B221" s="120"/>
      <c r="C221" s="70" t="s">
        <v>48</v>
      </c>
      <c r="D221" s="69">
        <v>1</v>
      </c>
      <c r="E221" s="68">
        <v>5.1519835136527566E-4</v>
      </c>
    </row>
    <row r="222" spans="2:5" ht="15" customHeight="1">
      <c r="B222" s="120"/>
      <c r="C222" s="70" t="s">
        <v>27</v>
      </c>
      <c r="D222" s="69">
        <v>1</v>
      </c>
      <c r="E222" s="68">
        <v>5.1519835136527566E-4</v>
      </c>
    </row>
    <row r="223" spans="2:5" ht="15" customHeight="1">
      <c r="B223" s="121"/>
      <c r="C223" s="67" t="s">
        <v>20</v>
      </c>
      <c r="D223" s="66">
        <v>38</v>
      </c>
      <c r="E223" s="65">
        <v>1.9577537351880475E-2</v>
      </c>
    </row>
    <row r="224" spans="2:5" ht="15" customHeight="1">
      <c r="B224" s="119" t="s">
        <v>178</v>
      </c>
      <c r="C224" s="70" t="s">
        <v>39</v>
      </c>
      <c r="D224" s="69">
        <v>1</v>
      </c>
      <c r="E224" s="68">
        <v>5.1519835136527566E-4</v>
      </c>
    </row>
    <row r="225" spans="2:5" ht="15" customHeight="1">
      <c r="B225" s="120"/>
      <c r="C225" s="70" t="s">
        <v>43</v>
      </c>
      <c r="D225" s="69">
        <v>1</v>
      </c>
      <c r="E225" s="68">
        <v>5.1519835136527566E-4</v>
      </c>
    </row>
    <row r="226" spans="2:5" ht="15" customHeight="1">
      <c r="B226" s="120"/>
      <c r="C226" s="70" t="s">
        <v>53</v>
      </c>
      <c r="D226" s="69">
        <v>43</v>
      </c>
      <c r="E226" s="68">
        <v>2.2153529108706851E-2</v>
      </c>
    </row>
    <row r="227" spans="2:5" ht="15" customHeight="1">
      <c r="B227" s="120"/>
      <c r="C227" s="70" t="s">
        <v>50</v>
      </c>
      <c r="D227" s="69">
        <v>1</v>
      </c>
      <c r="E227" s="68">
        <v>5.1519835136527566E-4</v>
      </c>
    </row>
    <row r="228" spans="2:5" ht="15" customHeight="1">
      <c r="B228" s="120"/>
      <c r="C228" s="70" t="s">
        <v>23</v>
      </c>
      <c r="D228" s="69">
        <v>1</v>
      </c>
      <c r="E228" s="68">
        <v>5.1519835136527566E-4</v>
      </c>
    </row>
    <row r="229" spans="2:5" ht="15" customHeight="1">
      <c r="B229" s="120"/>
      <c r="C229" s="70" t="s">
        <v>240</v>
      </c>
      <c r="D229" s="69">
        <v>1</v>
      </c>
      <c r="E229" s="68">
        <v>5.1519835136527566E-4</v>
      </c>
    </row>
    <row r="230" spans="2:5" ht="15" customHeight="1">
      <c r="B230" s="120"/>
      <c r="C230" s="70" t="s">
        <v>47</v>
      </c>
      <c r="D230" s="69">
        <v>6</v>
      </c>
      <c r="E230" s="68">
        <v>3.0911901081916537E-3</v>
      </c>
    </row>
    <row r="231" spans="2:5" ht="15" customHeight="1">
      <c r="B231" s="120"/>
      <c r="C231" s="70" t="s">
        <v>46</v>
      </c>
      <c r="D231" s="69">
        <v>4</v>
      </c>
      <c r="E231" s="68">
        <v>2.0607934054611026E-3</v>
      </c>
    </row>
    <row r="232" spans="2:5" ht="15" customHeight="1">
      <c r="B232" s="120"/>
      <c r="C232" s="70" t="s">
        <v>42</v>
      </c>
      <c r="D232" s="69">
        <v>3</v>
      </c>
      <c r="E232" s="68">
        <v>1.5455950540958269E-3</v>
      </c>
    </row>
    <row r="233" spans="2:5" ht="15" customHeight="1">
      <c r="B233" s="120"/>
      <c r="C233" s="70" t="s">
        <v>31</v>
      </c>
      <c r="D233" s="69">
        <v>2</v>
      </c>
      <c r="E233" s="68">
        <v>1.0303967027305513E-3</v>
      </c>
    </row>
    <row r="234" spans="2:5" ht="15" customHeight="1">
      <c r="B234" s="120"/>
      <c r="C234" s="70" t="s">
        <v>34</v>
      </c>
      <c r="D234" s="69">
        <v>1</v>
      </c>
      <c r="E234" s="68">
        <v>5.1519835136527566E-4</v>
      </c>
    </row>
    <row r="235" spans="2:5" ht="15" customHeight="1">
      <c r="B235" s="120"/>
      <c r="C235" s="70" t="s">
        <v>33</v>
      </c>
      <c r="D235" s="69">
        <v>1</v>
      </c>
      <c r="E235" s="68">
        <v>5.1519835136527566E-4</v>
      </c>
    </row>
    <row r="236" spans="2:5" ht="15" customHeight="1">
      <c r="B236" s="120"/>
      <c r="C236" s="70" t="s">
        <v>49</v>
      </c>
      <c r="D236" s="69">
        <v>4</v>
      </c>
      <c r="E236" s="68">
        <v>2.0607934054611026E-3</v>
      </c>
    </row>
    <row r="237" spans="2:5" ht="15" customHeight="1">
      <c r="B237" s="120"/>
      <c r="C237" s="70" t="s">
        <v>21</v>
      </c>
      <c r="D237" s="69">
        <v>1</v>
      </c>
      <c r="E237" s="68">
        <v>5.1519835136527566E-4</v>
      </c>
    </row>
    <row r="238" spans="2:5" ht="15" customHeight="1">
      <c r="B238" s="120"/>
      <c r="C238" s="70" t="s">
        <v>41</v>
      </c>
      <c r="D238" s="69">
        <v>4</v>
      </c>
      <c r="E238" s="68">
        <v>2.0607934054611026E-3</v>
      </c>
    </row>
    <row r="239" spans="2:5" ht="15" customHeight="1">
      <c r="B239" s="120"/>
      <c r="C239" s="70" t="s">
        <v>44</v>
      </c>
      <c r="D239" s="69">
        <v>3</v>
      </c>
      <c r="E239" s="68">
        <v>1.5455950540958269E-3</v>
      </c>
    </row>
    <row r="240" spans="2:5" ht="15" customHeight="1">
      <c r="B240" s="120"/>
      <c r="C240" s="70" t="s">
        <v>52</v>
      </c>
      <c r="D240" s="69">
        <v>2</v>
      </c>
      <c r="E240" s="68">
        <v>1.0303967027305513E-3</v>
      </c>
    </row>
    <row r="241" spans="2:5" ht="15" customHeight="1">
      <c r="B241" s="120"/>
      <c r="C241" s="70" t="s">
        <v>24</v>
      </c>
      <c r="D241" s="69">
        <v>1</v>
      </c>
      <c r="E241" s="68">
        <v>5.1519835136527566E-4</v>
      </c>
    </row>
    <row r="242" spans="2:5" ht="15" customHeight="1">
      <c r="B242" s="120"/>
      <c r="C242" s="70" t="s">
        <v>32</v>
      </c>
      <c r="D242" s="69">
        <v>1</v>
      </c>
      <c r="E242" s="68">
        <v>5.1519835136527566E-4</v>
      </c>
    </row>
    <row r="243" spans="2:5" ht="15" customHeight="1">
      <c r="B243" s="120"/>
      <c r="C243" s="70" t="s">
        <v>35</v>
      </c>
      <c r="D243" s="69">
        <v>1</v>
      </c>
      <c r="E243" s="68">
        <v>5.1519835136527566E-4</v>
      </c>
    </row>
    <row r="244" spans="2:5" ht="15" customHeight="1">
      <c r="B244" s="120"/>
      <c r="C244" s="70" t="s">
        <v>51</v>
      </c>
      <c r="D244" s="69">
        <v>9</v>
      </c>
      <c r="E244" s="68">
        <v>4.6367851622874804E-3</v>
      </c>
    </row>
    <row r="245" spans="2:5" ht="15" customHeight="1">
      <c r="B245" s="120"/>
      <c r="C245" s="70" t="s">
        <v>45</v>
      </c>
      <c r="D245" s="69">
        <v>1</v>
      </c>
      <c r="E245" s="68">
        <v>5.1519835136527566E-4</v>
      </c>
    </row>
    <row r="246" spans="2:5" ht="15" customHeight="1">
      <c r="B246" s="120"/>
      <c r="C246" s="70" t="s">
        <v>48</v>
      </c>
      <c r="D246" s="69">
        <v>3</v>
      </c>
      <c r="E246" s="68">
        <v>1.5455950540958269E-3</v>
      </c>
    </row>
    <row r="247" spans="2:5" ht="15" customHeight="1">
      <c r="B247" s="121"/>
      <c r="C247" s="67" t="s">
        <v>20</v>
      </c>
      <c r="D247" s="66">
        <v>95</v>
      </c>
      <c r="E247" s="65">
        <v>4.8943843379701188E-2</v>
      </c>
    </row>
    <row r="248" spans="2:5" ht="15" customHeight="1">
      <c r="B248" s="119" t="s">
        <v>177</v>
      </c>
      <c r="C248" s="70" t="s">
        <v>46</v>
      </c>
      <c r="D248" s="69">
        <v>1</v>
      </c>
      <c r="E248" s="68">
        <v>5.1519835136527566E-4</v>
      </c>
    </row>
    <row r="249" spans="2:5" ht="15" customHeight="1">
      <c r="B249" s="121"/>
      <c r="C249" s="67" t="s">
        <v>20</v>
      </c>
      <c r="D249" s="66">
        <v>1</v>
      </c>
      <c r="E249" s="65">
        <v>5.1519835136527566E-4</v>
      </c>
    </row>
    <row r="250" spans="2:5" ht="15" customHeight="1">
      <c r="B250" s="119" t="s">
        <v>176</v>
      </c>
      <c r="C250" s="70" t="s">
        <v>53</v>
      </c>
      <c r="D250" s="69">
        <v>2</v>
      </c>
      <c r="E250" s="68">
        <v>1.0303967027305513E-3</v>
      </c>
    </row>
    <row r="251" spans="2:5" ht="15" customHeight="1">
      <c r="B251" s="120"/>
      <c r="C251" s="70" t="s">
        <v>49</v>
      </c>
      <c r="D251" s="69">
        <v>1</v>
      </c>
      <c r="E251" s="68">
        <v>5.1519835136527566E-4</v>
      </c>
    </row>
    <row r="252" spans="2:5" ht="15" customHeight="1">
      <c r="B252" s="120"/>
      <c r="C252" s="70" t="s">
        <v>44</v>
      </c>
      <c r="D252" s="69">
        <v>1</v>
      </c>
      <c r="E252" s="68">
        <v>5.1519835136527566E-4</v>
      </c>
    </row>
    <row r="253" spans="2:5" ht="15" customHeight="1">
      <c r="B253" s="120"/>
      <c r="C253" s="70" t="s">
        <v>249</v>
      </c>
      <c r="D253" s="69">
        <v>1</v>
      </c>
      <c r="E253" s="68">
        <v>5.1519835136527566E-4</v>
      </c>
    </row>
    <row r="254" spans="2:5" ht="15" customHeight="1">
      <c r="B254" s="121"/>
      <c r="C254" s="67" t="s">
        <v>20</v>
      </c>
      <c r="D254" s="66">
        <v>5</v>
      </c>
      <c r="E254" s="65">
        <v>2.5759917568263782E-3</v>
      </c>
    </row>
    <row r="255" spans="2:5" ht="15" customHeight="1">
      <c r="B255" s="119" t="s">
        <v>274</v>
      </c>
      <c r="C255" s="70" t="s">
        <v>47</v>
      </c>
      <c r="D255" s="69">
        <v>1</v>
      </c>
      <c r="E255" s="68">
        <v>5.1519835136527566E-4</v>
      </c>
    </row>
    <row r="256" spans="2:5" ht="15" customHeight="1">
      <c r="B256" s="120"/>
      <c r="C256" s="70" t="s">
        <v>34</v>
      </c>
      <c r="D256" s="69">
        <v>1</v>
      </c>
      <c r="E256" s="68">
        <v>5.1519835136527566E-4</v>
      </c>
    </row>
    <row r="257" spans="2:5" ht="15" customHeight="1">
      <c r="B257" s="120"/>
      <c r="C257" s="70" t="s">
        <v>49</v>
      </c>
      <c r="D257" s="69">
        <v>1</v>
      </c>
      <c r="E257" s="68">
        <v>5.1519835136527566E-4</v>
      </c>
    </row>
    <row r="258" spans="2:5" ht="15" customHeight="1">
      <c r="B258" s="121"/>
      <c r="C258" s="67" t="s">
        <v>20</v>
      </c>
      <c r="D258" s="66">
        <v>3</v>
      </c>
      <c r="E258" s="65">
        <v>1.5455950540958269E-3</v>
      </c>
    </row>
    <row r="259" spans="2:5" ht="15" customHeight="1">
      <c r="B259" s="123" t="s">
        <v>20</v>
      </c>
      <c r="C259" s="124"/>
      <c r="D259" s="98">
        <v>1941</v>
      </c>
      <c r="E259" s="99">
        <v>1</v>
      </c>
    </row>
    <row r="260" spans="2:5" ht="15" customHeight="1">
      <c r="B260" s="64"/>
      <c r="C260" s="64"/>
      <c r="D260" s="64"/>
      <c r="E260" s="64"/>
    </row>
    <row r="261" spans="2:5" ht="15" customHeight="1">
      <c r="B261" s="85" t="s">
        <v>251</v>
      </c>
      <c r="C261" s="64"/>
      <c r="D261" s="64"/>
      <c r="E261" s="64"/>
    </row>
    <row r="262" spans="2:5" ht="15" customHeight="1">
      <c r="B262" s="87" t="s">
        <v>19</v>
      </c>
      <c r="C262" s="64"/>
      <c r="D262" s="64"/>
      <c r="E262" s="64"/>
    </row>
    <row r="263" spans="2:5" ht="15" customHeight="1">
      <c r="B263" s="86" t="s">
        <v>18</v>
      </c>
      <c r="C263" s="64"/>
      <c r="D263" s="64"/>
      <c r="E263" s="64"/>
    </row>
    <row r="264" spans="2:5" ht="15" customHeight="1">
      <c r="B264" s="85" t="s">
        <v>17</v>
      </c>
      <c r="C264" s="64"/>
      <c r="D264" s="64"/>
      <c r="E264" s="64"/>
    </row>
    <row r="265" spans="2:5" ht="15" customHeight="1">
      <c r="B265" s="85" t="s">
        <v>252</v>
      </c>
      <c r="C265" s="64"/>
      <c r="D265" s="64"/>
      <c r="E265" s="64"/>
    </row>
  </sheetData>
  <mergeCells count="26">
    <mergeCell ref="B224:B247"/>
    <mergeCell ref="B248:B249"/>
    <mergeCell ref="B250:B254"/>
    <mergeCell ref="B255:B258"/>
    <mergeCell ref="B259:C259"/>
    <mergeCell ref="B198:B201"/>
    <mergeCell ref="B202:B204"/>
    <mergeCell ref="B205:B207"/>
    <mergeCell ref="B208:B209"/>
    <mergeCell ref="B210:B223"/>
    <mergeCell ref="B106:B116"/>
    <mergeCell ref="B117:B142"/>
    <mergeCell ref="B143:B153"/>
    <mergeCell ref="B154:B170"/>
    <mergeCell ref="B171:B197"/>
    <mergeCell ref="B48:B54"/>
    <mergeCell ref="B55:B68"/>
    <mergeCell ref="B69:B88"/>
    <mergeCell ref="B89:B94"/>
    <mergeCell ref="B95:B105"/>
    <mergeCell ref="B7:E8"/>
    <mergeCell ref="B17:B22"/>
    <mergeCell ref="B23:B29"/>
    <mergeCell ref="B30:B37"/>
    <mergeCell ref="B38:B47"/>
    <mergeCell ref="B10:B16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365"/>
  <sheetViews>
    <sheetView showGridLines="0" zoomScaleNormal="100" zoomScaleSheetLayoutView="85" workbookViewId="0">
      <selection activeCell="F12" sqref="F12"/>
    </sheetView>
  </sheetViews>
  <sheetFormatPr baseColWidth="10" defaultColWidth="35" defaultRowHeight="15" customHeight="1"/>
  <cols>
    <col min="1" max="1" width="1" style="26" customWidth="1"/>
    <col min="2" max="2" width="22.85546875" style="27" customWidth="1"/>
    <col min="3" max="3" width="31.42578125" style="27" customWidth="1"/>
    <col min="4" max="4" width="14.28515625" style="27" customWidth="1"/>
    <col min="5" max="5" width="16.85546875" style="27" customWidth="1"/>
    <col min="6" max="16384" width="35" style="26"/>
  </cols>
  <sheetData>
    <row r="1" spans="1:5" s="35" customFormat="1" ht="12" customHeight="1">
      <c r="B1" s="39"/>
      <c r="C1" s="38"/>
      <c r="D1" s="38"/>
      <c r="E1" s="38"/>
    </row>
    <row r="2" spans="1:5" s="35" customFormat="1" ht="15" customHeight="1">
      <c r="C2" s="37"/>
    </row>
    <row r="3" spans="1:5" s="35" customFormat="1" ht="15" customHeight="1">
      <c r="C3" s="37"/>
    </row>
    <row r="4" spans="1:5" s="35" customFormat="1" ht="30" customHeight="1">
      <c r="C4" s="37"/>
      <c r="D4" s="36"/>
    </row>
    <row r="5" spans="1:5" s="35" customFormat="1" ht="15" customHeight="1">
      <c r="C5" s="37"/>
      <c r="D5" s="36"/>
    </row>
    <row r="6" spans="1:5" s="31" customFormat="1" ht="24" customHeight="1">
      <c r="B6" s="34"/>
      <c r="C6" s="33"/>
      <c r="D6" s="33"/>
      <c r="E6" s="33"/>
    </row>
    <row r="7" spans="1:5" s="31" customFormat="1" ht="26.25" customHeight="1">
      <c r="A7" s="32"/>
      <c r="B7" s="122"/>
      <c r="C7" s="122"/>
      <c r="D7" s="122"/>
      <c r="E7" s="122"/>
    </row>
    <row r="8" spans="1:5" s="31" customFormat="1" ht="33" customHeight="1">
      <c r="A8" s="32"/>
      <c r="B8" s="122"/>
      <c r="C8" s="122"/>
      <c r="D8" s="122"/>
      <c r="E8" s="122"/>
    </row>
    <row r="9" spans="1:5" s="19" customFormat="1" ht="40.5" customHeight="1">
      <c r="B9" s="28" t="s">
        <v>98</v>
      </c>
      <c r="C9" s="30" t="s">
        <v>197</v>
      </c>
      <c r="D9" s="29" t="s">
        <v>55</v>
      </c>
      <c r="E9" s="28" t="s">
        <v>54</v>
      </c>
    </row>
    <row r="10" spans="1:5" ht="15" customHeight="1">
      <c r="B10" s="119" t="s">
        <v>61</v>
      </c>
      <c r="C10" s="70" t="s">
        <v>179</v>
      </c>
      <c r="D10" s="69">
        <v>1</v>
      </c>
      <c r="E10" s="68">
        <v>5.1572975760701394E-4</v>
      </c>
    </row>
    <row r="11" spans="1:5" ht="15" customHeight="1">
      <c r="B11" s="120"/>
      <c r="C11" s="70" t="s">
        <v>178</v>
      </c>
      <c r="D11" s="69">
        <v>1</v>
      </c>
      <c r="E11" s="68">
        <v>5.1572975760701394E-4</v>
      </c>
    </row>
    <row r="12" spans="1:5" ht="15" customHeight="1">
      <c r="B12" s="121"/>
      <c r="C12" s="67" t="s">
        <v>20</v>
      </c>
      <c r="D12" s="66">
        <v>2</v>
      </c>
      <c r="E12" s="65">
        <v>1.0314595152140279E-3</v>
      </c>
    </row>
    <row r="13" spans="1:5" ht="15" customHeight="1">
      <c r="B13" s="119" t="s">
        <v>93</v>
      </c>
      <c r="C13" s="70" t="s">
        <v>195</v>
      </c>
      <c r="D13" s="69">
        <v>1</v>
      </c>
      <c r="E13" s="68">
        <v>5.1572975760701394E-4</v>
      </c>
    </row>
    <row r="14" spans="1:5" ht="15" customHeight="1">
      <c r="B14" s="120"/>
      <c r="C14" s="70" t="s">
        <v>194</v>
      </c>
      <c r="D14" s="69">
        <v>1</v>
      </c>
      <c r="E14" s="68">
        <v>5.1572975760701394E-4</v>
      </c>
    </row>
    <row r="15" spans="1:5" ht="15" customHeight="1">
      <c r="B15" s="120"/>
      <c r="C15" s="70" t="s">
        <v>193</v>
      </c>
      <c r="D15" s="69">
        <v>1</v>
      </c>
      <c r="E15" s="68">
        <v>5.1572975760701394E-4</v>
      </c>
    </row>
    <row r="16" spans="1:5" ht="15" customHeight="1">
      <c r="B16" s="120"/>
      <c r="C16" s="70" t="s">
        <v>192</v>
      </c>
      <c r="D16" s="69">
        <v>1</v>
      </c>
      <c r="E16" s="68">
        <v>5.1572975760701394E-4</v>
      </c>
    </row>
    <row r="17" spans="2:5" ht="15" customHeight="1">
      <c r="B17" s="120"/>
      <c r="C17" s="70" t="s">
        <v>191</v>
      </c>
      <c r="D17" s="69">
        <v>1</v>
      </c>
      <c r="E17" s="68">
        <v>5.1572975760701394E-4</v>
      </c>
    </row>
    <row r="18" spans="2:5" ht="15" customHeight="1">
      <c r="B18" s="120"/>
      <c r="C18" s="70" t="s">
        <v>188</v>
      </c>
      <c r="D18" s="69">
        <v>1</v>
      </c>
      <c r="E18" s="68">
        <v>5.1572975760701394E-4</v>
      </c>
    </row>
    <row r="19" spans="2:5" ht="15" customHeight="1">
      <c r="B19" s="120"/>
      <c r="C19" s="70" t="s">
        <v>186</v>
      </c>
      <c r="D19" s="69">
        <v>2</v>
      </c>
      <c r="E19" s="68">
        <v>1.0314595152140279E-3</v>
      </c>
    </row>
    <row r="20" spans="2:5" ht="15" customHeight="1">
      <c r="B20" s="120"/>
      <c r="C20" s="70" t="s">
        <v>184</v>
      </c>
      <c r="D20" s="69">
        <v>5</v>
      </c>
      <c r="E20" s="68">
        <v>2.5786487880350697E-3</v>
      </c>
    </row>
    <row r="21" spans="2:5" ht="15" customHeight="1">
      <c r="B21" s="120"/>
      <c r="C21" s="70" t="s">
        <v>182</v>
      </c>
      <c r="D21" s="69">
        <v>3</v>
      </c>
      <c r="E21" s="68">
        <v>1.5471892728210418E-3</v>
      </c>
    </row>
    <row r="22" spans="2:5" ht="15" customHeight="1">
      <c r="B22" s="120"/>
      <c r="C22" s="70" t="s">
        <v>181</v>
      </c>
      <c r="D22" s="69">
        <v>4</v>
      </c>
      <c r="E22" s="68">
        <v>2.0629190304280558E-3</v>
      </c>
    </row>
    <row r="23" spans="2:5" ht="15" customHeight="1">
      <c r="B23" s="120"/>
      <c r="C23" s="70" t="s">
        <v>180</v>
      </c>
      <c r="D23" s="69">
        <v>1</v>
      </c>
      <c r="E23" s="68">
        <v>5.1572975760701394E-4</v>
      </c>
    </row>
    <row r="24" spans="2:5" ht="15" customHeight="1">
      <c r="B24" s="120"/>
      <c r="C24" s="70" t="s">
        <v>178</v>
      </c>
      <c r="D24" s="69">
        <v>2</v>
      </c>
      <c r="E24" s="68">
        <v>1.0314595152140279E-3</v>
      </c>
    </row>
    <row r="25" spans="2:5" ht="15" customHeight="1">
      <c r="B25" s="121"/>
      <c r="C25" s="67" t="s">
        <v>20</v>
      </c>
      <c r="D25" s="66">
        <v>23</v>
      </c>
      <c r="E25" s="65">
        <v>1.186178442496132E-2</v>
      </c>
    </row>
    <row r="26" spans="2:5" ht="15" customHeight="1">
      <c r="B26" s="119" t="s">
        <v>83</v>
      </c>
      <c r="C26" s="70" t="s">
        <v>192</v>
      </c>
      <c r="D26" s="69">
        <v>1</v>
      </c>
      <c r="E26" s="68">
        <v>5.1572975760701394E-4</v>
      </c>
    </row>
    <row r="27" spans="2:5" ht="15" customHeight="1">
      <c r="B27" s="120"/>
      <c r="C27" s="70" t="s">
        <v>187</v>
      </c>
      <c r="D27" s="69">
        <v>1</v>
      </c>
      <c r="E27" s="68">
        <v>5.1572975760701394E-4</v>
      </c>
    </row>
    <row r="28" spans="2:5" ht="15" customHeight="1">
      <c r="B28" s="120"/>
      <c r="C28" s="70" t="s">
        <v>184</v>
      </c>
      <c r="D28" s="69">
        <v>1</v>
      </c>
      <c r="E28" s="68">
        <v>5.1572975760701394E-4</v>
      </c>
    </row>
    <row r="29" spans="2:5" ht="15" customHeight="1">
      <c r="B29" s="120"/>
      <c r="C29" s="70" t="s">
        <v>181</v>
      </c>
      <c r="D29" s="69">
        <v>1</v>
      </c>
      <c r="E29" s="68">
        <v>5.1572975760701394E-4</v>
      </c>
    </row>
    <row r="30" spans="2:5" ht="15" customHeight="1">
      <c r="B30" s="121"/>
      <c r="C30" s="67" t="s">
        <v>20</v>
      </c>
      <c r="D30" s="66">
        <v>4</v>
      </c>
      <c r="E30" s="65">
        <v>2.0629190304280558E-3</v>
      </c>
    </row>
    <row r="31" spans="2:5" ht="15" customHeight="1">
      <c r="B31" s="119" t="s">
        <v>60</v>
      </c>
      <c r="C31" s="70" t="s">
        <v>190</v>
      </c>
      <c r="D31" s="69">
        <v>1</v>
      </c>
      <c r="E31" s="68">
        <v>5.1572975760701394E-4</v>
      </c>
    </row>
    <row r="32" spans="2:5" ht="15" customHeight="1">
      <c r="B32" s="120"/>
      <c r="C32" s="70" t="s">
        <v>185</v>
      </c>
      <c r="D32" s="69">
        <v>1</v>
      </c>
      <c r="E32" s="68">
        <v>5.1572975760701394E-4</v>
      </c>
    </row>
    <row r="33" spans="2:5" ht="15" customHeight="1">
      <c r="B33" s="121"/>
      <c r="C33" s="67" t="s">
        <v>20</v>
      </c>
      <c r="D33" s="66">
        <v>2</v>
      </c>
      <c r="E33" s="65">
        <v>1.0314595152140279E-3</v>
      </c>
    </row>
    <row r="34" spans="2:5" ht="15" customHeight="1">
      <c r="B34" s="119" t="s">
        <v>58</v>
      </c>
      <c r="C34" s="70" t="s">
        <v>195</v>
      </c>
      <c r="D34" s="69">
        <v>1</v>
      </c>
      <c r="E34" s="68">
        <v>5.1572975760701394E-4</v>
      </c>
    </row>
    <row r="35" spans="2:5" ht="15" customHeight="1">
      <c r="B35" s="121"/>
      <c r="C35" s="67" t="s">
        <v>20</v>
      </c>
      <c r="D35" s="66">
        <v>1</v>
      </c>
      <c r="E35" s="65">
        <v>5.1572975760701394E-4</v>
      </c>
    </row>
    <row r="36" spans="2:5" ht="15" customHeight="1">
      <c r="B36" s="119" t="s">
        <v>96</v>
      </c>
      <c r="C36" s="70" t="s">
        <v>192</v>
      </c>
      <c r="D36" s="69">
        <v>1</v>
      </c>
      <c r="E36" s="68">
        <v>5.1572975760701394E-4</v>
      </c>
    </row>
    <row r="37" spans="2:5" ht="15" customHeight="1">
      <c r="B37" s="120"/>
      <c r="C37" s="70" t="s">
        <v>189</v>
      </c>
      <c r="D37" s="69">
        <v>1</v>
      </c>
      <c r="E37" s="68">
        <v>5.1572975760701394E-4</v>
      </c>
    </row>
    <row r="38" spans="2:5" ht="15" customHeight="1">
      <c r="B38" s="120"/>
      <c r="C38" s="70" t="s">
        <v>185</v>
      </c>
      <c r="D38" s="69">
        <v>1</v>
      </c>
      <c r="E38" s="68">
        <v>5.1572975760701394E-4</v>
      </c>
    </row>
    <row r="39" spans="2:5" ht="15" customHeight="1">
      <c r="B39" s="120"/>
      <c r="C39" s="70" t="s">
        <v>184</v>
      </c>
      <c r="D39" s="69">
        <v>5</v>
      </c>
      <c r="E39" s="68">
        <v>2.5786487880350697E-3</v>
      </c>
    </row>
    <row r="40" spans="2:5" ht="15" customHeight="1">
      <c r="B40" s="120"/>
      <c r="C40" s="70" t="s">
        <v>183</v>
      </c>
      <c r="D40" s="69">
        <v>2</v>
      </c>
      <c r="E40" s="68">
        <v>1.0314595152140279E-3</v>
      </c>
    </row>
    <row r="41" spans="2:5" ht="15" customHeight="1">
      <c r="B41" s="120"/>
      <c r="C41" s="70" t="s">
        <v>182</v>
      </c>
      <c r="D41" s="69">
        <v>3</v>
      </c>
      <c r="E41" s="68">
        <v>1.5471892728210418E-3</v>
      </c>
    </row>
    <row r="42" spans="2:5" ht="15" customHeight="1">
      <c r="B42" s="120"/>
      <c r="C42" s="70" t="s">
        <v>181</v>
      </c>
      <c r="D42" s="69">
        <v>6</v>
      </c>
      <c r="E42" s="68">
        <v>3.0943785456420837E-3</v>
      </c>
    </row>
    <row r="43" spans="2:5" ht="15" customHeight="1">
      <c r="B43" s="120"/>
      <c r="C43" s="70" t="s">
        <v>179</v>
      </c>
      <c r="D43" s="69">
        <v>1</v>
      </c>
      <c r="E43" s="68">
        <v>5.1572975760701394E-4</v>
      </c>
    </row>
    <row r="44" spans="2:5" ht="15" customHeight="1">
      <c r="B44" s="120"/>
      <c r="C44" s="70" t="s">
        <v>178</v>
      </c>
      <c r="D44" s="69">
        <v>5</v>
      </c>
      <c r="E44" s="68">
        <v>2.5786487880350697E-3</v>
      </c>
    </row>
    <row r="45" spans="2:5" ht="15" customHeight="1">
      <c r="B45" s="120"/>
      <c r="C45" s="70" t="s">
        <v>200</v>
      </c>
      <c r="D45" s="69">
        <v>1</v>
      </c>
      <c r="E45" s="68">
        <v>5.1572975760701394E-4</v>
      </c>
    </row>
    <row r="46" spans="2:5" ht="15" customHeight="1">
      <c r="B46" s="121"/>
      <c r="C46" s="67" t="s">
        <v>20</v>
      </c>
      <c r="D46" s="66">
        <v>26</v>
      </c>
      <c r="E46" s="65">
        <v>1.3408973697782363E-2</v>
      </c>
    </row>
    <row r="47" spans="2:5" ht="15" customHeight="1">
      <c r="B47" s="119" t="s">
        <v>94</v>
      </c>
      <c r="C47" s="70" t="s">
        <v>189</v>
      </c>
      <c r="D47" s="69">
        <v>4</v>
      </c>
      <c r="E47" s="68">
        <v>2.0629190304280558E-3</v>
      </c>
    </row>
    <row r="48" spans="2:5" ht="15" customHeight="1">
      <c r="B48" s="120"/>
      <c r="C48" s="70" t="s">
        <v>188</v>
      </c>
      <c r="D48" s="69">
        <v>3</v>
      </c>
      <c r="E48" s="68">
        <v>1.5471892728210418E-3</v>
      </c>
    </row>
    <row r="49" spans="2:5" ht="15" customHeight="1">
      <c r="B49" s="120"/>
      <c r="C49" s="70" t="s">
        <v>186</v>
      </c>
      <c r="D49" s="69">
        <v>2</v>
      </c>
      <c r="E49" s="68">
        <v>1.0314595152140279E-3</v>
      </c>
    </row>
    <row r="50" spans="2:5" ht="15" customHeight="1">
      <c r="B50" s="120"/>
      <c r="C50" s="70" t="s">
        <v>185</v>
      </c>
      <c r="D50" s="69">
        <v>1</v>
      </c>
      <c r="E50" s="68">
        <v>5.1572975760701394E-4</v>
      </c>
    </row>
    <row r="51" spans="2:5" ht="15" customHeight="1">
      <c r="B51" s="120"/>
      <c r="C51" s="70" t="s">
        <v>184</v>
      </c>
      <c r="D51" s="69">
        <v>32</v>
      </c>
      <c r="E51" s="68">
        <v>1.6503352243424446E-2</v>
      </c>
    </row>
    <row r="52" spans="2:5" ht="15" customHeight="1">
      <c r="B52" s="120"/>
      <c r="C52" s="70" t="s">
        <v>183</v>
      </c>
      <c r="D52" s="69">
        <v>2</v>
      </c>
      <c r="E52" s="68">
        <v>1.0314595152140279E-3</v>
      </c>
    </row>
    <row r="53" spans="2:5" ht="15" customHeight="1">
      <c r="B53" s="120"/>
      <c r="C53" s="70" t="s">
        <v>182</v>
      </c>
      <c r="D53" s="69">
        <v>2</v>
      </c>
      <c r="E53" s="68">
        <v>1.0314595152140279E-3</v>
      </c>
    </row>
    <row r="54" spans="2:5" ht="15" customHeight="1">
      <c r="B54" s="120"/>
      <c r="C54" s="70" t="s">
        <v>181</v>
      </c>
      <c r="D54" s="69">
        <v>17</v>
      </c>
      <c r="E54" s="68">
        <v>8.7674058793192362E-3</v>
      </c>
    </row>
    <row r="55" spans="2:5" ht="15" customHeight="1">
      <c r="B55" s="120"/>
      <c r="C55" s="70" t="s">
        <v>179</v>
      </c>
      <c r="D55" s="69">
        <v>1</v>
      </c>
      <c r="E55" s="68">
        <v>5.1572975760701394E-4</v>
      </c>
    </row>
    <row r="56" spans="2:5" ht="15" customHeight="1">
      <c r="B56" s="120"/>
      <c r="C56" s="70" t="s">
        <v>178</v>
      </c>
      <c r="D56" s="69">
        <v>2</v>
      </c>
      <c r="E56" s="68">
        <v>1.0314595152140279E-3</v>
      </c>
    </row>
    <row r="57" spans="2:5" ht="15" customHeight="1">
      <c r="B57" s="121"/>
      <c r="C57" s="67" t="s">
        <v>20</v>
      </c>
      <c r="D57" s="66">
        <v>66</v>
      </c>
      <c r="E57" s="65">
        <v>3.4038164002062922E-2</v>
      </c>
    </row>
    <row r="58" spans="2:5" ht="15" customHeight="1">
      <c r="B58" s="119" t="s">
        <v>275</v>
      </c>
      <c r="C58" s="70" t="s">
        <v>181</v>
      </c>
      <c r="D58" s="69">
        <v>1</v>
      </c>
      <c r="E58" s="68">
        <v>5.1572975760701394E-4</v>
      </c>
    </row>
    <row r="59" spans="2:5" ht="15" customHeight="1">
      <c r="B59" s="121"/>
      <c r="C59" s="67" t="s">
        <v>20</v>
      </c>
      <c r="D59" s="66">
        <v>1</v>
      </c>
      <c r="E59" s="65">
        <v>5.1572975760701394E-4</v>
      </c>
    </row>
    <row r="60" spans="2:5" ht="15" customHeight="1">
      <c r="B60" s="119" t="s">
        <v>78</v>
      </c>
      <c r="C60" s="70" t="s">
        <v>193</v>
      </c>
      <c r="D60" s="69">
        <v>1</v>
      </c>
      <c r="E60" s="68">
        <v>5.1572975760701394E-4</v>
      </c>
    </row>
    <row r="61" spans="2:5" ht="15" customHeight="1">
      <c r="B61" s="120"/>
      <c r="C61" s="70" t="s">
        <v>191</v>
      </c>
      <c r="D61" s="69">
        <v>3</v>
      </c>
      <c r="E61" s="68">
        <v>1.5471892728210418E-3</v>
      </c>
    </row>
    <row r="62" spans="2:5" ht="15" customHeight="1">
      <c r="B62" s="120"/>
      <c r="C62" s="70" t="s">
        <v>190</v>
      </c>
      <c r="D62" s="69">
        <v>1</v>
      </c>
      <c r="E62" s="68">
        <v>5.1572975760701394E-4</v>
      </c>
    </row>
    <row r="63" spans="2:5" ht="15" customHeight="1">
      <c r="B63" s="120"/>
      <c r="C63" s="70" t="s">
        <v>189</v>
      </c>
      <c r="D63" s="69">
        <v>4</v>
      </c>
      <c r="E63" s="68">
        <v>2.0629190304280558E-3</v>
      </c>
    </row>
    <row r="64" spans="2:5" ht="15" customHeight="1">
      <c r="B64" s="120"/>
      <c r="C64" s="70" t="s">
        <v>188</v>
      </c>
      <c r="D64" s="69">
        <v>12</v>
      </c>
      <c r="E64" s="68">
        <v>6.1887570912841673E-3</v>
      </c>
    </row>
    <row r="65" spans="2:5" ht="15" customHeight="1">
      <c r="B65" s="120"/>
      <c r="C65" s="70" t="s">
        <v>187</v>
      </c>
      <c r="D65" s="69">
        <v>1</v>
      </c>
      <c r="E65" s="68">
        <v>5.1572975760701394E-4</v>
      </c>
    </row>
    <row r="66" spans="2:5" ht="15" customHeight="1">
      <c r="B66" s="120"/>
      <c r="C66" s="70" t="s">
        <v>186</v>
      </c>
      <c r="D66" s="69">
        <v>1</v>
      </c>
      <c r="E66" s="68">
        <v>5.1572975760701394E-4</v>
      </c>
    </row>
    <row r="67" spans="2:5" ht="15" customHeight="1">
      <c r="B67" s="120"/>
      <c r="C67" s="70" t="s">
        <v>185</v>
      </c>
      <c r="D67" s="69">
        <v>5</v>
      </c>
      <c r="E67" s="68">
        <v>2.5786487880350697E-3</v>
      </c>
    </row>
    <row r="68" spans="2:5" ht="15" customHeight="1">
      <c r="B68" s="120"/>
      <c r="C68" s="70" t="s">
        <v>184</v>
      </c>
      <c r="D68" s="69">
        <v>11</v>
      </c>
      <c r="E68" s="68">
        <v>5.6730273336771534E-3</v>
      </c>
    </row>
    <row r="69" spans="2:5" ht="15" customHeight="1">
      <c r="B69" s="120"/>
      <c r="C69" s="70" t="s">
        <v>182</v>
      </c>
      <c r="D69" s="69">
        <v>2</v>
      </c>
      <c r="E69" s="68">
        <v>1.0314595152140279E-3</v>
      </c>
    </row>
    <row r="70" spans="2:5" ht="15" customHeight="1">
      <c r="B70" s="120"/>
      <c r="C70" s="70" t="s">
        <v>181</v>
      </c>
      <c r="D70" s="69">
        <v>15</v>
      </c>
      <c r="E70" s="68">
        <v>7.7359463641052091E-3</v>
      </c>
    </row>
    <row r="71" spans="2:5" ht="15" customHeight="1">
      <c r="B71" s="120"/>
      <c r="C71" s="70" t="s">
        <v>178</v>
      </c>
      <c r="D71" s="69">
        <v>1</v>
      </c>
      <c r="E71" s="68">
        <v>5.1572975760701394E-4</v>
      </c>
    </row>
    <row r="72" spans="2:5" ht="15" customHeight="1">
      <c r="B72" s="121"/>
      <c r="C72" s="67" t="s">
        <v>20</v>
      </c>
      <c r="D72" s="66">
        <v>57</v>
      </c>
      <c r="E72" s="65">
        <v>2.9396596183599792E-2</v>
      </c>
    </row>
    <row r="73" spans="2:5" ht="15" customHeight="1">
      <c r="B73" s="119" t="s">
        <v>64</v>
      </c>
      <c r="C73" s="70" t="s">
        <v>189</v>
      </c>
      <c r="D73" s="69">
        <v>1</v>
      </c>
      <c r="E73" s="68">
        <v>5.1572975760701394E-4</v>
      </c>
    </row>
    <row r="74" spans="2:5" ht="15" customHeight="1">
      <c r="B74" s="120"/>
      <c r="C74" s="70" t="s">
        <v>184</v>
      </c>
      <c r="D74" s="69">
        <v>1</v>
      </c>
      <c r="E74" s="68">
        <v>5.1572975760701394E-4</v>
      </c>
    </row>
    <row r="75" spans="2:5" ht="15" customHeight="1">
      <c r="B75" s="120"/>
      <c r="C75" s="70" t="s">
        <v>183</v>
      </c>
      <c r="D75" s="69">
        <v>2</v>
      </c>
      <c r="E75" s="68">
        <v>1.0314595152140279E-3</v>
      </c>
    </row>
    <row r="76" spans="2:5" ht="15" customHeight="1">
      <c r="B76" s="120"/>
      <c r="C76" s="70" t="s">
        <v>181</v>
      </c>
      <c r="D76" s="69">
        <v>1</v>
      </c>
      <c r="E76" s="68">
        <v>5.1572975760701394E-4</v>
      </c>
    </row>
    <row r="77" spans="2:5" ht="15" customHeight="1">
      <c r="B77" s="120"/>
      <c r="C77" s="70" t="s">
        <v>178</v>
      </c>
      <c r="D77" s="69">
        <v>1</v>
      </c>
      <c r="E77" s="68">
        <v>5.1572975760701394E-4</v>
      </c>
    </row>
    <row r="78" spans="2:5" ht="15" customHeight="1">
      <c r="B78" s="121"/>
      <c r="C78" s="67" t="s">
        <v>20</v>
      </c>
      <c r="D78" s="66">
        <v>6</v>
      </c>
      <c r="E78" s="65">
        <v>3.0943785456420837E-3</v>
      </c>
    </row>
    <row r="79" spans="2:5" ht="15" customHeight="1">
      <c r="B79" s="119" t="s">
        <v>62</v>
      </c>
      <c r="C79" s="70" t="s">
        <v>186</v>
      </c>
      <c r="D79" s="69">
        <v>1</v>
      </c>
      <c r="E79" s="68">
        <v>5.1572975760701394E-4</v>
      </c>
    </row>
    <row r="80" spans="2:5" ht="15" customHeight="1">
      <c r="B80" s="121"/>
      <c r="C80" s="67" t="s">
        <v>20</v>
      </c>
      <c r="D80" s="66">
        <v>1</v>
      </c>
      <c r="E80" s="65">
        <v>5.1572975760701394E-4</v>
      </c>
    </row>
    <row r="81" spans="2:5" ht="15" customHeight="1">
      <c r="B81" s="119" t="s">
        <v>75</v>
      </c>
      <c r="C81" s="70" t="s">
        <v>191</v>
      </c>
      <c r="D81" s="69">
        <v>1</v>
      </c>
      <c r="E81" s="68">
        <v>5.1572975760701394E-4</v>
      </c>
    </row>
    <row r="82" spans="2:5" ht="15" customHeight="1">
      <c r="B82" s="120"/>
      <c r="C82" s="70" t="s">
        <v>181</v>
      </c>
      <c r="D82" s="69">
        <v>1</v>
      </c>
      <c r="E82" s="68">
        <v>5.1572975760701394E-4</v>
      </c>
    </row>
    <row r="83" spans="2:5" ht="15" customHeight="1">
      <c r="B83" s="120"/>
      <c r="C83" s="70" t="s">
        <v>178</v>
      </c>
      <c r="D83" s="69">
        <v>2</v>
      </c>
      <c r="E83" s="68">
        <v>1.0314595152140279E-3</v>
      </c>
    </row>
    <row r="84" spans="2:5" ht="15" customHeight="1">
      <c r="B84" s="121"/>
      <c r="C84" s="67" t="s">
        <v>20</v>
      </c>
      <c r="D84" s="66">
        <v>4</v>
      </c>
      <c r="E84" s="65">
        <v>2.0629190304280558E-3</v>
      </c>
    </row>
    <row r="85" spans="2:5" ht="15" customHeight="1">
      <c r="B85" s="119" t="s">
        <v>91</v>
      </c>
      <c r="C85" s="70" t="s">
        <v>189</v>
      </c>
      <c r="D85" s="69">
        <v>1</v>
      </c>
      <c r="E85" s="68">
        <v>5.1572975760701394E-4</v>
      </c>
    </row>
    <row r="86" spans="2:5" ht="15" customHeight="1">
      <c r="B86" s="120"/>
      <c r="C86" s="70" t="s">
        <v>185</v>
      </c>
      <c r="D86" s="69">
        <v>1</v>
      </c>
      <c r="E86" s="68">
        <v>5.1572975760701394E-4</v>
      </c>
    </row>
    <row r="87" spans="2:5" ht="15" customHeight="1">
      <c r="B87" s="120"/>
      <c r="C87" s="70" t="s">
        <v>184</v>
      </c>
      <c r="D87" s="69">
        <v>3</v>
      </c>
      <c r="E87" s="68">
        <v>1.5471892728210418E-3</v>
      </c>
    </row>
    <row r="88" spans="2:5" ht="15" customHeight="1">
      <c r="B88" s="120"/>
      <c r="C88" s="70" t="s">
        <v>183</v>
      </c>
      <c r="D88" s="69">
        <v>1</v>
      </c>
      <c r="E88" s="68">
        <v>5.1572975760701394E-4</v>
      </c>
    </row>
    <row r="89" spans="2:5" ht="15" customHeight="1">
      <c r="B89" s="120"/>
      <c r="C89" s="70" t="s">
        <v>182</v>
      </c>
      <c r="D89" s="69">
        <v>1</v>
      </c>
      <c r="E89" s="68">
        <v>5.1572975760701394E-4</v>
      </c>
    </row>
    <row r="90" spans="2:5" ht="15" customHeight="1">
      <c r="B90" s="120"/>
      <c r="C90" s="70" t="s">
        <v>181</v>
      </c>
      <c r="D90" s="69">
        <v>4</v>
      </c>
      <c r="E90" s="68">
        <v>2.0629190304280558E-3</v>
      </c>
    </row>
    <row r="91" spans="2:5" ht="15" customHeight="1">
      <c r="B91" s="120"/>
      <c r="C91" s="70" t="s">
        <v>179</v>
      </c>
      <c r="D91" s="69">
        <v>1</v>
      </c>
      <c r="E91" s="68">
        <v>5.1572975760701394E-4</v>
      </c>
    </row>
    <row r="92" spans="2:5" ht="15" customHeight="1">
      <c r="B92" s="121"/>
      <c r="C92" s="67" t="s">
        <v>20</v>
      </c>
      <c r="D92" s="66">
        <v>12</v>
      </c>
      <c r="E92" s="65">
        <v>6.1887570912841673E-3</v>
      </c>
    </row>
    <row r="93" spans="2:5" ht="15" customHeight="1">
      <c r="B93" s="119" t="s">
        <v>95</v>
      </c>
      <c r="C93" s="70" t="s">
        <v>195</v>
      </c>
      <c r="D93" s="69">
        <v>1</v>
      </c>
      <c r="E93" s="68">
        <v>5.1572975760701394E-4</v>
      </c>
    </row>
    <row r="94" spans="2:5" ht="15" customHeight="1">
      <c r="B94" s="120"/>
      <c r="C94" s="70" t="s">
        <v>191</v>
      </c>
      <c r="D94" s="69">
        <v>1</v>
      </c>
      <c r="E94" s="68">
        <v>5.1572975760701394E-4</v>
      </c>
    </row>
    <row r="95" spans="2:5" ht="15" customHeight="1">
      <c r="B95" s="120"/>
      <c r="C95" s="70" t="s">
        <v>189</v>
      </c>
      <c r="D95" s="69">
        <v>2</v>
      </c>
      <c r="E95" s="68">
        <v>1.0314595152140279E-3</v>
      </c>
    </row>
    <row r="96" spans="2:5" ht="15" customHeight="1">
      <c r="B96" s="120"/>
      <c r="C96" s="70" t="s">
        <v>188</v>
      </c>
      <c r="D96" s="69">
        <v>1</v>
      </c>
      <c r="E96" s="68">
        <v>5.1572975760701394E-4</v>
      </c>
    </row>
    <row r="97" spans="2:5" ht="15" customHeight="1">
      <c r="B97" s="120"/>
      <c r="C97" s="70" t="s">
        <v>185</v>
      </c>
      <c r="D97" s="69">
        <v>1</v>
      </c>
      <c r="E97" s="68">
        <v>5.1572975760701394E-4</v>
      </c>
    </row>
    <row r="98" spans="2:5" ht="15" customHeight="1">
      <c r="B98" s="120"/>
      <c r="C98" s="70" t="s">
        <v>184</v>
      </c>
      <c r="D98" s="69">
        <v>11</v>
      </c>
      <c r="E98" s="68">
        <v>5.6730273336771534E-3</v>
      </c>
    </row>
    <row r="99" spans="2:5" ht="15" customHeight="1">
      <c r="B99" s="120"/>
      <c r="C99" s="70" t="s">
        <v>182</v>
      </c>
      <c r="D99" s="69">
        <v>4</v>
      </c>
      <c r="E99" s="68">
        <v>2.0629190304280558E-3</v>
      </c>
    </row>
    <row r="100" spans="2:5" ht="15" customHeight="1">
      <c r="B100" s="120"/>
      <c r="C100" s="70" t="s">
        <v>181</v>
      </c>
      <c r="D100" s="69">
        <v>9</v>
      </c>
      <c r="E100" s="68">
        <v>4.6415678184631255E-3</v>
      </c>
    </row>
    <row r="101" spans="2:5" ht="15" customHeight="1">
      <c r="B101" s="120"/>
      <c r="C101" s="70" t="s">
        <v>179</v>
      </c>
      <c r="D101" s="69">
        <v>2</v>
      </c>
      <c r="E101" s="68">
        <v>1.0314595152140279E-3</v>
      </c>
    </row>
    <row r="102" spans="2:5" ht="15" customHeight="1">
      <c r="B102" s="120"/>
      <c r="C102" s="70" t="s">
        <v>178</v>
      </c>
      <c r="D102" s="69">
        <v>5</v>
      </c>
      <c r="E102" s="68">
        <v>2.5786487880350697E-3</v>
      </c>
    </row>
    <row r="103" spans="2:5" ht="15" customHeight="1">
      <c r="B103" s="121"/>
      <c r="C103" s="67" t="s">
        <v>20</v>
      </c>
      <c r="D103" s="66">
        <v>37</v>
      </c>
      <c r="E103" s="65">
        <v>1.9082001031459517E-2</v>
      </c>
    </row>
    <row r="104" spans="2:5" ht="15" customHeight="1">
      <c r="B104" s="119" t="s">
        <v>203</v>
      </c>
      <c r="C104" s="70" t="s">
        <v>193</v>
      </c>
      <c r="D104" s="69">
        <v>1</v>
      </c>
      <c r="E104" s="68">
        <v>5.1572975760701394E-4</v>
      </c>
    </row>
    <row r="105" spans="2:5" ht="15" customHeight="1">
      <c r="B105" s="120"/>
      <c r="C105" s="70" t="s">
        <v>189</v>
      </c>
      <c r="D105" s="69">
        <v>1</v>
      </c>
      <c r="E105" s="68">
        <v>5.1572975760701394E-4</v>
      </c>
    </row>
    <row r="106" spans="2:5" ht="15" customHeight="1">
      <c r="B106" s="120"/>
      <c r="C106" s="70" t="s">
        <v>188</v>
      </c>
      <c r="D106" s="69">
        <v>1</v>
      </c>
      <c r="E106" s="68">
        <v>5.1572975760701394E-4</v>
      </c>
    </row>
    <row r="107" spans="2:5" ht="15" customHeight="1">
      <c r="B107" s="120"/>
      <c r="C107" s="70" t="s">
        <v>187</v>
      </c>
      <c r="D107" s="69">
        <v>1</v>
      </c>
      <c r="E107" s="68">
        <v>5.1572975760701394E-4</v>
      </c>
    </row>
    <row r="108" spans="2:5" ht="15" customHeight="1">
      <c r="B108" s="120"/>
      <c r="C108" s="70" t="s">
        <v>184</v>
      </c>
      <c r="D108" s="69">
        <v>4</v>
      </c>
      <c r="E108" s="68">
        <v>2.0629190304280558E-3</v>
      </c>
    </row>
    <row r="109" spans="2:5" ht="15" customHeight="1">
      <c r="B109" s="120"/>
      <c r="C109" s="70" t="s">
        <v>183</v>
      </c>
      <c r="D109" s="69">
        <v>1</v>
      </c>
      <c r="E109" s="68">
        <v>5.1572975760701394E-4</v>
      </c>
    </row>
    <row r="110" spans="2:5" ht="15" customHeight="1">
      <c r="B110" s="120"/>
      <c r="C110" s="70" t="s">
        <v>181</v>
      </c>
      <c r="D110" s="69">
        <v>2</v>
      </c>
      <c r="E110" s="68">
        <v>1.0314595152140279E-3</v>
      </c>
    </row>
    <row r="111" spans="2:5" ht="15" customHeight="1">
      <c r="B111" s="120"/>
      <c r="C111" s="70" t="s">
        <v>178</v>
      </c>
      <c r="D111" s="69">
        <v>2</v>
      </c>
      <c r="E111" s="68">
        <v>1.0314595152140279E-3</v>
      </c>
    </row>
    <row r="112" spans="2:5" ht="15" customHeight="1">
      <c r="B112" s="121"/>
      <c r="C112" s="67" t="s">
        <v>20</v>
      </c>
      <c r="D112" s="66">
        <v>13</v>
      </c>
      <c r="E112" s="65">
        <v>6.7044868488911813E-3</v>
      </c>
    </row>
    <row r="113" spans="2:5" ht="15" customHeight="1">
      <c r="B113" s="119" t="s">
        <v>74</v>
      </c>
      <c r="C113" s="70" t="s">
        <v>189</v>
      </c>
      <c r="D113" s="69">
        <v>3</v>
      </c>
      <c r="E113" s="68">
        <v>1.5471892728210418E-3</v>
      </c>
    </row>
    <row r="114" spans="2:5" ht="15" customHeight="1">
      <c r="B114" s="120"/>
      <c r="C114" s="70" t="s">
        <v>188</v>
      </c>
      <c r="D114" s="69">
        <v>2</v>
      </c>
      <c r="E114" s="68">
        <v>1.0314595152140279E-3</v>
      </c>
    </row>
    <row r="115" spans="2:5" ht="15" customHeight="1">
      <c r="B115" s="120"/>
      <c r="C115" s="70" t="s">
        <v>184</v>
      </c>
      <c r="D115" s="69">
        <v>4</v>
      </c>
      <c r="E115" s="68">
        <v>2.0629190304280558E-3</v>
      </c>
    </row>
    <row r="116" spans="2:5" ht="15" customHeight="1">
      <c r="B116" s="120"/>
      <c r="C116" s="70" t="s">
        <v>182</v>
      </c>
      <c r="D116" s="69">
        <v>1</v>
      </c>
      <c r="E116" s="68">
        <v>5.1572975760701394E-4</v>
      </c>
    </row>
    <row r="117" spans="2:5" ht="15" customHeight="1">
      <c r="B117" s="120"/>
      <c r="C117" s="70" t="s">
        <v>181</v>
      </c>
      <c r="D117" s="69">
        <v>3</v>
      </c>
      <c r="E117" s="68">
        <v>1.5471892728210418E-3</v>
      </c>
    </row>
    <row r="118" spans="2:5" ht="15" customHeight="1">
      <c r="B118" s="120"/>
      <c r="C118" s="70" t="s">
        <v>178</v>
      </c>
      <c r="D118" s="69">
        <v>2</v>
      </c>
      <c r="E118" s="68">
        <v>1.0314595152140279E-3</v>
      </c>
    </row>
    <row r="119" spans="2:5" ht="15" customHeight="1">
      <c r="B119" s="121"/>
      <c r="C119" s="67" t="s">
        <v>20</v>
      </c>
      <c r="D119" s="66">
        <v>15</v>
      </c>
      <c r="E119" s="65">
        <v>7.7359463641052091E-3</v>
      </c>
    </row>
    <row r="120" spans="2:5" ht="15" customHeight="1">
      <c r="B120" s="119" t="s">
        <v>59</v>
      </c>
      <c r="C120" s="70" t="s">
        <v>182</v>
      </c>
      <c r="D120" s="69">
        <v>1</v>
      </c>
      <c r="E120" s="68">
        <v>5.1572975760701394E-4</v>
      </c>
    </row>
    <row r="121" spans="2:5" ht="15" customHeight="1">
      <c r="B121" s="121"/>
      <c r="C121" s="67" t="s">
        <v>20</v>
      </c>
      <c r="D121" s="66">
        <v>1</v>
      </c>
      <c r="E121" s="65">
        <v>5.1572975760701394E-4</v>
      </c>
    </row>
    <row r="122" spans="2:5" ht="15" customHeight="1">
      <c r="B122" s="119" t="s">
        <v>81</v>
      </c>
      <c r="C122" s="70" t="s">
        <v>195</v>
      </c>
      <c r="D122" s="69">
        <v>1</v>
      </c>
      <c r="E122" s="68">
        <v>5.1572975760701394E-4</v>
      </c>
    </row>
    <row r="123" spans="2:5" ht="15" customHeight="1">
      <c r="B123" s="120"/>
      <c r="C123" s="70" t="s">
        <v>194</v>
      </c>
      <c r="D123" s="69">
        <v>1</v>
      </c>
      <c r="E123" s="68">
        <v>5.1572975760701394E-4</v>
      </c>
    </row>
    <row r="124" spans="2:5" ht="15" customHeight="1">
      <c r="B124" s="120"/>
      <c r="C124" s="70" t="s">
        <v>193</v>
      </c>
      <c r="D124" s="69">
        <v>1</v>
      </c>
      <c r="E124" s="68">
        <v>5.1572975760701394E-4</v>
      </c>
    </row>
    <row r="125" spans="2:5" ht="15" customHeight="1">
      <c r="B125" s="120"/>
      <c r="C125" s="70" t="s">
        <v>192</v>
      </c>
      <c r="D125" s="69">
        <v>2</v>
      </c>
      <c r="E125" s="68">
        <v>1.0314595152140279E-3</v>
      </c>
    </row>
    <row r="126" spans="2:5" ht="15" customHeight="1">
      <c r="B126" s="120"/>
      <c r="C126" s="70" t="s">
        <v>191</v>
      </c>
      <c r="D126" s="69">
        <v>1</v>
      </c>
      <c r="E126" s="68">
        <v>5.1572975760701394E-4</v>
      </c>
    </row>
    <row r="127" spans="2:5" ht="15" customHeight="1">
      <c r="B127" s="120"/>
      <c r="C127" s="70" t="s">
        <v>190</v>
      </c>
      <c r="D127" s="69">
        <v>1</v>
      </c>
      <c r="E127" s="68">
        <v>5.1572975760701394E-4</v>
      </c>
    </row>
    <row r="128" spans="2:5" ht="15" customHeight="1">
      <c r="B128" s="120"/>
      <c r="C128" s="70" t="s">
        <v>189</v>
      </c>
      <c r="D128" s="69">
        <v>2</v>
      </c>
      <c r="E128" s="68">
        <v>1.0314595152140279E-3</v>
      </c>
    </row>
    <row r="129" spans="2:5" ht="15" customHeight="1">
      <c r="B129" s="120"/>
      <c r="C129" s="70" t="s">
        <v>188</v>
      </c>
      <c r="D129" s="69">
        <v>4</v>
      </c>
      <c r="E129" s="68">
        <v>2.0629190304280558E-3</v>
      </c>
    </row>
    <row r="130" spans="2:5" ht="15" customHeight="1">
      <c r="B130" s="120"/>
      <c r="C130" s="70" t="s">
        <v>186</v>
      </c>
      <c r="D130" s="69">
        <v>1</v>
      </c>
      <c r="E130" s="68">
        <v>5.1572975760701394E-4</v>
      </c>
    </row>
    <row r="131" spans="2:5" ht="15" customHeight="1">
      <c r="B131" s="120"/>
      <c r="C131" s="70" t="s">
        <v>185</v>
      </c>
      <c r="D131" s="69">
        <v>3</v>
      </c>
      <c r="E131" s="68">
        <v>1.5471892728210418E-3</v>
      </c>
    </row>
    <row r="132" spans="2:5" ht="15" customHeight="1">
      <c r="B132" s="120"/>
      <c r="C132" s="70" t="s">
        <v>184</v>
      </c>
      <c r="D132" s="69">
        <v>22</v>
      </c>
      <c r="E132" s="68">
        <v>1.1346054667354307E-2</v>
      </c>
    </row>
    <row r="133" spans="2:5" ht="15" customHeight="1">
      <c r="B133" s="120"/>
      <c r="C133" s="70" t="s">
        <v>183</v>
      </c>
      <c r="D133" s="69">
        <v>1</v>
      </c>
      <c r="E133" s="68">
        <v>5.1572975760701394E-4</v>
      </c>
    </row>
    <row r="134" spans="2:5" ht="15" customHeight="1">
      <c r="B134" s="120"/>
      <c r="C134" s="70" t="s">
        <v>182</v>
      </c>
      <c r="D134" s="69">
        <v>5</v>
      </c>
      <c r="E134" s="68">
        <v>2.5786487880350697E-3</v>
      </c>
    </row>
    <row r="135" spans="2:5" ht="15" customHeight="1">
      <c r="B135" s="120"/>
      <c r="C135" s="70" t="s">
        <v>181</v>
      </c>
      <c r="D135" s="69">
        <v>12</v>
      </c>
      <c r="E135" s="68">
        <v>6.1887570912841673E-3</v>
      </c>
    </row>
    <row r="136" spans="2:5" ht="15" customHeight="1">
      <c r="B136" s="120"/>
      <c r="C136" s="70" t="s">
        <v>272</v>
      </c>
      <c r="D136" s="69">
        <v>1</v>
      </c>
      <c r="E136" s="68">
        <v>5.1572975760701394E-4</v>
      </c>
    </row>
    <row r="137" spans="2:5" ht="15" customHeight="1">
      <c r="B137" s="120"/>
      <c r="C137" s="70" t="s">
        <v>179</v>
      </c>
      <c r="D137" s="69">
        <v>2</v>
      </c>
      <c r="E137" s="68">
        <v>1.0314595152140279E-3</v>
      </c>
    </row>
    <row r="138" spans="2:5" ht="15" customHeight="1">
      <c r="B138" s="120"/>
      <c r="C138" s="70" t="s">
        <v>178</v>
      </c>
      <c r="D138" s="69">
        <v>4</v>
      </c>
      <c r="E138" s="68">
        <v>2.0629190304280558E-3</v>
      </c>
    </row>
    <row r="139" spans="2:5" ht="15" customHeight="1">
      <c r="B139" s="120"/>
      <c r="C139" s="70" t="s">
        <v>176</v>
      </c>
      <c r="D139" s="69">
        <v>1</v>
      </c>
      <c r="E139" s="68">
        <v>5.1572975760701394E-4</v>
      </c>
    </row>
    <row r="140" spans="2:5" ht="15" customHeight="1">
      <c r="B140" s="120"/>
      <c r="C140" s="70" t="s">
        <v>274</v>
      </c>
      <c r="D140" s="69">
        <v>1</v>
      </c>
      <c r="E140" s="68">
        <v>5.1572975760701394E-4</v>
      </c>
    </row>
    <row r="141" spans="2:5" ht="15" customHeight="1">
      <c r="B141" s="121"/>
      <c r="C141" s="67" t="s">
        <v>20</v>
      </c>
      <c r="D141" s="66">
        <v>66</v>
      </c>
      <c r="E141" s="65">
        <v>3.4038164002062922E-2</v>
      </c>
    </row>
    <row r="142" spans="2:5" ht="15" customHeight="1">
      <c r="B142" s="119" t="s">
        <v>85</v>
      </c>
      <c r="C142" s="70" t="s">
        <v>189</v>
      </c>
      <c r="D142" s="69">
        <v>1</v>
      </c>
      <c r="E142" s="68">
        <v>5.1572975760701394E-4</v>
      </c>
    </row>
    <row r="143" spans="2:5" ht="15" customHeight="1">
      <c r="B143" s="120"/>
      <c r="C143" s="70" t="s">
        <v>188</v>
      </c>
      <c r="D143" s="69">
        <v>1</v>
      </c>
      <c r="E143" s="68">
        <v>5.1572975760701394E-4</v>
      </c>
    </row>
    <row r="144" spans="2:5" ht="15" customHeight="1">
      <c r="B144" s="120"/>
      <c r="C144" s="70" t="s">
        <v>184</v>
      </c>
      <c r="D144" s="69">
        <v>6</v>
      </c>
      <c r="E144" s="68">
        <v>3.0943785456420837E-3</v>
      </c>
    </row>
    <row r="145" spans="2:5" ht="15" customHeight="1">
      <c r="B145" s="120"/>
      <c r="C145" s="70" t="s">
        <v>181</v>
      </c>
      <c r="D145" s="69">
        <v>2</v>
      </c>
      <c r="E145" s="68">
        <v>1.0314595152140279E-3</v>
      </c>
    </row>
    <row r="146" spans="2:5" ht="15" customHeight="1">
      <c r="B146" s="120"/>
      <c r="C146" s="70" t="s">
        <v>179</v>
      </c>
      <c r="D146" s="69">
        <v>1</v>
      </c>
      <c r="E146" s="68">
        <v>5.1572975760701394E-4</v>
      </c>
    </row>
    <row r="147" spans="2:5" ht="15" customHeight="1">
      <c r="B147" s="120"/>
      <c r="C147" s="70" t="s">
        <v>178</v>
      </c>
      <c r="D147" s="69">
        <v>1</v>
      </c>
      <c r="E147" s="68">
        <v>5.1572975760701394E-4</v>
      </c>
    </row>
    <row r="148" spans="2:5" ht="15" customHeight="1">
      <c r="B148" s="121"/>
      <c r="C148" s="67" t="s">
        <v>20</v>
      </c>
      <c r="D148" s="66">
        <v>12</v>
      </c>
      <c r="E148" s="65">
        <v>6.1887570912841673E-3</v>
      </c>
    </row>
    <row r="149" spans="2:5" ht="15" customHeight="1">
      <c r="B149" s="119" t="s">
        <v>202</v>
      </c>
      <c r="C149" s="70" t="s">
        <v>195</v>
      </c>
      <c r="D149" s="69">
        <v>11</v>
      </c>
      <c r="E149" s="68">
        <v>5.6730273336771534E-3</v>
      </c>
    </row>
    <row r="150" spans="2:5" ht="15" customHeight="1">
      <c r="B150" s="120"/>
      <c r="C150" s="70" t="s">
        <v>194</v>
      </c>
      <c r="D150" s="69">
        <v>6</v>
      </c>
      <c r="E150" s="68">
        <v>3.0943785456420837E-3</v>
      </c>
    </row>
    <row r="151" spans="2:5" ht="15" customHeight="1">
      <c r="B151" s="120"/>
      <c r="C151" s="70" t="s">
        <v>193</v>
      </c>
      <c r="D151" s="69">
        <v>7</v>
      </c>
      <c r="E151" s="68">
        <v>3.6101083032490976E-3</v>
      </c>
    </row>
    <row r="152" spans="2:5" ht="15" customHeight="1">
      <c r="B152" s="120"/>
      <c r="C152" s="70" t="s">
        <v>192</v>
      </c>
      <c r="D152" s="69">
        <v>6</v>
      </c>
      <c r="E152" s="68">
        <v>3.0943785456420837E-3</v>
      </c>
    </row>
    <row r="153" spans="2:5" ht="15" customHeight="1">
      <c r="B153" s="120"/>
      <c r="C153" s="70" t="s">
        <v>191</v>
      </c>
      <c r="D153" s="69">
        <v>2</v>
      </c>
      <c r="E153" s="68">
        <v>1.0314595152140279E-3</v>
      </c>
    </row>
    <row r="154" spans="2:5" ht="15" customHeight="1">
      <c r="B154" s="120"/>
      <c r="C154" s="70" t="s">
        <v>190</v>
      </c>
      <c r="D154" s="69">
        <v>8</v>
      </c>
      <c r="E154" s="68">
        <v>4.1258380608561115E-3</v>
      </c>
    </row>
    <row r="155" spans="2:5" ht="15" customHeight="1">
      <c r="B155" s="120"/>
      <c r="C155" s="70" t="s">
        <v>189</v>
      </c>
      <c r="D155" s="69">
        <v>14</v>
      </c>
      <c r="E155" s="68">
        <v>7.2202166064981952E-3</v>
      </c>
    </row>
    <row r="156" spans="2:5" ht="15" customHeight="1">
      <c r="B156" s="120"/>
      <c r="C156" s="70" t="s">
        <v>188</v>
      </c>
      <c r="D156" s="69">
        <v>59</v>
      </c>
      <c r="E156" s="68">
        <v>3.0428055698813822E-2</v>
      </c>
    </row>
    <row r="157" spans="2:5" ht="15" customHeight="1">
      <c r="B157" s="120"/>
      <c r="C157" s="70" t="s">
        <v>187</v>
      </c>
      <c r="D157" s="69">
        <v>4</v>
      </c>
      <c r="E157" s="68">
        <v>2.0629190304280558E-3</v>
      </c>
    </row>
    <row r="158" spans="2:5" ht="15" customHeight="1">
      <c r="B158" s="120"/>
      <c r="C158" s="70" t="s">
        <v>186</v>
      </c>
      <c r="D158" s="69">
        <v>3</v>
      </c>
      <c r="E158" s="68">
        <v>1.5471892728210418E-3</v>
      </c>
    </row>
    <row r="159" spans="2:5" ht="15" customHeight="1">
      <c r="B159" s="120"/>
      <c r="C159" s="70" t="s">
        <v>185</v>
      </c>
      <c r="D159" s="69">
        <v>13</v>
      </c>
      <c r="E159" s="68">
        <v>6.7044868488911813E-3</v>
      </c>
    </row>
    <row r="160" spans="2:5" ht="15" customHeight="1">
      <c r="B160" s="120"/>
      <c r="C160" s="70" t="s">
        <v>184</v>
      </c>
      <c r="D160" s="69">
        <v>102</v>
      </c>
      <c r="E160" s="68">
        <v>5.260443527591542E-2</v>
      </c>
    </row>
    <row r="161" spans="2:5" ht="15" customHeight="1">
      <c r="B161" s="120"/>
      <c r="C161" s="70" t="s">
        <v>183</v>
      </c>
      <c r="D161" s="69">
        <v>6</v>
      </c>
      <c r="E161" s="68">
        <v>3.0943785456420837E-3</v>
      </c>
    </row>
    <row r="162" spans="2:5" ht="15" customHeight="1">
      <c r="B162" s="120"/>
      <c r="C162" s="70" t="s">
        <v>182</v>
      </c>
      <c r="D162" s="69">
        <v>17</v>
      </c>
      <c r="E162" s="68">
        <v>8.7674058793192362E-3</v>
      </c>
    </row>
    <row r="163" spans="2:5" ht="15" customHeight="1">
      <c r="B163" s="120"/>
      <c r="C163" s="70" t="s">
        <v>181</v>
      </c>
      <c r="D163" s="69">
        <v>56</v>
      </c>
      <c r="E163" s="68">
        <v>2.8880866425992781E-2</v>
      </c>
    </row>
    <row r="164" spans="2:5" ht="15" customHeight="1">
      <c r="B164" s="120"/>
      <c r="C164" s="70" t="s">
        <v>180</v>
      </c>
      <c r="D164" s="69">
        <v>2</v>
      </c>
      <c r="E164" s="68">
        <v>1.0314595152140279E-3</v>
      </c>
    </row>
    <row r="165" spans="2:5" ht="15" customHeight="1">
      <c r="B165" s="120"/>
      <c r="C165" s="70" t="s">
        <v>271</v>
      </c>
      <c r="D165" s="69">
        <v>1</v>
      </c>
      <c r="E165" s="68">
        <v>5.1572975760701394E-4</v>
      </c>
    </row>
    <row r="166" spans="2:5" ht="15" customHeight="1">
      <c r="B166" s="120"/>
      <c r="C166" s="70" t="s">
        <v>179</v>
      </c>
      <c r="D166" s="69">
        <v>7</v>
      </c>
      <c r="E166" s="68">
        <v>3.6101083032490976E-3</v>
      </c>
    </row>
    <row r="167" spans="2:5" ht="15" customHeight="1">
      <c r="B167" s="120"/>
      <c r="C167" s="70" t="s">
        <v>178</v>
      </c>
      <c r="D167" s="69">
        <v>14</v>
      </c>
      <c r="E167" s="68">
        <v>7.2202166064981952E-3</v>
      </c>
    </row>
    <row r="168" spans="2:5" ht="15" customHeight="1">
      <c r="B168" s="121"/>
      <c r="C168" s="67" t="s">
        <v>20</v>
      </c>
      <c r="D168" s="66">
        <v>338</v>
      </c>
      <c r="E168" s="65">
        <v>0.17431665807117069</v>
      </c>
    </row>
    <row r="169" spans="2:5" ht="15" customHeight="1">
      <c r="B169" s="119" t="s">
        <v>201</v>
      </c>
      <c r="C169" s="70" t="s">
        <v>189</v>
      </c>
      <c r="D169" s="69">
        <v>1</v>
      </c>
      <c r="E169" s="68">
        <v>5.1572975760701394E-4</v>
      </c>
    </row>
    <row r="170" spans="2:5" ht="15" customHeight="1">
      <c r="B170" s="120"/>
      <c r="C170" s="70" t="s">
        <v>178</v>
      </c>
      <c r="D170" s="69">
        <v>1</v>
      </c>
      <c r="E170" s="68">
        <v>5.1572975760701394E-4</v>
      </c>
    </row>
    <row r="171" spans="2:5" ht="15" customHeight="1">
      <c r="B171" s="121"/>
      <c r="C171" s="67" t="s">
        <v>20</v>
      </c>
      <c r="D171" s="66">
        <v>2</v>
      </c>
      <c r="E171" s="65">
        <v>1.0314595152140279E-3</v>
      </c>
    </row>
    <row r="172" spans="2:5" ht="15" customHeight="1">
      <c r="B172" s="119" t="s">
        <v>71</v>
      </c>
      <c r="C172" s="70" t="s">
        <v>184</v>
      </c>
      <c r="D172" s="69">
        <v>5</v>
      </c>
      <c r="E172" s="68">
        <v>2.5786487880350697E-3</v>
      </c>
    </row>
    <row r="173" spans="2:5" ht="15" customHeight="1">
      <c r="B173" s="120"/>
      <c r="C173" s="70" t="s">
        <v>181</v>
      </c>
      <c r="D173" s="69">
        <v>8</v>
      </c>
      <c r="E173" s="68">
        <v>4.1258380608561115E-3</v>
      </c>
    </row>
    <row r="174" spans="2:5" ht="15" customHeight="1">
      <c r="B174" s="120"/>
      <c r="C174" s="70" t="s">
        <v>273</v>
      </c>
      <c r="D174" s="69">
        <v>1</v>
      </c>
      <c r="E174" s="68">
        <v>5.1572975760701394E-4</v>
      </c>
    </row>
    <row r="175" spans="2:5" ht="15" customHeight="1">
      <c r="B175" s="120"/>
      <c r="C175" s="70" t="s">
        <v>179</v>
      </c>
      <c r="D175" s="69">
        <v>2</v>
      </c>
      <c r="E175" s="68">
        <v>1.0314595152140279E-3</v>
      </c>
    </row>
    <row r="176" spans="2:5" ht="15" customHeight="1">
      <c r="B176" s="120"/>
      <c r="C176" s="70" t="s">
        <v>178</v>
      </c>
      <c r="D176" s="69">
        <v>5</v>
      </c>
      <c r="E176" s="68">
        <v>2.5786487880350697E-3</v>
      </c>
    </row>
    <row r="177" spans="2:5" ht="15" customHeight="1">
      <c r="B177" s="120"/>
      <c r="C177" s="70" t="s">
        <v>274</v>
      </c>
      <c r="D177" s="69">
        <v>1</v>
      </c>
      <c r="E177" s="68">
        <v>5.1572975760701394E-4</v>
      </c>
    </row>
    <row r="178" spans="2:5" ht="15" customHeight="1">
      <c r="B178" s="121"/>
      <c r="C178" s="67" t="s">
        <v>20</v>
      </c>
      <c r="D178" s="66">
        <v>22</v>
      </c>
      <c r="E178" s="65">
        <v>1.1346054667354307E-2</v>
      </c>
    </row>
    <row r="179" spans="2:5" ht="15" customHeight="1">
      <c r="B179" s="119" t="s">
        <v>70</v>
      </c>
      <c r="C179" s="70" t="s">
        <v>188</v>
      </c>
      <c r="D179" s="69">
        <v>1</v>
      </c>
      <c r="E179" s="68">
        <v>5.1572975760701394E-4</v>
      </c>
    </row>
    <row r="180" spans="2:5" ht="15" customHeight="1">
      <c r="B180" s="120"/>
      <c r="C180" s="70" t="s">
        <v>186</v>
      </c>
      <c r="D180" s="69">
        <v>1</v>
      </c>
      <c r="E180" s="68">
        <v>5.1572975760701394E-4</v>
      </c>
    </row>
    <row r="181" spans="2:5" ht="15" customHeight="1">
      <c r="B181" s="120"/>
      <c r="C181" s="70" t="s">
        <v>184</v>
      </c>
      <c r="D181" s="69">
        <v>2</v>
      </c>
      <c r="E181" s="68">
        <v>1.0314595152140279E-3</v>
      </c>
    </row>
    <row r="182" spans="2:5" ht="15" customHeight="1">
      <c r="B182" s="120"/>
      <c r="C182" s="70" t="s">
        <v>183</v>
      </c>
      <c r="D182" s="69">
        <v>1</v>
      </c>
      <c r="E182" s="68">
        <v>5.1572975760701394E-4</v>
      </c>
    </row>
    <row r="183" spans="2:5" ht="15" customHeight="1">
      <c r="B183" s="120"/>
      <c r="C183" s="70" t="s">
        <v>182</v>
      </c>
      <c r="D183" s="69">
        <v>1</v>
      </c>
      <c r="E183" s="68">
        <v>5.1572975760701394E-4</v>
      </c>
    </row>
    <row r="184" spans="2:5" ht="15" customHeight="1">
      <c r="B184" s="120"/>
      <c r="C184" s="70" t="s">
        <v>181</v>
      </c>
      <c r="D184" s="69">
        <v>3</v>
      </c>
      <c r="E184" s="68">
        <v>1.5471892728210418E-3</v>
      </c>
    </row>
    <row r="185" spans="2:5" ht="15" customHeight="1">
      <c r="B185" s="120"/>
      <c r="C185" s="70" t="s">
        <v>179</v>
      </c>
      <c r="D185" s="69">
        <v>1</v>
      </c>
      <c r="E185" s="68">
        <v>5.1572975760701394E-4</v>
      </c>
    </row>
    <row r="186" spans="2:5" ht="15" customHeight="1">
      <c r="B186" s="121"/>
      <c r="C186" s="67" t="s">
        <v>20</v>
      </c>
      <c r="D186" s="66">
        <v>10</v>
      </c>
      <c r="E186" s="65">
        <v>5.1572975760701394E-3</v>
      </c>
    </row>
    <row r="187" spans="2:5" ht="15" customHeight="1">
      <c r="B187" s="119" t="s">
        <v>63</v>
      </c>
      <c r="C187" s="70" t="s">
        <v>184</v>
      </c>
      <c r="D187" s="69">
        <v>1</v>
      </c>
      <c r="E187" s="68">
        <v>5.1572975760701394E-4</v>
      </c>
    </row>
    <row r="188" spans="2:5" ht="15" customHeight="1">
      <c r="B188" s="120"/>
      <c r="C188" s="70" t="s">
        <v>182</v>
      </c>
      <c r="D188" s="69">
        <v>1</v>
      </c>
      <c r="E188" s="68">
        <v>5.1572975760701394E-4</v>
      </c>
    </row>
    <row r="189" spans="2:5" ht="15" customHeight="1">
      <c r="B189" s="120"/>
      <c r="C189" s="70" t="s">
        <v>181</v>
      </c>
      <c r="D189" s="69">
        <v>3</v>
      </c>
      <c r="E189" s="68">
        <v>1.5471892728210418E-3</v>
      </c>
    </row>
    <row r="190" spans="2:5" ht="15" customHeight="1">
      <c r="B190" s="120"/>
      <c r="C190" s="70" t="s">
        <v>179</v>
      </c>
      <c r="D190" s="69">
        <v>2</v>
      </c>
      <c r="E190" s="68">
        <v>1.0314595152140279E-3</v>
      </c>
    </row>
    <row r="191" spans="2:5" ht="15" customHeight="1">
      <c r="B191" s="120"/>
      <c r="C191" s="70" t="s">
        <v>178</v>
      </c>
      <c r="D191" s="69">
        <v>1</v>
      </c>
      <c r="E191" s="68">
        <v>5.1572975760701394E-4</v>
      </c>
    </row>
    <row r="192" spans="2:5" ht="15" customHeight="1">
      <c r="B192" s="120"/>
      <c r="C192" s="70" t="s">
        <v>274</v>
      </c>
      <c r="D192" s="69">
        <v>1</v>
      </c>
      <c r="E192" s="68">
        <v>5.1572975760701394E-4</v>
      </c>
    </row>
    <row r="193" spans="2:5" ht="15" customHeight="1">
      <c r="B193" s="121"/>
      <c r="C193" s="67" t="s">
        <v>20</v>
      </c>
      <c r="D193" s="66">
        <v>9</v>
      </c>
      <c r="E193" s="65">
        <v>4.6415678184631255E-3</v>
      </c>
    </row>
    <row r="194" spans="2:5" ht="15" customHeight="1">
      <c r="B194" s="119" t="s">
        <v>92</v>
      </c>
      <c r="C194" s="70" t="s">
        <v>188</v>
      </c>
      <c r="D194" s="69">
        <v>2</v>
      </c>
      <c r="E194" s="68">
        <v>1.0314595152140279E-3</v>
      </c>
    </row>
    <row r="195" spans="2:5" ht="15" customHeight="1">
      <c r="B195" s="120"/>
      <c r="C195" s="70" t="s">
        <v>184</v>
      </c>
      <c r="D195" s="69">
        <v>9</v>
      </c>
      <c r="E195" s="68">
        <v>4.6415678184631255E-3</v>
      </c>
    </row>
    <row r="196" spans="2:5" ht="15" customHeight="1">
      <c r="B196" s="120"/>
      <c r="C196" s="70" t="s">
        <v>181</v>
      </c>
      <c r="D196" s="69">
        <v>3</v>
      </c>
      <c r="E196" s="68">
        <v>1.5471892728210418E-3</v>
      </c>
    </row>
    <row r="197" spans="2:5" ht="15" customHeight="1">
      <c r="B197" s="120"/>
      <c r="C197" s="70" t="s">
        <v>179</v>
      </c>
      <c r="D197" s="69">
        <v>1</v>
      </c>
      <c r="E197" s="68">
        <v>5.1572975760701394E-4</v>
      </c>
    </row>
    <row r="198" spans="2:5" ht="15" customHeight="1">
      <c r="B198" s="120"/>
      <c r="C198" s="70" t="s">
        <v>178</v>
      </c>
      <c r="D198" s="69">
        <v>5</v>
      </c>
      <c r="E198" s="68">
        <v>2.5786487880350697E-3</v>
      </c>
    </row>
    <row r="199" spans="2:5" ht="15" customHeight="1">
      <c r="B199" s="121"/>
      <c r="C199" s="67" t="s">
        <v>20</v>
      </c>
      <c r="D199" s="66">
        <v>20</v>
      </c>
      <c r="E199" s="65">
        <v>1.0314595152140279E-2</v>
      </c>
    </row>
    <row r="200" spans="2:5" ht="15" customHeight="1">
      <c r="B200" s="119" t="s">
        <v>65</v>
      </c>
      <c r="C200" s="70" t="s">
        <v>188</v>
      </c>
      <c r="D200" s="69">
        <v>2</v>
      </c>
      <c r="E200" s="68">
        <v>1.0314595152140279E-3</v>
      </c>
    </row>
    <row r="201" spans="2:5" ht="15" customHeight="1">
      <c r="B201" s="120"/>
      <c r="C201" s="70" t="s">
        <v>181</v>
      </c>
      <c r="D201" s="69">
        <v>2</v>
      </c>
      <c r="E201" s="68">
        <v>1.0314595152140279E-3</v>
      </c>
    </row>
    <row r="202" spans="2:5" ht="15" customHeight="1">
      <c r="B202" s="121"/>
      <c r="C202" s="67" t="s">
        <v>20</v>
      </c>
      <c r="D202" s="66">
        <v>4</v>
      </c>
      <c r="E202" s="65">
        <v>2.0629190304280558E-3</v>
      </c>
    </row>
    <row r="203" spans="2:5" ht="15" customHeight="1">
      <c r="B203" s="119" t="s">
        <v>84</v>
      </c>
      <c r="C203" s="70" t="s">
        <v>189</v>
      </c>
      <c r="D203" s="69">
        <v>2</v>
      </c>
      <c r="E203" s="68">
        <v>1.0314595152140279E-3</v>
      </c>
    </row>
    <row r="204" spans="2:5" ht="15" customHeight="1">
      <c r="B204" s="120"/>
      <c r="C204" s="70" t="s">
        <v>186</v>
      </c>
      <c r="D204" s="69">
        <v>1</v>
      </c>
      <c r="E204" s="68">
        <v>5.1572975760701394E-4</v>
      </c>
    </row>
    <row r="205" spans="2:5" ht="15" customHeight="1">
      <c r="B205" s="120"/>
      <c r="C205" s="70" t="s">
        <v>184</v>
      </c>
      <c r="D205" s="69">
        <v>4</v>
      </c>
      <c r="E205" s="68">
        <v>2.0629190304280558E-3</v>
      </c>
    </row>
    <row r="206" spans="2:5" ht="15" customHeight="1">
      <c r="B206" s="120"/>
      <c r="C206" s="70" t="s">
        <v>183</v>
      </c>
      <c r="D206" s="69">
        <v>2</v>
      </c>
      <c r="E206" s="68">
        <v>1.0314595152140279E-3</v>
      </c>
    </row>
    <row r="207" spans="2:5" ht="15" customHeight="1">
      <c r="B207" s="120"/>
      <c r="C207" s="70" t="s">
        <v>182</v>
      </c>
      <c r="D207" s="69">
        <v>1</v>
      </c>
      <c r="E207" s="68">
        <v>5.1572975760701394E-4</v>
      </c>
    </row>
    <row r="208" spans="2:5" ht="15" customHeight="1">
      <c r="B208" s="120"/>
      <c r="C208" s="70" t="s">
        <v>181</v>
      </c>
      <c r="D208" s="69">
        <v>7</v>
      </c>
      <c r="E208" s="68">
        <v>3.6101083032490976E-3</v>
      </c>
    </row>
    <row r="209" spans="2:5" ht="15" customHeight="1">
      <c r="B209" s="120"/>
      <c r="C209" s="70" t="s">
        <v>179</v>
      </c>
      <c r="D209" s="69">
        <v>1</v>
      </c>
      <c r="E209" s="68">
        <v>5.1572975760701394E-4</v>
      </c>
    </row>
    <row r="210" spans="2:5" ht="15" customHeight="1">
      <c r="B210" s="120"/>
      <c r="C210" s="70" t="s">
        <v>178</v>
      </c>
      <c r="D210" s="69">
        <v>1</v>
      </c>
      <c r="E210" s="68">
        <v>5.1572975760701394E-4</v>
      </c>
    </row>
    <row r="211" spans="2:5" ht="15" customHeight="1">
      <c r="B211" s="121"/>
      <c r="C211" s="67" t="s">
        <v>20</v>
      </c>
      <c r="D211" s="66">
        <v>19</v>
      </c>
      <c r="E211" s="65">
        <v>9.7988653945332641E-3</v>
      </c>
    </row>
    <row r="212" spans="2:5" ht="15" customHeight="1">
      <c r="B212" s="119" t="s">
        <v>80</v>
      </c>
      <c r="C212" s="70" t="s">
        <v>195</v>
      </c>
      <c r="D212" s="69">
        <v>1</v>
      </c>
      <c r="E212" s="68">
        <v>5.1572975760701394E-4</v>
      </c>
    </row>
    <row r="213" spans="2:5" ht="15" customHeight="1">
      <c r="B213" s="120"/>
      <c r="C213" s="70" t="s">
        <v>193</v>
      </c>
      <c r="D213" s="69">
        <v>2</v>
      </c>
      <c r="E213" s="68">
        <v>1.0314595152140279E-3</v>
      </c>
    </row>
    <row r="214" spans="2:5" ht="15" customHeight="1">
      <c r="B214" s="120"/>
      <c r="C214" s="70" t="s">
        <v>192</v>
      </c>
      <c r="D214" s="69">
        <v>1</v>
      </c>
      <c r="E214" s="68">
        <v>5.1572975760701394E-4</v>
      </c>
    </row>
    <row r="215" spans="2:5" ht="15" customHeight="1">
      <c r="B215" s="120"/>
      <c r="C215" s="70" t="s">
        <v>190</v>
      </c>
      <c r="D215" s="69">
        <v>3</v>
      </c>
      <c r="E215" s="68">
        <v>1.5471892728210418E-3</v>
      </c>
    </row>
    <row r="216" spans="2:5" ht="15" customHeight="1">
      <c r="B216" s="120"/>
      <c r="C216" s="70" t="s">
        <v>189</v>
      </c>
      <c r="D216" s="69">
        <v>5</v>
      </c>
      <c r="E216" s="68">
        <v>2.5786487880350697E-3</v>
      </c>
    </row>
    <row r="217" spans="2:5" ht="15" customHeight="1">
      <c r="B217" s="120"/>
      <c r="C217" s="70" t="s">
        <v>188</v>
      </c>
      <c r="D217" s="69">
        <v>20</v>
      </c>
      <c r="E217" s="68">
        <v>1.0314595152140279E-2</v>
      </c>
    </row>
    <row r="218" spans="2:5" ht="15" customHeight="1">
      <c r="B218" s="120"/>
      <c r="C218" s="70" t="s">
        <v>186</v>
      </c>
      <c r="D218" s="69">
        <v>2</v>
      </c>
      <c r="E218" s="68">
        <v>1.0314595152140279E-3</v>
      </c>
    </row>
    <row r="219" spans="2:5" ht="15" customHeight="1">
      <c r="B219" s="120"/>
      <c r="C219" s="70" t="s">
        <v>185</v>
      </c>
      <c r="D219" s="69">
        <v>3</v>
      </c>
      <c r="E219" s="68">
        <v>1.5471892728210418E-3</v>
      </c>
    </row>
    <row r="220" spans="2:5" ht="15" customHeight="1">
      <c r="B220" s="120"/>
      <c r="C220" s="70" t="s">
        <v>184</v>
      </c>
      <c r="D220" s="69">
        <v>27</v>
      </c>
      <c r="E220" s="68">
        <v>1.3924703455389376E-2</v>
      </c>
    </row>
    <row r="221" spans="2:5" ht="15" customHeight="1">
      <c r="B221" s="120"/>
      <c r="C221" s="70" t="s">
        <v>182</v>
      </c>
      <c r="D221" s="69">
        <v>7</v>
      </c>
      <c r="E221" s="68">
        <v>3.6101083032490976E-3</v>
      </c>
    </row>
    <row r="222" spans="2:5" ht="15" customHeight="1">
      <c r="B222" s="120"/>
      <c r="C222" s="70" t="s">
        <v>181</v>
      </c>
      <c r="D222" s="69">
        <v>14</v>
      </c>
      <c r="E222" s="68">
        <v>7.2202166064981952E-3</v>
      </c>
    </row>
    <row r="223" spans="2:5" ht="15" customHeight="1">
      <c r="B223" s="120"/>
      <c r="C223" s="70" t="s">
        <v>179</v>
      </c>
      <c r="D223" s="69">
        <v>1</v>
      </c>
      <c r="E223" s="68">
        <v>5.1572975760701394E-4</v>
      </c>
    </row>
    <row r="224" spans="2:5" ht="15" customHeight="1">
      <c r="B224" s="120"/>
      <c r="C224" s="70" t="s">
        <v>178</v>
      </c>
      <c r="D224" s="69">
        <v>5</v>
      </c>
      <c r="E224" s="68">
        <v>2.5786487880350697E-3</v>
      </c>
    </row>
    <row r="225" spans="2:5" ht="15" customHeight="1">
      <c r="B225" s="121"/>
      <c r="C225" s="67" t="s">
        <v>20</v>
      </c>
      <c r="D225" s="66">
        <v>91</v>
      </c>
      <c r="E225" s="65">
        <v>4.6931407942238268E-2</v>
      </c>
    </row>
    <row r="226" spans="2:5" ht="15" customHeight="1">
      <c r="B226" s="119" t="s">
        <v>68</v>
      </c>
      <c r="C226" s="70" t="s">
        <v>186</v>
      </c>
      <c r="D226" s="69">
        <v>1</v>
      </c>
      <c r="E226" s="68">
        <v>5.1572975760701394E-4</v>
      </c>
    </row>
    <row r="227" spans="2:5" ht="15" customHeight="1">
      <c r="B227" s="120"/>
      <c r="C227" s="70" t="s">
        <v>184</v>
      </c>
      <c r="D227" s="69">
        <v>2</v>
      </c>
      <c r="E227" s="68">
        <v>1.0314595152140279E-3</v>
      </c>
    </row>
    <row r="228" spans="2:5" ht="15" customHeight="1">
      <c r="B228" s="121"/>
      <c r="C228" s="67" t="s">
        <v>20</v>
      </c>
      <c r="D228" s="66">
        <v>3</v>
      </c>
      <c r="E228" s="65">
        <v>1.5471892728210418E-3</v>
      </c>
    </row>
    <row r="229" spans="2:5" ht="15" customHeight="1">
      <c r="B229" s="119" t="s">
        <v>72</v>
      </c>
      <c r="C229" s="70" t="s">
        <v>195</v>
      </c>
      <c r="D229" s="69">
        <v>1</v>
      </c>
      <c r="E229" s="68">
        <v>5.1572975760701394E-4</v>
      </c>
    </row>
    <row r="230" spans="2:5" ht="15" customHeight="1">
      <c r="B230" s="120"/>
      <c r="C230" s="70" t="s">
        <v>194</v>
      </c>
      <c r="D230" s="69">
        <v>1</v>
      </c>
      <c r="E230" s="68">
        <v>5.1572975760701394E-4</v>
      </c>
    </row>
    <row r="231" spans="2:5" ht="15" customHeight="1">
      <c r="B231" s="120"/>
      <c r="C231" s="70" t="s">
        <v>193</v>
      </c>
      <c r="D231" s="69">
        <v>2</v>
      </c>
      <c r="E231" s="68">
        <v>1.0314595152140279E-3</v>
      </c>
    </row>
    <row r="232" spans="2:5" ht="15" customHeight="1">
      <c r="B232" s="120"/>
      <c r="C232" s="70" t="s">
        <v>192</v>
      </c>
      <c r="D232" s="69">
        <v>2</v>
      </c>
      <c r="E232" s="68">
        <v>1.0314595152140279E-3</v>
      </c>
    </row>
    <row r="233" spans="2:5" ht="15" customHeight="1">
      <c r="B233" s="120"/>
      <c r="C233" s="70" t="s">
        <v>191</v>
      </c>
      <c r="D233" s="69">
        <v>2</v>
      </c>
      <c r="E233" s="68">
        <v>1.0314595152140279E-3</v>
      </c>
    </row>
    <row r="234" spans="2:5" ht="15" customHeight="1">
      <c r="B234" s="120"/>
      <c r="C234" s="70" t="s">
        <v>190</v>
      </c>
      <c r="D234" s="69">
        <v>3</v>
      </c>
      <c r="E234" s="68">
        <v>1.5471892728210418E-3</v>
      </c>
    </row>
    <row r="235" spans="2:5" ht="15" customHeight="1">
      <c r="B235" s="120"/>
      <c r="C235" s="70" t="s">
        <v>189</v>
      </c>
      <c r="D235" s="69">
        <v>8</v>
      </c>
      <c r="E235" s="68">
        <v>4.1258380608561115E-3</v>
      </c>
    </row>
    <row r="236" spans="2:5" ht="15" customHeight="1">
      <c r="B236" s="120"/>
      <c r="C236" s="70" t="s">
        <v>188</v>
      </c>
      <c r="D236" s="69">
        <v>15</v>
      </c>
      <c r="E236" s="68">
        <v>7.7359463641052091E-3</v>
      </c>
    </row>
    <row r="237" spans="2:5" ht="15" customHeight="1">
      <c r="B237" s="120"/>
      <c r="C237" s="70" t="s">
        <v>187</v>
      </c>
      <c r="D237" s="69">
        <v>1</v>
      </c>
      <c r="E237" s="68">
        <v>5.1572975760701394E-4</v>
      </c>
    </row>
    <row r="238" spans="2:5" ht="15" customHeight="1">
      <c r="B238" s="120"/>
      <c r="C238" s="70" t="s">
        <v>186</v>
      </c>
      <c r="D238" s="69">
        <v>4</v>
      </c>
      <c r="E238" s="68">
        <v>2.0629190304280558E-3</v>
      </c>
    </row>
    <row r="239" spans="2:5" ht="15" customHeight="1">
      <c r="B239" s="120"/>
      <c r="C239" s="70" t="s">
        <v>185</v>
      </c>
      <c r="D239" s="69">
        <v>7</v>
      </c>
      <c r="E239" s="68">
        <v>3.6101083032490976E-3</v>
      </c>
    </row>
    <row r="240" spans="2:5" ht="15" customHeight="1">
      <c r="B240" s="120"/>
      <c r="C240" s="70" t="s">
        <v>184</v>
      </c>
      <c r="D240" s="69">
        <v>30</v>
      </c>
      <c r="E240" s="68">
        <v>1.5471892728210418E-2</v>
      </c>
    </row>
    <row r="241" spans="2:5" ht="15" customHeight="1">
      <c r="B241" s="120"/>
      <c r="C241" s="70" t="s">
        <v>183</v>
      </c>
      <c r="D241" s="69">
        <v>1</v>
      </c>
      <c r="E241" s="68">
        <v>5.1572975760701394E-4</v>
      </c>
    </row>
    <row r="242" spans="2:5" ht="15" customHeight="1">
      <c r="B242" s="120"/>
      <c r="C242" s="70" t="s">
        <v>182</v>
      </c>
      <c r="D242" s="69">
        <v>6</v>
      </c>
      <c r="E242" s="68">
        <v>3.0943785456420837E-3</v>
      </c>
    </row>
    <row r="243" spans="2:5" ht="15" customHeight="1">
      <c r="B243" s="120"/>
      <c r="C243" s="70" t="s">
        <v>181</v>
      </c>
      <c r="D243" s="69">
        <v>13</v>
      </c>
      <c r="E243" s="68">
        <v>6.7044868488911813E-3</v>
      </c>
    </row>
    <row r="244" spans="2:5" ht="15" customHeight="1">
      <c r="B244" s="120"/>
      <c r="C244" s="70" t="s">
        <v>180</v>
      </c>
      <c r="D244" s="69">
        <v>1</v>
      </c>
      <c r="E244" s="68">
        <v>5.1572975760701394E-4</v>
      </c>
    </row>
    <row r="245" spans="2:5" ht="15" customHeight="1">
      <c r="B245" s="120"/>
      <c r="C245" s="70" t="s">
        <v>178</v>
      </c>
      <c r="D245" s="69">
        <v>2</v>
      </c>
      <c r="E245" s="68">
        <v>1.0314595152140279E-3</v>
      </c>
    </row>
    <row r="246" spans="2:5" ht="15" customHeight="1">
      <c r="B246" s="121"/>
      <c r="C246" s="67" t="s">
        <v>20</v>
      </c>
      <c r="D246" s="66">
        <v>99</v>
      </c>
      <c r="E246" s="65">
        <v>5.1057246003094379E-2</v>
      </c>
    </row>
    <row r="247" spans="2:5" ht="15" customHeight="1">
      <c r="B247" s="119" t="s">
        <v>90</v>
      </c>
      <c r="C247" s="70" t="s">
        <v>191</v>
      </c>
      <c r="D247" s="69">
        <v>1</v>
      </c>
      <c r="E247" s="68">
        <v>5.1572975760701394E-4</v>
      </c>
    </row>
    <row r="248" spans="2:5" ht="15" customHeight="1">
      <c r="B248" s="120"/>
      <c r="C248" s="70" t="s">
        <v>188</v>
      </c>
      <c r="D248" s="69">
        <v>2</v>
      </c>
      <c r="E248" s="68">
        <v>1.0314595152140279E-3</v>
      </c>
    </row>
    <row r="249" spans="2:5" ht="15" customHeight="1">
      <c r="B249" s="120"/>
      <c r="C249" s="70" t="s">
        <v>185</v>
      </c>
      <c r="D249" s="69">
        <v>2</v>
      </c>
      <c r="E249" s="68">
        <v>1.0314595152140279E-3</v>
      </c>
    </row>
    <row r="250" spans="2:5" ht="15" customHeight="1">
      <c r="B250" s="120"/>
      <c r="C250" s="70" t="s">
        <v>184</v>
      </c>
      <c r="D250" s="69">
        <v>4</v>
      </c>
      <c r="E250" s="68">
        <v>2.0629190304280558E-3</v>
      </c>
    </row>
    <row r="251" spans="2:5" ht="15" customHeight="1">
      <c r="B251" s="120"/>
      <c r="C251" s="70" t="s">
        <v>182</v>
      </c>
      <c r="D251" s="69">
        <v>4</v>
      </c>
      <c r="E251" s="68">
        <v>2.0629190304280558E-3</v>
      </c>
    </row>
    <row r="252" spans="2:5" ht="15" customHeight="1">
      <c r="B252" s="120"/>
      <c r="C252" s="70" t="s">
        <v>181</v>
      </c>
      <c r="D252" s="69">
        <v>2</v>
      </c>
      <c r="E252" s="68">
        <v>1.0314595152140279E-3</v>
      </c>
    </row>
    <row r="253" spans="2:5" ht="15" customHeight="1">
      <c r="B253" s="120"/>
      <c r="C253" s="70" t="s">
        <v>178</v>
      </c>
      <c r="D253" s="69">
        <v>4</v>
      </c>
      <c r="E253" s="68">
        <v>2.0629190304280558E-3</v>
      </c>
    </row>
    <row r="254" spans="2:5" ht="15" customHeight="1">
      <c r="B254" s="120"/>
      <c r="C254" s="70" t="s">
        <v>176</v>
      </c>
      <c r="D254" s="69">
        <v>1</v>
      </c>
      <c r="E254" s="68">
        <v>5.1572975760701394E-4</v>
      </c>
    </row>
    <row r="255" spans="2:5" ht="15" customHeight="1">
      <c r="B255" s="121"/>
      <c r="C255" s="67" t="s">
        <v>20</v>
      </c>
      <c r="D255" s="66">
        <v>20</v>
      </c>
      <c r="E255" s="65">
        <v>1.0314595152140279E-2</v>
      </c>
    </row>
    <row r="256" spans="2:5" ht="15" customHeight="1">
      <c r="B256" s="119" t="s">
        <v>82</v>
      </c>
      <c r="C256" s="70" t="s">
        <v>190</v>
      </c>
      <c r="D256" s="69">
        <v>1</v>
      </c>
      <c r="E256" s="68">
        <v>5.1572975760701394E-4</v>
      </c>
    </row>
    <row r="257" spans="2:5" ht="15" customHeight="1">
      <c r="B257" s="120"/>
      <c r="C257" s="70" t="s">
        <v>188</v>
      </c>
      <c r="D257" s="69">
        <v>1</v>
      </c>
      <c r="E257" s="68">
        <v>5.1572975760701394E-4</v>
      </c>
    </row>
    <row r="258" spans="2:5" ht="15" customHeight="1">
      <c r="B258" s="120"/>
      <c r="C258" s="70" t="s">
        <v>184</v>
      </c>
      <c r="D258" s="69">
        <v>5</v>
      </c>
      <c r="E258" s="68">
        <v>2.5786487880350697E-3</v>
      </c>
    </row>
    <row r="259" spans="2:5" ht="15" customHeight="1">
      <c r="B259" s="120"/>
      <c r="C259" s="70" t="s">
        <v>183</v>
      </c>
      <c r="D259" s="69">
        <v>1</v>
      </c>
      <c r="E259" s="68">
        <v>5.1572975760701394E-4</v>
      </c>
    </row>
    <row r="260" spans="2:5" ht="15" customHeight="1">
      <c r="B260" s="120"/>
      <c r="C260" s="70" t="s">
        <v>182</v>
      </c>
      <c r="D260" s="69">
        <v>3</v>
      </c>
      <c r="E260" s="68">
        <v>1.5471892728210418E-3</v>
      </c>
    </row>
    <row r="261" spans="2:5" ht="15" customHeight="1">
      <c r="B261" s="120"/>
      <c r="C261" s="70" t="s">
        <v>181</v>
      </c>
      <c r="D261" s="69">
        <v>4</v>
      </c>
      <c r="E261" s="68">
        <v>2.0629190304280558E-3</v>
      </c>
    </row>
    <row r="262" spans="2:5" ht="15" customHeight="1">
      <c r="B262" s="121"/>
      <c r="C262" s="67" t="s">
        <v>20</v>
      </c>
      <c r="D262" s="66">
        <v>15</v>
      </c>
      <c r="E262" s="65">
        <v>7.7359463641052091E-3</v>
      </c>
    </row>
    <row r="263" spans="2:5" ht="15" customHeight="1">
      <c r="B263" s="119" t="s">
        <v>67</v>
      </c>
      <c r="C263" s="70" t="s">
        <v>188</v>
      </c>
      <c r="D263" s="69">
        <v>2</v>
      </c>
      <c r="E263" s="68">
        <v>1.0314595152140279E-3</v>
      </c>
    </row>
    <row r="264" spans="2:5" ht="15" customHeight="1">
      <c r="B264" s="120"/>
      <c r="C264" s="70" t="s">
        <v>184</v>
      </c>
      <c r="D264" s="69">
        <v>2</v>
      </c>
      <c r="E264" s="68">
        <v>1.0314595152140279E-3</v>
      </c>
    </row>
    <row r="265" spans="2:5" ht="15" customHeight="1">
      <c r="B265" s="120"/>
      <c r="C265" s="70" t="s">
        <v>181</v>
      </c>
      <c r="D265" s="69">
        <v>2</v>
      </c>
      <c r="E265" s="68">
        <v>1.0314595152140279E-3</v>
      </c>
    </row>
    <row r="266" spans="2:5" ht="15" customHeight="1">
      <c r="B266" s="121"/>
      <c r="C266" s="67" t="s">
        <v>20</v>
      </c>
      <c r="D266" s="66">
        <v>6</v>
      </c>
      <c r="E266" s="65">
        <v>3.0943785456420837E-3</v>
      </c>
    </row>
    <row r="267" spans="2:5" ht="15" customHeight="1">
      <c r="B267" s="119" t="s">
        <v>69</v>
      </c>
      <c r="C267" s="70" t="s">
        <v>194</v>
      </c>
      <c r="D267" s="69">
        <v>1</v>
      </c>
      <c r="E267" s="68">
        <v>5.1572975760701394E-4</v>
      </c>
    </row>
    <row r="268" spans="2:5" ht="15" customHeight="1">
      <c r="B268" s="120"/>
      <c r="C268" s="70" t="s">
        <v>192</v>
      </c>
      <c r="D268" s="69">
        <v>1</v>
      </c>
      <c r="E268" s="68">
        <v>5.1572975760701394E-4</v>
      </c>
    </row>
    <row r="269" spans="2:5" ht="15" customHeight="1">
      <c r="B269" s="120"/>
      <c r="C269" s="70" t="s">
        <v>191</v>
      </c>
      <c r="D269" s="69">
        <v>1</v>
      </c>
      <c r="E269" s="68">
        <v>5.1572975760701394E-4</v>
      </c>
    </row>
    <row r="270" spans="2:5" ht="15" customHeight="1">
      <c r="B270" s="120"/>
      <c r="C270" s="70" t="s">
        <v>190</v>
      </c>
      <c r="D270" s="69">
        <v>1</v>
      </c>
      <c r="E270" s="68">
        <v>5.1572975760701394E-4</v>
      </c>
    </row>
    <row r="271" spans="2:5" ht="15" customHeight="1">
      <c r="B271" s="120"/>
      <c r="C271" s="70" t="s">
        <v>189</v>
      </c>
      <c r="D271" s="69">
        <v>2</v>
      </c>
      <c r="E271" s="68">
        <v>1.0314595152140279E-3</v>
      </c>
    </row>
    <row r="272" spans="2:5" ht="15" customHeight="1">
      <c r="B272" s="120"/>
      <c r="C272" s="70" t="s">
        <v>188</v>
      </c>
      <c r="D272" s="69">
        <v>3</v>
      </c>
      <c r="E272" s="68">
        <v>1.5471892728210418E-3</v>
      </c>
    </row>
    <row r="273" spans="2:5" ht="15" customHeight="1">
      <c r="B273" s="120"/>
      <c r="C273" s="70" t="s">
        <v>185</v>
      </c>
      <c r="D273" s="69">
        <v>1</v>
      </c>
      <c r="E273" s="68">
        <v>5.1572975760701394E-4</v>
      </c>
    </row>
    <row r="274" spans="2:5" ht="15" customHeight="1">
      <c r="B274" s="120"/>
      <c r="C274" s="70" t="s">
        <v>184</v>
      </c>
      <c r="D274" s="69">
        <v>8</v>
      </c>
      <c r="E274" s="68">
        <v>4.1258380608561115E-3</v>
      </c>
    </row>
    <row r="275" spans="2:5" ht="15" customHeight="1">
      <c r="B275" s="120"/>
      <c r="C275" s="70" t="s">
        <v>183</v>
      </c>
      <c r="D275" s="69">
        <v>1</v>
      </c>
      <c r="E275" s="68">
        <v>5.1572975760701394E-4</v>
      </c>
    </row>
    <row r="276" spans="2:5" ht="15" customHeight="1">
      <c r="B276" s="120"/>
      <c r="C276" s="70" t="s">
        <v>182</v>
      </c>
      <c r="D276" s="69">
        <v>2</v>
      </c>
      <c r="E276" s="68">
        <v>1.0314595152140279E-3</v>
      </c>
    </row>
    <row r="277" spans="2:5" ht="15" customHeight="1">
      <c r="B277" s="120"/>
      <c r="C277" s="70" t="s">
        <v>181</v>
      </c>
      <c r="D277" s="69">
        <v>7</v>
      </c>
      <c r="E277" s="68">
        <v>3.6101083032490976E-3</v>
      </c>
    </row>
    <row r="278" spans="2:5" ht="15" customHeight="1">
      <c r="B278" s="120"/>
      <c r="C278" s="70" t="s">
        <v>271</v>
      </c>
      <c r="D278" s="69">
        <v>2</v>
      </c>
      <c r="E278" s="68">
        <v>1.0314595152140279E-3</v>
      </c>
    </row>
    <row r="279" spans="2:5" ht="15" customHeight="1">
      <c r="B279" s="120"/>
      <c r="C279" s="70" t="s">
        <v>179</v>
      </c>
      <c r="D279" s="69">
        <v>1</v>
      </c>
      <c r="E279" s="68">
        <v>5.1572975760701394E-4</v>
      </c>
    </row>
    <row r="280" spans="2:5" ht="15" customHeight="1">
      <c r="B280" s="120"/>
      <c r="C280" s="70" t="s">
        <v>178</v>
      </c>
      <c r="D280" s="69">
        <v>1</v>
      </c>
      <c r="E280" s="68">
        <v>5.1572975760701394E-4</v>
      </c>
    </row>
    <row r="281" spans="2:5" ht="15" customHeight="1">
      <c r="B281" s="121"/>
      <c r="C281" s="67" t="s">
        <v>20</v>
      </c>
      <c r="D281" s="66">
        <v>32</v>
      </c>
      <c r="E281" s="65">
        <v>1.6503352243424446E-2</v>
      </c>
    </row>
    <row r="282" spans="2:5" ht="15" customHeight="1">
      <c r="B282" s="119" t="s">
        <v>77</v>
      </c>
      <c r="C282" s="70" t="s">
        <v>189</v>
      </c>
      <c r="D282" s="69">
        <v>1</v>
      </c>
      <c r="E282" s="68">
        <v>5.1572975760701394E-4</v>
      </c>
    </row>
    <row r="283" spans="2:5" ht="15" customHeight="1">
      <c r="B283" s="120"/>
      <c r="C283" s="70" t="s">
        <v>185</v>
      </c>
      <c r="D283" s="69">
        <v>1</v>
      </c>
      <c r="E283" s="68">
        <v>5.1572975760701394E-4</v>
      </c>
    </row>
    <row r="284" spans="2:5" ht="15" customHeight="1">
      <c r="B284" s="120"/>
      <c r="C284" s="70" t="s">
        <v>184</v>
      </c>
      <c r="D284" s="69">
        <v>2</v>
      </c>
      <c r="E284" s="68">
        <v>1.0314595152140279E-3</v>
      </c>
    </row>
    <row r="285" spans="2:5" ht="15" customHeight="1">
      <c r="B285" s="120"/>
      <c r="C285" s="70" t="s">
        <v>181</v>
      </c>
      <c r="D285" s="69">
        <v>1</v>
      </c>
      <c r="E285" s="68">
        <v>5.1572975760701394E-4</v>
      </c>
    </row>
    <row r="286" spans="2:5" ht="15" customHeight="1">
      <c r="B286" s="120"/>
      <c r="C286" s="70" t="s">
        <v>178</v>
      </c>
      <c r="D286" s="69">
        <v>1</v>
      </c>
      <c r="E286" s="68">
        <v>5.1572975760701394E-4</v>
      </c>
    </row>
    <row r="287" spans="2:5" ht="15" customHeight="1">
      <c r="B287" s="121"/>
      <c r="C287" s="67" t="s">
        <v>20</v>
      </c>
      <c r="D287" s="66">
        <v>6</v>
      </c>
      <c r="E287" s="65">
        <v>3.0943785456420837E-3</v>
      </c>
    </row>
    <row r="288" spans="2:5" ht="15" customHeight="1">
      <c r="B288" s="119" t="s">
        <v>89</v>
      </c>
      <c r="C288" s="70" t="s">
        <v>189</v>
      </c>
      <c r="D288" s="69">
        <v>4</v>
      </c>
      <c r="E288" s="68">
        <v>2.0629190304280558E-3</v>
      </c>
    </row>
    <row r="289" spans="2:5" ht="15" customHeight="1">
      <c r="B289" s="120"/>
      <c r="C289" s="70" t="s">
        <v>188</v>
      </c>
      <c r="D289" s="69">
        <v>1</v>
      </c>
      <c r="E289" s="68">
        <v>5.1572975760701394E-4</v>
      </c>
    </row>
    <row r="290" spans="2:5" ht="15" customHeight="1">
      <c r="B290" s="120"/>
      <c r="C290" s="70" t="s">
        <v>187</v>
      </c>
      <c r="D290" s="69">
        <v>1</v>
      </c>
      <c r="E290" s="68">
        <v>5.1572975760701394E-4</v>
      </c>
    </row>
    <row r="291" spans="2:5" ht="15" customHeight="1">
      <c r="B291" s="120"/>
      <c r="C291" s="70" t="s">
        <v>186</v>
      </c>
      <c r="D291" s="69">
        <v>1</v>
      </c>
      <c r="E291" s="68">
        <v>5.1572975760701394E-4</v>
      </c>
    </row>
    <row r="292" spans="2:5" ht="15" customHeight="1">
      <c r="B292" s="120"/>
      <c r="C292" s="70" t="s">
        <v>185</v>
      </c>
      <c r="D292" s="69">
        <v>2</v>
      </c>
      <c r="E292" s="68">
        <v>1.0314595152140279E-3</v>
      </c>
    </row>
    <row r="293" spans="2:5" ht="15" customHeight="1">
      <c r="B293" s="120"/>
      <c r="C293" s="70" t="s">
        <v>184</v>
      </c>
      <c r="D293" s="69">
        <v>7</v>
      </c>
      <c r="E293" s="68">
        <v>3.6101083032490976E-3</v>
      </c>
    </row>
    <row r="294" spans="2:5" ht="15" customHeight="1">
      <c r="B294" s="120"/>
      <c r="C294" s="70" t="s">
        <v>182</v>
      </c>
      <c r="D294" s="69">
        <v>5</v>
      </c>
      <c r="E294" s="68">
        <v>2.5786487880350697E-3</v>
      </c>
    </row>
    <row r="295" spans="2:5" ht="15" customHeight="1">
      <c r="B295" s="120"/>
      <c r="C295" s="70" t="s">
        <v>181</v>
      </c>
      <c r="D295" s="69">
        <v>9</v>
      </c>
      <c r="E295" s="68">
        <v>4.6415678184631255E-3</v>
      </c>
    </row>
    <row r="296" spans="2:5" ht="15" customHeight="1">
      <c r="B296" s="120"/>
      <c r="C296" s="70" t="s">
        <v>179</v>
      </c>
      <c r="D296" s="69">
        <v>1</v>
      </c>
      <c r="E296" s="68">
        <v>5.1572975760701394E-4</v>
      </c>
    </row>
    <row r="297" spans="2:5" ht="15" customHeight="1">
      <c r="B297" s="120"/>
      <c r="C297" s="70" t="s">
        <v>178</v>
      </c>
      <c r="D297" s="69">
        <v>3</v>
      </c>
      <c r="E297" s="68">
        <v>1.5471892728210418E-3</v>
      </c>
    </row>
    <row r="298" spans="2:5" ht="15" customHeight="1">
      <c r="B298" s="120"/>
      <c r="C298" s="70" t="s">
        <v>176</v>
      </c>
      <c r="D298" s="69">
        <v>1</v>
      </c>
      <c r="E298" s="68">
        <v>5.1572975760701394E-4</v>
      </c>
    </row>
    <row r="299" spans="2:5" ht="15" customHeight="1">
      <c r="B299" s="121"/>
      <c r="C299" s="67" t="s">
        <v>20</v>
      </c>
      <c r="D299" s="66">
        <v>35</v>
      </c>
      <c r="E299" s="65">
        <v>1.8050541516245487E-2</v>
      </c>
    </row>
    <row r="300" spans="2:5" ht="15" customHeight="1">
      <c r="B300" s="119" t="s">
        <v>73</v>
      </c>
      <c r="C300" s="70" t="s">
        <v>189</v>
      </c>
      <c r="D300" s="69">
        <v>2</v>
      </c>
      <c r="E300" s="68">
        <v>1.0314595152140279E-3</v>
      </c>
    </row>
    <row r="301" spans="2:5" ht="15" customHeight="1">
      <c r="B301" s="120"/>
      <c r="C301" s="70" t="s">
        <v>188</v>
      </c>
      <c r="D301" s="69">
        <v>2</v>
      </c>
      <c r="E301" s="68">
        <v>1.0314595152140279E-3</v>
      </c>
    </row>
    <row r="302" spans="2:5" ht="15" customHeight="1">
      <c r="B302" s="120"/>
      <c r="C302" s="70" t="s">
        <v>184</v>
      </c>
      <c r="D302" s="69">
        <v>1</v>
      </c>
      <c r="E302" s="68">
        <v>5.1572975760701394E-4</v>
      </c>
    </row>
    <row r="303" spans="2:5" ht="15" customHeight="1">
      <c r="B303" s="120"/>
      <c r="C303" s="70" t="s">
        <v>181</v>
      </c>
      <c r="D303" s="69">
        <v>4</v>
      </c>
      <c r="E303" s="68">
        <v>2.0629190304280558E-3</v>
      </c>
    </row>
    <row r="304" spans="2:5" ht="15" customHeight="1">
      <c r="B304" s="121"/>
      <c r="C304" s="67" t="s">
        <v>20</v>
      </c>
      <c r="D304" s="66">
        <v>9</v>
      </c>
      <c r="E304" s="65">
        <v>4.6415678184631255E-3</v>
      </c>
    </row>
    <row r="305" spans="2:5" ht="15" customHeight="1">
      <c r="B305" s="119" t="s">
        <v>86</v>
      </c>
      <c r="C305" s="70" t="s">
        <v>195</v>
      </c>
      <c r="D305" s="69">
        <v>13</v>
      </c>
      <c r="E305" s="68">
        <v>6.7044868488911813E-3</v>
      </c>
    </row>
    <row r="306" spans="2:5" ht="15" customHeight="1">
      <c r="B306" s="120"/>
      <c r="C306" s="70" t="s">
        <v>194</v>
      </c>
      <c r="D306" s="69">
        <v>4</v>
      </c>
      <c r="E306" s="68">
        <v>2.0629190304280558E-3</v>
      </c>
    </row>
    <row r="307" spans="2:5" ht="15" customHeight="1">
      <c r="B307" s="120"/>
      <c r="C307" s="70" t="s">
        <v>193</v>
      </c>
      <c r="D307" s="69">
        <v>11</v>
      </c>
      <c r="E307" s="68">
        <v>5.6730273336771534E-3</v>
      </c>
    </row>
    <row r="308" spans="2:5" ht="15" customHeight="1">
      <c r="B308" s="120"/>
      <c r="C308" s="70" t="s">
        <v>192</v>
      </c>
      <c r="D308" s="69">
        <v>19</v>
      </c>
      <c r="E308" s="68">
        <v>9.7988653945332641E-3</v>
      </c>
    </row>
    <row r="309" spans="2:5" ht="15" customHeight="1">
      <c r="B309" s="120"/>
      <c r="C309" s="70" t="s">
        <v>191</v>
      </c>
      <c r="D309" s="69">
        <v>7</v>
      </c>
      <c r="E309" s="68">
        <v>3.6101083032490976E-3</v>
      </c>
    </row>
    <row r="310" spans="2:5" ht="15" customHeight="1">
      <c r="B310" s="120"/>
      <c r="C310" s="70" t="s">
        <v>190</v>
      </c>
      <c r="D310" s="69">
        <v>15</v>
      </c>
      <c r="E310" s="68">
        <v>7.7359463641052091E-3</v>
      </c>
    </row>
    <row r="311" spans="2:5" ht="15" customHeight="1">
      <c r="B311" s="120"/>
      <c r="C311" s="70" t="s">
        <v>189</v>
      </c>
      <c r="D311" s="69">
        <v>73</v>
      </c>
      <c r="E311" s="68">
        <v>3.7648272305312015E-2</v>
      </c>
    </row>
    <row r="312" spans="2:5" ht="15" customHeight="1">
      <c r="B312" s="120"/>
      <c r="C312" s="70" t="s">
        <v>188</v>
      </c>
      <c r="D312" s="69">
        <v>116</v>
      </c>
      <c r="E312" s="68">
        <v>5.9824651882413614E-2</v>
      </c>
    </row>
    <row r="313" spans="2:5" ht="15" customHeight="1">
      <c r="B313" s="120"/>
      <c r="C313" s="70" t="s">
        <v>187</v>
      </c>
      <c r="D313" s="69">
        <v>6</v>
      </c>
      <c r="E313" s="68">
        <v>3.0943785456420837E-3</v>
      </c>
    </row>
    <row r="314" spans="2:5" ht="15" customHeight="1">
      <c r="B314" s="120"/>
      <c r="C314" s="70" t="s">
        <v>186</v>
      </c>
      <c r="D314" s="69">
        <v>26</v>
      </c>
      <c r="E314" s="68">
        <v>1.3408973697782363E-2</v>
      </c>
    </row>
    <row r="315" spans="2:5" ht="15" customHeight="1">
      <c r="B315" s="120"/>
      <c r="C315" s="70" t="s">
        <v>185</v>
      </c>
      <c r="D315" s="69">
        <v>16</v>
      </c>
      <c r="E315" s="68">
        <v>8.2516761217122231E-3</v>
      </c>
    </row>
    <row r="316" spans="2:5" ht="15" customHeight="1">
      <c r="B316" s="120"/>
      <c r="C316" s="70" t="s">
        <v>184</v>
      </c>
      <c r="D316" s="69">
        <v>313</v>
      </c>
      <c r="E316" s="68">
        <v>0.16142341413099537</v>
      </c>
    </row>
    <row r="317" spans="2:5" ht="15" customHeight="1">
      <c r="B317" s="120"/>
      <c r="C317" s="70" t="s">
        <v>183</v>
      </c>
      <c r="D317" s="69">
        <v>7</v>
      </c>
      <c r="E317" s="68">
        <v>3.6101083032490976E-3</v>
      </c>
    </row>
    <row r="318" spans="2:5" ht="15" customHeight="1">
      <c r="B318" s="120"/>
      <c r="C318" s="70" t="s">
        <v>182</v>
      </c>
      <c r="D318" s="69">
        <v>20</v>
      </c>
      <c r="E318" s="68">
        <v>1.0314595152140279E-2</v>
      </c>
    </row>
    <row r="319" spans="2:5" ht="15" customHeight="1">
      <c r="B319" s="120"/>
      <c r="C319" s="70" t="s">
        <v>181</v>
      </c>
      <c r="D319" s="69">
        <v>90</v>
      </c>
      <c r="E319" s="68">
        <v>4.6415678184631257E-2</v>
      </c>
    </row>
    <row r="320" spans="2:5" ht="15" customHeight="1">
      <c r="B320" s="120"/>
      <c r="C320" s="70" t="s">
        <v>180</v>
      </c>
      <c r="D320" s="69">
        <v>1</v>
      </c>
      <c r="E320" s="68">
        <v>5.1572975760701394E-4</v>
      </c>
    </row>
    <row r="321" spans="2:5" ht="15" customHeight="1">
      <c r="B321" s="120"/>
      <c r="C321" s="70" t="s">
        <v>271</v>
      </c>
      <c r="D321" s="69">
        <v>1</v>
      </c>
      <c r="E321" s="68">
        <v>5.1572975760701394E-4</v>
      </c>
    </row>
    <row r="322" spans="2:5" ht="15" customHeight="1">
      <c r="B322" s="120"/>
      <c r="C322" s="70" t="s">
        <v>272</v>
      </c>
      <c r="D322" s="69">
        <v>2</v>
      </c>
      <c r="E322" s="68">
        <v>1.0314595152140279E-3</v>
      </c>
    </row>
    <row r="323" spans="2:5" ht="15" customHeight="1">
      <c r="B323" s="120"/>
      <c r="C323" s="70" t="s">
        <v>179</v>
      </c>
      <c r="D323" s="69">
        <v>11</v>
      </c>
      <c r="E323" s="68">
        <v>5.6730273336771534E-3</v>
      </c>
    </row>
    <row r="324" spans="2:5" ht="15" customHeight="1">
      <c r="B324" s="120"/>
      <c r="C324" s="70" t="s">
        <v>178</v>
      </c>
      <c r="D324" s="69">
        <v>18</v>
      </c>
      <c r="E324" s="68">
        <v>9.283135636926251E-3</v>
      </c>
    </row>
    <row r="325" spans="2:5" ht="15" customHeight="1">
      <c r="B325" s="120"/>
      <c r="C325" s="70" t="s">
        <v>176</v>
      </c>
      <c r="D325" s="69">
        <v>1</v>
      </c>
      <c r="E325" s="68">
        <v>5.1572975760701394E-4</v>
      </c>
    </row>
    <row r="326" spans="2:5" ht="15" customHeight="1">
      <c r="B326" s="121"/>
      <c r="C326" s="67" t="s">
        <v>20</v>
      </c>
      <c r="D326" s="66">
        <v>770</v>
      </c>
      <c r="E326" s="65">
        <v>0.3971119133574007</v>
      </c>
    </row>
    <row r="327" spans="2:5" ht="15" customHeight="1">
      <c r="B327" s="119" t="s">
        <v>199</v>
      </c>
      <c r="C327" s="70" t="s">
        <v>195</v>
      </c>
      <c r="D327" s="69">
        <v>1</v>
      </c>
      <c r="E327" s="68">
        <v>5.1572975760701394E-4</v>
      </c>
    </row>
    <row r="328" spans="2:5" ht="15" customHeight="1">
      <c r="B328" s="120"/>
      <c r="C328" s="70" t="s">
        <v>191</v>
      </c>
      <c r="D328" s="69">
        <v>2</v>
      </c>
      <c r="E328" s="68">
        <v>1.0314595152140279E-3</v>
      </c>
    </row>
    <row r="329" spans="2:5" ht="15" customHeight="1">
      <c r="B329" s="120"/>
      <c r="C329" s="70" t="s">
        <v>189</v>
      </c>
      <c r="D329" s="69">
        <v>5</v>
      </c>
      <c r="E329" s="68">
        <v>2.5786487880350697E-3</v>
      </c>
    </row>
    <row r="330" spans="2:5" ht="15" customHeight="1">
      <c r="B330" s="120"/>
      <c r="C330" s="70" t="s">
        <v>188</v>
      </c>
      <c r="D330" s="69">
        <v>4</v>
      </c>
      <c r="E330" s="68">
        <v>2.0629190304280558E-3</v>
      </c>
    </row>
    <row r="331" spans="2:5" ht="15" customHeight="1">
      <c r="B331" s="120"/>
      <c r="C331" s="70" t="s">
        <v>184</v>
      </c>
      <c r="D331" s="69">
        <v>5</v>
      </c>
      <c r="E331" s="68">
        <v>2.5786487880350697E-3</v>
      </c>
    </row>
    <row r="332" spans="2:5" ht="15" customHeight="1">
      <c r="B332" s="120"/>
      <c r="C332" s="70" t="s">
        <v>183</v>
      </c>
      <c r="D332" s="69">
        <v>1</v>
      </c>
      <c r="E332" s="68">
        <v>5.1572975760701394E-4</v>
      </c>
    </row>
    <row r="333" spans="2:5" ht="15" customHeight="1">
      <c r="B333" s="120"/>
      <c r="C333" s="70" t="s">
        <v>182</v>
      </c>
      <c r="D333" s="69">
        <v>1</v>
      </c>
      <c r="E333" s="68">
        <v>5.1572975760701394E-4</v>
      </c>
    </row>
    <row r="334" spans="2:5" ht="15" customHeight="1">
      <c r="B334" s="120"/>
      <c r="C334" s="70" t="s">
        <v>181</v>
      </c>
      <c r="D334" s="69">
        <v>6</v>
      </c>
      <c r="E334" s="68">
        <v>3.0943785456420837E-3</v>
      </c>
    </row>
    <row r="335" spans="2:5" ht="15" customHeight="1">
      <c r="B335" s="120"/>
      <c r="C335" s="70" t="s">
        <v>178</v>
      </c>
      <c r="D335" s="69">
        <v>1</v>
      </c>
      <c r="E335" s="68">
        <v>5.1572975760701394E-4</v>
      </c>
    </row>
    <row r="336" spans="2:5" ht="15" customHeight="1">
      <c r="B336" s="121"/>
      <c r="C336" s="67" t="s">
        <v>20</v>
      </c>
      <c r="D336" s="66">
        <v>26</v>
      </c>
      <c r="E336" s="65">
        <v>1.3408973697782363E-2</v>
      </c>
    </row>
    <row r="337" spans="2:5" ht="15" customHeight="1">
      <c r="B337" s="119" t="s">
        <v>88</v>
      </c>
      <c r="C337" s="70" t="s">
        <v>190</v>
      </c>
      <c r="D337" s="69">
        <v>1</v>
      </c>
      <c r="E337" s="68">
        <v>5.1572975760701394E-4</v>
      </c>
    </row>
    <row r="338" spans="2:5" ht="15" customHeight="1">
      <c r="B338" s="120"/>
      <c r="C338" s="70" t="s">
        <v>189</v>
      </c>
      <c r="D338" s="69">
        <v>3</v>
      </c>
      <c r="E338" s="68">
        <v>1.5471892728210418E-3</v>
      </c>
    </row>
    <row r="339" spans="2:5" ht="15" customHeight="1">
      <c r="B339" s="120"/>
      <c r="C339" s="70" t="s">
        <v>187</v>
      </c>
      <c r="D339" s="69">
        <v>1</v>
      </c>
      <c r="E339" s="68">
        <v>5.1572975760701394E-4</v>
      </c>
    </row>
    <row r="340" spans="2:5" ht="15" customHeight="1">
      <c r="B340" s="120"/>
      <c r="C340" s="70" t="s">
        <v>184</v>
      </c>
      <c r="D340" s="69">
        <v>9</v>
      </c>
      <c r="E340" s="68">
        <v>4.6415678184631255E-3</v>
      </c>
    </row>
    <row r="341" spans="2:5" ht="15" customHeight="1">
      <c r="B341" s="120"/>
      <c r="C341" s="70" t="s">
        <v>183</v>
      </c>
      <c r="D341" s="69">
        <v>1</v>
      </c>
      <c r="E341" s="68">
        <v>5.1572975760701394E-4</v>
      </c>
    </row>
    <row r="342" spans="2:5" ht="15" customHeight="1">
      <c r="B342" s="120"/>
      <c r="C342" s="70" t="s">
        <v>182</v>
      </c>
      <c r="D342" s="69">
        <v>4</v>
      </c>
      <c r="E342" s="68">
        <v>2.0629190304280558E-3</v>
      </c>
    </row>
    <row r="343" spans="2:5" ht="15" customHeight="1">
      <c r="B343" s="120"/>
      <c r="C343" s="70" t="s">
        <v>181</v>
      </c>
      <c r="D343" s="69">
        <v>9</v>
      </c>
      <c r="E343" s="68">
        <v>4.6415678184631255E-3</v>
      </c>
    </row>
    <row r="344" spans="2:5" ht="15" customHeight="1">
      <c r="B344" s="120"/>
      <c r="C344" s="70" t="s">
        <v>178</v>
      </c>
      <c r="D344" s="69">
        <v>2</v>
      </c>
      <c r="E344" s="68">
        <v>1.0314595152140279E-3</v>
      </c>
    </row>
    <row r="345" spans="2:5" ht="15" customHeight="1">
      <c r="B345" s="121"/>
      <c r="C345" s="67" t="s">
        <v>20</v>
      </c>
      <c r="D345" s="66">
        <v>30</v>
      </c>
      <c r="E345" s="65">
        <v>1.5471892728210418E-2</v>
      </c>
    </row>
    <row r="346" spans="2:5" ht="15" customHeight="1">
      <c r="B346" s="119" t="s">
        <v>66</v>
      </c>
      <c r="C346" s="70" t="s">
        <v>189</v>
      </c>
      <c r="D346" s="69">
        <v>1</v>
      </c>
      <c r="E346" s="68">
        <v>5.1572975760701394E-4</v>
      </c>
    </row>
    <row r="347" spans="2:5" ht="15" customHeight="1">
      <c r="B347" s="120"/>
      <c r="C347" s="70" t="s">
        <v>188</v>
      </c>
      <c r="D347" s="69">
        <v>1</v>
      </c>
      <c r="E347" s="68">
        <v>5.1572975760701394E-4</v>
      </c>
    </row>
    <row r="348" spans="2:5" ht="15" customHeight="1">
      <c r="B348" s="120"/>
      <c r="C348" s="70" t="s">
        <v>184</v>
      </c>
      <c r="D348" s="69">
        <v>6</v>
      </c>
      <c r="E348" s="68">
        <v>3.0943785456420837E-3</v>
      </c>
    </row>
    <row r="349" spans="2:5" ht="15" customHeight="1">
      <c r="B349" s="120"/>
      <c r="C349" s="70" t="s">
        <v>182</v>
      </c>
      <c r="D349" s="69">
        <v>1</v>
      </c>
      <c r="E349" s="68">
        <v>5.1572975760701394E-4</v>
      </c>
    </row>
    <row r="350" spans="2:5" ht="15" customHeight="1">
      <c r="B350" s="120"/>
      <c r="C350" s="70" t="s">
        <v>181</v>
      </c>
      <c r="D350" s="69">
        <v>7</v>
      </c>
      <c r="E350" s="68">
        <v>3.6101083032490976E-3</v>
      </c>
    </row>
    <row r="351" spans="2:5" ht="15" customHeight="1">
      <c r="B351" s="120"/>
      <c r="C351" s="70" t="s">
        <v>179</v>
      </c>
      <c r="D351" s="69">
        <v>1</v>
      </c>
      <c r="E351" s="68">
        <v>5.1572975760701394E-4</v>
      </c>
    </row>
    <row r="352" spans="2:5" ht="15" customHeight="1">
      <c r="B352" s="120"/>
      <c r="C352" s="70" t="s">
        <v>178</v>
      </c>
      <c r="D352" s="69">
        <v>3</v>
      </c>
      <c r="E352" s="68">
        <v>1.5471892728210418E-3</v>
      </c>
    </row>
    <row r="353" spans="2:5" ht="15" customHeight="1">
      <c r="B353" s="121"/>
      <c r="C353" s="67" t="s">
        <v>20</v>
      </c>
      <c r="D353" s="66">
        <v>20</v>
      </c>
      <c r="E353" s="65">
        <v>1.0314595152140279E-2</v>
      </c>
    </row>
    <row r="354" spans="2:5" ht="15" customHeight="1">
      <c r="B354" s="119" t="s">
        <v>48</v>
      </c>
      <c r="C354" s="70" t="s">
        <v>188</v>
      </c>
      <c r="D354" s="69">
        <v>2</v>
      </c>
      <c r="E354" s="68">
        <v>1.0314595152140279E-3</v>
      </c>
    </row>
    <row r="355" spans="2:5" ht="15" customHeight="1">
      <c r="B355" s="120"/>
      <c r="C355" s="70" t="s">
        <v>184</v>
      </c>
      <c r="D355" s="69">
        <v>2</v>
      </c>
      <c r="E355" s="68">
        <v>1.0314595152140279E-3</v>
      </c>
    </row>
    <row r="356" spans="2:5" ht="15" customHeight="1">
      <c r="B356" s="120"/>
      <c r="C356" s="70" t="s">
        <v>182</v>
      </c>
      <c r="D356" s="69">
        <v>1</v>
      </c>
      <c r="E356" s="68">
        <v>5.1572975760701394E-4</v>
      </c>
    </row>
    <row r="357" spans="2:5" ht="15" customHeight="1">
      <c r="B357" s="120"/>
      <c r="C357" s="70" t="s">
        <v>176</v>
      </c>
      <c r="D357" s="69">
        <v>1</v>
      </c>
      <c r="E357" s="68">
        <v>5.1572975760701394E-4</v>
      </c>
    </row>
    <row r="358" spans="2:5" ht="15" customHeight="1">
      <c r="B358" s="121"/>
      <c r="C358" s="67" t="s">
        <v>20</v>
      </c>
      <c r="D358" s="66">
        <v>6</v>
      </c>
      <c r="E358" s="65">
        <v>3.0943785456420837E-3</v>
      </c>
    </row>
    <row r="359" spans="2:5" ht="15" customHeight="1">
      <c r="B359" s="123" t="s">
        <v>20</v>
      </c>
      <c r="C359" s="124"/>
      <c r="D359" s="98">
        <v>1941</v>
      </c>
      <c r="E359" s="99">
        <v>1</v>
      </c>
    </row>
    <row r="360" spans="2:5" ht="15" customHeight="1">
      <c r="B360" s="64"/>
      <c r="C360" s="64"/>
      <c r="D360" s="64"/>
      <c r="E360" s="64"/>
    </row>
    <row r="361" spans="2:5" ht="15" customHeight="1">
      <c r="B361" s="85" t="s">
        <v>251</v>
      </c>
      <c r="C361" s="64"/>
      <c r="D361" s="64"/>
      <c r="E361" s="64"/>
    </row>
    <row r="362" spans="2:5" ht="15" customHeight="1">
      <c r="B362" s="87" t="s">
        <v>19</v>
      </c>
      <c r="C362" s="64"/>
      <c r="D362" s="64"/>
      <c r="E362" s="64"/>
    </row>
    <row r="363" spans="2:5" ht="15" customHeight="1">
      <c r="B363" s="86" t="s">
        <v>18</v>
      </c>
      <c r="C363" s="64"/>
      <c r="D363" s="64"/>
      <c r="E363" s="64"/>
    </row>
    <row r="364" spans="2:5" ht="15" customHeight="1">
      <c r="B364" s="85" t="s">
        <v>17</v>
      </c>
      <c r="C364" s="64"/>
      <c r="D364" s="64"/>
      <c r="E364" s="64"/>
    </row>
    <row r="365" spans="2:5" ht="15" customHeight="1">
      <c r="B365" s="85" t="s">
        <v>252</v>
      </c>
      <c r="C365" s="64"/>
      <c r="D365" s="64"/>
      <c r="E365" s="64"/>
    </row>
  </sheetData>
  <mergeCells count="44">
    <mergeCell ref="B327:B336"/>
    <mergeCell ref="B337:B345"/>
    <mergeCell ref="B346:B353"/>
    <mergeCell ref="B354:B358"/>
    <mergeCell ref="B359:C359"/>
    <mergeCell ref="B282:B287"/>
    <mergeCell ref="B288:B299"/>
    <mergeCell ref="B300:B304"/>
    <mergeCell ref="B305:B326"/>
    <mergeCell ref="B194:B199"/>
    <mergeCell ref="B200:B202"/>
    <mergeCell ref="B203:B211"/>
    <mergeCell ref="B212:B225"/>
    <mergeCell ref="B226:B228"/>
    <mergeCell ref="B229:B246"/>
    <mergeCell ref="B247:B255"/>
    <mergeCell ref="B256:B262"/>
    <mergeCell ref="B263:B266"/>
    <mergeCell ref="B267:B281"/>
    <mergeCell ref="B179:B186"/>
    <mergeCell ref="B187:B193"/>
    <mergeCell ref="B60:B72"/>
    <mergeCell ref="B73:B78"/>
    <mergeCell ref="B79:B80"/>
    <mergeCell ref="B81:B84"/>
    <mergeCell ref="B85:B92"/>
    <mergeCell ref="B93:B103"/>
    <mergeCell ref="B104:B112"/>
    <mergeCell ref="B113:B119"/>
    <mergeCell ref="B120:B121"/>
    <mergeCell ref="B122:B141"/>
    <mergeCell ref="B142:B148"/>
    <mergeCell ref="B149:B168"/>
    <mergeCell ref="B169:B171"/>
    <mergeCell ref="B172:B178"/>
    <mergeCell ref="B36:B46"/>
    <mergeCell ref="B47:B57"/>
    <mergeCell ref="B58:B59"/>
    <mergeCell ref="B34:B35"/>
    <mergeCell ref="B7:E8"/>
    <mergeCell ref="B10:B12"/>
    <mergeCell ref="B13:B25"/>
    <mergeCell ref="B26:B30"/>
    <mergeCell ref="B31:B3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D20"/>
  <sheetViews>
    <sheetView showGridLines="0" zoomScaleNormal="100" zoomScaleSheetLayoutView="115" workbookViewId="0">
      <selection activeCell="B21" sqref="B21"/>
    </sheetView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4" s="19" customFormat="1" ht="15" customHeight="1">
      <c r="C1" s="25"/>
    </row>
    <row r="2" spans="1:4" s="19" customFormat="1" ht="15" customHeight="1">
      <c r="C2" s="25"/>
    </row>
    <row r="3" spans="1:4" s="19" customFormat="1" ht="15" customHeight="1">
      <c r="A3" s="19" t="s">
        <v>57</v>
      </c>
      <c r="C3" s="25"/>
    </row>
    <row r="4" spans="1:4" s="19" customFormat="1" ht="30" customHeight="1">
      <c r="C4" s="25"/>
      <c r="D4" s="24"/>
    </row>
    <row r="5" spans="1:4" s="19" customFormat="1" ht="15" customHeight="1">
      <c r="C5" s="25"/>
      <c r="D5" s="24"/>
    </row>
    <row r="6" spans="1:4" s="19" customFormat="1" ht="15" customHeight="1">
      <c r="C6" s="25"/>
      <c r="D6" s="24"/>
    </row>
    <row r="7" spans="1:4" s="19" customFormat="1" ht="15" customHeight="1">
      <c r="B7" s="118" t="s">
        <v>276</v>
      </c>
      <c r="C7" s="118"/>
      <c r="D7" s="118"/>
    </row>
    <row r="8" spans="1:4" s="19" customFormat="1" ht="15" customHeight="1">
      <c r="B8" s="118"/>
      <c r="C8" s="118"/>
      <c r="D8" s="118"/>
    </row>
    <row r="9" spans="1:4" s="19" customFormat="1" ht="33" customHeight="1">
      <c r="B9" s="118"/>
      <c r="C9" s="118"/>
      <c r="D9" s="118"/>
    </row>
    <row r="10" spans="1:4" s="19" customFormat="1" ht="4.5" customHeight="1">
      <c r="B10" s="23"/>
      <c r="C10" s="23"/>
      <c r="D10" s="23"/>
    </row>
    <row r="11" spans="1:4" s="19" customFormat="1" ht="33" customHeight="1">
      <c r="B11" s="22" t="s">
        <v>207</v>
      </c>
      <c r="C11" s="21" t="s">
        <v>55</v>
      </c>
      <c r="D11" s="20" t="s">
        <v>54</v>
      </c>
    </row>
    <row r="12" spans="1:4">
      <c r="A12" s="62"/>
      <c r="B12" s="96" t="s">
        <v>206</v>
      </c>
      <c r="C12" s="95">
        <v>1360</v>
      </c>
      <c r="D12" s="94">
        <v>0.70066975785677488</v>
      </c>
    </row>
    <row r="13" spans="1:4">
      <c r="A13" s="62"/>
      <c r="B13" s="96" t="s">
        <v>205</v>
      </c>
      <c r="C13" s="95">
        <v>581</v>
      </c>
      <c r="D13" s="94">
        <v>0.29933024214322512</v>
      </c>
    </row>
    <row r="14" spans="1:4">
      <c r="A14" s="62"/>
      <c r="B14" s="93" t="s">
        <v>204</v>
      </c>
      <c r="C14" s="92">
        <v>1941</v>
      </c>
      <c r="D14" s="91">
        <v>1</v>
      </c>
    </row>
    <row r="15" spans="1:4">
      <c r="A15" s="63"/>
      <c r="B15" s="74"/>
      <c r="C15" s="75"/>
      <c r="D15" s="75"/>
    </row>
    <row r="16" spans="1:4">
      <c r="A16" s="63"/>
      <c r="B16" s="85" t="s">
        <v>251</v>
      </c>
      <c r="C16" s="75"/>
      <c r="D16" s="75"/>
    </row>
    <row r="17" spans="1:4">
      <c r="A17" s="61"/>
      <c r="B17" s="87" t="s">
        <v>19</v>
      </c>
      <c r="C17" s="73"/>
      <c r="D17" s="73"/>
    </row>
    <row r="18" spans="1:4">
      <c r="A18" s="61"/>
      <c r="B18" s="86" t="s">
        <v>18</v>
      </c>
      <c r="C18" s="72"/>
      <c r="D18" s="72"/>
    </row>
    <row r="19" spans="1:4">
      <c r="A19" s="61"/>
      <c r="B19" s="85" t="s">
        <v>17</v>
      </c>
      <c r="C19" s="71"/>
      <c r="D19" s="89"/>
    </row>
    <row r="20" spans="1:4">
      <c r="A20" s="61"/>
      <c r="B20" s="85" t="s">
        <v>252</v>
      </c>
      <c r="C20" s="71"/>
      <c r="D20" s="89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140"/>
  <sheetViews>
    <sheetView showGridLines="0" zoomScaleNormal="100" zoomScaleSheetLayoutView="100" workbookViewId="0">
      <selection activeCell="G12" sqref="G12"/>
    </sheetView>
  </sheetViews>
  <sheetFormatPr baseColWidth="10" defaultColWidth="11.42578125" defaultRowHeight="11.25"/>
  <cols>
    <col min="1" max="1" width="5.7109375" style="19" customWidth="1"/>
    <col min="2" max="2" width="19" style="31" customWidth="1"/>
    <col min="3" max="3" width="14.7109375" style="31" customWidth="1"/>
    <col min="4" max="4" width="23.5703125" style="40" customWidth="1"/>
    <col min="5" max="5" width="15.140625" style="31" bestFit="1" customWidth="1"/>
    <col min="6" max="6" width="5.7109375" style="19" customWidth="1"/>
    <col min="7" max="16384" width="11.42578125" style="19"/>
  </cols>
  <sheetData>
    <row r="1" spans="1:6" s="41" customFormat="1" ht="15">
      <c r="B1" s="35"/>
      <c r="C1" s="31"/>
    </row>
    <row r="2" spans="1:6" s="31" customFormat="1">
      <c r="B2" s="45"/>
    </row>
    <row r="3" spans="1:6" ht="15" customHeight="1">
      <c r="B3" s="46"/>
      <c r="C3" s="25"/>
      <c r="D3" s="19"/>
      <c r="F3" s="31"/>
    </row>
    <row r="4" spans="1:6" ht="30" customHeight="1">
      <c r="B4" s="46"/>
      <c r="C4" s="25"/>
      <c r="D4" s="19"/>
      <c r="F4" s="31"/>
    </row>
    <row r="5" spans="1:6" ht="15" customHeight="1">
      <c r="B5" s="46"/>
      <c r="C5" s="25"/>
      <c r="D5" s="19"/>
      <c r="F5" s="31"/>
    </row>
    <row r="6" spans="1:6" s="31" customFormat="1">
      <c r="B6" s="39"/>
      <c r="C6" s="33"/>
    </row>
    <row r="7" spans="1:6" s="31" customFormat="1">
      <c r="A7" s="35"/>
      <c r="B7" s="45"/>
      <c r="C7" s="35"/>
    </row>
    <row r="8" spans="1:6" s="41" customFormat="1" ht="15" customHeight="1">
      <c r="B8" s="118" t="s">
        <v>277</v>
      </c>
      <c r="C8" s="118"/>
      <c r="D8" s="118"/>
      <c r="E8" s="118"/>
    </row>
    <row r="9" spans="1:6" s="41" customFormat="1" ht="15" customHeight="1">
      <c r="A9" s="43"/>
      <c r="B9" s="118"/>
      <c r="C9" s="118"/>
      <c r="D9" s="118"/>
      <c r="E9" s="118"/>
      <c r="F9" s="44"/>
    </row>
    <row r="10" spans="1:6" s="41" customFormat="1" ht="15" customHeight="1">
      <c r="A10" s="43"/>
      <c r="B10" s="118"/>
      <c r="C10" s="118"/>
      <c r="D10" s="118"/>
      <c r="E10" s="118"/>
      <c r="F10" s="43"/>
    </row>
    <row r="11" spans="1:6" s="41" customFormat="1" ht="15" customHeight="1">
      <c r="A11" s="43"/>
      <c r="B11" s="97"/>
      <c r="C11" s="97"/>
      <c r="D11" s="97"/>
      <c r="E11" s="97"/>
      <c r="F11" s="43"/>
    </row>
    <row r="12" spans="1:6" s="41" customFormat="1" ht="36.950000000000003" customHeight="1">
      <c r="B12" s="42" t="s">
        <v>98</v>
      </c>
      <c r="C12" s="42" t="s">
        <v>207</v>
      </c>
      <c r="D12" s="42" t="s">
        <v>55</v>
      </c>
      <c r="E12" s="42" t="s">
        <v>54</v>
      </c>
    </row>
    <row r="13" spans="1:6" ht="15">
      <c r="A13" s="77"/>
      <c r="B13" s="125" t="s">
        <v>61</v>
      </c>
      <c r="C13" s="88" t="s">
        <v>209</v>
      </c>
      <c r="D13" s="95">
        <v>1</v>
      </c>
      <c r="E13" s="94">
        <v>5.1519835136527566E-4</v>
      </c>
    </row>
    <row r="14" spans="1:6" ht="15">
      <c r="A14" s="77"/>
      <c r="B14" s="126"/>
      <c r="C14" s="88" t="s">
        <v>208</v>
      </c>
      <c r="D14" s="95">
        <v>1</v>
      </c>
      <c r="E14" s="94">
        <v>5.1519835136527566E-4</v>
      </c>
    </row>
    <row r="15" spans="1:6" ht="15">
      <c r="A15" s="77"/>
      <c r="B15" s="127"/>
      <c r="C15" s="100" t="s">
        <v>20</v>
      </c>
      <c r="D15" s="101">
        <v>2</v>
      </c>
      <c r="E15" s="102">
        <v>1.0303967027305513E-3</v>
      </c>
    </row>
    <row r="16" spans="1:6" ht="15">
      <c r="A16" s="77"/>
      <c r="B16" s="125" t="s">
        <v>93</v>
      </c>
      <c r="C16" s="88" t="s">
        <v>209</v>
      </c>
      <c r="D16" s="95">
        <v>11</v>
      </c>
      <c r="E16" s="94">
        <v>5.6671818650180323E-3</v>
      </c>
    </row>
    <row r="17" spans="1:5" ht="15">
      <c r="A17" s="77"/>
      <c r="B17" s="126"/>
      <c r="C17" s="88" t="s">
        <v>208</v>
      </c>
      <c r="D17" s="95">
        <v>12</v>
      </c>
      <c r="E17" s="94">
        <v>6.1823802163833074E-3</v>
      </c>
    </row>
    <row r="18" spans="1:5" ht="13.5">
      <c r="A18" s="78"/>
      <c r="B18" s="127"/>
      <c r="C18" s="100" t="s">
        <v>20</v>
      </c>
      <c r="D18" s="101">
        <v>23</v>
      </c>
      <c r="E18" s="102">
        <v>1.184956208140134E-2</v>
      </c>
    </row>
    <row r="19" spans="1:5" ht="13.5">
      <c r="A19" s="78"/>
      <c r="B19" s="125" t="s">
        <v>83</v>
      </c>
      <c r="C19" s="88" t="s">
        <v>209</v>
      </c>
      <c r="D19" s="95">
        <v>4</v>
      </c>
      <c r="E19" s="94">
        <v>2.0607934054611026E-3</v>
      </c>
    </row>
    <row r="20" spans="1:5" ht="13.5">
      <c r="A20" s="78"/>
      <c r="B20" s="127"/>
      <c r="C20" s="100" t="s">
        <v>20</v>
      </c>
      <c r="D20" s="101">
        <v>4</v>
      </c>
      <c r="E20" s="102">
        <v>2.0607934054611026E-3</v>
      </c>
    </row>
    <row r="21" spans="1:5" ht="13.5">
      <c r="A21" s="78"/>
      <c r="B21" s="125" t="s">
        <v>60</v>
      </c>
      <c r="C21" s="88" t="s">
        <v>208</v>
      </c>
      <c r="D21" s="95">
        <v>2</v>
      </c>
      <c r="E21" s="94">
        <v>1.0303967027305513E-3</v>
      </c>
    </row>
    <row r="22" spans="1:5" ht="13.5">
      <c r="A22" s="78"/>
      <c r="B22" s="127"/>
      <c r="C22" s="100" t="s">
        <v>20</v>
      </c>
      <c r="D22" s="101">
        <v>2</v>
      </c>
      <c r="E22" s="102">
        <v>1.0303967027305513E-3</v>
      </c>
    </row>
    <row r="23" spans="1:5" ht="15">
      <c r="A23" s="77"/>
      <c r="B23" s="125" t="s">
        <v>58</v>
      </c>
      <c r="C23" s="88" t="s">
        <v>209</v>
      </c>
      <c r="D23" s="95">
        <v>1</v>
      </c>
      <c r="E23" s="94">
        <v>5.1519835136527566E-4</v>
      </c>
    </row>
    <row r="24" spans="1:5" ht="15">
      <c r="A24" s="77"/>
      <c r="B24" s="127"/>
      <c r="C24" s="100" t="s">
        <v>20</v>
      </c>
      <c r="D24" s="101">
        <v>1</v>
      </c>
      <c r="E24" s="102">
        <v>5.1519835136527566E-4</v>
      </c>
    </row>
    <row r="25" spans="1:5" ht="15">
      <c r="A25" s="77"/>
      <c r="B25" s="125" t="s">
        <v>96</v>
      </c>
      <c r="C25" s="88" t="s">
        <v>209</v>
      </c>
      <c r="D25" s="95">
        <v>17</v>
      </c>
      <c r="E25" s="94">
        <v>8.7583719732096856E-3</v>
      </c>
    </row>
    <row r="26" spans="1:5" ht="15">
      <c r="A26" s="77"/>
      <c r="B26" s="126"/>
      <c r="C26" s="88" t="s">
        <v>208</v>
      </c>
      <c r="D26" s="95">
        <v>9</v>
      </c>
      <c r="E26" s="94">
        <v>4.6367851622874804E-3</v>
      </c>
    </row>
    <row r="27" spans="1:5" ht="15">
      <c r="A27" s="77"/>
      <c r="B27" s="127"/>
      <c r="C27" s="100" t="s">
        <v>20</v>
      </c>
      <c r="D27" s="101">
        <v>26</v>
      </c>
      <c r="E27" s="102">
        <v>1.3395157135497167E-2</v>
      </c>
    </row>
    <row r="28" spans="1:5" ht="15">
      <c r="A28" s="77"/>
      <c r="B28" s="125" t="s">
        <v>94</v>
      </c>
      <c r="C28" s="88" t="s">
        <v>209</v>
      </c>
      <c r="D28" s="95">
        <v>42</v>
      </c>
      <c r="E28" s="94">
        <v>2.1638330757341576E-2</v>
      </c>
    </row>
    <row r="29" spans="1:5" ht="15">
      <c r="A29" s="77"/>
      <c r="B29" s="126"/>
      <c r="C29" s="88" t="s">
        <v>208</v>
      </c>
      <c r="D29" s="95">
        <v>24</v>
      </c>
      <c r="E29" s="94">
        <v>1.2364760432766615E-2</v>
      </c>
    </row>
    <row r="30" spans="1:5" ht="15">
      <c r="A30" s="77"/>
      <c r="B30" s="127"/>
      <c r="C30" s="100" t="s">
        <v>20</v>
      </c>
      <c r="D30" s="101">
        <v>66</v>
      </c>
      <c r="E30" s="102">
        <v>3.4003091190108192E-2</v>
      </c>
    </row>
    <row r="31" spans="1:5" ht="15">
      <c r="A31" s="77"/>
      <c r="B31" s="125" t="s">
        <v>254</v>
      </c>
      <c r="C31" s="88" t="s">
        <v>209</v>
      </c>
      <c r="D31" s="95">
        <v>1</v>
      </c>
      <c r="E31" s="94">
        <v>5.1519835136527566E-4</v>
      </c>
    </row>
    <row r="32" spans="1:5" ht="15">
      <c r="A32" s="77"/>
      <c r="B32" s="127"/>
      <c r="C32" s="100" t="s">
        <v>20</v>
      </c>
      <c r="D32" s="101">
        <v>1</v>
      </c>
      <c r="E32" s="102">
        <v>5.1519835136527566E-4</v>
      </c>
    </row>
    <row r="33" spans="1:5" ht="15">
      <c r="A33" s="77"/>
      <c r="B33" s="125" t="s">
        <v>78</v>
      </c>
      <c r="C33" s="88" t="s">
        <v>209</v>
      </c>
      <c r="D33" s="95">
        <v>43</v>
      </c>
      <c r="E33" s="94">
        <v>2.2153529108706851E-2</v>
      </c>
    </row>
    <row r="34" spans="1:5" ht="13.5">
      <c r="A34" s="76"/>
      <c r="B34" s="126"/>
      <c r="C34" s="88" t="s">
        <v>208</v>
      </c>
      <c r="D34" s="95">
        <v>14</v>
      </c>
      <c r="E34" s="94">
        <v>7.2127769191138585E-3</v>
      </c>
    </row>
    <row r="35" spans="1:5" ht="13.5">
      <c r="A35" s="76"/>
      <c r="B35" s="127"/>
      <c r="C35" s="100" t="s">
        <v>20</v>
      </c>
      <c r="D35" s="101">
        <v>57</v>
      </c>
      <c r="E35" s="102">
        <v>2.9366306027820709E-2</v>
      </c>
    </row>
    <row r="36" spans="1:5" ht="13.5">
      <c r="A36" s="76"/>
      <c r="B36" s="125" t="s">
        <v>64</v>
      </c>
      <c r="C36" s="88" t="s">
        <v>209</v>
      </c>
      <c r="D36" s="95">
        <v>6</v>
      </c>
      <c r="E36" s="94">
        <v>3.0911901081916537E-3</v>
      </c>
    </row>
    <row r="37" spans="1:5" ht="13.5">
      <c r="A37" s="76"/>
      <c r="B37" s="127"/>
      <c r="C37" s="100" t="s">
        <v>20</v>
      </c>
      <c r="D37" s="101">
        <v>6</v>
      </c>
      <c r="E37" s="102">
        <v>3.0911901081916537E-3</v>
      </c>
    </row>
    <row r="38" spans="1:5" ht="13.5">
      <c r="A38" s="76"/>
      <c r="B38" s="125" t="s">
        <v>62</v>
      </c>
      <c r="C38" s="88" t="s">
        <v>208</v>
      </c>
      <c r="D38" s="95">
        <v>1</v>
      </c>
      <c r="E38" s="94">
        <v>5.1519835136527566E-4</v>
      </c>
    </row>
    <row r="39" spans="1:5" ht="13.5">
      <c r="A39" s="76"/>
      <c r="B39" s="127"/>
      <c r="C39" s="100" t="s">
        <v>20</v>
      </c>
      <c r="D39" s="101">
        <v>1</v>
      </c>
      <c r="E39" s="102">
        <v>5.1519835136527566E-4</v>
      </c>
    </row>
    <row r="40" spans="1:5" ht="13.5">
      <c r="A40" s="76"/>
      <c r="B40" s="125" t="s">
        <v>75</v>
      </c>
      <c r="C40" s="88" t="s">
        <v>209</v>
      </c>
      <c r="D40" s="95">
        <v>2</v>
      </c>
      <c r="E40" s="94">
        <v>1.0303967027305513E-3</v>
      </c>
    </row>
    <row r="41" spans="1:5" ht="13.5">
      <c r="A41" s="76"/>
      <c r="B41" s="126"/>
      <c r="C41" s="88" t="s">
        <v>208</v>
      </c>
      <c r="D41" s="95">
        <v>2</v>
      </c>
      <c r="E41" s="94">
        <v>1.0303967027305513E-3</v>
      </c>
    </row>
    <row r="42" spans="1:5" ht="13.5">
      <c r="A42" s="76"/>
      <c r="B42" s="127"/>
      <c r="C42" s="100" t="s">
        <v>20</v>
      </c>
      <c r="D42" s="101">
        <v>4</v>
      </c>
      <c r="E42" s="102">
        <v>2.0607934054611026E-3</v>
      </c>
    </row>
    <row r="43" spans="1:5" ht="13.5">
      <c r="A43" s="76"/>
      <c r="B43" s="125" t="s">
        <v>91</v>
      </c>
      <c r="C43" s="88" t="s">
        <v>209</v>
      </c>
      <c r="D43" s="95">
        <v>4</v>
      </c>
      <c r="E43" s="94">
        <v>2.0607934054611026E-3</v>
      </c>
    </row>
    <row r="44" spans="1:5" ht="13.5">
      <c r="A44" s="76"/>
      <c r="B44" s="126"/>
      <c r="C44" s="88" t="s">
        <v>208</v>
      </c>
      <c r="D44" s="95">
        <v>8</v>
      </c>
      <c r="E44" s="94">
        <v>4.1215868109222053E-3</v>
      </c>
    </row>
    <row r="45" spans="1:5" ht="13.5">
      <c r="A45" s="76"/>
      <c r="B45" s="127"/>
      <c r="C45" s="100" t="s">
        <v>20</v>
      </c>
      <c r="D45" s="101">
        <v>12</v>
      </c>
      <c r="E45" s="102">
        <v>6.1823802163833074E-3</v>
      </c>
    </row>
    <row r="46" spans="1:5" ht="13.5">
      <c r="A46" s="76"/>
      <c r="B46" s="125" t="s">
        <v>95</v>
      </c>
      <c r="C46" s="88" t="s">
        <v>209</v>
      </c>
      <c r="D46" s="95">
        <v>21</v>
      </c>
      <c r="E46" s="94">
        <v>1.0819165378670788E-2</v>
      </c>
    </row>
    <row r="47" spans="1:5" ht="13.5">
      <c r="A47" s="76"/>
      <c r="B47" s="126"/>
      <c r="C47" s="88" t="s">
        <v>208</v>
      </c>
      <c r="D47" s="95">
        <v>16</v>
      </c>
      <c r="E47" s="94">
        <v>8.2431736218444105E-3</v>
      </c>
    </row>
    <row r="48" spans="1:5" ht="13.5">
      <c r="A48" s="76"/>
      <c r="B48" s="127"/>
      <c r="C48" s="100" t="s">
        <v>20</v>
      </c>
      <c r="D48" s="101">
        <v>37</v>
      </c>
      <c r="E48" s="102">
        <v>1.90623390005152E-2</v>
      </c>
    </row>
    <row r="49" spans="1:5" ht="13.5">
      <c r="A49" s="76"/>
      <c r="B49" s="125" t="s">
        <v>79</v>
      </c>
      <c r="C49" s="88" t="s">
        <v>209</v>
      </c>
      <c r="D49" s="95">
        <v>7</v>
      </c>
      <c r="E49" s="94">
        <v>3.6063884595569293E-3</v>
      </c>
    </row>
    <row r="50" spans="1:5" ht="13.5">
      <c r="A50" s="76"/>
      <c r="B50" s="126"/>
      <c r="C50" s="88" t="s">
        <v>208</v>
      </c>
      <c r="D50" s="95">
        <v>6</v>
      </c>
      <c r="E50" s="94">
        <v>3.0911901081916537E-3</v>
      </c>
    </row>
    <row r="51" spans="1:5" ht="13.5">
      <c r="A51" s="76"/>
      <c r="B51" s="127"/>
      <c r="C51" s="100" t="s">
        <v>20</v>
      </c>
      <c r="D51" s="101">
        <v>13</v>
      </c>
      <c r="E51" s="102">
        <v>6.6975785677485834E-3</v>
      </c>
    </row>
    <row r="52" spans="1:5" ht="13.5">
      <c r="A52" s="76"/>
      <c r="B52" s="125" t="s">
        <v>74</v>
      </c>
      <c r="C52" s="88" t="s">
        <v>209</v>
      </c>
      <c r="D52" s="95">
        <v>11</v>
      </c>
      <c r="E52" s="94">
        <v>5.6671818650180323E-3</v>
      </c>
    </row>
    <row r="53" spans="1:5" ht="13.5">
      <c r="A53" s="76"/>
      <c r="B53" s="126"/>
      <c r="C53" s="88" t="s">
        <v>208</v>
      </c>
      <c r="D53" s="95">
        <v>4</v>
      </c>
      <c r="E53" s="94">
        <v>2.0607934054611026E-3</v>
      </c>
    </row>
    <row r="54" spans="1:5" ht="13.5">
      <c r="A54" s="76"/>
      <c r="B54" s="127"/>
      <c r="C54" s="100" t="s">
        <v>20</v>
      </c>
      <c r="D54" s="101">
        <v>15</v>
      </c>
      <c r="E54" s="102">
        <v>7.7279752704791345E-3</v>
      </c>
    </row>
    <row r="55" spans="1:5" ht="13.5">
      <c r="A55" s="76"/>
      <c r="B55" s="125" t="s">
        <v>59</v>
      </c>
      <c r="C55" s="88" t="s">
        <v>208</v>
      </c>
      <c r="D55" s="95">
        <v>1</v>
      </c>
      <c r="E55" s="94">
        <v>5.1519835136527566E-4</v>
      </c>
    </row>
    <row r="56" spans="1:5" ht="13.5">
      <c r="A56" s="76"/>
      <c r="B56" s="127"/>
      <c r="C56" s="100" t="s">
        <v>20</v>
      </c>
      <c r="D56" s="101">
        <v>1</v>
      </c>
      <c r="E56" s="102">
        <v>5.1519835136527566E-4</v>
      </c>
    </row>
    <row r="57" spans="1:5" ht="13.5">
      <c r="A57" s="76"/>
      <c r="B57" s="125" t="s">
        <v>81</v>
      </c>
      <c r="C57" s="88" t="s">
        <v>209</v>
      </c>
      <c r="D57" s="95">
        <v>37</v>
      </c>
      <c r="E57" s="94">
        <v>1.90623390005152E-2</v>
      </c>
    </row>
    <row r="58" spans="1:5" ht="13.5">
      <c r="A58" s="76"/>
      <c r="B58" s="126"/>
      <c r="C58" s="88" t="s">
        <v>208</v>
      </c>
      <c r="D58" s="95">
        <v>29</v>
      </c>
      <c r="E58" s="94">
        <v>1.4940752189592994E-2</v>
      </c>
    </row>
    <row r="59" spans="1:5" ht="13.5">
      <c r="A59" s="76"/>
      <c r="B59" s="127"/>
      <c r="C59" s="100" t="s">
        <v>20</v>
      </c>
      <c r="D59" s="101">
        <v>66</v>
      </c>
      <c r="E59" s="102">
        <v>3.4003091190108192E-2</v>
      </c>
    </row>
    <row r="60" spans="1:5" ht="13.5">
      <c r="A60" s="76"/>
      <c r="B60" s="125" t="s">
        <v>85</v>
      </c>
      <c r="C60" s="88" t="s">
        <v>209</v>
      </c>
      <c r="D60" s="95">
        <v>7</v>
      </c>
      <c r="E60" s="94">
        <v>3.6063884595569293E-3</v>
      </c>
    </row>
    <row r="61" spans="1:5" ht="13.5">
      <c r="A61" s="76"/>
      <c r="B61" s="126"/>
      <c r="C61" s="88" t="s">
        <v>208</v>
      </c>
      <c r="D61" s="95">
        <v>5</v>
      </c>
      <c r="E61" s="94">
        <v>2.5759917568263782E-3</v>
      </c>
    </row>
    <row r="62" spans="1:5" ht="13.5">
      <c r="A62" s="76"/>
      <c r="B62" s="127"/>
      <c r="C62" s="100" t="s">
        <v>20</v>
      </c>
      <c r="D62" s="101">
        <v>12</v>
      </c>
      <c r="E62" s="102">
        <v>6.1823802163833074E-3</v>
      </c>
    </row>
    <row r="63" spans="1:5" ht="13.5">
      <c r="A63" s="76"/>
      <c r="B63" s="125" t="s">
        <v>97</v>
      </c>
      <c r="C63" s="88" t="s">
        <v>209</v>
      </c>
      <c r="D63" s="95">
        <v>186</v>
      </c>
      <c r="E63" s="94">
        <v>9.5826893353941262E-2</v>
      </c>
    </row>
    <row r="64" spans="1:5" ht="13.5">
      <c r="A64" s="76"/>
      <c r="B64" s="126"/>
      <c r="C64" s="88" t="s">
        <v>208</v>
      </c>
      <c r="D64" s="95">
        <v>152</v>
      </c>
      <c r="E64" s="94">
        <v>7.8310149407521901E-2</v>
      </c>
    </row>
    <row r="65" spans="1:5" ht="13.5">
      <c r="A65" s="76"/>
      <c r="B65" s="127"/>
      <c r="C65" s="100" t="s">
        <v>20</v>
      </c>
      <c r="D65" s="101">
        <v>338</v>
      </c>
      <c r="E65" s="102">
        <v>0.17413704276146316</v>
      </c>
    </row>
    <row r="66" spans="1:5" ht="13.5">
      <c r="A66" s="76"/>
      <c r="B66" s="125" t="s">
        <v>76</v>
      </c>
      <c r="C66" s="88" t="s">
        <v>209</v>
      </c>
      <c r="D66" s="95">
        <v>1</v>
      </c>
      <c r="E66" s="94">
        <v>5.1519835136527566E-4</v>
      </c>
    </row>
    <row r="67" spans="1:5" ht="13.5">
      <c r="A67" s="76"/>
      <c r="B67" s="126"/>
      <c r="C67" s="88" t="s">
        <v>208</v>
      </c>
      <c r="D67" s="95">
        <v>1</v>
      </c>
      <c r="E67" s="94">
        <v>5.1519835136527566E-4</v>
      </c>
    </row>
    <row r="68" spans="1:5" ht="13.5">
      <c r="A68" s="76"/>
      <c r="B68" s="127"/>
      <c r="C68" s="100" t="s">
        <v>20</v>
      </c>
      <c r="D68" s="101">
        <v>2</v>
      </c>
      <c r="E68" s="102">
        <v>1.0303967027305513E-3</v>
      </c>
    </row>
    <row r="69" spans="1:5" ht="13.5">
      <c r="A69" s="76"/>
      <c r="B69" s="125" t="s">
        <v>71</v>
      </c>
      <c r="C69" s="88" t="s">
        <v>209</v>
      </c>
      <c r="D69" s="95">
        <v>11</v>
      </c>
      <c r="E69" s="94">
        <v>5.6671818650180323E-3</v>
      </c>
    </row>
    <row r="70" spans="1:5" ht="13.5">
      <c r="A70" s="76"/>
      <c r="B70" s="126"/>
      <c r="C70" s="88" t="s">
        <v>208</v>
      </c>
      <c r="D70" s="95">
        <v>11</v>
      </c>
      <c r="E70" s="94">
        <v>5.6671818650180323E-3</v>
      </c>
    </row>
    <row r="71" spans="1:5" ht="13.5">
      <c r="A71" s="76"/>
      <c r="B71" s="127"/>
      <c r="C71" s="100" t="s">
        <v>20</v>
      </c>
      <c r="D71" s="101">
        <v>22</v>
      </c>
      <c r="E71" s="102">
        <v>1.1334363730036065E-2</v>
      </c>
    </row>
    <row r="72" spans="1:5" ht="13.5">
      <c r="A72" s="76"/>
      <c r="B72" s="125" t="s">
        <v>70</v>
      </c>
      <c r="C72" s="88" t="s">
        <v>209</v>
      </c>
      <c r="D72" s="95">
        <v>6</v>
      </c>
      <c r="E72" s="94">
        <v>3.0911901081916537E-3</v>
      </c>
    </row>
    <row r="73" spans="1:5" ht="13.5">
      <c r="A73" s="76"/>
      <c r="B73" s="126"/>
      <c r="C73" s="88" t="s">
        <v>208</v>
      </c>
      <c r="D73" s="95">
        <v>4</v>
      </c>
      <c r="E73" s="94">
        <v>2.0607934054611026E-3</v>
      </c>
    </row>
    <row r="74" spans="1:5" ht="13.5">
      <c r="A74" s="76"/>
      <c r="B74" s="127"/>
      <c r="C74" s="100" t="s">
        <v>20</v>
      </c>
      <c r="D74" s="101">
        <v>10</v>
      </c>
      <c r="E74" s="102">
        <v>5.1519835136527563E-3</v>
      </c>
    </row>
    <row r="75" spans="1:5" ht="13.5">
      <c r="A75" s="76"/>
      <c r="B75" s="125" t="s">
        <v>63</v>
      </c>
      <c r="C75" s="88" t="s">
        <v>209</v>
      </c>
      <c r="D75" s="95">
        <v>5</v>
      </c>
      <c r="E75" s="94">
        <v>2.5759917568263782E-3</v>
      </c>
    </row>
    <row r="76" spans="1:5" ht="13.5">
      <c r="A76" s="76"/>
      <c r="B76" s="126"/>
      <c r="C76" s="88" t="s">
        <v>208</v>
      </c>
      <c r="D76" s="95">
        <v>4</v>
      </c>
      <c r="E76" s="94">
        <v>2.0607934054611026E-3</v>
      </c>
    </row>
    <row r="77" spans="1:5" ht="13.5">
      <c r="A77" s="76"/>
      <c r="B77" s="127"/>
      <c r="C77" s="100" t="s">
        <v>20</v>
      </c>
      <c r="D77" s="101">
        <v>9</v>
      </c>
      <c r="E77" s="102">
        <v>4.6367851622874804E-3</v>
      </c>
    </row>
    <row r="78" spans="1:5" ht="13.5">
      <c r="A78" s="76"/>
      <c r="B78" s="125" t="s">
        <v>92</v>
      </c>
      <c r="C78" s="88" t="s">
        <v>209</v>
      </c>
      <c r="D78" s="95">
        <v>9</v>
      </c>
      <c r="E78" s="94">
        <v>4.6367851622874804E-3</v>
      </c>
    </row>
    <row r="79" spans="1:5" ht="13.5">
      <c r="A79" s="76"/>
      <c r="B79" s="126"/>
      <c r="C79" s="88" t="s">
        <v>208</v>
      </c>
      <c r="D79" s="95">
        <v>11</v>
      </c>
      <c r="E79" s="94">
        <v>5.6671818650180323E-3</v>
      </c>
    </row>
    <row r="80" spans="1:5" ht="13.5">
      <c r="A80" s="76"/>
      <c r="B80" s="127"/>
      <c r="C80" s="100" t="s">
        <v>20</v>
      </c>
      <c r="D80" s="101">
        <v>20</v>
      </c>
      <c r="E80" s="102">
        <v>1.0303967027305513E-2</v>
      </c>
    </row>
    <row r="81" spans="1:5" ht="13.5">
      <c r="A81" s="76"/>
      <c r="B81" s="125" t="s">
        <v>65</v>
      </c>
      <c r="C81" s="88" t="s">
        <v>209</v>
      </c>
      <c r="D81" s="95">
        <v>3</v>
      </c>
      <c r="E81" s="94">
        <v>1.5455950540958269E-3</v>
      </c>
    </row>
    <row r="82" spans="1:5" ht="13.5">
      <c r="A82" s="76"/>
      <c r="B82" s="126"/>
      <c r="C82" s="88" t="s">
        <v>208</v>
      </c>
      <c r="D82" s="95">
        <v>1</v>
      </c>
      <c r="E82" s="94">
        <v>5.1519835136527566E-4</v>
      </c>
    </row>
    <row r="83" spans="1:5" ht="13.5">
      <c r="A83" s="76"/>
      <c r="B83" s="127"/>
      <c r="C83" s="100" t="s">
        <v>20</v>
      </c>
      <c r="D83" s="101">
        <v>4</v>
      </c>
      <c r="E83" s="102">
        <v>2.0607934054611026E-3</v>
      </c>
    </row>
    <row r="84" spans="1:5" ht="13.5">
      <c r="A84" s="76"/>
      <c r="B84" s="125" t="s">
        <v>84</v>
      </c>
      <c r="C84" s="88" t="s">
        <v>209</v>
      </c>
      <c r="D84" s="95">
        <v>12</v>
      </c>
      <c r="E84" s="94">
        <v>6.1823802163833074E-3</v>
      </c>
    </row>
    <row r="85" spans="1:5" ht="13.5">
      <c r="A85" s="76"/>
      <c r="B85" s="126"/>
      <c r="C85" s="88" t="s">
        <v>208</v>
      </c>
      <c r="D85" s="95">
        <v>7</v>
      </c>
      <c r="E85" s="94">
        <v>3.6063884595569293E-3</v>
      </c>
    </row>
    <row r="86" spans="1:5" ht="13.5">
      <c r="A86" s="76"/>
      <c r="B86" s="127"/>
      <c r="C86" s="100" t="s">
        <v>20</v>
      </c>
      <c r="D86" s="101">
        <v>19</v>
      </c>
      <c r="E86" s="102">
        <v>9.7887686759402376E-3</v>
      </c>
    </row>
    <row r="87" spans="1:5" ht="13.5">
      <c r="A87" s="76"/>
      <c r="B87" s="125" t="s">
        <v>80</v>
      </c>
      <c r="C87" s="88" t="s">
        <v>209</v>
      </c>
      <c r="D87" s="95">
        <v>62</v>
      </c>
      <c r="E87" s="94">
        <v>3.1942297784647092E-2</v>
      </c>
    </row>
    <row r="88" spans="1:5" ht="13.5">
      <c r="A88" s="76"/>
      <c r="B88" s="126"/>
      <c r="C88" s="88" t="s">
        <v>208</v>
      </c>
      <c r="D88" s="95">
        <v>29</v>
      </c>
      <c r="E88" s="94">
        <v>1.4940752189592994E-2</v>
      </c>
    </row>
    <row r="89" spans="1:5" ht="13.5">
      <c r="A89" s="76"/>
      <c r="B89" s="127"/>
      <c r="C89" s="100" t="s">
        <v>20</v>
      </c>
      <c r="D89" s="101">
        <v>91</v>
      </c>
      <c r="E89" s="102">
        <v>4.6883049974240081E-2</v>
      </c>
    </row>
    <row r="90" spans="1:5" ht="13.5">
      <c r="A90" s="76"/>
      <c r="B90" s="125" t="s">
        <v>68</v>
      </c>
      <c r="C90" s="88" t="s">
        <v>209</v>
      </c>
      <c r="D90" s="95">
        <v>3</v>
      </c>
      <c r="E90" s="94">
        <v>1.5455950540958269E-3</v>
      </c>
    </row>
    <row r="91" spans="1:5" ht="13.5">
      <c r="A91" s="76"/>
      <c r="B91" s="127"/>
      <c r="C91" s="100" t="s">
        <v>20</v>
      </c>
      <c r="D91" s="101">
        <v>3</v>
      </c>
      <c r="E91" s="102">
        <v>1.5455950540958269E-3</v>
      </c>
    </row>
    <row r="92" spans="1:5" ht="13.5">
      <c r="A92" s="76"/>
      <c r="B92" s="125" t="s">
        <v>72</v>
      </c>
      <c r="C92" s="88" t="s">
        <v>209</v>
      </c>
      <c r="D92" s="95">
        <v>74</v>
      </c>
      <c r="E92" s="94">
        <v>3.81246780010304E-2</v>
      </c>
    </row>
    <row r="93" spans="1:5" ht="13.5">
      <c r="A93" s="76"/>
      <c r="B93" s="126"/>
      <c r="C93" s="88" t="s">
        <v>208</v>
      </c>
      <c r="D93" s="95">
        <v>25</v>
      </c>
      <c r="E93" s="94">
        <v>1.287995878413189E-2</v>
      </c>
    </row>
    <row r="94" spans="1:5" ht="13.5">
      <c r="A94" s="76"/>
      <c r="B94" s="127"/>
      <c r="C94" s="100" t="s">
        <v>20</v>
      </c>
      <c r="D94" s="101">
        <v>99</v>
      </c>
      <c r="E94" s="102">
        <v>5.1004636785162288E-2</v>
      </c>
    </row>
    <row r="95" spans="1:5" ht="13.5">
      <c r="A95" s="76"/>
      <c r="B95" s="125" t="s">
        <v>90</v>
      </c>
      <c r="C95" s="88" t="s">
        <v>209</v>
      </c>
      <c r="D95" s="95">
        <v>15</v>
      </c>
      <c r="E95" s="94">
        <v>7.7279752704791345E-3</v>
      </c>
    </row>
    <row r="96" spans="1:5" ht="13.5">
      <c r="A96" s="76"/>
      <c r="B96" s="126"/>
      <c r="C96" s="88" t="s">
        <v>208</v>
      </c>
      <c r="D96" s="95">
        <v>5</v>
      </c>
      <c r="E96" s="94">
        <v>2.5759917568263782E-3</v>
      </c>
    </row>
    <row r="97" spans="1:5" ht="13.5">
      <c r="A97" s="76"/>
      <c r="B97" s="127"/>
      <c r="C97" s="100" t="s">
        <v>20</v>
      </c>
      <c r="D97" s="101">
        <v>20</v>
      </c>
      <c r="E97" s="102">
        <v>1.0303967027305513E-2</v>
      </c>
    </row>
    <row r="98" spans="1:5" ht="13.5">
      <c r="A98" s="76"/>
      <c r="B98" s="125" t="s">
        <v>82</v>
      </c>
      <c r="C98" s="88" t="s">
        <v>209</v>
      </c>
      <c r="D98" s="95">
        <v>11</v>
      </c>
      <c r="E98" s="94">
        <v>5.6671818650180323E-3</v>
      </c>
    </row>
    <row r="99" spans="1:5" ht="13.5">
      <c r="A99" s="76"/>
      <c r="B99" s="126"/>
      <c r="C99" s="88" t="s">
        <v>208</v>
      </c>
      <c r="D99" s="95">
        <v>4</v>
      </c>
      <c r="E99" s="94">
        <v>2.0607934054611026E-3</v>
      </c>
    </row>
    <row r="100" spans="1:5" ht="13.5">
      <c r="A100" s="76"/>
      <c r="B100" s="127"/>
      <c r="C100" s="100" t="s">
        <v>20</v>
      </c>
      <c r="D100" s="101">
        <v>15</v>
      </c>
      <c r="E100" s="102">
        <v>7.7279752704791345E-3</v>
      </c>
    </row>
    <row r="101" spans="1:5" ht="13.5">
      <c r="A101" s="76"/>
      <c r="B101" s="125" t="s">
        <v>67</v>
      </c>
      <c r="C101" s="88" t="s">
        <v>209</v>
      </c>
      <c r="D101" s="95">
        <v>5</v>
      </c>
      <c r="E101" s="94">
        <v>2.5759917568263782E-3</v>
      </c>
    </row>
    <row r="102" spans="1:5" ht="13.5">
      <c r="A102" s="76"/>
      <c r="B102" s="126"/>
      <c r="C102" s="88" t="s">
        <v>208</v>
      </c>
      <c r="D102" s="95">
        <v>1</v>
      </c>
      <c r="E102" s="94">
        <v>5.1519835136527566E-4</v>
      </c>
    </row>
    <row r="103" spans="1:5" ht="13.5">
      <c r="A103" s="76"/>
      <c r="B103" s="127"/>
      <c r="C103" s="100" t="s">
        <v>20</v>
      </c>
      <c r="D103" s="101">
        <v>6</v>
      </c>
      <c r="E103" s="102">
        <v>3.0911901081916537E-3</v>
      </c>
    </row>
    <row r="104" spans="1:5" ht="13.5">
      <c r="A104" s="76"/>
      <c r="B104" s="125" t="s">
        <v>69</v>
      </c>
      <c r="C104" s="88" t="s">
        <v>209</v>
      </c>
      <c r="D104" s="95">
        <v>21</v>
      </c>
      <c r="E104" s="94">
        <v>1.0819165378670788E-2</v>
      </c>
    </row>
    <row r="105" spans="1:5" ht="13.5">
      <c r="A105" s="76"/>
      <c r="B105" s="126"/>
      <c r="C105" s="88" t="s">
        <v>208</v>
      </c>
      <c r="D105" s="95">
        <v>11</v>
      </c>
      <c r="E105" s="94">
        <v>5.6671818650180323E-3</v>
      </c>
    </row>
    <row r="106" spans="1:5" ht="13.5">
      <c r="A106" s="76"/>
      <c r="B106" s="127"/>
      <c r="C106" s="100" t="s">
        <v>20</v>
      </c>
      <c r="D106" s="101">
        <v>32</v>
      </c>
      <c r="E106" s="102">
        <v>1.6486347243688821E-2</v>
      </c>
    </row>
    <row r="107" spans="1:5" ht="13.5">
      <c r="A107" s="76"/>
      <c r="B107" s="125" t="s">
        <v>77</v>
      </c>
      <c r="C107" s="88" t="s">
        <v>209</v>
      </c>
      <c r="D107" s="95">
        <v>3</v>
      </c>
      <c r="E107" s="94">
        <v>1.5455950540958269E-3</v>
      </c>
    </row>
    <row r="108" spans="1:5" ht="13.5">
      <c r="A108" s="76"/>
      <c r="B108" s="126"/>
      <c r="C108" s="88" t="s">
        <v>208</v>
      </c>
      <c r="D108" s="95">
        <v>3</v>
      </c>
      <c r="E108" s="94">
        <v>1.5455950540958269E-3</v>
      </c>
    </row>
    <row r="109" spans="1:5" ht="13.5">
      <c r="A109" s="76"/>
      <c r="B109" s="127"/>
      <c r="C109" s="100" t="s">
        <v>20</v>
      </c>
      <c r="D109" s="101">
        <v>6</v>
      </c>
      <c r="E109" s="102">
        <v>3.0911901081916537E-3</v>
      </c>
    </row>
    <row r="110" spans="1:5" ht="13.5">
      <c r="A110" s="76"/>
      <c r="B110" s="125" t="s">
        <v>89</v>
      </c>
      <c r="C110" s="88" t="s">
        <v>209</v>
      </c>
      <c r="D110" s="95">
        <v>21</v>
      </c>
      <c r="E110" s="94">
        <v>1.0819165378670788E-2</v>
      </c>
    </row>
    <row r="111" spans="1:5" ht="13.5">
      <c r="A111" s="76"/>
      <c r="B111" s="126"/>
      <c r="C111" s="88" t="s">
        <v>208</v>
      </c>
      <c r="D111" s="95">
        <v>14</v>
      </c>
      <c r="E111" s="94">
        <v>7.2127769191138585E-3</v>
      </c>
    </row>
    <row r="112" spans="1:5" ht="13.5">
      <c r="A112" s="76"/>
      <c r="B112" s="127"/>
      <c r="C112" s="100" t="s">
        <v>20</v>
      </c>
      <c r="D112" s="101">
        <v>35</v>
      </c>
      <c r="E112" s="102">
        <v>1.8031942297784646E-2</v>
      </c>
    </row>
    <row r="113" spans="1:5" ht="13.5">
      <c r="A113" s="76"/>
      <c r="B113" s="125" t="s">
        <v>73</v>
      </c>
      <c r="C113" s="88" t="s">
        <v>209</v>
      </c>
      <c r="D113" s="95">
        <v>4</v>
      </c>
      <c r="E113" s="94">
        <v>2.0607934054611026E-3</v>
      </c>
    </row>
    <row r="114" spans="1:5" ht="13.5">
      <c r="A114" s="76"/>
      <c r="B114" s="126"/>
      <c r="C114" s="88" t="s">
        <v>208</v>
      </c>
      <c r="D114" s="95">
        <v>5</v>
      </c>
      <c r="E114" s="94">
        <v>2.5759917568263782E-3</v>
      </c>
    </row>
    <row r="115" spans="1:5" ht="13.5">
      <c r="A115" s="76"/>
      <c r="B115" s="127"/>
      <c r="C115" s="100" t="s">
        <v>20</v>
      </c>
      <c r="D115" s="101">
        <v>9</v>
      </c>
      <c r="E115" s="102">
        <v>4.6367851622874804E-3</v>
      </c>
    </row>
    <row r="116" spans="1:5" ht="13.5">
      <c r="A116" s="76"/>
      <c r="B116" s="125" t="s">
        <v>86</v>
      </c>
      <c r="C116" s="88" t="s">
        <v>209</v>
      </c>
      <c r="D116" s="95">
        <v>640</v>
      </c>
      <c r="E116" s="94">
        <v>0.32972694487377641</v>
      </c>
    </row>
    <row r="117" spans="1:5" ht="13.5">
      <c r="A117" s="76"/>
      <c r="B117" s="126"/>
      <c r="C117" s="88" t="s">
        <v>208</v>
      </c>
      <c r="D117" s="95">
        <v>130</v>
      </c>
      <c r="E117" s="94">
        <v>6.6975785677485827E-2</v>
      </c>
    </row>
    <row r="118" spans="1:5" ht="13.5">
      <c r="A118" s="76"/>
      <c r="B118" s="127"/>
      <c r="C118" s="100" t="s">
        <v>20</v>
      </c>
      <c r="D118" s="101">
        <v>770</v>
      </c>
      <c r="E118" s="102">
        <v>0.39670273055126226</v>
      </c>
    </row>
    <row r="119" spans="1:5" ht="13.5">
      <c r="A119" s="76"/>
      <c r="B119" s="125" t="s">
        <v>87</v>
      </c>
      <c r="C119" s="88" t="s">
        <v>209</v>
      </c>
      <c r="D119" s="95">
        <v>21</v>
      </c>
      <c r="E119" s="94">
        <v>1.0819165378670788E-2</v>
      </c>
    </row>
    <row r="120" spans="1:5" ht="13.5">
      <c r="A120" s="76"/>
      <c r="B120" s="126"/>
      <c r="C120" s="88" t="s">
        <v>208</v>
      </c>
      <c r="D120" s="95">
        <v>5</v>
      </c>
      <c r="E120" s="94">
        <v>2.5759917568263782E-3</v>
      </c>
    </row>
    <row r="121" spans="1:5" ht="13.5">
      <c r="A121" s="76"/>
      <c r="B121" s="127"/>
      <c r="C121" s="100" t="s">
        <v>20</v>
      </c>
      <c r="D121" s="101">
        <v>26</v>
      </c>
      <c r="E121" s="102">
        <v>1.3395157135497167E-2</v>
      </c>
    </row>
    <row r="122" spans="1:5" ht="13.5">
      <c r="A122" s="76"/>
      <c r="B122" s="125" t="s">
        <v>88</v>
      </c>
      <c r="C122" s="88" t="s">
        <v>209</v>
      </c>
      <c r="D122" s="95">
        <v>14</v>
      </c>
      <c r="E122" s="94">
        <v>7.2127769191138585E-3</v>
      </c>
    </row>
    <row r="123" spans="1:5" ht="13.5">
      <c r="A123" s="76"/>
      <c r="B123" s="126"/>
      <c r="C123" s="88" t="s">
        <v>208</v>
      </c>
      <c r="D123" s="95">
        <v>16</v>
      </c>
      <c r="E123" s="94">
        <v>8.2431736218444105E-3</v>
      </c>
    </row>
    <row r="124" spans="1:5" ht="13.5">
      <c r="A124" s="76"/>
      <c r="B124" s="127"/>
      <c r="C124" s="100" t="s">
        <v>20</v>
      </c>
      <c r="D124" s="101">
        <v>30</v>
      </c>
      <c r="E124" s="102">
        <v>1.5455950540958269E-2</v>
      </c>
    </row>
    <row r="125" spans="1:5" ht="13.5">
      <c r="A125" s="76"/>
      <c r="B125" s="125" t="s">
        <v>66</v>
      </c>
      <c r="C125" s="88" t="s">
        <v>209</v>
      </c>
      <c r="D125" s="95">
        <v>15</v>
      </c>
      <c r="E125" s="94">
        <v>7.7279752704791345E-3</v>
      </c>
    </row>
    <row r="126" spans="1:5" ht="13.5">
      <c r="A126" s="76"/>
      <c r="B126" s="126"/>
      <c r="C126" s="88" t="s">
        <v>208</v>
      </c>
      <c r="D126" s="95">
        <v>5</v>
      </c>
      <c r="E126" s="94">
        <v>2.5759917568263782E-3</v>
      </c>
    </row>
    <row r="127" spans="1:5" ht="13.5">
      <c r="A127" s="76"/>
      <c r="B127" s="127"/>
      <c r="C127" s="100" t="s">
        <v>20</v>
      </c>
      <c r="D127" s="101">
        <v>20</v>
      </c>
      <c r="E127" s="102">
        <v>1.0303967027305513E-2</v>
      </c>
    </row>
    <row r="128" spans="1:5" ht="13.5">
      <c r="A128" s="76"/>
      <c r="B128" s="125" t="s">
        <v>48</v>
      </c>
      <c r="C128" s="88" t="s">
        <v>209</v>
      </c>
      <c r="D128" s="95">
        <v>3</v>
      </c>
      <c r="E128" s="94">
        <v>1.5455950540958269E-3</v>
      </c>
    </row>
    <row r="129" spans="1:5" ht="13.5">
      <c r="A129" s="76"/>
      <c r="B129" s="126"/>
      <c r="C129" s="88" t="s">
        <v>208</v>
      </c>
      <c r="D129" s="95">
        <v>3</v>
      </c>
      <c r="E129" s="94">
        <v>1.5455950540958269E-3</v>
      </c>
    </row>
    <row r="130" spans="1:5" ht="13.5">
      <c r="A130" s="76"/>
      <c r="B130" s="127"/>
      <c r="C130" s="100" t="s">
        <v>20</v>
      </c>
      <c r="D130" s="101">
        <v>6</v>
      </c>
      <c r="E130" s="102">
        <v>3.0911901081916537E-3</v>
      </c>
    </row>
    <row r="131" spans="1:5" ht="13.5">
      <c r="A131" s="76"/>
      <c r="B131" s="123" t="s">
        <v>204</v>
      </c>
      <c r="C131" s="124"/>
      <c r="D131" s="92">
        <v>1941</v>
      </c>
      <c r="E131" s="91">
        <v>1</v>
      </c>
    </row>
    <row r="132" spans="1:5">
      <c r="A132" s="76"/>
      <c r="B132" s="79"/>
      <c r="C132" s="79"/>
      <c r="D132" s="80"/>
      <c r="E132" s="79"/>
    </row>
    <row r="133" spans="1:5">
      <c r="A133" s="76"/>
      <c r="B133" s="85" t="s">
        <v>251</v>
      </c>
      <c r="C133" s="79"/>
      <c r="D133" s="80"/>
      <c r="E133" s="79"/>
    </row>
    <row r="134" spans="1:5">
      <c r="A134" s="76"/>
      <c r="B134" s="87" t="s">
        <v>19</v>
      </c>
      <c r="C134" s="79"/>
      <c r="D134" s="80"/>
      <c r="E134" s="79"/>
    </row>
    <row r="135" spans="1:5">
      <c r="A135" s="76"/>
      <c r="B135" s="86" t="s">
        <v>18</v>
      </c>
      <c r="C135" s="79"/>
      <c r="D135" s="80"/>
      <c r="E135" s="79"/>
    </row>
    <row r="136" spans="1:5">
      <c r="A136" s="76"/>
      <c r="B136" s="85" t="s">
        <v>17</v>
      </c>
      <c r="C136" s="79"/>
      <c r="D136" s="80"/>
      <c r="E136" s="79"/>
    </row>
    <row r="137" spans="1:5">
      <c r="A137" s="76"/>
      <c r="B137" s="85" t="s">
        <v>252</v>
      </c>
      <c r="C137" s="79"/>
      <c r="D137" s="80"/>
      <c r="E137" s="79"/>
    </row>
    <row r="138" spans="1:5" ht="15">
      <c r="A138" s="76"/>
      <c r="B138" s="82"/>
      <c r="C138" s="77"/>
      <c r="D138" s="77"/>
      <c r="E138" s="77"/>
    </row>
    <row r="139" spans="1:5" ht="15">
      <c r="A139" s="76"/>
      <c r="B139" s="81"/>
      <c r="C139" s="77"/>
      <c r="D139" s="77"/>
      <c r="E139" s="77"/>
    </row>
    <row r="140" spans="1:5" ht="15">
      <c r="A140" s="76"/>
      <c r="B140" s="81"/>
      <c r="C140" s="77"/>
      <c r="D140" s="77"/>
      <c r="E140" s="77"/>
    </row>
  </sheetData>
  <mergeCells count="44">
    <mergeCell ref="B81:B83"/>
    <mergeCell ref="B84:B86"/>
    <mergeCell ref="B87:B89"/>
    <mergeCell ref="B90:B91"/>
    <mergeCell ref="B101:B103"/>
    <mergeCell ref="B92:B94"/>
    <mergeCell ref="B95:B97"/>
    <mergeCell ref="B98:B100"/>
    <mergeCell ref="B40:B42"/>
    <mergeCell ref="B43:B45"/>
    <mergeCell ref="B46:B48"/>
    <mergeCell ref="B49:B51"/>
    <mergeCell ref="B52:B54"/>
    <mergeCell ref="B25:B27"/>
    <mergeCell ref="B31:B32"/>
    <mergeCell ref="B33:B35"/>
    <mergeCell ref="B36:B37"/>
    <mergeCell ref="B38:B39"/>
    <mergeCell ref="B128:B130"/>
    <mergeCell ref="B131:C131"/>
    <mergeCell ref="B104:B106"/>
    <mergeCell ref="B107:B109"/>
    <mergeCell ref="B110:B112"/>
    <mergeCell ref="B113:B115"/>
    <mergeCell ref="B116:B118"/>
    <mergeCell ref="B119:B121"/>
    <mergeCell ref="B122:B124"/>
    <mergeCell ref="B125:B127"/>
    <mergeCell ref="B78:B80"/>
    <mergeCell ref="B69:B71"/>
    <mergeCell ref="B72:B74"/>
    <mergeCell ref="B75:B77"/>
    <mergeCell ref="B8:E10"/>
    <mergeCell ref="B28:B30"/>
    <mergeCell ref="B19:B20"/>
    <mergeCell ref="B21:B22"/>
    <mergeCell ref="B23:B24"/>
    <mergeCell ref="B13:B15"/>
    <mergeCell ref="B16:B18"/>
    <mergeCell ref="B55:B56"/>
    <mergeCell ref="B57:B59"/>
    <mergeCell ref="B60:B62"/>
    <mergeCell ref="B63:B65"/>
    <mergeCell ref="B66:B68"/>
  </mergeCells>
  <printOptions horizontalCentered="1"/>
  <pageMargins left="0.74803149606299213" right="0.74803149606299213" top="0.98425196850393704" bottom="0.98425196850393704" header="0.51181102362204722" footer="0.51181102362204722"/>
  <pageSetup scale="60" orientation="portrait" r:id="rId1"/>
  <headerFooter>
    <oddFooter>&amp;C&amp;P de 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G35"/>
  <sheetViews>
    <sheetView showGridLines="0" topLeftCell="A7" zoomScale="93" zoomScaleNormal="93" zoomScaleSheetLayoutView="100" workbookViewId="0">
      <selection activeCell="I20" sqref="I20"/>
    </sheetView>
  </sheetViews>
  <sheetFormatPr baseColWidth="10" defaultColWidth="11.42578125" defaultRowHeight="11.25"/>
  <cols>
    <col min="1" max="1" width="5.7109375" style="19" customWidth="1"/>
    <col min="2" max="2" width="19" style="31" customWidth="1"/>
    <col min="3" max="3" width="17.140625" style="31" customWidth="1"/>
    <col min="4" max="4" width="17.140625" style="40" customWidth="1"/>
    <col min="5" max="5" width="16.5703125" style="40" customWidth="1"/>
    <col min="6" max="6" width="16.5703125" style="31" customWidth="1"/>
    <col min="7" max="7" width="5.7109375" style="19" customWidth="1"/>
    <col min="8" max="16384" width="11.42578125" style="19"/>
  </cols>
  <sheetData>
    <row r="1" spans="1:7" s="41" customFormat="1" ht="15">
      <c r="B1" s="35"/>
      <c r="C1" s="31"/>
    </row>
    <row r="2" spans="1:7" s="31" customFormat="1">
      <c r="B2" s="45"/>
    </row>
    <row r="3" spans="1:7" ht="15" customHeight="1">
      <c r="B3" s="46"/>
      <c r="C3" s="25"/>
      <c r="D3" s="19"/>
      <c r="E3" s="19"/>
      <c r="G3" s="31"/>
    </row>
    <row r="4" spans="1:7" ht="30" customHeight="1">
      <c r="B4" s="46"/>
      <c r="C4" s="25"/>
      <c r="D4" s="19"/>
      <c r="E4" s="19"/>
      <c r="G4" s="31"/>
    </row>
    <row r="5" spans="1:7" ht="15" customHeight="1">
      <c r="B5" s="46"/>
      <c r="C5" s="25"/>
      <c r="D5" s="19"/>
      <c r="E5" s="19"/>
      <c r="G5" s="31"/>
    </row>
    <row r="6" spans="1:7" s="31" customFormat="1">
      <c r="B6" s="39"/>
      <c r="C6" s="33"/>
    </row>
    <row r="7" spans="1:7" s="31" customFormat="1">
      <c r="A7" s="35"/>
      <c r="B7" s="45"/>
      <c r="C7" s="35"/>
    </row>
    <row r="8" spans="1:7" s="41" customFormat="1" ht="15" customHeight="1">
      <c r="B8" s="118" t="s">
        <v>221</v>
      </c>
      <c r="C8" s="118"/>
      <c r="D8" s="118"/>
      <c r="E8" s="118"/>
      <c r="F8" s="118"/>
    </row>
    <row r="9" spans="1:7" s="41" customFormat="1" ht="15" customHeight="1">
      <c r="A9" s="43"/>
      <c r="B9" s="118"/>
      <c r="C9" s="118"/>
      <c r="D9" s="118"/>
      <c r="E9" s="118"/>
      <c r="F9" s="118"/>
      <c r="G9" s="44"/>
    </row>
    <row r="10" spans="1:7" s="41" customFormat="1" ht="15" customHeight="1">
      <c r="A10" s="43"/>
      <c r="B10" s="118"/>
      <c r="C10" s="118"/>
      <c r="D10" s="118"/>
      <c r="E10" s="118"/>
      <c r="F10" s="118"/>
      <c r="G10" s="43"/>
    </row>
    <row r="11" spans="1:7" s="41" customFormat="1" ht="15" customHeight="1">
      <c r="A11" s="43"/>
      <c r="B11" s="97"/>
      <c r="C11" s="97"/>
      <c r="D11" s="97"/>
      <c r="E11" s="97"/>
      <c r="F11" s="97"/>
      <c r="G11" s="43"/>
    </row>
    <row r="12" spans="1:7" s="41" customFormat="1" ht="36.950000000000003" customHeight="1">
      <c r="B12" s="42" t="s">
        <v>207</v>
      </c>
      <c r="C12" s="42" t="s">
        <v>220</v>
      </c>
      <c r="D12" s="42" t="s">
        <v>55</v>
      </c>
      <c r="E12" s="42" t="s">
        <v>219</v>
      </c>
      <c r="F12" s="42" t="s">
        <v>218</v>
      </c>
    </row>
    <row r="13" spans="1:7" ht="15">
      <c r="A13" s="83"/>
      <c r="B13" s="128" t="s">
        <v>209</v>
      </c>
      <c r="C13" s="106" t="s">
        <v>217</v>
      </c>
      <c r="D13" s="107">
        <v>4</v>
      </c>
      <c r="E13" s="108">
        <v>2.9411764705882353E-3</v>
      </c>
      <c r="F13" s="108">
        <f t="shared" ref="F13:F29" si="0">D13/$D$29</f>
        <v>2.0607934054611026E-3</v>
      </c>
    </row>
    <row r="14" spans="1:7" ht="15">
      <c r="A14" s="83"/>
      <c r="B14" s="129"/>
      <c r="C14" s="106" t="s">
        <v>216</v>
      </c>
      <c r="D14" s="107">
        <v>8</v>
      </c>
      <c r="E14" s="108">
        <v>5.8823529411764705E-3</v>
      </c>
      <c r="F14" s="108">
        <f t="shared" si="0"/>
        <v>4.1215868109222053E-3</v>
      </c>
    </row>
    <row r="15" spans="1:7" ht="15">
      <c r="A15" s="83"/>
      <c r="B15" s="129"/>
      <c r="C15" s="106" t="s">
        <v>215</v>
      </c>
      <c r="D15" s="107">
        <v>195</v>
      </c>
      <c r="E15" s="108">
        <v>0.14338235294117646</v>
      </c>
      <c r="F15" s="108">
        <f t="shared" si="0"/>
        <v>0.10046367851622875</v>
      </c>
    </row>
    <row r="16" spans="1:7" ht="15">
      <c r="A16" s="83"/>
      <c r="B16" s="129"/>
      <c r="C16" s="106" t="s">
        <v>214</v>
      </c>
      <c r="D16" s="107">
        <v>451</v>
      </c>
      <c r="E16" s="108">
        <v>0.33161764705882352</v>
      </c>
      <c r="F16" s="108">
        <f t="shared" si="0"/>
        <v>0.23235445646573932</v>
      </c>
    </row>
    <row r="17" spans="1:6" ht="27">
      <c r="A17" s="83"/>
      <c r="B17" s="129"/>
      <c r="C17" s="106" t="s">
        <v>213</v>
      </c>
      <c r="D17" s="107">
        <v>415</v>
      </c>
      <c r="E17" s="108">
        <v>0.30514705882352944</v>
      </c>
      <c r="F17" s="108">
        <f t="shared" si="0"/>
        <v>0.21380731581658938</v>
      </c>
    </row>
    <row r="18" spans="1:6" ht="13.5">
      <c r="A18" s="84"/>
      <c r="B18" s="129"/>
      <c r="C18" s="106" t="s">
        <v>212</v>
      </c>
      <c r="D18" s="107">
        <v>252</v>
      </c>
      <c r="E18" s="108">
        <v>0.18529411764705883</v>
      </c>
      <c r="F18" s="108">
        <f t="shared" si="0"/>
        <v>0.12982998454404945</v>
      </c>
    </row>
    <row r="19" spans="1:6" ht="13.5">
      <c r="A19" s="84"/>
      <c r="B19" s="129"/>
      <c r="C19" s="106" t="s">
        <v>211</v>
      </c>
      <c r="D19" s="107">
        <v>28</v>
      </c>
      <c r="E19" s="108">
        <v>2.0588235294117647E-2</v>
      </c>
      <c r="F19" s="108">
        <f t="shared" si="0"/>
        <v>1.4425553838227717E-2</v>
      </c>
    </row>
    <row r="20" spans="1:6" ht="13.5">
      <c r="A20" s="84"/>
      <c r="B20" s="130"/>
      <c r="C20" s="106" t="s">
        <v>210</v>
      </c>
      <c r="D20" s="107">
        <v>7</v>
      </c>
      <c r="E20" s="108">
        <v>5.1470588235294117E-3</v>
      </c>
      <c r="F20" s="108">
        <f t="shared" si="0"/>
        <v>3.6063884595569293E-3</v>
      </c>
    </row>
    <row r="21" spans="1:6" ht="13.5">
      <c r="A21" s="84"/>
      <c r="B21" s="125" t="s">
        <v>208</v>
      </c>
      <c r="C21" s="88" t="s">
        <v>217</v>
      </c>
      <c r="D21" s="95">
        <v>3</v>
      </c>
      <c r="E21" s="94">
        <v>5.1635111876075735E-3</v>
      </c>
      <c r="F21" s="94">
        <f t="shared" si="0"/>
        <v>1.5455950540958269E-3</v>
      </c>
    </row>
    <row r="22" spans="1:6" ht="13.5">
      <c r="A22" s="84"/>
      <c r="B22" s="126"/>
      <c r="C22" s="88" t="s">
        <v>216</v>
      </c>
      <c r="D22" s="95">
        <v>8</v>
      </c>
      <c r="E22" s="94">
        <v>1.3769363166953529E-2</v>
      </c>
      <c r="F22" s="94">
        <f t="shared" si="0"/>
        <v>4.1215868109222053E-3</v>
      </c>
    </row>
    <row r="23" spans="1:6" ht="15">
      <c r="A23" s="83"/>
      <c r="B23" s="126"/>
      <c r="C23" s="88" t="s">
        <v>215</v>
      </c>
      <c r="D23" s="95">
        <v>51</v>
      </c>
      <c r="E23" s="94">
        <v>8.7779690189328741E-2</v>
      </c>
      <c r="F23" s="94">
        <f t="shared" si="0"/>
        <v>2.6275115919629059E-2</v>
      </c>
    </row>
    <row r="24" spans="1:6" ht="15">
      <c r="A24" s="83"/>
      <c r="B24" s="126"/>
      <c r="C24" s="88" t="s">
        <v>214</v>
      </c>
      <c r="D24" s="95">
        <v>150</v>
      </c>
      <c r="E24" s="94">
        <v>0.25817555938037867</v>
      </c>
      <c r="F24" s="94">
        <f t="shared" si="0"/>
        <v>7.7279752704791344E-2</v>
      </c>
    </row>
    <row r="25" spans="1:6" ht="27">
      <c r="A25" s="83"/>
      <c r="B25" s="126"/>
      <c r="C25" s="88" t="s">
        <v>213</v>
      </c>
      <c r="D25" s="95">
        <v>214</v>
      </c>
      <c r="E25" s="94">
        <v>0.36833046471600689</v>
      </c>
      <c r="F25" s="94">
        <f t="shared" si="0"/>
        <v>0.11025244719216898</v>
      </c>
    </row>
    <row r="26" spans="1:6" ht="15">
      <c r="A26" s="83"/>
      <c r="B26" s="126"/>
      <c r="C26" s="88" t="s">
        <v>212</v>
      </c>
      <c r="D26" s="95">
        <v>135</v>
      </c>
      <c r="E26" s="94">
        <v>0.23235800344234078</v>
      </c>
      <c r="F26" s="94">
        <f t="shared" si="0"/>
        <v>6.9551777434312206E-2</v>
      </c>
    </row>
    <row r="27" spans="1:6" ht="15">
      <c r="A27" s="83"/>
      <c r="B27" s="126"/>
      <c r="C27" s="88" t="s">
        <v>211</v>
      </c>
      <c r="D27" s="95">
        <v>17</v>
      </c>
      <c r="E27" s="94">
        <v>2.9259896729776247E-2</v>
      </c>
      <c r="F27" s="94">
        <f t="shared" si="0"/>
        <v>8.7583719732096856E-3</v>
      </c>
    </row>
    <row r="28" spans="1:6" ht="15">
      <c r="A28" s="83"/>
      <c r="B28" s="127"/>
      <c r="C28" s="88" t="s">
        <v>210</v>
      </c>
      <c r="D28" s="95">
        <v>3</v>
      </c>
      <c r="E28" s="94">
        <v>5.1635111876075735E-3</v>
      </c>
      <c r="F28" s="94">
        <f t="shared" si="0"/>
        <v>1.5455950540958269E-3</v>
      </c>
    </row>
    <row r="29" spans="1:6" ht="13.5">
      <c r="A29" s="78"/>
      <c r="B29" s="93" t="s">
        <v>20</v>
      </c>
      <c r="C29" s="93"/>
      <c r="D29" s="92">
        <v>1941</v>
      </c>
      <c r="E29" s="91"/>
      <c r="F29" s="91">
        <f t="shared" si="0"/>
        <v>1</v>
      </c>
    </row>
    <row r="30" spans="1:6" ht="15">
      <c r="A30" s="83"/>
      <c r="B30" s="79"/>
      <c r="C30" s="79"/>
      <c r="D30" s="80"/>
      <c r="E30" s="80"/>
      <c r="F30" s="79"/>
    </row>
    <row r="31" spans="1:6" ht="15">
      <c r="A31" s="83"/>
      <c r="B31" s="85" t="s">
        <v>251</v>
      </c>
      <c r="C31" s="79"/>
      <c r="D31" s="80"/>
      <c r="E31" s="80"/>
      <c r="F31" s="79"/>
    </row>
    <row r="32" spans="1:6" ht="15">
      <c r="A32" s="83"/>
      <c r="B32" s="87" t="s">
        <v>19</v>
      </c>
      <c r="C32" s="79"/>
      <c r="D32" s="80"/>
      <c r="E32" s="80"/>
      <c r="F32" s="79"/>
    </row>
    <row r="33" spans="1:6" ht="15">
      <c r="A33" s="83"/>
      <c r="B33" s="86" t="s">
        <v>18</v>
      </c>
      <c r="C33" s="79"/>
      <c r="D33" s="80"/>
      <c r="E33" s="80"/>
      <c r="F33" s="79"/>
    </row>
    <row r="34" spans="1:6">
      <c r="A34" s="78"/>
      <c r="B34" s="85" t="s">
        <v>17</v>
      </c>
      <c r="C34" s="79"/>
      <c r="D34" s="80"/>
      <c r="E34" s="80"/>
      <c r="F34" s="79"/>
    </row>
    <row r="35" spans="1:6">
      <c r="B35" s="85" t="s">
        <v>252</v>
      </c>
      <c r="C35" s="79"/>
      <c r="D35" s="80"/>
      <c r="E35" s="80"/>
      <c r="F35" s="79"/>
    </row>
  </sheetData>
  <mergeCells count="3">
    <mergeCell ref="B8:F10"/>
    <mergeCell ref="B13:B20"/>
    <mergeCell ref="B21:B28"/>
  </mergeCells>
  <printOptions horizontalCentered="1"/>
  <pageMargins left="0.74803149606299213" right="0.74803149606299213" top="0.98425196850393704" bottom="0.98425196850393704" header="0.51181102362204722" footer="0.51181102362204722"/>
  <pageSetup scale="80" orientation="portrait" r:id="rId1"/>
  <headerFooter>
    <oddFooter>&amp;C&amp;P de 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D38"/>
  <sheetViews>
    <sheetView showGridLines="0" zoomScaleNormal="100" zoomScaleSheetLayoutView="115" workbookViewId="0">
      <selection activeCell="B7" sqref="B7:D9"/>
    </sheetView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4" s="19" customFormat="1" ht="15" customHeight="1">
      <c r="C1" s="25"/>
    </row>
    <row r="2" spans="1:4" s="19" customFormat="1" ht="15" customHeight="1">
      <c r="C2" s="25"/>
    </row>
    <row r="3" spans="1:4" s="19" customFormat="1" ht="15" customHeight="1">
      <c r="A3" s="19" t="s">
        <v>57</v>
      </c>
      <c r="C3" s="25"/>
    </row>
    <row r="4" spans="1:4" s="19" customFormat="1" ht="30" customHeight="1">
      <c r="C4" s="25"/>
      <c r="D4" s="24"/>
    </row>
    <row r="5" spans="1:4" s="19" customFormat="1" ht="15" customHeight="1">
      <c r="C5" s="25"/>
      <c r="D5" s="24"/>
    </row>
    <row r="6" spans="1:4" s="19" customFormat="1" ht="15" customHeight="1">
      <c r="C6" s="25"/>
      <c r="D6" s="24"/>
    </row>
    <row r="7" spans="1:4" s="19" customFormat="1" ht="15" customHeight="1">
      <c r="B7" s="118" t="s">
        <v>281</v>
      </c>
      <c r="C7" s="118"/>
      <c r="D7" s="118"/>
    </row>
    <row r="8" spans="1:4" s="19" customFormat="1" ht="15" customHeight="1">
      <c r="B8" s="118"/>
      <c r="C8" s="118"/>
      <c r="D8" s="118"/>
    </row>
    <row r="9" spans="1:4" s="19" customFormat="1" ht="33" customHeight="1">
      <c r="B9" s="118"/>
      <c r="C9" s="118"/>
      <c r="D9" s="118"/>
    </row>
    <row r="10" spans="1:4" s="19" customFormat="1" ht="4.5" customHeight="1">
      <c r="B10" s="23"/>
      <c r="C10" s="23"/>
      <c r="D10" s="23"/>
    </row>
    <row r="11" spans="1:4" s="19" customFormat="1" ht="30" customHeight="1">
      <c r="B11" s="22" t="s">
        <v>239</v>
      </c>
      <c r="C11" s="21" t="s">
        <v>55</v>
      </c>
      <c r="D11" s="20" t="s">
        <v>54</v>
      </c>
    </row>
    <row r="12" spans="1:4">
      <c r="A12" s="89"/>
      <c r="B12" s="96" t="s">
        <v>238</v>
      </c>
      <c r="C12" s="95">
        <v>1215</v>
      </c>
      <c r="D12" s="94">
        <f t="shared" ref="D12:D32" si="0">C12/$C$32</f>
        <v>0.62596599690880994</v>
      </c>
    </row>
    <row r="13" spans="1:4">
      <c r="A13" s="89"/>
      <c r="B13" s="96" t="s">
        <v>237</v>
      </c>
      <c r="C13" s="95">
        <v>304</v>
      </c>
      <c r="D13" s="94">
        <f t="shared" si="0"/>
        <v>0.1566202988150438</v>
      </c>
    </row>
    <row r="14" spans="1:4">
      <c r="A14" s="89"/>
      <c r="B14" s="96" t="s">
        <v>236</v>
      </c>
      <c r="C14" s="95">
        <v>157</v>
      </c>
      <c r="D14" s="94">
        <f t="shared" si="0"/>
        <v>8.088614116434828E-2</v>
      </c>
    </row>
    <row r="15" spans="1:4">
      <c r="A15" s="89"/>
      <c r="B15" s="96" t="s">
        <v>234</v>
      </c>
      <c r="C15" s="95">
        <v>62</v>
      </c>
      <c r="D15" s="94">
        <f t="shared" si="0"/>
        <v>3.1942297784647092E-2</v>
      </c>
    </row>
    <row r="16" spans="1:4">
      <c r="A16" s="89"/>
      <c r="B16" s="96" t="s">
        <v>233</v>
      </c>
      <c r="C16" s="95">
        <v>50</v>
      </c>
      <c r="D16" s="94">
        <f t="shared" si="0"/>
        <v>2.575991756826378E-2</v>
      </c>
    </row>
    <row r="17" spans="1:4">
      <c r="A17" s="89"/>
      <c r="B17" s="96" t="s">
        <v>235</v>
      </c>
      <c r="C17" s="95">
        <v>47</v>
      </c>
      <c r="D17" s="94">
        <f t="shared" si="0"/>
        <v>2.4214322514167955E-2</v>
      </c>
    </row>
    <row r="18" spans="1:4">
      <c r="A18" s="89"/>
      <c r="B18" s="96" t="s">
        <v>232</v>
      </c>
      <c r="C18" s="95">
        <v>17</v>
      </c>
      <c r="D18" s="94">
        <f t="shared" si="0"/>
        <v>8.7583719732096856E-3</v>
      </c>
    </row>
    <row r="19" spans="1:4">
      <c r="A19" s="89"/>
      <c r="B19" s="96" t="s">
        <v>231</v>
      </c>
      <c r="C19" s="95">
        <v>13</v>
      </c>
      <c r="D19" s="94">
        <f t="shared" si="0"/>
        <v>6.6975785677485834E-3</v>
      </c>
    </row>
    <row r="20" spans="1:4">
      <c r="A20" s="89"/>
      <c r="B20" s="96" t="s">
        <v>229</v>
      </c>
      <c r="C20" s="95">
        <v>11</v>
      </c>
      <c r="D20" s="94">
        <f t="shared" si="0"/>
        <v>5.6671818650180323E-3</v>
      </c>
    </row>
    <row r="21" spans="1:4">
      <c r="A21" s="89"/>
      <c r="B21" s="96" t="s">
        <v>226</v>
      </c>
      <c r="C21" s="95">
        <v>11</v>
      </c>
      <c r="D21" s="94">
        <f t="shared" si="0"/>
        <v>5.6671818650180323E-3</v>
      </c>
    </row>
    <row r="22" spans="1:4">
      <c r="A22" s="89"/>
      <c r="B22" s="96" t="s">
        <v>228</v>
      </c>
      <c r="C22" s="95">
        <v>10</v>
      </c>
      <c r="D22" s="94">
        <f t="shared" si="0"/>
        <v>5.1519835136527563E-3</v>
      </c>
    </row>
    <row r="23" spans="1:4">
      <c r="A23" s="89"/>
      <c r="B23" s="96" t="s">
        <v>230</v>
      </c>
      <c r="C23" s="95">
        <v>9</v>
      </c>
      <c r="D23" s="94">
        <f t="shared" si="0"/>
        <v>4.6367851622874804E-3</v>
      </c>
    </row>
    <row r="24" spans="1:4">
      <c r="A24" s="89"/>
      <c r="B24" s="96" t="s">
        <v>224</v>
      </c>
      <c r="C24" s="95">
        <v>8</v>
      </c>
      <c r="D24" s="94">
        <f t="shared" si="0"/>
        <v>4.1215868109222053E-3</v>
      </c>
    </row>
    <row r="25" spans="1:4">
      <c r="A25" s="89"/>
      <c r="B25" s="96" t="s">
        <v>223</v>
      </c>
      <c r="C25" s="95">
        <v>6</v>
      </c>
      <c r="D25" s="94">
        <f t="shared" si="0"/>
        <v>3.0911901081916537E-3</v>
      </c>
    </row>
    <row r="26" spans="1:4">
      <c r="A26" s="89"/>
      <c r="B26" s="96" t="s">
        <v>225</v>
      </c>
      <c r="C26" s="95">
        <v>5</v>
      </c>
      <c r="D26" s="94">
        <f t="shared" si="0"/>
        <v>2.5759917568263782E-3</v>
      </c>
    </row>
    <row r="27" spans="1:4">
      <c r="A27" s="89"/>
      <c r="B27" s="96" t="s">
        <v>227</v>
      </c>
      <c r="C27" s="95">
        <v>5</v>
      </c>
      <c r="D27" s="94">
        <f t="shared" si="0"/>
        <v>2.5759917568263782E-3</v>
      </c>
    </row>
    <row r="28" spans="1:4">
      <c r="A28" s="89"/>
      <c r="B28" s="96" t="s">
        <v>278</v>
      </c>
      <c r="C28" s="95">
        <v>4</v>
      </c>
      <c r="D28" s="94">
        <f t="shared" si="0"/>
        <v>2.0607934054611026E-3</v>
      </c>
    </row>
    <row r="29" spans="1:4">
      <c r="A29" s="89"/>
      <c r="B29" s="96" t="s">
        <v>279</v>
      </c>
      <c r="C29" s="95">
        <v>4</v>
      </c>
      <c r="D29" s="94">
        <f t="shared" si="0"/>
        <v>2.0607934054611026E-3</v>
      </c>
    </row>
    <row r="30" spans="1:4">
      <c r="A30" s="89"/>
      <c r="B30" s="96" t="s">
        <v>222</v>
      </c>
      <c r="C30" s="95">
        <v>2</v>
      </c>
      <c r="D30" s="94">
        <f t="shared" si="0"/>
        <v>1.0303967027305513E-3</v>
      </c>
    </row>
    <row r="31" spans="1:4">
      <c r="A31" s="89"/>
      <c r="B31" s="96" t="s">
        <v>280</v>
      </c>
      <c r="C31" s="95">
        <v>1</v>
      </c>
      <c r="D31" s="94">
        <f t="shared" si="0"/>
        <v>5.1519835136527566E-4</v>
      </c>
    </row>
    <row r="32" spans="1:4">
      <c r="A32" s="89"/>
      <c r="B32" s="93" t="s">
        <v>20</v>
      </c>
      <c r="C32" s="92">
        <v>1941</v>
      </c>
      <c r="D32" s="91">
        <f t="shared" si="0"/>
        <v>1</v>
      </c>
    </row>
    <row r="33" spans="1:4" ht="8.25" customHeight="1">
      <c r="A33" s="89"/>
      <c r="B33" s="89"/>
      <c r="C33" s="71"/>
      <c r="D33" s="89"/>
    </row>
    <row r="34" spans="1:4">
      <c r="B34" s="103" t="s">
        <v>251</v>
      </c>
      <c r="C34" s="71"/>
      <c r="D34" s="89"/>
    </row>
    <row r="35" spans="1:4">
      <c r="B35" s="103" t="s">
        <v>19</v>
      </c>
      <c r="C35" s="71"/>
      <c r="D35" s="89"/>
    </row>
    <row r="36" spans="1:4">
      <c r="B36" s="103" t="s">
        <v>18</v>
      </c>
      <c r="C36" s="71"/>
      <c r="D36" s="89"/>
    </row>
    <row r="37" spans="1:4">
      <c r="B37" s="103" t="s">
        <v>17</v>
      </c>
      <c r="C37" s="71"/>
      <c r="D37" s="89"/>
    </row>
    <row r="38" spans="1:4">
      <c r="B38" s="103" t="s">
        <v>252</v>
      </c>
      <c r="C38" s="71"/>
      <c r="D38" s="89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17</vt:i4>
      </vt:variant>
    </vt:vector>
  </HeadingPairs>
  <TitlesOfParts>
    <vt:vector size="31" baseType="lpstr">
      <vt:lpstr>Índice</vt:lpstr>
      <vt:lpstr>Yucatán_EdoUsa</vt:lpstr>
      <vt:lpstr>Yucatán_Cons</vt:lpstr>
      <vt:lpstr>YucatánXCons</vt:lpstr>
      <vt:lpstr>Yucatán_EdoMun</vt:lpstr>
      <vt:lpstr>Yucatán_USAMuni</vt:lpstr>
      <vt:lpstr>Yucatán_MUNICIPIO</vt:lpstr>
      <vt:lpstr>Yucatán_educ_gral</vt:lpstr>
      <vt:lpstr>Yucatán_NivelE_Cons</vt:lpstr>
      <vt:lpstr>Yucatán_EducCons</vt:lpstr>
      <vt:lpstr>Yucatán_GenGral</vt:lpstr>
      <vt:lpstr>Yucatán_GENERO</vt:lpstr>
      <vt:lpstr>Yucatán_Gen_Edad</vt:lpstr>
      <vt:lpstr>Yucatán_ocup_gral</vt:lpstr>
      <vt:lpstr>Yucatán_EducCons!Área_de_impresión</vt:lpstr>
      <vt:lpstr>Yucatán_MUNICIPIO!Área_de_impresión</vt:lpstr>
      <vt:lpstr>Yucatán_NivelE_Cons!Área_de_impresión</vt:lpstr>
      <vt:lpstr>Yucatán_USAMuni!Área_de_impresión</vt:lpstr>
      <vt:lpstr>Yucatán_Cons!Títulos_a_imprimir</vt:lpstr>
      <vt:lpstr>Yucatán_EdoMun!Títulos_a_imprimir</vt:lpstr>
      <vt:lpstr>Yucatán_EdoUsa!Títulos_a_imprimir</vt:lpstr>
      <vt:lpstr>Yucatán_educ_gral!Títulos_a_imprimir</vt:lpstr>
      <vt:lpstr>Yucatán_EducCons!Títulos_a_imprimir</vt:lpstr>
      <vt:lpstr>Yucatán_Gen_Edad!Títulos_a_imprimir</vt:lpstr>
      <vt:lpstr>Yucatán_GENERO!Títulos_a_imprimir</vt:lpstr>
      <vt:lpstr>Yucatán_GenGral!Títulos_a_imprimir</vt:lpstr>
      <vt:lpstr>Yucatán_MUNICIPIO!Títulos_a_imprimir</vt:lpstr>
      <vt:lpstr>Yucatán_NivelE_Cons!Títulos_a_imprimir</vt:lpstr>
      <vt:lpstr>Yucatán_ocup_gral!Títulos_a_imprimir</vt:lpstr>
      <vt:lpstr>Yucatán_USAMuni!Títulos_a_imprimir</vt:lpstr>
      <vt:lpstr>YucatánXCons!Títulos_a_imprimir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2020-06-05T01:42:26Z</dcterms:created>
  <dcterms:modified xsi:type="dcterms:W3CDTF">2022-07-26T16:21:26Z</dcterms:modified>
</cp:coreProperties>
</file>