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esoto\Documents\Analisisinfo2.7\Matrículas\Anual\Matrículas 2021\República Mexicana\Finales_RM\"/>
    </mc:Choice>
  </mc:AlternateContent>
  <bookViews>
    <workbookView xWindow="0" yWindow="0" windowWidth="24000" windowHeight="9735" tabRatio="834"/>
  </bookViews>
  <sheets>
    <sheet name="Índice" sheetId="1" r:id="rId1"/>
    <sheet name="Zacatecas_EdoUsa" sheetId="2" r:id="rId2"/>
    <sheet name="Zacatecas_Cons" sheetId="15" r:id="rId3"/>
    <sheet name="ZacatecasXCons" sheetId="16" r:id="rId4"/>
    <sheet name="Zacatecas_EdoMun" sheetId="5" r:id="rId5"/>
    <sheet name="Zacatecas_USAMuni" sheetId="6" r:id="rId6"/>
    <sheet name="Zacatecas_MUNICIPIO" sheetId="7" r:id="rId7"/>
    <sheet name="Zacatecas_educ_gral" sheetId="8" r:id="rId8"/>
    <sheet name="Zacatecas_NivelE_USA" sheetId="9" r:id="rId9"/>
    <sheet name="Zacatecas_EducCons" sheetId="10" r:id="rId10"/>
    <sheet name="Zacatecas_GenGral" sheetId="11" r:id="rId11"/>
    <sheet name="Zacatecas_GENERO" sheetId="12" r:id="rId12"/>
    <sheet name="Zacatecas_Gen_Edad" sheetId="13" r:id="rId13"/>
    <sheet name="Zacatecas_ocup_gral" sheetId="14" r:id="rId14"/>
  </sheets>
  <definedNames>
    <definedName name="_xlnm._FilterDatabase" localSheetId="2" hidden="1">Zacatecas_Cons!$B$11:$D$11</definedName>
    <definedName name="_xlnm._FilterDatabase" localSheetId="4" hidden="1">Zacatecas_EdoMun!$B$11:$D$11</definedName>
    <definedName name="_xlnm._FilterDatabase" localSheetId="1" hidden="1">Zacatecas_EdoUsa!$B$11:$D$11</definedName>
    <definedName name="_xlnm._FilterDatabase" localSheetId="7" hidden="1">Zacatecas_educ_gral!$B$11:$D$11</definedName>
    <definedName name="_xlnm._FilterDatabase" localSheetId="9" hidden="1">Zacatecas_EducCons!$B$9:$E$9</definedName>
    <definedName name="_xlnm._FilterDatabase" localSheetId="11" hidden="1">Zacatecas_GENERO!$B$12:$E$158</definedName>
    <definedName name="_xlnm._FilterDatabase" localSheetId="10" hidden="1">Zacatecas_GenGral!$B$11:$D$11</definedName>
    <definedName name="_xlnm._FilterDatabase" localSheetId="6" hidden="1">Zacatecas_MUNICIPIO!$B$9:$E$9</definedName>
    <definedName name="_xlnm._FilterDatabase" localSheetId="8" hidden="1">Zacatecas_NivelE_USA!$B$9:$E$9</definedName>
    <definedName name="_xlnm._FilterDatabase" localSheetId="13" hidden="1">Zacatecas_ocup_gral!$B$11:$D$11</definedName>
    <definedName name="_xlnm._FilterDatabase" localSheetId="5" hidden="1">Zacatecas_USAMuni!$B$9:$E$9</definedName>
    <definedName name="_xlnm._FilterDatabase" localSheetId="3" hidden="1">ZacatecasXCons!$B$11:$D$11</definedName>
    <definedName name="_xlnm.Print_Area" localSheetId="9">Zacatecas_EducCons!$A$1:$E$9</definedName>
    <definedName name="_xlnm.Print_Area" localSheetId="6">Zacatecas_MUNICIPIO!$A$1:$E$9</definedName>
    <definedName name="_xlnm.Print_Area" localSheetId="8">Zacatecas_NivelE_USA!$A$1:$E$9</definedName>
    <definedName name="_xlnm.Print_Area" localSheetId="5">Zacatecas_USAMuni!$A$1:$E$9</definedName>
    <definedName name="_xlnm.Print_Titles" localSheetId="2">Zacatecas_Cons!$1:$11</definedName>
    <definedName name="_xlnm.Print_Titles" localSheetId="4">Zacatecas_EdoMun!$1:$11</definedName>
    <definedName name="_xlnm.Print_Titles" localSheetId="1">Zacatecas_EdoUsa!$1:$11</definedName>
    <definedName name="_xlnm.Print_Titles" localSheetId="7">Zacatecas_educ_gral!$1:$11</definedName>
    <definedName name="_xlnm.Print_Titles" localSheetId="9">Zacatecas_EducCons!$1:$9</definedName>
    <definedName name="_xlnm.Print_Titles" localSheetId="12">Zacatecas_Gen_Edad!$1:$12</definedName>
    <definedName name="_xlnm.Print_Titles" localSheetId="11">Zacatecas_GENERO!$1:$12</definedName>
    <definedName name="_xlnm.Print_Titles" localSheetId="10">Zacatecas_GenGral!$1:$11</definedName>
    <definedName name="_xlnm.Print_Titles" localSheetId="6">Zacatecas_MUNICIPIO!$1:$9</definedName>
    <definedName name="_xlnm.Print_Titles" localSheetId="8">Zacatecas_NivelE_USA!$1:$9</definedName>
    <definedName name="_xlnm.Print_Titles" localSheetId="13">Zacatecas_ocup_gral!$1:$11</definedName>
    <definedName name="_xlnm.Print_Titles" localSheetId="5">Zacatecas_USAMuni!$1:$9</definedName>
    <definedName name="_xlnm.Print_Titles" localSheetId="3">ZacatecasXCons!$1:$11</definedName>
  </definedNames>
  <calcPr calcId="152511"/>
</workbook>
</file>

<file path=xl/calcChain.xml><?xml version="1.0" encoding="utf-8"?>
<calcChain xmlns="http://schemas.openxmlformats.org/spreadsheetml/2006/main">
  <c r="D12" i="16" l="1"/>
  <c r="D35" i="14" l="1"/>
  <c r="D34" i="14"/>
  <c r="D33" i="14"/>
  <c r="D32" i="14"/>
  <c r="D31" i="14"/>
  <c r="D30" i="14"/>
  <c r="D29" i="14"/>
  <c r="D28" i="14"/>
  <c r="D27" i="14"/>
  <c r="D26" i="14"/>
  <c r="D25" i="14"/>
  <c r="D24" i="14"/>
  <c r="D23" i="14"/>
  <c r="D22" i="14"/>
  <c r="D21" i="14"/>
  <c r="D20" i="14"/>
  <c r="D19" i="14"/>
  <c r="D18" i="14"/>
  <c r="D17" i="14"/>
  <c r="D16" i="14"/>
  <c r="D15" i="14"/>
  <c r="D14" i="14"/>
  <c r="D13" i="14"/>
  <c r="D12" i="14"/>
  <c r="F29" i="13" l="1"/>
  <c r="F28" i="13"/>
  <c r="F27" i="13"/>
  <c r="F26" i="13"/>
  <c r="F25" i="13"/>
  <c r="F24" i="13"/>
  <c r="F23" i="13"/>
  <c r="F22" i="13"/>
  <c r="F21" i="13"/>
  <c r="F20" i="13"/>
  <c r="F19" i="13"/>
  <c r="F18" i="13"/>
  <c r="F17" i="13"/>
  <c r="F16" i="13"/>
  <c r="F15" i="13"/>
  <c r="F14" i="13"/>
  <c r="F13" i="13"/>
  <c r="D36" i="8" l="1"/>
  <c r="D35" i="8"/>
  <c r="D34" i="8"/>
  <c r="D33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3" i="16" l="1"/>
  <c r="D14" i="16"/>
  <c r="D15" i="16"/>
  <c r="D16" i="16"/>
  <c r="D17" i="16"/>
  <c r="D18" i="16"/>
  <c r="D19" i="16"/>
  <c r="D20" i="16"/>
  <c r="D21" i="16"/>
  <c r="C22" i="16" l="1"/>
  <c r="D22" i="16" l="1"/>
</calcChain>
</file>

<file path=xl/sharedStrings.xml><?xml version="1.0" encoding="utf-8"?>
<sst xmlns="http://schemas.openxmlformats.org/spreadsheetml/2006/main" count="5299" uniqueCount="269">
  <si>
    <t xml:space="preserve">Da clic al texto para ir a la información, selecciona                 para regresar. </t>
  </si>
  <si>
    <t>1. Por Estados de USA</t>
  </si>
  <si>
    <t>2. Por Circunscripción Consular</t>
  </si>
  <si>
    <t>2.1 Top ten por circunscripción consular</t>
  </si>
  <si>
    <t>3. Por Municipio de origen</t>
  </si>
  <si>
    <t>3.1 Municipio general</t>
  </si>
  <si>
    <t>3.2 Por Estado de USA</t>
  </si>
  <si>
    <t>3.3 Por Circunscripción Consular</t>
  </si>
  <si>
    <t>4. Por Nivel Educativo</t>
  </si>
  <si>
    <t>4.1 Educación general</t>
  </si>
  <si>
    <t>4.2 Por Estado de USA</t>
  </si>
  <si>
    <t>4.3 Por Circunscripción Consular</t>
  </si>
  <si>
    <t>5. Por Género</t>
  </si>
  <si>
    <t>5.1 Género General</t>
  </si>
  <si>
    <t>5.2 Por Circunscripción Consular</t>
  </si>
  <si>
    <t>6. Por estructura de Edad</t>
  </si>
  <si>
    <t>7. Por Ocupación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</si>
  <si>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</si>
  <si>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</si>
  <si>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</si>
  <si>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Total</t>
  </si>
  <si>
    <t>North Dakota</t>
  </si>
  <si>
    <t>Massachusetts</t>
  </si>
  <si>
    <t>South Dakota</t>
  </si>
  <si>
    <t>New Hampshire</t>
  </si>
  <si>
    <t>Connecticut</t>
  </si>
  <si>
    <t>Delaware</t>
  </si>
  <si>
    <t>New York</t>
  </si>
  <si>
    <t>Maryland</t>
  </si>
  <si>
    <t>Wyoming</t>
  </si>
  <si>
    <t>New Jersey</t>
  </si>
  <si>
    <t>Pennsylvania</t>
  </si>
  <si>
    <t>Mississippi</t>
  </si>
  <si>
    <t>South Carolina</t>
  </si>
  <si>
    <t>Alabama</t>
  </si>
  <si>
    <t>Ohio</t>
  </si>
  <si>
    <t>Kentucky</t>
  </si>
  <si>
    <t>Nebraska</t>
  </si>
  <si>
    <t>Washington</t>
  </si>
  <si>
    <t>Missouri</t>
  </si>
  <si>
    <t>Oregon</t>
  </si>
  <si>
    <t>Minnesota</t>
  </si>
  <si>
    <t>Iowa</t>
  </si>
  <si>
    <t>Louisiana</t>
  </si>
  <si>
    <t>Virginia</t>
  </si>
  <si>
    <t>Idaho</t>
  </si>
  <si>
    <t>Michigan</t>
  </si>
  <si>
    <t>New Mexico</t>
  </si>
  <si>
    <t>Utah</t>
  </si>
  <si>
    <t>Arizona</t>
  </si>
  <si>
    <t>Indiana</t>
  </si>
  <si>
    <t>North Carolina</t>
  </si>
  <si>
    <t>Arkansas</t>
  </si>
  <si>
    <t>Tennessee</t>
  </si>
  <si>
    <t>Florida</t>
  </si>
  <si>
    <t>Wisconsin</t>
  </si>
  <si>
    <t>Kansas</t>
  </si>
  <si>
    <t>Georgia</t>
  </si>
  <si>
    <t>Nevada</t>
  </si>
  <si>
    <t>Oklahoma</t>
  </si>
  <si>
    <t>Colorado</t>
  </si>
  <si>
    <t>Illinois</t>
  </si>
  <si>
    <t>California</t>
  </si>
  <si>
    <t>Texas</t>
  </si>
  <si>
    <t>Porcentaje de Matrículas</t>
  </si>
  <si>
    <t>Número de Matrículas</t>
  </si>
  <si>
    <t xml:space="preserve">Estado </t>
  </si>
  <si>
    <t>Aguascalientes</t>
  </si>
  <si>
    <t>Nogales</t>
  </si>
  <si>
    <t>Del Río</t>
  </si>
  <si>
    <t>Caléxico</t>
  </si>
  <si>
    <t>Yuma</t>
  </si>
  <si>
    <t>Boston</t>
  </si>
  <si>
    <t>Presidio</t>
  </si>
  <si>
    <t>Tucson</t>
  </si>
  <si>
    <t>Laredo</t>
  </si>
  <si>
    <t>Boise</t>
  </si>
  <si>
    <t>Brownsville</t>
  </si>
  <si>
    <t>Albuquerque</t>
  </si>
  <si>
    <t>El Paso</t>
  </si>
  <si>
    <t>Nueva Orleans</t>
  </si>
  <si>
    <t>Detroit</t>
  </si>
  <si>
    <t>Omaha</t>
  </si>
  <si>
    <t>Seattle</t>
  </si>
  <si>
    <t>Saint Paul</t>
  </si>
  <si>
    <t>Phoenix</t>
  </si>
  <si>
    <t>Salt Lake City</t>
  </si>
  <si>
    <t>Milwaukee</t>
  </si>
  <si>
    <t>Miami</t>
  </si>
  <si>
    <t>Portland</t>
  </si>
  <si>
    <t>San Diego</t>
  </si>
  <si>
    <t>Kansas City</t>
  </si>
  <si>
    <t>Filadelfia</t>
  </si>
  <si>
    <t>Mcallen</t>
  </si>
  <si>
    <t>San Antonio</t>
  </si>
  <si>
    <t>Denver</t>
  </si>
  <si>
    <t>Indianápolis</t>
  </si>
  <si>
    <t>Oxnard</t>
  </si>
  <si>
    <t>Las Vegas</t>
  </si>
  <si>
    <t>Sacramento</t>
  </si>
  <si>
    <t>Austin</t>
  </si>
  <si>
    <t>Orlando</t>
  </si>
  <si>
    <t>Little Rock</t>
  </si>
  <si>
    <t>San Francisco</t>
  </si>
  <si>
    <t>San José</t>
  </si>
  <si>
    <t>Santa Ana</t>
  </si>
  <si>
    <t>San Bernardino</t>
  </si>
  <si>
    <t>Raleigh</t>
  </si>
  <si>
    <t>Fresno</t>
  </si>
  <si>
    <t>Nueva York</t>
  </si>
  <si>
    <t>Atlanta</t>
  </si>
  <si>
    <t>Dallas</t>
  </si>
  <si>
    <t>Houston</t>
  </si>
  <si>
    <t>Chicago</t>
  </si>
  <si>
    <t>Los Ángeles</t>
  </si>
  <si>
    <t>Consulado</t>
  </si>
  <si>
    <t>Trancoso</t>
  </si>
  <si>
    <t>El Salvador</t>
  </si>
  <si>
    <t>Melchor Ocampo</t>
  </si>
  <si>
    <t>Trinidad García de la Cadena</t>
  </si>
  <si>
    <t>Cañitas de Felipe Pescador</t>
  </si>
  <si>
    <t>El Plateado de Joaquín Amaro</t>
  </si>
  <si>
    <t>General Enrique Estrada</t>
  </si>
  <si>
    <t>Vetagrande</t>
  </si>
  <si>
    <t>Mezquital del Oro</t>
  </si>
  <si>
    <t>Momax</t>
  </si>
  <si>
    <t>Susticacán</t>
  </si>
  <si>
    <t>Pánuco</t>
  </si>
  <si>
    <t>Concepción del Oro</t>
  </si>
  <si>
    <t>Benito Juárez</t>
  </si>
  <si>
    <t>Morelos</t>
  </si>
  <si>
    <t>Villa García</t>
  </si>
  <si>
    <t>Apulco</t>
  </si>
  <si>
    <t>Moyahua de Estrada</t>
  </si>
  <si>
    <t>Cuauhtémoc</t>
  </si>
  <si>
    <t>Atolinga</t>
  </si>
  <si>
    <t>Huanusco</t>
  </si>
  <si>
    <t>Noria de Ángeles</t>
  </si>
  <si>
    <t>Teúl de González Ortega</t>
  </si>
  <si>
    <t>Genaro Codina</t>
  </si>
  <si>
    <t>Apozol</t>
  </si>
  <si>
    <t>Mazapil</t>
  </si>
  <si>
    <t>Jiménez del Teul</t>
  </si>
  <si>
    <t>Luis Moya</t>
  </si>
  <si>
    <t>Tepechitlán</t>
  </si>
  <si>
    <t>Calera</t>
  </si>
  <si>
    <t>Villa Hidalgo</t>
  </si>
  <si>
    <t>Villa González Ortega</t>
  </si>
  <si>
    <t>Juchipila</t>
  </si>
  <si>
    <t>Tabasco</t>
  </si>
  <si>
    <t>Tepetongo</t>
  </si>
  <si>
    <t>Chalchihuites</t>
  </si>
  <si>
    <t>Monte Escobedo</t>
  </si>
  <si>
    <t>Loreto</t>
  </si>
  <si>
    <t>Villa de Cos</t>
  </si>
  <si>
    <t>Tlaltenango de Sánchez Román</t>
  </si>
  <si>
    <t>Miguel Auza</t>
  </si>
  <si>
    <t>General Pánfilo Natera</t>
  </si>
  <si>
    <t>Juan Aldama</t>
  </si>
  <si>
    <t>General Francisco R. Murguía</t>
  </si>
  <si>
    <t>Sain Alto</t>
  </si>
  <si>
    <t>Ojocaliente</t>
  </si>
  <si>
    <t>Jalpa</t>
  </si>
  <si>
    <t>Nochistlán de Mejía</t>
  </si>
  <si>
    <t>Guadalupe</t>
  </si>
  <si>
    <t>Zacatecas</t>
  </si>
  <si>
    <t>Jerez</t>
  </si>
  <si>
    <t>Villanueva</t>
  </si>
  <si>
    <t>Sombrerete</t>
  </si>
  <si>
    <t>Pinos</t>
  </si>
  <si>
    <t>Valparaíso</t>
  </si>
  <si>
    <t>Río Grande</t>
  </si>
  <si>
    <t>Fresnillo</t>
  </si>
  <si>
    <t>Municipio de origen</t>
  </si>
  <si>
    <t>Municipio de Origen</t>
  </si>
  <si>
    <t>Estado</t>
  </si>
  <si>
    <t>Posgrado [Doctorado]</t>
  </si>
  <si>
    <t>Posgrado [Maestría]</t>
  </si>
  <si>
    <t>Menores De Edad</t>
  </si>
  <si>
    <t>Profesional titulado</t>
  </si>
  <si>
    <t>Profesional pasante</t>
  </si>
  <si>
    <t>4° Año de profesional</t>
  </si>
  <si>
    <t>3° Año de profesional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</si>
  <si>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</si>
  <si>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</si>
  <si>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</si>
  <si>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</si>
  <si>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</si>
  <si>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</si>
  <si>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</si>
  <si>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</si>
  <si>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</si>
  <si>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</si>
  <si>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</si>
  <si>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</si>
  <si>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</si>
  <si>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</si>
  <si>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</si>
  <si>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</si>
  <si>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</si>
  <si>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Número de matrículas</t>
  </si>
  <si>
    <t>Nivel de Estudios</t>
  </si>
  <si>
    <t>Nivel</t>
  </si>
  <si>
    <t>San Jose</t>
  </si>
  <si>
    <t>Menores de edad</t>
  </si>
  <si>
    <t>Mc Allen</t>
  </si>
  <si>
    <t>Los Angeles</t>
  </si>
  <si>
    <t>Indianapolis</t>
  </si>
  <si>
    <t>Del Rio</t>
  </si>
  <si>
    <t>Calexico</t>
  </si>
  <si>
    <t>TOTAL</t>
  </si>
  <si>
    <t>MUJER</t>
  </si>
  <si>
    <t>HOMBRE</t>
  </si>
  <si>
    <t>Género</t>
  </si>
  <si>
    <t>Mujer</t>
  </si>
  <si>
    <t>Hombre</t>
  </si>
  <si>
    <t>Más de 75 Años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</si>
  <si>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</si>
  <si>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</si>
  <si>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</si>
  <si>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</si>
  <si>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</si>
  <si>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</si>
  <si>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Hasta 10 Años</t>
  </si>
  <si>
    <t>Porcentaje con respecto al total de Matrículas</t>
  </si>
  <si>
    <t>Porcentaje con respecto al Género</t>
  </si>
  <si>
    <t>Edad Cumplida</t>
  </si>
  <si>
    <t>MATRÍCULAS CONSULARES EXPEDIDAS A ORIGINARIOS DE ZACATECAS POR GÉNERO Y EDAD EN EE.UU.</t>
  </si>
  <si>
    <t>Sacerdote</t>
  </si>
  <si>
    <t>Planchador(a)</t>
  </si>
  <si>
    <t>Panadero(a)</t>
  </si>
  <si>
    <t>Carnicero</t>
  </si>
  <si>
    <t>Cajero(a)</t>
  </si>
  <si>
    <t>Profesionista</t>
  </si>
  <si>
    <t>Comerciante</t>
  </si>
  <si>
    <t>Chofer</t>
  </si>
  <si>
    <t>Mesero(a)</t>
  </si>
  <si>
    <t>Operario(a)</t>
  </si>
  <si>
    <t>Jubilado(a)</t>
  </si>
  <si>
    <t>Pintor(a)</t>
  </si>
  <si>
    <t>Jardinero(a)</t>
  </si>
  <si>
    <t>Campesino(a)</t>
  </si>
  <si>
    <t>Albañil</t>
  </si>
  <si>
    <t>Cocinero(a)</t>
  </si>
  <si>
    <t>Otro</t>
  </si>
  <si>
    <t>Estudiante</t>
  </si>
  <si>
    <t>Obrero(a)</t>
  </si>
  <si>
    <t>Hogar</t>
  </si>
  <si>
    <t>Empleado(a)</t>
  </si>
  <si>
    <t>Ocupación</t>
  </si>
  <si>
    <t>Alaska</t>
  </si>
  <si>
    <t>Montana</t>
  </si>
  <si>
    <t>District of Columbia</t>
  </si>
  <si>
    <t>West Virginia</t>
  </si>
  <si>
    <t>Hawaii</t>
  </si>
  <si>
    <t>Tamaño de la muestra: 701,861</t>
  </si>
  <si>
    <t>Mayo de 2022</t>
  </si>
  <si>
    <t>MATRÍCULAS CONSULARES DE ALTA SEGURIDAD EXPEDIDAS A ORIGINARIOS DE ZACATECAS POR ESTADO DE LA UNIÓN AMERICANA. DURANTE EL 2021</t>
  </si>
  <si>
    <t>MATRÍCULAS CONSULARES DE ALTA SEGURIDAD EXPEDIDAS DURANTE EL 2021 A ORIGINARIOS DE ZACATECAS EN LOS CONSULADOS DE MÉXICO EN EE.UU.</t>
  </si>
  <si>
    <t>Douglas</t>
  </si>
  <si>
    <t>MATRÍCULAS CONSULARES DE ALTA SEGURIDAD EXPEDIDAS POR MUNICIPIO A ORIGINARIOS DEL ESTADO DE ZACATECAS EN LOS CONSULADOS DE MÉXICO EN EE.UU. 2021</t>
  </si>
  <si>
    <t>MATRÍCULAS CONSULARES EXPEDIDAS EN EE.UU. A ORIGINARIOS DE ZACATECAS POR NIVEL DE EDUCACIÓN, 2021.</t>
  </si>
  <si>
    <t>MATRÍCULAS CONSULARES EXPEDIDAS A ORIGINARIOS DE ZACATECAS POR GÉNERO EN EE.UU DURANTE EL 2021.</t>
  </si>
  <si>
    <t>MATRÍCULAS CONSULARES EXPEDIDAS A ORIGINARIOS DE ZACATECAS POR GÉNERO Y CONSULADO DE MÉXICO 2021.</t>
  </si>
  <si>
    <t>MATRÍCULAS CONSULARES EXPEDIDAS EN EE.UU. A ORIGINARIOS DE ZACATECAS POR PERFIL OCUPACIONAL, 2021.</t>
  </si>
  <si>
    <t>Cirujano(a)</t>
  </si>
  <si>
    <t>Misionero(a)</t>
  </si>
  <si>
    <t xml:space="preserve">  Matrículas consulares expedidas a originarios de Zacatecas en el 2021.</t>
  </si>
  <si>
    <t>LOS 10 CONSULADOS DE MÉXICO EN EE.UU. CON MAYOR NÚMERO DE EXPEDICIÓN DE MATRÍCULAS CONSULARES DURANTE EL 2021 A ORIGINARIOS DE ZACATECAS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</si>
</sst>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.0%"/>
    <numFmt numFmtId="165" formatCode="#,###"/>
  </numFmts>
  <fonts count="26">
    <font>
      <sz val="11"/>
      <color theme="1"/>
      <name val="Calibri"/>
      <family val="2"/>
      <scheme val="minor"/>
    </font>
    <font>
      <sz val="11"/>
      <color theme="1"/>
      <name val="Montserrat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9"/>
      <name val="Montserrat"/>
    </font>
    <font>
      <sz val="11"/>
      <color indexed="8"/>
      <name val="Calibri"/>
      <family val="2"/>
    </font>
    <font>
      <b/>
      <sz val="9"/>
      <color indexed="9"/>
      <name val="Montserrat"/>
    </font>
    <font>
      <b/>
      <sz val="11"/>
      <name val="Arial Narrow"/>
      <family val="2"/>
    </font>
    <font>
      <sz val="8"/>
      <color theme="1"/>
      <name val="Soberana Sans"/>
      <family val="3"/>
    </font>
    <font>
      <sz val="8"/>
      <color theme="1"/>
      <name val="Calibri"/>
      <family val="2"/>
      <scheme val="minor"/>
    </font>
    <font>
      <sz val="8"/>
      <color indexed="8"/>
      <name val="Soberana Sans"/>
      <family val="3"/>
    </font>
    <font>
      <sz val="10"/>
      <name val="Montserrat"/>
    </font>
    <font>
      <sz val="7"/>
      <color theme="1"/>
      <name val="Montserrat"/>
    </font>
    <font>
      <b/>
      <sz val="12"/>
      <color theme="0"/>
      <name val="Montserrat"/>
    </font>
    <font>
      <sz val="12"/>
      <color theme="1"/>
      <name val="Montserrat"/>
    </font>
    <font>
      <u/>
      <sz val="12"/>
      <color theme="10"/>
      <name val="Montserrat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15" fillId="0" borderId="0"/>
  </cellStyleXfs>
  <cellXfs count="104">
    <xf numFmtId="0" fontId="0" fillId="0" borderId="0" xfId="0"/>
    <xf numFmtId="0" fontId="1" fillId="0" borderId="0" xfId="0" applyFont="1"/>
    <xf numFmtId="0" fontId="1" fillId="0" borderId="4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 wrapText="1"/>
    </xf>
    <xf numFmtId="0" fontId="1" fillId="0" borderId="0" xfId="0" applyFont="1" applyBorder="1" applyAlignment="1">
      <alignment horizontal="left" wrapText="1"/>
    </xf>
    <xf numFmtId="0" fontId="1" fillId="0" borderId="5" xfId="0" applyFont="1" applyBorder="1" applyAlignment="1">
      <alignment horizontal="left" wrapText="1"/>
    </xf>
    <xf numFmtId="0" fontId="1" fillId="0" borderId="4" xfId="0" applyFont="1" applyBorder="1" applyAlignment="1"/>
    <xf numFmtId="0" fontId="1" fillId="0" borderId="0" xfId="0" applyFont="1" applyBorder="1" applyAlignment="1"/>
    <xf numFmtId="0" fontId="1" fillId="0" borderId="5" xfId="0" applyFont="1" applyBorder="1" applyAlignment="1"/>
    <xf numFmtId="0" fontId="1" fillId="0" borderId="4" xfId="0" applyFont="1" applyBorder="1"/>
    <xf numFmtId="0" fontId="1" fillId="0" borderId="0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3" borderId="0" xfId="0" applyFont="1" applyFill="1"/>
    <xf numFmtId="3" fontId="0" fillId="3" borderId="0" xfId="0" applyNumberFormat="1" applyFont="1" applyFill="1"/>
    <xf numFmtId="0" fontId="4" fillId="3" borderId="0" xfId="0" applyFont="1" applyFill="1"/>
    <xf numFmtId="0" fontId="4" fillId="3" borderId="0" xfId="0" applyFont="1" applyFill="1" applyAlignment="1">
      <alignment vertical="top"/>
    </xf>
    <xf numFmtId="0" fontId="4" fillId="3" borderId="0" xfId="0" applyFont="1" applyFill="1" applyAlignment="1">
      <alignment vertical="center"/>
    </xf>
    <xf numFmtId="164" fontId="5" fillId="4" borderId="9" xfId="0" applyNumberFormat="1" applyFont="1" applyFill="1" applyBorder="1" applyAlignment="1">
      <alignment horizontal="right" vertical="center" wrapText="1"/>
    </xf>
    <xf numFmtId="3" fontId="5" fillId="4" borderId="9" xfId="0" applyNumberFormat="1" applyFont="1" applyFill="1" applyBorder="1" applyAlignment="1">
      <alignment horizontal="right" vertical="center" wrapText="1"/>
    </xf>
    <xf numFmtId="49" fontId="5" fillId="4" borderId="9" xfId="0" applyNumberFormat="1" applyFont="1" applyFill="1" applyBorder="1" applyAlignment="1">
      <alignment vertical="center" wrapText="1"/>
    </xf>
    <xf numFmtId="164" fontId="6" fillId="3" borderId="9" xfId="0" applyNumberFormat="1" applyFont="1" applyFill="1" applyBorder="1" applyAlignment="1">
      <alignment horizontal="right" vertical="center" wrapText="1"/>
    </xf>
    <xf numFmtId="3" fontId="6" fillId="3" borderId="9" xfId="0" applyNumberFormat="1" applyFont="1" applyFill="1" applyBorder="1" applyAlignment="1">
      <alignment horizontal="right" vertical="center" wrapText="1"/>
    </xf>
    <xf numFmtId="49" fontId="7" fillId="3" borderId="9" xfId="0" applyNumberFormat="1" applyFont="1" applyFill="1" applyBorder="1" applyAlignment="1">
      <alignment vertical="center" wrapText="1"/>
    </xf>
    <xf numFmtId="0" fontId="8" fillId="3" borderId="0" xfId="0" applyFont="1" applyFill="1"/>
    <xf numFmtId="0" fontId="9" fillId="0" borderId="0" xfId="0" applyFont="1"/>
    <xf numFmtId="0" fontId="5" fillId="2" borderId="10" xfId="0" applyFont="1" applyFill="1" applyBorder="1" applyAlignment="1">
      <alignment horizontal="center" vertical="center" wrapText="1"/>
    </xf>
    <xf numFmtId="1" fontId="5" fillId="2" borderId="10" xfId="0" applyNumberFormat="1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3" fontId="9" fillId="0" borderId="0" xfId="0" applyNumberFormat="1" applyFont="1"/>
    <xf numFmtId="1" fontId="9" fillId="0" borderId="0" xfId="0" applyNumberFormat="1" applyFont="1"/>
    <xf numFmtId="0" fontId="12" fillId="3" borderId="0" xfId="0" applyFont="1" applyFill="1"/>
    <xf numFmtId="0" fontId="13" fillId="3" borderId="0" xfId="0" applyFont="1" applyFill="1"/>
    <xf numFmtId="164" fontId="5" fillId="5" borderId="9" xfId="2" applyNumberFormat="1" applyFont="1" applyFill="1" applyBorder="1" applyAlignment="1">
      <alignment horizontal="right" vertical="top" wrapText="1"/>
    </xf>
    <xf numFmtId="165" fontId="5" fillId="5" borderId="9" xfId="2" applyNumberFormat="1" applyFont="1" applyFill="1" applyBorder="1" applyAlignment="1">
      <alignment horizontal="right" vertical="top" wrapText="1"/>
    </xf>
    <xf numFmtId="49" fontId="5" fillId="5" borderId="9" xfId="2" applyNumberFormat="1" applyFont="1" applyFill="1" applyBorder="1" applyAlignment="1">
      <alignment vertical="top" wrapText="1"/>
    </xf>
    <xf numFmtId="164" fontId="14" fillId="3" borderId="9" xfId="2" applyNumberFormat="1" applyFont="1" applyFill="1" applyBorder="1" applyAlignment="1">
      <alignment horizontal="right" vertical="top" wrapText="1"/>
    </xf>
    <xf numFmtId="165" fontId="14" fillId="3" borderId="9" xfId="2" applyNumberFormat="1" applyFont="1" applyFill="1" applyBorder="1" applyAlignment="1">
      <alignment horizontal="right" vertical="top" wrapText="1"/>
    </xf>
    <xf numFmtId="49" fontId="14" fillId="3" borderId="9" xfId="2" applyNumberFormat="1" applyFont="1" applyFill="1" applyBorder="1" applyAlignment="1">
      <alignment vertical="top" wrapText="1"/>
    </xf>
    <xf numFmtId="0" fontId="16" fillId="2" borderId="10" xfId="3" applyFont="1" applyFill="1" applyBorder="1" applyAlignment="1">
      <alignment horizontal="center" vertical="center" wrapText="1"/>
    </xf>
    <xf numFmtId="1" fontId="16" fillId="2" borderId="10" xfId="3" applyNumberFormat="1" applyFont="1" applyFill="1" applyBorder="1" applyAlignment="1">
      <alignment horizontal="center" vertical="center" wrapText="1"/>
    </xf>
    <xf numFmtId="0" fontId="5" fillId="2" borderId="10" xfId="3" applyFont="1" applyFill="1" applyBorder="1" applyAlignment="1">
      <alignment horizontal="center" vertical="center" wrapText="1"/>
    </xf>
    <xf numFmtId="0" fontId="9" fillId="3" borderId="0" xfId="0" applyFont="1" applyFill="1"/>
    <xf numFmtId="0" fontId="17" fillId="3" borderId="0" xfId="0" applyFont="1" applyFill="1" applyAlignment="1"/>
    <xf numFmtId="0" fontId="18" fillId="3" borderId="0" xfId="0" applyFont="1" applyFill="1"/>
    <xf numFmtId="0" fontId="18" fillId="3" borderId="0" xfId="0" applyFont="1" applyFill="1" applyAlignment="1">
      <alignment vertical="center"/>
    </xf>
    <xf numFmtId="0" fontId="9" fillId="3" borderId="0" xfId="0" applyFont="1" applyFill="1" applyBorder="1"/>
    <xf numFmtId="3" fontId="9" fillId="3" borderId="0" xfId="0" applyNumberFormat="1" applyFont="1" applyFill="1" applyBorder="1"/>
    <xf numFmtId="1" fontId="9" fillId="3" borderId="0" xfId="0" applyNumberFormat="1" applyFont="1" applyFill="1" applyBorder="1"/>
    <xf numFmtId="0" fontId="18" fillId="3" borderId="0" xfId="0" applyFont="1" applyFill="1" applyBorder="1"/>
    <xf numFmtId="0" fontId="18" fillId="3" borderId="0" xfId="0" applyFont="1" applyFill="1" applyBorder="1" applyAlignment="1">
      <alignment vertical="center"/>
    </xf>
    <xf numFmtId="0" fontId="19" fillId="3" borderId="0" xfId="0" applyFont="1" applyFill="1"/>
    <xf numFmtId="0" fontId="20" fillId="0" borderId="0" xfId="0" applyFont="1" applyAlignment="1">
      <alignment vertical="top"/>
    </xf>
    <xf numFmtId="0" fontId="20" fillId="0" borderId="0" xfId="0" applyFont="1" applyAlignment="1">
      <alignment horizontal="justify" vertical="center"/>
    </xf>
    <xf numFmtId="3" fontId="8" fillId="3" borderId="0" xfId="0" applyNumberFormat="1" applyFont="1" applyFill="1"/>
    <xf numFmtId="3" fontId="9" fillId="3" borderId="0" xfId="0" applyNumberFormat="1" applyFont="1" applyFill="1"/>
    <xf numFmtId="49" fontId="7" fillId="3" borderId="9" xfId="0" applyNumberFormat="1" applyFont="1" applyFill="1" applyBorder="1" applyAlignment="1">
      <alignment horizontal="left" vertical="center" wrapText="1"/>
    </xf>
    <xf numFmtId="0" fontId="0" fillId="3" borderId="0" xfId="0" applyFill="1"/>
    <xf numFmtId="0" fontId="16" fillId="2" borderId="9" xfId="3" applyFont="1" applyFill="1" applyBorder="1" applyAlignment="1">
      <alignment horizontal="center" vertical="center" wrapText="1"/>
    </xf>
    <xf numFmtId="0" fontId="0" fillId="3" borderId="0" xfId="0" applyFont="1" applyFill="1" applyBorder="1"/>
    <xf numFmtId="0" fontId="3" fillId="3" borderId="0" xfId="0" applyFont="1" applyFill="1" applyBorder="1"/>
    <xf numFmtId="0" fontId="9" fillId="3" borderId="0" xfId="0" applyFont="1" applyFill="1" applyBorder="1" applyAlignment="1">
      <alignment vertical="center"/>
    </xf>
    <xf numFmtId="0" fontId="9" fillId="0" borderId="0" xfId="0" applyFont="1" applyBorder="1" applyAlignment="1">
      <alignment vertical="center"/>
    </xf>
    <xf numFmtId="3" fontId="5" fillId="4" borderId="9" xfId="0" applyNumberFormat="1" applyFont="1" applyFill="1" applyBorder="1" applyAlignment="1">
      <alignment horizontal="right" wrapText="1"/>
    </xf>
    <xf numFmtId="164" fontId="5" fillId="4" borderId="9" xfId="0" applyNumberFormat="1" applyFont="1" applyFill="1" applyBorder="1" applyAlignment="1">
      <alignment horizontal="right" wrapText="1"/>
    </xf>
    <xf numFmtId="0" fontId="21" fillId="3" borderId="16" xfId="0" applyFont="1" applyFill="1" applyBorder="1" applyAlignment="1">
      <alignment horizontal="center" vertical="distributed"/>
    </xf>
    <xf numFmtId="49" fontId="5" fillId="5" borderId="12" xfId="0" applyNumberFormat="1" applyFont="1" applyFill="1" applyBorder="1" applyAlignment="1">
      <alignment vertical="center" wrapText="1"/>
    </xf>
    <xf numFmtId="0" fontId="22" fillId="3" borderId="0" xfId="0" applyFont="1" applyFill="1"/>
    <xf numFmtId="3" fontId="5" fillId="5" borderId="9" xfId="0" applyNumberFormat="1" applyFont="1" applyFill="1" applyBorder="1" applyAlignment="1">
      <alignment horizontal="right" vertical="center" wrapText="1"/>
    </xf>
    <xf numFmtId="164" fontId="5" fillId="5" borderId="9" xfId="0" applyNumberFormat="1" applyFont="1" applyFill="1" applyBorder="1" applyAlignment="1">
      <alignment horizontal="right" vertical="center" wrapText="1"/>
    </xf>
    <xf numFmtId="0" fontId="24" fillId="0" borderId="4" xfId="0" applyFont="1" applyBorder="1"/>
    <xf numFmtId="0" fontId="3" fillId="0" borderId="0" xfId="2"/>
    <xf numFmtId="49" fontId="7" fillId="6" borderId="9" xfId="0" applyNumberFormat="1" applyFont="1" applyFill="1" applyBorder="1" applyAlignment="1">
      <alignment horizontal="left" vertical="center" wrapText="1"/>
    </xf>
    <xf numFmtId="3" fontId="6" fillId="6" borderId="9" xfId="0" applyNumberFormat="1" applyFont="1" applyFill="1" applyBorder="1" applyAlignment="1">
      <alignment horizontal="right" vertical="center" wrapText="1"/>
    </xf>
    <xf numFmtId="164" fontId="6" fillId="6" borderId="9" xfId="0" applyNumberFormat="1" applyFont="1" applyFill="1" applyBorder="1" applyAlignment="1">
      <alignment horizontal="right" vertical="center" wrapText="1"/>
    </xf>
    <xf numFmtId="0" fontId="25" fillId="3" borderId="4" xfId="1" applyFont="1" applyFill="1" applyBorder="1" applyAlignment="1">
      <alignment horizontal="left"/>
    </xf>
    <xf numFmtId="0" fontId="25" fillId="3" borderId="0" xfId="1" applyFont="1" applyFill="1" applyBorder="1" applyAlignment="1">
      <alignment horizontal="left"/>
    </xf>
    <xf numFmtId="0" fontId="23" fillId="2" borderId="1" xfId="0" applyFont="1" applyFill="1" applyBorder="1" applyAlignment="1">
      <alignment horizontal="center" wrapText="1"/>
    </xf>
    <xf numFmtId="0" fontId="23" fillId="2" borderId="2" xfId="0" applyFont="1" applyFill="1" applyBorder="1" applyAlignment="1">
      <alignment horizontal="center" wrapText="1"/>
    </xf>
    <xf numFmtId="0" fontId="23" fillId="2" borderId="3" xfId="0" applyFont="1" applyFill="1" applyBorder="1" applyAlignment="1">
      <alignment horizontal="center" wrapText="1"/>
    </xf>
    <xf numFmtId="0" fontId="24" fillId="0" borderId="4" xfId="0" applyFont="1" applyBorder="1" applyAlignment="1">
      <alignment horizontal="left" wrapText="1"/>
    </xf>
    <xf numFmtId="0" fontId="24" fillId="0" borderId="0" xfId="0" applyFont="1" applyBorder="1" applyAlignment="1">
      <alignment horizontal="left" wrapText="1"/>
    </xf>
    <xf numFmtId="0" fontId="24" fillId="0" borderId="5" xfId="0" applyFont="1" applyBorder="1" applyAlignment="1">
      <alignment horizontal="left" wrapText="1"/>
    </xf>
    <xf numFmtId="0" fontId="25" fillId="0" borderId="4" xfId="1" applyFont="1" applyBorder="1" applyAlignment="1">
      <alignment horizontal="left"/>
    </xf>
    <xf numFmtId="0" fontId="25" fillId="0" borderId="0" xfId="1" applyFont="1" applyBorder="1" applyAlignment="1">
      <alignment horizontal="left"/>
    </xf>
    <xf numFmtId="0" fontId="25" fillId="0" borderId="5" xfId="1" applyFont="1" applyBorder="1" applyAlignment="1">
      <alignment horizontal="left"/>
    </xf>
    <xf numFmtId="0" fontId="11" fillId="0" borderId="0" xfId="0" applyFont="1" applyBorder="1" applyAlignment="1">
      <alignment horizontal="center" vertical="center" wrapText="1"/>
    </xf>
    <xf numFmtId="49" fontId="14" fillId="3" borderId="10" xfId="2" applyNumberFormat="1" applyFont="1" applyFill="1" applyBorder="1" applyAlignment="1">
      <alignment horizontal="center" vertical="center" wrapText="1"/>
    </xf>
    <xf numFmtId="49" fontId="14" fillId="3" borderId="15" xfId="2" applyNumberFormat="1" applyFont="1" applyFill="1" applyBorder="1" applyAlignment="1">
      <alignment horizontal="center" vertical="center" wrapText="1"/>
    </xf>
    <xf numFmtId="49" fontId="14" fillId="3" borderId="14" xfId="2" applyNumberFormat="1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wrapText="1"/>
    </xf>
    <xf numFmtId="49" fontId="5" fillId="4" borderId="13" xfId="0" applyNumberFormat="1" applyFont="1" applyFill="1" applyBorder="1" applyAlignment="1">
      <alignment horizontal="center" vertical="center" wrapText="1"/>
    </xf>
    <xf numFmtId="49" fontId="5" fillId="4" borderId="12" xfId="0" applyNumberFormat="1" applyFont="1" applyFill="1" applyBorder="1" applyAlignment="1">
      <alignment horizontal="center" vertical="center" wrapText="1"/>
    </xf>
    <xf numFmtId="49" fontId="7" fillId="3" borderId="10" xfId="0" applyNumberFormat="1" applyFont="1" applyFill="1" applyBorder="1" applyAlignment="1">
      <alignment horizontal="center" vertical="center" wrapText="1"/>
    </xf>
    <xf numFmtId="49" fontId="7" fillId="3" borderId="15" xfId="0" applyNumberFormat="1" applyFont="1" applyFill="1" applyBorder="1" applyAlignment="1">
      <alignment horizontal="center" vertical="center" wrapText="1"/>
    </xf>
    <xf numFmtId="49" fontId="7" fillId="3" borderId="14" xfId="0" applyNumberFormat="1" applyFont="1" applyFill="1" applyBorder="1" applyAlignment="1">
      <alignment horizontal="center" vertical="center" wrapText="1"/>
    </xf>
    <xf numFmtId="49" fontId="7" fillId="6" borderId="10" xfId="0" applyNumberFormat="1" applyFont="1" applyFill="1" applyBorder="1" applyAlignment="1">
      <alignment horizontal="center" vertical="center" wrapText="1"/>
    </xf>
    <xf numFmtId="49" fontId="7" fillId="6" borderId="15" xfId="0" applyNumberFormat="1" applyFont="1" applyFill="1" applyBorder="1" applyAlignment="1">
      <alignment horizontal="center" vertical="center" wrapText="1"/>
    </xf>
    <xf numFmtId="49" fontId="7" fillId="6" borderId="14" xfId="0" applyNumberFormat="1" applyFont="1" applyFill="1" applyBorder="1" applyAlignment="1">
      <alignment horizontal="center" vertical="center" wrapText="1"/>
    </xf>
  </cellXfs>
  <cellStyles count="4">
    <cellStyle name="Hipervínculo" xfId="1" builtinId="8"/>
    <cellStyle name="Normal" xfId="0" builtinId="0"/>
    <cellStyle name="Normal 2" xfId="2"/>
    <cellStyle name="Normal_Hoja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619841</xdr:colOff>
      <xdr:row>2</xdr:row>
      <xdr:rowOff>21917</xdr:rowOff>
    </xdr:from>
    <xdr:to>
      <xdr:col>3</xdr:col>
      <xdr:colOff>1131938</xdr:colOff>
      <xdr:row>3</xdr:row>
      <xdr:rowOff>21917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944066" y="783917"/>
          <a:ext cx="512097" cy="22860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ZACATECAS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190500</xdr:colOff>
      <xdr:row>8</xdr:row>
      <xdr:rowOff>0</xdr:rowOff>
    </xdr:from>
    <xdr:to>
      <xdr:col>5</xdr:col>
      <xdr:colOff>83472</xdr:colOff>
      <xdr:row>8</xdr:row>
      <xdr:rowOff>190500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19625" y="1714500"/>
          <a:ext cx="512097" cy="19050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ZACATECAS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95250</xdr:colOff>
      <xdr:row>7</xdr:row>
      <xdr:rowOff>180975</xdr:rowOff>
    </xdr:from>
    <xdr:to>
      <xdr:col>4</xdr:col>
      <xdr:colOff>607347</xdr:colOff>
      <xdr:row>8</xdr:row>
      <xdr:rowOff>174830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3143250" y="1514475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ZACATECAS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180975</xdr:colOff>
      <xdr:row>8</xdr:row>
      <xdr:rowOff>0</xdr:rowOff>
    </xdr:from>
    <xdr:to>
      <xdr:col>5</xdr:col>
      <xdr:colOff>73947</xdr:colOff>
      <xdr:row>8</xdr:row>
      <xdr:rowOff>184355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3228975" y="1524000"/>
          <a:ext cx="654972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ZACATECAS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190500</xdr:colOff>
      <xdr:row>8</xdr:row>
      <xdr:rowOff>0</xdr:rowOff>
    </xdr:from>
    <xdr:to>
      <xdr:col>5</xdr:col>
      <xdr:colOff>83472</xdr:colOff>
      <xdr:row>8</xdr:row>
      <xdr:rowOff>190500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19625" y="1714500"/>
          <a:ext cx="512097" cy="19050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D00-000002000000}"/>
            </a:ext>
          </a:extLst>
        </xdr:cNvPr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ZACATECAS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>
          <a:extLst>
            <a:ext uri="{FF2B5EF4-FFF2-40B4-BE49-F238E27FC236}">
              <a16:creationId xmlns:a16="http://schemas.microsoft.com/office/drawing/2014/main" xmlns="" id="{00000000-0008-0000-0D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POR MUNICIPIO A ORIGINARIOS DEL ESTADO DE ZACATECAS POR ESTADO EN EE.UU. 2021</a:t>
          </a:r>
        </a:p>
      </xdr:txBody>
    </xdr:sp>
    <xdr:clientData/>
  </xdr:twoCellAnchor>
  <xdr:oneCellAnchor>
    <xdr:from>
      <xdr:col>4</xdr:col>
      <xdr:colOff>25618</xdr:colOff>
      <xdr:row>1</xdr:row>
      <xdr:rowOff>163929</xdr:rowOff>
    </xdr:from>
    <xdr:ext cx="853107" cy="35907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D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0118" y="354429"/>
          <a:ext cx="853107" cy="3590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46967</xdr:colOff>
      <xdr:row>1</xdr:row>
      <xdr:rowOff>21711</xdr:rowOff>
    </xdr:from>
    <xdr:ext cx="1096665" cy="628106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D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0592" y="212211"/>
          <a:ext cx="1096665" cy="62810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403334</xdr:colOff>
      <xdr:row>6</xdr:row>
      <xdr:rowOff>291334</xdr:rowOff>
    </xdr:from>
    <xdr:to>
      <xdr:col>5</xdr:col>
      <xdr:colOff>915431</xdr:colOff>
      <xdr:row>7</xdr:row>
      <xdr:rowOff>148459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6165959" y="1701034"/>
          <a:ext cx="512097" cy="19050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D00-000002000000}"/>
            </a:ext>
          </a:extLst>
        </xdr:cNvPr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ZACATECAS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POR MUNICIPIO A ORIGINARIOS DEL ESTADO DE ZACATECAS EN LOS CONSULADOS DE MÉXICO EN EE.UU. 2021</a:t>
          </a:r>
        </a:p>
      </xdr:txBody>
    </xdr:sp>
    <xdr:clientData/>
  </xdr:twoCellAnchor>
  <xdr:oneCellAnchor>
    <xdr:from>
      <xdr:col>4</xdr:col>
      <xdr:colOff>25618</xdr:colOff>
      <xdr:row>1</xdr:row>
      <xdr:rowOff>163929</xdr:rowOff>
    </xdr:from>
    <xdr:ext cx="853107" cy="35907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D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0118" y="354429"/>
          <a:ext cx="853107" cy="3590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46967</xdr:colOff>
      <xdr:row>1</xdr:row>
      <xdr:rowOff>21711</xdr:rowOff>
    </xdr:from>
    <xdr:ext cx="1096665" cy="628106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D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0592" y="212211"/>
          <a:ext cx="1096665" cy="62810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0</xdr:colOff>
      <xdr:row>7</xdr:row>
      <xdr:rowOff>0</xdr:rowOff>
    </xdr:from>
    <xdr:to>
      <xdr:col>5</xdr:col>
      <xdr:colOff>512097</xdr:colOff>
      <xdr:row>7</xdr:row>
      <xdr:rowOff>190500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760983" y="1740776"/>
          <a:ext cx="512097" cy="19050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ZACATECAS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0</xdr:colOff>
      <xdr:row>8</xdr:row>
      <xdr:rowOff>0</xdr:rowOff>
    </xdr:from>
    <xdr:to>
      <xdr:col>4</xdr:col>
      <xdr:colOff>512097</xdr:colOff>
      <xdr:row>8</xdr:row>
      <xdr:rowOff>190500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429125" y="1714500"/>
          <a:ext cx="512097" cy="19050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D00-000002000000}"/>
            </a:ext>
          </a:extLst>
        </xdr:cNvPr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ZACATECAS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A ORIGINARIOS DEL ESTADO DE ZACATECAS POR NIVEL DE EDUCACIÓN Y ESTADO EN EE.UU. DURANTE EL 2021</a:t>
          </a:r>
        </a:p>
      </xdr:txBody>
    </xdr:sp>
    <xdr:clientData/>
  </xdr:twoCellAnchor>
  <xdr:oneCellAnchor>
    <xdr:from>
      <xdr:col>4</xdr:col>
      <xdr:colOff>25618</xdr:colOff>
      <xdr:row>1</xdr:row>
      <xdr:rowOff>163929</xdr:rowOff>
    </xdr:from>
    <xdr:ext cx="853107" cy="35907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D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0118" y="354429"/>
          <a:ext cx="853107" cy="3590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46967</xdr:colOff>
      <xdr:row>1</xdr:row>
      <xdr:rowOff>21711</xdr:rowOff>
    </xdr:from>
    <xdr:ext cx="1096665" cy="628106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D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0592" y="212211"/>
          <a:ext cx="1096665" cy="62810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545224</xdr:colOff>
      <xdr:row>7</xdr:row>
      <xdr:rowOff>137948</xdr:rowOff>
    </xdr:from>
    <xdr:to>
      <xdr:col>4</xdr:col>
      <xdr:colOff>1057321</xdr:colOff>
      <xdr:row>7</xdr:row>
      <xdr:rowOff>328448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82914" y="1878724"/>
          <a:ext cx="512097" cy="19050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D00-000002000000}"/>
            </a:ext>
          </a:extLst>
        </xdr:cNvPr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ZACATECAS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</a:t>
          </a:r>
          <a:r>
            <a:rPr lang="es-MX" sz="1050">
              <a:latin typeface="Montserrat" panose="00000500000000000000" pitchFamily="2" charset="0"/>
            </a:rPr>
            <a:t> </a:t>
          </a:r>
          <a:r>
            <a:rPr lang="es-MX" sz="1000">
              <a:latin typeface="Montserrat" panose="00000500000000000000" pitchFamily="2" charset="0"/>
            </a:rPr>
            <a:t>CONSULARES DE ALTA SEGURIDAD EXPEDIDAS A ORIGINARIOS DEL ESTADO DE ZACATECAS POR CONSULADO Y NIVEL DE EDUCACIÓN EN EE.UU. DURANTE EL 2021</a:t>
          </a:r>
          <a:endParaRPr lang="es-MX" sz="1050"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25618</xdr:colOff>
      <xdr:row>1</xdr:row>
      <xdr:rowOff>163929</xdr:rowOff>
    </xdr:from>
    <xdr:ext cx="853107" cy="35907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D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0118" y="354429"/>
          <a:ext cx="853107" cy="3590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46967</xdr:colOff>
      <xdr:row>1</xdr:row>
      <xdr:rowOff>21711</xdr:rowOff>
    </xdr:from>
    <xdr:ext cx="1096665" cy="628106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D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0592" y="212211"/>
          <a:ext cx="1096665" cy="62810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378952</xdr:colOff>
      <xdr:row>7</xdr:row>
      <xdr:rowOff>92178</xdr:rowOff>
    </xdr:from>
    <xdr:to>
      <xdr:col>4</xdr:col>
      <xdr:colOff>891049</xdr:colOff>
      <xdr:row>7</xdr:row>
      <xdr:rowOff>286775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028791" y="1853791"/>
          <a:ext cx="512097" cy="194597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ZACATECAS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180975</xdr:colOff>
      <xdr:row>8</xdr:row>
      <xdr:rowOff>0</xdr:rowOff>
    </xdr:from>
    <xdr:to>
      <xdr:col>5</xdr:col>
      <xdr:colOff>73947</xdr:colOff>
      <xdr:row>8</xdr:row>
      <xdr:rowOff>190500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10100" y="1714500"/>
          <a:ext cx="512097" cy="19050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97254</xdr:rowOff>
    </xdr:from>
    <xdr:to>
      <xdr:col>5</xdr:col>
      <xdr:colOff>57150</xdr:colOff>
      <xdr:row>6</xdr:row>
      <xdr:rowOff>47625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C00-000002000000}"/>
            </a:ext>
          </a:extLst>
        </xdr:cNvPr>
        <xdr:cNvSpPr txBox="1"/>
      </xdr:nvSpPr>
      <xdr:spPr>
        <a:xfrm>
          <a:off x="762000" y="97254"/>
          <a:ext cx="3105150" cy="1093371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ZACATECAS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76200</xdr:colOff>
      <xdr:row>1</xdr:row>
      <xdr:rowOff>76200</xdr:rowOff>
    </xdr:from>
    <xdr:ext cx="853107" cy="335729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C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4200" y="266700"/>
          <a:ext cx="853107" cy="335729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38100</xdr:colOff>
      <xdr:row>0</xdr:row>
      <xdr:rowOff>123825</xdr:rowOff>
    </xdr:from>
    <xdr:ext cx="1097650" cy="598411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C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123825"/>
          <a:ext cx="1097650" cy="598411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52336</xdr:colOff>
      <xdr:row>8</xdr:row>
      <xdr:rowOff>0</xdr:rowOff>
    </xdr:from>
    <xdr:to>
      <xdr:col>6</xdr:col>
      <xdr:colOff>187619</xdr:colOff>
      <xdr:row>9</xdr:row>
      <xdr:rowOff>0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5254451" y="1570055"/>
          <a:ext cx="512097" cy="188407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97254</xdr:rowOff>
    </xdr:from>
    <xdr:to>
      <xdr:col>6</xdr:col>
      <xdr:colOff>57150</xdr:colOff>
      <xdr:row>6</xdr:row>
      <xdr:rowOff>47625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762000" y="97254"/>
          <a:ext cx="3867150" cy="1093371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ZACATECAS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5</xdr:col>
      <xdr:colOff>76200</xdr:colOff>
      <xdr:row>1</xdr:row>
      <xdr:rowOff>76200</xdr:rowOff>
    </xdr:from>
    <xdr:ext cx="853107" cy="335729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C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6200" y="266700"/>
          <a:ext cx="853107" cy="335729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38100</xdr:colOff>
      <xdr:row>0</xdr:row>
      <xdr:rowOff>123825</xdr:rowOff>
    </xdr:from>
    <xdr:ext cx="1097650" cy="598411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C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123825"/>
          <a:ext cx="1097650" cy="598411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6</xdr:col>
      <xdr:colOff>122904</xdr:colOff>
      <xdr:row>9</xdr:row>
      <xdr:rowOff>51210</xdr:rowOff>
    </xdr:from>
    <xdr:to>
      <xdr:col>7</xdr:col>
      <xdr:colOff>256049</xdr:colOff>
      <xdr:row>10</xdr:row>
      <xdr:rowOff>51210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6278307" y="1833307"/>
          <a:ext cx="512097" cy="194597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ZACATECAS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133350</xdr:colOff>
      <xdr:row>8</xdr:row>
      <xdr:rowOff>0</xdr:rowOff>
    </xdr:from>
    <xdr:to>
      <xdr:col>5</xdr:col>
      <xdr:colOff>26322</xdr:colOff>
      <xdr:row>8</xdr:row>
      <xdr:rowOff>190500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562475" y="1714500"/>
          <a:ext cx="512097" cy="19050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showGridLines="0" tabSelected="1" view="pageBreakPreview" zoomScaleNormal="100" zoomScaleSheetLayoutView="100" workbookViewId="0">
      <selection sqref="A1:D1"/>
    </sheetView>
  </sheetViews>
  <sheetFormatPr baseColWidth="10" defaultColWidth="11.42578125" defaultRowHeight="18"/>
  <cols>
    <col min="1" max="1" width="5.140625" style="1" customWidth="1"/>
    <col min="2" max="2" width="20" style="1" customWidth="1"/>
    <col min="3" max="3" width="24.7109375" style="1" customWidth="1"/>
    <col min="4" max="4" width="20.42578125" style="1" customWidth="1"/>
    <col min="5" max="16384" width="11.42578125" style="1"/>
  </cols>
  <sheetData>
    <row r="1" spans="1:4" ht="42" customHeight="1" thickBot="1">
      <c r="A1" s="82" t="s">
        <v>267</v>
      </c>
      <c r="B1" s="83"/>
      <c r="C1" s="83"/>
      <c r="D1" s="84"/>
    </row>
    <row r="2" spans="1:4">
      <c r="A2" s="2"/>
      <c r="B2" s="3"/>
      <c r="C2" s="3"/>
      <c r="D2" s="4"/>
    </row>
    <row r="3" spans="1:4">
      <c r="A3" s="85" t="s">
        <v>0</v>
      </c>
      <c r="B3" s="86"/>
      <c r="C3" s="86"/>
      <c r="D3" s="87"/>
    </row>
    <row r="4" spans="1:4">
      <c r="A4" s="85"/>
      <c r="B4" s="86"/>
      <c r="C4" s="86"/>
      <c r="D4" s="87"/>
    </row>
    <row r="5" spans="1:4">
      <c r="A5" s="5"/>
      <c r="B5" s="6"/>
      <c r="C5" s="6"/>
      <c r="D5" s="7"/>
    </row>
    <row r="6" spans="1:4" ht="18.75">
      <c r="A6" s="88" t="s">
        <v>1</v>
      </c>
      <c r="B6" s="89"/>
      <c r="C6" s="89"/>
      <c r="D6" s="90"/>
    </row>
    <row r="7" spans="1:4">
      <c r="A7" s="8"/>
      <c r="B7" s="9"/>
      <c r="C7" s="9"/>
      <c r="D7" s="10"/>
    </row>
    <row r="8" spans="1:4" ht="18.75">
      <c r="A8" s="88" t="s">
        <v>2</v>
      </c>
      <c r="B8" s="89"/>
      <c r="C8" s="89"/>
      <c r="D8" s="90"/>
    </row>
    <row r="9" spans="1:4" ht="18.75">
      <c r="A9" s="11"/>
      <c r="B9" s="88" t="s">
        <v>3</v>
      </c>
      <c r="C9" s="89"/>
      <c r="D9" s="89"/>
    </row>
    <row r="10" spans="1:4">
      <c r="A10" s="11"/>
      <c r="B10" s="12"/>
      <c r="C10" s="12"/>
      <c r="D10" s="13"/>
    </row>
    <row r="11" spans="1:4" ht="18.75">
      <c r="A11" s="75" t="s">
        <v>4</v>
      </c>
      <c r="B11" s="12"/>
      <c r="C11" s="12"/>
      <c r="D11" s="13"/>
    </row>
    <row r="12" spans="1:4" ht="18.75">
      <c r="A12" s="76"/>
      <c r="B12" s="80" t="s">
        <v>5</v>
      </c>
      <c r="C12" s="81"/>
      <c r="D12" s="81"/>
    </row>
    <row r="13" spans="1:4" ht="18.75">
      <c r="A13" s="76"/>
      <c r="B13" s="88" t="s">
        <v>6</v>
      </c>
      <c r="C13" s="89"/>
      <c r="D13" s="89"/>
    </row>
    <row r="14" spans="1:4" ht="18.75">
      <c r="A14" s="11"/>
      <c r="B14" s="88" t="s">
        <v>7</v>
      </c>
      <c r="C14" s="89"/>
      <c r="D14" s="89"/>
    </row>
    <row r="15" spans="1:4">
      <c r="A15" s="11"/>
      <c r="B15" s="12"/>
      <c r="C15" s="12"/>
      <c r="D15" s="13"/>
    </row>
    <row r="16" spans="1:4" ht="18.75">
      <c r="A16" s="75" t="s">
        <v>8</v>
      </c>
      <c r="B16" s="12"/>
      <c r="C16" s="12"/>
      <c r="D16" s="13"/>
    </row>
    <row r="17" spans="1:4" ht="18.75">
      <c r="A17" s="11"/>
      <c r="B17" s="88" t="s">
        <v>9</v>
      </c>
      <c r="C17" s="89"/>
      <c r="D17" s="89"/>
    </row>
    <row r="18" spans="1:4" ht="18.75">
      <c r="A18" s="11"/>
      <c r="B18" s="88" t="s">
        <v>10</v>
      </c>
      <c r="C18" s="89"/>
      <c r="D18" s="89"/>
    </row>
    <row r="19" spans="1:4" ht="18.75">
      <c r="A19" s="11"/>
      <c r="B19" s="88" t="s">
        <v>11</v>
      </c>
      <c r="C19" s="89"/>
      <c r="D19" s="89"/>
    </row>
    <row r="20" spans="1:4">
      <c r="A20" s="11"/>
      <c r="B20" s="12"/>
      <c r="C20" s="12"/>
      <c r="D20" s="13"/>
    </row>
    <row r="21" spans="1:4" ht="18.75">
      <c r="A21" s="75" t="s">
        <v>12</v>
      </c>
      <c r="B21" s="12"/>
      <c r="C21" s="12"/>
      <c r="D21" s="13"/>
    </row>
    <row r="22" spans="1:4" ht="18.75">
      <c r="A22" s="11"/>
      <c r="B22" s="88" t="s">
        <v>13</v>
      </c>
      <c r="C22" s="89"/>
      <c r="D22" s="89"/>
    </row>
    <row r="23" spans="1:4" ht="18.75">
      <c r="A23" s="11"/>
      <c r="B23" s="88" t="s">
        <v>14</v>
      </c>
      <c r="C23" s="89"/>
      <c r="D23" s="89"/>
    </row>
    <row r="24" spans="1:4">
      <c r="A24" s="11"/>
      <c r="B24" s="12"/>
      <c r="C24" s="12"/>
      <c r="D24" s="13"/>
    </row>
    <row r="25" spans="1:4" ht="18.75">
      <c r="A25" s="88" t="s">
        <v>15</v>
      </c>
      <c r="B25" s="89"/>
      <c r="C25" s="89"/>
      <c r="D25" s="90"/>
    </row>
    <row r="26" spans="1:4">
      <c r="A26" s="11"/>
      <c r="B26" s="12"/>
      <c r="C26" s="12"/>
      <c r="D26" s="13"/>
    </row>
    <row r="27" spans="1:4" ht="18.75">
      <c r="A27" s="88" t="s">
        <v>16</v>
      </c>
      <c r="B27" s="89"/>
      <c r="C27" s="89"/>
      <c r="D27" s="90"/>
    </row>
    <row r="28" spans="1:4" ht="18.75" thickBot="1">
      <c r="A28" s="14"/>
      <c r="B28" s="15"/>
      <c r="C28" s="15"/>
      <c r="D28" s="16"/>
    </row>
  </sheetData>
  <mergeCells count="15">
    <mergeCell ref="B23:D23"/>
    <mergeCell ref="A25:D25"/>
    <mergeCell ref="A27:D27"/>
    <mergeCell ref="B13:D13"/>
    <mergeCell ref="B14:D14"/>
    <mergeCell ref="B17:D17"/>
    <mergeCell ref="B18:D18"/>
    <mergeCell ref="B19:D19"/>
    <mergeCell ref="B22:D22"/>
    <mergeCell ref="B12:D12"/>
    <mergeCell ref="A1:D1"/>
    <mergeCell ref="A3:D4"/>
    <mergeCell ref="A6:D6"/>
    <mergeCell ref="A8:D8"/>
    <mergeCell ref="B9:D9"/>
  </mergeCells>
  <hyperlinks>
    <hyperlink ref="A6" location="Aguascalientes_EdoUsa!A1" display="1. Por Estados de USA"/>
    <hyperlink ref="A8" location="Aguascalientes_Cons_2018!A1" display="2. Por Circunscripción Consular"/>
    <hyperlink ref="B9" location="AguascalientesXCons2018!A1" display="2.1 Top ten por circunscripción consular"/>
    <hyperlink ref="B12" location="Aguascalientes_EdoMun!A1" display="3.1 Municipio general"/>
    <hyperlink ref="B13" location="Aguascalientes_USAMuni2016!A1" display="3.2 Por Estado de USA"/>
    <hyperlink ref="B14" location="Aguascalientes_MUNICIPIO!A1" display="3.3 Por Circunscripción Consular"/>
    <hyperlink ref="B17" location="Aguascalientes_educ_gral!A1" display="4.1 Educación general"/>
    <hyperlink ref="B18" location="Aguascalientes_NivelE_Cons!A1" display="4.2 Por Estado de USA"/>
    <hyperlink ref="B19" location="Aguascalientes_EducCons!A1" display="4.3 Por Circunscripción Consular"/>
    <hyperlink ref="B22" location="Aguascalientes_GenGral!A1" display="5.1 Género General"/>
    <hyperlink ref="B23" location="Aguascalientes_GENERO!A1" display="5.3 Por Circunscripción Consular"/>
    <hyperlink ref="A25" location="Aguascalientes_Gen_Edad!A1" display="6. Por estructura de Edad"/>
    <hyperlink ref="A27" location="Aguascalientes_ocup_gral!A1" display="7. Por Ocupación"/>
    <hyperlink ref="B13:D13" location="Zacatecas_USAMuni!A1" display="3.2 Por Estado de USA"/>
    <hyperlink ref="A8:D8" location="Zacatecas_Cons!A1" display="2. Por Circunscripción Consular"/>
    <hyperlink ref="B9:D9" location="ZacatecasXCons!A1" display="2.1 Top ten por circunscripción consular"/>
    <hyperlink ref="A6:D6" location="Zacatecas_EdoUsa!A1" display="1. Por Estados de USA"/>
    <hyperlink ref="B12:D12" location="Zacatecas_EdoMun!A1" display="3.1 Municipio general"/>
    <hyperlink ref="B14:D14" location="Zacatecas_MUNICIPIO!A1" display="3.3 Por Circunscripción Consular"/>
    <hyperlink ref="B17:D17" location="Zacatecas_educ_gral!A1" display="4.1 Educación general"/>
    <hyperlink ref="B18:D18" location="Zacatecas_NivelE_Cons!A1" display="4.2 Por Estado de USA"/>
    <hyperlink ref="B19:D19" location="Zacatecas_EducCons!A1" display="4.3 Por Circunscripción Consular"/>
    <hyperlink ref="B22:D22" location="Zacatecas_GenGral!A1" display="5.1 Género General"/>
    <hyperlink ref="B23:D23" location="Zacatecas_GENERO!A1" display="5.2 Por Circunscripción Consular"/>
    <hyperlink ref="A25:D25" location="Zacatecas_Gen_Edad!A1" display="6. Por estructura de Edad"/>
    <hyperlink ref="A27:D27" location="Zacatecas_ocup_gral!A1" display="7. Por Ocupació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E66"/>
  <sheetViews>
    <sheetView showGridLines="0" topLeftCell="A43" zoomScaleNormal="100" zoomScaleSheetLayoutView="115" workbookViewId="0"/>
  </sheetViews>
  <sheetFormatPr baseColWidth="10" defaultColWidth="11.42578125" defaultRowHeight="1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5" s="29" customFormat="1" ht="15" customHeight="1">
      <c r="C1" s="35"/>
    </row>
    <row r="2" spans="1:5" s="29" customFormat="1" ht="15" customHeight="1">
      <c r="C2" s="35"/>
    </row>
    <row r="3" spans="1:5" s="29" customFormat="1" ht="15" customHeight="1">
      <c r="A3" s="29" t="s">
        <v>67</v>
      </c>
      <c r="C3" s="35"/>
    </row>
    <row r="4" spans="1:5" s="29" customFormat="1" ht="30" customHeight="1">
      <c r="C4" s="35"/>
      <c r="D4" s="34"/>
    </row>
    <row r="5" spans="1:5" s="29" customFormat="1" ht="15" customHeight="1">
      <c r="C5" s="35"/>
      <c r="D5" s="34"/>
    </row>
    <row r="6" spans="1:5" s="29" customFormat="1" ht="15" customHeight="1">
      <c r="C6" s="35"/>
      <c r="D6" s="34"/>
    </row>
    <row r="7" spans="1:5" s="29" customFormat="1" ht="15" customHeight="1">
      <c r="B7" s="91" t="s">
        <v>257</v>
      </c>
      <c r="C7" s="91"/>
      <c r="D7" s="91"/>
    </row>
    <row r="8" spans="1:5" s="29" customFormat="1" ht="15" customHeight="1">
      <c r="B8" s="91"/>
      <c r="C8" s="91"/>
      <c r="D8" s="91"/>
    </row>
    <row r="9" spans="1:5" s="29" customFormat="1" ht="33" customHeight="1">
      <c r="B9" s="91"/>
      <c r="C9" s="91"/>
      <c r="D9" s="91"/>
    </row>
    <row r="10" spans="1:5" s="29" customFormat="1" ht="4.5" customHeight="1">
      <c r="B10" s="33"/>
      <c r="C10" s="33"/>
      <c r="D10" s="33"/>
    </row>
    <row r="11" spans="1:5" s="29" customFormat="1" ht="33" customHeight="1">
      <c r="B11" s="32" t="s">
        <v>66</v>
      </c>
      <c r="C11" s="31" t="s">
        <v>65</v>
      </c>
      <c r="D11" s="30" t="s">
        <v>64</v>
      </c>
    </row>
    <row r="12" spans="1:5">
      <c r="B12" s="27" t="s">
        <v>63</v>
      </c>
      <c r="C12" s="26">
        <v>6820</v>
      </c>
      <c r="D12" s="25">
        <v>0.30078504013407426</v>
      </c>
    </row>
    <row r="13" spans="1:5">
      <c r="B13" s="27" t="s">
        <v>62</v>
      </c>
      <c r="C13" s="26">
        <v>4834</v>
      </c>
      <c r="D13" s="25">
        <v>0.21319573079297874</v>
      </c>
      <c r="E13" s="28"/>
    </row>
    <row r="14" spans="1:5">
      <c r="B14" s="27" t="s">
        <v>61</v>
      </c>
      <c r="C14" s="26">
        <v>2505</v>
      </c>
      <c r="D14" s="25">
        <v>0.11047896268854195</v>
      </c>
      <c r="E14" s="28"/>
    </row>
    <row r="15" spans="1:5">
      <c r="B15" s="27" t="s">
        <v>60</v>
      </c>
      <c r="C15" s="26">
        <v>1073</v>
      </c>
      <c r="D15" s="25">
        <v>4.7322924936050101E-2</v>
      </c>
    </row>
    <row r="16" spans="1:5">
      <c r="B16" s="27" t="s">
        <v>59</v>
      </c>
      <c r="C16" s="26">
        <v>783</v>
      </c>
      <c r="D16" s="25">
        <v>3.4532945223604131E-2</v>
      </c>
    </row>
    <row r="17" spans="2:4">
      <c r="B17" s="27" t="s">
        <v>58</v>
      </c>
      <c r="C17" s="26">
        <v>568</v>
      </c>
      <c r="D17" s="25">
        <v>2.5050718885066596E-2</v>
      </c>
    </row>
    <row r="18" spans="2:4">
      <c r="B18" s="27" t="s">
        <v>49</v>
      </c>
      <c r="C18" s="26">
        <v>499</v>
      </c>
      <c r="D18" s="25">
        <v>2.2007585781070829E-2</v>
      </c>
    </row>
    <row r="19" spans="2:4">
      <c r="B19" s="27" t="s">
        <v>51</v>
      </c>
      <c r="C19" s="26">
        <v>481</v>
      </c>
      <c r="D19" s="25">
        <v>2.1213724971332806E-2</v>
      </c>
    </row>
    <row r="20" spans="2:4">
      <c r="B20" s="27" t="s">
        <v>57</v>
      </c>
      <c r="C20" s="26">
        <v>460</v>
      </c>
      <c r="D20" s="25">
        <v>2.0287554026638441E-2</v>
      </c>
    </row>
    <row r="21" spans="2:4">
      <c r="B21" s="27" t="s">
        <v>55</v>
      </c>
      <c r="C21" s="26">
        <v>404</v>
      </c>
      <c r="D21" s="25">
        <v>1.7817764840786805E-2</v>
      </c>
    </row>
    <row r="22" spans="2:4">
      <c r="B22" s="27" t="s">
        <v>56</v>
      </c>
      <c r="C22" s="26">
        <v>351</v>
      </c>
      <c r="D22" s="25">
        <v>1.5480285789891506E-2</v>
      </c>
    </row>
    <row r="23" spans="2:4">
      <c r="B23" s="27" t="s">
        <v>53</v>
      </c>
      <c r="C23" s="26">
        <v>349</v>
      </c>
      <c r="D23" s="25">
        <v>1.5392079033253948E-2</v>
      </c>
    </row>
    <row r="24" spans="2:4">
      <c r="B24" s="27" t="s">
        <v>54</v>
      </c>
      <c r="C24" s="26">
        <v>342</v>
      </c>
      <c r="D24" s="25">
        <v>1.5083355385022493E-2</v>
      </c>
    </row>
    <row r="25" spans="2:4">
      <c r="B25" s="27" t="s">
        <v>48</v>
      </c>
      <c r="C25" s="26">
        <v>313</v>
      </c>
      <c r="D25" s="25">
        <v>1.3804357413777895E-2</v>
      </c>
    </row>
    <row r="26" spans="2:4">
      <c r="B26" s="27" t="s">
        <v>45</v>
      </c>
      <c r="C26" s="26">
        <v>294</v>
      </c>
      <c r="D26" s="25">
        <v>1.2966393225721091E-2</v>
      </c>
    </row>
    <row r="27" spans="2:4">
      <c r="B27" s="27" t="s">
        <v>46</v>
      </c>
      <c r="C27" s="26">
        <v>288</v>
      </c>
      <c r="D27" s="25">
        <v>1.2701772955808415E-2</v>
      </c>
    </row>
    <row r="28" spans="2:4">
      <c r="B28" s="27" t="s">
        <v>50</v>
      </c>
      <c r="C28" s="26">
        <v>280</v>
      </c>
      <c r="D28" s="25">
        <v>1.2348945929258181E-2</v>
      </c>
    </row>
    <row r="29" spans="2:4">
      <c r="B29" s="27" t="s">
        <v>47</v>
      </c>
      <c r="C29" s="26">
        <v>227</v>
      </c>
      <c r="D29" s="25">
        <v>1.0011466878362883E-2</v>
      </c>
    </row>
    <row r="30" spans="2:4">
      <c r="B30" s="27" t="s">
        <v>52</v>
      </c>
      <c r="C30" s="26">
        <v>182</v>
      </c>
      <c r="D30" s="25">
        <v>8.0268148540178184E-3</v>
      </c>
    </row>
    <row r="31" spans="2:4">
      <c r="B31" s="27" t="s">
        <v>42</v>
      </c>
      <c r="C31" s="26">
        <v>182</v>
      </c>
      <c r="D31" s="25">
        <v>8.0268148540178184E-3</v>
      </c>
    </row>
    <row r="32" spans="2:4">
      <c r="B32" s="27" t="s">
        <v>43</v>
      </c>
      <c r="C32" s="26">
        <v>150</v>
      </c>
      <c r="D32" s="25">
        <v>6.6155067478168824E-3</v>
      </c>
    </row>
    <row r="33" spans="2:4">
      <c r="B33" s="27" t="s">
        <v>44</v>
      </c>
      <c r="C33" s="26">
        <v>150</v>
      </c>
      <c r="D33" s="25">
        <v>6.6155067478168824E-3</v>
      </c>
    </row>
    <row r="34" spans="2:4">
      <c r="B34" s="27" t="s">
        <v>41</v>
      </c>
      <c r="C34" s="26">
        <v>142</v>
      </c>
      <c r="D34" s="25">
        <v>6.262679721266649E-3</v>
      </c>
    </row>
    <row r="35" spans="2:4">
      <c r="B35" s="27" t="s">
        <v>37</v>
      </c>
      <c r="C35" s="26">
        <v>120</v>
      </c>
      <c r="D35" s="25">
        <v>5.2924053982535066E-3</v>
      </c>
    </row>
    <row r="36" spans="2:4">
      <c r="B36" s="27" t="s">
        <v>32</v>
      </c>
      <c r="C36" s="26">
        <v>106</v>
      </c>
      <c r="D36" s="25">
        <v>4.6749581017905975E-3</v>
      </c>
    </row>
    <row r="37" spans="2:4">
      <c r="B37" s="27" t="s">
        <v>33</v>
      </c>
      <c r="C37" s="26">
        <v>101</v>
      </c>
      <c r="D37" s="25">
        <v>4.4544412101967011E-3</v>
      </c>
    </row>
    <row r="38" spans="2:4">
      <c r="B38" s="27" t="s">
        <v>40</v>
      </c>
      <c r="C38" s="26">
        <v>90</v>
      </c>
      <c r="D38" s="25">
        <v>3.9693040486901299E-3</v>
      </c>
    </row>
    <row r="39" spans="2:4">
      <c r="B39" s="27" t="s">
        <v>36</v>
      </c>
      <c r="C39" s="26">
        <v>89</v>
      </c>
      <c r="D39" s="25">
        <v>3.9252006703713507E-3</v>
      </c>
    </row>
    <row r="40" spans="2:4">
      <c r="B40" s="27" t="s">
        <v>38</v>
      </c>
      <c r="C40" s="26">
        <v>72</v>
      </c>
      <c r="D40" s="25">
        <v>3.1754432389521038E-3</v>
      </c>
    </row>
    <row r="41" spans="2:4">
      <c r="B41" s="27" t="s">
        <v>39</v>
      </c>
      <c r="C41" s="26">
        <v>58</v>
      </c>
      <c r="D41" s="25">
        <v>2.5579959424891947E-3</v>
      </c>
    </row>
    <row r="42" spans="2:4">
      <c r="B42" s="27" t="s">
        <v>34</v>
      </c>
      <c r="C42" s="26">
        <v>53</v>
      </c>
      <c r="D42" s="25">
        <v>2.3374790508952988E-3</v>
      </c>
    </row>
    <row r="43" spans="2:4">
      <c r="B43" s="27" t="s">
        <v>30</v>
      </c>
      <c r="C43" s="26">
        <v>53</v>
      </c>
      <c r="D43" s="25">
        <v>2.3374790508952988E-3</v>
      </c>
    </row>
    <row r="44" spans="2:4">
      <c r="B44" s="27" t="s">
        <v>35</v>
      </c>
      <c r="C44" s="26">
        <v>53</v>
      </c>
      <c r="D44" s="25">
        <v>2.3374790508952988E-3</v>
      </c>
    </row>
    <row r="45" spans="2:4">
      <c r="B45" s="27" t="s">
        <v>31</v>
      </c>
      <c r="C45" s="26">
        <v>42</v>
      </c>
      <c r="D45" s="25">
        <v>1.8523418893887271E-3</v>
      </c>
    </row>
    <row r="46" spans="2:4">
      <c r="B46" s="27" t="s">
        <v>29</v>
      </c>
      <c r="C46" s="26">
        <v>42</v>
      </c>
      <c r="D46" s="25">
        <v>1.8523418893887271E-3</v>
      </c>
    </row>
    <row r="47" spans="2:4">
      <c r="B47" s="27" t="s">
        <v>27</v>
      </c>
      <c r="C47" s="26">
        <v>23</v>
      </c>
      <c r="D47" s="25">
        <v>1.0143777013319221E-3</v>
      </c>
    </row>
    <row r="48" spans="2:4">
      <c r="B48" s="27" t="s">
        <v>23</v>
      </c>
      <c r="C48" s="26">
        <v>19</v>
      </c>
      <c r="D48" s="25">
        <v>8.3796418805680512E-4</v>
      </c>
    </row>
    <row r="49" spans="2:4">
      <c r="B49" s="27" t="s">
        <v>250</v>
      </c>
      <c r="C49" s="26">
        <v>18</v>
      </c>
      <c r="D49" s="25">
        <v>7.9386080973802594E-4</v>
      </c>
    </row>
    <row r="50" spans="2:4">
      <c r="B50" s="27" t="s">
        <v>24</v>
      </c>
      <c r="C50" s="26">
        <v>16</v>
      </c>
      <c r="D50" s="25">
        <v>7.0565405310046749E-4</v>
      </c>
    </row>
    <row r="51" spans="2:4">
      <c r="B51" s="27" t="s">
        <v>26</v>
      </c>
      <c r="C51" s="26">
        <v>7</v>
      </c>
      <c r="D51" s="25">
        <v>3.0872364823145452E-4</v>
      </c>
    </row>
    <row r="52" spans="2:4">
      <c r="B52" s="27" t="s">
        <v>22</v>
      </c>
      <c r="C52" s="26">
        <v>7</v>
      </c>
      <c r="D52" s="25">
        <v>3.0872364823145452E-4</v>
      </c>
    </row>
    <row r="53" spans="2:4">
      <c r="B53" s="27" t="s">
        <v>251</v>
      </c>
      <c r="C53" s="26">
        <v>7</v>
      </c>
      <c r="D53" s="25">
        <v>3.0872364823145452E-4</v>
      </c>
    </row>
    <row r="54" spans="2:4">
      <c r="B54" s="27" t="s">
        <v>28</v>
      </c>
      <c r="C54" s="26">
        <v>6</v>
      </c>
      <c r="D54" s="25">
        <v>2.646202699126753E-4</v>
      </c>
    </row>
    <row r="55" spans="2:4">
      <c r="B55" s="27" t="s">
        <v>25</v>
      </c>
      <c r="C55" s="26">
        <v>5</v>
      </c>
      <c r="D55" s="25">
        <v>2.205168915938961E-4</v>
      </c>
    </row>
    <row r="56" spans="2:4">
      <c r="B56" s="27" t="s">
        <v>21</v>
      </c>
      <c r="C56" s="26">
        <v>5</v>
      </c>
      <c r="D56" s="25">
        <v>2.205168915938961E-4</v>
      </c>
    </row>
    <row r="57" spans="2:4">
      <c r="B57" s="27" t="s">
        <v>252</v>
      </c>
      <c r="C57" s="26">
        <v>2</v>
      </c>
      <c r="D57" s="25">
        <v>8.8206756637558437E-5</v>
      </c>
    </row>
    <row r="58" spans="2:4">
      <c r="B58" s="27" t="s">
        <v>253</v>
      </c>
      <c r="C58" s="26">
        <v>2</v>
      </c>
      <c r="D58" s="25">
        <v>8.8206756637558437E-5</v>
      </c>
    </row>
    <row r="59" spans="2:4">
      <c r="B59" s="27" t="s">
        <v>254</v>
      </c>
      <c r="C59" s="26">
        <v>1</v>
      </c>
      <c r="D59" s="25">
        <v>4.4103378318779218E-5</v>
      </c>
    </row>
    <row r="60" spans="2:4">
      <c r="B60" s="24" t="s">
        <v>20</v>
      </c>
      <c r="C60" s="23">
        <v>22674</v>
      </c>
      <c r="D60" s="22">
        <v>1</v>
      </c>
    </row>
    <row r="62" spans="2:4">
      <c r="B62" s="19" t="s">
        <v>255</v>
      </c>
    </row>
    <row r="63" spans="2:4">
      <c r="B63" s="21" t="s">
        <v>19</v>
      </c>
    </row>
    <row r="64" spans="2:4">
      <c r="B64" s="20" t="s">
        <v>18</v>
      </c>
    </row>
    <row r="65" spans="2:2">
      <c r="B65" s="19" t="s">
        <v>17</v>
      </c>
    </row>
    <row r="66" spans="2:2">
      <c r="B66" s="19" t="s">
        <v>256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E67"/>
  <sheetViews>
    <sheetView showGridLines="0" topLeftCell="A37" zoomScaleNormal="100" zoomScaleSheetLayoutView="115" workbookViewId="0"/>
  </sheetViews>
  <sheetFormatPr baseColWidth="10" defaultColWidth="11.42578125" defaultRowHeight="1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5" s="29" customFormat="1" ht="15" customHeight="1">
      <c r="C1" s="35"/>
    </row>
    <row r="2" spans="1:5" s="29" customFormat="1" ht="15" customHeight="1">
      <c r="C2" s="35"/>
    </row>
    <row r="3" spans="1:5" s="29" customFormat="1" ht="15" customHeight="1">
      <c r="A3" s="29" t="s">
        <v>67</v>
      </c>
      <c r="C3" s="35"/>
    </row>
    <row r="4" spans="1:5" s="29" customFormat="1" ht="30" customHeight="1">
      <c r="C4" s="35"/>
      <c r="D4" s="34"/>
    </row>
    <row r="5" spans="1:5" s="29" customFormat="1" ht="15" customHeight="1">
      <c r="C5" s="35"/>
      <c r="D5" s="34"/>
    </row>
    <row r="6" spans="1:5" s="29" customFormat="1" ht="15" customHeight="1">
      <c r="C6" s="35"/>
      <c r="D6" s="34"/>
    </row>
    <row r="7" spans="1:5" s="29" customFormat="1" ht="15" customHeight="1">
      <c r="B7" s="91" t="s">
        <v>258</v>
      </c>
      <c r="C7" s="91"/>
      <c r="D7" s="91"/>
    </row>
    <row r="8" spans="1:5" s="29" customFormat="1" ht="15" customHeight="1">
      <c r="B8" s="91"/>
      <c r="C8" s="91"/>
      <c r="D8" s="91"/>
    </row>
    <row r="9" spans="1:5" s="29" customFormat="1" ht="33" customHeight="1">
      <c r="B9" s="91"/>
      <c r="C9" s="91"/>
      <c r="D9" s="91"/>
    </row>
    <row r="10" spans="1:5" s="29" customFormat="1" ht="4.5" customHeight="1">
      <c r="B10" s="33"/>
      <c r="C10" s="33"/>
      <c r="D10" s="33"/>
    </row>
    <row r="11" spans="1:5" s="29" customFormat="1" ht="33" customHeight="1">
      <c r="B11" s="32" t="s">
        <v>115</v>
      </c>
      <c r="C11" s="31" t="s">
        <v>65</v>
      </c>
      <c r="D11" s="30" t="s">
        <v>64</v>
      </c>
    </row>
    <row r="12" spans="1:5">
      <c r="B12" s="27" t="s">
        <v>111</v>
      </c>
      <c r="C12" s="26">
        <v>4167</v>
      </c>
      <c r="D12" s="25">
        <v>0.183778777454353</v>
      </c>
    </row>
    <row r="13" spans="1:5">
      <c r="B13" s="27" t="s">
        <v>113</v>
      </c>
      <c r="C13" s="26">
        <v>2700</v>
      </c>
      <c r="D13" s="25">
        <v>0.11907912146070389</v>
      </c>
    </row>
    <row r="14" spans="1:5">
      <c r="B14" s="27" t="s">
        <v>114</v>
      </c>
      <c r="C14" s="26">
        <v>2148</v>
      </c>
      <c r="D14" s="25">
        <v>9.4734056628737767E-2</v>
      </c>
      <c r="E14" s="28"/>
    </row>
    <row r="15" spans="1:5">
      <c r="B15" s="27" t="s">
        <v>112</v>
      </c>
      <c r="C15" s="26">
        <v>1527</v>
      </c>
      <c r="D15" s="25">
        <v>6.7345858692775873E-2</v>
      </c>
    </row>
    <row r="16" spans="1:5">
      <c r="B16" s="27" t="s">
        <v>102</v>
      </c>
      <c r="C16" s="26">
        <v>1114</v>
      </c>
      <c r="D16" s="25">
        <v>4.9131163447120048E-2</v>
      </c>
    </row>
    <row r="17" spans="2:4">
      <c r="B17" s="27" t="s">
        <v>95</v>
      </c>
      <c r="C17" s="26">
        <v>1086</v>
      </c>
      <c r="D17" s="25">
        <v>4.7896268854194228E-2</v>
      </c>
    </row>
    <row r="18" spans="2:4">
      <c r="B18" s="27" t="s">
        <v>110</v>
      </c>
      <c r="C18" s="26">
        <v>677</v>
      </c>
      <c r="D18" s="25">
        <v>2.9857987121813531E-2</v>
      </c>
    </row>
    <row r="19" spans="2:4">
      <c r="B19" s="27" t="s">
        <v>106</v>
      </c>
      <c r="C19" s="26">
        <v>660</v>
      </c>
      <c r="D19" s="25">
        <v>2.9108229690394283E-2</v>
      </c>
    </row>
    <row r="20" spans="2:4">
      <c r="B20" s="27" t="s">
        <v>107</v>
      </c>
      <c r="C20" s="26">
        <v>592</v>
      </c>
      <c r="D20" s="25">
        <v>2.6109199964717299E-2</v>
      </c>
    </row>
    <row r="21" spans="2:4">
      <c r="B21" s="27" t="s">
        <v>98</v>
      </c>
      <c r="C21" s="26">
        <v>522</v>
      </c>
      <c r="D21" s="25">
        <v>2.3021963482402753E-2</v>
      </c>
    </row>
    <row r="22" spans="2:4">
      <c r="B22" s="27" t="s">
        <v>100</v>
      </c>
      <c r="C22" s="26">
        <v>515</v>
      </c>
      <c r="D22" s="25">
        <v>2.2713239834171298E-2</v>
      </c>
    </row>
    <row r="23" spans="2:4">
      <c r="B23" s="27" t="s">
        <v>108</v>
      </c>
      <c r="C23" s="26">
        <v>502</v>
      </c>
      <c r="D23" s="25">
        <v>2.2139895916027167E-2</v>
      </c>
    </row>
    <row r="24" spans="2:4">
      <c r="B24" s="27" t="s">
        <v>85</v>
      </c>
      <c r="C24" s="26">
        <v>457</v>
      </c>
      <c r="D24" s="25">
        <v>2.0155243891682103E-2</v>
      </c>
    </row>
    <row r="25" spans="2:4">
      <c r="B25" s="27" t="s">
        <v>91</v>
      </c>
      <c r="C25" s="26">
        <v>425</v>
      </c>
      <c r="D25" s="25">
        <v>1.8743935785481169E-2</v>
      </c>
    </row>
    <row r="26" spans="2:4">
      <c r="B26" s="27" t="s">
        <v>87</v>
      </c>
      <c r="C26" s="26">
        <v>399</v>
      </c>
      <c r="D26" s="25">
        <v>1.7597247949192908E-2</v>
      </c>
    </row>
    <row r="27" spans="2:4">
      <c r="B27" s="27" t="s">
        <v>103</v>
      </c>
      <c r="C27" s="26">
        <v>374</v>
      </c>
      <c r="D27" s="25">
        <v>1.6494663491223426E-2</v>
      </c>
    </row>
    <row r="28" spans="2:4">
      <c r="B28" s="27" t="s">
        <v>76</v>
      </c>
      <c r="C28" s="26">
        <v>360</v>
      </c>
      <c r="D28" s="25">
        <v>1.587721619476052E-2</v>
      </c>
    </row>
    <row r="29" spans="2:4">
      <c r="B29" s="27" t="s">
        <v>86</v>
      </c>
      <c r="C29" s="26">
        <v>343</v>
      </c>
      <c r="D29" s="25">
        <v>1.5127458763341272E-2</v>
      </c>
    </row>
    <row r="30" spans="2:4">
      <c r="B30" s="27" t="s">
        <v>94</v>
      </c>
      <c r="C30" s="26">
        <v>331</v>
      </c>
      <c r="D30" s="25">
        <v>1.4598218223515921E-2</v>
      </c>
    </row>
    <row r="31" spans="2:4">
      <c r="B31" s="27" t="s">
        <v>99</v>
      </c>
      <c r="C31" s="26">
        <v>328</v>
      </c>
      <c r="D31" s="25">
        <v>1.4465908088559583E-2</v>
      </c>
    </row>
    <row r="32" spans="2:4">
      <c r="B32" s="27" t="s">
        <v>81</v>
      </c>
      <c r="C32" s="26">
        <v>301</v>
      </c>
      <c r="D32" s="25">
        <v>1.3275116873952544E-2</v>
      </c>
    </row>
    <row r="33" spans="2:4">
      <c r="B33" s="27" t="s">
        <v>82</v>
      </c>
      <c r="C33" s="26">
        <v>301</v>
      </c>
      <c r="D33" s="25">
        <v>1.3275116873952544E-2</v>
      </c>
    </row>
    <row r="34" spans="2:4">
      <c r="B34" s="27" t="s">
        <v>105</v>
      </c>
      <c r="C34" s="26">
        <v>286</v>
      </c>
      <c r="D34" s="25">
        <v>1.2613566199170857E-2</v>
      </c>
    </row>
    <row r="35" spans="2:4">
      <c r="B35" s="27" t="s">
        <v>80</v>
      </c>
      <c r="C35" s="26">
        <v>250</v>
      </c>
      <c r="D35" s="25">
        <v>1.1025844579694804E-2</v>
      </c>
    </row>
    <row r="36" spans="2:4">
      <c r="B36" s="27" t="s">
        <v>104</v>
      </c>
      <c r="C36" s="26">
        <v>244</v>
      </c>
      <c r="D36" s="25">
        <v>1.0761224309782129E-2</v>
      </c>
    </row>
    <row r="37" spans="2:4">
      <c r="B37" s="27" t="s">
        <v>96</v>
      </c>
      <c r="C37" s="26">
        <v>226</v>
      </c>
      <c r="D37" s="25">
        <v>9.9673635000441033E-3</v>
      </c>
    </row>
    <row r="38" spans="2:4">
      <c r="B38" s="27" t="s">
        <v>101</v>
      </c>
      <c r="C38" s="26">
        <v>201</v>
      </c>
      <c r="D38" s="25">
        <v>8.864779042074623E-3</v>
      </c>
    </row>
    <row r="39" spans="2:4">
      <c r="B39" s="27" t="s">
        <v>78</v>
      </c>
      <c r="C39" s="26">
        <v>180</v>
      </c>
      <c r="D39" s="25">
        <v>7.9386080973802599E-3</v>
      </c>
    </row>
    <row r="40" spans="2:4">
      <c r="B40" s="27" t="s">
        <v>97</v>
      </c>
      <c r="C40" s="26">
        <v>174</v>
      </c>
      <c r="D40" s="25">
        <v>7.6739878274675842E-3</v>
      </c>
    </row>
    <row r="41" spans="2:4">
      <c r="B41" s="27" t="s">
        <v>84</v>
      </c>
      <c r="C41" s="26">
        <v>168</v>
      </c>
      <c r="D41" s="25">
        <v>7.4093675575549085E-3</v>
      </c>
    </row>
    <row r="42" spans="2:4">
      <c r="B42" s="27" t="s">
        <v>38</v>
      </c>
      <c r="C42" s="26">
        <v>155</v>
      </c>
      <c r="D42" s="25">
        <v>6.8360236394107788E-3</v>
      </c>
    </row>
    <row r="43" spans="2:4">
      <c r="B43" s="27" t="s">
        <v>93</v>
      </c>
      <c r="C43" s="26">
        <v>147</v>
      </c>
      <c r="D43" s="25">
        <v>6.4831966128605454E-3</v>
      </c>
    </row>
    <row r="44" spans="2:4">
      <c r="B44" s="27" t="s">
        <v>88</v>
      </c>
      <c r="C44" s="26">
        <v>144</v>
      </c>
      <c r="D44" s="25">
        <v>6.3508864779042076E-3</v>
      </c>
    </row>
    <row r="45" spans="2:4">
      <c r="B45" s="27" t="s">
        <v>79</v>
      </c>
      <c r="C45" s="26">
        <v>130</v>
      </c>
      <c r="D45" s="25">
        <v>5.7334391814412985E-3</v>
      </c>
    </row>
    <row r="46" spans="2:4">
      <c r="B46" s="27" t="s">
        <v>90</v>
      </c>
      <c r="C46" s="26">
        <v>116</v>
      </c>
      <c r="D46" s="25">
        <v>5.1159918849783895E-3</v>
      </c>
    </row>
    <row r="47" spans="2:4">
      <c r="B47" s="27" t="s">
        <v>92</v>
      </c>
      <c r="C47" s="26">
        <v>88</v>
      </c>
      <c r="D47" s="25">
        <v>3.8810972920525714E-3</v>
      </c>
    </row>
    <row r="48" spans="2:4">
      <c r="B48" s="27" t="s">
        <v>83</v>
      </c>
      <c r="C48" s="26">
        <v>85</v>
      </c>
      <c r="D48" s="25">
        <v>3.7487871570962335E-3</v>
      </c>
    </row>
    <row r="49" spans="2:4">
      <c r="B49" s="27" t="s">
        <v>89</v>
      </c>
      <c r="C49" s="26">
        <v>77</v>
      </c>
      <c r="D49" s="25">
        <v>3.3959601305459997E-3</v>
      </c>
    </row>
    <row r="50" spans="2:4">
      <c r="B50" s="27" t="s">
        <v>109</v>
      </c>
      <c r="C50" s="26">
        <v>43</v>
      </c>
      <c r="D50" s="25">
        <v>1.8964452677075064E-3</v>
      </c>
    </row>
    <row r="51" spans="2:4">
      <c r="B51" s="27" t="s">
        <v>72</v>
      </c>
      <c r="C51" s="26">
        <v>23</v>
      </c>
      <c r="D51" s="25">
        <v>1.0143777013319221E-3</v>
      </c>
    </row>
    <row r="52" spans="2:4">
      <c r="B52" s="27" t="s">
        <v>74</v>
      </c>
      <c r="C52" s="26">
        <v>23</v>
      </c>
      <c r="D52" s="25">
        <v>1.0143777013319221E-3</v>
      </c>
    </row>
    <row r="53" spans="2:4">
      <c r="B53" s="27" t="s">
        <v>77</v>
      </c>
      <c r="C53" s="26">
        <v>21</v>
      </c>
      <c r="D53" s="25">
        <v>9.2617094469436357E-4</v>
      </c>
    </row>
    <row r="54" spans="2:4">
      <c r="B54" s="27" t="s">
        <v>75</v>
      </c>
      <c r="C54" s="26">
        <v>18</v>
      </c>
      <c r="D54" s="25">
        <v>7.9386080973802594E-4</v>
      </c>
    </row>
    <row r="55" spans="2:4">
      <c r="B55" s="27" t="s">
        <v>71</v>
      </c>
      <c r="C55" s="26">
        <v>16</v>
      </c>
      <c r="D55" s="25">
        <v>7.0565405310046749E-4</v>
      </c>
    </row>
    <row r="56" spans="2:4">
      <c r="B56" s="27" t="s">
        <v>73</v>
      </c>
      <c r="C56" s="26">
        <v>14</v>
      </c>
      <c r="D56" s="25">
        <v>6.1744729646290904E-4</v>
      </c>
    </row>
    <row r="57" spans="2:4">
      <c r="B57" s="27" t="s">
        <v>69</v>
      </c>
      <c r="C57" s="26">
        <v>9</v>
      </c>
      <c r="D57" s="25">
        <v>3.9693040486901297E-4</v>
      </c>
    </row>
    <row r="58" spans="2:4">
      <c r="B58" s="27" t="s">
        <v>70</v>
      </c>
      <c r="C58" s="26">
        <v>3</v>
      </c>
      <c r="D58" s="25">
        <v>1.3231013495633765E-4</v>
      </c>
    </row>
    <row r="59" spans="2:4">
      <c r="B59" s="27" t="s">
        <v>259</v>
      </c>
      <c r="C59" s="26">
        <v>2</v>
      </c>
      <c r="D59" s="25">
        <v>8.8206756637558437E-5</v>
      </c>
    </row>
    <row r="60" spans="2:4">
      <c r="B60" s="27" t="s">
        <v>68</v>
      </c>
      <c r="C60" s="26">
        <v>2</v>
      </c>
      <c r="D60" s="25">
        <v>8.8206756637558437E-5</v>
      </c>
    </row>
    <row r="61" spans="2:4">
      <c r="B61" s="24" t="s">
        <v>20</v>
      </c>
      <c r="C61" s="23">
        <v>22674</v>
      </c>
      <c r="D61" s="22">
        <v>1</v>
      </c>
    </row>
    <row r="63" spans="2:4">
      <c r="B63" s="19" t="s">
        <v>255</v>
      </c>
    </row>
    <row r="64" spans="2:4">
      <c r="B64" s="21" t="s">
        <v>19</v>
      </c>
    </row>
    <row r="65" spans="2:2">
      <c r="B65" s="20" t="s">
        <v>18</v>
      </c>
    </row>
    <row r="66" spans="2:2">
      <c r="B66" s="19" t="s">
        <v>17</v>
      </c>
    </row>
    <row r="67" spans="2:2">
      <c r="B67" s="19" t="s">
        <v>256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E28"/>
  <sheetViews>
    <sheetView showGridLines="0" zoomScaleNormal="100" zoomScaleSheetLayoutView="115" workbookViewId="0">
      <selection activeCell="B7" sqref="B7:D9"/>
    </sheetView>
  </sheetViews>
  <sheetFormatPr baseColWidth="10" defaultColWidth="11.42578125" defaultRowHeight="1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5" s="29" customFormat="1" ht="15" customHeight="1">
      <c r="C1" s="35"/>
    </row>
    <row r="2" spans="1:5" s="29" customFormat="1" ht="15" customHeight="1">
      <c r="C2" s="35"/>
    </row>
    <row r="3" spans="1:5" s="29" customFormat="1" ht="15" customHeight="1">
      <c r="A3" s="29" t="s">
        <v>67</v>
      </c>
      <c r="C3" s="35"/>
    </row>
    <row r="4" spans="1:5" s="29" customFormat="1" ht="30" customHeight="1">
      <c r="C4" s="35"/>
      <c r="D4" s="34"/>
    </row>
    <row r="5" spans="1:5" s="29" customFormat="1" ht="15" customHeight="1">
      <c r="C5" s="35"/>
      <c r="D5" s="34"/>
    </row>
    <row r="6" spans="1:5" s="29" customFormat="1" ht="15" customHeight="1">
      <c r="C6" s="35"/>
      <c r="D6" s="34"/>
    </row>
    <row r="7" spans="1:5" s="29" customFormat="1" ht="15" customHeight="1">
      <c r="B7" s="91" t="s">
        <v>268</v>
      </c>
      <c r="C7" s="91"/>
      <c r="D7" s="91"/>
    </row>
    <row r="8" spans="1:5" s="29" customFormat="1" ht="15" customHeight="1">
      <c r="B8" s="91"/>
      <c r="C8" s="91"/>
      <c r="D8" s="91"/>
    </row>
    <row r="9" spans="1:5" s="29" customFormat="1" ht="33" customHeight="1">
      <c r="B9" s="91"/>
      <c r="C9" s="91"/>
      <c r="D9" s="91"/>
    </row>
    <row r="10" spans="1:5" s="29" customFormat="1" ht="4.5" customHeight="1">
      <c r="B10" s="33"/>
      <c r="C10" s="33"/>
      <c r="D10" s="33"/>
    </row>
    <row r="11" spans="1:5" s="29" customFormat="1" ht="33" customHeight="1">
      <c r="B11" s="32" t="s">
        <v>115</v>
      </c>
      <c r="C11" s="31" t="s">
        <v>65</v>
      </c>
      <c r="D11" s="30" t="s">
        <v>64</v>
      </c>
    </row>
    <row r="12" spans="1:5">
      <c r="B12" s="27" t="s">
        <v>111</v>
      </c>
      <c r="C12" s="26">
        <v>4167</v>
      </c>
      <c r="D12" s="25">
        <f>C12/$C$22</f>
        <v>0.27427104587639045</v>
      </c>
    </row>
    <row r="13" spans="1:5">
      <c r="B13" s="27" t="s">
        <v>113</v>
      </c>
      <c r="C13" s="26">
        <v>2700</v>
      </c>
      <c r="D13" s="25">
        <f t="shared" ref="D13:D21" si="0">C13/$C$22</f>
        <v>0.17771342065424867</v>
      </c>
    </row>
    <row r="14" spans="1:5">
      <c r="B14" s="27" t="s">
        <v>114</v>
      </c>
      <c r="C14" s="26">
        <v>2148</v>
      </c>
      <c r="D14" s="25">
        <f t="shared" si="0"/>
        <v>0.14138089909826895</v>
      </c>
      <c r="E14" s="28"/>
    </row>
    <row r="15" spans="1:5">
      <c r="B15" s="27" t="s">
        <v>112</v>
      </c>
      <c r="C15" s="26">
        <v>1527</v>
      </c>
      <c r="D15" s="25">
        <f t="shared" si="0"/>
        <v>0.10050681234779174</v>
      </c>
      <c r="E15" s="28"/>
    </row>
    <row r="16" spans="1:5">
      <c r="B16" s="27" t="s">
        <v>102</v>
      </c>
      <c r="C16" s="26">
        <v>1114</v>
      </c>
      <c r="D16" s="25">
        <f t="shared" si="0"/>
        <v>7.3323240966234451E-2</v>
      </c>
    </row>
    <row r="17" spans="2:4">
      <c r="B17" s="27" t="s">
        <v>95</v>
      </c>
      <c r="C17" s="26">
        <v>1086</v>
      </c>
      <c r="D17" s="25">
        <f t="shared" si="0"/>
        <v>7.1480286974264465E-2</v>
      </c>
    </row>
    <row r="18" spans="2:4">
      <c r="B18" s="27" t="s">
        <v>110</v>
      </c>
      <c r="C18" s="26">
        <v>677</v>
      </c>
      <c r="D18" s="25">
        <f t="shared" si="0"/>
        <v>4.4559994734417165E-2</v>
      </c>
    </row>
    <row r="19" spans="2:4">
      <c r="B19" s="27" t="s">
        <v>106</v>
      </c>
      <c r="C19" s="26">
        <v>660</v>
      </c>
      <c r="D19" s="25">
        <f t="shared" si="0"/>
        <v>4.3441058382149678E-2</v>
      </c>
    </row>
    <row r="20" spans="2:4">
      <c r="B20" s="27" t="s">
        <v>107</v>
      </c>
      <c r="C20" s="26">
        <v>592</v>
      </c>
      <c r="D20" s="25">
        <f t="shared" si="0"/>
        <v>3.8965312973079709E-2</v>
      </c>
    </row>
    <row r="21" spans="2:4">
      <c r="B21" s="27" t="s">
        <v>98</v>
      </c>
      <c r="C21" s="26">
        <v>522</v>
      </c>
      <c r="D21" s="25">
        <f t="shared" si="0"/>
        <v>3.4357927993154742E-2</v>
      </c>
    </row>
    <row r="22" spans="2:4">
      <c r="B22" s="24" t="s">
        <v>210</v>
      </c>
      <c r="C22" s="23">
        <f>SUM(C12:C21)</f>
        <v>15193</v>
      </c>
      <c r="D22" s="22">
        <f t="shared" ref="D22" si="1">C22/$C$22</f>
        <v>1</v>
      </c>
    </row>
    <row r="24" spans="2:4">
      <c r="B24" s="19" t="s">
        <v>255</v>
      </c>
    </row>
    <row r="25" spans="2:4">
      <c r="B25" s="21" t="s">
        <v>19</v>
      </c>
    </row>
    <row r="26" spans="2:4">
      <c r="B26" s="20" t="s">
        <v>18</v>
      </c>
    </row>
    <row r="27" spans="2:4">
      <c r="B27" s="19" t="s">
        <v>17</v>
      </c>
    </row>
    <row r="28" spans="2:4">
      <c r="B28" s="19" t="s">
        <v>256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D90"/>
  <sheetViews>
    <sheetView showGridLines="0" topLeftCell="A49" zoomScaleNormal="100" zoomScaleSheetLayoutView="115" workbookViewId="0">
      <selection activeCell="C70" sqref="C70"/>
    </sheetView>
  </sheetViews>
  <sheetFormatPr baseColWidth="10" defaultColWidth="11.42578125" defaultRowHeight="1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4" s="29" customFormat="1" ht="15" customHeight="1">
      <c r="C1" s="35"/>
    </row>
    <row r="2" spans="1:4" s="29" customFormat="1" ht="15" customHeight="1">
      <c r="C2" s="35"/>
    </row>
    <row r="3" spans="1:4" s="29" customFormat="1" ht="15" customHeight="1">
      <c r="A3" s="29" t="s">
        <v>67</v>
      </c>
      <c r="C3" s="35"/>
    </row>
    <row r="4" spans="1:4" s="29" customFormat="1" ht="30" customHeight="1">
      <c r="C4" s="35"/>
      <c r="D4" s="34"/>
    </row>
    <row r="5" spans="1:4" s="29" customFormat="1" ht="15" customHeight="1">
      <c r="C5" s="35"/>
      <c r="D5" s="34"/>
    </row>
    <row r="6" spans="1:4" s="29" customFormat="1" ht="15" customHeight="1">
      <c r="C6" s="35"/>
      <c r="D6" s="34"/>
    </row>
    <row r="7" spans="1:4" s="29" customFormat="1" ht="15" customHeight="1">
      <c r="B7" s="91" t="s">
        <v>260</v>
      </c>
      <c r="C7" s="91"/>
      <c r="D7" s="91"/>
    </row>
    <row r="8" spans="1:4" s="29" customFormat="1" ht="15" customHeight="1">
      <c r="B8" s="91"/>
      <c r="C8" s="91"/>
      <c r="D8" s="91"/>
    </row>
    <row r="9" spans="1:4" s="29" customFormat="1" ht="33" customHeight="1">
      <c r="B9" s="91"/>
      <c r="C9" s="91"/>
      <c r="D9" s="91"/>
    </row>
    <row r="10" spans="1:4" s="29" customFormat="1" ht="4.5" customHeight="1">
      <c r="B10" s="33"/>
      <c r="C10" s="33"/>
      <c r="D10" s="33"/>
    </row>
    <row r="11" spans="1:4" s="29" customFormat="1" ht="33" customHeight="1">
      <c r="B11" s="32" t="s">
        <v>173</v>
      </c>
      <c r="C11" s="31" t="s">
        <v>65</v>
      </c>
      <c r="D11" s="30" t="s">
        <v>64</v>
      </c>
    </row>
    <row r="12" spans="1:4">
      <c r="B12" s="27" t="s">
        <v>172</v>
      </c>
      <c r="C12" s="26">
        <v>2589</v>
      </c>
      <c r="D12" s="25">
        <v>0.11418364646731939</v>
      </c>
    </row>
    <row r="13" spans="1:4">
      <c r="B13" s="27" t="s">
        <v>171</v>
      </c>
      <c r="C13" s="26">
        <v>1535</v>
      </c>
      <c r="D13" s="25">
        <v>6.7698685719326107E-2</v>
      </c>
    </row>
    <row r="14" spans="1:4">
      <c r="B14" s="27" t="s">
        <v>170</v>
      </c>
      <c r="C14" s="26">
        <v>1234</v>
      </c>
      <c r="D14" s="25">
        <v>5.4423568845373554E-2</v>
      </c>
    </row>
    <row r="15" spans="1:4">
      <c r="B15" s="27" t="s">
        <v>169</v>
      </c>
      <c r="C15" s="26">
        <v>1197</v>
      </c>
      <c r="D15" s="25">
        <v>5.2791743847578725E-2</v>
      </c>
    </row>
    <row r="16" spans="1:4">
      <c r="B16" s="27" t="s">
        <v>168</v>
      </c>
      <c r="C16" s="26">
        <v>1162</v>
      </c>
      <c r="D16" s="25">
        <v>5.1248125606421453E-2</v>
      </c>
    </row>
    <row r="17" spans="2:4">
      <c r="B17" s="27" t="s">
        <v>165</v>
      </c>
      <c r="C17" s="26">
        <v>1151</v>
      </c>
      <c r="D17" s="25">
        <v>5.0762988444914878E-2</v>
      </c>
    </row>
    <row r="18" spans="2:4">
      <c r="B18" s="27" t="s">
        <v>167</v>
      </c>
      <c r="C18" s="26">
        <v>1079</v>
      </c>
      <c r="D18" s="25">
        <v>4.7587545205962777E-2</v>
      </c>
    </row>
    <row r="19" spans="2:4">
      <c r="B19" s="27" t="s">
        <v>164</v>
      </c>
      <c r="C19" s="26">
        <v>1027</v>
      </c>
      <c r="D19" s="25">
        <v>4.5294169533386254E-2</v>
      </c>
    </row>
    <row r="20" spans="2:4">
      <c r="B20" s="27" t="s">
        <v>166</v>
      </c>
      <c r="C20" s="26">
        <v>925</v>
      </c>
      <c r="D20" s="25">
        <v>4.0795624944870774E-2</v>
      </c>
    </row>
    <row r="21" spans="2:4">
      <c r="B21" s="27" t="s">
        <v>163</v>
      </c>
      <c r="C21" s="26">
        <v>649</v>
      </c>
      <c r="D21" s="25">
        <v>2.8623092528887714E-2</v>
      </c>
    </row>
    <row r="22" spans="2:4">
      <c r="B22" s="27" t="s">
        <v>161</v>
      </c>
      <c r="C22" s="26">
        <v>634</v>
      </c>
      <c r="D22" s="25">
        <v>2.7961541854106025E-2</v>
      </c>
    </row>
    <row r="23" spans="2:4">
      <c r="B23" s="27" t="s">
        <v>162</v>
      </c>
      <c r="C23" s="26">
        <v>617</v>
      </c>
      <c r="D23" s="25">
        <v>2.7211784422686777E-2</v>
      </c>
    </row>
    <row r="24" spans="2:4" ht="27">
      <c r="B24" s="27" t="s">
        <v>159</v>
      </c>
      <c r="C24" s="26">
        <v>569</v>
      </c>
      <c r="D24" s="25">
        <v>2.5094822263385375E-2</v>
      </c>
    </row>
    <row r="25" spans="2:4">
      <c r="B25" s="27" t="s">
        <v>160</v>
      </c>
      <c r="C25" s="26">
        <v>546</v>
      </c>
      <c r="D25" s="25">
        <v>2.4080444562053452E-2</v>
      </c>
    </row>
    <row r="26" spans="2:4">
      <c r="B26" s="27" t="s">
        <v>157</v>
      </c>
      <c r="C26" s="26">
        <v>510</v>
      </c>
      <c r="D26" s="25">
        <v>2.2492722942577401E-2</v>
      </c>
    </row>
    <row r="27" spans="2:4">
      <c r="B27" s="27" t="s">
        <v>158</v>
      </c>
      <c r="C27" s="26">
        <v>509</v>
      </c>
      <c r="D27" s="25">
        <v>2.2448619564258622E-2</v>
      </c>
    </row>
    <row r="28" spans="2:4">
      <c r="B28" s="27" t="s">
        <v>156</v>
      </c>
      <c r="C28" s="26">
        <v>436</v>
      </c>
      <c r="D28" s="25">
        <v>1.9229072946987738E-2</v>
      </c>
    </row>
    <row r="29" spans="2:4" ht="27">
      <c r="B29" s="27" t="s">
        <v>155</v>
      </c>
      <c r="C29" s="26">
        <v>419</v>
      </c>
      <c r="D29" s="25">
        <v>1.8479315515568494E-2</v>
      </c>
    </row>
    <row r="30" spans="2:4">
      <c r="B30" s="27" t="s">
        <v>153</v>
      </c>
      <c r="C30" s="26">
        <v>403</v>
      </c>
      <c r="D30" s="25">
        <v>1.7773661462468025E-2</v>
      </c>
    </row>
    <row r="31" spans="2:4">
      <c r="B31" s="27" t="s">
        <v>154</v>
      </c>
      <c r="C31" s="26">
        <v>360</v>
      </c>
      <c r="D31" s="25">
        <v>1.587721619476052E-2</v>
      </c>
    </row>
    <row r="32" spans="2:4">
      <c r="B32" s="27" t="s">
        <v>151</v>
      </c>
      <c r="C32" s="26">
        <v>331</v>
      </c>
      <c r="D32" s="25">
        <v>1.4598218223515921E-2</v>
      </c>
    </row>
    <row r="33" spans="2:4">
      <c r="B33" s="27" t="s">
        <v>149</v>
      </c>
      <c r="C33" s="26">
        <v>267</v>
      </c>
      <c r="D33" s="25">
        <v>1.1775602011114052E-2</v>
      </c>
    </row>
    <row r="34" spans="2:4">
      <c r="B34" s="27" t="s">
        <v>147</v>
      </c>
      <c r="C34" s="26">
        <v>267</v>
      </c>
      <c r="D34" s="25">
        <v>1.1775602011114052E-2</v>
      </c>
    </row>
    <row r="35" spans="2:4">
      <c r="B35" s="27" t="s">
        <v>146</v>
      </c>
      <c r="C35" s="26">
        <v>258</v>
      </c>
      <c r="D35" s="25">
        <v>1.1378671606245038E-2</v>
      </c>
    </row>
    <row r="36" spans="2:4">
      <c r="B36" s="27" t="s">
        <v>148</v>
      </c>
      <c r="C36" s="26">
        <v>239</v>
      </c>
      <c r="D36" s="25">
        <v>1.0540707418188234E-2</v>
      </c>
    </row>
    <row r="37" spans="2:4">
      <c r="B37" s="27" t="s">
        <v>152</v>
      </c>
      <c r="C37" s="26">
        <v>237</v>
      </c>
      <c r="D37" s="25">
        <v>1.0452500661550675E-2</v>
      </c>
    </row>
    <row r="38" spans="2:4">
      <c r="B38" s="27" t="s">
        <v>144</v>
      </c>
      <c r="C38" s="26">
        <v>224</v>
      </c>
      <c r="D38" s="25">
        <v>9.8791567434065447E-3</v>
      </c>
    </row>
    <row r="39" spans="2:4">
      <c r="B39" s="27" t="s">
        <v>150</v>
      </c>
      <c r="C39" s="26">
        <v>219</v>
      </c>
      <c r="D39" s="25">
        <v>9.6586398518126483E-3</v>
      </c>
    </row>
    <row r="40" spans="2:4">
      <c r="B40" s="27" t="s">
        <v>141</v>
      </c>
      <c r="C40" s="26">
        <v>212</v>
      </c>
      <c r="D40" s="25">
        <v>9.3499162035811951E-3</v>
      </c>
    </row>
    <row r="41" spans="2:4">
      <c r="B41" s="27" t="s">
        <v>137</v>
      </c>
      <c r="C41" s="26">
        <v>197</v>
      </c>
      <c r="D41" s="25">
        <v>8.6883655287995059E-3</v>
      </c>
    </row>
    <row r="42" spans="2:4">
      <c r="B42" s="27" t="s">
        <v>143</v>
      </c>
      <c r="C42" s="26">
        <v>191</v>
      </c>
      <c r="D42" s="25">
        <v>8.4237452588868302E-3</v>
      </c>
    </row>
    <row r="43" spans="2:4">
      <c r="B43" s="27" t="s">
        <v>145</v>
      </c>
      <c r="C43" s="26">
        <v>190</v>
      </c>
      <c r="D43" s="25">
        <v>8.3796418805680509E-3</v>
      </c>
    </row>
    <row r="44" spans="2:4">
      <c r="B44" s="27" t="s">
        <v>140</v>
      </c>
      <c r="C44" s="26">
        <v>185</v>
      </c>
      <c r="D44" s="25">
        <v>8.1591249889741563E-3</v>
      </c>
    </row>
    <row r="45" spans="2:4">
      <c r="B45" s="27" t="s">
        <v>139</v>
      </c>
      <c r="C45" s="26">
        <v>185</v>
      </c>
      <c r="D45" s="25">
        <v>8.1591249889741563E-3</v>
      </c>
    </row>
    <row r="46" spans="2:4">
      <c r="B46" s="27" t="s">
        <v>142</v>
      </c>
      <c r="C46" s="26">
        <v>185</v>
      </c>
      <c r="D46" s="25">
        <v>8.1591249889741563E-3</v>
      </c>
    </row>
    <row r="47" spans="2:4" ht="14.25" customHeight="1">
      <c r="B47" s="27" t="s">
        <v>138</v>
      </c>
      <c r="C47" s="26">
        <v>152</v>
      </c>
      <c r="D47" s="25">
        <v>6.7037135044544409E-3</v>
      </c>
    </row>
    <row r="48" spans="2:4">
      <c r="B48" s="27" t="s">
        <v>134</v>
      </c>
      <c r="C48" s="26">
        <v>151</v>
      </c>
      <c r="D48" s="25">
        <v>6.6596101261356616E-3</v>
      </c>
    </row>
    <row r="49" spans="2:4">
      <c r="B49" s="27" t="s">
        <v>131</v>
      </c>
      <c r="C49" s="26">
        <v>144</v>
      </c>
      <c r="D49" s="25">
        <v>6.3508864779042076E-3</v>
      </c>
    </row>
    <row r="50" spans="2:4">
      <c r="B50" s="27" t="s">
        <v>136</v>
      </c>
      <c r="C50" s="26">
        <v>126</v>
      </c>
      <c r="D50" s="25">
        <v>5.5570256681661814E-3</v>
      </c>
    </row>
    <row r="51" spans="2:4">
      <c r="B51" s="27" t="s">
        <v>135</v>
      </c>
      <c r="C51" s="26">
        <v>121</v>
      </c>
      <c r="D51" s="25">
        <v>5.3365087765722859E-3</v>
      </c>
    </row>
    <row r="52" spans="2:4">
      <c r="B52" s="27" t="s">
        <v>132</v>
      </c>
      <c r="C52" s="26">
        <v>104</v>
      </c>
      <c r="D52" s="25">
        <v>4.586751345153039E-3</v>
      </c>
    </row>
    <row r="53" spans="2:4">
      <c r="B53" s="27" t="s">
        <v>133</v>
      </c>
      <c r="C53" s="26">
        <v>96</v>
      </c>
      <c r="D53" s="25">
        <v>4.2339243186028047E-3</v>
      </c>
    </row>
    <row r="54" spans="2:4">
      <c r="B54" s="27" t="s">
        <v>129</v>
      </c>
      <c r="C54" s="26">
        <v>91</v>
      </c>
      <c r="D54" s="25">
        <v>4.0134074270089092E-3</v>
      </c>
    </row>
    <row r="55" spans="2:4" ht="27">
      <c r="B55" s="27" t="s">
        <v>120</v>
      </c>
      <c r="C55" s="26">
        <v>81</v>
      </c>
      <c r="D55" s="25">
        <v>3.5723736438211169E-3</v>
      </c>
    </row>
    <row r="56" spans="2:4">
      <c r="B56" s="27" t="s">
        <v>128</v>
      </c>
      <c r="C56" s="26">
        <v>81</v>
      </c>
      <c r="D56" s="25">
        <v>3.5723736438211169E-3</v>
      </c>
    </row>
    <row r="57" spans="2:4">
      <c r="B57" s="27" t="s">
        <v>124</v>
      </c>
      <c r="C57" s="26">
        <v>72</v>
      </c>
      <c r="D57" s="25">
        <v>3.1754432389521038E-3</v>
      </c>
    </row>
    <row r="58" spans="2:4">
      <c r="B58" s="27" t="s">
        <v>125</v>
      </c>
      <c r="C58" s="26">
        <v>72</v>
      </c>
      <c r="D58" s="25">
        <v>3.1754432389521038E-3</v>
      </c>
    </row>
    <row r="59" spans="2:4">
      <c r="B59" s="27" t="s">
        <v>130</v>
      </c>
      <c r="C59" s="26">
        <v>69</v>
      </c>
      <c r="D59" s="25">
        <v>3.0431331039957659E-3</v>
      </c>
    </row>
    <row r="60" spans="2:4">
      <c r="B60" s="27" t="s">
        <v>127</v>
      </c>
      <c r="C60" s="26">
        <v>63</v>
      </c>
      <c r="D60" s="25">
        <v>2.7785128340830907E-3</v>
      </c>
    </row>
    <row r="61" spans="2:4" ht="15.75" customHeight="1">
      <c r="B61" s="27" t="s">
        <v>123</v>
      </c>
      <c r="C61" s="26">
        <v>59</v>
      </c>
      <c r="D61" s="25">
        <v>2.602099320807974E-3</v>
      </c>
    </row>
    <row r="62" spans="2:4" ht="15" customHeight="1">
      <c r="B62" s="27" t="s">
        <v>122</v>
      </c>
      <c r="C62" s="26">
        <v>58</v>
      </c>
      <c r="D62" s="25">
        <v>2.5579959424891947E-3</v>
      </c>
    </row>
    <row r="63" spans="2:4">
      <c r="B63" s="27" t="s">
        <v>126</v>
      </c>
      <c r="C63" s="26">
        <v>58</v>
      </c>
      <c r="D63" s="25">
        <v>2.5579959424891947E-3</v>
      </c>
    </row>
    <row r="64" spans="2:4" ht="27">
      <c r="B64" s="27" t="s">
        <v>121</v>
      </c>
      <c r="C64" s="26">
        <v>54</v>
      </c>
      <c r="D64" s="25">
        <v>2.3815824292140776E-3</v>
      </c>
    </row>
    <row r="65" spans="2:4" ht="27">
      <c r="B65" s="27" t="s">
        <v>119</v>
      </c>
      <c r="C65" s="26">
        <v>42</v>
      </c>
      <c r="D65" s="25">
        <v>1.8523418893887271E-3</v>
      </c>
    </row>
    <row r="66" spans="2:4">
      <c r="B66" s="27" t="s">
        <v>118</v>
      </c>
      <c r="C66" s="26">
        <v>17</v>
      </c>
      <c r="D66" s="25">
        <v>7.4975743141924667E-4</v>
      </c>
    </row>
    <row r="67" spans="2:4">
      <c r="B67" s="27" t="s">
        <v>116</v>
      </c>
      <c r="C67" s="26">
        <v>14</v>
      </c>
      <c r="D67" s="25">
        <v>6.1744729646290904E-4</v>
      </c>
    </row>
    <row r="68" spans="2:4">
      <c r="B68" s="27" t="s">
        <v>117</v>
      </c>
      <c r="C68" s="26">
        <v>11</v>
      </c>
      <c r="D68" s="25">
        <v>4.8513716150657142E-4</v>
      </c>
    </row>
    <row r="69" spans="2:4">
      <c r="B69" s="24" t="s">
        <v>20</v>
      </c>
      <c r="C69" s="23">
        <v>22674</v>
      </c>
      <c r="D69" s="22">
        <v>1</v>
      </c>
    </row>
    <row r="71" spans="2:4">
      <c r="B71" s="19" t="s">
        <v>255</v>
      </c>
    </row>
    <row r="72" spans="2:4">
      <c r="B72" s="21" t="s">
        <v>19</v>
      </c>
    </row>
    <row r="73" spans="2:4" ht="15.75" customHeight="1">
      <c r="B73" s="20" t="s">
        <v>18</v>
      </c>
    </row>
    <row r="74" spans="2:4">
      <c r="B74" s="19" t="s">
        <v>17</v>
      </c>
    </row>
    <row r="75" spans="2:4">
      <c r="B75" s="19" t="s">
        <v>256</v>
      </c>
    </row>
    <row r="76" spans="2:4">
      <c r="C76" s="17"/>
    </row>
    <row r="77" spans="2:4">
      <c r="C77" s="17"/>
    </row>
    <row r="78" spans="2:4">
      <c r="C78" s="17"/>
    </row>
    <row r="79" spans="2:4">
      <c r="C79" s="17"/>
    </row>
    <row r="80" spans="2:4">
      <c r="C80" s="17"/>
    </row>
    <row r="81" spans="3:3">
      <c r="C81" s="17"/>
    </row>
    <row r="82" spans="3:3">
      <c r="C82" s="17"/>
    </row>
    <row r="83" spans="3:3">
      <c r="C83" s="17"/>
    </row>
    <row r="84" spans="3:3">
      <c r="C84" s="17"/>
    </row>
    <row r="85" spans="3:3">
      <c r="C85" s="17"/>
    </row>
    <row r="86" spans="3:3">
      <c r="C86" s="17"/>
    </row>
    <row r="87" spans="3:3">
      <c r="C87" s="17"/>
    </row>
    <row r="88" spans="3:3">
      <c r="C88" s="17"/>
    </row>
    <row r="89" spans="3:3">
      <c r="C89" s="17"/>
    </row>
    <row r="90" spans="3:3">
      <c r="C90" s="17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1342"/>
  <sheetViews>
    <sheetView showGridLines="0" topLeftCell="A1310" zoomScaleNormal="100" zoomScaleSheetLayoutView="85" workbookViewId="0">
      <selection activeCell="F9" sqref="F9"/>
    </sheetView>
  </sheetViews>
  <sheetFormatPr baseColWidth="10" defaultColWidth="35" defaultRowHeight="15" customHeight="1"/>
  <cols>
    <col min="1" max="1" width="1" style="36" customWidth="1"/>
    <col min="2" max="2" width="22.85546875" style="37" customWidth="1"/>
    <col min="3" max="3" width="31.42578125" style="37" customWidth="1"/>
    <col min="4" max="4" width="14.28515625" style="37" customWidth="1"/>
    <col min="5" max="5" width="16.85546875" style="37" customWidth="1"/>
    <col min="6" max="16384" width="35" style="36"/>
  </cols>
  <sheetData>
    <row r="1" spans="1:5" s="51" customFormat="1" ht="12" customHeight="1">
      <c r="B1" s="55"/>
      <c r="C1" s="54"/>
      <c r="D1" s="54"/>
      <c r="E1" s="54"/>
    </row>
    <row r="2" spans="1:5" s="51" customFormat="1" ht="15" customHeight="1">
      <c r="C2" s="53"/>
    </row>
    <row r="3" spans="1:5" s="51" customFormat="1" ht="15" customHeight="1">
      <c r="C3" s="53"/>
    </row>
    <row r="4" spans="1:5" s="51" customFormat="1" ht="30" customHeight="1">
      <c r="C4" s="53"/>
      <c r="D4" s="52"/>
    </row>
    <row r="5" spans="1:5" s="51" customFormat="1" ht="15" customHeight="1">
      <c r="C5" s="53"/>
      <c r="D5" s="52"/>
    </row>
    <row r="6" spans="1:5" s="47" customFormat="1" ht="24" customHeight="1">
      <c r="B6" s="50"/>
      <c r="C6" s="49"/>
      <c r="D6" s="49"/>
      <c r="E6" s="49"/>
    </row>
    <row r="7" spans="1:5" s="47" customFormat="1" ht="26.25" customHeight="1">
      <c r="A7" s="48"/>
      <c r="B7" s="95"/>
      <c r="C7" s="95"/>
      <c r="D7" s="95"/>
      <c r="E7" s="95"/>
    </row>
    <row r="8" spans="1:5" s="47" customFormat="1" ht="33" customHeight="1">
      <c r="A8" s="48"/>
      <c r="B8" s="95"/>
      <c r="C8" s="95"/>
      <c r="D8" s="95"/>
      <c r="E8" s="95"/>
    </row>
    <row r="9" spans="1:5" s="29" customFormat="1" ht="40.5" customHeight="1">
      <c r="B9" s="44" t="s">
        <v>175</v>
      </c>
      <c r="C9" s="46" t="s">
        <v>174</v>
      </c>
      <c r="D9" s="45" t="s">
        <v>65</v>
      </c>
      <c r="E9" s="44" t="s">
        <v>64</v>
      </c>
    </row>
    <row r="10" spans="1:5" ht="15" customHeight="1">
      <c r="B10" s="92" t="s">
        <v>34</v>
      </c>
      <c r="C10" s="43" t="s">
        <v>151</v>
      </c>
      <c r="D10" s="42">
        <v>1</v>
      </c>
      <c r="E10" s="41">
        <v>4.4103378318779218E-5</v>
      </c>
    </row>
    <row r="11" spans="1:5" ht="15" customHeight="1">
      <c r="B11" s="93"/>
      <c r="C11" s="43" t="s">
        <v>172</v>
      </c>
      <c r="D11" s="42">
        <v>4</v>
      </c>
      <c r="E11" s="41">
        <v>1.7641351327511687E-4</v>
      </c>
    </row>
    <row r="12" spans="1:5" ht="15" customHeight="1">
      <c r="B12" s="93"/>
      <c r="C12" s="43" t="s">
        <v>139</v>
      </c>
      <c r="D12" s="42">
        <v>2</v>
      </c>
      <c r="E12" s="41">
        <v>8.8206756637558437E-5</v>
      </c>
    </row>
    <row r="13" spans="1:5" ht="15" customHeight="1">
      <c r="B13" s="93"/>
      <c r="C13" s="43" t="s">
        <v>159</v>
      </c>
      <c r="D13" s="42">
        <v>3</v>
      </c>
      <c r="E13" s="41">
        <v>1.3231013495633765E-4</v>
      </c>
    </row>
    <row r="14" spans="1:5" ht="15" customHeight="1">
      <c r="B14" s="93"/>
      <c r="C14" s="43" t="s">
        <v>157</v>
      </c>
      <c r="D14" s="42">
        <v>5</v>
      </c>
      <c r="E14" s="41">
        <v>2.205168915938961E-4</v>
      </c>
    </row>
    <row r="15" spans="1:5" ht="15" customHeight="1">
      <c r="B15" s="93"/>
      <c r="C15" s="43" t="s">
        <v>164</v>
      </c>
      <c r="D15" s="42">
        <v>3</v>
      </c>
      <c r="E15" s="41">
        <v>1.3231013495633765E-4</v>
      </c>
    </row>
    <row r="16" spans="1:5" ht="15" customHeight="1">
      <c r="B16" s="93"/>
      <c r="C16" s="43" t="s">
        <v>158</v>
      </c>
      <c r="D16" s="42">
        <v>2</v>
      </c>
      <c r="E16" s="41">
        <v>8.8206756637558437E-5</v>
      </c>
    </row>
    <row r="17" spans="2:5" ht="15" customHeight="1">
      <c r="B17" s="93"/>
      <c r="C17" s="43" t="s">
        <v>148</v>
      </c>
      <c r="D17" s="42">
        <v>1</v>
      </c>
      <c r="E17" s="41">
        <v>4.4103378318779218E-5</v>
      </c>
    </row>
    <row r="18" spans="2:5" ht="15" customHeight="1">
      <c r="B18" s="93"/>
      <c r="C18" s="43" t="s">
        <v>153</v>
      </c>
      <c r="D18" s="42">
        <v>1</v>
      </c>
      <c r="E18" s="41">
        <v>4.4103378318779218E-5</v>
      </c>
    </row>
    <row r="19" spans="2:5" ht="15" customHeight="1">
      <c r="B19" s="93"/>
      <c r="C19" s="43" t="s">
        <v>156</v>
      </c>
      <c r="D19" s="42">
        <v>4</v>
      </c>
      <c r="E19" s="41">
        <v>1.7641351327511687E-4</v>
      </c>
    </row>
    <row r="20" spans="2:5" ht="15" customHeight="1">
      <c r="B20" s="93"/>
      <c r="C20" s="43" t="s">
        <v>163</v>
      </c>
      <c r="D20" s="42">
        <v>1</v>
      </c>
      <c r="E20" s="41">
        <v>4.4103378318779218E-5</v>
      </c>
    </row>
    <row r="21" spans="2:5" ht="15" customHeight="1">
      <c r="B21" s="93"/>
      <c r="C21" s="43" t="s">
        <v>161</v>
      </c>
      <c r="D21" s="42">
        <v>2</v>
      </c>
      <c r="E21" s="41">
        <v>8.8206756637558437E-5</v>
      </c>
    </row>
    <row r="22" spans="2:5" ht="15" customHeight="1">
      <c r="B22" s="93"/>
      <c r="C22" s="43" t="s">
        <v>169</v>
      </c>
      <c r="D22" s="42">
        <v>2</v>
      </c>
      <c r="E22" s="41">
        <v>8.8206756637558437E-5</v>
      </c>
    </row>
    <row r="23" spans="2:5" ht="15" customHeight="1">
      <c r="B23" s="93"/>
      <c r="C23" s="43" t="s">
        <v>171</v>
      </c>
      <c r="D23" s="42">
        <v>3</v>
      </c>
      <c r="E23" s="41">
        <v>1.3231013495633765E-4</v>
      </c>
    </row>
    <row r="24" spans="2:5" ht="15" customHeight="1">
      <c r="B24" s="93"/>
      <c r="C24" s="43" t="s">
        <v>160</v>
      </c>
      <c r="D24" s="42">
        <v>2</v>
      </c>
      <c r="E24" s="41">
        <v>8.8206756637558437E-5</v>
      </c>
    </row>
    <row r="25" spans="2:5" ht="15" customHeight="1">
      <c r="B25" s="93"/>
      <c r="C25" s="43" t="s">
        <v>168</v>
      </c>
      <c r="D25" s="42">
        <v>2</v>
      </c>
      <c r="E25" s="41">
        <v>8.8206756637558437E-5</v>
      </c>
    </row>
    <row r="26" spans="2:5" ht="15" customHeight="1">
      <c r="B26" s="93"/>
      <c r="C26" s="43" t="s">
        <v>149</v>
      </c>
      <c r="D26" s="42">
        <v>1</v>
      </c>
      <c r="E26" s="41">
        <v>4.4103378318779218E-5</v>
      </c>
    </row>
    <row r="27" spans="2:5" ht="15" customHeight="1">
      <c r="B27" s="93"/>
      <c r="C27" s="43" t="s">
        <v>150</v>
      </c>
      <c r="D27" s="42">
        <v>1</v>
      </c>
      <c r="E27" s="41">
        <v>4.4103378318779218E-5</v>
      </c>
    </row>
    <row r="28" spans="2:5" ht="15" customHeight="1">
      <c r="B28" s="93"/>
      <c r="C28" s="43" t="s">
        <v>170</v>
      </c>
      <c r="D28" s="42">
        <v>5</v>
      </c>
      <c r="E28" s="41">
        <v>2.205168915938961E-4</v>
      </c>
    </row>
    <row r="29" spans="2:5" ht="15" customHeight="1">
      <c r="B29" s="93"/>
      <c r="C29" s="43" t="s">
        <v>154</v>
      </c>
      <c r="D29" s="42">
        <v>1</v>
      </c>
      <c r="E29" s="41">
        <v>4.4103378318779218E-5</v>
      </c>
    </row>
    <row r="30" spans="2:5" ht="15" customHeight="1">
      <c r="B30" s="93"/>
      <c r="C30" s="43" t="s">
        <v>131</v>
      </c>
      <c r="D30" s="42">
        <v>1</v>
      </c>
      <c r="E30" s="41">
        <v>4.4103378318779218E-5</v>
      </c>
    </row>
    <row r="31" spans="2:5" ht="15" customHeight="1">
      <c r="B31" s="93"/>
      <c r="C31" s="43" t="s">
        <v>165</v>
      </c>
      <c r="D31" s="42">
        <v>6</v>
      </c>
      <c r="E31" s="41">
        <v>2.646202699126753E-4</v>
      </c>
    </row>
    <row r="32" spans="2:5" ht="15" customHeight="1">
      <c r="B32" s="94"/>
      <c r="C32" s="40" t="s">
        <v>20</v>
      </c>
      <c r="D32" s="39">
        <v>53</v>
      </c>
      <c r="E32" s="38">
        <v>2.3374790508952988E-3</v>
      </c>
    </row>
    <row r="33" spans="2:5" ht="15" customHeight="1">
      <c r="B33" s="92" t="s">
        <v>250</v>
      </c>
      <c r="C33" s="43" t="s">
        <v>134</v>
      </c>
      <c r="D33" s="42">
        <v>13</v>
      </c>
      <c r="E33" s="41">
        <v>5.7334391814412987E-4</v>
      </c>
    </row>
    <row r="34" spans="2:5" ht="15" customHeight="1">
      <c r="B34" s="93"/>
      <c r="C34" s="43" t="s">
        <v>143</v>
      </c>
      <c r="D34" s="42">
        <v>1</v>
      </c>
      <c r="E34" s="41">
        <v>4.4103378318779218E-5</v>
      </c>
    </row>
    <row r="35" spans="2:5" ht="15" customHeight="1">
      <c r="B35" s="93"/>
      <c r="C35" s="43" t="s">
        <v>152</v>
      </c>
      <c r="D35" s="42">
        <v>2</v>
      </c>
      <c r="E35" s="41">
        <v>8.8206756637558437E-5</v>
      </c>
    </row>
    <row r="36" spans="2:5" ht="15" customHeight="1">
      <c r="B36" s="93"/>
      <c r="C36" s="43" t="s">
        <v>161</v>
      </c>
      <c r="D36" s="42">
        <v>2</v>
      </c>
      <c r="E36" s="41">
        <v>8.8206756637558437E-5</v>
      </c>
    </row>
    <row r="37" spans="2:5" ht="15" customHeight="1">
      <c r="B37" s="94"/>
      <c r="C37" s="40" t="s">
        <v>20</v>
      </c>
      <c r="D37" s="39">
        <v>18</v>
      </c>
      <c r="E37" s="38">
        <v>7.9386080973802594E-4</v>
      </c>
    </row>
    <row r="38" spans="2:5" ht="15" customHeight="1">
      <c r="B38" s="92" t="s">
        <v>49</v>
      </c>
      <c r="C38" s="43" t="s">
        <v>140</v>
      </c>
      <c r="D38" s="42">
        <v>3</v>
      </c>
      <c r="E38" s="41">
        <v>1.3231013495633765E-4</v>
      </c>
    </row>
    <row r="39" spans="2:5" ht="15" customHeight="1">
      <c r="B39" s="93"/>
      <c r="C39" s="43" t="s">
        <v>135</v>
      </c>
      <c r="D39" s="42">
        <v>5</v>
      </c>
      <c r="E39" s="41">
        <v>2.205168915938961E-4</v>
      </c>
    </row>
    <row r="40" spans="2:5" ht="15" customHeight="1">
      <c r="B40" s="93"/>
      <c r="C40" s="43" t="s">
        <v>129</v>
      </c>
      <c r="D40" s="42">
        <v>9</v>
      </c>
      <c r="E40" s="41">
        <v>3.9693040486901297E-4</v>
      </c>
    </row>
    <row r="41" spans="2:5" ht="15" customHeight="1">
      <c r="B41" s="93"/>
      <c r="C41" s="43" t="s">
        <v>145</v>
      </c>
      <c r="D41" s="42">
        <v>3</v>
      </c>
      <c r="E41" s="41">
        <v>1.3231013495633765E-4</v>
      </c>
    </row>
    <row r="42" spans="2:5" ht="15" customHeight="1">
      <c r="B42" s="93"/>
      <c r="C42" s="43" t="s">
        <v>120</v>
      </c>
      <c r="D42" s="42">
        <v>3</v>
      </c>
      <c r="E42" s="41">
        <v>1.3231013495633765E-4</v>
      </c>
    </row>
    <row r="43" spans="2:5" ht="15" customHeight="1">
      <c r="B43" s="93"/>
      <c r="C43" s="43" t="s">
        <v>151</v>
      </c>
      <c r="D43" s="42">
        <v>7</v>
      </c>
      <c r="E43" s="41">
        <v>3.0872364823145452E-4</v>
      </c>
    </row>
    <row r="44" spans="2:5" ht="15" customHeight="1">
      <c r="B44" s="93"/>
      <c r="C44" s="43" t="s">
        <v>128</v>
      </c>
      <c r="D44" s="42">
        <v>1</v>
      </c>
      <c r="E44" s="41">
        <v>4.4103378318779218E-5</v>
      </c>
    </row>
    <row r="45" spans="2:5" ht="15" customHeight="1">
      <c r="B45" s="93"/>
      <c r="C45" s="43" t="s">
        <v>134</v>
      </c>
      <c r="D45" s="42">
        <v>3</v>
      </c>
      <c r="E45" s="41">
        <v>1.3231013495633765E-4</v>
      </c>
    </row>
    <row r="46" spans="2:5" ht="15" customHeight="1">
      <c r="B46" s="93"/>
      <c r="C46" s="43" t="s">
        <v>121</v>
      </c>
      <c r="D46" s="42">
        <v>12</v>
      </c>
      <c r="E46" s="41">
        <v>5.2924053982535059E-4</v>
      </c>
    </row>
    <row r="47" spans="2:5" ht="15" customHeight="1">
      <c r="B47" s="93"/>
      <c r="C47" s="43" t="s">
        <v>172</v>
      </c>
      <c r="D47" s="42">
        <v>62</v>
      </c>
      <c r="E47" s="41">
        <v>2.7344094557643114E-3</v>
      </c>
    </row>
    <row r="48" spans="2:5" ht="15" customHeight="1">
      <c r="B48" s="93"/>
      <c r="C48" s="43" t="s">
        <v>139</v>
      </c>
      <c r="D48" s="42">
        <v>4</v>
      </c>
      <c r="E48" s="41">
        <v>1.7641351327511687E-4</v>
      </c>
    </row>
    <row r="49" spans="2:5" ht="15" customHeight="1">
      <c r="B49" s="93"/>
      <c r="C49" s="43" t="s">
        <v>122</v>
      </c>
      <c r="D49" s="42">
        <v>2</v>
      </c>
      <c r="E49" s="41">
        <v>8.8206756637558437E-5</v>
      </c>
    </row>
    <row r="50" spans="2:5" ht="15" customHeight="1">
      <c r="B50" s="93"/>
      <c r="C50" s="43" t="s">
        <v>159</v>
      </c>
      <c r="D50" s="42">
        <v>8</v>
      </c>
      <c r="E50" s="41">
        <v>3.5282702655023375E-4</v>
      </c>
    </row>
    <row r="51" spans="2:5" ht="15" customHeight="1">
      <c r="B51" s="93"/>
      <c r="C51" s="43" t="s">
        <v>157</v>
      </c>
      <c r="D51" s="42">
        <v>7</v>
      </c>
      <c r="E51" s="41">
        <v>3.0872364823145452E-4</v>
      </c>
    </row>
    <row r="52" spans="2:5" ht="15" customHeight="1">
      <c r="B52" s="93"/>
      <c r="C52" s="43" t="s">
        <v>164</v>
      </c>
      <c r="D52" s="42">
        <v>18</v>
      </c>
      <c r="E52" s="41">
        <v>7.9386080973802594E-4</v>
      </c>
    </row>
    <row r="53" spans="2:5" ht="15" customHeight="1">
      <c r="B53" s="93"/>
      <c r="C53" s="43" t="s">
        <v>162</v>
      </c>
      <c r="D53" s="42">
        <v>11</v>
      </c>
      <c r="E53" s="41">
        <v>4.8513716150657142E-4</v>
      </c>
    </row>
    <row r="54" spans="2:5" ht="15" customHeight="1">
      <c r="B54" s="93"/>
      <c r="C54" s="43" t="s">
        <v>166</v>
      </c>
      <c r="D54" s="42">
        <v>24</v>
      </c>
      <c r="E54" s="41">
        <v>1.0584810796507012E-3</v>
      </c>
    </row>
    <row r="55" spans="2:5" ht="15" customHeight="1">
      <c r="B55" s="93"/>
      <c r="C55" s="43" t="s">
        <v>142</v>
      </c>
      <c r="D55" s="42">
        <v>2</v>
      </c>
      <c r="E55" s="41">
        <v>8.8206756637558437E-5</v>
      </c>
    </row>
    <row r="56" spans="2:5" ht="15" customHeight="1">
      <c r="B56" s="93"/>
      <c r="C56" s="43" t="s">
        <v>158</v>
      </c>
      <c r="D56" s="42">
        <v>2</v>
      </c>
      <c r="E56" s="41">
        <v>8.8206756637558437E-5</v>
      </c>
    </row>
    <row r="57" spans="2:5" ht="15" customHeight="1">
      <c r="B57" s="93"/>
      <c r="C57" s="43" t="s">
        <v>148</v>
      </c>
      <c r="D57" s="42">
        <v>9</v>
      </c>
      <c r="E57" s="41">
        <v>3.9693040486901297E-4</v>
      </c>
    </row>
    <row r="58" spans="2:5" ht="15" customHeight="1">
      <c r="B58" s="93"/>
      <c r="C58" s="43" t="s">
        <v>141</v>
      </c>
      <c r="D58" s="42">
        <v>8</v>
      </c>
      <c r="E58" s="41">
        <v>3.5282702655023375E-4</v>
      </c>
    </row>
    <row r="59" spans="2:5" ht="15" customHeight="1">
      <c r="B59" s="93"/>
      <c r="C59" s="43" t="s">
        <v>124</v>
      </c>
      <c r="D59" s="42">
        <v>1</v>
      </c>
      <c r="E59" s="41">
        <v>4.4103378318779218E-5</v>
      </c>
    </row>
    <row r="60" spans="2:5" ht="15" customHeight="1">
      <c r="B60" s="93"/>
      <c r="C60" s="43" t="s">
        <v>156</v>
      </c>
      <c r="D60" s="42">
        <v>14</v>
      </c>
      <c r="E60" s="41">
        <v>6.1744729646290904E-4</v>
      </c>
    </row>
    <row r="61" spans="2:5" ht="15" customHeight="1">
      <c r="B61" s="93"/>
      <c r="C61" s="43" t="s">
        <v>152</v>
      </c>
      <c r="D61" s="42">
        <v>5</v>
      </c>
      <c r="E61" s="41">
        <v>2.205168915938961E-4</v>
      </c>
    </row>
    <row r="62" spans="2:5" ht="15" customHeight="1">
      <c r="B62" s="93"/>
      <c r="C62" s="43" t="s">
        <v>133</v>
      </c>
      <c r="D62" s="42">
        <v>2</v>
      </c>
      <c r="E62" s="41">
        <v>8.8206756637558437E-5</v>
      </c>
    </row>
    <row r="63" spans="2:5" ht="15" customHeight="1">
      <c r="B63" s="93"/>
      <c r="C63" s="43" t="s">
        <v>163</v>
      </c>
      <c r="D63" s="42">
        <v>8</v>
      </c>
      <c r="E63" s="41">
        <v>3.5282702655023375E-4</v>
      </c>
    </row>
    <row r="64" spans="2:5" ht="15" customHeight="1">
      <c r="B64" s="93"/>
      <c r="C64" s="43" t="s">
        <v>137</v>
      </c>
      <c r="D64" s="42">
        <v>1</v>
      </c>
      <c r="E64" s="41">
        <v>4.4103378318779218E-5</v>
      </c>
    </row>
    <row r="65" spans="2:5" ht="15" customHeight="1">
      <c r="B65" s="93"/>
      <c r="C65" s="43" t="s">
        <v>161</v>
      </c>
      <c r="D65" s="42">
        <v>5</v>
      </c>
      <c r="E65" s="41">
        <v>2.205168915938961E-4</v>
      </c>
    </row>
    <row r="66" spans="2:5" ht="15" customHeight="1">
      <c r="B66" s="93"/>
      <c r="C66" s="43" t="s">
        <v>169</v>
      </c>
      <c r="D66" s="42">
        <v>14</v>
      </c>
      <c r="E66" s="41">
        <v>6.1744729646290904E-4</v>
      </c>
    </row>
    <row r="67" spans="2:5" ht="15" customHeight="1">
      <c r="B67" s="93"/>
      <c r="C67" s="43" t="s">
        <v>171</v>
      </c>
      <c r="D67" s="42">
        <v>29</v>
      </c>
      <c r="E67" s="41">
        <v>1.2789979712445974E-3</v>
      </c>
    </row>
    <row r="68" spans="2:5" ht="15" customHeight="1">
      <c r="B68" s="93"/>
      <c r="C68" s="43" t="s">
        <v>160</v>
      </c>
      <c r="D68" s="42">
        <v>18</v>
      </c>
      <c r="E68" s="41">
        <v>7.9386080973802594E-4</v>
      </c>
    </row>
    <row r="69" spans="2:5" ht="15" customHeight="1">
      <c r="B69" s="93"/>
      <c r="C69" s="43" t="s">
        <v>168</v>
      </c>
      <c r="D69" s="42">
        <v>55</v>
      </c>
      <c r="E69" s="41">
        <v>2.4256858075328569E-3</v>
      </c>
    </row>
    <row r="70" spans="2:5" ht="15" customHeight="1">
      <c r="B70" s="93"/>
      <c r="C70" s="43" t="s">
        <v>149</v>
      </c>
      <c r="D70" s="42">
        <v>6</v>
      </c>
      <c r="E70" s="41">
        <v>2.646202699126753E-4</v>
      </c>
    </row>
    <row r="71" spans="2:5" ht="15" customHeight="1">
      <c r="B71" s="93"/>
      <c r="C71" s="43" t="s">
        <v>144</v>
      </c>
      <c r="D71" s="42">
        <v>4</v>
      </c>
      <c r="E71" s="41">
        <v>1.7641351327511687E-4</v>
      </c>
    </row>
    <row r="72" spans="2:5" ht="15" customHeight="1">
      <c r="B72" s="93"/>
      <c r="C72" s="43" t="s">
        <v>150</v>
      </c>
      <c r="D72" s="42">
        <v>7</v>
      </c>
      <c r="E72" s="41">
        <v>3.0872364823145452E-4</v>
      </c>
    </row>
    <row r="73" spans="2:5" ht="15" customHeight="1">
      <c r="B73" s="93"/>
      <c r="C73" s="43" t="s">
        <v>138</v>
      </c>
      <c r="D73" s="42">
        <v>2</v>
      </c>
      <c r="E73" s="41">
        <v>8.8206756637558437E-5</v>
      </c>
    </row>
    <row r="74" spans="2:5" ht="15" customHeight="1">
      <c r="B74" s="93"/>
      <c r="C74" s="43" t="s">
        <v>155</v>
      </c>
      <c r="D74" s="42">
        <v>10</v>
      </c>
      <c r="E74" s="41">
        <v>4.410337831877922E-4</v>
      </c>
    </row>
    <row r="75" spans="2:5" ht="15" customHeight="1">
      <c r="B75" s="93"/>
      <c r="C75" s="43" t="s">
        <v>116</v>
      </c>
      <c r="D75" s="42">
        <v>1</v>
      </c>
      <c r="E75" s="41">
        <v>4.4103378318779218E-5</v>
      </c>
    </row>
    <row r="76" spans="2:5" ht="15" customHeight="1">
      <c r="B76" s="93"/>
      <c r="C76" s="43" t="s">
        <v>170</v>
      </c>
      <c r="D76" s="42">
        <v>33</v>
      </c>
      <c r="E76" s="41">
        <v>1.4554114845197143E-3</v>
      </c>
    </row>
    <row r="77" spans="2:5" ht="15" customHeight="1">
      <c r="B77" s="93"/>
      <c r="C77" s="43" t="s">
        <v>154</v>
      </c>
      <c r="D77" s="42">
        <v>10</v>
      </c>
      <c r="E77" s="41">
        <v>4.410337831877922E-4</v>
      </c>
    </row>
    <row r="78" spans="2:5" ht="15" customHeight="1">
      <c r="B78" s="93"/>
      <c r="C78" s="43" t="s">
        <v>131</v>
      </c>
      <c r="D78" s="42">
        <v>2</v>
      </c>
      <c r="E78" s="41">
        <v>8.8206756637558437E-5</v>
      </c>
    </row>
    <row r="79" spans="2:5" ht="15" customHeight="1">
      <c r="B79" s="93"/>
      <c r="C79" s="43" t="s">
        <v>147</v>
      </c>
      <c r="D79" s="42">
        <v>9</v>
      </c>
      <c r="E79" s="41">
        <v>3.9693040486901297E-4</v>
      </c>
    </row>
    <row r="80" spans="2:5" ht="15" customHeight="1">
      <c r="B80" s="93"/>
      <c r="C80" s="43" t="s">
        <v>146</v>
      </c>
      <c r="D80" s="42">
        <v>1</v>
      </c>
      <c r="E80" s="41">
        <v>4.4103378318779218E-5</v>
      </c>
    </row>
    <row r="81" spans="2:5" ht="15" customHeight="1">
      <c r="B81" s="93"/>
      <c r="C81" s="43" t="s">
        <v>167</v>
      </c>
      <c r="D81" s="42">
        <v>35</v>
      </c>
      <c r="E81" s="41">
        <v>1.5436182411572726E-3</v>
      </c>
    </row>
    <row r="82" spans="2:5" ht="15" customHeight="1">
      <c r="B82" s="93"/>
      <c r="C82" s="43" t="s">
        <v>165</v>
      </c>
      <c r="D82" s="42">
        <v>24</v>
      </c>
      <c r="E82" s="41">
        <v>1.0584810796507012E-3</v>
      </c>
    </row>
    <row r="83" spans="2:5" ht="15" customHeight="1">
      <c r="B83" s="94"/>
      <c r="C83" s="40" t="s">
        <v>20</v>
      </c>
      <c r="D83" s="39">
        <v>499</v>
      </c>
      <c r="E83" s="38">
        <v>2.2007585781070829E-2</v>
      </c>
    </row>
    <row r="84" spans="2:5" ht="15" customHeight="1">
      <c r="B84" s="92" t="s">
        <v>52</v>
      </c>
      <c r="C84" s="43" t="s">
        <v>140</v>
      </c>
      <c r="D84" s="42">
        <v>1</v>
      </c>
      <c r="E84" s="41">
        <v>4.4103378318779218E-5</v>
      </c>
    </row>
    <row r="85" spans="2:5" ht="15" customHeight="1">
      <c r="B85" s="93"/>
      <c r="C85" s="43" t="s">
        <v>145</v>
      </c>
      <c r="D85" s="42">
        <v>2</v>
      </c>
      <c r="E85" s="41">
        <v>8.8206756637558437E-5</v>
      </c>
    </row>
    <row r="86" spans="2:5" ht="15" customHeight="1">
      <c r="B86" s="93"/>
      <c r="C86" s="43" t="s">
        <v>120</v>
      </c>
      <c r="D86" s="42">
        <v>4</v>
      </c>
      <c r="E86" s="41">
        <v>1.7641351327511687E-4</v>
      </c>
    </row>
    <row r="87" spans="2:5" ht="15" customHeight="1">
      <c r="B87" s="93"/>
      <c r="C87" s="43" t="s">
        <v>151</v>
      </c>
      <c r="D87" s="42">
        <v>1</v>
      </c>
      <c r="E87" s="41">
        <v>4.4103378318779218E-5</v>
      </c>
    </row>
    <row r="88" spans="2:5" ht="15" customHeight="1">
      <c r="B88" s="93"/>
      <c r="C88" s="43" t="s">
        <v>172</v>
      </c>
      <c r="D88" s="42">
        <v>10</v>
      </c>
      <c r="E88" s="41">
        <v>4.410337831877922E-4</v>
      </c>
    </row>
    <row r="89" spans="2:5" ht="15" customHeight="1">
      <c r="B89" s="93"/>
      <c r="C89" s="43" t="s">
        <v>139</v>
      </c>
      <c r="D89" s="42">
        <v>1</v>
      </c>
      <c r="E89" s="41">
        <v>4.4103378318779218E-5</v>
      </c>
    </row>
    <row r="90" spans="2:5" ht="15" customHeight="1">
      <c r="B90" s="93"/>
      <c r="C90" s="43" t="s">
        <v>159</v>
      </c>
      <c r="D90" s="42">
        <v>5</v>
      </c>
      <c r="E90" s="41">
        <v>2.205168915938961E-4</v>
      </c>
    </row>
    <row r="91" spans="2:5" ht="15" customHeight="1">
      <c r="B91" s="93"/>
      <c r="C91" s="43" t="s">
        <v>157</v>
      </c>
      <c r="D91" s="42">
        <v>17</v>
      </c>
      <c r="E91" s="41">
        <v>7.4975743141924667E-4</v>
      </c>
    </row>
    <row r="92" spans="2:5" ht="15" customHeight="1">
      <c r="B92" s="93"/>
      <c r="C92" s="43" t="s">
        <v>164</v>
      </c>
      <c r="D92" s="42">
        <v>14</v>
      </c>
      <c r="E92" s="41">
        <v>6.1744729646290904E-4</v>
      </c>
    </row>
    <row r="93" spans="2:5" ht="15" customHeight="1">
      <c r="B93" s="93"/>
      <c r="C93" s="43" t="s">
        <v>136</v>
      </c>
      <c r="D93" s="42">
        <v>1</v>
      </c>
      <c r="E93" s="41">
        <v>4.4103378318779218E-5</v>
      </c>
    </row>
    <row r="94" spans="2:5" ht="15" customHeight="1">
      <c r="B94" s="93"/>
      <c r="C94" s="43" t="s">
        <v>162</v>
      </c>
      <c r="D94" s="42">
        <v>2</v>
      </c>
      <c r="E94" s="41">
        <v>8.8206756637558437E-5</v>
      </c>
    </row>
    <row r="95" spans="2:5" ht="15" customHeight="1">
      <c r="B95" s="93"/>
      <c r="C95" s="43" t="s">
        <v>166</v>
      </c>
      <c r="D95" s="42">
        <v>2</v>
      </c>
      <c r="E95" s="41">
        <v>8.8206756637558437E-5</v>
      </c>
    </row>
    <row r="96" spans="2:5" ht="15" customHeight="1">
      <c r="B96" s="93"/>
      <c r="C96" s="43" t="s">
        <v>142</v>
      </c>
      <c r="D96" s="42">
        <v>1</v>
      </c>
      <c r="E96" s="41">
        <v>4.4103378318779218E-5</v>
      </c>
    </row>
    <row r="97" spans="2:5" ht="15" customHeight="1">
      <c r="B97" s="93"/>
      <c r="C97" s="43" t="s">
        <v>158</v>
      </c>
      <c r="D97" s="42">
        <v>2</v>
      </c>
      <c r="E97" s="41">
        <v>8.8206756637558437E-5</v>
      </c>
    </row>
    <row r="98" spans="2:5" ht="15" customHeight="1">
      <c r="B98" s="93"/>
      <c r="C98" s="43" t="s">
        <v>153</v>
      </c>
      <c r="D98" s="42">
        <v>7</v>
      </c>
      <c r="E98" s="41">
        <v>3.0872364823145452E-4</v>
      </c>
    </row>
    <row r="99" spans="2:5" ht="15" customHeight="1">
      <c r="B99" s="93"/>
      <c r="C99" s="43" t="s">
        <v>141</v>
      </c>
      <c r="D99" s="42">
        <v>2</v>
      </c>
      <c r="E99" s="41">
        <v>8.8206756637558437E-5</v>
      </c>
    </row>
    <row r="100" spans="2:5" ht="15" customHeight="1">
      <c r="B100" s="93"/>
      <c r="C100" s="43" t="s">
        <v>163</v>
      </c>
      <c r="D100" s="42">
        <v>1</v>
      </c>
      <c r="E100" s="41">
        <v>4.4103378318779218E-5</v>
      </c>
    </row>
    <row r="101" spans="2:5" ht="15" customHeight="1">
      <c r="B101" s="93"/>
      <c r="C101" s="43" t="s">
        <v>161</v>
      </c>
      <c r="D101" s="42">
        <v>1</v>
      </c>
      <c r="E101" s="41">
        <v>4.4103378318779218E-5</v>
      </c>
    </row>
    <row r="102" spans="2:5" ht="15" customHeight="1">
      <c r="B102" s="93"/>
      <c r="C102" s="43" t="s">
        <v>169</v>
      </c>
      <c r="D102" s="42">
        <v>5</v>
      </c>
      <c r="E102" s="41">
        <v>2.205168915938961E-4</v>
      </c>
    </row>
    <row r="103" spans="2:5" ht="15" customHeight="1">
      <c r="B103" s="93"/>
      <c r="C103" s="43" t="s">
        <v>171</v>
      </c>
      <c r="D103" s="42">
        <v>64</v>
      </c>
      <c r="E103" s="41">
        <v>2.82261621240187E-3</v>
      </c>
    </row>
    <row r="104" spans="2:5" ht="15" customHeight="1">
      <c r="B104" s="93"/>
      <c r="C104" s="43" t="s">
        <v>160</v>
      </c>
      <c r="D104" s="42">
        <v>2</v>
      </c>
      <c r="E104" s="41">
        <v>8.8206756637558437E-5</v>
      </c>
    </row>
    <row r="105" spans="2:5" ht="15" customHeight="1">
      <c r="B105" s="93"/>
      <c r="C105" s="43" t="s">
        <v>168</v>
      </c>
      <c r="D105" s="42">
        <v>13</v>
      </c>
      <c r="E105" s="41">
        <v>5.7334391814412987E-4</v>
      </c>
    </row>
    <row r="106" spans="2:5" ht="15" customHeight="1">
      <c r="B106" s="93"/>
      <c r="C106" s="43" t="s">
        <v>144</v>
      </c>
      <c r="D106" s="42">
        <v>1</v>
      </c>
      <c r="E106" s="41">
        <v>4.4103378318779218E-5</v>
      </c>
    </row>
    <row r="107" spans="2:5" ht="15" customHeight="1">
      <c r="B107" s="93"/>
      <c r="C107" s="43" t="s">
        <v>150</v>
      </c>
      <c r="D107" s="42">
        <v>1</v>
      </c>
      <c r="E107" s="41">
        <v>4.4103378318779218E-5</v>
      </c>
    </row>
    <row r="108" spans="2:5" ht="15" customHeight="1">
      <c r="B108" s="93"/>
      <c r="C108" s="43" t="s">
        <v>155</v>
      </c>
      <c r="D108" s="42">
        <v>3</v>
      </c>
      <c r="E108" s="41">
        <v>1.3231013495633765E-4</v>
      </c>
    </row>
    <row r="109" spans="2:5" ht="15" customHeight="1">
      <c r="B109" s="93"/>
      <c r="C109" s="43" t="s">
        <v>170</v>
      </c>
      <c r="D109" s="42">
        <v>2</v>
      </c>
      <c r="E109" s="41">
        <v>8.8206756637558437E-5</v>
      </c>
    </row>
    <row r="110" spans="2:5" ht="15" customHeight="1">
      <c r="B110" s="93"/>
      <c r="C110" s="43" t="s">
        <v>123</v>
      </c>
      <c r="D110" s="42">
        <v>1</v>
      </c>
      <c r="E110" s="41">
        <v>4.4103378318779218E-5</v>
      </c>
    </row>
    <row r="111" spans="2:5" ht="15" customHeight="1">
      <c r="B111" s="93"/>
      <c r="C111" s="43" t="s">
        <v>154</v>
      </c>
      <c r="D111" s="42">
        <v>7</v>
      </c>
      <c r="E111" s="41">
        <v>3.0872364823145452E-4</v>
      </c>
    </row>
    <row r="112" spans="2:5" ht="15" customHeight="1">
      <c r="B112" s="93"/>
      <c r="C112" s="43" t="s">
        <v>146</v>
      </c>
      <c r="D112" s="42">
        <v>2</v>
      </c>
      <c r="E112" s="41">
        <v>8.8206756637558437E-5</v>
      </c>
    </row>
    <row r="113" spans="2:5" ht="15" customHeight="1">
      <c r="B113" s="93"/>
      <c r="C113" s="43" t="s">
        <v>167</v>
      </c>
      <c r="D113" s="42">
        <v>3</v>
      </c>
      <c r="E113" s="41">
        <v>1.3231013495633765E-4</v>
      </c>
    </row>
    <row r="114" spans="2:5" ht="15" customHeight="1">
      <c r="B114" s="93"/>
      <c r="C114" s="43" t="s">
        <v>165</v>
      </c>
      <c r="D114" s="42">
        <v>4</v>
      </c>
      <c r="E114" s="41">
        <v>1.7641351327511687E-4</v>
      </c>
    </row>
    <row r="115" spans="2:5" ht="15" customHeight="1">
      <c r="B115" s="94"/>
      <c r="C115" s="40" t="s">
        <v>20</v>
      </c>
      <c r="D115" s="39">
        <v>182</v>
      </c>
      <c r="E115" s="38">
        <v>8.0268148540178184E-3</v>
      </c>
    </row>
    <row r="116" spans="2:5" ht="15" customHeight="1">
      <c r="B116" s="92" t="s">
        <v>62</v>
      </c>
      <c r="C116" s="43" t="s">
        <v>140</v>
      </c>
      <c r="D116" s="42">
        <v>82</v>
      </c>
      <c r="E116" s="41">
        <v>3.6164770221398957E-3</v>
      </c>
    </row>
    <row r="117" spans="2:5" ht="15" customHeight="1">
      <c r="B117" s="93"/>
      <c r="C117" s="43" t="s">
        <v>132</v>
      </c>
      <c r="D117" s="42">
        <v>24</v>
      </c>
      <c r="E117" s="41">
        <v>1.0584810796507012E-3</v>
      </c>
    </row>
    <row r="118" spans="2:5" ht="15" customHeight="1">
      <c r="B118" s="93"/>
      <c r="C118" s="43" t="s">
        <v>135</v>
      </c>
      <c r="D118" s="42">
        <v>45</v>
      </c>
      <c r="E118" s="41">
        <v>1.984652024345065E-3</v>
      </c>
    </row>
    <row r="119" spans="2:5" ht="15" customHeight="1">
      <c r="B119" s="93"/>
      <c r="C119" s="43" t="s">
        <v>129</v>
      </c>
      <c r="D119" s="42">
        <v>20</v>
      </c>
      <c r="E119" s="41">
        <v>8.820675663755844E-4</v>
      </c>
    </row>
    <row r="120" spans="2:5" ht="15" customHeight="1">
      <c r="B120" s="93"/>
      <c r="C120" s="43" t="s">
        <v>145</v>
      </c>
      <c r="D120" s="42">
        <v>88</v>
      </c>
      <c r="E120" s="41">
        <v>3.8810972920525714E-3</v>
      </c>
    </row>
    <row r="121" spans="2:5" ht="15" customHeight="1">
      <c r="B121" s="93"/>
      <c r="C121" s="43" t="s">
        <v>120</v>
      </c>
      <c r="D121" s="42">
        <v>14</v>
      </c>
      <c r="E121" s="41">
        <v>6.1744729646290904E-4</v>
      </c>
    </row>
    <row r="122" spans="2:5" ht="15" customHeight="1">
      <c r="B122" s="93"/>
      <c r="C122" s="43" t="s">
        <v>151</v>
      </c>
      <c r="D122" s="42">
        <v>54</v>
      </c>
      <c r="E122" s="41">
        <v>2.3815824292140776E-3</v>
      </c>
    </row>
    <row r="123" spans="2:5" ht="15" customHeight="1">
      <c r="B123" s="93"/>
      <c r="C123" s="43" t="s">
        <v>128</v>
      </c>
      <c r="D123" s="42">
        <v>5</v>
      </c>
      <c r="E123" s="41">
        <v>2.205168915938961E-4</v>
      </c>
    </row>
    <row r="124" spans="2:5" ht="15" customHeight="1">
      <c r="B124" s="93"/>
      <c r="C124" s="43" t="s">
        <v>134</v>
      </c>
      <c r="D124" s="42">
        <v>36</v>
      </c>
      <c r="E124" s="41">
        <v>1.5877216194760519E-3</v>
      </c>
    </row>
    <row r="125" spans="2:5" ht="15" customHeight="1">
      <c r="B125" s="93"/>
      <c r="C125" s="43" t="s">
        <v>121</v>
      </c>
      <c r="D125" s="42">
        <v>13</v>
      </c>
      <c r="E125" s="41">
        <v>5.7334391814412987E-4</v>
      </c>
    </row>
    <row r="126" spans="2:5" ht="15" customHeight="1">
      <c r="B126" s="93"/>
      <c r="C126" s="43" t="s">
        <v>172</v>
      </c>
      <c r="D126" s="42">
        <v>584</v>
      </c>
      <c r="E126" s="41">
        <v>2.5756372938167064E-2</v>
      </c>
    </row>
    <row r="127" spans="2:5" ht="15" customHeight="1">
      <c r="B127" s="93"/>
      <c r="C127" s="43" t="s">
        <v>139</v>
      </c>
      <c r="D127" s="42">
        <v>14</v>
      </c>
      <c r="E127" s="41">
        <v>6.1744729646290904E-4</v>
      </c>
    </row>
    <row r="128" spans="2:5" ht="15" customHeight="1">
      <c r="B128" s="93"/>
      <c r="C128" s="43" t="s">
        <v>122</v>
      </c>
      <c r="D128" s="42">
        <v>39</v>
      </c>
      <c r="E128" s="41">
        <v>1.7200317544323895E-3</v>
      </c>
    </row>
    <row r="129" spans="2:5" ht="15" customHeight="1">
      <c r="B129" s="93"/>
      <c r="C129" s="43" t="s">
        <v>159</v>
      </c>
      <c r="D129" s="42">
        <v>21</v>
      </c>
      <c r="E129" s="41">
        <v>9.2617094469436357E-4</v>
      </c>
    </row>
    <row r="130" spans="2:5" ht="15" customHeight="1">
      <c r="B130" s="93"/>
      <c r="C130" s="43" t="s">
        <v>157</v>
      </c>
      <c r="D130" s="42">
        <v>70</v>
      </c>
      <c r="E130" s="41">
        <v>3.0872364823145452E-3</v>
      </c>
    </row>
    <row r="131" spans="2:5" ht="15" customHeight="1">
      <c r="B131" s="93"/>
      <c r="C131" s="43" t="s">
        <v>164</v>
      </c>
      <c r="D131" s="42">
        <v>109</v>
      </c>
      <c r="E131" s="41">
        <v>4.8072682367469345E-3</v>
      </c>
    </row>
    <row r="132" spans="2:5" ht="15" customHeight="1">
      <c r="B132" s="93"/>
      <c r="C132" s="43" t="s">
        <v>136</v>
      </c>
      <c r="D132" s="42">
        <v>55</v>
      </c>
      <c r="E132" s="41">
        <v>2.4256858075328569E-3</v>
      </c>
    </row>
    <row r="133" spans="2:5" ht="15" customHeight="1">
      <c r="B133" s="93"/>
      <c r="C133" s="43" t="s">
        <v>162</v>
      </c>
      <c r="D133" s="42">
        <v>244</v>
      </c>
      <c r="E133" s="41">
        <v>1.0761224309782129E-2</v>
      </c>
    </row>
    <row r="134" spans="2:5" ht="15" customHeight="1">
      <c r="B134" s="93"/>
      <c r="C134" s="43" t="s">
        <v>166</v>
      </c>
      <c r="D134" s="42">
        <v>491</v>
      </c>
      <c r="E134" s="41">
        <v>2.1654758754520595E-2</v>
      </c>
    </row>
    <row r="135" spans="2:5" ht="15" customHeight="1">
      <c r="B135" s="93"/>
      <c r="C135" s="43" t="s">
        <v>142</v>
      </c>
      <c r="D135" s="42">
        <v>29</v>
      </c>
      <c r="E135" s="41">
        <v>1.2789979712445974E-3</v>
      </c>
    </row>
    <row r="136" spans="2:5" ht="15" customHeight="1">
      <c r="B136" s="93"/>
      <c r="C136" s="43" t="s">
        <v>158</v>
      </c>
      <c r="D136" s="42">
        <v>8</v>
      </c>
      <c r="E136" s="41">
        <v>3.5282702655023375E-4</v>
      </c>
    </row>
    <row r="137" spans="2:5" ht="15" customHeight="1">
      <c r="B137" s="93"/>
      <c r="C137" s="43" t="s">
        <v>148</v>
      </c>
      <c r="D137" s="42">
        <v>138</v>
      </c>
      <c r="E137" s="41">
        <v>6.0862662079915319E-3</v>
      </c>
    </row>
    <row r="138" spans="2:5" ht="15" customHeight="1">
      <c r="B138" s="93"/>
      <c r="C138" s="43" t="s">
        <v>153</v>
      </c>
      <c r="D138" s="42">
        <v>61</v>
      </c>
      <c r="E138" s="41">
        <v>2.6903060774455321E-3</v>
      </c>
    </row>
    <row r="139" spans="2:5" ht="15" customHeight="1">
      <c r="B139" s="93"/>
      <c r="C139" s="43" t="s">
        <v>143</v>
      </c>
      <c r="D139" s="42">
        <v>48</v>
      </c>
      <c r="E139" s="41">
        <v>2.1169621593014024E-3</v>
      </c>
    </row>
    <row r="140" spans="2:5" ht="15" customHeight="1">
      <c r="B140" s="93"/>
      <c r="C140" s="43" t="s">
        <v>141</v>
      </c>
      <c r="D140" s="42">
        <v>13</v>
      </c>
      <c r="E140" s="41">
        <v>5.7334391814412987E-4</v>
      </c>
    </row>
    <row r="141" spans="2:5" ht="15" customHeight="1">
      <c r="B141" s="93"/>
      <c r="C141" s="43" t="s">
        <v>118</v>
      </c>
      <c r="D141" s="42">
        <v>3</v>
      </c>
      <c r="E141" s="41">
        <v>1.3231013495633765E-4</v>
      </c>
    </row>
    <row r="142" spans="2:5" ht="15" customHeight="1">
      <c r="B142" s="93"/>
      <c r="C142" s="43" t="s">
        <v>124</v>
      </c>
      <c r="D142" s="42">
        <v>42</v>
      </c>
      <c r="E142" s="41">
        <v>1.8523418893887271E-3</v>
      </c>
    </row>
    <row r="143" spans="2:5" ht="15" customHeight="1">
      <c r="B143" s="93"/>
      <c r="C143" s="43" t="s">
        <v>156</v>
      </c>
      <c r="D143" s="42">
        <v>18</v>
      </c>
      <c r="E143" s="41">
        <v>7.9386080973802594E-4</v>
      </c>
    </row>
    <row r="144" spans="2:5" ht="15" customHeight="1">
      <c r="B144" s="93"/>
      <c r="C144" s="43" t="s">
        <v>125</v>
      </c>
      <c r="D144" s="42">
        <v>24</v>
      </c>
      <c r="E144" s="41">
        <v>1.0584810796507012E-3</v>
      </c>
    </row>
    <row r="145" spans="2:5" ht="15" customHeight="1">
      <c r="B145" s="93"/>
      <c r="C145" s="43" t="s">
        <v>152</v>
      </c>
      <c r="D145" s="42">
        <v>110</v>
      </c>
      <c r="E145" s="41">
        <v>4.8513716150657138E-3</v>
      </c>
    </row>
    <row r="146" spans="2:5" ht="15" customHeight="1">
      <c r="B146" s="93"/>
      <c r="C146" s="43" t="s">
        <v>130</v>
      </c>
      <c r="D146" s="42">
        <v>27</v>
      </c>
      <c r="E146" s="41">
        <v>1.1907912146070388E-3</v>
      </c>
    </row>
    <row r="147" spans="2:5" ht="15" customHeight="1">
      <c r="B147" s="93"/>
      <c r="C147" s="43" t="s">
        <v>133</v>
      </c>
      <c r="D147" s="42">
        <v>64</v>
      </c>
      <c r="E147" s="41">
        <v>2.82261621240187E-3</v>
      </c>
    </row>
    <row r="148" spans="2:5" ht="15" customHeight="1">
      <c r="B148" s="93"/>
      <c r="C148" s="43" t="s">
        <v>163</v>
      </c>
      <c r="D148" s="42">
        <v>258</v>
      </c>
      <c r="E148" s="41">
        <v>1.1378671606245038E-2</v>
      </c>
    </row>
    <row r="149" spans="2:5" ht="15" customHeight="1">
      <c r="B149" s="93"/>
      <c r="C149" s="43" t="s">
        <v>137</v>
      </c>
      <c r="D149" s="42">
        <v>19</v>
      </c>
      <c r="E149" s="41">
        <v>8.3796418805680512E-4</v>
      </c>
    </row>
    <row r="150" spans="2:5" ht="15" customHeight="1">
      <c r="B150" s="93"/>
      <c r="C150" s="43" t="s">
        <v>161</v>
      </c>
      <c r="D150" s="42">
        <v>87</v>
      </c>
      <c r="E150" s="41">
        <v>3.8369939137337921E-3</v>
      </c>
    </row>
    <row r="151" spans="2:5" ht="15" customHeight="1">
      <c r="B151" s="93"/>
      <c r="C151" s="43" t="s">
        <v>127</v>
      </c>
      <c r="D151" s="42">
        <v>18</v>
      </c>
      <c r="E151" s="41">
        <v>7.9386080973802594E-4</v>
      </c>
    </row>
    <row r="152" spans="2:5" ht="15" customHeight="1">
      <c r="B152" s="93"/>
      <c r="C152" s="43" t="s">
        <v>169</v>
      </c>
      <c r="D152" s="42">
        <v>67</v>
      </c>
      <c r="E152" s="41">
        <v>2.9549263473582078E-3</v>
      </c>
    </row>
    <row r="153" spans="2:5" ht="15" customHeight="1">
      <c r="B153" s="93"/>
      <c r="C153" s="43" t="s">
        <v>171</v>
      </c>
      <c r="D153" s="42">
        <v>82</v>
      </c>
      <c r="E153" s="41">
        <v>3.6164770221398957E-3</v>
      </c>
    </row>
    <row r="154" spans="2:5" ht="15" customHeight="1">
      <c r="B154" s="93"/>
      <c r="C154" s="43" t="s">
        <v>160</v>
      </c>
      <c r="D154" s="42">
        <v>77</v>
      </c>
      <c r="E154" s="41">
        <v>3.3959601305459997E-3</v>
      </c>
    </row>
    <row r="155" spans="2:5" ht="15" customHeight="1">
      <c r="B155" s="93"/>
      <c r="C155" s="43" t="s">
        <v>168</v>
      </c>
      <c r="D155" s="42">
        <v>153</v>
      </c>
      <c r="E155" s="41">
        <v>6.7478168827732202E-3</v>
      </c>
    </row>
    <row r="156" spans="2:5" ht="15" customHeight="1">
      <c r="B156" s="93"/>
      <c r="C156" s="43" t="s">
        <v>126</v>
      </c>
      <c r="D156" s="42">
        <v>31</v>
      </c>
      <c r="E156" s="41">
        <v>1.3672047278821557E-3</v>
      </c>
    </row>
    <row r="157" spans="2:5" ht="15" customHeight="1">
      <c r="B157" s="93"/>
      <c r="C157" s="43" t="s">
        <v>149</v>
      </c>
      <c r="D157" s="42">
        <v>110</v>
      </c>
      <c r="E157" s="41">
        <v>4.8513716150657138E-3</v>
      </c>
    </row>
    <row r="158" spans="2:5" ht="15" customHeight="1">
      <c r="B158" s="93"/>
      <c r="C158" s="43" t="s">
        <v>144</v>
      </c>
      <c r="D158" s="42">
        <v>90</v>
      </c>
      <c r="E158" s="41">
        <v>3.9693040486901299E-3</v>
      </c>
    </row>
    <row r="159" spans="2:5" ht="15" customHeight="1">
      <c r="B159" s="93"/>
      <c r="C159" s="43" t="s">
        <v>150</v>
      </c>
      <c r="D159" s="42">
        <v>127</v>
      </c>
      <c r="E159" s="41">
        <v>5.6011290464849607E-3</v>
      </c>
    </row>
    <row r="160" spans="2:5" ht="15" customHeight="1">
      <c r="B160" s="93"/>
      <c r="C160" s="43" t="s">
        <v>138</v>
      </c>
      <c r="D160" s="42">
        <v>63</v>
      </c>
      <c r="E160" s="41">
        <v>2.7785128340830907E-3</v>
      </c>
    </row>
    <row r="161" spans="2:5" ht="15" customHeight="1">
      <c r="B161" s="93"/>
      <c r="C161" s="43" t="s">
        <v>155</v>
      </c>
      <c r="D161" s="42">
        <v>170</v>
      </c>
      <c r="E161" s="41">
        <v>7.4975743141924671E-3</v>
      </c>
    </row>
    <row r="162" spans="2:5" ht="15" customHeight="1">
      <c r="B162" s="93"/>
      <c r="C162" s="43" t="s">
        <v>116</v>
      </c>
      <c r="D162" s="42">
        <v>3</v>
      </c>
      <c r="E162" s="41">
        <v>1.3231013495633765E-4</v>
      </c>
    </row>
    <row r="163" spans="2:5" ht="15" customHeight="1">
      <c r="B163" s="93"/>
      <c r="C163" s="43" t="s">
        <v>119</v>
      </c>
      <c r="D163" s="42">
        <v>11</v>
      </c>
      <c r="E163" s="41">
        <v>4.8513716150657142E-4</v>
      </c>
    </row>
    <row r="164" spans="2:5" ht="15" customHeight="1">
      <c r="B164" s="93"/>
      <c r="C164" s="43" t="s">
        <v>170</v>
      </c>
      <c r="D164" s="42">
        <v>222</v>
      </c>
      <c r="E164" s="41">
        <v>9.7909499867689861E-3</v>
      </c>
    </row>
    <row r="165" spans="2:5" ht="15" customHeight="1">
      <c r="B165" s="93"/>
      <c r="C165" s="43" t="s">
        <v>123</v>
      </c>
      <c r="D165" s="42">
        <v>13</v>
      </c>
      <c r="E165" s="41">
        <v>5.7334391814412987E-4</v>
      </c>
    </row>
    <row r="166" spans="2:5" ht="15" customHeight="1">
      <c r="B166" s="93"/>
      <c r="C166" s="43" t="s">
        <v>154</v>
      </c>
      <c r="D166" s="42">
        <v>75</v>
      </c>
      <c r="E166" s="41">
        <v>3.3077533739084412E-3</v>
      </c>
    </row>
    <row r="167" spans="2:5" ht="15" customHeight="1">
      <c r="B167" s="93"/>
      <c r="C167" s="43" t="s">
        <v>131</v>
      </c>
      <c r="D167" s="42">
        <v>20</v>
      </c>
      <c r="E167" s="41">
        <v>8.820675663755844E-4</v>
      </c>
    </row>
    <row r="168" spans="2:5" ht="15" customHeight="1">
      <c r="B168" s="93"/>
      <c r="C168" s="43" t="s">
        <v>147</v>
      </c>
      <c r="D168" s="42">
        <v>9</v>
      </c>
      <c r="E168" s="41">
        <v>3.9693040486901297E-4</v>
      </c>
    </row>
    <row r="169" spans="2:5" ht="15" customHeight="1">
      <c r="B169" s="93"/>
      <c r="C169" s="43" t="s">
        <v>146</v>
      </c>
      <c r="D169" s="42">
        <v>18</v>
      </c>
      <c r="E169" s="41">
        <v>7.9386080973802594E-4</v>
      </c>
    </row>
    <row r="170" spans="2:5" ht="15" customHeight="1">
      <c r="B170" s="93"/>
      <c r="C170" s="43" t="s">
        <v>167</v>
      </c>
      <c r="D170" s="42">
        <v>260</v>
      </c>
      <c r="E170" s="41">
        <v>1.1466878362882597E-2</v>
      </c>
    </row>
    <row r="171" spans="2:5" ht="15" customHeight="1">
      <c r="B171" s="93"/>
      <c r="C171" s="43" t="s">
        <v>165</v>
      </c>
      <c r="D171" s="42">
        <v>258</v>
      </c>
      <c r="E171" s="41">
        <v>1.1378671606245038E-2</v>
      </c>
    </row>
    <row r="172" spans="2:5" ht="15" customHeight="1">
      <c r="B172" s="94"/>
      <c r="C172" s="40" t="s">
        <v>20</v>
      </c>
      <c r="D172" s="39">
        <v>4834</v>
      </c>
      <c r="E172" s="38">
        <v>0.21319573079297874</v>
      </c>
    </row>
    <row r="173" spans="2:5" ht="15" customHeight="1">
      <c r="B173" s="92" t="s">
        <v>60</v>
      </c>
      <c r="C173" s="43" t="s">
        <v>140</v>
      </c>
      <c r="D173" s="42">
        <v>2</v>
      </c>
      <c r="E173" s="41">
        <v>8.8206756637558437E-5</v>
      </c>
    </row>
    <row r="174" spans="2:5" ht="15" customHeight="1">
      <c r="B174" s="93"/>
      <c r="C174" s="43" t="s">
        <v>129</v>
      </c>
      <c r="D174" s="42">
        <v>1</v>
      </c>
      <c r="E174" s="41">
        <v>4.4103378318779218E-5</v>
      </c>
    </row>
    <row r="175" spans="2:5" ht="15" customHeight="1">
      <c r="B175" s="93"/>
      <c r="C175" s="43" t="s">
        <v>145</v>
      </c>
      <c r="D175" s="42">
        <v>7</v>
      </c>
      <c r="E175" s="41">
        <v>3.0872364823145452E-4</v>
      </c>
    </row>
    <row r="176" spans="2:5" ht="15" customHeight="1">
      <c r="B176" s="93"/>
      <c r="C176" s="43" t="s">
        <v>120</v>
      </c>
      <c r="D176" s="42">
        <v>4</v>
      </c>
      <c r="E176" s="41">
        <v>1.7641351327511687E-4</v>
      </c>
    </row>
    <row r="177" spans="2:5" ht="15" customHeight="1">
      <c r="B177" s="93"/>
      <c r="C177" s="43" t="s">
        <v>151</v>
      </c>
      <c r="D177" s="42">
        <v>74</v>
      </c>
      <c r="E177" s="41">
        <v>3.2636499955896623E-3</v>
      </c>
    </row>
    <row r="178" spans="2:5" ht="15" customHeight="1">
      <c r="B178" s="93"/>
      <c r="C178" s="43" t="s">
        <v>128</v>
      </c>
      <c r="D178" s="42">
        <v>1</v>
      </c>
      <c r="E178" s="41">
        <v>4.4103378318779218E-5</v>
      </c>
    </row>
    <row r="179" spans="2:5" ht="15" customHeight="1">
      <c r="B179" s="93"/>
      <c r="C179" s="43" t="s">
        <v>134</v>
      </c>
      <c r="D179" s="42">
        <v>6</v>
      </c>
      <c r="E179" s="41">
        <v>2.646202699126753E-4</v>
      </c>
    </row>
    <row r="180" spans="2:5" ht="15" customHeight="1">
      <c r="B180" s="93"/>
      <c r="C180" s="43" t="s">
        <v>172</v>
      </c>
      <c r="D180" s="42">
        <v>279</v>
      </c>
      <c r="E180" s="41">
        <v>1.2304842550939402E-2</v>
      </c>
    </row>
    <row r="181" spans="2:5" ht="15" customHeight="1">
      <c r="B181" s="93"/>
      <c r="C181" s="43" t="s">
        <v>139</v>
      </c>
      <c r="D181" s="42">
        <v>7</v>
      </c>
      <c r="E181" s="41">
        <v>3.0872364823145452E-4</v>
      </c>
    </row>
    <row r="182" spans="2:5" ht="15" customHeight="1">
      <c r="B182" s="93"/>
      <c r="C182" s="43" t="s">
        <v>159</v>
      </c>
      <c r="D182" s="42">
        <v>11</v>
      </c>
      <c r="E182" s="41">
        <v>4.8513716150657142E-4</v>
      </c>
    </row>
    <row r="183" spans="2:5" ht="15" customHeight="1">
      <c r="B183" s="93"/>
      <c r="C183" s="43" t="s">
        <v>157</v>
      </c>
      <c r="D183" s="42">
        <v>7</v>
      </c>
      <c r="E183" s="41">
        <v>3.0872364823145452E-4</v>
      </c>
    </row>
    <row r="184" spans="2:5" ht="15" customHeight="1">
      <c r="B184" s="93"/>
      <c r="C184" s="43" t="s">
        <v>164</v>
      </c>
      <c r="D184" s="42">
        <v>16</v>
      </c>
      <c r="E184" s="41">
        <v>7.0565405310046749E-4</v>
      </c>
    </row>
    <row r="185" spans="2:5" ht="15" customHeight="1">
      <c r="B185" s="93"/>
      <c r="C185" s="43" t="s">
        <v>136</v>
      </c>
      <c r="D185" s="42">
        <v>3</v>
      </c>
      <c r="E185" s="41">
        <v>1.3231013495633765E-4</v>
      </c>
    </row>
    <row r="186" spans="2:5" ht="15" customHeight="1">
      <c r="B186" s="93"/>
      <c r="C186" s="43" t="s">
        <v>162</v>
      </c>
      <c r="D186" s="42">
        <v>5</v>
      </c>
      <c r="E186" s="41">
        <v>2.205168915938961E-4</v>
      </c>
    </row>
    <row r="187" spans="2:5" ht="15" customHeight="1">
      <c r="B187" s="93"/>
      <c r="C187" s="43" t="s">
        <v>166</v>
      </c>
      <c r="D187" s="42">
        <v>31</v>
      </c>
      <c r="E187" s="41">
        <v>1.3672047278821557E-3</v>
      </c>
    </row>
    <row r="188" spans="2:5" ht="15" customHeight="1">
      <c r="B188" s="93"/>
      <c r="C188" s="43" t="s">
        <v>142</v>
      </c>
      <c r="D188" s="42">
        <v>19</v>
      </c>
      <c r="E188" s="41">
        <v>8.3796418805680512E-4</v>
      </c>
    </row>
    <row r="189" spans="2:5" ht="15" customHeight="1">
      <c r="B189" s="93"/>
      <c r="C189" s="43" t="s">
        <v>158</v>
      </c>
      <c r="D189" s="42">
        <v>6</v>
      </c>
      <c r="E189" s="41">
        <v>2.646202699126753E-4</v>
      </c>
    </row>
    <row r="190" spans="2:5" ht="15" customHeight="1">
      <c r="B190" s="93"/>
      <c r="C190" s="43" t="s">
        <v>148</v>
      </c>
      <c r="D190" s="42">
        <v>5</v>
      </c>
      <c r="E190" s="41">
        <v>2.205168915938961E-4</v>
      </c>
    </row>
    <row r="191" spans="2:5" ht="15" customHeight="1">
      <c r="B191" s="93"/>
      <c r="C191" s="43" t="s">
        <v>153</v>
      </c>
      <c r="D191" s="42">
        <v>99</v>
      </c>
      <c r="E191" s="41">
        <v>4.3662344535591426E-3</v>
      </c>
    </row>
    <row r="192" spans="2:5" ht="15" customHeight="1">
      <c r="B192" s="93"/>
      <c r="C192" s="43" t="s">
        <v>143</v>
      </c>
      <c r="D192" s="42">
        <v>48</v>
      </c>
      <c r="E192" s="41">
        <v>2.1169621593014024E-3</v>
      </c>
    </row>
    <row r="193" spans="2:5" ht="15" customHeight="1">
      <c r="B193" s="93"/>
      <c r="C193" s="43" t="s">
        <v>141</v>
      </c>
      <c r="D193" s="42">
        <v>17</v>
      </c>
      <c r="E193" s="41">
        <v>7.4975743141924667E-4</v>
      </c>
    </row>
    <row r="194" spans="2:5" ht="15" customHeight="1">
      <c r="B194" s="93"/>
      <c r="C194" s="43" t="s">
        <v>124</v>
      </c>
      <c r="D194" s="42">
        <v>1</v>
      </c>
      <c r="E194" s="41">
        <v>4.4103378318779218E-5</v>
      </c>
    </row>
    <row r="195" spans="2:5" ht="15" customHeight="1">
      <c r="B195" s="93"/>
      <c r="C195" s="43" t="s">
        <v>156</v>
      </c>
      <c r="D195" s="42">
        <v>8</v>
      </c>
      <c r="E195" s="41">
        <v>3.5282702655023375E-4</v>
      </c>
    </row>
    <row r="196" spans="2:5" ht="15" customHeight="1">
      <c r="B196" s="93"/>
      <c r="C196" s="43" t="s">
        <v>125</v>
      </c>
      <c r="D196" s="42">
        <v>1</v>
      </c>
      <c r="E196" s="41">
        <v>4.4103378318779218E-5</v>
      </c>
    </row>
    <row r="197" spans="2:5" ht="15" customHeight="1">
      <c r="B197" s="93"/>
      <c r="C197" s="43" t="s">
        <v>152</v>
      </c>
      <c r="D197" s="42">
        <v>8</v>
      </c>
      <c r="E197" s="41">
        <v>3.5282702655023375E-4</v>
      </c>
    </row>
    <row r="198" spans="2:5" ht="15" customHeight="1">
      <c r="B198" s="93"/>
      <c r="C198" s="43" t="s">
        <v>133</v>
      </c>
      <c r="D198" s="42">
        <v>1</v>
      </c>
      <c r="E198" s="41">
        <v>4.4103378318779218E-5</v>
      </c>
    </row>
    <row r="199" spans="2:5" ht="15" customHeight="1">
      <c r="B199" s="93"/>
      <c r="C199" s="43" t="s">
        <v>163</v>
      </c>
      <c r="D199" s="42">
        <v>6</v>
      </c>
      <c r="E199" s="41">
        <v>2.646202699126753E-4</v>
      </c>
    </row>
    <row r="200" spans="2:5" ht="15" customHeight="1">
      <c r="B200" s="93"/>
      <c r="C200" s="43" t="s">
        <v>137</v>
      </c>
      <c r="D200" s="42">
        <v>6</v>
      </c>
      <c r="E200" s="41">
        <v>2.646202699126753E-4</v>
      </c>
    </row>
    <row r="201" spans="2:5" ht="15" customHeight="1">
      <c r="B201" s="93"/>
      <c r="C201" s="43" t="s">
        <v>161</v>
      </c>
      <c r="D201" s="42">
        <v>40</v>
      </c>
      <c r="E201" s="41">
        <v>1.7641351327511688E-3</v>
      </c>
    </row>
    <row r="202" spans="2:5" ht="15" customHeight="1">
      <c r="B202" s="93"/>
      <c r="C202" s="43" t="s">
        <v>127</v>
      </c>
      <c r="D202" s="42">
        <v>1</v>
      </c>
      <c r="E202" s="41">
        <v>4.4103378318779218E-5</v>
      </c>
    </row>
    <row r="203" spans="2:5" ht="15" customHeight="1">
      <c r="B203" s="93"/>
      <c r="C203" s="43" t="s">
        <v>169</v>
      </c>
      <c r="D203" s="42">
        <v>11</v>
      </c>
      <c r="E203" s="41">
        <v>4.8513716150657142E-4</v>
      </c>
    </row>
    <row r="204" spans="2:5" ht="15" customHeight="1">
      <c r="B204" s="93"/>
      <c r="C204" s="43" t="s">
        <v>171</v>
      </c>
      <c r="D204" s="42">
        <v>24</v>
      </c>
      <c r="E204" s="41">
        <v>1.0584810796507012E-3</v>
      </c>
    </row>
    <row r="205" spans="2:5" ht="15" customHeight="1">
      <c r="B205" s="93"/>
      <c r="C205" s="43" t="s">
        <v>160</v>
      </c>
      <c r="D205" s="42">
        <v>37</v>
      </c>
      <c r="E205" s="41">
        <v>1.6318249977948312E-3</v>
      </c>
    </row>
    <row r="206" spans="2:5" ht="15" customHeight="1">
      <c r="B206" s="93"/>
      <c r="C206" s="43" t="s">
        <v>168</v>
      </c>
      <c r="D206" s="42">
        <v>50</v>
      </c>
      <c r="E206" s="41">
        <v>2.2051689159389609E-3</v>
      </c>
    </row>
    <row r="207" spans="2:5" ht="15" customHeight="1">
      <c r="B207" s="93"/>
      <c r="C207" s="43" t="s">
        <v>126</v>
      </c>
      <c r="D207" s="42">
        <v>2</v>
      </c>
      <c r="E207" s="41">
        <v>8.8206756637558437E-5</v>
      </c>
    </row>
    <row r="208" spans="2:5" ht="15" customHeight="1">
      <c r="B208" s="93"/>
      <c r="C208" s="43" t="s">
        <v>149</v>
      </c>
      <c r="D208" s="42">
        <v>1</v>
      </c>
      <c r="E208" s="41">
        <v>4.4103378318779218E-5</v>
      </c>
    </row>
    <row r="209" spans="2:5" ht="15" customHeight="1">
      <c r="B209" s="93"/>
      <c r="C209" s="43" t="s">
        <v>144</v>
      </c>
      <c r="D209" s="42">
        <v>3</v>
      </c>
      <c r="E209" s="41">
        <v>1.3231013495633765E-4</v>
      </c>
    </row>
    <row r="210" spans="2:5" ht="15" customHeight="1">
      <c r="B210" s="93"/>
      <c r="C210" s="43" t="s">
        <v>150</v>
      </c>
      <c r="D210" s="42">
        <v>1</v>
      </c>
      <c r="E210" s="41">
        <v>4.4103378318779218E-5</v>
      </c>
    </row>
    <row r="211" spans="2:5" ht="15" customHeight="1">
      <c r="B211" s="93"/>
      <c r="C211" s="43" t="s">
        <v>138</v>
      </c>
      <c r="D211" s="42">
        <v>6</v>
      </c>
      <c r="E211" s="41">
        <v>2.646202699126753E-4</v>
      </c>
    </row>
    <row r="212" spans="2:5" ht="15" customHeight="1">
      <c r="B212" s="93"/>
      <c r="C212" s="43" t="s">
        <v>155</v>
      </c>
      <c r="D212" s="42">
        <v>32</v>
      </c>
      <c r="E212" s="41">
        <v>1.411308106200935E-3</v>
      </c>
    </row>
    <row r="213" spans="2:5" ht="15" customHeight="1">
      <c r="B213" s="93"/>
      <c r="C213" s="43" t="s">
        <v>170</v>
      </c>
      <c r="D213" s="42">
        <v>112</v>
      </c>
      <c r="E213" s="41">
        <v>4.9395783717032724E-3</v>
      </c>
    </row>
    <row r="214" spans="2:5" ht="15" customHeight="1">
      <c r="B214" s="93"/>
      <c r="C214" s="43" t="s">
        <v>123</v>
      </c>
      <c r="D214" s="42">
        <v>1</v>
      </c>
      <c r="E214" s="41">
        <v>4.4103378318779218E-5</v>
      </c>
    </row>
    <row r="215" spans="2:5" ht="15" customHeight="1">
      <c r="B215" s="93"/>
      <c r="C215" s="43" t="s">
        <v>154</v>
      </c>
      <c r="D215" s="42">
        <v>14</v>
      </c>
      <c r="E215" s="41">
        <v>6.1744729646290904E-4</v>
      </c>
    </row>
    <row r="216" spans="2:5" ht="15" customHeight="1">
      <c r="B216" s="93"/>
      <c r="C216" s="43" t="s">
        <v>131</v>
      </c>
      <c r="D216" s="42">
        <v>11</v>
      </c>
      <c r="E216" s="41">
        <v>4.8513716150657142E-4</v>
      </c>
    </row>
    <row r="217" spans="2:5" ht="15" customHeight="1">
      <c r="B217" s="93"/>
      <c r="C217" s="43" t="s">
        <v>147</v>
      </c>
      <c r="D217" s="42">
        <v>1</v>
      </c>
      <c r="E217" s="41">
        <v>4.4103378318779218E-5</v>
      </c>
    </row>
    <row r="218" spans="2:5" ht="15" customHeight="1">
      <c r="B218" s="93"/>
      <c r="C218" s="43" t="s">
        <v>146</v>
      </c>
      <c r="D218" s="42">
        <v>1</v>
      </c>
      <c r="E218" s="41">
        <v>4.4103378318779218E-5</v>
      </c>
    </row>
    <row r="219" spans="2:5" ht="15" customHeight="1">
      <c r="B219" s="93"/>
      <c r="C219" s="43" t="s">
        <v>167</v>
      </c>
      <c r="D219" s="42">
        <v>17</v>
      </c>
      <c r="E219" s="41">
        <v>7.4975743141924667E-4</v>
      </c>
    </row>
    <row r="220" spans="2:5" ht="15" customHeight="1">
      <c r="B220" s="93"/>
      <c r="C220" s="43" t="s">
        <v>165</v>
      </c>
      <c r="D220" s="42">
        <v>29</v>
      </c>
      <c r="E220" s="41">
        <v>1.2789979712445974E-3</v>
      </c>
    </row>
    <row r="221" spans="2:5" ht="15" customHeight="1">
      <c r="B221" s="94"/>
      <c r="C221" s="40" t="s">
        <v>20</v>
      </c>
      <c r="D221" s="39">
        <v>1073</v>
      </c>
      <c r="E221" s="38">
        <v>4.7322924936050101E-2</v>
      </c>
    </row>
    <row r="222" spans="2:5" ht="15" customHeight="1">
      <c r="B222" s="92" t="s">
        <v>25</v>
      </c>
      <c r="C222" s="43" t="s">
        <v>157</v>
      </c>
      <c r="D222" s="42">
        <v>3</v>
      </c>
      <c r="E222" s="41">
        <v>1.3231013495633765E-4</v>
      </c>
    </row>
    <row r="223" spans="2:5" ht="15" customHeight="1">
      <c r="B223" s="93"/>
      <c r="C223" s="43" t="s">
        <v>158</v>
      </c>
      <c r="D223" s="42">
        <v>1</v>
      </c>
      <c r="E223" s="41">
        <v>4.4103378318779218E-5</v>
      </c>
    </row>
    <row r="224" spans="2:5" ht="15" customHeight="1">
      <c r="B224" s="93"/>
      <c r="C224" s="43" t="s">
        <v>165</v>
      </c>
      <c r="D224" s="42">
        <v>1</v>
      </c>
      <c r="E224" s="41">
        <v>4.4103378318779218E-5</v>
      </c>
    </row>
    <row r="225" spans="2:5" ht="15" customHeight="1">
      <c r="B225" s="94"/>
      <c r="C225" s="40" t="s">
        <v>20</v>
      </c>
      <c r="D225" s="39">
        <v>5</v>
      </c>
      <c r="E225" s="38">
        <v>2.205168915938961E-4</v>
      </c>
    </row>
    <row r="226" spans="2:5" ht="15" customHeight="1">
      <c r="B226" s="92" t="s">
        <v>26</v>
      </c>
      <c r="C226" s="43" t="s">
        <v>134</v>
      </c>
      <c r="D226" s="42">
        <v>1</v>
      </c>
      <c r="E226" s="41">
        <v>4.4103378318779218E-5</v>
      </c>
    </row>
    <row r="227" spans="2:5" ht="15" customHeight="1">
      <c r="B227" s="93"/>
      <c r="C227" s="43" t="s">
        <v>171</v>
      </c>
      <c r="D227" s="42">
        <v>5</v>
      </c>
      <c r="E227" s="41">
        <v>2.205168915938961E-4</v>
      </c>
    </row>
    <row r="228" spans="2:5" ht="15" customHeight="1">
      <c r="B228" s="93"/>
      <c r="C228" s="43" t="s">
        <v>168</v>
      </c>
      <c r="D228" s="42">
        <v>1</v>
      </c>
      <c r="E228" s="41">
        <v>4.4103378318779218E-5</v>
      </c>
    </row>
    <row r="229" spans="2:5" ht="15" customHeight="1">
      <c r="B229" s="94"/>
      <c r="C229" s="40" t="s">
        <v>20</v>
      </c>
      <c r="D229" s="39">
        <v>7</v>
      </c>
      <c r="E229" s="38">
        <v>3.0872364823145452E-4</v>
      </c>
    </row>
    <row r="230" spans="2:5" ht="15" customHeight="1">
      <c r="B230" s="92" t="s">
        <v>252</v>
      </c>
      <c r="C230" s="43" t="s">
        <v>157</v>
      </c>
      <c r="D230" s="42">
        <v>1</v>
      </c>
      <c r="E230" s="41">
        <v>4.4103378318779218E-5</v>
      </c>
    </row>
    <row r="231" spans="2:5" ht="15" customHeight="1">
      <c r="B231" s="93"/>
      <c r="C231" s="43" t="s">
        <v>161</v>
      </c>
      <c r="D231" s="42">
        <v>1</v>
      </c>
      <c r="E231" s="41">
        <v>4.4103378318779218E-5</v>
      </c>
    </row>
    <row r="232" spans="2:5" ht="15" customHeight="1">
      <c r="B232" s="94"/>
      <c r="C232" s="40" t="s">
        <v>20</v>
      </c>
      <c r="D232" s="39">
        <v>2</v>
      </c>
      <c r="E232" s="38">
        <v>8.8206756637558437E-5</v>
      </c>
    </row>
    <row r="233" spans="2:5" ht="15" customHeight="1">
      <c r="B233" s="92" t="s">
        <v>54</v>
      </c>
      <c r="C233" s="43" t="s">
        <v>140</v>
      </c>
      <c r="D233" s="42">
        <v>1</v>
      </c>
      <c r="E233" s="41">
        <v>4.4103378318779218E-5</v>
      </c>
    </row>
    <row r="234" spans="2:5" ht="15" customHeight="1">
      <c r="B234" s="93"/>
      <c r="C234" s="43" t="s">
        <v>132</v>
      </c>
      <c r="D234" s="42">
        <v>1</v>
      </c>
      <c r="E234" s="41">
        <v>4.4103378318779218E-5</v>
      </c>
    </row>
    <row r="235" spans="2:5" ht="15" customHeight="1">
      <c r="B235" s="93"/>
      <c r="C235" s="43" t="s">
        <v>120</v>
      </c>
      <c r="D235" s="42">
        <v>1</v>
      </c>
      <c r="E235" s="41">
        <v>4.4103378318779218E-5</v>
      </c>
    </row>
    <row r="236" spans="2:5" ht="15" customHeight="1">
      <c r="B236" s="93"/>
      <c r="C236" s="43" t="s">
        <v>151</v>
      </c>
      <c r="D236" s="42">
        <v>3</v>
      </c>
      <c r="E236" s="41">
        <v>1.3231013495633765E-4</v>
      </c>
    </row>
    <row r="237" spans="2:5" ht="15" customHeight="1">
      <c r="B237" s="93"/>
      <c r="C237" s="43" t="s">
        <v>128</v>
      </c>
      <c r="D237" s="42">
        <v>3</v>
      </c>
      <c r="E237" s="41">
        <v>1.3231013495633765E-4</v>
      </c>
    </row>
    <row r="238" spans="2:5" ht="15" customHeight="1">
      <c r="B238" s="93"/>
      <c r="C238" s="43" t="s">
        <v>134</v>
      </c>
      <c r="D238" s="42">
        <v>4</v>
      </c>
      <c r="E238" s="41">
        <v>1.7641351327511687E-4</v>
      </c>
    </row>
    <row r="239" spans="2:5" ht="15" customHeight="1">
      <c r="B239" s="93"/>
      <c r="C239" s="43" t="s">
        <v>121</v>
      </c>
      <c r="D239" s="42">
        <v>1</v>
      </c>
      <c r="E239" s="41">
        <v>4.4103378318779218E-5</v>
      </c>
    </row>
    <row r="240" spans="2:5" ht="15" customHeight="1">
      <c r="B240" s="93"/>
      <c r="C240" s="43" t="s">
        <v>172</v>
      </c>
      <c r="D240" s="42">
        <v>20</v>
      </c>
      <c r="E240" s="41">
        <v>8.820675663755844E-4</v>
      </c>
    </row>
    <row r="241" spans="2:5" ht="15" customHeight="1">
      <c r="B241" s="93"/>
      <c r="C241" s="43" t="s">
        <v>139</v>
      </c>
      <c r="D241" s="42">
        <v>10</v>
      </c>
      <c r="E241" s="41">
        <v>4.410337831877922E-4</v>
      </c>
    </row>
    <row r="242" spans="2:5" ht="15" customHeight="1">
      <c r="B242" s="93"/>
      <c r="C242" s="43" t="s">
        <v>159</v>
      </c>
      <c r="D242" s="42">
        <v>6</v>
      </c>
      <c r="E242" s="41">
        <v>2.646202699126753E-4</v>
      </c>
    </row>
    <row r="243" spans="2:5" ht="15" customHeight="1">
      <c r="B243" s="93"/>
      <c r="C243" s="43" t="s">
        <v>157</v>
      </c>
      <c r="D243" s="42">
        <v>14</v>
      </c>
      <c r="E243" s="41">
        <v>6.1744729646290904E-4</v>
      </c>
    </row>
    <row r="244" spans="2:5" ht="15" customHeight="1">
      <c r="B244" s="93"/>
      <c r="C244" s="43" t="s">
        <v>164</v>
      </c>
      <c r="D244" s="42">
        <v>33</v>
      </c>
      <c r="E244" s="41">
        <v>1.4554114845197143E-3</v>
      </c>
    </row>
    <row r="245" spans="2:5" ht="15" customHeight="1">
      <c r="B245" s="93"/>
      <c r="C245" s="43" t="s">
        <v>136</v>
      </c>
      <c r="D245" s="42">
        <v>1</v>
      </c>
      <c r="E245" s="41">
        <v>4.4103378318779218E-5</v>
      </c>
    </row>
    <row r="246" spans="2:5" ht="15" customHeight="1">
      <c r="B246" s="93"/>
      <c r="C246" s="43" t="s">
        <v>162</v>
      </c>
      <c r="D246" s="42">
        <v>2</v>
      </c>
      <c r="E246" s="41">
        <v>8.8206756637558437E-5</v>
      </c>
    </row>
    <row r="247" spans="2:5" ht="15" customHeight="1">
      <c r="B247" s="93"/>
      <c r="C247" s="43" t="s">
        <v>166</v>
      </c>
      <c r="D247" s="42">
        <v>18</v>
      </c>
      <c r="E247" s="41">
        <v>7.9386080973802594E-4</v>
      </c>
    </row>
    <row r="248" spans="2:5" ht="15" customHeight="1">
      <c r="B248" s="93"/>
      <c r="C248" s="43" t="s">
        <v>142</v>
      </c>
      <c r="D248" s="42">
        <v>6</v>
      </c>
      <c r="E248" s="41">
        <v>2.646202699126753E-4</v>
      </c>
    </row>
    <row r="249" spans="2:5" ht="15" customHeight="1">
      <c r="B249" s="93"/>
      <c r="C249" s="43" t="s">
        <v>158</v>
      </c>
      <c r="D249" s="42">
        <v>3</v>
      </c>
      <c r="E249" s="41">
        <v>1.3231013495633765E-4</v>
      </c>
    </row>
    <row r="250" spans="2:5" ht="15" customHeight="1">
      <c r="B250" s="93"/>
      <c r="C250" s="43" t="s">
        <v>148</v>
      </c>
      <c r="D250" s="42">
        <v>1</v>
      </c>
      <c r="E250" s="41">
        <v>4.4103378318779218E-5</v>
      </c>
    </row>
    <row r="251" spans="2:5" ht="15" customHeight="1">
      <c r="B251" s="93"/>
      <c r="C251" s="43" t="s">
        <v>153</v>
      </c>
      <c r="D251" s="42">
        <v>8</v>
      </c>
      <c r="E251" s="41">
        <v>3.5282702655023375E-4</v>
      </c>
    </row>
    <row r="252" spans="2:5" ht="15" customHeight="1">
      <c r="B252" s="93"/>
      <c r="C252" s="43" t="s">
        <v>141</v>
      </c>
      <c r="D252" s="42">
        <v>5</v>
      </c>
      <c r="E252" s="41">
        <v>2.205168915938961E-4</v>
      </c>
    </row>
    <row r="253" spans="2:5" ht="15" customHeight="1">
      <c r="B253" s="93"/>
      <c r="C253" s="43" t="s">
        <v>156</v>
      </c>
      <c r="D253" s="42">
        <v>13</v>
      </c>
      <c r="E253" s="41">
        <v>5.7334391814412987E-4</v>
      </c>
    </row>
    <row r="254" spans="2:5" ht="15" customHeight="1">
      <c r="B254" s="93"/>
      <c r="C254" s="43" t="s">
        <v>152</v>
      </c>
      <c r="D254" s="42">
        <v>2</v>
      </c>
      <c r="E254" s="41">
        <v>8.8206756637558437E-5</v>
      </c>
    </row>
    <row r="255" spans="2:5" ht="15" customHeight="1">
      <c r="B255" s="93"/>
      <c r="C255" s="43" t="s">
        <v>163</v>
      </c>
      <c r="D255" s="42">
        <v>11</v>
      </c>
      <c r="E255" s="41">
        <v>4.8513716150657142E-4</v>
      </c>
    </row>
    <row r="256" spans="2:5" ht="15" customHeight="1">
      <c r="B256" s="93"/>
      <c r="C256" s="43" t="s">
        <v>161</v>
      </c>
      <c r="D256" s="42">
        <v>2</v>
      </c>
      <c r="E256" s="41">
        <v>8.8206756637558437E-5</v>
      </c>
    </row>
    <row r="257" spans="2:5" ht="15" customHeight="1">
      <c r="B257" s="93"/>
      <c r="C257" s="43" t="s">
        <v>127</v>
      </c>
      <c r="D257" s="42">
        <v>2</v>
      </c>
      <c r="E257" s="41">
        <v>8.8206756637558437E-5</v>
      </c>
    </row>
    <row r="258" spans="2:5" ht="15" customHeight="1">
      <c r="B258" s="93"/>
      <c r="C258" s="43" t="s">
        <v>169</v>
      </c>
      <c r="D258" s="42">
        <v>17</v>
      </c>
      <c r="E258" s="41">
        <v>7.4975743141924667E-4</v>
      </c>
    </row>
    <row r="259" spans="2:5" ht="15" customHeight="1">
      <c r="B259" s="93"/>
      <c r="C259" s="43" t="s">
        <v>171</v>
      </c>
      <c r="D259" s="42">
        <v>36</v>
      </c>
      <c r="E259" s="41">
        <v>1.5877216194760519E-3</v>
      </c>
    </row>
    <row r="260" spans="2:5" ht="15" customHeight="1">
      <c r="B260" s="93"/>
      <c r="C260" s="43" t="s">
        <v>160</v>
      </c>
      <c r="D260" s="42">
        <v>29</v>
      </c>
      <c r="E260" s="41">
        <v>1.2789979712445974E-3</v>
      </c>
    </row>
    <row r="261" spans="2:5" ht="15" customHeight="1">
      <c r="B261" s="93"/>
      <c r="C261" s="43" t="s">
        <v>168</v>
      </c>
      <c r="D261" s="42">
        <v>14</v>
      </c>
      <c r="E261" s="41">
        <v>6.1744729646290904E-4</v>
      </c>
    </row>
    <row r="262" spans="2:5" ht="15" customHeight="1">
      <c r="B262" s="93"/>
      <c r="C262" s="43" t="s">
        <v>149</v>
      </c>
      <c r="D262" s="42">
        <v>11</v>
      </c>
      <c r="E262" s="41">
        <v>4.8513716150657142E-4</v>
      </c>
    </row>
    <row r="263" spans="2:5" ht="15" customHeight="1">
      <c r="B263" s="93"/>
      <c r="C263" s="43" t="s">
        <v>144</v>
      </c>
      <c r="D263" s="42">
        <v>1</v>
      </c>
      <c r="E263" s="41">
        <v>4.4103378318779218E-5</v>
      </c>
    </row>
    <row r="264" spans="2:5" ht="15" customHeight="1">
      <c r="B264" s="93"/>
      <c r="C264" s="43" t="s">
        <v>138</v>
      </c>
      <c r="D264" s="42">
        <v>1</v>
      </c>
      <c r="E264" s="41">
        <v>4.4103378318779218E-5</v>
      </c>
    </row>
    <row r="265" spans="2:5" ht="15" customHeight="1">
      <c r="B265" s="93"/>
      <c r="C265" s="43" t="s">
        <v>155</v>
      </c>
      <c r="D265" s="42">
        <v>2</v>
      </c>
      <c r="E265" s="41">
        <v>8.8206756637558437E-5</v>
      </c>
    </row>
    <row r="266" spans="2:5" ht="15" customHeight="1">
      <c r="B266" s="93"/>
      <c r="C266" s="43" t="s">
        <v>116</v>
      </c>
      <c r="D266" s="42">
        <v>1</v>
      </c>
      <c r="E266" s="41">
        <v>4.4103378318779218E-5</v>
      </c>
    </row>
    <row r="267" spans="2:5" ht="15" customHeight="1">
      <c r="B267" s="93"/>
      <c r="C267" s="43" t="s">
        <v>170</v>
      </c>
      <c r="D267" s="42">
        <v>8</v>
      </c>
      <c r="E267" s="41">
        <v>3.5282702655023375E-4</v>
      </c>
    </row>
    <row r="268" spans="2:5" ht="15" customHeight="1">
      <c r="B268" s="93"/>
      <c r="C268" s="43" t="s">
        <v>123</v>
      </c>
      <c r="D268" s="42">
        <v>3</v>
      </c>
      <c r="E268" s="41">
        <v>1.3231013495633765E-4</v>
      </c>
    </row>
    <row r="269" spans="2:5" ht="15" customHeight="1">
      <c r="B269" s="93"/>
      <c r="C269" s="43" t="s">
        <v>154</v>
      </c>
      <c r="D269" s="42">
        <v>3</v>
      </c>
      <c r="E269" s="41">
        <v>1.3231013495633765E-4</v>
      </c>
    </row>
    <row r="270" spans="2:5" ht="15" customHeight="1">
      <c r="B270" s="93"/>
      <c r="C270" s="43" t="s">
        <v>131</v>
      </c>
      <c r="D270" s="42">
        <v>11</v>
      </c>
      <c r="E270" s="41">
        <v>4.8513716150657142E-4</v>
      </c>
    </row>
    <row r="271" spans="2:5" ht="15" customHeight="1">
      <c r="B271" s="93"/>
      <c r="C271" s="43" t="s">
        <v>147</v>
      </c>
      <c r="D271" s="42">
        <v>2</v>
      </c>
      <c r="E271" s="41">
        <v>8.8206756637558437E-5</v>
      </c>
    </row>
    <row r="272" spans="2:5" ht="15" customHeight="1">
      <c r="B272" s="93"/>
      <c r="C272" s="43" t="s">
        <v>146</v>
      </c>
      <c r="D272" s="42">
        <v>2</v>
      </c>
      <c r="E272" s="41">
        <v>8.8206756637558437E-5</v>
      </c>
    </row>
    <row r="273" spans="2:5" ht="15" customHeight="1">
      <c r="B273" s="93"/>
      <c r="C273" s="43" t="s">
        <v>167</v>
      </c>
      <c r="D273" s="42">
        <v>10</v>
      </c>
      <c r="E273" s="41">
        <v>4.410337831877922E-4</v>
      </c>
    </row>
    <row r="274" spans="2:5" ht="15" customHeight="1">
      <c r="B274" s="93"/>
      <c r="C274" s="43" t="s">
        <v>165</v>
      </c>
      <c r="D274" s="42">
        <v>20</v>
      </c>
      <c r="E274" s="41">
        <v>8.820675663755844E-4</v>
      </c>
    </row>
    <row r="275" spans="2:5" ht="15" customHeight="1">
      <c r="B275" s="94"/>
      <c r="C275" s="40" t="s">
        <v>20</v>
      </c>
      <c r="D275" s="39">
        <v>342</v>
      </c>
      <c r="E275" s="38">
        <v>1.5083355385022493E-2</v>
      </c>
    </row>
    <row r="276" spans="2:5" ht="15" customHeight="1">
      <c r="B276" s="92" t="s">
        <v>57</v>
      </c>
      <c r="C276" s="43" t="s">
        <v>140</v>
      </c>
      <c r="D276" s="42">
        <v>5</v>
      </c>
      <c r="E276" s="41">
        <v>2.205168915938961E-4</v>
      </c>
    </row>
    <row r="277" spans="2:5" ht="15" customHeight="1">
      <c r="B277" s="93"/>
      <c r="C277" s="43" t="s">
        <v>132</v>
      </c>
      <c r="D277" s="42">
        <v>2</v>
      </c>
      <c r="E277" s="41">
        <v>8.8206756637558437E-5</v>
      </c>
    </row>
    <row r="278" spans="2:5" ht="15" customHeight="1">
      <c r="B278" s="93"/>
      <c r="C278" s="43" t="s">
        <v>135</v>
      </c>
      <c r="D278" s="42">
        <v>11</v>
      </c>
      <c r="E278" s="41">
        <v>4.8513716150657142E-4</v>
      </c>
    </row>
    <row r="279" spans="2:5" ht="15" customHeight="1">
      <c r="B279" s="93"/>
      <c r="C279" s="43" t="s">
        <v>129</v>
      </c>
      <c r="D279" s="42">
        <v>1</v>
      </c>
      <c r="E279" s="41">
        <v>4.4103378318779218E-5</v>
      </c>
    </row>
    <row r="280" spans="2:5" ht="15" customHeight="1">
      <c r="B280" s="93"/>
      <c r="C280" s="43" t="s">
        <v>145</v>
      </c>
      <c r="D280" s="42">
        <v>1</v>
      </c>
      <c r="E280" s="41">
        <v>4.4103378318779218E-5</v>
      </c>
    </row>
    <row r="281" spans="2:5" ht="15" customHeight="1">
      <c r="B281" s="93"/>
      <c r="C281" s="43" t="s">
        <v>151</v>
      </c>
      <c r="D281" s="42">
        <v>3</v>
      </c>
      <c r="E281" s="41">
        <v>1.3231013495633765E-4</v>
      </c>
    </row>
    <row r="282" spans="2:5" ht="15" customHeight="1">
      <c r="B282" s="93"/>
      <c r="C282" s="43" t="s">
        <v>128</v>
      </c>
      <c r="D282" s="42">
        <v>1</v>
      </c>
      <c r="E282" s="41">
        <v>4.4103378318779218E-5</v>
      </c>
    </row>
    <row r="283" spans="2:5" ht="15" customHeight="1">
      <c r="B283" s="93"/>
      <c r="C283" s="43" t="s">
        <v>134</v>
      </c>
      <c r="D283" s="42">
        <v>3</v>
      </c>
      <c r="E283" s="41">
        <v>1.3231013495633765E-4</v>
      </c>
    </row>
    <row r="284" spans="2:5" ht="15" customHeight="1">
      <c r="B284" s="93"/>
      <c r="C284" s="43" t="s">
        <v>172</v>
      </c>
      <c r="D284" s="42">
        <v>52</v>
      </c>
      <c r="E284" s="41">
        <v>2.2933756725765195E-3</v>
      </c>
    </row>
    <row r="285" spans="2:5" ht="15" customHeight="1">
      <c r="B285" s="93"/>
      <c r="C285" s="43" t="s">
        <v>139</v>
      </c>
      <c r="D285" s="42">
        <v>3</v>
      </c>
      <c r="E285" s="41">
        <v>1.3231013495633765E-4</v>
      </c>
    </row>
    <row r="286" spans="2:5" ht="15" customHeight="1">
      <c r="B286" s="93"/>
      <c r="C286" s="43" t="s">
        <v>159</v>
      </c>
      <c r="D286" s="42">
        <v>15</v>
      </c>
      <c r="E286" s="41">
        <v>6.6155067478168832E-4</v>
      </c>
    </row>
    <row r="287" spans="2:5" ht="15" customHeight="1">
      <c r="B287" s="93"/>
      <c r="C287" s="43" t="s">
        <v>157</v>
      </c>
      <c r="D287" s="42">
        <v>18</v>
      </c>
      <c r="E287" s="41">
        <v>7.9386080973802594E-4</v>
      </c>
    </row>
    <row r="288" spans="2:5" ht="15" customHeight="1">
      <c r="B288" s="93"/>
      <c r="C288" s="43" t="s">
        <v>164</v>
      </c>
      <c r="D288" s="42">
        <v>18</v>
      </c>
      <c r="E288" s="41">
        <v>7.9386080973802594E-4</v>
      </c>
    </row>
    <row r="289" spans="2:5" ht="15" customHeight="1">
      <c r="B289" s="93"/>
      <c r="C289" s="43" t="s">
        <v>166</v>
      </c>
      <c r="D289" s="42">
        <v>12</v>
      </c>
      <c r="E289" s="41">
        <v>5.2924053982535059E-4</v>
      </c>
    </row>
    <row r="290" spans="2:5" ht="15" customHeight="1">
      <c r="B290" s="93"/>
      <c r="C290" s="43" t="s">
        <v>142</v>
      </c>
      <c r="D290" s="42">
        <v>3</v>
      </c>
      <c r="E290" s="41">
        <v>1.3231013495633765E-4</v>
      </c>
    </row>
    <row r="291" spans="2:5" ht="15" customHeight="1">
      <c r="B291" s="93"/>
      <c r="C291" s="43" t="s">
        <v>158</v>
      </c>
      <c r="D291" s="42">
        <v>49</v>
      </c>
      <c r="E291" s="41">
        <v>2.1610655376201817E-3</v>
      </c>
    </row>
    <row r="292" spans="2:5" ht="15" customHeight="1">
      <c r="B292" s="93"/>
      <c r="C292" s="43" t="s">
        <v>148</v>
      </c>
      <c r="D292" s="42">
        <v>3</v>
      </c>
      <c r="E292" s="41">
        <v>1.3231013495633765E-4</v>
      </c>
    </row>
    <row r="293" spans="2:5" ht="15" customHeight="1">
      <c r="B293" s="93"/>
      <c r="C293" s="43" t="s">
        <v>153</v>
      </c>
      <c r="D293" s="42">
        <v>6</v>
      </c>
      <c r="E293" s="41">
        <v>2.646202699126753E-4</v>
      </c>
    </row>
    <row r="294" spans="2:5" ht="15" customHeight="1">
      <c r="B294" s="93"/>
      <c r="C294" s="43" t="s">
        <v>143</v>
      </c>
      <c r="D294" s="42">
        <v>2</v>
      </c>
      <c r="E294" s="41">
        <v>8.8206756637558437E-5</v>
      </c>
    </row>
    <row r="295" spans="2:5" ht="15" customHeight="1">
      <c r="B295" s="93"/>
      <c r="C295" s="43" t="s">
        <v>141</v>
      </c>
      <c r="D295" s="42">
        <v>3</v>
      </c>
      <c r="E295" s="41">
        <v>1.3231013495633765E-4</v>
      </c>
    </row>
    <row r="296" spans="2:5" ht="15" customHeight="1">
      <c r="B296" s="93"/>
      <c r="C296" s="43" t="s">
        <v>156</v>
      </c>
      <c r="D296" s="42">
        <v>5</v>
      </c>
      <c r="E296" s="41">
        <v>2.205168915938961E-4</v>
      </c>
    </row>
    <row r="297" spans="2:5" ht="15" customHeight="1">
      <c r="B297" s="93"/>
      <c r="C297" s="43" t="s">
        <v>130</v>
      </c>
      <c r="D297" s="42">
        <v>2</v>
      </c>
      <c r="E297" s="41">
        <v>8.8206756637558437E-5</v>
      </c>
    </row>
    <row r="298" spans="2:5" ht="15" customHeight="1">
      <c r="B298" s="93"/>
      <c r="C298" s="43" t="s">
        <v>137</v>
      </c>
      <c r="D298" s="42">
        <v>11</v>
      </c>
      <c r="E298" s="41">
        <v>4.8513716150657142E-4</v>
      </c>
    </row>
    <row r="299" spans="2:5" ht="15" customHeight="1">
      <c r="B299" s="93"/>
      <c r="C299" s="43" t="s">
        <v>161</v>
      </c>
      <c r="D299" s="42">
        <v>19</v>
      </c>
      <c r="E299" s="41">
        <v>8.3796418805680512E-4</v>
      </c>
    </row>
    <row r="300" spans="2:5" ht="15" customHeight="1">
      <c r="B300" s="93"/>
      <c r="C300" s="43" t="s">
        <v>127</v>
      </c>
      <c r="D300" s="42">
        <v>1</v>
      </c>
      <c r="E300" s="41">
        <v>4.4103378318779218E-5</v>
      </c>
    </row>
    <row r="301" spans="2:5" ht="15" customHeight="1">
      <c r="B301" s="93"/>
      <c r="C301" s="43" t="s">
        <v>169</v>
      </c>
      <c r="D301" s="42">
        <v>61</v>
      </c>
      <c r="E301" s="41">
        <v>2.6903060774455321E-3</v>
      </c>
    </row>
    <row r="302" spans="2:5" ht="15" customHeight="1">
      <c r="B302" s="93"/>
      <c r="C302" s="43" t="s">
        <v>171</v>
      </c>
      <c r="D302" s="42">
        <v>16</v>
      </c>
      <c r="E302" s="41">
        <v>7.0565405310046749E-4</v>
      </c>
    </row>
    <row r="303" spans="2:5" ht="15" customHeight="1">
      <c r="B303" s="93"/>
      <c r="C303" s="43" t="s">
        <v>160</v>
      </c>
      <c r="D303" s="42">
        <v>9</v>
      </c>
      <c r="E303" s="41">
        <v>3.9693040486901297E-4</v>
      </c>
    </row>
    <row r="304" spans="2:5" ht="15" customHeight="1">
      <c r="B304" s="93"/>
      <c r="C304" s="43" t="s">
        <v>168</v>
      </c>
      <c r="D304" s="42">
        <v>16</v>
      </c>
      <c r="E304" s="41">
        <v>7.0565405310046749E-4</v>
      </c>
    </row>
    <row r="305" spans="2:5" ht="15" customHeight="1">
      <c r="B305" s="93"/>
      <c r="C305" s="43" t="s">
        <v>149</v>
      </c>
      <c r="D305" s="42">
        <v>1</v>
      </c>
      <c r="E305" s="41">
        <v>4.4103378318779218E-5</v>
      </c>
    </row>
    <row r="306" spans="2:5" ht="15" customHeight="1">
      <c r="B306" s="93"/>
      <c r="C306" s="43" t="s">
        <v>144</v>
      </c>
      <c r="D306" s="42">
        <v>17</v>
      </c>
      <c r="E306" s="41">
        <v>7.4975743141924667E-4</v>
      </c>
    </row>
    <row r="307" spans="2:5" ht="15" customHeight="1">
      <c r="B307" s="93"/>
      <c r="C307" s="43" t="s">
        <v>150</v>
      </c>
      <c r="D307" s="42">
        <v>2</v>
      </c>
      <c r="E307" s="41">
        <v>8.8206756637558437E-5</v>
      </c>
    </row>
    <row r="308" spans="2:5" ht="15" customHeight="1">
      <c r="B308" s="93"/>
      <c r="C308" s="43" t="s">
        <v>138</v>
      </c>
      <c r="D308" s="42">
        <v>6</v>
      </c>
      <c r="E308" s="41">
        <v>2.646202699126753E-4</v>
      </c>
    </row>
    <row r="309" spans="2:5" ht="15" customHeight="1">
      <c r="B309" s="93"/>
      <c r="C309" s="43" t="s">
        <v>155</v>
      </c>
      <c r="D309" s="42">
        <v>10</v>
      </c>
      <c r="E309" s="41">
        <v>4.410337831877922E-4</v>
      </c>
    </row>
    <row r="310" spans="2:5" ht="15" customHeight="1">
      <c r="B310" s="93"/>
      <c r="C310" s="43" t="s">
        <v>119</v>
      </c>
      <c r="D310" s="42">
        <v>1</v>
      </c>
      <c r="E310" s="41">
        <v>4.4103378318779218E-5</v>
      </c>
    </row>
    <row r="311" spans="2:5" ht="15" customHeight="1">
      <c r="B311" s="93"/>
      <c r="C311" s="43" t="s">
        <v>170</v>
      </c>
      <c r="D311" s="42">
        <v>14</v>
      </c>
      <c r="E311" s="41">
        <v>6.1744729646290904E-4</v>
      </c>
    </row>
    <row r="312" spans="2:5" ht="15" customHeight="1">
      <c r="B312" s="93"/>
      <c r="C312" s="43" t="s">
        <v>154</v>
      </c>
      <c r="D312" s="42">
        <v>4</v>
      </c>
      <c r="E312" s="41">
        <v>1.7641351327511687E-4</v>
      </c>
    </row>
    <row r="313" spans="2:5" ht="15" customHeight="1">
      <c r="B313" s="93"/>
      <c r="C313" s="43" t="s">
        <v>131</v>
      </c>
      <c r="D313" s="42">
        <v>2</v>
      </c>
      <c r="E313" s="41">
        <v>8.8206756637558437E-5</v>
      </c>
    </row>
    <row r="314" spans="2:5" ht="15" customHeight="1">
      <c r="B314" s="93"/>
      <c r="C314" s="43" t="s">
        <v>147</v>
      </c>
      <c r="D314" s="42">
        <v>19</v>
      </c>
      <c r="E314" s="41">
        <v>8.3796418805680512E-4</v>
      </c>
    </row>
    <row r="315" spans="2:5" ht="15" customHeight="1">
      <c r="B315" s="93"/>
      <c r="C315" s="43" t="s">
        <v>146</v>
      </c>
      <c r="D315" s="42">
        <v>7</v>
      </c>
      <c r="E315" s="41">
        <v>3.0872364823145452E-4</v>
      </c>
    </row>
    <row r="316" spans="2:5" ht="15" customHeight="1">
      <c r="B316" s="93"/>
      <c r="C316" s="43" t="s">
        <v>167</v>
      </c>
      <c r="D316" s="42">
        <v>6</v>
      </c>
      <c r="E316" s="41">
        <v>2.646202699126753E-4</v>
      </c>
    </row>
    <row r="317" spans="2:5" ht="15" customHeight="1">
      <c r="B317" s="93"/>
      <c r="C317" s="43" t="s">
        <v>165</v>
      </c>
      <c r="D317" s="42">
        <v>20</v>
      </c>
      <c r="E317" s="41">
        <v>8.820675663755844E-4</v>
      </c>
    </row>
    <row r="318" spans="2:5" ht="15" customHeight="1">
      <c r="B318" s="94"/>
      <c r="C318" s="40" t="s">
        <v>20</v>
      </c>
      <c r="D318" s="39">
        <v>460</v>
      </c>
      <c r="E318" s="38">
        <v>2.0287554026638441E-2</v>
      </c>
    </row>
    <row r="319" spans="2:5" ht="15" customHeight="1">
      <c r="B319" s="92" t="s">
        <v>254</v>
      </c>
      <c r="C319" s="43" t="s">
        <v>161</v>
      </c>
      <c r="D319" s="42">
        <v>1</v>
      </c>
      <c r="E319" s="41">
        <v>4.4103378318779218E-5</v>
      </c>
    </row>
    <row r="320" spans="2:5" ht="15" customHeight="1">
      <c r="B320" s="94"/>
      <c r="C320" s="40" t="s">
        <v>20</v>
      </c>
      <c r="D320" s="39">
        <v>1</v>
      </c>
      <c r="E320" s="38">
        <v>4.4103378318779218E-5</v>
      </c>
    </row>
    <row r="321" spans="2:5" ht="15" customHeight="1">
      <c r="B321" s="92" t="s">
        <v>45</v>
      </c>
      <c r="C321" s="43" t="s">
        <v>135</v>
      </c>
      <c r="D321" s="42">
        <v>1</v>
      </c>
      <c r="E321" s="41">
        <v>4.4103378318779218E-5</v>
      </c>
    </row>
    <row r="322" spans="2:5" ht="15" customHeight="1">
      <c r="B322" s="93"/>
      <c r="C322" s="43" t="s">
        <v>129</v>
      </c>
      <c r="D322" s="42">
        <v>7</v>
      </c>
      <c r="E322" s="41">
        <v>3.0872364823145452E-4</v>
      </c>
    </row>
    <row r="323" spans="2:5" ht="15" customHeight="1">
      <c r="B323" s="93"/>
      <c r="C323" s="43" t="s">
        <v>145</v>
      </c>
      <c r="D323" s="42">
        <v>13</v>
      </c>
      <c r="E323" s="41">
        <v>5.7334391814412987E-4</v>
      </c>
    </row>
    <row r="324" spans="2:5" ht="15" customHeight="1">
      <c r="B324" s="93"/>
      <c r="C324" s="43" t="s">
        <v>151</v>
      </c>
      <c r="D324" s="42">
        <v>2</v>
      </c>
      <c r="E324" s="41">
        <v>8.8206756637558437E-5</v>
      </c>
    </row>
    <row r="325" spans="2:5" ht="15" customHeight="1">
      <c r="B325" s="93"/>
      <c r="C325" s="43" t="s">
        <v>134</v>
      </c>
      <c r="D325" s="42">
        <v>21</v>
      </c>
      <c r="E325" s="41">
        <v>9.2617094469436357E-4</v>
      </c>
    </row>
    <row r="326" spans="2:5" ht="15" customHeight="1">
      <c r="B326" s="93"/>
      <c r="C326" s="43" t="s">
        <v>172</v>
      </c>
      <c r="D326" s="42">
        <v>14</v>
      </c>
      <c r="E326" s="41">
        <v>6.1744729646290904E-4</v>
      </c>
    </row>
    <row r="327" spans="2:5" ht="15" customHeight="1">
      <c r="B327" s="93"/>
      <c r="C327" s="43" t="s">
        <v>164</v>
      </c>
      <c r="D327" s="42">
        <v>3</v>
      </c>
      <c r="E327" s="41">
        <v>1.3231013495633765E-4</v>
      </c>
    </row>
    <row r="328" spans="2:5" ht="15" customHeight="1">
      <c r="B328" s="93"/>
      <c r="C328" s="43" t="s">
        <v>162</v>
      </c>
      <c r="D328" s="42">
        <v>3</v>
      </c>
      <c r="E328" s="41">
        <v>1.3231013495633765E-4</v>
      </c>
    </row>
    <row r="329" spans="2:5" ht="15" customHeight="1">
      <c r="B329" s="93"/>
      <c r="C329" s="43" t="s">
        <v>148</v>
      </c>
      <c r="D329" s="42">
        <v>6</v>
      </c>
      <c r="E329" s="41">
        <v>2.646202699126753E-4</v>
      </c>
    </row>
    <row r="330" spans="2:5" ht="15" customHeight="1">
      <c r="B330" s="93"/>
      <c r="C330" s="43" t="s">
        <v>153</v>
      </c>
      <c r="D330" s="42">
        <v>2</v>
      </c>
      <c r="E330" s="41">
        <v>8.8206756637558437E-5</v>
      </c>
    </row>
    <row r="331" spans="2:5" ht="15" customHeight="1">
      <c r="B331" s="93"/>
      <c r="C331" s="43" t="s">
        <v>143</v>
      </c>
      <c r="D331" s="42">
        <v>5</v>
      </c>
      <c r="E331" s="41">
        <v>2.205168915938961E-4</v>
      </c>
    </row>
    <row r="332" spans="2:5" ht="15" customHeight="1">
      <c r="B332" s="93"/>
      <c r="C332" s="43" t="s">
        <v>124</v>
      </c>
      <c r="D332" s="42">
        <v>2</v>
      </c>
      <c r="E332" s="41">
        <v>8.8206756637558437E-5</v>
      </c>
    </row>
    <row r="333" spans="2:5" ht="15" customHeight="1">
      <c r="B333" s="93"/>
      <c r="C333" s="43" t="s">
        <v>156</v>
      </c>
      <c r="D333" s="42">
        <v>4</v>
      </c>
      <c r="E333" s="41">
        <v>1.7641351327511687E-4</v>
      </c>
    </row>
    <row r="334" spans="2:5" ht="15" customHeight="1">
      <c r="B334" s="93"/>
      <c r="C334" s="43" t="s">
        <v>125</v>
      </c>
      <c r="D334" s="42">
        <v>2</v>
      </c>
      <c r="E334" s="41">
        <v>8.8206756637558437E-5</v>
      </c>
    </row>
    <row r="335" spans="2:5" ht="15" customHeight="1">
      <c r="B335" s="93"/>
      <c r="C335" s="43" t="s">
        <v>152</v>
      </c>
      <c r="D335" s="42">
        <v>1</v>
      </c>
      <c r="E335" s="41">
        <v>4.4103378318779218E-5</v>
      </c>
    </row>
    <row r="336" spans="2:5" ht="15" customHeight="1">
      <c r="B336" s="93"/>
      <c r="C336" s="43" t="s">
        <v>163</v>
      </c>
      <c r="D336" s="42">
        <v>4</v>
      </c>
      <c r="E336" s="41">
        <v>1.7641351327511687E-4</v>
      </c>
    </row>
    <row r="337" spans="2:5" ht="15" customHeight="1">
      <c r="B337" s="93"/>
      <c r="C337" s="43" t="s">
        <v>137</v>
      </c>
      <c r="D337" s="42">
        <v>1</v>
      </c>
      <c r="E337" s="41">
        <v>4.4103378318779218E-5</v>
      </c>
    </row>
    <row r="338" spans="2:5" ht="15" customHeight="1">
      <c r="B338" s="93"/>
      <c r="C338" s="43" t="s">
        <v>161</v>
      </c>
      <c r="D338" s="42">
        <v>1</v>
      </c>
      <c r="E338" s="41">
        <v>4.4103378318779218E-5</v>
      </c>
    </row>
    <row r="339" spans="2:5" ht="15" customHeight="1">
      <c r="B339" s="93"/>
      <c r="C339" s="43" t="s">
        <v>169</v>
      </c>
      <c r="D339" s="42">
        <v>71</v>
      </c>
      <c r="E339" s="41">
        <v>3.1313398606333245E-3</v>
      </c>
    </row>
    <row r="340" spans="2:5" ht="15" customHeight="1">
      <c r="B340" s="93"/>
      <c r="C340" s="43" t="s">
        <v>171</v>
      </c>
      <c r="D340" s="42">
        <v>1</v>
      </c>
      <c r="E340" s="41">
        <v>4.4103378318779218E-5</v>
      </c>
    </row>
    <row r="341" spans="2:5" ht="15" customHeight="1">
      <c r="B341" s="93"/>
      <c r="C341" s="43" t="s">
        <v>160</v>
      </c>
      <c r="D341" s="42">
        <v>1</v>
      </c>
      <c r="E341" s="41">
        <v>4.4103378318779218E-5</v>
      </c>
    </row>
    <row r="342" spans="2:5" ht="15" customHeight="1">
      <c r="B342" s="93"/>
      <c r="C342" s="43" t="s">
        <v>168</v>
      </c>
      <c r="D342" s="42">
        <v>4</v>
      </c>
      <c r="E342" s="41">
        <v>1.7641351327511687E-4</v>
      </c>
    </row>
    <row r="343" spans="2:5" ht="15" customHeight="1">
      <c r="B343" s="93"/>
      <c r="C343" s="43" t="s">
        <v>149</v>
      </c>
      <c r="D343" s="42">
        <v>1</v>
      </c>
      <c r="E343" s="41">
        <v>4.4103378318779218E-5</v>
      </c>
    </row>
    <row r="344" spans="2:5" ht="15" customHeight="1">
      <c r="B344" s="93"/>
      <c r="C344" s="43" t="s">
        <v>144</v>
      </c>
      <c r="D344" s="42">
        <v>5</v>
      </c>
      <c r="E344" s="41">
        <v>2.205168915938961E-4</v>
      </c>
    </row>
    <row r="345" spans="2:5" ht="15" customHeight="1">
      <c r="B345" s="93"/>
      <c r="C345" s="43" t="s">
        <v>138</v>
      </c>
      <c r="D345" s="42">
        <v>19</v>
      </c>
      <c r="E345" s="41">
        <v>8.3796418805680512E-4</v>
      </c>
    </row>
    <row r="346" spans="2:5" ht="15" customHeight="1">
      <c r="B346" s="93"/>
      <c r="C346" s="43" t="s">
        <v>155</v>
      </c>
      <c r="D346" s="42">
        <v>8</v>
      </c>
      <c r="E346" s="41">
        <v>3.5282702655023375E-4</v>
      </c>
    </row>
    <row r="347" spans="2:5" ht="15" customHeight="1">
      <c r="B347" s="93"/>
      <c r="C347" s="43" t="s">
        <v>170</v>
      </c>
      <c r="D347" s="42">
        <v>29</v>
      </c>
      <c r="E347" s="41">
        <v>1.2789979712445974E-3</v>
      </c>
    </row>
    <row r="348" spans="2:5" ht="15" customHeight="1">
      <c r="B348" s="93"/>
      <c r="C348" s="43" t="s">
        <v>154</v>
      </c>
      <c r="D348" s="42">
        <v>6</v>
      </c>
      <c r="E348" s="41">
        <v>2.646202699126753E-4</v>
      </c>
    </row>
    <row r="349" spans="2:5" ht="15" customHeight="1">
      <c r="B349" s="93"/>
      <c r="C349" s="43" t="s">
        <v>131</v>
      </c>
      <c r="D349" s="42">
        <v>6</v>
      </c>
      <c r="E349" s="41">
        <v>2.646202699126753E-4</v>
      </c>
    </row>
    <row r="350" spans="2:5" ht="15" customHeight="1">
      <c r="B350" s="93"/>
      <c r="C350" s="43" t="s">
        <v>147</v>
      </c>
      <c r="D350" s="42">
        <v>1</v>
      </c>
      <c r="E350" s="41">
        <v>4.4103378318779218E-5</v>
      </c>
    </row>
    <row r="351" spans="2:5" ht="15" customHeight="1">
      <c r="B351" s="93"/>
      <c r="C351" s="43" t="s">
        <v>146</v>
      </c>
      <c r="D351" s="42">
        <v>17</v>
      </c>
      <c r="E351" s="41">
        <v>7.4975743141924667E-4</v>
      </c>
    </row>
    <row r="352" spans="2:5" ht="15" customHeight="1">
      <c r="B352" s="93"/>
      <c r="C352" s="43" t="s">
        <v>167</v>
      </c>
      <c r="D352" s="42">
        <v>19</v>
      </c>
      <c r="E352" s="41">
        <v>8.3796418805680512E-4</v>
      </c>
    </row>
    <row r="353" spans="2:5" ht="15" customHeight="1">
      <c r="B353" s="93"/>
      <c r="C353" s="43" t="s">
        <v>165</v>
      </c>
      <c r="D353" s="42">
        <v>14</v>
      </c>
      <c r="E353" s="41">
        <v>6.1744729646290904E-4</v>
      </c>
    </row>
    <row r="354" spans="2:5" ht="15" customHeight="1">
      <c r="B354" s="94"/>
      <c r="C354" s="40" t="s">
        <v>20</v>
      </c>
      <c r="D354" s="39">
        <v>294</v>
      </c>
      <c r="E354" s="38">
        <v>1.2966393225721091E-2</v>
      </c>
    </row>
    <row r="355" spans="2:5" ht="15" customHeight="1">
      <c r="B355" s="92" t="s">
        <v>61</v>
      </c>
      <c r="C355" s="43" t="s">
        <v>140</v>
      </c>
      <c r="D355" s="42">
        <v>8</v>
      </c>
      <c r="E355" s="41">
        <v>3.5282702655023375E-4</v>
      </c>
    </row>
    <row r="356" spans="2:5" ht="15" customHeight="1">
      <c r="B356" s="93"/>
      <c r="C356" s="43" t="s">
        <v>132</v>
      </c>
      <c r="D356" s="42">
        <v>1</v>
      </c>
      <c r="E356" s="41">
        <v>4.4103378318779218E-5</v>
      </c>
    </row>
    <row r="357" spans="2:5" ht="15" customHeight="1">
      <c r="B357" s="93"/>
      <c r="C357" s="43" t="s">
        <v>135</v>
      </c>
      <c r="D357" s="42">
        <v>16</v>
      </c>
      <c r="E357" s="41">
        <v>7.0565405310046749E-4</v>
      </c>
    </row>
    <row r="358" spans="2:5" ht="15" customHeight="1">
      <c r="B358" s="93"/>
      <c r="C358" s="43" t="s">
        <v>129</v>
      </c>
      <c r="D358" s="42">
        <v>2</v>
      </c>
      <c r="E358" s="41">
        <v>8.8206756637558437E-5</v>
      </c>
    </row>
    <row r="359" spans="2:5" ht="15" customHeight="1">
      <c r="B359" s="93"/>
      <c r="C359" s="43" t="s">
        <v>145</v>
      </c>
      <c r="D359" s="42">
        <v>14</v>
      </c>
      <c r="E359" s="41">
        <v>6.1744729646290904E-4</v>
      </c>
    </row>
    <row r="360" spans="2:5" ht="15" customHeight="1">
      <c r="B360" s="93"/>
      <c r="C360" s="43" t="s">
        <v>120</v>
      </c>
      <c r="D360" s="42">
        <v>5</v>
      </c>
      <c r="E360" s="41">
        <v>2.205168915938961E-4</v>
      </c>
    </row>
    <row r="361" spans="2:5" ht="15" customHeight="1">
      <c r="B361" s="93"/>
      <c r="C361" s="43" t="s">
        <v>151</v>
      </c>
      <c r="D361" s="42">
        <v>4</v>
      </c>
      <c r="E361" s="41">
        <v>1.7641351327511687E-4</v>
      </c>
    </row>
    <row r="362" spans="2:5" ht="15" customHeight="1">
      <c r="B362" s="93"/>
      <c r="C362" s="43" t="s">
        <v>128</v>
      </c>
      <c r="D362" s="42">
        <v>1</v>
      </c>
      <c r="E362" s="41">
        <v>4.4103378318779218E-5</v>
      </c>
    </row>
    <row r="363" spans="2:5" ht="15" customHeight="1">
      <c r="B363" s="93"/>
      <c r="C363" s="43" t="s">
        <v>134</v>
      </c>
      <c r="D363" s="42">
        <v>18</v>
      </c>
      <c r="E363" s="41">
        <v>7.9386080973802594E-4</v>
      </c>
    </row>
    <row r="364" spans="2:5" ht="15" customHeight="1">
      <c r="B364" s="93"/>
      <c r="C364" s="43" t="s">
        <v>121</v>
      </c>
      <c r="D364" s="42">
        <v>16</v>
      </c>
      <c r="E364" s="41">
        <v>7.0565405310046749E-4</v>
      </c>
    </row>
    <row r="365" spans="2:5" ht="15" customHeight="1">
      <c r="B365" s="93"/>
      <c r="C365" s="43" t="s">
        <v>117</v>
      </c>
      <c r="D365" s="42">
        <v>1</v>
      </c>
      <c r="E365" s="41">
        <v>4.4103378318779218E-5</v>
      </c>
    </row>
    <row r="366" spans="2:5" ht="15" customHeight="1">
      <c r="B366" s="93"/>
      <c r="C366" s="43" t="s">
        <v>172</v>
      </c>
      <c r="D366" s="42">
        <v>227</v>
      </c>
      <c r="E366" s="41">
        <v>1.0011466878362883E-2</v>
      </c>
    </row>
    <row r="367" spans="2:5" ht="15" customHeight="1">
      <c r="B367" s="93"/>
      <c r="C367" s="43" t="s">
        <v>139</v>
      </c>
      <c r="D367" s="42">
        <v>20</v>
      </c>
      <c r="E367" s="41">
        <v>8.820675663755844E-4</v>
      </c>
    </row>
    <row r="368" spans="2:5" ht="15" customHeight="1">
      <c r="B368" s="93"/>
      <c r="C368" s="43" t="s">
        <v>122</v>
      </c>
      <c r="D368" s="42">
        <v>5</v>
      </c>
      <c r="E368" s="41">
        <v>2.205168915938961E-4</v>
      </c>
    </row>
    <row r="369" spans="2:5" ht="15" customHeight="1">
      <c r="B369" s="93"/>
      <c r="C369" s="43" t="s">
        <v>159</v>
      </c>
      <c r="D369" s="42">
        <v>13</v>
      </c>
      <c r="E369" s="41">
        <v>5.7334391814412987E-4</v>
      </c>
    </row>
    <row r="370" spans="2:5" ht="15" customHeight="1">
      <c r="B370" s="93"/>
      <c r="C370" s="43" t="s">
        <v>157</v>
      </c>
      <c r="D370" s="42">
        <v>27</v>
      </c>
      <c r="E370" s="41">
        <v>1.1907912146070388E-3</v>
      </c>
    </row>
    <row r="371" spans="2:5" ht="15" customHeight="1">
      <c r="B371" s="93"/>
      <c r="C371" s="43" t="s">
        <v>164</v>
      </c>
      <c r="D371" s="42">
        <v>158</v>
      </c>
      <c r="E371" s="41">
        <v>6.9683337743671166E-3</v>
      </c>
    </row>
    <row r="372" spans="2:5" ht="15" customHeight="1">
      <c r="B372" s="93"/>
      <c r="C372" s="43" t="s">
        <v>136</v>
      </c>
      <c r="D372" s="42">
        <v>34</v>
      </c>
      <c r="E372" s="41">
        <v>1.4995148628384933E-3</v>
      </c>
    </row>
    <row r="373" spans="2:5" ht="15" customHeight="1">
      <c r="B373" s="93"/>
      <c r="C373" s="43" t="s">
        <v>162</v>
      </c>
      <c r="D373" s="42">
        <v>135</v>
      </c>
      <c r="E373" s="41">
        <v>5.9539560730351949E-3</v>
      </c>
    </row>
    <row r="374" spans="2:5" ht="15" customHeight="1">
      <c r="B374" s="93"/>
      <c r="C374" s="43" t="s">
        <v>166</v>
      </c>
      <c r="D374" s="42">
        <v>186</v>
      </c>
      <c r="E374" s="41">
        <v>8.2032283672929338E-3</v>
      </c>
    </row>
    <row r="375" spans="2:5" ht="15" customHeight="1">
      <c r="B375" s="93"/>
      <c r="C375" s="43" t="s">
        <v>142</v>
      </c>
      <c r="D375" s="42">
        <v>21</v>
      </c>
      <c r="E375" s="41">
        <v>9.2617094469436357E-4</v>
      </c>
    </row>
    <row r="376" spans="2:5" ht="15" customHeight="1">
      <c r="B376" s="93"/>
      <c r="C376" s="43" t="s">
        <v>158</v>
      </c>
      <c r="D376" s="42">
        <v>18</v>
      </c>
      <c r="E376" s="41">
        <v>7.9386080973802594E-4</v>
      </c>
    </row>
    <row r="377" spans="2:5" ht="15" customHeight="1">
      <c r="B377" s="93"/>
      <c r="C377" s="43" t="s">
        <v>148</v>
      </c>
      <c r="D377" s="42">
        <v>6</v>
      </c>
      <c r="E377" s="41">
        <v>2.646202699126753E-4</v>
      </c>
    </row>
    <row r="378" spans="2:5" ht="15" customHeight="1">
      <c r="B378" s="93"/>
      <c r="C378" s="43" t="s">
        <v>153</v>
      </c>
      <c r="D378" s="42">
        <v>26</v>
      </c>
      <c r="E378" s="41">
        <v>1.1466878362882597E-3</v>
      </c>
    </row>
    <row r="379" spans="2:5" ht="15" customHeight="1">
      <c r="B379" s="93"/>
      <c r="C379" s="43" t="s">
        <v>143</v>
      </c>
      <c r="D379" s="42">
        <v>3</v>
      </c>
      <c r="E379" s="41">
        <v>1.3231013495633765E-4</v>
      </c>
    </row>
    <row r="380" spans="2:5" ht="15" customHeight="1">
      <c r="B380" s="93"/>
      <c r="C380" s="43" t="s">
        <v>141</v>
      </c>
      <c r="D380" s="42">
        <v>9</v>
      </c>
      <c r="E380" s="41">
        <v>3.9693040486901297E-4</v>
      </c>
    </row>
    <row r="381" spans="2:5" ht="15" customHeight="1">
      <c r="B381" s="93"/>
      <c r="C381" s="43" t="s">
        <v>124</v>
      </c>
      <c r="D381" s="42">
        <v>3</v>
      </c>
      <c r="E381" s="41">
        <v>1.3231013495633765E-4</v>
      </c>
    </row>
    <row r="382" spans="2:5" ht="15" customHeight="1">
      <c r="B382" s="93"/>
      <c r="C382" s="43" t="s">
        <v>156</v>
      </c>
      <c r="D382" s="42">
        <v>9</v>
      </c>
      <c r="E382" s="41">
        <v>3.9693040486901297E-4</v>
      </c>
    </row>
    <row r="383" spans="2:5" ht="15" customHeight="1">
      <c r="B383" s="93"/>
      <c r="C383" s="43" t="s">
        <v>125</v>
      </c>
      <c r="D383" s="42">
        <v>14</v>
      </c>
      <c r="E383" s="41">
        <v>6.1744729646290904E-4</v>
      </c>
    </row>
    <row r="384" spans="2:5" ht="15" customHeight="1">
      <c r="B384" s="93"/>
      <c r="C384" s="43" t="s">
        <v>152</v>
      </c>
      <c r="D384" s="42">
        <v>40</v>
      </c>
      <c r="E384" s="41">
        <v>1.7641351327511688E-3</v>
      </c>
    </row>
    <row r="385" spans="2:5" ht="15" customHeight="1">
      <c r="B385" s="93"/>
      <c r="C385" s="43" t="s">
        <v>130</v>
      </c>
      <c r="D385" s="42">
        <v>11</v>
      </c>
      <c r="E385" s="41">
        <v>4.8513716150657142E-4</v>
      </c>
    </row>
    <row r="386" spans="2:5" ht="15" customHeight="1">
      <c r="B386" s="93"/>
      <c r="C386" s="43" t="s">
        <v>133</v>
      </c>
      <c r="D386" s="42">
        <v>2</v>
      </c>
      <c r="E386" s="41">
        <v>8.8206756637558437E-5</v>
      </c>
    </row>
    <row r="387" spans="2:5" ht="15" customHeight="1">
      <c r="B387" s="93"/>
      <c r="C387" s="43" t="s">
        <v>163</v>
      </c>
      <c r="D387" s="42">
        <v>41</v>
      </c>
      <c r="E387" s="41">
        <v>1.8082385110699479E-3</v>
      </c>
    </row>
    <row r="388" spans="2:5" ht="15" customHeight="1">
      <c r="B388" s="93"/>
      <c r="C388" s="43" t="s">
        <v>137</v>
      </c>
      <c r="D388" s="42">
        <v>32</v>
      </c>
      <c r="E388" s="41">
        <v>1.411308106200935E-3</v>
      </c>
    </row>
    <row r="389" spans="2:5" ht="15" customHeight="1">
      <c r="B389" s="93"/>
      <c r="C389" s="43" t="s">
        <v>161</v>
      </c>
      <c r="D389" s="42">
        <v>43</v>
      </c>
      <c r="E389" s="41">
        <v>1.8964452677075064E-3</v>
      </c>
    </row>
    <row r="390" spans="2:5" ht="15" customHeight="1">
      <c r="B390" s="93"/>
      <c r="C390" s="43" t="s">
        <v>127</v>
      </c>
      <c r="D390" s="42">
        <v>2</v>
      </c>
      <c r="E390" s="41">
        <v>8.8206756637558437E-5</v>
      </c>
    </row>
    <row r="391" spans="2:5" ht="15" customHeight="1">
      <c r="B391" s="93"/>
      <c r="C391" s="43" t="s">
        <v>169</v>
      </c>
      <c r="D391" s="42">
        <v>48</v>
      </c>
      <c r="E391" s="41">
        <v>2.1169621593014024E-3</v>
      </c>
    </row>
    <row r="392" spans="2:5" ht="15" customHeight="1">
      <c r="B392" s="93"/>
      <c r="C392" s="43" t="s">
        <v>171</v>
      </c>
      <c r="D392" s="42">
        <v>32</v>
      </c>
      <c r="E392" s="41">
        <v>1.411308106200935E-3</v>
      </c>
    </row>
    <row r="393" spans="2:5" ht="15" customHeight="1">
      <c r="B393" s="93"/>
      <c r="C393" s="43" t="s">
        <v>160</v>
      </c>
      <c r="D393" s="42">
        <v>5</v>
      </c>
      <c r="E393" s="41">
        <v>2.205168915938961E-4</v>
      </c>
    </row>
    <row r="394" spans="2:5" ht="15" customHeight="1">
      <c r="B394" s="93"/>
      <c r="C394" s="43" t="s">
        <v>168</v>
      </c>
      <c r="D394" s="42">
        <v>47</v>
      </c>
      <c r="E394" s="41">
        <v>2.0728587809826231E-3</v>
      </c>
    </row>
    <row r="395" spans="2:5" ht="15" customHeight="1">
      <c r="B395" s="93"/>
      <c r="C395" s="43" t="s">
        <v>126</v>
      </c>
      <c r="D395" s="42">
        <v>8</v>
      </c>
      <c r="E395" s="41">
        <v>3.5282702655023375E-4</v>
      </c>
    </row>
    <row r="396" spans="2:5" ht="15" customHeight="1">
      <c r="B396" s="93"/>
      <c r="C396" s="43" t="s">
        <v>149</v>
      </c>
      <c r="D396" s="42">
        <v>81</v>
      </c>
      <c r="E396" s="41">
        <v>3.5723736438211169E-3</v>
      </c>
    </row>
    <row r="397" spans="2:5" ht="15" customHeight="1">
      <c r="B397" s="93"/>
      <c r="C397" s="43" t="s">
        <v>144</v>
      </c>
      <c r="D397" s="42">
        <v>8</v>
      </c>
      <c r="E397" s="41">
        <v>3.5282702655023375E-4</v>
      </c>
    </row>
    <row r="398" spans="2:5" ht="15" customHeight="1">
      <c r="B398" s="93"/>
      <c r="C398" s="43" t="s">
        <v>150</v>
      </c>
      <c r="D398" s="42">
        <v>25</v>
      </c>
      <c r="E398" s="41">
        <v>1.1025844579694805E-3</v>
      </c>
    </row>
    <row r="399" spans="2:5" ht="15" customHeight="1">
      <c r="B399" s="93"/>
      <c r="C399" s="43" t="s">
        <v>138</v>
      </c>
      <c r="D399" s="42">
        <v>10</v>
      </c>
      <c r="E399" s="41">
        <v>4.410337831877922E-4</v>
      </c>
    </row>
    <row r="400" spans="2:5" ht="15" customHeight="1">
      <c r="B400" s="93"/>
      <c r="C400" s="43" t="s">
        <v>155</v>
      </c>
      <c r="D400" s="42">
        <v>41</v>
      </c>
      <c r="E400" s="41">
        <v>1.8082385110699479E-3</v>
      </c>
    </row>
    <row r="401" spans="2:5" ht="15" customHeight="1">
      <c r="B401" s="93"/>
      <c r="C401" s="43" t="s">
        <v>116</v>
      </c>
      <c r="D401" s="42">
        <v>1</v>
      </c>
      <c r="E401" s="41">
        <v>4.4103378318779218E-5</v>
      </c>
    </row>
    <row r="402" spans="2:5" ht="15" customHeight="1">
      <c r="B402" s="93"/>
      <c r="C402" s="43" t="s">
        <v>119</v>
      </c>
      <c r="D402" s="42">
        <v>4</v>
      </c>
      <c r="E402" s="41">
        <v>1.7641351327511687E-4</v>
      </c>
    </row>
    <row r="403" spans="2:5" ht="15" customHeight="1">
      <c r="B403" s="93"/>
      <c r="C403" s="43" t="s">
        <v>170</v>
      </c>
      <c r="D403" s="42">
        <v>238</v>
      </c>
      <c r="E403" s="41">
        <v>1.0496604039869455E-2</v>
      </c>
    </row>
    <row r="404" spans="2:5" ht="15" customHeight="1">
      <c r="B404" s="93"/>
      <c r="C404" s="43" t="s">
        <v>123</v>
      </c>
      <c r="D404" s="42">
        <v>4</v>
      </c>
      <c r="E404" s="41">
        <v>1.7641351327511687E-4</v>
      </c>
    </row>
    <row r="405" spans="2:5" ht="15" customHeight="1">
      <c r="B405" s="93"/>
      <c r="C405" s="43" t="s">
        <v>154</v>
      </c>
      <c r="D405" s="42">
        <v>18</v>
      </c>
      <c r="E405" s="41">
        <v>7.9386080973802594E-4</v>
      </c>
    </row>
    <row r="406" spans="2:5" ht="15" customHeight="1">
      <c r="B406" s="93"/>
      <c r="C406" s="43" t="s">
        <v>131</v>
      </c>
      <c r="D406" s="42">
        <v>6</v>
      </c>
      <c r="E406" s="41">
        <v>2.646202699126753E-4</v>
      </c>
    </row>
    <row r="407" spans="2:5" ht="15" customHeight="1">
      <c r="B407" s="93"/>
      <c r="C407" s="43" t="s">
        <v>147</v>
      </c>
      <c r="D407" s="42">
        <v>111</v>
      </c>
      <c r="E407" s="41">
        <v>4.8954749933844931E-3</v>
      </c>
    </row>
    <row r="408" spans="2:5" ht="15" customHeight="1">
      <c r="B408" s="93"/>
      <c r="C408" s="43" t="s">
        <v>146</v>
      </c>
      <c r="D408" s="42">
        <v>2</v>
      </c>
      <c r="E408" s="41">
        <v>8.8206756637558437E-5</v>
      </c>
    </row>
    <row r="409" spans="2:5" ht="15" customHeight="1">
      <c r="B409" s="93"/>
      <c r="C409" s="43" t="s">
        <v>167</v>
      </c>
      <c r="D409" s="42">
        <v>437</v>
      </c>
      <c r="E409" s="41">
        <v>1.9273176325306517E-2</v>
      </c>
    </row>
    <row r="410" spans="2:5" ht="15" customHeight="1">
      <c r="B410" s="93"/>
      <c r="C410" s="43" t="s">
        <v>165</v>
      </c>
      <c r="D410" s="42">
        <v>208</v>
      </c>
      <c r="E410" s="41">
        <v>9.173502690306078E-3</v>
      </c>
    </row>
    <row r="411" spans="2:5" ht="15" customHeight="1">
      <c r="B411" s="94"/>
      <c r="C411" s="40" t="s">
        <v>20</v>
      </c>
      <c r="D411" s="39">
        <v>2505</v>
      </c>
      <c r="E411" s="38">
        <v>0.11047896268854195</v>
      </c>
    </row>
    <row r="412" spans="2:5" ht="15" customHeight="1">
      <c r="B412" s="92" t="s">
        <v>50</v>
      </c>
      <c r="C412" s="43" t="s">
        <v>140</v>
      </c>
      <c r="D412" s="42">
        <v>1</v>
      </c>
      <c r="E412" s="41">
        <v>4.4103378318779218E-5</v>
      </c>
    </row>
    <row r="413" spans="2:5" ht="15" customHeight="1">
      <c r="B413" s="93"/>
      <c r="C413" s="43" t="s">
        <v>132</v>
      </c>
      <c r="D413" s="42">
        <v>4</v>
      </c>
      <c r="E413" s="41">
        <v>1.7641351327511687E-4</v>
      </c>
    </row>
    <row r="414" spans="2:5" ht="15" customHeight="1">
      <c r="B414" s="93"/>
      <c r="C414" s="43" t="s">
        <v>135</v>
      </c>
      <c r="D414" s="42">
        <v>16</v>
      </c>
      <c r="E414" s="41">
        <v>7.0565405310046749E-4</v>
      </c>
    </row>
    <row r="415" spans="2:5" ht="15" customHeight="1">
      <c r="B415" s="93"/>
      <c r="C415" s="43" t="s">
        <v>145</v>
      </c>
      <c r="D415" s="42">
        <v>1</v>
      </c>
      <c r="E415" s="41">
        <v>4.4103378318779218E-5</v>
      </c>
    </row>
    <row r="416" spans="2:5" ht="15" customHeight="1">
      <c r="B416" s="93"/>
      <c r="C416" s="43" t="s">
        <v>151</v>
      </c>
      <c r="D416" s="42">
        <v>1</v>
      </c>
      <c r="E416" s="41">
        <v>4.4103378318779218E-5</v>
      </c>
    </row>
    <row r="417" spans="2:5" ht="15" customHeight="1">
      <c r="B417" s="93"/>
      <c r="C417" s="43" t="s">
        <v>128</v>
      </c>
      <c r="D417" s="42">
        <v>1</v>
      </c>
      <c r="E417" s="41">
        <v>4.4103378318779218E-5</v>
      </c>
    </row>
    <row r="418" spans="2:5" ht="15" customHeight="1">
      <c r="B418" s="93"/>
      <c r="C418" s="43" t="s">
        <v>121</v>
      </c>
      <c r="D418" s="42">
        <v>1</v>
      </c>
      <c r="E418" s="41">
        <v>4.4103378318779218E-5</v>
      </c>
    </row>
    <row r="419" spans="2:5" ht="15" customHeight="1">
      <c r="B419" s="93"/>
      <c r="C419" s="43" t="s">
        <v>172</v>
      </c>
      <c r="D419" s="42">
        <v>25</v>
      </c>
      <c r="E419" s="41">
        <v>1.1025844579694805E-3</v>
      </c>
    </row>
    <row r="420" spans="2:5" ht="15" customHeight="1">
      <c r="B420" s="93"/>
      <c r="C420" s="43" t="s">
        <v>139</v>
      </c>
      <c r="D420" s="42">
        <v>1</v>
      </c>
      <c r="E420" s="41">
        <v>4.4103378318779218E-5</v>
      </c>
    </row>
    <row r="421" spans="2:5" ht="15" customHeight="1">
      <c r="B421" s="93"/>
      <c r="C421" s="43" t="s">
        <v>159</v>
      </c>
      <c r="D421" s="42">
        <v>5</v>
      </c>
      <c r="E421" s="41">
        <v>2.205168915938961E-4</v>
      </c>
    </row>
    <row r="422" spans="2:5" ht="15" customHeight="1">
      <c r="B422" s="93"/>
      <c r="C422" s="43" t="s">
        <v>157</v>
      </c>
      <c r="D422" s="42">
        <v>9</v>
      </c>
      <c r="E422" s="41">
        <v>3.9693040486901297E-4</v>
      </c>
    </row>
    <row r="423" spans="2:5" ht="15" customHeight="1">
      <c r="B423" s="93"/>
      <c r="C423" s="43" t="s">
        <v>164</v>
      </c>
      <c r="D423" s="42">
        <v>4</v>
      </c>
      <c r="E423" s="41">
        <v>1.7641351327511687E-4</v>
      </c>
    </row>
    <row r="424" spans="2:5" ht="15" customHeight="1">
      <c r="B424" s="93"/>
      <c r="C424" s="43" t="s">
        <v>136</v>
      </c>
      <c r="D424" s="42">
        <v>3</v>
      </c>
      <c r="E424" s="41">
        <v>1.3231013495633765E-4</v>
      </c>
    </row>
    <row r="425" spans="2:5" ht="15" customHeight="1">
      <c r="B425" s="93"/>
      <c r="C425" s="43" t="s">
        <v>162</v>
      </c>
      <c r="D425" s="42">
        <v>7</v>
      </c>
      <c r="E425" s="41">
        <v>3.0872364823145452E-4</v>
      </c>
    </row>
    <row r="426" spans="2:5" ht="15" customHeight="1">
      <c r="B426" s="93"/>
      <c r="C426" s="43" t="s">
        <v>166</v>
      </c>
      <c r="D426" s="42">
        <v>11</v>
      </c>
      <c r="E426" s="41">
        <v>4.8513716150657142E-4</v>
      </c>
    </row>
    <row r="427" spans="2:5" ht="15" customHeight="1">
      <c r="B427" s="93"/>
      <c r="C427" s="43" t="s">
        <v>158</v>
      </c>
      <c r="D427" s="42">
        <v>9</v>
      </c>
      <c r="E427" s="41">
        <v>3.9693040486901297E-4</v>
      </c>
    </row>
    <row r="428" spans="2:5" ht="15" customHeight="1">
      <c r="B428" s="93"/>
      <c r="C428" s="43" t="s">
        <v>148</v>
      </c>
      <c r="D428" s="42">
        <v>2</v>
      </c>
      <c r="E428" s="41">
        <v>8.8206756637558437E-5</v>
      </c>
    </row>
    <row r="429" spans="2:5" ht="15" customHeight="1">
      <c r="B429" s="93"/>
      <c r="C429" s="43" t="s">
        <v>153</v>
      </c>
      <c r="D429" s="42">
        <v>2</v>
      </c>
      <c r="E429" s="41">
        <v>8.8206756637558437E-5</v>
      </c>
    </row>
    <row r="430" spans="2:5" ht="15" customHeight="1">
      <c r="B430" s="93"/>
      <c r="C430" s="43" t="s">
        <v>143</v>
      </c>
      <c r="D430" s="42">
        <v>2</v>
      </c>
      <c r="E430" s="41">
        <v>8.8206756637558437E-5</v>
      </c>
    </row>
    <row r="431" spans="2:5" ht="15" customHeight="1">
      <c r="B431" s="93"/>
      <c r="C431" s="43" t="s">
        <v>141</v>
      </c>
      <c r="D431" s="42">
        <v>2</v>
      </c>
      <c r="E431" s="41">
        <v>8.8206756637558437E-5</v>
      </c>
    </row>
    <row r="432" spans="2:5" ht="15" customHeight="1">
      <c r="B432" s="93"/>
      <c r="C432" s="43" t="s">
        <v>156</v>
      </c>
      <c r="D432" s="42">
        <v>6</v>
      </c>
      <c r="E432" s="41">
        <v>2.646202699126753E-4</v>
      </c>
    </row>
    <row r="433" spans="2:5" ht="15" customHeight="1">
      <c r="B433" s="93"/>
      <c r="C433" s="43" t="s">
        <v>125</v>
      </c>
      <c r="D433" s="42">
        <v>10</v>
      </c>
      <c r="E433" s="41">
        <v>4.410337831877922E-4</v>
      </c>
    </row>
    <row r="434" spans="2:5" ht="15" customHeight="1">
      <c r="B434" s="93"/>
      <c r="C434" s="43" t="s">
        <v>152</v>
      </c>
      <c r="D434" s="42">
        <v>6</v>
      </c>
      <c r="E434" s="41">
        <v>2.646202699126753E-4</v>
      </c>
    </row>
    <row r="435" spans="2:5" ht="15" customHeight="1">
      <c r="B435" s="93"/>
      <c r="C435" s="43" t="s">
        <v>133</v>
      </c>
      <c r="D435" s="42">
        <v>2</v>
      </c>
      <c r="E435" s="41">
        <v>8.8206756637558437E-5</v>
      </c>
    </row>
    <row r="436" spans="2:5" ht="15" customHeight="1">
      <c r="B436" s="93"/>
      <c r="C436" s="43" t="s">
        <v>163</v>
      </c>
      <c r="D436" s="42">
        <v>7</v>
      </c>
      <c r="E436" s="41">
        <v>3.0872364823145452E-4</v>
      </c>
    </row>
    <row r="437" spans="2:5" ht="15" customHeight="1">
      <c r="B437" s="93"/>
      <c r="C437" s="43" t="s">
        <v>137</v>
      </c>
      <c r="D437" s="42">
        <v>6</v>
      </c>
      <c r="E437" s="41">
        <v>2.646202699126753E-4</v>
      </c>
    </row>
    <row r="438" spans="2:5" ht="15" customHeight="1">
      <c r="B438" s="93"/>
      <c r="C438" s="43" t="s">
        <v>161</v>
      </c>
      <c r="D438" s="42">
        <v>1</v>
      </c>
      <c r="E438" s="41">
        <v>4.4103378318779218E-5</v>
      </c>
    </row>
    <row r="439" spans="2:5" ht="15" customHeight="1">
      <c r="B439" s="93"/>
      <c r="C439" s="43" t="s">
        <v>127</v>
      </c>
      <c r="D439" s="42">
        <v>1</v>
      </c>
      <c r="E439" s="41">
        <v>4.4103378318779218E-5</v>
      </c>
    </row>
    <row r="440" spans="2:5" ht="15" customHeight="1">
      <c r="B440" s="93"/>
      <c r="C440" s="43" t="s">
        <v>169</v>
      </c>
      <c r="D440" s="42">
        <v>17</v>
      </c>
      <c r="E440" s="41">
        <v>7.4975743141924667E-4</v>
      </c>
    </row>
    <row r="441" spans="2:5" ht="15" customHeight="1">
      <c r="B441" s="93"/>
      <c r="C441" s="43" t="s">
        <v>171</v>
      </c>
      <c r="D441" s="42">
        <v>4</v>
      </c>
      <c r="E441" s="41">
        <v>1.7641351327511687E-4</v>
      </c>
    </row>
    <row r="442" spans="2:5" ht="15" customHeight="1">
      <c r="B442" s="93"/>
      <c r="C442" s="43" t="s">
        <v>160</v>
      </c>
      <c r="D442" s="42">
        <v>3</v>
      </c>
      <c r="E442" s="41">
        <v>1.3231013495633765E-4</v>
      </c>
    </row>
    <row r="443" spans="2:5" ht="15" customHeight="1">
      <c r="B443" s="93"/>
      <c r="C443" s="43" t="s">
        <v>168</v>
      </c>
      <c r="D443" s="42">
        <v>4</v>
      </c>
      <c r="E443" s="41">
        <v>1.7641351327511687E-4</v>
      </c>
    </row>
    <row r="444" spans="2:5" ht="15" customHeight="1">
      <c r="B444" s="93"/>
      <c r="C444" s="43" t="s">
        <v>149</v>
      </c>
      <c r="D444" s="42">
        <v>6</v>
      </c>
      <c r="E444" s="41">
        <v>2.646202699126753E-4</v>
      </c>
    </row>
    <row r="445" spans="2:5" ht="15" customHeight="1">
      <c r="B445" s="93"/>
      <c r="C445" s="43" t="s">
        <v>144</v>
      </c>
      <c r="D445" s="42">
        <v>3</v>
      </c>
      <c r="E445" s="41">
        <v>1.3231013495633765E-4</v>
      </c>
    </row>
    <row r="446" spans="2:5" ht="15" customHeight="1">
      <c r="B446" s="93"/>
      <c r="C446" s="43" t="s">
        <v>150</v>
      </c>
      <c r="D446" s="42">
        <v>3</v>
      </c>
      <c r="E446" s="41">
        <v>1.3231013495633765E-4</v>
      </c>
    </row>
    <row r="447" spans="2:5" ht="15" customHeight="1">
      <c r="B447" s="93"/>
      <c r="C447" s="43" t="s">
        <v>155</v>
      </c>
      <c r="D447" s="42">
        <v>15</v>
      </c>
      <c r="E447" s="41">
        <v>6.6155067478168832E-4</v>
      </c>
    </row>
    <row r="448" spans="2:5" ht="15" customHeight="1">
      <c r="B448" s="93"/>
      <c r="C448" s="43" t="s">
        <v>116</v>
      </c>
      <c r="D448" s="42">
        <v>1</v>
      </c>
      <c r="E448" s="41">
        <v>4.4103378318779218E-5</v>
      </c>
    </row>
    <row r="449" spans="2:5" ht="15" customHeight="1">
      <c r="B449" s="93"/>
      <c r="C449" s="43" t="s">
        <v>170</v>
      </c>
      <c r="D449" s="42">
        <v>34</v>
      </c>
      <c r="E449" s="41">
        <v>1.4995148628384933E-3</v>
      </c>
    </row>
    <row r="450" spans="2:5" ht="15" customHeight="1">
      <c r="B450" s="93"/>
      <c r="C450" s="43" t="s">
        <v>154</v>
      </c>
      <c r="D450" s="42">
        <v>2</v>
      </c>
      <c r="E450" s="41">
        <v>8.8206756637558437E-5</v>
      </c>
    </row>
    <row r="451" spans="2:5" ht="15" customHeight="1">
      <c r="B451" s="93"/>
      <c r="C451" s="43" t="s">
        <v>131</v>
      </c>
      <c r="D451" s="42">
        <v>20</v>
      </c>
      <c r="E451" s="41">
        <v>8.820675663755844E-4</v>
      </c>
    </row>
    <row r="452" spans="2:5" ht="15" customHeight="1">
      <c r="B452" s="93"/>
      <c r="C452" s="43" t="s">
        <v>146</v>
      </c>
      <c r="D452" s="42">
        <v>6</v>
      </c>
      <c r="E452" s="41">
        <v>2.646202699126753E-4</v>
      </c>
    </row>
    <row r="453" spans="2:5" ht="15" customHeight="1">
      <c r="B453" s="93"/>
      <c r="C453" s="43" t="s">
        <v>167</v>
      </c>
      <c r="D453" s="42">
        <v>7</v>
      </c>
      <c r="E453" s="41">
        <v>3.0872364823145452E-4</v>
      </c>
    </row>
    <row r="454" spans="2:5" ht="15" customHeight="1">
      <c r="B454" s="93"/>
      <c r="C454" s="43" t="s">
        <v>165</v>
      </c>
      <c r="D454" s="42">
        <v>9</v>
      </c>
      <c r="E454" s="41">
        <v>3.9693040486901297E-4</v>
      </c>
    </row>
    <row r="455" spans="2:5" ht="15" customHeight="1">
      <c r="B455" s="94"/>
      <c r="C455" s="40" t="s">
        <v>20</v>
      </c>
      <c r="D455" s="39">
        <v>280</v>
      </c>
      <c r="E455" s="38">
        <v>1.2348945929258181E-2</v>
      </c>
    </row>
    <row r="456" spans="2:5" ht="15" customHeight="1">
      <c r="B456" s="92" t="s">
        <v>42</v>
      </c>
      <c r="C456" s="43" t="s">
        <v>140</v>
      </c>
      <c r="D456" s="42">
        <v>2</v>
      </c>
      <c r="E456" s="41">
        <v>8.8206756637558437E-5</v>
      </c>
    </row>
    <row r="457" spans="2:5" ht="15" customHeight="1">
      <c r="B457" s="93"/>
      <c r="C457" s="43" t="s">
        <v>145</v>
      </c>
      <c r="D457" s="42">
        <v>1</v>
      </c>
      <c r="E457" s="41">
        <v>4.4103378318779218E-5</v>
      </c>
    </row>
    <row r="458" spans="2:5" ht="15" customHeight="1">
      <c r="B458" s="93"/>
      <c r="C458" s="43" t="s">
        <v>151</v>
      </c>
      <c r="D458" s="42">
        <v>1</v>
      </c>
      <c r="E458" s="41">
        <v>4.4103378318779218E-5</v>
      </c>
    </row>
    <row r="459" spans="2:5" ht="15" customHeight="1">
      <c r="B459" s="93"/>
      <c r="C459" s="43" t="s">
        <v>128</v>
      </c>
      <c r="D459" s="42">
        <v>1</v>
      </c>
      <c r="E459" s="41">
        <v>4.4103378318779218E-5</v>
      </c>
    </row>
    <row r="460" spans="2:5" ht="15" customHeight="1">
      <c r="B460" s="93"/>
      <c r="C460" s="43" t="s">
        <v>121</v>
      </c>
      <c r="D460" s="42">
        <v>4</v>
      </c>
      <c r="E460" s="41">
        <v>1.7641351327511687E-4</v>
      </c>
    </row>
    <row r="461" spans="2:5" ht="15" customHeight="1">
      <c r="B461" s="93"/>
      <c r="C461" s="43" t="s">
        <v>172</v>
      </c>
      <c r="D461" s="42">
        <v>42</v>
      </c>
      <c r="E461" s="41">
        <v>1.8523418893887271E-3</v>
      </c>
    </row>
    <row r="462" spans="2:5" ht="15" customHeight="1">
      <c r="B462" s="93"/>
      <c r="C462" s="43" t="s">
        <v>139</v>
      </c>
      <c r="D462" s="42">
        <v>1</v>
      </c>
      <c r="E462" s="41">
        <v>4.4103378318779218E-5</v>
      </c>
    </row>
    <row r="463" spans="2:5" ht="15" customHeight="1">
      <c r="B463" s="93"/>
      <c r="C463" s="43" t="s">
        <v>159</v>
      </c>
      <c r="D463" s="42">
        <v>20</v>
      </c>
      <c r="E463" s="41">
        <v>8.820675663755844E-4</v>
      </c>
    </row>
    <row r="464" spans="2:5" ht="15" customHeight="1">
      <c r="B464" s="93"/>
      <c r="C464" s="43" t="s">
        <v>157</v>
      </c>
      <c r="D464" s="42">
        <v>6</v>
      </c>
      <c r="E464" s="41">
        <v>2.646202699126753E-4</v>
      </c>
    </row>
    <row r="465" spans="2:5" ht="15" customHeight="1">
      <c r="B465" s="93"/>
      <c r="C465" s="43" t="s">
        <v>164</v>
      </c>
      <c r="D465" s="42">
        <v>2</v>
      </c>
      <c r="E465" s="41">
        <v>8.8206756637558437E-5</v>
      </c>
    </row>
    <row r="466" spans="2:5" ht="15" customHeight="1">
      <c r="B466" s="93"/>
      <c r="C466" s="43" t="s">
        <v>162</v>
      </c>
      <c r="D466" s="42">
        <v>1</v>
      </c>
      <c r="E466" s="41">
        <v>4.4103378318779218E-5</v>
      </c>
    </row>
    <row r="467" spans="2:5" ht="15" customHeight="1">
      <c r="B467" s="93"/>
      <c r="C467" s="43" t="s">
        <v>166</v>
      </c>
      <c r="D467" s="42">
        <v>1</v>
      </c>
      <c r="E467" s="41">
        <v>4.4103378318779218E-5</v>
      </c>
    </row>
    <row r="468" spans="2:5" ht="15" customHeight="1">
      <c r="B468" s="93"/>
      <c r="C468" s="43" t="s">
        <v>158</v>
      </c>
      <c r="D468" s="42">
        <v>1</v>
      </c>
      <c r="E468" s="41">
        <v>4.4103378318779218E-5</v>
      </c>
    </row>
    <row r="469" spans="2:5" ht="15" customHeight="1">
      <c r="B469" s="93"/>
      <c r="C469" s="43" t="s">
        <v>153</v>
      </c>
      <c r="D469" s="42">
        <v>3</v>
      </c>
      <c r="E469" s="41">
        <v>1.3231013495633765E-4</v>
      </c>
    </row>
    <row r="470" spans="2:5" ht="15" customHeight="1">
      <c r="B470" s="93"/>
      <c r="C470" s="43" t="s">
        <v>143</v>
      </c>
      <c r="D470" s="42">
        <v>1</v>
      </c>
      <c r="E470" s="41">
        <v>4.4103378318779218E-5</v>
      </c>
    </row>
    <row r="471" spans="2:5" ht="15" customHeight="1">
      <c r="B471" s="93"/>
      <c r="C471" s="43" t="s">
        <v>141</v>
      </c>
      <c r="D471" s="42">
        <v>4</v>
      </c>
      <c r="E471" s="41">
        <v>1.7641351327511687E-4</v>
      </c>
    </row>
    <row r="472" spans="2:5" ht="15" customHeight="1">
      <c r="B472" s="93"/>
      <c r="C472" s="43" t="s">
        <v>118</v>
      </c>
      <c r="D472" s="42">
        <v>1</v>
      </c>
      <c r="E472" s="41">
        <v>4.4103378318779218E-5</v>
      </c>
    </row>
    <row r="473" spans="2:5" ht="15" customHeight="1">
      <c r="B473" s="93"/>
      <c r="C473" s="43" t="s">
        <v>124</v>
      </c>
      <c r="D473" s="42">
        <v>1</v>
      </c>
      <c r="E473" s="41">
        <v>4.4103378318779218E-5</v>
      </c>
    </row>
    <row r="474" spans="2:5" ht="15" customHeight="1">
      <c r="B474" s="93"/>
      <c r="C474" s="43" t="s">
        <v>125</v>
      </c>
      <c r="D474" s="42">
        <v>1</v>
      </c>
      <c r="E474" s="41">
        <v>4.4103378318779218E-5</v>
      </c>
    </row>
    <row r="475" spans="2:5" ht="15" customHeight="1">
      <c r="B475" s="93"/>
      <c r="C475" s="43" t="s">
        <v>152</v>
      </c>
      <c r="D475" s="42">
        <v>2</v>
      </c>
      <c r="E475" s="41">
        <v>8.8206756637558437E-5</v>
      </c>
    </row>
    <row r="476" spans="2:5" ht="15" customHeight="1">
      <c r="B476" s="93"/>
      <c r="C476" s="43" t="s">
        <v>133</v>
      </c>
      <c r="D476" s="42">
        <v>3</v>
      </c>
      <c r="E476" s="41">
        <v>1.3231013495633765E-4</v>
      </c>
    </row>
    <row r="477" spans="2:5" ht="15" customHeight="1">
      <c r="B477" s="93"/>
      <c r="C477" s="43" t="s">
        <v>163</v>
      </c>
      <c r="D477" s="42">
        <v>2</v>
      </c>
      <c r="E477" s="41">
        <v>8.8206756637558437E-5</v>
      </c>
    </row>
    <row r="478" spans="2:5" ht="15" customHeight="1">
      <c r="B478" s="93"/>
      <c r="C478" s="43" t="s">
        <v>137</v>
      </c>
      <c r="D478" s="42">
        <v>3</v>
      </c>
      <c r="E478" s="41">
        <v>1.3231013495633765E-4</v>
      </c>
    </row>
    <row r="479" spans="2:5" ht="15" customHeight="1">
      <c r="B479" s="93"/>
      <c r="C479" s="43" t="s">
        <v>161</v>
      </c>
      <c r="D479" s="42">
        <v>2</v>
      </c>
      <c r="E479" s="41">
        <v>8.8206756637558437E-5</v>
      </c>
    </row>
    <row r="480" spans="2:5" ht="15" customHeight="1">
      <c r="B480" s="93"/>
      <c r="C480" s="43" t="s">
        <v>169</v>
      </c>
      <c r="D480" s="42">
        <v>4</v>
      </c>
      <c r="E480" s="41">
        <v>1.7641351327511687E-4</v>
      </c>
    </row>
    <row r="481" spans="2:5" ht="15" customHeight="1">
      <c r="B481" s="93"/>
      <c r="C481" s="43" t="s">
        <v>171</v>
      </c>
      <c r="D481" s="42">
        <v>9</v>
      </c>
      <c r="E481" s="41">
        <v>3.9693040486901297E-4</v>
      </c>
    </row>
    <row r="482" spans="2:5" ht="15" customHeight="1">
      <c r="B482" s="93"/>
      <c r="C482" s="43" t="s">
        <v>160</v>
      </c>
      <c r="D482" s="42">
        <v>3</v>
      </c>
      <c r="E482" s="41">
        <v>1.3231013495633765E-4</v>
      </c>
    </row>
    <row r="483" spans="2:5" ht="15" customHeight="1">
      <c r="B483" s="93"/>
      <c r="C483" s="43" t="s">
        <v>168</v>
      </c>
      <c r="D483" s="42">
        <v>5</v>
      </c>
      <c r="E483" s="41">
        <v>2.205168915938961E-4</v>
      </c>
    </row>
    <row r="484" spans="2:5" ht="15" customHeight="1">
      <c r="B484" s="93"/>
      <c r="C484" s="43" t="s">
        <v>126</v>
      </c>
      <c r="D484" s="42">
        <v>1</v>
      </c>
      <c r="E484" s="41">
        <v>4.4103378318779218E-5</v>
      </c>
    </row>
    <row r="485" spans="2:5" ht="15" customHeight="1">
      <c r="B485" s="93"/>
      <c r="C485" s="43" t="s">
        <v>149</v>
      </c>
      <c r="D485" s="42">
        <v>1</v>
      </c>
      <c r="E485" s="41">
        <v>4.4103378318779218E-5</v>
      </c>
    </row>
    <row r="486" spans="2:5" ht="15" customHeight="1">
      <c r="B486" s="93"/>
      <c r="C486" s="43" t="s">
        <v>150</v>
      </c>
      <c r="D486" s="42">
        <v>1</v>
      </c>
      <c r="E486" s="41">
        <v>4.4103378318779218E-5</v>
      </c>
    </row>
    <row r="487" spans="2:5" ht="15" customHeight="1">
      <c r="B487" s="93"/>
      <c r="C487" s="43" t="s">
        <v>155</v>
      </c>
      <c r="D487" s="42">
        <v>1</v>
      </c>
      <c r="E487" s="41">
        <v>4.4103378318779218E-5</v>
      </c>
    </row>
    <row r="488" spans="2:5" ht="15" customHeight="1">
      <c r="B488" s="93"/>
      <c r="C488" s="43" t="s">
        <v>170</v>
      </c>
      <c r="D488" s="42">
        <v>2</v>
      </c>
      <c r="E488" s="41">
        <v>8.8206756637558437E-5</v>
      </c>
    </row>
    <row r="489" spans="2:5" ht="15" customHeight="1">
      <c r="B489" s="93"/>
      <c r="C489" s="43" t="s">
        <v>154</v>
      </c>
      <c r="D489" s="42">
        <v>10</v>
      </c>
      <c r="E489" s="41">
        <v>4.410337831877922E-4</v>
      </c>
    </row>
    <row r="490" spans="2:5" ht="15" customHeight="1">
      <c r="B490" s="93"/>
      <c r="C490" s="43" t="s">
        <v>147</v>
      </c>
      <c r="D490" s="42">
        <v>7</v>
      </c>
      <c r="E490" s="41">
        <v>3.0872364823145452E-4</v>
      </c>
    </row>
    <row r="491" spans="2:5" ht="15" customHeight="1">
      <c r="B491" s="93"/>
      <c r="C491" s="43" t="s">
        <v>146</v>
      </c>
      <c r="D491" s="42">
        <v>5</v>
      </c>
      <c r="E491" s="41">
        <v>2.205168915938961E-4</v>
      </c>
    </row>
    <row r="492" spans="2:5" ht="15" customHeight="1">
      <c r="B492" s="93"/>
      <c r="C492" s="43" t="s">
        <v>167</v>
      </c>
      <c r="D492" s="42">
        <v>15</v>
      </c>
      <c r="E492" s="41">
        <v>6.6155067478168832E-4</v>
      </c>
    </row>
    <row r="493" spans="2:5" ht="15" customHeight="1">
      <c r="B493" s="93"/>
      <c r="C493" s="43" t="s">
        <v>165</v>
      </c>
      <c r="D493" s="42">
        <v>12</v>
      </c>
      <c r="E493" s="41">
        <v>5.2924053982535059E-4</v>
      </c>
    </row>
    <row r="494" spans="2:5" ht="15" customHeight="1">
      <c r="B494" s="94"/>
      <c r="C494" s="40" t="s">
        <v>20</v>
      </c>
      <c r="D494" s="39">
        <v>182</v>
      </c>
      <c r="E494" s="38">
        <v>8.0268148540178184E-3</v>
      </c>
    </row>
    <row r="495" spans="2:5" ht="15" customHeight="1">
      <c r="B495" s="92" t="s">
        <v>56</v>
      </c>
      <c r="C495" s="43" t="s">
        <v>140</v>
      </c>
      <c r="D495" s="42">
        <v>1</v>
      </c>
      <c r="E495" s="41">
        <v>4.4103378318779218E-5</v>
      </c>
    </row>
    <row r="496" spans="2:5" ht="15" customHeight="1">
      <c r="B496" s="93"/>
      <c r="C496" s="43" t="s">
        <v>132</v>
      </c>
      <c r="D496" s="42">
        <v>2</v>
      </c>
      <c r="E496" s="41">
        <v>8.8206756637558437E-5</v>
      </c>
    </row>
    <row r="497" spans="2:5" ht="15" customHeight="1">
      <c r="B497" s="93"/>
      <c r="C497" s="43" t="s">
        <v>151</v>
      </c>
      <c r="D497" s="42">
        <v>5</v>
      </c>
      <c r="E497" s="41">
        <v>2.205168915938961E-4</v>
      </c>
    </row>
    <row r="498" spans="2:5" ht="15" customHeight="1">
      <c r="B498" s="93"/>
      <c r="C498" s="43" t="s">
        <v>172</v>
      </c>
      <c r="D498" s="42">
        <v>55</v>
      </c>
      <c r="E498" s="41">
        <v>2.4256858075328569E-3</v>
      </c>
    </row>
    <row r="499" spans="2:5" ht="15" customHeight="1">
      <c r="B499" s="93"/>
      <c r="C499" s="43" t="s">
        <v>139</v>
      </c>
      <c r="D499" s="42">
        <v>1</v>
      </c>
      <c r="E499" s="41">
        <v>4.4103378318779218E-5</v>
      </c>
    </row>
    <row r="500" spans="2:5" ht="15" customHeight="1">
      <c r="B500" s="93"/>
      <c r="C500" s="43" t="s">
        <v>159</v>
      </c>
      <c r="D500" s="42">
        <v>26</v>
      </c>
      <c r="E500" s="41">
        <v>1.1466878362882597E-3</v>
      </c>
    </row>
    <row r="501" spans="2:5" ht="15" customHeight="1">
      <c r="B501" s="93"/>
      <c r="C501" s="43" t="s">
        <v>157</v>
      </c>
      <c r="D501" s="42">
        <v>33</v>
      </c>
      <c r="E501" s="41">
        <v>1.4554114845197143E-3</v>
      </c>
    </row>
    <row r="502" spans="2:5" ht="15" customHeight="1">
      <c r="B502" s="93"/>
      <c r="C502" s="43" t="s">
        <v>164</v>
      </c>
      <c r="D502" s="42">
        <v>19</v>
      </c>
      <c r="E502" s="41">
        <v>8.3796418805680512E-4</v>
      </c>
    </row>
    <row r="503" spans="2:5" ht="15" customHeight="1">
      <c r="B503" s="93"/>
      <c r="C503" s="43" t="s">
        <v>136</v>
      </c>
      <c r="D503" s="42">
        <v>1</v>
      </c>
      <c r="E503" s="41">
        <v>4.4103378318779218E-5</v>
      </c>
    </row>
    <row r="504" spans="2:5" ht="15" customHeight="1">
      <c r="B504" s="93"/>
      <c r="C504" s="43" t="s">
        <v>162</v>
      </c>
      <c r="D504" s="42">
        <v>2</v>
      </c>
      <c r="E504" s="41">
        <v>8.8206756637558437E-5</v>
      </c>
    </row>
    <row r="505" spans="2:5" ht="15" customHeight="1">
      <c r="B505" s="93"/>
      <c r="C505" s="43" t="s">
        <v>166</v>
      </c>
      <c r="D505" s="42">
        <v>10</v>
      </c>
      <c r="E505" s="41">
        <v>4.410337831877922E-4</v>
      </c>
    </row>
    <row r="506" spans="2:5" ht="15" customHeight="1">
      <c r="B506" s="93"/>
      <c r="C506" s="43" t="s">
        <v>158</v>
      </c>
      <c r="D506" s="42">
        <v>11</v>
      </c>
      <c r="E506" s="41">
        <v>4.8513716150657142E-4</v>
      </c>
    </row>
    <row r="507" spans="2:5" ht="15" customHeight="1">
      <c r="B507" s="93"/>
      <c r="C507" s="43" t="s">
        <v>153</v>
      </c>
      <c r="D507" s="42">
        <v>4</v>
      </c>
      <c r="E507" s="41">
        <v>1.7641351327511687E-4</v>
      </c>
    </row>
    <row r="508" spans="2:5" ht="15" customHeight="1">
      <c r="B508" s="93"/>
      <c r="C508" s="43" t="s">
        <v>156</v>
      </c>
      <c r="D508" s="42">
        <v>36</v>
      </c>
      <c r="E508" s="41">
        <v>1.5877216194760519E-3</v>
      </c>
    </row>
    <row r="509" spans="2:5" ht="15" customHeight="1">
      <c r="B509" s="93"/>
      <c r="C509" s="43" t="s">
        <v>152</v>
      </c>
      <c r="D509" s="42">
        <v>32</v>
      </c>
      <c r="E509" s="41">
        <v>1.411308106200935E-3</v>
      </c>
    </row>
    <row r="510" spans="2:5" ht="15" customHeight="1">
      <c r="B510" s="93"/>
      <c r="C510" s="43" t="s">
        <v>130</v>
      </c>
      <c r="D510" s="42">
        <v>1</v>
      </c>
      <c r="E510" s="41">
        <v>4.4103378318779218E-5</v>
      </c>
    </row>
    <row r="511" spans="2:5" ht="15" customHeight="1">
      <c r="B511" s="93"/>
      <c r="C511" s="43" t="s">
        <v>163</v>
      </c>
      <c r="D511" s="42">
        <v>1</v>
      </c>
      <c r="E511" s="41">
        <v>4.4103378318779218E-5</v>
      </c>
    </row>
    <row r="512" spans="2:5" ht="15" customHeight="1">
      <c r="B512" s="93"/>
      <c r="C512" s="43" t="s">
        <v>137</v>
      </c>
      <c r="D512" s="42">
        <v>2</v>
      </c>
      <c r="E512" s="41">
        <v>8.8206756637558437E-5</v>
      </c>
    </row>
    <row r="513" spans="2:5" ht="15" customHeight="1">
      <c r="B513" s="93"/>
      <c r="C513" s="43" t="s">
        <v>161</v>
      </c>
      <c r="D513" s="42">
        <v>5</v>
      </c>
      <c r="E513" s="41">
        <v>2.205168915938961E-4</v>
      </c>
    </row>
    <row r="514" spans="2:5" ht="15" customHeight="1">
      <c r="B514" s="93"/>
      <c r="C514" s="43" t="s">
        <v>127</v>
      </c>
      <c r="D514" s="42">
        <v>10</v>
      </c>
      <c r="E514" s="41">
        <v>4.410337831877922E-4</v>
      </c>
    </row>
    <row r="515" spans="2:5" ht="15" customHeight="1">
      <c r="B515" s="93"/>
      <c r="C515" s="43" t="s">
        <v>169</v>
      </c>
      <c r="D515" s="42">
        <v>8</v>
      </c>
      <c r="E515" s="41">
        <v>3.5282702655023375E-4</v>
      </c>
    </row>
    <row r="516" spans="2:5" ht="15" customHeight="1">
      <c r="B516" s="93"/>
      <c r="C516" s="43" t="s">
        <v>171</v>
      </c>
      <c r="D516" s="42">
        <v>6</v>
      </c>
      <c r="E516" s="41">
        <v>2.646202699126753E-4</v>
      </c>
    </row>
    <row r="517" spans="2:5" ht="15" customHeight="1">
      <c r="B517" s="93"/>
      <c r="C517" s="43" t="s">
        <v>160</v>
      </c>
      <c r="D517" s="42">
        <v>3</v>
      </c>
      <c r="E517" s="41">
        <v>1.3231013495633765E-4</v>
      </c>
    </row>
    <row r="518" spans="2:5" ht="15" customHeight="1">
      <c r="B518" s="93"/>
      <c r="C518" s="43" t="s">
        <v>168</v>
      </c>
      <c r="D518" s="42">
        <v>19</v>
      </c>
      <c r="E518" s="41">
        <v>8.3796418805680512E-4</v>
      </c>
    </row>
    <row r="519" spans="2:5" ht="15" customHeight="1">
      <c r="B519" s="93"/>
      <c r="C519" s="43" t="s">
        <v>126</v>
      </c>
      <c r="D519" s="42">
        <v>1</v>
      </c>
      <c r="E519" s="41">
        <v>4.4103378318779218E-5</v>
      </c>
    </row>
    <row r="520" spans="2:5" ht="15" customHeight="1">
      <c r="B520" s="93"/>
      <c r="C520" s="43" t="s">
        <v>149</v>
      </c>
      <c r="D520" s="42">
        <v>4</v>
      </c>
      <c r="E520" s="41">
        <v>1.7641351327511687E-4</v>
      </c>
    </row>
    <row r="521" spans="2:5" ht="15" customHeight="1">
      <c r="B521" s="93"/>
      <c r="C521" s="43" t="s">
        <v>144</v>
      </c>
      <c r="D521" s="42">
        <v>2</v>
      </c>
      <c r="E521" s="41">
        <v>8.8206756637558437E-5</v>
      </c>
    </row>
    <row r="522" spans="2:5" ht="15" customHeight="1">
      <c r="B522" s="93"/>
      <c r="C522" s="43" t="s">
        <v>150</v>
      </c>
      <c r="D522" s="42">
        <v>3</v>
      </c>
      <c r="E522" s="41">
        <v>1.3231013495633765E-4</v>
      </c>
    </row>
    <row r="523" spans="2:5" ht="15" customHeight="1">
      <c r="B523" s="93"/>
      <c r="C523" s="43" t="s">
        <v>155</v>
      </c>
      <c r="D523" s="42">
        <v>4</v>
      </c>
      <c r="E523" s="41">
        <v>1.7641351327511687E-4</v>
      </c>
    </row>
    <row r="524" spans="2:5" ht="15" customHeight="1">
      <c r="B524" s="93"/>
      <c r="C524" s="43" t="s">
        <v>116</v>
      </c>
      <c r="D524" s="42">
        <v>3</v>
      </c>
      <c r="E524" s="41">
        <v>1.3231013495633765E-4</v>
      </c>
    </row>
    <row r="525" spans="2:5" ht="15" customHeight="1">
      <c r="B525" s="93"/>
      <c r="C525" s="43" t="s">
        <v>170</v>
      </c>
      <c r="D525" s="42">
        <v>2</v>
      </c>
      <c r="E525" s="41">
        <v>8.8206756637558437E-5</v>
      </c>
    </row>
    <row r="526" spans="2:5" ht="15" customHeight="1">
      <c r="B526" s="93"/>
      <c r="C526" s="43" t="s">
        <v>154</v>
      </c>
      <c r="D526" s="42">
        <v>4</v>
      </c>
      <c r="E526" s="41">
        <v>1.7641351327511687E-4</v>
      </c>
    </row>
    <row r="527" spans="2:5" ht="15" customHeight="1">
      <c r="B527" s="93"/>
      <c r="C527" s="43" t="s">
        <v>131</v>
      </c>
      <c r="D527" s="42">
        <v>2</v>
      </c>
      <c r="E527" s="41">
        <v>8.8206756637558437E-5</v>
      </c>
    </row>
    <row r="528" spans="2:5" ht="15" customHeight="1">
      <c r="B528" s="93"/>
      <c r="C528" s="43" t="s">
        <v>146</v>
      </c>
      <c r="D528" s="42">
        <v>7</v>
      </c>
      <c r="E528" s="41">
        <v>3.0872364823145452E-4</v>
      </c>
    </row>
    <row r="529" spans="2:5" ht="15" customHeight="1">
      <c r="B529" s="93"/>
      <c r="C529" s="43" t="s">
        <v>167</v>
      </c>
      <c r="D529" s="42">
        <v>5</v>
      </c>
      <c r="E529" s="41">
        <v>2.205168915938961E-4</v>
      </c>
    </row>
    <row r="530" spans="2:5" ht="15" customHeight="1">
      <c r="B530" s="93"/>
      <c r="C530" s="43" t="s">
        <v>165</v>
      </c>
      <c r="D530" s="42">
        <v>21</v>
      </c>
      <c r="E530" s="41">
        <v>9.2617094469436357E-4</v>
      </c>
    </row>
    <row r="531" spans="2:5" ht="15" customHeight="1">
      <c r="B531" s="94"/>
      <c r="C531" s="40" t="s">
        <v>20</v>
      </c>
      <c r="D531" s="39">
        <v>351</v>
      </c>
      <c r="E531" s="38">
        <v>1.5480285789891506E-2</v>
      </c>
    </row>
    <row r="532" spans="2:5" ht="15" customHeight="1">
      <c r="B532" s="92" t="s">
        <v>36</v>
      </c>
      <c r="C532" s="43" t="s">
        <v>140</v>
      </c>
      <c r="D532" s="42">
        <v>2</v>
      </c>
      <c r="E532" s="41">
        <v>8.8206756637558437E-5</v>
      </c>
    </row>
    <row r="533" spans="2:5" ht="15" customHeight="1">
      <c r="B533" s="93"/>
      <c r="C533" s="43" t="s">
        <v>120</v>
      </c>
      <c r="D533" s="42">
        <v>18</v>
      </c>
      <c r="E533" s="41">
        <v>7.9386080973802594E-4</v>
      </c>
    </row>
    <row r="534" spans="2:5" ht="15" customHeight="1">
      <c r="B534" s="93"/>
      <c r="C534" s="43" t="s">
        <v>172</v>
      </c>
      <c r="D534" s="42">
        <v>11</v>
      </c>
      <c r="E534" s="41">
        <v>4.8513716150657142E-4</v>
      </c>
    </row>
    <row r="535" spans="2:5" ht="15" customHeight="1">
      <c r="B535" s="93"/>
      <c r="C535" s="43" t="s">
        <v>139</v>
      </c>
      <c r="D535" s="42">
        <v>1</v>
      </c>
      <c r="E535" s="41">
        <v>4.4103378318779218E-5</v>
      </c>
    </row>
    <row r="536" spans="2:5" ht="15" customHeight="1">
      <c r="B536" s="93"/>
      <c r="C536" s="43" t="s">
        <v>159</v>
      </c>
      <c r="D536" s="42">
        <v>1</v>
      </c>
      <c r="E536" s="41">
        <v>4.4103378318779218E-5</v>
      </c>
    </row>
    <row r="537" spans="2:5" ht="15" customHeight="1">
      <c r="B537" s="93"/>
      <c r="C537" s="43" t="s">
        <v>157</v>
      </c>
      <c r="D537" s="42">
        <v>1</v>
      </c>
      <c r="E537" s="41">
        <v>4.4103378318779218E-5</v>
      </c>
    </row>
    <row r="538" spans="2:5" ht="15" customHeight="1">
      <c r="B538" s="93"/>
      <c r="C538" s="43" t="s">
        <v>164</v>
      </c>
      <c r="D538" s="42">
        <v>1</v>
      </c>
      <c r="E538" s="41">
        <v>4.4103378318779218E-5</v>
      </c>
    </row>
    <row r="539" spans="2:5" ht="15" customHeight="1">
      <c r="B539" s="93"/>
      <c r="C539" s="43" t="s">
        <v>162</v>
      </c>
      <c r="D539" s="42">
        <v>2</v>
      </c>
      <c r="E539" s="41">
        <v>8.8206756637558437E-5</v>
      </c>
    </row>
    <row r="540" spans="2:5" ht="15" customHeight="1">
      <c r="B540" s="93"/>
      <c r="C540" s="43" t="s">
        <v>153</v>
      </c>
      <c r="D540" s="42">
        <v>1</v>
      </c>
      <c r="E540" s="41">
        <v>4.4103378318779218E-5</v>
      </c>
    </row>
    <row r="541" spans="2:5" ht="15" customHeight="1">
      <c r="B541" s="93"/>
      <c r="C541" s="43" t="s">
        <v>143</v>
      </c>
      <c r="D541" s="42">
        <v>2</v>
      </c>
      <c r="E541" s="41">
        <v>8.8206756637558437E-5</v>
      </c>
    </row>
    <row r="542" spans="2:5" ht="15" customHeight="1">
      <c r="B542" s="93"/>
      <c r="C542" s="43" t="s">
        <v>141</v>
      </c>
      <c r="D542" s="42">
        <v>2</v>
      </c>
      <c r="E542" s="41">
        <v>8.8206756637558437E-5</v>
      </c>
    </row>
    <row r="543" spans="2:5" ht="15" customHeight="1">
      <c r="B543" s="93"/>
      <c r="C543" s="43" t="s">
        <v>163</v>
      </c>
      <c r="D543" s="42">
        <v>1</v>
      </c>
      <c r="E543" s="41">
        <v>4.4103378318779218E-5</v>
      </c>
    </row>
    <row r="544" spans="2:5" ht="15" customHeight="1">
      <c r="B544" s="93"/>
      <c r="C544" s="43" t="s">
        <v>137</v>
      </c>
      <c r="D544" s="42">
        <v>1</v>
      </c>
      <c r="E544" s="41">
        <v>4.4103378318779218E-5</v>
      </c>
    </row>
    <row r="545" spans="2:5" ht="15" customHeight="1">
      <c r="B545" s="93"/>
      <c r="C545" s="43" t="s">
        <v>161</v>
      </c>
      <c r="D545" s="42">
        <v>1</v>
      </c>
      <c r="E545" s="41">
        <v>4.4103378318779218E-5</v>
      </c>
    </row>
    <row r="546" spans="2:5" ht="15" customHeight="1">
      <c r="B546" s="93"/>
      <c r="C546" s="43" t="s">
        <v>127</v>
      </c>
      <c r="D546" s="42">
        <v>2</v>
      </c>
      <c r="E546" s="41">
        <v>8.8206756637558437E-5</v>
      </c>
    </row>
    <row r="547" spans="2:5" ht="15" customHeight="1">
      <c r="B547" s="93"/>
      <c r="C547" s="43" t="s">
        <v>169</v>
      </c>
      <c r="D547" s="42">
        <v>10</v>
      </c>
      <c r="E547" s="41">
        <v>4.410337831877922E-4</v>
      </c>
    </row>
    <row r="548" spans="2:5" ht="15" customHeight="1">
      <c r="B548" s="93"/>
      <c r="C548" s="43" t="s">
        <v>171</v>
      </c>
      <c r="D548" s="42">
        <v>6</v>
      </c>
      <c r="E548" s="41">
        <v>2.646202699126753E-4</v>
      </c>
    </row>
    <row r="549" spans="2:5" ht="15" customHeight="1">
      <c r="B549" s="93"/>
      <c r="C549" s="43" t="s">
        <v>168</v>
      </c>
      <c r="D549" s="42">
        <v>1</v>
      </c>
      <c r="E549" s="41">
        <v>4.4103378318779218E-5</v>
      </c>
    </row>
    <row r="550" spans="2:5" ht="15" customHeight="1">
      <c r="B550" s="93"/>
      <c r="C550" s="43" t="s">
        <v>149</v>
      </c>
      <c r="D550" s="42">
        <v>1</v>
      </c>
      <c r="E550" s="41">
        <v>4.4103378318779218E-5</v>
      </c>
    </row>
    <row r="551" spans="2:5" ht="15" customHeight="1">
      <c r="B551" s="93"/>
      <c r="C551" s="43" t="s">
        <v>144</v>
      </c>
      <c r="D551" s="42">
        <v>2</v>
      </c>
      <c r="E551" s="41">
        <v>8.8206756637558437E-5</v>
      </c>
    </row>
    <row r="552" spans="2:5" ht="15" customHeight="1">
      <c r="B552" s="93"/>
      <c r="C552" s="43" t="s">
        <v>150</v>
      </c>
      <c r="D552" s="42">
        <v>1</v>
      </c>
      <c r="E552" s="41">
        <v>4.4103378318779218E-5</v>
      </c>
    </row>
    <row r="553" spans="2:5" ht="15" customHeight="1">
      <c r="B553" s="93"/>
      <c r="C553" s="43" t="s">
        <v>155</v>
      </c>
      <c r="D553" s="42">
        <v>1</v>
      </c>
      <c r="E553" s="41">
        <v>4.4103378318779218E-5</v>
      </c>
    </row>
    <row r="554" spans="2:5" ht="15" customHeight="1">
      <c r="B554" s="93"/>
      <c r="C554" s="43" t="s">
        <v>170</v>
      </c>
      <c r="D554" s="42">
        <v>17</v>
      </c>
      <c r="E554" s="41">
        <v>7.4975743141924667E-4</v>
      </c>
    </row>
    <row r="555" spans="2:5" ht="15" customHeight="1">
      <c r="B555" s="93"/>
      <c r="C555" s="43" t="s">
        <v>123</v>
      </c>
      <c r="D555" s="42">
        <v>1</v>
      </c>
      <c r="E555" s="41">
        <v>4.4103378318779218E-5</v>
      </c>
    </row>
    <row r="556" spans="2:5" ht="15" customHeight="1">
      <c r="B556" s="93"/>
      <c r="C556" s="43" t="s">
        <v>154</v>
      </c>
      <c r="D556" s="42">
        <v>1</v>
      </c>
      <c r="E556" s="41">
        <v>4.4103378318779218E-5</v>
      </c>
    </row>
    <row r="557" spans="2:5" ht="15" customHeight="1">
      <c r="B557" s="93"/>
      <c r="C557" s="43" t="s">
        <v>165</v>
      </c>
      <c r="D557" s="42">
        <v>1</v>
      </c>
      <c r="E557" s="41">
        <v>4.4103378318779218E-5</v>
      </c>
    </row>
    <row r="558" spans="2:5" ht="15" customHeight="1">
      <c r="B558" s="94"/>
      <c r="C558" s="40" t="s">
        <v>20</v>
      </c>
      <c r="D558" s="39">
        <v>89</v>
      </c>
      <c r="E558" s="38">
        <v>3.9252006703713507E-3</v>
      </c>
    </row>
    <row r="559" spans="2:5" ht="15" customHeight="1">
      <c r="B559" s="92" t="s">
        <v>43</v>
      </c>
      <c r="C559" s="43" t="s">
        <v>140</v>
      </c>
      <c r="D559" s="42">
        <v>1</v>
      </c>
      <c r="E559" s="41">
        <v>4.4103378318779218E-5</v>
      </c>
    </row>
    <row r="560" spans="2:5" ht="15" customHeight="1">
      <c r="B560" s="93"/>
      <c r="C560" s="43" t="s">
        <v>132</v>
      </c>
      <c r="D560" s="42">
        <v>1</v>
      </c>
      <c r="E560" s="41">
        <v>4.4103378318779218E-5</v>
      </c>
    </row>
    <row r="561" spans="2:5" ht="15" customHeight="1">
      <c r="B561" s="93"/>
      <c r="C561" s="43" t="s">
        <v>145</v>
      </c>
      <c r="D561" s="42">
        <v>1</v>
      </c>
      <c r="E561" s="41">
        <v>4.4103378318779218E-5</v>
      </c>
    </row>
    <row r="562" spans="2:5" ht="15" customHeight="1">
      <c r="B562" s="93"/>
      <c r="C562" s="43" t="s">
        <v>151</v>
      </c>
      <c r="D562" s="42">
        <v>1</v>
      </c>
      <c r="E562" s="41">
        <v>4.4103378318779218E-5</v>
      </c>
    </row>
    <row r="563" spans="2:5" ht="15" customHeight="1">
      <c r="B563" s="93"/>
      <c r="C563" s="43" t="s">
        <v>128</v>
      </c>
      <c r="D563" s="42">
        <v>2</v>
      </c>
      <c r="E563" s="41">
        <v>8.8206756637558437E-5</v>
      </c>
    </row>
    <row r="564" spans="2:5" ht="15" customHeight="1">
      <c r="B564" s="93"/>
      <c r="C564" s="43" t="s">
        <v>134</v>
      </c>
      <c r="D564" s="42">
        <v>1</v>
      </c>
      <c r="E564" s="41">
        <v>4.4103378318779218E-5</v>
      </c>
    </row>
    <row r="565" spans="2:5" ht="15" customHeight="1">
      <c r="B565" s="93"/>
      <c r="C565" s="43" t="s">
        <v>172</v>
      </c>
      <c r="D565" s="42">
        <v>16</v>
      </c>
      <c r="E565" s="41">
        <v>7.0565405310046749E-4</v>
      </c>
    </row>
    <row r="566" spans="2:5" ht="15" customHeight="1">
      <c r="B566" s="93"/>
      <c r="C566" s="43" t="s">
        <v>159</v>
      </c>
      <c r="D566" s="42">
        <v>12</v>
      </c>
      <c r="E566" s="41">
        <v>5.2924053982535059E-4</v>
      </c>
    </row>
    <row r="567" spans="2:5" ht="15" customHeight="1">
      <c r="B567" s="93"/>
      <c r="C567" s="43" t="s">
        <v>157</v>
      </c>
      <c r="D567" s="42">
        <v>6</v>
      </c>
      <c r="E567" s="41">
        <v>2.646202699126753E-4</v>
      </c>
    </row>
    <row r="568" spans="2:5" ht="15" customHeight="1">
      <c r="B568" s="93"/>
      <c r="C568" s="43" t="s">
        <v>164</v>
      </c>
      <c r="D568" s="42">
        <v>4</v>
      </c>
      <c r="E568" s="41">
        <v>1.7641351327511687E-4</v>
      </c>
    </row>
    <row r="569" spans="2:5" ht="15" customHeight="1">
      <c r="B569" s="93"/>
      <c r="C569" s="43" t="s">
        <v>162</v>
      </c>
      <c r="D569" s="42">
        <v>3</v>
      </c>
      <c r="E569" s="41">
        <v>1.3231013495633765E-4</v>
      </c>
    </row>
    <row r="570" spans="2:5" ht="15" customHeight="1">
      <c r="B570" s="93"/>
      <c r="C570" s="43" t="s">
        <v>158</v>
      </c>
      <c r="D570" s="42">
        <v>1</v>
      </c>
      <c r="E570" s="41">
        <v>4.4103378318779218E-5</v>
      </c>
    </row>
    <row r="571" spans="2:5" ht="15" customHeight="1">
      <c r="B571" s="93"/>
      <c r="C571" s="43" t="s">
        <v>148</v>
      </c>
      <c r="D571" s="42">
        <v>1</v>
      </c>
      <c r="E571" s="41">
        <v>4.4103378318779218E-5</v>
      </c>
    </row>
    <row r="572" spans="2:5" ht="15" customHeight="1">
      <c r="B572" s="93"/>
      <c r="C572" s="43" t="s">
        <v>153</v>
      </c>
      <c r="D572" s="42">
        <v>3</v>
      </c>
      <c r="E572" s="41">
        <v>1.3231013495633765E-4</v>
      </c>
    </row>
    <row r="573" spans="2:5" ht="15" customHeight="1">
      <c r="B573" s="93"/>
      <c r="C573" s="43" t="s">
        <v>141</v>
      </c>
      <c r="D573" s="42">
        <v>2</v>
      </c>
      <c r="E573" s="41">
        <v>8.8206756637558437E-5</v>
      </c>
    </row>
    <row r="574" spans="2:5" ht="15" customHeight="1">
      <c r="B574" s="93"/>
      <c r="C574" s="43" t="s">
        <v>156</v>
      </c>
      <c r="D574" s="42">
        <v>5</v>
      </c>
      <c r="E574" s="41">
        <v>2.205168915938961E-4</v>
      </c>
    </row>
    <row r="575" spans="2:5" ht="15" customHeight="1">
      <c r="B575" s="93"/>
      <c r="C575" s="43" t="s">
        <v>163</v>
      </c>
      <c r="D575" s="42">
        <v>1</v>
      </c>
      <c r="E575" s="41">
        <v>4.4103378318779218E-5</v>
      </c>
    </row>
    <row r="576" spans="2:5" ht="15" customHeight="1">
      <c r="B576" s="93"/>
      <c r="C576" s="43" t="s">
        <v>161</v>
      </c>
      <c r="D576" s="42">
        <v>21</v>
      </c>
      <c r="E576" s="41">
        <v>9.2617094469436357E-4</v>
      </c>
    </row>
    <row r="577" spans="2:5" ht="15" customHeight="1">
      <c r="B577" s="93"/>
      <c r="C577" s="43" t="s">
        <v>169</v>
      </c>
      <c r="D577" s="42">
        <v>6</v>
      </c>
      <c r="E577" s="41">
        <v>2.646202699126753E-4</v>
      </c>
    </row>
    <row r="578" spans="2:5" ht="15" customHeight="1">
      <c r="B578" s="93"/>
      <c r="C578" s="43" t="s">
        <v>171</v>
      </c>
      <c r="D578" s="42">
        <v>12</v>
      </c>
      <c r="E578" s="41">
        <v>5.2924053982535059E-4</v>
      </c>
    </row>
    <row r="579" spans="2:5" ht="15" customHeight="1">
      <c r="B579" s="93"/>
      <c r="C579" s="43" t="s">
        <v>160</v>
      </c>
      <c r="D579" s="42">
        <v>3</v>
      </c>
      <c r="E579" s="41">
        <v>1.3231013495633765E-4</v>
      </c>
    </row>
    <row r="580" spans="2:5" ht="15" customHeight="1">
      <c r="B580" s="93"/>
      <c r="C580" s="43" t="s">
        <v>168</v>
      </c>
      <c r="D580" s="42">
        <v>25</v>
      </c>
      <c r="E580" s="41">
        <v>1.1025844579694805E-3</v>
      </c>
    </row>
    <row r="581" spans="2:5" ht="15" customHeight="1">
      <c r="B581" s="93"/>
      <c r="C581" s="43" t="s">
        <v>144</v>
      </c>
      <c r="D581" s="42">
        <v>3</v>
      </c>
      <c r="E581" s="41">
        <v>1.3231013495633765E-4</v>
      </c>
    </row>
    <row r="582" spans="2:5" ht="15" customHeight="1">
      <c r="B582" s="93"/>
      <c r="C582" s="43" t="s">
        <v>155</v>
      </c>
      <c r="D582" s="42">
        <v>6</v>
      </c>
      <c r="E582" s="41">
        <v>2.646202699126753E-4</v>
      </c>
    </row>
    <row r="583" spans="2:5" ht="15" customHeight="1">
      <c r="B583" s="93"/>
      <c r="C583" s="43" t="s">
        <v>170</v>
      </c>
      <c r="D583" s="42">
        <v>3</v>
      </c>
      <c r="E583" s="41">
        <v>1.3231013495633765E-4</v>
      </c>
    </row>
    <row r="584" spans="2:5" ht="15" customHeight="1">
      <c r="B584" s="93"/>
      <c r="C584" s="43" t="s">
        <v>123</v>
      </c>
      <c r="D584" s="42">
        <v>1</v>
      </c>
      <c r="E584" s="41">
        <v>4.4103378318779218E-5</v>
      </c>
    </row>
    <row r="585" spans="2:5" ht="15" customHeight="1">
      <c r="B585" s="93"/>
      <c r="C585" s="43" t="s">
        <v>146</v>
      </c>
      <c r="D585" s="42">
        <v>2</v>
      </c>
      <c r="E585" s="41">
        <v>8.8206756637558437E-5</v>
      </c>
    </row>
    <row r="586" spans="2:5" ht="15" customHeight="1">
      <c r="B586" s="93"/>
      <c r="C586" s="43" t="s">
        <v>165</v>
      </c>
      <c r="D586" s="42">
        <v>7</v>
      </c>
      <c r="E586" s="41">
        <v>3.0872364823145452E-4</v>
      </c>
    </row>
    <row r="587" spans="2:5" ht="15" customHeight="1">
      <c r="B587" s="94"/>
      <c r="C587" s="40" t="s">
        <v>20</v>
      </c>
      <c r="D587" s="39">
        <v>150</v>
      </c>
      <c r="E587" s="38">
        <v>6.6155067478168824E-3</v>
      </c>
    </row>
    <row r="588" spans="2:5" ht="15" customHeight="1">
      <c r="B588" s="92" t="s">
        <v>28</v>
      </c>
      <c r="C588" s="43" t="s">
        <v>172</v>
      </c>
      <c r="D588" s="42">
        <v>1</v>
      </c>
      <c r="E588" s="41">
        <v>4.4103378318779218E-5</v>
      </c>
    </row>
    <row r="589" spans="2:5" ht="15" customHeight="1">
      <c r="B589" s="93"/>
      <c r="C589" s="43" t="s">
        <v>164</v>
      </c>
      <c r="D589" s="42">
        <v>1</v>
      </c>
      <c r="E589" s="41">
        <v>4.4103378318779218E-5</v>
      </c>
    </row>
    <row r="590" spans="2:5" ht="15" customHeight="1">
      <c r="B590" s="93"/>
      <c r="C590" s="43" t="s">
        <v>130</v>
      </c>
      <c r="D590" s="42">
        <v>1</v>
      </c>
      <c r="E590" s="41">
        <v>4.4103378318779218E-5</v>
      </c>
    </row>
    <row r="591" spans="2:5" ht="15" customHeight="1">
      <c r="B591" s="93"/>
      <c r="C591" s="43" t="s">
        <v>137</v>
      </c>
      <c r="D591" s="42">
        <v>1</v>
      </c>
      <c r="E591" s="41">
        <v>4.4103378318779218E-5</v>
      </c>
    </row>
    <row r="592" spans="2:5" ht="15" customHeight="1">
      <c r="B592" s="93"/>
      <c r="C592" s="43" t="s">
        <v>161</v>
      </c>
      <c r="D592" s="42">
        <v>2</v>
      </c>
      <c r="E592" s="41">
        <v>8.8206756637558437E-5</v>
      </c>
    </row>
    <row r="593" spans="2:5" ht="15" customHeight="1">
      <c r="B593" s="94"/>
      <c r="C593" s="40" t="s">
        <v>20</v>
      </c>
      <c r="D593" s="39">
        <v>6</v>
      </c>
      <c r="E593" s="38">
        <v>2.646202699126753E-4</v>
      </c>
    </row>
    <row r="594" spans="2:5" ht="15" customHeight="1">
      <c r="B594" s="92" t="s">
        <v>22</v>
      </c>
      <c r="C594" s="43" t="s">
        <v>172</v>
      </c>
      <c r="D594" s="42">
        <v>1</v>
      </c>
      <c r="E594" s="41">
        <v>4.4103378318779218E-5</v>
      </c>
    </row>
    <row r="595" spans="2:5" ht="15" customHeight="1">
      <c r="B595" s="93"/>
      <c r="C595" s="43" t="s">
        <v>161</v>
      </c>
      <c r="D595" s="42">
        <v>1</v>
      </c>
      <c r="E595" s="41">
        <v>4.4103378318779218E-5</v>
      </c>
    </row>
    <row r="596" spans="2:5" ht="15" customHeight="1">
      <c r="B596" s="93"/>
      <c r="C596" s="43" t="s">
        <v>169</v>
      </c>
      <c r="D596" s="42">
        <v>2</v>
      </c>
      <c r="E596" s="41">
        <v>8.8206756637558437E-5</v>
      </c>
    </row>
    <row r="597" spans="2:5" ht="15" customHeight="1">
      <c r="B597" s="93"/>
      <c r="C597" s="43" t="s">
        <v>171</v>
      </c>
      <c r="D597" s="42">
        <v>1</v>
      </c>
      <c r="E597" s="41">
        <v>4.4103378318779218E-5</v>
      </c>
    </row>
    <row r="598" spans="2:5" ht="15" customHeight="1">
      <c r="B598" s="93"/>
      <c r="C598" s="43" t="s">
        <v>168</v>
      </c>
      <c r="D598" s="42">
        <v>1</v>
      </c>
      <c r="E598" s="41">
        <v>4.4103378318779218E-5</v>
      </c>
    </row>
    <row r="599" spans="2:5" ht="15" customHeight="1">
      <c r="B599" s="93"/>
      <c r="C599" s="43" t="s">
        <v>146</v>
      </c>
      <c r="D599" s="42">
        <v>1</v>
      </c>
      <c r="E599" s="41">
        <v>4.4103378318779218E-5</v>
      </c>
    </row>
    <row r="600" spans="2:5" ht="15" customHeight="1">
      <c r="B600" s="94"/>
      <c r="C600" s="40" t="s">
        <v>20</v>
      </c>
      <c r="D600" s="39">
        <v>7</v>
      </c>
      <c r="E600" s="38">
        <v>3.0872364823145452E-4</v>
      </c>
    </row>
    <row r="601" spans="2:5" ht="15" customHeight="1">
      <c r="B601" s="92" t="s">
        <v>46</v>
      </c>
      <c r="C601" s="43" t="s">
        <v>140</v>
      </c>
      <c r="D601" s="42">
        <v>2</v>
      </c>
      <c r="E601" s="41">
        <v>8.8206756637558437E-5</v>
      </c>
    </row>
    <row r="602" spans="2:5" ht="15" customHeight="1">
      <c r="B602" s="93"/>
      <c r="C602" s="43" t="s">
        <v>145</v>
      </c>
      <c r="D602" s="42">
        <v>3</v>
      </c>
      <c r="E602" s="41">
        <v>1.3231013495633765E-4</v>
      </c>
    </row>
    <row r="603" spans="2:5" ht="15" customHeight="1">
      <c r="B603" s="93"/>
      <c r="C603" s="43" t="s">
        <v>151</v>
      </c>
      <c r="D603" s="42">
        <v>1</v>
      </c>
      <c r="E603" s="41">
        <v>4.4103378318779218E-5</v>
      </c>
    </row>
    <row r="604" spans="2:5" ht="15" customHeight="1">
      <c r="B604" s="93"/>
      <c r="C604" s="43" t="s">
        <v>128</v>
      </c>
      <c r="D604" s="42">
        <v>2</v>
      </c>
      <c r="E604" s="41">
        <v>8.8206756637558437E-5</v>
      </c>
    </row>
    <row r="605" spans="2:5" ht="15" customHeight="1">
      <c r="B605" s="93"/>
      <c r="C605" s="43" t="s">
        <v>121</v>
      </c>
      <c r="D605" s="42">
        <v>1</v>
      </c>
      <c r="E605" s="41">
        <v>4.4103378318779218E-5</v>
      </c>
    </row>
    <row r="606" spans="2:5" ht="15" customHeight="1">
      <c r="B606" s="93"/>
      <c r="C606" s="43" t="s">
        <v>117</v>
      </c>
      <c r="D606" s="42">
        <v>1</v>
      </c>
      <c r="E606" s="41">
        <v>4.4103378318779218E-5</v>
      </c>
    </row>
    <row r="607" spans="2:5" ht="15" customHeight="1">
      <c r="B607" s="93"/>
      <c r="C607" s="43" t="s">
        <v>172</v>
      </c>
      <c r="D607" s="42">
        <v>40</v>
      </c>
      <c r="E607" s="41">
        <v>1.7641351327511688E-3</v>
      </c>
    </row>
    <row r="608" spans="2:5" ht="15" customHeight="1">
      <c r="B608" s="93"/>
      <c r="C608" s="43" t="s">
        <v>159</v>
      </c>
      <c r="D608" s="42">
        <v>2</v>
      </c>
      <c r="E608" s="41">
        <v>8.8206756637558437E-5</v>
      </c>
    </row>
    <row r="609" spans="2:5" ht="15" customHeight="1">
      <c r="B609" s="93"/>
      <c r="C609" s="43" t="s">
        <v>157</v>
      </c>
      <c r="D609" s="42">
        <v>1</v>
      </c>
      <c r="E609" s="41">
        <v>4.4103378318779218E-5</v>
      </c>
    </row>
    <row r="610" spans="2:5" ht="15" customHeight="1">
      <c r="B610" s="93"/>
      <c r="C610" s="43" t="s">
        <v>164</v>
      </c>
      <c r="D610" s="42">
        <v>9</v>
      </c>
      <c r="E610" s="41">
        <v>3.9693040486901297E-4</v>
      </c>
    </row>
    <row r="611" spans="2:5" ht="15" customHeight="1">
      <c r="B611" s="93"/>
      <c r="C611" s="43" t="s">
        <v>136</v>
      </c>
      <c r="D611" s="42">
        <v>2</v>
      </c>
      <c r="E611" s="41">
        <v>8.8206756637558437E-5</v>
      </c>
    </row>
    <row r="612" spans="2:5" ht="15" customHeight="1">
      <c r="B612" s="93"/>
      <c r="C612" s="43" t="s">
        <v>162</v>
      </c>
      <c r="D612" s="42">
        <v>4</v>
      </c>
      <c r="E612" s="41">
        <v>1.7641351327511687E-4</v>
      </c>
    </row>
    <row r="613" spans="2:5" ht="15" customHeight="1">
      <c r="B613" s="93"/>
      <c r="C613" s="43" t="s">
        <v>166</v>
      </c>
      <c r="D613" s="42">
        <v>1</v>
      </c>
      <c r="E613" s="41">
        <v>4.4103378318779218E-5</v>
      </c>
    </row>
    <row r="614" spans="2:5" ht="15" customHeight="1">
      <c r="B614" s="93"/>
      <c r="C614" s="43" t="s">
        <v>158</v>
      </c>
      <c r="D614" s="42">
        <v>2</v>
      </c>
      <c r="E614" s="41">
        <v>8.8206756637558437E-5</v>
      </c>
    </row>
    <row r="615" spans="2:5" ht="15" customHeight="1">
      <c r="B615" s="93"/>
      <c r="C615" s="43" t="s">
        <v>153</v>
      </c>
      <c r="D615" s="42">
        <v>9</v>
      </c>
      <c r="E615" s="41">
        <v>3.9693040486901297E-4</v>
      </c>
    </row>
    <row r="616" spans="2:5" ht="15" customHeight="1">
      <c r="B616" s="93"/>
      <c r="C616" s="43" t="s">
        <v>143</v>
      </c>
      <c r="D616" s="42">
        <v>2</v>
      </c>
      <c r="E616" s="41">
        <v>8.8206756637558437E-5</v>
      </c>
    </row>
    <row r="617" spans="2:5" ht="15" customHeight="1">
      <c r="B617" s="93"/>
      <c r="C617" s="43" t="s">
        <v>156</v>
      </c>
      <c r="D617" s="42">
        <v>1</v>
      </c>
      <c r="E617" s="41">
        <v>4.4103378318779218E-5</v>
      </c>
    </row>
    <row r="618" spans="2:5" ht="15" customHeight="1">
      <c r="B618" s="93"/>
      <c r="C618" s="43" t="s">
        <v>133</v>
      </c>
      <c r="D618" s="42">
        <v>6</v>
      </c>
      <c r="E618" s="41">
        <v>2.646202699126753E-4</v>
      </c>
    </row>
    <row r="619" spans="2:5" ht="15" customHeight="1">
      <c r="B619" s="93"/>
      <c r="C619" s="43" t="s">
        <v>137</v>
      </c>
      <c r="D619" s="42">
        <v>40</v>
      </c>
      <c r="E619" s="41">
        <v>1.7641351327511688E-3</v>
      </c>
    </row>
    <row r="620" spans="2:5" ht="15" customHeight="1">
      <c r="B620" s="93"/>
      <c r="C620" s="43" t="s">
        <v>161</v>
      </c>
      <c r="D620" s="42">
        <v>37</v>
      </c>
      <c r="E620" s="41">
        <v>1.6318249977948312E-3</v>
      </c>
    </row>
    <row r="621" spans="2:5" ht="15" customHeight="1">
      <c r="B621" s="93"/>
      <c r="C621" s="43" t="s">
        <v>169</v>
      </c>
      <c r="D621" s="42">
        <v>62</v>
      </c>
      <c r="E621" s="41">
        <v>2.7344094557643114E-3</v>
      </c>
    </row>
    <row r="622" spans="2:5" ht="15" customHeight="1">
      <c r="B622" s="93"/>
      <c r="C622" s="43" t="s">
        <v>171</v>
      </c>
      <c r="D622" s="42">
        <v>16</v>
      </c>
      <c r="E622" s="41">
        <v>7.0565405310046749E-4</v>
      </c>
    </row>
    <row r="623" spans="2:5" ht="15" customHeight="1">
      <c r="B623" s="93"/>
      <c r="C623" s="43" t="s">
        <v>168</v>
      </c>
      <c r="D623" s="42">
        <v>1</v>
      </c>
      <c r="E623" s="41">
        <v>4.4103378318779218E-5</v>
      </c>
    </row>
    <row r="624" spans="2:5" ht="15" customHeight="1">
      <c r="B624" s="93"/>
      <c r="C624" s="43" t="s">
        <v>144</v>
      </c>
      <c r="D624" s="42">
        <v>1</v>
      </c>
      <c r="E624" s="41">
        <v>4.4103378318779218E-5</v>
      </c>
    </row>
    <row r="625" spans="2:5" ht="15" customHeight="1">
      <c r="B625" s="93"/>
      <c r="C625" s="43" t="s">
        <v>155</v>
      </c>
      <c r="D625" s="42">
        <v>6</v>
      </c>
      <c r="E625" s="41">
        <v>2.646202699126753E-4</v>
      </c>
    </row>
    <row r="626" spans="2:5" ht="15" customHeight="1">
      <c r="B626" s="93"/>
      <c r="C626" s="43" t="s">
        <v>170</v>
      </c>
      <c r="D626" s="42">
        <v>6</v>
      </c>
      <c r="E626" s="41">
        <v>2.646202699126753E-4</v>
      </c>
    </row>
    <row r="627" spans="2:5" ht="15" customHeight="1">
      <c r="B627" s="93"/>
      <c r="C627" s="43" t="s">
        <v>154</v>
      </c>
      <c r="D627" s="42">
        <v>7</v>
      </c>
      <c r="E627" s="41">
        <v>3.0872364823145452E-4</v>
      </c>
    </row>
    <row r="628" spans="2:5" ht="15" customHeight="1">
      <c r="B628" s="93"/>
      <c r="C628" s="43" t="s">
        <v>131</v>
      </c>
      <c r="D628" s="42">
        <v>1</v>
      </c>
      <c r="E628" s="41">
        <v>4.4103378318779218E-5</v>
      </c>
    </row>
    <row r="629" spans="2:5" ht="15" customHeight="1">
      <c r="B629" s="93"/>
      <c r="C629" s="43" t="s">
        <v>147</v>
      </c>
      <c r="D629" s="42">
        <v>7</v>
      </c>
      <c r="E629" s="41">
        <v>3.0872364823145452E-4</v>
      </c>
    </row>
    <row r="630" spans="2:5" ht="15" customHeight="1">
      <c r="B630" s="93"/>
      <c r="C630" s="43" t="s">
        <v>146</v>
      </c>
      <c r="D630" s="42">
        <v>5</v>
      </c>
      <c r="E630" s="41">
        <v>2.205168915938961E-4</v>
      </c>
    </row>
    <row r="631" spans="2:5" ht="15" customHeight="1">
      <c r="B631" s="93"/>
      <c r="C631" s="43" t="s">
        <v>167</v>
      </c>
      <c r="D631" s="42">
        <v>1</v>
      </c>
      <c r="E631" s="41">
        <v>4.4103378318779218E-5</v>
      </c>
    </row>
    <row r="632" spans="2:5" ht="15" customHeight="1">
      <c r="B632" s="93"/>
      <c r="C632" s="43" t="s">
        <v>165</v>
      </c>
      <c r="D632" s="42">
        <v>9</v>
      </c>
      <c r="E632" s="41">
        <v>3.9693040486901297E-4</v>
      </c>
    </row>
    <row r="633" spans="2:5" ht="15" customHeight="1">
      <c r="B633" s="94"/>
      <c r="C633" s="40" t="s">
        <v>20</v>
      </c>
      <c r="D633" s="39">
        <v>288</v>
      </c>
      <c r="E633" s="38">
        <v>1.2701772955808415E-2</v>
      </c>
    </row>
    <row r="634" spans="2:5" ht="15" customHeight="1">
      <c r="B634" s="92" t="s">
        <v>41</v>
      </c>
      <c r="C634" s="43" t="s">
        <v>140</v>
      </c>
      <c r="D634" s="42">
        <v>1</v>
      </c>
      <c r="E634" s="41">
        <v>4.4103378318779218E-5</v>
      </c>
    </row>
    <row r="635" spans="2:5" ht="15" customHeight="1">
      <c r="B635" s="93"/>
      <c r="C635" s="43" t="s">
        <v>132</v>
      </c>
      <c r="D635" s="42">
        <v>1</v>
      </c>
      <c r="E635" s="41">
        <v>4.4103378318779218E-5</v>
      </c>
    </row>
    <row r="636" spans="2:5" ht="15" customHeight="1">
      <c r="B636" s="93"/>
      <c r="C636" s="43" t="s">
        <v>151</v>
      </c>
      <c r="D636" s="42">
        <v>1</v>
      </c>
      <c r="E636" s="41">
        <v>4.4103378318779218E-5</v>
      </c>
    </row>
    <row r="637" spans="2:5" ht="15" customHeight="1">
      <c r="B637" s="93"/>
      <c r="C637" s="43" t="s">
        <v>128</v>
      </c>
      <c r="D637" s="42">
        <v>1</v>
      </c>
      <c r="E637" s="41">
        <v>4.4103378318779218E-5</v>
      </c>
    </row>
    <row r="638" spans="2:5" ht="15" customHeight="1">
      <c r="B638" s="93"/>
      <c r="C638" s="43" t="s">
        <v>172</v>
      </c>
      <c r="D638" s="42">
        <v>17</v>
      </c>
      <c r="E638" s="41">
        <v>7.4975743141924667E-4</v>
      </c>
    </row>
    <row r="639" spans="2:5" ht="15" customHeight="1">
      <c r="B639" s="93"/>
      <c r="C639" s="43" t="s">
        <v>159</v>
      </c>
      <c r="D639" s="42">
        <v>22</v>
      </c>
      <c r="E639" s="41">
        <v>9.7027432301314285E-4</v>
      </c>
    </row>
    <row r="640" spans="2:5" ht="15" customHeight="1">
      <c r="B640" s="93"/>
      <c r="C640" s="43" t="s">
        <v>157</v>
      </c>
      <c r="D640" s="42">
        <v>5</v>
      </c>
      <c r="E640" s="41">
        <v>2.205168915938961E-4</v>
      </c>
    </row>
    <row r="641" spans="2:5" ht="15" customHeight="1">
      <c r="B641" s="93"/>
      <c r="C641" s="43" t="s">
        <v>164</v>
      </c>
      <c r="D641" s="42">
        <v>6</v>
      </c>
      <c r="E641" s="41">
        <v>2.646202699126753E-4</v>
      </c>
    </row>
    <row r="642" spans="2:5" ht="15" customHeight="1">
      <c r="B642" s="93"/>
      <c r="C642" s="43" t="s">
        <v>158</v>
      </c>
      <c r="D642" s="42">
        <v>1</v>
      </c>
      <c r="E642" s="41">
        <v>4.4103378318779218E-5</v>
      </c>
    </row>
    <row r="643" spans="2:5" ht="15" customHeight="1">
      <c r="B643" s="93"/>
      <c r="C643" s="43" t="s">
        <v>153</v>
      </c>
      <c r="D643" s="42">
        <v>2</v>
      </c>
      <c r="E643" s="41">
        <v>8.8206756637558437E-5</v>
      </c>
    </row>
    <row r="644" spans="2:5" ht="15" customHeight="1">
      <c r="B644" s="93"/>
      <c r="C644" s="43" t="s">
        <v>143</v>
      </c>
      <c r="D644" s="42">
        <v>1</v>
      </c>
      <c r="E644" s="41">
        <v>4.4103378318779218E-5</v>
      </c>
    </row>
    <row r="645" spans="2:5" ht="15" customHeight="1">
      <c r="B645" s="93"/>
      <c r="C645" s="43" t="s">
        <v>141</v>
      </c>
      <c r="D645" s="42">
        <v>11</v>
      </c>
      <c r="E645" s="41">
        <v>4.8513716150657142E-4</v>
      </c>
    </row>
    <row r="646" spans="2:5" ht="15" customHeight="1">
      <c r="B646" s="93"/>
      <c r="C646" s="43" t="s">
        <v>118</v>
      </c>
      <c r="D646" s="42">
        <v>1</v>
      </c>
      <c r="E646" s="41">
        <v>4.4103378318779218E-5</v>
      </c>
    </row>
    <row r="647" spans="2:5" ht="15" customHeight="1">
      <c r="B647" s="93"/>
      <c r="C647" s="43" t="s">
        <v>124</v>
      </c>
      <c r="D647" s="42">
        <v>1</v>
      </c>
      <c r="E647" s="41">
        <v>4.4103378318779218E-5</v>
      </c>
    </row>
    <row r="648" spans="2:5" ht="15" customHeight="1">
      <c r="B648" s="93"/>
      <c r="C648" s="43" t="s">
        <v>156</v>
      </c>
      <c r="D648" s="42">
        <v>2</v>
      </c>
      <c r="E648" s="41">
        <v>8.8206756637558437E-5</v>
      </c>
    </row>
    <row r="649" spans="2:5" ht="15" customHeight="1">
      <c r="B649" s="93"/>
      <c r="C649" s="43" t="s">
        <v>125</v>
      </c>
      <c r="D649" s="42">
        <v>1</v>
      </c>
      <c r="E649" s="41">
        <v>4.4103378318779218E-5</v>
      </c>
    </row>
    <row r="650" spans="2:5" ht="15" customHeight="1">
      <c r="B650" s="93"/>
      <c r="C650" s="43" t="s">
        <v>130</v>
      </c>
      <c r="D650" s="42">
        <v>1</v>
      </c>
      <c r="E650" s="41">
        <v>4.4103378318779218E-5</v>
      </c>
    </row>
    <row r="651" spans="2:5" ht="15" customHeight="1">
      <c r="B651" s="93"/>
      <c r="C651" s="43" t="s">
        <v>137</v>
      </c>
      <c r="D651" s="42">
        <v>1</v>
      </c>
      <c r="E651" s="41">
        <v>4.4103378318779218E-5</v>
      </c>
    </row>
    <row r="652" spans="2:5" ht="15" customHeight="1">
      <c r="B652" s="93"/>
      <c r="C652" s="43" t="s">
        <v>161</v>
      </c>
      <c r="D652" s="42">
        <v>3</v>
      </c>
      <c r="E652" s="41">
        <v>1.3231013495633765E-4</v>
      </c>
    </row>
    <row r="653" spans="2:5" ht="15" customHeight="1">
      <c r="B653" s="93"/>
      <c r="C653" s="43" t="s">
        <v>169</v>
      </c>
      <c r="D653" s="42">
        <v>9</v>
      </c>
      <c r="E653" s="41">
        <v>3.9693040486901297E-4</v>
      </c>
    </row>
    <row r="654" spans="2:5" ht="15" customHeight="1">
      <c r="B654" s="93"/>
      <c r="C654" s="43" t="s">
        <v>171</v>
      </c>
      <c r="D654" s="42">
        <v>4</v>
      </c>
      <c r="E654" s="41">
        <v>1.7641351327511687E-4</v>
      </c>
    </row>
    <row r="655" spans="2:5" ht="15" customHeight="1">
      <c r="B655" s="93"/>
      <c r="C655" s="43" t="s">
        <v>160</v>
      </c>
      <c r="D655" s="42">
        <v>4</v>
      </c>
      <c r="E655" s="41">
        <v>1.7641351327511687E-4</v>
      </c>
    </row>
    <row r="656" spans="2:5" ht="15" customHeight="1">
      <c r="B656" s="93"/>
      <c r="C656" s="43" t="s">
        <v>168</v>
      </c>
      <c r="D656" s="42">
        <v>5</v>
      </c>
      <c r="E656" s="41">
        <v>2.205168915938961E-4</v>
      </c>
    </row>
    <row r="657" spans="2:5" ht="15" customHeight="1">
      <c r="B657" s="93"/>
      <c r="C657" s="43" t="s">
        <v>149</v>
      </c>
      <c r="D657" s="42">
        <v>2</v>
      </c>
      <c r="E657" s="41">
        <v>8.8206756637558437E-5</v>
      </c>
    </row>
    <row r="658" spans="2:5" ht="15" customHeight="1">
      <c r="B658" s="93"/>
      <c r="C658" s="43" t="s">
        <v>150</v>
      </c>
      <c r="D658" s="42">
        <v>1</v>
      </c>
      <c r="E658" s="41">
        <v>4.4103378318779218E-5</v>
      </c>
    </row>
    <row r="659" spans="2:5" ht="15" customHeight="1">
      <c r="B659" s="93"/>
      <c r="C659" s="43" t="s">
        <v>138</v>
      </c>
      <c r="D659" s="42">
        <v>1</v>
      </c>
      <c r="E659" s="41">
        <v>4.4103378318779218E-5</v>
      </c>
    </row>
    <row r="660" spans="2:5" ht="15" customHeight="1">
      <c r="B660" s="93"/>
      <c r="C660" s="43" t="s">
        <v>155</v>
      </c>
      <c r="D660" s="42">
        <v>3</v>
      </c>
      <c r="E660" s="41">
        <v>1.3231013495633765E-4</v>
      </c>
    </row>
    <row r="661" spans="2:5" ht="15" customHeight="1">
      <c r="B661" s="93"/>
      <c r="C661" s="43" t="s">
        <v>119</v>
      </c>
      <c r="D661" s="42">
        <v>2</v>
      </c>
      <c r="E661" s="41">
        <v>8.8206756637558437E-5</v>
      </c>
    </row>
    <row r="662" spans="2:5" ht="15" customHeight="1">
      <c r="B662" s="93"/>
      <c r="C662" s="43" t="s">
        <v>170</v>
      </c>
      <c r="D662" s="42">
        <v>10</v>
      </c>
      <c r="E662" s="41">
        <v>4.410337831877922E-4</v>
      </c>
    </row>
    <row r="663" spans="2:5" ht="15" customHeight="1">
      <c r="B663" s="93"/>
      <c r="C663" s="43" t="s">
        <v>123</v>
      </c>
      <c r="D663" s="42">
        <v>1</v>
      </c>
      <c r="E663" s="41">
        <v>4.4103378318779218E-5</v>
      </c>
    </row>
    <row r="664" spans="2:5" ht="15" customHeight="1">
      <c r="B664" s="93"/>
      <c r="C664" s="43" t="s">
        <v>154</v>
      </c>
      <c r="D664" s="42">
        <v>1</v>
      </c>
      <c r="E664" s="41">
        <v>4.4103378318779218E-5</v>
      </c>
    </row>
    <row r="665" spans="2:5" ht="15" customHeight="1">
      <c r="B665" s="93"/>
      <c r="C665" s="43" t="s">
        <v>147</v>
      </c>
      <c r="D665" s="42">
        <v>1</v>
      </c>
      <c r="E665" s="41">
        <v>4.4103378318779218E-5</v>
      </c>
    </row>
    <row r="666" spans="2:5" ht="15" customHeight="1">
      <c r="B666" s="93"/>
      <c r="C666" s="43" t="s">
        <v>146</v>
      </c>
      <c r="D666" s="42">
        <v>1</v>
      </c>
      <c r="E666" s="41">
        <v>4.4103378318779218E-5</v>
      </c>
    </row>
    <row r="667" spans="2:5" ht="15" customHeight="1">
      <c r="B667" s="93"/>
      <c r="C667" s="43" t="s">
        <v>167</v>
      </c>
      <c r="D667" s="42">
        <v>7</v>
      </c>
      <c r="E667" s="41">
        <v>3.0872364823145452E-4</v>
      </c>
    </row>
    <row r="668" spans="2:5" ht="15" customHeight="1">
      <c r="B668" s="93"/>
      <c r="C668" s="43" t="s">
        <v>165</v>
      </c>
      <c r="D668" s="42">
        <v>11</v>
      </c>
      <c r="E668" s="41">
        <v>4.8513716150657142E-4</v>
      </c>
    </row>
    <row r="669" spans="2:5" ht="15" customHeight="1">
      <c r="B669" s="94"/>
      <c r="C669" s="40" t="s">
        <v>20</v>
      </c>
      <c r="D669" s="39">
        <v>142</v>
      </c>
      <c r="E669" s="38">
        <v>6.262679721266649E-3</v>
      </c>
    </row>
    <row r="670" spans="2:5" ht="15" customHeight="1">
      <c r="B670" s="92" t="s">
        <v>32</v>
      </c>
      <c r="C670" s="43" t="s">
        <v>140</v>
      </c>
      <c r="D670" s="42">
        <v>2</v>
      </c>
      <c r="E670" s="41">
        <v>8.8206756637558437E-5</v>
      </c>
    </row>
    <row r="671" spans="2:5" ht="15" customHeight="1">
      <c r="B671" s="93"/>
      <c r="C671" s="43" t="s">
        <v>120</v>
      </c>
      <c r="D671" s="42">
        <v>1</v>
      </c>
      <c r="E671" s="41">
        <v>4.4103378318779218E-5</v>
      </c>
    </row>
    <row r="672" spans="2:5" ht="15" customHeight="1">
      <c r="B672" s="93"/>
      <c r="C672" s="43" t="s">
        <v>117</v>
      </c>
      <c r="D672" s="42">
        <v>1</v>
      </c>
      <c r="E672" s="41">
        <v>4.4103378318779218E-5</v>
      </c>
    </row>
    <row r="673" spans="2:5" ht="15" customHeight="1">
      <c r="B673" s="93"/>
      <c r="C673" s="43" t="s">
        <v>172</v>
      </c>
      <c r="D673" s="42">
        <v>12</v>
      </c>
      <c r="E673" s="41">
        <v>5.2924053982535059E-4</v>
      </c>
    </row>
    <row r="674" spans="2:5" ht="15" customHeight="1">
      <c r="B674" s="93"/>
      <c r="C674" s="43" t="s">
        <v>159</v>
      </c>
      <c r="D674" s="42">
        <v>6</v>
      </c>
      <c r="E674" s="41">
        <v>2.646202699126753E-4</v>
      </c>
    </row>
    <row r="675" spans="2:5" ht="15" customHeight="1">
      <c r="B675" s="93"/>
      <c r="C675" s="43" t="s">
        <v>157</v>
      </c>
      <c r="D675" s="42">
        <v>20</v>
      </c>
      <c r="E675" s="41">
        <v>8.820675663755844E-4</v>
      </c>
    </row>
    <row r="676" spans="2:5" ht="15" customHeight="1">
      <c r="B676" s="93"/>
      <c r="C676" s="43" t="s">
        <v>164</v>
      </c>
      <c r="D676" s="42">
        <v>8</v>
      </c>
      <c r="E676" s="41">
        <v>3.5282702655023375E-4</v>
      </c>
    </row>
    <row r="677" spans="2:5" ht="15" customHeight="1">
      <c r="B677" s="93"/>
      <c r="C677" s="43" t="s">
        <v>136</v>
      </c>
      <c r="D677" s="42">
        <v>1</v>
      </c>
      <c r="E677" s="41">
        <v>4.4103378318779218E-5</v>
      </c>
    </row>
    <row r="678" spans="2:5" ht="15" customHeight="1">
      <c r="B678" s="93"/>
      <c r="C678" s="43" t="s">
        <v>162</v>
      </c>
      <c r="D678" s="42">
        <v>3</v>
      </c>
      <c r="E678" s="41">
        <v>1.3231013495633765E-4</v>
      </c>
    </row>
    <row r="679" spans="2:5" ht="15" customHeight="1">
      <c r="B679" s="93"/>
      <c r="C679" s="43" t="s">
        <v>166</v>
      </c>
      <c r="D679" s="42">
        <v>1</v>
      </c>
      <c r="E679" s="41">
        <v>4.4103378318779218E-5</v>
      </c>
    </row>
    <row r="680" spans="2:5" ht="15" customHeight="1">
      <c r="B680" s="93"/>
      <c r="C680" s="43" t="s">
        <v>163</v>
      </c>
      <c r="D680" s="42">
        <v>1</v>
      </c>
      <c r="E680" s="41">
        <v>4.4103378318779218E-5</v>
      </c>
    </row>
    <row r="681" spans="2:5" ht="15" customHeight="1">
      <c r="B681" s="93"/>
      <c r="C681" s="43" t="s">
        <v>161</v>
      </c>
      <c r="D681" s="42">
        <v>15</v>
      </c>
      <c r="E681" s="41">
        <v>6.6155067478168832E-4</v>
      </c>
    </row>
    <row r="682" spans="2:5" ht="15" customHeight="1">
      <c r="B682" s="93"/>
      <c r="C682" s="43" t="s">
        <v>169</v>
      </c>
      <c r="D682" s="42">
        <v>5</v>
      </c>
      <c r="E682" s="41">
        <v>2.205168915938961E-4</v>
      </c>
    </row>
    <row r="683" spans="2:5" ht="15" customHeight="1">
      <c r="B683" s="93"/>
      <c r="C683" s="43" t="s">
        <v>171</v>
      </c>
      <c r="D683" s="42">
        <v>6</v>
      </c>
      <c r="E683" s="41">
        <v>2.646202699126753E-4</v>
      </c>
    </row>
    <row r="684" spans="2:5" ht="15" customHeight="1">
      <c r="B684" s="93"/>
      <c r="C684" s="43" t="s">
        <v>160</v>
      </c>
      <c r="D684" s="42">
        <v>3</v>
      </c>
      <c r="E684" s="41">
        <v>1.3231013495633765E-4</v>
      </c>
    </row>
    <row r="685" spans="2:5" ht="15" customHeight="1">
      <c r="B685" s="93"/>
      <c r="C685" s="43" t="s">
        <v>168</v>
      </c>
      <c r="D685" s="42">
        <v>8</v>
      </c>
      <c r="E685" s="41">
        <v>3.5282702655023375E-4</v>
      </c>
    </row>
    <row r="686" spans="2:5" ht="15" customHeight="1">
      <c r="B686" s="93"/>
      <c r="C686" s="43" t="s">
        <v>144</v>
      </c>
      <c r="D686" s="42">
        <v>1</v>
      </c>
      <c r="E686" s="41">
        <v>4.4103378318779218E-5</v>
      </c>
    </row>
    <row r="687" spans="2:5" ht="15" customHeight="1">
      <c r="B687" s="93"/>
      <c r="C687" s="43" t="s">
        <v>138</v>
      </c>
      <c r="D687" s="42">
        <v>1</v>
      </c>
      <c r="E687" s="41">
        <v>4.4103378318779218E-5</v>
      </c>
    </row>
    <row r="688" spans="2:5" ht="15" customHeight="1">
      <c r="B688" s="93"/>
      <c r="C688" s="43" t="s">
        <v>170</v>
      </c>
      <c r="D688" s="42">
        <v>1</v>
      </c>
      <c r="E688" s="41">
        <v>4.4103378318779218E-5</v>
      </c>
    </row>
    <row r="689" spans="2:5" ht="15" customHeight="1">
      <c r="B689" s="93"/>
      <c r="C689" s="43" t="s">
        <v>147</v>
      </c>
      <c r="D689" s="42">
        <v>1</v>
      </c>
      <c r="E689" s="41">
        <v>4.4103378318779218E-5</v>
      </c>
    </row>
    <row r="690" spans="2:5" ht="15" customHeight="1">
      <c r="B690" s="93"/>
      <c r="C690" s="43" t="s">
        <v>167</v>
      </c>
      <c r="D690" s="42">
        <v>2</v>
      </c>
      <c r="E690" s="41">
        <v>8.8206756637558437E-5</v>
      </c>
    </row>
    <row r="691" spans="2:5" ht="15" customHeight="1">
      <c r="B691" s="93"/>
      <c r="C691" s="43" t="s">
        <v>165</v>
      </c>
      <c r="D691" s="42">
        <v>7</v>
      </c>
      <c r="E691" s="41">
        <v>3.0872364823145452E-4</v>
      </c>
    </row>
    <row r="692" spans="2:5" ht="15" customHeight="1">
      <c r="B692" s="94"/>
      <c r="C692" s="40" t="s">
        <v>20</v>
      </c>
      <c r="D692" s="39">
        <v>106</v>
      </c>
      <c r="E692" s="38">
        <v>4.6749581017905975E-3</v>
      </c>
    </row>
    <row r="693" spans="2:5" ht="15" customHeight="1">
      <c r="B693" s="92" t="s">
        <v>39</v>
      </c>
      <c r="C693" s="43" t="s">
        <v>172</v>
      </c>
      <c r="D693" s="42">
        <v>1</v>
      </c>
      <c r="E693" s="41">
        <v>4.4103378318779218E-5</v>
      </c>
    </row>
    <row r="694" spans="2:5" ht="15" customHeight="1">
      <c r="B694" s="93"/>
      <c r="C694" s="43" t="s">
        <v>159</v>
      </c>
      <c r="D694" s="42">
        <v>6</v>
      </c>
      <c r="E694" s="41">
        <v>2.646202699126753E-4</v>
      </c>
    </row>
    <row r="695" spans="2:5" ht="15" customHeight="1">
      <c r="B695" s="93"/>
      <c r="C695" s="43" t="s">
        <v>164</v>
      </c>
      <c r="D695" s="42">
        <v>1</v>
      </c>
      <c r="E695" s="41">
        <v>4.4103378318779218E-5</v>
      </c>
    </row>
    <row r="696" spans="2:5" ht="15" customHeight="1">
      <c r="B696" s="93"/>
      <c r="C696" s="43" t="s">
        <v>166</v>
      </c>
      <c r="D696" s="42">
        <v>2</v>
      </c>
      <c r="E696" s="41">
        <v>8.8206756637558437E-5</v>
      </c>
    </row>
    <row r="697" spans="2:5" ht="15" customHeight="1">
      <c r="B697" s="93"/>
      <c r="C697" s="43" t="s">
        <v>158</v>
      </c>
      <c r="D697" s="42">
        <v>2</v>
      </c>
      <c r="E697" s="41">
        <v>8.8206756637558437E-5</v>
      </c>
    </row>
    <row r="698" spans="2:5" ht="15" customHeight="1">
      <c r="B698" s="93"/>
      <c r="C698" s="43" t="s">
        <v>153</v>
      </c>
      <c r="D698" s="42">
        <v>1</v>
      </c>
      <c r="E698" s="41">
        <v>4.4103378318779218E-5</v>
      </c>
    </row>
    <row r="699" spans="2:5" ht="15" customHeight="1">
      <c r="B699" s="93"/>
      <c r="C699" s="43" t="s">
        <v>141</v>
      </c>
      <c r="D699" s="42">
        <v>1</v>
      </c>
      <c r="E699" s="41">
        <v>4.4103378318779218E-5</v>
      </c>
    </row>
    <row r="700" spans="2:5" ht="15" customHeight="1">
      <c r="B700" s="93"/>
      <c r="C700" s="43" t="s">
        <v>156</v>
      </c>
      <c r="D700" s="42">
        <v>2</v>
      </c>
      <c r="E700" s="41">
        <v>8.8206756637558437E-5</v>
      </c>
    </row>
    <row r="701" spans="2:5" ht="15" customHeight="1">
      <c r="B701" s="93"/>
      <c r="C701" s="43" t="s">
        <v>130</v>
      </c>
      <c r="D701" s="42">
        <v>3</v>
      </c>
      <c r="E701" s="41">
        <v>1.3231013495633765E-4</v>
      </c>
    </row>
    <row r="702" spans="2:5" ht="15" customHeight="1">
      <c r="B702" s="93"/>
      <c r="C702" s="43" t="s">
        <v>163</v>
      </c>
      <c r="D702" s="42">
        <v>1</v>
      </c>
      <c r="E702" s="41">
        <v>4.4103378318779218E-5</v>
      </c>
    </row>
    <row r="703" spans="2:5" ht="15" customHeight="1">
      <c r="B703" s="93"/>
      <c r="C703" s="43" t="s">
        <v>137</v>
      </c>
      <c r="D703" s="42">
        <v>4</v>
      </c>
      <c r="E703" s="41">
        <v>1.7641351327511687E-4</v>
      </c>
    </row>
    <row r="704" spans="2:5" ht="15" customHeight="1">
      <c r="B704" s="93"/>
      <c r="C704" s="43" t="s">
        <v>161</v>
      </c>
      <c r="D704" s="42">
        <v>3</v>
      </c>
      <c r="E704" s="41">
        <v>1.3231013495633765E-4</v>
      </c>
    </row>
    <row r="705" spans="2:5" ht="15" customHeight="1">
      <c r="B705" s="93"/>
      <c r="C705" s="43" t="s">
        <v>169</v>
      </c>
      <c r="D705" s="42">
        <v>1</v>
      </c>
      <c r="E705" s="41">
        <v>4.4103378318779218E-5</v>
      </c>
    </row>
    <row r="706" spans="2:5" ht="15" customHeight="1">
      <c r="B706" s="93"/>
      <c r="C706" s="43" t="s">
        <v>171</v>
      </c>
      <c r="D706" s="42">
        <v>3</v>
      </c>
      <c r="E706" s="41">
        <v>1.3231013495633765E-4</v>
      </c>
    </row>
    <row r="707" spans="2:5" ht="15" customHeight="1">
      <c r="B707" s="93"/>
      <c r="C707" s="43" t="s">
        <v>160</v>
      </c>
      <c r="D707" s="42">
        <v>1</v>
      </c>
      <c r="E707" s="41">
        <v>4.4103378318779218E-5</v>
      </c>
    </row>
    <row r="708" spans="2:5" ht="15" customHeight="1">
      <c r="B708" s="93"/>
      <c r="C708" s="43" t="s">
        <v>168</v>
      </c>
      <c r="D708" s="42">
        <v>10</v>
      </c>
      <c r="E708" s="41">
        <v>4.410337831877922E-4</v>
      </c>
    </row>
    <row r="709" spans="2:5" ht="15" customHeight="1">
      <c r="B709" s="93"/>
      <c r="C709" s="43" t="s">
        <v>144</v>
      </c>
      <c r="D709" s="42">
        <v>1</v>
      </c>
      <c r="E709" s="41">
        <v>4.4103378318779218E-5</v>
      </c>
    </row>
    <row r="710" spans="2:5" ht="15" customHeight="1">
      <c r="B710" s="93"/>
      <c r="C710" s="43" t="s">
        <v>155</v>
      </c>
      <c r="D710" s="42">
        <v>2</v>
      </c>
      <c r="E710" s="41">
        <v>8.8206756637558437E-5</v>
      </c>
    </row>
    <row r="711" spans="2:5" ht="15" customHeight="1">
      <c r="B711" s="93"/>
      <c r="C711" s="43" t="s">
        <v>154</v>
      </c>
      <c r="D711" s="42">
        <v>2</v>
      </c>
      <c r="E711" s="41">
        <v>8.8206756637558437E-5</v>
      </c>
    </row>
    <row r="712" spans="2:5" ht="15" customHeight="1">
      <c r="B712" s="93"/>
      <c r="C712" s="43" t="s">
        <v>167</v>
      </c>
      <c r="D712" s="42">
        <v>3</v>
      </c>
      <c r="E712" s="41">
        <v>1.3231013495633765E-4</v>
      </c>
    </row>
    <row r="713" spans="2:5" ht="15" customHeight="1">
      <c r="B713" s="93"/>
      <c r="C713" s="43" t="s">
        <v>165</v>
      </c>
      <c r="D713" s="42">
        <v>8</v>
      </c>
      <c r="E713" s="41">
        <v>3.5282702655023375E-4</v>
      </c>
    </row>
    <row r="714" spans="2:5" ht="15" customHeight="1">
      <c r="B714" s="94"/>
      <c r="C714" s="40" t="s">
        <v>20</v>
      </c>
      <c r="D714" s="39">
        <v>58</v>
      </c>
      <c r="E714" s="38">
        <v>2.5579959424891947E-3</v>
      </c>
    </row>
    <row r="715" spans="2:5" ht="15" customHeight="1">
      <c r="B715" s="92" t="s">
        <v>251</v>
      </c>
      <c r="C715" s="43" t="s">
        <v>151</v>
      </c>
      <c r="D715" s="42">
        <v>2</v>
      </c>
      <c r="E715" s="41">
        <v>8.8206756637558437E-5</v>
      </c>
    </row>
    <row r="716" spans="2:5" ht="15" customHeight="1">
      <c r="B716" s="93"/>
      <c r="C716" s="43" t="s">
        <v>158</v>
      </c>
      <c r="D716" s="42">
        <v>3</v>
      </c>
      <c r="E716" s="41">
        <v>1.3231013495633765E-4</v>
      </c>
    </row>
    <row r="717" spans="2:5" ht="15" customHeight="1">
      <c r="B717" s="93"/>
      <c r="C717" s="43" t="s">
        <v>155</v>
      </c>
      <c r="D717" s="42">
        <v>1</v>
      </c>
      <c r="E717" s="41">
        <v>4.4103378318779218E-5</v>
      </c>
    </row>
    <row r="718" spans="2:5" ht="15" customHeight="1">
      <c r="B718" s="93"/>
      <c r="C718" s="43" t="s">
        <v>165</v>
      </c>
      <c r="D718" s="42">
        <v>1</v>
      </c>
      <c r="E718" s="41">
        <v>4.4103378318779218E-5</v>
      </c>
    </row>
    <row r="719" spans="2:5" ht="15" customHeight="1">
      <c r="B719" s="94"/>
      <c r="C719" s="40" t="s">
        <v>20</v>
      </c>
      <c r="D719" s="39">
        <v>7</v>
      </c>
      <c r="E719" s="38">
        <v>3.0872364823145452E-4</v>
      </c>
    </row>
    <row r="720" spans="2:5" ht="15" customHeight="1">
      <c r="B720" s="92" t="s">
        <v>37</v>
      </c>
      <c r="C720" s="43" t="s">
        <v>135</v>
      </c>
      <c r="D720" s="42">
        <v>1</v>
      </c>
      <c r="E720" s="41">
        <v>4.4103378318779218E-5</v>
      </c>
    </row>
    <row r="721" spans="2:5" ht="15" customHeight="1">
      <c r="B721" s="93"/>
      <c r="C721" s="43" t="s">
        <v>120</v>
      </c>
      <c r="D721" s="42">
        <v>1</v>
      </c>
      <c r="E721" s="41">
        <v>4.4103378318779218E-5</v>
      </c>
    </row>
    <row r="722" spans="2:5" ht="15" customHeight="1">
      <c r="B722" s="93"/>
      <c r="C722" s="43" t="s">
        <v>151</v>
      </c>
      <c r="D722" s="42">
        <v>2</v>
      </c>
      <c r="E722" s="41">
        <v>8.8206756637558437E-5</v>
      </c>
    </row>
    <row r="723" spans="2:5" ht="15" customHeight="1">
      <c r="B723" s="93"/>
      <c r="C723" s="43" t="s">
        <v>134</v>
      </c>
      <c r="D723" s="42">
        <v>1</v>
      </c>
      <c r="E723" s="41">
        <v>4.4103378318779218E-5</v>
      </c>
    </row>
    <row r="724" spans="2:5" ht="15" customHeight="1">
      <c r="B724" s="93"/>
      <c r="C724" s="43" t="s">
        <v>172</v>
      </c>
      <c r="D724" s="42">
        <v>6</v>
      </c>
      <c r="E724" s="41">
        <v>2.646202699126753E-4</v>
      </c>
    </row>
    <row r="725" spans="2:5" ht="15" customHeight="1">
      <c r="B725" s="93"/>
      <c r="C725" s="43" t="s">
        <v>139</v>
      </c>
      <c r="D725" s="42">
        <v>1</v>
      </c>
      <c r="E725" s="41">
        <v>4.4103378318779218E-5</v>
      </c>
    </row>
    <row r="726" spans="2:5" ht="15" customHeight="1">
      <c r="B726" s="93"/>
      <c r="C726" s="43" t="s">
        <v>159</v>
      </c>
      <c r="D726" s="42">
        <v>5</v>
      </c>
      <c r="E726" s="41">
        <v>2.205168915938961E-4</v>
      </c>
    </row>
    <row r="727" spans="2:5" ht="15" customHeight="1">
      <c r="B727" s="93"/>
      <c r="C727" s="43" t="s">
        <v>157</v>
      </c>
      <c r="D727" s="42">
        <v>11</v>
      </c>
      <c r="E727" s="41">
        <v>4.8513716150657142E-4</v>
      </c>
    </row>
    <row r="728" spans="2:5" ht="15" customHeight="1">
      <c r="B728" s="93"/>
      <c r="C728" s="43" t="s">
        <v>164</v>
      </c>
      <c r="D728" s="42">
        <v>2</v>
      </c>
      <c r="E728" s="41">
        <v>8.8206756637558437E-5</v>
      </c>
    </row>
    <row r="729" spans="2:5" ht="15" customHeight="1">
      <c r="B729" s="93"/>
      <c r="C729" s="43" t="s">
        <v>162</v>
      </c>
      <c r="D729" s="42">
        <v>6</v>
      </c>
      <c r="E729" s="41">
        <v>2.646202699126753E-4</v>
      </c>
    </row>
    <row r="730" spans="2:5" ht="15" customHeight="1">
      <c r="B730" s="93"/>
      <c r="C730" s="43" t="s">
        <v>166</v>
      </c>
      <c r="D730" s="42">
        <v>2</v>
      </c>
      <c r="E730" s="41">
        <v>8.8206756637558437E-5</v>
      </c>
    </row>
    <row r="731" spans="2:5" ht="15" customHeight="1">
      <c r="B731" s="93"/>
      <c r="C731" s="43" t="s">
        <v>142</v>
      </c>
      <c r="D731" s="42">
        <v>1</v>
      </c>
      <c r="E731" s="41">
        <v>4.4103378318779218E-5</v>
      </c>
    </row>
    <row r="732" spans="2:5" ht="15" customHeight="1">
      <c r="B732" s="93"/>
      <c r="C732" s="43" t="s">
        <v>158</v>
      </c>
      <c r="D732" s="42">
        <v>4</v>
      </c>
      <c r="E732" s="41">
        <v>1.7641351327511687E-4</v>
      </c>
    </row>
    <row r="733" spans="2:5" ht="15" customHeight="1">
      <c r="B733" s="93"/>
      <c r="C733" s="43" t="s">
        <v>153</v>
      </c>
      <c r="D733" s="42">
        <v>2</v>
      </c>
      <c r="E733" s="41">
        <v>8.8206756637558437E-5</v>
      </c>
    </row>
    <row r="734" spans="2:5" ht="15" customHeight="1">
      <c r="B734" s="93"/>
      <c r="C734" s="43" t="s">
        <v>143</v>
      </c>
      <c r="D734" s="42">
        <v>4</v>
      </c>
      <c r="E734" s="41">
        <v>1.7641351327511687E-4</v>
      </c>
    </row>
    <row r="735" spans="2:5" ht="15" customHeight="1">
      <c r="B735" s="93"/>
      <c r="C735" s="43" t="s">
        <v>141</v>
      </c>
      <c r="D735" s="42">
        <v>1</v>
      </c>
      <c r="E735" s="41">
        <v>4.4103378318779218E-5</v>
      </c>
    </row>
    <row r="736" spans="2:5" ht="15" customHeight="1">
      <c r="B736" s="93"/>
      <c r="C736" s="43" t="s">
        <v>156</v>
      </c>
      <c r="D736" s="42">
        <v>5</v>
      </c>
      <c r="E736" s="41">
        <v>2.205168915938961E-4</v>
      </c>
    </row>
    <row r="737" spans="2:5" ht="15" customHeight="1">
      <c r="B737" s="93"/>
      <c r="C737" s="43" t="s">
        <v>125</v>
      </c>
      <c r="D737" s="42">
        <v>1</v>
      </c>
      <c r="E737" s="41">
        <v>4.4103378318779218E-5</v>
      </c>
    </row>
    <row r="738" spans="2:5" ht="15" customHeight="1">
      <c r="B738" s="93"/>
      <c r="C738" s="43" t="s">
        <v>163</v>
      </c>
      <c r="D738" s="42">
        <v>2</v>
      </c>
      <c r="E738" s="41">
        <v>8.8206756637558437E-5</v>
      </c>
    </row>
    <row r="739" spans="2:5" ht="15" customHeight="1">
      <c r="B739" s="93"/>
      <c r="C739" s="43" t="s">
        <v>137</v>
      </c>
      <c r="D739" s="42">
        <v>1</v>
      </c>
      <c r="E739" s="41">
        <v>4.4103378318779218E-5</v>
      </c>
    </row>
    <row r="740" spans="2:5" ht="15" customHeight="1">
      <c r="B740" s="93"/>
      <c r="C740" s="43" t="s">
        <v>161</v>
      </c>
      <c r="D740" s="42">
        <v>4</v>
      </c>
      <c r="E740" s="41">
        <v>1.7641351327511687E-4</v>
      </c>
    </row>
    <row r="741" spans="2:5" ht="15" customHeight="1">
      <c r="B741" s="93"/>
      <c r="C741" s="43" t="s">
        <v>127</v>
      </c>
      <c r="D741" s="42">
        <v>1</v>
      </c>
      <c r="E741" s="41">
        <v>4.4103378318779218E-5</v>
      </c>
    </row>
    <row r="742" spans="2:5" ht="15" customHeight="1">
      <c r="B742" s="93"/>
      <c r="C742" s="43" t="s">
        <v>169</v>
      </c>
      <c r="D742" s="42">
        <v>2</v>
      </c>
      <c r="E742" s="41">
        <v>8.8206756637558437E-5</v>
      </c>
    </row>
    <row r="743" spans="2:5" ht="15" customHeight="1">
      <c r="B743" s="93"/>
      <c r="C743" s="43" t="s">
        <v>171</v>
      </c>
      <c r="D743" s="42">
        <v>4</v>
      </c>
      <c r="E743" s="41">
        <v>1.7641351327511687E-4</v>
      </c>
    </row>
    <row r="744" spans="2:5" ht="15" customHeight="1">
      <c r="B744" s="93"/>
      <c r="C744" s="43" t="s">
        <v>160</v>
      </c>
      <c r="D744" s="42">
        <v>4</v>
      </c>
      <c r="E744" s="41">
        <v>1.7641351327511687E-4</v>
      </c>
    </row>
    <row r="745" spans="2:5" ht="15" customHeight="1">
      <c r="B745" s="93"/>
      <c r="C745" s="43" t="s">
        <v>168</v>
      </c>
      <c r="D745" s="42">
        <v>16</v>
      </c>
      <c r="E745" s="41">
        <v>7.0565405310046749E-4</v>
      </c>
    </row>
    <row r="746" spans="2:5" ht="15" customHeight="1">
      <c r="B746" s="93"/>
      <c r="C746" s="43" t="s">
        <v>149</v>
      </c>
      <c r="D746" s="42">
        <v>3</v>
      </c>
      <c r="E746" s="41">
        <v>1.3231013495633765E-4</v>
      </c>
    </row>
    <row r="747" spans="2:5" ht="15" customHeight="1">
      <c r="B747" s="93"/>
      <c r="C747" s="43" t="s">
        <v>150</v>
      </c>
      <c r="D747" s="42">
        <v>1</v>
      </c>
      <c r="E747" s="41">
        <v>4.4103378318779218E-5</v>
      </c>
    </row>
    <row r="748" spans="2:5" ht="15" customHeight="1">
      <c r="B748" s="93"/>
      <c r="C748" s="43" t="s">
        <v>155</v>
      </c>
      <c r="D748" s="42">
        <v>1</v>
      </c>
      <c r="E748" s="41">
        <v>4.4103378318779218E-5</v>
      </c>
    </row>
    <row r="749" spans="2:5" ht="15" customHeight="1">
      <c r="B749" s="93"/>
      <c r="C749" s="43" t="s">
        <v>170</v>
      </c>
      <c r="D749" s="42">
        <v>12</v>
      </c>
      <c r="E749" s="41">
        <v>5.2924053982535059E-4</v>
      </c>
    </row>
    <row r="750" spans="2:5" ht="15" customHeight="1">
      <c r="B750" s="93"/>
      <c r="C750" s="43" t="s">
        <v>123</v>
      </c>
      <c r="D750" s="42">
        <v>1</v>
      </c>
      <c r="E750" s="41">
        <v>4.4103378318779218E-5</v>
      </c>
    </row>
    <row r="751" spans="2:5" ht="15" customHeight="1">
      <c r="B751" s="93"/>
      <c r="C751" s="43" t="s">
        <v>154</v>
      </c>
      <c r="D751" s="42">
        <v>4</v>
      </c>
      <c r="E751" s="41">
        <v>1.7641351327511687E-4</v>
      </c>
    </row>
    <row r="752" spans="2:5" ht="15" customHeight="1">
      <c r="B752" s="93"/>
      <c r="C752" s="43" t="s">
        <v>147</v>
      </c>
      <c r="D752" s="42">
        <v>1</v>
      </c>
      <c r="E752" s="41">
        <v>4.4103378318779218E-5</v>
      </c>
    </row>
    <row r="753" spans="2:5" ht="15" customHeight="1">
      <c r="B753" s="93"/>
      <c r="C753" s="43" t="s">
        <v>146</v>
      </c>
      <c r="D753" s="42">
        <v>1</v>
      </c>
      <c r="E753" s="41">
        <v>4.4103378318779218E-5</v>
      </c>
    </row>
    <row r="754" spans="2:5" ht="15" customHeight="1">
      <c r="B754" s="93"/>
      <c r="C754" s="43" t="s">
        <v>167</v>
      </c>
      <c r="D754" s="42">
        <v>1</v>
      </c>
      <c r="E754" s="41">
        <v>4.4103378318779218E-5</v>
      </c>
    </row>
    <row r="755" spans="2:5" ht="15" customHeight="1">
      <c r="B755" s="93"/>
      <c r="C755" s="43" t="s">
        <v>165</v>
      </c>
      <c r="D755" s="42">
        <v>5</v>
      </c>
      <c r="E755" s="41">
        <v>2.205168915938961E-4</v>
      </c>
    </row>
    <row r="756" spans="2:5" ht="15" customHeight="1">
      <c r="B756" s="94"/>
      <c r="C756" s="40" t="s">
        <v>20</v>
      </c>
      <c r="D756" s="39">
        <v>120</v>
      </c>
      <c r="E756" s="38">
        <v>5.2924053982535066E-3</v>
      </c>
    </row>
    <row r="757" spans="2:5" ht="15" customHeight="1">
      <c r="B757" s="92" t="s">
        <v>58</v>
      </c>
      <c r="C757" s="43" t="s">
        <v>140</v>
      </c>
      <c r="D757" s="42">
        <v>13</v>
      </c>
      <c r="E757" s="41">
        <v>5.7334391814412987E-4</v>
      </c>
    </row>
    <row r="758" spans="2:5" ht="15" customHeight="1">
      <c r="B758" s="93"/>
      <c r="C758" s="43" t="s">
        <v>132</v>
      </c>
      <c r="D758" s="42">
        <v>1</v>
      </c>
      <c r="E758" s="41">
        <v>4.4103378318779218E-5</v>
      </c>
    </row>
    <row r="759" spans="2:5" ht="15" customHeight="1">
      <c r="B759" s="93"/>
      <c r="C759" s="43" t="s">
        <v>135</v>
      </c>
      <c r="D759" s="42">
        <v>3</v>
      </c>
      <c r="E759" s="41">
        <v>1.3231013495633765E-4</v>
      </c>
    </row>
    <row r="760" spans="2:5" ht="15" customHeight="1">
      <c r="B760" s="93"/>
      <c r="C760" s="43" t="s">
        <v>129</v>
      </c>
      <c r="D760" s="42">
        <v>5</v>
      </c>
      <c r="E760" s="41">
        <v>2.205168915938961E-4</v>
      </c>
    </row>
    <row r="761" spans="2:5" ht="15" customHeight="1">
      <c r="B761" s="93"/>
      <c r="C761" s="43" t="s">
        <v>145</v>
      </c>
      <c r="D761" s="42">
        <v>5</v>
      </c>
      <c r="E761" s="41">
        <v>2.205168915938961E-4</v>
      </c>
    </row>
    <row r="762" spans="2:5" ht="15" customHeight="1">
      <c r="B762" s="93"/>
      <c r="C762" s="43" t="s">
        <v>128</v>
      </c>
      <c r="D762" s="42">
        <v>7</v>
      </c>
      <c r="E762" s="41">
        <v>3.0872364823145452E-4</v>
      </c>
    </row>
    <row r="763" spans="2:5" ht="15" customHeight="1">
      <c r="B763" s="93"/>
      <c r="C763" s="43" t="s">
        <v>134</v>
      </c>
      <c r="D763" s="42">
        <v>24</v>
      </c>
      <c r="E763" s="41">
        <v>1.0584810796507012E-3</v>
      </c>
    </row>
    <row r="764" spans="2:5" ht="15" customHeight="1">
      <c r="B764" s="93"/>
      <c r="C764" s="43" t="s">
        <v>121</v>
      </c>
      <c r="D764" s="42">
        <v>1</v>
      </c>
      <c r="E764" s="41">
        <v>4.4103378318779218E-5</v>
      </c>
    </row>
    <row r="765" spans="2:5" ht="15" customHeight="1">
      <c r="B765" s="93"/>
      <c r="C765" s="43" t="s">
        <v>172</v>
      </c>
      <c r="D765" s="42">
        <v>32</v>
      </c>
      <c r="E765" s="41">
        <v>1.411308106200935E-3</v>
      </c>
    </row>
    <row r="766" spans="2:5" ht="15" customHeight="1">
      <c r="B766" s="93"/>
      <c r="C766" s="43" t="s">
        <v>139</v>
      </c>
      <c r="D766" s="42">
        <v>5</v>
      </c>
      <c r="E766" s="41">
        <v>2.205168915938961E-4</v>
      </c>
    </row>
    <row r="767" spans="2:5" ht="15" customHeight="1">
      <c r="B767" s="93"/>
      <c r="C767" s="43" t="s">
        <v>122</v>
      </c>
      <c r="D767" s="42">
        <v>1</v>
      </c>
      <c r="E767" s="41">
        <v>4.4103378318779218E-5</v>
      </c>
    </row>
    <row r="768" spans="2:5" ht="15" customHeight="1">
      <c r="B768" s="93"/>
      <c r="C768" s="43" t="s">
        <v>159</v>
      </c>
      <c r="D768" s="42">
        <v>2</v>
      </c>
      <c r="E768" s="41">
        <v>8.8206756637558437E-5</v>
      </c>
    </row>
    <row r="769" spans="2:5" ht="15" customHeight="1">
      <c r="B769" s="93"/>
      <c r="C769" s="43" t="s">
        <v>157</v>
      </c>
      <c r="D769" s="42">
        <v>4</v>
      </c>
      <c r="E769" s="41">
        <v>1.7641351327511687E-4</v>
      </c>
    </row>
    <row r="770" spans="2:5" ht="15" customHeight="1">
      <c r="B770" s="93"/>
      <c r="C770" s="43" t="s">
        <v>164</v>
      </c>
      <c r="D770" s="42">
        <v>17</v>
      </c>
      <c r="E770" s="41">
        <v>7.4975743141924667E-4</v>
      </c>
    </row>
    <row r="771" spans="2:5" ht="15" customHeight="1">
      <c r="B771" s="93"/>
      <c r="C771" s="43" t="s">
        <v>136</v>
      </c>
      <c r="D771" s="42">
        <v>3</v>
      </c>
      <c r="E771" s="41">
        <v>1.3231013495633765E-4</v>
      </c>
    </row>
    <row r="772" spans="2:5" ht="15" customHeight="1">
      <c r="B772" s="93"/>
      <c r="C772" s="43" t="s">
        <v>162</v>
      </c>
      <c r="D772" s="42">
        <v>11</v>
      </c>
      <c r="E772" s="41">
        <v>4.8513716150657142E-4</v>
      </c>
    </row>
    <row r="773" spans="2:5" ht="15" customHeight="1">
      <c r="B773" s="93"/>
      <c r="C773" s="43" t="s">
        <v>166</v>
      </c>
      <c r="D773" s="42">
        <v>24</v>
      </c>
      <c r="E773" s="41">
        <v>1.0584810796507012E-3</v>
      </c>
    </row>
    <row r="774" spans="2:5" ht="15" customHeight="1">
      <c r="B774" s="93"/>
      <c r="C774" s="43" t="s">
        <v>142</v>
      </c>
      <c r="D774" s="42">
        <v>2</v>
      </c>
      <c r="E774" s="41">
        <v>8.8206756637558437E-5</v>
      </c>
    </row>
    <row r="775" spans="2:5" ht="15" customHeight="1">
      <c r="B775" s="93"/>
      <c r="C775" s="43" t="s">
        <v>158</v>
      </c>
      <c r="D775" s="42">
        <v>2</v>
      </c>
      <c r="E775" s="41">
        <v>8.8206756637558437E-5</v>
      </c>
    </row>
    <row r="776" spans="2:5" ht="15" customHeight="1">
      <c r="B776" s="93"/>
      <c r="C776" s="43" t="s">
        <v>148</v>
      </c>
      <c r="D776" s="42">
        <v>31</v>
      </c>
      <c r="E776" s="41">
        <v>1.3672047278821557E-3</v>
      </c>
    </row>
    <row r="777" spans="2:5" ht="15" customHeight="1">
      <c r="B777" s="93"/>
      <c r="C777" s="43" t="s">
        <v>153</v>
      </c>
      <c r="D777" s="42">
        <v>5</v>
      </c>
      <c r="E777" s="41">
        <v>2.205168915938961E-4</v>
      </c>
    </row>
    <row r="778" spans="2:5" ht="15" customHeight="1">
      <c r="B778" s="93"/>
      <c r="C778" s="43" t="s">
        <v>143</v>
      </c>
      <c r="D778" s="42">
        <v>29</v>
      </c>
      <c r="E778" s="41">
        <v>1.2789979712445974E-3</v>
      </c>
    </row>
    <row r="779" spans="2:5" ht="15" customHeight="1">
      <c r="B779" s="93"/>
      <c r="C779" s="43" t="s">
        <v>141</v>
      </c>
      <c r="D779" s="42">
        <v>3</v>
      </c>
      <c r="E779" s="41">
        <v>1.3231013495633765E-4</v>
      </c>
    </row>
    <row r="780" spans="2:5" ht="15" customHeight="1">
      <c r="B780" s="93"/>
      <c r="C780" s="43" t="s">
        <v>124</v>
      </c>
      <c r="D780" s="42">
        <v>7</v>
      </c>
      <c r="E780" s="41">
        <v>3.0872364823145452E-4</v>
      </c>
    </row>
    <row r="781" spans="2:5" ht="15" customHeight="1">
      <c r="B781" s="93"/>
      <c r="C781" s="43" t="s">
        <v>125</v>
      </c>
      <c r="D781" s="42">
        <v>3</v>
      </c>
      <c r="E781" s="41">
        <v>1.3231013495633765E-4</v>
      </c>
    </row>
    <row r="782" spans="2:5" ht="15" customHeight="1">
      <c r="B782" s="93"/>
      <c r="C782" s="43" t="s">
        <v>152</v>
      </c>
      <c r="D782" s="42">
        <v>6</v>
      </c>
      <c r="E782" s="41">
        <v>2.646202699126753E-4</v>
      </c>
    </row>
    <row r="783" spans="2:5" ht="15" customHeight="1">
      <c r="B783" s="93"/>
      <c r="C783" s="43" t="s">
        <v>130</v>
      </c>
      <c r="D783" s="42">
        <v>6</v>
      </c>
      <c r="E783" s="41">
        <v>2.646202699126753E-4</v>
      </c>
    </row>
    <row r="784" spans="2:5" ht="15" customHeight="1">
      <c r="B784" s="93"/>
      <c r="C784" s="43" t="s">
        <v>133</v>
      </c>
      <c r="D784" s="42">
        <v>2</v>
      </c>
      <c r="E784" s="41">
        <v>8.8206756637558437E-5</v>
      </c>
    </row>
    <row r="785" spans="2:5" ht="15" customHeight="1">
      <c r="B785" s="93"/>
      <c r="C785" s="43" t="s">
        <v>163</v>
      </c>
      <c r="D785" s="42">
        <v>33</v>
      </c>
      <c r="E785" s="41">
        <v>1.4554114845197143E-3</v>
      </c>
    </row>
    <row r="786" spans="2:5" ht="15" customHeight="1">
      <c r="B786" s="93"/>
      <c r="C786" s="43" t="s">
        <v>137</v>
      </c>
      <c r="D786" s="42">
        <v>1</v>
      </c>
      <c r="E786" s="41">
        <v>4.4103378318779218E-5</v>
      </c>
    </row>
    <row r="787" spans="2:5" ht="15" customHeight="1">
      <c r="B787" s="93"/>
      <c r="C787" s="43" t="s">
        <v>161</v>
      </c>
      <c r="D787" s="42">
        <v>21</v>
      </c>
      <c r="E787" s="41">
        <v>9.2617094469436357E-4</v>
      </c>
    </row>
    <row r="788" spans="2:5" ht="15" customHeight="1">
      <c r="B788" s="93"/>
      <c r="C788" s="43" t="s">
        <v>127</v>
      </c>
      <c r="D788" s="42">
        <v>1</v>
      </c>
      <c r="E788" s="41">
        <v>4.4103378318779218E-5</v>
      </c>
    </row>
    <row r="789" spans="2:5" ht="15" customHeight="1">
      <c r="B789" s="93"/>
      <c r="C789" s="43" t="s">
        <v>169</v>
      </c>
      <c r="D789" s="42">
        <v>5</v>
      </c>
      <c r="E789" s="41">
        <v>2.205168915938961E-4</v>
      </c>
    </row>
    <row r="790" spans="2:5" ht="15" customHeight="1">
      <c r="B790" s="93"/>
      <c r="C790" s="43" t="s">
        <v>171</v>
      </c>
      <c r="D790" s="42">
        <v>4</v>
      </c>
      <c r="E790" s="41">
        <v>1.7641351327511687E-4</v>
      </c>
    </row>
    <row r="791" spans="2:5" ht="15" customHeight="1">
      <c r="B791" s="93"/>
      <c r="C791" s="43" t="s">
        <v>168</v>
      </c>
      <c r="D791" s="42">
        <v>12</v>
      </c>
      <c r="E791" s="41">
        <v>5.2924053982535059E-4</v>
      </c>
    </row>
    <row r="792" spans="2:5" ht="15" customHeight="1">
      <c r="B792" s="93"/>
      <c r="C792" s="43" t="s">
        <v>126</v>
      </c>
      <c r="D792" s="42">
        <v>1</v>
      </c>
      <c r="E792" s="41">
        <v>4.4103378318779218E-5</v>
      </c>
    </row>
    <row r="793" spans="2:5" ht="15" customHeight="1">
      <c r="B793" s="93"/>
      <c r="C793" s="43" t="s">
        <v>149</v>
      </c>
      <c r="D793" s="42">
        <v>7</v>
      </c>
      <c r="E793" s="41">
        <v>3.0872364823145452E-4</v>
      </c>
    </row>
    <row r="794" spans="2:5" ht="15" customHeight="1">
      <c r="B794" s="93"/>
      <c r="C794" s="43" t="s">
        <v>144</v>
      </c>
      <c r="D794" s="42">
        <v>11</v>
      </c>
      <c r="E794" s="41">
        <v>4.8513716150657142E-4</v>
      </c>
    </row>
    <row r="795" spans="2:5" ht="15" customHeight="1">
      <c r="B795" s="93"/>
      <c r="C795" s="43" t="s">
        <v>150</v>
      </c>
      <c r="D795" s="42">
        <v>10</v>
      </c>
      <c r="E795" s="41">
        <v>4.410337831877922E-4</v>
      </c>
    </row>
    <row r="796" spans="2:5" ht="15" customHeight="1">
      <c r="B796" s="93"/>
      <c r="C796" s="43" t="s">
        <v>138</v>
      </c>
      <c r="D796" s="42">
        <v>10</v>
      </c>
      <c r="E796" s="41">
        <v>4.410337831877922E-4</v>
      </c>
    </row>
    <row r="797" spans="2:5" ht="15" customHeight="1">
      <c r="B797" s="93"/>
      <c r="C797" s="43" t="s">
        <v>155</v>
      </c>
      <c r="D797" s="42">
        <v>3</v>
      </c>
      <c r="E797" s="41">
        <v>1.3231013495633765E-4</v>
      </c>
    </row>
    <row r="798" spans="2:5" ht="15" customHeight="1">
      <c r="B798" s="93"/>
      <c r="C798" s="43" t="s">
        <v>119</v>
      </c>
      <c r="D798" s="42">
        <v>3</v>
      </c>
      <c r="E798" s="41">
        <v>1.3231013495633765E-4</v>
      </c>
    </row>
    <row r="799" spans="2:5" ht="15" customHeight="1">
      <c r="B799" s="93"/>
      <c r="C799" s="43" t="s">
        <v>170</v>
      </c>
      <c r="D799" s="42">
        <v>26</v>
      </c>
      <c r="E799" s="41">
        <v>1.1466878362882597E-3</v>
      </c>
    </row>
    <row r="800" spans="2:5" ht="15" customHeight="1">
      <c r="B800" s="93"/>
      <c r="C800" s="43" t="s">
        <v>123</v>
      </c>
      <c r="D800" s="42">
        <v>3</v>
      </c>
      <c r="E800" s="41">
        <v>1.3231013495633765E-4</v>
      </c>
    </row>
    <row r="801" spans="2:5" ht="15" customHeight="1">
      <c r="B801" s="93"/>
      <c r="C801" s="43" t="s">
        <v>154</v>
      </c>
      <c r="D801" s="42">
        <v>29</v>
      </c>
      <c r="E801" s="41">
        <v>1.2789979712445974E-3</v>
      </c>
    </row>
    <row r="802" spans="2:5" ht="15" customHeight="1">
      <c r="B802" s="93"/>
      <c r="C802" s="43" t="s">
        <v>131</v>
      </c>
      <c r="D802" s="42">
        <v>2</v>
      </c>
      <c r="E802" s="41">
        <v>8.8206756637558437E-5</v>
      </c>
    </row>
    <row r="803" spans="2:5" ht="15" customHeight="1">
      <c r="B803" s="93"/>
      <c r="C803" s="43" t="s">
        <v>147</v>
      </c>
      <c r="D803" s="42">
        <v>3</v>
      </c>
      <c r="E803" s="41">
        <v>1.3231013495633765E-4</v>
      </c>
    </row>
    <row r="804" spans="2:5" ht="15" customHeight="1">
      <c r="B804" s="93"/>
      <c r="C804" s="43" t="s">
        <v>146</v>
      </c>
      <c r="D804" s="42">
        <v>1</v>
      </c>
      <c r="E804" s="41">
        <v>4.4103378318779218E-5</v>
      </c>
    </row>
    <row r="805" spans="2:5" ht="15" customHeight="1">
      <c r="B805" s="93"/>
      <c r="C805" s="43" t="s">
        <v>167</v>
      </c>
      <c r="D805" s="42">
        <v>79</v>
      </c>
      <c r="E805" s="41">
        <v>3.4841668871835583E-3</v>
      </c>
    </row>
    <row r="806" spans="2:5" ht="15" customHeight="1">
      <c r="B806" s="93"/>
      <c r="C806" s="43" t="s">
        <v>165</v>
      </c>
      <c r="D806" s="42">
        <v>49</v>
      </c>
      <c r="E806" s="41">
        <v>2.1610655376201817E-3</v>
      </c>
    </row>
    <row r="807" spans="2:5" ht="15" customHeight="1">
      <c r="B807" s="94"/>
      <c r="C807" s="40" t="s">
        <v>20</v>
      </c>
      <c r="D807" s="39">
        <v>568</v>
      </c>
      <c r="E807" s="38">
        <v>2.5050718885066596E-2</v>
      </c>
    </row>
    <row r="808" spans="2:5" ht="15" customHeight="1">
      <c r="B808" s="92" t="s">
        <v>24</v>
      </c>
      <c r="C808" s="43" t="s">
        <v>172</v>
      </c>
      <c r="D808" s="42">
        <v>1</v>
      </c>
      <c r="E808" s="41">
        <v>4.4103378318779218E-5</v>
      </c>
    </row>
    <row r="809" spans="2:5" ht="15" customHeight="1">
      <c r="B809" s="93"/>
      <c r="C809" s="43" t="s">
        <v>168</v>
      </c>
      <c r="D809" s="42">
        <v>15</v>
      </c>
      <c r="E809" s="41">
        <v>6.6155067478168832E-4</v>
      </c>
    </row>
    <row r="810" spans="2:5" ht="15" customHeight="1">
      <c r="B810" s="94"/>
      <c r="C810" s="40" t="s">
        <v>20</v>
      </c>
      <c r="D810" s="39">
        <v>16</v>
      </c>
      <c r="E810" s="38">
        <v>7.0565405310046749E-4</v>
      </c>
    </row>
    <row r="811" spans="2:5" ht="15" customHeight="1">
      <c r="B811" s="92" t="s">
        <v>30</v>
      </c>
      <c r="C811" s="43" t="s">
        <v>145</v>
      </c>
      <c r="D811" s="42">
        <v>1</v>
      </c>
      <c r="E811" s="41">
        <v>4.4103378318779218E-5</v>
      </c>
    </row>
    <row r="812" spans="2:5" ht="15" customHeight="1">
      <c r="B812" s="93"/>
      <c r="C812" s="43" t="s">
        <v>172</v>
      </c>
      <c r="D812" s="42">
        <v>7</v>
      </c>
      <c r="E812" s="41">
        <v>3.0872364823145452E-4</v>
      </c>
    </row>
    <row r="813" spans="2:5" ht="15" customHeight="1">
      <c r="B813" s="93"/>
      <c r="C813" s="43" t="s">
        <v>139</v>
      </c>
      <c r="D813" s="42">
        <v>1</v>
      </c>
      <c r="E813" s="41">
        <v>4.4103378318779218E-5</v>
      </c>
    </row>
    <row r="814" spans="2:5" ht="15" customHeight="1">
      <c r="B814" s="93"/>
      <c r="C814" s="43" t="s">
        <v>159</v>
      </c>
      <c r="D814" s="42">
        <v>1</v>
      </c>
      <c r="E814" s="41">
        <v>4.4103378318779218E-5</v>
      </c>
    </row>
    <row r="815" spans="2:5" ht="15" customHeight="1">
      <c r="B815" s="93"/>
      <c r="C815" s="43" t="s">
        <v>164</v>
      </c>
      <c r="D815" s="42">
        <v>15</v>
      </c>
      <c r="E815" s="41">
        <v>6.6155067478168832E-4</v>
      </c>
    </row>
    <row r="816" spans="2:5" ht="15" customHeight="1">
      <c r="B816" s="93"/>
      <c r="C816" s="43" t="s">
        <v>166</v>
      </c>
      <c r="D816" s="42">
        <v>1</v>
      </c>
      <c r="E816" s="41">
        <v>4.4103378318779218E-5</v>
      </c>
    </row>
    <row r="817" spans="2:5" ht="15" customHeight="1">
      <c r="B817" s="93"/>
      <c r="C817" s="43" t="s">
        <v>130</v>
      </c>
      <c r="D817" s="42">
        <v>2</v>
      </c>
      <c r="E817" s="41">
        <v>8.8206756637558437E-5</v>
      </c>
    </row>
    <row r="818" spans="2:5" ht="15" customHeight="1">
      <c r="B818" s="93"/>
      <c r="C818" s="43" t="s">
        <v>169</v>
      </c>
      <c r="D818" s="42">
        <v>1</v>
      </c>
      <c r="E818" s="41">
        <v>4.4103378318779218E-5</v>
      </c>
    </row>
    <row r="819" spans="2:5" ht="15" customHeight="1">
      <c r="B819" s="93"/>
      <c r="C819" s="43" t="s">
        <v>171</v>
      </c>
      <c r="D819" s="42">
        <v>3</v>
      </c>
      <c r="E819" s="41">
        <v>1.3231013495633765E-4</v>
      </c>
    </row>
    <row r="820" spans="2:5" ht="15" customHeight="1">
      <c r="B820" s="93"/>
      <c r="C820" s="43" t="s">
        <v>168</v>
      </c>
      <c r="D820" s="42">
        <v>1</v>
      </c>
      <c r="E820" s="41">
        <v>4.4103378318779218E-5</v>
      </c>
    </row>
    <row r="821" spans="2:5" ht="15" customHeight="1">
      <c r="B821" s="93"/>
      <c r="C821" s="43" t="s">
        <v>126</v>
      </c>
      <c r="D821" s="42">
        <v>1</v>
      </c>
      <c r="E821" s="41">
        <v>4.4103378318779218E-5</v>
      </c>
    </row>
    <row r="822" spans="2:5" ht="15" customHeight="1">
      <c r="B822" s="93"/>
      <c r="C822" s="43" t="s">
        <v>123</v>
      </c>
      <c r="D822" s="42">
        <v>3</v>
      </c>
      <c r="E822" s="41">
        <v>1.3231013495633765E-4</v>
      </c>
    </row>
    <row r="823" spans="2:5" ht="15" customHeight="1">
      <c r="B823" s="93"/>
      <c r="C823" s="43" t="s">
        <v>147</v>
      </c>
      <c r="D823" s="42">
        <v>2</v>
      </c>
      <c r="E823" s="41">
        <v>8.8206756637558437E-5</v>
      </c>
    </row>
    <row r="824" spans="2:5" ht="15" customHeight="1">
      <c r="B824" s="93"/>
      <c r="C824" s="43" t="s">
        <v>146</v>
      </c>
      <c r="D824" s="42">
        <v>2</v>
      </c>
      <c r="E824" s="41">
        <v>8.8206756637558437E-5</v>
      </c>
    </row>
    <row r="825" spans="2:5" ht="15" customHeight="1">
      <c r="B825" s="93"/>
      <c r="C825" s="43" t="s">
        <v>165</v>
      </c>
      <c r="D825" s="42">
        <v>12</v>
      </c>
      <c r="E825" s="41">
        <v>5.2924053982535059E-4</v>
      </c>
    </row>
    <row r="826" spans="2:5" ht="15" customHeight="1">
      <c r="B826" s="94"/>
      <c r="C826" s="40" t="s">
        <v>20</v>
      </c>
      <c r="D826" s="39">
        <v>53</v>
      </c>
      <c r="E826" s="38">
        <v>2.3374790508952988E-3</v>
      </c>
    </row>
    <row r="827" spans="2:5" ht="15" customHeight="1">
      <c r="B827" s="92" t="s">
        <v>47</v>
      </c>
      <c r="C827" s="43" t="s">
        <v>140</v>
      </c>
      <c r="D827" s="42">
        <v>1</v>
      </c>
      <c r="E827" s="41">
        <v>4.4103378318779218E-5</v>
      </c>
    </row>
    <row r="828" spans="2:5" ht="15" customHeight="1">
      <c r="B828" s="93"/>
      <c r="C828" s="43" t="s">
        <v>145</v>
      </c>
      <c r="D828" s="42">
        <v>1</v>
      </c>
      <c r="E828" s="41">
        <v>4.4103378318779218E-5</v>
      </c>
    </row>
    <row r="829" spans="2:5" ht="15" customHeight="1">
      <c r="B829" s="93"/>
      <c r="C829" s="43" t="s">
        <v>120</v>
      </c>
      <c r="D829" s="42">
        <v>2</v>
      </c>
      <c r="E829" s="41">
        <v>8.8206756637558437E-5</v>
      </c>
    </row>
    <row r="830" spans="2:5" ht="15" customHeight="1">
      <c r="B830" s="93"/>
      <c r="C830" s="43" t="s">
        <v>151</v>
      </c>
      <c r="D830" s="42">
        <v>2</v>
      </c>
      <c r="E830" s="41">
        <v>8.8206756637558437E-5</v>
      </c>
    </row>
    <row r="831" spans="2:5" ht="15" customHeight="1">
      <c r="B831" s="93"/>
      <c r="C831" s="43" t="s">
        <v>134</v>
      </c>
      <c r="D831" s="42">
        <v>3</v>
      </c>
      <c r="E831" s="41">
        <v>1.3231013495633765E-4</v>
      </c>
    </row>
    <row r="832" spans="2:5" ht="15" customHeight="1">
      <c r="B832" s="93"/>
      <c r="C832" s="43" t="s">
        <v>121</v>
      </c>
      <c r="D832" s="42">
        <v>1</v>
      </c>
      <c r="E832" s="41">
        <v>4.4103378318779218E-5</v>
      </c>
    </row>
    <row r="833" spans="2:5" ht="15" customHeight="1">
      <c r="B833" s="93"/>
      <c r="C833" s="43" t="s">
        <v>172</v>
      </c>
      <c r="D833" s="42">
        <v>35</v>
      </c>
      <c r="E833" s="41">
        <v>1.5436182411572726E-3</v>
      </c>
    </row>
    <row r="834" spans="2:5" ht="15" customHeight="1">
      <c r="B834" s="93"/>
      <c r="C834" s="43" t="s">
        <v>139</v>
      </c>
      <c r="D834" s="42">
        <v>4</v>
      </c>
      <c r="E834" s="41">
        <v>1.7641351327511687E-4</v>
      </c>
    </row>
    <row r="835" spans="2:5" ht="15" customHeight="1">
      <c r="B835" s="93"/>
      <c r="C835" s="43" t="s">
        <v>159</v>
      </c>
      <c r="D835" s="42">
        <v>1</v>
      </c>
      <c r="E835" s="41">
        <v>4.4103378318779218E-5</v>
      </c>
    </row>
    <row r="836" spans="2:5" ht="15" customHeight="1">
      <c r="B836" s="93"/>
      <c r="C836" s="43" t="s">
        <v>164</v>
      </c>
      <c r="D836" s="42">
        <v>15</v>
      </c>
      <c r="E836" s="41">
        <v>6.6155067478168832E-4</v>
      </c>
    </row>
    <row r="837" spans="2:5" ht="15" customHeight="1">
      <c r="B837" s="93"/>
      <c r="C837" s="43" t="s">
        <v>166</v>
      </c>
      <c r="D837" s="42">
        <v>5</v>
      </c>
      <c r="E837" s="41">
        <v>2.205168915938961E-4</v>
      </c>
    </row>
    <row r="838" spans="2:5" ht="15" customHeight="1">
      <c r="B838" s="93"/>
      <c r="C838" s="43" t="s">
        <v>158</v>
      </c>
      <c r="D838" s="42">
        <v>6</v>
      </c>
      <c r="E838" s="41">
        <v>2.646202699126753E-4</v>
      </c>
    </row>
    <row r="839" spans="2:5" ht="15" customHeight="1">
      <c r="B839" s="93"/>
      <c r="C839" s="43" t="s">
        <v>143</v>
      </c>
      <c r="D839" s="42">
        <v>3</v>
      </c>
      <c r="E839" s="41">
        <v>1.3231013495633765E-4</v>
      </c>
    </row>
    <row r="840" spans="2:5" ht="15" customHeight="1">
      <c r="B840" s="93"/>
      <c r="C840" s="43" t="s">
        <v>141</v>
      </c>
      <c r="D840" s="42">
        <v>4</v>
      </c>
      <c r="E840" s="41">
        <v>1.7641351327511687E-4</v>
      </c>
    </row>
    <row r="841" spans="2:5" ht="15" customHeight="1">
      <c r="B841" s="93"/>
      <c r="C841" s="43" t="s">
        <v>156</v>
      </c>
      <c r="D841" s="42">
        <v>5</v>
      </c>
      <c r="E841" s="41">
        <v>2.205168915938961E-4</v>
      </c>
    </row>
    <row r="842" spans="2:5" ht="15" customHeight="1">
      <c r="B842" s="93"/>
      <c r="C842" s="43" t="s">
        <v>125</v>
      </c>
      <c r="D842" s="42">
        <v>1</v>
      </c>
      <c r="E842" s="41">
        <v>4.4103378318779218E-5</v>
      </c>
    </row>
    <row r="843" spans="2:5" ht="15" customHeight="1">
      <c r="B843" s="93"/>
      <c r="C843" s="43" t="s">
        <v>152</v>
      </c>
      <c r="D843" s="42">
        <v>3</v>
      </c>
      <c r="E843" s="41">
        <v>1.3231013495633765E-4</v>
      </c>
    </row>
    <row r="844" spans="2:5" ht="15" customHeight="1">
      <c r="B844" s="93"/>
      <c r="C844" s="43" t="s">
        <v>133</v>
      </c>
      <c r="D844" s="42">
        <v>1</v>
      </c>
      <c r="E844" s="41">
        <v>4.4103378318779218E-5</v>
      </c>
    </row>
    <row r="845" spans="2:5" ht="15" customHeight="1">
      <c r="B845" s="93"/>
      <c r="C845" s="43" t="s">
        <v>163</v>
      </c>
      <c r="D845" s="42">
        <v>3</v>
      </c>
      <c r="E845" s="41">
        <v>1.3231013495633765E-4</v>
      </c>
    </row>
    <row r="846" spans="2:5" ht="15" customHeight="1">
      <c r="B846" s="93"/>
      <c r="C846" s="43" t="s">
        <v>137</v>
      </c>
      <c r="D846" s="42">
        <v>1</v>
      </c>
      <c r="E846" s="41">
        <v>4.4103378318779218E-5</v>
      </c>
    </row>
    <row r="847" spans="2:5" ht="15" customHeight="1">
      <c r="B847" s="93"/>
      <c r="C847" s="43" t="s">
        <v>161</v>
      </c>
      <c r="D847" s="42">
        <v>24</v>
      </c>
      <c r="E847" s="41">
        <v>1.0584810796507012E-3</v>
      </c>
    </row>
    <row r="848" spans="2:5" ht="15" customHeight="1">
      <c r="B848" s="93"/>
      <c r="C848" s="43" t="s">
        <v>127</v>
      </c>
      <c r="D848" s="42">
        <v>1</v>
      </c>
      <c r="E848" s="41">
        <v>4.4103378318779218E-5</v>
      </c>
    </row>
    <row r="849" spans="2:5" ht="15" customHeight="1">
      <c r="B849" s="93"/>
      <c r="C849" s="43" t="s">
        <v>169</v>
      </c>
      <c r="D849" s="42">
        <v>4</v>
      </c>
      <c r="E849" s="41">
        <v>1.7641351327511687E-4</v>
      </c>
    </row>
    <row r="850" spans="2:5" ht="15" customHeight="1">
      <c r="B850" s="93"/>
      <c r="C850" s="43" t="s">
        <v>171</v>
      </c>
      <c r="D850" s="42">
        <v>10</v>
      </c>
      <c r="E850" s="41">
        <v>4.410337831877922E-4</v>
      </c>
    </row>
    <row r="851" spans="2:5" ht="15" customHeight="1">
      <c r="B851" s="93"/>
      <c r="C851" s="43" t="s">
        <v>160</v>
      </c>
      <c r="D851" s="42">
        <v>17</v>
      </c>
      <c r="E851" s="41">
        <v>7.4975743141924667E-4</v>
      </c>
    </row>
    <row r="852" spans="2:5" ht="15" customHeight="1">
      <c r="B852" s="93"/>
      <c r="C852" s="43" t="s">
        <v>168</v>
      </c>
      <c r="D852" s="42">
        <v>25</v>
      </c>
      <c r="E852" s="41">
        <v>1.1025844579694805E-3</v>
      </c>
    </row>
    <row r="853" spans="2:5" ht="15" customHeight="1">
      <c r="B853" s="93"/>
      <c r="C853" s="43" t="s">
        <v>149</v>
      </c>
      <c r="D853" s="42">
        <v>2</v>
      </c>
      <c r="E853" s="41">
        <v>8.8206756637558437E-5</v>
      </c>
    </row>
    <row r="854" spans="2:5" ht="15" customHeight="1">
      <c r="B854" s="93"/>
      <c r="C854" s="43" t="s">
        <v>150</v>
      </c>
      <c r="D854" s="42">
        <v>1</v>
      </c>
      <c r="E854" s="41">
        <v>4.4103378318779218E-5</v>
      </c>
    </row>
    <row r="855" spans="2:5" ht="15" customHeight="1">
      <c r="B855" s="93"/>
      <c r="C855" s="43" t="s">
        <v>170</v>
      </c>
      <c r="D855" s="42">
        <v>11</v>
      </c>
      <c r="E855" s="41">
        <v>4.8513716150657142E-4</v>
      </c>
    </row>
    <row r="856" spans="2:5" ht="15" customHeight="1">
      <c r="B856" s="93"/>
      <c r="C856" s="43" t="s">
        <v>154</v>
      </c>
      <c r="D856" s="42">
        <v>15</v>
      </c>
      <c r="E856" s="41">
        <v>6.6155067478168832E-4</v>
      </c>
    </row>
    <row r="857" spans="2:5" ht="15" customHeight="1">
      <c r="B857" s="93"/>
      <c r="C857" s="43" t="s">
        <v>146</v>
      </c>
      <c r="D857" s="42">
        <v>4</v>
      </c>
      <c r="E857" s="41">
        <v>1.7641351327511687E-4</v>
      </c>
    </row>
    <row r="858" spans="2:5" ht="15" customHeight="1">
      <c r="B858" s="93"/>
      <c r="C858" s="43" t="s">
        <v>167</v>
      </c>
      <c r="D858" s="42">
        <v>1</v>
      </c>
      <c r="E858" s="41">
        <v>4.4103378318779218E-5</v>
      </c>
    </row>
    <row r="859" spans="2:5" ht="15" customHeight="1">
      <c r="B859" s="93"/>
      <c r="C859" s="43" t="s">
        <v>165</v>
      </c>
      <c r="D859" s="42">
        <v>15</v>
      </c>
      <c r="E859" s="41">
        <v>6.6155067478168832E-4</v>
      </c>
    </row>
    <row r="860" spans="2:5" ht="15" customHeight="1">
      <c r="B860" s="94"/>
      <c r="C860" s="40" t="s">
        <v>20</v>
      </c>
      <c r="D860" s="39">
        <v>227</v>
      </c>
      <c r="E860" s="38">
        <v>1.0011466878362883E-2</v>
      </c>
    </row>
    <row r="861" spans="2:5" ht="15" customHeight="1">
      <c r="B861" s="92" t="s">
        <v>27</v>
      </c>
      <c r="C861" s="43" t="s">
        <v>134</v>
      </c>
      <c r="D861" s="42">
        <v>1</v>
      </c>
      <c r="E861" s="41">
        <v>4.4103378318779218E-5</v>
      </c>
    </row>
    <row r="862" spans="2:5" ht="15" customHeight="1">
      <c r="B862" s="93"/>
      <c r="C862" s="43" t="s">
        <v>117</v>
      </c>
      <c r="D862" s="42">
        <v>1</v>
      </c>
      <c r="E862" s="41">
        <v>4.4103378318779218E-5</v>
      </c>
    </row>
    <row r="863" spans="2:5" ht="15" customHeight="1">
      <c r="B863" s="93"/>
      <c r="C863" s="43" t="s">
        <v>172</v>
      </c>
      <c r="D863" s="42">
        <v>2</v>
      </c>
      <c r="E863" s="41">
        <v>8.8206756637558437E-5</v>
      </c>
    </row>
    <row r="864" spans="2:5" ht="15" customHeight="1">
      <c r="B864" s="93"/>
      <c r="C864" s="43" t="s">
        <v>164</v>
      </c>
      <c r="D864" s="42">
        <v>2</v>
      </c>
      <c r="E864" s="41">
        <v>8.8206756637558437E-5</v>
      </c>
    </row>
    <row r="865" spans="2:5" ht="15" customHeight="1">
      <c r="B865" s="93"/>
      <c r="C865" s="43" t="s">
        <v>162</v>
      </c>
      <c r="D865" s="42">
        <v>1</v>
      </c>
      <c r="E865" s="41">
        <v>4.4103378318779218E-5</v>
      </c>
    </row>
    <row r="866" spans="2:5" ht="15" customHeight="1">
      <c r="B866" s="93"/>
      <c r="C866" s="43" t="s">
        <v>166</v>
      </c>
      <c r="D866" s="42">
        <v>3</v>
      </c>
      <c r="E866" s="41">
        <v>1.3231013495633765E-4</v>
      </c>
    </row>
    <row r="867" spans="2:5" ht="15" customHeight="1">
      <c r="B867" s="93"/>
      <c r="C867" s="43" t="s">
        <v>142</v>
      </c>
      <c r="D867" s="42">
        <v>1</v>
      </c>
      <c r="E867" s="41">
        <v>4.4103378318779218E-5</v>
      </c>
    </row>
    <row r="868" spans="2:5" ht="15" customHeight="1">
      <c r="B868" s="93"/>
      <c r="C868" s="43" t="s">
        <v>141</v>
      </c>
      <c r="D868" s="42">
        <v>1</v>
      </c>
      <c r="E868" s="41">
        <v>4.4103378318779218E-5</v>
      </c>
    </row>
    <row r="869" spans="2:5" ht="15" customHeight="1">
      <c r="B869" s="93"/>
      <c r="C869" s="43" t="s">
        <v>163</v>
      </c>
      <c r="D869" s="42">
        <v>1</v>
      </c>
      <c r="E869" s="41">
        <v>4.4103378318779218E-5</v>
      </c>
    </row>
    <row r="870" spans="2:5" ht="15" customHeight="1">
      <c r="B870" s="93"/>
      <c r="C870" s="43" t="s">
        <v>161</v>
      </c>
      <c r="D870" s="42">
        <v>2</v>
      </c>
      <c r="E870" s="41">
        <v>8.8206756637558437E-5</v>
      </c>
    </row>
    <row r="871" spans="2:5" ht="15" customHeight="1">
      <c r="B871" s="93"/>
      <c r="C871" s="43" t="s">
        <v>169</v>
      </c>
      <c r="D871" s="42">
        <v>2</v>
      </c>
      <c r="E871" s="41">
        <v>8.8206756637558437E-5</v>
      </c>
    </row>
    <row r="872" spans="2:5" ht="15" customHeight="1">
      <c r="B872" s="93"/>
      <c r="C872" s="43" t="s">
        <v>171</v>
      </c>
      <c r="D872" s="42">
        <v>1</v>
      </c>
      <c r="E872" s="41">
        <v>4.4103378318779218E-5</v>
      </c>
    </row>
    <row r="873" spans="2:5" ht="15" customHeight="1">
      <c r="B873" s="93"/>
      <c r="C873" s="43" t="s">
        <v>160</v>
      </c>
      <c r="D873" s="42">
        <v>2</v>
      </c>
      <c r="E873" s="41">
        <v>8.8206756637558437E-5</v>
      </c>
    </row>
    <row r="874" spans="2:5" ht="15" customHeight="1">
      <c r="B874" s="93"/>
      <c r="C874" s="43" t="s">
        <v>154</v>
      </c>
      <c r="D874" s="42">
        <v>2</v>
      </c>
      <c r="E874" s="41">
        <v>8.8206756637558437E-5</v>
      </c>
    </row>
    <row r="875" spans="2:5" ht="15" customHeight="1">
      <c r="B875" s="93"/>
      <c r="C875" s="43" t="s">
        <v>167</v>
      </c>
      <c r="D875" s="42">
        <v>1</v>
      </c>
      <c r="E875" s="41">
        <v>4.4103378318779218E-5</v>
      </c>
    </row>
    <row r="876" spans="2:5" ht="15" customHeight="1">
      <c r="B876" s="94"/>
      <c r="C876" s="40" t="s">
        <v>20</v>
      </c>
      <c r="D876" s="39">
        <v>23</v>
      </c>
      <c r="E876" s="38">
        <v>1.0143777013319221E-3</v>
      </c>
    </row>
    <row r="877" spans="2:5" ht="15" customHeight="1">
      <c r="B877" s="92" t="s">
        <v>51</v>
      </c>
      <c r="C877" s="43" t="s">
        <v>140</v>
      </c>
      <c r="D877" s="42">
        <v>2</v>
      </c>
      <c r="E877" s="41">
        <v>8.8206756637558437E-5</v>
      </c>
    </row>
    <row r="878" spans="2:5" ht="15" customHeight="1">
      <c r="B878" s="93"/>
      <c r="C878" s="43" t="s">
        <v>129</v>
      </c>
      <c r="D878" s="42">
        <v>7</v>
      </c>
      <c r="E878" s="41">
        <v>3.0872364823145452E-4</v>
      </c>
    </row>
    <row r="879" spans="2:5" ht="15" customHeight="1">
      <c r="B879" s="93"/>
      <c r="C879" s="43" t="s">
        <v>145</v>
      </c>
      <c r="D879" s="42">
        <v>2</v>
      </c>
      <c r="E879" s="41">
        <v>8.8206756637558437E-5</v>
      </c>
    </row>
    <row r="880" spans="2:5" ht="15" customHeight="1">
      <c r="B880" s="93"/>
      <c r="C880" s="43" t="s">
        <v>151</v>
      </c>
      <c r="D880" s="42">
        <v>6</v>
      </c>
      <c r="E880" s="41">
        <v>2.646202699126753E-4</v>
      </c>
    </row>
    <row r="881" spans="2:5" ht="15" customHeight="1">
      <c r="B881" s="93"/>
      <c r="C881" s="43" t="s">
        <v>128</v>
      </c>
      <c r="D881" s="42">
        <v>8</v>
      </c>
      <c r="E881" s="41">
        <v>3.5282702655023375E-4</v>
      </c>
    </row>
    <row r="882" spans="2:5" ht="15" customHeight="1">
      <c r="B882" s="93"/>
      <c r="C882" s="43" t="s">
        <v>172</v>
      </c>
      <c r="D882" s="42">
        <v>45</v>
      </c>
      <c r="E882" s="41">
        <v>1.984652024345065E-3</v>
      </c>
    </row>
    <row r="883" spans="2:5" ht="15" customHeight="1">
      <c r="B883" s="93"/>
      <c r="C883" s="43" t="s">
        <v>139</v>
      </c>
      <c r="D883" s="42">
        <v>7</v>
      </c>
      <c r="E883" s="41">
        <v>3.0872364823145452E-4</v>
      </c>
    </row>
    <row r="884" spans="2:5" ht="15" customHeight="1">
      <c r="B884" s="93"/>
      <c r="C884" s="43" t="s">
        <v>159</v>
      </c>
      <c r="D884" s="42">
        <v>12</v>
      </c>
      <c r="E884" s="41">
        <v>5.2924053982535059E-4</v>
      </c>
    </row>
    <row r="885" spans="2:5" ht="15" customHeight="1">
      <c r="B885" s="93"/>
      <c r="C885" s="43" t="s">
        <v>157</v>
      </c>
      <c r="D885" s="42">
        <v>33</v>
      </c>
      <c r="E885" s="41">
        <v>1.4554114845197143E-3</v>
      </c>
    </row>
    <row r="886" spans="2:5" ht="15" customHeight="1">
      <c r="B886" s="93"/>
      <c r="C886" s="43" t="s">
        <v>164</v>
      </c>
      <c r="D886" s="42">
        <v>22</v>
      </c>
      <c r="E886" s="41">
        <v>9.7027432301314285E-4</v>
      </c>
    </row>
    <row r="887" spans="2:5" ht="15" customHeight="1">
      <c r="B887" s="93"/>
      <c r="C887" s="43" t="s">
        <v>136</v>
      </c>
      <c r="D887" s="42">
        <v>1</v>
      </c>
      <c r="E887" s="41">
        <v>4.4103378318779218E-5</v>
      </c>
    </row>
    <row r="888" spans="2:5" ht="15" customHeight="1">
      <c r="B888" s="93"/>
      <c r="C888" s="43" t="s">
        <v>162</v>
      </c>
      <c r="D888" s="42">
        <v>5</v>
      </c>
      <c r="E888" s="41">
        <v>2.205168915938961E-4</v>
      </c>
    </row>
    <row r="889" spans="2:5" ht="15" customHeight="1">
      <c r="B889" s="93"/>
      <c r="C889" s="43" t="s">
        <v>166</v>
      </c>
      <c r="D889" s="42">
        <v>2</v>
      </c>
      <c r="E889" s="41">
        <v>8.8206756637558437E-5</v>
      </c>
    </row>
    <row r="890" spans="2:5" ht="15" customHeight="1">
      <c r="B890" s="93"/>
      <c r="C890" s="43" t="s">
        <v>142</v>
      </c>
      <c r="D890" s="42">
        <v>5</v>
      </c>
      <c r="E890" s="41">
        <v>2.205168915938961E-4</v>
      </c>
    </row>
    <row r="891" spans="2:5" ht="15" customHeight="1">
      <c r="B891" s="93"/>
      <c r="C891" s="43" t="s">
        <v>158</v>
      </c>
      <c r="D891" s="42">
        <v>14</v>
      </c>
      <c r="E891" s="41">
        <v>6.1744729646290904E-4</v>
      </c>
    </row>
    <row r="892" spans="2:5" ht="15" customHeight="1">
      <c r="B892" s="93"/>
      <c r="C892" s="43" t="s">
        <v>148</v>
      </c>
      <c r="D892" s="42">
        <v>3</v>
      </c>
      <c r="E892" s="41">
        <v>1.3231013495633765E-4</v>
      </c>
    </row>
    <row r="893" spans="2:5" ht="15" customHeight="1">
      <c r="B893" s="93"/>
      <c r="C893" s="43" t="s">
        <v>153</v>
      </c>
      <c r="D893" s="42">
        <v>18</v>
      </c>
      <c r="E893" s="41">
        <v>7.9386080973802594E-4</v>
      </c>
    </row>
    <row r="894" spans="2:5" ht="15" customHeight="1">
      <c r="B894" s="93"/>
      <c r="C894" s="43" t="s">
        <v>143</v>
      </c>
      <c r="D894" s="42">
        <v>4</v>
      </c>
      <c r="E894" s="41">
        <v>1.7641351327511687E-4</v>
      </c>
    </row>
    <row r="895" spans="2:5" ht="15" customHeight="1">
      <c r="B895" s="93"/>
      <c r="C895" s="43" t="s">
        <v>141</v>
      </c>
      <c r="D895" s="42">
        <v>7</v>
      </c>
      <c r="E895" s="41">
        <v>3.0872364823145452E-4</v>
      </c>
    </row>
    <row r="896" spans="2:5" ht="15" customHeight="1">
      <c r="B896" s="93"/>
      <c r="C896" s="43" t="s">
        <v>118</v>
      </c>
      <c r="D896" s="42">
        <v>1</v>
      </c>
      <c r="E896" s="41">
        <v>4.4103378318779218E-5</v>
      </c>
    </row>
    <row r="897" spans="2:5" ht="15" customHeight="1">
      <c r="B897" s="93"/>
      <c r="C897" s="43" t="s">
        <v>124</v>
      </c>
      <c r="D897" s="42">
        <v>1</v>
      </c>
      <c r="E897" s="41">
        <v>4.4103378318779218E-5</v>
      </c>
    </row>
    <row r="898" spans="2:5" ht="15" customHeight="1">
      <c r="B898" s="93"/>
      <c r="C898" s="43" t="s">
        <v>156</v>
      </c>
      <c r="D898" s="42">
        <v>1</v>
      </c>
      <c r="E898" s="41">
        <v>4.4103378318779218E-5</v>
      </c>
    </row>
    <row r="899" spans="2:5" ht="15" customHeight="1">
      <c r="B899" s="93"/>
      <c r="C899" s="43" t="s">
        <v>130</v>
      </c>
      <c r="D899" s="42">
        <v>2</v>
      </c>
      <c r="E899" s="41">
        <v>8.8206756637558437E-5</v>
      </c>
    </row>
    <row r="900" spans="2:5" ht="15" customHeight="1">
      <c r="B900" s="93"/>
      <c r="C900" s="43" t="s">
        <v>133</v>
      </c>
      <c r="D900" s="42">
        <v>1</v>
      </c>
      <c r="E900" s="41">
        <v>4.4103378318779218E-5</v>
      </c>
    </row>
    <row r="901" spans="2:5" ht="15" customHeight="1">
      <c r="B901" s="93"/>
      <c r="C901" s="43" t="s">
        <v>163</v>
      </c>
      <c r="D901" s="42">
        <v>1</v>
      </c>
      <c r="E901" s="41">
        <v>4.4103378318779218E-5</v>
      </c>
    </row>
    <row r="902" spans="2:5" ht="15" customHeight="1">
      <c r="B902" s="93"/>
      <c r="C902" s="43" t="s">
        <v>137</v>
      </c>
      <c r="D902" s="42">
        <v>2</v>
      </c>
      <c r="E902" s="41">
        <v>8.8206756637558437E-5</v>
      </c>
    </row>
    <row r="903" spans="2:5" ht="15" customHeight="1">
      <c r="B903" s="93"/>
      <c r="C903" s="43" t="s">
        <v>161</v>
      </c>
      <c r="D903" s="42">
        <v>12</v>
      </c>
      <c r="E903" s="41">
        <v>5.2924053982535059E-4</v>
      </c>
    </row>
    <row r="904" spans="2:5" ht="15" customHeight="1">
      <c r="B904" s="93"/>
      <c r="C904" s="43" t="s">
        <v>127</v>
      </c>
      <c r="D904" s="42">
        <v>7</v>
      </c>
      <c r="E904" s="41">
        <v>3.0872364823145452E-4</v>
      </c>
    </row>
    <row r="905" spans="2:5" ht="15" customHeight="1">
      <c r="B905" s="93"/>
      <c r="C905" s="43" t="s">
        <v>169</v>
      </c>
      <c r="D905" s="42">
        <v>51</v>
      </c>
      <c r="E905" s="41">
        <v>2.2492722942577402E-3</v>
      </c>
    </row>
    <row r="906" spans="2:5" ht="15" customHeight="1">
      <c r="B906" s="93"/>
      <c r="C906" s="43" t="s">
        <v>171</v>
      </c>
      <c r="D906" s="42">
        <v>17</v>
      </c>
      <c r="E906" s="41">
        <v>7.4975743141924667E-4</v>
      </c>
    </row>
    <row r="907" spans="2:5" ht="15" customHeight="1">
      <c r="B907" s="93"/>
      <c r="C907" s="43" t="s">
        <v>160</v>
      </c>
      <c r="D907" s="42">
        <v>14</v>
      </c>
      <c r="E907" s="41">
        <v>6.1744729646290904E-4</v>
      </c>
    </row>
    <row r="908" spans="2:5" ht="15" customHeight="1">
      <c r="B908" s="93"/>
      <c r="C908" s="43" t="s">
        <v>168</v>
      </c>
      <c r="D908" s="42">
        <v>61</v>
      </c>
      <c r="E908" s="41">
        <v>2.6903060774455321E-3</v>
      </c>
    </row>
    <row r="909" spans="2:5" ht="15" customHeight="1">
      <c r="B909" s="93"/>
      <c r="C909" s="43" t="s">
        <v>126</v>
      </c>
      <c r="D909" s="42">
        <v>1</v>
      </c>
      <c r="E909" s="41">
        <v>4.4103378318779218E-5</v>
      </c>
    </row>
    <row r="910" spans="2:5" ht="15" customHeight="1">
      <c r="B910" s="93"/>
      <c r="C910" s="43" t="s">
        <v>144</v>
      </c>
      <c r="D910" s="42">
        <v>1</v>
      </c>
      <c r="E910" s="41">
        <v>4.4103378318779218E-5</v>
      </c>
    </row>
    <row r="911" spans="2:5" ht="15" customHeight="1">
      <c r="B911" s="93"/>
      <c r="C911" s="43" t="s">
        <v>150</v>
      </c>
      <c r="D911" s="42">
        <v>4</v>
      </c>
      <c r="E911" s="41">
        <v>1.7641351327511687E-4</v>
      </c>
    </row>
    <row r="912" spans="2:5" ht="15" customHeight="1">
      <c r="B912" s="93"/>
      <c r="C912" s="43" t="s">
        <v>155</v>
      </c>
      <c r="D912" s="42">
        <v>1</v>
      </c>
      <c r="E912" s="41">
        <v>4.4103378318779218E-5</v>
      </c>
    </row>
    <row r="913" spans="2:5" ht="15" customHeight="1">
      <c r="B913" s="93"/>
      <c r="C913" s="43" t="s">
        <v>170</v>
      </c>
      <c r="D913" s="42">
        <v>55</v>
      </c>
      <c r="E913" s="41">
        <v>2.4256858075328569E-3</v>
      </c>
    </row>
    <row r="914" spans="2:5" ht="15" customHeight="1">
      <c r="B914" s="93"/>
      <c r="C914" s="43" t="s">
        <v>123</v>
      </c>
      <c r="D914" s="42">
        <v>1</v>
      </c>
      <c r="E914" s="41">
        <v>4.4103378318779218E-5</v>
      </c>
    </row>
    <row r="915" spans="2:5" ht="15" customHeight="1">
      <c r="B915" s="93"/>
      <c r="C915" s="43" t="s">
        <v>154</v>
      </c>
      <c r="D915" s="42">
        <v>4</v>
      </c>
      <c r="E915" s="41">
        <v>1.7641351327511687E-4</v>
      </c>
    </row>
    <row r="916" spans="2:5" ht="15" customHeight="1">
      <c r="B916" s="93"/>
      <c r="C916" s="43" t="s">
        <v>131</v>
      </c>
      <c r="D916" s="42">
        <v>11</v>
      </c>
      <c r="E916" s="41">
        <v>4.8513716150657142E-4</v>
      </c>
    </row>
    <row r="917" spans="2:5" ht="15" customHeight="1">
      <c r="B917" s="93"/>
      <c r="C917" s="43" t="s">
        <v>147</v>
      </c>
      <c r="D917" s="42">
        <v>9</v>
      </c>
      <c r="E917" s="41">
        <v>3.9693040486901297E-4</v>
      </c>
    </row>
    <row r="918" spans="2:5" ht="15" customHeight="1">
      <c r="B918" s="93"/>
      <c r="C918" s="43" t="s">
        <v>146</v>
      </c>
      <c r="D918" s="42">
        <v>2</v>
      </c>
      <c r="E918" s="41">
        <v>8.8206756637558437E-5</v>
      </c>
    </row>
    <row r="919" spans="2:5" ht="15" customHeight="1">
      <c r="B919" s="93"/>
      <c r="C919" s="43" t="s">
        <v>167</v>
      </c>
      <c r="D919" s="42">
        <v>2</v>
      </c>
      <c r="E919" s="41">
        <v>8.8206756637558437E-5</v>
      </c>
    </row>
    <row r="920" spans="2:5" ht="15" customHeight="1">
      <c r="B920" s="93"/>
      <c r="C920" s="43" t="s">
        <v>165</v>
      </c>
      <c r="D920" s="42">
        <v>16</v>
      </c>
      <c r="E920" s="41">
        <v>7.0565405310046749E-4</v>
      </c>
    </row>
    <row r="921" spans="2:5" ht="15" customHeight="1">
      <c r="B921" s="94"/>
      <c r="C921" s="40" t="s">
        <v>20</v>
      </c>
      <c r="D921" s="39">
        <v>481</v>
      </c>
      <c r="E921" s="38">
        <v>2.1213724971332806E-2</v>
      </c>
    </row>
    <row r="922" spans="2:5" ht="15" customHeight="1">
      <c r="B922" s="92" t="s">
        <v>21</v>
      </c>
      <c r="C922" s="43" t="s">
        <v>172</v>
      </c>
      <c r="D922" s="42">
        <v>5</v>
      </c>
      <c r="E922" s="41">
        <v>2.205168915938961E-4</v>
      </c>
    </row>
    <row r="923" spans="2:5" ht="15" customHeight="1">
      <c r="B923" s="94"/>
      <c r="C923" s="40" t="s">
        <v>20</v>
      </c>
      <c r="D923" s="39">
        <v>5</v>
      </c>
      <c r="E923" s="38">
        <v>2.205168915938961E-4</v>
      </c>
    </row>
    <row r="924" spans="2:5" ht="15" customHeight="1">
      <c r="B924" s="92" t="s">
        <v>35</v>
      </c>
      <c r="C924" s="43" t="s">
        <v>172</v>
      </c>
      <c r="D924" s="42">
        <v>7</v>
      </c>
      <c r="E924" s="41">
        <v>3.0872364823145452E-4</v>
      </c>
    </row>
    <row r="925" spans="2:5" ht="15" customHeight="1">
      <c r="B925" s="93"/>
      <c r="C925" s="43" t="s">
        <v>157</v>
      </c>
      <c r="D925" s="42">
        <v>2</v>
      </c>
      <c r="E925" s="41">
        <v>8.8206756637558437E-5</v>
      </c>
    </row>
    <row r="926" spans="2:5" ht="15" customHeight="1">
      <c r="B926" s="93"/>
      <c r="C926" s="43" t="s">
        <v>164</v>
      </c>
      <c r="D926" s="42">
        <v>8</v>
      </c>
      <c r="E926" s="41">
        <v>3.5282702655023375E-4</v>
      </c>
    </row>
    <row r="927" spans="2:5" ht="15" customHeight="1">
      <c r="B927" s="93"/>
      <c r="C927" s="43" t="s">
        <v>153</v>
      </c>
      <c r="D927" s="42">
        <v>6</v>
      </c>
      <c r="E927" s="41">
        <v>2.646202699126753E-4</v>
      </c>
    </row>
    <row r="928" spans="2:5" ht="15" customHeight="1">
      <c r="B928" s="93"/>
      <c r="C928" s="43" t="s">
        <v>141</v>
      </c>
      <c r="D928" s="42">
        <v>1</v>
      </c>
      <c r="E928" s="41">
        <v>4.4103378318779218E-5</v>
      </c>
    </row>
    <row r="929" spans="2:5" ht="15" customHeight="1">
      <c r="B929" s="93"/>
      <c r="C929" s="43" t="s">
        <v>163</v>
      </c>
      <c r="D929" s="42">
        <v>2</v>
      </c>
      <c r="E929" s="41">
        <v>8.8206756637558437E-5</v>
      </c>
    </row>
    <row r="930" spans="2:5" ht="15" customHeight="1">
      <c r="B930" s="93"/>
      <c r="C930" s="43" t="s">
        <v>161</v>
      </c>
      <c r="D930" s="42">
        <v>5</v>
      </c>
      <c r="E930" s="41">
        <v>2.205168915938961E-4</v>
      </c>
    </row>
    <row r="931" spans="2:5" ht="15" customHeight="1">
      <c r="B931" s="93"/>
      <c r="C931" s="43" t="s">
        <v>127</v>
      </c>
      <c r="D931" s="42">
        <v>1</v>
      </c>
      <c r="E931" s="41">
        <v>4.4103378318779218E-5</v>
      </c>
    </row>
    <row r="932" spans="2:5" ht="15" customHeight="1">
      <c r="B932" s="93"/>
      <c r="C932" s="43" t="s">
        <v>169</v>
      </c>
      <c r="D932" s="42">
        <v>10</v>
      </c>
      <c r="E932" s="41">
        <v>4.410337831877922E-4</v>
      </c>
    </row>
    <row r="933" spans="2:5" ht="15" customHeight="1">
      <c r="B933" s="93"/>
      <c r="C933" s="43" t="s">
        <v>168</v>
      </c>
      <c r="D933" s="42">
        <v>2</v>
      </c>
      <c r="E933" s="41">
        <v>8.8206756637558437E-5</v>
      </c>
    </row>
    <row r="934" spans="2:5" ht="15" customHeight="1">
      <c r="B934" s="93"/>
      <c r="C934" s="43" t="s">
        <v>149</v>
      </c>
      <c r="D934" s="42">
        <v>1</v>
      </c>
      <c r="E934" s="41">
        <v>4.4103378318779218E-5</v>
      </c>
    </row>
    <row r="935" spans="2:5" ht="15" customHeight="1">
      <c r="B935" s="93"/>
      <c r="C935" s="43" t="s">
        <v>170</v>
      </c>
      <c r="D935" s="42">
        <v>1</v>
      </c>
      <c r="E935" s="41">
        <v>4.4103378318779218E-5</v>
      </c>
    </row>
    <row r="936" spans="2:5" ht="15" customHeight="1">
      <c r="B936" s="93"/>
      <c r="C936" s="43" t="s">
        <v>154</v>
      </c>
      <c r="D936" s="42">
        <v>1</v>
      </c>
      <c r="E936" s="41">
        <v>4.4103378318779218E-5</v>
      </c>
    </row>
    <row r="937" spans="2:5" ht="15" customHeight="1">
      <c r="B937" s="93"/>
      <c r="C937" s="43" t="s">
        <v>131</v>
      </c>
      <c r="D937" s="42">
        <v>1</v>
      </c>
      <c r="E937" s="41">
        <v>4.4103378318779218E-5</v>
      </c>
    </row>
    <row r="938" spans="2:5" ht="15" customHeight="1">
      <c r="B938" s="93"/>
      <c r="C938" s="43" t="s">
        <v>147</v>
      </c>
      <c r="D938" s="42">
        <v>1</v>
      </c>
      <c r="E938" s="41">
        <v>4.4103378318779218E-5</v>
      </c>
    </row>
    <row r="939" spans="2:5" ht="15" customHeight="1">
      <c r="B939" s="93"/>
      <c r="C939" s="43" t="s">
        <v>146</v>
      </c>
      <c r="D939" s="42">
        <v>1</v>
      </c>
      <c r="E939" s="41">
        <v>4.4103378318779218E-5</v>
      </c>
    </row>
    <row r="940" spans="2:5" ht="15" customHeight="1">
      <c r="B940" s="93"/>
      <c r="C940" s="43" t="s">
        <v>165</v>
      </c>
      <c r="D940" s="42">
        <v>3</v>
      </c>
      <c r="E940" s="41">
        <v>1.3231013495633765E-4</v>
      </c>
    </row>
    <row r="941" spans="2:5" ht="15" customHeight="1">
      <c r="B941" s="94"/>
      <c r="C941" s="40" t="s">
        <v>20</v>
      </c>
      <c r="D941" s="39">
        <v>53</v>
      </c>
      <c r="E941" s="38">
        <v>2.3374790508952988E-3</v>
      </c>
    </row>
    <row r="942" spans="2:5" ht="15" customHeight="1">
      <c r="B942" s="92" t="s">
        <v>59</v>
      </c>
      <c r="C942" s="43" t="s">
        <v>140</v>
      </c>
      <c r="D942" s="42">
        <v>3</v>
      </c>
      <c r="E942" s="41">
        <v>1.3231013495633765E-4</v>
      </c>
    </row>
    <row r="943" spans="2:5" ht="15" customHeight="1">
      <c r="B943" s="93"/>
      <c r="C943" s="43" t="s">
        <v>132</v>
      </c>
      <c r="D943" s="42">
        <v>10</v>
      </c>
      <c r="E943" s="41">
        <v>4.410337831877922E-4</v>
      </c>
    </row>
    <row r="944" spans="2:5" ht="15" customHeight="1">
      <c r="B944" s="93"/>
      <c r="C944" s="43" t="s">
        <v>129</v>
      </c>
      <c r="D944" s="42">
        <v>1</v>
      </c>
      <c r="E944" s="41">
        <v>4.4103378318779218E-5</v>
      </c>
    </row>
    <row r="945" spans="2:5" ht="15" customHeight="1">
      <c r="B945" s="93"/>
      <c r="C945" s="43" t="s">
        <v>145</v>
      </c>
      <c r="D945" s="42">
        <v>1</v>
      </c>
      <c r="E945" s="41">
        <v>4.4103378318779218E-5</v>
      </c>
    </row>
    <row r="946" spans="2:5" ht="15" customHeight="1">
      <c r="B946" s="93"/>
      <c r="C946" s="43" t="s">
        <v>120</v>
      </c>
      <c r="D946" s="42">
        <v>3</v>
      </c>
      <c r="E946" s="41">
        <v>1.3231013495633765E-4</v>
      </c>
    </row>
    <row r="947" spans="2:5" ht="15" customHeight="1">
      <c r="B947" s="93"/>
      <c r="C947" s="43" t="s">
        <v>151</v>
      </c>
      <c r="D947" s="42">
        <v>17</v>
      </c>
      <c r="E947" s="41">
        <v>7.4975743141924667E-4</v>
      </c>
    </row>
    <row r="948" spans="2:5" ht="15" customHeight="1">
      <c r="B948" s="93"/>
      <c r="C948" s="43" t="s">
        <v>128</v>
      </c>
      <c r="D948" s="42">
        <v>3</v>
      </c>
      <c r="E948" s="41">
        <v>1.3231013495633765E-4</v>
      </c>
    </row>
    <row r="949" spans="2:5" ht="15" customHeight="1">
      <c r="B949" s="93"/>
      <c r="C949" s="43" t="s">
        <v>134</v>
      </c>
      <c r="D949" s="42">
        <v>1</v>
      </c>
      <c r="E949" s="41">
        <v>4.4103378318779218E-5</v>
      </c>
    </row>
    <row r="950" spans="2:5" ht="15" customHeight="1">
      <c r="B950" s="93"/>
      <c r="C950" s="43" t="s">
        <v>172</v>
      </c>
      <c r="D950" s="42">
        <v>69</v>
      </c>
      <c r="E950" s="41">
        <v>3.0431331039957659E-3</v>
      </c>
    </row>
    <row r="951" spans="2:5" ht="15" customHeight="1">
      <c r="B951" s="93"/>
      <c r="C951" s="43" t="s">
        <v>139</v>
      </c>
      <c r="D951" s="42">
        <v>2</v>
      </c>
      <c r="E951" s="41">
        <v>8.8206756637558437E-5</v>
      </c>
    </row>
    <row r="952" spans="2:5" ht="15" customHeight="1">
      <c r="B952" s="93"/>
      <c r="C952" s="43" t="s">
        <v>159</v>
      </c>
      <c r="D952" s="42">
        <v>13</v>
      </c>
      <c r="E952" s="41">
        <v>5.7334391814412987E-4</v>
      </c>
    </row>
    <row r="953" spans="2:5" ht="15" customHeight="1">
      <c r="B953" s="93"/>
      <c r="C953" s="43" t="s">
        <v>157</v>
      </c>
      <c r="D953" s="42">
        <v>16</v>
      </c>
      <c r="E953" s="41">
        <v>7.0565405310046749E-4</v>
      </c>
    </row>
    <row r="954" spans="2:5" ht="15" customHeight="1">
      <c r="B954" s="93"/>
      <c r="C954" s="43" t="s">
        <v>164</v>
      </c>
      <c r="D954" s="42">
        <v>217</v>
      </c>
      <c r="E954" s="41">
        <v>9.5704330951750897E-3</v>
      </c>
    </row>
    <row r="955" spans="2:5" ht="15" customHeight="1">
      <c r="B955" s="93"/>
      <c r="C955" s="43" t="s">
        <v>136</v>
      </c>
      <c r="D955" s="42">
        <v>1</v>
      </c>
      <c r="E955" s="41">
        <v>4.4103378318779218E-5</v>
      </c>
    </row>
    <row r="956" spans="2:5" ht="15" customHeight="1">
      <c r="B956" s="93"/>
      <c r="C956" s="43" t="s">
        <v>162</v>
      </c>
      <c r="D956" s="42">
        <v>7</v>
      </c>
      <c r="E956" s="41">
        <v>3.0872364823145452E-4</v>
      </c>
    </row>
    <row r="957" spans="2:5" ht="15" customHeight="1">
      <c r="B957" s="93"/>
      <c r="C957" s="43" t="s">
        <v>166</v>
      </c>
      <c r="D957" s="42">
        <v>1</v>
      </c>
      <c r="E957" s="41">
        <v>4.4103378318779218E-5</v>
      </c>
    </row>
    <row r="958" spans="2:5" ht="15" customHeight="1">
      <c r="B958" s="93"/>
      <c r="C958" s="43" t="s">
        <v>158</v>
      </c>
      <c r="D958" s="42">
        <v>58</v>
      </c>
      <c r="E958" s="41">
        <v>2.5579959424891947E-3</v>
      </c>
    </row>
    <row r="959" spans="2:5" ht="15" customHeight="1">
      <c r="B959" s="93"/>
      <c r="C959" s="43" t="s">
        <v>153</v>
      </c>
      <c r="D959" s="42">
        <v>6</v>
      </c>
      <c r="E959" s="41">
        <v>2.646202699126753E-4</v>
      </c>
    </row>
    <row r="960" spans="2:5" ht="15" customHeight="1">
      <c r="B960" s="93"/>
      <c r="C960" s="43" t="s">
        <v>143</v>
      </c>
      <c r="D960" s="42">
        <v>5</v>
      </c>
      <c r="E960" s="41">
        <v>2.205168915938961E-4</v>
      </c>
    </row>
    <row r="961" spans="2:5" ht="15" customHeight="1">
      <c r="B961" s="93"/>
      <c r="C961" s="43" t="s">
        <v>141</v>
      </c>
      <c r="D961" s="42">
        <v>8</v>
      </c>
      <c r="E961" s="41">
        <v>3.5282702655023375E-4</v>
      </c>
    </row>
    <row r="962" spans="2:5" ht="15" customHeight="1">
      <c r="B962" s="93"/>
      <c r="C962" s="43" t="s">
        <v>156</v>
      </c>
      <c r="D962" s="42">
        <v>27</v>
      </c>
      <c r="E962" s="41">
        <v>1.1907912146070388E-3</v>
      </c>
    </row>
    <row r="963" spans="2:5" ht="15" customHeight="1">
      <c r="B963" s="93"/>
      <c r="C963" s="43" t="s">
        <v>152</v>
      </c>
      <c r="D963" s="42">
        <v>8</v>
      </c>
      <c r="E963" s="41">
        <v>3.5282702655023375E-4</v>
      </c>
    </row>
    <row r="964" spans="2:5" ht="15" customHeight="1">
      <c r="B964" s="93"/>
      <c r="C964" s="43" t="s">
        <v>130</v>
      </c>
      <c r="D964" s="42">
        <v>1</v>
      </c>
      <c r="E964" s="41">
        <v>4.4103378318779218E-5</v>
      </c>
    </row>
    <row r="965" spans="2:5" ht="15" customHeight="1">
      <c r="B965" s="93"/>
      <c r="C965" s="43" t="s">
        <v>163</v>
      </c>
      <c r="D965" s="42">
        <v>74</v>
      </c>
      <c r="E965" s="41">
        <v>3.2636499955896623E-3</v>
      </c>
    </row>
    <row r="966" spans="2:5" ht="15" customHeight="1">
      <c r="B966" s="93"/>
      <c r="C966" s="43" t="s">
        <v>161</v>
      </c>
      <c r="D966" s="42">
        <v>2</v>
      </c>
      <c r="E966" s="41">
        <v>8.8206756637558437E-5</v>
      </c>
    </row>
    <row r="967" spans="2:5" ht="15" customHeight="1">
      <c r="B967" s="93"/>
      <c r="C967" s="43" t="s">
        <v>127</v>
      </c>
      <c r="D967" s="42">
        <v>3</v>
      </c>
      <c r="E967" s="41">
        <v>1.3231013495633765E-4</v>
      </c>
    </row>
    <row r="968" spans="2:5" ht="15" customHeight="1">
      <c r="B968" s="93"/>
      <c r="C968" s="43" t="s">
        <v>169</v>
      </c>
      <c r="D968" s="42">
        <v>12</v>
      </c>
      <c r="E968" s="41">
        <v>5.2924053982535059E-4</v>
      </c>
    </row>
    <row r="969" spans="2:5" ht="15" customHeight="1">
      <c r="B969" s="93"/>
      <c r="C969" s="43" t="s">
        <v>171</v>
      </c>
      <c r="D969" s="42">
        <v>69</v>
      </c>
      <c r="E969" s="41">
        <v>3.0431331039957659E-3</v>
      </c>
    </row>
    <row r="970" spans="2:5" ht="15" customHeight="1">
      <c r="B970" s="93"/>
      <c r="C970" s="43" t="s">
        <v>160</v>
      </c>
      <c r="D970" s="42">
        <v>17</v>
      </c>
      <c r="E970" s="41">
        <v>7.4975743141924667E-4</v>
      </c>
    </row>
    <row r="971" spans="2:5" ht="15" customHeight="1">
      <c r="B971" s="93"/>
      <c r="C971" s="43" t="s">
        <v>168</v>
      </c>
      <c r="D971" s="42">
        <v>21</v>
      </c>
      <c r="E971" s="41">
        <v>9.2617094469436357E-4</v>
      </c>
    </row>
    <row r="972" spans="2:5" ht="15" customHeight="1">
      <c r="B972" s="93"/>
      <c r="C972" s="43" t="s">
        <v>149</v>
      </c>
      <c r="D972" s="42">
        <v>2</v>
      </c>
      <c r="E972" s="41">
        <v>8.8206756637558437E-5</v>
      </c>
    </row>
    <row r="973" spans="2:5" ht="15" customHeight="1">
      <c r="B973" s="93"/>
      <c r="C973" s="43" t="s">
        <v>144</v>
      </c>
      <c r="D973" s="42">
        <v>1</v>
      </c>
      <c r="E973" s="41">
        <v>4.4103378318779218E-5</v>
      </c>
    </row>
    <row r="974" spans="2:5" ht="15" customHeight="1">
      <c r="B974" s="93"/>
      <c r="C974" s="43" t="s">
        <v>150</v>
      </c>
      <c r="D974" s="42">
        <v>2</v>
      </c>
      <c r="E974" s="41">
        <v>8.8206756637558437E-5</v>
      </c>
    </row>
    <row r="975" spans="2:5" ht="15" customHeight="1">
      <c r="B975" s="93"/>
      <c r="C975" s="43" t="s">
        <v>138</v>
      </c>
      <c r="D975" s="42">
        <v>1</v>
      </c>
      <c r="E975" s="41">
        <v>4.4103378318779218E-5</v>
      </c>
    </row>
    <row r="976" spans="2:5" ht="15" customHeight="1">
      <c r="B976" s="93"/>
      <c r="C976" s="43" t="s">
        <v>155</v>
      </c>
      <c r="D976" s="42">
        <v>2</v>
      </c>
      <c r="E976" s="41">
        <v>8.8206756637558437E-5</v>
      </c>
    </row>
    <row r="977" spans="2:5" ht="15" customHeight="1">
      <c r="B977" s="93"/>
      <c r="C977" s="43" t="s">
        <v>116</v>
      </c>
      <c r="D977" s="42">
        <v>1</v>
      </c>
      <c r="E977" s="41">
        <v>4.4103378318779218E-5</v>
      </c>
    </row>
    <row r="978" spans="2:5" ht="15" customHeight="1">
      <c r="B978" s="93"/>
      <c r="C978" s="43" t="s">
        <v>170</v>
      </c>
      <c r="D978" s="42">
        <v>5</v>
      </c>
      <c r="E978" s="41">
        <v>2.205168915938961E-4</v>
      </c>
    </row>
    <row r="979" spans="2:5" ht="15" customHeight="1">
      <c r="B979" s="93"/>
      <c r="C979" s="43" t="s">
        <v>123</v>
      </c>
      <c r="D979" s="42">
        <v>12</v>
      </c>
      <c r="E979" s="41">
        <v>5.2924053982535059E-4</v>
      </c>
    </row>
    <row r="980" spans="2:5" ht="15" customHeight="1">
      <c r="B980" s="93"/>
      <c r="C980" s="43" t="s">
        <v>154</v>
      </c>
      <c r="D980" s="42">
        <v>14</v>
      </c>
      <c r="E980" s="41">
        <v>6.1744729646290904E-4</v>
      </c>
    </row>
    <row r="981" spans="2:5" ht="15" customHeight="1">
      <c r="B981" s="93"/>
      <c r="C981" s="43" t="s">
        <v>147</v>
      </c>
      <c r="D981" s="42">
        <v>1</v>
      </c>
      <c r="E981" s="41">
        <v>4.4103378318779218E-5</v>
      </c>
    </row>
    <row r="982" spans="2:5" ht="15" customHeight="1">
      <c r="B982" s="93"/>
      <c r="C982" s="43" t="s">
        <v>146</v>
      </c>
      <c r="D982" s="42">
        <v>3</v>
      </c>
      <c r="E982" s="41">
        <v>1.3231013495633765E-4</v>
      </c>
    </row>
    <row r="983" spans="2:5" ht="15" customHeight="1">
      <c r="B983" s="93"/>
      <c r="C983" s="43" t="s">
        <v>167</v>
      </c>
      <c r="D983" s="42">
        <v>19</v>
      </c>
      <c r="E983" s="41">
        <v>8.3796418805680512E-4</v>
      </c>
    </row>
    <row r="984" spans="2:5" ht="15" customHeight="1">
      <c r="B984" s="93"/>
      <c r="C984" s="43" t="s">
        <v>165</v>
      </c>
      <c r="D984" s="42">
        <v>44</v>
      </c>
      <c r="E984" s="41">
        <v>1.9405486460262857E-3</v>
      </c>
    </row>
    <row r="985" spans="2:5" ht="15" customHeight="1">
      <c r="B985" s="94"/>
      <c r="C985" s="40" t="s">
        <v>20</v>
      </c>
      <c r="D985" s="39">
        <v>783</v>
      </c>
      <c r="E985" s="38">
        <v>3.4532945223604131E-2</v>
      </c>
    </row>
    <row r="986" spans="2:5" ht="15" customHeight="1">
      <c r="B986" s="92" t="s">
        <v>40</v>
      </c>
      <c r="C986" s="43" t="s">
        <v>140</v>
      </c>
      <c r="D986" s="42">
        <v>5</v>
      </c>
      <c r="E986" s="41">
        <v>2.205168915938961E-4</v>
      </c>
    </row>
    <row r="987" spans="2:5" ht="15" customHeight="1">
      <c r="B987" s="93"/>
      <c r="C987" s="43" t="s">
        <v>132</v>
      </c>
      <c r="D987" s="42">
        <v>1</v>
      </c>
      <c r="E987" s="41">
        <v>4.4103378318779218E-5</v>
      </c>
    </row>
    <row r="988" spans="2:5" ht="15" customHeight="1">
      <c r="B988" s="93"/>
      <c r="C988" s="43" t="s">
        <v>129</v>
      </c>
      <c r="D988" s="42">
        <v>1</v>
      </c>
      <c r="E988" s="41">
        <v>4.4103378318779218E-5</v>
      </c>
    </row>
    <row r="989" spans="2:5" ht="15" customHeight="1">
      <c r="B989" s="93"/>
      <c r="C989" s="43" t="s">
        <v>145</v>
      </c>
      <c r="D989" s="42">
        <v>1</v>
      </c>
      <c r="E989" s="41">
        <v>4.4103378318779218E-5</v>
      </c>
    </row>
    <row r="990" spans="2:5" ht="15" customHeight="1">
      <c r="B990" s="93"/>
      <c r="C990" s="43" t="s">
        <v>151</v>
      </c>
      <c r="D990" s="42">
        <v>2</v>
      </c>
      <c r="E990" s="41">
        <v>8.8206756637558437E-5</v>
      </c>
    </row>
    <row r="991" spans="2:5" ht="15" customHeight="1">
      <c r="B991" s="93"/>
      <c r="C991" s="43" t="s">
        <v>128</v>
      </c>
      <c r="D991" s="42">
        <v>1</v>
      </c>
      <c r="E991" s="41">
        <v>4.4103378318779218E-5</v>
      </c>
    </row>
    <row r="992" spans="2:5" ht="15" customHeight="1">
      <c r="B992" s="93"/>
      <c r="C992" s="43" t="s">
        <v>134</v>
      </c>
      <c r="D992" s="42">
        <v>2</v>
      </c>
      <c r="E992" s="41">
        <v>8.8206756637558437E-5</v>
      </c>
    </row>
    <row r="993" spans="2:5" ht="15" customHeight="1">
      <c r="B993" s="93"/>
      <c r="C993" s="43" t="s">
        <v>172</v>
      </c>
      <c r="D993" s="42">
        <v>6</v>
      </c>
      <c r="E993" s="41">
        <v>2.646202699126753E-4</v>
      </c>
    </row>
    <row r="994" spans="2:5" ht="15" customHeight="1">
      <c r="B994" s="93"/>
      <c r="C994" s="43" t="s">
        <v>164</v>
      </c>
      <c r="D994" s="42">
        <v>2</v>
      </c>
      <c r="E994" s="41">
        <v>8.8206756637558437E-5</v>
      </c>
    </row>
    <row r="995" spans="2:5" ht="15" customHeight="1">
      <c r="B995" s="93"/>
      <c r="C995" s="43" t="s">
        <v>162</v>
      </c>
      <c r="D995" s="42">
        <v>2</v>
      </c>
      <c r="E995" s="41">
        <v>8.8206756637558437E-5</v>
      </c>
    </row>
    <row r="996" spans="2:5" ht="15" customHeight="1">
      <c r="B996" s="93"/>
      <c r="C996" s="43" t="s">
        <v>166</v>
      </c>
      <c r="D996" s="42">
        <v>5</v>
      </c>
      <c r="E996" s="41">
        <v>2.205168915938961E-4</v>
      </c>
    </row>
    <row r="997" spans="2:5" ht="15" customHeight="1">
      <c r="B997" s="93"/>
      <c r="C997" s="43" t="s">
        <v>148</v>
      </c>
      <c r="D997" s="42">
        <v>4</v>
      </c>
      <c r="E997" s="41">
        <v>1.7641351327511687E-4</v>
      </c>
    </row>
    <row r="998" spans="2:5" ht="15" customHeight="1">
      <c r="B998" s="93"/>
      <c r="C998" s="43" t="s">
        <v>141</v>
      </c>
      <c r="D998" s="42">
        <v>1</v>
      </c>
      <c r="E998" s="41">
        <v>4.4103378318779218E-5</v>
      </c>
    </row>
    <row r="999" spans="2:5" ht="15" customHeight="1">
      <c r="B999" s="93"/>
      <c r="C999" s="43" t="s">
        <v>125</v>
      </c>
      <c r="D999" s="42">
        <v>1</v>
      </c>
      <c r="E999" s="41">
        <v>4.4103378318779218E-5</v>
      </c>
    </row>
    <row r="1000" spans="2:5" ht="15" customHeight="1">
      <c r="B1000" s="93"/>
      <c r="C1000" s="43" t="s">
        <v>152</v>
      </c>
      <c r="D1000" s="42">
        <v>1</v>
      </c>
      <c r="E1000" s="41">
        <v>4.4103378318779218E-5</v>
      </c>
    </row>
    <row r="1001" spans="2:5" ht="15" customHeight="1">
      <c r="B1001" s="93"/>
      <c r="C1001" s="43" t="s">
        <v>163</v>
      </c>
      <c r="D1001" s="42">
        <v>1</v>
      </c>
      <c r="E1001" s="41">
        <v>4.4103378318779218E-5</v>
      </c>
    </row>
    <row r="1002" spans="2:5" ht="15" customHeight="1">
      <c r="B1002" s="93"/>
      <c r="C1002" s="43" t="s">
        <v>161</v>
      </c>
      <c r="D1002" s="42">
        <v>1</v>
      </c>
      <c r="E1002" s="41">
        <v>4.4103378318779218E-5</v>
      </c>
    </row>
    <row r="1003" spans="2:5" ht="15" customHeight="1">
      <c r="B1003" s="93"/>
      <c r="C1003" s="43" t="s">
        <v>169</v>
      </c>
      <c r="D1003" s="42">
        <v>5</v>
      </c>
      <c r="E1003" s="41">
        <v>2.205168915938961E-4</v>
      </c>
    </row>
    <row r="1004" spans="2:5" ht="15" customHeight="1">
      <c r="B1004" s="93"/>
      <c r="C1004" s="43" t="s">
        <v>160</v>
      </c>
      <c r="D1004" s="42">
        <v>1</v>
      </c>
      <c r="E1004" s="41">
        <v>4.4103378318779218E-5</v>
      </c>
    </row>
    <row r="1005" spans="2:5" ht="15" customHeight="1">
      <c r="B1005" s="93"/>
      <c r="C1005" s="43" t="s">
        <v>168</v>
      </c>
      <c r="D1005" s="42">
        <v>3</v>
      </c>
      <c r="E1005" s="41">
        <v>1.3231013495633765E-4</v>
      </c>
    </row>
    <row r="1006" spans="2:5" ht="15" customHeight="1">
      <c r="B1006" s="93"/>
      <c r="C1006" s="43" t="s">
        <v>149</v>
      </c>
      <c r="D1006" s="42">
        <v>2</v>
      </c>
      <c r="E1006" s="41">
        <v>8.8206756637558437E-5</v>
      </c>
    </row>
    <row r="1007" spans="2:5" ht="15" customHeight="1">
      <c r="B1007" s="93"/>
      <c r="C1007" s="43" t="s">
        <v>144</v>
      </c>
      <c r="D1007" s="42">
        <v>2</v>
      </c>
      <c r="E1007" s="41">
        <v>8.8206756637558437E-5</v>
      </c>
    </row>
    <row r="1008" spans="2:5" ht="15" customHeight="1">
      <c r="B1008" s="93"/>
      <c r="C1008" s="43" t="s">
        <v>150</v>
      </c>
      <c r="D1008" s="42">
        <v>1</v>
      </c>
      <c r="E1008" s="41">
        <v>4.4103378318779218E-5</v>
      </c>
    </row>
    <row r="1009" spans="2:5" ht="15" customHeight="1">
      <c r="B1009" s="93"/>
      <c r="C1009" s="43" t="s">
        <v>138</v>
      </c>
      <c r="D1009" s="42">
        <v>4</v>
      </c>
      <c r="E1009" s="41">
        <v>1.7641351327511687E-4</v>
      </c>
    </row>
    <row r="1010" spans="2:5" ht="15" customHeight="1">
      <c r="B1010" s="93"/>
      <c r="C1010" s="43" t="s">
        <v>155</v>
      </c>
      <c r="D1010" s="42">
        <v>5</v>
      </c>
      <c r="E1010" s="41">
        <v>2.205168915938961E-4</v>
      </c>
    </row>
    <row r="1011" spans="2:5" ht="15" customHeight="1">
      <c r="B1011" s="93"/>
      <c r="C1011" s="43" t="s">
        <v>119</v>
      </c>
      <c r="D1011" s="42">
        <v>2</v>
      </c>
      <c r="E1011" s="41">
        <v>8.8206756637558437E-5</v>
      </c>
    </row>
    <row r="1012" spans="2:5" ht="15" customHeight="1">
      <c r="B1012" s="93"/>
      <c r="C1012" s="43" t="s">
        <v>170</v>
      </c>
      <c r="D1012" s="42">
        <v>10</v>
      </c>
      <c r="E1012" s="41">
        <v>4.410337831877922E-4</v>
      </c>
    </row>
    <row r="1013" spans="2:5" ht="15" customHeight="1">
      <c r="B1013" s="93"/>
      <c r="C1013" s="43" t="s">
        <v>154</v>
      </c>
      <c r="D1013" s="42">
        <v>1</v>
      </c>
      <c r="E1013" s="41">
        <v>4.4103378318779218E-5</v>
      </c>
    </row>
    <row r="1014" spans="2:5" ht="15" customHeight="1">
      <c r="B1014" s="93"/>
      <c r="C1014" s="43" t="s">
        <v>147</v>
      </c>
      <c r="D1014" s="42">
        <v>1</v>
      </c>
      <c r="E1014" s="41">
        <v>4.4103378318779218E-5</v>
      </c>
    </row>
    <row r="1015" spans="2:5" ht="15" customHeight="1">
      <c r="B1015" s="93"/>
      <c r="C1015" s="43" t="s">
        <v>167</v>
      </c>
      <c r="D1015" s="42">
        <v>8</v>
      </c>
      <c r="E1015" s="41">
        <v>3.5282702655023375E-4</v>
      </c>
    </row>
    <row r="1016" spans="2:5" ht="15" customHeight="1">
      <c r="B1016" s="93"/>
      <c r="C1016" s="43" t="s">
        <v>165</v>
      </c>
      <c r="D1016" s="42">
        <v>8</v>
      </c>
      <c r="E1016" s="41">
        <v>3.5282702655023375E-4</v>
      </c>
    </row>
    <row r="1017" spans="2:5" ht="15" customHeight="1">
      <c r="B1017" s="94"/>
      <c r="C1017" s="40" t="s">
        <v>20</v>
      </c>
      <c r="D1017" s="39">
        <v>90</v>
      </c>
      <c r="E1017" s="38">
        <v>3.9693040486901299E-3</v>
      </c>
    </row>
    <row r="1018" spans="2:5" ht="15" customHeight="1">
      <c r="B1018" s="92" t="s">
        <v>31</v>
      </c>
      <c r="C1018" s="43" t="s">
        <v>120</v>
      </c>
      <c r="D1018" s="42">
        <v>1</v>
      </c>
      <c r="E1018" s="41">
        <v>4.4103378318779218E-5</v>
      </c>
    </row>
    <row r="1019" spans="2:5" ht="15" customHeight="1">
      <c r="B1019" s="93"/>
      <c r="C1019" s="43" t="s">
        <v>172</v>
      </c>
      <c r="D1019" s="42">
        <v>22</v>
      </c>
      <c r="E1019" s="41">
        <v>9.7027432301314285E-4</v>
      </c>
    </row>
    <row r="1020" spans="2:5" ht="15" customHeight="1">
      <c r="B1020" s="93"/>
      <c r="C1020" s="43" t="s">
        <v>164</v>
      </c>
      <c r="D1020" s="42">
        <v>1</v>
      </c>
      <c r="E1020" s="41">
        <v>4.4103378318779218E-5</v>
      </c>
    </row>
    <row r="1021" spans="2:5" ht="15" customHeight="1">
      <c r="B1021" s="93"/>
      <c r="C1021" s="43" t="s">
        <v>166</v>
      </c>
      <c r="D1021" s="42">
        <v>2</v>
      </c>
      <c r="E1021" s="41">
        <v>8.8206756637558437E-5</v>
      </c>
    </row>
    <row r="1022" spans="2:5" ht="15" customHeight="1">
      <c r="B1022" s="93"/>
      <c r="C1022" s="43" t="s">
        <v>169</v>
      </c>
      <c r="D1022" s="42">
        <v>2</v>
      </c>
      <c r="E1022" s="41">
        <v>8.8206756637558437E-5</v>
      </c>
    </row>
    <row r="1023" spans="2:5" ht="15" customHeight="1">
      <c r="B1023" s="93"/>
      <c r="C1023" s="43" t="s">
        <v>171</v>
      </c>
      <c r="D1023" s="42">
        <v>5</v>
      </c>
      <c r="E1023" s="41">
        <v>2.205168915938961E-4</v>
      </c>
    </row>
    <row r="1024" spans="2:5" ht="15" customHeight="1">
      <c r="B1024" s="93"/>
      <c r="C1024" s="43" t="s">
        <v>168</v>
      </c>
      <c r="D1024" s="42">
        <v>2</v>
      </c>
      <c r="E1024" s="41">
        <v>8.8206756637558437E-5</v>
      </c>
    </row>
    <row r="1025" spans="2:5" ht="15" customHeight="1">
      <c r="B1025" s="93"/>
      <c r="C1025" s="43" t="s">
        <v>155</v>
      </c>
      <c r="D1025" s="42">
        <v>1</v>
      </c>
      <c r="E1025" s="41">
        <v>4.4103378318779218E-5</v>
      </c>
    </row>
    <row r="1026" spans="2:5" ht="15" customHeight="1">
      <c r="B1026" s="93"/>
      <c r="C1026" s="43" t="s">
        <v>170</v>
      </c>
      <c r="D1026" s="42">
        <v>1</v>
      </c>
      <c r="E1026" s="41">
        <v>4.4103378318779218E-5</v>
      </c>
    </row>
    <row r="1027" spans="2:5" ht="15" customHeight="1">
      <c r="B1027" s="93"/>
      <c r="C1027" s="43" t="s">
        <v>154</v>
      </c>
      <c r="D1027" s="42">
        <v>3</v>
      </c>
      <c r="E1027" s="41">
        <v>1.3231013495633765E-4</v>
      </c>
    </row>
    <row r="1028" spans="2:5" ht="15" customHeight="1">
      <c r="B1028" s="93"/>
      <c r="C1028" s="43" t="s">
        <v>167</v>
      </c>
      <c r="D1028" s="42">
        <v>1</v>
      </c>
      <c r="E1028" s="41">
        <v>4.4103378318779218E-5</v>
      </c>
    </row>
    <row r="1029" spans="2:5" ht="15" customHeight="1">
      <c r="B1029" s="93"/>
      <c r="C1029" s="43" t="s">
        <v>165</v>
      </c>
      <c r="D1029" s="42">
        <v>1</v>
      </c>
      <c r="E1029" s="41">
        <v>4.4103378318779218E-5</v>
      </c>
    </row>
    <row r="1030" spans="2:5" ht="15" customHeight="1">
      <c r="B1030" s="94"/>
      <c r="C1030" s="40" t="s">
        <v>20</v>
      </c>
      <c r="D1030" s="39">
        <v>42</v>
      </c>
      <c r="E1030" s="38">
        <v>1.8523418893887271E-3</v>
      </c>
    </row>
    <row r="1031" spans="2:5" ht="15" customHeight="1">
      <c r="B1031" s="92" t="s">
        <v>33</v>
      </c>
      <c r="C1031" s="43" t="s">
        <v>151</v>
      </c>
      <c r="D1031" s="42">
        <v>1</v>
      </c>
      <c r="E1031" s="41">
        <v>4.4103378318779218E-5</v>
      </c>
    </row>
    <row r="1032" spans="2:5" ht="15" customHeight="1">
      <c r="B1032" s="93"/>
      <c r="C1032" s="43" t="s">
        <v>172</v>
      </c>
      <c r="D1032" s="42">
        <v>4</v>
      </c>
      <c r="E1032" s="41">
        <v>1.7641351327511687E-4</v>
      </c>
    </row>
    <row r="1033" spans="2:5" ht="15" customHeight="1">
      <c r="B1033" s="93"/>
      <c r="C1033" s="43" t="s">
        <v>139</v>
      </c>
      <c r="D1033" s="42">
        <v>5</v>
      </c>
      <c r="E1033" s="41">
        <v>2.205168915938961E-4</v>
      </c>
    </row>
    <row r="1034" spans="2:5" ht="15" customHeight="1">
      <c r="B1034" s="93"/>
      <c r="C1034" s="43" t="s">
        <v>159</v>
      </c>
      <c r="D1034" s="42">
        <v>1</v>
      </c>
      <c r="E1034" s="41">
        <v>4.4103378318779218E-5</v>
      </c>
    </row>
    <row r="1035" spans="2:5" ht="15" customHeight="1">
      <c r="B1035" s="93"/>
      <c r="C1035" s="43" t="s">
        <v>157</v>
      </c>
      <c r="D1035" s="42">
        <v>5</v>
      </c>
      <c r="E1035" s="41">
        <v>2.205168915938961E-4</v>
      </c>
    </row>
    <row r="1036" spans="2:5" ht="15" customHeight="1">
      <c r="B1036" s="93"/>
      <c r="C1036" s="43" t="s">
        <v>164</v>
      </c>
      <c r="D1036" s="42">
        <v>2</v>
      </c>
      <c r="E1036" s="41">
        <v>8.8206756637558437E-5</v>
      </c>
    </row>
    <row r="1037" spans="2:5" ht="15" customHeight="1">
      <c r="B1037" s="93"/>
      <c r="C1037" s="43" t="s">
        <v>162</v>
      </c>
      <c r="D1037" s="42">
        <v>3</v>
      </c>
      <c r="E1037" s="41">
        <v>1.3231013495633765E-4</v>
      </c>
    </row>
    <row r="1038" spans="2:5" ht="15" customHeight="1">
      <c r="B1038" s="93"/>
      <c r="C1038" s="43" t="s">
        <v>166</v>
      </c>
      <c r="D1038" s="42">
        <v>1</v>
      </c>
      <c r="E1038" s="41">
        <v>4.4103378318779218E-5</v>
      </c>
    </row>
    <row r="1039" spans="2:5" ht="15" customHeight="1">
      <c r="B1039" s="93"/>
      <c r="C1039" s="43" t="s">
        <v>142</v>
      </c>
      <c r="D1039" s="42">
        <v>1</v>
      </c>
      <c r="E1039" s="41">
        <v>4.4103378318779218E-5</v>
      </c>
    </row>
    <row r="1040" spans="2:5" ht="15" customHeight="1">
      <c r="B1040" s="93"/>
      <c r="C1040" s="43" t="s">
        <v>153</v>
      </c>
      <c r="D1040" s="42">
        <v>5</v>
      </c>
      <c r="E1040" s="41">
        <v>2.205168915938961E-4</v>
      </c>
    </row>
    <row r="1041" spans="2:5" ht="15" customHeight="1">
      <c r="B1041" s="93"/>
      <c r="C1041" s="43" t="s">
        <v>124</v>
      </c>
      <c r="D1041" s="42">
        <v>1</v>
      </c>
      <c r="E1041" s="41">
        <v>4.4103378318779218E-5</v>
      </c>
    </row>
    <row r="1042" spans="2:5" ht="15" customHeight="1">
      <c r="B1042" s="93"/>
      <c r="C1042" s="43" t="s">
        <v>133</v>
      </c>
      <c r="D1042" s="42">
        <v>2</v>
      </c>
      <c r="E1042" s="41">
        <v>8.8206756637558437E-5</v>
      </c>
    </row>
    <row r="1043" spans="2:5" ht="15" customHeight="1">
      <c r="B1043" s="93"/>
      <c r="C1043" s="43" t="s">
        <v>163</v>
      </c>
      <c r="D1043" s="42">
        <v>3</v>
      </c>
      <c r="E1043" s="41">
        <v>1.3231013495633765E-4</v>
      </c>
    </row>
    <row r="1044" spans="2:5" ht="15" customHeight="1">
      <c r="B1044" s="93"/>
      <c r="C1044" s="43" t="s">
        <v>137</v>
      </c>
      <c r="D1044" s="42">
        <v>4</v>
      </c>
      <c r="E1044" s="41">
        <v>1.7641351327511687E-4</v>
      </c>
    </row>
    <row r="1045" spans="2:5" ht="15" customHeight="1">
      <c r="B1045" s="93"/>
      <c r="C1045" s="43" t="s">
        <v>161</v>
      </c>
      <c r="D1045" s="42">
        <v>3</v>
      </c>
      <c r="E1045" s="41">
        <v>1.3231013495633765E-4</v>
      </c>
    </row>
    <row r="1046" spans="2:5" ht="15" customHeight="1">
      <c r="B1046" s="93"/>
      <c r="C1046" s="43" t="s">
        <v>127</v>
      </c>
      <c r="D1046" s="42">
        <v>1</v>
      </c>
      <c r="E1046" s="41">
        <v>4.4103378318779218E-5</v>
      </c>
    </row>
    <row r="1047" spans="2:5" ht="15" customHeight="1">
      <c r="B1047" s="93"/>
      <c r="C1047" s="43" t="s">
        <v>169</v>
      </c>
      <c r="D1047" s="42">
        <v>19</v>
      </c>
      <c r="E1047" s="41">
        <v>8.3796418805680512E-4</v>
      </c>
    </row>
    <row r="1048" spans="2:5" ht="15" customHeight="1">
      <c r="B1048" s="93"/>
      <c r="C1048" s="43" t="s">
        <v>171</v>
      </c>
      <c r="D1048" s="42">
        <v>11</v>
      </c>
      <c r="E1048" s="41">
        <v>4.8513716150657142E-4</v>
      </c>
    </row>
    <row r="1049" spans="2:5" ht="15" customHeight="1">
      <c r="B1049" s="93"/>
      <c r="C1049" s="43" t="s">
        <v>160</v>
      </c>
      <c r="D1049" s="42">
        <v>2</v>
      </c>
      <c r="E1049" s="41">
        <v>8.8206756637558437E-5</v>
      </c>
    </row>
    <row r="1050" spans="2:5" ht="15" customHeight="1">
      <c r="B1050" s="93"/>
      <c r="C1050" s="43" t="s">
        <v>168</v>
      </c>
      <c r="D1050" s="42">
        <v>4</v>
      </c>
      <c r="E1050" s="41">
        <v>1.7641351327511687E-4</v>
      </c>
    </row>
    <row r="1051" spans="2:5" ht="15" customHeight="1">
      <c r="B1051" s="93"/>
      <c r="C1051" s="43" t="s">
        <v>149</v>
      </c>
      <c r="D1051" s="42">
        <v>1</v>
      </c>
      <c r="E1051" s="41">
        <v>4.4103378318779218E-5</v>
      </c>
    </row>
    <row r="1052" spans="2:5" ht="15" customHeight="1">
      <c r="B1052" s="93"/>
      <c r="C1052" s="43" t="s">
        <v>144</v>
      </c>
      <c r="D1052" s="42">
        <v>1</v>
      </c>
      <c r="E1052" s="41">
        <v>4.4103378318779218E-5</v>
      </c>
    </row>
    <row r="1053" spans="2:5" ht="15" customHeight="1">
      <c r="B1053" s="93"/>
      <c r="C1053" s="43" t="s">
        <v>138</v>
      </c>
      <c r="D1053" s="42">
        <v>1</v>
      </c>
      <c r="E1053" s="41">
        <v>4.4103378318779218E-5</v>
      </c>
    </row>
    <row r="1054" spans="2:5" ht="15" customHeight="1">
      <c r="B1054" s="93"/>
      <c r="C1054" s="43" t="s">
        <v>155</v>
      </c>
      <c r="D1054" s="42">
        <v>1</v>
      </c>
      <c r="E1054" s="41">
        <v>4.4103378318779218E-5</v>
      </c>
    </row>
    <row r="1055" spans="2:5" ht="15" customHeight="1">
      <c r="B1055" s="93"/>
      <c r="C1055" s="43" t="s">
        <v>170</v>
      </c>
      <c r="D1055" s="42">
        <v>1</v>
      </c>
      <c r="E1055" s="41">
        <v>4.4103378318779218E-5</v>
      </c>
    </row>
    <row r="1056" spans="2:5" ht="15" customHeight="1">
      <c r="B1056" s="93"/>
      <c r="C1056" s="43" t="s">
        <v>131</v>
      </c>
      <c r="D1056" s="42">
        <v>5</v>
      </c>
      <c r="E1056" s="41">
        <v>2.205168915938961E-4</v>
      </c>
    </row>
    <row r="1057" spans="2:5" ht="15" customHeight="1">
      <c r="B1057" s="93"/>
      <c r="C1057" s="43" t="s">
        <v>147</v>
      </c>
      <c r="D1057" s="42">
        <v>3</v>
      </c>
      <c r="E1057" s="41">
        <v>1.3231013495633765E-4</v>
      </c>
    </row>
    <row r="1058" spans="2:5" ht="15" customHeight="1">
      <c r="B1058" s="93"/>
      <c r="C1058" s="43" t="s">
        <v>146</v>
      </c>
      <c r="D1058" s="42">
        <v>1</v>
      </c>
      <c r="E1058" s="41">
        <v>4.4103378318779218E-5</v>
      </c>
    </row>
    <row r="1059" spans="2:5" ht="15" customHeight="1">
      <c r="B1059" s="93"/>
      <c r="C1059" s="43" t="s">
        <v>167</v>
      </c>
      <c r="D1059" s="42">
        <v>6</v>
      </c>
      <c r="E1059" s="41">
        <v>2.646202699126753E-4</v>
      </c>
    </row>
    <row r="1060" spans="2:5" ht="15" customHeight="1">
      <c r="B1060" s="93"/>
      <c r="C1060" s="43" t="s">
        <v>165</v>
      </c>
      <c r="D1060" s="42">
        <v>3</v>
      </c>
      <c r="E1060" s="41">
        <v>1.3231013495633765E-4</v>
      </c>
    </row>
    <row r="1061" spans="2:5" ht="15" customHeight="1">
      <c r="B1061" s="94"/>
      <c r="C1061" s="40" t="s">
        <v>20</v>
      </c>
      <c r="D1061" s="39">
        <v>101</v>
      </c>
      <c r="E1061" s="38">
        <v>4.4544412101967011E-3</v>
      </c>
    </row>
    <row r="1062" spans="2:5" ht="15" customHeight="1">
      <c r="B1062" s="92" t="s">
        <v>23</v>
      </c>
      <c r="C1062" s="43" t="s">
        <v>172</v>
      </c>
      <c r="D1062" s="42">
        <v>4</v>
      </c>
      <c r="E1062" s="41">
        <v>1.7641351327511687E-4</v>
      </c>
    </row>
    <row r="1063" spans="2:5" ht="15" customHeight="1">
      <c r="B1063" s="93"/>
      <c r="C1063" s="43" t="s">
        <v>166</v>
      </c>
      <c r="D1063" s="42">
        <v>2</v>
      </c>
      <c r="E1063" s="41">
        <v>8.8206756637558437E-5</v>
      </c>
    </row>
    <row r="1064" spans="2:5" ht="15" customHeight="1">
      <c r="B1064" s="93"/>
      <c r="C1064" s="43" t="s">
        <v>171</v>
      </c>
      <c r="D1064" s="42">
        <v>1</v>
      </c>
      <c r="E1064" s="41">
        <v>4.4103378318779218E-5</v>
      </c>
    </row>
    <row r="1065" spans="2:5" ht="15" customHeight="1">
      <c r="B1065" s="93"/>
      <c r="C1065" s="43" t="s">
        <v>168</v>
      </c>
      <c r="D1065" s="42">
        <v>3</v>
      </c>
      <c r="E1065" s="41">
        <v>1.3231013495633765E-4</v>
      </c>
    </row>
    <row r="1066" spans="2:5" ht="15" customHeight="1">
      <c r="B1066" s="93"/>
      <c r="C1066" s="43" t="s">
        <v>150</v>
      </c>
      <c r="D1066" s="42">
        <v>1</v>
      </c>
      <c r="E1066" s="41">
        <v>4.4103378318779218E-5</v>
      </c>
    </row>
    <row r="1067" spans="2:5" ht="15" customHeight="1">
      <c r="B1067" s="93"/>
      <c r="C1067" s="43" t="s">
        <v>170</v>
      </c>
      <c r="D1067" s="42">
        <v>1</v>
      </c>
      <c r="E1067" s="41">
        <v>4.4103378318779218E-5</v>
      </c>
    </row>
    <row r="1068" spans="2:5" ht="15" customHeight="1">
      <c r="B1068" s="93"/>
      <c r="C1068" s="43" t="s">
        <v>154</v>
      </c>
      <c r="D1068" s="42">
        <v>6</v>
      </c>
      <c r="E1068" s="41">
        <v>2.646202699126753E-4</v>
      </c>
    </row>
    <row r="1069" spans="2:5" ht="15" customHeight="1">
      <c r="B1069" s="93"/>
      <c r="C1069" s="43" t="s">
        <v>165</v>
      </c>
      <c r="D1069" s="42">
        <v>1</v>
      </c>
      <c r="E1069" s="41">
        <v>4.4103378318779218E-5</v>
      </c>
    </row>
    <row r="1070" spans="2:5" ht="15" customHeight="1">
      <c r="B1070" s="94"/>
      <c r="C1070" s="40" t="s">
        <v>20</v>
      </c>
      <c r="D1070" s="39">
        <v>19</v>
      </c>
      <c r="E1070" s="38">
        <v>8.3796418805680512E-4</v>
      </c>
    </row>
    <row r="1071" spans="2:5" ht="15" customHeight="1">
      <c r="B1071" s="92" t="s">
        <v>53</v>
      </c>
      <c r="C1071" s="43" t="s">
        <v>140</v>
      </c>
      <c r="D1071" s="42">
        <v>1</v>
      </c>
      <c r="E1071" s="41">
        <v>4.4103378318779218E-5</v>
      </c>
    </row>
    <row r="1072" spans="2:5" ht="15" customHeight="1">
      <c r="B1072" s="93"/>
      <c r="C1072" s="43" t="s">
        <v>145</v>
      </c>
      <c r="D1072" s="42">
        <v>2</v>
      </c>
      <c r="E1072" s="41">
        <v>8.8206756637558437E-5</v>
      </c>
    </row>
    <row r="1073" spans="2:5" ht="15" customHeight="1">
      <c r="B1073" s="93"/>
      <c r="C1073" s="43" t="s">
        <v>151</v>
      </c>
      <c r="D1073" s="42">
        <v>2</v>
      </c>
      <c r="E1073" s="41">
        <v>8.8206756637558437E-5</v>
      </c>
    </row>
    <row r="1074" spans="2:5" ht="15" customHeight="1">
      <c r="B1074" s="93"/>
      <c r="C1074" s="43" t="s">
        <v>134</v>
      </c>
      <c r="D1074" s="42">
        <v>1</v>
      </c>
      <c r="E1074" s="41">
        <v>4.4103378318779218E-5</v>
      </c>
    </row>
    <row r="1075" spans="2:5" ht="15" customHeight="1">
      <c r="B1075" s="93"/>
      <c r="C1075" s="43" t="s">
        <v>172</v>
      </c>
      <c r="D1075" s="42">
        <v>28</v>
      </c>
      <c r="E1075" s="41">
        <v>1.2348945929258181E-3</v>
      </c>
    </row>
    <row r="1076" spans="2:5" ht="15" customHeight="1">
      <c r="B1076" s="93"/>
      <c r="C1076" s="43" t="s">
        <v>139</v>
      </c>
      <c r="D1076" s="42">
        <v>6</v>
      </c>
      <c r="E1076" s="41">
        <v>2.646202699126753E-4</v>
      </c>
    </row>
    <row r="1077" spans="2:5" ht="15" customHeight="1">
      <c r="B1077" s="93"/>
      <c r="C1077" s="43" t="s">
        <v>159</v>
      </c>
      <c r="D1077" s="42">
        <v>57</v>
      </c>
      <c r="E1077" s="41">
        <v>2.5138925641704155E-3</v>
      </c>
    </row>
    <row r="1078" spans="2:5" ht="15" customHeight="1">
      <c r="B1078" s="93"/>
      <c r="C1078" s="43" t="s">
        <v>157</v>
      </c>
      <c r="D1078" s="42">
        <v>1</v>
      </c>
      <c r="E1078" s="41">
        <v>4.4103378318779218E-5</v>
      </c>
    </row>
    <row r="1079" spans="2:5" ht="15" customHeight="1">
      <c r="B1079" s="93"/>
      <c r="C1079" s="43" t="s">
        <v>164</v>
      </c>
      <c r="D1079" s="42">
        <v>26</v>
      </c>
      <c r="E1079" s="41">
        <v>1.1466878362882597E-3</v>
      </c>
    </row>
    <row r="1080" spans="2:5" ht="15" customHeight="1">
      <c r="B1080" s="93"/>
      <c r="C1080" s="43" t="s">
        <v>136</v>
      </c>
      <c r="D1080" s="42">
        <v>2</v>
      </c>
      <c r="E1080" s="41">
        <v>8.8206756637558437E-5</v>
      </c>
    </row>
    <row r="1081" spans="2:5" ht="15" customHeight="1">
      <c r="B1081" s="93"/>
      <c r="C1081" s="43" t="s">
        <v>162</v>
      </c>
      <c r="D1081" s="42">
        <v>6</v>
      </c>
      <c r="E1081" s="41">
        <v>2.646202699126753E-4</v>
      </c>
    </row>
    <row r="1082" spans="2:5" ht="15" customHeight="1">
      <c r="B1082" s="93"/>
      <c r="C1082" s="43" t="s">
        <v>166</v>
      </c>
      <c r="D1082" s="42">
        <v>1</v>
      </c>
      <c r="E1082" s="41">
        <v>4.4103378318779218E-5</v>
      </c>
    </row>
    <row r="1083" spans="2:5" ht="15" customHeight="1">
      <c r="B1083" s="93"/>
      <c r="C1083" s="43" t="s">
        <v>158</v>
      </c>
      <c r="D1083" s="42">
        <v>14</v>
      </c>
      <c r="E1083" s="41">
        <v>6.1744729646290904E-4</v>
      </c>
    </row>
    <row r="1084" spans="2:5" ht="15" customHeight="1">
      <c r="B1084" s="93"/>
      <c r="C1084" s="43" t="s">
        <v>148</v>
      </c>
      <c r="D1084" s="42">
        <v>1</v>
      </c>
      <c r="E1084" s="41">
        <v>4.4103378318779218E-5</v>
      </c>
    </row>
    <row r="1085" spans="2:5" ht="15" customHeight="1">
      <c r="B1085" s="93"/>
      <c r="C1085" s="43" t="s">
        <v>153</v>
      </c>
      <c r="D1085" s="42">
        <v>5</v>
      </c>
      <c r="E1085" s="41">
        <v>2.205168915938961E-4</v>
      </c>
    </row>
    <row r="1086" spans="2:5" ht="15" customHeight="1">
      <c r="B1086" s="93"/>
      <c r="C1086" s="43" t="s">
        <v>143</v>
      </c>
      <c r="D1086" s="42">
        <v>1</v>
      </c>
      <c r="E1086" s="41">
        <v>4.4103378318779218E-5</v>
      </c>
    </row>
    <row r="1087" spans="2:5" ht="15" customHeight="1">
      <c r="B1087" s="93"/>
      <c r="C1087" s="43" t="s">
        <v>141</v>
      </c>
      <c r="D1087" s="42">
        <v>3</v>
      </c>
      <c r="E1087" s="41">
        <v>1.3231013495633765E-4</v>
      </c>
    </row>
    <row r="1088" spans="2:5" ht="15" customHeight="1">
      <c r="B1088" s="93"/>
      <c r="C1088" s="43" t="s">
        <v>156</v>
      </c>
      <c r="D1088" s="42">
        <v>1</v>
      </c>
      <c r="E1088" s="41">
        <v>4.4103378318779218E-5</v>
      </c>
    </row>
    <row r="1089" spans="2:5" ht="15" customHeight="1">
      <c r="B1089" s="93"/>
      <c r="C1089" s="43" t="s">
        <v>125</v>
      </c>
      <c r="D1089" s="42">
        <v>1</v>
      </c>
      <c r="E1089" s="41">
        <v>4.4103378318779218E-5</v>
      </c>
    </row>
    <row r="1090" spans="2:5" ht="15" customHeight="1">
      <c r="B1090" s="93"/>
      <c r="C1090" s="43" t="s">
        <v>163</v>
      </c>
      <c r="D1090" s="42">
        <v>1</v>
      </c>
      <c r="E1090" s="41">
        <v>4.4103378318779218E-5</v>
      </c>
    </row>
    <row r="1091" spans="2:5" ht="15" customHeight="1">
      <c r="B1091" s="93"/>
      <c r="C1091" s="43" t="s">
        <v>137</v>
      </c>
      <c r="D1091" s="42">
        <v>5</v>
      </c>
      <c r="E1091" s="41">
        <v>2.205168915938961E-4</v>
      </c>
    </row>
    <row r="1092" spans="2:5" ht="15" customHeight="1">
      <c r="B1092" s="93"/>
      <c r="C1092" s="43" t="s">
        <v>161</v>
      </c>
      <c r="D1092" s="42">
        <v>7</v>
      </c>
      <c r="E1092" s="41">
        <v>3.0872364823145452E-4</v>
      </c>
    </row>
    <row r="1093" spans="2:5" ht="15" customHeight="1">
      <c r="B1093" s="93"/>
      <c r="C1093" s="43" t="s">
        <v>169</v>
      </c>
      <c r="D1093" s="42">
        <v>17</v>
      </c>
      <c r="E1093" s="41">
        <v>7.4975743141924667E-4</v>
      </c>
    </row>
    <row r="1094" spans="2:5" ht="15" customHeight="1">
      <c r="B1094" s="93"/>
      <c r="C1094" s="43" t="s">
        <v>171</v>
      </c>
      <c r="D1094" s="42">
        <v>62</v>
      </c>
      <c r="E1094" s="41">
        <v>2.7344094557643114E-3</v>
      </c>
    </row>
    <row r="1095" spans="2:5" ht="15" customHeight="1">
      <c r="B1095" s="93"/>
      <c r="C1095" s="43" t="s">
        <v>160</v>
      </c>
      <c r="D1095" s="42">
        <v>18</v>
      </c>
      <c r="E1095" s="41">
        <v>7.9386080973802594E-4</v>
      </c>
    </row>
    <row r="1096" spans="2:5" ht="15" customHeight="1">
      <c r="B1096" s="93"/>
      <c r="C1096" s="43" t="s">
        <v>168</v>
      </c>
      <c r="D1096" s="42">
        <v>21</v>
      </c>
      <c r="E1096" s="41">
        <v>9.2617094469436357E-4</v>
      </c>
    </row>
    <row r="1097" spans="2:5" ht="15" customHeight="1">
      <c r="B1097" s="93"/>
      <c r="C1097" s="43" t="s">
        <v>144</v>
      </c>
      <c r="D1097" s="42">
        <v>1</v>
      </c>
      <c r="E1097" s="41">
        <v>4.4103378318779218E-5</v>
      </c>
    </row>
    <row r="1098" spans="2:5" ht="15" customHeight="1">
      <c r="B1098" s="93"/>
      <c r="C1098" s="43" t="s">
        <v>150</v>
      </c>
      <c r="D1098" s="42">
        <v>1</v>
      </c>
      <c r="E1098" s="41">
        <v>4.4103378318779218E-5</v>
      </c>
    </row>
    <row r="1099" spans="2:5" ht="15" customHeight="1">
      <c r="B1099" s="93"/>
      <c r="C1099" s="43" t="s">
        <v>155</v>
      </c>
      <c r="D1099" s="42">
        <v>2</v>
      </c>
      <c r="E1099" s="41">
        <v>8.8206756637558437E-5</v>
      </c>
    </row>
    <row r="1100" spans="2:5" ht="15" customHeight="1">
      <c r="B1100" s="93"/>
      <c r="C1100" s="43" t="s">
        <v>170</v>
      </c>
      <c r="D1100" s="42">
        <v>6</v>
      </c>
      <c r="E1100" s="41">
        <v>2.646202699126753E-4</v>
      </c>
    </row>
    <row r="1101" spans="2:5" ht="15" customHeight="1">
      <c r="B1101" s="93"/>
      <c r="C1101" s="43" t="s">
        <v>154</v>
      </c>
      <c r="D1101" s="42">
        <v>1</v>
      </c>
      <c r="E1101" s="41">
        <v>4.4103378318779218E-5</v>
      </c>
    </row>
    <row r="1102" spans="2:5" ht="15" customHeight="1">
      <c r="B1102" s="93"/>
      <c r="C1102" s="43" t="s">
        <v>147</v>
      </c>
      <c r="D1102" s="42">
        <v>15</v>
      </c>
      <c r="E1102" s="41">
        <v>6.6155067478168832E-4</v>
      </c>
    </row>
    <row r="1103" spans="2:5" ht="15" customHeight="1">
      <c r="B1103" s="93"/>
      <c r="C1103" s="43" t="s">
        <v>146</v>
      </c>
      <c r="D1103" s="42">
        <v>1</v>
      </c>
      <c r="E1103" s="41">
        <v>4.4103378318779218E-5</v>
      </c>
    </row>
    <row r="1104" spans="2:5" ht="15" customHeight="1">
      <c r="B1104" s="93"/>
      <c r="C1104" s="43" t="s">
        <v>167</v>
      </c>
      <c r="D1104" s="42">
        <v>20</v>
      </c>
      <c r="E1104" s="41">
        <v>8.820675663755844E-4</v>
      </c>
    </row>
    <row r="1105" spans="2:5" ht="15" customHeight="1">
      <c r="B1105" s="93"/>
      <c r="C1105" s="43" t="s">
        <v>165</v>
      </c>
      <c r="D1105" s="42">
        <v>12</v>
      </c>
      <c r="E1105" s="41">
        <v>5.2924053982535059E-4</v>
      </c>
    </row>
    <row r="1106" spans="2:5" ht="15" customHeight="1">
      <c r="B1106" s="94"/>
      <c r="C1106" s="40" t="s">
        <v>20</v>
      </c>
      <c r="D1106" s="39">
        <v>349</v>
      </c>
      <c r="E1106" s="38">
        <v>1.5392079033253948E-2</v>
      </c>
    </row>
    <row r="1107" spans="2:5" ht="15" customHeight="1">
      <c r="B1107" s="92" t="s">
        <v>63</v>
      </c>
      <c r="C1107" s="43" t="s">
        <v>140</v>
      </c>
      <c r="D1107" s="42">
        <v>34</v>
      </c>
      <c r="E1107" s="41">
        <v>1.4995148628384933E-3</v>
      </c>
    </row>
    <row r="1108" spans="2:5" ht="15" customHeight="1">
      <c r="B1108" s="93"/>
      <c r="C1108" s="43" t="s">
        <v>132</v>
      </c>
      <c r="D1108" s="42">
        <v>38</v>
      </c>
      <c r="E1108" s="41">
        <v>1.6759283761136102E-3</v>
      </c>
    </row>
    <row r="1109" spans="2:5" ht="15" customHeight="1">
      <c r="B1109" s="93"/>
      <c r="C1109" s="43" t="s">
        <v>135</v>
      </c>
      <c r="D1109" s="42">
        <v>17</v>
      </c>
      <c r="E1109" s="41">
        <v>7.4975743141924667E-4</v>
      </c>
    </row>
    <row r="1110" spans="2:5" ht="15" customHeight="1">
      <c r="B1110" s="93"/>
      <c r="C1110" s="43" t="s">
        <v>129</v>
      </c>
      <c r="D1110" s="42">
        <v>5</v>
      </c>
      <c r="E1110" s="41">
        <v>2.205168915938961E-4</v>
      </c>
    </row>
    <row r="1111" spans="2:5" ht="15" customHeight="1">
      <c r="B1111" s="93"/>
      <c r="C1111" s="43" t="s">
        <v>145</v>
      </c>
      <c r="D1111" s="42">
        <v>31</v>
      </c>
      <c r="E1111" s="41">
        <v>1.3672047278821557E-3</v>
      </c>
    </row>
    <row r="1112" spans="2:5" ht="15" customHeight="1">
      <c r="B1112" s="93"/>
      <c r="C1112" s="43" t="s">
        <v>120</v>
      </c>
      <c r="D1112" s="42">
        <v>23</v>
      </c>
      <c r="E1112" s="41">
        <v>1.0143777013319221E-3</v>
      </c>
    </row>
    <row r="1113" spans="2:5" ht="15" customHeight="1">
      <c r="B1113" s="93"/>
      <c r="C1113" s="43" t="s">
        <v>151</v>
      </c>
      <c r="D1113" s="42">
        <v>126</v>
      </c>
      <c r="E1113" s="41">
        <v>5.5570256681661814E-3</v>
      </c>
    </row>
    <row r="1114" spans="2:5" ht="15" customHeight="1">
      <c r="B1114" s="93"/>
      <c r="C1114" s="43" t="s">
        <v>128</v>
      </c>
      <c r="D1114" s="42">
        <v>37</v>
      </c>
      <c r="E1114" s="41">
        <v>1.6318249977948312E-3</v>
      </c>
    </row>
    <row r="1115" spans="2:5" ht="15" customHeight="1">
      <c r="B1115" s="93"/>
      <c r="C1115" s="43" t="s">
        <v>134</v>
      </c>
      <c r="D1115" s="42">
        <v>10</v>
      </c>
      <c r="E1115" s="41">
        <v>4.410337831877922E-4</v>
      </c>
    </row>
    <row r="1116" spans="2:5" ht="15" customHeight="1">
      <c r="B1116" s="93"/>
      <c r="C1116" s="43" t="s">
        <v>121</v>
      </c>
      <c r="D1116" s="42">
        <v>3</v>
      </c>
      <c r="E1116" s="41">
        <v>1.3231013495633765E-4</v>
      </c>
    </row>
    <row r="1117" spans="2:5" ht="15" customHeight="1">
      <c r="B1117" s="93"/>
      <c r="C1117" s="43" t="s">
        <v>117</v>
      </c>
      <c r="D1117" s="42">
        <v>7</v>
      </c>
      <c r="E1117" s="41">
        <v>3.0872364823145452E-4</v>
      </c>
    </row>
    <row r="1118" spans="2:5" ht="15" customHeight="1">
      <c r="B1118" s="93"/>
      <c r="C1118" s="43" t="s">
        <v>172</v>
      </c>
      <c r="D1118" s="42">
        <v>696</v>
      </c>
      <c r="E1118" s="41">
        <v>3.0695951309870337E-2</v>
      </c>
    </row>
    <row r="1119" spans="2:5" ht="15" customHeight="1">
      <c r="B1119" s="93"/>
      <c r="C1119" s="43" t="s">
        <v>139</v>
      </c>
      <c r="D1119" s="42">
        <v>85</v>
      </c>
      <c r="E1119" s="41">
        <v>3.7487871570962335E-3</v>
      </c>
    </row>
    <row r="1120" spans="2:5" ht="15" customHeight="1">
      <c r="B1120" s="93"/>
      <c r="C1120" s="43" t="s">
        <v>122</v>
      </c>
      <c r="D1120" s="42">
        <v>9</v>
      </c>
      <c r="E1120" s="41">
        <v>3.9693040486901297E-4</v>
      </c>
    </row>
    <row r="1121" spans="2:5" ht="15" customHeight="1">
      <c r="B1121" s="93"/>
      <c r="C1121" s="43" t="s">
        <v>159</v>
      </c>
      <c r="D1121" s="42">
        <v>253</v>
      </c>
      <c r="E1121" s="41">
        <v>1.1158154714651142E-2</v>
      </c>
    </row>
    <row r="1122" spans="2:5" ht="15" customHeight="1">
      <c r="B1122" s="93"/>
      <c r="C1122" s="43" t="s">
        <v>157</v>
      </c>
      <c r="D1122" s="42">
        <v>174</v>
      </c>
      <c r="E1122" s="41">
        <v>7.6739878274675842E-3</v>
      </c>
    </row>
    <row r="1123" spans="2:5" ht="15" customHeight="1">
      <c r="B1123" s="93"/>
      <c r="C1123" s="43" t="s">
        <v>164</v>
      </c>
      <c r="D1123" s="42">
        <v>233</v>
      </c>
      <c r="E1123" s="41">
        <v>1.0276087148275558E-2</v>
      </c>
    </row>
    <row r="1124" spans="2:5" ht="15" customHeight="1">
      <c r="B1124" s="93"/>
      <c r="C1124" s="43" t="s">
        <v>136</v>
      </c>
      <c r="D1124" s="42">
        <v>18</v>
      </c>
      <c r="E1124" s="41">
        <v>7.9386080973802594E-4</v>
      </c>
    </row>
    <row r="1125" spans="2:5" ht="15" customHeight="1">
      <c r="B1125" s="93"/>
      <c r="C1125" s="43" t="s">
        <v>162</v>
      </c>
      <c r="D1125" s="42">
        <v>140</v>
      </c>
      <c r="E1125" s="41">
        <v>6.1744729646290904E-3</v>
      </c>
    </row>
    <row r="1126" spans="2:5" ht="15" customHeight="1">
      <c r="B1126" s="93"/>
      <c r="C1126" s="43" t="s">
        <v>166</v>
      </c>
      <c r="D1126" s="42">
        <v>56</v>
      </c>
      <c r="E1126" s="41">
        <v>2.4697891858516362E-3</v>
      </c>
    </row>
    <row r="1127" spans="2:5" ht="15" customHeight="1">
      <c r="B1127" s="93"/>
      <c r="C1127" s="43" t="s">
        <v>142</v>
      </c>
      <c r="D1127" s="42">
        <v>90</v>
      </c>
      <c r="E1127" s="41">
        <v>3.9693040486901299E-3</v>
      </c>
    </row>
    <row r="1128" spans="2:5" ht="15" customHeight="1">
      <c r="B1128" s="93"/>
      <c r="C1128" s="43" t="s">
        <v>158</v>
      </c>
      <c r="D1128" s="42">
        <v>289</v>
      </c>
      <c r="E1128" s="41">
        <v>1.2745876334127194E-2</v>
      </c>
    </row>
    <row r="1129" spans="2:5" ht="15" customHeight="1">
      <c r="B1129" s="93"/>
      <c r="C1129" s="43" t="s">
        <v>148</v>
      </c>
      <c r="D1129" s="42">
        <v>19</v>
      </c>
      <c r="E1129" s="41">
        <v>8.3796418805680512E-4</v>
      </c>
    </row>
    <row r="1130" spans="2:5" ht="15" customHeight="1">
      <c r="B1130" s="93"/>
      <c r="C1130" s="43" t="s">
        <v>153</v>
      </c>
      <c r="D1130" s="42">
        <v>112</v>
      </c>
      <c r="E1130" s="41">
        <v>4.9395783717032724E-3</v>
      </c>
    </row>
    <row r="1131" spans="2:5" ht="15" customHeight="1">
      <c r="B1131" s="93"/>
      <c r="C1131" s="43" t="s">
        <v>143</v>
      </c>
      <c r="D1131" s="42">
        <v>23</v>
      </c>
      <c r="E1131" s="41">
        <v>1.0143777013319221E-3</v>
      </c>
    </row>
    <row r="1132" spans="2:5" ht="15" customHeight="1">
      <c r="B1132" s="93"/>
      <c r="C1132" s="43" t="s">
        <v>141</v>
      </c>
      <c r="D1132" s="42">
        <v>98</v>
      </c>
      <c r="E1132" s="41">
        <v>4.3221310752403633E-3</v>
      </c>
    </row>
    <row r="1133" spans="2:5" ht="15" customHeight="1">
      <c r="B1133" s="93"/>
      <c r="C1133" s="43" t="s">
        <v>118</v>
      </c>
      <c r="D1133" s="42">
        <v>10</v>
      </c>
      <c r="E1133" s="41">
        <v>4.410337831877922E-4</v>
      </c>
    </row>
    <row r="1134" spans="2:5" ht="15" customHeight="1">
      <c r="B1134" s="93"/>
      <c r="C1134" s="43" t="s">
        <v>124</v>
      </c>
      <c r="D1134" s="42">
        <v>4</v>
      </c>
      <c r="E1134" s="41">
        <v>1.7641351327511687E-4</v>
      </c>
    </row>
    <row r="1135" spans="2:5" ht="15" customHeight="1">
      <c r="B1135" s="93"/>
      <c r="C1135" s="43" t="s">
        <v>156</v>
      </c>
      <c r="D1135" s="42">
        <v>266</v>
      </c>
      <c r="E1135" s="41">
        <v>1.1731498632795273E-2</v>
      </c>
    </row>
    <row r="1136" spans="2:5" ht="15" customHeight="1">
      <c r="B1136" s="93"/>
      <c r="C1136" s="43" t="s">
        <v>125</v>
      </c>
      <c r="D1136" s="42">
        <v>9</v>
      </c>
      <c r="E1136" s="41">
        <v>3.9693040486901297E-4</v>
      </c>
    </row>
    <row r="1137" spans="2:5" ht="15" customHeight="1">
      <c r="B1137" s="93"/>
      <c r="C1137" s="43" t="s">
        <v>152</v>
      </c>
      <c r="D1137" s="42">
        <v>9</v>
      </c>
      <c r="E1137" s="41">
        <v>3.9693040486901297E-4</v>
      </c>
    </row>
    <row r="1138" spans="2:5" ht="15" customHeight="1">
      <c r="B1138" s="93"/>
      <c r="C1138" s="43" t="s">
        <v>130</v>
      </c>
      <c r="D1138" s="42">
        <v>9</v>
      </c>
      <c r="E1138" s="41">
        <v>3.9693040486901297E-4</v>
      </c>
    </row>
    <row r="1139" spans="2:5" ht="15" customHeight="1">
      <c r="B1139" s="93"/>
      <c r="C1139" s="43" t="s">
        <v>133</v>
      </c>
      <c r="D1139" s="42">
        <v>7</v>
      </c>
      <c r="E1139" s="41">
        <v>3.0872364823145452E-4</v>
      </c>
    </row>
    <row r="1140" spans="2:5" ht="15" customHeight="1">
      <c r="B1140" s="93"/>
      <c r="C1140" s="43" t="s">
        <v>163</v>
      </c>
      <c r="D1140" s="42">
        <v>173</v>
      </c>
      <c r="E1140" s="41">
        <v>7.6298844491488049E-3</v>
      </c>
    </row>
    <row r="1141" spans="2:5" ht="15" customHeight="1">
      <c r="B1141" s="93"/>
      <c r="C1141" s="43" t="s">
        <v>137</v>
      </c>
      <c r="D1141" s="42">
        <v>50</v>
      </c>
      <c r="E1141" s="41">
        <v>2.2051689159389609E-3</v>
      </c>
    </row>
    <row r="1142" spans="2:5" ht="15" customHeight="1">
      <c r="B1142" s="93"/>
      <c r="C1142" s="43" t="s">
        <v>161</v>
      </c>
      <c r="D1142" s="42">
        <v>176</v>
      </c>
      <c r="E1142" s="41">
        <v>7.7621945841051428E-3</v>
      </c>
    </row>
    <row r="1143" spans="2:5" ht="15" customHeight="1">
      <c r="B1143" s="93"/>
      <c r="C1143" s="43" t="s">
        <v>127</v>
      </c>
      <c r="D1143" s="42">
        <v>9</v>
      </c>
      <c r="E1143" s="41">
        <v>3.9693040486901297E-4</v>
      </c>
    </row>
    <row r="1144" spans="2:5" ht="15" customHeight="1">
      <c r="B1144" s="93"/>
      <c r="C1144" s="43" t="s">
        <v>169</v>
      </c>
      <c r="D1144" s="42">
        <v>631</v>
      </c>
      <c r="E1144" s="41">
        <v>2.7829231719149687E-2</v>
      </c>
    </row>
    <row r="1145" spans="2:5" ht="15" customHeight="1">
      <c r="B1145" s="93"/>
      <c r="C1145" s="43" t="s">
        <v>171</v>
      </c>
      <c r="D1145" s="42">
        <v>956</v>
      </c>
      <c r="E1145" s="41">
        <v>4.2162829672752936E-2</v>
      </c>
    </row>
    <row r="1146" spans="2:5" ht="15" customHeight="1">
      <c r="B1146" s="93"/>
      <c r="C1146" s="43" t="s">
        <v>160</v>
      </c>
      <c r="D1146" s="42">
        <v>244</v>
      </c>
      <c r="E1146" s="41">
        <v>1.0761224309782129E-2</v>
      </c>
    </row>
    <row r="1147" spans="2:5" ht="15" customHeight="1">
      <c r="B1147" s="93"/>
      <c r="C1147" s="43" t="s">
        <v>168</v>
      </c>
      <c r="D1147" s="42">
        <v>512</v>
      </c>
      <c r="E1147" s="41">
        <v>2.258092969921496E-2</v>
      </c>
    </row>
    <row r="1148" spans="2:5" ht="15" customHeight="1">
      <c r="B1148" s="93"/>
      <c r="C1148" s="43" t="s">
        <v>126</v>
      </c>
      <c r="D1148" s="42">
        <v>1</v>
      </c>
      <c r="E1148" s="41">
        <v>4.4103378318779218E-5</v>
      </c>
    </row>
    <row r="1149" spans="2:5" ht="15" customHeight="1">
      <c r="B1149" s="93"/>
      <c r="C1149" s="43" t="s">
        <v>149</v>
      </c>
      <c r="D1149" s="42">
        <v>19</v>
      </c>
      <c r="E1149" s="41">
        <v>8.3796418805680512E-4</v>
      </c>
    </row>
    <row r="1150" spans="2:5" ht="15" customHeight="1">
      <c r="B1150" s="93"/>
      <c r="C1150" s="43" t="s">
        <v>144</v>
      </c>
      <c r="D1150" s="42">
        <v>42</v>
      </c>
      <c r="E1150" s="41">
        <v>1.8523418893887271E-3</v>
      </c>
    </row>
    <row r="1151" spans="2:5" ht="15" customHeight="1">
      <c r="B1151" s="93"/>
      <c r="C1151" s="43" t="s">
        <v>150</v>
      </c>
      <c r="D1151" s="42">
        <v>19</v>
      </c>
      <c r="E1151" s="41">
        <v>8.3796418805680512E-4</v>
      </c>
    </row>
    <row r="1152" spans="2:5" ht="15" customHeight="1">
      <c r="B1152" s="93"/>
      <c r="C1152" s="43" t="s">
        <v>138</v>
      </c>
      <c r="D1152" s="42">
        <v>9</v>
      </c>
      <c r="E1152" s="41">
        <v>3.9693040486901297E-4</v>
      </c>
    </row>
    <row r="1153" spans="2:5" ht="15" customHeight="1">
      <c r="B1153" s="93"/>
      <c r="C1153" s="43" t="s">
        <v>155</v>
      </c>
      <c r="D1153" s="42">
        <v>59</v>
      </c>
      <c r="E1153" s="41">
        <v>2.602099320807974E-3</v>
      </c>
    </row>
    <row r="1154" spans="2:5" ht="15" customHeight="1">
      <c r="B1154" s="93"/>
      <c r="C1154" s="43" t="s">
        <v>116</v>
      </c>
      <c r="D1154" s="42">
        <v>3</v>
      </c>
      <c r="E1154" s="41">
        <v>1.3231013495633765E-4</v>
      </c>
    </row>
    <row r="1155" spans="2:5" ht="15" customHeight="1">
      <c r="B1155" s="93"/>
      <c r="C1155" s="43" t="s">
        <v>119</v>
      </c>
      <c r="D1155" s="42">
        <v>9</v>
      </c>
      <c r="E1155" s="41">
        <v>3.9693040486901297E-4</v>
      </c>
    </row>
    <row r="1156" spans="2:5" ht="15" customHeight="1">
      <c r="B1156" s="93"/>
      <c r="C1156" s="43" t="s">
        <v>170</v>
      </c>
      <c r="D1156" s="42">
        <v>313</v>
      </c>
      <c r="E1156" s="41">
        <v>1.3804357413777895E-2</v>
      </c>
    </row>
    <row r="1157" spans="2:5" ht="15" customHeight="1">
      <c r="B1157" s="93"/>
      <c r="C1157" s="43" t="s">
        <v>123</v>
      </c>
      <c r="D1157" s="42">
        <v>12</v>
      </c>
      <c r="E1157" s="41">
        <v>5.2924053982535059E-4</v>
      </c>
    </row>
    <row r="1158" spans="2:5" ht="15" customHeight="1">
      <c r="B1158" s="93"/>
      <c r="C1158" s="43" t="s">
        <v>154</v>
      </c>
      <c r="D1158" s="42">
        <v>87</v>
      </c>
      <c r="E1158" s="41">
        <v>3.8369939137337921E-3</v>
      </c>
    </row>
    <row r="1159" spans="2:5" ht="15" customHeight="1">
      <c r="B1159" s="93"/>
      <c r="C1159" s="43" t="s">
        <v>131</v>
      </c>
      <c r="D1159" s="42">
        <v>33</v>
      </c>
      <c r="E1159" s="41">
        <v>1.4554114845197143E-3</v>
      </c>
    </row>
    <row r="1160" spans="2:5" ht="15" customHeight="1">
      <c r="B1160" s="93"/>
      <c r="C1160" s="43" t="s">
        <v>147</v>
      </c>
      <c r="D1160" s="42">
        <v>56</v>
      </c>
      <c r="E1160" s="41">
        <v>2.4697891858516362E-3</v>
      </c>
    </row>
    <row r="1161" spans="2:5" ht="15" customHeight="1">
      <c r="B1161" s="93"/>
      <c r="C1161" s="43" t="s">
        <v>146</v>
      </c>
      <c r="D1161" s="42">
        <v>140</v>
      </c>
      <c r="E1161" s="41">
        <v>6.1744729646290904E-3</v>
      </c>
    </row>
    <row r="1162" spans="2:5" ht="15" customHeight="1">
      <c r="B1162" s="93"/>
      <c r="C1162" s="43" t="s">
        <v>167</v>
      </c>
      <c r="D1162" s="42">
        <v>69</v>
      </c>
      <c r="E1162" s="41">
        <v>3.0431331039957659E-3</v>
      </c>
    </row>
    <row r="1163" spans="2:5" ht="15" customHeight="1">
      <c r="B1163" s="93"/>
      <c r="C1163" s="43" t="s">
        <v>165</v>
      </c>
      <c r="D1163" s="42">
        <v>258</v>
      </c>
      <c r="E1163" s="41">
        <v>1.1378671606245038E-2</v>
      </c>
    </row>
    <row r="1164" spans="2:5" ht="15" customHeight="1">
      <c r="B1164" s="94"/>
      <c r="C1164" s="40" t="s">
        <v>20</v>
      </c>
      <c r="D1164" s="39">
        <v>6820</v>
      </c>
      <c r="E1164" s="38">
        <v>0.30078504013407426</v>
      </c>
    </row>
    <row r="1165" spans="2:5" ht="15" customHeight="1">
      <c r="B1165" s="92" t="s">
        <v>48</v>
      </c>
      <c r="C1165" s="43" t="s">
        <v>140</v>
      </c>
      <c r="D1165" s="42">
        <v>9</v>
      </c>
      <c r="E1165" s="41">
        <v>3.9693040486901297E-4</v>
      </c>
    </row>
    <row r="1166" spans="2:5" ht="15" customHeight="1">
      <c r="B1166" s="93"/>
      <c r="C1166" s="43" t="s">
        <v>132</v>
      </c>
      <c r="D1166" s="42">
        <v>2</v>
      </c>
      <c r="E1166" s="41">
        <v>8.8206756637558437E-5</v>
      </c>
    </row>
    <row r="1167" spans="2:5" ht="15" customHeight="1">
      <c r="B1167" s="93"/>
      <c r="C1167" s="43" t="s">
        <v>135</v>
      </c>
      <c r="D1167" s="42">
        <v>1</v>
      </c>
      <c r="E1167" s="41">
        <v>4.4103378318779218E-5</v>
      </c>
    </row>
    <row r="1168" spans="2:5" ht="15" customHeight="1">
      <c r="B1168" s="93"/>
      <c r="C1168" s="43" t="s">
        <v>145</v>
      </c>
      <c r="D1168" s="42">
        <v>3</v>
      </c>
      <c r="E1168" s="41">
        <v>1.3231013495633765E-4</v>
      </c>
    </row>
    <row r="1169" spans="2:5" ht="15" customHeight="1">
      <c r="B1169" s="93"/>
      <c r="C1169" s="43" t="s">
        <v>151</v>
      </c>
      <c r="D1169" s="42">
        <v>5</v>
      </c>
      <c r="E1169" s="41">
        <v>2.205168915938961E-4</v>
      </c>
    </row>
    <row r="1170" spans="2:5" ht="15" customHeight="1">
      <c r="B1170" s="93"/>
      <c r="C1170" s="43" t="s">
        <v>128</v>
      </c>
      <c r="D1170" s="42">
        <v>1</v>
      </c>
      <c r="E1170" s="41">
        <v>4.4103378318779218E-5</v>
      </c>
    </row>
    <row r="1171" spans="2:5" ht="15" customHeight="1">
      <c r="B1171" s="93"/>
      <c r="C1171" s="43" t="s">
        <v>172</v>
      </c>
      <c r="D1171" s="42">
        <v>61</v>
      </c>
      <c r="E1171" s="41">
        <v>2.6903060774455321E-3</v>
      </c>
    </row>
    <row r="1172" spans="2:5" ht="15" customHeight="1">
      <c r="B1172" s="93"/>
      <c r="C1172" s="43" t="s">
        <v>139</v>
      </c>
      <c r="D1172" s="42">
        <v>1</v>
      </c>
      <c r="E1172" s="41">
        <v>4.4103378318779218E-5</v>
      </c>
    </row>
    <row r="1173" spans="2:5" ht="15" customHeight="1">
      <c r="B1173" s="93"/>
      <c r="C1173" s="43" t="s">
        <v>122</v>
      </c>
      <c r="D1173" s="42">
        <v>1</v>
      </c>
      <c r="E1173" s="41">
        <v>4.4103378318779218E-5</v>
      </c>
    </row>
    <row r="1174" spans="2:5" ht="15" customHeight="1">
      <c r="B1174" s="93"/>
      <c r="C1174" s="43" t="s">
        <v>157</v>
      </c>
      <c r="D1174" s="42">
        <v>2</v>
      </c>
      <c r="E1174" s="41">
        <v>8.8206756637558437E-5</v>
      </c>
    </row>
    <row r="1175" spans="2:5" ht="15" customHeight="1">
      <c r="B1175" s="93"/>
      <c r="C1175" s="43" t="s">
        <v>164</v>
      </c>
      <c r="D1175" s="42">
        <v>10</v>
      </c>
      <c r="E1175" s="41">
        <v>4.410337831877922E-4</v>
      </c>
    </row>
    <row r="1176" spans="2:5" ht="15" customHeight="1">
      <c r="B1176" s="93"/>
      <c r="C1176" s="43" t="s">
        <v>162</v>
      </c>
      <c r="D1176" s="42">
        <v>5</v>
      </c>
      <c r="E1176" s="41">
        <v>2.205168915938961E-4</v>
      </c>
    </row>
    <row r="1177" spans="2:5" ht="15" customHeight="1">
      <c r="B1177" s="93"/>
      <c r="C1177" s="43" t="s">
        <v>166</v>
      </c>
      <c r="D1177" s="42">
        <v>16</v>
      </c>
      <c r="E1177" s="41">
        <v>7.0565405310046749E-4</v>
      </c>
    </row>
    <row r="1178" spans="2:5" ht="15" customHeight="1">
      <c r="B1178" s="93"/>
      <c r="C1178" s="43" t="s">
        <v>148</v>
      </c>
      <c r="D1178" s="42">
        <v>7</v>
      </c>
      <c r="E1178" s="41">
        <v>3.0872364823145452E-4</v>
      </c>
    </row>
    <row r="1179" spans="2:5" ht="15" customHeight="1">
      <c r="B1179" s="93"/>
      <c r="C1179" s="43" t="s">
        <v>153</v>
      </c>
      <c r="D1179" s="42">
        <v>6</v>
      </c>
      <c r="E1179" s="41">
        <v>2.646202699126753E-4</v>
      </c>
    </row>
    <row r="1180" spans="2:5" ht="15" customHeight="1">
      <c r="B1180" s="93"/>
      <c r="C1180" s="43" t="s">
        <v>143</v>
      </c>
      <c r="D1180" s="42">
        <v>2</v>
      </c>
      <c r="E1180" s="41">
        <v>8.8206756637558437E-5</v>
      </c>
    </row>
    <row r="1181" spans="2:5" ht="15" customHeight="1">
      <c r="B1181" s="93"/>
      <c r="C1181" s="43" t="s">
        <v>118</v>
      </c>
      <c r="D1181" s="42">
        <v>1</v>
      </c>
      <c r="E1181" s="41">
        <v>4.4103378318779218E-5</v>
      </c>
    </row>
    <row r="1182" spans="2:5" ht="15" customHeight="1">
      <c r="B1182" s="93"/>
      <c r="C1182" s="43" t="s">
        <v>124</v>
      </c>
      <c r="D1182" s="42">
        <v>1</v>
      </c>
      <c r="E1182" s="41">
        <v>4.4103378318779218E-5</v>
      </c>
    </row>
    <row r="1183" spans="2:5" ht="15" customHeight="1">
      <c r="B1183" s="93"/>
      <c r="C1183" s="43" t="s">
        <v>156</v>
      </c>
      <c r="D1183" s="42">
        <v>2</v>
      </c>
      <c r="E1183" s="41">
        <v>8.8206756637558437E-5</v>
      </c>
    </row>
    <row r="1184" spans="2:5" ht="15" customHeight="1">
      <c r="B1184" s="93"/>
      <c r="C1184" s="43" t="s">
        <v>125</v>
      </c>
      <c r="D1184" s="42">
        <v>1</v>
      </c>
      <c r="E1184" s="41">
        <v>4.4103378318779218E-5</v>
      </c>
    </row>
    <row r="1185" spans="2:5" ht="15" customHeight="1">
      <c r="B1185" s="93"/>
      <c r="C1185" s="43" t="s">
        <v>152</v>
      </c>
      <c r="D1185" s="42">
        <v>1</v>
      </c>
      <c r="E1185" s="41">
        <v>4.4103378318779218E-5</v>
      </c>
    </row>
    <row r="1186" spans="2:5" ht="15" customHeight="1">
      <c r="B1186" s="93"/>
      <c r="C1186" s="43" t="s">
        <v>130</v>
      </c>
      <c r="D1186" s="42">
        <v>1</v>
      </c>
      <c r="E1186" s="41">
        <v>4.4103378318779218E-5</v>
      </c>
    </row>
    <row r="1187" spans="2:5" ht="15" customHeight="1">
      <c r="B1187" s="93"/>
      <c r="C1187" s="43" t="s">
        <v>133</v>
      </c>
      <c r="D1187" s="42">
        <v>1</v>
      </c>
      <c r="E1187" s="41">
        <v>4.4103378318779218E-5</v>
      </c>
    </row>
    <row r="1188" spans="2:5" ht="15" customHeight="1">
      <c r="B1188" s="93"/>
      <c r="C1188" s="43" t="s">
        <v>137</v>
      </c>
      <c r="D1188" s="42">
        <v>1</v>
      </c>
      <c r="E1188" s="41">
        <v>4.4103378318779218E-5</v>
      </c>
    </row>
    <row r="1189" spans="2:5" ht="15" customHeight="1">
      <c r="B1189" s="93"/>
      <c r="C1189" s="43" t="s">
        <v>161</v>
      </c>
      <c r="D1189" s="42">
        <v>1</v>
      </c>
      <c r="E1189" s="41">
        <v>4.4103378318779218E-5</v>
      </c>
    </row>
    <row r="1190" spans="2:5" ht="15" customHeight="1">
      <c r="B1190" s="93"/>
      <c r="C1190" s="43" t="s">
        <v>127</v>
      </c>
      <c r="D1190" s="42">
        <v>2</v>
      </c>
      <c r="E1190" s="41">
        <v>8.8206756637558437E-5</v>
      </c>
    </row>
    <row r="1191" spans="2:5" ht="15" customHeight="1">
      <c r="B1191" s="93"/>
      <c r="C1191" s="43" t="s">
        <v>169</v>
      </c>
      <c r="D1191" s="42">
        <v>3</v>
      </c>
      <c r="E1191" s="41">
        <v>1.3231013495633765E-4</v>
      </c>
    </row>
    <row r="1192" spans="2:5" ht="15" customHeight="1">
      <c r="B1192" s="93"/>
      <c r="C1192" s="43" t="s">
        <v>171</v>
      </c>
      <c r="D1192" s="42">
        <v>3</v>
      </c>
      <c r="E1192" s="41">
        <v>1.3231013495633765E-4</v>
      </c>
    </row>
    <row r="1193" spans="2:5" ht="15" customHeight="1">
      <c r="B1193" s="93"/>
      <c r="C1193" s="43" t="s">
        <v>160</v>
      </c>
      <c r="D1193" s="42">
        <v>24</v>
      </c>
      <c r="E1193" s="41">
        <v>1.0584810796507012E-3</v>
      </c>
    </row>
    <row r="1194" spans="2:5" ht="15" customHeight="1">
      <c r="B1194" s="93"/>
      <c r="C1194" s="43" t="s">
        <v>168</v>
      </c>
      <c r="D1194" s="42">
        <v>19</v>
      </c>
      <c r="E1194" s="41">
        <v>8.3796418805680512E-4</v>
      </c>
    </row>
    <row r="1195" spans="2:5" ht="15" customHeight="1">
      <c r="B1195" s="93"/>
      <c r="C1195" s="43" t="s">
        <v>126</v>
      </c>
      <c r="D1195" s="42">
        <v>8</v>
      </c>
      <c r="E1195" s="41">
        <v>3.5282702655023375E-4</v>
      </c>
    </row>
    <row r="1196" spans="2:5" ht="15" customHeight="1">
      <c r="B1196" s="93"/>
      <c r="C1196" s="43" t="s">
        <v>149</v>
      </c>
      <c r="D1196" s="42">
        <v>2</v>
      </c>
      <c r="E1196" s="41">
        <v>8.8206756637558437E-5</v>
      </c>
    </row>
    <row r="1197" spans="2:5" ht="15" customHeight="1">
      <c r="B1197" s="93"/>
      <c r="C1197" s="43" t="s">
        <v>144</v>
      </c>
      <c r="D1197" s="42">
        <v>8</v>
      </c>
      <c r="E1197" s="41">
        <v>3.5282702655023375E-4</v>
      </c>
    </row>
    <row r="1198" spans="2:5" ht="15" customHeight="1">
      <c r="B1198" s="93"/>
      <c r="C1198" s="43" t="s">
        <v>150</v>
      </c>
      <c r="D1198" s="42">
        <v>4</v>
      </c>
      <c r="E1198" s="41">
        <v>1.7641351327511687E-4</v>
      </c>
    </row>
    <row r="1199" spans="2:5" ht="15" customHeight="1">
      <c r="B1199" s="93"/>
      <c r="C1199" s="43" t="s">
        <v>138</v>
      </c>
      <c r="D1199" s="42">
        <v>3</v>
      </c>
      <c r="E1199" s="41">
        <v>1.3231013495633765E-4</v>
      </c>
    </row>
    <row r="1200" spans="2:5" ht="15" customHeight="1">
      <c r="B1200" s="93"/>
      <c r="C1200" s="43" t="s">
        <v>155</v>
      </c>
      <c r="D1200" s="42">
        <v>7</v>
      </c>
      <c r="E1200" s="41">
        <v>3.0872364823145452E-4</v>
      </c>
    </row>
    <row r="1201" spans="2:5" ht="15" customHeight="1">
      <c r="B1201" s="93"/>
      <c r="C1201" s="43" t="s">
        <v>170</v>
      </c>
      <c r="D1201" s="42">
        <v>34</v>
      </c>
      <c r="E1201" s="41">
        <v>1.4995148628384933E-3</v>
      </c>
    </row>
    <row r="1202" spans="2:5" ht="15" customHeight="1">
      <c r="B1202" s="93"/>
      <c r="C1202" s="43" t="s">
        <v>154</v>
      </c>
      <c r="D1202" s="42">
        <v>6</v>
      </c>
      <c r="E1202" s="41">
        <v>2.646202699126753E-4</v>
      </c>
    </row>
    <row r="1203" spans="2:5" ht="15" customHeight="1">
      <c r="B1203" s="93"/>
      <c r="C1203" s="43" t="s">
        <v>131</v>
      </c>
      <c r="D1203" s="42">
        <v>4</v>
      </c>
      <c r="E1203" s="41">
        <v>1.7641351327511687E-4</v>
      </c>
    </row>
    <row r="1204" spans="2:5" ht="15" customHeight="1">
      <c r="B1204" s="93"/>
      <c r="C1204" s="43" t="s">
        <v>146</v>
      </c>
      <c r="D1204" s="42">
        <v>1</v>
      </c>
      <c r="E1204" s="41">
        <v>4.4103378318779218E-5</v>
      </c>
    </row>
    <row r="1205" spans="2:5" ht="15" customHeight="1">
      <c r="B1205" s="93"/>
      <c r="C1205" s="43" t="s">
        <v>167</v>
      </c>
      <c r="D1205" s="42">
        <v>26</v>
      </c>
      <c r="E1205" s="41">
        <v>1.1466878362882597E-3</v>
      </c>
    </row>
    <row r="1206" spans="2:5" ht="15" customHeight="1">
      <c r="B1206" s="93"/>
      <c r="C1206" s="43" t="s">
        <v>165</v>
      </c>
      <c r="D1206" s="42">
        <v>17</v>
      </c>
      <c r="E1206" s="41">
        <v>7.4975743141924667E-4</v>
      </c>
    </row>
    <row r="1207" spans="2:5" ht="15" customHeight="1">
      <c r="B1207" s="94"/>
      <c r="C1207" s="40" t="s">
        <v>20</v>
      </c>
      <c r="D1207" s="39">
        <v>313</v>
      </c>
      <c r="E1207" s="38">
        <v>1.3804357413777895E-2</v>
      </c>
    </row>
    <row r="1208" spans="2:5" ht="15" customHeight="1">
      <c r="B1208" s="92" t="s">
        <v>44</v>
      </c>
      <c r="C1208" s="43" t="s">
        <v>140</v>
      </c>
      <c r="D1208" s="42">
        <v>1</v>
      </c>
      <c r="E1208" s="41">
        <v>4.4103378318779218E-5</v>
      </c>
    </row>
    <row r="1209" spans="2:5" ht="15" customHeight="1">
      <c r="B1209" s="93"/>
      <c r="C1209" s="43" t="s">
        <v>129</v>
      </c>
      <c r="D1209" s="42">
        <v>29</v>
      </c>
      <c r="E1209" s="41">
        <v>1.2789979712445974E-3</v>
      </c>
    </row>
    <row r="1210" spans="2:5" ht="15" customHeight="1">
      <c r="B1210" s="93"/>
      <c r="C1210" s="43" t="s">
        <v>120</v>
      </c>
      <c r="D1210" s="42">
        <v>1</v>
      </c>
      <c r="E1210" s="41">
        <v>4.4103378318779218E-5</v>
      </c>
    </row>
    <row r="1211" spans="2:5" ht="15" customHeight="1">
      <c r="B1211" s="93"/>
      <c r="C1211" s="43" t="s">
        <v>128</v>
      </c>
      <c r="D1211" s="42">
        <v>5</v>
      </c>
      <c r="E1211" s="41">
        <v>2.205168915938961E-4</v>
      </c>
    </row>
    <row r="1212" spans="2:5" ht="15" customHeight="1">
      <c r="B1212" s="93"/>
      <c r="C1212" s="43" t="s">
        <v>172</v>
      </c>
      <c r="D1212" s="42">
        <v>15</v>
      </c>
      <c r="E1212" s="41">
        <v>6.6155067478168832E-4</v>
      </c>
    </row>
    <row r="1213" spans="2:5" ht="15" customHeight="1">
      <c r="B1213" s="93"/>
      <c r="C1213" s="43" t="s">
        <v>159</v>
      </c>
      <c r="D1213" s="42">
        <v>5</v>
      </c>
      <c r="E1213" s="41">
        <v>2.205168915938961E-4</v>
      </c>
    </row>
    <row r="1214" spans="2:5" ht="15" customHeight="1">
      <c r="B1214" s="93"/>
      <c r="C1214" s="43" t="s">
        <v>157</v>
      </c>
      <c r="D1214" s="42">
        <v>4</v>
      </c>
      <c r="E1214" s="41">
        <v>1.7641351327511687E-4</v>
      </c>
    </row>
    <row r="1215" spans="2:5" ht="15" customHeight="1">
      <c r="B1215" s="93"/>
      <c r="C1215" s="43" t="s">
        <v>164</v>
      </c>
      <c r="D1215" s="42">
        <v>3</v>
      </c>
      <c r="E1215" s="41">
        <v>1.3231013495633765E-4</v>
      </c>
    </row>
    <row r="1216" spans="2:5" ht="15" customHeight="1">
      <c r="B1216" s="93"/>
      <c r="C1216" s="43" t="s">
        <v>162</v>
      </c>
      <c r="D1216" s="42">
        <v>1</v>
      </c>
      <c r="E1216" s="41">
        <v>4.4103378318779218E-5</v>
      </c>
    </row>
    <row r="1217" spans="2:5" ht="15" customHeight="1">
      <c r="B1217" s="93"/>
      <c r="C1217" s="43" t="s">
        <v>148</v>
      </c>
      <c r="D1217" s="42">
        <v>1</v>
      </c>
      <c r="E1217" s="41">
        <v>4.4103378318779218E-5</v>
      </c>
    </row>
    <row r="1218" spans="2:5" ht="15" customHeight="1">
      <c r="B1218" s="93"/>
      <c r="C1218" s="43" t="s">
        <v>153</v>
      </c>
      <c r="D1218" s="42">
        <v>1</v>
      </c>
      <c r="E1218" s="41">
        <v>4.4103378318779218E-5</v>
      </c>
    </row>
    <row r="1219" spans="2:5" ht="15" customHeight="1">
      <c r="B1219" s="93"/>
      <c r="C1219" s="43" t="s">
        <v>141</v>
      </c>
      <c r="D1219" s="42">
        <v>3</v>
      </c>
      <c r="E1219" s="41">
        <v>1.3231013495633765E-4</v>
      </c>
    </row>
    <row r="1220" spans="2:5" ht="15" customHeight="1">
      <c r="B1220" s="93"/>
      <c r="C1220" s="43" t="s">
        <v>124</v>
      </c>
      <c r="D1220" s="42">
        <v>5</v>
      </c>
      <c r="E1220" s="41">
        <v>2.205168915938961E-4</v>
      </c>
    </row>
    <row r="1221" spans="2:5" ht="15" customHeight="1">
      <c r="B1221" s="93"/>
      <c r="C1221" s="43" t="s">
        <v>125</v>
      </c>
      <c r="D1221" s="42">
        <v>1</v>
      </c>
      <c r="E1221" s="41">
        <v>4.4103378318779218E-5</v>
      </c>
    </row>
    <row r="1222" spans="2:5" ht="15" customHeight="1">
      <c r="B1222" s="93"/>
      <c r="C1222" s="43" t="s">
        <v>130</v>
      </c>
      <c r="D1222" s="42">
        <v>1</v>
      </c>
      <c r="E1222" s="41">
        <v>4.4103378318779218E-5</v>
      </c>
    </row>
    <row r="1223" spans="2:5" ht="15" customHeight="1">
      <c r="B1223" s="93"/>
      <c r="C1223" s="43" t="s">
        <v>133</v>
      </c>
      <c r="D1223" s="42">
        <v>1</v>
      </c>
      <c r="E1223" s="41">
        <v>4.4103378318779218E-5</v>
      </c>
    </row>
    <row r="1224" spans="2:5" ht="15" customHeight="1">
      <c r="B1224" s="93"/>
      <c r="C1224" s="43" t="s">
        <v>163</v>
      </c>
      <c r="D1224" s="42">
        <v>1</v>
      </c>
      <c r="E1224" s="41">
        <v>4.4103378318779218E-5</v>
      </c>
    </row>
    <row r="1225" spans="2:5" ht="15" customHeight="1">
      <c r="B1225" s="93"/>
      <c r="C1225" s="43" t="s">
        <v>161</v>
      </c>
      <c r="D1225" s="42">
        <v>17</v>
      </c>
      <c r="E1225" s="41">
        <v>7.4975743141924667E-4</v>
      </c>
    </row>
    <row r="1226" spans="2:5" ht="15" customHeight="1">
      <c r="B1226" s="93"/>
      <c r="C1226" s="43" t="s">
        <v>169</v>
      </c>
      <c r="D1226" s="42">
        <v>1</v>
      </c>
      <c r="E1226" s="41">
        <v>4.4103378318779218E-5</v>
      </c>
    </row>
    <row r="1227" spans="2:5" ht="15" customHeight="1">
      <c r="B1227" s="93"/>
      <c r="C1227" s="43" t="s">
        <v>171</v>
      </c>
      <c r="D1227" s="42">
        <v>7</v>
      </c>
      <c r="E1227" s="41">
        <v>3.0872364823145452E-4</v>
      </c>
    </row>
    <row r="1228" spans="2:5" ht="15" customHeight="1">
      <c r="B1228" s="93"/>
      <c r="C1228" s="43" t="s">
        <v>168</v>
      </c>
      <c r="D1228" s="42">
        <v>1</v>
      </c>
      <c r="E1228" s="41">
        <v>4.4103378318779218E-5</v>
      </c>
    </row>
    <row r="1229" spans="2:5" ht="15" customHeight="1">
      <c r="B1229" s="93"/>
      <c r="C1229" s="43" t="s">
        <v>149</v>
      </c>
      <c r="D1229" s="42">
        <v>1</v>
      </c>
      <c r="E1229" s="41">
        <v>4.4103378318779218E-5</v>
      </c>
    </row>
    <row r="1230" spans="2:5" ht="15" customHeight="1">
      <c r="B1230" s="93"/>
      <c r="C1230" s="43" t="s">
        <v>144</v>
      </c>
      <c r="D1230" s="42">
        <v>3</v>
      </c>
      <c r="E1230" s="41">
        <v>1.3231013495633765E-4</v>
      </c>
    </row>
    <row r="1231" spans="2:5" ht="15" customHeight="1">
      <c r="B1231" s="93"/>
      <c r="C1231" s="43" t="s">
        <v>150</v>
      </c>
      <c r="D1231" s="42">
        <v>1</v>
      </c>
      <c r="E1231" s="41">
        <v>4.4103378318779218E-5</v>
      </c>
    </row>
    <row r="1232" spans="2:5" ht="15" customHeight="1">
      <c r="B1232" s="93"/>
      <c r="C1232" s="43" t="s">
        <v>138</v>
      </c>
      <c r="D1232" s="42">
        <v>4</v>
      </c>
      <c r="E1232" s="41">
        <v>1.7641351327511687E-4</v>
      </c>
    </row>
    <row r="1233" spans="2:5" ht="15" customHeight="1">
      <c r="B1233" s="93"/>
      <c r="C1233" s="43" t="s">
        <v>155</v>
      </c>
      <c r="D1233" s="42">
        <v>1</v>
      </c>
      <c r="E1233" s="41">
        <v>4.4103378318779218E-5</v>
      </c>
    </row>
    <row r="1234" spans="2:5" ht="15" customHeight="1">
      <c r="B1234" s="93"/>
      <c r="C1234" s="43" t="s">
        <v>170</v>
      </c>
      <c r="D1234" s="42">
        <v>6</v>
      </c>
      <c r="E1234" s="41">
        <v>2.646202699126753E-4</v>
      </c>
    </row>
    <row r="1235" spans="2:5" ht="15" customHeight="1">
      <c r="B1235" s="93"/>
      <c r="C1235" s="43" t="s">
        <v>123</v>
      </c>
      <c r="D1235" s="42">
        <v>1</v>
      </c>
      <c r="E1235" s="41">
        <v>4.4103378318779218E-5</v>
      </c>
    </row>
    <row r="1236" spans="2:5" ht="15" customHeight="1">
      <c r="B1236" s="93"/>
      <c r="C1236" s="43" t="s">
        <v>154</v>
      </c>
      <c r="D1236" s="42">
        <v>17</v>
      </c>
      <c r="E1236" s="41">
        <v>7.4975743141924667E-4</v>
      </c>
    </row>
    <row r="1237" spans="2:5" ht="15" customHeight="1">
      <c r="B1237" s="93"/>
      <c r="C1237" s="43" t="s">
        <v>131</v>
      </c>
      <c r="D1237" s="42">
        <v>1</v>
      </c>
      <c r="E1237" s="41">
        <v>4.4103378318779218E-5</v>
      </c>
    </row>
    <row r="1238" spans="2:5" ht="15" customHeight="1">
      <c r="B1238" s="93"/>
      <c r="C1238" s="43" t="s">
        <v>147</v>
      </c>
      <c r="D1238" s="42">
        <v>4</v>
      </c>
      <c r="E1238" s="41">
        <v>1.7641351327511687E-4</v>
      </c>
    </row>
    <row r="1239" spans="2:5" ht="15" customHeight="1">
      <c r="B1239" s="93"/>
      <c r="C1239" s="43" t="s">
        <v>167</v>
      </c>
      <c r="D1239" s="42">
        <v>2</v>
      </c>
      <c r="E1239" s="41">
        <v>8.8206756637558437E-5</v>
      </c>
    </row>
    <row r="1240" spans="2:5" ht="15" customHeight="1">
      <c r="B1240" s="93"/>
      <c r="C1240" s="43" t="s">
        <v>165</v>
      </c>
      <c r="D1240" s="42">
        <v>5</v>
      </c>
      <c r="E1240" s="41">
        <v>2.205168915938961E-4</v>
      </c>
    </row>
    <row r="1241" spans="2:5" ht="15" customHeight="1">
      <c r="B1241" s="94"/>
      <c r="C1241" s="40" t="s">
        <v>20</v>
      </c>
      <c r="D1241" s="39">
        <v>150</v>
      </c>
      <c r="E1241" s="38">
        <v>6.6155067478168824E-3</v>
      </c>
    </row>
    <row r="1242" spans="2:5" ht="15" customHeight="1">
      <c r="B1242" s="92" t="s">
        <v>38</v>
      </c>
      <c r="C1242" s="43" t="s">
        <v>140</v>
      </c>
      <c r="D1242" s="42">
        <v>2</v>
      </c>
      <c r="E1242" s="41">
        <v>8.8206756637558437E-5</v>
      </c>
    </row>
    <row r="1243" spans="2:5" ht="15" customHeight="1">
      <c r="B1243" s="93"/>
      <c r="C1243" s="43" t="s">
        <v>129</v>
      </c>
      <c r="D1243" s="42">
        <v>2</v>
      </c>
      <c r="E1243" s="41">
        <v>8.8206756637558437E-5</v>
      </c>
    </row>
    <row r="1244" spans="2:5" ht="15" customHeight="1">
      <c r="B1244" s="93"/>
      <c r="C1244" s="43" t="s">
        <v>145</v>
      </c>
      <c r="D1244" s="42">
        <v>1</v>
      </c>
      <c r="E1244" s="41">
        <v>4.4103378318779218E-5</v>
      </c>
    </row>
    <row r="1245" spans="2:5" ht="15" customHeight="1">
      <c r="B1245" s="93"/>
      <c r="C1245" s="43" t="s">
        <v>151</v>
      </c>
      <c r="D1245" s="42">
        <v>2</v>
      </c>
      <c r="E1245" s="41">
        <v>8.8206756637558437E-5</v>
      </c>
    </row>
    <row r="1246" spans="2:5" ht="15" customHeight="1">
      <c r="B1246" s="93"/>
      <c r="C1246" s="43" t="s">
        <v>172</v>
      </c>
      <c r="D1246" s="42">
        <v>7</v>
      </c>
      <c r="E1246" s="41">
        <v>3.0872364823145452E-4</v>
      </c>
    </row>
    <row r="1247" spans="2:5" ht="15" customHeight="1">
      <c r="B1247" s="93"/>
      <c r="C1247" s="43" t="s">
        <v>159</v>
      </c>
      <c r="D1247" s="42">
        <v>1</v>
      </c>
      <c r="E1247" s="41">
        <v>4.4103378318779218E-5</v>
      </c>
    </row>
    <row r="1248" spans="2:5" ht="15" customHeight="1">
      <c r="B1248" s="93"/>
      <c r="C1248" s="43" t="s">
        <v>157</v>
      </c>
      <c r="D1248" s="42">
        <v>3</v>
      </c>
      <c r="E1248" s="41">
        <v>1.3231013495633765E-4</v>
      </c>
    </row>
    <row r="1249" spans="2:5" ht="15" customHeight="1">
      <c r="B1249" s="93"/>
      <c r="C1249" s="43" t="s">
        <v>166</v>
      </c>
      <c r="D1249" s="42">
        <v>1</v>
      </c>
      <c r="E1249" s="41">
        <v>4.4103378318779218E-5</v>
      </c>
    </row>
    <row r="1250" spans="2:5" ht="15" customHeight="1">
      <c r="B1250" s="93"/>
      <c r="C1250" s="43" t="s">
        <v>142</v>
      </c>
      <c r="D1250" s="42">
        <v>1</v>
      </c>
      <c r="E1250" s="41">
        <v>4.4103378318779218E-5</v>
      </c>
    </row>
    <row r="1251" spans="2:5" ht="15" customHeight="1">
      <c r="B1251" s="93"/>
      <c r="C1251" s="43" t="s">
        <v>143</v>
      </c>
      <c r="D1251" s="42">
        <v>2</v>
      </c>
      <c r="E1251" s="41">
        <v>8.8206756637558437E-5</v>
      </c>
    </row>
    <row r="1252" spans="2:5" ht="15" customHeight="1">
      <c r="B1252" s="93"/>
      <c r="C1252" s="43" t="s">
        <v>124</v>
      </c>
      <c r="D1252" s="42">
        <v>2</v>
      </c>
      <c r="E1252" s="41">
        <v>8.8206756637558437E-5</v>
      </c>
    </row>
    <row r="1253" spans="2:5" ht="15" customHeight="1">
      <c r="B1253" s="93"/>
      <c r="C1253" s="43" t="s">
        <v>125</v>
      </c>
      <c r="D1253" s="42">
        <v>1</v>
      </c>
      <c r="E1253" s="41">
        <v>4.4103378318779218E-5</v>
      </c>
    </row>
    <row r="1254" spans="2:5" ht="15" customHeight="1">
      <c r="B1254" s="93"/>
      <c r="C1254" s="43" t="s">
        <v>152</v>
      </c>
      <c r="D1254" s="42">
        <v>1</v>
      </c>
      <c r="E1254" s="41">
        <v>4.4103378318779218E-5</v>
      </c>
    </row>
    <row r="1255" spans="2:5" ht="15" customHeight="1">
      <c r="B1255" s="93"/>
      <c r="C1255" s="43" t="s">
        <v>163</v>
      </c>
      <c r="D1255" s="42">
        <v>7</v>
      </c>
      <c r="E1255" s="41">
        <v>3.0872364823145452E-4</v>
      </c>
    </row>
    <row r="1256" spans="2:5" ht="15" customHeight="1">
      <c r="B1256" s="93"/>
      <c r="C1256" s="43" t="s">
        <v>161</v>
      </c>
      <c r="D1256" s="42">
        <v>1</v>
      </c>
      <c r="E1256" s="41">
        <v>4.4103378318779218E-5</v>
      </c>
    </row>
    <row r="1257" spans="2:5" ht="15" customHeight="1">
      <c r="B1257" s="93"/>
      <c r="C1257" s="43" t="s">
        <v>169</v>
      </c>
      <c r="D1257" s="42">
        <v>2</v>
      </c>
      <c r="E1257" s="41">
        <v>8.8206756637558437E-5</v>
      </c>
    </row>
    <row r="1258" spans="2:5" ht="15" customHeight="1">
      <c r="B1258" s="93"/>
      <c r="C1258" s="43" t="s">
        <v>160</v>
      </c>
      <c r="D1258" s="42">
        <v>1</v>
      </c>
      <c r="E1258" s="41">
        <v>4.4103378318779218E-5</v>
      </c>
    </row>
    <row r="1259" spans="2:5" ht="15" customHeight="1">
      <c r="B1259" s="93"/>
      <c r="C1259" s="43" t="s">
        <v>168</v>
      </c>
      <c r="D1259" s="42">
        <v>2</v>
      </c>
      <c r="E1259" s="41">
        <v>8.8206756637558437E-5</v>
      </c>
    </row>
    <row r="1260" spans="2:5" ht="15" customHeight="1">
      <c r="B1260" s="93"/>
      <c r="C1260" s="43" t="s">
        <v>149</v>
      </c>
      <c r="D1260" s="42">
        <v>1</v>
      </c>
      <c r="E1260" s="41">
        <v>4.4103378318779218E-5</v>
      </c>
    </row>
    <row r="1261" spans="2:5" ht="15" customHeight="1">
      <c r="B1261" s="93"/>
      <c r="C1261" s="43" t="s">
        <v>144</v>
      </c>
      <c r="D1261" s="42">
        <v>2</v>
      </c>
      <c r="E1261" s="41">
        <v>8.8206756637558437E-5</v>
      </c>
    </row>
    <row r="1262" spans="2:5" ht="15" customHeight="1">
      <c r="B1262" s="93"/>
      <c r="C1262" s="43" t="s">
        <v>155</v>
      </c>
      <c r="D1262" s="42">
        <v>5</v>
      </c>
      <c r="E1262" s="41">
        <v>2.205168915938961E-4</v>
      </c>
    </row>
    <row r="1263" spans="2:5" ht="15" customHeight="1">
      <c r="B1263" s="93"/>
      <c r="C1263" s="43" t="s">
        <v>119</v>
      </c>
      <c r="D1263" s="42">
        <v>4</v>
      </c>
      <c r="E1263" s="41">
        <v>1.7641351327511687E-4</v>
      </c>
    </row>
    <row r="1264" spans="2:5" ht="15" customHeight="1">
      <c r="B1264" s="93"/>
      <c r="C1264" s="43" t="s">
        <v>170</v>
      </c>
      <c r="D1264" s="42">
        <v>4</v>
      </c>
      <c r="E1264" s="41">
        <v>1.7641351327511687E-4</v>
      </c>
    </row>
    <row r="1265" spans="2:5" ht="15" customHeight="1">
      <c r="B1265" s="93"/>
      <c r="C1265" s="43" t="s">
        <v>154</v>
      </c>
      <c r="D1265" s="42">
        <v>2</v>
      </c>
      <c r="E1265" s="41">
        <v>8.8206756637558437E-5</v>
      </c>
    </row>
    <row r="1266" spans="2:5" ht="15" customHeight="1">
      <c r="B1266" s="93"/>
      <c r="C1266" s="43" t="s">
        <v>131</v>
      </c>
      <c r="D1266" s="42">
        <v>5</v>
      </c>
      <c r="E1266" s="41">
        <v>2.205168915938961E-4</v>
      </c>
    </row>
    <row r="1267" spans="2:5" ht="15" customHeight="1">
      <c r="B1267" s="93"/>
      <c r="C1267" s="43" t="s">
        <v>146</v>
      </c>
      <c r="D1267" s="42">
        <v>5</v>
      </c>
      <c r="E1267" s="41">
        <v>2.205168915938961E-4</v>
      </c>
    </row>
    <row r="1268" spans="2:5" ht="15" customHeight="1">
      <c r="B1268" s="93"/>
      <c r="C1268" s="43" t="s">
        <v>167</v>
      </c>
      <c r="D1268" s="42">
        <v>2</v>
      </c>
      <c r="E1268" s="41">
        <v>8.8206756637558437E-5</v>
      </c>
    </row>
    <row r="1269" spans="2:5" ht="15" customHeight="1">
      <c r="B1269" s="93"/>
      <c r="C1269" s="43" t="s">
        <v>165</v>
      </c>
      <c r="D1269" s="42">
        <v>3</v>
      </c>
      <c r="E1269" s="41">
        <v>1.3231013495633765E-4</v>
      </c>
    </row>
    <row r="1270" spans="2:5" ht="15" customHeight="1">
      <c r="B1270" s="94"/>
      <c r="C1270" s="40" t="s">
        <v>20</v>
      </c>
      <c r="D1270" s="39">
        <v>72</v>
      </c>
      <c r="E1270" s="38">
        <v>3.1754432389521038E-3</v>
      </c>
    </row>
    <row r="1271" spans="2:5" ht="15" customHeight="1">
      <c r="B1271" s="92" t="s">
        <v>253</v>
      </c>
      <c r="C1271" s="43" t="s">
        <v>129</v>
      </c>
      <c r="D1271" s="42">
        <v>1</v>
      </c>
      <c r="E1271" s="41">
        <v>4.4103378318779218E-5</v>
      </c>
    </row>
    <row r="1272" spans="2:5" ht="15" customHeight="1">
      <c r="B1272" s="93"/>
      <c r="C1272" s="43" t="s">
        <v>169</v>
      </c>
      <c r="D1272" s="42">
        <v>1</v>
      </c>
      <c r="E1272" s="41">
        <v>4.4103378318779218E-5</v>
      </c>
    </row>
    <row r="1273" spans="2:5" ht="15" customHeight="1">
      <c r="B1273" s="94"/>
      <c r="C1273" s="40" t="s">
        <v>20</v>
      </c>
      <c r="D1273" s="39">
        <v>2</v>
      </c>
      <c r="E1273" s="38">
        <v>8.8206756637558437E-5</v>
      </c>
    </row>
    <row r="1274" spans="2:5" ht="15" customHeight="1">
      <c r="B1274" s="92" t="s">
        <v>55</v>
      </c>
      <c r="C1274" s="43" t="s">
        <v>132</v>
      </c>
      <c r="D1274" s="42">
        <v>16</v>
      </c>
      <c r="E1274" s="41">
        <v>7.0565405310046749E-4</v>
      </c>
    </row>
    <row r="1275" spans="2:5" ht="15" customHeight="1">
      <c r="B1275" s="93"/>
      <c r="C1275" s="43" t="s">
        <v>135</v>
      </c>
      <c r="D1275" s="42">
        <v>2</v>
      </c>
      <c r="E1275" s="41">
        <v>8.8206756637558437E-5</v>
      </c>
    </row>
    <row r="1276" spans="2:5" ht="15" customHeight="1">
      <c r="B1276" s="93"/>
      <c r="C1276" s="43" t="s">
        <v>145</v>
      </c>
      <c r="D1276" s="42">
        <v>6</v>
      </c>
      <c r="E1276" s="41">
        <v>2.646202699126753E-4</v>
      </c>
    </row>
    <row r="1277" spans="2:5" ht="15" customHeight="1">
      <c r="B1277" s="93"/>
      <c r="C1277" s="43" t="s">
        <v>151</v>
      </c>
      <c r="D1277" s="42">
        <v>4</v>
      </c>
      <c r="E1277" s="41">
        <v>1.7641351327511687E-4</v>
      </c>
    </row>
    <row r="1278" spans="2:5" ht="15" customHeight="1">
      <c r="B1278" s="93"/>
      <c r="C1278" s="43" t="s">
        <v>134</v>
      </c>
      <c r="D1278" s="42">
        <v>2</v>
      </c>
      <c r="E1278" s="41">
        <v>8.8206756637558437E-5</v>
      </c>
    </row>
    <row r="1279" spans="2:5" ht="15" customHeight="1">
      <c r="B1279" s="93"/>
      <c r="C1279" s="43" t="s">
        <v>121</v>
      </c>
      <c r="D1279" s="42">
        <v>1</v>
      </c>
      <c r="E1279" s="41">
        <v>4.4103378318779218E-5</v>
      </c>
    </row>
    <row r="1280" spans="2:5" ht="15" customHeight="1">
      <c r="B1280" s="93"/>
      <c r="C1280" s="43" t="s">
        <v>172</v>
      </c>
      <c r="D1280" s="42">
        <v>57</v>
      </c>
      <c r="E1280" s="41">
        <v>2.5138925641704155E-3</v>
      </c>
    </row>
    <row r="1281" spans="2:5" ht="15" customHeight="1">
      <c r="B1281" s="93"/>
      <c r="C1281" s="43" t="s">
        <v>139</v>
      </c>
      <c r="D1281" s="42">
        <v>1</v>
      </c>
      <c r="E1281" s="41">
        <v>4.4103378318779218E-5</v>
      </c>
    </row>
    <row r="1282" spans="2:5" ht="15" customHeight="1">
      <c r="B1282" s="93"/>
      <c r="C1282" s="43" t="s">
        <v>122</v>
      </c>
      <c r="D1282" s="42">
        <v>1</v>
      </c>
      <c r="E1282" s="41">
        <v>4.4103378318779218E-5</v>
      </c>
    </row>
    <row r="1283" spans="2:5" ht="15" customHeight="1">
      <c r="B1283" s="93"/>
      <c r="C1283" s="43" t="s">
        <v>159</v>
      </c>
      <c r="D1283" s="42">
        <v>36</v>
      </c>
      <c r="E1283" s="41">
        <v>1.5877216194760519E-3</v>
      </c>
    </row>
    <row r="1284" spans="2:5" ht="15" customHeight="1">
      <c r="B1284" s="93"/>
      <c r="C1284" s="43" t="s">
        <v>157</v>
      </c>
      <c r="D1284" s="42">
        <v>5</v>
      </c>
      <c r="E1284" s="41">
        <v>2.205168915938961E-4</v>
      </c>
    </row>
    <row r="1285" spans="2:5" ht="15" customHeight="1">
      <c r="B1285" s="93"/>
      <c r="C1285" s="43" t="s">
        <v>164</v>
      </c>
      <c r="D1285" s="42">
        <v>25</v>
      </c>
      <c r="E1285" s="41">
        <v>1.1025844579694805E-3</v>
      </c>
    </row>
    <row r="1286" spans="2:5" ht="15" customHeight="1">
      <c r="B1286" s="93"/>
      <c r="C1286" s="43" t="s">
        <v>162</v>
      </c>
      <c r="D1286" s="42">
        <v>5</v>
      </c>
      <c r="E1286" s="41">
        <v>2.205168915938961E-4</v>
      </c>
    </row>
    <row r="1287" spans="2:5" ht="15" customHeight="1">
      <c r="B1287" s="93"/>
      <c r="C1287" s="43" t="s">
        <v>166</v>
      </c>
      <c r="D1287" s="42">
        <v>12</v>
      </c>
      <c r="E1287" s="41">
        <v>5.2924053982535059E-4</v>
      </c>
    </row>
    <row r="1288" spans="2:5" ht="15" customHeight="1">
      <c r="B1288" s="93"/>
      <c r="C1288" s="43" t="s">
        <v>142</v>
      </c>
      <c r="D1288" s="42">
        <v>3</v>
      </c>
      <c r="E1288" s="41">
        <v>1.3231013495633765E-4</v>
      </c>
    </row>
    <row r="1289" spans="2:5" ht="15" customHeight="1">
      <c r="B1289" s="93"/>
      <c r="C1289" s="43" t="s">
        <v>158</v>
      </c>
      <c r="D1289" s="42">
        <v>1</v>
      </c>
      <c r="E1289" s="41">
        <v>4.4103378318779218E-5</v>
      </c>
    </row>
    <row r="1290" spans="2:5" ht="15" customHeight="1">
      <c r="B1290" s="93"/>
      <c r="C1290" s="43" t="s">
        <v>148</v>
      </c>
      <c r="D1290" s="42">
        <v>1</v>
      </c>
      <c r="E1290" s="41">
        <v>4.4103378318779218E-5</v>
      </c>
    </row>
    <row r="1291" spans="2:5" ht="15" customHeight="1">
      <c r="B1291" s="93"/>
      <c r="C1291" s="43" t="s">
        <v>153</v>
      </c>
      <c r="D1291" s="42">
        <v>2</v>
      </c>
      <c r="E1291" s="41">
        <v>8.8206756637558437E-5</v>
      </c>
    </row>
    <row r="1292" spans="2:5" ht="15" customHeight="1">
      <c r="B1292" s="93"/>
      <c r="C1292" s="43" t="s">
        <v>143</v>
      </c>
      <c r="D1292" s="42">
        <v>3</v>
      </c>
      <c r="E1292" s="41">
        <v>1.3231013495633765E-4</v>
      </c>
    </row>
    <row r="1293" spans="2:5" ht="15" customHeight="1">
      <c r="B1293" s="93"/>
      <c r="C1293" s="43" t="s">
        <v>141</v>
      </c>
      <c r="D1293" s="42">
        <v>3</v>
      </c>
      <c r="E1293" s="41">
        <v>1.3231013495633765E-4</v>
      </c>
    </row>
    <row r="1294" spans="2:5" ht="15" customHeight="1">
      <c r="B1294" s="93"/>
      <c r="C1294" s="43" t="s">
        <v>156</v>
      </c>
      <c r="D1294" s="42">
        <v>2</v>
      </c>
      <c r="E1294" s="41">
        <v>8.8206756637558437E-5</v>
      </c>
    </row>
    <row r="1295" spans="2:5" ht="15" customHeight="1">
      <c r="B1295" s="93"/>
      <c r="C1295" s="43" t="s">
        <v>130</v>
      </c>
      <c r="D1295" s="42">
        <v>1</v>
      </c>
      <c r="E1295" s="41">
        <v>4.4103378318779218E-5</v>
      </c>
    </row>
    <row r="1296" spans="2:5" ht="15" customHeight="1">
      <c r="B1296" s="93"/>
      <c r="C1296" s="43" t="s">
        <v>163</v>
      </c>
      <c r="D1296" s="42">
        <v>3</v>
      </c>
      <c r="E1296" s="41">
        <v>1.3231013495633765E-4</v>
      </c>
    </row>
    <row r="1297" spans="2:5" ht="15" customHeight="1">
      <c r="B1297" s="93"/>
      <c r="C1297" s="43" t="s">
        <v>137</v>
      </c>
      <c r="D1297" s="42">
        <v>2</v>
      </c>
      <c r="E1297" s="41">
        <v>8.8206756637558437E-5</v>
      </c>
    </row>
    <row r="1298" spans="2:5" ht="15" customHeight="1">
      <c r="B1298" s="93"/>
      <c r="C1298" s="43" t="s">
        <v>161</v>
      </c>
      <c r="D1298" s="42">
        <v>63</v>
      </c>
      <c r="E1298" s="41">
        <v>2.7785128340830907E-3</v>
      </c>
    </row>
    <row r="1299" spans="2:5" ht="15" customHeight="1">
      <c r="B1299" s="93"/>
      <c r="C1299" s="43" t="s">
        <v>169</v>
      </c>
      <c r="D1299" s="42">
        <v>8</v>
      </c>
      <c r="E1299" s="41">
        <v>3.5282702655023375E-4</v>
      </c>
    </row>
    <row r="1300" spans="2:5" ht="15" customHeight="1">
      <c r="B1300" s="93"/>
      <c r="C1300" s="43" t="s">
        <v>171</v>
      </c>
      <c r="D1300" s="42">
        <v>21</v>
      </c>
      <c r="E1300" s="41">
        <v>9.2617094469436357E-4</v>
      </c>
    </row>
    <row r="1301" spans="2:5" ht="15" customHeight="1">
      <c r="B1301" s="93"/>
      <c r="C1301" s="43" t="s">
        <v>160</v>
      </c>
      <c r="D1301" s="42">
        <v>2</v>
      </c>
      <c r="E1301" s="41">
        <v>8.8206756637558437E-5</v>
      </c>
    </row>
    <row r="1302" spans="2:5" ht="15" customHeight="1">
      <c r="B1302" s="93"/>
      <c r="C1302" s="43" t="s">
        <v>168</v>
      </c>
      <c r="D1302" s="42">
        <v>7</v>
      </c>
      <c r="E1302" s="41">
        <v>3.0872364823145452E-4</v>
      </c>
    </row>
    <row r="1303" spans="2:5" ht="15" customHeight="1">
      <c r="B1303" s="93"/>
      <c r="C1303" s="43" t="s">
        <v>126</v>
      </c>
      <c r="D1303" s="42">
        <v>3</v>
      </c>
      <c r="E1303" s="41">
        <v>1.3231013495633765E-4</v>
      </c>
    </row>
    <row r="1304" spans="2:5" ht="15" customHeight="1">
      <c r="B1304" s="93"/>
      <c r="C1304" s="43" t="s">
        <v>144</v>
      </c>
      <c r="D1304" s="42">
        <v>10</v>
      </c>
      <c r="E1304" s="41">
        <v>4.410337831877922E-4</v>
      </c>
    </row>
    <row r="1305" spans="2:5" ht="15" customHeight="1">
      <c r="B1305" s="93"/>
      <c r="C1305" s="43" t="s">
        <v>150</v>
      </c>
      <c r="D1305" s="42">
        <v>1</v>
      </c>
      <c r="E1305" s="41">
        <v>4.4103378318779218E-5</v>
      </c>
    </row>
    <row r="1306" spans="2:5" ht="15" customHeight="1">
      <c r="B1306" s="93"/>
      <c r="C1306" s="43" t="s">
        <v>138</v>
      </c>
      <c r="D1306" s="42">
        <v>10</v>
      </c>
      <c r="E1306" s="41">
        <v>4.410337831877922E-4</v>
      </c>
    </row>
    <row r="1307" spans="2:5" ht="15" customHeight="1">
      <c r="B1307" s="93"/>
      <c r="C1307" s="43" t="s">
        <v>155</v>
      </c>
      <c r="D1307" s="42">
        <v>8</v>
      </c>
      <c r="E1307" s="41">
        <v>3.5282702655023375E-4</v>
      </c>
    </row>
    <row r="1308" spans="2:5" ht="15" customHeight="1">
      <c r="B1308" s="93"/>
      <c r="C1308" s="43" t="s">
        <v>119</v>
      </c>
      <c r="D1308" s="42">
        <v>6</v>
      </c>
      <c r="E1308" s="41">
        <v>2.646202699126753E-4</v>
      </c>
    </row>
    <row r="1309" spans="2:5" ht="15" customHeight="1">
      <c r="B1309" s="93"/>
      <c r="C1309" s="43" t="s">
        <v>170</v>
      </c>
      <c r="D1309" s="42">
        <v>9</v>
      </c>
      <c r="E1309" s="41">
        <v>3.9693040486901297E-4</v>
      </c>
    </row>
    <row r="1310" spans="2:5" ht="15" customHeight="1">
      <c r="B1310" s="93"/>
      <c r="C1310" s="43" t="s">
        <v>123</v>
      </c>
      <c r="D1310" s="42">
        <v>1</v>
      </c>
      <c r="E1310" s="41">
        <v>4.4103378318779218E-5</v>
      </c>
    </row>
    <row r="1311" spans="2:5" ht="15" customHeight="1">
      <c r="B1311" s="93"/>
      <c r="C1311" s="43" t="s">
        <v>154</v>
      </c>
      <c r="D1311" s="42">
        <v>2</v>
      </c>
      <c r="E1311" s="41">
        <v>8.8206756637558437E-5</v>
      </c>
    </row>
    <row r="1312" spans="2:5" ht="15" customHeight="1">
      <c r="B1312" s="93"/>
      <c r="C1312" s="43" t="s">
        <v>147</v>
      </c>
      <c r="D1312" s="42">
        <v>3</v>
      </c>
      <c r="E1312" s="41">
        <v>1.3231013495633765E-4</v>
      </c>
    </row>
    <row r="1313" spans="2:5" ht="15" customHeight="1">
      <c r="B1313" s="93"/>
      <c r="C1313" s="43" t="s">
        <v>146</v>
      </c>
      <c r="D1313" s="42">
        <v>19</v>
      </c>
      <c r="E1313" s="41">
        <v>8.3796418805680512E-4</v>
      </c>
    </row>
    <row r="1314" spans="2:5" ht="15" customHeight="1">
      <c r="B1314" s="93"/>
      <c r="C1314" s="43" t="s">
        <v>167</v>
      </c>
      <c r="D1314" s="42">
        <v>13</v>
      </c>
      <c r="E1314" s="41">
        <v>5.7334391814412987E-4</v>
      </c>
    </row>
    <row r="1315" spans="2:5" ht="15" customHeight="1">
      <c r="B1315" s="93"/>
      <c r="C1315" s="43" t="s">
        <v>165</v>
      </c>
      <c r="D1315" s="42">
        <v>24</v>
      </c>
      <c r="E1315" s="41">
        <v>1.0584810796507012E-3</v>
      </c>
    </row>
    <row r="1316" spans="2:5" ht="15" customHeight="1">
      <c r="B1316" s="94"/>
      <c r="C1316" s="40" t="s">
        <v>20</v>
      </c>
      <c r="D1316" s="39">
        <v>404</v>
      </c>
      <c r="E1316" s="38">
        <v>1.7817764840786805E-2</v>
      </c>
    </row>
    <row r="1317" spans="2:5" ht="15" customHeight="1">
      <c r="B1317" s="92" t="s">
        <v>29</v>
      </c>
      <c r="C1317" s="43" t="s">
        <v>135</v>
      </c>
      <c r="D1317" s="42">
        <v>3</v>
      </c>
      <c r="E1317" s="41">
        <v>1.3231013495633765E-4</v>
      </c>
    </row>
    <row r="1318" spans="2:5" ht="15" customHeight="1">
      <c r="B1318" s="93"/>
      <c r="C1318" s="43" t="s">
        <v>145</v>
      </c>
      <c r="D1318" s="42">
        <v>2</v>
      </c>
      <c r="E1318" s="41">
        <v>8.8206756637558437E-5</v>
      </c>
    </row>
    <row r="1319" spans="2:5" ht="15" customHeight="1">
      <c r="B1319" s="93"/>
      <c r="C1319" s="43" t="s">
        <v>151</v>
      </c>
      <c r="D1319" s="42">
        <v>1</v>
      </c>
      <c r="E1319" s="41">
        <v>4.4103378318779218E-5</v>
      </c>
    </row>
    <row r="1320" spans="2:5" ht="15" customHeight="1">
      <c r="B1320" s="93"/>
      <c r="C1320" s="43" t="s">
        <v>172</v>
      </c>
      <c r="D1320" s="42">
        <v>7</v>
      </c>
      <c r="E1320" s="41">
        <v>3.0872364823145452E-4</v>
      </c>
    </row>
    <row r="1321" spans="2:5" ht="15" customHeight="1">
      <c r="B1321" s="93"/>
      <c r="C1321" s="43" t="s">
        <v>139</v>
      </c>
      <c r="D1321" s="42">
        <v>2</v>
      </c>
      <c r="E1321" s="41">
        <v>8.8206756637558437E-5</v>
      </c>
    </row>
    <row r="1322" spans="2:5" ht="15" customHeight="1">
      <c r="B1322" s="93"/>
      <c r="C1322" s="43" t="s">
        <v>162</v>
      </c>
      <c r="D1322" s="42">
        <v>1</v>
      </c>
      <c r="E1322" s="41">
        <v>4.4103378318779218E-5</v>
      </c>
    </row>
    <row r="1323" spans="2:5" ht="15" customHeight="1">
      <c r="B1323" s="93"/>
      <c r="C1323" s="43" t="s">
        <v>166</v>
      </c>
      <c r="D1323" s="42">
        <v>1</v>
      </c>
      <c r="E1323" s="41">
        <v>4.4103378318779218E-5</v>
      </c>
    </row>
    <row r="1324" spans="2:5" ht="15" customHeight="1">
      <c r="B1324" s="93"/>
      <c r="C1324" s="43" t="s">
        <v>133</v>
      </c>
      <c r="D1324" s="42">
        <v>1</v>
      </c>
      <c r="E1324" s="41">
        <v>4.4103378318779218E-5</v>
      </c>
    </row>
    <row r="1325" spans="2:5" ht="15" customHeight="1">
      <c r="B1325" s="93"/>
      <c r="C1325" s="43" t="s">
        <v>137</v>
      </c>
      <c r="D1325" s="42">
        <v>2</v>
      </c>
      <c r="E1325" s="41">
        <v>8.8206756637558437E-5</v>
      </c>
    </row>
    <row r="1326" spans="2:5" ht="15" customHeight="1">
      <c r="B1326" s="93"/>
      <c r="C1326" s="43" t="s">
        <v>169</v>
      </c>
      <c r="D1326" s="42">
        <v>1</v>
      </c>
      <c r="E1326" s="41">
        <v>4.4103378318779218E-5</v>
      </c>
    </row>
    <row r="1327" spans="2:5" ht="15" customHeight="1">
      <c r="B1327" s="93"/>
      <c r="C1327" s="43" t="s">
        <v>171</v>
      </c>
      <c r="D1327" s="42">
        <v>2</v>
      </c>
      <c r="E1327" s="41">
        <v>8.8206756637558437E-5</v>
      </c>
    </row>
    <row r="1328" spans="2:5" ht="15" customHeight="1">
      <c r="B1328" s="93"/>
      <c r="C1328" s="43" t="s">
        <v>168</v>
      </c>
      <c r="D1328" s="42">
        <v>1</v>
      </c>
      <c r="E1328" s="41">
        <v>4.4103378318779218E-5</v>
      </c>
    </row>
    <row r="1329" spans="2:5" ht="15" customHeight="1">
      <c r="B1329" s="93"/>
      <c r="C1329" s="43" t="s">
        <v>138</v>
      </c>
      <c r="D1329" s="42">
        <v>1</v>
      </c>
      <c r="E1329" s="41">
        <v>4.4103378318779218E-5</v>
      </c>
    </row>
    <row r="1330" spans="2:5" ht="15" customHeight="1">
      <c r="B1330" s="93"/>
      <c r="C1330" s="43" t="s">
        <v>155</v>
      </c>
      <c r="D1330" s="42">
        <v>8</v>
      </c>
      <c r="E1330" s="41">
        <v>3.5282702655023375E-4</v>
      </c>
    </row>
    <row r="1331" spans="2:5" ht="15" customHeight="1">
      <c r="B1331" s="93"/>
      <c r="C1331" s="43" t="s">
        <v>170</v>
      </c>
      <c r="D1331" s="42">
        <v>1</v>
      </c>
      <c r="E1331" s="41">
        <v>4.4103378318779218E-5</v>
      </c>
    </row>
    <row r="1332" spans="2:5" ht="15" customHeight="1">
      <c r="B1332" s="93"/>
      <c r="C1332" s="43" t="s">
        <v>154</v>
      </c>
      <c r="D1332" s="42">
        <v>1</v>
      </c>
      <c r="E1332" s="41">
        <v>4.4103378318779218E-5</v>
      </c>
    </row>
    <row r="1333" spans="2:5" ht="15" customHeight="1">
      <c r="B1333" s="93"/>
      <c r="C1333" s="43" t="s">
        <v>167</v>
      </c>
      <c r="D1333" s="42">
        <v>2</v>
      </c>
      <c r="E1333" s="41">
        <v>8.8206756637558437E-5</v>
      </c>
    </row>
    <row r="1334" spans="2:5" ht="15" customHeight="1">
      <c r="B1334" s="93"/>
      <c r="C1334" s="43" t="s">
        <v>165</v>
      </c>
      <c r="D1334" s="42">
        <v>5</v>
      </c>
      <c r="E1334" s="41">
        <v>2.205168915938961E-4</v>
      </c>
    </row>
    <row r="1335" spans="2:5" ht="15" customHeight="1">
      <c r="B1335" s="94"/>
      <c r="C1335" s="40" t="s">
        <v>20</v>
      </c>
      <c r="D1335" s="39">
        <v>42</v>
      </c>
      <c r="E1335" s="38">
        <v>1.8523418893887271E-3</v>
      </c>
    </row>
    <row r="1336" spans="2:5" ht="15" customHeight="1">
      <c r="B1336" s="96" t="s">
        <v>20</v>
      </c>
      <c r="C1336" s="97"/>
      <c r="D1336" s="68">
        <v>22674</v>
      </c>
      <c r="E1336" s="69">
        <v>1</v>
      </c>
    </row>
    <row r="1338" spans="2:5" ht="15" customHeight="1">
      <c r="B1338" s="19" t="s">
        <v>255</v>
      </c>
    </row>
    <row r="1339" spans="2:5" ht="15" customHeight="1">
      <c r="B1339" s="21" t="s">
        <v>19</v>
      </c>
    </row>
    <row r="1340" spans="2:5" ht="15" customHeight="1">
      <c r="B1340" s="20" t="s">
        <v>18</v>
      </c>
    </row>
    <row r="1341" spans="2:5" ht="15" customHeight="1">
      <c r="B1341" s="19" t="s">
        <v>17</v>
      </c>
    </row>
    <row r="1342" spans="2:5" ht="15" customHeight="1">
      <c r="B1342" s="19" t="s">
        <v>256</v>
      </c>
    </row>
  </sheetData>
  <mergeCells count="50">
    <mergeCell ref="B1062:B1070"/>
    <mergeCell ref="B1071:B1106"/>
    <mergeCell ref="B1107:B1164"/>
    <mergeCell ref="B861:B876"/>
    <mergeCell ref="B877:B921"/>
    <mergeCell ref="B922:B923"/>
    <mergeCell ref="B924:B941"/>
    <mergeCell ref="B942:B985"/>
    <mergeCell ref="B1317:B1335"/>
    <mergeCell ref="B1336:C1336"/>
    <mergeCell ref="B1165:B1207"/>
    <mergeCell ref="B1208:B1241"/>
    <mergeCell ref="B1242:B1270"/>
    <mergeCell ref="B1271:B1273"/>
    <mergeCell ref="B1274:B1316"/>
    <mergeCell ref="B7:E8"/>
    <mergeCell ref="B10:B32"/>
    <mergeCell ref="B33:B37"/>
    <mergeCell ref="B38:B83"/>
    <mergeCell ref="B84:B115"/>
    <mergeCell ref="B412:B455"/>
    <mergeCell ref="B456:B494"/>
    <mergeCell ref="B495:B531"/>
    <mergeCell ref="B173:B221"/>
    <mergeCell ref="B222:B225"/>
    <mergeCell ref="B226:B229"/>
    <mergeCell ref="B230:B232"/>
    <mergeCell ref="B233:B275"/>
    <mergeCell ref="B1031:B1061"/>
    <mergeCell ref="B116:B172"/>
    <mergeCell ref="B757:B807"/>
    <mergeCell ref="B808:B810"/>
    <mergeCell ref="B811:B826"/>
    <mergeCell ref="B827:B860"/>
    <mergeCell ref="B594:B600"/>
    <mergeCell ref="B601:B633"/>
    <mergeCell ref="B634:B669"/>
    <mergeCell ref="B670:B692"/>
    <mergeCell ref="B693:B714"/>
    <mergeCell ref="B715:B719"/>
    <mergeCell ref="B276:B318"/>
    <mergeCell ref="B319:B320"/>
    <mergeCell ref="B321:B354"/>
    <mergeCell ref="B355:B411"/>
    <mergeCell ref="B532:B558"/>
    <mergeCell ref="B559:B587"/>
    <mergeCell ref="B588:B593"/>
    <mergeCell ref="B986:B1017"/>
    <mergeCell ref="B1018:B1030"/>
    <mergeCell ref="B720:B756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8" orientation="portrait" r:id="rId1"/>
  <colBreaks count="1" manualBreakCount="1">
    <brk id="5" max="18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1709"/>
  <sheetViews>
    <sheetView showGridLines="0" topLeftCell="A1679" zoomScaleNormal="100" zoomScaleSheetLayoutView="85" workbookViewId="0">
      <selection activeCell="F12" sqref="F12"/>
    </sheetView>
  </sheetViews>
  <sheetFormatPr baseColWidth="10" defaultColWidth="35" defaultRowHeight="15" customHeight="1"/>
  <cols>
    <col min="1" max="1" width="1" style="36" customWidth="1"/>
    <col min="2" max="2" width="22.85546875" style="37" customWidth="1"/>
    <col min="3" max="3" width="31.42578125" style="37" customWidth="1"/>
    <col min="4" max="4" width="14.28515625" style="37" customWidth="1"/>
    <col min="5" max="5" width="16.85546875" style="37" customWidth="1"/>
    <col min="6" max="16384" width="35" style="36"/>
  </cols>
  <sheetData>
    <row r="1" spans="1:5" s="51" customFormat="1" ht="12" customHeight="1">
      <c r="B1" s="55"/>
      <c r="C1" s="54"/>
      <c r="D1" s="54"/>
      <c r="E1" s="54"/>
    </row>
    <row r="2" spans="1:5" s="51" customFormat="1" ht="15" customHeight="1">
      <c r="C2" s="53"/>
    </row>
    <row r="3" spans="1:5" s="51" customFormat="1" ht="15" customHeight="1">
      <c r="C3" s="53"/>
    </row>
    <row r="4" spans="1:5" s="51" customFormat="1" ht="30" customHeight="1">
      <c r="C4" s="53"/>
      <c r="D4" s="52"/>
    </row>
    <row r="5" spans="1:5" s="51" customFormat="1" ht="15" customHeight="1">
      <c r="C5" s="53"/>
      <c r="D5" s="52"/>
    </row>
    <row r="6" spans="1:5" s="47" customFormat="1" ht="24" customHeight="1">
      <c r="B6" s="50"/>
      <c r="C6" s="49"/>
      <c r="D6" s="49"/>
      <c r="E6" s="49"/>
    </row>
    <row r="7" spans="1:5" s="47" customFormat="1" ht="26.25" customHeight="1">
      <c r="A7" s="48"/>
      <c r="B7" s="95"/>
      <c r="C7" s="95"/>
      <c r="D7" s="95"/>
      <c r="E7" s="95"/>
    </row>
    <row r="8" spans="1:5" s="47" customFormat="1" ht="33" customHeight="1">
      <c r="A8" s="48"/>
      <c r="B8" s="95"/>
      <c r="C8" s="95"/>
      <c r="D8" s="95"/>
      <c r="E8" s="95"/>
    </row>
    <row r="9" spans="1:5" s="29" customFormat="1" ht="40.5" customHeight="1">
      <c r="B9" s="44" t="s">
        <v>115</v>
      </c>
      <c r="C9" s="46" t="s">
        <v>174</v>
      </c>
      <c r="D9" s="45" t="s">
        <v>65</v>
      </c>
      <c r="E9" s="44" t="s">
        <v>64</v>
      </c>
    </row>
    <row r="10" spans="1:5" ht="15" customHeight="1">
      <c r="B10" s="92" t="s">
        <v>78</v>
      </c>
      <c r="C10" s="43" t="s">
        <v>140</v>
      </c>
      <c r="D10" s="42">
        <v>1</v>
      </c>
      <c r="E10" s="41">
        <v>4.4103378318779218E-5</v>
      </c>
    </row>
    <row r="11" spans="1:5" ht="15" customHeight="1">
      <c r="B11" s="93"/>
      <c r="C11" s="43" t="s">
        <v>145</v>
      </c>
      <c r="D11" s="42">
        <v>1</v>
      </c>
      <c r="E11" s="41">
        <v>4.4103378318779218E-5</v>
      </c>
    </row>
    <row r="12" spans="1:5" ht="15" customHeight="1">
      <c r="B12" s="93"/>
      <c r="C12" s="43" t="s">
        <v>120</v>
      </c>
      <c r="D12" s="42">
        <v>2</v>
      </c>
      <c r="E12" s="41">
        <v>8.8206756637558437E-5</v>
      </c>
    </row>
    <row r="13" spans="1:5" ht="15" customHeight="1">
      <c r="B13" s="93"/>
      <c r="C13" s="43" t="s">
        <v>151</v>
      </c>
      <c r="D13" s="42">
        <v>1</v>
      </c>
      <c r="E13" s="41">
        <v>4.4103378318779218E-5</v>
      </c>
    </row>
    <row r="14" spans="1:5" ht="15" customHeight="1">
      <c r="B14" s="93"/>
      <c r="C14" s="43" t="s">
        <v>134</v>
      </c>
      <c r="D14" s="42">
        <v>2</v>
      </c>
      <c r="E14" s="41">
        <v>8.8206756637558437E-5</v>
      </c>
    </row>
    <row r="15" spans="1:5" ht="15" customHeight="1">
      <c r="B15" s="93"/>
      <c r="C15" s="43" t="s">
        <v>172</v>
      </c>
      <c r="D15" s="42">
        <v>27</v>
      </c>
      <c r="E15" s="41">
        <v>1.1907912146070388E-3</v>
      </c>
    </row>
    <row r="16" spans="1:5" ht="15" customHeight="1">
      <c r="B16" s="93"/>
      <c r="C16" s="43" t="s">
        <v>139</v>
      </c>
      <c r="D16" s="42">
        <v>2</v>
      </c>
      <c r="E16" s="41">
        <v>8.8206756637558437E-5</v>
      </c>
    </row>
    <row r="17" spans="2:5" ht="15" customHeight="1">
      <c r="B17" s="93"/>
      <c r="C17" s="43" t="s">
        <v>159</v>
      </c>
      <c r="D17" s="42">
        <v>1</v>
      </c>
      <c r="E17" s="41">
        <v>4.4103378318779218E-5</v>
      </c>
    </row>
    <row r="18" spans="2:5" ht="15" customHeight="1">
      <c r="B18" s="93"/>
      <c r="C18" s="43" t="s">
        <v>164</v>
      </c>
      <c r="D18" s="42">
        <v>12</v>
      </c>
      <c r="E18" s="41">
        <v>5.2924053982535059E-4</v>
      </c>
    </row>
    <row r="19" spans="2:5" ht="15" customHeight="1">
      <c r="B19" s="93"/>
      <c r="C19" s="43" t="s">
        <v>166</v>
      </c>
      <c r="D19" s="42">
        <v>4</v>
      </c>
      <c r="E19" s="41">
        <v>1.7641351327511687E-4</v>
      </c>
    </row>
    <row r="20" spans="2:5" ht="15" customHeight="1">
      <c r="B20" s="93"/>
      <c r="C20" s="43" t="s">
        <v>158</v>
      </c>
      <c r="D20" s="42">
        <v>5</v>
      </c>
      <c r="E20" s="41">
        <v>2.205168915938961E-4</v>
      </c>
    </row>
    <row r="21" spans="2:5" ht="15" customHeight="1">
      <c r="B21" s="93"/>
      <c r="C21" s="43" t="s">
        <v>143</v>
      </c>
      <c r="D21" s="42">
        <v>2</v>
      </c>
      <c r="E21" s="41">
        <v>8.8206756637558437E-5</v>
      </c>
    </row>
    <row r="22" spans="2:5" ht="15" customHeight="1">
      <c r="B22" s="93"/>
      <c r="C22" s="43" t="s">
        <v>141</v>
      </c>
      <c r="D22" s="42">
        <v>3</v>
      </c>
      <c r="E22" s="41">
        <v>1.3231013495633765E-4</v>
      </c>
    </row>
    <row r="23" spans="2:5" ht="15" customHeight="1">
      <c r="B23" s="93"/>
      <c r="C23" s="43" t="s">
        <v>156</v>
      </c>
      <c r="D23" s="42">
        <v>4</v>
      </c>
      <c r="E23" s="41">
        <v>1.7641351327511687E-4</v>
      </c>
    </row>
    <row r="24" spans="2:5" ht="15" customHeight="1">
      <c r="B24" s="93"/>
      <c r="C24" s="43" t="s">
        <v>125</v>
      </c>
      <c r="D24" s="42">
        <v>1</v>
      </c>
      <c r="E24" s="41">
        <v>4.4103378318779218E-5</v>
      </c>
    </row>
    <row r="25" spans="2:5" ht="15" customHeight="1">
      <c r="B25" s="93"/>
      <c r="C25" s="43" t="s">
        <v>152</v>
      </c>
      <c r="D25" s="42">
        <v>3</v>
      </c>
      <c r="E25" s="41">
        <v>1.3231013495633765E-4</v>
      </c>
    </row>
    <row r="26" spans="2:5" ht="15" customHeight="1">
      <c r="B26" s="93"/>
      <c r="C26" s="43" t="s">
        <v>163</v>
      </c>
      <c r="D26" s="42">
        <v>1</v>
      </c>
      <c r="E26" s="41">
        <v>4.4103378318779218E-5</v>
      </c>
    </row>
    <row r="27" spans="2:5" ht="15" customHeight="1">
      <c r="B27" s="93"/>
      <c r="C27" s="43" t="s">
        <v>137</v>
      </c>
      <c r="D27" s="42">
        <v>1</v>
      </c>
      <c r="E27" s="41">
        <v>4.4103378318779218E-5</v>
      </c>
    </row>
    <row r="28" spans="2:5" ht="15" customHeight="1">
      <c r="B28" s="93"/>
      <c r="C28" s="43" t="s">
        <v>161</v>
      </c>
      <c r="D28" s="42">
        <v>24</v>
      </c>
      <c r="E28" s="41">
        <v>1.0584810796507012E-3</v>
      </c>
    </row>
    <row r="29" spans="2:5" ht="15" customHeight="1">
      <c r="B29" s="93"/>
      <c r="C29" s="43" t="s">
        <v>127</v>
      </c>
      <c r="D29" s="42">
        <v>1</v>
      </c>
      <c r="E29" s="41">
        <v>4.4103378318779218E-5</v>
      </c>
    </row>
    <row r="30" spans="2:5" ht="15" customHeight="1">
      <c r="B30" s="93"/>
      <c r="C30" s="43" t="s">
        <v>169</v>
      </c>
      <c r="D30" s="42">
        <v>4</v>
      </c>
      <c r="E30" s="41">
        <v>1.7641351327511687E-4</v>
      </c>
    </row>
    <row r="31" spans="2:5" ht="15" customHeight="1">
      <c r="B31" s="93"/>
      <c r="C31" s="43" t="s">
        <v>171</v>
      </c>
      <c r="D31" s="42">
        <v>9</v>
      </c>
      <c r="E31" s="41">
        <v>3.9693040486901297E-4</v>
      </c>
    </row>
    <row r="32" spans="2:5" ht="15" customHeight="1">
      <c r="B32" s="93"/>
      <c r="C32" s="43" t="s">
        <v>160</v>
      </c>
      <c r="D32" s="42">
        <v>5</v>
      </c>
      <c r="E32" s="41">
        <v>2.205168915938961E-4</v>
      </c>
    </row>
    <row r="33" spans="2:5" ht="15" customHeight="1">
      <c r="B33" s="93"/>
      <c r="C33" s="43" t="s">
        <v>168</v>
      </c>
      <c r="D33" s="42">
        <v>21</v>
      </c>
      <c r="E33" s="41">
        <v>9.2617094469436357E-4</v>
      </c>
    </row>
    <row r="34" spans="2:5" ht="15" customHeight="1">
      <c r="B34" s="93"/>
      <c r="C34" s="43" t="s">
        <v>149</v>
      </c>
      <c r="D34" s="42">
        <v>2</v>
      </c>
      <c r="E34" s="41">
        <v>8.8206756637558437E-5</v>
      </c>
    </row>
    <row r="35" spans="2:5" ht="15" customHeight="1">
      <c r="B35" s="93"/>
      <c r="C35" s="43" t="s">
        <v>150</v>
      </c>
      <c r="D35" s="42">
        <v>1</v>
      </c>
      <c r="E35" s="41">
        <v>4.4103378318779218E-5</v>
      </c>
    </row>
    <row r="36" spans="2:5" ht="15" customHeight="1">
      <c r="B36" s="93"/>
      <c r="C36" s="43" t="s">
        <v>170</v>
      </c>
      <c r="D36" s="42">
        <v>11</v>
      </c>
      <c r="E36" s="41">
        <v>4.8513716150657142E-4</v>
      </c>
    </row>
    <row r="37" spans="2:5" ht="15" customHeight="1">
      <c r="B37" s="93"/>
      <c r="C37" s="43" t="s">
        <v>154</v>
      </c>
      <c r="D37" s="42">
        <v>15</v>
      </c>
      <c r="E37" s="41">
        <v>6.6155067478168832E-4</v>
      </c>
    </row>
    <row r="38" spans="2:5" ht="15" customHeight="1">
      <c r="B38" s="93"/>
      <c r="C38" s="43" t="s">
        <v>146</v>
      </c>
      <c r="D38" s="42">
        <v>1</v>
      </c>
      <c r="E38" s="41">
        <v>4.4103378318779218E-5</v>
      </c>
    </row>
    <row r="39" spans="2:5" ht="15" customHeight="1">
      <c r="B39" s="93"/>
      <c r="C39" s="43" t="s">
        <v>165</v>
      </c>
      <c r="D39" s="42">
        <v>13</v>
      </c>
      <c r="E39" s="41">
        <v>5.7334391814412987E-4</v>
      </c>
    </row>
    <row r="40" spans="2:5" ht="15" customHeight="1">
      <c r="B40" s="94"/>
      <c r="C40" s="40" t="s">
        <v>20</v>
      </c>
      <c r="D40" s="39">
        <v>180</v>
      </c>
      <c r="E40" s="38">
        <v>7.9386080973802599E-3</v>
      </c>
    </row>
    <row r="41" spans="2:5" ht="15" customHeight="1">
      <c r="B41" s="92" t="s">
        <v>110</v>
      </c>
      <c r="C41" s="43" t="s">
        <v>140</v>
      </c>
      <c r="D41" s="42">
        <v>6</v>
      </c>
      <c r="E41" s="41">
        <v>2.646202699126753E-4</v>
      </c>
    </row>
    <row r="42" spans="2:5" ht="15" customHeight="1">
      <c r="B42" s="93"/>
      <c r="C42" s="43" t="s">
        <v>132</v>
      </c>
      <c r="D42" s="42">
        <v>2</v>
      </c>
      <c r="E42" s="41">
        <v>8.8206756637558437E-5</v>
      </c>
    </row>
    <row r="43" spans="2:5" ht="15" customHeight="1">
      <c r="B43" s="93"/>
      <c r="C43" s="43" t="s">
        <v>135</v>
      </c>
      <c r="D43" s="42">
        <v>11</v>
      </c>
      <c r="E43" s="41">
        <v>4.8513716150657142E-4</v>
      </c>
    </row>
    <row r="44" spans="2:5" ht="15" customHeight="1">
      <c r="B44" s="93"/>
      <c r="C44" s="43" t="s">
        <v>129</v>
      </c>
      <c r="D44" s="42">
        <v>1</v>
      </c>
      <c r="E44" s="41">
        <v>4.4103378318779218E-5</v>
      </c>
    </row>
    <row r="45" spans="2:5" ht="15" customHeight="1">
      <c r="B45" s="93"/>
      <c r="C45" s="43" t="s">
        <v>145</v>
      </c>
      <c r="D45" s="42">
        <v>2</v>
      </c>
      <c r="E45" s="41">
        <v>8.8206756637558437E-5</v>
      </c>
    </row>
    <row r="46" spans="2:5" ht="15" customHeight="1">
      <c r="B46" s="93"/>
      <c r="C46" s="43" t="s">
        <v>151</v>
      </c>
      <c r="D46" s="42">
        <v>5</v>
      </c>
      <c r="E46" s="41">
        <v>2.205168915938961E-4</v>
      </c>
    </row>
    <row r="47" spans="2:5" ht="15" customHeight="1">
      <c r="B47" s="93"/>
      <c r="C47" s="43" t="s">
        <v>128</v>
      </c>
      <c r="D47" s="42">
        <v>1</v>
      </c>
      <c r="E47" s="41">
        <v>4.4103378318779218E-5</v>
      </c>
    </row>
    <row r="48" spans="2:5" ht="15" customHeight="1">
      <c r="B48" s="93"/>
      <c r="C48" s="43" t="s">
        <v>134</v>
      </c>
      <c r="D48" s="42">
        <v>4</v>
      </c>
      <c r="E48" s="41">
        <v>1.7641351327511687E-4</v>
      </c>
    </row>
    <row r="49" spans="2:5" ht="15" customHeight="1">
      <c r="B49" s="93"/>
      <c r="C49" s="43" t="s">
        <v>172</v>
      </c>
      <c r="D49" s="42">
        <v>71</v>
      </c>
      <c r="E49" s="41">
        <v>3.1313398606333245E-3</v>
      </c>
    </row>
    <row r="50" spans="2:5" ht="15" customHeight="1">
      <c r="B50" s="93"/>
      <c r="C50" s="43" t="s">
        <v>139</v>
      </c>
      <c r="D50" s="42">
        <v>11</v>
      </c>
      <c r="E50" s="41">
        <v>4.8513716150657142E-4</v>
      </c>
    </row>
    <row r="51" spans="2:5" ht="15" customHeight="1">
      <c r="B51" s="93"/>
      <c r="C51" s="43" t="s">
        <v>159</v>
      </c>
      <c r="D51" s="42">
        <v>26</v>
      </c>
      <c r="E51" s="41">
        <v>1.1466878362882597E-3</v>
      </c>
    </row>
    <row r="52" spans="2:5" ht="15" customHeight="1">
      <c r="B52" s="93"/>
      <c r="C52" s="43" t="s">
        <v>157</v>
      </c>
      <c r="D52" s="42">
        <v>24</v>
      </c>
      <c r="E52" s="41">
        <v>1.0584810796507012E-3</v>
      </c>
    </row>
    <row r="53" spans="2:5" ht="15" customHeight="1">
      <c r="B53" s="93"/>
      <c r="C53" s="43" t="s">
        <v>164</v>
      </c>
      <c r="D53" s="42">
        <v>34</v>
      </c>
      <c r="E53" s="41">
        <v>1.4995148628384933E-3</v>
      </c>
    </row>
    <row r="54" spans="2:5" ht="15" customHeight="1">
      <c r="B54" s="93"/>
      <c r="C54" s="43" t="s">
        <v>136</v>
      </c>
      <c r="D54" s="42">
        <v>1</v>
      </c>
      <c r="E54" s="41">
        <v>4.4103378318779218E-5</v>
      </c>
    </row>
    <row r="55" spans="2:5" ht="15" customHeight="1">
      <c r="B55" s="93"/>
      <c r="C55" s="43" t="s">
        <v>162</v>
      </c>
      <c r="D55" s="42">
        <v>3</v>
      </c>
      <c r="E55" s="41">
        <v>1.3231013495633765E-4</v>
      </c>
    </row>
    <row r="56" spans="2:5" ht="15" customHeight="1">
      <c r="B56" s="93"/>
      <c r="C56" s="43" t="s">
        <v>166</v>
      </c>
      <c r="D56" s="42">
        <v>13</v>
      </c>
      <c r="E56" s="41">
        <v>5.7334391814412987E-4</v>
      </c>
    </row>
    <row r="57" spans="2:5" ht="15" customHeight="1">
      <c r="B57" s="93"/>
      <c r="C57" s="43" t="s">
        <v>142</v>
      </c>
      <c r="D57" s="42">
        <v>3</v>
      </c>
      <c r="E57" s="41">
        <v>1.3231013495633765E-4</v>
      </c>
    </row>
    <row r="58" spans="2:5" ht="15" customHeight="1">
      <c r="B58" s="93"/>
      <c r="C58" s="43" t="s">
        <v>158</v>
      </c>
      <c r="D58" s="42">
        <v>63</v>
      </c>
      <c r="E58" s="41">
        <v>2.7785128340830907E-3</v>
      </c>
    </row>
    <row r="59" spans="2:5" ht="15" customHeight="1">
      <c r="B59" s="93"/>
      <c r="C59" s="43" t="s">
        <v>148</v>
      </c>
      <c r="D59" s="42">
        <v>4</v>
      </c>
      <c r="E59" s="41">
        <v>1.7641351327511687E-4</v>
      </c>
    </row>
    <row r="60" spans="2:5" ht="15" customHeight="1">
      <c r="B60" s="93"/>
      <c r="C60" s="43" t="s">
        <v>153</v>
      </c>
      <c r="D60" s="42">
        <v>10</v>
      </c>
      <c r="E60" s="41">
        <v>4.410337831877922E-4</v>
      </c>
    </row>
    <row r="61" spans="2:5" ht="15" customHeight="1">
      <c r="B61" s="93"/>
      <c r="C61" s="43" t="s">
        <v>143</v>
      </c>
      <c r="D61" s="42">
        <v>3</v>
      </c>
      <c r="E61" s="41">
        <v>1.3231013495633765E-4</v>
      </c>
    </row>
    <row r="62" spans="2:5" ht="15" customHeight="1">
      <c r="B62" s="93"/>
      <c r="C62" s="43" t="s">
        <v>141</v>
      </c>
      <c r="D62" s="42">
        <v>4</v>
      </c>
      <c r="E62" s="41">
        <v>1.7641351327511687E-4</v>
      </c>
    </row>
    <row r="63" spans="2:5" ht="15" customHeight="1">
      <c r="B63" s="93"/>
      <c r="C63" s="43" t="s">
        <v>156</v>
      </c>
      <c r="D63" s="42">
        <v>10</v>
      </c>
      <c r="E63" s="41">
        <v>4.410337831877922E-4</v>
      </c>
    </row>
    <row r="64" spans="2:5" ht="15" customHeight="1">
      <c r="B64" s="93"/>
      <c r="C64" s="43" t="s">
        <v>125</v>
      </c>
      <c r="D64" s="42">
        <v>1</v>
      </c>
      <c r="E64" s="41">
        <v>4.4103378318779218E-5</v>
      </c>
    </row>
    <row r="65" spans="2:5" ht="15" customHeight="1">
      <c r="B65" s="93"/>
      <c r="C65" s="43" t="s">
        <v>130</v>
      </c>
      <c r="D65" s="42">
        <v>2</v>
      </c>
      <c r="E65" s="41">
        <v>8.8206756637558437E-5</v>
      </c>
    </row>
    <row r="66" spans="2:5" ht="15" customHeight="1">
      <c r="B66" s="93"/>
      <c r="C66" s="43" t="s">
        <v>163</v>
      </c>
      <c r="D66" s="42">
        <v>2</v>
      </c>
      <c r="E66" s="41">
        <v>8.8206756637558437E-5</v>
      </c>
    </row>
    <row r="67" spans="2:5" ht="15" customHeight="1">
      <c r="B67" s="93"/>
      <c r="C67" s="43" t="s">
        <v>137</v>
      </c>
      <c r="D67" s="42">
        <v>16</v>
      </c>
      <c r="E67" s="41">
        <v>7.0565405310046749E-4</v>
      </c>
    </row>
    <row r="68" spans="2:5" ht="15" customHeight="1">
      <c r="B68" s="93"/>
      <c r="C68" s="43" t="s">
        <v>161</v>
      </c>
      <c r="D68" s="42">
        <v>26</v>
      </c>
      <c r="E68" s="41">
        <v>1.1466878362882597E-3</v>
      </c>
    </row>
    <row r="69" spans="2:5" ht="15" customHeight="1">
      <c r="B69" s="93"/>
      <c r="C69" s="43" t="s">
        <v>127</v>
      </c>
      <c r="D69" s="42">
        <v>1</v>
      </c>
      <c r="E69" s="41">
        <v>4.4103378318779218E-5</v>
      </c>
    </row>
    <row r="70" spans="2:5" ht="15" customHeight="1">
      <c r="B70" s="93"/>
      <c r="C70" s="43" t="s">
        <v>169</v>
      </c>
      <c r="D70" s="42">
        <v>77</v>
      </c>
      <c r="E70" s="41">
        <v>3.3959601305459997E-3</v>
      </c>
    </row>
    <row r="71" spans="2:5" ht="15" customHeight="1">
      <c r="B71" s="93"/>
      <c r="C71" s="43" t="s">
        <v>171</v>
      </c>
      <c r="D71" s="42">
        <v>39</v>
      </c>
      <c r="E71" s="41">
        <v>1.7200317544323895E-3</v>
      </c>
    </row>
    <row r="72" spans="2:5" ht="15" customHeight="1">
      <c r="B72" s="93"/>
      <c r="C72" s="43" t="s">
        <v>160</v>
      </c>
      <c r="D72" s="42">
        <v>24</v>
      </c>
      <c r="E72" s="41">
        <v>1.0584810796507012E-3</v>
      </c>
    </row>
    <row r="73" spans="2:5" ht="15" customHeight="1">
      <c r="B73" s="93"/>
      <c r="C73" s="43" t="s">
        <v>168</v>
      </c>
      <c r="D73" s="42">
        <v>18</v>
      </c>
      <c r="E73" s="41">
        <v>7.9386080973802594E-4</v>
      </c>
    </row>
    <row r="74" spans="2:5" ht="15" customHeight="1">
      <c r="B74" s="93"/>
      <c r="C74" s="43" t="s">
        <v>149</v>
      </c>
      <c r="D74" s="42">
        <v>2</v>
      </c>
      <c r="E74" s="41">
        <v>8.8206756637558437E-5</v>
      </c>
    </row>
    <row r="75" spans="2:5" ht="15" customHeight="1">
      <c r="B75" s="93"/>
      <c r="C75" s="43" t="s">
        <v>144</v>
      </c>
      <c r="D75" s="42">
        <v>17</v>
      </c>
      <c r="E75" s="41">
        <v>7.4975743141924667E-4</v>
      </c>
    </row>
    <row r="76" spans="2:5" ht="15" customHeight="1">
      <c r="B76" s="93"/>
      <c r="C76" s="43" t="s">
        <v>150</v>
      </c>
      <c r="D76" s="42">
        <v>4</v>
      </c>
      <c r="E76" s="41">
        <v>1.7641351327511687E-4</v>
      </c>
    </row>
    <row r="77" spans="2:5" ht="15" customHeight="1">
      <c r="B77" s="93"/>
      <c r="C77" s="43" t="s">
        <v>138</v>
      </c>
      <c r="D77" s="42">
        <v>6</v>
      </c>
      <c r="E77" s="41">
        <v>2.646202699126753E-4</v>
      </c>
    </row>
    <row r="78" spans="2:5" ht="15" customHeight="1">
      <c r="B78" s="93"/>
      <c r="C78" s="43" t="s">
        <v>155</v>
      </c>
      <c r="D78" s="42">
        <v>11</v>
      </c>
      <c r="E78" s="41">
        <v>4.8513716150657142E-4</v>
      </c>
    </row>
    <row r="79" spans="2:5" ht="15" customHeight="1">
      <c r="B79" s="93"/>
      <c r="C79" s="43" t="s">
        <v>119</v>
      </c>
      <c r="D79" s="42">
        <v>1</v>
      </c>
      <c r="E79" s="41">
        <v>4.4103378318779218E-5</v>
      </c>
    </row>
    <row r="80" spans="2:5" ht="15" customHeight="1">
      <c r="B80" s="93"/>
      <c r="C80" s="43" t="s">
        <v>170</v>
      </c>
      <c r="D80" s="42">
        <v>22</v>
      </c>
      <c r="E80" s="41">
        <v>9.7027432301314285E-4</v>
      </c>
    </row>
    <row r="81" spans="2:5" ht="15" customHeight="1">
      <c r="B81" s="93"/>
      <c r="C81" s="43" t="s">
        <v>154</v>
      </c>
      <c r="D81" s="42">
        <v>6</v>
      </c>
      <c r="E81" s="41">
        <v>2.646202699126753E-4</v>
      </c>
    </row>
    <row r="82" spans="2:5" ht="15" customHeight="1">
      <c r="B82" s="93"/>
      <c r="C82" s="43" t="s">
        <v>131</v>
      </c>
      <c r="D82" s="42">
        <v>2</v>
      </c>
      <c r="E82" s="41">
        <v>8.8206756637558437E-5</v>
      </c>
    </row>
    <row r="83" spans="2:5" ht="15" customHeight="1">
      <c r="B83" s="93"/>
      <c r="C83" s="43" t="s">
        <v>147</v>
      </c>
      <c r="D83" s="42">
        <v>33</v>
      </c>
      <c r="E83" s="41">
        <v>1.4554114845197143E-3</v>
      </c>
    </row>
    <row r="84" spans="2:5" ht="15" customHeight="1">
      <c r="B84" s="93"/>
      <c r="C84" s="43" t="s">
        <v>146</v>
      </c>
      <c r="D84" s="42">
        <v>8</v>
      </c>
      <c r="E84" s="41">
        <v>3.5282702655023375E-4</v>
      </c>
    </row>
    <row r="85" spans="2:5" ht="15" customHeight="1">
      <c r="B85" s="93"/>
      <c r="C85" s="43" t="s">
        <v>167</v>
      </c>
      <c r="D85" s="42">
        <v>13</v>
      </c>
      <c r="E85" s="41">
        <v>5.7334391814412987E-4</v>
      </c>
    </row>
    <row r="86" spans="2:5" ht="15" customHeight="1">
      <c r="B86" s="93"/>
      <c r="C86" s="43" t="s">
        <v>165</v>
      </c>
      <c r="D86" s="42">
        <v>34</v>
      </c>
      <c r="E86" s="41">
        <v>1.4995148628384933E-3</v>
      </c>
    </row>
    <row r="87" spans="2:5" ht="15" customHeight="1">
      <c r="B87" s="94"/>
      <c r="C87" s="40" t="s">
        <v>20</v>
      </c>
      <c r="D87" s="39">
        <v>677</v>
      </c>
      <c r="E87" s="38">
        <v>2.9857987121813531E-2</v>
      </c>
    </row>
    <row r="88" spans="2:5" ht="15" customHeight="1">
      <c r="B88" s="92" t="s">
        <v>100</v>
      </c>
      <c r="C88" s="43" t="s">
        <v>140</v>
      </c>
      <c r="D88" s="42">
        <v>2</v>
      </c>
      <c r="E88" s="41">
        <v>8.8206756637558437E-5</v>
      </c>
    </row>
    <row r="89" spans="2:5" ht="15" customHeight="1">
      <c r="B89" s="93"/>
      <c r="C89" s="43" t="s">
        <v>132</v>
      </c>
      <c r="D89" s="42">
        <v>2</v>
      </c>
      <c r="E89" s="41">
        <v>8.8206756637558437E-5</v>
      </c>
    </row>
    <row r="90" spans="2:5" ht="15" customHeight="1">
      <c r="B90" s="93"/>
      <c r="C90" s="43" t="s">
        <v>129</v>
      </c>
      <c r="D90" s="42">
        <v>1</v>
      </c>
      <c r="E90" s="41">
        <v>4.4103378318779218E-5</v>
      </c>
    </row>
    <row r="91" spans="2:5" ht="15" customHeight="1">
      <c r="B91" s="93"/>
      <c r="C91" s="43" t="s">
        <v>145</v>
      </c>
      <c r="D91" s="42">
        <v>1</v>
      </c>
      <c r="E91" s="41">
        <v>4.4103378318779218E-5</v>
      </c>
    </row>
    <row r="92" spans="2:5" ht="15" customHeight="1">
      <c r="B92" s="93"/>
      <c r="C92" s="43" t="s">
        <v>120</v>
      </c>
      <c r="D92" s="42">
        <v>4</v>
      </c>
      <c r="E92" s="41">
        <v>1.7641351327511687E-4</v>
      </c>
    </row>
    <row r="93" spans="2:5" ht="15" customHeight="1">
      <c r="B93" s="93"/>
      <c r="C93" s="43" t="s">
        <v>151</v>
      </c>
      <c r="D93" s="42">
        <v>8</v>
      </c>
      <c r="E93" s="41">
        <v>3.5282702655023375E-4</v>
      </c>
    </row>
    <row r="94" spans="2:5" ht="15" customHeight="1">
      <c r="B94" s="93"/>
      <c r="C94" s="43" t="s">
        <v>128</v>
      </c>
      <c r="D94" s="42">
        <v>4</v>
      </c>
      <c r="E94" s="41">
        <v>1.7641351327511687E-4</v>
      </c>
    </row>
    <row r="95" spans="2:5" ht="15" customHeight="1">
      <c r="B95" s="93"/>
      <c r="C95" s="43" t="s">
        <v>117</v>
      </c>
      <c r="D95" s="42">
        <v>1</v>
      </c>
      <c r="E95" s="41">
        <v>4.4103378318779218E-5</v>
      </c>
    </row>
    <row r="96" spans="2:5" ht="15" customHeight="1">
      <c r="B96" s="93"/>
      <c r="C96" s="43" t="s">
        <v>172</v>
      </c>
      <c r="D96" s="42">
        <v>46</v>
      </c>
      <c r="E96" s="41">
        <v>2.0287554026638442E-3</v>
      </c>
    </row>
    <row r="97" spans="2:5" ht="15" customHeight="1">
      <c r="B97" s="93"/>
      <c r="C97" s="43" t="s">
        <v>139</v>
      </c>
      <c r="D97" s="42">
        <v>4</v>
      </c>
      <c r="E97" s="41">
        <v>1.7641351327511687E-4</v>
      </c>
    </row>
    <row r="98" spans="2:5" ht="15" customHeight="1">
      <c r="B98" s="93"/>
      <c r="C98" s="43" t="s">
        <v>122</v>
      </c>
      <c r="D98" s="42">
        <v>2</v>
      </c>
      <c r="E98" s="41">
        <v>8.8206756637558437E-5</v>
      </c>
    </row>
    <row r="99" spans="2:5" ht="15" customHeight="1">
      <c r="B99" s="93"/>
      <c r="C99" s="43" t="s">
        <v>159</v>
      </c>
      <c r="D99" s="42">
        <v>27</v>
      </c>
      <c r="E99" s="41">
        <v>1.1907912146070388E-3</v>
      </c>
    </row>
    <row r="100" spans="2:5" ht="15" customHeight="1">
      <c r="B100" s="93"/>
      <c r="C100" s="43" t="s">
        <v>157</v>
      </c>
      <c r="D100" s="42">
        <v>8</v>
      </c>
      <c r="E100" s="41">
        <v>3.5282702655023375E-4</v>
      </c>
    </row>
    <row r="101" spans="2:5" ht="15" customHeight="1">
      <c r="B101" s="93"/>
      <c r="C101" s="43" t="s">
        <v>164</v>
      </c>
      <c r="D101" s="42">
        <v>12</v>
      </c>
      <c r="E101" s="41">
        <v>5.2924053982535059E-4</v>
      </c>
    </row>
    <row r="102" spans="2:5" ht="15" customHeight="1">
      <c r="B102" s="93"/>
      <c r="C102" s="43" t="s">
        <v>162</v>
      </c>
      <c r="D102" s="42">
        <v>3</v>
      </c>
      <c r="E102" s="41">
        <v>1.3231013495633765E-4</v>
      </c>
    </row>
    <row r="103" spans="2:5" ht="15" customHeight="1">
      <c r="B103" s="93"/>
      <c r="C103" s="43" t="s">
        <v>166</v>
      </c>
      <c r="D103" s="42">
        <v>3</v>
      </c>
      <c r="E103" s="41">
        <v>1.3231013495633765E-4</v>
      </c>
    </row>
    <row r="104" spans="2:5" ht="15" customHeight="1">
      <c r="B104" s="93"/>
      <c r="C104" s="43" t="s">
        <v>142</v>
      </c>
      <c r="D104" s="42">
        <v>2</v>
      </c>
      <c r="E104" s="41">
        <v>8.8206756637558437E-5</v>
      </c>
    </row>
    <row r="105" spans="2:5" ht="15" customHeight="1">
      <c r="B105" s="93"/>
      <c r="C105" s="43" t="s">
        <v>158</v>
      </c>
      <c r="D105" s="42">
        <v>5</v>
      </c>
      <c r="E105" s="41">
        <v>2.205168915938961E-4</v>
      </c>
    </row>
    <row r="106" spans="2:5" ht="15" customHeight="1">
      <c r="B106" s="93"/>
      <c r="C106" s="43" t="s">
        <v>148</v>
      </c>
      <c r="D106" s="42">
        <v>1</v>
      </c>
      <c r="E106" s="41">
        <v>4.4103378318779218E-5</v>
      </c>
    </row>
    <row r="107" spans="2:5" ht="15" customHeight="1">
      <c r="B107" s="93"/>
      <c r="C107" s="43" t="s">
        <v>153</v>
      </c>
      <c r="D107" s="42">
        <v>8</v>
      </c>
      <c r="E107" s="41">
        <v>3.5282702655023375E-4</v>
      </c>
    </row>
    <row r="108" spans="2:5" ht="15" customHeight="1">
      <c r="B108" s="93"/>
      <c r="C108" s="43" t="s">
        <v>143</v>
      </c>
      <c r="D108" s="42">
        <v>2</v>
      </c>
      <c r="E108" s="41">
        <v>8.8206756637558437E-5</v>
      </c>
    </row>
    <row r="109" spans="2:5" ht="15" customHeight="1">
      <c r="B109" s="93"/>
      <c r="C109" s="43" t="s">
        <v>141</v>
      </c>
      <c r="D109" s="42">
        <v>13</v>
      </c>
      <c r="E109" s="41">
        <v>5.7334391814412987E-4</v>
      </c>
    </row>
    <row r="110" spans="2:5" ht="15" customHeight="1">
      <c r="B110" s="93"/>
      <c r="C110" s="43" t="s">
        <v>118</v>
      </c>
      <c r="D110" s="42">
        <v>2</v>
      </c>
      <c r="E110" s="41">
        <v>8.8206756637558437E-5</v>
      </c>
    </row>
    <row r="111" spans="2:5" ht="15" customHeight="1">
      <c r="B111" s="93"/>
      <c r="C111" s="43" t="s">
        <v>124</v>
      </c>
      <c r="D111" s="42">
        <v>2</v>
      </c>
      <c r="E111" s="41">
        <v>8.8206756637558437E-5</v>
      </c>
    </row>
    <row r="112" spans="2:5" ht="15" customHeight="1">
      <c r="B112" s="93"/>
      <c r="C112" s="43" t="s">
        <v>156</v>
      </c>
      <c r="D112" s="42">
        <v>6</v>
      </c>
      <c r="E112" s="41">
        <v>2.646202699126753E-4</v>
      </c>
    </row>
    <row r="113" spans="2:5" ht="15" customHeight="1">
      <c r="B113" s="93"/>
      <c r="C113" s="43" t="s">
        <v>125</v>
      </c>
      <c r="D113" s="42">
        <v>1</v>
      </c>
      <c r="E113" s="41">
        <v>4.4103378318779218E-5</v>
      </c>
    </row>
    <row r="114" spans="2:5" ht="15" customHeight="1">
      <c r="B114" s="93"/>
      <c r="C114" s="43" t="s">
        <v>152</v>
      </c>
      <c r="D114" s="42">
        <v>1</v>
      </c>
      <c r="E114" s="41">
        <v>4.4103378318779218E-5</v>
      </c>
    </row>
    <row r="115" spans="2:5" ht="15" customHeight="1">
      <c r="B115" s="93"/>
      <c r="C115" s="43" t="s">
        <v>133</v>
      </c>
      <c r="D115" s="42">
        <v>4</v>
      </c>
      <c r="E115" s="41">
        <v>1.7641351327511687E-4</v>
      </c>
    </row>
    <row r="116" spans="2:5" ht="15" customHeight="1">
      <c r="B116" s="93"/>
      <c r="C116" s="43" t="s">
        <v>163</v>
      </c>
      <c r="D116" s="42">
        <v>4</v>
      </c>
      <c r="E116" s="41">
        <v>1.7641351327511687E-4</v>
      </c>
    </row>
    <row r="117" spans="2:5" ht="15" customHeight="1">
      <c r="B117" s="93"/>
      <c r="C117" s="43" t="s">
        <v>137</v>
      </c>
      <c r="D117" s="42">
        <v>1</v>
      </c>
      <c r="E117" s="41">
        <v>4.4103378318779218E-5</v>
      </c>
    </row>
    <row r="118" spans="2:5" ht="15" customHeight="1">
      <c r="B118" s="93"/>
      <c r="C118" s="43" t="s">
        <v>161</v>
      </c>
      <c r="D118" s="42">
        <v>34</v>
      </c>
      <c r="E118" s="41">
        <v>1.4995148628384933E-3</v>
      </c>
    </row>
    <row r="119" spans="2:5" ht="15" customHeight="1">
      <c r="B119" s="93"/>
      <c r="C119" s="43" t="s">
        <v>169</v>
      </c>
      <c r="D119" s="42">
        <v>92</v>
      </c>
      <c r="E119" s="41">
        <v>4.0575108053276885E-3</v>
      </c>
    </row>
    <row r="120" spans="2:5" ht="15" customHeight="1">
      <c r="B120" s="93"/>
      <c r="C120" s="43" t="s">
        <v>171</v>
      </c>
      <c r="D120" s="42">
        <v>130</v>
      </c>
      <c r="E120" s="41">
        <v>5.7334391814412985E-3</v>
      </c>
    </row>
    <row r="121" spans="2:5" ht="15" customHeight="1">
      <c r="B121" s="93"/>
      <c r="C121" s="43" t="s">
        <v>160</v>
      </c>
      <c r="D121" s="42">
        <v>1</v>
      </c>
      <c r="E121" s="41">
        <v>4.4103378318779218E-5</v>
      </c>
    </row>
    <row r="122" spans="2:5" ht="15" customHeight="1">
      <c r="B122" s="93"/>
      <c r="C122" s="43" t="s">
        <v>168</v>
      </c>
      <c r="D122" s="42">
        <v>28</v>
      </c>
      <c r="E122" s="41">
        <v>1.2348945929258181E-3</v>
      </c>
    </row>
    <row r="123" spans="2:5" ht="15" customHeight="1">
      <c r="B123" s="93"/>
      <c r="C123" s="43" t="s">
        <v>149</v>
      </c>
      <c r="D123" s="42">
        <v>3</v>
      </c>
      <c r="E123" s="41">
        <v>1.3231013495633765E-4</v>
      </c>
    </row>
    <row r="124" spans="2:5" ht="15" customHeight="1">
      <c r="B124" s="93"/>
      <c r="C124" s="43" t="s">
        <v>150</v>
      </c>
      <c r="D124" s="42">
        <v>1</v>
      </c>
      <c r="E124" s="41">
        <v>4.4103378318779218E-5</v>
      </c>
    </row>
    <row r="125" spans="2:5" ht="15" customHeight="1">
      <c r="B125" s="93"/>
      <c r="C125" s="43" t="s">
        <v>138</v>
      </c>
      <c r="D125" s="42">
        <v>1</v>
      </c>
      <c r="E125" s="41">
        <v>4.4103378318779218E-5</v>
      </c>
    </row>
    <row r="126" spans="2:5" ht="15" customHeight="1">
      <c r="B126" s="93"/>
      <c r="C126" s="43" t="s">
        <v>155</v>
      </c>
      <c r="D126" s="42">
        <v>3</v>
      </c>
      <c r="E126" s="41">
        <v>1.3231013495633765E-4</v>
      </c>
    </row>
    <row r="127" spans="2:5" ht="15" customHeight="1">
      <c r="B127" s="93"/>
      <c r="C127" s="43" t="s">
        <v>119</v>
      </c>
      <c r="D127" s="42">
        <v>1</v>
      </c>
      <c r="E127" s="41">
        <v>4.4103378318779218E-5</v>
      </c>
    </row>
    <row r="128" spans="2:5" ht="15" customHeight="1">
      <c r="B128" s="93"/>
      <c r="C128" s="43" t="s">
        <v>170</v>
      </c>
      <c r="D128" s="42">
        <v>15</v>
      </c>
      <c r="E128" s="41">
        <v>6.6155067478168832E-4</v>
      </c>
    </row>
    <row r="129" spans="2:5" ht="15" customHeight="1">
      <c r="B129" s="93"/>
      <c r="C129" s="43" t="s">
        <v>154</v>
      </c>
      <c r="D129" s="42">
        <v>2</v>
      </c>
      <c r="E129" s="41">
        <v>8.8206756637558437E-5</v>
      </c>
    </row>
    <row r="130" spans="2:5" ht="15" customHeight="1">
      <c r="B130" s="93"/>
      <c r="C130" s="43" t="s">
        <v>131</v>
      </c>
      <c r="D130" s="42">
        <v>2</v>
      </c>
      <c r="E130" s="41">
        <v>8.8206756637558437E-5</v>
      </c>
    </row>
    <row r="131" spans="2:5" ht="15" customHeight="1">
      <c r="B131" s="93"/>
      <c r="C131" s="43" t="s">
        <v>147</v>
      </c>
      <c r="D131" s="42">
        <v>3</v>
      </c>
      <c r="E131" s="41">
        <v>1.3231013495633765E-4</v>
      </c>
    </row>
    <row r="132" spans="2:5" ht="15" customHeight="1">
      <c r="B132" s="93"/>
      <c r="C132" s="43" t="s">
        <v>146</v>
      </c>
      <c r="D132" s="42">
        <v>1</v>
      </c>
      <c r="E132" s="41">
        <v>4.4103378318779218E-5</v>
      </c>
    </row>
    <row r="133" spans="2:5" ht="15" customHeight="1">
      <c r="B133" s="93"/>
      <c r="C133" s="43" t="s">
        <v>167</v>
      </c>
      <c r="D133" s="42">
        <v>5</v>
      </c>
      <c r="E133" s="41">
        <v>2.205168915938961E-4</v>
      </c>
    </row>
    <row r="134" spans="2:5" ht="15" customHeight="1">
      <c r="B134" s="93"/>
      <c r="C134" s="43" t="s">
        <v>165</v>
      </c>
      <c r="D134" s="42">
        <v>13</v>
      </c>
      <c r="E134" s="41">
        <v>5.7334391814412987E-4</v>
      </c>
    </row>
    <row r="135" spans="2:5" ht="15" customHeight="1">
      <c r="B135" s="94"/>
      <c r="C135" s="40" t="s">
        <v>20</v>
      </c>
      <c r="D135" s="39">
        <v>515</v>
      </c>
      <c r="E135" s="38">
        <v>2.2713239834171298E-2</v>
      </c>
    </row>
    <row r="136" spans="2:5" ht="15" customHeight="1">
      <c r="B136" s="92" t="s">
        <v>76</v>
      </c>
      <c r="C136" s="43" t="s">
        <v>140</v>
      </c>
      <c r="D136" s="42">
        <v>1</v>
      </c>
      <c r="E136" s="41">
        <v>4.4103378318779218E-5</v>
      </c>
    </row>
    <row r="137" spans="2:5" ht="15" customHeight="1">
      <c r="B137" s="93"/>
      <c r="C137" s="43" t="s">
        <v>135</v>
      </c>
      <c r="D137" s="42">
        <v>1</v>
      </c>
      <c r="E137" s="41">
        <v>4.4103378318779218E-5</v>
      </c>
    </row>
    <row r="138" spans="2:5" ht="15" customHeight="1">
      <c r="B138" s="93"/>
      <c r="C138" s="43" t="s">
        <v>129</v>
      </c>
      <c r="D138" s="42">
        <v>8</v>
      </c>
      <c r="E138" s="41">
        <v>3.5282702655023375E-4</v>
      </c>
    </row>
    <row r="139" spans="2:5" ht="15" customHeight="1">
      <c r="B139" s="93"/>
      <c r="C139" s="43" t="s">
        <v>145</v>
      </c>
      <c r="D139" s="42">
        <v>13</v>
      </c>
      <c r="E139" s="41">
        <v>5.7334391814412987E-4</v>
      </c>
    </row>
    <row r="140" spans="2:5" ht="15" customHeight="1">
      <c r="B140" s="93"/>
      <c r="C140" s="43" t="s">
        <v>151</v>
      </c>
      <c r="D140" s="42">
        <v>4</v>
      </c>
      <c r="E140" s="41">
        <v>1.7641351327511687E-4</v>
      </c>
    </row>
    <row r="141" spans="2:5" ht="15" customHeight="1">
      <c r="B141" s="93"/>
      <c r="C141" s="43" t="s">
        <v>134</v>
      </c>
      <c r="D141" s="42">
        <v>23</v>
      </c>
      <c r="E141" s="41">
        <v>1.0143777013319221E-3</v>
      </c>
    </row>
    <row r="142" spans="2:5" ht="15" customHeight="1">
      <c r="B142" s="93"/>
      <c r="C142" s="43" t="s">
        <v>172</v>
      </c>
      <c r="D142" s="42">
        <v>16</v>
      </c>
      <c r="E142" s="41">
        <v>7.0565405310046749E-4</v>
      </c>
    </row>
    <row r="143" spans="2:5" ht="15" customHeight="1">
      <c r="B143" s="93"/>
      <c r="C143" s="43" t="s">
        <v>157</v>
      </c>
      <c r="D143" s="42">
        <v>1</v>
      </c>
      <c r="E143" s="41">
        <v>4.4103378318779218E-5</v>
      </c>
    </row>
    <row r="144" spans="2:5" ht="15" customHeight="1">
      <c r="B144" s="93"/>
      <c r="C144" s="43" t="s">
        <v>164</v>
      </c>
      <c r="D144" s="42">
        <v>3</v>
      </c>
      <c r="E144" s="41">
        <v>1.3231013495633765E-4</v>
      </c>
    </row>
    <row r="145" spans="2:5" ht="15" customHeight="1">
      <c r="B145" s="93"/>
      <c r="C145" s="43" t="s">
        <v>162</v>
      </c>
      <c r="D145" s="42">
        <v>5</v>
      </c>
      <c r="E145" s="41">
        <v>2.205168915938961E-4</v>
      </c>
    </row>
    <row r="146" spans="2:5" ht="15" customHeight="1">
      <c r="B146" s="93"/>
      <c r="C146" s="43" t="s">
        <v>158</v>
      </c>
      <c r="D146" s="42">
        <v>3</v>
      </c>
      <c r="E146" s="41">
        <v>1.3231013495633765E-4</v>
      </c>
    </row>
    <row r="147" spans="2:5" ht="15" customHeight="1">
      <c r="B147" s="93"/>
      <c r="C147" s="43" t="s">
        <v>148</v>
      </c>
      <c r="D147" s="42">
        <v>23</v>
      </c>
      <c r="E147" s="41">
        <v>1.0143777013319221E-3</v>
      </c>
    </row>
    <row r="148" spans="2:5" ht="15" customHeight="1">
      <c r="B148" s="93"/>
      <c r="C148" s="43" t="s">
        <v>153</v>
      </c>
      <c r="D148" s="42">
        <v>2</v>
      </c>
      <c r="E148" s="41">
        <v>8.8206756637558437E-5</v>
      </c>
    </row>
    <row r="149" spans="2:5" ht="15" customHeight="1">
      <c r="B149" s="93"/>
      <c r="C149" s="43" t="s">
        <v>143</v>
      </c>
      <c r="D149" s="42">
        <v>5</v>
      </c>
      <c r="E149" s="41">
        <v>2.205168915938961E-4</v>
      </c>
    </row>
    <row r="150" spans="2:5" ht="15" customHeight="1">
      <c r="B150" s="93"/>
      <c r="C150" s="43" t="s">
        <v>141</v>
      </c>
      <c r="D150" s="42">
        <v>1</v>
      </c>
      <c r="E150" s="41">
        <v>4.4103378318779218E-5</v>
      </c>
    </row>
    <row r="151" spans="2:5" ht="15" customHeight="1">
      <c r="B151" s="93"/>
      <c r="C151" s="43" t="s">
        <v>124</v>
      </c>
      <c r="D151" s="42">
        <v>3</v>
      </c>
      <c r="E151" s="41">
        <v>1.3231013495633765E-4</v>
      </c>
    </row>
    <row r="152" spans="2:5" ht="15" customHeight="1">
      <c r="B152" s="93"/>
      <c r="C152" s="43" t="s">
        <v>156</v>
      </c>
      <c r="D152" s="42">
        <v>4</v>
      </c>
      <c r="E152" s="41">
        <v>1.7641351327511687E-4</v>
      </c>
    </row>
    <row r="153" spans="2:5" ht="15" customHeight="1">
      <c r="B153" s="93"/>
      <c r="C153" s="43" t="s">
        <v>125</v>
      </c>
      <c r="D153" s="42">
        <v>2</v>
      </c>
      <c r="E153" s="41">
        <v>8.8206756637558437E-5</v>
      </c>
    </row>
    <row r="154" spans="2:5" ht="15" customHeight="1">
      <c r="B154" s="93"/>
      <c r="C154" s="43" t="s">
        <v>152</v>
      </c>
      <c r="D154" s="42">
        <v>1</v>
      </c>
      <c r="E154" s="41">
        <v>4.4103378318779218E-5</v>
      </c>
    </row>
    <row r="155" spans="2:5" ht="15" customHeight="1">
      <c r="B155" s="93"/>
      <c r="C155" s="43" t="s">
        <v>163</v>
      </c>
      <c r="D155" s="42">
        <v>5</v>
      </c>
      <c r="E155" s="41">
        <v>2.205168915938961E-4</v>
      </c>
    </row>
    <row r="156" spans="2:5" ht="15" customHeight="1">
      <c r="B156" s="93"/>
      <c r="C156" s="43" t="s">
        <v>137</v>
      </c>
      <c r="D156" s="42">
        <v>1</v>
      </c>
      <c r="E156" s="41">
        <v>4.4103378318779218E-5</v>
      </c>
    </row>
    <row r="157" spans="2:5" ht="15" customHeight="1">
      <c r="B157" s="93"/>
      <c r="C157" s="43" t="s">
        <v>161</v>
      </c>
      <c r="D157" s="42">
        <v>1</v>
      </c>
      <c r="E157" s="41">
        <v>4.4103378318779218E-5</v>
      </c>
    </row>
    <row r="158" spans="2:5" ht="15" customHeight="1">
      <c r="B158" s="93"/>
      <c r="C158" s="43" t="s">
        <v>169</v>
      </c>
      <c r="D158" s="42">
        <v>74</v>
      </c>
      <c r="E158" s="41">
        <v>3.2636499955896623E-3</v>
      </c>
    </row>
    <row r="159" spans="2:5" ht="15" customHeight="1">
      <c r="B159" s="93"/>
      <c r="C159" s="43" t="s">
        <v>171</v>
      </c>
      <c r="D159" s="42">
        <v>1</v>
      </c>
      <c r="E159" s="41">
        <v>4.4103378318779218E-5</v>
      </c>
    </row>
    <row r="160" spans="2:5" ht="15" customHeight="1">
      <c r="B160" s="93"/>
      <c r="C160" s="43" t="s">
        <v>160</v>
      </c>
      <c r="D160" s="42">
        <v>1</v>
      </c>
      <c r="E160" s="41">
        <v>4.4103378318779218E-5</v>
      </c>
    </row>
    <row r="161" spans="2:5" ht="15" customHeight="1">
      <c r="B161" s="93"/>
      <c r="C161" s="43" t="s">
        <v>168</v>
      </c>
      <c r="D161" s="42">
        <v>5</v>
      </c>
      <c r="E161" s="41">
        <v>2.205168915938961E-4</v>
      </c>
    </row>
    <row r="162" spans="2:5" ht="15" customHeight="1">
      <c r="B162" s="93"/>
      <c r="C162" s="43" t="s">
        <v>126</v>
      </c>
      <c r="D162" s="42">
        <v>1</v>
      </c>
      <c r="E162" s="41">
        <v>4.4103378318779218E-5</v>
      </c>
    </row>
    <row r="163" spans="2:5" ht="15" customHeight="1">
      <c r="B163" s="93"/>
      <c r="C163" s="43" t="s">
        <v>149</v>
      </c>
      <c r="D163" s="42">
        <v>2</v>
      </c>
      <c r="E163" s="41">
        <v>8.8206756637558437E-5</v>
      </c>
    </row>
    <row r="164" spans="2:5" ht="15" customHeight="1">
      <c r="B164" s="93"/>
      <c r="C164" s="43" t="s">
        <v>144</v>
      </c>
      <c r="D164" s="42">
        <v>10</v>
      </c>
      <c r="E164" s="41">
        <v>4.410337831877922E-4</v>
      </c>
    </row>
    <row r="165" spans="2:5" ht="15" customHeight="1">
      <c r="B165" s="93"/>
      <c r="C165" s="43" t="s">
        <v>138</v>
      </c>
      <c r="D165" s="42">
        <v>28</v>
      </c>
      <c r="E165" s="41">
        <v>1.2348945929258181E-3</v>
      </c>
    </row>
    <row r="166" spans="2:5" ht="15" customHeight="1">
      <c r="B166" s="93"/>
      <c r="C166" s="43" t="s">
        <v>155</v>
      </c>
      <c r="D166" s="42">
        <v>12</v>
      </c>
      <c r="E166" s="41">
        <v>5.2924053982535059E-4</v>
      </c>
    </row>
    <row r="167" spans="2:5" ht="15" customHeight="1">
      <c r="B167" s="93"/>
      <c r="C167" s="43" t="s">
        <v>170</v>
      </c>
      <c r="D167" s="42">
        <v>28</v>
      </c>
      <c r="E167" s="41">
        <v>1.2348945929258181E-3</v>
      </c>
    </row>
    <row r="168" spans="2:5" ht="15" customHeight="1">
      <c r="B168" s="93"/>
      <c r="C168" s="43" t="s">
        <v>154</v>
      </c>
      <c r="D168" s="42">
        <v>9</v>
      </c>
      <c r="E168" s="41">
        <v>3.9693040486901297E-4</v>
      </c>
    </row>
    <row r="169" spans="2:5" ht="15" customHeight="1">
      <c r="B169" s="93"/>
      <c r="C169" s="43" t="s">
        <v>131</v>
      </c>
      <c r="D169" s="42">
        <v>6</v>
      </c>
      <c r="E169" s="41">
        <v>2.646202699126753E-4</v>
      </c>
    </row>
    <row r="170" spans="2:5" ht="15" customHeight="1">
      <c r="B170" s="93"/>
      <c r="C170" s="43" t="s">
        <v>147</v>
      </c>
      <c r="D170" s="42">
        <v>2</v>
      </c>
      <c r="E170" s="41">
        <v>8.8206756637558437E-5</v>
      </c>
    </row>
    <row r="171" spans="2:5" ht="15" customHeight="1">
      <c r="B171" s="93"/>
      <c r="C171" s="43" t="s">
        <v>146</v>
      </c>
      <c r="D171" s="42">
        <v>17</v>
      </c>
      <c r="E171" s="41">
        <v>7.4975743141924667E-4</v>
      </c>
    </row>
    <row r="172" spans="2:5" ht="15" customHeight="1">
      <c r="B172" s="93"/>
      <c r="C172" s="43" t="s">
        <v>167</v>
      </c>
      <c r="D172" s="42">
        <v>22</v>
      </c>
      <c r="E172" s="41">
        <v>9.7027432301314285E-4</v>
      </c>
    </row>
    <row r="173" spans="2:5" ht="15" customHeight="1">
      <c r="B173" s="93"/>
      <c r="C173" s="43" t="s">
        <v>165</v>
      </c>
      <c r="D173" s="42">
        <v>16</v>
      </c>
      <c r="E173" s="41">
        <v>7.0565405310046749E-4</v>
      </c>
    </row>
    <row r="174" spans="2:5" ht="15" customHeight="1">
      <c r="B174" s="94"/>
      <c r="C174" s="40" t="s">
        <v>20</v>
      </c>
      <c r="D174" s="39">
        <v>360</v>
      </c>
      <c r="E174" s="38">
        <v>1.587721619476052E-2</v>
      </c>
    </row>
    <row r="175" spans="2:5" ht="15" customHeight="1">
      <c r="B175" s="92" t="s">
        <v>72</v>
      </c>
      <c r="C175" s="43" t="s">
        <v>172</v>
      </c>
      <c r="D175" s="42">
        <v>2</v>
      </c>
      <c r="E175" s="41">
        <v>8.8206756637558437E-5</v>
      </c>
    </row>
    <row r="176" spans="2:5" ht="15" customHeight="1">
      <c r="B176" s="93"/>
      <c r="C176" s="43" t="s">
        <v>161</v>
      </c>
      <c r="D176" s="42">
        <v>1</v>
      </c>
      <c r="E176" s="41">
        <v>4.4103378318779218E-5</v>
      </c>
    </row>
    <row r="177" spans="2:5" ht="15" customHeight="1">
      <c r="B177" s="93"/>
      <c r="C177" s="43" t="s">
        <v>169</v>
      </c>
      <c r="D177" s="42">
        <v>2</v>
      </c>
      <c r="E177" s="41">
        <v>8.8206756637558437E-5</v>
      </c>
    </row>
    <row r="178" spans="2:5" ht="15" customHeight="1">
      <c r="B178" s="93"/>
      <c r="C178" s="43" t="s">
        <v>171</v>
      </c>
      <c r="D178" s="42">
        <v>1</v>
      </c>
      <c r="E178" s="41">
        <v>4.4103378318779218E-5</v>
      </c>
    </row>
    <row r="179" spans="2:5" ht="15" customHeight="1">
      <c r="B179" s="93"/>
      <c r="C179" s="43" t="s">
        <v>168</v>
      </c>
      <c r="D179" s="42">
        <v>16</v>
      </c>
      <c r="E179" s="41">
        <v>7.0565405310046749E-4</v>
      </c>
    </row>
    <row r="180" spans="2:5" ht="15" customHeight="1">
      <c r="B180" s="93"/>
      <c r="C180" s="43" t="s">
        <v>146</v>
      </c>
      <c r="D180" s="42">
        <v>1</v>
      </c>
      <c r="E180" s="41">
        <v>4.4103378318779218E-5</v>
      </c>
    </row>
    <row r="181" spans="2:5" ht="15" customHeight="1">
      <c r="B181" s="94"/>
      <c r="C181" s="40" t="s">
        <v>20</v>
      </c>
      <c r="D181" s="39">
        <v>23</v>
      </c>
      <c r="E181" s="38">
        <v>1.0143777013319221E-3</v>
      </c>
    </row>
    <row r="182" spans="2:5" ht="15" customHeight="1">
      <c r="B182" s="92" t="s">
        <v>77</v>
      </c>
      <c r="C182" s="43" t="s">
        <v>145</v>
      </c>
      <c r="D182" s="42">
        <v>1</v>
      </c>
      <c r="E182" s="41">
        <v>4.4103378318779218E-5</v>
      </c>
    </row>
    <row r="183" spans="2:5" ht="15" customHeight="1">
      <c r="B183" s="93"/>
      <c r="C183" s="43" t="s">
        <v>117</v>
      </c>
      <c r="D183" s="42">
        <v>1</v>
      </c>
      <c r="E183" s="41">
        <v>4.4103378318779218E-5</v>
      </c>
    </row>
    <row r="184" spans="2:5" ht="15" customHeight="1">
      <c r="B184" s="93"/>
      <c r="C184" s="43" t="s">
        <v>159</v>
      </c>
      <c r="D184" s="42">
        <v>2</v>
      </c>
      <c r="E184" s="41">
        <v>8.8206756637558437E-5</v>
      </c>
    </row>
    <row r="185" spans="2:5" ht="15" customHeight="1">
      <c r="B185" s="93"/>
      <c r="C185" s="43" t="s">
        <v>164</v>
      </c>
      <c r="D185" s="42">
        <v>6</v>
      </c>
      <c r="E185" s="41">
        <v>2.646202699126753E-4</v>
      </c>
    </row>
    <row r="186" spans="2:5" ht="15" customHeight="1">
      <c r="B186" s="93"/>
      <c r="C186" s="43" t="s">
        <v>153</v>
      </c>
      <c r="D186" s="42">
        <v>1</v>
      </c>
      <c r="E186" s="41">
        <v>4.4103378318779218E-5</v>
      </c>
    </row>
    <row r="187" spans="2:5" ht="15" customHeight="1">
      <c r="B187" s="93"/>
      <c r="C187" s="43" t="s">
        <v>169</v>
      </c>
      <c r="D187" s="42">
        <v>5</v>
      </c>
      <c r="E187" s="41">
        <v>2.205168915938961E-4</v>
      </c>
    </row>
    <row r="188" spans="2:5" ht="15" customHeight="1">
      <c r="B188" s="93"/>
      <c r="C188" s="43" t="s">
        <v>168</v>
      </c>
      <c r="D188" s="42">
        <v>2</v>
      </c>
      <c r="E188" s="41">
        <v>8.8206756637558437E-5</v>
      </c>
    </row>
    <row r="189" spans="2:5" ht="15" customHeight="1">
      <c r="B189" s="93"/>
      <c r="C189" s="43" t="s">
        <v>144</v>
      </c>
      <c r="D189" s="42">
        <v>1</v>
      </c>
      <c r="E189" s="41">
        <v>4.4103378318779218E-5</v>
      </c>
    </row>
    <row r="190" spans="2:5" ht="15" customHeight="1">
      <c r="B190" s="93"/>
      <c r="C190" s="43" t="s">
        <v>170</v>
      </c>
      <c r="D190" s="42">
        <v>1</v>
      </c>
      <c r="E190" s="41">
        <v>4.4103378318779218E-5</v>
      </c>
    </row>
    <row r="191" spans="2:5" ht="15" customHeight="1">
      <c r="B191" s="93"/>
      <c r="C191" s="43" t="s">
        <v>165</v>
      </c>
      <c r="D191" s="42">
        <v>1</v>
      </c>
      <c r="E191" s="41">
        <v>4.4103378318779218E-5</v>
      </c>
    </row>
    <row r="192" spans="2:5" ht="15" customHeight="1">
      <c r="B192" s="94"/>
      <c r="C192" s="40" t="s">
        <v>20</v>
      </c>
      <c r="D192" s="39">
        <v>21</v>
      </c>
      <c r="E192" s="38">
        <v>9.2617094469436357E-4</v>
      </c>
    </row>
    <row r="193" spans="2:5" ht="15" customHeight="1">
      <c r="B193" s="92" t="s">
        <v>70</v>
      </c>
      <c r="C193" s="43" t="s">
        <v>162</v>
      </c>
      <c r="D193" s="42">
        <v>1</v>
      </c>
      <c r="E193" s="41">
        <v>4.4103378318779218E-5</v>
      </c>
    </row>
    <row r="194" spans="2:5" ht="15" customHeight="1">
      <c r="B194" s="93"/>
      <c r="C194" s="43" t="s">
        <v>152</v>
      </c>
      <c r="D194" s="42">
        <v>2</v>
      </c>
      <c r="E194" s="41">
        <v>8.8206756637558437E-5</v>
      </c>
    </row>
    <row r="195" spans="2:5" ht="15" customHeight="1">
      <c r="B195" s="94"/>
      <c r="C195" s="40" t="s">
        <v>20</v>
      </c>
      <c r="D195" s="39">
        <v>3</v>
      </c>
      <c r="E195" s="38">
        <v>1.3231013495633765E-4</v>
      </c>
    </row>
    <row r="196" spans="2:5" ht="15" customHeight="1">
      <c r="B196" s="92" t="s">
        <v>113</v>
      </c>
      <c r="C196" s="43" t="s">
        <v>140</v>
      </c>
      <c r="D196" s="42">
        <v>9</v>
      </c>
      <c r="E196" s="41">
        <v>3.9693040486901297E-4</v>
      </c>
    </row>
    <row r="197" spans="2:5" ht="15" customHeight="1">
      <c r="B197" s="93"/>
      <c r="C197" s="43" t="s">
        <v>132</v>
      </c>
      <c r="D197" s="42">
        <v>4</v>
      </c>
      <c r="E197" s="41">
        <v>1.7641351327511687E-4</v>
      </c>
    </row>
    <row r="198" spans="2:5" ht="15" customHeight="1">
      <c r="B198" s="93"/>
      <c r="C198" s="43" t="s">
        <v>135</v>
      </c>
      <c r="D198" s="42">
        <v>18</v>
      </c>
      <c r="E198" s="41">
        <v>7.9386080973802594E-4</v>
      </c>
    </row>
    <row r="199" spans="2:5" ht="15" customHeight="1">
      <c r="B199" s="93"/>
      <c r="C199" s="43" t="s">
        <v>129</v>
      </c>
      <c r="D199" s="42">
        <v>2</v>
      </c>
      <c r="E199" s="41">
        <v>8.8206756637558437E-5</v>
      </c>
    </row>
    <row r="200" spans="2:5" ht="15" customHeight="1">
      <c r="B200" s="93"/>
      <c r="C200" s="43" t="s">
        <v>145</v>
      </c>
      <c r="D200" s="42">
        <v>16</v>
      </c>
      <c r="E200" s="41">
        <v>7.0565405310046749E-4</v>
      </c>
    </row>
    <row r="201" spans="2:5" ht="15" customHeight="1">
      <c r="B201" s="93"/>
      <c r="C201" s="43" t="s">
        <v>120</v>
      </c>
      <c r="D201" s="42">
        <v>6</v>
      </c>
      <c r="E201" s="41">
        <v>2.646202699126753E-4</v>
      </c>
    </row>
    <row r="202" spans="2:5" ht="15" customHeight="1">
      <c r="B202" s="93"/>
      <c r="C202" s="43" t="s">
        <v>151</v>
      </c>
      <c r="D202" s="42">
        <v>4</v>
      </c>
      <c r="E202" s="41">
        <v>1.7641351327511687E-4</v>
      </c>
    </row>
    <row r="203" spans="2:5" ht="15" customHeight="1">
      <c r="B203" s="93"/>
      <c r="C203" s="43" t="s">
        <v>128</v>
      </c>
      <c r="D203" s="42">
        <v>2</v>
      </c>
      <c r="E203" s="41">
        <v>8.8206756637558437E-5</v>
      </c>
    </row>
    <row r="204" spans="2:5" ht="15" customHeight="1">
      <c r="B204" s="93"/>
      <c r="C204" s="43" t="s">
        <v>134</v>
      </c>
      <c r="D204" s="42">
        <v>18</v>
      </c>
      <c r="E204" s="41">
        <v>7.9386080973802594E-4</v>
      </c>
    </row>
    <row r="205" spans="2:5" ht="15" customHeight="1">
      <c r="B205" s="93"/>
      <c r="C205" s="43" t="s">
        <v>121</v>
      </c>
      <c r="D205" s="42">
        <v>16</v>
      </c>
      <c r="E205" s="41">
        <v>7.0565405310046749E-4</v>
      </c>
    </row>
    <row r="206" spans="2:5" ht="15" customHeight="1">
      <c r="B206" s="93"/>
      <c r="C206" s="43" t="s">
        <v>117</v>
      </c>
      <c r="D206" s="42">
        <v>1</v>
      </c>
      <c r="E206" s="41">
        <v>4.4103378318779218E-5</v>
      </c>
    </row>
    <row r="207" spans="2:5" ht="15" customHeight="1">
      <c r="B207" s="93"/>
      <c r="C207" s="43" t="s">
        <v>172</v>
      </c>
      <c r="D207" s="42">
        <v>244</v>
      </c>
      <c r="E207" s="41">
        <v>1.0761224309782129E-2</v>
      </c>
    </row>
    <row r="208" spans="2:5" ht="15" customHeight="1">
      <c r="B208" s="93"/>
      <c r="C208" s="43" t="s">
        <v>139</v>
      </c>
      <c r="D208" s="42">
        <v>21</v>
      </c>
      <c r="E208" s="41">
        <v>9.2617094469436357E-4</v>
      </c>
    </row>
    <row r="209" spans="2:5" ht="15" customHeight="1">
      <c r="B209" s="93"/>
      <c r="C209" s="43" t="s">
        <v>122</v>
      </c>
      <c r="D209" s="42">
        <v>5</v>
      </c>
      <c r="E209" s="41">
        <v>2.205168915938961E-4</v>
      </c>
    </row>
    <row r="210" spans="2:5" ht="15" customHeight="1">
      <c r="B210" s="93"/>
      <c r="C210" s="43" t="s">
        <v>159</v>
      </c>
      <c r="D210" s="42">
        <v>16</v>
      </c>
      <c r="E210" s="41">
        <v>7.0565405310046749E-4</v>
      </c>
    </row>
    <row r="211" spans="2:5" ht="15" customHeight="1">
      <c r="B211" s="93"/>
      <c r="C211" s="43" t="s">
        <v>157</v>
      </c>
      <c r="D211" s="42">
        <v>32</v>
      </c>
      <c r="E211" s="41">
        <v>1.411308106200935E-3</v>
      </c>
    </row>
    <row r="212" spans="2:5" ht="15" customHeight="1">
      <c r="B212" s="93"/>
      <c r="C212" s="43" t="s">
        <v>164</v>
      </c>
      <c r="D212" s="42">
        <v>161</v>
      </c>
      <c r="E212" s="41">
        <v>7.1006439093234544E-3</v>
      </c>
    </row>
    <row r="213" spans="2:5" ht="15" customHeight="1">
      <c r="B213" s="93"/>
      <c r="C213" s="43" t="s">
        <v>136</v>
      </c>
      <c r="D213" s="42">
        <v>37</v>
      </c>
      <c r="E213" s="41">
        <v>1.6318249977948312E-3</v>
      </c>
    </row>
    <row r="214" spans="2:5" ht="15" customHeight="1">
      <c r="B214" s="93"/>
      <c r="C214" s="43" t="s">
        <v>162</v>
      </c>
      <c r="D214" s="42">
        <v>144</v>
      </c>
      <c r="E214" s="41">
        <v>6.3508864779042076E-3</v>
      </c>
    </row>
    <row r="215" spans="2:5" ht="15" customHeight="1">
      <c r="B215" s="93"/>
      <c r="C215" s="43" t="s">
        <v>166</v>
      </c>
      <c r="D215" s="42">
        <v>192</v>
      </c>
      <c r="E215" s="41">
        <v>8.4678486372056095E-3</v>
      </c>
    </row>
    <row r="216" spans="2:5" ht="15" customHeight="1">
      <c r="B216" s="93"/>
      <c r="C216" s="43" t="s">
        <v>142</v>
      </c>
      <c r="D216" s="42">
        <v>21</v>
      </c>
      <c r="E216" s="41">
        <v>9.2617094469436357E-4</v>
      </c>
    </row>
    <row r="217" spans="2:5" ht="15" customHeight="1">
      <c r="B217" s="93"/>
      <c r="C217" s="43" t="s">
        <v>158</v>
      </c>
      <c r="D217" s="42">
        <v>25</v>
      </c>
      <c r="E217" s="41">
        <v>1.1025844579694805E-3</v>
      </c>
    </row>
    <row r="218" spans="2:5" ht="15" customHeight="1">
      <c r="B218" s="93"/>
      <c r="C218" s="43" t="s">
        <v>148</v>
      </c>
      <c r="D218" s="42">
        <v>7</v>
      </c>
      <c r="E218" s="41">
        <v>3.0872364823145452E-4</v>
      </c>
    </row>
    <row r="219" spans="2:5" ht="15" customHeight="1">
      <c r="B219" s="93"/>
      <c r="C219" s="43" t="s">
        <v>153</v>
      </c>
      <c r="D219" s="42">
        <v>29</v>
      </c>
      <c r="E219" s="41">
        <v>1.2789979712445974E-3</v>
      </c>
    </row>
    <row r="220" spans="2:5" ht="15" customHeight="1">
      <c r="B220" s="93"/>
      <c r="C220" s="43" t="s">
        <v>143</v>
      </c>
      <c r="D220" s="42">
        <v>5</v>
      </c>
      <c r="E220" s="41">
        <v>2.205168915938961E-4</v>
      </c>
    </row>
    <row r="221" spans="2:5" ht="15" customHeight="1">
      <c r="B221" s="93"/>
      <c r="C221" s="43" t="s">
        <v>141</v>
      </c>
      <c r="D221" s="42">
        <v>11</v>
      </c>
      <c r="E221" s="41">
        <v>4.8513716150657142E-4</v>
      </c>
    </row>
    <row r="222" spans="2:5" ht="15" customHeight="1">
      <c r="B222" s="93"/>
      <c r="C222" s="43" t="s">
        <v>124</v>
      </c>
      <c r="D222" s="42">
        <v>3</v>
      </c>
      <c r="E222" s="41">
        <v>1.3231013495633765E-4</v>
      </c>
    </row>
    <row r="223" spans="2:5" ht="15" customHeight="1">
      <c r="B223" s="93"/>
      <c r="C223" s="43" t="s">
        <v>156</v>
      </c>
      <c r="D223" s="42">
        <v>14</v>
      </c>
      <c r="E223" s="41">
        <v>6.1744729646290904E-4</v>
      </c>
    </row>
    <row r="224" spans="2:5" ht="15" customHeight="1">
      <c r="B224" s="93"/>
      <c r="C224" s="43" t="s">
        <v>125</v>
      </c>
      <c r="D224" s="42">
        <v>24</v>
      </c>
      <c r="E224" s="41">
        <v>1.0584810796507012E-3</v>
      </c>
    </row>
    <row r="225" spans="2:5" ht="15" customHeight="1">
      <c r="B225" s="93"/>
      <c r="C225" s="43" t="s">
        <v>152</v>
      </c>
      <c r="D225" s="42">
        <v>44</v>
      </c>
      <c r="E225" s="41">
        <v>1.9405486460262857E-3</v>
      </c>
    </row>
    <row r="226" spans="2:5" ht="15" customHeight="1">
      <c r="B226" s="93"/>
      <c r="C226" s="43" t="s">
        <v>130</v>
      </c>
      <c r="D226" s="42">
        <v>12</v>
      </c>
      <c r="E226" s="41">
        <v>5.2924053982535059E-4</v>
      </c>
    </row>
    <row r="227" spans="2:5" ht="15" customHeight="1">
      <c r="B227" s="93"/>
      <c r="C227" s="43" t="s">
        <v>133</v>
      </c>
      <c r="D227" s="42">
        <v>5</v>
      </c>
      <c r="E227" s="41">
        <v>2.205168915938961E-4</v>
      </c>
    </row>
    <row r="228" spans="2:5" ht="15" customHeight="1">
      <c r="B228" s="93"/>
      <c r="C228" s="43" t="s">
        <v>163</v>
      </c>
      <c r="D228" s="42">
        <v>49</v>
      </c>
      <c r="E228" s="41">
        <v>2.1610655376201817E-3</v>
      </c>
    </row>
    <row r="229" spans="2:5" ht="15" customHeight="1">
      <c r="B229" s="93"/>
      <c r="C229" s="43" t="s">
        <v>137</v>
      </c>
      <c r="D229" s="42">
        <v>38</v>
      </c>
      <c r="E229" s="41">
        <v>1.6759283761136102E-3</v>
      </c>
    </row>
    <row r="230" spans="2:5" ht="15" customHeight="1">
      <c r="B230" s="93"/>
      <c r="C230" s="43" t="s">
        <v>161</v>
      </c>
      <c r="D230" s="42">
        <v>44</v>
      </c>
      <c r="E230" s="41">
        <v>1.9405486460262857E-3</v>
      </c>
    </row>
    <row r="231" spans="2:5" ht="15" customHeight="1">
      <c r="B231" s="93"/>
      <c r="C231" s="43" t="s">
        <v>127</v>
      </c>
      <c r="D231" s="42">
        <v>2</v>
      </c>
      <c r="E231" s="41">
        <v>8.8206756637558437E-5</v>
      </c>
    </row>
    <row r="232" spans="2:5" ht="15" customHeight="1">
      <c r="B232" s="93"/>
      <c r="C232" s="43" t="s">
        <v>169</v>
      </c>
      <c r="D232" s="42">
        <v>57</v>
      </c>
      <c r="E232" s="41">
        <v>2.5138925641704155E-3</v>
      </c>
    </row>
    <row r="233" spans="2:5" ht="15" customHeight="1">
      <c r="B233" s="93"/>
      <c r="C233" s="43" t="s">
        <v>171</v>
      </c>
      <c r="D233" s="42">
        <v>31</v>
      </c>
      <c r="E233" s="41">
        <v>1.3672047278821557E-3</v>
      </c>
    </row>
    <row r="234" spans="2:5" ht="15" customHeight="1">
      <c r="B234" s="93"/>
      <c r="C234" s="43" t="s">
        <v>160</v>
      </c>
      <c r="D234" s="42">
        <v>7</v>
      </c>
      <c r="E234" s="41">
        <v>3.0872364823145452E-4</v>
      </c>
    </row>
    <row r="235" spans="2:5" ht="15" customHeight="1">
      <c r="B235" s="93"/>
      <c r="C235" s="43" t="s">
        <v>168</v>
      </c>
      <c r="D235" s="42">
        <v>50</v>
      </c>
      <c r="E235" s="41">
        <v>2.2051689159389609E-3</v>
      </c>
    </row>
    <row r="236" spans="2:5" ht="15" customHeight="1">
      <c r="B236" s="93"/>
      <c r="C236" s="43" t="s">
        <v>126</v>
      </c>
      <c r="D236" s="42">
        <v>8</v>
      </c>
      <c r="E236" s="41">
        <v>3.5282702655023375E-4</v>
      </c>
    </row>
    <row r="237" spans="2:5" ht="15" customHeight="1">
      <c r="B237" s="93"/>
      <c r="C237" s="43" t="s">
        <v>149</v>
      </c>
      <c r="D237" s="42">
        <v>89</v>
      </c>
      <c r="E237" s="41">
        <v>3.9252006703713507E-3</v>
      </c>
    </row>
    <row r="238" spans="2:5" ht="15" customHeight="1">
      <c r="B238" s="93"/>
      <c r="C238" s="43" t="s">
        <v>144</v>
      </c>
      <c r="D238" s="42">
        <v>8</v>
      </c>
      <c r="E238" s="41">
        <v>3.5282702655023375E-4</v>
      </c>
    </row>
    <row r="239" spans="2:5" ht="15" customHeight="1">
      <c r="B239" s="93"/>
      <c r="C239" s="43" t="s">
        <v>150</v>
      </c>
      <c r="D239" s="42">
        <v>27</v>
      </c>
      <c r="E239" s="41">
        <v>1.1907912146070388E-3</v>
      </c>
    </row>
    <row r="240" spans="2:5" ht="15" customHeight="1">
      <c r="B240" s="93"/>
      <c r="C240" s="43" t="s">
        <v>138</v>
      </c>
      <c r="D240" s="42">
        <v>10</v>
      </c>
      <c r="E240" s="41">
        <v>4.410337831877922E-4</v>
      </c>
    </row>
    <row r="241" spans="2:5" ht="15" customHeight="1">
      <c r="B241" s="93"/>
      <c r="C241" s="43" t="s">
        <v>155</v>
      </c>
      <c r="D241" s="42">
        <v>50</v>
      </c>
      <c r="E241" s="41">
        <v>2.2051689159389609E-3</v>
      </c>
    </row>
    <row r="242" spans="2:5" ht="15" customHeight="1">
      <c r="B242" s="93"/>
      <c r="C242" s="43" t="s">
        <v>116</v>
      </c>
      <c r="D242" s="42">
        <v>2</v>
      </c>
      <c r="E242" s="41">
        <v>8.8206756637558437E-5</v>
      </c>
    </row>
    <row r="243" spans="2:5" ht="15" customHeight="1">
      <c r="B243" s="93"/>
      <c r="C243" s="43" t="s">
        <v>119</v>
      </c>
      <c r="D243" s="42">
        <v>4</v>
      </c>
      <c r="E243" s="41">
        <v>1.7641351327511687E-4</v>
      </c>
    </row>
    <row r="244" spans="2:5" ht="15" customHeight="1">
      <c r="B244" s="93"/>
      <c r="C244" s="43" t="s">
        <v>170</v>
      </c>
      <c r="D244" s="42">
        <v>274</v>
      </c>
      <c r="E244" s="41">
        <v>1.2084325659345505E-2</v>
      </c>
    </row>
    <row r="245" spans="2:5" ht="15" customHeight="1">
      <c r="B245" s="93"/>
      <c r="C245" s="43" t="s">
        <v>123</v>
      </c>
      <c r="D245" s="42">
        <v>4</v>
      </c>
      <c r="E245" s="41">
        <v>1.7641351327511687E-4</v>
      </c>
    </row>
    <row r="246" spans="2:5" ht="15" customHeight="1">
      <c r="B246" s="93"/>
      <c r="C246" s="43" t="s">
        <v>154</v>
      </c>
      <c r="D246" s="42">
        <v>19</v>
      </c>
      <c r="E246" s="41">
        <v>8.3796418805680512E-4</v>
      </c>
    </row>
    <row r="247" spans="2:5" ht="15" customHeight="1">
      <c r="B247" s="93"/>
      <c r="C247" s="43" t="s">
        <v>131</v>
      </c>
      <c r="D247" s="42">
        <v>25</v>
      </c>
      <c r="E247" s="41">
        <v>1.1025844579694805E-3</v>
      </c>
    </row>
    <row r="248" spans="2:5" ht="15" customHeight="1">
      <c r="B248" s="93"/>
      <c r="C248" s="43" t="s">
        <v>147</v>
      </c>
      <c r="D248" s="42">
        <v>111</v>
      </c>
      <c r="E248" s="41">
        <v>4.8954749933844931E-3</v>
      </c>
    </row>
    <row r="249" spans="2:5" ht="15" customHeight="1">
      <c r="B249" s="93"/>
      <c r="C249" s="43" t="s">
        <v>146</v>
      </c>
      <c r="D249" s="42">
        <v>5</v>
      </c>
      <c r="E249" s="41">
        <v>2.205168915938961E-4</v>
      </c>
    </row>
    <row r="250" spans="2:5" ht="15" customHeight="1">
      <c r="B250" s="93"/>
      <c r="C250" s="43" t="s">
        <v>167</v>
      </c>
      <c r="D250" s="42">
        <v>423</v>
      </c>
      <c r="E250" s="41">
        <v>1.8655729028843611E-2</v>
      </c>
    </row>
    <row r="251" spans="2:5" ht="15" customHeight="1">
      <c r="B251" s="93"/>
      <c r="C251" s="43" t="s">
        <v>165</v>
      </c>
      <c r="D251" s="42">
        <v>215</v>
      </c>
      <c r="E251" s="41">
        <v>9.4822263385375312E-3</v>
      </c>
    </row>
    <row r="252" spans="2:5" ht="15" customHeight="1">
      <c r="B252" s="94"/>
      <c r="C252" s="40" t="s">
        <v>20</v>
      </c>
      <c r="D252" s="39">
        <v>2700</v>
      </c>
      <c r="E252" s="38">
        <v>0.11907912146070389</v>
      </c>
    </row>
    <row r="253" spans="2:5" ht="15" customHeight="1">
      <c r="B253" s="92" t="s">
        <v>111</v>
      </c>
      <c r="C253" s="43" t="s">
        <v>140</v>
      </c>
      <c r="D253" s="42">
        <v>7</v>
      </c>
      <c r="E253" s="41">
        <v>3.0872364823145452E-4</v>
      </c>
    </row>
    <row r="254" spans="2:5" ht="15" customHeight="1">
      <c r="B254" s="93"/>
      <c r="C254" s="43" t="s">
        <v>132</v>
      </c>
      <c r="D254" s="42">
        <v>30</v>
      </c>
      <c r="E254" s="41">
        <v>1.3231013495633766E-3</v>
      </c>
    </row>
    <row r="255" spans="2:5" ht="15" customHeight="1">
      <c r="B255" s="93"/>
      <c r="C255" s="43" t="s">
        <v>135</v>
      </c>
      <c r="D255" s="42">
        <v>4</v>
      </c>
      <c r="E255" s="41">
        <v>1.7641351327511687E-4</v>
      </c>
    </row>
    <row r="256" spans="2:5" ht="15" customHeight="1">
      <c r="B256" s="93"/>
      <c r="C256" s="43" t="s">
        <v>129</v>
      </c>
      <c r="D256" s="42">
        <v>2</v>
      </c>
      <c r="E256" s="41">
        <v>8.8206756637558437E-5</v>
      </c>
    </row>
    <row r="257" spans="2:5" ht="15" customHeight="1">
      <c r="B257" s="93"/>
      <c r="C257" s="43" t="s">
        <v>145</v>
      </c>
      <c r="D257" s="42">
        <v>10</v>
      </c>
      <c r="E257" s="41">
        <v>4.410337831877922E-4</v>
      </c>
    </row>
    <row r="258" spans="2:5" ht="15" customHeight="1">
      <c r="B258" s="93"/>
      <c r="C258" s="43" t="s">
        <v>120</v>
      </c>
      <c r="D258" s="42">
        <v>13</v>
      </c>
      <c r="E258" s="41">
        <v>5.7334391814412987E-4</v>
      </c>
    </row>
    <row r="259" spans="2:5" ht="15" customHeight="1">
      <c r="B259" s="93"/>
      <c r="C259" s="43" t="s">
        <v>151</v>
      </c>
      <c r="D259" s="42">
        <v>103</v>
      </c>
      <c r="E259" s="41">
        <v>4.5426479668342597E-3</v>
      </c>
    </row>
    <row r="260" spans="2:5" ht="15" customHeight="1">
      <c r="B260" s="93"/>
      <c r="C260" s="43" t="s">
        <v>128</v>
      </c>
      <c r="D260" s="42">
        <v>19</v>
      </c>
      <c r="E260" s="41">
        <v>8.3796418805680512E-4</v>
      </c>
    </row>
    <row r="261" spans="2:5" ht="15" customHeight="1">
      <c r="B261" s="93"/>
      <c r="C261" s="43" t="s">
        <v>134</v>
      </c>
      <c r="D261" s="42">
        <v>5</v>
      </c>
      <c r="E261" s="41">
        <v>2.205168915938961E-4</v>
      </c>
    </row>
    <row r="262" spans="2:5" ht="15" customHeight="1">
      <c r="B262" s="93"/>
      <c r="C262" s="43" t="s">
        <v>117</v>
      </c>
      <c r="D262" s="42">
        <v>1</v>
      </c>
      <c r="E262" s="41">
        <v>4.4103378318779218E-5</v>
      </c>
    </row>
    <row r="263" spans="2:5" ht="15" customHeight="1">
      <c r="B263" s="93"/>
      <c r="C263" s="43" t="s">
        <v>172</v>
      </c>
      <c r="D263" s="42">
        <v>373</v>
      </c>
      <c r="E263" s="41">
        <v>1.6450560112904647E-2</v>
      </c>
    </row>
    <row r="264" spans="2:5" ht="15" customHeight="1">
      <c r="B264" s="93"/>
      <c r="C264" s="43" t="s">
        <v>139</v>
      </c>
      <c r="D264" s="42">
        <v>51</v>
      </c>
      <c r="E264" s="41">
        <v>2.2492722942577402E-3</v>
      </c>
    </row>
    <row r="265" spans="2:5" ht="15" customHeight="1">
      <c r="B265" s="93"/>
      <c r="C265" s="43" t="s">
        <v>122</v>
      </c>
      <c r="D265" s="42">
        <v>5</v>
      </c>
      <c r="E265" s="41">
        <v>2.205168915938961E-4</v>
      </c>
    </row>
    <row r="266" spans="2:5" ht="15" customHeight="1">
      <c r="B266" s="93"/>
      <c r="C266" s="43" t="s">
        <v>159</v>
      </c>
      <c r="D266" s="42">
        <v>151</v>
      </c>
      <c r="E266" s="41">
        <v>6.6596101261356616E-3</v>
      </c>
    </row>
    <row r="267" spans="2:5" ht="15" customHeight="1">
      <c r="B267" s="93"/>
      <c r="C267" s="43" t="s">
        <v>157</v>
      </c>
      <c r="D267" s="42">
        <v>111</v>
      </c>
      <c r="E267" s="41">
        <v>4.8954749933844931E-3</v>
      </c>
    </row>
    <row r="268" spans="2:5" ht="15" customHeight="1">
      <c r="B268" s="93"/>
      <c r="C268" s="43" t="s">
        <v>164</v>
      </c>
      <c r="D268" s="42">
        <v>144</v>
      </c>
      <c r="E268" s="41">
        <v>6.3508864779042076E-3</v>
      </c>
    </row>
    <row r="269" spans="2:5" ht="15" customHeight="1">
      <c r="B269" s="93"/>
      <c r="C269" s="43" t="s">
        <v>136</v>
      </c>
      <c r="D269" s="42">
        <v>10</v>
      </c>
      <c r="E269" s="41">
        <v>4.410337831877922E-4</v>
      </c>
    </row>
    <row r="270" spans="2:5" ht="15" customHeight="1">
      <c r="B270" s="93"/>
      <c r="C270" s="43" t="s">
        <v>162</v>
      </c>
      <c r="D270" s="42">
        <v>85</v>
      </c>
      <c r="E270" s="41">
        <v>3.7487871570962335E-3</v>
      </c>
    </row>
    <row r="271" spans="2:5" ht="15" customHeight="1">
      <c r="B271" s="93"/>
      <c r="C271" s="43" t="s">
        <v>166</v>
      </c>
      <c r="D271" s="42">
        <v>25</v>
      </c>
      <c r="E271" s="41">
        <v>1.1025844579694805E-3</v>
      </c>
    </row>
    <row r="272" spans="2:5" ht="15" customHeight="1">
      <c r="B272" s="93"/>
      <c r="C272" s="43" t="s">
        <v>142</v>
      </c>
      <c r="D272" s="42">
        <v>87</v>
      </c>
      <c r="E272" s="41">
        <v>3.8369939137337921E-3</v>
      </c>
    </row>
    <row r="273" spans="2:5" ht="15" customHeight="1">
      <c r="B273" s="93"/>
      <c r="C273" s="43" t="s">
        <v>158</v>
      </c>
      <c r="D273" s="42">
        <v>260</v>
      </c>
      <c r="E273" s="41">
        <v>1.1466878362882597E-2</v>
      </c>
    </row>
    <row r="274" spans="2:5" ht="15" customHeight="1">
      <c r="B274" s="93"/>
      <c r="C274" s="43" t="s">
        <v>148</v>
      </c>
      <c r="D274" s="42">
        <v>9</v>
      </c>
      <c r="E274" s="41">
        <v>3.9693040486901297E-4</v>
      </c>
    </row>
    <row r="275" spans="2:5" ht="15" customHeight="1">
      <c r="B275" s="93"/>
      <c r="C275" s="43" t="s">
        <v>153</v>
      </c>
      <c r="D275" s="42">
        <v>76</v>
      </c>
      <c r="E275" s="41">
        <v>3.3518567522272205E-3</v>
      </c>
    </row>
    <row r="276" spans="2:5" ht="15" customHeight="1">
      <c r="B276" s="93"/>
      <c r="C276" s="43" t="s">
        <v>143</v>
      </c>
      <c r="D276" s="42">
        <v>18</v>
      </c>
      <c r="E276" s="41">
        <v>7.9386080973802594E-4</v>
      </c>
    </row>
    <row r="277" spans="2:5" ht="15" customHeight="1">
      <c r="B277" s="93"/>
      <c r="C277" s="43" t="s">
        <v>141</v>
      </c>
      <c r="D277" s="42">
        <v>61</v>
      </c>
      <c r="E277" s="41">
        <v>2.6903060774455321E-3</v>
      </c>
    </row>
    <row r="278" spans="2:5" ht="15" customHeight="1">
      <c r="B278" s="93"/>
      <c r="C278" s="43" t="s">
        <v>118</v>
      </c>
      <c r="D278" s="42">
        <v>8</v>
      </c>
      <c r="E278" s="41">
        <v>3.5282702655023375E-4</v>
      </c>
    </row>
    <row r="279" spans="2:5" ht="15" customHeight="1">
      <c r="B279" s="93"/>
      <c r="C279" s="43" t="s">
        <v>124</v>
      </c>
      <c r="D279" s="42">
        <v>1</v>
      </c>
      <c r="E279" s="41">
        <v>4.4103378318779218E-5</v>
      </c>
    </row>
    <row r="280" spans="2:5" ht="15" customHeight="1">
      <c r="B280" s="93"/>
      <c r="C280" s="43" t="s">
        <v>156</v>
      </c>
      <c r="D280" s="42">
        <v>234</v>
      </c>
      <c r="E280" s="41">
        <v>1.0320190526594337E-2</v>
      </c>
    </row>
    <row r="281" spans="2:5" ht="15" customHeight="1">
      <c r="B281" s="93"/>
      <c r="C281" s="43" t="s">
        <v>125</v>
      </c>
      <c r="D281" s="42">
        <v>6</v>
      </c>
      <c r="E281" s="41">
        <v>2.646202699126753E-4</v>
      </c>
    </row>
    <row r="282" spans="2:5" ht="15" customHeight="1">
      <c r="B282" s="93"/>
      <c r="C282" s="43" t="s">
        <v>152</v>
      </c>
      <c r="D282" s="42">
        <v>2</v>
      </c>
      <c r="E282" s="41">
        <v>8.8206756637558437E-5</v>
      </c>
    </row>
    <row r="283" spans="2:5" ht="15" customHeight="1">
      <c r="B283" s="93"/>
      <c r="C283" s="43" t="s">
        <v>130</v>
      </c>
      <c r="D283" s="42">
        <v>3</v>
      </c>
      <c r="E283" s="41">
        <v>1.3231013495633765E-4</v>
      </c>
    </row>
    <row r="284" spans="2:5" ht="15" customHeight="1">
      <c r="B284" s="93"/>
      <c r="C284" s="43" t="s">
        <v>133</v>
      </c>
      <c r="D284" s="42">
        <v>2</v>
      </c>
      <c r="E284" s="41">
        <v>8.8206756637558437E-5</v>
      </c>
    </row>
    <row r="285" spans="2:5" ht="15" customHeight="1">
      <c r="B285" s="93"/>
      <c r="C285" s="43" t="s">
        <v>163</v>
      </c>
      <c r="D285" s="42">
        <v>154</v>
      </c>
      <c r="E285" s="41">
        <v>6.7919202610919995E-3</v>
      </c>
    </row>
    <row r="286" spans="2:5" ht="15" customHeight="1">
      <c r="B286" s="93"/>
      <c r="C286" s="43" t="s">
        <v>137</v>
      </c>
      <c r="D286" s="42">
        <v>26</v>
      </c>
      <c r="E286" s="41">
        <v>1.1466878362882597E-3</v>
      </c>
    </row>
    <row r="287" spans="2:5" ht="15" customHeight="1">
      <c r="B287" s="93"/>
      <c r="C287" s="43" t="s">
        <v>161</v>
      </c>
      <c r="D287" s="42">
        <v>65</v>
      </c>
      <c r="E287" s="41">
        <v>2.8667195907206493E-3</v>
      </c>
    </row>
    <row r="288" spans="2:5" ht="15" customHeight="1">
      <c r="B288" s="93"/>
      <c r="C288" s="43" t="s">
        <v>127</v>
      </c>
      <c r="D288" s="42">
        <v>3</v>
      </c>
      <c r="E288" s="41">
        <v>1.3231013495633765E-4</v>
      </c>
    </row>
    <row r="289" spans="2:5" ht="15" customHeight="1">
      <c r="B289" s="93"/>
      <c r="C289" s="43" t="s">
        <v>169</v>
      </c>
      <c r="D289" s="42">
        <v>294</v>
      </c>
      <c r="E289" s="41">
        <v>1.2966393225721091E-2</v>
      </c>
    </row>
    <row r="290" spans="2:5" ht="15" customHeight="1">
      <c r="B290" s="93"/>
      <c r="C290" s="43" t="s">
        <v>171</v>
      </c>
      <c r="D290" s="42">
        <v>488</v>
      </c>
      <c r="E290" s="41">
        <v>2.1522448619564257E-2</v>
      </c>
    </row>
    <row r="291" spans="2:5" ht="15" customHeight="1">
      <c r="B291" s="93"/>
      <c r="C291" s="43" t="s">
        <v>160</v>
      </c>
      <c r="D291" s="42">
        <v>168</v>
      </c>
      <c r="E291" s="41">
        <v>7.4093675575549085E-3</v>
      </c>
    </row>
    <row r="292" spans="2:5" ht="15" customHeight="1">
      <c r="B292" s="93"/>
      <c r="C292" s="43" t="s">
        <v>168</v>
      </c>
      <c r="D292" s="42">
        <v>407</v>
      </c>
      <c r="E292" s="41">
        <v>1.7950074975743142E-2</v>
      </c>
    </row>
    <row r="293" spans="2:5" ht="15" customHeight="1">
      <c r="B293" s="93"/>
      <c r="C293" s="43" t="s">
        <v>126</v>
      </c>
      <c r="D293" s="42">
        <v>1</v>
      </c>
      <c r="E293" s="41">
        <v>4.4103378318779218E-5</v>
      </c>
    </row>
    <row r="294" spans="2:5" ht="15" customHeight="1">
      <c r="B294" s="93"/>
      <c r="C294" s="43" t="s">
        <v>149</v>
      </c>
      <c r="D294" s="42">
        <v>8</v>
      </c>
      <c r="E294" s="41">
        <v>3.5282702655023375E-4</v>
      </c>
    </row>
    <row r="295" spans="2:5" ht="15" customHeight="1">
      <c r="B295" s="93"/>
      <c r="C295" s="43" t="s">
        <v>144</v>
      </c>
      <c r="D295" s="42">
        <v>20</v>
      </c>
      <c r="E295" s="41">
        <v>8.820675663755844E-4</v>
      </c>
    </row>
    <row r="296" spans="2:5" ht="15" customHeight="1">
      <c r="B296" s="93"/>
      <c r="C296" s="43" t="s">
        <v>150</v>
      </c>
      <c r="D296" s="42">
        <v>6</v>
      </c>
      <c r="E296" s="41">
        <v>2.646202699126753E-4</v>
      </c>
    </row>
    <row r="297" spans="2:5" ht="15" customHeight="1">
      <c r="B297" s="93"/>
      <c r="C297" s="43" t="s">
        <v>138</v>
      </c>
      <c r="D297" s="42">
        <v>4</v>
      </c>
      <c r="E297" s="41">
        <v>1.7641351327511687E-4</v>
      </c>
    </row>
    <row r="298" spans="2:5" ht="15" customHeight="1">
      <c r="B298" s="93"/>
      <c r="C298" s="43" t="s">
        <v>155</v>
      </c>
      <c r="D298" s="42">
        <v>34</v>
      </c>
      <c r="E298" s="41">
        <v>1.4995148628384933E-3</v>
      </c>
    </row>
    <row r="299" spans="2:5" ht="15" customHeight="1">
      <c r="B299" s="93"/>
      <c r="C299" s="43" t="s">
        <v>116</v>
      </c>
      <c r="D299" s="42">
        <v>1</v>
      </c>
      <c r="E299" s="41">
        <v>4.4103378318779218E-5</v>
      </c>
    </row>
    <row r="300" spans="2:5" ht="15" customHeight="1">
      <c r="B300" s="93"/>
      <c r="C300" s="43" t="s">
        <v>119</v>
      </c>
      <c r="D300" s="42">
        <v>7</v>
      </c>
      <c r="E300" s="41">
        <v>3.0872364823145452E-4</v>
      </c>
    </row>
    <row r="301" spans="2:5" ht="15" customHeight="1">
      <c r="B301" s="93"/>
      <c r="C301" s="43" t="s">
        <v>170</v>
      </c>
      <c r="D301" s="42">
        <v>212</v>
      </c>
      <c r="E301" s="41">
        <v>9.3499162035811951E-3</v>
      </c>
    </row>
    <row r="302" spans="2:5" ht="15" customHeight="1">
      <c r="B302" s="93"/>
      <c r="C302" s="43" t="s">
        <v>123</v>
      </c>
      <c r="D302" s="42">
        <v>6</v>
      </c>
      <c r="E302" s="41">
        <v>2.646202699126753E-4</v>
      </c>
    </row>
    <row r="303" spans="2:5" ht="15" customHeight="1">
      <c r="B303" s="93"/>
      <c r="C303" s="43" t="s">
        <v>154</v>
      </c>
      <c r="D303" s="42">
        <v>41</v>
      </c>
      <c r="E303" s="41">
        <v>1.8082385110699479E-3</v>
      </c>
    </row>
    <row r="304" spans="2:5" ht="15" customHeight="1">
      <c r="B304" s="93"/>
      <c r="C304" s="43" t="s">
        <v>131</v>
      </c>
      <c r="D304" s="42">
        <v>15</v>
      </c>
      <c r="E304" s="41">
        <v>6.6155067478168832E-4</v>
      </c>
    </row>
    <row r="305" spans="2:5" ht="15" customHeight="1">
      <c r="B305" s="93"/>
      <c r="C305" s="43" t="s">
        <v>147</v>
      </c>
      <c r="D305" s="42">
        <v>32</v>
      </c>
      <c r="E305" s="41">
        <v>1.411308106200935E-3</v>
      </c>
    </row>
    <row r="306" spans="2:5" ht="15" customHeight="1">
      <c r="B306" s="93"/>
      <c r="C306" s="43" t="s">
        <v>146</v>
      </c>
      <c r="D306" s="42">
        <v>70</v>
      </c>
      <c r="E306" s="41">
        <v>3.0872364823145452E-3</v>
      </c>
    </row>
    <row r="307" spans="2:5" ht="15" customHeight="1">
      <c r="B307" s="93"/>
      <c r="C307" s="43" t="s">
        <v>167</v>
      </c>
      <c r="D307" s="42">
        <v>45</v>
      </c>
      <c r="E307" s="41">
        <v>1.984652024345065E-3</v>
      </c>
    </row>
    <row r="308" spans="2:5" ht="15" customHeight="1">
      <c r="B308" s="93"/>
      <c r="C308" s="43" t="s">
        <v>165</v>
      </c>
      <c r="D308" s="42">
        <v>144</v>
      </c>
      <c r="E308" s="41">
        <v>6.3508864779042076E-3</v>
      </c>
    </row>
    <row r="309" spans="2:5" ht="15" customHeight="1">
      <c r="B309" s="94"/>
      <c r="C309" s="40" t="s">
        <v>20</v>
      </c>
      <c r="D309" s="39">
        <v>4167</v>
      </c>
      <c r="E309" s="38">
        <v>0.183778777454353</v>
      </c>
    </row>
    <row r="310" spans="2:5" ht="15" customHeight="1">
      <c r="B310" s="92" t="s">
        <v>69</v>
      </c>
      <c r="C310" s="43" t="s">
        <v>159</v>
      </c>
      <c r="D310" s="42">
        <v>1</v>
      </c>
      <c r="E310" s="41">
        <v>4.4103378318779218E-5</v>
      </c>
    </row>
    <row r="311" spans="2:5" ht="15" customHeight="1">
      <c r="B311" s="93"/>
      <c r="C311" s="43" t="s">
        <v>136</v>
      </c>
      <c r="D311" s="42">
        <v>1</v>
      </c>
      <c r="E311" s="41">
        <v>4.4103378318779218E-5</v>
      </c>
    </row>
    <row r="312" spans="2:5" ht="15" customHeight="1">
      <c r="B312" s="93"/>
      <c r="C312" s="43" t="s">
        <v>141</v>
      </c>
      <c r="D312" s="42">
        <v>1</v>
      </c>
      <c r="E312" s="41">
        <v>4.4103378318779218E-5</v>
      </c>
    </row>
    <row r="313" spans="2:5" ht="15" customHeight="1">
      <c r="B313" s="93"/>
      <c r="C313" s="43" t="s">
        <v>161</v>
      </c>
      <c r="D313" s="42">
        <v>1</v>
      </c>
      <c r="E313" s="41">
        <v>4.4103378318779218E-5</v>
      </c>
    </row>
    <row r="314" spans="2:5" ht="15" customHeight="1">
      <c r="B314" s="93"/>
      <c r="C314" s="43" t="s">
        <v>169</v>
      </c>
      <c r="D314" s="42">
        <v>3</v>
      </c>
      <c r="E314" s="41">
        <v>1.3231013495633765E-4</v>
      </c>
    </row>
    <row r="315" spans="2:5" ht="15" customHeight="1">
      <c r="B315" s="93"/>
      <c r="C315" s="43" t="s">
        <v>170</v>
      </c>
      <c r="D315" s="42">
        <v>1</v>
      </c>
      <c r="E315" s="41">
        <v>4.4103378318779218E-5</v>
      </c>
    </row>
    <row r="316" spans="2:5" ht="15" customHeight="1">
      <c r="B316" s="93"/>
      <c r="C316" s="43" t="s">
        <v>165</v>
      </c>
      <c r="D316" s="42">
        <v>1</v>
      </c>
      <c r="E316" s="41">
        <v>4.4103378318779218E-5</v>
      </c>
    </row>
    <row r="317" spans="2:5" ht="15" customHeight="1">
      <c r="B317" s="94"/>
      <c r="C317" s="40" t="s">
        <v>20</v>
      </c>
      <c r="D317" s="39">
        <v>9</v>
      </c>
      <c r="E317" s="38">
        <v>3.9693040486901297E-4</v>
      </c>
    </row>
    <row r="318" spans="2:5" ht="15" customHeight="1">
      <c r="B318" s="92" t="s">
        <v>95</v>
      </c>
      <c r="C318" s="43" t="s">
        <v>140</v>
      </c>
      <c r="D318" s="42">
        <v>2</v>
      </c>
      <c r="E318" s="41">
        <v>8.8206756637558437E-5</v>
      </c>
    </row>
    <row r="319" spans="2:5" ht="15" customHeight="1">
      <c r="B319" s="93"/>
      <c r="C319" s="43" t="s">
        <v>129</v>
      </c>
      <c r="D319" s="42">
        <v>1</v>
      </c>
      <c r="E319" s="41">
        <v>4.4103378318779218E-5</v>
      </c>
    </row>
    <row r="320" spans="2:5" ht="15" customHeight="1">
      <c r="B320" s="93"/>
      <c r="C320" s="43" t="s">
        <v>145</v>
      </c>
      <c r="D320" s="42">
        <v>9</v>
      </c>
      <c r="E320" s="41">
        <v>3.9693040486901297E-4</v>
      </c>
    </row>
    <row r="321" spans="2:5" ht="15" customHeight="1">
      <c r="B321" s="93"/>
      <c r="C321" s="43" t="s">
        <v>120</v>
      </c>
      <c r="D321" s="42">
        <v>4</v>
      </c>
      <c r="E321" s="41">
        <v>1.7641351327511687E-4</v>
      </c>
    </row>
    <row r="322" spans="2:5" ht="15" customHeight="1">
      <c r="B322" s="93"/>
      <c r="C322" s="43" t="s">
        <v>151</v>
      </c>
      <c r="D322" s="42">
        <v>74</v>
      </c>
      <c r="E322" s="41">
        <v>3.2636499955896623E-3</v>
      </c>
    </row>
    <row r="323" spans="2:5" ht="15" customHeight="1">
      <c r="B323" s="93"/>
      <c r="C323" s="43" t="s">
        <v>128</v>
      </c>
      <c r="D323" s="42">
        <v>1</v>
      </c>
      <c r="E323" s="41">
        <v>4.4103378318779218E-5</v>
      </c>
    </row>
    <row r="324" spans="2:5" ht="15" customHeight="1">
      <c r="B324" s="93"/>
      <c r="C324" s="43" t="s">
        <v>134</v>
      </c>
      <c r="D324" s="42">
        <v>6</v>
      </c>
      <c r="E324" s="41">
        <v>2.646202699126753E-4</v>
      </c>
    </row>
    <row r="325" spans="2:5" ht="15" customHeight="1">
      <c r="B325" s="93"/>
      <c r="C325" s="43" t="s">
        <v>172</v>
      </c>
      <c r="D325" s="42">
        <v>283</v>
      </c>
      <c r="E325" s="41">
        <v>1.2481256064214519E-2</v>
      </c>
    </row>
    <row r="326" spans="2:5" ht="15" customHeight="1">
      <c r="B326" s="93"/>
      <c r="C326" s="43" t="s">
        <v>139</v>
      </c>
      <c r="D326" s="42">
        <v>7</v>
      </c>
      <c r="E326" s="41">
        <v>3.0872364823145452E-4</v>
      </c>
    </row>
    <row r="327" spans="2:5" ht="15" customHeight="1">
      <c r="B327" s="93"/>
      <c r="C327" s="43" t="s">
        <v>159</v>
      </c>
      <c r="D327" s="42">
        <v>11</v>
      </c>
      <c r="E327" s="41">
        <v>4.8513716150657142E-4</v>
      </c>
    </row>
    <row r="328" spans="2:5" ht="15" customHeight="1">
      <c r="B328" s="93"/>
      <c r="C328" s="43" t="s">
        <v>157</v>
      </c>
      <c r="D328" s="42">
        <v>7</v>
      </c>
      <c r="E328" s="41">
        <v>3.0872364823145452E-4</v>
      </c>
    </row>
    <row r="329" spans="2:5" ht="15" customHeight="1">
      <c r="B329" s="93"/>
      <c r="C329" s="43" t="s">
        <v>164</v>
      </c>
      <c r="D329" s="42">
        <v>16</v>
      </c>
      <c r="E329" s="41">
        <v>7.0565405310046749E-4</v>
      </c>
    </row>
    <row r="330" spans="2:5" ht="15" customHeight="1">
      <c r="B330" s="93"/>
      <c r="C330" s="43" t="s">
        <v>136</v>
      </c>
      <c r="D330" s="42">
        <v>3</v>
      </c>
      <c r="E330" s="41">
        <v>1.3231013495633765E-4</v>
      </c>
    </row>
    <row r="331" spans="2:5" ht="15" customHeight="1">
      <c r="B331" s="93"/>
      <c r="C331" s="43" t="s">
        <v>162</v>
      </c>
      <c r="D331" s="42">
        <v>6</v>
      </c>
      <c r="E331" s="41">
        <v>2.646202699126753E-4</v>
      </c>
    </row>
    <row r="332" spans="2:5" ht="15" customHeight="1">
      <c r="B332" s="93"/>
      <c r="C332" s="43" t="s">
        <v>166</v>
      </c>
      <c r="D332" s="42">
        <v>32</v>
      </c>
      <c r="E332" s="41">
        <v>1.411308106200935E-3</v>
      </c>
    </row>
    <row r="333" spans="2:5" ht="15" customHeight="1">
      <c r="B333" s="93"/>
      <c r="C333" s="43" t="s">
        <v>142</v>
      </c>
      <c r="D333" s="42">
        <v>19</v>
      </c>
      <c r="E333" s="41">
        <v>8.3796418805680512E-4</v>
      </c>
    </row>
    <row r="334" spans="2:5" ht="15" customHeight="1">
      <c r="B334" s="93"/>
      <c r="C334" s="43" t="s">
        <v>158</v>
      </c>
      <c r="D334" s="42">
        <v>6</v>
      </c>
      <c r="E334" s="41">
        <v>2.646202699126753E-4</v>
      </c>
    </row>
    <row r="335" spans="2:5" ht="15" customHeight="1">
      <c r="B335" s="93"/>
      <c r="C335" s="43" t="s">
        <v>148</v>
      </c>
      <c r="D335" s="42">
        <v>5</v>
      </c>
      <c r="E335" s="41">
        <v>2.205168915938961E-4</v>
      </c>
    </row>
    <row r="336" spans="2:5" ht="15" customHeight="1">
      <c r="B336" s="93"/>
      <c r="C336" s="43" t="s">
        <v>153</v>
      </c>
      <c r="D336" s="42">
        <v>99</v>
      </c>
      <c r="E336" s="41">
        <v>4.3662344535591426E-3</v>
      </c>
    </row>
    <row r="337" spans="2:5" ht="15" customHeight="1">
      <c r="B337" s="93"/>
      <c r="C337" s="43" t="s">
        <v>143</v>
      </c>
      <c r="D337" s="42">
        <v>48</v>
      </c>
      <c r="E337" s="41">
        <v>2.1169621593014024E-3</v>
      </c>
    </row>
    <row r="338" spans="2:5" ht="15" customHeight="1">
      <c r="B338" s="93"/>
      <c r="C338" s="43" t="s">
        <v>141</v>
      </c>
      <c r="D338" s="42">
        <v>17</v>
      </c>
      <c r="E338" s="41">
        <v>7.4975743141924667E-4</v>
      </c>
    </row>
    <row r="339" spans="2:5" ht="15" customHeight="1">
      <c r="B339" s="93"/>
      <c r="C339" s="43" t="s">
        <v>124</v>
      </c>
      <c r="D339" s="42">
        <v>1</v>
      </c>
      <c r="E339" s="41">
        <v>4.4103378318779218E-5</v>
      </c>
    </row>
    <row r="340" spans="2:5" ht="15" customHeight="1">
      <c r="B340" s="93"/>
      <c r="C340" s="43" t="s">
        <v>156</v>
      </c>
      <c r="D340" s="42">
        <v>8</v>
      </c>
      <c r="E340" s="41">
        <v>3.5282702655023375E-4</v>
      </c>
    </row>
    <row r="341" spans="2:5" ht="15" customHeight="1">
      <c r="B341" s="93"/>
      <c r="C341" s="43" t="s">
        <v>125</v>
      </c>
      <c r="D341" s="42">
        <v>1</v>
      </c>
      <c r="E341" s="41">
        <v>4.4103378318779218E-5</v>
      </c>
    </row>
    <row r="342" spans="2:5" ht="15" customHeight="1">
      <c r="B342" s="93"/>
      <c r="C342" s="43" t="s">
        <v>152</v>
      </c>
      <c r="D342" s="42">
        <v>8</v>
      </c>
      <c r="E342" s="41">
        <v>3.5282702655023375E-4</v>
      </c>
    </row>
    <row r="343" spans="2:5" ht="15" customHeight="1">
      <c r="B343" s="93"/>
      <c r="C343" s="43" t="s">
        <v>133</v>
      </c>
      <c r="D343" s="42">
        <v>1</v>
      </c>
      <c r="E343" s="41">
        <v>4.4103378318779218E-5</v>
      </c>
    </row>
    <row r="344" spans="2:5" ht="15" customHeight="1">
      <c r="B344" s="93"/>
      <c r="C344" s="43" t="s">
        <v>163</v>
      </c>
      <c r="D344" s="42">
        <v>6</v>
      </c>
      <c r="E344" s="41">
        <v>2.646202699126753E-4</v>
      </c>
    </row>
    <row r="345" spans="2:5" ht="15" customHeight="1">
      <c r="B345" s="93"/>
      <c r="C345" s="43" t="s">
        <v>137</v>
      </c>
      <c r="D345" s="42">
        <v>6</v>
      </c>
      <c r="E345" s="41">
        <v>2.646202699126753E-4</v>
      </c>
    </row>
    <row r="346" spans="2:5" ht="15" customHeight="1">
      <c r="B346" s="93"/>
      <c r="C346" s="43" t="s">
        <v>161</v>
      </c>
      <c r="D346" s="42">
        <v>40</v>
      </c>
      <c r="E346" s="41">
        <v>1.7641351327511688E-3</v>
      </c>
    </row>
    <row r="347" spans="2:5" ht="15" customHeight="1">
      <c r="B347" s="93"/>
      <c r="C347" s="43" t="s">
        <v>127</v>
      </c>
      <c r="D347" s="42">
        <v>1</v>
      </c>
      <c r="E347" s="41">
        <v>4.4103378318779218E-5</v>
      </c>
    </row>
    <row r="348" spans="2:5" ht="15" customHeight="1">
      <c r="B348" s="93"/>
      <c r="C348" s="43" t="s">
        <v>169</v>
      </c>
      <c r="D348" s="42">
        <v>12</v>
      </c>
      <c r="E348" s="41">
        <v>5.2924053982535059E-4</v>
      </c>
    </row>
    <row r="349" spans="2:5" ht="15" customHeight="1">
      <c r="B349" s="93"/>
      <c r="C349" s="43" t="s">
        <v>171</v>
      </c>
      <c r="D349" s="42">
        <v>25</v>
      </c>
      <c r="E349" s="41">
        <v>1.1025844579694805E-3</v>
      </c>
    </row>
    <row r="350" spans="2:5" ht="15" customHeight="1">
      <c r="B350" s="93"/>
      <c r="C350" s="43" t="s">
        <v>160</v>
      </c>
      <c r="D350" s="42">
        <v>37</v>
      </c>
      <c r="E350" s="41">
        <v>1.6318249977948312E-3</v>
      </c>
    </row>
    <row r="351" spans="2:5" ht="15" customHeight="1">
      <c r="B351" s="93"/>
      <c r="C351" s="43" t="s">
        <v>168</v>
      </c>
      <c r="D351" s="42">
        <v>51</v>
      </c>
      <c r="E351" s="41">
        <v>2.2492722942577402E-3</v>
      </c>
    </row>
    <row r="352" spans="2:5" ht="15" customHeight="1">
      <c r="B352" s="93"/>
      <c r="C352" s="43" t="s">
        <v>126</v>
      </c>
      <c r="D352" s="42">
        <v>2</v>
      </c>
      <c r="E352" s="41">
        <v>8.8206756637558437E-5</v>
      </c>
    </row>
    <row r="353" spans="2:5" ht="15" customHeight="1">
      <c r="B353" s="93"/>
      <c r="C353" s="43" t="s">
        <v>149</v>
      </c>
      <c r="D353" s="42">
        <v>1</v>
      </c>
      <c r="E353" s="41">
        <v>4.4103378318779218E-5</v>
      </c>
    </row>
    <row r="354" spans="2:5" ht="15" customHeight="1">
      <c r="B354" s="93"/>
      <c r="C354" s="43" t="s">
        <v>144</v>
      </c>
      <c r="D354" s="42">
        <v>3</v>
      </c>
      <c r="E354" s="41">
        <v>1.3231013495633765E-4</v>
      </c>
    </row>
    <row r="355" spans="2:5" ht="15" customHeight="1">
      <c r="B355" s="93"/>
      <c r="C355" s="43" t="s">
        <v>150</v>
      </c>
      <c r="D355" s="42">
        <v>1</v>
      </c>
      <c r="E355" s="41">
        <v>4.4103378318779218E-5</v>
      </c>
    </row>
    <row r="356" spans="2:5" ht="15" customHeight="1">
      <c r="B356" s="93"/>
      <c r="C356" s="43" t="s">
        <v>138</v>
      </c>
      <c r="D356" s="42">
        <v>6</v>
      </c>
      <c r="E356" s="41">
        <v>2.646202699126753E-4</v>
      </c>
    </row>
    <row r="357" spans="2:5" ht="15" customHeight="1">
      <c r="B357" s="93"/>
      <c r="C357" s="43" t="s">
        <v>155</v>
      </c>
      <c r="D357" s="42">
        <v>33</v>
      </c>
      <c r="E357" s="41">
        <v>1.4554114845197143E-3</v>
      </c>
    </row>
    <row r="358" spans="2:5" ht="15" customHeight="1">
      <c r="B358" s="93"/>
      <c r="C358" s="43" t="s">
        <v>170</v>
      </c>
      <c r="D358" s="42">
        <v>112</v>
      </c>
      <c r="E358" s="41">
        <v>4.9395783717032724E-3</v>
      </c>
    </row>
    <row r="359" spans="2:5" ht="15" customHeight="1">
      <c r="B359" s="93"/>
      <c r="C359" s="43" t="s">
        <v>123</v>
      </c>
      <c r="D359" s="42">
        <v>1</v>
      </c>
      <c r="E359" s="41">
        <v>4.4103378318779218E-5</v>
      </c>
    </row>
    <row r="360" spans="2:5" ht="15" customHeight="1">
      <c r="B360" s="93"/>
      <c r="C360" s="43" t="s">
        <v>154</v>
      </c>
      <c r="D360" s="42">
        <v>15</v>
      </c>
      <c r="E360" s="41">
        <v>6.6155067478168832E-4</v>
      </c>
    </row>
    <row r="361" spans="2:5" ht="15" customHeight="1">
      <c r="B361" s="93"/>
      <c r="C361" s="43" t="s">
        <v>131</v>
      </c>
      <c r="D361" s="42">
        <v>11</v>
      </c>
      <c r="E361" s="41">
        <v>4.8513716150657142E-4</v>
      </c>
    </row>
    <row r="362" spans="2:5" ht="15" customHeight="1">
      <c r="B362" s="93"/>
      <c r="C362" s="43" t="s">
        <v>147</v>
      </c>
      <c r="D362" s="42">
        <v>1</v>
      </c>
      <c r="E362" s="41">
        <v>4.4103378318779218E-5</v>
      </c>
    </row>
    <row r="363" spans="2:5" ht="15" customHeight="1">
      <c r="B363" s="93"/>
      <c r="C363" s="43" t="s">
        <v>146</v>
      </c>
      <c r="D363" s="42">
        <v>1</v>
      </c>
      <c r="E363" s="41">
        <v>4.4103378318779218E-5</v>
      </c>
    </row>
    <row r="364" spans="2:5" ht="15" customHeight="1">
      <c r="B364" s="93"/>
      <c r="C364" s="43" t="s">
        <v>167</v>
      </c>
      <c r="D364" s="42">
        <v>17</v>
      </c>
      <c r="E364" s="41">
        <v>7.4975743141924667E-4</v>
      </c>
    </row>
    <row r="365" spans="2:5" ht="15" customHeight="1">
      <c r="B365" s="93"/>
      <c r="C365" s="43" t="s">
        <v>165</v>
      </c>
      <c r="D365" s="42">
        <v>29</v>
      </c>
      <c r="E365" s="41">
        <v>1.2789979712445974E-3</v>
      </c>
    </row>
    <row r="366" spans="2:5" ht="15" customHeight="1">
      <c r="B366" s="94"/>
      <c r="C366" s="40" t="s">
        <v>20</v>
      </c>
      <c r="D366" s="39">
        <v>1086</v>
      </c>
      <c r="E366" s="38">
        <v>4.7896268854194228E-2</v>
      </c>
    </row>
    <row r="367" spans="2:5" ht="15" customHeight="1">
      <c r="B367" s="92" t="s">
        <v>81</v>
      </c>
      <c r="C367" s="43" t="s">
        <v>140</v>
      </c>
      <c r="D367" s="42">
        <v>2</v>
      </c>
      <c r="E367" s="41">
        <v>8.8206756637558437E-5</v>
      </c>
    </row>
    <row r="368" spans="2:5" ht="15" customHeight="1">
      <c r="B368" s="93"/>
      <c r="C368" s="43" t="s">
        <v>145</v>
      </c>
      <c r="D368" s="42">
        <v>3</v>
      </c>
      <c r="E368" s="41">
        <v>1.3231013495633765E-4</v>
      </c>
    </row>
    <row r="369" spans="2:5" ht="15" customHeight="1">
      <c r="B369" s="93"/>
      <c r="C369" s="43" t="s">
        <v>151</v>
      </c>
      <c r="D369" s="42">
        <v>1</v>
      </c>
      <c r="E369" s="41">
        <v>4.4103378318779218E-5</v>
      </c>
    </row>
    <row r="370" spans="2:5" ht="15" customHeight="1">
      <c r="B370" s="93"/>
      <c r="C370" s="43" t="s">
        <v>128</v>
      </c>
      <c r="D370" s="42">
        <v>2</v>
      </c>
      <c r="E370" s="41">
        <v>8.8206756637558437E-5</v>
      </c>
    </row>
    <row r="371" spans="2:5" ht="15" customHeight="1">
      <c r="B371" s="93"/>
      <c r="C371" s="43" t="s">
        <v>121</v>
      </c>
      <c r="D371" s="42">
        <v>1</v>
      </c>
      <c r="E371" s="41">
        <v>4.4103378318779218E-5</v>
      </c>
    </row>
    <row r="372" spans="2:5" ht="15" customHeight="1">
      <c r="B372" s="93"/>
      <c r="C372" s="43" t="s">
        <v>117</v>
      </c>
      <c r="D372" s="42">
        <v>1</v>
      </c>
      <c r="E372" s="41">
        <v>4.4103378318779218E-5</v>
      </c>
    </row>
    <row r="373" spans="2:5" ht="15" customHeight="1">
      <c r="B373" s="93"/>
      <c r="C373" s="43" t="s">
        <v>172</v>
      </c>
      <c r="D373" s="42">
        <v>39</v>
      </c>
      <c r="E373" s="41">
        <v>1.7200317544323895E-3</v>
      </c>
    </row>
    <row r="374" spans="2:5" ht="15" customHeight="1">
      <c r="B374" s="93"/>
      <c r="C374" s="43" t="s">
        <v>159</v>
      </c>
      <c r="D374" s="42">
        <v>2</v>
      </c>
      <c r="E374" s="41">
        <v>8.8206756637558437E-5</v>
      </c>
    </row>
    <row r="375" spans="2:5" ht="15" customHeight="1">
      <c r="B375" s="93"/>
      <c r="C375" s="43" t="s">
        <v>157</v>
      </c>
      <c r="D375" s="42">
        <v>1</v>
      </c>
      <c r="E375" s="41">
        <v>4.4103378318779218E-5</v>
      </c>
    </row>
    <row r="376" spans="2:5" ht="15" customHeight="1">
      <c r="B376" s="93"/>
      <c r="C376" s="43" t="s">
        <v>164</v>
      </c>
      <c r="D376" s="42">
        <v>9</v>
      </c>
      <c r="E376" s="41">
        <v>3.9693040486901297E-4</v>
      </c>
    </row>
    <row r="377" spans="2:5" ht="15" customHeight="1">
      <c r="B377" s="93"/>
      <c r="C377" s="43" t="s">
        <v>136</v>
      </c>
      <c r="D377" s="42">
        <v>2</v>
      </c>
      <c r="E377" s="41">
        <v>8.8206756637558437E-5</v>
      </c>
    </row>
    <row r="378" spans="2:5" ht="15" customHeight="1">
      <c r="B378" s="93"/>
      <c r="C378" s="43" t="s">
        <v>162</v>
      </c>
      <c r="D378" s="42">
        <v>4</v>
      </c>
      <c r="E378" s="41">
        <v>1.7641351327511687E-4</v>
      </c>
    </row>
    <row r="379" spans="2:5" ht="15" customHeight="1">
      <c r="B379" s="93"/>
      <c r="C379" s="43" t="s">
        <v>166</v>
      </c>
      <c r="D379" s="42">
        <v>1</v>
      </c>
      <c r="E379" s="41">
        <v>4.4103378318779218E-5</v>
      </c>
    </row>
    <row r="380" spans="2:5" ht="15" customHeight="1">
      <c r="B380" s="93"/>
      <c r="C380" s="43" t="s">
        <v>158</v>
      </c>
      <c r="D380" s="42">
        <v>2</v>
      </c>
      <c r="E380" s="41">
        <v>8.8206756637558437E-5</v>
      </c>
    </row>
    <row r="381" spans="2:5" ht="15" customHeight="1">
      <c r="B381" s="93"/>
      <c r="C381" s="43" t="s">
        <v>153</v>
      </c>
      <c r="D381" s="42">
        <v>9</v>
      </c>
      <c r="E381" s="41">
        <v>3.9693040486901297E-4</v>
      </c>
    </row>
    <row r="382" spans="2:5" ht="15" customHeight="1">
      <c r="B382" s="93"/>
      <c r="C382" s="43" t="s">
        <v>143</v>
      </c>
      <c r="D382" s="42">
        <v>2</v>
      </c>
      <c r="E382" s="41">
        <v>8.8206756637558437E-5</v>
      </c>
    </row>
    <row r="383" spans="2:5" ht="15" customHeight="1">
      <c r="B383" s="93"/>
      <c r="C383" s="43" t="s">
        <v>156</v>
      </c>
      <c r="D383" s="42">
        <v>1</v>
      </c>
      <c r="E383" s="41">
        <v>4.4103378318779218E-5</v>
      </c>
    </row>
    <row r="384" spans="2:5" ht="15" customHeight="1">
      <c r="B384" s="93"/>
      <c r="C384" s="43" t="s">
        <v>133</v>
      </c>
      <c r="D384" s="42">
        <v>6</v>
      </c>
      <c r="E384" s="41">
        <v>2.646202699126753E-4</v>
      </c>
    </row>
    <row r="385" spans="2:5" ht="15" customHeight="1">
      <c r="B385" s="93"/>
      <c r="C385" s="43" t="s">
        <v>163</v>
      </c>
      <c r="D385" s="42">
        <v>1</v>
      </c>
      <c r="E385" s="41">
        <v>4.4103378318779218E-5</v>
      </c>
    </row>
    <row r="386" spans="2:5" ht="15" customHeight="1">
      <c r="B386" s="93"/>
      <c r="C386" s="43" t="s">
        <v>137</v>
      </c>
      <c r="D386" s="42">
        <v>40</v>
      </c>
      <c r="E386" s="41">
        <v>1.7641351327511688E-3</v>
      </c>
    </row>
    <row r="387" spans="2:5" ht="15" customHeight="1">
      <c r="B387" s="93"/>
      <c r="C387" s="43" t="s">
        <v>161</v>
      </c>
      <c r="D387" s="42">
        <v>39</v>
      </c>
      <c r="E387" s="41">
        <v>1.7200317544323895E-3</v>
      </c>
    </row>
    <row r="388" spans="2:5" ht="15" customHeight="1">
      <c r="B388" s="93"/>
      <c r="C388" s="43" t="s">
        <v>127</v>
      </c>
      <c r="D388" s="42">
        <v>1</v>
      </c>
      <c r="E388" s="41">
        <v>4.4103378318779218E-5</v>
      </c>
    </row>
    <row r="389" spans="2:5" ht="15" customHeight="1">
      <c r="B389" s="93"/>
      <c r="C389" s="43" t="s">
        <v>169</v>
      </c>
      <c r="D389" s="42">
        <v>67</v>
      </c>
      <c r="E389" s="41">
        <v>2.9549263473582078E-3</v>
      </c>
    </row>
    <row r="390" spans="2:5" ht="15" customHeight="1">
      <c r="B390" s="93"/>
      <c r="C390" s="43" t="s">
        <v>171</v>
      </c>
      <c r="D390" s="42">
        <v>16</v>
      </c>
      <c r="E390" s="41">
        <v>7.0565405310046749E-4</v>
      </c>
    </row>
    <row r="391" spans="2:5" ht="15" customHeight="1">
      <c r="B391" s="93"/>
      <c r="C391" s="43" t="s">
        <v>168</v>
      </c>
      <c r="D391" s="42">
        <v>3</v>
      </c>
      <c r="E391" s="41">
        <v>1.3231013495633765E-4</v>
      </c>
    </row>
    <row r="392" spans="2:5" ht="15" customHeight="1">
      <c r="B392" s="93"/>
      <c r="C392" s="43" t="s">
        <v>144</v>
      </c>
      <c r="D392" s="42">
        <v>1</v>
      </c>
      <c r="E392" s="41">
        <v>4.4103378318779218E-5</v>
      </c>
    </row>
    <row r="393" spans="2:5" ht="15" customHeight="1">
      <c r="B393" s="93"/>
      <c r="C393" s="43" t="s">
        <v>155</v>
      </c>
      <c r="D393" s="42">
        <v>6</v>
      </c>
      <c r="E393" s="41">
        <v>2.646202699126753E-4</v>
      </c>
    </row>
    <row r="394" spans="2:5" ht="15" customHeight="1">
      <c r="B394" s="93"/>
      <c r="C394" s="43" t="s">
        <v>170</v>
      </c>
      <c r="D394" s="42">
        <v>6</v>
      </c>
      <c r="E394" s="41">
        <v>2.646202699126753E-4</v>
      </c>
    </row>
    <row r="395" spans="2:5" ht="15" customHeight="1">
      <c r="B395" s="93"/>
      <c r="C395" s="43" t="s">
        <v>154</v>
      </c>
      <c r="D395" s="42">
        <v>8</v>
      </c>
      <c r="E395" s="41">
        <v>3.5282702655023375E-4</v>
      </c>
    </row>
    <row r="396" spans="2:5" ht="15" customHeight="1">
      <c r="B396" s="93"/>
      <c r="C396" s="43" t="s">
        <v>131</v>
      </c>
      <c r="D396" s="42">
        <v>1</v>
      </c>
      <c r="E396" s="41">
        <v>4.4103378318779218E-5</v>
      </c>
    </row>
    <row r="397" spans="2:5" ht="15" customHeight="1">
      <c r="B397" s="93"/>
      <c r="C397" s="43" t="s">
        <v>147</v>
      </c>
      <c r="D397" s="42">
        <v>8</v>
      </c>
      <c r="E397" s="41">
        <v>3.5282702655023375E-4</v>
      </c>
    </row>
    <row r="398" spans="2:5" ht="15" customHeight="1">
      <c r="B398" s="93"/>
      <c r="C398" s="43" t="s">
        <v>146</v>
      </c>
      <c r="D398" s="42">
        <v>5</v>
      </c>
      <c r="E398" s="41">
        <v>2.205168915938961E-4</v>
      </c>
    </row>
    <row r="399" spans="2:5" ht="15" customHeight="1">
      <c r="B399" s="93"/>
      <c r="C399" s="43" t="s">
        <v>167</v>
      </c>
      <c r="D399" s="42">
        <v>1</v>
      </c>
      <c r="E399" s="41">
        <v>4.4103378318779218E-5</v>
      </c>
    </row>
    <row r="400" spans="2:5" ht="15" customHeight="1">
      <c r="B400" s="93"/>
      <c r="C400" s="43" t="s">
        <v>165</v>
      </c>
      <c r="D400" s="42">
        <v>10</v>
      </c>
      <c r="E400" s="41">
        <v>4.410337831877922E-4</v>
      </c>
    </row>
    <row r="401" spans="2:5" ht="15" customHeight="1">
      <c r="B401" s="94"/>
      <c r="C401" s="40" t="s">
        <v>20</v>
      </c>
      <c r="D401" s="39">
        <v>301</v>
      </c>
      <c r="E401" s="38">
        <v>1.3275116873952544E-2</v>
      </c>
    </row>
    <row r="402" spans="2:5" ht="15" customHeight="1">
      <c r="B402" s="92" t="s">
        <v>259</v>
      </c>
      <c r="C402" s="43" t="s">
        <v>164</v>
      </c>
      <c r="D402" s="42">
        <v>2</v>
      </c>
      <c r="E402" s="41">
        <v>8.8206756637558437E-5</v>
      </c>
    </row>
    <row r="403" spans="2:5" ht="15" customHeight="1">
      <c r="B403" s="94"/>
      <c r="C403" s="40" t="s">
        <v>20</v>
      </c>
      <c r="D403" s="39">
        <v>2</v>
      </c>
      <c r="E403" s="38">
        <v>8.8206756637558437E-5</v>
      </c>
    </row>
    <row r="404" spans="2:5" ht="15" customHeight="1">
      <c r="B404" s="92" t="s">
        <v>79</v>
      </c>
      <c r="C404" s="43" t="s">
        <v>145</v>
      </c>
      <c r="D404" s="42">
        <v>1</v>
      </c>
      <c r="E404" s="41">
        <v>4.4103378318779218E-5</v>
      </c>
    </row>
    <row r="405" spans="2:5" ht="15" customHeight="1">
      <c r="B405" s="93"/>
      <c r="C405" s="43" t="s">
        <v>120</v>
      </c>
      <c r="D405" s="42">
        <v>1</v>
      </c>
      <c r="E405" s="41">
        <v>4.4103378318779218E-5</v>
      </c>
    </row>
    <row r="406" spans="2:5" ht="15" customHeight="1">
      <c r="B406" s="93"/>
      <c r="C406" s="43" t="s">
        <v>151</v>
      </c>
      <c r="D406" s="42">
        <v>2</v>
      </c>
      <c r="E406" s="41">
        <v>8.8206756637558437E-5</v>
      </c>
    </row>
    <row r="407" spans="2:5" ht="15" customHeight="1">
      <c r="B407" s="93"/>
      <c r="C407" s="43" t="s">
        <v>134</v>
      </c>
      <c r="D407" s="42">
        <v>1</v>
      </c>
      <c r="E407" s="41">
        <v>4.4103378318779218E-5</v>
      </c>
    </row>
    <row r="408" spans="2:5" ht="15" customHeight="1">
      <c r="B408" s="93"/>
      <c r="C408" s="43" t="s">
        <v>121</v>
      </c>
      <c r="D408" s="42">
        <v>1</v>
      </c>
      <c r="E408" s="41">
        <v>4.4103378318779218E-5</v>
      </c>
    </row>
    <row r="409" spans="2:5" ht="15" customHeight="1">
      <c r="B409" s="93"/>
      <c r="C409" s="43" t="s">
        <v>172</v>
      </c>
      <c r="D409" s="42">
        <v>28</v>
      </c>
      <c r="E409" s="41">
        <v>1.2348945929258181E-3</v>
      </c>
    </row>
    <row r="410" spans="2:5" ht="15" customHeight="1">
      <c r="B410" s="93"/>
      <c r="C410" s="43" t="s">
        <v>139</v>
      </c>
      <c r="D410" s="42">
        <v>3</v>
      </c>
      <c r="E410" s="41">
        <v>1.3231013495633765E-4</v>
      </c>
    </row>
    <row r="411" spans="2:5" ht="15" customHeight="1">
      <c r="B411" s="93"/>
      <c r="C411" s="43" t="s">
        <v>122</v>
      </c>
      <c r="D411" s="42">
        <v>1</v>
      </c>
      <c r="E411" s="41">
        <v>4.4103378318779218E-5</v>
      </c>
    </row>
    <row r="412" spans="2:5" ht="15" customHeight="1">
      <c r="B412" s="93"/>
      <c r="C412" s="43" t="s">
        <v>159</v>
      </c>
      <c r="D412" s="42">
        <v>2</v>
      </c>
      <c r="E412" s="41">
        <v>8.8206756637558437E-5</v>
      </c>
    </row>
    <row r="413" spans="2:5" ht="15" customHeight="1">
      <c r="B413" s="93"/>
      <c r="C413" s="43" t="s">
        <v>164</v>
      </c>
      <c r="D413" s="42">
        <v>4</v>
      </c>
      <c r="E413" s="41">
        <v>1.7641351327511687E-4</v>
      </c>
    </row>
    <row r="414" spans="2:5" ht="15" customHeight="1">
      <c r="B414" s="93"/>
      <c r="C414" s="43" t="s">
        <v>162</v>
      </c>
      <c r="D414" s="42">
        <v>1</v>
      </c>
      <c r="E414" s="41">
        <v>4.4103378318779218E-5</v>
      </c>
    </row>
    <row r="415" spans="2:5" ht="15" customHeight="1">
      <c r="B415" s="93"/>
      <c r="C415" s="43" t="s">
        <v>166</v>
      </c>
      <c r="D415" s="42">
        <v>5</v>
      </c>
      <c r="E415" s="41">
        <v>2.205168915938961E-4</v>
      </c>
    </row>
    <row r="416" spans="2:5" ht="15" customHeight="1">
      <c r="B416" s="93"/>
      <c r="C416" s="43" t="s">
        <v>158</v>
      </c>
      <c r="D416" s="42">
        <v>4</v>
      </c>
      <c r="E416" s="41">
        <v>1.7641351327511687E-4</v>
      </c>
    </row>
    <row r="417" spans="2:5" ht="15" customHeight="1">
      <c r="B417" s="93"/>
      <c r="C417" s="43" t="s">
        <v>148</v>
      </c>
      <c r="D417" s="42">
        <v>1</v>
      </c>
      <c r="E417" s="41">
        <v>4.4103378318779218E-5</v>
      </c>
    </row>
    <row r="418" spans="2:5" ht="15" customHeight="1">
      <c r="B418" s="93"/>
      <c r="C418" s="43" t="s">
        <v>143</v>
      </c>
      <c r="D418" s="42">
        <v>1</v>
      </c>
      <c r="E418" s="41">
        <v>4.4103378318779218E-5</v>
      </c>
    </row>
    <row r="419" spans="2:5" ht="15" customHeight="1">
      <c r="B419" s="93"/>
      <c r="C419" s="43" t="s">
        <v>141</v>
      </c>
      <c r="D419" s="42">
        <v>5</v>
      </c>
      <c r="E419" s="41">
        <v>2.205168915938961E-4</v>
      </c>
    </row>
    <row r="420" spans="2:5" ht="15" customHeight="1">
      <c r="B420" s="93"/>
      <c r="C420" s="43" t="s">
        <v>156</v>
      </c>
      <c r="D420" s="42">
        <v>5</v>
      </c>
      <c r="E420" s="41">
        <v>2.205168915938961E-4</v>
      </c>
    </row>
    <row r="421" spans="2:5" ht="15" customHeight="1">
      <c r="B421" s="93"/>
      <c r="C421" s="43" t="s">
        <v>130</v>
      </c>
      <c r="D421" s="42">
        <v>1</v>
      </c>
      <c r="E421" s="41">
        <v>4.4103378318779218E-5</v>
      </c>
    </row>
    <row r="422" spans="2:5" ht="15" customHeight="1">
      <c r="B422" s="93"/>
      <c r="C422" s="43" t="s">
        <v>133</v>
      </c>
      <c r="D422" s="42">
        <v>1</v>
      </c>
      <c r="E422" s="41">
        <v>4.4103378318779218E-5</v>
      </c>
    </row>
    <row r="423" spans="2:5" ht="15" customHeight="1">
      <c r="B423" s="93"/>
      <c r="C423" s="43" t="s">
        <v>163</v>
      </c>
      <c r="D423" s="42">
        <v>2</v>
      </c>
      <c r="E423" s="41">
        <v>8.8206756637558437E-5</v>
      </c>
    </row>
    <row r="424" spans="2:5" ht="15" customHeight="1">
      <c r="B424" s="93"/>
      <c r="C424" s="43" t="s">
        <v>161</v>
      </c>
      <c r="D424" s="42">
        <v>2</v>
      </c>
      <c r="E424" s="41">
        <v>8.8206756637558437E-5</v>
      </c>
    </row>
    <row r="425" spans="2:5" ht="15" customHeight="1">
      <c r="B425" s="93"/>
      <c r="C425" s="43" t="s">
        <v>169</v>
      </c>
      <c r="D425" s="42">
        <v>1</v>
      </c>
      <c r="E425" s="41">
        <v>4.4103378318779218E-5</v>
      </c>
    </row>
    <row r="426" spans="2:5" ht="15" customHeight="1">
      <c r="B426" s="93"/>
      <c r="C426" s="43" t="s">
        <v>171</v>
      </c>
      <c r="D426" s="42">
        <v>9</v>
      </c>
      <c r="E426" s="41">
        <v>3.9693040486901297E-4</v>
      </c>
    </row>
    <row r="427" spans="2:5" ht="15" customHeight="1">
      <c r="B427" s="93"/>
      <c r="C427" s="43" t="s">
        <v>160</v>
      </c>
      <c r="D427" s="42">
        <v>14</v>
      </c>
      <c r="E427" s="41">
        <v>6.1744729646290904E-4</v>
      </c>
    </row>
    <row r="428" spans="2:5" ht="15" customHeight="1">
      <c r="B428" s="93"/>
      <c r="C428" s="43" t="s">
        <v>168</v>
      </c>
      <c r="D428" s="42">
        <v>15</v>
      </c>
      <c r="E428" s="41">
        <v>6.6155067478168832E-4</v>
      </c>
    </row>
    <row r="429" spans="2:5" ht="15" customHeight="1">
      <c r="B429" s="93"/>
      <c r="C429" s="43" t="s">
        <v>149</v>
      </c>
      <c r="D429" s="42">
        <v>1</v>
      </c>
      <c r="E429" s="41">
        <v>4.4103378318779218E-5</v>
      </c>
    </row>
    <row r="430" spans="2:5" ht="15" customHeight="1">
      <c r="B430" s="93"/>
      <c r="C430" s="43" t="s">
        <v>170</v>
      </c>
      <c r="D430" s="42">
        <v>5</v>
      </c>
      <c r="E430" s="41">
        <v>2.205168915938961E-4</v>
      </c>
    </row>
    <row r="431" spans="2:5" ht="15" customHeight="1">
      <c r="B431" s="93"/>
      <c r="C431" s="43" t="s">
        <v>123</v>
      </c>
      <c r="D431" s="42">
        <v>1</v>
      </c>
      <c r="E431" s="41">
        <v>4.4103378318779218E-5</v>
      </c>
    </row>
    <row r="432" spans="2:5" ht="15" customHeight="1">
      <c r="B432" s="93"/>
      <c r="C432" s="43" t="s">
        <v>131</v>
      </c>
      <c r="D432" s="42">
        <v>1</v>
      </c>
      <c r="E432" s="41">
        <v>4.4103378318779218E-5</v>
      </c>
    </row>
    <row r="433" spans="2:5" ht="15" customHeight="1">
      <c r="B433" s="93"/>
      <c r="C433" s="43" t="s">
        <v>146</v>
      </c>
      <c r="D433" s="42">
        <v>3</v>
      </c>
      <c r="E433" s="41">
        <v>1.3231013495633765E-4</v>
      </c>
    </row>
    <row r="434" spans="2:5" ht="15" customHeight="1">
      <c r="B434" s="93"/>
      <c r="C434" s="43" t="s">
        <v>167</v>
      </c>
      <c r="D434" s="42">
        <v>2</v>
      </c>
      <c r="E434" s="41">
        <v>8.8206756637558437E-5</v>
      </c>
    </row>
    <row r="435" spans="2:5" ht="15" customHeight="1">
      <c r="B435" s="93"/>
      <c r="C435" s="43" t="s">
        <v>165</v>
      </c>
      <c r="D435" s="42">
        <v>6</v>
      </c>
      <c r="E435" s="41">
        <v>2.646202699126753E-4</v>
      </c>
    </row>
    <row r="436" spans="2:5" ht="15" customHeight="1">
      <c r="B436" s="94"/>
      <c r="C436" s="40" t="s">
        <v>20</v>
      </c>
      <c r="D436" s="39">
        <v>130</v>
      </c>
      <c r="E436" s="38">
        <v>5.7334391814412985E-3</v>
      </c>
    </row>
    <row r="437" spans="2:5" ht="15" customHeight="1">
      <c r="B437" s="92" t="s">
        <v>92</v>
      </c>
      <c r="C437" s="43" t="s">
        <v>145</v>
      </c>
      <c r="D437" s="42">
        <v>1</v>
      </c>
      <c r="E437" s="41">
        <v>4.4103378318779218E-5</v>
      </c>
    </row>
    <row r="438" spans="2:5" ht="15" customHeight="1">
      <c r="B438" s="93"/>
      <c r="C438" s="43" t="s">
        <v>120</v>
      </c>
      <c r="D438" s="42">
        <v>1</v>
      </c>
      <c r="E438" s="41">
        <v>4.4103378318779218E-5</v>
      </c>
    </row>
    <row r="439" spans="2:5" ht="15" customHeight="1">
      <c r="B439" s="93"/>
      <c r="C439" s="43" t="s">
        <v>134</v>
      </c>
      <c r="D439" s="42">
        <v>1</v>
      </c>
      <c r="E439" s="41">
        <v>4.4103378318779218E-5</v>
      </c>
    </row>
    <row r="440" spans="2:5" ht="15" customHeight="1">
      <c r="B440" s="93"/>
      <c r="C440" s="43" t="s">
        <v>172</v>
      </c>
      <c r="D440" s="42">
        <v>28</v>
      </c>
      <c r="E440" s="41">
        <v>1.2348945929258181E-3</v>
      </c>
    </row>
    <row r="441" spans="2:5" ht="15" customHeight="1">
      <c r="B441" s="93"/>
      <c r="C441" s="43" t="s">
        <v>139</v>
      </c>
      <c r="D441" s="42">
        <v>1</v>
      </c>
      <c r="E441" s="41">
        <v>4.4103378318779218E-5</v>
      </c>
    </row>
    <row r="442" spans="2:5" ht="15" customHeight="1">
      <c r="B442" s="93"/>
      <c r="C442" s="43" t="s">
        <v>164</v>
      </c>
      <c r="D442" s="42">
        <v>16</v>
      </c>
      <c r="E442" s="41">
        <v>7.0565405310046749E-4</v>
      </c>
    </row>
    <row r="443" spans="2:5" ht="15" customHeight="1">
      <c r="B443" s="93"/>
      <c r="C443" s="43" t="s">
        <v>166</v>
      </c>
      <c r="D443" s="42">
        <v>3</v>
      </c>
      <c r="E443" s="41">
        <v>1.3231013495633765E-4</v>
      </c>
    </row>
    <row r="444" spans="2:5" ht="15" customHeight="1">
      <c r="B444" s="93"/>
      <c r="C444" s="43" t="s">
        <v>130</v>
      </c>
      <c r="D444" s="42">
        <v>1</v>
      </c>
      <c r="E444" s="41">
        <v>4.4103378318779218E-5</v>
      </c>
    </row>
    <row r="445" spans="2:5" ht="15" customHeight="1">
      <c r="B445" s="93"/>
      <c r="C445" s="43" t="s">
        <v>169</v>
      </c>
      <c r="D445" s="42">
        <v>1</v>
      </c>
      <c r="E445" s="41">
        <v>4.4103378318779218E-5</v>
      </c>
    </row>
    <row r="446" spans="2:5" ht="15" customHeight="1">
      <c r="B446" s="93"/>
      <c r="C446" s="43" t="s">
        <v>171</v>
      </c>
      <c r="D446" s="42">
        <v>11</v>
      </c>
      <c r="E446" s="41">
        <v>4.8513716150657142E-4</v>
      </c>
    </row>
    <row r="447" spans="2:5" ht="15" customHeight="1">
      <c r="B447" s="93"/>
      <c r="C447" s="43" t="s">
        <v>168</v>
      </c>
      <c r="D447" s="42">
        <v>3</v>
      </c>
      <c r="E447" s="41">
        <v>1.3231013495633765E-4</v>
      </c>
    </row>
    <row r="448" spans="2:5" ht="15" customHeight="1">
      <c r="B448" s="93"/>
      <c r="C448" s="43" t="s">
        <v>155</v>
      </c>
      <c r="D448" s="42">
        <v>1</v>
      </c>
      <c r="E448" s="41">
        <v>4.4103378318779218E-5</v>
      </c>
    </row>
    <row r="449" spans="2:5" ht="15" customHeight="1">
      <c r="B449" s="93"/>
      <c r="C449" s="43" t="s">
        <v>170</v>
      </c>
      <c r="D449" s="42">
        <v>1</v>
      </c>
      <c r="E449" s="41">
        <v>4.4103378318779218E-5</v>
      </c>
    </row>
    <row r="450" spans="2:5" ht="15" customHeight="1">
      <c r="B450" s="93"/>
      <c r="C450" s="43" t="s">
        <v>123</v>
      </c>
      <c r="D450" s="42">
        <v>1</v>
      </c>
      <c r="E450" s="41">
        <v>4.4103378318779218E-5</v>
      </c>
    </row>
    <row r="451" spans="2:5" ht="15" customHeight="1">
      <c r="B451" s="93"/>
      <c r="C451" s="43" t="s">
        <v>154</v>
      </c>
      <c r="D451" s="42">
        <v>3</v>
      </c>
      <c r="E451" s="41">
        <v>1.3231013495633765E-4</v>
      </c>
    </row>
    <row r="452" spans="2:5" ht="15" customHeight="1">
      <c r="B452" s="93"/>
      <c r="C452" s="43" t="s">
        <v>147</v>
      </c>
      <c r="D452" s="42">
        <v>2</v>
      </c>
      <c r="E452" s="41">
        <v>8.8206756637558437E-5</v>
      </c>
    </row>
    <row r="453" spans="2:5" ht="15" customHeight="1">
      <c r="B453" s="93"/>
      <c r="C453" s="43" t="s">
        <v>167</v>
      </c>
      <c r="D453" s="42">
        <v>1</v>
      </c>
      <c r="E453" s="41">
        <v>4.4103378318779218E-5</v>
      </c>
    </row>
    <row r="454" spans="2:5" ht="15" customHeight="1">
      <c r="B454" s="93"/>
      <c r="C454" s="43" t="s">
        <v>165</v>
      </c>
      <c r="D454" s="42">
        <v>12</v>
      </c>
      <c r="E454" s="41">
        <v>5.2924053982535059E-4</v>
      </c>
    </row>
    <row r="455" spans="2:5" ht="15" customHeight="1">
      <c r="B455" s="94"/>
      <c r="C455" s="40" t="s">
        <v>20</v>
      </c>
      <c r="D455" s="39">
        <v>88</v>
      </c>
      <c r="E455" s="38">
        <v>3.8810972920525714E-3</v>
      </c>
    </row>
    <row r="456" spans="2:5" ht="15" customHeight="1">
      <c r="B456" s="92" t="s">
        <v>108</v>
      </c>
      <c r="C456" s="43" t="s">
        <v>140</v>
      </c>
      <c r="D456" s="42">
        <v>26</v>
      </c>
      <c r="E456" s="41">
        <v>1.1466878362882597E-3</v>
      </c>
    </row>
    <row r="457" spans="2:5" ht="15" customHeight="1">
      <c r="B457" s="93"/>
      <c r="C457" s="43" t="s">
        <v>132</v>
      </c>
      <c r="D457" s="42">
        <v>3</v>
      </c>
      <c r="E457" s="41">
        <v>1.3231013495633765E-4</v>
      </c>
    </row>
    <row r="458" spans="2:5" ht="15" customHeight="1">
      <c r="B458" s="93"/>
      <c r="C458" s="43" t="s">
        <v>135</v>
      </c>
      <c r="D458" s="42">
        <v>5</v>
      </c>
      <c r="E458" s="41">
        <v>2.205168915938961E-4</v>
      </c>
    </row>
    <row r="459" spans="2:5" ht="15" customHeight="1">
      <c r="B459" s="93"/>
      <c r="C459" s="43" t="s">
        <v>129</v>
      </c>
      <c r="D459" s="42">
        <v>7</v>
      </c>
      <c r="E459" s="41">
        <v>3.0872364823145452E-4</v>
      </c>
    </row>
    <row r="460" spans="2:5" ht="15" customHeight="1">
      <c r="B460" s="93"/>
      <c r="C460" s="43" t="s">
        <v>145</v>
      </c>
      <c r="D460" s="42">
        <v>2</v>
      </c>
      <c r="E460" s="41">
        <v>8.8206756637558437E-5</v>
      </c>
    </row>
    <row r="461" spans="2:5" ht="15" customHeight="1">
      <c r="B461" s="93"/>
      <c r="C461" s="43" t="s">
        <v>120</v>
      </c>
      <c r="D461" s="42">
        <v>1</v>
      </c>
      <c r="E461" s="41">
        <v>4.4103378318779218E-5</v>
      </c>
    </row>
    <row r="462" spans="2:5" ht="15" customHeight="1">
      <c r="B462" s="93"/>
      <c r="C462" s="43" t="s">
        <v>151</v>
      </c>
      <c r="D462" s="42">
        <v>7</v>
      </c>
      <c r="E462" s="41">
        <v>3.0872364823145452E-4</v>
      </c>
    </row>
    <row r="463" spans="2:5" ht="15" customHeight="1">
      <c r="B463" s="93"/>
      <c r="C463" s="43" t="s">
        <v>134</v>
      </c>
      <c r="D463" s="42">
        <v>3</v>
      </c>
      <c r="E463" s="41">
        <v>1.3231013495633765E-4</v>
      </c>
    </row>
    <row r="464" spans="2:5" ht="15" customHeight="1">
      <c r="B464" s="93"/>
      <c r="C464" s="43" t="s">
        <v>121</v>
      </c>
      <c r="D464" s="42">
        <v>2</v>
      </c>
      <c r="E464" s="41">
        <v>8.8206756637558437E-5</v>
      </c>
    </row>
    <row r="465" spans="2:5" ht="15" customHeight="1">
      <c r="B465" s="93"/>
      <c r="C465" s="43" t="s">
        <v>172</v>
      </c>
      <c r="D465" s="42">
        <v>30</v>
      </c>
      <c r="E465" s="41">
        <v>1.3231013495633766E-3</v>
      </c>
    </row>
    <row r="466" spans="2:5" ht="15" customHeight="1">
      <c r="B466" s="93"/>
      <c r="C466" s="43" t="s">
        <v>139</v>
      </c>
      <c r="D466" s="42">
        <v>3</v>
      </c>
      <c r="E466" s="41">
        <v>1.3231013495633765E-4</v>
      </c>
    </row>
    <row r="467" spans="2:5" ht="15" customHeight="1">
      <c r="B467" s="93"/>
      <c r="C467" s="43" t="s">
        <v>122</v>
      </c>
      <c r="D467" s="42">
        <v>8</v>
      </c>
      <c r="E467" s="41">
        <v>3.5282702655023375E-4</v>
      </c>
    </row>
    <row r="468" spans="2:5" ht="15" customHeight="1">
      <c r="B468" s="93"/>
      <c r="C468" s="43" t="s">
        <v>159</v>
      </c>
      <c r="D468" s="42">
        <v>4</v>
      </c>
      <c r="E468" s="41">
        <v>1.7641351327511687E-4</v>
      </c>
    </row>
    <row r="469" spans="2:5" ht="15" customHeight="1">
      <c r="B469" s="93"/>
      <c r="C469" s="43" t="s">
        <v>157</v>
      </c>
      <c r="D469" s="42">
        <v>3</v>
      </c>
      <c r="E469" s="41">
        <v>1.3231013495633765E-4</v>
      </c>
    </row>
    <row r="470" spans="2:5" ht="15" customHeight="1">
      <c r="B470" s="93"/>
      <c r="C470" s="43" t="s">
        <v>164</v>
      </c>
      <c r="D470" s="42">
        <v>3</v>
      </c>
      <c r="E470" s="41">
        <v>1.3231013495633765E-4</v>
      </c>
    </row>
    <row r="471" spans="2:5" ht="15" customHeight="1">
      <c r="B471" s="93"/>
      <c r="C471" s="43" t="s">
        <v>136</v>
      </c>
      <c r="D471" s="42">
        <v>17</v>
      </c>
      <c r="E471" s="41">
        <v>7.4975743141924667E-4</v>
      </c>
    </row>
    <row r="472" spans="2:5" ht="15" customHeight="1">
      <c r="B472" s="93"/>
      <c r="C472" s="43" t="s">
        <v>162</v>
      </c>
      <c r="D472" s="42">
        <v>39</v>
      </c>
      <c r="E472" s="41">
        <v>1.7200317544323895E-3</v>
      </c>
    </row>
    <row r="473" spans="2:5" ht="15" customHeight="1">
      <c r="B473" s="93"/>
      <c r="C473" s="43" t="s">
        <v>166</v>
      </c>
      <c r="D473" s="42">
        <v>35</v>
      </c>
      <c r="E473" s="41">
        <v>1.5436182411572726E-3</v>
      </c>
    </row>
    <row r="474" spans="2:5" ht="15" customHeight="1">
      <c r="B474" s="93"/>
      <c r="C474" s="43" t="s">
        <v>142</v>
      </c>
      <c r="D474" s="42">
        <v>1</v>
      </c>
      <c r="E474" s="41">
        <v>4.4103378318779218E-5</v>
      </c>
    </row>
    <row r="475" spans="2:5" ht="15" customHeight="1">
      <c r="B475" s="93"/>
      <c r="C475" s="43" t="s">
        <v>158</v>
      </c>
      <c r="D475" s="42">
        <v>1</v>
      </c>
      <c r="E475" s="41">
        <v>4.4103378318779218E-5</v>
      </c>
    </row>
    <row r="476" spans="2:5" ht="15" customHeight="1">
      <c r="B476" s="93"/>
      <c r="C476" s="43" t="s">
        <v>148</v>
      </c>
      <c r="D476" s="42">
        <v>37</v>
      </c>
      <c r="E476" s="41">
        <v>1.6318249977948312E-3</v>
      </c>
    </row>
    <row r="477" spans="2:5" ht="15" customHeight="1">
      <c r="B477" s="93"/>
      <c r="C477" s="43" t="s">
        <v>153</v>
      </c>
      <c r="D477" s="42">
        <v>1</v>
      </c>
      <c r="E477" s="41">
        <v>4.4103378318779218E-5</v>
      </c>
    </row>
    <row r="478" spans="2:5" ht="15" customHeight="1">
      <c r="B478" s="93"/>
      <c r="C478" s="43" t="s">
        <v>143</v>
      </c>
      <c r="D478" s="42">
        <v>4</v>
      </c>
      <c r="E478" s="41">
        <v>1.7641351327511687E-4</v>
      </c>
    </row>
    <row r="479" spans="2:5" ht="15" customHeight="1">
      <c r="B479" s="93"/>
      <c r="C479" s="43" t="s">
        <v>141</v>
      </c>
      <c r="D479" s="42">
        <v>1</v>
      </c>
      <c r="E479" s="41">
        <v>4.4103378318779218E-5</v>
      </c>
    </row>
    <row r="480" spans="2:5" ht="15" customHeight="1">
      <c r="B480" s="93"/>
      <c r="C480" s="43" t="s">
        <v>118</v>
      </c>
      <c r="D480" s="42">
        <v>3</v>
      </c>
      <c r="E480" s="41">
        <v>1.3231013495633765E-4</v>
      </c>
    </row>
    <row r="481" spans="2:5" ht="15" customHeight="1">
      <c r="B481" s="93"/>
      <c r="C481" s="43" t="s">
        <v>124</v>
      </c>
      <c r="D481" s="42">
        <v>8</v>
      </c>
      <c r="E481" s="41">
        <v>3.5282702655023375E-4</v>
      </c>
    </row>
    <row r="482" spans="2:5" ht="15" customHeight="1">
      <c r="B482" s="93"/>
      <c r="C482" s="43" t="s">
        <v>156</v>
      </c>
      <c r="D482" s="42">
        <v>5</v>
      </c>
      <c r="E482" s="41">
        <v>2.205168915938961E-4</v>
      </c>
    </row>
    <row r="483" spans="2:5" ht="15" customHeight="1">
      <c r="B483" s="93"/>
      <c r="C483" s="43" t="s">
        <v>125</v>
      </c>
      <c r="D483" s="42">
        <v>3</v>
      </c>
      <c r="E483" s="41">
        <v>1.3231013495633765E-4</v>
      </c>
    </row>
    <row r="484" spans="2:5" ht="15" customHeight="1">
      <c r="B484" s="93"/>
      <c r="C484" s="43" t="s">
        <v>152</v>
      </c>
      <c r="D484" s="42">
        <v>3</v>
      </c>
      <c r="E484" s="41">
        <v>1.3231013495633765E-4</v>
      </c>
    </row>
    <row r="485" spans="2:5" ht="15" customHeight="1">
      <c r="B485" s="93"/>
      <c r="C485" s="43" t="s">
        <v>130</v>
      </c>
      <c r="D485" s="42">
        <v>2</v>
      </c>
      <c r="E485" s="41">
        <v>8.8206756637558437E-5</v>
      </c>
    </row>
    <row r="486" spans="2:5" ht="15" customHeight="1">
      <c r="B486" s="93"/>
      <c r="C486" s="43" t="s">
        <v>133</v>
      </c>
      <c r="D486" s="42">
        <v>25</v>
      </c>
      <c r="E486" s="41">
        <v>1.1025844579694805E-3</v>
      </c>
    </row>
    <row r="487" spans="2:5" ht="15" customHeight="1">
      <c r="B487" s="93"/>
      <c r="C487" s="43" t="s">
        <v>163</v>
      </c>
      <c r="D487" s="42">
        <v>45</v>
      </c>
      <c r="E487" s="41">
        <v>1.984652024345065E-3</v>
      </c>
    </row>
    <row r="488" spans="2:5" ht="15" customHeight="1">
      <c r="B488" s="93"/>
      <c r="C488" s="43" t="s">
        <v>137</v>
      </c>
      <c r="D488" s="42">
        <v>2</v>
      </c>
      <c r="E488" s="41">
        <v>8.8206756637558437E-5</v>
      </c>
    </row>
    <row r="489" spans="2:5" ht="15" customHeight="1">
      <c r="B489" s="93"/>
      <c r="C489" s="43" t="s">
        <v>161</v>
      </c>
      <c r="D489" s="42">
        <v>9</v>
      </c>
      <c r="E489" s="41">
        <v>3.9693040486901297E-4</v>
      </c>
    </row>
    <row r="490" spans="2:5" ht="15" customHeight="1">
      <c r="B490" s="93"/>
      <c r="C490" s="43" t="s">
        <v>127</v>
      </c>
      <c r="D490" s="42">
        <v>2</v>
      </c>
      <c r="E490" s="41">
        <v>8.8206756637558437E-5</v>
      </c>
    </row>
    <row r="491" spans="2:5" ht="15" customHeight="1">
      <c r="B491" s="93"/>
      <c r="C491" s="43" t="s">
        <v>169</v>
      </c>
      <c r="D491" s="42">
        <v>6</v>
      </c>
      <c r="E491" s="41">
        <v>2.646202699126753E-4</v>
      </c>
    </row>
    <row r="492" spans="2:5" ht="15" customHeight="1">
      <c r="B492" s="93"/>
      <c r="C492" s="43" t="s">
        <v>171</v>
      </c>
      <c r="D492" s="42">
        <v>5</v>
      </c>
      <c r="E492" s="41">
        <v>2.205168915938961E-4</v>
      </c>
    </row>
    <row r="493" spans="2:5" ht="15" customHeight="1">
      <c r="B493" s="93"/>
      <c r="C493" s="43" t="s">
        <v>168</v>
      </c>
      <c r="D493" s="42">
        <v>2</v>
      </c>
      <c r="E493" s="41">
        <v>8.8206756637558437E-5</v>
      </c>
    </row>
    <row r="494" spans="2:5" ht="15" customHeight="1">
      <c r="B494" s="93"/>
      <c r="C494" s="43" t="s">
        <v>126</v>
      </c>
      <c r="D494" s="42">
        <v>3</v>
      </c>
      <c r="E494" s="41">
        <v>1.3231013495633765E-4</v>
      </c>
    </row>
    <row r="495" spans="2:5" ht="15" customHeight="1">
      <c r="B495" s="93"/>
      <c r="C495" s="43" t="s">
        <v>149</v>
      </c>
      <c r="D495" s="42">
        <v>29</v>
      </c>
      <c r="E495" s="41">
        <v>1.2789979712445974E-3</v>
      </c>
    </row>
    <row r="496" spans="2:5" ht="15" customHeight="1">
      <c r="B496" s="93"/>
      <c r="C496" s="43" t="s">
        <v>144</v>
      </c>
      <c r="D496" s="42">
        <v>9</v>
      </c>
      <c r="E496" s="41">
        <v>3.9693040486901297E-4</v>
      </c>
    </row>
    <row r="497" spans="2:5" ht="15" customHeight="1">
      <c r="B497" s="93"/>
      <c r="C497" s="43" t="s">
        <v>150</v>
      </c>
      <c r="D497" s="42">
        <v>5</v>
      </c>
      <c r="E497" s="41">
        <v>2.205168915938961E-4</v>
      </c>
    </row>
    <row r="498" spans="2:5" ht="15" customHeight="1">
      <c r="B498" s="93"/>
      <c r="C498" s="43" t="s">
        <v>138</v>
      </c>
      <c r="D498" s="42">
        <v>6</v>
      </c>
      <c r="E498" s="41">
        <v>2.646202699126753E-4</v>
      </c>
    </row>
    <row r="499" spans="2:5" ht="15" customHeight="1">
      <c r="B499" s="93"/>
      <c r="C499" s="43" t="s">
        <v>155</v>
      </c>
      <c r="D499" s="42">
        <v>32</v>
      </c>
      <c r="E499" s="41">
        <v>1.411308106200935E-3</v>
      </c>
    </row>
    <row r="500" spans="2:5" ht="15" customHeight="1">
      <c r="B500" s="93"/>
      <c r="C500" s="43" t="s">
        <v>119</v>
      </c>
      <c r="D500" s="42">
        <v>3</v>
      </c>
      <c r="E500" s="41">
        <v>1.3231013495633765E-4</v>
      </c>
    </row>
    <row r="501" spans="2:5" ht="15" customHeight="1">
      <c r="B501" s="93"/>
      <c r="C501" s="43" t="s">
        <v>170</v>
      </c>
      <c r="D501" s="42">
        <v>23</v>
      </c>
      <c r="E501" s="41">
        <v>1.0143777013319221E-3</v>
      </c>
    </row>
    <row r="502" spans="2:5" ht="15" customHeight="1">
      <c r="B502" s="93"/>
      <c r="C502" s="43" t="s">
        <v>154</v>
      </c>
      <c r="D502" s="42">
        <v>5</v>
      </c>
      <c r="E502" s="41">
        <v>2.205168915938961E-4</v>
      </c>
    </row>
    <row r="503" spans="2:5" ht="15" customHeight="1">
      <c r="B503" s="93"/>
      <c r="C503" s="43" t="s">
        <v>131</v>
      </c>
      <c r="D503" s="42">
        <v>1</v>
      </c>
      <c r="E503" s="41">
        <v>4.4103378318779218E-5</v>
      </c>
    </row>
    <row r="504" spans="2:5" ht="15" customHeight="1">
      <c r="B504" s="93"/>
      <c r="C504" s="43" t="s">
        <v>147</v>
      </c>
      <c r="D504" s="42">
        <v>1</v>
      </c>
      <c r="E504" s="41">
        <v>4.4103378318779218E-5</v>
      </c>
    </row>
    <row r="505" spans="2:5" ht="15" customHeight="1">
      <c r="B505" s="93"/>
      <c r="C505" s="43" t="s">
        <v>146</v>
      </c>
      <c r="D505" s="42">
        <v>1</v>
      </c>
      <c r="E505" s="41">
        <v>4.4103378318779218E-5</v>
      </c>
    </row>
    <row r="506" spans="2:5" ht="15" customHeight="1">
      <c r="B506" s="93"/>
      <c r="C506" s="43" t="s">
        <v>167</v>
      </c>
      <c r="D506" s="42">
        <v>9</v>
      </c>
      <c r="E506" s="41">
        <v>3.9693040486901297E-4</v>
      </c>
    </row>
    <row r="507" spans="2:5" ht="15" customHeight="1">
      <c r="B507" s="93"/>
      <c r="C507" s="43" t="s">
        <v>165</v>
      </c>
      <c r="D507" s="42">
        <v>12</v>
      </c>
      <c r="E507" s="41">
        <v>5.2924053982535059E-4</v>
      </c>
    </row>
    <row r="508" spans="2:5" ht="15" customHeight="1">
      <c r="B508" s="94"/>
      <c r="C508" s="40" t="s">
        <v>20</v>
      </c>
      <c r="D508" s="39">
        <v>502</v>
      </c>
      <c r="E508" s="38">
        <v>2.2139895916027167E-2</v>
      </c>
    </row>
    <row r="509" spans="2:5" ht="15" customHeight="1">
      <c r="B509" s="92" t="s">
        <v>112</v>
      </c>
      <c r="C509" s="43" t="s">
        <v>140</v>
      </c>
      <c r="D509" s="42">
        <v>23</v>
      </c>
      <c r="E509" s="41">
        <v>1.0143777013319221E-3</v>
      </c>
    </row>
    <row r="510" spans="2:5" ht="15" customHeight="1">
      <c r="B510" s="93"/>
      <c r="C510" s="43" t="s">
        <v>132</v>
      </c>
      <c r="D510" s="42">
        <v>4</v>
      </c>
      <c r="E510" s="41">
        <v>1.7641351327511687E-4</v>
      </c>
    </row>
    <row r="511" spans="2:5" ht="15" customHeight="1">
      <c r="B511" s="93"/>
      <c r="C511" s="43" t="s">
        <v>135</v>
      </c>
      <c r="D511" s="42">
        <v>7</v>
      </c>
      <c r="E511" s="41">
        <v>3.0872364823145452E-4</v>
      </c>
    </row>
    <row r="512" spans="2:5" ht="15" customHeight="1">
      <c r="B512" s="93"/>
      <c r="C512" s="43" t="s">
        <v>129</v>
      </c>
      <c r="D512" s="42">
        <v>2</v>
      </c>
      <c r="E512" s="41">
        <v>8.8206756637558437E-5</v>
      </c>
    </row>
    <row r="513" spans="2:5" ht="15" customHeight="1">
      <c r="B513" s="93"/>
      <c r="C513" s="43" t="s">
        <v>145</v>
      </c>
      <c r="D513" s="42">
        <v>12</v>
      </c>
      <c r="E513" s="41">
        <v>5.2924053982535059E-4</v>
      </c>
    </row>
    <row r="514" spans="2:5" ht="15" customHeight="1">
      <c r="B514" s="93"/>
      <c r="C514" s="43" t="s">
        <v>120</v>
      </c>
      <c r="D514" s="42">
        <v>5</v>
      </c>
      <c r="E514" s="41">
        <v>2.205168915938961E-4</v>
      </c>
    </row>
    <row r="515" spans="2:5" ht="15" customHeight="1">
      <c r="B515" s="93"/>
      <c r="C515" s="43" t="s">
        <v>151</v>
      </c>
      <c r="D515" s="42">
        <v>11</v>
      </c>
      <c r="E515" s="41">
        <v>4.8513716150657142E-4</v>
      </c>
    </row>
    <row r="516" spans="2:5" ht="15" customHeight="1">
      <c r="B516" s="93"/>
      <c r="C516" s="43" t="s">
        <v>128</v>
      </c>
      <c r="D516" s="42">
        <v>8</v>
      </c>
      <c r="E516" s="41">
        <v>3.5282702655023375E-4</v>
      </c>
    </row>
    <row r="517" spans="2:5" ht="15" customHeight="1">
      <c r="B517" s="93"/>
      <c r="C517" s="43" t="s">
        <v>134</v>
      </c>
      <c r="D517" s="42">
        <v>5</v>
      </c>
      <c r="E517" s="41">
        <v>2.205168915938961E-4</v>
      </c>
    </row>
    <row r="518" spans="2:5" ht="15" customHeight="1">
      <c r="B518" s="93"/>
      <c r="C518" s="43" t="s">
        <v>121</v>
      </c>
      <c r="D518" s="42">
        <v>1</v>
      </c>
      <c r="E518" s="41">
        <v>4.4103378318779218E-5</v>
      </c>
    </row>
    <row r="519" spans="2:5" ht="15" customHeight="1">
      <c r="B519" s="93"/>
      <c r="C519" s="43" t="s">
        <v>117</v>
      </c>
      <c r="D519" s="42">
        <v>2</v>
      </c>
      <c r="E519" s="41">
        <v>8.8206756637558437E-5</v>
      </c>
    </row>
    <row r="520" spans="2:5" ht="15" customHeight="1">
      <c r="B520" s="93"/>
      <c r="C520" s="43" t="s">
        <v>172</v>
      </c>
      <c r="D520" s="42">
        <v>206</v>
      </c>
      <c r="E520" s="41">
        <v>9.0852959336685194E-3</v>
      </c>
    </row>
    <row r="521" spans="2:5" ht="15" customHeight="1">
      <c r="B521" s="93"/>
      <c r="C521" s="43" t="s">
        <v>139</v>
      </c>
      <c r="D521" s="42">
        <v>28</v>
      </c>
      <c r="E521" s="41">
        <v>1.2348945929258181E-3</v>
      </c>
    </row>
    <row r="522" spans="2:5" ht="15" customHeight="1">
      <c r="B522" s="93"/>
      <c r="C522" s="43" t="s">
        <v>122</v>
      </c>
      <c r="D522" s="42">
        <v>1</v>
      </c>
      <c r="E522" s="41">
        <v>4.4103378318779218E-5</v>
      </c>
    </row>
    <row r="523" spans="2:5" ht="15" customHeight="1">
      <c r="B523" s="93"/>
      <c r="C523" s="43" t="s">
        <v>159</v>
      </c>
      <c r="D523" s="42">
        <v>50</v>
      </c>
      <c r="E523" s="41">
        <v>2.2051689159389609E-3</v>
      </c>
    </row>
    <row r="524" spans="2:5" ht="15" customHeight="1">
      <c r="B524" s="93"/>
      <c r="C524" s="43" t="s">
        <v>157</v>
      </c>
      <c r="D524" s="42">
        <v>28</v>
      </c>
      <c r="E524" s="41">
        <v>1.2348945929258181E-3</v>
      </c>
    </row>
    <row r="525" spans="2:5" ht="15" customHeight="1">
      <c r="B525" s="93"/>
      <c r="C525" s="43" t="s">
        <v>164</v>
      </c>
      <c r="D525" s="42">
        <v>58</v>
      </c>
      <c r="E525" s="41">
        <v>2.5579959424891947E-3</v>
      </c>
    </row>
    <row r="526" spans="2:5" ht="15" customHeight="1">
      <c r="B526" s="93"/>
      <c r="C526" s="43" t="s">
        <v>136</v>
      </c>
      <c r="D526" s="42">
        <v>1</v>
      </c>
      <c r="E526" s="41">
        <v>4.4103378318779218E-5</v>
      </c>
    </row>
    <row r="527" spans="2:5" ht="15" customHeight="1">
      <c r="B527" s="93"/>
      <c r="C527" s="43" t="s">
        <v>162</v>
      </c>
      <c r="D527" s="42">
        <v>17</v>
      </c>
      <c r="E527" s="41">
        <v>7.4975743141924667E-4</v>
      </c>
    </row>
    <row r="528" spans="2:5" ht="15" customHeight="1">
      <c r="B528" s="93"/>
      <c r="C528" s="43" t="s">
        <v>166</v>
      </c>
      <c r="D528" s="42">
        <v>13</v>
      </c>
      <c r="E528" s="41">
        <v>5.7334391814412987E-4</v>
      </c>
    </row>
    <row r="529" spans="2:5" ht="15" customHeight="1">
      <c r="B529" s="93"/>
      <c r="C529" s="43" t="s">
        <v>142</v>
      </c>
      <c r="D529" s="42">
        <v>1</v>
      </c>
      <c r="E529" s="41">
        <v>4.4103378318779218E-5</v>
      </c>
    </row>
    <row r="530" spans="2:5" ht="15" customHeight="1">
      <c r="B530" s="93"/>
      <c r="C530" s="43" t="s">
        <v>158</v>
      </c>
      <c r="D530" s="42">
        <v>19</v>
      </c>
      <c r="E530" s="41">
        <v>8.3796418805680512E-4</v>
      </c>
    </row>
    <row r="531" spans="2:5" ht="15" customHeight="1">
      <c r="B531" s="93"/>
      <c r="C531" s="43" t="s">
        <v>148</v>
      </c>
      <c r="D531" s="42">
        <v>8</v>
      </c>
      <c r="E531" s="41">
        <v>3.5282702655023375E-4</v>
      </c>
    </row>
    <row r="532" spans="2:5" ht="15" customHeight="1">
      <c r="B532" s="93"/>
      <c r="C532" s="43" t="s">
        <v>153</v>
      </c>
      <c r="D532" s="42">
        <v>17</v>
      </c>
      <c r="E532" s="41">
        <v>7.4975743141924667E-4</v>
      </c>
    </row>
    <row r="533" spans="2:5" ht="15" customHeight="1">
      <c r="B533" s="93"/>
      <c r="C533" s="43" t="s">
        <v>143</v>
      </c>
      <c r="D533" s="42">
        <v>3</v>
      </c>
      <c r="E533" s="41">
        <v>1.3231013495633765E-4</v>
      </c>
    </row>
    <row r="534" spans="2:5" ht="15" customHeight="1">
      <c r="B534" s="93"/>
      <c r="C534" s="43" t="s">
        <v>141</v>
      </c>
      <c r="D534" s="42">
        <v>15</v>
      </c>
      <c r="E534" s="41">
        <v>6.6155067478168832E-4</v>
      </c>
    </row>
    <row r="535" spans="2:5" ht="15" customHeight="1">
      <c r="B535" s="93"/>
      <c r="C535" s="43" t="s">
        <v>124</v>
      </c>
      <c r="D535" s="42">
        <v>1</v>
      </c>
      <c r="E535" s="41">
        <v>4.4103378318779218E-5</v>
      </c>
    </row>
    <row r="536" spans="2:5" ht="15" customHeight="1">
      <c r="B536" s="93"/>
      <c r="C536" s="43" t="s">
        <v>156</v>
      </c>
      <c r="D536" s="42">
        <v>17</v>
      </c>
      <c r="E536" s="41">
        <v>7.4975743141924667E-4</v>
      </c>
    </row>
    <row r="537" spans="2:5" ht="15" customHeight="1">
      <c r="B537" s="93"/>
      <c r="C537" s="43" t="s">
        <v>125</v>
      </c>
      <c r="D537" s="42">
        <v>2</v>
      </c>
      <c r="E537" s="41">
        <v>8.8206756637558437E-5</v>
      </c>
    </row>
    <row r="538" spans="2:5" ht="15" customHeight="1">
      <c r="B538" s="93"/>
      <c r="C538" s="43" t="s">
        <v>152</v>
      </c>
      <c r="D538" s="42">
        <v>4</v>
      </c>
      <c r="E538" s="41">
        <v>1.7641351327511687E-4</v>
      </c>
    </row>
    <row r="539" spans="2:5" ht="15" customHeight="1">
      <c r="B539" s="93"/>
      <c r="C539" s="43" t="s">
        <v>130</v>
      </c>
      <c r="D539" s="42">
        <v>4</v>
      </c>
      <c r="E539" s="41">
        <v>1.7641351327511687E-4</v>
      </c>
    </row>
    <row r="540" spans="2:5" ht="15" customHeight="1">
      <c r="B540" s="93"/>
      <c r="C540" s="43" t="s">
        <v>133</v>
      </c>
      <c r="D540" s="42">
        <v>1</v>
      </c>
      <c r="E540" s="41">
        <v>4.4103378318779218E-5</v>
      </c>
    </row>
    <row r="541" spans="2:5" ht="15" customHeight="1">
      <c r="B541" s="93"/>
      <c r="C541" s="43" t="s">
        <v>163</v>
      </c>
      <c r="D541" s="42">
        <v>10</v>
      </c>
      <c r="E541" s="41">
        <v>4.410337831877922E-4</v>
      </c>
    </row>
    <row r="542" spans="2:5" ht="15" customHeight="1">
      <c r="B542" s="93"/>
      <c r="C542" s="43" t="s">
        <v>137</v>
      </c>
      <c r="D542" s="42">
        <v>10</v>
      </c>
      <c r="E542" s="41">
        <v>4.410337831877922E-4</v>
      </c>
    </row>
    <row r="543" spans="2:5" ht="15" customHeight="1">
      <c r="B543" s="93"/>
      <c r="C543" s="43" t="s">
        <v>161</v>
      </c>
      <c r="D543" s="42">
        <v>69</v>
      </c>
      <c r="E543" s="41">
        <v>3.0431331039957659E-3</v>
      </c>
    </row>
    <row r="544" spans="2:5" ht="15" customHeight="1">
      <c r="B544" s="93"/>
      <c r="C544" s="43" t="s">
        <v>127</v>
      </c>
      <c r="D544" s="42">
        <v>5</v>
      </c>
      <c r="E544" s="41">
        <v>2.205168915938961E-4</v>
      </c>
    </row>
    <row r="545" spans="2:5" ht="15" customHeight="1">
      <c r="B545" s="93"/>
      <c r="C545" s="43" t="s">
        <v>169</v>
      </c>
      <c r="D545" s="42">
        <v>200</v>
      </c>
      <c r="E545" s="41">
        <v>8.8206756637558437E-3</v>
      </c>
    </row>
    <row r="546" spans="2:5" ht="15" customHeight="1">
      <c r="B546" s="93"/>
      <c r="C546" s="43" t="s">
        <v>171</v>
      </c>
      <c r="D546" s="42">
        <v>292</v>
      </c>
      <c r="E546" s="41">
        <v>1.2878186469083532E-2</v>
      </c>
    </row>
    <row r="547" spans="2:5" ht="15" customHeight="1">
      <c r="B547" s="93"/>
      <c r="C547" s="43" t="s">
        <v>160</v>
      </c>
      <c r="D547" s="42">
        <v>62</v>
      </c>
      <c r="E547" s="41">
        <v>2.7344094557643114E-3</v>
      </c>
    </row>
    <row r="548" spans="2:5" ht="15" customHeight="1">
      <c r="B548" s="93"/>
      <c r="C548" s="43" t="s">
        <v>168</v>
      </c>
      <c r="D548" s="42">
        <v>49</v>
      </c>
      <c r="E548" s="41">
        <v>2.1610655376201817E-3</v>
      </c>
    </row>
    <row r="549" spans="2:5" ht="15" customHeight="1">
      <c r="B549" s="93"/>
      <c r="C549" s="43" t="s">
        <v>149</v>
      </c>
      <c r="D549" s="42">
        <v>3</v>
      </c>
      <c r="E549" s="41">
        <v>1.3231013495633765E-4</v>
      </c>
    </row>
    <row r="550" spans="2:5" ht="15" customHeight="1">
      <c r="B550" s="93"/>
      <c r="C550" s="43" t="s">
        <v>144</v>
      </c>
      <c r="D550" s="42">
        <v>18</v>
      </c>
      <c r="E550" s="41">
        <v>7.9386080973802594E-4</v>
      </c>
    </row>
    <row r="551" spans="2:5" ht="15" customHeight="1">
      <c r="B551" s="93"/>
      <c r="C551" s="43" t="s">
        <v>150</v>
      </c>
      <c r="D551" s="42">
        <v>4</v>
      </c>
      <c r="E551" s="41">
        <v>1.7641351327511687E-4</v>
      </c>
    </row>
    <row r="552" spans="2:5" ht="15" customHeight="1">
      <c r="B552" s="93"/>
      <c r="C552" s="43" t="s">
        <v>138</v>
      </c>
      <c r="D552" s="42">
        <v>3</v>
      </c>
      <c r="E552" s="41">
        <v>1.3231013495633765E-4</v>
      </c>
    </row>
    <row r="553" spans="2:5" ht="15" customHeight="1">
      <c r="B553" s="93"/>
      <c r="C553" s="43" t="s">
        <v>155</v>
      </c>
      <c r="D553" s="42">
        <v>12</v>
      </c>
      <c r="E553" s="41">
        <v>5.2924053982535059E-4</v>
      </c>
    </row>
    <row r="554" spans="2:5" ht="15" customHeight="1">
      <c r="B554" s="93"/>
      <c r="C554" s="43" t="s">
        <v>116</v>
      </c>
      <c r="D554" s="42">
        <v>1</v>
      </c>
      <c r="E554" s="41">
        <v>4.4103378318779218E-5</v>
      </c>
    </row>
    <row r="555" spans="2:5" ht="15" customHeight="1">
      <c r="B555" s="93"/>
      <c r="C555" s="43" t="s">
        <v>119</v>
      </c>
      <c r="D555" s="42">
        <v>1</v>
      </c>
      <c r="E555" s="41">
        <v>4.4103378318779218E-5</v>
      </c>
    </row>
    <row r="556" spans="2:5" ht="15" customHeight="1">
      <c r="B556" s="93"/>
      <c r="C556" s="43" t="s">
        <v>170</v>
      </c>
      <c r="D556" s="42">
        <v>53</v>
      </c>
      <c r="E556" s="41">
        <v>2.3374790508952988E-3</v>
      </c>
    </row>
    <row r="557" spans="2:5" ht="15" customHeight="1">
      <c r="B557" s="93"/>
      <c r="C557" s="43" t="s">
        <v>123</v>
      </c>
      <c r="D557" s="42">
        <v>3</v>
      </c>
      <c r="E557" s="41">
        <v>1.3231013495633765E-4</v>
      </c>
    </row>
    <row r="558" spans="2:5" ht="15" customHeight="1">
      <c r="B558" s="93"/>
      <c r="C558" s="43" t="s">
        <v>154</v>
      </c>
      <c r="D558" s="42">
        <v>36</v>
      </c>
      <c r="E558" s="41">
        <v>1.5877216194760519E-3</v>
      </c>
    </row>
    <row r="559" spans="2:5" ht="15" customHeight="1">
      <c r="B559" s="93"/>
      <c r="C559" s="43" t="s">
        <v>131</v>
      </c>
      <c r="D559" s="42">
        <v>9</v>
      </c>
      <c r="E559" s="41">
        <v>3.9693040486901297E-4</v>
      </c>
    </row>
    <row r="560" spans="2:5" ht="15" customHeight="1">
      <c r="B560" s="93"/>
      <c r="C560" s="43" t="s">
        <v>147</v>
      </c>
      <c r="D560" s="42">
        <v>17</v>
      </c>
      <c r="E560" s="41">
        <v>7.4975743141924667E-4</v>
      </c>
    </row>
    <row r="561" spans="2:5" ht="15" customHeight="1">
      <c r="B561" s="93"/>
      <c r="C561" s="43" t="s">
        <v>146</v>
      </c>
      <c r="D561" s="42">
        <v>28</v>
      </c>
      <c r="E561" s="41">
        <v>1.2348945929258181E-3</v>
      </c>
    </row>
    <row r="562" spans="2:5" ht="15" customHeight="1">
      <c r="B562" s="93"/>
      <c r="C562" s="43" t="s">
        <v>167</v>
      </c>
      <c r="D562" s="42">
        <v>9</v>
      </c>
      <c r="E562" s="41">
        <v>3.9693040486901297E-4</v>
      </c>
    </row>
    <row r="563" spans="2:5" ht="15" customHeight="1">
      <c r="B563" s="93"/>
      <c r="C563" s="43" t="s">
        <v>165</v>
      </c>
      <c r="D563" s="42">
        <v>59</v>
      </c>
      <c r="E563" s="41">
        <v>2.602099320807974E-3</v>
      </c>
    </row>
    <row r="564" spans="2:5" ht="15" customHeight="1">
      <c r="B564" s="94"/>
      <c r="C564" s="40" t="s">
        <v>20</v>
      </c>
      <c r="D564" s="39">
        <v>1527</v>
      </c>
      <c r="E564" s="38">
        <v>6.7345858692775873E-2</v>
      </c>
    </row>
    <row r="565" spans="2:5" ht="15" customHeight="1">
      <c r="B565" s="92" t="s">
        <v>96</v>
      </c>
      <c r="C565" s="43" t="s">
        <v>140</v>
      </c>
      <c r="D565" s="42">
        <v>2</v>
      </c>
      <c r="E565" s="41">
        <v>8.8206756637558437E-5</v>
      </c>
    </row>
    <row r="566" spans="2:5" ht="15" customHeight="1">
      <c r="B566" s="93"/>
      <c r="C566" s="43" t="s">
        <v>132</v>
      </c>
      <c r="D566" s="42">
        <v>1</v>
      </c>
      <c r="E566" s="41">
        <v>4.4103378318779218E-5</v>
      </c>
    </row>
    <row r="567" spans="2:5" ht="15" customHeight="1">
      <c r="B567" s="93"/>
      <c r="C567" s="43" t="s">
        <v>135</v>
      </c>
      <c r="D567" s="42">
        <v>14</v>
      </c>
      <c r="E567" s="41">
        <v>6.1744729646290904E-4</v>
      </c>
    </row>
    <row r="568" spans="2:5" ht="15" customHeight="1">
      <c r="B568" s="93"/>
      <c r="C568" s="43" t="s">
        <v>120</v>
      </c>
      <c r="D568" s="42">
        <v>17</v>
      </c>
      <c r="E568" s="41">
        <v>7.4975743141924667E-4</v>
      </c>
    </row>
    <row r="569" spans="2:5" ht="15" customHeight="1">
      <c r="B569" s="93"/>
      <c r="C569" s="43" t="s">
        <v>151</v>
      </c>
      <c r="D569" s="42">
        <v>1</v>
      </c>
      <c r="E569" s="41">
        <v>4.4103378318779218E-5</v>
      </c>
    </row>
    <row r="570" spans="2:5" ht="15" customHeight="1">
      <c r="B570" s="93"/>
      <c r="C570" s="43" t="s">
        <v>121</v>
      </c>
      <c r="D570" s="42">
        <v>1</v>
      </c>
      <c r="E570" s="41">
        <v>4.4103378318779218E-5</v>
      </c>
    </row>
    <row r="571" spans="2:5" ht="15" customHeight="1">
      <c r="B571" s="93"/>
      <c r="C571" s="43" t="s">
        <v>172</v>
      </c>
      <c r="D571" s="42">
        <v>28</v>
      </c>
      <c r="E571" s="41">
        <v>1.2348945929258181E-3</v>
      </c>
    </row>
    <row r="572" spans="2:5" ht="15" customHeight="1">
      <c r="B572" s="93"/>
      <c r="C572" s="43" t="s">
        <v>139</v>
      </c>
      <c r="D572" s="42">
        <v>1</v>
      </c>
      <c r="E572" s="41">
        <v>4.4103378318779218E-5</v>
      </c>
    </row>
    <row r="573" spans="2:5" ht="15" customHeight="1">
      <c r="B573" s="93"/>
      <c r="C573" s="43" t="s">
        <v>159</v>
      </c>
      <c r="D573" s="42">
        <v>3</v>
      </c>
      <c r="E573" s="41">
        <v>1.3231013495633765E-4</v>
      </c>
    </row>
    <row r="574" spans="2:5" ht="15" customHeight="1">
      <c r="B574" s="93"/>
      <c r="C574" s="43" t="s">
        <v>157</v>
      </c>
      <c r="D574" s="42">
        <v>7</v>
      </c>
      <c r="E574" s="41">
        <v>3.0872364823145452E-4</v>
      </c>
    </row>
    <row r="575" spans="2:5" ht="15" customHeight="1">
      <c r="B575" s="93"/>
      <c r="C575" s="43" t="s">
        <v>164</v>
      </c>
      <c r="D575" s="42">
        <v>10</v>
      </c>
      <c r="E575" s="41">
        <v>4.410337831877922E-4</v>
      </c>
    </row>
    <row r="576" spans="2:5" ht="15" customHeight="1">
      <c r="B576" s="93"/>
      <c r="C576" s="43" t="s">
        <v>162</v>
      </c>
      <c r="D576" s="42">
        <v>2</v>
      </c>
      <c r="E576" s="41">
        <v>8.8206756637558437E-5</v>
      </c>
    </row>
    <row r="577" spans="2:5" ht="15" customHeight="1">
      <c r="B577" s="93"/>
      <c r="C577" s="43" t="s">
        <v>166</v>
      </c>
      <c r="D577" s="42">
        <v>6</v>
      </c>
      <c r="E577" s="41">
        <v>2.646202699126753E-4</v>
      </c>
    </row>
    <row r="578" spans="2:5" ht="15" customHeight="1">
      <c r="B578" s="93"/>
      <c r="C578" s="43" t="s">
        <v>158</v>
      </c>
      <c r="D578" s="42">
        <v>2</v>
      </c>
      <c r="E578" s="41">
        <v>8.8206756637558437E-5</v>
      </c>
    </row>
    <row r="579" spans="2:5" ht="15" customHeight="1">
      <c r="B579" s="93"/>
      <c r="C579" s="43" t="s">
        <v>148</v>
      </c>
      <c r="D579" s="42">
        <v>1</v>
      </c>
      <c r="E579" s="41">
        <v>4.4103378318779218E-5</v>
      </c>
    </row>
    <row r="580" spans="2:5" ht="15" customHeight="1">
      <c r="B580" s="93"/>
      <c r="C580" s="43" t="s">
        <v>153</v>
      </c>
      <c r="D580" s="42">
        <v>6</v>
      </c>
      <c r="E580" s="41">
        <v>2.646202699126753E-4</v>
      </c>
    </row>
    <row r="581" spans="2:5" ht="15" customHeight="1">
      <c r="B581" s="93"/>
      <c r="C581" s="43" t="s">
        <v>143</v>
      </c>
      <c r="D581" s="42">
        <v>2</v>
      </c>
      <c r="E581" s="41">
        <v>8.8206756637558437E-5</v>
      </c>
    </row>
    <row r="582" spans="2:5" ht="15" customHeight="1">
      <c r="B582" s="93"/>
      <c r="C582" s="43" t="s">
        <v>141</v>
      </c>
      <c r="D582" s="42">
        <v>3</v>
      </c>
      <c r="E582" s="41">
        <v>1.3231013495633765E-4</v>
      </c>
    </row>
    <row r="583" spans="2:5" ht="15" customHeight="1">
      <c r="B583" s="93"/>
      <c r="C583" s="43" t="s">
        <v>156</v>
      </c>
      <c r="D583" s="42">
        <v>1</v>
      </c>
      <c r="E583" s="41">
        <v>4.4103378318779218E-5</v>
      </c>
    </row>
    <row r="584" spans="2:5" ht="15" customHeight="1">
      <c r="B584" s="93"/>
      <c r="C584" s="43" t="s">
        <v>152</v>
      </c>
      <c r="D584" s="42">
        <v>3</v>
      </c>
      <c r="E584" s="41">
        <v>1.3231013495633765E-4</v>
      </c>
    </row>
    <row r="585" spans="2:5" ht="15" customHeight="1">
      <c r="B585" s="93"/>
      <c r="C585" s="43" t="s">
        <v>163</v>
      </c>
      <c r="D585" s="42">
        <v>2</v>
      </c>
      <c r="E585" s="41">
        <v>8.8206756637558437E-5</v>
      </c>
    </row>
    <row r="586" spans="2:5" ht="15" customHeight="1">
      <c r="B586" s="93"/>
      <c r="C586" s="43" t="s">
        <v>137</v>
      </c>
      <c r="D586" s="42">
        <v>1</v>
      </c>
      <c r="E586" s="41">
        <v>4.4103378318779218E-5</v>
      </c>
    </row>
    <row r="587" spans="2:5" ht="15" customHeight="1">
      <c r="B587" s="93"/>
      <c r="C587" s="43" t="s">
        <v>161</v>
      </c>
      <c r="D587" s="42">
        <v>4</v>
      </c>
      <c r="E587" s="41">
        <v>1.7641351327511687E-4</v>
      </c>
    </row>
    <row r="588" spans="2:5" ht="15" customHeight="1">
      <c r="B588" s="93"/>
      <c r="C588" s="43" t="s">
        <v>127</v>
      </c>
      <c r="D588" s="42">
        <v>3</v>
      </c>
      <c r="E588" s="41">
        <v>1.3231013495633765E-4</v>
      </c>
    </row>
    <row r="589" spans="2:5" ht="15" customHeight="1">
      <c r="B589" s="93"/>
      <c r="C589" s="43" t="s">
        <v>169</v>
      </c>
      <c r="D589" s="42">
        <v>23</v>
      </c>
      <c r="E589" s="41">
        <v>1.0143777013319221E-3</v>
      </c>
    </row>
    <row r="590" spans="2:5" ht="15" customHeight="1">
      <c r="B590" s="93"/>
      <c r="C590" s="43" t="s">
        <v>171</v>
      </c>
      <c r="D590" s="42">
        <v>12</v>
      </c>
      <c r="E590" s="41">
        <v>5.2924053982535059E-4</v>
      </c>
    </row>
    <row r="591" spans="2:5" ht="15" customHeight="1">
      <c r="B591" s="93"/>
      <c r="C591" s="43" t="s">
        <v>160</v>
      </c>
      <c r="D591" s="42">
        <v>1</v>
      </c>
      <c r="E591" s="41">
        <v>4.4103378318779218E-5</v>
      </c>
    </row>
    <row r="592" spans="2:5" ht="15" customHeight="1">
      <c r="B592" s="93"/>
      <c r="C592" s="43" t="s">
        <v>168</v>
      </c>
      <c r="D592" s="42">
        <v>2</v>
      </c>
      <c r="E592" s="41">
        <v>8.8206756637558437E-5</v>
      </c>
    </row>
    <row r="593" spans="2:5" ht="15" customHeight="1">
      <c r="B593" s="93"/>
      <c r="C593" s="43" t="s">
        <v>149</v>
      </c>
      <c r="D593" s="42">
        <v>1</v>
      </c>
      <c r="E593" s="41">
        <v>4.4103378318779218E-5</v>
      </c>
    </row>
    <row r="594" spans="2:5" ht="15" customHeight="1">
      <c r="B594" s="93"/>
      <c r="C594" s="43" t="s">
        <v>144</v>
      </c>
      <c r="D594" s="42">
        <v>5</v>
      </c>
      <c r="E594" s="41">
        <v>2.205168915938961E-4</v>
      </c>
    </row>
    <row r="595" spans="2:5" ht="15" customHeight="1">
      <c r="B595" s="93"/>
      <c r="C595" s="43" t="s">
        <v>150</v>
      </c>
      <c r="D595" s="42">
        <v>2</v>
      </c>
      <c r="E595" s="41">
        <v>8.8206756637558437E-5</v>
      </c>
    </row>
    <row r="596" spans="2:5" ht="15" customHeight="1">
      <c r="B596" s="93"/>
      <c r="C596" s="43" t="s">
        <v>155</v>
      </c>
      <c r="D596" s="42">
        <v>8</v>
      </c>
      <c r="E596" s="41">
        <v>3.5282702655023375E-4</v>
      </c>
    </row>
    <row r="597" spans="2:5" ht="15" customHeight="1">
      <c r="B597" s="93"/>
      <c r="C597" s="43" t="s">
        <v>170</v>
      </c>
      <c r="D597" s="42">
        <v>16</v>
      </c>
      <c r="E597" s="41">
        <v>7.0565405310046749E-4</v>
      </c>
    </row>
    <row r="598" spans="2:5" ht="15" customHeight="1">
      <c r="B598" s="93"/>
      <c r="C598" s="43" t="s">
        <v>123</v>
      </c>
      <c r="D598" s="42">
        <v>1</v>
      </c>
      <c r="E598" s="41">
        <v>4.4103378318779218E-5</v>
      </c>
    </row>
    <row r="599" spans="2:5" ht="15" customHeight="1">
      <c r="B599" s="93"/>
      <c r="C599" s="43" t="s">
        <v>154</v>
      </c>
      <c r="D599" s="42">
        <v>2</v>
      </c>
      <c r="E599" s="41">
        <v>8.8206756637558437E-5</v>
      </c>
    </row>
    <row r="600" spans="2:5" ht="15" customHeight="1">
      <c r="B600" s="93"/>
      <c r="C600" s="43" t="s">
        <v>131</v>
      </c>
      <c r="D600" s="42">
        <v>2</v>
      </c>
      <c r="E600" s="41">
        <v>8.8206756637558437E-5</v>
      </c>
    </row>
    <row r="601" spans="2:5" ht="15" customHeight="1">
      <c r="B601" s="93"/>
      <c r="C601" s="43" t="s">
        <v>146</v>
      </c>
      <c r="D601" s="42">
        <v>4</v>
      </c>
      <c r="E601" s="41">
        <v>1.7641351327511687E-4</v>
      </c>
    </row>
    <row r="602" spans="2:5" ht="15" customHeight="1">
      <c r="B602" s="93"/>
      <c r="C602" s="43" t="s">
        <v>167</v>
      </c>
      <c r="D602" s="42">
        <v>21</v>
      </c>
      <c r="E602" s="41">
        <v>9.2617094469436357E-4</v>
      </c>
    </row>
    <row r="603" spans="2:5" ht="15" customHeight="1">
      <c r="B603" s="93"/>
      <c r="C603" s="43" t="s">
        <v>165</v>
      </c>
      <c r="D603" s="42">
        <v>5</v>
      </c>
      <c r="E603" s="41">
        <v>2.205168915938961E-4</v>
      </c>
    </row>
    <row r="604" spans="2:5" ht="15" customHeight="1">
      <c r="B604" s="94"/>
      <c r="C604" s="40" t="s">
        <v>20</v>
      </c>
      <c r="D604" s="39">
        <v>226</v>
      </c>
      <c r="E604" s="38">
        <v>9.9673635000441033E-3</v>
      </c>
    </row>
    <row r="605" spans="2:5" ht="15" customHeight="1">
      <c r="B605" s="92" t="s">
        <v>91</v>
      </c>
      <c r="C605" s="43" t="s">
        <v>140</v>
      </c>
      <c r="D605" s="42">
        <v>1</v>
      </c>
      <c r="E605" s="41">
        <v>4.4103378318779218E-5</v>
      </c>
    </row>
    <row r="606" spans="2:5" ht="15" customHeight="1">
      <c r="B606" s="93"/>
      <c r="C606" s="43" t="s">
        <v>132</v>
      </c>
      <c r="D606" s="42">
        <v>2</v>
      </c>
      <c r="E606" s="41">
        <v>8.8206756637558437E-5</v>
      </c>
    </row>
    <row r="607" spans="2:5" ht="15" customHeight="1">
      <c r="B607" s="93"/>
      <c r="C607" s="43" t="s">
        <v>151</v>
      </c>
      <c r="D607" s="42">
        <v>11</v>
      </c>
      <c r="E607" s="41">
        <v>4.8513716150657142E-4</v>
      </c>
    </row>
    <row r="608" spans="2:5" ht="15" customHeight="1">
      <c r="B608" s="93"/>
      <c r="C608" s="43" t="s">
        <v>172</v>
      </c>
      <c r="D608" s="42">
        <v>57</v>
      </c>
      <c r="E608" s="41">
        <v>2.5138925641704155E-3</v>
      </c>
    </row>
    <row r="609" spans="2:5" ht="15" customHeight="1">
      <c r="B609" s="93"/>
      <c r="C609" s="43" t="s">
        <v>139</v>
      </c>
      <c r="D609" s="42">
        <v>1</v>
      </c>
      <c r="E609" s="41">
        <v>4.4103378318779218E-5</v>
      </c>
    </row>
    <row r="610" spans="2:5" ht="15" customHeight="1">
      <c r="B610" s="93"/>
      <c r="C610" s="43" t="s">
        <v>159</v>
      </c>
      <c r="D610" s="42">
        <v>33</v>
      </c>
      <c r="E610" s="41">
        <v>1.4554114845197143E-3</v>
      </c>
    </row>
    <row r="611" spans="2:5" ht="15" customHeight="1">
      <c r="B611" s="93"/>
      <c r="C611" s="43" t="s">
        <v>157</v>
      </c>
      <c r="D611" s="42">
        <v>33</v>
      </c>
      <c r="E611" s="41">
        <v>1.4554114845197143E-3</v>
      </c>
    </row>
    <row r="612" spans="2:5" ht="15" customHeight="1">
      <c r="B612" s="93"/>
      <c r="C612" s="43" t="s">
        <v>164</v>
      </c>
      <c r="D612" s="42">
        <v>21</v>
      </c>
      <c r="E612" s="41">
        <v>9.2617094469436357E-4</v>
      </c>
    </row>
    <row r="613" spans="2:5" ht="15" customHeight="1">
      <c r="B613" s="93"/>
      <c r="C613" s="43" t="s">
        <v>136</v>
      </c>
      <c r="D613" s="42">
        <v>1</v>
      </c>
      <c r="E613" s="41">
        <v>4.4103378318779218E-5</v>
      </c>
    </row>
    <row r="614" spans="2:5" ht="15" customHeight="1">
      <c r="B614" s="93"/>
      <c r="C614" s="43" t="s">
        <v>162</v>
      </c>
      <c r="D614" s="42">
        <v>2</v>
      </c>
      <c r="E614" s="41">
        <v>8.8206756637558437E-5</v>
      </c>
    </row>
    <row r="615" spans="2:5" ht="15" customHeight="1">
      <c r="B615" s="93"/>
      <c r="C615" s="43" t="s">
        <v>166</v>
      </c>
      <c r="D615" s="42">
        <v>12</v>
      </c>
      <c r="E615" s="41">
        <v>5.2924053982535059E-4</v>
      </c>
    </row>
    <row r="616" spans="2:5" ht="15" customHeight="1">
      <c r="B616" s="93"/>
      <c r="C616" s="43" t="s">
        <v>158</v>
      </c>
      <c r="D616" s="42">
        <v>13</v>
      </c>
      <c r="E616" s="41">
        <v>5.7334391814412987E-4</v>
      </c>
    </row>
    <row r="617" spans="2:5" ht="15" customHeight="1">
      <c r="B617" s="93"/>
      <c r="C617" s="43" t="s">
        <v>153</v>
      </c>
      <c r="D617" s="42">
        <v>5</v>
      </c>
      <c r="E617" s="41">
        <v>2.205168915938961E-4</v>
      </c>
    </row>
    <row r="618" spans="2:5" ht="15" customHeight="1">
      <c r="B618" s="93"/>
      <c r="C618" s="43" t="s">
        <v>141</v>
      </c>
      <c r="D618" s="42">
        <v>2</v>
      </c>
      <c r="E618" s="41">
        <v>8.8206756637558437E-5</v>
      </c>
    </row>
    <row r="619" spans="2:5" ht="15" customHeight="1">
      <c r="B619" s="93"/>
      <c r="C619" s="43" t="s">
        <v>156</v>
      </c>
      <c r="D619" s="42">
        <v>42</v>
      </c>
      <c r="E619" s="41">
        <v>1.8523418893887271E-3</v>
      </c>
    </row>
    <row r="620" spans="2:5" ht="15" customHeight="1">
      <c r="B620" s="93"/>
      <c r="C620" s="43" t="s">
        <v>152</v>
      </c>
      <c r="D620" s="42">
        <v>31</v>
      </c>
      <c r="E620" s="41">
        <v>1.3672047278821557E-3</v>
      </c>
    </row>
    <row r="621" spans="2:5" ht="15" customHeight="1">
      <c r="B621" s="93"/>
      <c r="C621" s="43" t="s">
        <v>130</v>
      </c>
      <c r="D621" s="42">
        <v>4</v>
      </c>
      <c r="E621" s="41">
        <v>1.7641351327511687E-4</v>
      </c>
    </row>
    <row r="622" spans="2:5" ht="15" customHeight="1">
      <c r="B622" s="93"/>
      <c r="C622" s="43" t="s">
        <v>163</v>
      </c>
      <c r="D622" s="42">
        <v>2</v>
      </c>
      <c r="E622" s="41">
        <v>8.8206756637558437E-5</v>
      </c>
    </row>
    <row r="623" spans="2:5" ht="15" customHeight="1">
      <c r="B623" s="93"/>
      <c r="C623" s="43" t="s">
        <v>137</v>
      </c>
      <c r="D623" s="42">
        <v>6</v>
      </c>
      <c r="E623" s="41">
        <v>2.646202699126753E-4</v>
      </c>
    </row>
    <row r="624" spans="2:5" ht="15" customHeight="1">
      <c r="B624" s="93"/>
      <c r="C624" s="43" t="s">
        <v>161</v>
      </c>
      <c r="D624" s="42">
        <v>8</v>
      </c>
      <c r="E624" s="41">
        <v>3.5282702655023375E-4</v>
      </c>
    </row>
    <row r="625" spans="2:5" ht="15" customHeight="1">
      <c r="B625" s="93"/>
      <c r="C625" s="43" t="s">
        <v>127</v>
      </c>
      <c r="D625" s="42">
        <v>10</v>
      </c>
      <c r="E625" s="41">
        <v>4.410337831877922E-4</v>
      </c>
    </row>
    <row r="626" spans="2:5" ht="15" customHeight="1">
      <c r="B626" s="93"/>
      <c r="C626" s="43" t="s">
        <v>169</v>
      </c>
      <c r="D626" s="42">
        <v>9</v>
      </c>
      <c r="E626" s="41">
        <v>3.9693040486901297E-4</v>
      </c>
    </row>
    <row r="627" spans="2:5" ht="15" customHeight="1">
      <c r="B627" s="93"/>
      <c r="C627" s="43" t="s">
        <v>171</v>
      </c>
      <c r="D627" s="42">
        <v>9</v>
      </c>
      <c r="E627" s="41">
        <v>3.9693040486901297E-4</v>
      </c>
    </row>
    <row r="628" spans="2:5" ht="15" customHeight="1">
      <c r="B628" s="93"/>
      <c r="C628" s="43" t="s">
        <v>160</v>
      </c>
      <c r="D628" s="42">
        <v>4</v>
      </c>
      <c r="E628" s="41">
        <v>1.7641351327511687E-4</v>
      </c>
    </row>
    <row r="629" spans="2:5" ht="15" customHeight="1">
      <c r="B629" s="93"/>
      <c r="C629" s="43" t="s">
        <v>168</v>
      </c>
      <c r="D629" s="42">
        <v>30</v>
      </c>
      <c r="E629" s="41">
        <v>1.3231013495633766E-3</v>
      </c>
    </row>
    <row r="630" spans="2:5" ht="15" customHeight="1">
      <c r="B630" s="93"/>
      <c r="C630" s="43" t="s">
        <v>126</v>
      </c>
      <c r="D630" s="42">
        <v>1</v>
      </c>
      <c r="E630" s="41">
        <v>4.4103378318779218E-5</v>
      </c>
    </row>
    <row r="631" spans="2:5" ht="15" customHeight="1">
      <c r="B631" s="93"/>
      <c r="C631" s="43" t="s">
        <v>149</v>
      </c>
      <c r="D631" s="42">
        <v>4</v>
      </c>
      <c r="E631" s="41">
        <v>1.7641351327511687E-4</v>
      </c>
    </row>
    <row r="632" spans="2:5" ht="15" customHeight="1">
      <c r="B632" s="93"/>
      <c r="C632" s="43" t="s">
        <v>144</v>
      </c>
      <c r="D632" s="42">
        <v>3</v>
      </c>
      <c r="E632" s="41">
        <v>1.3231013495633765E-4</v>
      </c>
    </row>
    <row r="633" spans="2:5" ht="15" customHeight="1">
      <c r="B633" s="93"/>
      <c r="C633" s="43" t="s">
        <v>150</v>
      </c>
      <c r="D633" s="42">
        <v>3</v>
      </c>
      <c r="E633" s="41">
        <v>1.3231013495633765E-4</v>
      </c>
    </row>
    <row r="634" spans="2:5" ht="15" customHeight="1">
      <c r="B634" s="93"/>
      <c r="C634" s="43" t="s">
        <v>155</v>
      </c>
      <c r="D634" s="42">
        <v>6</v>
      </c>
      <c r="E634" s="41">
        <v>2.646202699126753E-4</v>
      </c>
    </row>
    <row r="635" spans="2:5" ht="15" customHeight="1">
      <c r="B635" s="93"/>
      <c r="C635" s="43" t="s">
        <v>116</v>
      </c>
      <c r="D635" s="42">
        <v>3</v>
      </c>
      <c r="E635" s="41">
        <v>1.3231013495633765E-4</v>
      </c>
    </row>
    <row r="636" spans="2:5" ht="15" customHeight="1">
      <c r="B636" s="93"/>
      <c r="C636" s="43" t="s">
        <v>170</v>
      </c>
      <c r="D636" s="42">
        <v>2</v>
      </c>
      <c r="E636" s="41">
        <v>8.8206756637558437E-5</v>
      </c>
    </row>
    <row r="637" spans="2:5" ht="15" customHeight="1">
      <c r="B637" s="93"/>
      <c r="C637" s="43" t="s">
        <v>154</v>
      </c>
      <c r="D637" s="42">
        <v>6</v>
      </c>
      <c r="E637" s="41">
        <v>2.646202699126753E-4</v>
      </c>
    </row>
    <row r="638" spans="2:5" ht="15" customHeight="1">
      <c r="B638" s="93"/>
      <c r="C638" s="43" t="s">
        <v>131</v>
      </c>
      <c r="D638" s="42">
        <v>2</v>
      </c>
      <c r="E638" s="41">
        <v>8.8206756637558437E-5</v>
      </c>
    </row>
    <row r="639" spans="2:5" ht="15" customHeight="1">
      <c r="B639" s="93"/>
      <c r="C639" s="43" t="s">
        <v>146</v>
      </c>
      <c r="D639" s="42">
        <v>7</v>
      </c>
      <c r="E639" s="41">
        <v>3.0872364823145452E-4</v>
      </c>
    </row>
    <row r="640" spans="2:5" ht="15" customHeight="1">
      <c r="B640" s="93"/>
      <c r="C640" s="43" t="s">
        <v>167</v>
      </c>
      <c r="D640" s="42">
        <v>10</v>
      </c>
      <c r="E640" s="41">
        <v>4.410337831877922E-4</v>
      </c>
    </row>
    <row r="641" spans="2:5" ht="15" customHeight="1">
      <c r="B641" s="93"/>
      <c r="C641" s="43" t="s">
        <v>165</v>
      </c>
      <c r="D641" s="42">
        <v>29</v>
      </c>
      <c r="E641" s="41">
        <v>1.2789979712445974E-3</v>
      </c>
    </row>
    <row r="642" spans="2:5" ht="15" customHeight="1">
      <c r="B642" s="94"/>
      <c r="C642" s="40" t="s">
        <v>20</v>
      </c>
      <c r="D642" s="39">
        <v>425</v>
      </c>
      <c r="E642" s="38">
        <v>1.8743935785481169E-2</v>
      </c>
    </row>
    <row r="643" spans="2:5" ht="15" customHeight="1">
      <c r="B643" s="92" t="s">
        <v>75</v>
      </c>
      <c r="C643" s="43" t="s">
        <v>145</v>
      </c>
      <c r="D643" s="42">
        <v>1</v>
      </c>
      <c r="E643" s="41">
        <v>4.4103378318779218E-5</v>
      </c>
    </row>
    <row r="644" spans="2:5" ht="15" customHeight="1">
      <c r="B644" s="93"/>
      <c r="C644" s="43" t="s">
        <v>172</v>
      </c>
      <c r="D644" s="42">
        <v>4</v>
      </c>
      <c r="E644" s="41">
        <v>1.7641351327511687E-4</v>
      </c>
    </row>
    <row r="645" spans="2:5" ht="15" customHeight="1">
      <c r="B645" s="93"/>
      <c r="C645" s="43" t="s">
        <v>164</v>
      </c>
      <c r="D645" s="42">
        <v>1</v>
      </c>
      <c r="E645" s="41">
        <v>4.4103378318779218E-5</v>
      </c>
    </row>
    <row r="646" spans="2:5" ht="15" customHeight="1">
      <c r="B646" s="93"/>
      <c r="C646" s="43" t="s">
        <v>158</v>
      </c>
      <c r="D646" s="42">
        <v>1</v>
      </c>
      <c r="E646" s="41">
        <v>4.4103378318779218E-5</v>
      </c>
    </row>
    <row r="647" spans="2:5" ht="15" customHeight="1">
      <c r="B647" s="93"/>
      <c r="C647" s="43" t="s">
        <v>169</v>
      </c>
      <c r="D647" s="42">
        <v>4</v>
      </c>
      <c r="E647" s="41">
        <v>1.7641351327511687E-4</v>
      </c>
    </row>
    <row r="648" spans="2:5" ht="15" customHeight="1">
      <c r="B648" s="93"/>
      <c r="C648" s="43" t="s">
        <v>171</v>
      </c>
      <c r="D648" s="42">
        <v>1</v>
      </c>
      <c r="E648" s="41">
        <v>4.4103378318779218E-5</v>
      </c>
    </row>
    <row r="649" spans="2:5" ht="15" customHeight="1">
      <c r="B649" s="93"/>
      <c r="C649" s="43" t="s">
        <v>170</v>
      </c>
      <c r="D649" s="42">
        <v>3</v>
      </c>
      <c r="E649" s="41">
        <v>1.3231013495633765E-4</v>
      </c>
    </row>
    <row r="650" spans="2:5" ht="15" customHeight="1">
      <c r="B650" s="93"/>
      <c r="C650" s="43" t="s">
        <v>165</v>
      </c>
      <c r="D650" s="42">
        <v>3</v>
      </c>
      <c r="E650" s="41">
        <v>1.3231013495633765E-4</v>
      </c>
    </row>
    <row r="651" spans="2:5" ht="15" customHeight="1">
      <c r="B651" s="94"/>
      <c r="C651" s="40" t="s">
        <v>20</v>
      </c>
      <c r="D651" s="39">
        <v>18</v>
      </c>
      <c r="E651" s="38">
        <v>7.9386080973802594E-4</v>
      </c>
    </row>
    <row r="652" spans="2:5" ht="15" customHeight="1">
      <c r="B652" s="92" t="s">
        <v>98</v>
      </c>
      <c r="C652" s="43" t="s">
        <v>140</v>
      </c>
      <c r="D652" s="42">
        <v>12</v>
      </c>
      <c r="E652" s="41">
        <v>5.2924053982535059E-4</v>
      </c>
    </row>
    <row r="653" spans="2:5" ht="15" customHeight="1">
      <c r="B653" s="93"/>
      <c r="C653" s="43" t="s">
        <v>132</v>
      </c>
      <c r="D653" s="42">
        <v>1</v>
      </c>
      <c r="E653" s="41">
        <v>4.4103378318779218E-5</v>
      </c>
    </row>
    <row r="654" spans="2:5" ht="15" customHeight="1">
      <c r="B654" s="93"/>
      <c r="C654" s="43" t="s">
        <v>135</v>
      </c>
      <c r="D654" s="42">
        <v>3</v>
      </c>
      <c r="E654" s="41">
        <v>1.3231013495633765E-4</v>
      </c>
    </row>
    <row r="655" spans="2:5" ht="15" customHeight="1">
      <c r="B655" s="93"/>
      <c r="C655" s="43" t="s">
        <v>129</v>
      </c>
      <c r="D655" s="42">
        <v>5</v>
      </c>
      <c r="E655" s="41">
        <v>2.205168915938961E-4</v>
      </c>
    </row>
    <row r="656" spans="2:5" ht="15" customHeight="1">
      <c r="B656" s="93"/>
      <c r="C656" s="43" t="s">
        <v>145</v>
      </c>
      <c r="D656" s="42">
        <v>5</v>
      </c>
      <c r="E656" s="41">
        <v>2.205168915938961E-4</v>
      </c>
    </row>
    <row r="657" spans="2:5" ht="15" customHeight="1">
      <c r="B657" s="93"/>
      <c r="C657" s="43" t="s">
        <v>128</v>
      </c>
      <c r="D657" s="42">
        <v>7</v>
      </c>
      <c r="E657" s="41">
        <v>3.0872364823145452E-4</v>
      </c>
    </row>
    <row r="658" spans="2:5" ht="15" customHeight="1">
      <c r="B658" s="93"/>
      <c r="C658" s="43" t="s">
        <v>134</v>
      </c>
      <c r="D658" s="42">
        <v>24</v>
      </c>
      <c r="E658" s="41">
        <v>1.0584810796507012E-3</v>
      </c>
    </row>
    <row r="659" spans="2:5" ht="15" customHeight="1">
      <c r="B659" s="93"/>
      <c r="C659" s="43" t="s">
        <v>121</v>
      </c>
      <c r="D659" s="42">
        <v>1</v>
      </c>
      <c r="E659" s="41">
        <v>4.4103378318779218E-5</v>
      </c>
    </row>
    <row r="660" spans="2:5" ht="15" customHeight="1">
      <c r="B660" s="93"/>
      <c r="C660" s="43" t="s">
        <v>172</v>
      </c>
      <c r="D660" s="42">
        <v>32</v>
      </c>
      <c r="E660" s="41">
        <v>1.411308106200935E-3</v>
      </c>
    </row>
    <row r="661" spans="2:5" ht="15" customHeight="1">
      <c r="B661" s="93"/>
      <c r="C661" s="43" t="s">
        <v>139</v>
      </c>
      <c r="D661" s="42">
        <v>5</v>
      </c>
      <c r="E661" s="41">
        <v>2.205168915938961E-4</v>
      </c>
    </row>
    <row r="662" spans="2:5" ht="15" customHeight="1">
      <c r="B662" s="93"/>
      <c r="C662" s="43" t="s">
        <v>122</v>
      </c>
      <c r="D662" s="42">
        <v>1</v>
      </c>
      <c r="E662" s="41">
        <v>4.4103378318779218E-5</v>
      </c>
    </row>
    <row r="663" spans="2:5" ht="15" customHeight="1">
      <c r="B663" s="93"/>
      <c r="C663" s="43" t="s">
        <v>159</v>
      </c>
      <c r="D663" s="42">
        <v>2</v>
      </c>
      <c r="E663" s="41">
        <v>8.8206756637558437E-5</v>
      </c>
    </row>
    <row r="664" spans="2:5" ht="15" customHeight="1">
      <c r="B664" s="93"/>
      <c r="C664" s="43" t="s">
        <v>157</v>
      </c>
      <c r="D664" s="42">
        <v>3</v>
      </c>
      <c r="E664" s="41">
        <v>1.3231013495633765E-4</v>
      </c>
    </row>
    <row r="665" spans="2:5" ht="15" customHeight="1">
      <c r="B665" s="93"/>
      <c r="C665" s="43" t="s">
        <v>164</v>
      </c>
      <c r="D665" s="42">
        <v>17</v>
      </c>
      <c r="E665" s="41">
        <v>7.4975743141924667E-4</v>
      </c>
    </row>
    <row r="666" spans="2:5" ht="15" customHeight="1">
      <c r="B666" s="93"/>
      <c r="C666" s="43" t="s">
        <v>136</v>
      </c>
      <c r="D666" s="42">
        <v>3</v>
      </c>
      <c r="E666" s="41">
        <v>1.3231013495633765E-4</v>
      </c>
    </row>
    <row r="667" spans="2:5" ht="15" customHeight="1">
      <c r="B667" s="93"/>
      <c r="C667" s="43" t="s">
        <v>162</v>
      </c>
      <c r="D667" s="42">
        <v>9</v>
      </c>
      <c r="E667" s="41">
        <v>3.9693040486901297E-4</v>
      </c>
    </row>
    <row r="668" spans="2:5" ht="15" customHeight="1">
      <c r="B668" s="93"/>
      <c r="C668" s="43" t="s">
        <v>166</v>
      </c>
      <c r="D668" s="42">
        <v>24</v>
      </c>
      <c r="E668" s="41">
        <v>1.0584810796507012E-3</v>
      </c>
    </row>
    <row r="669" spans="2:5" ht="15" customHeight="1">
      <c r="B669" s="93"/>
      <c r="C669" s="43" t="s">
        <v>142</v>
      </c>
      <c r="D669" s="42">
        <v>2</v>
      </c>
      <c r="E669" s="41">
        <v>8.8206756637558437E-5</v>
      </c>
    </row>
    <row r="670" spans="2:5" ht="15" customHeight="1">
      <c r="B670" s="93"/>
      <c r="C670" s="43" t="s">
        <v>158</v>
      </c>
      <c r="D670" s="42">
        <v>1</v>
      </c>
      <c r="E670" s="41">
        <v>4.4103378318779218E-5</v>
      </c>
    </row>
    <row r="671" spans="2:5" ht="15" customHeight="1">
      <c r="B671" s="93"/>
      <c r="C671" s="43" t="s">
        <v>148</v>
      </c>
      <c r="D671" s="42">
        <v>14</v>
      </c>
      <c r="E671" s="41">
        <v>6.1744729646290904E-4</v>
      </c>
    </row>
    <row r="672" spans="2:5" ht="15" customHeight="1">
      <c r="B672" s="93"/>
      <c r="C672" s="43" t="s">
        <v>153</v>
      </c>
      <c r="D672" s="42">
        <v>5</v>
      </c>
      <c r="E672" s="41">
        <v>2.205168915938961E-4</v>
      </c>
    </row>
    <row r="673" spans="2:5" ht="15" customHeight="1">
      <c r="B673" s="93"/>
      <c r="C673" s="43" t="s">
        <v>143</v>
      </c>
      <c r="D673" s="42">
        <v>29</v>
      </c>
      <c r="E673" s="41">
        <v>1.2789979712445974E-3</v>
      </c>
    </row>
    <row r="674" spans="2:5" ht="15" customHeight="1">
      <c r="B674" s="93"/>
      <c r="C674" s="43" t="s">
        <v>141</v>
      </c>
      <c r="D674" s="42">
        <v>3</v>
      </c>
      <c r="E674" s="41">
        <v>1.3231013495633765E-4</v>
      </c>
    </row>
    <row r="675" spans="2:5" ht="15" customHeight="1">
      <c r="B675" s="93"/>
      <c r="C675" s="43" t="s">
        <v>124</v>
      </c>
      <c r="D675" s="42">
        <v>6</v>
      </c>
      <c r="E675" s="41">
        <v>2.646202699126753E-4</v>
      </c>
    </row>
    <row r="676" spans="2:5" ht="15" customHeight="1">
      <c r="B676" s="93"/>
      <c r="C676" s="43" t="s">
        <v>125</v>
      </c>
      <c r="D676" s="42">
        <v>3</v>
      </c>
      <c r="E676" s="41">
        <v>1.3231013495633765E-4</v>
      </c>
    </row>
    <row r="677" spans="2:5" ht="15" customHeight="1">
      <c r="B677" s="93"/>
      <c r="C677" s="43" t="s">
        <v>152</v>
      </c>
      <c r="D677" s="42">
        <v>6</v>
      </c>
      <c r="E677" s="41">
        <v>2.646202699126753E-4</v>
      </c>
    </row>
    <row r="678" spans="2:5" ht="15" customHeight="1">
      <c r="B678" s="93"/>
      <c r="C678" s="43" t="s">
        <v>130</v>
      </c>
      <c r="D678" s="42">
        <v>6</v>
      </c>
      <c r="E678" s="41">
        <v>2.646202699126753E-4</v>
      </c>
    </row>
    <row r="679" spans="2:5" ht="15" customHeight="1">
      <c r="B679" s="93"/>
      <c r="C679" s="43" t="s">
        <v>133</v>
      </c>
      <c r="D679" s="42">
        <v>2</v>
      </c>
      <c r="E679" s="41">
        <v>8.8206756637558437E-5</v>
      </c>
    </row>
    <row r="680" spans="2:5" ht="15" customHeight="1">
      <c r="B680" s="93"/>
      <c r="C680" s="43" t="s">
        <v>163</v>
      </c>
      <c r="D680" s="42">
        <v>32</v>
      </c>
      <c r="E680" s="41">
        <v>1.411308106200935E-3</v>
      </c>
    </row>
    <row r="681" spans="2:5" ht="15" customHeight="1">
      <c r="B681" s="93"/>
      <c r="C681" s="43" t="s">
        <v>137</v>
      </c>
      <c r="D681" s="42">
        <v>1</v>
      </c>
      <c r="E681" s="41">
        <v>4.4103378318779218E-5</v>
      </c>
    </row>
    <row r="682" spans="2:5" ht="15" customHeight="1">
      <c r="B682" s="93"/>
      <c r="C682" s="43" t="s">
        <v>161</v>
      </c>
      <c r="D682" s="42">
        <v>21</v>
      </c>
      <c r="E682" s="41">
        <v>9.2617094469436357E-4</v>
      </c>
    </row>
    <row r="683" spans="2:5" ht="15" customHeight="1">
      <c r="B683" s="93"/>
      <c r="C683" s="43" t="s">
        <v>127</v>
      </c>
      <c r="D683" s="42">
        <v>1</v>
      </c>
      <c r="E683" s="41">
        <v>4.4103378318779218E-5</v>
      </c>
    </row>
    <row r="684" spans="2:5" ht="15" customHeight="1">
      <c r="B684" s="93"/>
      <c r="C684" s="43" t="s">
        <v>169</v>
      </c>
      <c r="D684" s="42">
        <v>5</v>
      </c>
      <c r="E684" s="41">
        <v>2.205168915938961E-4</v>
      </c>
    </row>
    <row r="685" spans="2:5" ht="15" customHeight="1">
      <c r="B685" s="93"/>
      <c r="C685" s="43" t="s">
        <v>171</v>
      </c>
      <c r="D685" s="42">
        <v>4</v>
      </c>
      <c r="E685" s="41">
        <v>1.7641351327511687E-4</v>
      </c>
    </row>
    <row r="686" spans="2:5" ht="15" customHeight="1">
      <c r="B686" s="93"/>
      <c r="C686" s="43" t="s">
        <v>168</v>
      </c>
      <c r="D686" s="42">
        <v>12</v>
      </c>
      <c r="E686" s="41">
        <v>5.2924053982535059E-4</v>
      </c>
    </row>
    <row r="687" spans="2:5" ht="15" customHeight="1">
      <c r="B687" s="93"/>
      <c r="C687" s="43" t="s">
        <v>149</v>
      </c>
      <c r="D687" s="42">
        <v>7</v>
      </c>
      <c r="E687" s="41">
        <v>3.0872364823145452E-4</v>
      </c>
    </row>
    <row r="688" spans="2:5" ht="15" customHeight="1">
      <c r="B688" s="93"/>
      <c r="C688" s="43" t="s">
        <v>144</v>
      </c>
      <c r="D688" s="42">
        <v>6</v>
      </c>
      <c r="E688" s="41">
        <v>2.646202699126753E-4</v>
      </c>
    </row>
    <row r="689" spans="2:5" ht="15" customHeight="1">
      <c r="B689" s="93"/>
      <c r="C689" s="43" t="s">
        <v>150</v>
      </c>
      <c r="D689" s="42">
        <v>10</v>
      </c>
      <c r="E689" s="41">
        <v>4.410337831877922E-4</v>
      </c>
    </row>
    <row r="690" spans="2:5" ht="15" customHeight="1">
      <c r="B690" s="93"/>
      <c r="C690" s="43" t="s">
        <v>138</v>
      </c>
      <c r="D690" s="42">
        <v>3</v>
      </c>
      <c r="E690" s="41">
        <v>1.3231013495633765E-4</v>
      </c>
    </row>
    <row r="691" spans="2:5" ht="15" customHeight="1">
      <c r="B691" s="93"/>
      <c r="C691" s="43" t="s">
        <v>155</v>
      </c>
      <c r="D691" s="42">
        <v>1</v>
      </c>
      <c r="E691" s="41">
        <v>4.4103378318779218E-5</v>
      </c>
    </row>
    <row r="692" spans="2:5" ht="15" customHeight="1">
      <c r="B692" s="93"/>
      <c r="C692" s="43" t="s">
        <v>119</v>
      </c>
      <c r="D692" s="42">
        <v>3</v>
      </c>
      <c r="E692" s="41">
        <v>1.3231013495633765E-4</v>
      </c>
    </row>
    <row r="693" spans="2:5" ht="15" customHeight="1">
      <c r="B693" s="93"/>
      <c r="C693" s="43" t="s">
        <v>170</v>
      </c>
      <c r="D693" s="42">
        <v>26</v>
      </c>
      <c r="E693" s="41">
        <v>1.1466878362882597E-3</v>
      </c>
    </row>
    <row r="694" spans="2:5" ht="15" customHeight="1">
      <c r="B694" s="93"/>
      <c r="C694" s="43" t="s">
        <v>123</v>
      </c>
      <c r="D694" s="42">
        <v>3</v>
      </c>
      <c r="E694" s="41">
        <v>1.3231013495633765E-4</v>
      </c>
    </row>
    <row r="695" spans="2:5" ht="15" customHeight="1">
      <c r="B695" s="93"/>
      <c r="C695" s="43" t="s">
        <v>154</v>
      </c>
      <c r="D695" s="42">
        <v>26</v>
      </c>
      <c r="E695" s="41">
        <v>1.1466878362882597E-3</v>
      </c>
    </row>
    <row r="696" spans="2:5" ht="15" customHeight="1">
      <c r="B696" s="93"/>
      <c r="C696" s="43" t="s">
        <v>131</v>
      </c>
      <c r="D696" s="42">
        <v>2</v>
      </c>
      <c r="E696" s="41">
        <v>8.8206756637558437E-5</v>
      </c>
    </row>
    <row r="697" spans="2:5" ht="15" customHeight="1">
      <c r="B697" s="93"/>
      <c r="C697" s="43" t="s">
        <v>147</v>
      </c>
      <c r="D697" s="42">
        <v>2</v>
      </c>
      <c r="E697" s="41">
        <v>8.8206756637558437E-5</v>
      </c>
    </row>
    <row r="698" spans="2:5" ht="15" customHeight="1">
      <c r="B698" s="93"/>
      <c r="C698" s="43" t="s">
        <v>146</v>
      </c>
      <c r="D698" s="42">
        <v>1</v>
      </c>
      <c r="E698" s="41">
        <v>4.4103378318779218E-5</v>
      </c>
    </row>
    <row r="699" spans="2:5" ht="15" customHeight="1">
      <c r="B699" s="93"/>
      <c r="C699" s="43" t="s">
        <v>167</v>
      </c>
      <c r="D699" s="42">
        <v>78</v>
      </c>
      <c r="E699" s="41">
        <v>3.440063508864779E-3</v>
      </c>
    </row>
    <row r="700" spans="2:5" ht="15" customHeight="1">
      <c r="B700" s="93"/>
      <c r="C700" s="43" t="s">
        <v>165</v>
      </c>
      <c r="D700" s="42">
        <v>47</v>
      </c>
      <c r="E700" s="41">
        <v>2.0728587809826231E-3</v>
      </c>
    </row>
    <row r="701" spans="2:5" ht="15" customHeight="1">
      <c r="B701" s="94"/>
      <c r="C701" s="40" t="s">
        <v>20</v>
      </c>
      <c r="D701" s="39">
        <v>522</v>
      </c>
      <c r="E701" s="38">
        <v>2.3021963482402753E-2</v>
      </c>
    </row>
    <row r="702" spans="2:5" ht="15" customHeight="1">
      <c r="B702" s="92" t="s">
        <v>102</v>
      </c>
      <c r="C702" s="43" t="s">
        <v>140</v>
      </c>
      <c r="D702" s="42">
        <v>4</v>
      </c>
      <c r="E702" s="41">
        <v>1.7641351327511687E-4</v>
      </c>
    </row>
    <row r="703" spans="2:5" ht="15" customHeight="1">
      <c r="B703" s="93"/>
      <c r="C703" s="43" t="s">
        <v>132</v>
      </c>
      <c r="D703" s="42">
        <v>10</v>
      </c>
      <c r="E703" s="41">
        <v>4.410337831877922E-4</v>
      </c>
    </row>
    <row r="704" spans="2:5" ht="15" customHeight="1">
      <c r="B704" s="93"/>
      <c r="C704" s="43" t="s">
        <v>129</v>
      </c>
      <c r="D704" s="42">
        <v>1</v>
      </c>
      <c r="E704" s="41">
        <v>4.4103378318779218E-5</v>
      </c>
    </row>
    <row r="705" spans="2:5" ht="15" customHeight="1">
      <c r="B705" s="93"/>
      <c r="C705" s="43" t="s">
        <v>145</v>
      </c>
      <c r="D705" s="42">
        <v>4</v>
      </c>
      <c r="E705" s="41">
        <v>1.7641351327511687E-4</v>
      </c>
    </row>
    <row r="706" spans="2:5" ht="15" customHeight="1">
      <c r="B706" s="93"/>
      <c r="C706" s="43" t="s">
        <v>120</v>
      </c>
      <c r="D706" s="42">
        <v>7</v>
      </c>
      <c r="E706" s="41">
        <v>3.0872364823145452E-4</v>
      </c>
    </row>
    <row r="707" spans="2:5" ht="15" customHeight="1">
      <c r="B707" s="93"/>
      <c r="C707" s="43" t="s">
        <v>151</v>
      </c>
      <c r="D707" s="42">
        <v>13</v>
      </c>
      <c r="E707" s="41">
        <v>5.7334391814412987E-4</v>
      </c>
    </row>
    <row r="708" spans="2:5" ht="15" customHeight="1">
      <c r="B708" s="93"/>
      <c r="C708" s="43" t="s">
        <v>128</v>
      </c>
      <c r="D708" s="42">
        <v>3</v>
      </c>
      <c r="E708" s="41">
        <v>1.3231013495633765E-4</v>
      </c>
    </row>
    <row r="709" spans="2:5" ht="15" customHeight="1">
      <c r="B709" s="93"/>
      <c r="C709" s="43" t="s">
        <v>134</v>
      </c>
      <c r="D709" s="42">
        <v>1</v>
      </c>
      <c r="E709" s="41">
        <v>4.4103378318779218E-5</v>
      </c>
    </row>
    <row r="710" spans="2:5" ht="15" customHeight="1">
      <c r="B710" s="93"/>
      <c r="C710" s="43" t="s">
        <v>172</v>
      </c>
      <c r="D710" s="42">
        <v>90</v>
      </c>
      <c r="E710" s="41">
        <v>3.9693040486901299E-3</v>
      </c>
    </row>
    <row r="711" spans="2:5" ht="15" customHeight="1">
      <c r="B711" s="93"/>
      <c r="C711" s="43" t="s">
        <v>139</v>
      </c>
      <c r="D711" s="42">
        <v>3</v>
      </c>
      <c r="E711" s="41">
        <v>1.3231013495633765E-4</v>
      </c>
    </row>
    <row r="712" spans="2:5" ht="15" customHeight="1">
      <c r="B712" s="93"/>
      <c r="C712" s="43" t="s">
        <v>159</v>
      </c>
      <c r="D712" s="42">
        <v>64</v>
      </c>
      <c r="E712" s="41">
        <v>2.82261621240187E-3</v>
      </c>
    </row>
    <row r="713" spans="2:5" ht="15" customHeight="1">
      <c r="B713" s="93"/>
      <c r="C713" s="43" t="s">
        <v>157</v>
      </c>
      <c r="D713" s="42">
        <v>33</v>
      </c>
      <c r="E713" s="41">
        <v>1.4554114845197143E-3</v>
      </c>
    </row>
    <row r="714" spans="2:5" ht="15" customHeight="1">
      <c r="B714" s="93"/>
      <c r="C714" s="43" t="s">
        <v>164</v>
      </c>
      <c r="D714" s="42">
        <v>241</v>
      </c>
      <c r="E714" s="41">
        <v>1.0628914174825792E-2</v>
      </c>
    </row>
    <row r="715" spans="2:5" ht="15" customHeight="1">
      <c r="B715" s="93"/>
      <c r="C715" s="43" t="s">
        <v>136</v>
      </c>
      <c r="D715" s="42">
        <v>3</v>
      </c>
      <c r="E715" s="41">
        <v>1.3231013495633765E-4</v>
      </c>
    </row>
    <row r="716" spans="2:5" ht="15" customHeight="1">
      <c r="B716" s="93"/>
      <c r="C716" s="43" t="s">
        <v>162</v>
      </c>
      <c r="D716" s="42">
        <v>10</v>
      </c>
      <c r="E716" s="41">
        <v>4.410337831877922E-4</v>
      </c>
    </row>
    <row r="717" spans="2:5" ht="15" customHeight="1">
      <c r="B717" s="93"/>
      <c r="C717" s="43" t="s">
        <v>166</v>
      </c>
      <c r="D717" s="42">
        <v>3</v>
      </c>
      <c r="E717" s="41">
        <v>1.3231013495633765E-4</v>
      </c>
    </row>
    <row r="718" spans="2:5" ht="15" customHeight="1">
      <c r="B718" s="93"/>
      <c r="C718" s="43" t="s">
        <v>142</v>
      </c>
      <c r="D718" s="42">
        <v>1</v>
      </c>
      <c r="E718" s="41">
        <v>4.4103378318779218E-5</v>
      </c>
    </row>
    <row r="719" spans="2:5" ht="15" customHeight="1">
      <c r="B719" s="93"/>
      <c r="C719" s="43" t="s">
        <v>158</v>
      </c>
      <c r="D719" s="42">
        <v>60</v>
      </c>
      <c r="E719" s="41">
        <v>2.6462026991267533E-3</v>
      </c>
    </row>
    <row r="720" spans="2:5" ht="15" customHeight="1">
      <c r="B720" s="93"/>
      <c r="C720" s="43" t="s">
        <v>148</v>
      </c>
      <c r="D720" s="42">
        <v>1</v>
      </c>
      <c r="E720" s="41">
        <v>4.4103378318779218E-5</v>
      </c>
    </row>
    <row r="721" spans="2:5" ht="15" customHeight="1">
      <c r="B721" s="93"/>
      <c r="C721" s="43" t="s">
        <v>153</v>
      </c>
      <c r="D721" s="42">
        <v>15</v>
      </c>
      <c r="E721" s="41">
        <v>6.6155067478168832E-4</v>
      </c>
    </row>
    <row r="722" spans="2:5" ht="15" customHeight="1">
      <c r="B722" s="93"/>
      <c r="C722" s="43" t="s">
        <v>143</v>
      </c>
      <c r="D722" s="42">
        <v>5</v>
      </c>
      <c r="E722" s="41">
        <v>2.205168915938961E-4</v>
      </c>
    </row>
    <row r="723" spans="2:5" ht="15" customHeight="1">
      <c r="B723" s="93"/>
      <c r="C723" s="43" t="s">
        <v>141</v>
      </c>
      <c r="D723" s="42">
        <v>11</v>
      </c>
      <c r="E723" s="41">
        <v>4.8513716150657142E-4</v>
      </c>
    </row>
    <row r="724" spans="2:5" ht="15" customHeight="1">
      <c r="B724" s="93"/>
      <c r="C724" s="43" t="s">
        <v>156</v>
      </c>
      <c r="D724" s="42">
        <v>23</v>
      </c>
      <c r="E724" s="41">
        <v>1.0143777013319221E-3</v>
      </c>
    </row>
    <row r="725" spans="2:5" ht="15" customHeight="1">
      <c r="B725" s="93"/>
      <c r="C725" s="43" t="s">
        <v>152</v>
      </c>
      <c r="D725" s="42">
        <v>8</v>
      </c>
      <c r="E725" s="41">
        <v>3.5282702655023375E-4</v>
      </c>
    </row>
    <row r="726" spans="2:5" ht="15" customHeight="1">
      <c r="B726" s="93"/>
      <c r="C726" s="43" t="s">
        <v>130</v>
      </c>
      <c r="D726" s="42">
        <v>1</v>
      </c>
      <c r="E726" s="41">
        <v>4.4103378318779218E-5</v>
      </c>
    </row>
    <row r="727" spans="2:5" ht="15" customHeight="1">
      <c r="B727" s="93"/>
      <c r="C727" s="43" t="s">
        <v>163</v>
      </c>
      <c r="D727" s="42">
        <v>75</v>
      </c>
      <c r="E727" s="41">
        <v>3.3077533739084412E-3</v>
      </c>
    </row>
    <row r="728" spans="2:5" ht="15" customHeight="1">
      <c r="B728" s="93"/>
      <c r="C728" s="43" t="s">
        <v>161</v>
      </c>
      <c r="D728" s="42">
        <v>4</v>
      </c>
      <c r="E728" s="41">
        <v>1.7641351327511687E-4</v>
      </c>
    </row>
    <row r="729" spans="2:5" ht="15" customHeight="1">
      <c r="B729" s="93"/>
      <c r="C729" s="43" t="s">
        <v>127</v>
      </c>
      <c r="D729" s="42">
        <v>3</v>
      </c>
      <c r="E729" s="41">
        <v>1.3231013495633765E-4</v>
      </c>
    </row>
    <row r="730" spans="2:5" ht="15" customHeight="1">
      <c r="B730" s="93"/>
      <c r="C730" s="43" t="s">
        <v>169</v>
      </c>
      <c r="D730" s="42">
        <v>19</v>
      </c>
      <c r="E730" s="41">
        <v>8.3796418805680512E-4</v>
      </c>
    </row>
    <row r="731" spans="2:5" ht="15" customHeight="1">
      <c r="B731" s="93"/>
      <c r="C731" s="43" t="s">
        <v>171</v>
      </c>
      <c r="D731" s="42">
        <v>173</v>
      </c>
      <c r="E731" s="41">
        <v>7.6298844491488049E-3</v>
      </c>
    </row>
    <row r="732" spans="2:5" ht="15" customHeight="1">
      <c r="B732" s="93"/>
      <c r="C732" s="43" t="s">
        <v>160</v>
      </c>
      <c r="D732" s="42">
        <v>24</v>
      </c>
      <c r="E732" s="41">
        <v>1.0584810796507012E-3</v>
      </c>
    </row>
    <row r="733" spans="2:5" ht="15" customHeight="1">
      <c r="B733" s="93"/>
      <c r="C733" s="43" t="s">
        <v>168</v>
      </c>
      <c r="D733" s="42">
        <v>52</v>
      </c>
      <c r="E733" s="41">
        <v>2.2933756725765195E-3</v>
      </c>
    </row>
    <row r="734" spans="2:5" ht="15" customHeight="1">
      <c r="B734" s="93"/>
      <c r="C734" s="43" t="s">
        <v>149</v>
      </c>
      <c r="D734" s="42">
        <v>1</v>
      </c>
      <c r="E734" s="41">
        <v>4.4103378318779218E-5</v>
      </c>
    </row>
    <row r="735" spans="2:5" ht="15" customHeight="1">
      <c r="B735" s="93"/>
      <c r="C735" s="43" t="s">
        <v>144</v>
      </c>
      <c r="D735" s="42">
        <v>3</v>
      </c>
      <c r="E735" s="41">
        <v>1.3231013495633765E-4</v>
      </c>
    </row>
    <row r="736" spans="2:5" ht="15" customHeight="1">
      <c r="B736" s="93"/>
      <c r="C736" s="43" t="s">
        <v>150</v>
      </c>
      <c r="D736" s="42">
        <v>3</v>
      </c>
      <c r="E736" s="41">
        <v>1.3231013495633765E-4</v>
      </c>
    </row>
    <row r="737" spans="2:5" ht="15" customHeight="1">
      <c r="B737" s="93"/>
      <c r="C737" s="43" t="s">
        <v>138</v>
      </c>
      <c r="D737" s="42">
        <v>1</v>
      </c>
      <c r="E737" s="41">
        <v>4.4103378318779218E-5</v>
      </c>
    </row>
    <row r="738" spans="2:5" ht="15" customHeight="1">
      <c r="B738" s="93"/>
      <c r="C738" s="43" t="s">
        <v>155</v>
      </c>
      <c r="D738" s="42">
        <v>6</v>
      </c>
      <c r="E738" s="41">
        <v>2.646202699126753E-4</v>
      </c>
    </row>
    <row r="739" spans="2:5" ht="15" customHeight="1">
      <c r="B739" s="93"/>
      <c r="C739" s="43" t="s">
        <v>116</v>
      </c>
      <c r="D739" s="42">
        <v>1</v>
      </c>
      <c r="E739" s="41">
        <v>4.4103378318779218E-5</v>
      </c>
    </row>
    <row r="740" spans="2:5" ht="15" customHeight="1">
      <c r="B740" s="93"/>
      <c r="C740" s="43" t="s">
        <v>170</v>
      </c>
      <c r="D740" s="42">
        <v>9</v>
      </c>
      <c r="E740" s="41">
        <v>3.9693040486901297E-4</v>
      </c>
    </row>
    <row r="741" spans="2:5" ht="15" customHeight="1">
      <c r="B741" s="93"/>
      <c r="C741" s="43" t="s">
        <v>123</v>
      </c>
      <c r="D741" s="42">
        <v>13</v>
      </c>
      <c r="E741" s="41">
        <v>5.7334391814412987E-4</v>
      </c>
    </row>
    <row r="742" spans="2:5" ht="15" customHeight="1">
      <c r="B742" s="93"/>
      <c r="C742" s="43" t="s">
        <v>154</v>
      </c>
      <c r="D742" s="42">
        <v>21</v>
      </c>
      <c r="E742" s="41">
        <v>9.2617094469436357E-4</v>
      </c>
    </row>
    <row r="743" spans="2:5" ht="15" customHeight="1">
      <c r="B743" s="93"/>
      <c r="C743" s="43" t="s">
        <v>147</v>
      </c>
      <c r="D743" s="42">
        <v>1</v>
      </c>
      <c r="E743" s="41">
        <v>4.4103378318779218E-5</v>
      </c>
    </row>
    <row r="744" spans="2:5" ht="15" customHeight="1">
      <c r="B744" s="93"/>
      <c r="C744" s="43" t="s">
        <v>146</v>
      </c>
      <c r="D744" s="42">
        <v>5</v>
      </c>
      <c r="E744" s="41">
        <v>2.205168915938961E-4</v>
      </c>
    </row>
    <row r="745" spans="2:5" ht="15" customHeight="1">
      <c r="B745" s="93"/>
      <c r="C745" s="43" t="s">
        <v>167</v>
      </c>
      <c r="D745" s="42">
        <v>33</v>
      </c>
      <c r="E745" s="41">
        <v>1.4554114845197143E-3</v>
      </c>
    </row>
    <row r="746" spans="2:5" ht="15" customHeight="1">
      <c r="B746" s="93"/>
      <c r="C746" s="43" t="s">
        <v>165</v>
      </c>
      <c r="D746" s="42">
        <v>52</v>
      </c>
      <c r="E746" s="41">
        <v>2.2933756725765195E-3</v>
      </c>
    </row>
    <row r="747" spans="2:5" ht="15" customHeight="1">
      <c r="B747" s="94"/>
      <c r="C747" s="40" t="s">
        <v>20</v>
      </c>
      <c r="D747" s="39">
        <v>1114</v>
      </c>
      <c r="E747" s="38">
        <v>4.9131163447120048E-2</v>
      </c>
    </row>
    <row r="748" spans="2:5" ht="15" customHeight="1">
      <c r="B748" s="92" t="s">
        <v>114</v>
      </c>
      <c r="C748" s="43" t="s">
        <v>140</v>
      </c>
      <c r="D748" s="42">
        <v>20</v>
      </c>
      <c r="E748" s="41">
        <v>8.820675663755844E-4</v>
      </c>
    </row>
    <row r="749" spans="2:5" ht="15" customHeight="1">
      <c r="B749" s="93"/>
      <c r="C749" s="43" t="s">
        <v>132</v>
      </c>
      <c r="D749" s="42">
        <v>8</v>
      </c>
      <c r="E749" s="41">
        <v>3.5282702655023375E-4</v>
      </c>
    </row>
    <row r="750" spans="2:5" ht="15" customHeight="1">
      <c r="B750" s="93"/>
      <c r="C750" s="43" t="s">
        <v>135</v>
      </c>
      <c r="D750" s="42">
        <v>24</v>
      </c>
      <c r="E750" s="41">
        <v>1.0584810796507012E-3</v>
      </c>
    </row>
    <row r="751" spans="2:5" ht="15" customHeight="1">
      <c r="B751" s="93"/>
      <c r="C751" s="43" t="s">
        <v>129</v>
      </c>
      <c r="D751" s="42">
        <v>7</v>
      </c>
      <c r="E751" s="41">
        <v>3.0872364823145452E-4</v>
      </c>
    </row>
    <row r="752" spans="2:5" ht="15" customHeight="1">
      <c r="B752" s="93"/>
      <c r="C752" s="43" t="s">
        <v>145</v>
      </c>
      <c r="D752" s="42">
        <v>36</v>
      </c>
      <c r="E752" s="41">
        <v>1.5877216194760519E-3</v>
      </c>
    </row>
    <row r="753" spans="2:5" ht="15" customHeight="1">
      <c r="B753" s="93"/>
      <c r="C753" s="43" t="s">
        <v>120</v>
      </c>
      <c r="D753" s="42">
        <v>5</v>
      </c>
      <c r="E753" s="41">
        <v>2.205168915938961E-4</v>
      </c>
    </row>
    <row r="754" spans="2:5" ht="15" customHeight="1">
      <c r="B754" s="93"/>
      <c r="C754" s="43" t="s">
        <v>151</v>
      </c>
      <c r="D754" s="42">
        <v>10</v>
      </c>
      <c r="E754" s="41">
        <v>4.410337831877922E-4</v>
      </c>
    </row>
    <row r="755" spans="2:5" ht="15" customHeight="1">
      <c r="B755" s="93"/>
      <c r="C755" s="43" t="s">
        <v>128</v>
      </c>
      <c r="D755" s="42">
        <v>1</v>
      </c>
      <c r="E755" s="41">
        <v>4.4103378318779218E-5</v>
      </c>
    </row>
    <row r="756" spans="2:5" ht="15" customHeight="1">
      <c r="B756" s="93"/>
      <c r="C756" s="43" t="s">
        <v>134</v>
      </c>
      <c r="D756" s="42">
        <v>8</v>
      </c>
      <c r="E756" s="41">
        <v>3.5282702655023375E-4</v>
      </c>
    </row>
    <row r="757" spans="2:5" ht="15" customHeight="1">
      <c r="B757" s="93"/>
      <c r="C757" s="43" t="s">
        <v>121</v>
      </c>
      <c r="D757" s="42">
        <v>8</v>
      </c>
      <c r="E757" s="41">
        <v>3.5282702655023375E-4</v>
      </c>
    </row>
    <row r="758" spans="2:5" ht="15" customHeight="1">
      <c r="B758" s="93"/>
      <c r="C758" s="43" t="s">
        <v>172</v>
      </c>
      <c r="D758" s="42">
        <v>308</v>
      </c>
      <c r="E758" s="41">
        <v>1.3583840522183999E-2</v>
      </c>
    </row>
    <row r="759" spans="2:5" ht="15" customHeight="1">
      <c r="B759" s="93"/>
      <c r="C759" s="43" t="s">
        <v>139</v>
      </c>
      <c r="D759" s="42">
        <v>4</v>
      </c>
      <c r="E759" s="41">
        <v>1.7641351327511687E-4</v>
      </c>
    </row>
    <row r="760" spans="2:5" ht="15" customHeight="1">
      <c r="B760" s="93"/>
      <c r="C760" s="43" t="s">
        <v>122</v>
      </c>
      <c r="D760" s="42">
        <v>15</v>
      </c>
      <c r="E760" s="41">
        <v>6.6155067478168832E-4</v>
      </c>
    </row>
    <row r="761" spans="2:5" ht="15" customHeight="1">
      <c r="B761" s="93"/>
      <c r="C761" s="43" t="s">
        <v>159</v>
      </c>
      <c r="D761" s="42">
        <v>8</v>
      </c>
      <c r="E761" s="41">
        <v>3.5282702655023375E-4</v>
      </c>
    </row>
    <row r="762" spans="2:5" ht="15" customHeight="1">
      <c r="B762" s="93"/>
      <c r="C762" s="43" t="s">
        <v>157</v>
      </c>
      <c r="D762" s="42">
        <v>39</v>
      </c>
      <c r="E762" s="41">
        <v>1.7200317544323895E-3</v>
      </c>
    </row>
    <row r="763" spans="2:5" ht="15" customHeight="1">
      <c r="B763" s="93"/>
      <c r="C763" s="43" t="s">
        <v>164</v>
      </c>
      <c r="D763" s="42">
        <v>48</v>
      </c>
      <c r="E763" s="41">
        <v>2.1169621593014024E-3</v>
      </c>
    </row>
    <row r="764" spans="2:5" ht="15" customHeight="1">
      <c r="B764" s="93"/>
      <c r="C764" s="43" t="s">
        <v>136</v>
      </c>
      <c r="D764" s="42">
        <v>15</v>
      </c>
      <c r="E764" s="41">
        <v>6.6155067478168832E-4</v>
      </c>
    </row>
    <row r="765" spans="2:5" ht="15" customHeight="1">
      <c r="B765" s="93"/>
      <c r="C765" s="43" t="s">
        <v>162</v>
      </c>
      <c r="D765" s="42">
        <v>123</v>
      </c>
      <c r="E765" s="41">
        <v>5.4247155332098436E-3</v>
      </c>
    </row>
    <row r="766" spans="2:5" ht="15" customHeight="1">
      <c r="B766" s="93"/>
      <c r="C766" s="43" t="s">
        <v>166</v>
      </c>
      <c r="D766" s="42">
        <v>284</v>
      </c>
      <c r="E766" s="41">
        <v>1.2525359442533298E-2</v>
      </c>
    </row>
    <row r="767" spans="2:5" ht="15" customHeight="1">
      <c r="B767" s="93"/>
      <c r="C767" s="43" t="s">
        <v>142</v>
      </c>
      <c r="D767" s="42">
        <v>13</v>
      </c>
      <c r="E767" s="41">
        <v>5.7334391814412987E-4</v>
      </c>
    </row>
    <row r="768" spans="2:5" ht="15" customHeight="1">
      <c r="B768" s="93"/>
      <c r="C768" s="43" t="s">
        <v>158</v>
      </c>
      <c r="D768" s="42">
        <v>2</v>
      </c>
      <c r="E768" s="41">
        <v>8.8206756637558437E-5</v>
      </c>
    </row>
    <row r="769" spans="2:5" ht="15" customHeight="1">
      <c r="B769" s="93"/>
      <c r="C769" s="43" t="s">
        <v>148</v>
      </c>
      <c r="D769" s="42">
        <v>42</v>
      </c>
      <c r="E769" s="41">
        <v>1.8523418893887271E-3</v>
      </c>
    </row>
    <row r="770" spans="2:5" ht="15" customHeight="1">
      <c r="B770" s="93"/>
      <c r="C770" s="43" t="s">
        <v>153</v>
      </c>
      <c r="D770" s="42">
        <v>37</v>
      </c>
      <c r="E770" s="41">
        <v>1.6318249977948312E-3</v>
      </c>
    </row>
    <row r="771" spans="2:5" ht="15" customHeight="1">
      <c r="B771" s="93"/>
      <c r="C771" s="43" t="s">
        <v>143</v>
      </c>
      <c r="D771" s="42">
        <v>9</v>
      </c>
      <c r="E771" s="41">
        <v>3.9693040486901297E-4</v>
      </c>
    </row>
    <row r="772" spans="2:5" ht="15" customHeight="1">
      <c r="B772" s="93"/>
      <c r="C772" s="43" t="s">
        <v>141</v>
      </c>
      <c r="D772" s="42">
        <v>3</v>
      </c>
      <c r="E772" s="41">
        <v>1.3231013495633765E-4</v>
      </c>
    </row>
    <row r="773" spans="2:5" ht="15" customHeight="1">
      <c r="B773" s="93"/>
      <c r="C773" s="43" t="s">
        <v>124</v>
      </c>
      <c r="D773" s="42">
        <v>4</v>
      </c>
      <c r="E773" s="41">
        <v>1.7641351327511687E-4</v>
      </c>
    </row>
    <row r="774" spans="2:5" ht="15" customHeight="1">
      <c r="B774" s="93"/>
      <c r="C774" s="43" t="s">
        <v>156</v>
      </c>
      <c r="D774" s="42">
        <v>6</v>
      </c>
      <c r="E774" s="41">
        <v>2.646202699126753E-4</v>
      </c>
    </row>
    <row r="775" spans="2:5" ht="15" customHeight="1">
      <c r="B775" s="93"/>
      <c r="C775" s="43" t="s">
        <v>125</v>
      </c>
      <c r="D775" s="42">
        <v>13</v>
      </c>
      <c r="E775" s="41">
        <v>5.7334391814412987E-4</v>
      </c>
    </row>
    <row r="776" spans="2:5" ht="15" customHeight="1">
      <c r="B776" s="93"/>
      <c r="C776" s="43" t="s">
        <v>152</v>
      </c>
      <c r="D776" s="42">
        <v>65</v>
      </c>
      <c r="E776" s="41">
        <v>2.8667195907206493E-3</v>
      </c>
    </row>
    <row r="777" spans="2:5" ht="15" customHeight="1">
      <c r="B777" s="93"/>
      <c r="C777" s="43" t="s">
        <v>130</v>
      </c>
      <c r="D777" s="42">
        <v>11</v>
      </c>
      <c r="E777" s="41">
        <v>4.8513716150657142E-4</v>
      </c>
    </row>
    <row r="778" spans="2:5" ht="15" customHeight="1">
      <c r="B778" s="93"/>
      <c r="C778" s="43" t="s">
        <v>133</v>
      </c>
      <c r="D778" s="42">
        <v>9</v>
      </c>
      <c r="E778" s="41">
        <v>3.9693040486901297E-4</v>
      </c>
    </row>
    <row r="779" spans="2:5" ht="15" customHeight="1">
      <c r="B779" s="93"/>
      <c r="C779" s="43" t="s">
        <v>163</v>
      </c>
      <c r="D779" s="42">
        <v>71</v>
      </c>
      <c r="E779" s="41">
        <v>3.1313398606333245E-3</v>
      </c>
    </row>
    <row r="780" spans="2:5" ht="15" customHeight="1">
      <c r="B780" s="93"/>
      <c r="C780" s="43" t="s">
        <v>137</v>
      </c>
      <c r="D780" s="42">
        <v>8</v>
      </c>
      <c r="E780" s="41">
        <v>3.5282702655023375E-4</v>
      </c>
    </row>
    <row r="781" spans="2:5" ht="15" customHeight="1">
      <c r="B781" s="93"/>
      <c r="C781" s="43" t="s">
        <v>161</v>
      </c>
      <c r="D781" s="42">
        <v>32</v>
      </c>
      <c r="E781" s="41">
        <v>1.411308106200935E-3</v>
      </c>
    </row>
    <row r="782" spans="2:5" ht="15" customHeight="1">
      <c r="B782" s="93"/>
      <c r="C782" s="43" t="s">
        <v>127</v>
      </c>
      <c r="D782" s="42">
        <v>4</v>
      </c>
      <c r="E782" s="41">
        <v>1.7641351327511687E-4</v>
      </c>
    </row>
    <row r="783" spans="2:5" ht="15" customHeight="1">
      <c r="B783" s="93"/>
      <c r="C783" s="43" t="s">
        <v>169</v>
      </c>
      <c r="D783" s="42">
        <v>33</v>
      </c>
      <c r="E783" s="41">
        <v>1.4554114845197143E-3</v>
      </c>
    </row>
    <row r="784" spans="2:5" ht="15" customHeight="1">
      <c r="B784" s="93"/>
      <c r="C784" s="43" t="s">
        <v>171</v>
      </c>
      <c r="D784" s="42">
        <v>23</v>
      </c>
      <c r="E784" s="41">
        <v>1.0143777013319221E-3</v>
      </c>
    </row>
    <row r="785" spans="2:5" ht="15" customHeight="1">
      <c r="B785" s="93"/>
      <c r="C785" s="43" t="s">
        <v>160</v>
      </c>
      <c r="D785" s="42">
        <v>20</v>
      </c>
      <c r="E785" s="41">
        <v>8.820675663755844E-4</v>
      </c>
    </row>
    <row r="786" spans="2:5" ht="15" customHeight="1">
      <c r="B786" s="93"/>
      <c r="C786" s="43" t="s">
        <v>168</v>
      </c>
      <c r="D786" s="42">
        <v>67</v>
      </c>
      <c r="E786" s="41">
        <v>2.9549263473582078E-3</v>
      </c>
    </row>
    <row r="787" spans="2:5" ht="15" customHeight="1">
      <c r="B787" s="93"/>
      <c r="C787" s="43" t="s">
        <v>126</v>
      </c>
      <c r="D787" s="42">
        <v>22</v>
      </c>
      <c r="E787" s="41">
        <v>9.7027432301314285E-4</v>
      </c>
    </row>
    <row r="788" spans="2:5" ht="15" customHeight="1">
      <c r="B788" s="93"/>
      <c r="C788" s="43" t="s">
        <v>149</v>
      </c>
      <c r="D788" s="42">
        <v>37</v>
      </c>
      <c r="E788" s="41">
        <v>1.6318249977948312E-3</v>
      </c>
    </row>
    <row r="789" spans="2:5" ht="15" customHeight="1">
      <c r="B789" s="93"/>
      <c r="C789" s="43" t="s">
        <v>144</v>
      </c>
      <c r="D789" s="42">
        <v>38</v>
      </c>
      <c r="E789" s="41">
        <v>1.6759283761136102E-3</v>
      </c>
    </row>
    <row r="790" spans="2:5" ht="15" customHeight="1">
      <c r="B790" s="93"/>
      <c r="C790" s="43" t="s">
        <v>150</v>
      </c>
      <c r="D790" s="42">
        <v>82</v>
      </c>
      <c r="E790" s="41">
        <v>3.6164770221398957E-3</v>
      </c>
    </row>
    <row r="791" spans="2:5" ht="15" customHeight="1">
      <c r="B791" s="93"/>
      <c r="C791" s="43" t="s">
        <v>138</v>
      </c>
      <c r="D791" s="42">
        <v>35</v>
      </c>
      <c r="E791" s="41">
        <v>1.5436182411572726E-3</v>
      </c>
    </row>
    <row r="792" spans="2:5" ht="15" customHeight="1">
      <c r="B792" s="93"/>
      <c r="C792" s="43" t="s">
        <v>155</v>
      </c>
      <c r="D792" s="42">
        <v>83</v>
      </c>
      <c r="E792" s="41">
        <v>3.660580400458675E-3</v>
      </c>
    </row>
    <row r="793" spans="2:5" ht="15" customHeight="1">
      <c r="B793" s="93"/>
      <c r="C793" s="43" t="s">
        <v>116</v>
      </c>
      <c r="D793" s="42">
        <v>3</v>
      </c>
      <c r="E793" s="41">
        <v>1.3231013495633765E-4</v>
      </c>
    </row>
    <row r="794" spans="2:5" ht="15" customHeight="1">
      <c r="B794" s="93"/>
      <c r="C794" s="43" t="s">
        <v>119</v>
      </c>
      <c r="D794" s="42">
        <v>4</v>
      </c>
      <c r="E794" s="41">
        <v>1.7641351327511687E-4</v>
      </c>
    </row>
    <row r="795" spans="2:5" ht="15" customHeight="1">
      <c r="B795" s="93"/>
      <c r="C795" s="43" t="s">
        <v>170</v>
      </c>
      <c r="D795" s="42">
        <v>100</v>
      </c>
      <c r="E795" s="41">
        <v>4.4103378318779219E-3</v>
      </c>
    </row>
    <row r="796" spans="2:5" ht="15" customHeight="1">
      <c r="B796" s="93"/>
      <c r="C796" s="43" t="s">
        <v>123</v>
      </c>
      <c r="D796" s="42">
        <v>7</v>
      </c>
      <c r="E796" s="41">
        <v>3.0872364823145452E-4</v>
      </c>
    </row>
    <row r="797" spans="2:5" ht="15" customHeight="1">
      <c r="B797" s="93"/>
      <c r="C797" s="43" t="s">
        <v>154</v>
      </c>
      <c r="D797" s="42">
        <v>8</v>
      </c>
      <c r="E797" s="41">
        <v>3.5282702655023375E-4</v>
      </c>
    </row>
    <row r="798" spans="2:5" ht="15" customHeight="1">
      <c r="B798" s="93"/>
      <c r="C798" s="43" t="s">
        <v>131</v>
      </c>
      <c r="D798" s="42">
        <v>10</v>
      </c>
      <c r="E798" s="41">
        <v>4.410337831877922E-4</v>
      </c>
    </row>
    <row r="799" spans="2:5" ht="15" customHeight="1">
      <c r="B799" s="93"/>
      <c r="C799" s="43" t="s">
        <v>147</v>
      </c>
      <c r="D799" s="42">
        <v>1</v>
      </c>
      <c r="E799" s="41">
        <v>4.4103378318779218E-5</v>
      </c>
    </row>
    <row r="800" spans="2:5" ht="15" customHeight="1">
      <c r="B800" s="93"/>
      <c r="C800" s="43" t="s">
        <v>146</v>
      </c>
      <c r="D800" s="42">
        <v>3</v>
      </c>
      <c r="E800" s="41">
        <v>1.3231013495633765E-4</v>
      </c>
    </row>
    <row r="801" spans="2:5" ht="15" customHeight="1">
      <c r="B801" s="93"/>
      <c r="C801" s="43" t="s">
        <v>167</v>
      </c>
      <c r="D801" s="42">
        <v>144</v>
      </c>
      <c r="E801" s="41">
        <v>6.3508864779042076E-3</v>
      </c>
    </row>
    <row r="802" spans="2:5" ht="15" customHeight="1">
      <c r="B802" s="93"/>
      <c r="C802" s="43" t="s">
        <v>165</v>
      </c>
      <c r="D802" s="42">
        <v>128</v>
      </c>
      <c r="E802" s="41">
        <v>5.64523242480374E-3</v>
      </c>
    </row>
    <row r="803" spans="2:5" ht="15" customHeight="1">
      <c r="B803" s="94"/>
      <c r="C803" s="40" t="s">
        <v>20</v>
      </c>
      <c r="D803" s="39">
        <v>2148</v>
      </c>
      <c r="E803" s="38">
        <v>9.4734056628737767E-2</v>
      </c>
    </row>
    <row r="804" spans="2:5" ht="15" customHeight="1">
      <c r="B804" s="92" t="s">
        <v>93</v>
      </c>
      <c r="C804" s="43" t="s">
        <v>132</v>
      </c>
      <c r="D804" s="42">
        <v>1</v>
      </c>
      <c r="E804" s="41">
        <v>4.4103378318779218E-5</v>
      </c>
    </row>
    <row r="805" spans="2:5" ht="15" customHeight="1">
      <c r="B805" s="93"/>
      <c r="C805" s="43" t="s">
        <v>145</v>
      </c>
      <c r="D805" s="42">
        <v>1</v>
      </c>
      <c r="E805" s="41">
        <v>4.4103378318779218E-5</v>
      </c>
    </row>
    <row r="806" spans="2:5" ht="15" customHeight="1">
      <c r="B806" s="93"/>
      <c r="C806" s="43" t="s">
        <v>151</v>
      </c>
      <c r="D806" s="42">
        <v>2</v>
      </c>
      <c r="E806" s="41">
        <v>8.8206756637558437E-5</v>
      </c>
    </row>
    <row r="807" spans="2:5" ht="15" customHeight="1">
      <c r="B807" s="93"/>
      <c r="C807" s="43" t="s">
        <v>128</v>
      </c>
      <c r="D807" s="42">
        <v>1</v>
      </c>
      <c r="E807" s="41">
        <v>4.4103378318779218E-5</v>
      </c>
    </row>
    <row r="808" spans="2:5" ht="15" customHeight="1">
      <c r="B808" s="93"/>
      <c r="C808" s="43" t="s">
        <v>117</v>
      </c>
      <c r="D808" s="42">
        <v>1</v>
      </c>
      <c r="E808" s="41">
        <v>4.4103378318779218E-5</v>
      </c>
    </row>
    <row r="809" spans="2:5" ht="15" customHeight="1">
      <c r="B809" s="93"/>
      <c r="C809" s="43" t="s">
        <v>172</v>
      </c>
      <c r="D809" s="42">
        <v>16</v>
      </c>
      <c r="E809" s="41">
        <v>7.0565405310046749E-4</v>
      </c>
    </row>
    <row r="810" spans="2:5" ht="15" customHeight="1">
      <c r="B810" s="93"/>
      <c r="C810" s="43" t="s">
        <v>159</v>
      </c>
      <c r="D810" s="42">
        <v>3</v>
      </c>
      <c r="E810" s="41">
        <v>1.3231013495633765E-4</v>
      </c>
    </row>
    <row r="811" spans="2:5" ht="15" customHeight="1">
      <c r="B811" s="93"/>
      <c r="C811" s="43" t="s">
        <v>164</v>
      </c>
      <c r="D811" s="42">
        <v>3</v>
      </c>
      <c r="E811" s="41">
        <v>1.3231013495633765E-4</v>
      </c>
    </row>
    <row r="812" spans="2:5" ht="15" customHeight="1">
      <c r="B812" s="93"/>
      <c r="C812" s="43" t="s">
        <v>166</v>
      </c>
      <c r="D812" s="42">
        <v>2</v>
      </c>
      <c r="E812" s="41">
        <v>8.8206756637558437E-5</v>
      </c>
    </row>
    <row r="813" spans="2:5" ht="15" customHeight="1">
      <c r="B813" s="93"/>
      <c r="C813" s="43" t="s">
        <v>153</v>
      </c>
      <c r="D813" s="42">
        <v>4</v>
      </c>
      <c r="E813" s="41">
        <v>1.7641351327511687E-4</v>
      </c>
    </row>
    <row r="814" spans="2:5" ht="15" customHeight="1">
      <c r="B814" s="93"/>
      <c r="C814" s="43" t="s">
        <v>141</v>
      </c>
      <c r="D814" s="42">
        <v>1</v>
      </c>
      <c r="E814" s="41">
        <v>4.4103378318779218E-5</v>
      </c>
    </row>
    <row r="815" spans="2:5" ht="15" customHeight="1">
      <c r="B815" s="93"/>
      <c r="C815" s="43" t="s">
        <v>156</v>
      </c>
      <c r="D815" s="42">
        <v>2</v>
      </c>
      <c r="E815" s="41">
        <v>8.8206756637558437E-5</v>
      </c>
    </row>
    <row r="816" spans="2:5" ht="15" customHeight="1">
      <c r="B816" s="93"/>
      <c r="C816" s="43" t="s">
        <v>130</v>
      </c>
      <c r="D816" s="42">
        <v>1</v>
      </c>
      <c r="E816" s="41">
        <v>4.4103378318779218E-5</v>
      </c>
    </row>
    <row r="817" spans="2:5" ht="15" customHeight="1">
      <c r="B817" s="93"/>
      <c r="C817" s="43" t="s">
        <v>163</v>
      </c>
      <c r="D817" s="42">
        <v>2</v>
      </c>
      <c r="E817" s="41">
        <v>8.8206756637558437E-5</v>
      </c>
    </row>
    <row r="818" spans="2:5" ht="15" customHeight="1">
      <c r="B818" s="93"/>
      <c r="C818" s="43" t="s">
        <v>137</v>
      </c>
      <c r="D818" s="42">
        <v>12</v>
      </c>
      <c r="E818" s="41">
        <v>5.2924053982535059E-4</v>
      </c>
    </row>
    <row r="819" spans="2:5" ht="15" customHeight="1">
      <c r="B819" s="93"/>
      <c r="C819" s="43" t="s">
        <v>161</v>
      </c>
      <c r="D819" s="42">
        <v>1</v>
      </c>
      <c r="E819" s="41">
        <v>4.4103378318779218E-5</v>
      </c>
    </row>
    <row r="820" spans="2:5" ht="15" customHeight="1">
      <c r="B820" s="93"/>
      <c r="C820" s="43" t="s">
        <v>169</v>
      </c>
      <c r="D820" s="42">
        <v>20</v>
      </c>
      <c r="E820" s="41">
        <v>8.820675663755844E-4</v>
      </c>
    </row>
    <row r="821" spans="2:5" ht="15" customHeight="1">
      <c r="B821" s="93"/>
      <c r="C821" s="43" t="s">
        <v>160</v>
      </c>
      <c r="D821" s="42">
        <v>2</v>
      </c>
      <c r="E821" s="41">
        <v>8.8206756637558437E-5</v>
      </c>
    </row>
    <row r="822" spans="2:5" ht="15" customHeight="1">
      <c r="B822" s="93"/>
      <c r="C822" s="43" t="s">
        <v>168</v>
      </c>
      <c r="D822" s="42">
        <v>4</v>
      </c>
      <c r="E822" s="41">
        <v>1.7641351327511687E-4</v>
      </c>
    </row>
    <row r="823" spans="2:5" ht="15" customHeight="1">
      <c r="B823" s="93"/>
      <c r="C823" s="43" t="s">
        <v>149</v>
      </c>
      <c r="D823" s="42">
        <v>1</v>
      </c>
      <c r="E823" s="41">
        <v>4.4103378318779218E-5</v>
      </c>
    </row>
    <row r="824" spans="2:5" ht="15" customHeight="1">
      <c r="B824" s="93"/>
      <c r="C824" s="43" t="s">
        <v>144</v>
      </c>
      <c r="D824" s="42">
        <v>1</v>
      </c>
      <c r="E824" s="41">
        <v>4.4103378318779218E-5</v>
      </c>
    </row>
    <row r="825" spans="2:5" ht="15" customHeight="1">
      <c r="B825" s="93"/>
      <c r="C825" s="43" t="s">
        <v>150</v>
      </c>
      <c r="D825" s="42">
        <v>1</v>
      </c>
      <c r="E825" s="41">
        <v>4.4103378318779218E-5</v>
      </c>
    </row>
    <row r="826" spans="2:5" ht="15" customHeight="1">
      <c r="B826" s="93"/>
      <c r="C826" s="43" t="s">
        <v>155</v>
      </c>
      <c r="D826" s="42">
        <v>1</v>
      </c>
      <c r="E826" s="41">
        <v>4.4103378318779218E-5</v>
      </c>
    </row>
    <row r="827" spans="2:5" ht="15" customHeight="1">
      <c r="B827" s="93"/>
      <c r="C827" s="43" t="s">
        <v>170</v>
      </c>
      <c r="D827" s="42">
        <v>4</v>
      </c>
      <c r="E827" s="41">
        <v>1.7641351327511687E-4</v>
      </c>
    </row>
    <row r="828" spans="2:5" ht="15" customHeight="1">
      <c r="B828" s="93"/>
      <c r="C828" s="43" t="s">
        <v>154</v>
      </c>
      <c r="D828" s="42">
        <v>3</v>
      </c>
      <c r="E828" s="41">
        <v>1.3231013495633765E-4</v>
      </c>
    </row>
    <row r="829" spans="2:5" ht="15" customHeight="1">
      <c r="B829" s="93"/>
      <c r="C829" s="43" t="s">
        <v>131</v>
      </c>
      <c r="D829" s="42">
        <v>5</v>
      </c>
      <c r="E829" s="41">
        <v>2.205168915938961E-4</v>
      </c>
    </row>
    <row r="830" spans="2:5" ht="15" customHeight="1">
      <c r="B830" s="93"/>
      <c r="C830" s="43" t="s">
        <v>147</v>
      </c>
      <c r="D830" s="42">
        <v>1</v>
      </c>
      <c r="E830" s="41">
        <v>4.4103378318779218E-5</v>
      </c>
    </row>
    <row r="831" spans="2:5" ht="15" customHeight="1">
      <c r="B831" s="93"/>
      <c r="C831" s="43" t="s">
        <v>146</v>
      </c>
      <c r="D831" s="42">
        <v>38</v>
      </c>
      <c r="E831" s="41">
        <v>1.6759283761136102E-3</v>
      </c>
    </row>
    <row r="832" spans="2:5" ht="15" customHeight="1">
      <c r="B832" s="93"/>
      <c r="C832" s="43" t="s">
        <v>167</v>
      </c>
      <c r="D832" s="42">
        <v>2</v>
      </c>
      <c r="E832" s="41">
        <v>8.8206756637558437E-5</v>
      </c>
    </row>
    <row r="833" spans="2:5" ht="15" customHeight="1">
      <c r="B833" s="93"/>
      <c r="C833" s="43" t="s">
        <v>165</v>
      </c>
      <c r="D833" s="42">
        <v>11</v>
      </c>
      <c r="E833" s="41">
        <v>4.8513716150657142E-4</v>
      </c>
    </row>
    <row r="834" spans="2:5" ht="15" customHeight="1">
      <c r="B834" s="94"/>
      <c r="C834" s="40" t="s">
        <v>20</v>
      </c>
      <c r="D834" s="39">
        <v>147</v>
      </c>
      <c r="E834" s="38">
        <v>6.4831966128605454E-3</v>
      </c>
    </row>
    <row r="835" spans="2:5" ht="15" customHeight="1">
      <c r="B835" s="92" t="s">
        <v>88</v>
      </c>
      <c r="C835" s="43" t="s">
        <v>134</v>
      </c>
      <c r="D835" s="42">
        <v>2</v>
      </c>
      <c r="E835" s="41">
        <v>8.8206756637558437E-5</v>
      </c>
    </row>
    <row r="836" spans="2:5" ht="15" customHeight="1">
      <c r="B836" s="93"/>
      <c r="C836" s="43" t="s">
        <v>172</v>
      </c>
      <c r="D836" s="42">
        <v>8</v>
      </c>
      <c r="E836" s="41">
        <v>3.5282702655023375E-4</v>
      </c>
    </row>
    <row r="837" spans="2:5" ht="15" customHeight="1">
      <c r="B837" s="93"/>
      <c r="C837" s="43" t="s">
        <v>139</v>
      </c>
      <c r="D837" s="42">
        <v>4</v>
      </c>
      <c r="E837" s="41">
        <v>1.7641351327511687E-4</v>
      </c>
    </row>
    <row r="838" spans="2:5" ht="15" customHeight="1">
      <c r="B838" s="93"/>
      <c r="C838" s="43" t="s">
        <v>159</v>
      </c>
      <c r="D838" s="42">
        <v>2</v>
      </c>
      <c r="E838" s="41">
        <v>8.8206756637558437E-5</v>
      </c>
    </row>
    <row r="839" spans="2:5" ht="15" customHeight="1">
      <c r="B839" s="93"/>
      <c r="C839" s="43" t="s">
        <v>157</v>
      </c>
      <c r="D839" s="42">
        <v>11</v>
      </c>
      <c r="E839" s="41">
        <v>4.8513716150657142E-4</v>
      </c>
    </row>
    <row r="840" spans="2:5" ht="15" customHeight="1">
      <c r="B840" s="93"/>
      <c r="C840" s="43" t="s">
        <v>164</v>
      </c>
      <c r="D840" s="42">
        <v>5</v>
      </c>
      <c r="E840" s="41">
        <v>2.205168915938961E-4</v>
      </c>
    </row>
    <row r="841" spans="2:5" ht="15" customHeight="1">
      <c r="B841" s="93"/>
      <c r="C841" s="43" t="s">
        <v>166</v>
      </c>
      <c r="D841" s="42">
        <v>9</v>
      </c>
      <c r="E841" s="41">
        <v>3.9693040486901297E-4</v>
      </c>
    </row>
    <row r="842" spans="2:5" ht="15" customHeight="1">
      <c r="B842" s="93"/>
      <c r="C842" s="43" t="s">
        <v>142</v>
      </c>
      <c r="D842" s="42">
        <v>1</v>
      </c>
      <c r="E842" s="41">
        <v>4.4103378318779218E-5</v>
      </c>
    </row>
    <row r="843" spans="2:5" ht="15" customHeight="1">
      <c r="B843" s="93"/>
      <c r="C843" s="43" t="s">
        <v>148</v>
      </c>
      <c r="D843" s="42">
        <v>1</v>
      </c>
      <c r="E843" s="41">
        <v>4.4103378318779218E-5</v>
      </c>
    </row>
    <row r="844" spans="2:5" ht="15" customHeight="1">
      <c r="B844" s="93"/>
      <c r="C844" s="43" t="s">
        <v>141</v>
      </c>
      <c r="D844" s="42">
        <v>4</v>
      </c>
      <c r="E844" s="41">
        <v>1.7641351327511687E-4</v>
      </c>
    </row>
    <row r="845" spans="2:5" ht="15" customHeight="1">
      <c r="B845" s="93"/>
      <c r="C845" s="43" t="s">
        <v>156</v>
      </c>
      <c r="D845" s="42">
        <v>12</v>
      </c>
      <c r="E845" s="41">
        <v>5.2924053982535059E-4</v>
      </c>
    </row>
    <row r="846" spans="2:5" ht="15" customHeight="1">
      <c r="B846" s="93"/>
      <c r="C846" s="43" t="s">
        <v>152</v>
      </c>
      <c r="D846" s="42">
        <v>2</v>
      </c>
      <c r="E846" s="41">
        <v>8.8206756637558437E-5</v>
      </c>
    </row>
    <row r="847" spans="2:5" ht="15" customHeight="1">
      <c r="B847" s="93"/>
      <c r="C847" s="43" t="s">
        <v>163</v>
      </c>
      <c r="D847" s="42">
        <v>7</v>
      </c>
      <c r="E847" s="41">
        <v>3.0872364823145452E-4</v>
      </c>
    </row>
    <row r="848" spans="2:5" ht="15" customHeight="1">
      <c r="B848" s="93"/>
      <c r="C848" s="43" t="s">
        <v>161</v>
      </c>
      <c r="D848" s="42">
        <v>1</v>
      </c>
      <c r="E848" s="41">
        <v>4.4103378318779218E-5</v>
      </c>
    </row>
    <row r="849" spans="2:5" ht="15" customHeight="1">
      <c r="B849" s="93"/>
      <c r="C849" s="43" t="s">
        <v>127</v>
      </c>
      <c r="D849" s="42">
        <v>1</v>
      </c>
      <c r="E849" s="41">
        <v>4.4103378318779218E-5</v>
      </c>
    </row>
    <row r="850" spans="2:5" ht="15" customHeight="1">
      <c r="B850" s="93"/>
      <c r="C850" s="43" t="s">
        <v>169</v>
      </c>
      <c r="D850" s="42">
        <v>7</v>
      </c>
      <c r="E850" s="41">
        <v>3.0872364823145452E-4</v>
      </c>
    </row>
    <row r="851" spans="2:5" ht="15" customHeight="1">
      <c r="B851" s="93"/>
      <c r="C851" s="43" t="s">
        <v>171</v>
      </c>
      <c r="D851" s="42">
        <v>17</v>
      </c>
      <c r="E851" s="41">
        <v>7.4975743141924667E-4</v>
      </c>
    </row>
    <row r="852" spans="2:5" ht="15" customHeight="1">
      <c r="B852" s="93"/>
      <c r="C852" s="43" t="s">
        <v>160</v>
      </c>
      <c r="D852" s="42">
        <v>25</v>
      </c>
      <c r="E852" s="41">
        <v>1.1025844579694805E-3</v>
      </c>
    </row>
    <row r="853" spans="2:5" ht="15" customHeight="1">
      <c r="B853" s="93"/>
      <c r="C853" s="43" t="s">
        <v>168</v>
      </c>
      <c r="D853" s="42">
        <v>4</v>
      </c>
      <c r="E853" s="41">
        <v>1.7641351327511687E-4</v>
      </c>
    </row>
    <row r="854" spans="2:5" ht="15" customHeight="1">
      <c r="B854" s="93"/>
      <c r="C854" s="43" t="s">
        <v>170</v>
      </c>
      <c r="D854" s="42">
        <v>2</v>
      </c>
      <c r="E854" s="41">
        <v>8.8206756637558437E-5</v>
      </c>
    </row>
    <row r="855" spans="2:5" ht="15" customHeight="1">
      <c r="B855" s="93"/>
      <c r="C855" s="43" t="s">
        <v>123</v>
      </c>
      <c r="D855" s="42">
        <v>1</v>
      </c>
      <c r="E855" s="41">
        <v>4.4103378318779218E-5</v>
      </c>
    </row>
    <row r="856" spans="2:5" ht="15" customHeight="1">
      <c r="B856" s="93"/>
      <c r="C856" s="43" t="s">
        <v>154</v>
      </c>
      <c r="D856" s="42">
        <v>2</v>
      </c>
      <c r="E856" s="41">
        <v>8.8206756637558437E-5</v>
      </c>
    </row>
    <row r="857" spans="2:5" ht="15" customHeight="1">
      <c r="B857" s="93"/>
      <c r="C857" s="43" t="s">
        <v>167</v>
      </c>
      <c r="D857" s="42">
        <v>4</v>
      </c>
      <c r="E857" s="41">
        <v>1.7641351327511687E-4</v>
      </c>
    </row>
    <row r="858" spans="2:5" ht="15" customHeight="1">
      <c r="B858" s="93"/>
      <c r="C858" s="43" t="s">
        <v>165</v>
      </c>
      <c r="D858" s="42">
        <v>12</v>
      </c>
      <c r="E858" s="41">
        <v>5.2924053982535059E-4</v>
      </c>
    </row>
    <row r="859" spans="2:5" ht="15" customHeight="1">
      <c r="B859" s="94"/>
      <c r="C859" s="40" t="s">
        <v>20</v>
      </c>
      <c r="D859" s="39">
        <v>144</v>
      </c>
      <c r="E859" s="38">
        <v>6.3508864779042076E-3</v>
      </c>
    </row>
    <row r="860" spans="2:5" ht="15" customHeight="1">
      <c r="B860" s="92" t="s">
        <v>87</v>
      </c>
      <c r="C860" s="43" t="s">
        <v>132</v>
      </c>
      <c r="D860" s="42">
        <v>16</v>
      </c>
      <c r="E860" s="41">
        <v>7.0565405310046749E-4</v>
      </c>
    </row>
    <row r="861" spans="2:5" ht="15" customHeight="1">
      <c r="B861" s="93"/>
      <c r="C861" s="43" t="s">
        <v>135</v>
      </c>
      <c r="D861" s="42">
        <v>2</v>
      </c>
      <c r="E861" s="41">
        <v>8.8206756637558437E-5</v>
      </c>
    </row>
    <row r="862" spans="2:5" ht="15" customHeight="1">
      <c r="B862" s="93"/>
      <c r="C862" s="43" t="s">
        <v>145</v>
      </c>
      <c r="D862" s="42">
        <v>5</v>
      </c>
      <c r="E862" s="41">
        <v>2.205168915938961E-4</v>
      </c>
    </row>
    <row r="863" spans="2:5" ht="15" customHeight="1">
      <c r="B863" s="93"/>
      <c r="C863" s="43" t="s">
        <v>151</v>
      </c>
      <c r="D863" s="42">
        <v>4</v>
      </c>
      <c r="E863" s="41">
        <v>1.7641351327511687E-4</v>
      </c>
    </row>
    <row r="864" spans="2:5" ht="15" customHeight="1">
      <c r="B864" s="93"/>
      <c r="C864" s="43" t="s">
        <v>134</v>
      </c>
      <c r="D864" s="42">
        <v>2</v>
      </c>
      <c r="E864" s="41">
        <v>8.8206756637558437E-5</v>
      </c>
    </row>
    <row r="865" spans="2:5" ht="15" customHeight="1">
      <c r="B865" s="93"/>
      <c r="C865" s="43" t="s">
        <v>121</v>
      </c>
      <c r="D865" s="42">
        <v>1</v>
      </c>
      <c r="E865" s="41">
        <v>4.4103378318779218E-5</v>
      </c>
    </row>
    <row r="866" spans="2:5" ht="15" customHeight="1">
      <c r="B866" s="93"/>
      <c r="C866" s="43" t="s">
        <v>172</v>
      </c>
      <c r="D866" s="42">
        <v>57</v>
      </c>
      <c r="E866" s="41">
        <v>2.5138925641704155E-3</v>
      </c>
    </row>
    <row r="867" spans="2:5" ht="15" customHeight="1">
      <c r="B867" s="93"/>
      <c r="C867" s="43" t="s">
        <v>139</v>
      </c>
      <c r="D867" s="42">
        <v>1</v>
      </c>
      <c r="E867" s="41">
        <v>4.4103378318779218E-5</v>
      </c>
    </row>
    <row r="868" spans="2:5" ht="15" customHeight="1">
      <c r="B868" s="93"/>
      <c r="C868" s="43" t="s">
        <v>122</v>
      </c>
      <c r="D868" s="42">
        <v>1</v>
      </c>
      <c r="E868" s="41">
        <v>4.4103378318779218E-5</v>
      </c>
    </row>
    <row r="869" spans="2:5" ht="15" customHeight="1">
      <c r="B869" s="93"/>
      <c r="C869" s="43" t="s">
        <v>159</v>
      </c>
      <c r="D869" s="42">
        <v>36</v>
      </c>
      <c r="E869" s="41">
        <v>1.5877216194760519E-3</v>
      </c>
    </row>
    <row r="870" spans="2:5" ht="15" customHeight="1">
      <c r="B870" s="93"/>
      <c r="C870" s="43" t="s">
        <v>157</v>
      </c>
      <c r="D870" s="42">
        <v>5</v>
      </c>
      <c r="E870" s="41">
        <v>2.205168915938961E-4</v>
      </c>
    </row>
    <row r="871" spans="2:5" ht="15" customHeight="1">
      <c r="B871" s="93"/>
      <c r="C871" s="43" t="s">
        <v>164</v>
      </c>
      <c r="D871" s="42">
        <v>25</v>
      </c>
      <c r="E871" s="41">
        <v>1.1025844579694805E-3</v>
      </c>
    </row>
    <row r="872" spans="2:5" ht="15" customHeight="1">
      <c r="B872" s="93"/>
      <c r="C872" s="43" t="s">
        <v>162</v>
      </c>
      <c r="D872" s="42">
        <v>5</v>
      </c>
      <c r="E872" s="41">
        <v>2.205168915938961E-4</v>
      </c>
    </row>
    <row r="873" spans="2:5" ht="15" customHeight="1">
      <c r="B873" s="93"/>
      <c r="C873" s="43" t="s">
        <v>166</v>
      </c>
      <c r="D873" s="42">
        <v>12</v>
      </c>
      <c r="E873" s="41">
        <v>5.2924053982535059E-4</v>
      </c>
    </row>
    <row r="874" spans="2:5" ht="15" customHeight="1">
      <c r="B874" s="93"/>
      <c r="C874" s="43" t="s">
        <v>142</v>
      </c>
      <c r="D874" s="42">
        <v>3</v>
      </c>
      <c r="E874" s="41">
        <v>1.3231013495633765E-4</v>
      </c>
    </row>
    <row r="875" spans="2:5" ht="15" customHeight="1">
      <c r="B875" s="93"/>
      <c r="C875" s="43" t="s">
        <v>158</v>
      </c>
      <c r="D875" s="42">
        <v>1</v>
      </c>
      <c r="E875" s="41">
        <v>4.4103378318779218E-5</v>
      </c>
    </row>
    <row r="876" spans="2:5" ht="15" customHeight="1">
      <c r="B876" s="93"/>
      <c r="C876" s="43" t="s">
        <v>148</v>
      </c>
      <c r="D876" s="42">
        <v>1</v>
      </c>
      <c r="E876" s="41">
        <v>4.4103378318779218E-5</v>
      </c>
    </row>
    <row r="877" spans="2:5" ht="15" customHeight="1">
      <c r="B877" s="93"/>
      <c r="C877" s="43" t="s">
        <v>153</v>
      </c>
      <c r="D877" s="42">
        <v>2</v>
      </c>
      <c r="E877" s="41">
        <v>8.8206756637558437E-5</v>
      </c>
    </row>
    <row r="878" spans="2:5" ht="15" customHeight="1">
      <c r="B878" s="93"/>
      <c r="C878" s="43" t="s">
        <v>143</v>
      </c>
      <c r="D878" s="42">
        <v>3</v>
      </c>
      <c r="E878" s="41">
        <v>1.3231013495633765E-4</v>
      </c>
    </row>
    <row r="879" spans="2:5" ht="15" customHeight="1">
      <c r="B879" s="93"/>
      <c r="C879" s="43" t="s">
        <v>141</v>
      </c>
      <c r="D879" s="42">
        <v>3</v>
      </c>
      <c r="E879" s="41">
        <v>1.3231013495633765E-4</v>
      </c>
    </row>
    <row r="880" spans="2:5" ht="15" customHeight="1">
      <c r="B880" s="93"/>
      <c r="C880" s="43" t="s">
        <v>156</v>
      </c>
      <c r="D880" s="42">
        <v>2</v>
      </c>
      <c r="E880" s="41">
        <v>8.8206756637558437E-5</v>
      </c>
    </row>
    <row r="881" spans="2:5" ht="15" customHeight="1">
      <c r="B881" s="93"/>
      <c r="C881" s="43" t="s">
        <v>163</v>
      </c>
      <c r="D881" s="42">
        <v>2</v>
      </c>
      <c r="E881" s="41">
        <v>8.8206756637558437E-5</v>
      </c>
    </row>
    <row r="882" spans="2:5" ht="15" customHeight="1">
      <c r="B882" s="93"/>
      <c r="C882" s="43" t="s">
        <v>137</v>
      </c>
      <c r="D882" s="42">
        <v>2</v>
      </c>
      <c r="E882" s="41">
        <v>8.8206756637558437E-5</v>
      </c>
    </row>
    <row r="883" spans="2:5" ht="15" customHeight="1">
      <c r="B883" s="93"/>
      <c r="C883" s="43" t="s">
        <v>161</v>
      </c>
      <c r="D883" s="42">
        <v>63</v>
      </c>
      <c r="E883" s="41">
        <v>2.7785128340830907E-3</v>
      </c>
    </row>
    <row r="884" spans="2:5" ht="15" customHeight="1">
      <c r="B884" s="93"/>
      <c r="C884" s="43" t="s">
        <v>169</v>
      </c>
      <c r="D884" s="42">
        <v>8</v>
      </c>
      <c r="E884" s="41">
        <v>3.5282702655023375E-4</v>
      </c>
    </row>
    <row r="885" spans="2:5" ht="15" customHeight="1">
      <c r="B885" s="93"/>
      <c r="C885" s="43" t="s">
        <v>171</v>
      </c>
      <c r="D885" s="42">
        <v>21</v>
      </c>
      <c r="E885" s="41">
        <v>9.2617094469436357E-4</v>
      </c>
    </row>
    <row r="886" spans="2:5" ht="15" customHeight="1">
      <c r="B886" s="93"/>
      <c r="C886" s="43" t="s">
        <v>160</v>
      </c>
      <c r="D886" s="42">
        <v>2</v>
      </c>
      <c r="E886" s="41">
        <v>8.8206756637558437E-5</v>
      </c>
    </row>
    <row r="887" spans="2:5" ht="15" customHeight="1">
      <c r="B887" s="93"/>
      <c r="C887" s="43" t="s">
        <v>168</v>
      </c>
      <c r="D887" s="42">
        <v>7</v>
      </c>
      <c r="E887" s="41">
        <v>3.0872364823145452E-4</v>
      </c>
    </row>
    <row r="888" spans="2:5" ht="15" customHeight="1">
      <c r="B888" s="93"/>
      <c r="C888" s="43" t="s">
        <v>126</v>
      </c>
      <c r="D888" s="42">
        <v>3</v>
      </c>
      <c r="E888" s="41">
        <v>1.3231013495633765E-4</v>
      </c>
    </row>
    <row r="889" spans="2:5" ht="15" customHeight="1">
      <c r="B889" s="93"/>
      <c r="C889" s="43" t="s">
        <v>144</v>
      </c>
      <c r="D889" s="42">
        <v>10</v>
      </c>
      <c r="E889" s="41">
        <v>4.410337831877922E-4</v>
      </c>
    </row>
    <row r="890" spans="2:5" ht="15" customHeight="1">
      <c r="B890" s="93"/>
      <c r="C890" s="43" t="s">
        <v>150</v>
      </c>
      <c r="D890" s="42">
        <v>1</v>
      </c>
      <c r="E890" s="41">
        <v>4.4103378318779218E-5</v>
      </c>
    </row>
    <row r="891" spans="2:5" ht="15" customHeight="1">
      <c r="B891" s="93"/>
      <c r="C891" s="43" t="s">
        <v>138</v>
      </c>
      <c r="D891" s="42">
        <v>10</v>
      </c>
      <c r="E891" s="41">
        <v>4.410337831877922E-4</v>
      </c>
    </row>
    <row r="892" spans="2:5" ht="15" customHeight="1">
      <c r="B892" s="93"/>
      <c r="C892" s="43" t="s">
        <v>155</v>
      </c>
      <c r="D892" s="42">
        <v>6</v>
      </c>
      <c r="E892" s="41">
        <v>2.646202699126753E-4</v>
      </c>
    </row>
    <row r="893" spans="2:5" ht="15" customHeight="1">
      <c r="B893" s="93"/>
      <c r="C893" s="43" t="s">
        <v>119</v>
      </c>
      <c r="D893" s="42">
        <v>6</v>
      </c>
      <c r="E893" s="41">
        <v>2.646202699126753E-4</v>
      </c>
    </row>
    <row r="894" spans="2:5" ht="15" customHeight="1">
      <c r="B894" s="93"/>
      <c r="C894" s="43" t="s">
        <v>170</v>
      </c>
      <c r="D894" s="42">
        <v>9</v>
      </c>
      <c r="E894" s="41">
        <v>3.9693040486901297E-4</v>
      </c>
    </row>
    <row r="895" spans="2:5" ht="15" customHeight="1">
      <c r="B895" s="93"/>
      <c r="C895" s="43" t="s">
        <v>123</v>
      </c>
      <c r="D895" s="42">
        <v>1</v>
      </c>
      <c r="E895" s="41">
        <v>4.4103378318779218E-5</v>
      </c>
    </row>
    <row r="896" spans="2:5" ht="15" customHeight="1">
      <c r="B896" s="93"/>
      <c r="C896" s="43" t="s">
        <v>154</v>
      </c>
      <c r="D896" s="42">
        <v>2</v>
      </c>
      <c r="E896" s="41">
        <v>8.8206756637558437E-5</v>
      </c>
    </row>
    <row r="897" spans="2:5" ht="15" customHeight="1">
      <c r="B897" s="93"/>
      <c r="C897" s="43" t="s">
        <v>147</v>
      </c>
      <c r="D897" s="42">
        <v>3</v>
      </c>
      <c r="E897" s="41">
        <v>1.3231013495633765E-4</v>
      </c>
    </row>
    <row r="898" spans="2:5" ht="15" customHeight="1">
      <c r="B898" s="93"/>
      <c r="C898" s="43" t="s">
        <v>146</v>
      </c>
      <c r="D898" s="42">
        <v>19</v>
      </c>
      <c r="E898" s="41">
        <v>8.3796418805680512E-4</v>
      </c>
    </row>
    <row r="899" spans="2:5" ht="15" customHeight="1">
      <c r="B899" s="93"/>
      <c r="C899" s="43" t="s">
        <v>167</v>
      </c>
      <c r="D899" s="42">
        <v>13</v>
      </c>
      <c r="E899" s="41">
        <v>5.7334391814412987E-4</v>
      </c>
    </row>
    <row r="900" spans="2:5" ht="15" customHeight="1">
      <c r="B900" s="93"/>
      <c r="C900" s="43" t="s">
        <v>165</v>
      </c>
      <c r="D900" s="42">
        <v>24</v>
      </c>
      <c r="E900" s="41">
        <v>1.0584810796507012E-3</v>
      </c>
    </row>
    <row r="901" spans="2:5" ht="15" customHeight="1">
      <c r="B901" s="94"/>
      <c r="C901" s="40" t="s">
        <v>20</v>
      </c>
      <c r="D901" s="39">
        <v>399</v>
      </c>
      <c r="E901" s="38">
        <v>1.7597247949192908E-2</v>
      </c>
    </row>
    <row r="902" spans="2:5" ht="15" customHeight="1">
      <c r="B902" s="92" t="s">
        <v>68</v>
      </c>
      <c r="C902" s="43" t="s">
        <v>163</v>
      </c>
      <c r="D902" s="42">
        <v>1</v>
      </c>
      <c r="E902" s="41">
        <v>4.4103378318779218E-5</v>
      </c>
    </row>
    <row r="903" spans="2:5" ht="15" customHeight="1">
      <c r="B903" s="93"/>
      <c r="C903" s="43" t="s">
        <v>165</v>
      </c>
      <c r="D903" s="42">
        <v>1</v>
      </c>
      <c r="E903" s="41">
        <v>4.4103378318779218E-5</v>
      </c>
    </row>
    <row r="904" spans="2:5" ht="15" customHeight="1">
      <c r="B904" s="94"/>
      <c r="C904" s="40" t="s">
        <v>20</v>
      </c>
      <c r="D904" s="39">
        <v>2</v>
      </c>
      <c r="E904" s="38">
        <v>8.8206756637558437E-5</v>
      </c>
    </row>
    <row r="905" spans="2:5" ht="15" customHeight="1">
      <c r="B905" s="92" t="s">
        <v>80</v>
      </c>
      <c r="C905" s="43" t="s">
        <v>140</v>
      </c>
      <c r="D905" s="42">
        <v>3</v>
      </c>
      <c r="E905" s="41">
        <v>1.3231013495633765E-4</v>
      </c>
    </row>
    <row r="906" spans="2:5" ht="15" customHeight="1">
      <c r="B906" s="93"/>
      <c r="C906" s="43" t="s">
        <v>132</v>
      </c>
      <c r="D906" s="42">
        <v>1</v>
      </c>
      <c r="E906" s="41">
        <v>4.4103378318779218E-5</v>
      </c>
    </row>
    <row r="907" spans="2:5" ht="15" customHeight="1">
      <c r="B907" s="93"/>
      <c r="C907" s="43" t="s">
        <v>145</v>
      </c>
      <c r="D907" s="42">
        <v>1</v>
      </c>
      <c r="E907" s="41">
        <v>4.4103378318779218E-5</v>
      </c>
    </row>
    <row r="908" spans="2:5" ht="15" customHeight="1">
      <c r="B908" s="93"/>
      <c r="C908" s="43" t="s">
        <v>120</v>
      </c>
      <c r="D908" s="42">
        <v>1</v>
      </c>
      <c r="E908" s="41">
        <v>4.4103378318779218E-5</v>
      </c>
    </row>
    <row r="909" spans="2:5" ht="15" customHeight="1">
      <c r="B909" s="93"/>
      <c r="C909" s="43" t="s">
        <v>151</v>
      </c>
      <c r="D909" s="42">
        <v>1</v>
      </c>
      <c r="E909" s="41">
        <v>4.4103378318779218E-5</v>
      </c>
    </row>
    <row r="910" spans="2:5" ht="15" customHeight="1">
      <c r="B910" s="93"/>
      <c r="C910" s="43" t="s">
        <v>128</v>
      </c>
      <c r="D910" s="42">
        <v>2</v>
      </c>
      <c r="E910" s="41">
        <v>8.8206756637558437E-5</v>
      </c>
    </row>
    <row r="911" spans="2:5" ht="15" customHeight="1">
      <c r="B911" s="93"/>
      <c r="C911" s="43" t="s">
        <v>134</v>
      </c>
      <c r="D911" s="42">
        <v>1</v>
      </c>
      <c r="E911" s="41">
        <v>4.4103378318779218E-5</v>
      </c>
    </row>
    <row r="912" spans="2:5" ht="15" customHeight="1">
      <c r="B912" s="93"/>
      <c r="C912" s="43" t="s">
        <v>117</v>
      </c>
      <c r="D912" s="42">
        <v>1</v>
      </c>
      <c r="E912" s="41">
        <v>4.4103378318779218E-5</v>
      </c>
    </row>
    <row r="913" spans="2:5" ht="15" customHeight="1">
      <c r="B913" s="93"/>
      <c r="C913" s="43" t="s">
        <v>172</v>
      </c>
      <c r="D913" s="42">
        <v>27</v>
      </c>
      <c r="E913" s="41">
        <v>1.1907912146070388E-3</v>
      </c>
    </row>
    <row r="914" spans="2:5" ht="15" customHeight="1">
      <c r="B914" s="93"/>
      <c r="C914" s="43" t="s">
        <v>159</v>
      </c>
      <c r="D914" s="42">
        <v>18</v>
      </c>
      <c r="E914" s="41">
        <v>7.9386080973802594E-4</v>
      </c>
    </row>
    <row r="915" spans="2:5" ht="15" customHeight="1">
      <c r="B915" s="93"/>
      <c r="C915" s="43" t="s">
        <v>157</v>
      </c>
      <c r="D915" s="42">
        <v>25</v>
      </c>
      <c r="E915" s="41">
        <v>1.1025844579694805E-3</v>
      </c>
    </row>
    <row r="916" spans="2:5" ht="15" customHeight="1">
      <c r="B916" s="93"/>
      <c r="C916" s="43" t="s">
        <v>164</v>
      </c>
      <c r="D916" s="42">
        <v>12</v>
      </c>
      <c r="E916" s="41">
        <v>5.2924053982535059E-4</v>
      </c>
    </row>
    <row r="917" spans="2:5" ht="15" customHeight="1">
      <c r="B917" s="93"/>
      <c r="C917" s="43" t="s">
        <v>136</v>
      </c>
      <c r="D917" s="42">
        <v>1</v>
      </c>
      <c r="E917" s="41">
        <v>4.4103378318779218E-5</v>
      </c>
    </row>
    <row r="918" spans="2:5" ht="15" customHeight="1">
      <c r="B918" s="93"/>
      <c r="C918" s="43" t="s">
        <v>162</v>
      </c>
      <c r="D918" s="42">
        <v>6</v>
      </c>
      <c r="E918" s="41">
        <v>2.646202699126753E-4</v>
      </c>
    </row>
    <row r="919" spans="2:5" ht="15" customHeight="1">
      <c r="B919" s="93"/>
      <c r="C919" s="43" t="s">
        <v>166</v>
      </c>
      <c r="D919" s="42">
        <v>1</v>
      </c>
      <c r="E919" s="41">
        <v>4.4103378318779218E-5</v>
      </c>
    </row>
    <row r="920" spans="2:5" ht="15" customHeight="1">
      <c r="B920" s="93"/>
      <c r="C920" s="43" t="s">
        <v>158</v>
      </c>
      <c r="D920" s="42">
        <v>2</v>
      </c>
      <c r="E920" s="41">
        <v>8.8206756637558437E-5</v>
      </c>
    </row>
    <row r="921" spans="2:5" ht="15" customHeight="1">
      <c r="B921" s="93"/>
      <c r="C921" s="43" t="s">
        <v>148</v>
      </c>
      <c r="D921" s="42">
        <v>1</v>
      </c>
      <c r="E921" s="41">
        <v>4.4103378318779218E-5</v>
      </c>
    </row>
    <row r="922" spans="2:5" ht="15" customHeight="1">
      <c r="B922" s="93"/>
      <c r="C922" s="43" t="s">
        <v>153</v>
      </c>
      <c r="D922" s="42">
        <v>2</v>
      </c>
      <c r="E922" s="41">
        <v>8.8206756637558437E-5</v>
      </c>
    </row>
    <row r="923" spans="2:5" ht="15" customHeight="1">
      <c r="B923" s="93"/>
      <c r="C923" s="43" t="s">
        <v>141</v>
      </c>
      <c r="D923" s="42">
        <v>2</v>
      </c>
      <c r="E923" s="41">
        <v>8.8206756637558437E-5</v>
      </c>
    </row>
    <row r="924" spans="2:5" ht="15" customHeight="1">
      <c r="B924" s="93"/>
      <c r="C924" s="43" t="s">
        <v>156</v>
      </c>
      <c r="D924" s="42">
        <v>5</v>
      </c>
      <c r="E924" s="41">
        <v>2.205168915938961E-4</v>
      </c>
    </row>
    <row r="925" spans="2:5" ht="15" customHeight="1">
      <c r="B925" s="93"/>
      <c r="C925" s="43" t="s">
        <v>163</v>
      </c>
      <c r="D925" s="42">
        <v>2</v>
      </c>
      <c r="E925" s="41">
        <v>8.8206756637558437E-5</v>
      </c>
    </row>
    <row r="926" spans="2:5" ht="15" customHeight="1">
      <c r="B926" s="93"/>
      <c r="C926" s="43" t="s">
        <v>161</v>
      </c>
      <c r="D926" s="42">
        <v>36</v>
      </c>
      <c r="E926" s="41">
        <v>1.5877216194760519E-3</v>
      </c>
    </row>
    <row r="927" spans="2:5" ht="15" customHeight="1">
      <c r="B927" s="93"/>
      <c r="C927" s="43" t="s">
        <v>169</v>
      </c>
      <c r="D927" s="42">
        <v>11</v>
      </c>
      <c r="E927" s="41">
        <v>4.8513716150657142E-4</v>
      </c>
    </row>
    <row r="928" spans="2:5" ht="15" customHeight="1">
      <c r="B928" s="93"/>
      <c r="C928" s="43" t="s">
        <v>171</v>
      </c>
      <c r="D928" s="42">
        <v>17</v>
      </c>
      <c r="E928" s="41">
        <v>7.4975743141924667E-4</v>
      </c>
    </row>
    <row r="929" spans="2:5" ht="15" customHeight="1">
      <c r="B929" s="93"/>
      <c r="C929" s="43" t="s">
        <v>160</v>
      </c>
      <c r="D929" s="42">
        <v>6</v>
      </c>
      <c r="E929" s="41">
        <v>2.646202699126753E-4</v>
      </c>
    </row>
    <row r="930" spans="2:5" ht="15" customHeight="1">
      <c r="B930" s="93"/>
      <c r="C930" s="43" t="s">
        <v>168</v>
      </c>
      <c r="D930" s="42">
        <v>33</v>
      </c>
      <c r="E930" s="41">
        <v>1.4554114845197143E-3</v>
      </c>
    </row>
    <row r="931" spans="2:5" ht="15" customHeight="1">
      <c r="B931" s="93"/>
      <c r="C931" s="43" t="s">
        <v>144</v>
      </c>
      <c r="D931" s="42">
        <v>2</v>
      </c>
      <c r="E931" s="41">
        <v>8.8206756637558437E-5</v>
      </c>
    </row>
    <row r="932" spans="2:5" ht="15" customHeight="1">
      <c r="B932" s="93"/>
      <c r="C932" s="43" t="s">
        <v>138</v>
      </c>
      <c r="D932" s="42">
        <v>1</v>
      </c>
      <c r="E932" s="41">
        <v>4.4103378318779218E-5</v>
      </c>
    </row>
    <row r="933" spans="2:5" ht="15" customHeight="1">
      <c r="B933" s="93"/>
      <c r="C933" s="43" t="s">
        <v>155</v>
      </c>
      <c r="D933" s="42">
        <v>5</v>
      </c>
      <c r="E933" s="41">
        <v>2.205168915938961E-4</v>
      </c>
    </row>
    <row r="934" spans="2:5" ht="15" customHeight="1">
      <c r="B934" s="93"/>
      <c r="C934" s="43" t="s">
        <v>170</v>
      </c>
      <c r="D934" s="42">
        <v>4</v>
      </c>
      <c r="E934" s="41">
        <v>1.7641351327511687E-4</v>
      </c>
    </row>
    <row r="935" spans="2:5" ht="15" customHeight="1">
      <c r="B935" s="93"/>
      <c r="C935" s="43" t="s">
        <v>123</v>
      </c>
      <c r="D935" s="42">
        <v>1</v>
      </c>
      <c r="E935" s="41">
        <v>4.4103378318779218E-5</v>
      </c>
    </row>
    <row r="936" spans="2:5" ht="15" customHeight="1">
      <c r="B936" s="93"/>
      <c r="C936" s="43" t="s">
        <v>147</v>
      </c>
      <c r="D936" s="42">
        <v>1</v>
      </c>
      <c r="E936" s="41">
        <v>4.4103378318779218E-5</v>
      </c>
    </row>
    <row r="937" spans="2:5" ht="15" customHeight="1">
      <c r="B937" s="93"/>
      <c r="C937" s="43" t="s">
        <v>146</v>
      </c>
      <c r="D937" s="42">
        <v>2</v>
      </c>
      <c r="E937" s="41">
        <v>8.8206756637558437E-5</v>
      </c>
    </row>
    <row r="938" spans="2:5" ht="15" customHeight="1">
      <c r="B938" s="93"/>
      <c r="C938" s="43" t="s">
        <v>167</v>
      </c>
      <c r="D938" s="42">
        <v>2</v>
      </c>
      <c r="E938" s="41">
        <v>8.8206756637558437E-5</v>
      </c>
    </row>
    <row r="939" spans="2:5" ht="15" customHeight="1">
      <c r="B939" s="93"/>
      <c r="C939" s="43" t="s">
        <v>165</v>
      </c>
      <c r="D939" s="42">
        <v>14</v>
      </c>
      <c r="E939" s="41">
        <v>6.1744729646290904E-4</v>
      </c>
    </row>
    <row r="940" spans="2:5" ht="15" customHeight="1">
      <c r="B940" s="94"/>
      <c r="C940" s="40" t="s">
        <v>20</v>
      </c>
      <c r="D940" s="39">
        <v>250</v>
      </c>
      <c r="E940" s="38">
        <v>1.1025844579694804E-2</v>
      </c>
    </row>
    <row r="941" spans="2:5" ht="15" customHeight="1">
      <c r="B941" s="92" t="s">
        <v>109</v>
      </c>
      <c r="C941" s="43" t="s">
        <v>134</v>
      </c>
      <c r="D941" s="42">
        <v>1</v>
      </c>
      <c r="E941" s="41">
        <v>4.4103378318779218E-5</v>
      </c>
    </row>
    <row r="942" spans="2:5" ht="15" customHeight="1">
      <c r="B942" s="93"/>
      <c r="C942" s="43" t="s">
        <v>117</v>
      </c>
      <c r="D942" s="42">
        <v>1</v>
      </c>
      <c r="E942" s="41">
        <v>4.4103378318779218E-5</v>
      </c>
    </row>
    <row r="943" spans="2:5" ht="15" customHeight="1">
      <c r="B943" s="93"/>
      <c r="C943" s="43" t="s">
        <v>172</v>
      </c>
      <c r="D943" s="42">
        <v>3</v>
      </c>
      <c r="E943" s="41">
        <v>1.3231013495633765E-4</v>
      </c>
    </row>
    <row r="944" spans="2:5" ht="15" customHeight="1">
      <c r="B944" s="93"/>
      <c r="C944" s="43" t="s">
        <v>159</v>
      </c>
      <c r="D944" s="42">
        <v>2</v>
      </c>
      <c r="E944" s="41">
        <v>8.8206756637558437E-5</v>
      </c>
    </row>
    <row r="945" spans="2:5" ht="15" customHeight="1">
      <c r="B945" s="93"/>
      <c r="C945" s="43" t="s">
        <v>157</v>
      </c>
      <c r="D945" s="42">
        <v>3</v>
      </c>
      <c r="E945" s="41">
        <v>1.3231013495633765E-4</v>
      </c>
    </row>
    <row r="946" spans="2:5" ht="15" customHeight="1">
      <c r="B946" s="93"/>
      <c r="C946" s="43" t="s">
        <v>164</v>
      </c>
      <c r="D946" s="42">
        <v>2</v>
      </c>
      <c r="E946" s="41">
        <v>8.8206756637558437E-5</v>
      </c>
    </row>
    <row r="947" spans="2:5" ht="15" customHeight="1">
      <c r="B947" s="93"/>
      <c r="C947" s="43" t="s">
        <v>162</v>
      </c>
      <c r="D947" s="42">
        <v>1</v>
      </c>
      <c r="E947" s="41">
        <v>4.4103378318779218E-5</v>
      </c>
    </row>
    <row r="948" spans="2:5" ht="15" customHeight="1">
      <c r="B948" s="93"/>
      <c r="C948" s="43" t="s">
        <v>166</v>
      </c>
      <c r="D948" s="42">
        <v>3</v>
      </c>
      <c r="E948" s="41">
        <v>1.3231013495633765E-4</v>
      </c>
    </row>
    <row r="949" spans="2:5" ht="15" customHeight="1">
      <c r="B949" s="93"/>
      <c r="C949" s="43" t="s">
        <v>142</v>
      </c>
      <c r="D949" s="42">
        <v>1</v>
      </c>
      <c r="E949" s="41">
        <v>4.4103378318779218E-5</v>
      </c>
    </row>
    <row r="950" spans="2:5" ht="15" customHeight="1">
      <c r="B950" s="93"/>
      <c r="C950" s="43" t="s">
        <v>158</v>
      </c>
      <c r="D950" s="42">
        <v>1</v>
      </c>
      <c r="E950" s="41">
        <v>4.4103378318779218E-5</v>
      </c>
    </row>
    <row r="951" spans="2:5" ht="15" customHeight="1">
      <c r="B951" s="93"/>
      <c r="C951" s="43" t="s">
        <v>141</v>
      </c>
      <c r="D951" s="42">
        <v>1</v>
      </c>
      <c r="E951" s="41">
        <v>4.4103378318779218E-5</v>
      </c>
    </row>
    <row r="952" spans="2:5" ht="15" customHeight="1">
      <c r="B952" s="93"/>
      <c r="C952" s="43" t="s">
        <v>130</v>
      </c>
      <c r="D952" s="42">
        <v>1</v>
      </c>
      <c r="E952" s="41">
        <v>4.4103378318779218E-5</v>
      </c>
    </row>
    <row r="953" spans="2:5" ht="15" customHeight="1">
      <c r="B953" s="93"/>
      <c r="C953" s="43" t="s">
        <v>163</v>
      </c>
      <c r="D953" s="42">
        <v>1</v>
      </c>
      <c r="E953" s="41">
        <v>4.4103378318779218E-5</v>
      </c>
    </row>
    <row r="954" spans="2:5" ht="15" customHeight="1">
      <c r="B954" s="93"/>
      <c r="C954" s="43" t="s">
        <v>161</v>
      </c>
      <c r="D954" s="42">
        <v>2</v>
      </c>
      <c r="E954" s="41">
        <v>8.8206756637558437E-5</v>
      </c>
    </row>
    <row r="955" spans="2:5" ht="15" customHeight="1">
      <c r="B955" s="93"/>
      <c r="C955" s="43" t="s">
        <v>169</v>
      </c>
      <c r="D955" s="42">
        <v>4</v>
      </c>
      <c r="E955" s="41">
        <v>1.7641351327511687E-4</v>
      </c>
    </row>
    <row r="956" spans="2:5" ht="15" customHeight="1">
      <c r="B956" s="93"/>
      <c r="C956" s="43" t="s">
        <v>171</v>
      </c>
      <c r="D956" s="42">
        <v>3</v>
      </c>
      <c r="E956" s="41">
        <v>1.3231013495633765E-4</v>
      </c>
    </row>
    <row r="957" spans="2:5" ht="15" customHeight="1">
      <c r="B957" s="93"/>
      <c r="C957" s="43" t="s">
        <v>160</v>
      </c>
      <c r="D957" s="42">
        <v>2</v>
      </c>
      <c r="E957" s="41">
        <v>8.8206756637558437E-5</v>
      </c>
    </row>
    <row r="958" spans="2:5" ht="15" customHeight="1">
      <c r="B958" s="93"/>
      <c r="C958" s="43" t="s">
        <v>168</v>
      </c>
      <c r="D958" s="42">
        <v>1</v>
      </c>
      <c r="E958" s="41">
        <v>4.4103378318779218E-5</v>
      </c>
    </row>
    <row r="959" spans="2:5" ht="15" customHeight="1">
      <c r="B959" s="93"/>
      <c r="C959" s="43" t="s">
        <v>126</v>
      </c>
      <c r="D959" s="42">
        <v>1</v>
      </c>
      <c r="E959" s="41">
        <v>4.4103378318779218E-5</v>
      </c>
    </row>
    <row r="960" spans="2:5" ht="15" customHeight="1">
      <c r="B960" s="93"/>
      <c r="C960" s="43" t="s">
        <v>123</v>
      </c>
      <c r="D960" s="42">
        <v>2</v>
      </c>
      <c r="E960" s="41">
        <v>8.8206756637558437E-5</v>
      </c>
    </row>
    <row r="961" spans="2:5" ht="15" customHeight="1">
      <c r="B961" s="93"/>
      <c r="C961" s="43" t="s">
        <v>154</v>
      </c>
      <c r="D961" s="42">
        <v>2</v>
      </c>
      <c r="E961" s="41">
        <v>8.8206756637558437E-5</v>
      </c>
    </row>
    <row r="962" spans="2:5" ht="15" customHeight="1">
      <c r="B962" s="93"/>
      <c r="C962" s="43" t="s">
        <v>146</v>
      </c>
      <c r="D962" s="42">
        <v>2</v>
      </c>
      <c r="E962" s="41">
        <v>8.8206756637558437E-5</v>
      </c>
    </row>
    <row r="963" spans="2:5" ht="15" customHeight="1">
      <c r="B963" s="93"/>
      <c r="C963" s="43" t="s">
        <v>167</v>
      </c>
      <c r="D963" s="42">
        <v>1</v>
      </c>
      <c r="E963" s="41">
        <v>4.4103378318779218E-5</v>
      </c>
    </row>
    <row r="964" spans="2:5" ht="15" customHeight="1">
      <c r="B964" s="93"/>
      <c r="C964" s="43" t="s">
        <v>165</v>
      </c>
      <c r="D964" s="42">
        <v>2</v>
      </c>
      <c r="E964" s="41">
        <v>8.8206756637558437E-5</v>
      </c>
    </row>
    <row r="965" spans="2:5" ht="15" customHeight="1">
      <c r="B965" s="94"/>
      <c r="C965" s="40" t="s">
        <v>20</v>
      </c>
      <c r="D965" s="39">
        <v>43</v>
      </c>
      <c r="E965" s="38">
        <v>1.8964452677075064E-3</v>
      </c>
    </row>
    <row r="966" spans="2:5" ht="15" customHeight="1">
      <c r="B966" s="92" t="s">
        <v>82</v>
      </c>
      <c r="C966" s="43" t="s">
        <v>140</v>
      </c>
      <c r="D966" s="42">
        <v>2</v>
      </c>
      <c r="E966" s="41">
        <v>8.8206756637558437E-5</v>
      </c>
    </row>
    <row r="967" spans="2:5" ht="15" customHeight="1">
      <c r="B967" s="93"/>
      <c r="C967" s="43" t="s">
        <v>135</v>
      </c>
      <c r="D967" s="42">
        <v>1</v>
      </c>
      <c r="E967" s="41">
        <v>4.4103378318779218E-5</v>
      </c>
    </row>
    <row r="968" spans="2:5" ht="15" customHeight="1">
      <c r="B968" s="93"/>
      <c r="C968" s="43" t="s">
        <v>145</v>
      </c>
      <c r="D968" s="42">
        <v>1</v>
      </c>
      <c r="E968" s="41">
        <v>4.4103378318779218E-5</v>
      </c>
    </row>
    <row r="969" spans="2:5" ht="15" customHeight="1">
      <c r="B969" s="93"/>
      <c r="C969" s="43" t="s">
        <v>120</v>
      </c>
      <c r="D969" s="42">
        <v>1</v>
      </c>
      <c r="E969" s="41">
        <v>4.4103378318779218E-5</v>
      </c>
    </row>
    <row r="970" spans="2:5" ht="15" customHeight="1">
      <c r="B970" s="93"/>
      <c r="C970" s="43" t="s">
        <v>151</v>
      </c>
      <c r="D970" s="42">
        <v>3</v>
      </c>
      <c r="E970" s="41">
        <v>1.3231013495633765E-4</v>
      </c>
    </row>
    <row r="971" spans="2:5" ht="15" customHeight="1">
      <c r="B971" s="93"/>
      <c r="C971" s="43" t="s">
        <v>128</v>
      </c>
      <c r="D971" s="42">
        <v>1</v>
      </c>
      <c r="E971" s="41">
        <v>4.4103378318779218E-5</v>
      </c>
    </row>
    <row r="972" spans="2:5" ht="15" customHeight="1">
      <c r="B972" s="93"/>
      <c r="C972" s="43" t="s">
        <v>134</v>
      </c>
      <c r="D972" s="42">
        <v>1</v>
      </c>
      <c r="E972" s="41">
        <v>4.4103378318779218E-5</v>
      </c>
    </row>
    <row r="973" spans="2:5" ht="15" customHeight="1">
      <c r="B973" s="93"/>
      <c r="C973" s="43" t="s">
        <v>121</v>
      </c>
      <c r="D973" s="42">
        <v>4</v>
      </c>
      <c r="E973" s="41">
        <v>1.7641351327511687E-4</v>
      </c>
    </row>
    <row r="974" spans="2:5" ht="15" customHeight="1">
      <c r="B974" s="93"/>
      <c r="C974" s="43" t="s">
        <v>172</v>
      </c>
      <c r="D974" s="42">
        <v>48</v>
      </c>
      <c r="E974" s="41">
        <v>2.1169621593014024E-3</v>
      </c>
    </row>
    <row r="975" spans="2:5" ht="15" customHeight="1">
      <c r="B975" s="93"/>
      <c r="C975" s="43" t="s">
        <v>139</v>
      </c>
      <c r="D975" s="42">
        <v>2</v>
      </c>
      <c r="E975" s="41">
        <v>8.8206756637558437E-5</v>
      </c>
    </row>
    <row r="976" spans="2:5" ht="15" customHeight="1">
      <c r="B976" s="93"/>
      <c r="C976" s="43" t="s">
        <v>159</v>
      </c>
      <c r="D976" s="42">
        <v>25</v>
      </c>
      <c r="E976" s="41">
        <v>1.1025844579694805E-3</v>
      </c>
    </row>
    <row r="977" spans="2:5" ht="15" customHeight="1">
      <c r="B977" s="93"/>
      <c r="C977" s="43" t="s">
        <v>157</v>
      </c>
      <c r="D977" s="42">
        <v>17</v>
      </c>
      <c r="E977" s="41">
        <v>7.4975743141924667E-4</v>
      </c>
    </row>
    <row r="978" spans="2:5" ht="15" customHeight="1">
      <c r="B978" s="93"/>
      <c r="C978" s="43" t="s">
        <v>164</v>
      </c>
      <c r="D978" s="42">
        <v>4</v>
      </c>
      <c r="E978" s="41">
        <v>1.7641351327511687E-4</v>
      </c>
    </row>
    <row r="979" spans="2:5" ht="15" customHeight="1">
      <c r="B979" s="93"/>
      <c r="C979" s="43" t="s">
        <v>162</v>
      </c>
      <c r="D979" s="42">
        <v>7</v>
      </c>
      <c r="E979" s="41">
        <v>3.0872364823145452E-4</v>
      </c>
    </row>
    <row r="980" spans="2:5" ht="15" customHeight="1">
      <c r="B980" s="93"/>
      <c r="C980" s="43" t="s">
        <v>166</v>
      </c>
      <c r="D980" s="42">
        <v>3</v>
      </c>
      <c r="E980" s="41">
        <v>1.3231013495633765E-4</v>
      </c>
    </row>
    <row r="981" spans="2:5" ht="15" customHeight="1">
      <c r="B981" s="93"/>
      <c r="C981" s="43" t="s">
        <v>142</v>
      </c>
      <c r="D981" s="42">
        <v>1</v>
      </c>
      <c r="E981" s="41">
        <v>4.4103378318779218E-5</v>
      </c>
    </row>
    <row r="982" spans="2:5" ht="15" customHeight="1">
      <c r="B982" s="93"/>
      <c r="C982" s="43" t="s">
        <v>158</v>
      </c>
      <c r="D982" s="42">
        <v>5</v>
      </c>
      <c r="E982" s="41">
        <v>2.205168915938961E-4</v>
      </c>
    </row>
    <row r="983" spans="2:5" ht="15" customHeight="1">
      <c r="B983" s="93"/>
      <c r="C983" s="43" t="s">
        <v>153</v>
      </c>
      <c r="D983" s="42">
        <v>5</v>
      </c>
      <c r="E983" s="41">
        <v>2.205168915938961E-4</v>
      </c>
    </row>
    <row r="984" spans="2:5" ht="15" customHeight="1">
      <c r="B984" s="93"/>
      <c r="C984" s="43" t="s">
        <v>143</v>
      </c>
      <c r="D984" s="42">
        <v>5</v>
      </c>
      <c r="E984" s="41">
        <v>2.205168915938961E-4</v>
      </c>
    </row>
    <row r="985" spans="2:5" ht="15" customHeight="1">
      <c r="B985" s="93"/>
      <c r="C985" s="43" t="s">
        <v>141</v>
      </c>
      <c r="D985" s="42">
        <v>5</v>
      </c>
      <c r="E985" s="41">
        <v>2.205168915938961E-4</v>
      </c>
    </row>
    <row r="986" spans="2:5" ht="15" customHeight="1">
      <c r="B986" s="93"/>
      <c r="C986" s="43" t="s">
        <v>118</v>
      </c>
      <c r="D986" s="42">
        <v>1</v>
      </c>
      <c r="E986" s="41">
        <v>4.4103378318779218E-5</v>
      </c>
    </row>
    <row r="987" spans="2:5" ht="15" customHeight="1">
      <c r="B987" s="93"/>
      <c r="C987" s="43" t="s">
        <v>124</v>
      </c>
      <c r="D987" s="42">
        <v>1</v>
      </c>
      <c r="E987" s="41">
        <v>4.4103378318779218E-5</v>
      </c>
    </row>
    <row r="988" spans="2:5" ht="15" customHeight="1">
      <c r="B988" s="93"/>
      <c r="C988" s="43" t="s">
        <v>156</v>
      </c>
      <c r="D988" s="42">
        <v>5</v>
      </c>
      <c r="E988" s="41">
        <v>2.205168915938961E-4</v>
      </c>
    </row>
    <row r="989" spans="2:5" ht="15" customHeight="1">
      <c r="B989" s="93"/>
      <c r="C989" s="43" t="s">
        <v>125</v>
      </c>
      <c r="D989" s="42">
        <v>2</v>
      </c>
      <c r="E989" s="41">
        <v>8.8206756637558437E-5</v>
      </c>
    </row>
    <row r="990" spans="2:5" ht="15" customHeight="1">
      <c r="B990" s="93"/>
      <c r="C990" s="43" t="s">
        <v>152</v>
      </c>
      <c r="D990" s="42">
        <v>2</v>
      </c>
      <c r="E990" s="41">
        <v>8.8206756637558437E-5</v>
      </c>
    </row>
    <row r="991" spans="2:5" ht="15" customHeight="1">
      <c r="B991" s="93"/>
      <c r="C991" s="43" t="s">
        <v>133</v>
      </c>
      <c r="D991" s="42">
        <v>2</v>
      </c>
      <c r="E991" s="41">
        <v>8.8206756637558437E-5</v>
      </c>
    </row>
    <row r="992" spans="2:5" ht="15" customHeight="1">
      <c r="B992" s="93"/>
      <c r="C992" s="43" t="s">
        <v>163</v>
      </c>
      <c r="D992" s="42">
        <v>4</v>
      </c>
      <c r="E992" s="41">
        <v>1.7641351327511687E-4</v>
      </c>
    </row>
    <row r="993" spans="2:5" ht="15" customHeight="1">
      <c r="B993" s="93"/>
      <c r="C993" s="43" t="s">
        <v>137</v>
      </c>
      <c r="D993" s="42">
        <v>4</v>
      </c>
      <c r="E993" s="41">
        <v>1.7641351327511687E-4</v>
      </c>
    </row>
    <row r="994" spans="2:5" ht="15" customHeight="1">
      <c r="B994" s="93"/>
      <c r="C994" s="43" t="s">
        <v>161</v>
      </c>
      <c r="D994" s="42">
        <v>6</v>
      </c>
      <c r="E994" s="41">
        <v>2.646202699126753E-4</v>
      </c>
    </row>
    <row r="995" spans="2:5" ht="15" customHeight="1">
      <c r="B995" s="93"/>
      <c r="C995" s="43" t="s">
        <v>127</v>
      </c>
      <c r="D995" s="42">
        <v>1</v>
      </c>
      <c r="E995" s="41">
        <v>4.4103378318779218E-5</v>
      </c>
    </row>
    <row r="996" spans="2:5" ht="15" customHeight="1">
      <c r="B996" s="93"/>
      <c r="C996" s="43" t="s">
        <v>169</v>
      </c>
      <c r="D996" s="42">
        <v>6</v>
      </c>
      <c r="E996" s="41">
        <v>2.646202699126753E-4</v>
      </c>
    </row>
    <row r="997" spans="2:5" ht="15" customHeight="1">
      <c r="B997" s="93"/>
      <c r="C997" s="43" t="s">
        <v>171</v>
      </c>
      <c r="D997" s="42">
        <v>13</v>
      </c>
      <c r="E997" s="41">
        <v>5.7334391814412987E-4</v>
      </c>
    </row>
    <row r="998" spans="2:5" ht="15" customHeight="1">
      <c r="B998" s="93"/>
      <c r="C998" s="43" t="s">
        <v>160</v>
      </c>
      <c r="D998" s="42">
        <v>7</v>
      </c>
      <c r="E998" s="41">
        <v>3.0872364823145452E-4</v>
      </c>
    </row>
    <row r="999" spans="2:5" ht="15" customHeight="1">
      <c r="B999" s="93"/>
      <c r="C999" s="43" t="s">
        <v>168</v>
      </c>
      <c r="D999" s="42">
        <v>21</v>
      </c>
      <c r="E999" s="41">
        <v>9.2617094469436357E-4</v>
      </c>
    </row>
    <row r="1000" spans="2:5" ht="15" customHeight="1">
      <c r="B1000" s="93"/>
      <c r="C1000" s="43" t="s">
        <v>126</v>
      </c>
      <c r="D1000" s="42">
        <v>1</v>
      </c>
      <c r="E1000" s="41">
        <v>4.4103378318779218E-5</v>
      </c>
    </row>
    <row r="1001" spans="2:5" ht="15" customHeight="1">
      <c r="B1001" s="93"/>
      <c r="C1001" s="43" t="s">
        <v>149</v>
      </c>
      <c r="D1001" s="42">
        <v>4</v>
      </c>
      <c r="E1001" s="41">
        <v>1.7641351327511687E-4</v>
      </c>
    </row>
    <row r="1002" spans="2:5" ht="15" customHeight="1">
      <c r="B1002" s="93"/>
      <c r="C1002" s="43" t="s">
        <v>150</v>
      </c>
      <c r="D1002" s="42">
        <v>2</v>
      </c>
      <c r="E1002" s="41">
        <v>8.8206756637558437E-5</v>
      </c>
    </row>
    <row r="1003" spans="2:5" ht="15" customHeight="1">
      <c r="B1003" s="93"/>
      <c r="C1003" s="43" t="s">
        <v>155</v>
      </c>
      <c r="D1003" s="42">
        <v>2</v>
      </c>
      <c r="E1003" s="41">
        <v>8.8206756637558437E-5</v>
      </c>
    </row>
    <row r="1004" spans="2:5" ht="15" customHeight="1">
      <c r="B1004" s="93"/>
      <c r="C1004" s="43" t="s">
        <v>170</v>
      </c>
      <c r="D1004" s="42">
        <v>14</v>
      </c>
      <c r="E1004" s="41">
        <v>6.1744729646290904E-4</v>
      </c>
    </row>
    <row r="1005" spans="2:5" ht="15" customHeight="1">
      <c r="B1005" s="93"/>
      <c r="C1005" s="43" t="s">
        <v>123</v>
      </c>
      <c r="D1005" s="42">
        <v>1</v>
      </c>
      <c r="E1005" s="41">
        <v>4.4103378318779218E-5</v>
      </c>
    </row>
    <row r="1006" spans="2:5" ht="15" customHeight="1">
      <c r="B1006" s="93"/>
      <c r="C1006" s="43" t="s">
        <v>154</v>
      </c>
      <c r="D1006" s="42">
        <v>14</v>
      </c>
      <c r="E1006" s="41">
        <v>6.1744729646290904E-4</v>
      </c>
    </row>
    <row r="1007" spans="2:5" ht="15" customHeight="1">
      <c r="B1007" s="93"/>
      <c r="C1007" s="43" t="s">
        <v>147</v>
      </c>
      <c r="D1007" s="42">
        <v>8</v>
      </c>
      <c r="E1007" s="41">
        <v>3.5282702655023375E-4</v>
      </c>
    </row>
    <row r="1008" spans="2:5" ht="15" customHeight="1">
      <c r="B1008" s="93"/>
      <c r="C1008" s="43" t="s">
        <v>146</v>
      </c>
      <c r="D1008" s="42">
        <v>6</v>
      </c>
      <c r="E1008" s="41">
        <v>2.646202699126753E-4</v>
      </c>
    </row>
    <row r="1009" spans="2:5" ht="15" customHeight="1">
      <c r="B1009" s="93"/>
      <c r="C1009" s="43" t="s">
        <v>167</v>
      </c>
      <c r="D1009" s="42">
        <v>16</v>
      </c>
      <c r="E1009" s="41">
        <v>7.0565405310046749E-4</v>
      </c>
    </row>
    <row r="1010" spans="2:5" ht="15" customHeight="1">
      <c r="B1010" s="93"/>
      <c r="C1010" s="43" t="s">
        <v>165</v>
      </c>
      <c r="D1010" s="42">
        <v>17</v>
      </c>
      <c r="E1010" s="41">
        <v>7.4975743141924667E-4</v>
      </c>
    </row>
    <row r="1011" spans="2:5" ht="15" customHeight="1">
      <c r="B1011" s="94"/>
      <c r="C1011" s="40" t="s">
        <v>20</v>
      </c>
      <c r="D1011" s="39">
        <v>301</v>
      </c>
      <c r="E1011" s="38">
        <v>1.3275116873952544E-2</v>
      </c>
    </row>
    <row r="1012" spans="2:5" ht="15" customHeight="1">
      <c r="B1012" s="92" t="s">
        <v>101</v>
      </c>
      <c r="C1012" s="43" t="s">
        <v>140</v>
      </c>
      <c r="D1012" s="42">
        <v>1</v>
      </c>
      <c r="E1012" s="41">
        <v>4.4103378318779218E-5</v>
      </c>
    </row>
    <row r="1013" spans="2:5" ht="15" customHeight="1">
      <c r="B1013" s="93"/>
      <c r="C1013" s="43" t="s">
        <v>132</v>
      </c>
      <c r="D1013" s="42">
        <v>1</v>
      </c>
      <c r="E1013" s="41">
        <v>4.4103378318779218E-5</v>
      </c>
    </row>
    <row r="1014" spans="2:5" ht="15" customHeight="1">
      <c r="B1014" s="93"/>
      <c r="C1014" s="43" t="s">
        <v>120</v>
      </c>
      <c r="D1014" s="42">
        <v>1</v>
      </c>
      <c r="E1014" s="41">
        <v>4.4103378318779218E-5</v>
      </c>
    </row>
    <row r="1015" spans="2:5" ht="15" customHeight="1">
      <c r="B1015" s="93"/>
      <c r="C1015" s="43" t="s">
        <v>151</v>
      </c>
      <c r="D1015" s="42">
        <v>3</v>
      </c>
      <c r="E1015" s="41">
        <v>1.3231013495633765E-4</v>
      </c>
    </row>
    <row r="1016" spans="2:5" ht="15" customHeight="1">
      <c r="B1016" s="93"/>
      <c r="C1016" s="43" t="s">
        <v>128</v>
      </c>
      <c r="D1016" s="42">
        <v>3</v>
      </c>
      <c r="E1016" s="41">
        <v>1.3231013495633765E-4</v>
      </c>
    </row>
    <row r="1017" spans="2:5" ht="15" customHeight="1">
      <c r="B1017" s="93"/>
      <c r="C1017" s="43" t="s">
        <v>134</v>
      </c>
      <c r="D1017" s="42">
        <v>2</v>
      </c>
      <c r="E1017" s="41">
        <v>8.8206756637558437E-5</v>
      </c>
    </row>
    <row r="1018" spans="2:5" ht="15" customHeight="1">
      <c r="B1018" s="93"/>
      <c r="C1018" s="43" t="s">
        <v>121</v>
      </c>
      <c r="D1018" s="42">
        <v>1</v>
      </c>
      <c r="E1018" s="41">
        <v>4.4103378318779218E-5</v>
      </c>
    </row>
    <row r="1019" spans="2:5" ht="15" customHeight="1">
      <c r="B1019" s="93"/>
      <c r="C1019" s="43" t="s">
        <v>172</v>
      </c>
      <c r="D1019" s="42">
        <v>12</v>
      </c>
      <c r="E1019" s="41">
        <v>5.2924053982535059E-4</v>
      </c>
    </row>
    <row r="1020" spans="2:5" ht="15" customHeight="1">
      <c r="B1020" s="93"/>
      <c r="C1020" s="43" t="s">
        <v>139</v>
      </c>
      <c r="D1020" s="42">
        <v>6</v>
      </c>
      <c r="E1020" s="41">
        <v>2.646202699126753E-4</v>
      </c>
    </row>
    <row r="1021" spans="2:5" ht="15" customHeight="1">
      <c r="B1021" s="93"/>
      <c r="C1021" s="43" t="s">
        <v>159</v>
      </c>
      <c r="D1021" s="42">
        <v>4</v>
      </c>
      <c r="E1021" s="41">
        <v>1.7641351327511687E-4</v>
      </c>
    </row>
    <row r="1022" spans="2:5" ht="15" customHeight="1">
      <c r="B1022" s="93"/>
      <c r="C1022" s="43" t="s">
        <v>157</v>
      </c>
      <c r="D1022" s="42">
        <v>3</v>
      </c>
      <c r="E1022" s="41">
        <v>1.3231013495633765E-4</v>
      </c>
    </row>
    <row r="1023" spans="2:5" ht="15" customHeight="1">
      <c r="B1023" s="93"/>
      <c r="C1023" s="43" t="s">
        <v>164</v>
      </c>
      <c r="D1023" s="42">
        <v>28</v>
      </c>
      <c r="E1023" s="41">
        <v>1.2348945929258181E-3</v>
      </c>
    </row>
    <row r="1024" spans="2:5" ht="15" customHeight="1">
      <c r="B1024" s="93"/>
      <c r="C1024" s="43" t="s">
        <v>136</v>
      </c>
      <c r="D1024" s="42">
        <v>1</v>
      </c>
      <c r="E1024" s="41">
        <v>4.4103378318779218E-5</v>
      </c>
    </row>
    <row r="1025" spans="2:5" ht="15" customHeight="1">
      <c r="B1025" s="93"/>
      <c r="C1025" s="43" t="s">
        <v>162</v>
      </c>
      <c r="D1025" s="42">
        <v>2</v>
      </c>
      <c r="E1025" s="41">
        <v>8.8206756637558437E-5</v>
      </c>
    </row>
    <row r="1026" spans="2:5" ht="15" customHeight="1">
      <c r="B1026" s="93"/>
      <c r="C1026" s="43" t="s">
        <v>166</v>
      </c>
      <c r="D1026" s="42">
        <v>9</v>
      </c>
      <c r="E1026" s="41">
        <v>3.9693040486901297E-4</v>
      </c>
    </row>
    <row r="1027" spans="2:5" ht="15" customHeight="1">
      <c r="B1027" s="93"/>
      <c r="C1027" s="43" t="s">
        <v>142</v>
      </c>
      <c r="D1027" s="42">
        <v>5</v>
      </c>
      <c r="E1027" s="41">
        <v>2.205168915938961E-4</v>
      </c>
    </row>
    <row r="1028" spans="2:5" ht="15" customHeight="1">
      <c r="B1028" s="93"/>
      <c r="C1028" s="43" t="s">
        <v>158</v>
      </c>
      <c r="D1028" s="42">
        <v>3</v>
      </c>
      <c r="E1028" s="41">
        <v>1.3231013495633765E-4</v>
      </c>
    </row>
    <row r="1029" spans="2:5" ht="15" customHeight="1">
      <c r="B1029" s="93"/>
      <c r="C1029" s="43" t="s">
        <v>153</v>
      </c>
      <c r="D1029" s="42">
        <v>8</v>
      </c>
      <c r="E1029" s="41">
        <v>3.5282702655023375E-4</v>
      </c>
    </row>
    <row r="1030" spans="2:5" ht="15" customHeight="1">
      <c r="B1030" s="93"/>
      <c r="C1030" s="43" t="s">
        <v>141</v>
      </c>
      <c r="D1030" s="42">
        <v>1</v>
      </c>
      <c r="E1030" s="41">
        <v>4.4103378318779218E-5</v>
      </c>
    </row>
    <row r="1031" spans="2:5" ht="15" customHeight="1">
      <c r="B1031" s="93"/>
      <c r="C1031" s="43" t="s">
        <v>156</v>
      </c>
      <c r="D1031" s="42">
        <v>1</v>
      </c>
      <c r="E1031" s="41">
        <v>4.4103378318779218E-5</v>
      </c>
    </row>
    <row r="1032" spans="2:5" ht="15" customHeight="1">
      <c r="B1032" s="93"/>
      <c r="C1032" s="43" t="s">
        <v>163</v>
      </c>
      <c r="D1032" s="42">
        <v>4</v>
      </c>
      <c r="E1032" s="41">
        <v>1.7641351327511687E-4</v>
      </c>
    </row>
    <row r="1033" spans="2:5" ht="15" customHeight="1">
      <c r="B1033" s="93"/>
      <c r="C1033" s="43" t="s">
        <v>161</v>
      </c>
      <c r="D1033" s="42">
        <v>1</v>
      </c>
      <c r="E1033" s="41">
        <v>4.4103378318779218E-5</v>
      </c>
    </row>
    <row r="1034" spans="2:5" ht="15" customHeight="1">
      <c r="B1034" s="93"/>
      <c r="C1034" s="43" t="s">
        <v>127</v>
      </c>
      <c r="D1034" s="42">
        <v>1</v>
      </c>
      <c r="E1034" s="41">
        <v>4.4103378318779218E-5</v>
      </c>
    </row>
    <row r="1035" spans="2:5" ht="15" customHeight="1">
      <c r="B1035" s="93"/>
      <c r="C1035" s="43" t="s">
        <v>169</v>
      </c>
      <c r="D1035" s="42">
        <v>10</v>
      </c>
      <c r="E1035" s="41">
        <v>4.410337831877922E-4</v>
      </c>
    </row>
    <row r="1036" spans="2:5" ht="15" customHeight="1">
      <c r="B1036" s="93"/>
      <c r="C1036" s="43" t="s">
        <v>171</v>
      </c>
      <c r="D1036" s="42">
        <v>19</v>
      </c>
      <c r="E1036" s="41">
        <v>8.3796418805680512E-4</v>
      </c>
    </row>
    <row r="1037" spans="2:5" ht="15" customHeight="1">
      <c r="B1037" s="93"/>
      <c r="C1037" s="43" t="s">
        <v>160</v>
      </c>
      <c r="D1037" s="42">
        <v>4</v>
      </c>
      <c r="E1037" s="41">
        <v>1.7641351327511687E-4</v>
      </c>
    </row>
    <row r="1038" spans="2:5" ht="15" customHeight="1">
      <c r="B1038" s="93"/>
      <c r="C1038" s="43" t="s">
        <v>168</v>
      </c>
      <c r="D1038" s="42">
        <v>10</v>
      </c>
      <c r="E1038" s="41">
        <v>4.410337831877922E-4</v>
      </c>
    </row>
    <row r="1039" spans="2:5" ht="15" customHeight="1">
      <c r="B1039" s="93"/>
      <c r="C1039" s="43" t="s">
        <v>149</v>
      </c>
      <c r="D1039" s="42">
        <v>11</v>
      </c>
      <c r="E1039" s="41">
        <v>4.8513716150657142E-4</v>
      </c>
    </row>
    <row r="1040" spans="2:5" ht="15" customHeight="1">
      <c r="B1040" s="93"/>
      <c r="C1040" s="43" t="s">
        <v>144</v>
      </c>
      <c r="D1040" s="42">
        <v>1</v>
      </c>
      <c r="E1040" s="41">
        <v>4.4103378318779218E-5</v>
      </c>
    </row>
    <row r="1041" spans="2:5" ht="15" customHeight="1">
      <c r="B1041" s="93"/>
      <c r="C1041" s="43" t="s">
        <v>138</v>
      </c>
      <c r="D1041" s="42">
        <v>1</v>
      </c>
      <c r="E1041" s="41">
        <v>4.4103378318779218E-5</v>
      </c>
    </row>
    <row r="1042" spans="2:5" ht="15" customHeight="1">
      <c r="B1042" s="93"/>
      <c r="C1042" s="43" t="s">
        <v>155</v>
      </c>
      <c r="D1042" s="42">
        <v>2</v>
      </c>
      <c r="E1042" s="41">
        <v>8.8206756637558437E-5</v>
      </c>
    </row>
    <row r="1043" spans="2:5" ht="15" customHeight="1">
      <c r="B1043" s="93"/>
      <c r="C1043" s="43" t="s">
        <v>116</v>
      </c>
      <c r="D1043" s="42">
        <v>1</v>
      </c>
      <c r="E1043" s="41">
        <v>4.4103378318779218E-5</v>
      </c>
    </row>
    <row r="1044" spans="2:5" ht="15" customHeight="1">
      <c r="B1044" s="93"/>
      <c r="C1044" s="43" t="s">
        <v>170</v>
      </c>
      <c r="D1044" s="42">
        <v>6</v>
      </c>
      <c r="E1044" s="41">
        <v>2.646202699126753E-4</v>
      </c>
    </row>
    <row r="1045" spans="2:5" ht="15" customHeight="1">
      <c r="B1045" s="93"/>
      <c r="C1045" s="43" t="s">
        <v>123</v>
      </c>
      <c r="D1045" s="42">
        <v>3</v>
      </c>
      <c r="E1045" s="41">
        <v>1.3231013495633765E-4</v>
      </c>
    </row>
    <row r="1046" spans="2:5" ht="15" customHeight="1">
      <c r="B1046" s="93"/>
      <c r="C1046" s="43" t="s">
        <v>154</v>
      </c>
      <c r="D1046" s="42">
        <v>1</v>
      </c>
      <c r="E1046" s="41">
        <v>4.4103378318779218E-5</v>
      </c>
    </row>
    <row r="1047" spans="2:5" ht="15" customHeight="1">
      <c r="B1047" s="93"/>
      <c r="C1047" s="43" t="s">
        <v>131</v>
      </c>
      <c r="D1047" s="42">
        <v>12</v>
      </c>
      <c r="E1047" s="41">
        <v>5.2924053982535059E-4</v>
      </c>
    </row>
    <row r="1048" spans="2:5" ht="15" customHeight="1">
      <c r="B1048" s="93"/>
      <c r="C1048" s="43" t="s">
        <v>147</v>
      </c>
      <c r="D1048" s="42">
        <v>3</v>
      </c>
      <c r="E1048" s="41">
        <v>1.3231013495633765E-4</v>
      </c>
    </row>
    <row r="1049" spans="2:5" ht="15" customHeight="1">
      <c r="B1049" s="93"/>
      <c r="C1049" s="43" t="s">
        <v>146</v>
      </c>
      <c r="D1049" s="42">
        <v>2</v>
      </c>
      <c r="E1049" s="41">
        <v>8.8206756637558437E-5</v>
      </c>
    </row>
    <row r="1050" spans="2:5" ht="15" customHeight="1">
      <c r="B1050" s="93"/>
      <c r="C1050" s="43" t="s">
        <v>167</v>
      </c>
      <c r="D1050" s="42">
        <v>6</v>
      </c>
      <c r="E1050" s="41">
        <v>2.646202699126753E-4</v>
      </c>
    </row>
    <row r="1051" spans="2:5" ht="15" customHeight="1">
      <c r="B1051" s="93"/>
      <c r="C1051" s="43" t="s">
        <v>165</v>
      </c>
      <c r="D1051" s="42">
        <v>8</v>
      </c>
      <c r="E1051" s="41">
        <v>3.5282702655023375E-4</v>
      </c>
    </row>
    <row r="1052" spans="2:5" ht="15" customHeight="1">
      <c r="B1052" s="94"/>
      <c r="C1052" s="40" t="s">
        <v>20</v>
      </c>
      <c r="D1052" s="39">
        <v>201</v>
      </c>
      <c r="E1052" s="38">
        <v>8.864779042074623E-3</v>
      </c>
    </row>
    <row r="1053" spans="2:5" ht="15" customHeight="1">
      <c r="B1053" s="92" t="s">
        <v>97</v>
      </c>
      <c r="C1053" s="43" t="s">
        <v>140</v>
      </c>
      <c r="D1053" s="42">
        <v>4</v>
      </c>
      <c r="E1053" s="41">
        <v>1.7641351327511687E-4</v>
      </c>
    </row>
    <row r="1054" spans="2:5" ht="15" customHeight="1">
      <c r="B1054" s="93"/>
      <c r="C1054" s="43" t="s">
        <v>145</v>
      </c>
      <c r="D1054" s="42">
        <v>6</v>
      </c>
      <c r="E1054" s="41">
        <v>2.646202699126753E-4</v>
      </c>
    </row>
    <row r="1055" spans="2:5" ht="15" customHeight="1">
      <c r="B1055" s="93"/>
      <c r="C1055" s="43" t="s">
        <v>151</v>
      </c>
      <c r="D1055" s="42">
        <v>2</v>
      </c>
      <c r="E1055" s="41">
        <v>8.8206756637558437E-5</v>
      </c>
    </row>
    <row r="1056" spans="2:5" ht="15" customHeight="1">
      <c r="B1056" s="93"/>
      <c r="C1056" s="43" t="s">
        <v>134</v>
      </c>
      <c r="D1056" s="42">
        <v>8</v>
      </c>
      <c r="E1056" s="41">
        <v>3.5282702655023375E-4</v>
      </c>
    </row>
    <row r="1057" spans="2:5" ht="15" customHeight="1">
      <c r="B1057" s="93"/>
      <c r="C1057" s="43" t="s">
        <v>121</v>
      </c>
      <c r="D1057" s="42">
        <v>1</v>
      </c>
      <c r="E1057" s="41">
        <v>4.4103378318779218E-5</v>
      </c>
    </row>
    <row r="1058" spans="2:5" ht="15" customHeight="1">
      <c r="B1058" s="93"/>
      <c r="C1058" s="43" t="s">
        <v>172</v>
      </c>
      <c r="D1058" s="42">
        <v>14</v>
      </c>
      <c r="E1058" s="41">
        <v>6.1744729646290904E-4</v>
      </c>
    </row>
    <row r="1059" spans="2:5" ht="15" customHeight="1">
      <c r="B1059" s="93"/>
      <c r="C1059" s="43" t="s">
        <v>122</v>
      </c>
      <c r="D1059" s="42">
        <v>2</v>
      </c>
      <c r="E1059" s="41">
        <v>8.8206756637558437E-5</v>
      </c>
    </row>
    <row r="1060" spans="2:5" ht="15" customHeight="1">
      <c r="B1060" s="93"/>
      <c r="C1060" s="43" t="s">
        <v>164</v>
      </c>
      <c r="D1060" s="42">
        <v>6</v>
      </c>
      <c r="E1060" s="41">
        <v>2.646202699126753E-4</v>
      </c>
    </row>
    <row r="1061" spans="2:5" ht="15" customHeight="1">
      <c r="B1061" s="93"/>
      <c r="C1061" s="43" t="s">
        <v>136</v>
      </c>
      <c r="D1061" s="42">
        <v>1</v>
      </c>
      <c r="E1061" s="41">
        <v>4.4103378318779218E-5</v>
      </c>
    </row>
    <row r="1062" spans="2:5" ht="15" customHeight="1">
      <c r="B1062" s="93"/>
      <c r="C1062" s="43" t="s">
        <v>162</v>
      </c>
      <c r="D1062" s="42">
        <v>7</v>
      </c>
      <c r="E1062" s="41">
        <v>3.0872364823145452E-4</v>
      </c>
    </row>
    <row r="1063" spans="2:5" ht="15" customHeight="1">
      <c r="B1063" s="93"/>
      <c r="C1063" s="43" t="s">
        <v>166</v>
      </c>
      <c r="D1063" s="42">
        <v>16</v>
      </c>
      <c r="E1063" s="41">
        <v>7.0565405310046749E-4</v>
      </c>
    </row>
    <row r="1064" spans="2:5" ht="15" customHeight="1">
      <c r="B1064" s="93"/>
      <c r="C1064" s="43" t="s">
        <v>142</v>
      </c>
      <c r="D1064" s="42">
        <v>1</v>
      </c>
      <c r="E1064" s="41">
        <v>4.4103378318779218E-5</v>
      </c>
    </row>
    <row r="1065" spans="2:5" ht="15" customHeight="1">
      <c r="B1065" s="93"/>
      <c r="C1065" s="43" t="s">
        <v>158</v>
      </c>
      <c r="D1065" s="42">
        <v>1</v>
      </c>
      <c r="E1065" s="41">
        <v>4.4103378318779218E-5</v>
      </c>
    </row>
    <row r="1066" spans="2:5" ht="15" customHeight="1">
      <c r="B1066" s="93"/>
      <c r="C1066" s="43" t="s">
        <v>148</v>
      </c>
      <c r="D1066" s="42">
        <v>2</v>
      </c>
      <c r="E1066" s="41">
        <v>8.8206756637558437E-5</v>
      </c>
    </row>
    <row r="1067" spans="2:5" ht="15" customHeight="1">
      <c r="B1067" s="93"/>
      <c r="C1067" s="43" t="s">
        <v>153</v>
      </c>
      <c r="D1067" s="42">
        <v>4</v>
      </c>
      <c r="E1067" s="41">
        <v>1.7641351327511687E-4</v>
      </c>
    </row>
    <row r="1068" spans="2:5" ht="15" customHeight="1">
      <c r="B1068" s="93"/>
      <c r="C1068" s="43" t="s">
        <v>143</v>
      </c>
      <c r="D1068" s="42">
        <v>2</v>
      </c>
      <c r="E1068" s="41">
        <v>8.8206756637558437E-5</v>
      </c>
    </row>
    <row r="1069" spans="2:5" ht="15" customHeight="1">
      <c r="B1069" s="93"/>
      <c r="C1069" s="43" t="s">
        <v>141</v>
      </c>
      <c r="D1069" s="42">
        <v>4</v>
      </c>
      <c r="E1069" s="41">
        <v>1.7641351327511687E-4</v>
      </c>
    </row>
    <row r="1070" spans="2:5" ht="15" customHeight="1">
      <c r="B1070" s="93"/>
      <c r="C1070" s="43" t="s">
        <v>124</v>
      </c>
      <c r="D1070" s="42">
        <v>1</v>
      </c>
      <c r="E1070" s="41">
        <v>4.4103378318779218E-5</v>
      </c>
    </row>
    <row r="1071" spans="2:5" ht="15" customHeight="1">
      <c r="B1071" s="93"/>
      <c r="C1071" s="43" t="s">
        <v>152</v>
      </c>
      <c r="D1071" s="42">
        <v>1</v>
      </c>
      <c r="E1071" s="41">
        <v>4.4103378318779218E-5</v>
      </c>
    </row>
    <row r="1072" spans="2:5" ht="15" customHeight="1">
      <c r="B1072" s="93"/>
      <c r="C1072" s="43" t="s">
        <v>130</v>
      </c>
      <c r="D1072" s="42">
        <v>2</v>
      </c>
      <c r="E1072" s="41">
        <v>8.8206756637558437E-5</v>
      </c>
    </row>
    <row r="1073" spans="2:5" ht="15" customHeight="1">
      <c r="B1073" s="93"/>
      <c r="C1073" s="43" t="s">
        <v>133</v>
      </c>
      <c r="D1073" s="42">
        <v>3</v>
      </c>
      <c r="E1073" s="41">
        <v>1.3231013495633765E-4</v>
      </c>
    </row>
    <row r="1074" spans="2:5" ht="15" customHeight="1">
      <c r="B1074" s="93"/>
      <c r="C1074" s="43" t="s">
        <v>163</v>
      </c>
      <c r="D1074" s="42">
        <v>8</v>
      </c>
      <c r="E1074" s="41">
        <v>3.5282702655023375E-4</v>
      </c>
    </row>
    <row r="1075" spans="2:5" ht="15" customHeight="1">
      <c r="B1075" s="93"/>
      <c r="C1075" s="43" t="s">
        <v>137</v>
      </c>
      <c r="D1075" s="42">
        <v>2</v>
      </c>
      <c r="E1075" s="41">
        <v>8.8206756637558437E-5</v>
      </c>
    </row>
    <row r="1076" spans="2:5" ht="15" customHeight="1">
      <c r="B1076" s="93"/>
      <c r="C1076" s="43" t="s">
        <v>161</v>
      </c>
      <c r="D1076" s="42">
        <v>8</v>
      </c>
      <c r="E1076" s="41">
        <v>3.5282702655023375E-4</v>
      </c>
    </row>
    <row r="1077" spans="2:5" ht="15" customHeight="1">
      <c r="B1077" s="93"/>
      <c r="C1077" s="43" t="s">
        <v>127</v>
      </c>
      <c r="D1077" s="42">
        <v>3</v>
      </c>
      <c r="E1077" s="41">
        <v>1.3231013495633765E-4</v>
      </c>
    </row>
    <row r="1078" spans="2:5" ht="15" customHeight="1">
      <c r="B1078" s="93"/>
      <c r="C1078" s="43" t="s">
        <v>169</v>
      </c>
      <c r="D1078" s="42">
        <v>3</v>
      </c>
      <c r="E1078" s="41">
        <v>1.3231013495633765E-4</v>
      </c>
    </row>
    <row r="1079" spans="2:5" ht="15" customHeight="1">
      <c r="B1079" s="93"/>
      <c r="C1079" s="43" t="s">
        <v>171</v>
      </c>
      <c r="D1079" s="42">
        <v>2</v>
      </c>
      <c r="E1079" s="41">
        <v>8.8206756637558437E-5</v>
      </c>
    </row>
    <row r="1080" spans="2:5" ht="15" customHeight="1">
      <c r="B1080" s="93"/>
      <c r="C1080" s="43" t="s">
        <v>160</v>
      </c>
      <c r="D1080" s="42">
        <v>4</v>
      </c>
      <c r="E1080" s="41">
        <v>1.7641351327511687E-4</v>
      </c>
    </row>
    <row r="1081" spans="2:5" ht="15" customHeight="1">
      <c r="B1081" s="93"/>
      <c r="C1081" s="43" t="s">
        <v>168</v>
      </c>
      <c r="D1081" s="42">
        <v>2</v>
      </c>
      <c r="E1081" s="41">
        <v>8.8206756637558437E-5</v>
      </c>
    </row>
    <row r="1082" spans="2:5" ht="15" customHeight="1">
      <c r="B1082" s="93"/>
      <c r="C1082" s="43" t="s">
        <v>126</v>
      </c>
      <c r="D1082" s="42">
        <v>1</v>
      </c>
      <c r="E1082" s="41">
        <v>4.4103378318779218E-5</v>
      </c>
    </row>
    <row r="1083" spans="2:5" ht="15" customHeight="1">
      <c r="B1083" s="93"/>
      <c r="C1083" s="43" t="s">
        <v>149</v>
      </c>
      <c r="D1083" s="42">
        <v>3</v>
      </c>
      <c r="E1083" s="41">
        <v>1.3231013495633765E-4</v>
      </c>
    </row>
    <row r="1084" spans="2:5" ht="15" customHeight="1">
      <c r="B1084" s="93"/>
      <c r="C1084" s="43" t="s">
        <v>144</v>
      </c>
      <c r="D1084" s="42">
        <v>1</v>
      </c>
      <c r="E1084" s="41">
        <v>4.4103378318779218E-5</v>
      </c>
    </row>
    <row r="1085" spans="2:5" ht="15" customHeight="1">
      <c r="B1085" s="93"/>
      <c r="C1085" s="43" t="s">
        <v>150</v>
      </c>
      <c r="D1085" s="42">
        <v>3</v>
      </c>
      <c r="E1085" s="41">
        <v>1.3231013495633765E-4</v>
      </c>
    </row>
    <row r="1086" spans="2:5" ht="15" customHeight="1">
      <c r="B1086" s="93"/>
      <c r="C1086" s="43" t="s">
        <v>138</v>
      </c>
      <c r="D1086" s="42">
        <v>1</v>
      </c>
      <c r="E1086" s="41">
        <v>4.4103378318779218E-5</v>
      </c>
    </row>
    <row r="1087" spans="2:5" ht="15" customHeight="1">
      <c r="B1087" s="93"/>
      <c r="C1087" s="43" t="s">
        <v>155</v>
      </c>
      <c r="D1087" s="42">
        <v>4</v>
      </c>
      <c r="E1087" s="41">
        <v>1.7641351327511687E-4</v>
      </c>
    </row>
    <row r="1088" spans="2:5" ht="15" customHeight="1">
      <c r="B1088" s="93"/>
      <c r="C1088" s="43" t="s">
        <v>170</v>
      </c>
      <c r="D1088" s="42">
        <v>8</v>
      </c>
      <c r="E1088" s="41">
        <v>3.5282702655023375E-4</v>
      </c>
    </row>
    <row r="1089" spans="2:5" ht="15" customHeight="1">
      <c r="B1089" s="93"/>
      <c r="C1089" s="43" t="s">
        <v>131</v>
      </c>
      <c r="D1089" s="42">
        <v>1</v>
      </c>
      <c r="E1089" s="41">
        <v>4.4103378318779218E-5</v>
      </c>
    </row>
    <row r="1090" spans="2:5" ht="15" customHeight="1">
      <c r="B1090" s="93"/>
      <c r="C1090" s="43" t="s">
        <v>147</v>
      </c>
      <c r="D1090" s="42">
        <v>3</v>
      </c>
      <c r="E1090" s="41">
        <v>1.3231013495633765E-4</v>
      </c>
    </row>
    <row r="1091" spans="2:5" ht="15" customHeight="1">
      <c r="B1091" s="93"/>
      <c r="C1091" s="43" t="s">
        <v>167</v>
      </c>
      <c r="D1091" s="42">
        <v>19</v>
      </c>
      <c r="E1091" s="41">
        <v>8.3796418805680512E-4</v>
      </c>
    </row>
    <row r="1092" spans="2:5" ht="15" customHeight="1">
      <c r="B1092" s="93"/>
      <c r="C1092" s="43" t="s">
        <v>165</v>
      </c>
      <c r="D1092" s="42">
        <v>10</v>
      </c>
      <c r="E1092" s="41">
        <v>4.410337831877922E-4</v>
      </c>
    </row>
    <row r="1093" spans="2:5" ht="15" customHeight="1">
      <c r="B1093" s="94"/>
      <c r="C1093" s="40" t="s">
        <v>20</v>
      </c>
      <c r="D1093" s="39">
        <v>174</v>
      </c>
      <c r="E1093" s="38">
        <v>7.6739878274675842E-3</v>
      </c>
    </row>
    <row r="1094" spans="2:5" ht="15" customHeight="1">
      <c r="B1094" s="92" t="s">
        <v>85</v>
      </c>
      <c r="C1094" s="43" t="s">
        <v>140</v>
      </c>
      <c r="D1094" s="42">
        <v>3</v>
      </c>
      <c r="E1094" s="41">
        <v>1.3231013495633765E-4</v>
      </c>
    </row>
    <row r="1095" spans="2:5" ht="15" customHeight="1">
      <c r="B1095" s="93"/>
      <c r="C1095" s="43" t="s">
        <v>135</v>
      </c>
      <c r="D1095" s="42">
        <v>5</v>
      </c>
      <c r="E1095" s="41">
        <v>2.205168915938961E-4</v>
      </c>
    </row>
    <row r="1096" spans="2:5" ht="15" customHeight="1">
      <c r="B1096" s="93"/>
      <c r="C1096" s="43" t="s">
        <v>129</v>
      </c>
      <c r="D1096" s="42">
        <v>9</v>
      </c>
      <c r="E1096" s="41">
        <v>3.9693040486901297E-4</v>
      </c>
    </row>
    <row r="1097" spans="2:5" ht="15" customHeight="1">
      <c r="B1097" s="93"/>
      <c r="C1097" s="43" t="s">
        <v>145</v>
      </c>
      <c r="D1097" s="42">
        <v>3</v>
      </c>
      <c r="E1097" s="41">
        <v>1.3231013495633765E-4</v>
      </c>
    </row>
    <row r="1098" spans="2:5" ht="15" customHeight="1">
      <c r="B1098" s="93"/>
      <c r="C1098" s="43" t="s">
        <v>120</v>
      </c>
      <c r="D1098" s="42">
        <v>3</v>
      </c>
      <c r="E1098" s="41">
        <v>1.3231013495633765E-4</v>
      </c>
    </row>
    <row r="1099" spans="2:5" ht="15" customHeight="1">
      <c r="B1099" s="93"/>
      <c r="C1099" s="43" t="s">
        <v>151</v>
      </c>
      <c r="D1099" s="42">
        <v>6</v>
      </c>
      <c r="E1099" s="41">
        <v>2.646202699126753E-4</v>
      </c>
    </row>
    <row r="1100" spans="2:5" ht="15" customHeight="1">
      <c r="B1100" s="93"/>
      <c r="C1100" s="43" t="s">
        <v>128</v>
      </c>
      <c r="D1100" s="42">
        <v>1</v>
      </c>
      <c r="E1100" s="41">
        <v>4.4103378318779218E-5</v>
      </c>
    </row>
    <row r="1101" spans="2:5" ht="15" customHeight="1">
      <c r="B1101" s="93"/>
      <c r="C1101" s="43" t="s">
        <v>134</v>
      </c>
      <c r="D1101" s="42">
        <v>3</v>
      </c>
      <c r="E1101" s="41">
        <v>1.3231013495633765E-4</v>
      </c>
    </row>
    <row r="1102" spans="2:5" ht="15" customHeight="1">
      <c r="B1102" s="93"/>
      <c r="C1102" s="43" t="s">
        <v>121</v>
      </c>
      <c r="D1102" s="42">
        <v>12</v>
      </c>
      <c r="E1102" s="41">
        <v>5.2924053982535059E-4</v>
      </c>
    </row>
    <row r="1103" spans="2:5" ht="15" customHeight="1">
      <c r="B1103" s="93"/>
      <c r="C1103" s="43" t="s">
        <v>172</v>
      </c>
      <c r="D1103" s="42">
        <v>58</v>
      </c>
      <c r="E1103" s="41">
        <v>2.5579959424891947E-3</v>
      </c>
    </row>
    <row r="1104" spans="2:5" ht="15" customHeight="1">
      <c r="B1104" s="93"/>
      <c r="C1104" s="43" t="s">
        <v>139</v>
      </c>
      <c r="D1104" s="42">
        <v>4</v>
      </c>
      <c r="E1104" s="41">
        <v>1.7641351327511687E-4</v>
      </c>
    </row>
    <row r="1105" spans="2:5" ht="15" customHeight="1">
      <c r="B1105" s="93"/>
      <c r="C1105" s="43" t="s">
        <v>122</v>
      </c>
      <c r="D1105" s="42">
        <v>2</v>
      </c>
      <c r="E1105" s="41">
        <v>8.8206756637558437E-5</v>
      </c>
    </row>
    <row r="1106" spans="2:5" ht="15" customHeight="1">
      <c r="B1106" s="93"/>
      <c r="C1106" s="43" t="s">
        <v>159</v>
      </c>
      <c r="D1106" s="42">
        <v>7</v>
      </c>
      <c r="E1106" s="41">
        <v>3.0872364823145452E-4</v>
      </c>
    </row>
    <row r="1107" spans="2:5" ht="15" customHeight="1">
      <c r="B1107" s="93"/>
      <c r="C1107" s="43" t="s">
        <v>157</v>
      </c>
      <c r="D1107" s="42">
        <v>7</v>
      </c>
      <c r="E1107" s="41">
        <v>3.0872364823145452E-4</v>
      </c>
    </row>
    <row r="1108" spans="2:5" ht="15" customHeight="1">
      <c r="B1108" s="93"/>
      <c r="C1108" s="43" t="s">
        <v>164</v>
      </c>
      <c r="D1108" s="42">
        <v>15</v>
      </c>
      <c r="E1108" s="41">
        <v>6.6155067478168832E-4</v>
      </c>
    </row>
    <row r="1109" spans="2:5" ht="15" customHeight="1">
      <c r="B1109" s="93"/>
      <c r="C1109" s="43" t="s">
        <v>162</v>
      </c>
      <c r="D1109" s="42">
        <v>10</v>
      </c>
      <c r="E1109" s="41">
        <v>4.410337831877922E-4</v>
      </c>
    </row>
    <row r="1110" spans="2:5" ht="15" customHeight="1">
      <c r="B1110" s="93"/>
      <c r="C1110" s="43" t="s">
        <v>166</v>
      </c>
      <c r="D1110" s="42">
        <v>24</v>
      </c>
      <c r="E1110" s="41">
        <v>1.0584810796507012E-3</v>
      </c>
    </row>
    <row r="1111" spans="2:5" ht="15" customHeight="1">
      <c r="B1111" s="93"/>
      <c r="C1111" s="43" t="s">
        <v>142</v>
      </c>
      <c r="D1111" s="42">
        <v>2</v>
      </c>
      <c r="E1111" s="41">
        <v>8.8206756637558437E-5</v>
      </c>
    </row>
    <row r="1112" spans="2:5" ht="15" customHeight="1">
      <c r="B1112" s="93"/>
      <c r="C1112" s="43" t="s">
        <v>158</v>
      </c>
      <c r="D1112" s="42">
        <v>2</v>
      </c>
      <c r="E1112" s="41">
        <v>8.8206756637558437E-5</v>
      </c>
    </row>
    <row r="1113" spans="2:5" ht="15" customHeight="1">
      <c r="B1113" s="93"/>
      <c r="C1113" s="43" t="s">
        <v>148</v>
      </c>
      <c r="D1113" s="42">
        <v>5</v>
      </c>
      <c r="E1113" s="41">
        <v>2.205168915938961E-4</v>
      </c>
    </row>
    <row r="1114" spans="2:5" ht="15" customHeight="1">
      <c r="B1114" s="93"/>
      <c r="C1114" s="43" t="s">
        <v>141</v>
      </c>
      <c r="D1114" s="42">
        <v>5</v>
      </c>
      <c r="E1114" s="41">
        <v>2.205168915938961E-4</v>
      </c>
    </row>
    <row r="1115" spans="2:5" ht="15" customHeight="1">
      <c r="B1115" s="93"/>
      <c r="C1115" s="43" t="s">
        <v>124</v>
      </c>
      <c r="D1115" s="42">
        <v>1</v>
      </c>
      <c r="E1115" s="41">
        <v>4.4103378318779218E-5</v>
      </c>
    </row>
    <row r="1116" spans="2:5" ht="15" customHeight="1">
      <c r="B1116" s="93"/>
      <c r="C1116" s="43" t="s">
        <v>156</v>
      </c>
      <c r="D1116" s="42">
        <v>14</v>
      </c>
      <c r="E1116" s="41">
        <v>6.1744729646290904E-4</v>
      </c>
    </row>
    <row r="1117" spans="2:5" ht="15" customHeight="1">
      <c r="B1117" s="93"/>
      <c r="C1117" s="43" t="s">
        <v>152</v>
      </c>
      <c r="D1117" s="42">
        <v>3</v>
      </c>
      <c r="E1117" s="41">
        <v>1.3231013495633765E-4</v>
      </c>
    </row>
    <row r="1118" spans="2:5" ht="15" customHeight="1">
      <c r="B1118" s="93"/>
      <c r="C1118" s="43" t="s">
        <v>133</v>
      </c>
      <c r="D1118" s="42">
        <v>1</v>
      </c>
      <c r="E1118" s="41">
        <v>4.4103378318779218E-5</v>
      </c>
    </row>
    <row r="1119" spans="2:5" ht="15" customHeight="1">
      <c r="B1119" s="93"/>
      <c r="C1119" s="43" t="s">
        <v>163</v>
      </c>
      <c r="D1119" s="42">
        <v>6</v>
      </c>
      <c r="E1119" s="41">
        <v>2.646202699126753E-4</v>
      </c>
    </row>
    <row r="1120" spans="2:5" ht="15" customHeight="1">
      <c r="B1120" s="93"/>
      <c r="C1120" s="43" t="s">
        <v>137</v>
      </c>
      <c r="D1120" s="42">
        <v>1</v>
      </c>
      <c r="E1120" s="41">
        <v>4.4103378318779218E-5</v>
      </c>
    </row>
    <row r="1121" spans="2:5" ht="15" customHeight="1">
      <c r="B1121" s="93"/>
      <c r="C1121" s="43" t="s">
        <v>161</v>
      </c>
      <c r="D1121" s="42">
        <v>5</v>
      </c>
      <c r="E1121" s="41">
        <v>2.205168915938961E-4</v>
      </c>
    </row>
    <row r="1122" spans="2:5" ht="15" customHeight="1">
      <c r="B1122" s="93"/>
      <c r="C1122" s="43" t="s">
        <v>169</v>
      </c>
      <c r="D1122" s="42">
        <v>13</v>
      </c>
      <c r="E1122" s="41">
        <v>5.7334391814412987E-4</v>
      </c>
    </row>
    <row r="1123" spans="2:5" ht="15" customHeight="1">
      <c r="B1123" s="93"/>
      <c r="C1123" s="43" t="s">
        <v>171</v>
      </c>
      <c r="D1123" s="42">
        <v>27</v>
      </c>
      <c r="E1123" s="41">
        <v>1.1907912146070388E-3</v>
      </c>
    </row>
    <row r="1124" spans="2:5" ht="15" customHeight="1">
      <c r="B1124" s="93"/>
      <c r="C1124" s="43" t="s">
        <v>160</v>
      </c>
      <c r="D1124" s="42">
        <v>15</v>
      </c>
      <c r="E1124" s="41">
        <v>6.6155067478168832E-4</v>
      </c>
    </row>
    <row r="1125" spans="2:5" ht="15" customHeight="1">
      <c r="B1125" s="93"/>
      <c r="C1125" s="43" t="s">
        <v>168</v>
      </c>
      <c r="D1125" s="42">
        <v>50</v>
      </c>
      <c r="E1125" s="41">
        <v>2.2051689159389609E-3</v>
      </c>
    </row>
    <row r="1126" spans="2:5" ht="15" customHeight="1">
      <c r="B1126" s="93"/>
      <c r="C1126" s="43" t="s">
        <v>149</v>
      </c>
      <c r="D1126" s="42">
        <v>5</v>
      </c>
      <c r="E1126" s="41">
        <v>2.205168915938961E-4</v>
      </c>
    </row>
    <row r="1127" spans="2:5" ht="15" customHeight="1">
      <c r="B1127" s="93"/>
      <c r="C1127" s="43" t="s">
        <v>144</v>
      </c>
      <c r="D1127" s="42">
        <v>4</v>
      </c>
      <c r="E1127" s="41">
        <v>1.7641351327511687E-4</v>
      </c>
    </row>
    <row r="1128" spans="2:5" ht="15" customHeight="1">
      <c r="B1128" s="93"/>
      <c r="C1128" s="43" t="s">
        <v>150</v>
      </c>
      <c r="D1128" s="42">
        <v>7</v>
      </c>
      <c r="E1128" s="41">
        <v>3.0872364823145452E-4</v>
      </c>
    </row>
    <row r="1129" spans="2:5" ht="15" customHeight="1">
      <c r="B1129" s="93"/>
      <c r="C1129" s="43" t="s">
        <v>138</v>
      </c>
      <c r="D1129" s="42">
        <v>2</v>
      </c>
      <c r="E1129" s="41">
        <v>8.8206756637558437E-5</v>
      </c>
    </row>
    <row r="1130" spans="2:5" ht="15" customHeight="1">
      <c r="B1130" s="93"/>
      <c r="C1130" s="43" t="s">
        <v>155</v>
      </c>
      <c r="D1130" s="42">
        <v>10</v>
      </c>
      <c r="E1130" s="41">
        <v>4.410337831877922E-4</v>
      </c>
    </row>
    <row r="1131" spans="2:5" ht="15" customHeight="1">
      <c r="B1131" s="93"/>
      <c r="C1131" s="43" t="s">
        <v>116</v>
      </c>
      <c r="D1131" s="42">
        <v>1</v>
      </c>
      <c r="E1131" s="41">
        <v>4.4103378318779218E-5</v>
      </c>
    </row>
    <row r="1132" spans="2:5" ht="15" customHeight="1">
      <c r="B1132" s="93"/>
      <c r="C1132" s="43" t="s">
        <v>170</v>
      </c>
      <c r="D1132" s="42">
        <v>32</v>
      </c>
      <c r="E1132" s="41">
        <v>1.411308106200935E-3</v>
      </c>
    </row>
    <row r="1133" spans="2:5" ht="15" customHeight="1">
      <c r="B1133" s="93"/>
      <c r="C1133" s="43" t="s">
        <v>154</v>
      </c>
      <c r="D1133" s="42">
        <v>9</v>
      </c>
      <c r="E1133" s="41">
        <v>3.9693040486901297E-4</v>
      </c>
    </row>
    <row r="1134" spans="2:5" ht="15" customHeight="1">
      <c r="B1134" s="93"/>
      <c r="C1134" s="43" t="s">
        <v>131</v>
      </c>
      <c r="D1134" s="42">
        <v>2</v>
      </c>
      <c r="E1134" s="41">
        <v>8.8206756637558437E-5</v>
      </c>
    </row>
    <row r="1135" spans="2:5" ht="15" customHeight="1">
      <c r="B1135" s="93"/>
      <c r="C1135" s="43" t="s">
        <v>147</v>
      </c>
      <c r="D1135" s="42">
        <v>9</v>
      </c>
      <c r="E1135" s="41">
        <v>3.9693040486901297E-4</v>
      </c>
    </row>
    <row r="1136" spans="2:5" ht="15" customHeight="1">
      <c r="B1136" s="93"/>
      <c r="C1136" s="43" t="s">
        <v>146</v>
      </c>
      <c r="D1136" s="42">
        <v>1</v>
      </c>
      <c r="E1136" s="41">
        <v>4.4103378318779218E-5</v>
      </c>
    </row>
    <row r="1137" spans="2:5" ht="15" customHeight="1">
      <c r="B1137" s="93"/>
      <c r="C1137" s="43" t="s">
        <v>167</v>
      </c>
      <c r="D1137" s="42">
        <v>32</v>
      </c>
      <c r="E1137" s="41">
        <v>1.411308106200935E-3</v>
      </c>
    </row>
    <row r="1138" spans="2:5" ht="15" customHeight="1">
      <c r="B1138" s="93"/>
      <c r="C1138" s="43" t="s">
        <v>165</v>
      </c>
      <c r="D1138" s="42">
        <v>21</v>
      </c>
      <c r="E1138" s="41">
        <v>9.2617094469436357E-4</v>
      </c>
    </row>
    <row r="1139" spans="2:5" ht="15" customHeight="1">
      <c r="B1139" s="94"/>
      <c r="C1139" s="40" t="s">
        <v>20</v>
      </c>
      <c r="D1139" s="39">
        <v>457</v>
      </c>
      <c r="E1139" s="38">
        <v>2.0155243891682103E-2</v>
      </c>
    </row>
    <row r="1140" spans="2:5" ht="15" customHeight="1">
      <c r="B1140" s="92" t="s">
        <v>89</v>
      </c>
      <c r="C1140" s="43" t="s">
        <v>140</v>
      </c>
      <c r="D1140" s="42">
        <v>5</v>
      </c>
      <c r="E1140" s="41">
        <v>2.205168915938961E-4</v>
      </c>
    </row>
    <row r="1141" spans="2:5" ht="15" customHeight="1">
      <c r="B1141" s="93"/>
      <c r="C1141" s="43" t="s">
        <v>132</v>
      </c>
      <c r="D1141" s="42">
        <v>1</v>
      </c>
      <c r="E1141" s="41">
        <v>4.4103378318779218E-5</v>
      </c>
    </row>
    <row r="1142" spans="2:5" ht="15" customHeight="1">
      <c r="B1142" s="93"/>
      <c r="C1142" s="43" t="s">
        <v>145</v>
      </c>
      <c r="D1142" s="42">
        <v>1</v>
      </c>
      <c r="E1142" s="41">
        <v>4.4103378318779218E-5</v>
      </c>
    </row>
    <row r="1143" spans="2:5" ht="15" customHeight="1">
      <c r="B1143" s="93"/>
      <c r="C1143" s="43" t="s">
        <v>151</v>
      </c>
      <c r="D1143" s="42">
        <v>3</v>
      </c>
      <c r="E1143" s="41">
        <v>1.3231013495633765E-4</v>
      </c>
    </row>
    <row r="1144" spans="2:5" ht="15" customHeight="1">
      <c r="B1144" s="93"/>
      <c r="C1144" s="43" t="s">
        <v>128</v>
      </c>
      <c r="D1144" s="42">
        <v>1</v>
      </c>
      <c r="E1144" s="41">
        <v>4.4103378318779218E-5</v>
      </c>
    </row>
    <row r="1145" spans="2:5" ht="15" customHeight="1">
      <c r="B1145" s="93"/>
      <c r="C1145" s="43" t="s">
        <v>172</v>
      </c>
      <c r="D1145" s="42">
        <v>4</v>
      </c>
      <c r="E1145" s="41">
        <v>1.7641351327511687E-4</v>
      </c>
    </row>
    <row r="1146" spans="2:5" ht="15" customHeight="1">
      <c r="B1146" s="93"/>
      <c r="C1146" s="43" t="s">
        <v>164</v>
      </c>
      <c r="D1146" s="42">
        <v>2</v>
      </c>
      <c r="E1146" s="41">
        <v>8.8206756637558437E-5</v>
      </c>
    </row>
    <row r="1147" spans="2:5" ht="15" customHeight="1">
      <c r="B1147" s="93"/>
      <c r="C1147" s="43" t="s">
        <v>162</v>
      </c>
      <c r="D1147" s="42">
        <v>2</v>
      </c>
      <c r="E1147" s="41">
        <v>8.8206756637558437E-5</v>
      </c>
    </row>
    <row r="1148" spans="2:5" ht="15" customHeight="1">
      <c r="B1148" s="93"/>
      <c r="C1148" s="43" t="s">
        <v>166</v>
      </c>
      <c r="D1148" s="42">
        <v>5</v>
      </c>
      <c r="E1148" s="41">
        <v>2.205168915938961E-4</v>
      </c>
    </row>
    <row r="1149" spans="2:5" ht="15" customHeight="1">
      <c r="B1149" s="93"/>
      <c r="C1149" s="43" t="s">
        <v>148</v>
      </c>
      <c r="D1149" s="42">
        <v>4</v>
      </c>
      <c r="E1149" s="41">
        <v>1.7641351327511687E-4</v>
      </c>
    </row>
    <row r="1150" spans="2:5" ht="15" customHeight="1">
      <c r="B1150" s="93"/>
      <c r="C1150" s="43" t="s">
        <v>125</v>
      </c>
      <c r="D1150" s="42">
        <v>1</v>
      </c>
      <c r="E1150" s="41">
        <v>4.4103378318779218E-5</v>
      </c>
    </row>
    <row r="1151" spans="2:5" ht="15" customHeight="1">
      <c r="B1151" s="93"/>
      <c r="C1151" s="43" t="s">
        <v>152</v>
      </c>
      <c r="D1151" s="42">
        <v>2</v>
      </c>
      <c r="E1151" s="41">
        <v>8.8206756637558437E-5</v>
      </c>
    </row>
    <row r="1152" spans="2:5" ht="15" customHeight="1">
      <c r="B1152" s="93"/>
      <c r="C1152" s="43" t="s">
        <v>163</v>
      </c>
      <c r="D1152" s="42">
        <v>1</v>
      </c>
      <c r="E1152" s="41">
        <v>4.4103378318779218E-5</v>
      </c>
    </row>
    <row r="1153" spans="2:5" ht="15" customHeight="1">
      <c r="B1153" s="93"/>
      <c r="C1153" s="43" t="s">
        <v>161</v>
      </c>
      <c r="D1153" s="42">
        <v>1</v>
      </c>
      <c r="E1153" s="41">
        <v>4.4103378318779218E-5</v>
      </c>
    </row>
    <row r="1154" spans="2:5" ht="15" customHeight="1">
      <c r="B1154" s="93"/>
      <c r="C1154" s="43" t="s">
        <v>169</v>
      </c>
      <c r="D1154" s="42">
        <v>1</v>
      </c>
      <c r="E1154" s="41">
        <v>4.4103378318779218E-5</v>
      </c>
    </row>
    <row r="1155" spans="2:5" ht="15" customHeight="1">
      <c r="B1155" s="93"/>
      <c r="C1155" s="43" t="s">
        <v>160</v>
      </c>
      <c r="D1155" s="42">
        <v>1</v>
      </c>
      <c r="E1155" s="41">
        <v>4.4103378318779218E-5</v>
      </c>
    </row>
    <row r="1156" spans="2:5" ht="15" customHeight="1">
      <c r="B1156" s="93"/>
      <c r="C1156" s="43" t="s">
        <v>168</v>
      </c>
      <c r="D1156" s="42">
        <v>2</v>
      </c>
      <c r="E1156" s="41">
        <v>8.8206756637558437E-5</v>
      </c>
    </row>
    <row r="1157" spans="2:5" ht="15" customHeight="1">
      <c r="B1157" s="93"/>
      <c r="C1157" s="43" t="s">
        <v>149</v>
      </c>
      <c r="D1157" s="42">
        <v>1</v>
      </c>
      <c r="E1157" s="41">
        <v>4.4103378318779218E-5</v>
      </c>
    </row>
    <row r="1158" spans="2:5" ht="15" customHeight="1">
      <c r="B1158" s="93"/>
      <c r="C1158" s="43" t="s">
        <v>144</v>
      </c>
      <c r="D1158" s="42">
        <v>2</v>
      </c>
      <c r="E1158" s="41">
        <v>8.8206756637558437E-5</v>
      </c>
    </row>
    <row r="1159" spans="2:5" ht="15" customHeight="1">
      <c r="B1159" s="93"/>
      <c r="C1159" s="43" t="s">
        <v>150</v>
      </c>
      <c r="D1159" s="42">
        <v>1</v>
      </c>
      <c r="E1159" s="41">
        <v>4.4103378318779218E-5</v>
      </c>
    </row>
    <row r="1160" spans="2:5" ht="15" customHeight="1">
      <c r="B1160" s="93"/>
      <c r="C1160" s="43" t="s">
        <v>138</v>
      </c>
      <c r="D1160" s="42">
        <v>2</v>
      </c>
      <c r="E1160" s="41">
        <v>8.8206756637558437E-5</v>
      </c>
    </row>
    <row r="1161" spans="2:5" ht="15" customHeight="1">
      <c r="B1161" s="93"/>
      <c r="C1161" s="43" t="s">
        <v>155</v>
      </c>
      <c r="D1161" s="42">
        <v>4</v>
      </c>
      <c r="E1161" s="41">
        <v>1.7641351327511687E-4</v>
      </c>
    </row>
    <row r="1162" spans="2:5" ht="15" customHeight="1">
      <c r="B1162" s="93"/>
      <c r="C1162" s="43" t="s">
        <v>119</v>
      </c>
      <c r="D1162" s="42">
        <v>2</v>
      </c>
      <c r="E1162" s="41">
        <v>8.8206756637558437E-5</v>
      </c>
    </row>
    <row r="1163" spans="2:5" ht="15" customHeight="1">
      <c r="B1163" s="93"/>
      <c r="C1163" s="43" t="s">
        <v>170</v>
      </c>
      <c r="D1163" s="42">
        <v>10</v>
      </c>
      <c r="E1163" s="41">
        <v>4.410337831877922E-4</v>
      </c>
    </row>
    <row r="1164" spans="2:5" ht="15" customHeight="1">
      <c r="B1164" s="93"/>
      <c r="C1164" s="43" t="s">
        <v>154</v>
      </c>
      <c r="D1164" s="42">
        <v>1</v>
      </c>
      <c r="E1164" s="41">
        <v>4.4103378318779218E-5</v>
      </c>
    </row>
    <row r="1165" spans="2:5" ht="15" customHeight="1">
      <c r="B1165" s="93"/>
      <c r="C1165" s="43" t="s">
        <v>147</v>
      </c>
      <c r="D1165" s="42">
        <v>1</v>
      </c>
      <c r="E1165" s="41">
        <v>4.4103378318779218E-5</v>
      </c>
    </row>
    <row r="1166" spans="2:5" ht="15" customHeight="1">
      <c r="B1166" s="93"/>
      <c r="C1166" s="43" t="s">
        <v>167</v>
      </c>
      <c r="D1166" s="42">
        <v>7</v>
      </c>
      <c r="E1166" s="41">
        <v>3.0872364823145452E-4</v>
      </c>
    </row>
    <row r="1167" spans="2:5" ht="15" customHeight="1">
      <c r="B1167" s="93"/>
      <c r="C1167" s="43" t="s">
        <v>165</v>
      </c>
      <c r="D1167" s="42">
        <v>9</v>
      </c>
      <c r="E1167" s="41">
        <v>3.9693040486901297E-4</v>
      </c>
    </row>
    <row r="1168" spans="2:5" ht="15" customHeight="1">
      <c r="B1168" s="94"/>
      <c r="C1168" s="40" t="s">
        <v>20</v>
      </c>
      <c r="D1168" s="39">
        <v>77</v>
      </c>
      <c r="E1168" s="38">
        <v>3.3959601305459997E-3</v>
      </c>
    </row>
    <row r="1169" spans="2:5" ht="15" customHeight="1">
      <c r="B1169" s="92" t="s">
        <v>73</v>
      </c>
      <c r="C1169" s="43" t="s">
        <v>172</v>
      </c>
      <c r="D1169" s="42">
        <v>4</v>
      </c>
      <c r="E1169" s="41">
        <v>1.7641351327511687E-4</v>
      </c>
    </row>
    <row r="1170" spans="2:5" ht="15" customHeight="1">
      <c r="B1170" s="93"/>
      <c r="C1170" s="43" t="s">
        <v>159</v>
      </c>
      <c r="D1170" s="42">
        <v>1</v>
      </c>
      <c r="E1170" s="41">
        <v>4.4103378318779218E-5</v>
      </c>
    </row>
    <row r="1171" spans="2:5" ht="15" customHeight="1">
      <c r="B1171" s="93"/>
      <c r="C1171" s="43" t="s">
        <v>164</v>
      </c>
      <c r="D1171" s="42">
        <v>2</v>
      </c>
      <c r="E1171" s="41">
        <v>8.8206756637558437E-5</v>
      </c>
    </row>
    <row r="1172" spans="2:5" ht="15" customHeight="1">
      <c r="B1172" s="93"/>
      <c r="C1172" s="43" t="s">
        <v>169</v>
      </c>
      <c r="D1172" s="42">
        <v>2</v>
      </c>
      <c r="E1172" s="41">
        <v>8.8206756637558437E-5</v>
      </c>
    </row>
    <row r="1173" spans="2:5" ht="15" customHeight="1">
      <c r="B1173" s="93"/>
      <c r="C1173" s="43" t="s">
        <v>168</v>
      </c>
      <c r="D1173" s="42">
        <v>2</v>
      </c>
      <c r="E1173" s="41">
        <v>8.8206756637558437E-5</v>
      </c>
    </row>
    <row r="1174" spans="2:5" ht="15" customHeight="1">
      <c r="B1174" s="93"/>
      <c r="C1174" s="43" t="s">
        <v>131</v>
      </c>
      <c r="D1174" s="42">
        <v>1</v>
      </c>
      <c r="E1174" s="41">
        <v>4.4103378318779218E-5</v>
      </c>
    </row>
    <row r="1175" spans="2:5" ht="15" customHeight="1">
      <c r="B1175" s="93"/>
      <c r="C1175" s="43" t="s">
        <v>165</v>
      </c>
      <c r="D1175" s="42">
        <v>2</v>
      </c>
      <c r="E1175" s="41">
        <v>8.8206756637558437E-5</v>
      </c>
    </row>
    <row r="1176" spans="2:5" ht="15" customHeight="1">
      <c r="B1176" s="94"/>
      <c r="C1176" s="40" t="s">
        <v>20</v>
      </c>
      <c r="D1176" s="39">
        <v>14</v>
      </c>
      <c r="E1176" s="38">
        <v>6.1744729646290904E-4</v>
      </c>
    </row>
    <row r="1177" spans="2:5" ht="15" customHeight="1">
      <c r="B1177" s="92" t="s">
        <v>107</v>
      </c>
      <c r="C1177" s="43" t="s">
        <v>140</v>
      </c>
      <c r="D1177" s="42">
        <v>2</v>
      </c>
      <c r="E1177" s="41">
        <v>8.8206756637558437E-5</v>
      </c>
    </row>
    <row r="1178" spans="2:5" ht="15" customHeight="1">
      <c r="B1178" s="93"/>
      <c r="C1178" s="43" t="s">
        <v>129</v>
      </c>
      <c r="D1178" s="42">
        <v>7</v>
      </c>
      <c r="E1178" s="41">
        <v>3.0872364823145452E-4</v>
      </c>
    </row>
    <row r="1179" spans="2:5" ht="15" customHeight="1">
      <c r="B1179" s="93"/>
      <c r="C1179" s="43" t="s">
        <v>145</v>
      </c>
      <c r="D1179" s="42">
        <v>2</v>
      </c>
      <c r="E1179" s="41">
        <v>8.8206756637558437E-5</v>
      </c>
    </row>
    <row r="1180" spans="2:5" ht="15" customHeight="1">
      <c r="B1180" s="93"/>
      <c r="C1180" s="43" t="s">
        <v>120</v>
      </c>
      <c r="D1180" s="42">
        <v>1</v>
      </c>
      <c r="E1180" s="41">
        <v>4.4103378318779218E-5</v>
      </c>
    </row>
    <row r="1181" spans="2:5" ht="15" customHeight="1">
      <c r="B1181" s="93"/>
      <c r="C1181" s="43" t="s">
        <v>151</v>
      </c>
      <c r="D1181" s="42">
        <v>7</v>
      </c>
      <c r="E1181" s="41">
        <v>3.0872364823145452E-4</v>
      </c>
    </row>
    <row r="1182" spans="2:5" ht="15" customHeight="1">
      <c r="B1182" s="93"/>
      <c r="C1182" s="43" t="s">
        <v>128</v>
      </c>
      <c r="D1182" s="42">
        <v>8</v>
      </c>
      <c r="E1182" s="41">
        <v>3.5282702655023375E-4</v>
      </c>
    </row>
    <row r="1183" spans="2:5" ht="15" customHeight="1">
      <c r="B1183" s="93"/>
      <c r="C1183" s="43" t="s">
        <v>172</v>
      </c>
      <c r="D1183" s="42">
        <v>49</v>
      </c>
      <c r="E1183" s="41">
        <v>2.1610655376201817E-3</v>
      </c>
    </row>
    <row r="1184" spans="2:5" ht="15" customHeight="1">
      <c r="B1184" s="93"/>
      <c r="C1184" s="43" t="s">
        <v>139</v>
      </c>
      <c r="D1184" s="42">
        <v>12</v>
      </c>
      <c r="E1184" s="41">
        <v>5.2924053982535059E-4</v>
      </c>
    </row>
    <row r="1185" spans="2:5" ht="15" customHeight="1">
      <c r="B1185" s="93"/>
      <c r="C1185" s="43" t="s">
        <v>159</v>
      </c>
      <c r="D1185" s="42">
        <v>13</v>
      </c>
      <c r="E1185" s="41">
        <v>5.7334391814412987E-4</v>
      </c>
    </row>
    <row r="1186" spans="2:5" ht="15" customHeight="1">
      <c r="B1186" s="93"/>
      <c r="C1186" s="43" t="s">
        <v>157</v>
      </c>
      <c r="D1186" s="42">
        <v>42</v>
      </c>
      <c r="E1186" s="41">
        <v>1.8523418893887271E-3</v>
      </c>
    </row>
    <row r="1187" spans="2:5" ht="15" customHeight="1">
      <c r="B1187" s="93"/>
      <c r="C1187" s="43" t="s">
        <v>164</v>
      </c>
      <c r="D1187" s="42">
        <v>24</v>
      </c>
      <c r="E1187" s="41">
        <v>1.0584810796507012E-3</v>
      </c>
    </row>
    <row r="1188" spans="2:5" ht="15" customHeight="1">
      <c r="B1188" s="93"/>
      <c r="C1188" s="43" t="s">
        <v>136</v>
      </c>
      <c r="D1188" s="42">
        <v>1</v>
      </c>
      <c r="E1188" s="41">
        <v>4.4103378318779218E-5</v>
      </c>
    </row>
    <row r="1189" spans="2:5" ht="15" customHeight="1">
      <c r="B1189" s="93"/>
      <c r="C1189" s="43" t="s">
        <v>162</v>
      </c>
      <c r="D1189" s="42">
        <v>8</v>
      </c>
      <c r="E1189" s="41">
        <v>3.5282702655023375E-4</v>
      </c>
    </row>
    <row r="1190" spans="2:5" ht="15" customHeight="1">
      <c r="B1190" s="93"/>
      <c r="C1190" s="43" t="s">
        <v>166</v>
      </c>
      <c r="D1190" s="42">
        <v>4</v>
      </c>
      <c r="E1190" s="41">
        <v>1.7641351327511687E-4</v>
      </c>
    </row>
    <row r="1191" spans="2:5" ht="15" customHeight="1">
      <c r="B1191" s="93"/>
      <c r="C1191" s="43" t="s">
        <v>142</v>
      </c>
      <c r="D1191" s="42">
        <v>6</v>
      </c>
      <c r="E1191" s="41">
        <v>2.646202699126753E-4</v>
      </c>
    </row>
    <row r="1192" spans="2:5" ht="15" customHeight="1">
      <c r="B1192" s="93"/>
      <c r="C1192" s="43" t="s">
        <v>158</v>
      </c>
      <c r="D1192" s="42">
        <v>15</v>
      </c>
      <c r="E1192" s="41">
        <v>6.6155067478168832E-4</v>
      </c>
    </row>
    <row r="1193" spans="2:5" ht="15" customHeight="1">
      <c r="B1193" s="93"/>
      <c r="C1193" s="43" t="s">
        <v>148</v>
      </c>
      <c r="D1193" s="42">
        <v>3</v>
      </c>
      <c r="E1193" s="41">
        <v>1.3231013495633765E-4</v>
      </c>
    </row>
    <row r="1194" spans="2:5" ht="15" customHeight="1">
      <c r="B1194" s="93"/>
      <c r="C1194" s="43" t="s">
        <v>153</v>
      </c>
      <c r="D1194" s="42">
        <v>23</v>
      </c>
      <c r="E1194" s="41">
        <v>1.0143777013319221E-3</v>
      </c>
    </row>
    <row r="1195" spans="2:5" ht="15" customHeight="1">
      <c r="B1195" s="93"/>
      <c r="C1195" s="43" t="s">
        <v>143</v>
      </c>
      <c r="D1195" s="42">
        <v>4</v>
      </c>
      <c r="E1195" s="41">
        <v>1.7641351327511687E-4</v>
      </c>
    </row>
    <row r="1196" spans="2:5" ht="15" customHeight="1">
      <c r="B1196" s="93"/>
      <c r="C1196" s="43" t="s">
        <v>141</v>
      </c>
      <c r="D1196" s="42">
        <v>7</v>
      </c>
      <c r="E1196" s="41">
        <v>3.0872364823145452E-4</v>
      </c>
    </row>
    <row r="1197" spans="2:5" ht="15" customHeight="1">
      <c r="B1197" s="93"/>
      <c r="C1197" s="43" t="s">
        <v>118</v>
      </c>
      <c r="D1197" s="42">
        <v>1</v>
      </c>
      <c r="E1197" s="41">
        <v>4.4103378318779218E-5</v>
      </c>
    </row>
    <row r="1198" spans="2:5" ht="15" customHeight="1">
      <c r="B1198" s="93"/>
      <c r="C1198" s="43" t="s">
        <v>124</v>
      </c>
      <c r="D1198" s="42">
        <v>2</v>
      </c>
      <c r="E1198" s="41">
        <v>8.8206756637558437E-5</v>
      </c>
    </row>
    <row r="1199" spans="2:5" ht="15" customHeight="1">
      <c r="B1199" s="93"/>
      <c r="C1199" s="43" t="s">
        <v>156</v>
      </c>
      <c r="D1199" s="42">
        <v>1</v>
      </c>
      <c r="E1199" s="41">
        <v>4.4103378318779218E-5</v>
      </c>
    </row>
    <row r="1200" spans="2:5" ht="15" customHeight="1">
      <c r="B1200" s="93"/>
      <c r="C1200" s="43" t="s">
        <v>130</v>
      </c>
      <c r="D1200" s="42">
        <v>2</v>
      </c>
      <c r="E1200" s="41">
        <v>8.8206756637558437E-5</v>
      </c>
    </row>
    <row r="1201" spans="2:5" ht="15" customHeight="1">
      <c r="B1201" s="93"/>
      <c r="C1201" s="43" t="s">
        <v>133</v>
      </c>
      <c r="D1201" s="42">
        <v>3</v>
      </c>
      <c r="E1201" s="41">
        <v>1.3231013495633765E-4</v>
      </c>
    </row>
    <row r="1202" spans="2:5" ht="15" customHeight="1">
      <c r="B1202" s="93"/>
      <c r="C1202" s="43" t="s">
        <v>163</v>
      </c>
      <c r="D1202" s="42">
        <v>4</v>
      </c>
      <c r="E1202" s="41">
        <v>1.7641351327511687E-4</v>
      </c>
    </row>
    <row r="1203" spans="2:5" ht="15" customHeight="1">
      <c r="B1203" s="93"/>
      <c r="C1203" s="43" t="s">
        <v>137</v>
      </c>
      <c r="D1203" s="42">
        <v>6</v>
      </c>
      <c r="E1203" s="41">
        <v>2.646202699126753E-4</v>
      </c>
    </row>
    <row r="1204" spans="2:5" ht="15" customHeight="1">
      <c r="B1204" s="93"/>
      <c r="C1204" s="43" t="s">
        <v>161</v>
      </c>
      <c r="D1204" s="42">
        <v>15</v>
      </c>
      <c r="E1204" s="41">
        <v>6.6155067478168832E-4</v>
      </c>
    </row>
    <row r="1205" spans="2:5" ht="15" customHeight="1">
      <c r="B1205" s="93"/>
      <c r="C1205" s="43" t="s">
        <v>127</v>
      </c>
      <c r="D1205" s="42">
        <v>8</v>
      </c>
      <c r="E1205" s="41">
        <v>3.5282702655023375E-4</v>
      </c>
    </row>
    <row r="1206" spans="2:5" ht="15" customHeight="1">
      <c r="B1206" s="93"/>
      <c r="C1206" s="43" t="s">
        <v>169</v>
      </c>
      <c r="D1206" s="42">
        <v>71</v>
      </c>
      <c r="E1206" s="41">
        <v>3.1313398606333245E-3</v>
      </c>
    </row>
    <row r="1207" spans="2:5" ht="15" customHeight="1">
      <c r="B1207" s="93"/>
      <c r="C1207" s="43" t="s">
        <v>171</v>
      </c>
      <c r="D1207" s="42">
        <v>28</v>
      </c>
      <c r="E1207" s="41">
        <v>1.2348945929258181E-3</v>
      </c>
    </row>
    <row r="1208" spans="2:5" ht="15" customHeight="1">
      <c r="B1208" s="93"/>
      <c r="C1208" s="43" t="s">
        <v>160</v>
      </c>
      <c r="D1208" s="42">
        <v>16</v>
      </c>
      <c r="E1208" s="41">
        <v>7.0565405310046749E-4</v>
      </c>
    </row>
    <row r="1209" spans="2:5" ht="15" customHeight="1">
      <c r="B1209" s="93"/>
      <c r="C1209" s="43" t="s">
        <v>168</v>
      </c>
      <c r="D1209" s="42">
        <v>65</v>
      </c>
      <c r="E1209" s="41">
        <v>2.8667195907206493E-3</v>
      </c>
    </row>
    <row r="1210" spans="2:5" ht="15" customHeight="1">
      <c r="B1210" s="93"/>
      <c r="C1210" s="43" t="s">
        <v>126</v>
      </c>
      <c r="D1210" s="42">
        <v>1</v>
      </c>
      <c r="E1210" s="41">
        <v>4.4103378318779218E-5</v>
      </c>
    </row>
    <row r="1211" spans="2:5" ht="15" customHeight="1">
      <c r="B1211" s="93"/>
      <c r="C1211" s="43" t="s">
        <v>149</v>
      </c>
      <c r="D1211" s="42">
        <v>1</v>
      </c>
      <c r="E1211" s="41">
        <v>4.4103378318779218E-5</v>
      </c>
    </row>
    <row r="1212" spans="2:5" ht="15" customHeight="1">
      <c r="B1212" s="93"/>
      <c r="C1212" s="43" t="s">
        <v>144</v>
      </c>
      <c r="D1212" s="42">
        <v>2</v>
      </c>
      <c r="E1212" s="41">
        <v>8.8206756637558437E-5</v>
      </c>
    </row>
    <row r="1213" spans="2:5" ht="15" customHeight="1">
      <c r="B1213" s="93"/>
      <c r="C1213" s="43" t="s">
        <v>150</v>
      </c>
      <c r="D1213" s="42">
        <v>4</v>
      </c>
      <c r="E1213" s="41">
        <v>1.7641351327511687E-4</v>
      </c>
    </row>
    <row r="1214" spans="2:5" ht="15" customHeight="1">
      <c r="B1214" s="93"/>
      <c r="C1214" s="43" t="s">
        <v>138</v>
      </c>
      <c r="D1214" s="42">
        <v>1</v>
      </c>
      <c r="E1214" s="41">
        <v>4.4103378318779218E-5</v>
      </c>
    </row>
    <row r="1215" spans="2:5" ht="15" customHeight="1">
      <c r="B1215" s="93"/>
      <c r="C1215" s="43" t="s">
        <v>155</v>
      </c>
      <c r="D1215" s="42">
        <v>2</v>
      </c>
      <c r="E1215" s="41">
        <v>8.8206756637558437E-5</v>
      </c>
    </row>
    <row r="1216" spans="2:5" ht="15" customHeight="1">
      <c r="B1216" s="93"/>
      <c r="C1216" s="43" t="s">
        <v>170</v>
      </c>
      <c r="D1216" s="42">
        <v>57</v>
      </c>
      <c r="E1216" s="41">
        <v>2.5138925641704155E-3</v>
      </c>
    </row>
    <row r="1217" spans="2:5" ht="15" customHeight="1">
      <c r="B1217" s="93"/>
      <c r="C1217" s="43" t="s">
        <v>123</v>
      </c>
      <c r="D1217" s="42">
        <v>1</v>
      </c>
      <c r="E1217" s="41">
        <v>4.4103378318779218E-5</v>
      </c>
    </row>
    <row r="1218" spans="2:5" ht="15" customHeight="1">
      <c r="B1218" s="93"/>
      <c r="C1218" s="43" t="s">
        <v>154</v>
      </c>
      <c r="D1218" s="42">
        <v>4</v>
      </c>
      <c r="E1218" s="41">
        <v>1.7641351327511687E-4</v>
      </c>
    </row>
    <row r="1219" spans="2:5" ht="15" customHeight="1">
      <c r="B1219" s="93"/>
      <c r="C1219" s="43" t="s">
        <v>131</v>
      </c>
      <c r="D1219" s="42">
        <v>17</v>
      </c>
      <c r="E1219" s="41">
        <v>7.4975743141924667E-4</v>
      </c>
    </row>
    <row r="1220" spans="2:5" ht="15" customHeight="1">
      <c r="B1220" s="93"/>
      <c r="C1220" s="43" t="s">
        <v>147</v>
      </c>
      <c r="D1220" s="42">
        <v>12</v>
      </c>
      <c r="E1220" s="41">
        <v>5.2924053982535059E-4</v>
      </c>
    </row>
    <row r="1221" spans="2:5" ht="15" customHeight="1">
      <c r="B1221" s="93"/>
      <c r="C1221" s="43" t="s">
        <v>146</v>
      </c>
      <c r="D1221" s="42">
        <v>3</v>
      </c>
      <c r="E1221" s="41">
        <v>1.3231013495633765E-4</v>
      </c>
    </row>
    <row r="1222" spans="2:5" ht="15" customHeight="1">
      <c r="B1222" s="93"/>
      <c r="C1222" s="43" t="s">
        <v>167</v>
      </c>
      <c r="D1222" s="42">
        <v>8</v>
      </c>
      <c r="E1222" s="41">
        <v>3.5282702655023375E-4</v>
      </c>
    </row>
    <row r="1223" spans="2:5" ht="15" customHeight="1">
      <c r="B1223" s="93"/>
      <c r="C1223" s="43" t="s">
        <v>165</v>
      </c>
      <c r="D1223" s="42">
        <v>19</v>
      </c>
      <c r="E1223" s="41">
        <v>8.3796418805680512E-4</v>
      </c>
    </row>
    <row r="1224" spans="2:5" ht="15" customHeight="1">
      <c r="B1224" s="94"/>
      <c r="C1224" s="40" t="s">
        <v>20</v>
      </c>
      <c r="D1224" s="39">
        <v>592</v>
      </c>
      <c r="E1224" s="38">
        <v>2.6109199964717299E-2</v>
      </c>
    </row>
    <row r="1225" spans="2:5" ht="15" customHeight="1">
      <c r="B1225" s="92" t="s">
        <v>99</v>
      </c>
      <c r="C1225" s="43" t="s">
        <v>140</v>
      </c>
      <c r="D1225" s="42">
        <v>19</v>
      </c>
      <c r="E1225" s="41">
        <v>8.3796418805680512E-4</v>
      </c>
    </row>
    <row r="1226" spans="2:5" ht="15" customHeight="1">
      <c r="B1226" s="93"/>
      <c r="C1226" s="43" t="s">
        <v>132</v>
      </c>
      <c r="D1226" s="42">
        <v>2</v>
      </c>
      <c r="E1226" s="41">
        <v>8.8206756637558437E-5</v>
      </c>
    </row>
    <row r="1227" spans="2:5" ht="15" customHeight="1">
      <c r="B1227" s="93"/>
      <c r="C1227" s="43" t="s">
        <v>129</v>
      </c>
      <c r="D1227" s="42">
        <v>1</v>
      </c>
      <c r="E1227" s="41">
        <v>4.4103378318779218E-5</v>
      </c>
    </row>
    <row r="1228" spans="2:5" ht="15" customHeight="1">
      <c r="B1228" s="93"/>
      <c r="C1228" s="43" t="s">
        <v>145</v>
      </c>
      <c r="D1228" s="42">
        <v>15</v>
      </c>
      <c r="E1228" s="41">
        <v>6.6155067478168832E-4</v>
      </c>
    </row>
    <row r="1229" spans="2:5" ht="15" customHeight="1">
      <c r="B1229" s="93"/>
      <c r="C1229" s="43" t="s">
        <v>120</v>
      </c>
      <c r="D1229" s="42">
        <v>2</v>
      </c>
      <c r="E1229" s="41">
        <v>8.8206756637558437E-5</v>
      </c>
    </row>
    <row r="1230" spans="2:5" ht="15" customHeight="1">
      <c r="B1230" s="93"/>
      <c r="C1230" s="43" t="s">
        <v>128</v>
      </c>
      <c r="D1230" s="42">
        <v>1</v>
      </c>
      <c r="E1230" s="41">
        <v>4.4103378318779218E-5</v>
      </c>
    </row>
    <row r="1231" spans="2:5" ht="15" customHeight="1">
      <c r="B1231" s="93"/>
      <c r="C1231" s="43" t="s">
        <v>134</v>
      </c>
      <c r="D1231" s="42">
        <v>8</v>
      </c>
      <c r="E1231" s="41">
        <v>3.5282702655023375E-4</v>
      </c>
    </row>
    <row r="1232" spans="2:5" ht="15" customHeight="1">
      <c r="B1232" s="93"/>
      <c r="C1232" s="43" t="s">
        <v>121</v>
      </c>
      <c r="D1232" s="42">
        <v>1</v>
      </c>
      <c r="E1232" s="41">
        <v>4.4103378318779218E-5</v>
      </c>
    </row>
    <row r="1233" spans="2:5" ht="15" customHeight="1">
      <c r="B1233" s="93"/>
      <c r="C1233" s="43" t="s">
        <v>172</v>
      </c>
      <c r="D1233" s="42">
        <v>27</v>
      </c>
      <c r="E1233" s="41">
        <v>1.1907912146070388E-3</v>
      </c>
    </row>
    <row r="1234" spans="2:5" ht="15" customHeight="1">
      <c r="B1234" s="93"/>
      <c r="C1234" s="43" t="s">
        <v>122</v>
      </c>
      <c r="D1234" s="42">
        <v>6</v>
      </c>
      <c r="E1234" s="41">
        <v>2.646202699126753E-4</v>
      </c>
    </row>
    <row r="1235" spans="2:5" ht="15" customHeight="1">
      <c r="B1235" s="93"/>
      <c r="C1235" s="43" t="s">
        <v>159</v>
      </c>
      <c r="D1235" s="42">
        <v>1</v>
      </c>
      <c r="E1235" s="41">
        <v>4.4103378318779218E-5</v>
      </c>
    </row>
    <row r="1236" spans="2:5" ht="15" customHeight="1">
      <c r="B1236" s="93"/>
      <c r="C1236" s="43" t="s">
        <v>157</v>
      </c>
      <c r="D1236" s="42">
        <v>9</v>
      </c>
      <c r="E1236" s="41">
        <v>3.9693040486901297E-4</v>
      </c>
    </row>
    <row r="1237" spans="2:5" ht="15" customHeight="1">
      <c r="B1237" s="93"/>
      <c r="C1237" s="43" t="s">
        <v>164</v>
      </c>
      <c r="D1237" s="42">
        <v>10</v>
      </c>
      <c r="E1237" s="41">
        <v>4.410337831877922E-4</v>
      </c>
    </row>
    <row r="1238" spans="2:5" ht="15" customHeight="1">
      <c r="B1238" s="93"/>
      <c r="C1238" s="43" t="s">
        <v>136</v>
      </c>
      <c r="D1238" s="42">
        <v>1</v>
      </c>
      <c r="E1238" s="41">
        <v>4.4103378318779218E-5</v>
      </c>
    </row>
    <row r="1239" spans="2:5" ht="15" customHeight="1">
      <c r="B1239" s="93"/>
      <c r="C1239" s="43" t="s">
        <v>162</v>
      </c>
      <c r="D1239" s="42">
        <v>11</v>
      </c>
      <c r="E1239" s="41">
        <v>4.8513716150657142E-4</v>
      </c>
    </row>
    <row r="1240" spans="2:5" ht="15" customHeight="1">
      <c r="B1240" s="93"/>
      <c r="C1240" s="43" t="s">
        <v>166</v>
      </c>
      <c r="D1240" s="42">
        <v>17</v>
      </c>
      <c r="E1240" s="41">
        <v>7.4975743141924667E-4</v>
      </c>
    </row>
    <row r="1241" spans="2:5" ht="15" customHeight="1">
      <c r="B1241" s="93"/>
      <c r="C1241" s="43" t="s">
        <v>142</v>
      </c>
      <c r="D1241" s="42">
        <v>2</v>
      </c>
      <c r="E1241" s="41">
        <v>8.8206756637558437E-5</v>
      </c>
    </row>
    <row r="1242" spans="2:5" ht="15" customHeight="1">
      <c r="B1242" s="93"/>
      <c r="C1242" s="43" t="s">
        <v>158</v>
      </c>
      <c r="D1242" s="42">
        <v>1</v>
      </c>
      <c r="E1242" s="41">
        <v>4.4103378318779218E-5</v>
      </c>
    </row>
    <row r="1243" spans="2:5" ht="15" customHeight="1">
      <c r="B1243" s="93"/>
      <c r="C1243" s="43" t="s">
        <v>148</v>
      </c>
      <c r="D1243" s="42">
        <v>24</v>
      </c>
      <c r="E1243" s="41">
        <v>1.0584810796507012E-3</v>
      </c>
    </row>
    <row r="1244" spans="2:5" ht="15" customHeight="1">
      <c r="B1244" s="93"/>
      <c r="C1244" s="43" t="s">
        <v>143</v>
      </c>
      <c r="D1244" s="42">
        <v>3</v>
      </c>
      <c r="E1244" s="41">
        <v>1.3231013495633765E-4</v>
      </c>
    </row>
    <row r="1245" spans="2:5" ht="15" customHeight="1">
      <c r="B1245" s="93"/>
      <c r="C1245" s="43" t="s">
        <v>141</v>
      </c>
      <c r="D1245" s="42">
        <v>1</v>
      </c>
      <c r="E1245" s="41">
        <v>4.4103378318779218E-5</v>
      </c>
    </row>
    <row r="1246" spans="2:5" ht="15" customHeight="1">
      <c r="B1246" s="93"/>
      <c r="C1246" s="43" t="s">
        <v>124</v>
      </c>
      <c r="D1246" s="42">
        <v>9</v>
      </c>
      <c r="E1246" s="41">
        <v>3.9693040486901297E-4</v>
      </c>
    </row>
    <row r="1247" spans="2:5" ht="15" customHeight="1">
      <c r="B1247" s="93"/>
      <c r="C1247" s="43" t="s">
        <v>125</v>
      </c>
      <c r="D1247" s="42">
        <v>1</v>
      </c>
      <c r="E1247" s="41">
        <v>4.4103378318779218E-5</v>
      </c>
    </row>
    <row r="1248" spans="2:5" ht="15" customHeight="1">
      <c r="B1248" s="93"/>
      <c r="C1248" s="43" t="s">
        <v>152</v>
      </c>
      <c r="D1248" s="42">
        <v>6</v>
      </c>
      <c r="E1248" s="41">
        <v>2.646202699126753E-4</v>
      </c>
    </row>
    <row r="1249" spans="2:5" ht="15" customHeight="1">
      <c r="B1249" s="93"/>
      <c r="C1249" s="43" t="s">
        <v>130</v>
      </c>
      <c r="D1249" s="42">
        <v>1</v>
      </c>
      <c r="E1249" s="41">
        <v>4.4103378318779218E-5</v>
      </c>
    </row>
    <row r="1250" spans="2:5" ht="15" customHeight="1">
      <c r="B1250" s="93"/>
      <c r="C1250" s="43" t="s">
        <v>133</v>
      </c>
      <c r="D1250" s="42">
        <v>7</v>
      </c>
      <c r="E1250" s="41">
        <v>3.0872364823145452E-4</v>
      </c>
    </row>
    <row r="1251" spans="2:5" ht="15" customHeight="1">
      <c r="B1251" s="93"/>
      <c r="C1251" s="43" t="s">
        <v>163</v>
      </c>
      <c r="D1251" s="42">
        <v>13</v>
      </c>
      <c r="E1251" s="41">
        <v>5.7334391814412987E-4</v>
      </c>
    </row>
    <row r="1252" spans="2:5" ht="15" customHeight="1">
      <c r="B1252" s="93"/>
      <c r="C1252" s="43" t="s">
        <v>161</v>
      </c>
      <c r="D1252" s="42">
        <v>8</v>
      </c>
      <c r="E1252" s="41">
        <v>3.5282702655023375E-4</v>
      </c>
    </row>
    <row r="1253" spans="2:5" ht="15" customHeight="1">
      <c r="B1253" s="93"/>
      <c r="C1253" s="43" t="s">
        <v>169</v>
      </c>
      <c r="D1253" s="42">
        <v>6</v>
      </c>
      <c r="E1253" s="41">
        <v>2.646202699126753E-4</v>
      </c>
    </row>
    <row r="1254" spans="2:5" ht="15" customHeight="1">
      <c r="B1254" s="93"/>
      <c r="C1254" s="43" t="s">
        <v>171</v>
      </c>
      <c r="D1254" s="42">
        <v>5</v>
      </c>
      <c r="E1254" s="41">
        <v>2.205168915938961E-4</v>
      </c>
    </row>
    <row r="1255" spans="2:5" ht="15" customHeight="1">
      <c r="B1255" s="93"/>
      <c r="C1255" s="43" t="s">
        <v>160</v>
      </c>
      <c r="D1255" s="42">
        <v>2</v>
      </c>
      <c r="E1255" s="41">
        <v>8.8206756637558437E-5</v>
      </c>
    </row>
    <row r="1256" spans="2:5" ht="15" customHeight="1">
      <c r="B1256" s="93"/>
      <c r="C1256" s="43" t="s">
        <v>168</v>
      </c>
      <c r="D1256" s="42">
        <v>8</v>
      </c>
      <c r="E1256" s="41">
        <v>3.5282702655023375E-4</v>
      </c>
    </row>
    <row r="1257" spans="2:5" ht="15" customHeight="1">
      <c r="B1257" s="93"/>
      <c r="C1257" s="43" t="s">
        <v>149</v>
      </c>
      <c r="D1257" s="42">
        <v>11</v>
      </c>
      <c r="E1257" s="41">
        <v>4.8513716150657142E-4</v>
      </c>
    </row>
    <row r="1258" spans="2:5" ht="15" customHeight="1">
      <c r="B1258" s="93"/>
      <c r="C1258" s="43" t="s">
        <v>144</v>
      </c>
      <c r="D1258" s="42">
        <v>5</v>
      </c>
      <c r="E1258" s="41">
        <v>2.205168915938961E-4</v>
      </c>
    </row>
    <row r="1259" spans="2:5" ht="15" customHeight="1">
      <c r="B1259" s="93"/>
      <c r="C1259" s="43" t="s">
        <v>150</v>
      </c>
      <c r="D1259" s="42">
        <v>1</v>
      </c>
      <c r="E1259" s="41">
        <v>4.4103378318779218E-5</v>
      </c>
    </row>
    <row r="1260" spans="2:5" ht="15" customHeight="1">
      <c r="B1260" s="93"/>
      <c r="C1260" s="43" t="s">
        <v>138</v>
      </c>
      <c r="D1260" s="42">
        <v>2</v>
      </c>
      <c r="E1260" s="41">
        <v>8.8206756637558437E-5</v>
      </c>
    </row>
    <row r="1261" spans="2:5" ht="15" customHeight="1">
      <c r="B1261" s="93"/>
      <c r="C1261" s="43" t="s">
        <v>155</v>
      </c>
      <c r="D1261" s="42">
        <v>10</v>
      </c>
      <c r="E1261" s="41">
        <v>4.410337831877922E-4</v>
      </c>
    </row>
    <row r="1262" spans="2:5" ht="15" customHeight="1">
      <c r="B1262" s="93"/>
      <c r="C1262" s="43" t="s">
        <v>170</v>
      </c>
      <c r="D1262" s="42">
        <v>26</v>
      </c>
      <c r="E1262" s="41">
        <v>1.1466878362882597E-3</v>
      </c>
    </row>
    <row r="1263" spans="2:5" ht="15" customHeight="1">
      <c r="B1263" s="93"/>
      <c r="C1263" s="43" t="s">
        <v>154</v>
      </c>
      <c r="D1263" s="42">
        <v>14</v>
      </c>
      <c r="E1263" s="41">
        <v>6.1744729646290904E-4</v>
      </c>
    </row>
    <row r="1264" spans="2:5" ht="15" customHeight="1">
      <c r="B1264" s="93"/>
      <c r="C1264" s="43" t="s">
        <v>131</v>
      </c>
      <c r="D1264" s="42">
        <v>2</v>
      </c>
      <c r="E1264" s="41">
        <v>8.8206756637558437E-5</v>
      </c>
    </row>
    <row r="1265" spans="2:5" ht="15" customHeight="1">
      <c r="B1265" s="93"/>
      <c r="C1265" s="43" t="s">
        <v>167</v>
      </c>
      <c r="D1265" s="42">
        <v>15</v>
      </c>
      <c r="E1265" s="41">
        <v>6.6155067478168832E-4</v>
      </c>
    </row>
    <row r="1266" spans="2:5" ht="15" customHeight="1">
      <c r="B1266" s="93"/>
      <c r="C1266" s="43" t="s">
        <v>165</v>
      </c>
      <c r="D1266" s="42">
        <v>14</v>
      </c>
      <c r="E1266" s="41">
        <v>6.1744729646290904E-4</v>
      </c>
    </row>
    <row r="1267" spans="2:5" ht="15" customHeight="1">
      <c r="B1267" s="94"/>
      <c r="C1267" s="40" t="s">
        <v>20</v>
      </c>
      <c r="D1267" s="39">
        <v>328</v>
      </c>
      <c r="E1267" s="38">
        <v>1.4465908088559583E-2</v>
      </c>
    </row>
    <row r="1268" spans="2:5" ht="15" customHeight="1">
      <c r="B1268" s="92" t="s">
        <v>84</v>
      </c>
      <c r="C1268" s="43" t="s">
        <v>140</v>
      </c>
      <c r="D1268" s="42">
        <v>1</v>
      </c>
      <c r="E1268" s="41">
        <v>4.4103378318779218E-5</v>
      </c>
    </row>
    <row r="1269" spans="2:5" ht="15" customHeight="1">
      <c r="B1269" s="93"/>
      <c r="C1269" s="43" t="s">
        <v>132</v>
      </c>
      <c r="D1269" s="42">
        <v>1</v>
      </c>
      <c r="E1269" s="41">
        <v>4.4103378318779218E-5</v>
      </c>
    </row>
    <row r="1270" spans="2:5" ht="15" customHeight="1">
      <c r="B1270" s="93"/>
      <c r="C1270" s="43" t="s">
        <v>145</v>
      </c>
      <c r="D1270" s="42">
        <v>1</v>
      </c>
      <c r="E1270" s="41">
        <v>4.4103378318779218E-5</v>
      </c>
    </row>
    <row r="1271" spans="2:5" ht="15" customHeight="1">
      <c r="B1271" s="93"/>
      <c r="C1271" s="43" t="s">
        <v>151</v>
      </c>
      <c r="D1271" s="42">
        <v>1</v>
      </c>
      <c r="E1271" s="41">
        <v>4.4103378318779218E-5</v>
      </c>
    </row>
    <row r="1272" spans="2:5" ht="15" customHeight="1">
      <c r="B1272" s="93"/>
      <c r="C1272" s="43" t="s">
        <v>128</v>
      </c>
      <c r="D1272" s="42">
        <v>1</v>
      </c>
      <c r="E1272" s="41">
        <v>4.4103378318779218E-5</v>
      </c>
    </row>
    <row r="1273" spans="2:5" ht="15" customHeight="1">
      <c r="B1273" s="93"/>
      <c r="C1273" s="43" t="s">
        <v>172</v>
      </c>
      <c r="D1273" s="42">
        <v>26</v>
      </c>
      <c r="E1273" s="41">
        <v>1.1466878362882597E-3</v>
      </c>
    </row>
    <row r="1274" spans="2:5" ht="15" customHeight="1">
      <c r="B1274" s="93"/>
      <c r="C1274" s="43" t="s">
        <v>159</v>
      </c>
      <c r="D1274" s="42">
        <v>22</v>
      </c>
      <c r="E1274" s="41">
        <v>9.7027432301314285E-4</v>
      </c>
    </row>
    <row r="1275" spans="2:5" ht="15" customHeight="1">
      <c r="B1275" s="93"/>
      <c r="C1275" s="43" t="s">
        <v>157</v>
      </c>
      <c r="D1275" s="42">
        <v>5</v>
      </c>
      <c r="E1275" s="41">
        <v>2.205168915938961E-4</v>
      </c>
    </row>
    <row r="1276" spans="2:5" ht="15" customHeight="1">
      <c r="B1276" s="93"/>
      <c r="C1276" s="43" t="s">
        <v>164</v>
      </c>
      <c r="D1276" s="42">
        <v>6</v>
      </c>
      <c r="E1276" s="41">
        <v>2.646202699126753E-4</v>
      </c>
    </row>
    <row r="1277" spans="2:5" ht="15" customHeight="1">
      <c r="B1277" s="93"/>
      <c r="C1277" s="43" t="s">
        <v>166</v>
      </c>
      <c r="D1277" s="42">
        <v>2</v>
      </c>
      <c r="E1277" s="41">
        <v>8.8206756637558437E-5</v>
      </c>
    </row>
    <row r="1278" spans="2:5" ht="15" customHeight="1">
      <c r="B1278" s="93"/>
      <c r="C1278" s="43" t="s">
        <v>158</v>
      </c>
      <c r="D1278" s="42">
        <v>1</v>
      </c>
      <c r="E1278" s="41">
        <v>4.4103378318779218E-5</v>
      </c>
    </row>
    <row r="1279" spans="2:5" ht="15" customHeight="1">
      <c r="B1279" s="93"/>
      <c r="C1279" s="43" t="s">
        <v>153</v>
      </c>
      <c r="D1279" s="42">
        <v>2</v>
      </c>
      <c r="E1279" s="41">
        <v>8.8206756637558437E-5</v>
      </c>
    </row>
    <row r="1280" spans="2:5" ht="15" customHeight="1">
      <c r="B1280" s="93"/>
      <c r="C1280" s="43" t="s">
        <v>143</v>
      </c>
      <c r="D1280" s="42">
        <v>1</v>
      </c>
      <c r="E1280" s="41">
        <v>4.4103378318779218E-5</v>
      </c>
    </row>
    <row r="1281" spans="2:5" ht="15" customHeight="1">
      <c r="B1281" s="93"/>
      <c r="C1281" s="43" t="s">
        <v>141</v>
      </c>
      <c r="D1281" s="42">
        <v>11</v>
      </c>
      <c r="E1281" s="41">
        <v>4.8513716150657142E-4</v>
      </c>
    </row>
    <row r="1282" spans="2:5" ht="15" customHeight="1">
      <c r="B1282" s="93"/>
      <c r="C1282" s="43" t="s">
        <v>118</v>
      </c>
      <c r="D1282" s="42">
        <v>1</v>
      </c>
      <c r="E1282" s="41">
        <v>4.4103378318779218E-5</v>
      </c>
    </row>
    <row r="1283" spans="2:5" ht="15" customHeight="1">
      <c r="B1283" s="93"/>
      <c r="C1283" s="43" t="s">
        <v>124</v>
      </c>
      <c r="D1283" s="42">
        <v>1</v>
      </c>
      <c r="E1283" s="41">
        <v>4.4103378318779218E-5</v>
      </c>
    </row>
    <row r="1284" spans="2:5" ht="15" customHeight="1">
      <c r="B1284" s="93"/>
      <c r="C1284" s="43" t="s">
        <v>156</v>
      </c>
      <c r="D1284" s="42">
        <v>2</v>
      </c>
      <c r="E1284" s="41">
        <v>8.8206756637558437E-5</v>
      </c>
    </row>
    <row r="1285" spans="2:5" ht="15" customHeight="1">
      <c r="B1285" s="93"/>
      <c r="C1285" s="43" t="s">
        <v>125</v>
      </c>
      <c r="D1285" s="42">
        <v>1</v>
      </c>
      <c r="E1285" s="41">
        <v>4.4103378318779218E-5</v>
      </c>
    </row>
    <row r="1286" spans="2:5" ht="15" customHeight="1">
      <c r="B1286" s="93"/>
      <c r="C1286" s="43" t="s">
        <v>130</v>
      </c>
      <c r="D1286" s="42">
        <v>1</v>
      </c>
      <c r="E1286" s="41">
        <v>4.4103378318779218E-5</v>
      </c>
    </row>
    <row r="1287" spans="2:5" ht="15" customHeight="1">
      <c r="B1287" s="93"/>
      <c r="C1287" s="43" t="s">
        <v>137</v>
      </c>
      <c r="D1287" s="42">
        <v>1</v>
      </c>
      <c r="E1287" s="41">
        <v>4.4103378318779218E-5</v>
      </c>
    </row>
    <row r="1288" spans="2:5" ht="15" customHeight="1">
      <c r="B1288" s="93"/>
      <c r="C1288" s="43" t="s">
        <v>161</v>
      </c>
      <c r="D1288" s="42">
        <v>3</v>
      </c>
      <c r="E1288" s="41">
        <v>1.3231013495633765E-4</v>
      </c>
    </row>
    <row r="1289" spans="2:5" ht="15" customHeight="1">
      <c r="B1289" s="93"/>
      <c r="C1289" s="43" t="s">
        <v>169</v>
      </c>
      <c r="D1289" s="42">
        <v>9</v>
      </c>
      <c r="E1289" s="41">
        <v>3.9693040486901297E-4</v>
      </c>
    </row>
    <row r="1290" spans="2:5" ht="15" customHeight="1">
      <c r="B1290" s="93"/>
      <c r="C1290" s="43" t="s">
        <v>171</v>
      </c>
      <c r="D1290" s="42">
        <v>5</v>
      </c>
      <c r="E1290" s="41">
        <v>2.205168915938961E-4</v>
      </c>
    </row>
    <row r="1291" spans="2:5" ht="15" customHeight="1">
      <c r="B1291" s="93"/>
      <c r="C1291" s="43" t="s">
        <v>160</v>
      </c>
      <c r="D1291" s="42">
        <v>4</v>
      </c>
      <c r="E1291" s="41">
        <v>1.7641351327511687E-4</v>
      </c>
    </row>
    <row r="1292" spans="2:5" ht="15" customHeight="1">
      <c r="B1292" s="93"/>
      <c r="C1292" s="43" t="s">
        <v>168</v>
      </c>
      <c r="D1292" s="42">
        <v>8</v>
      </c>
      <c r="E1292" s="41">
        <v>3.5282702655023375E-4</v>
      </c>
    </row>
    <row r="1293" spans="2:5" ht="15" customHeight="1">
      <c r="B1293" s="93"/>
      <c r="C1293" s="43" t="s">
        <v>149</v>
      </c>
      <c r="D1293" s="42">
        <v>2</v>
      </c>
      <c r="E1293" s="41">
        <v>8.8206756637558437E-5</v>
      </c>
    </row>
    <row r="1294" spans="2:5" ht="15" customHeight="1">
      <c r="B1294" s="93"/>
      <c r="C1294" s="43" t="s">
        <v>150</v>
      </c>
      <c r="D1294" s="42">
        <v>2</v>
      </c>
      <c r="E1294" s="41">
        <v>8.8206756637558437E-5</v>
      </c>
    </row>
    <row r="1295" spans="2:5" ht="15" customHeight="1">
      <c r="B1295" s="93"/>
      <c r="C1295" s="43" t="s">
        <v>138</v>
      </c>
      <c r="D1295" s="42">
        <v>1</v>
      </c>
      <c r="E1295" s="41">
        <v>4.4103378318779218E-5</v>
      </c>
    </row>
    <row r="1296" spans="2:5" ht="15" customHeight="1">
      <c r="B1296" s="93"/>
      <c r="C1296" s="43" t="s">
        <v>155</v>
      </c>
      <c r="D1296" s="42">
        <v>4</v>
      </c>
      <c r="E1296" s="41">
        <v>1.7641351327511687E-4</v>
      </c>
    </row>
    <row r="1297" spans="2:5" ht="15" customHeight="1">
      <c r="B1297" s="93"/>
      <c r="C1297" s="43" t="s">
        <v>119</v>
      </c>
      <c r="D1297" s="42">
        <v>2</v>
      </c>
      <c r="E1297" s="41">
        <v>8.8206756637558437E-5</v>
      </c>
    </row>
    <row r="1298" spans="2:5" ht="15" customHeight="1">
      <c r="B1298" s="93"/>
      <c r="C1298" s="43" t="s">
        <v>170</v>
      </c>
      <c r="D1298" s="42">
        <v>11</v>
      </c>
      <c r="E1298" s="41">
        <v>4.8513716150657142E-4</v>
      </c>
    </row>
    <row r="1299" spans="2:5" ht="15" customHeight="1">
      <c r="B1299" s="93"/>
      <c r="C1299" s="43" t="s">
        <v>123</v>
      </c>
      <c r="D1299" s="42">
        <v>1</v>
      </c>
      <c r="E1299" s="41">
        <v>4.4103378318779218E-5</v>
      </c>
    </row>
    <row r="1300" spans="2:5" ht="15" customHeight="1">
      <c r="B1300" s="93"/>
      <c r="C1300" s="43" t="s">
        <v>154</v>
      </c>
      <c r="D1300" s="42">
        <v>7</v>
      </c>
      <c r="E1300" s="41">
        <v>3.0872364823145452E-4</v>
      </c>
    </row>
    <row r="1301" spans="2:5" ht="15" customHeight="1">
      <c r="B1301" s="93"/>
      <c r="C1301" s="43" t="s">
        <v>147</v>
      </c>
      <c r="D1301" s="42">
        <v>1</v>
      </c>
      <c r="E1301" s="41">
        <v>4.4103378318779218E-5</v>
      </c>
    </row>
    <row r="1302" spans="2:5" ht="15" customHeight="1">
      <c r="B1302" s="93"/>
      <c r="C1302" s="43" t="s">
        <v>146</v>
      </c>
      <c r="D1302" s="42">
        <v>1</v>
      </c>
      <c r="E1302" s="41">
        <v>4.4103378318779218E-5</v>
      </c>
    </row>
    <row r="1303" spans="2:5" ht="15" customHeight="1">
      <c r="B1303" s="93"/>
      <c r="C1303" s="43" t="s">
        <v>167</v>
      </c>
      <c r="D1303" s="42">
        <v>7</v>
      </c>
      <c r="E1303" s="41">
        <v>3.0872364823145452E-4</v>
      </c>
    </row>
    <row r="1304" spans="2:5" ht="15" customHeight="1">
      <c r="B1304" s="93"/>
      <c r="C1304" s="43" t="s">
        <v>165</v>
      </c>
      <c r="D1304" s="42">
        <v>12</v>
      </c>
      <c r="E1304" s="41">
        <v>5.2924053982535059E-4</v>
      </c>
    </row>
    <row r="1305" spans="2:5" ht="15" customHeight="1">
      <c r="B1305" s="94"/>
      <c r="C1305" s="40" t="s">
        <v>20</v>
      </c>
      <c r="D1305" s="39">
        <v>168</v>
      </c>
      <c r="E1305" s="38">
        <v>7.4093675575549085E-3</v>
      </c>
    </row>
    <row r="1306" spans="2:5" ht="15" customHeight="1">
      <c r="B1306" s="92" t="s">
        <v>86</v>
      </c>
      <c r="C1306" s="43" t="s">
        <v>140</v>
      </c>
      <c r="D1306" s="42">
        <v>9</v>
      </c>
      <c r="E1306" s="41">
        <v>3.9693040486901297E-4</v>
      </c>
    </row>
    <row r="1307" spans="2:5" ht="15" customHeight="1">
      <c r="B1307" s="93"/>
      <c r="C1307" s="43" t="s">
        <v>132</v>
      </c>
      <c r="D1307" s="42">
        <v>2</v>
      </c>
      <c r="E1307" s="41">
        <v>8.8206756637558437E-5</v>
      </c>
    </row>
    <row r="1308" spans="2:5" ht="15" customHeight="1">
      <c r="B1308" s="93"/>
      <c r="C1308" s="43" t="s">
        <v>135</v>
      </c>
      <c r="D1308" s="42">
        <v>4</v>
      </c>
      <c r="E1308" s="41">
        <v>1.7641351327511687E-4</v>
      </c>
    </row>
    <row r="1309" spans="2:5" ht="15" customHeight="1">
      <c r="B1309" s="93"/>
      <c r="C1309" s="43" t="s">
        <v>145</v>
      </c>
      <c r="D1309" s="42">
        <v>3</v>
      </c>
      <c r="E1309" s="41">
        <v>1.3231013495633765E-4</v>
      </c>
    </row>
    <row r="1310" spans="2:5" ht="15" customHeight="1">
      <c r="B1310" s="93"/>
      <c r="C1310" s="43" t="s">
        <v>151</v>
      </c>
      <c r="D1310" s="42">
        <v>6</v>
      </c>
      <c r="E1310" s="41">
        <v>2.646202699126753E-4</v>
      </c>
    </row>
    <row r="1311" spans="2:5" ht="15" customHeight="1">
      <c r="B1311" s="93"/>
      <c r="C1311" s="43" t="s">
        <v>128</v>
      </c>
      <c r="D1311" s="42">
        <v>1</v>
      </c>
      <c r="E1311" s="41">
        <v>4.4103378318779218E-5</v>
      </c>
    </row>
    <row r="1312" spans="2:5" ht="15" customHeight="1">
      <c r="B1312" s="93"/>
      <c r="C1312" s="43" t="s">
        <v>172</v>
      </c>
      <c r="D1312" s="42">
        <v>64</v>
      </c>
      <c r="E1312" s="41">
        <v>2.82261621240187E-3</v>
      </c>
    </row>
    <row r="1313" spans="2:5" ht="15" customHeight="1">
      <c r="B1313" s="93"/>
      <c r="C1313" s="43" t="s">
        <v>139</v>
      </c>
      <c r="D1313" s="42">
        <v>3</v>
      </c>
      <c r="E1313" s="41">
        <v>1.3231013495633765E-4</v>
      </c>
    </row>
    <row r="1314" spans="2:5" ht="15" customHeight="1">
      <c r="B1314" s="93"/>
      <c r="C1314" s="43" t="s">
        <v>122</v>
      </c>
      <c r="D1314" s="42">
        <v>1</v>
      </c>
      <c r="E1314" s="41">
        <v>4.4103378318779218E-5</v>
      </c>
    </row>
    <row r="1315" spans="2:5" ht="15" customHeight="1">
      <c r="B1315" s="93"/>
      <c r="C1315" s="43" t="s">
        <v>157</v>
      </c>
      <c r="D1315" s="42">
        <v>2</v>
      </c>
      <c r="E1315" s="41">
        <v>8.8206756637558437E-5</v>
      </c>
    </row>
    <row r="1316" spans="2:5" ht="15" customHeight="1">
      <c r="B1316" s="93"/>
      <c r="C1316" s="43" t="s">
        <v>164</v>
      </c>
      <c r="D1316" s="42">
        <v>10</v>
      </c>
      <c r="E1316" s="41">
        <v>4.410337831877922E-4</v>
      </c>
    </row>
    <row r="1317" spans="2:5" ht="15" customHeight="1">
      <c r="B1317" s="93"/>
      <c r="C1317" s="43" t="s">
        <v>162</v>
      </c>
      <c r="D1317" s="42">
        <v>5</v>
      </c>
      <c r="E1317" s="41">
        <v>2.205168915938961E-4</v>
      </c>
    </row>
    <row r="1318" spans="2:5" ht="15" customHeight="1">
      <c r="B1318" s="93"/>
      <c r="C1318" s="43" t="s">
        <v>166</v>
      </c>
      <c r="D1318" s="42">
        <v>16</v>
      </c>
      <c r="E1318" s="41">
        <v>7.0565405310046749E-4</v>
      </c>
    </row>
    <row r="1319" spans="2:5" ht="15" customHeight="1">
      <c r="B1319" s="93"/>
      <c r="C1319" s="43" t="s">
        <v>148</v>
      </c>
      <c r="D1319" s="42">
        <v>7</v>
      </c>
      <c r="E1319" s="41">
        <v>3.0872364823145452E-4</v>
      </c>
    </row>
    <row r="1320" spans="2:5" ht="15" customHeight="1">
      <c r="B1320" s="93"/>
      <c r="C1320" s="43" t="s">
        <v>153</v>
      </c>
      <c r="D1320" s="42">
        <v>6</v>
      </c>
      <c r="E1320" s="41">
        <v>2.646202699126753E-4</v>
      </c>
    </row>
    <row r="1321" spans="2:5" ht="15" customHeight="1">
      <c r="B1321" s="93"/>
      <c r="C1321" s="43" t="s">
        <v>143</v>
      </c>
      <c r="D1321" s="42">
        <v>2</v>
      </c>
      <c r="E1321" s="41">
        <v>8.8206756637558437E-5</v>
      </c>
    </row>
    <row r="1322" spans="2:5" ht="15" customHeight="1">
      <c r="B1322" s="93"/>
      <c r="C1322" s="43" t="s">
        <v>118</v>
      </c>
      <c r="D1322" s="42">
        <v>1</v>
      </c>
      <c r="E1322" s="41">
        <v>4.4103378318779218E-5</v>
      </c>
    </row>
    <row r="1323" spans="2:5" ht="15" customHeight="1">
      <c r="B1323" s="93"/>
      <c r="C1323" s="43" t="s">
        <v>124</v>
      </c>
      <c r="D1323" s="42">
        <v>1</v>
      </c>
      <c r="E1323" s="41">
        <v>4.4103378318779218E-5</v>
      </c>
    </row>
    <row r="1324" spans="2:5" ht="15" customHeight="1">
      <c r="B1324" s="93"/>
      <c r="C1324" s="43" t="s">
        <v>156</v>
      </c>
      <c r="D1324" s="42">
        <v>2</v>
      </c>
      <c r="E1324" s="41">
        <v>8.8206756637558437E-5</v>
      </c>
    </row>
    <row r="1325" spans="2:5" ht="15" customHeight="1">
      <c r="B1325" s="93"/>
      <c r="C1325" s="43" t="s">
        <v>125</v>
      </c>
      <c r="D1325" s="42">
        <v>1</v>
      </c>
      <c r="E1325" s="41">
        <v>4.4103378318779218E-5</v>
      </c>
    </row>
    <row r="1326" spans="2:5" ht="15" customHeight="1">
      <c r="B1326" s="93"/>
      <c r="C1326" s="43" t="s">
        <v>152</v>
      </c>
      <c r="D1326" s="42">
        <v>1</v>
      </c>
      <c r="E1326" s="41">
        <v>4.4103378318779218E-5</v>
      </c>
    </row>
    <row r="1327" spans="2:5" ht="15" customHeight="1">
      <c r="B1327" s="93"/>
      <c r="C1327" s="43" t="s">
        <v>130</v>
      </c>
      <c r="D1327" s="42">
        <v>1</v>
      </c>
      <c r="E1327" s="41">
        <v>4.4103378318779218E-5</v>
      </c>
    </row>
    <row r="1328" spans="2:5" ht="15" customHeight="1">
      <c r="B1328" s="93"/>
      <c r="C1328" s="43" t="s">
        <v>133</v>
      </c>
      <c r="D1328" s="42">
        <v>2</v>
      </c>
      <c r="E1328" s="41">
        <v>8.8206756637558437E-5</v>
      </c>
    </row>
    <row r="1329" spans="2:5" ht="15" customHeight="1">
      <c r="B1329" s="93"/>
      <c r="C1329" s="43" t="s">
        <v>137</v>
      </c>
      <c r="D1329" s="42">
        <v>3</v>
      </c>
      <c r="E1329" s="41">
        <v>1.3231013495633765E-4</v>
      </c>
    </row>
    <row r="1330" spans="2:5" ht="15" customHeight="1">
      <c r="B1330" s="93"/>
      <c r="C1330" s="43" t="s">
        <v>161</v>
      </c>
      <c r="D1330" s="42">
        <v>1</v>
      </c>
      <c r="E1330" s="41">
        <v>4.4103378318779218E-5</v>
      </c>
    </row>
    <row r="1331" spans="2:5" ht="15" customHeight="1">
      <c r="B1331" s="93"/>
      <c r="C1331" s="43" t="s">
        <v>127</v>
      </c>
      <c r="D1331" s="42">
        <v>2</v>
      </c>
      <c r="E1331" s="41">
        <v>8.8206756637558437E-5</v>
      </c>
    </row>
    <row r="1332" spans="2:5" ht="15" customHeight="1">
      <c r="B1332" s="93"/>
      <c r="C1332" s="43" t="s">
        <v>169</v>
      </c>
      <c r="D1332" s="42">
        <v>3</v>
      </c>
      <c r="E1332" s="41">
        <v>1.3231013495633765E-4</v>
      </c>
    </row>
    <row r="1333" spans="2:5" ht="15" customHeight="1">
      <c r="B1333" s="93"/>
      <c r="C1333" s="43" t="s">
        <v>171</v>
      </c>
      <c r="D1333" s="42">
        <v>4</v>
      </c>
      <c r="E1333" s="41">
        <v>1.7641351327511687E-4</v>
      </c>
    </row>
    <row r="1334" spans="2:5" ht="15" customHeight="1">
      <c r="B1334" s="93"/>
      <c r="C1334" s="43" t="s">
        <v>160</v>
      </c>
      <c r="D1334" s="42">
        <v>24</v>
      </c>
      <c r="E1334" s="41">
        <v>1.0584810796507012E-3</v>
      </c>
    </row>
    <row r="1335" spans="2:5" ht="15" customHeight="1">
      <c r="B1335" s="93"/>
      <c r="C1335" s="43" t="s">
        <v>168</v>
      </c>
      <c r="D1335" s="42">
        <v>19</v>
      </c>
      <c r="E1335" s="41">
        <v>8.3796418805680512E-4</v>
      </c>
    </row>
    <row r="1336" spans="2:5" ht="15" customHeight="1">
      <c r="B1336" s="93"/>
      <c r="C1336" s="43" t="s">
        <v>126</v>
      </c>
      <c r="D1336" s="42">
        <v>8</v>
      </c>
      <c r="E1336" s="41">
        <v>3.5282702655023375E-4</v>
      </c>
    </row>
    <row r="1337" spans="2:5" ht="15" customHeight="1">
      <c r="B1337" s="93"/>
      <c r="C1337" s="43" t="s">
        <v>149</v>
      </c>
      <c r="D1337" s="42">
        <v>2</v>
      </c>
      <c r="E1337" s="41">
        <v>8.8206756637558437E-5</v>
      </c>
    </row>
    <row r="1338" spans="2:5" ht="15" customHeight="1">
      <c r="B1338" s="93"/>
      <c r="C1338" s="43" t="s">
        <v>144</v>
      </c>
      <c r="D1338" s="42">
        <v>8</v>
      </c>
      <c r="E1338" s="41">
        <v>3.5282702655023375E-4</v>
      </c>
    </row>
    <row r="1339" spans="2:5" ht="15" customHeight="1">
      <c r="B1339" s="93"/>
      <c r="C1339" s="43" t="s">
        <v>150</v>
      </c>
      <c r="D1339" s="42">
        <v>4</v>
      </c>
      <c r="E1339" s="41">
        <v>1.7641351327511687E-4</v>
      </c>
    </row>
    <row r="1340" spans="2:5" ht="15" customHeight="1">
      <c r="B1340" s="93"/>
      <c r="C1340" s="43" t="s">
        <v>138</v>
      </c>
      <c r="D1340" s="42">
        <v>4</v>
      </c>
      <c r="E1340" s="41">
        <v>1.7641351327511687E-4</v>
      </c>
    </row>
    <row r="1341" spans="2:5" ht="15" customHeight="1">
      <c r="B1341" s="93"/>
      <c r="C1341" s="43" t="s">
        <v>155</v>
      </c>
      <c r="D1341" s="42">
        <v>14</v>
      </c>
      <c r="E1341" s="41">
        <v>6.1744729646290904E-4</v>
      </c>
    </row>
    <row r="1342" spans="2:5" ht="15" customHeight="1">
      <c r="B1342" s="93"/>
      <c r="C1342" s="43" t="s">
        <v>170</v>
      </c>
      <c r="D1342" s="42">
        <v>36</v>
      </c>
      <c r="E1342" s="41">
        <v>1.5877216194760519E-3</v>
      </c>
    </row>
    <row r="1343" spans="2:5" ht="15" customHeight="1">
      <c r="B1343" s="93"/>
      <c r="C1343" s="43" t="s">
        <v>154</v>
      </c>
      <c r="D1343" s="42">
        <v>6</v>
      </c>
      <c r="E1343" s="41">
        <v>2.646202699126753E-4</v>
      </c>
    </row>
    <row r="1344" spans="2:5" ht="15" customHeight="1">
      <c r="B1344" s="93"/>
      <c r="C1344" s="43" t="s">
        <v>131</v>
      </c>
      <c r="D1344" s="42">
        <v>4</v>
      </c>
      <c r="E1344" s="41">
        <v>1.7641351327511687E-4</v>
      </c>
    </row>
    <row r="1345" spans="2:5" ht="15" customHeight="1">
      <c r="B1345" s="93"/>
      <c r="C1345" s="43" t="s">
        <v>146</v>
      </c>
      <c r="D1345" s="42">
        <v>1</v>
      </c>
      <c r="E1345" s="41">
        <v>4.4103378318779218E-5</v>
      </c>
    </row>
    <row r="1346" spans="2:5" ht="15" customHeight="1">
      <c r="B1346" s="93"/>
      <c r="C1346" s="43" t="s">
        <v>167</v>
      </c>
      <c r="D1346" s="42">
        <v>28</v>
      </c>
      <c r="E1346" s="41">
        <v>1.2348945929258181E-3</v>
      </c>
    </row>
    <row r="1347" spans="2:5" ht="15" customHeight="1">
      <c r="B1347" s="93"/>
      <c r="C1347" s="43" t="s">
        <v>165</v>
      </c>
      <c r="D1347" s="42">
        <v>22</v>
      </c>
      <c r="E1347" s="41">
        <v>9.7027432301314285E-4</v>
      </c>
    </row>
    <row r="1348" spans="2:5" ht="15" customHeight="1">
      <c r="B1348" s="94"/>
      <c r="C1348" s="40" t="s">
        <v>20</v>
      </c>
      <c r="D1348" s="39">
        <v>343</v>
      </c>
      <c r="E1348" s="38">
        <v>1.5127458763341272E-2</v>
      </c>
    </row>
    <row r="1349" spans="2:5" ht="15" customHeight="1">
      <c r="B1349" s="92" t="s">
        <v>94</v>
      </c>
      <c r="C1349" s="43" t="s">
        <v>140</v>
      </c>
      <c r="D1349" s="42">
        <v>2</v>
      </c>
      <c r="E1349" s="41">
        <v>8.8206756637558437E-5</v>
      </c>
    </row>
    <row r="1350" spans="2:5" ht="15" customHeight="1">
      <c r="B1350" s="93"/>
      <c r="C1350" s="43" t="s">
        <v>132</v>
      </c>
      <c r="D1350" s="42">
        <v>1</v>
      </c>
      <c r="E1350" s="41">
        <v>4.4103378318779218E-5</v>
      </c>
    </row>
    <row r="1351" spans="2:5" ht="15" customHeight="1">
      <c r="B1351" s="93"/>
      <c r="C1351" s="43" t="s">
        <v>135</v>
      </c>
      <c r="D1351" s="42">
        <v>6</v>
      </c>
      <c r="E1351" s="41">
        <v>2.646202699126753E-4</v>
      </c>
    </row>
    <row r="1352" spans="2:5" ht="15" customHeight="1">
      <c r="B1352" s="93"/>
      <c r="C1352" s="43" t="s">
        <v>145</v>
      </c>
      <c r="D1352" s="42">
        <v>3</v>
      </c>
      <c r="E1352" s="41">
        <v>1.3231013495633765E-4</v>
      </c>
    </row>
    <row r="1353" spans="2:5" ht="15" customHeight="1">
      <c r="B1353" s="93"/>
      <c r="C1353" s="43" t="s">
        <v>151</v>
      </c>
      <c r="D1353" s="42">
        <v>1</v>
      </c>
      <c r="E1353" s="41">
        <v>4.4103378318779218E-5</v>
      </c>
    </row>
    <row r="1354" spans="2:5" ht="15" customHeight="1">
      <c r="B1354" s="93"/>
      <c r="C1354" s="43" t="s">
        <v>128</v>
      </c>
      <c r="D1354" s="42">
        <v>5</v>
      </c>
      <c r="E1354" s="41">
        <v>2.205168915938961E-4</v>
      </c>
    </row>
    <row r="1355" spans="2:5" ht="15" customHeight="1">
      <c r="B1355" s="93"/>
      <c r="C1355" s="43" t="s">
        <v>121</v>
      </c>
      <c r="D1355" s="42">
        <v>2</v>
      </c>
      <c r="E1355" s="41">
        <v>8.8206756637558437E-5</v>
      </c>
    </row>
    <row r="1356" spans="2:5" ht="15" customHeight="1">
      <c r="B1356" s="93"/>
      <c r="C1356" s="43" t="s">
        <v>117</v>
      </c>
      <c r="D1356" s="42">
        <v>1</v>
      </c>
      <c r="E1356" s="41">
        <v>4.4103378318779218E-5</v>
      </c>
    </row>
    <row r="1357" spans="2:5" ht="15" customHeight="1">
      <c r="B1357" s="93"/>
      <c r="C1357" s="43" t="s">
        <v>172</v>
      </c>
      <c r="D1357" s="42">
        <v>28</v>
      </c>
      <c r="E1357" s="41">
        <v>1.2348945929258181E-3</v>
      </c>
    </row>
    <row r="1358" spans="2:5" ht="15" customHeight="1">
      <c r="B1358" s="93"/>
      <c r="C1358" s="43" t="s">
        <v>139</v>
      </c>
      <c r="D1358" s="42">
        <v>1</v>
      </c>
      <c r="E1358" s="41">
        <v>4.4103378318779218E-5</v>
      </c>
    </row>
    <row r="1359" spans="2:5" ht="15" customHeight="1">
      <c r="B1359" s="93"/>
      <c r="C1359" s="43" t="s">
        <v>159</v>
      </c>
      <c r="D1359" s="42">
        <v>17</v>
      </c>
      <c r="E1359" s="41">
        <v>7.4975743141924667E-4</v>
      </c>
    </row>
    <row r="1360" spans="2:5" ht="15" customHeight="1">
      <c r="B1360" s="93"/>
      <c r="C1360" s="43" t="s">
        <v>157</v>
      </c>
      <c r="D1360" s="42">
        <v>28</v>
      </c>
      <c r="E1360" s="41">
        <v>1.2348945929258181E-3</v>
      </c>
    </row>
    <row r="1361" spans="2:5" ht="15" customHeight="1">
      <c r="B1361" s="93"/>
      <c r="C1361" s="43" t="s">
        <v>164</v>
      </c>
      <c r="D1361" s="42">
        <v>8</v>
      </c>
      <c r="E1361" s="41">
        <v>3.5282702655023375E-4</v>
      </c>
    </row>
    <row r="1362" spans="2:5" ht="15" customHeight="1">
      <c r="B1362" s="93"/>
      <c r="C1362" s="43" t="s">
        <v>136</v>
      </c>
      <c r="D1362" s="42">
        <v>6</v>
      </c>
      <c r="E1362" s="41">
        <v>2.646202699126753E-4</v>
      </c>
    </row>
    <row r="1363" spans="2:5" ht="15" customHeight="1">
      <c r="B1363" s="93"/>
      <c r="C1363" s="43" t="s">
        <v>162</v>
      </c>
      <c r="D1363" s="42">
        <v>34</v>
      </c>
      <c r="E1363" s="41">
        <v>1.4995148628384933E-3</v>
      </c>
    </row>
    <row r="1364" spans="2:5" ht="15" customHeight="1">
      <c r="B1364" s="93"/>
      <c r="C1364" s="43" t="s">
        <v>166</v>
      </c>
      <c r="D1364" s="42">
        <v>8</v>
      </c>
      <c r="E1364" s="41">
        <v>3.5282702655023375E-4</v>
      </c>
    </row>
    <row r="1365" spans="2:5" ht="15" customHeight="1">
      <c r="B1365" s="93"/>
      <c r="C1365" s="43" t="s">
        <v>158</v>
      </c>
      <c r="D1365" s="42">
        <v>2</v>
      </c>
      <c r="E1365" s="41">
        <v>8.8206756637558437E-5</v>
      </c>
    </row>
    <row r="1366" spans="2:5" ht="15" customHeight="1">
      <c r="B1366" s="93"/>
      <c r="C1366" s="43" t="s">
        <v>153</v>
      </c>
      <c r="D1366" s="42">
        <v>7</v>
      </c>
      <c r="E1366" s="41">
        <v>3.0872364823145452E-4</v>
      </c>
    </row>
    <row r="1367" spans="2:5" ht="15" customHeight="1">
      <c r="B1367" s="93"/>
      <c r="C1367" s="43" t="s">
        <v>141</v>
      </c>
      <c r="D1367" s="42">
        <v>3</v>
      </c>
      <c r="E1367" s="41">
        <v>1.3231013495633765E-4</v>
      </c>
    </row>
    <row r="1368" spans="2:5" ht="15" customHeight="1">
      <c r="B1368" s="93"/>
      <c r="C1368" s="43" t="s">
        <v>156</v>
      </c>
      <c r="D1368" s="42">
        <v>3</v>
      </c>
      <c r="E1368" s="41">
        <v>1.3231013495633765E-4</v>
      </c>
    </row>
    <row r="1369" spans="2:5" ht="15" customHeight="1">
      <c r="B1369" s="93"/>
      <c r="C1369" s="43" t="s">
        <v>152</v>
      </c>
      <c r="D1369" s="42">
        <v>2</v>
      </c>
      <c r="E1369" s="41">
        <v>8.8206756637558437E-5</v>
      </c>
    </row>
    <row r="1370" spans="2:5" ht="15" customHeight="1">
      <c r="B1370" s="93"/>
      <c r="C1370" s="43" t="s">
        <v>163</v>
      </c>
      <c r="D1370" s="42">
        <v>3</v>
      </c>
      <c r="E1370" s="41">
        <v>1.3231013495633765E-4</v>
      </c>
    </row>
    <row r="1371" spans="2:5" ht="15" customHeight="1">
      <c r="B1371" s="93"/>
      <c r="C1371" s="43" t="s">
        <v>137</v>
      </c>
      <c r="D1371" s="42">
        <v>1</v>
      </c>
      <c r="E1371" s="41">
        <v>4.4103378318779218E-5</v>
      </c>
    </row>
    <row r="1372" spans="2:5" ht="15" customHeight="1">
      <c r="B1372" s="93"/>
      <c r="C1372" s="43" t="s">
        <v>161</v>
      </c>
      <c r="D1372" s="42">
        <v>4</v>
      </c>
      <c r="E1372" s="41">
        <v>1.7641351327511687E-4</v>
      </c>
    </row>
    <row r="1373" spans="2:5" ht="15" customHeight="1">
      <c r="B1373" s="93"/>
      <c r="C1373" s="43" t="s">
        <v>127</v>
      </c>
      <c r="D1373" s="42">
        <v>1</v>
      </c>
      <c r="E1373" s="41">
        <v>4.4103378318779218E-5</v>
      </c>
    </row>
    <row r="1374" spans="2:5" ht="15" customHeight="1">
      <c r="B1374" s="93"/>
      <c r="C1374" s="43" t="s">
        <v>169</v>
      </c>
      <c r="D1374" s="42">
        <v>11</v>
      </c>
      <c r="E1374" s="41">
        <v>4.8513716150657142E-4</v>
      </c>
    </row>
    <row r="1375" spans="2:5" ht="15" customHeight="1">
      <c r="B1375" s="93"/>
      <c r="C1375" s="43" t="s">
        <v>171</v>
      </c>
      <c r="D1375" s="42">
        <v>38</v>
      </c>
      <c r="E1375" s="41">
        <v>1.6759283761136102E-3</v>
      </c>
    </row>
    <row r="1376" spans="2:5" ht="15" customHeight="1">
      <c r="B1376" s="93"/>
      <c r="C1376" s="43" t="s">
        <v>160</v>
      </c>
      <c r="D1376" s="42">
        <v>9</v>
      </c>
      <c r="E1376" s="41">
        <v>3.9693040486901297E-4</v>
      </c>
    </row>
    <row r="1377" spans="2:5" ht="15" customHeight="1">
      <c r="B1377" s="93"/>
      <c r="C1377" s="43" t="s">
        <v>168</v>
      </c>
      <c r="D1377" s="42">
        <v>10</v>
      </c>
      <c r="E1377" s="41">
        <v>4.410337831877922E-4</v>
      </c>
    </row>
    <row r="1378" spans="2:5" ht="15" customHeight="1">
      <c r="B1378" s="93"/>
      <c r="C1378" s="43" t="s">
        <v>149</v>
      </c>
      <c r="D1378" s="42">
        <v>3</v>
      </c>
      <c r="E1378" s="41">
        <v>1.3231013495633765E-4</v>
      </c>
    </row>
    <row r="1379" spans="2:5" ht="15" customHeight="1">
      <c r="B1379" s="93"/>
      <c r="C1379" s="43" t="s">
        <v>144</v>
      </c>
      <c r="D1379" s="42">
        <v>4</v>
      </c>
      <c r="E1379" s="41">
        <v>1.7641351327511687E-4</v>
      </c>
    </row>
    <row r="1380" spans="2:5" ht="15" customHeight="1">
      <c r="B1380" s="93"/>
      <c r="C1380" s="43" t="s">
        <v>150</v>
      </c>
      <c r="D1380" s="42">
        <v>7</v>
      </c>
      <c r="E1380" s="41">
        <v>3.0872364823145452E-4</v>
      </c>
    </row>
    <row r="1381" spans="2:5" ht="15" customHeight="1">
      <c r="B1381" s="93"/>
      <c r="C1381" s="43" t="s">
        <v>138</v>
      </c>
      <c r="D1381" s="42">
        <v>1</v>
      </c>
      <c r="E1381" s="41">
        <v>4.4103378318779218E-5</v>
      </c>
    </row>
    <row r="1382" spans="2:5" ht="15" customHeight="1">
      <c r="B1382" s="93"/>
      <c r="C1382" s="43" t="s">
        <v>155</v>
      </c>
      <c r="D1382" s="42">
        <v>10</v>
      </c>
      <c r="E1382" s="41">
        <v>4.410337831877922E-4</v>
      </c>
    </row>
    <row r="1383" spans="2:5" ht="15" customHeight="1">
      <c r="B1383" s="93"/>
      <c r="C1383" s="43" t="s">
        <v>116</v>
      </c>
      <c r="D1383" s="42">
        <v>1</v>
      </c>
      <c r="E1383" s="41">
        <v>4.4103378318779218E-5</v>
      </c>
    </row>
    <row r="1384" spans="2:5" ht="15" customHeight="1">
      <c r="B1384" s="93"/>
      <c r="C1384" s="43" t="s">
        <v>170</v>
      </c>
      <c r="D1384" s="42">
        <v>20</v>
      </c>
      <c r="E1384" s="41">
        <v>8.820675663755844E-4</v>
      </c>
    </row>
    <row r="1385" spans="2:5" ht="15" customHeight="1">
      <c r="B1385" s="93"/>
      <c r="C1385" s="43" t="s">
        <v>123</v>
      </c>
      <c r="D1385" s="42">
        <v>2</v>
      </c>
      <c r="E1385" s="41">
        <v>8.8206756637558437E-5</v>
      </c>
    </row>
    <row r="1386" spans="2:5" ht="15" customHeight="1">
      <c r="B1386" s="93"/>
      <c r="C1386" s="43" t="s">
        <v>154</v>
      </c>
      <c r="D1386" s="42">
        <v>5</v>
      </c>
      <c r="E1386" s="41">
        <v>2.205168915938961E-4</v>
      </c>
    </row>
    <row r="1387" spans="2:5" ht="15" customHeight="1">
      <c r="B1387" s="93"/>
      <c r="C1387" s="43" t="s">
        <v>147</v>
      </c>
      <c r="D1387" s="42">
        <v>3</v>
      </c>
      <c r="E1387" s="41">
        <v>1.3231013495633765E-4</v>
      </c>
    </row>
    <row r="1388" spans="2:5" ht="15" customHeight="1">
      <c r="B1388" s="93"/>
      <c r="C1388" s="43" t="s">
        <v>146</v>
      </c>
      <c r="D1388" s="42">
        <v>3</v>
      </c>
      <c r="E1388" s="41">
        <v>1.3231013495633765E-4</v>
      </c>
    </row>
    <row r="1389" spans="2:5" ht="15" customHeight="1">
      <c r="B1389" s="93"/>
      <c r="C1389" s="43" t="s">
        <v>167</v>
      </c>
      <c r="D1389" s="42">
        <v>7</v>
      </c>
      <c r="E1389" s="41">
        <v>3.0872364823145452E-4</v>
      </c>
    </row>
    <row r="1390" spans="2:5" ht="15" customHeight="1">
      <c r="B1390" s="93"/>
      <c r="C1390" s="43" t="s">
        <v>165</v>
      </c>
      <c r="D1390" s="42">
        <v>20</v>
      </c>
      <c r="E1390" s="41">
        <v>8.820675663755844E-4</v>
      </c>
    </row>
    <row r="1391" spans="2:5" ht="15" customHeight="1">
      <c r="B1391" s="94"/>
      <c r="C1391" s="40" t="s">
        <v>20</v>
      </c>
      <c r="D1391" s="39">
        <v>331</v>
      </c>
      <c r="E1391" s="38">
        <v>1.4598218223515921E-2</v>
      </c>
    </row>
    <row r="1392" spans="2:5" ht="15" customHeight="1">
      <c r="B1392" s="92" t="s">
        <v>106</v>
      </c>
      <c r="C1392" s="43" t="s">
        <v>140</v>
      </c>
      <c r="D1392" s="42">
        <v>3</v>
      </c>
      <c r="E1392" s="41">
        <v>1.3231013495633765E-4</v>
      </c>
    </row>
    <row r="1393" spans="2:5" ht="15" customHeight="1">
      <c r="B1393" s="93"/>
      <c r="C1393" s="43" t="s">
        <v>132</v>
      </c>
      <c r="D1393" s="42">
        <v>4</v>
      </c>
      <c r="E1393" s="41">
        <v>1.7641351327511687E-4</v>
      </c>
    </row>
    <row r="1394" spans="2:5" ht="15" customHeight="1">
      <c r="B1394" s="93"/>
      <c r="C1394" s="43" t="s">
        <v>135</v>
      </c>
      <c r="D1394" s="42">
        <v>7</v>
      </c>
      <c r="E1394" s="41">
        <v>3.0872364823145452E-4</v>
      </c>
    </row>
    <row r="1395" spans="2:5" ht="15" customHeight="1">
      <c r="B1395" s="93"/>
      <c r="C1395" s="43" t="s">
        <v>129</v>
      </c>
      <c r="D1395" s="42">
        <v>3</v>
      </c>
      <c r="E1395" s="41">
        <v>1.3231013495633765E-4</v>
      </c>
    </row>
    <row r="1396" spans="2:5" ht="15" customHeight="1">
      <c r="B1396" s="93"/>
      <c r="C1396" s="43" t="s">
        <v>145</v>
      </c>
      <c r="D1396" s="42">
        <v>9</v>
      </c>
      <c r="E1396" s="41">
        <v>3.9693040486901297E-4</v>
      </c>
    </row>
    <row r="1397" spans="2:5" ht="15" customHeight="1">
      <c r="B1397" s="93"/>
      <c r="C1397" s="43" t="s">
        <v>120</v>
      </c>
      <c r="D1397" s="42">
        <v>2</v>
      </c>
      <c r="E1397" s="41">
        <v>8.8206756637558437E-5</v>
      </c>
    </row>
    <row r="1398" spans="2:5" ht="15" customHeight="1">
      <c r="B1398" s="93"/>
      <c r="C1398" s="43" t="s">
        <v>151</v>
      </c>
      <c r="D1398" s="42">
        <v>14</v>
      </c>
      <c r="E1398" s="41">
        <v>6.1744729646290904E-4</v>
      </c>
    </row>
    <row r="1399" spans="2:5" ht="15" customHeight="1">
      <c r="B1399" s="93"/>
      <c r="C1399" s="43" t="s">
        <v>134</v>
      </c>
      <c r="D1399" s="42">
        <v>4</v>
      </c>
      <c r="E1399" s="41">
        <v>1.7641351327511687E-4</v>
      </c>
    </row>
    <row r="1400" spans="2:5" ht="15" customHeight="1">
      <c r="B1400" s="93"/>
      <c r="C1400" s="43" t="s">
        <v>172</v>
      </c>
      <c r="D1400" s="42">
        <v>69</v>
      </c>
      <c r="E1400" s="41">
        <v>3.0431331039957659E-3</v>
      </c>
    </row>
    <row r="1401" spans="2:5" ht="15" customHeight="1">
      <c r="B1401" s="93"/>
      <c r="C1401" s="43" t="s">
        <v>139</v>
      </c>
      <c r="D1401" s="42">
        <v>2</v>
      </c>
      <c r="E1401" s="41">
        <v>8.8206756637558437E-5</v>
      </c>
    </row>
    <row r="1402" spans="2:5" ht="15" customHeight="1">
      <c r="B1402" s="93"/>
      <c r="C1402" s="43" t="s">
        <v>122</v>
      </c>
      <c r="D1402" s="42">
        <v>4</v>
      </c>
      <c r="E1402" s="41">
        <v>1.7641351327511687E-4</v>
      </c>
    </row>
    <row r="1403" spans="2:5" ht="15" customHeight="1">
      <c r="B1403" s="93"/>
      <c r="C1403" s="43" t="s">
        <v>159</v>
      </c>
      <c r="D1403" s="42">
        <v>2</v>
      </c>
      <c r="E1403" s="41">
        <v>8.8206756637558437E-5</v>
      </c>
    </row>
    <row r="1404" spans="2:5" ht="15" customHeight="1">
      <c r="B1404" s="93"/>
      <c r="C1404" s="43" t="s">
        <v>157</v>
      </c>
      <c r="D1404" s="42">
        <v>5</v>
      </c>
      <c r="E1404" s="41">
        <v>2.205168915938961E-4</v>
      </c>
    </row>
    <row r="1405" spans="2:5" ht="15" customHeight="1">
      <c r="B1405" s="93"/>
      <c r="C1405" s="43" t="s">
        <v>164</v>
      </c>
      <c r="D1405" s="42">
        <v>12</v>
      </c>
      <c r="E1405" s="41">
        <v>5.2924053982535059E-4</v>
      </c>
    </row>
    <row r="1406" spans="2:5" ht="15" customHeight="1">
      <c r="B1406" s="93"/>
      <c r="C1406" s="43" t="s">
        <v>136</v>
      </c>
      <c r="D1406" s="42">
        <v>6</v>
      </c>
      <c r="E1406" s="41">
        <v>2.646202699126753E-4</v>
      </c>
    </row>
    <row r="1407" spans="2:5" ht="15" customHeight="1">
      <c r="B1407" s="93"/>
      <c r="C1407" s="43" t="s">
        <v>162</v>
      </c>
      <c r="D1407" s="42">
        <v>37</v>
      </c>
      <c r="E1407" s="41">
        <v>1.6318249977948312E-3</v>
      </c>
    </row>
    <row r="1408" spans="2:5" ht="15" customHeight="1">
      <c r="B1408" s="93"/>
      <c r="C1408" s="43" t="s">
        <v>166</v>
      </c>
      <c r="D1408" s="42">
        <v>81</v>
      </c>
      <c r="E1408" s="41">
        <v>3.5723736438211169E-3</v>
      </c>
    </row>
    <row r="1409" spans="2:5" ht="15" customHeight="1">
      <c r="B1409" s="93"/>
      <c r="C1409" s="43" t="s">
        <v>142</v>
      </c>
      <c r="D1409" s="42">
        <v>1</v>
      </c>
      <c r="E1409" s="41">
        <v>4.4103378318779218E-5</v>
      </c>
    </row>
    <row r="1410" spans="2:5" ht="15" customHeight="1">
      <c r="B1410" s="93"/>
      <c r="C1410" s="43" t="s">
        <v>158</v>
      </c>
      <c r="D1410" s="42">
        <v>3</v>
      </c>
      <c r="E1410" s="41">
        <v>1.3231013495633765E-4</v>
      </c>
    </row>
    <row r="1411" spans="2:5" ht="15" customHeight="1">
      <c r="B1411" s="93"/>
      <c r="C1411" s="43" t="s">
        <v>148</v>
      </c>
      <c r="D1411" s="42">
        <v>16</v>
      </c>
      <c r="E1411" s="41">
        <v>7.0565405310046749E-4</v>
      </c>
    </row>
    <row r="1412" spans="2:5" ht="15" customHeight="1">
      <c r="B1412" s="93"/>
      <c r="C1412" s="43" t="s">
        <v>153</v>
      </c>
      <c r="D1412" s="42">
        <v>9</v>
      </c>
      <c r="E1412" s="41">
        <v>3.9693040486901297E-4</v>
      </c>
    </row>
    <row r="1413" spans="2:5" ht="15" customHeight="1">
      <c r="B1413" s="93"/>
      <c r="C1413" s="43" t="s">
        <v>143</v>
      </c>
      <c r="D1413" s="42">
        <v>5</v>
      </c>
      <c r="E1413" s="41">
        <v>2.205168915938961E-4</v>
      </c>
    </row>
    <row r="1414" spans="2:5" ht="15" customHeight="1">
      <c r="B1414" s="93"/>
      <c r="C1414" s="43" t="s">
        <v>141</v>
      </c>
      <c r="D1414" s="42">
        <v>1</v>
      </c>
      <c r="E1414" s="41">
        <v>4.4103378318779218E-5</v>
      </c>
    </row>
    <row r="1415" spans="2:5" ht="15" customHeight="1">
      <c r="B1415" s="93"/>
      <c r="C1415" s="43" t="s">
        <v>124</v>
      </c>
      <c r="D1415" s="42">
        <v>12</v>
      </c>
      <c r="E1415" s="41">
        <v>5.2924053982535059E-4</v>
      </c>
    </row>
    <row r="1416" spans="2:5" ht="15" customHeight="1">
      <c r="B1416" s="93"/>
      <c r="C1416" s="43" t="s">
        <v>156</v>
      </c>
      <c r="D1416" s="42">
        <v>3</v>
      </c>
      <c r="E1416" s="41">
        <v>1.3231013495633765E-4</v>
      </c>
    </row>
    <row r="1417" spans="2:5" ht="15" customHeight="1">
      <c r="B1417" s="93"/>
      <c r="C1417" s="43" t="s">
        <v>125</v>
      </c>
      <c r="D1417" s="42">
        <v>6</v>
      </c>
      <c r="E1417" s="41">
        <v>2.646202699126753E-4</v>
      </c>
    </row>
    <row r="1418" spans="2:5" ht="15" customHeight="1">
      <c r="B1418" s="93"/>
      <c r="C1418" s="43" t="s">
        <v>152</v>
      </c>
      <c r="D1418" s="42">
        <v>26</v>
      </c>
      <c r="E1418" s="41">
        <v>1.1466878362882597E-3</v>
      </c>
    </row>
    <row r="1419" spans="2:5" ht="15" customHeight="1">
      <c r="B1419" s="93"/>
      <c r="C1419" s="43" t="s">
        <v>130</v>
      </c>
      <c r="D1419" s="42">
        <v>2</v>
      </c>
      <c r="E1419" s="41">
        <v>8.8206756637558437E-5</v>
      </c>
    </row>
    <row r="1420" spans="2:5" ht="15" customHeight="1">
      <c r="B1420" s="93"/>
      <c r="C1420" s="43" t="s">
        <v>133</v>
      </c>
      <c r="D1420" s="42">
        <v>7</v>
      </c>
      <c r="E1420" s="41">
        <v>3.0872364823145452E-4</v>
      </c>
    </row>
    <row r="1421" spans="2:5" ht="15" customHeight="1">
      <c r="B1421" s="93"/>
      <c r="C1421" s="43" t="s">
        <v>163</v>
      </c>
      <c r="D1421" s="42">
        <v>35</v>
      </c>
      <c r="E1421" s="41">
        <v>1.5436182411572726E-3</v>
      </c>
    </row>
    <row r="1422" spans="2:5" ht="15" customHeight="1">
      <c r="B1422" s="93"/>
      <c r="C1422" s="43" t="s">
        <v>137</v>
      </c>
      <c r="D1422" s="42">
        <v>2</v>
      </c>
      <c r="E1422" s="41">
        <v>8.8206756637558437E-5</v>
      </c>
    </row>
    <row r="1423" spans="2:5" ht="15" customHeight="1">
      <c r="B1423" s="93"/>
      <c r="C1423" s="43" t="s">
        <v>161</v>
      </c>
      <c r="D1423" s="42">
        <v>10</v>
      </c>
      <c r="E1423" s="41">
        <v>4.410337831877922E-4</v>
      </c>
    </row>
    <row r="1424" spans="2:5" ht="15" customHeight="1">
      <c r="B1424" s="93"/>
      <c r="C1424" s="43" t="s">
        <v>127</v>
      </c>
      <c r="D1424" s="42">
        <v>3</v>
      </c>
      <c r="E1424" s="41">
        <v>1.3231013495633765E-4</v>
      </c>
    </row>
    <row r="1425" spans="2:5" ht="15" customHeight="1">
      <c r="B1425" s="93"/>
      <c r="C1425" s="43" t="s">
        <v>169</v>
      </c>
      <c r="D1425" s="42">
        <v>13</v>
      </c>
      <c r="E1425" s="41">
        <v>5.7334391814412987E-4</v>
      </c>
    </row>
    <row r="1426" spans="2:5" ht="15" customHeight="1">
      <c r="B1426" s="93"/>
      <c r="C1426" s="43" t="s">
        <v>171</v>
      </c>
      <c r="D1426" s="42">
        <v>9</v>
      </c>
      <c r="E1426" s="41">
        <v>3.9693040486901297E-4</v>
      </c>
    </row>
    <row r="1427" spans="2:5" ht="15" customHeight="1">
      <c r="B1427" s="93"/>
      <c r="C1427" s="43" t="s">
        <v>160</v>
      </c>
      <c r="D1427" s="42">
        <v>13</v>
      </c>
      <c r="E1427" s="41">
        <v>5.7334391814412987E-4</v>
      </c>
    </row>
    <row r="1428" spans="2:5" ht="15" customHeight="1">
      <c r="B1428" s="93"/>
      <c r="C1428" s="43" t="s">
        <v>168</v>
      </c>
      <c r="D1428" s="42">
        <v>13</v>
      </c>
      <c r="E1428" s="41">
        <v>5.7334391814412987E-4</v>
      </c>
    </row>
    <row r="1429" spans="2:5" ht="15" customHeight="1">
      <c r="B1429" s="93"/>
      <c r="C1429" s="43" t="s">
        <v>126</v>
      </c>
      <c r="D1429" s="42">
        <v>3</v>
      </c>
      <c r="E1429" s="41">
        <v>1.3231013495633765E-4</v>
      </c>
    </row>
    <row r="1430" spans="2:5" ht="15" customHeight="1">
      <c r="B1430" s="93"/>
      <c r="C1430" s="43" t="s">
        <v>149</v>
      </c>
      <c r="D1430" s="42">
        <v>13</v>
      </c>
      <c r="E1430" s="41">
        <v>5.7334391814412987E-4</v>
      </c>
    </row>
    <row r="1431" spans="2:5" ht="15" customHeight="1">
      <c r="B1431" s="93"/>
      <c r="C1431" s="43" t="s">
        <v>144</v>
      </c>
      <c r="D1431" s="42">
        <v>20</v>
      </c>
      <c r="E1431" s="41">
        <v>8.820675663755844E-4</v>
      </c>
    </row>
    <row r="1432" spans="2:5" ht="15" customHeight="1">
      <c r="B1432" s="93"/>
      <c r="C1432" s="43" t="s">
        <v>150</v>
      </c>
      <c r="D1432" s="42">
        <v>20</v>
      </c>
      <c r="E1432" s="41">
        <v>8.820675663755844E-4</v>
      </c>
    </row>
    <row r="1433" spans="2:5" ht="15" customHeight="1">
      <c r="B1433" s="93"/>
      <c r="C1433" s="43" t="s">
        <v>138</v>
      </c>
      <c r="D1433" s="42">
        <v>9</v>
      </c>
      <c r="E1433" s="41">
        <v>3.9693040486901297E-4</v>
      </c>
    </row>
    <row r="1434" spans="2:5" ht="15" customHeight="1">
      <c r="B1434" s="93"/>
      <c r="C1434" s="43" t="s">
        <v>155</v>
      </c>
      <c r="D1434" s="42">
        <v>15</v>
      </c>
      <c r="E1434" s="41">
        <v>6.6155067478168832E-4</v>
      </c>
    </row>
    <row r="1435" spans="2:5" ht="15" customHeight="1">
      <c r="B1435" s="93"/>
      <c r="C1435" s="43" t="s">
        <v>119</v>
      </c>
      <c r="D1435" s="42">
        <v>2</v>
      </c>
      <c r="E1435" s="41">
        <v>8.8206756637558437E-5</v>
      </c>
    </row>
    <row r="1436" spans="2:5" ht="15" customHeight="1">
      <c r="B1436" s="93"/>
      <c r="C1436" s="43" t="s">
        <v>170</v>
      </c>
      <c r="D1436" s="42">
        <v>26</v>
      </c>
      <c r="E1436" s="41">
        <v>1.1466878362882597E-3</v>
      </c>
    </row>
    <row r="1437" spans="2:5" ht="15" customHeight="1">
      <c r="B1437" s="93"/>
      <c r="C1437" s="43" t="s">
        <v>154</v>
      </c>
      <c r="D1437" s="42">
        <v>11</v>
      </c>
      <c r="E1437" s="41">
        <v>4.8513716150657142E-4</v>
      </c>
    </row>
    <row r="1438" spans="2:5" ht="15" customHeight="1">
      <c r="B1438" s="93"/>
      <c r="C1438" s="43" t="s">
        <v>131</v>
      </c>
      <c r="D1438" s="42">
        <v>5</v>
      </c>
      <c r="E1438" s="41">
        <v>2.205168915938961E-4</v>
      </c>
    </row>
    <row r="1439" spans="2:5" ht="15" customHeight="1">
      <c r="B1439" s="93"/>
      <c r="C1439" s="43" t="s">
        <v>147</v>
      </c>
      <c r="D1439" s="42">
        <v>1</v>
      </c>
      <c r="E1439" s="41">
        <v>4.4103378318779218E-5</v>
      </c>
    </row>
    <row r="1440" spans="2:5" ht="15" customHeight="1">
      <c r="B1440" s="93"/>
      <c r="C1440" s="43" t="s">
        <v>146</v>
      </c>
      <c r="D1440" s="42">
        <v>4</v>
      </c>
      <c r="E1440" s="41">
        <v>1.7641351327511687E-4</v>
      </c>
    </row>
    <row r="1441" spans="2:5" ht="15" customHeight="1">
      <c r="B1441" s="93"/>
      <c r="C1441" s="43" t="s">
        <v>167</v>
      </c>
      <c r="D1441" s="42">
        <v>38</v>
      </c>
      <c r="E1441" s="41">
        <v>1.6759283761136102E-3</v>
      </c>
    </row>
    <row r="1442" spans="2:5" ht="15" customHeight="1">
      <c r="B1442" s="93"/>
      <c r="C1442" s="43" t="s">
        <v>165</v>
      </c>
      <c r="D1442" s="42">
        <v>40</v>
      </c>
      <c r="E1442" s="41">
        <v>1.7641351327511688E-3</v>
      </c>
    </row>
    <row r="1443" spans="2:5" ht="15" customHeight="1">
      <c r="B1443" s="94"/>
      <c r="C1443" s="40" t="s">
        <v>20</v>
      </c>
      <c r="D1443" s="39">
        <v>660</v>
      </c>
      <c r="E1443" s="38">
        <v>2.9108229690394283E-2</v>
      </c>
    </row>
    <row r="1444" spans="2:5" ht="15" customHeight="1">
      <c r="B1444" s="92" t="s">
        <v>90</v>
      </c>
      <c r="C1444" s="43" t="s">
        <v>145</v>
      </c>
      <c r="D1444" s="42">
        <v>5</v>
      </c>
      <c r="E1444" s="41">
        <v>2.205168915938961E-4</v>
      </c>
    </row>
    <row r="1445" spans="2:5" ht="15" customHeight="1">
      <c r="B1445" s="93"/>
      <c r="C1445" s="43" t="s">
        <v>128</v>
      </c>
      <c r="D1445" s="42">
        <v>1</v>
      </c>
      <c r="E1445" s="41">
        <v>4.4103378318779218E-5</v>
      </c>
    </row>
    <row r="1446" spans="2:5" ht="15" customHeight="1">
      <c r="B1446" s="93"/>
      <c r="C1446" s="43" t="s">
        <v>134</v>
      </c>
      <c r="D1446" s="42">
        <v>2</v>
      </c>
      <c r="E1446" s="41">
        <v>8.8206756637558437E-5</v>
      </c>
    </row>
    <row r="1447" spans="2:5" ht="15" customHeight="1">
      <c r="B1447" s="93"/>
      <c r="C1447" s="43" t="s">
        <v>172</v>
      </c>
      <c r="D1447" s="42">
        <v>17</v>
      </c>
      <c r="E1447" s="41">
        <v>7.4975743141924667E-4</v>
      </c>
    </row>
    <row r="1448" spans="2:5" ht="15" customHeight="1">
      <c r="B1448" s="93"/>
      <c r="C1448" s="43" t="s">
        <v>139</v>
      </c>
      <c r="D1448" s="42">
        <v>1</v>
      </c>
      <c r="E1448" s="41">
        <v>4.4103378318779218E-5</v>
      </c>
    </row>
    <row r="1449" spans="2:5" ht="15" customHeight="1">
      <c r="B1449" s="93"/>
      <c r="C1449" s="43" t="s">
        <v>122</v>
      </c>
      <c r="D1449" s="42">
        <v>1</v>
      </c>
      <c r="E1449" s="41">
        <v>4.4103378318779218E-5</v>
      </c>
    </row>
    <row r="1450" spans="2:5" ht="15" customHeight="1">
      <c r="B1450" s="93"/>
      <c r="C1450" s="43" t="s">
        <v>159</v>
      </c>
      <c r="D1450" s="42">
        <v>1</v>
      </c>
      <c r="E1450" s="41">
        <v>4.4103378318779218E-5</v>
      </c>
    </row>
    <row r="1451" spans="2:5" ht="15" customHeight="1">
      <c r="B1451" s="93"/>
      <c r="C1451" s="43" t="s">
        <v>164</v>
      </c>
      <c r="D1451" s="42">
        <v>5</v>
      </c>
      <c r="E1451" s="41">
        <v>2.205168915938961E-4</v>
      </c>
    </row>
    <row r="1452" spans="2:5" ht="15" customHeight="1">
      <c r="B1452" s="93"/>
      <c r="C1452" s="43" t="s">
        <v>136</v>
      </c>
      <c r="D1452" s="42">
        <v>1</v>
      </c>
      <c r="E1452" s="41">
        <v>4.4103378318779218E-5</v>
      </c>
    </row>
    <row r="1453" spans="2:5" ht="15" customHeight="1">
      <c r="B1453" s="93"/>
      <c r="C1453" s="43" t="s">
        <v>162</v>
      </c>
      <c r="D1453" s="42">
        <v>1</v>
      </c>
      <c r="E1453" s="41">
        <v>4.4103378318779218E-5</v>
      </c>
    </row>
    <row r="1454" spans="2:5" ht="15" customHeight="1">
      <c r="B1454" s="93"/>
      <c r="C1454" s="43" t="s">
        <v>166</v>
      </c>
      <c r="D1454" s="42">
        <v>6</v>
      </c>
      <c r="E1454" s="41">
        <v>2.646202699126753E-4</v>
      </c>
    </row>
    <row r="1455" spans="2:5" ht="15" customHeight="1">
      <c r="B1455" s="93"/>
      <c r="C1455" s="43" t="s">
        <v>148</v>
      </c>
      <c r="D1455" s="42">
        <v>1</v>
      </c>
      <c r="E1455" s="41">
        <v>4.4103378318779218E-5</v>
      </c>
    </row>
    <row r="1456" spans="2:5" ht="15" customHeight="1">
      <c r="B1456" s="93"/>
      <c r="C1456" s="43" t="s">
        <v>153</v>
      </c>
      <c r="D1456" s="42">
        <v>1</v>
      </c>
      <c r="E1456" s="41">
        <v>4.4103378318779218E-5</v>
      </c>
    </row>
    <row r="1457" spans="2:5" ht="15" customHeight="1">
      <c r="B1457" s="93"/>
      <c r="C1457" s="43" t="s">
        <v>143</v>
      </c>
      <c r="D1457" s="42">
        <v>3</v>
      </c>
      <c r="E1457" s="41">
        <v>1.3231013495633765E-4</v>
      </c>
    </row>
    <row r="1458" spans="2:5" ht="15" customHeight="1">
      <c r="B1458" s="93"/>
      <c r="C1458" s="43" t="s">
        <v>141</v>
      </c>
      <c r="D1458" s="42">
        <v>2</v>
      </c>
      <c r="E1458" s="41">
        <v>8.8206756637558437E-5</v>
      </c>
    </row>
    <row r="1459" spans="2:5" ht="15" customHeight="1">
      <c r="B1459" s="93"/>
      <c r="C1459" s="43" t="s">
        <v>124</v>
      </c>
      <c r="D1459" s="42">
        <v>1</v>
      </c>
      <c r="E1459" s="41">
        <v>4.4103378318779218E-5</v>
      </c>
    </row>
    <row r="1460" spans="2:5" ht="15" customHeight="1">
      <c r="B1460" s="93"/>
      <c r="C1460" s="43" t="s">
        <v>130</v>
      </c>
      <c r="D1460" s="42">
        <v>3</v>
      </c>
      <c r="E1460" s="41">
        <v>1.3231013495633765E-4</v>
      </c>
    </row>
    <row r="1461" spans="2:5" ht="15" customHeight="1">
      <c r="B1461" s="93"/>
      <c r="C1461" s="43" t="s">
        <v>163</v>
      </c>
      <c r="D1461" s="42">
        <v>8</v>
      </c>
      <c r="E1461" s="41">
        <v>3.5282702655023375E-4</v>
      </c>
    </row>
    <row r="1462" spans="2:5" ht="15" customHeight="1">
      <c r="B1462" s="93"/>
      <c r="C1462" s="43" t="s">
        <v>137</v>
      </c>
      <c r="D1462" s="42">
        <v>2</v>
      </c>
      <c r="E1462" s="41">
        <v>8.8206756637558437E-5</v>
      </c>
    </row>
    <row r="1463" spans="2:5" ht="15" customHeight="1">
      <c r="B1463" s="93"/>
      <c r="C1463" s="43" t="s">
        <v>161</v>
      </c>
      <c r="D1463" s="42">
        <v>2</v>
      </c>
      <c r="E1463" s="41">
        <v>8.8206756637558437E-5</v>
      </c>
    </row>
    <row r="1464" spans="2:5" ht="15" customHeight="1">
      <c r="B1464" s="93"/>
      <c r="C1464" s="43" t="s">
        <v>169</v>
      </c>
      <c r="D1464" s="42">
        <v>2</v>
      </c>
      <c r="E1464" s="41">
        <v>8.8206756637558437E-5</v>
      </c>
    </row>
    <row r="1465" spans="2:5" ht="15" customHeight="1">
      <c r="B1465" s="93"/>
      <c r="C1465" s="43" t="s">
        <v>171</v>
      </c>
      <c r="D1465" s="42">
        <v>1</v>
      </c>
      <c r="E1465" s="41">
        <v>4.4103378318779218E-5</v>
      </c>
    </row>
    <row r="1466" spans="2:5" ht="15" customHeight="1">
      <c r="B1466" s="93"/>
      <c r="C1466" s="43" t="s">
        <v>160</v>
      </c>
      <c r="D1466" s="42">
        <v>5</v>
      </c>
      <c r="E1466" s="41">
        <v>2.205168915938961E-4</v>
      </c>
    </row>
    <row r="1467" spans="2:5" ht="15" customHeight="1">
      <c r="B1467" s="93"/>
      <c r="C1467" s="43" t="s">
        <v>168</v>
      </c>
      <c r="D1467" s="42">
        <v>7</v>
      </c>
      <c r="E1467" s="41">
        <v>3.0872364823145452E-4</v>
      </c>
    </row>
    <row r="1468" spans="2:5" ht="15" customHeight="1">
      <c r="B1468" s="93"/>
      <c r="C1468" s="43" t="s">
        <v>144</v>
      </c>
      <c r="D1468" s="42">
        <v>2</v>
      </c>
      <c r="E1468" s="41">
        <v>8.8206756637558437E-5</v>
      </c>
    </row>
    <row r="1469" spans="2:5" ht="15" customHeight="1">
      <c r="B1469" s="93"/>
      <c r="C1469" s="43" t="s">
        <v>150</v>
      </c>
      <c r="D1469" s="42">
        <v>2</v>
      </c>
      <c r="E1469" s="41">
        <v>8.8206756637558437E-5</v>
      </c>
    </row>
    <row r="1470" spans="2:5" ht="15" customHeight="1">
      <c r="B1470" s="93"/>
      <c r="C1470" s="43" t="s">
        <v>138</v>
      </c>
      <c r="D1470" s="42">
        <v>2</v>
      </c>
      <c r="E1470" s="41">
        <v>8.8206756637558437E-5</v>
      </c>
    </row>
    <row r="1471" spans="2:5" ht="15" customHeight="1">
      <c r="B1471" s="93"/>
      <c r="C1471" s="43" t="s">
        <v>155</v>
      </c>
      <c r="D1471" s="42">
        <v>2</v>
      </c>
      <c r="E1471" s="41">
        <v>8.8206756637558437E-5</v>
      </c>
    </row>
    <row r="1472" spans="2:5" ht="15" customHeight="1">
      <c r="B1472" s="93"/>
      <c r="C1472" s="43" t="s">
        <v>170</v>
      </c>
      <c r="D1472" s="42">
        <v>4</v>
      </c>
      <c r="E1472" s="41">
        <v>1.7641351327511687E-4</v>
      </c>
    </row>
    <row r="1473" spans="2:5" ht="15" customHeight="1">
      <c r="B1473" s="93"/>
      <c r="C1473" s="43" t="s">
        <v>123</v>
      </c>
      <c r="D1473" s="42">
        <v>1</v>
      </c>
      <c r="E1473" s="41">
        <v>4.4103378318779218E-5</v>
      </c>
    </row>
    <row r="1474" spans="2:5" ht="15" customHeight="1">
      <c r="B1474" s="93"/>
      <c r="C1474" s="43" t="s">
        <v>154</v>
      </c>
      <c r="D1474" s="42">
        <v>11</v>
      </c>
      <c r="E1474" s="41">
        <v>4.8513716150657142E-4</v>
      </c>
    </row>
    <row r="1475" spans="2:5" ht="15" customHeight="1">
      <c r="B1475" s="93"/>
      <c r="C1475" s="43" t="s">
        <v>146</v>
      </c>
      <c r="D1475" s="42">
        <v>6</v>
      </c>
      <c r="E1475" s="41">
        <v>2.646202699126753E-4</v>
      </c>
    </row>
    <row r="1476" spans="2:5" ht="15" customHeight="1">
      <c r="B1476" s="93"/>
      <c r="C1476" s="43" t="s">
        <v>165</v>
      </c>
      <c r="D1476" s="42">
        <v>7</v>
      </c>
      <c r="E1476" s="41">
        <v>3.0872364823145452E-4</v>
      </c>
    </row>
    <row r="1477" spans="2:5" ht="15" customHeight="1">
      <c r="B1477" s="94"/>
      <c r="C1477" s="40" t="s">
        <v>20</v>
      </c>
      <c r="D1477" s="39">
        <v>116</v>
      </c>
      <c r="E1477" s="38">
        <v>5.1159918849783895E-3</v>
      </c>
    </row>
    <row r="1478" spans="2:5" ht="15" customHeight="1">
      <c r="B1478" s="92" t="s">
        <v>103</v>
      </c>
      <c r="C1478" s="43" t="s">
        <v>140</v>
      </c>
      <c r="D1478" s="42">
        <v>2</v>
      </c>
      <c r="E1478" s="41">
        <v>8.8206756637558437E-5</v>
      </c>
    </row>
    <row r="1479" spans="2:5" ht="15" customHeight="1">
      <c r="B1479" s="93"/>
      <c r="C1479" s="43" t="s">
        <v>132</v>
      </c>
      <c r="D1479" s="42">
        <v>1</v>
      </c>
      <c r="E1479" s="41">
        <v>4.4103378318779218E-5</v>
      </c>
    </row>
    <row r="1480" spans="2:5" ht="15" customHeight="1">
      <c r="B1480" s="93"/>
      <c r="C1480" s="43" t="s">
        <v>135</v>
      </c>
      <c r="D1480" s="42">
        <v>2</v>
      </c>
      <c r="E1480" s="41">
        <v>8.8206756637558437E-5</v>
      </c>
    </row>
    <row r="1481" spans="2:5" ht="15" customHeight="1">
      <c r="B1481" s="93"/>
      <c r="C1481" s="43" t="s">
        <v>129</v>
      </c>
      <c r="D1481" s="42">
        <v>1</v>
      </c>
      <c r="E1481" s="41">
        <v>4.4103378318779218E-5</v>
      </c>
    </row>
    <row r="1482" spans="2:5" ht="15" customHeight="1">
      <c r="B1482" s="93"/>
      <c r="C1482" s="43" t="s">
        <v>145</v>
      </c>
      <c r="D1482" s="42">
        <v>5</v>
      </c>
      <c r="E1482" s="41">
        <v>2.205168915938961E-4</v>
      </c>
    </row>
    <row r="1483" spans="2:5" ht="15" customHeight="1">
      <c r="B1483" s="93"/>
      <c r="C1483" s="43" t="s">
        <v>120</v>
      </c>
      <c r="D1483" s="42">
        <v>3</v>
      </c>
      <c r="E1483" s="41">
        <v>1.3231013495633765E-4</v>
      </c>
    </row>
    <row r="1484" spans="2:5" ht="15" customHeight="1">
      <c r="B1484" s="93"/>
      <c r="C1484" s="43" t="s">
        <v>151</v>
      </c>
      <c r="D1484" s="42">
        <v>10</v>
      </c>
      <c r="E1484" s="41">
        <v>4.410337831877922E-4</v>
      </c>
    </row>
    <row r="1485" spans="2:5" ht="15" customHeight="1">
      <c r="B1485" s="93"/>
      <c r="C1485" s="43" t="s">
        <v>128</v>
      </c>
      <c r="D1485" s="42">
        <v>1</v>
      </c>
      <c r="E1485" s="41">
        <v>4.4103378318779218E-5</v>
      </c>
    </row>
    <row r="1486" spans="2:5" ht="15" customHeight="1">
      <c r="B1486" s="93"/>
      <c r="C1486" s="43" t="s">
        <v>172</v>
      </c>
      <c r="D1486" s="42">
        <v>47</v>
      </c>
      <c r="E1486" s="41">
        <v>2.0728587809826231E-3</v>
      </c>
    </row>
    <row r="1487" spans="2:5" ht="15" customHeight="1">
      <c r="B1487" s="93"/>
      <c r="C1487" s="43" t="s">
        <v>139</v>
      </c>
      <c r="D1487" s="42">
        <v>1</v>
      </c>
      <c r="E1487" s="41">
        <v>4.4103378318779218E-5</v>
      </c>
    </row>
    <row r="1488" spans="2:5" ht="15" customHeight="1">
      <c r="B1488" s="93"/>
      <c r="C1488" s="43" t="s">
        <v>122</v>
      </c>
      <c r="D1488" s="42">
        <v>3</v>
      </c>
      <c r="E1488" s="41">
        <v>1.3231013495633765E-4</v>
      </c>
    </row>
    <row r="1489" spans="2:5" ht="15" customHeight="1">
      <c r="B1489" s="93"/>
      <c r="C1489" s="43" t="s">
        <v>159</v>
      </c>
      <c r="D1489" s="42">
        <v>4</v>
      </c>
      <c r="E1489" s="41">
        <v>1.7641351327511687E-4</v>
      </c>
    </row>
    <row r="1490" spans="2:5" ht="15" customHeight="1">
      <c r="B1490" s="93"/>
      <c r="C1490" s="43" t="s">
        <v>157</v>
      </c>
      <c r="D1490" s="42">
        <v>3</v>
      </c>
      <c r="E1490" s="41">
        <v>1.3231013495633765E-4</v>
      </c>
    </row>
    <row r="1491" spans="2:5" ht="15" customHeight="1">
      <c r="B1491" s="93"/>
      <c r="C1491" s="43" t="s">
        <v>164</v>
      </c>
      <c r="D1491" s="42">
        <v>10</v>
      </c>
      <c r="E1491" s="41">
        <v>4.410337831877922E-4</v>
      </c>
    </row>
    <row r="1492" spans="2:5" ht="15" customHeight="1">
      <c r="B1492" s="93"/>
      <c r="C1492" s="43" t="s">
        <v>162</v>
      </c>
      <c r="D1492" s="42">
        <v>11</v>
      </c>
      <c r="E1492" s="41">
        <v>4.8513716150657142E-4</v>
      </c>
    </row>
    <row r="1493" spans="2:5" ht="15" customHeight="1">
      <c r="B1493" s="93"/>
      <c r="C1493" s="43" t="s">
        <v>166</v>
      </c>
      <c r="D1493" s="42">
        <v>23</v>
      </c>
      <c r="E1493" s="41">
        <v>1.0143777013319221E-3</v>
      </c>
    </row>
    <row r="1494" spans="2:5" ht="15" customHeight="1">
      <c r="B1494" s="93"/>
      <c r="C1494" s="43" t="s">
        <v>142</v>
      </c>
      <c r="D1494" s="42">
        <v>7</v>
      </c>
      <c r="E1494" s="41">
        <v>3.0872364823145452E-4</v>
      </c>
    </row>
    <row r="1495" spans="2:5" ht="15" customHeight="1">
      <c r="B1495" s="93"/>
      <c r="C1495" s="43" t="s">
        <v>148</v>
      </c>
      <c r="D1495" s="42">
        <v>2</v>
      </c>
      <c r="E1495" s="41">
        <v>8.8206756637558437E-5</v>
      </c>
    </row>
    <row r="1496" spans="2:5" ht="15" customHeight="1">
      <c r="B1496" s="93"/>
      <c r="C1496" s="43" t="s">
        <v>153</v>
      </c>
      <c r="D1496" s="42">
        <v>2</v>
      </c>
      <c r="E1496" s="41">
        <v>8.8206756637558437E-5</v>
      </c>
    </row>
    <row r="1497" spans="2:5" ht="15" customHeight="1">
      <c r="B1497" s="93"/>
      <c r="C1497" s="43" t="s">
        <v>124</v>
      </c>
      <c r="D1497" s="42">
        <v>3</v>
      </c>
      <c r="E1497" s="41">
        <v>1.3231013495633765E-4</v>
      </c>
    </row>
    <row r="1498" spans="2:5" ht="15" customHeight="1">
      <c r="B1498" s="93"/>
      <c r="C1498" s="43" t="s">
        <v>156</v>
      </c>
      <c r="D1498" s="42">
        <v>2</v>
      </c>
      <c r="E1498" s="41">
        <v>8.8206756637558437E-5</v>
      </c>
    </row>
    <row r="1499" spans="2:5" ht="15" customHeight="1">
      <c r="B1499" s="93"/>
      <c r="C1499" s="43" t="s">
        <v>125</v>
      </c>
      <c r="D1499" s="42">
        <v>1</v>
      </c>
      <c r="E1499" s="41">
        <v>4.4103378318779218E-5</v>
      </c>
    </row>
    <row r="1500" spans="2:5" ht="15" customHeight="1">
      <c r="B1500" s="93"/>
      <c r="C1500" s="43" t="s">
        <v>152</v>
      </c>
      <c r="D1500" s="42">
        <v>1</v>
      </c>
      <c r="E1500" s="41">
        <v>4.4103378318779218E-5</v>
      </c>
    </row>
    <row r="1501" spans="2:5" ht="15" customHeight="1">
      <c r="B1501" s="93"/>
      <c r="C1501" s="43" t="s">
        <v>130</v>
      </c>
      <c r="D1501" s="42">
        <v>2</v>
      </c>
      <c r="E1501" s="41">
        <v>8.8206756637558437E-5</v>
      </c>
    </row>
    <row r="1502" spans="2:5" ht="15" customHeight="1">
      <c r="B1502" s="93"/>
      <c r="C1502" s="43" t="s">
        <v>133</v>
      </c>
      <c r="D1502" s="42">
        <v>2</v>
      </c>
      <c r="E1502" s="41">
        <v>8.8206756637558437E-5</v>
      </c>
    </row>
    <row r="1503" spans="2:5" ht="15" customHeight="1">
      <c r="B1503" s="93"/>
      <c r="C1503" s="43" t="s">
        <v>163</v>
      </c>
      <c r="D1503" s="42">
        <v>35</v>
      </c>
      <c r="E1503" s="41">
        <v>1.5436182411572726E-3</v>
      </c>
    </row>
    <row r="1504" spans="2:5" ht="15" customHeight="1">
      <c r="B1504" s="93"/>
      <c r="C1504" s="43" t="s">
        <v>137</v>
      </c>
      <c r="D1504" s="42">
        <v>1</v>
      </c>
      <c r="E1504" s="41">
        <v>4.4103378318779218E-5</v>
      </c>
    </row>
    <row r="1505" spans="2:5" ht="15" customHeight="1">
      <c r="B1505" s="93"/>
      <c r="C1505" s="43" t="s">
        <v>161</v>
      </c>
      <c r="D1505" s="42">
        <v>7</v>
      </c>
      <c r="E1505" s="41">
        <v>3.0872364823145452E-4</v>
      </c>
    </row>
    <row r="1506" spans="2:5" ht="15" customHeight="1">
      <c r="B1506" s="93"/>
      <c r="C1506" s="43" t="s">
        <v>127</v>
      </c>
      <c r="D1506" s="42">
        <v>1</v>
      </c>
      <c r="E1506" s="41">
        <v>4.4103378318779218E-5</v>
      </c>
    </row>
    <row r="1507" spans="2:5" ht="15" customHeight="1">
      <c r="B1507" s="93"/>
      <c r="C1507" s="43" t="s">
        <v>169</v>
      </c>
      <c r="D1507" s="42">
        <v>1</v>
      </c>
      <c r="E1507" s="41">
        <v>4.4103378318779218E-5</v>
      </c>
    </row>
    <row r="1508" spans="2:5" ht="15" customHeight="1">
      <c r="B1508" s="93"/>
      <c r="C1508" s="43" t="s">
        <v>171</v>
      </c>
      <c r="D1508" s="42">
        <v>27</v>
      </c>
      <c r="E1508" s="41">
        <v>1.1907912146070388E-3</v>
      </c>
    </row>
    <row r="1509" spans="2:5" ht="15" customHeight="1">
      <c r="B1509" s="93"/>
      <c r="C1509" s="43" t="s">
        <v>160</v>
      </c>
      <c r="D1509" s="42">
        <v>31</v>
      </c>
      <c r="E1509" s="41">
        <v>1.3672047278821557E-3</v>
      </c>
    </row>
    <row r="1510" spans="2:5" ht="15" customHeight="1">
      <c r="B1510" s="93"/>
      <c r="C1510" s="43" t="s">
        <v>168</v>
      </c>
      <c r="D1510" s="42">
        <v>37</v>
      </c>
      <c r="E1510" s="41">
        <v>1.6318249977948312E-3</v>
      </c>
    </row>
    <row r="1511" spans="2:5" ht="15" customHeight="1">
      <c r="B1511" s="93"/>
      <c r="C1511" s="43" t="s">
        <v>126</v>
      </c>
      <c r="D1511" s="42">
        <v>1</v>
      </c>
      <c r="E1511" s="41">
        <v>4.4103378318779218E-5</v>
      </c>
    </row>
    <row r="1512" spans="2:5" ht="15" customHeight="1">
      <c r="B1512" s="93"/>
      <c r="C1512" s="43" t="s">
        <v>149</v>
      </c>
      <c r="D1512" s="42">
        <v>11</v>
      </c>
      <c r="E1512" s="41">
        <v>4.8513716150657142E-4</v>
      </c>
    </row>
    <row r="1513" spans="2:5" ht="15" customHeight="1">
      <c r="B1513" s="93"/>
      <c r="C1513" s="43" t="s">
        <v>144</v>
      </c>
      <c r="D1513" s="42">
        <v>11</v>
      </c>
      <c r="E1513" s="41">
        <v>4.8513716150657142E-4</v>
      </c>
    </row>
    <row r="1514" spans="2:5" ht="15" customHeight="1">
      <c r="B1514" s="93"/>
      <c r="C1514" s="43" t="s">
        <v>150</v>
      </c>
      <c r="D1514" s="42">
        <v>3</v>
      </c>
      <c r="E1514" s="41">
        <v>1.3231013495633765E-4</v>
      </c>
    </row>
    <row r="1515" spans="2:5" ht="15" customHeight="1">
      <c r="B1515" s="93"/>
      <c r="C1515" s="43" t="s">
        <v>138</v>
      </c>
      <c r="D1515" s="42">
        <v>2</v>
      </c>
      <c r="E1515" s="41">
        <v>8.8206756637558437E-5</v>
      </c>
    </row>
    <row r="1516" spans="2:5" ht="15" customHeight="1">
      <c r="B1516" s="93"/>
      <c r="C1516" s="43" t="s">
        <v>155</v>
      </c>
      <c r="D1516" s="42">
        <v>5</v>
      </c>
      <c r="E1516" s="41">
        <v>2.205168915938961E-4</v>
      </c>
    </row>
    <row r="1517" spans="2:5" ht="15" customHeight="1">
      <c r="B1517" s="93"/>
      <c r="C1517" s="43" t="s">
        <v>170</v>
      </c>
      <c r="D1517" s="42">
        <v>13</v>
      </c>
      <c r="E1517" s="41">
        <v>5.7334391814412987E-4</v>
      </c>
    </row>
    <row r="1518" spans="2:5" ht="15" customHeight="1">
      <c r="B1518" s="93"/>
      <c r="C1518" s="43" t="s">
        <v>123</v>
      </c>
      <c r="D1518" s="42">
        <v>1</v>
      </c>
      <c r="E1518" s="41">
        <v>4.4103378318779218E-5</v>
      </c>
    </row>
    <row r="1519" spans="2:5" ht="15" customHeight="1">
      <c r="B1519" s="93"/>
      <c r="C1519" s="43" t="s">
        <v>154</v>
      </c>
      <c r="D1519" s="42">
        <v>2</v>
      </c>
      <c r="E1519" s="41">
        <v>8.8206756637558437E-5</v>
      </c>
    </row>
    <row r="1520" spans="2:5" ht="15" customHeight="1">
      <c r="B1520" s="93"/>
      <c r="C1520" s="43" t="s">
        <v>147</v>
      </c>
      <c r="D1520" s="42">
        <v>1</v>
      </c>
      <c r="E1520" s="41">
        <v>4.4103378318779218E-5</v>
      </c>
    </row>
    <row r="1521" spans="2:5" ht="15" customHeight="1">
      <c r="B1521" s="93"/>
      <c r="C1521" s="43" t="s">
        <v>146</v>
      </c>
      <c r="D1521" s="42">
        <v>1</v>
      </c>
      <c r="E1521" s="41">
        <v>4.4103378318779218E-5</v>
      </c>
    </row>
    <row r="1522" spans="2:5" ht="15" customHeight="1">
      <c r="B1522" s="93"/>
      <c r="C1522" s="43" t="s">
        <v>167</v>
      </c>
      <c r="D1522" s="42">
        <v>11</v>
      </c>
      <c r="E1522" s="41">
        <v>4.8513716150657142E-4</v>
      </c>
    </row>
    <row r="1523" spans="2:5" ht="15" customHeight="1">
      <c r="B1523" s="93"/>
      <c r="C1523" s="43" t="s">
        <v>165</v>
      </c>
      <c r="D1523" s="42">
        <v>23</v>
      </c>
      <c r="E1523" s="41">
        <v>1.0143777013319221E-3</v>
      </c>
    </row>
    <row r="1524" spans="2:5" ht="15" customHeight="1">
      <c r="B1524" s="94"/>
      <c r="C1524" s="40" t="s">
        <v>20</v>
      </c>
      <c r="D1524" s="39">
        <v>374</v>
      </c>
      <c r="E1524" s="38">
        <v>1.6494663491223426E-2</v>
      </c>
    </row>
    <row r="1525" spans="2:5" ht="15" customHeight="1">
      <c r="B1525" s="92" t="s">
        <v>104</v>
      </c>
      <c r="C1525" s="43" t="s">
        <v>140</v>
      </c>
      <c r="D1525" s="42">
        <v>5</v>
      </c>
      <c r="E1525" s="41">
        <v>2.205168915938961E-4</v>
      </c>
    </row>
    <row r="1526" spans="2:5" ht="15" customHeight="1">
      <c r="B1526" s="93"/>
      <c r="C1526" s="43" t="s">
        <v>132</v>
      </c>
      <c r="D1526" s="42">
        <v>5</v>
      </c>
      <c r="E1526" s="41">
        <v>2.205168915938961E-4</v>
      </c>
    </row>
    <row r="1527" spans="2:5" ht="15" customHeight="1">
      <c r="B1527" s="93"/>
      <c r="C1527" s="43" t="s">
        <v>135</v>
      </c>
      <c r="D1527" s="42">
        <v>4</v>
      </c>
      <c r="E1527" s="41">
        <v>1.7641351327511687E-4</v>
      </c>
    </row>
    <row r="1528" spans="2:5" ht="15" customHeight="1">
      <c r="B1528" s="93"/>
      <c r="C1528" s="43" t="s">
        <v>129</v>
      </c>
      <c r="D1528" s="42">
        <v>1</v>
      </c>
      <c r="E1528" s="41">
        <v>4.4103378318779218E-5</v>
      </c>
    </row>
    <row r="1529" spans="2:5" ht="15" customHeight="1">
      <c r="B1529" s="93"/>
      <c r="C1529" s="43" t="s">
        <v>145</v>
      </c>
      <c r="D1529" s="42">
        <v>6</v>
      </c>
      <c r="E1529" s="41">
        <v>2.646202699126753E-4</v>
      </c>
    </row>
    <row r="1530" spans="2:5" ht="15" customHeight="1">
      <c r="B1530" s="93"/>
      <c r="C1530" s="43" t="s">
        <v>120</v>
      </c>
      <c r="D1530" s="42">
        <v>1</v>
      </c>
      <c r="E1530" s="41">
        <v>4.4103378318779218E-5</v>
      </c>
    </row>
    <row r="1531" spans="2:5" ht="15" customHeight="1">
      <c r="B1531" s="93"/>
      <c r="C1531" s="43" t="s">
        <v>151</v>
      </c>
      <c r="D1531" s="42">
        <v>7</v>
      </c>
      <c r="E1531" s="41">
        <v>3.0872364823145452E-4</v>
      </c>
    </row>
    <row r="1532" spans="2:5" ht="15" customHeight="1">
      <c r="B1532" s="93"/>
      <c r="C1532" s="43" t="s">
        <v>128</v>
      </c>
      <c r="D1532" s="42">
        <v>1</v>
      </c>
      <c r="E1532" s="41">
        <v>4.4103378318779218E-5</v>
      </c>
    </row>
    <row r="1533" spans="2:5" ht="15" customHeight="1">
      <c r="B1533" s="93"/>
      <c r="C1533" s="43" t="s">
        <v>172</v>
      </c>
      <c r="D1533" s="42">
        <v>37</v>
      </c>
      <c r="E1533" s="41">
        <v>1.6318249977948312E-3</v>
      </c>
    </row>
    <row r="1534" spans="2:5" ht="15" customHeight="1">
      <c r="B1534" s="93"/>
      <c r="C1534" s="43" t="s">
        <v>139</v>
      </c>
      <c r="D1534" s="42">
        <v>1</v>
      </c>
      <c r="E1534" s="41">
        <v>4.4103378318779218E-5</v>
      </c>
    </row>
    <row r="1535" spans="2:5" ht="15" customHeight="1">
      <c r="B1535" s="93"/>
      <c r="C1535" s="43" t="s">
        <v>157</v>
      </c>
      <c r="D1535" s="42">
        <v>5</v>
      </c>
      <c r="E1535" s="41">
        <v>2.205168915938961E-4</v>
      </c>
    </row>
    <row r="1536" spans="2:5" ht="15" customHeight="1">
      <c r="B1536" s="93"/>
      <c r="C1536" s="43" t="s">
        <v>164</v>
      </c>
      <c r="D1536" s="42">
        <v>4</v>
      </c>
      <c r="E1536" s="41">
        <v>1.7641351327511687E-4</v>
      </c>
    </row>
    <row r="1537" spans="2:5" ht="15" customHeight="1">
      <c r="B1537" s="93"/>
      <c r="C1537" s="43" t="s">
        <v>136</v>
      </c>
      <c r="D1537" s="42">
        <v>1</v>
      </c>
      <c r="E1537" s="41">
        <v>4.4103378318779218E-5</v>
      </c>
    </row>
    <row r="1538" spans="2:5" ht="15" customHeight="1">
      <c r="B1538" s="93"/>
      <c r="C1538" s="43" t="s">
        <v>162</v>
      </c>
      <c r="D1538" s="42">
        <v>2</v>
      </c>
      <c r="E1538" s="41">
        <v>8.8206756637558437E-5</v>
      </c>
    </row>
    <row r="1539" spans="2:5" ht="15" customHeight="1">
      <c r="B1539" s="93"/>
      <c r="C1539" s="43" t="s">
        <v>166</v>
      </c>
      <c r="D1539" s="42">
        <v>3</v>
      </c>
      <c r="E1539" s="41">
        <v>1.3231013495633765E-4</v>
      </c>
    </row>
    <row r="1540" spans="2:5" ht="15" customHeight="1">
      <c r="B1540" s="93"/>
      <c r="C1540" s="43" t="s">
        <v>142</v>
      </c>
      <c r="D1540" s="42">
        <v>1</v>
      </c>
      <c r="E1540" s="41">
        <v>4.4103378318779218E-5</v>
      </c>
    </row>
    <row r="1541" spans="2:5" ht="15" customHeight="1">
      <c r="B1541" s="93"/>
      <c r="C1541" s="43" t="s">
        <v>148</v>
      </c>
      <c r="D1541" s="42">
        <v>10</v>
      </c>
      <c r="E1541" s="41">
        <v>4.410337831877922E-4</v>
      </c>
    </row>
    <row r="1542" spans="2:5" ht="15" customHeight="1">
      <c r="B1542" s="93"/>
      <c r="C1542" s="43" t="s">
        <v>153</v>
      </c>
      <c r="D1542" s="42">
        <v>3</v>
      </c>
      <c r="E1542" s="41">
        <v>1.3231013495633765E-4</v>
      </c>
    </row>
    <row r="1543" spans="2:5" ht="15" customHeight="1">
      <c r="B1543" s="93"/>
      <c r="C1543" s="43" t="s">
        <v>143</v>
      </c>
      <c r="D1543" s="42">
        <v>4</v>
      </c>
      <c r="E1543" s="41">
        <v>1.7641351327511687E-4</v>
      </c>
    </row>
    <row r="1544" spans="2:5" ht="15" customHeight="1">
      <c r="B1544" s="93"/>
      <c r="C1544" s="43" t="s">
        <v>124</v>
      </c>
      <c r="D1544" s="42">
        <v>2</v>
      </c>
      <c r="E1544" s="41">
        <v>8.8206756637558437E-5</v>
      </c>
    </row>
    <row r="1545" spans="2:5" ht="15" customHeight="1">
      <c r="B1545" s="93"/>
      <c r="C1545" s="43" t="s">
        <v>156</v>
      </c>
      <c r="D1545" s="42">
        <v>2</v>
      </c>
      <c r="E1545" s="41">
        <v>8.8206756637558437E-5</v>
      </c>
    </row>
    <row r="1546" spans="2:5" ht="15" customHeight="1">
      <c r="B1546" s="93"/>
      <c r="C1546" s="43" t="s">
        <v>152</v>
      </c>
      <c r="D1546" s="42">
        <v>4</v>
      </c>
      <c r="E1546" s="41">
        <v>1.7641351327511687E-4</v>
      </c>
    </row>
    <row r="1547" spans="2:5" ht="15" customHeight="1">
      <c r="B1547" s="93"/>
      <c r="C1547" s="43" t="s">
        <v>130</v>
      </c>
      <c r="D1547" s="42">
        <v>2</v>
      </c>
      <c r="E1547" s="41">
        <v>8.8206756637558437E-5</v>
      </c>
    </row>
    <row r="1548" spans="2:5" ht="15" customHeight="1">
      <c r="B1548" s="93"/>
      <c r="C1548" s="43" t="s">
        <v>133</v>
      </c>
      <c r="D1548" s="42">
        <v>10</v>
      </c>
      <c r="E1548" s="41">
        <v>4.410337831877922E-4</v>
      </c>
    </row>
    <row r="1549" spans="2:5" ht="15" customHeight="1">
      <c r="B1549" s="93"/>
      <c r="C1549" s="43" t="s">
        <v>163</v>
      </c>
      <c r="D1549" s="42">
        <v>23</v>
      </c>
      <c r="E1549" s="41">
        <v>1.0143777013319221E-3</v>
      </c>
    </row>
    <row r="1550" spans="2:5" ht="15" customHeight="1">
      <c r="B1550" s="93"/>
      <c r="C1550" s="43" t="s">
        <v>137</v>
      </c>
      <c r="D1550" s="42">
        <v>1</v>
      </c>
      <c r="E1550" s="41">
        <v>4.4103378318779218E-5</v>
      </c>
    </row>
    <row r="1551" spans="2:5" ht="15" customHeight="1">
      <c r="B1551" s="93"/>
      <c r="C1551" s="43" t="s">
        <v>161</v>
      </c>
      <c r="D1551" s="42">
        <v>2</v>
      </c>
      <c r="E1551" s="41">
        <v>8.8206756637558437E-5</v>
      </c>
    </row>
    <row r="1552" spans="2:5" ht="15" customHeight="1">
      <c r="B1552" s="93"/>
      <c r="C1552" s="43" t="s">
        <v>127</v>
      </c>
      <c r="D1552" s="42">
        <v>5</v>
      </c>
      <c r="E1552" s="41">
        <v>2.205168915938961E-4</v>
      </c>
    </row>
    <row r="1553" spans="2:5" ht="15" customHeight="1">
      <c r="B1553" s="93"/>
      <c r="C1553" s="43" t="s">
        <v>169</v>
      </c>
      <c r="D1553" s="42">
        <v>1</v>
      </c>
      <c r="E1553" s="41">
        <v>4.4103378318779218E-5</v>
      </c>
    </row>
    <row r="1554" spans="2:5" ht="15" customHeight="1">
      <c r="B1554" s="93"/>
      <c r="C1554" s="43" t="s">
        <v>171</v>
      </c>
      <c r="D1554" s="42">
        <v>6</v>
      </c>
      <c r="E1554" s="41">
        <v>2.646202699126753E-4</v>
      </c>
    </row>
    <row r="1555" spans="2:5" ht="15" customHeight="1">
      <c r="B1555" s="93"/>
      <c r="C1555" s="43" t="s">
        <v>168</v>
      </c>
      <c r="D1555" s="42">
        <v>9</v>
      </c>
      <c r="E1555" s="41">
        <v>3.9693040486901297E-4</v>
      </c>
    </row>
    <row r="1556" spans="2:5" ht="15" customHeight="1">
      <c r="B1556" s="93"/>
      <c r="C1556" s="43" t="s">
        <v>149</v>
      </c>
      <c r="D1556" s="42">
        <v>4</v>
      </c>
      <c r="E1556" s="41">
        <v>1.7641351327511687E-4</v>
      </c>
    </row>
    <row r="1557" spans="2:5" ht="15" customHeight="1">
      <c r="B1557" s="93"/>
      <c r="C1557" s="43" t="s">
        <v>144</v>
      </c>
      <c r="D1557" s="42">
        <v>2</v>
      </c>
      <c r="E1557" s="41">
        <v>8.8206756637558437E-5</v>
      </c>
    </row>
    <row r="1558" spans="2:5" ht="15" customHeight="1">
      <c r="B1558" s="93"/>
      <c r="C1558" s="43" t="s">
        <v>150</v>
      </c>
      <c r="D1558" s="42">
        <v>6</v>
      </c>
      <c r="E1558" s="41">
        <v>2.646202699126753E-4</v>
      </c>
    </row>
    <row r="1559" spans="2:5" ht="15" customHeight="1">
      <c r="B1559" s="93"/>
      <c r="C1559" s="43" t="s">
        <v>138</v>
      </c>
      <c r="D1559" s="42">
        <v>2</v>
      </c>
      <c r="E1559" s="41">
        <v>8.8206756637558437E-5</v>
      </c>
    </row>
    <row r="1560" spans="2:5" ht="15" customHeight="1">
      <c r="B1560" s="93"/>
      <c r="C1560" s="43" t="s">
        <v>155</v>
      </c>
      <c r="D1560" s="42">
        <v>10</v>
      </c>
      <c r="E1560" s="41">
        <v>4.410337831877922E-4</v>
      </c>
    </row>
    <row r="1561" spans="2:5" ht="15" customHeight="1">
      <c r="B1561" s="93"/>
      <c r="C1561" s="43" t="s">
        <v>170</v>
      </c>
      <c r="D1561" s="42">
        <v>11</v>
      </c>
      <c r="E1561" s="41">
        <v>4.8513716150657142E-4</v>
      </c>
    </row>
    <row r="1562" spans="2:5" ht="15" customHeight="1">
      <c r="B1562" s="93"/>
      <c r="C1562" s="43" t="s">
        <v>154</v>
      </c>
      <c r="D1562" s="42">
        <v>20</v>
      </c>
      <c r="E1562" s="41">
        <v>8.820675663755844E-4</v>
      </c>
    </row>
    <row r="1563" spans="2:5" ht="15" customHeight="1">
      <c r="B1563" s="93"/>
      <c r="C1563" s="43" t="s">
        <v>131</v>
      </c>
      <c r="D1563" s="42">
        <v>1</v>
      </c>
      <c r="E1563" s="41">
        <v>4.4103378318779218E-5</v>
      </c>
    </row>
    <row r="1564" spans="2:5" ht="15" customHeight="1">
      <c r="B1564" s="93"/>
      <c r="C1564" s="43" t="s">
        <v>147</v>
      </c>
      <c r="D1564" s="42">
        <v>1</v>
      </c>
      <c r="E1564" s="41">
        <v>4.4103378318779218E-5</v>
      </c>
    </row>
    <row r="1565" spans="2:5" ht="15" customHeight="1">
      <c r="B1565" s="93"/>
      <c r="C1565" s="43" t="s">
        <v>146</v>
      </c>
      <c r="D1565" s="42">
        <v>2</v>
      </c>
      <c r="E1565" s="41">
        <v>8.8206756637558437E-5</v>
      </c>
    </row>
    <row r="1566" spans="2:5" ht="15" customHeight="1">
      <c r="B1566" s="93"/>
      <c r="C1566" s="43" t="s">
        <v>167</v>
      </c>
      <c r="D1566" s="42">
        <v>5</v>
      </c>
      <c r="E1566" s="41">
        <v>2.205168915938961E-4</v>
      </c>
    </row>
    <row r="1567" spans="2:5" ht="15" customHeight="1">
      <c r="B1567" s="93"/>
      <c r="C1567" s="43" t="s">
        <v>165</v>
      </c>
      <c r="D1567" s="42">
        <v>12</v>
      </c>
      <c r="E1567" s="41">
        <v>5.2924053982535059E-4</v>
      </c>
    </row>
    <row r="1568" spans="2:5" ht="15" customHeight="1">
      <c r="B1568" s="94"/>
      <c r="C1568" s="40" t="s">
        <v>20</v>
      </c>
      <c r="D1568" s="39">
        <v>244</v>
      </c>
      <c r="E1568" s="38">
        <v>1.0761224309782129E-2</v>
      </c>
    </row>
    <row r="1569" spans="2:5" ht="15" customHeight="1">
      <c r="B1569" s="92" t="s">
        <v>105</v>
      </c>
      <c r="C1569" s="43" t="s">
        <v>140</v>
      </c>
      <c r="D1569" s="42">
        <v>3</v>
      </c>
      <c r="E1569" s="41">
        <v>1.3231013495633765E-4</v>
      </c>
    </row>
    <row r="1570" spans="2:5" ht="15" customHeight="1">
      <c r="B1570" s="93"/>
      <c r="C1570" s="43" t="s">
        <v>132</v>
      </c>
      <c r="D1570" s="42">
        <v>1</v>
      </c>
      <c r="E1570" s="41">
        <v>4.4103378318779218E-5</v>
      </c>
    </row>
    <row r="1571" spans="2:5" ht="15" customHeight="1">
      <c r="B1571" s="93"/>
      <c r="C1571" s="43" t="s">
        <v>135</v>
      </c>
      <c r="D1571" s="42">
        <v>3</v>
      </c>
      <c r="E1571" s="41">
        <v>1.3231013495633765E-4</v>
      </c>
    </row>
    <row r="1572" spans="2:5" ht="15" customHeight="1">
      <c r="B1572" s="93"/>
      <c r="C1572" s="43" t="s">
        <v>145</v>
      </c>
      <c r="D1572" s="42">
        <v>4</v>
      </c>
      <c r="E1572" s="41">
        <v>1.7641351327511687E-4</v>
      </c>
    </row>
    <row r="1573" spans="2:5" ht="15" customHeight="1">
      <c r="B1573" s="93"/>
      <c r="C1573" s="43" t="s">
        <v>151</v>
      </c>
      <c r="D1573" s="42">
        <v>4</v>
      </c>
      <c r="E1573" s="41">
        <v>1.7641351327511687E-4</v>
      </c>
    </row>
    <row r="1574" spans="2:5" ht="15" customHeight="1">
      <c r="B1574" s="93"/>
      <c r="C1574" s="43" t="s">
        <v>134</v>
      </c>
      <c r="D1574" s="42">
        <v>3</v>
      </c>
      <c r="E1574" s="41">
        <v>1.3231013495633765E-4</v>
      </c>
    </row>
    <row r="1575" spans="2:5" ht="15" customHeight="1">
      <c r="B1575" s="93"/>
      <c r="C1575" s="43" t="s">
        <v>121</v>
      </c>
      <c r="D1575" s="42">
        <v>1</v>
      </c>
      <c r="E1575" s="41">
        <v>4.4103378318779218E-5</v>
      </c>
    </row>
    <row r="1576" spans="2:5" ht="15" customHeight="1">
      <c r="B1576" s="93"/>
      <c r="C1576" s="43" t="s">
        <v>172</v>
      </c>
      <c r="D1576" s="42">
        <v>35</v>
      </c>
      <c r="E1576" s="41">
        <v>1.5436182411572726E-3</v>
      </c>
    </row>
    <row r="1577" spans="2:5" ht="15" customHeight="1">
      <c r="B1577" s="93"/>
      <c r="C1577" s="43" t="s">
        <v>139</v>
      </c>
      <c r="D1577" s="42">
        <v>2</v>
      </c>
      <c r="E1577" s="41">
        <v>8.8206756637558437E-5</v>
      </c>
    </row>
    <row r="1578" spans="2:5" ht="15" customHeight="1">
      <c r="B1578" s="93"/>
      <c r="C1578" s="43" t="s">
        <v>159</v>
      </c>
      <c r="D1578" s="42">
        <v>1</v>
      </c>
      <c r="E1578" s="41">
        <v>4.4103378318779218E-5</v>
      </c>
    </row>
    <row r="1579" spans="2:5" ht="15" customHeight="1">
      <c r="B1579" s="93"/>
      <c r="C1579" s="43" t="s">
        <v>157</v>
      </c>
      <c r="D1579" s="42">
        <v>6</v>
      </c>
      <c r="E1579" s="41">
        <v>2.646202699126753E-4</v>
      </c>
    </row>
    <row r="1580" spans="2:5" ht="15" customHeight="1">
      <c r="B1580" s="93"/>
      <c r="C1580" s="43" t="s">
        <v>164</v>
      </c>
      <c r="D1580" s="42">
        <v>11</v>
      </c>
      <c r="E1580" s="41">
        <v>4.8513716150657142E-4</v>
      </c>
    </row>
    <row r="1581" spans="2:5" ht="15" customHeight="1">
      <c r="B1581" s="93"/>
      <c r="C1581" s="43" t="s">
        <v>136</v>
      </c>
      <c r="D1581" s="42">
        <v>13</v>
      </c>
      <c r="E1581" s="41">
        <v>5.7334391814412987E-4</v>
      </c>
    </row>
    <row r="1582" spans="2:5" ht="15" customHeight="1">
      <c r="B1582" s="93"/>
      <c r="C1582" s="43" t="s">
        <v>162</v>
      </c>
      <c r="D1582" s="42">
        <v>12</v>
      </c>
      <c r="E1582" s="41">
        <v>5.2924053982535059E-4</v>
      </c>
    </row>
    <row r="1583" spans="2:5" ht="15" customHeight="1">
      <c r="B1583" s="93"/>
      <c r="C1583" s="43" t="s">
        <v>166</v>
      </c>
      <c r="D1583" s="42">
        <v>25</v>
      </c>
      <c r="E1583" s="41">
        <v>1.1025844579694805E-3</v>
      </c>
    </row>
    <row r="1584" spans="2:5" ht="15" customHeight="1">
      <c r="B1584" s="93"/>
      <c r="C1584" s="43" t="s">
        <v>142</v>
      </c>
      <c r="D1584" s="42">
        <v>3</v>
      </c>
      <c r="E1584" s="41">
        <v>1.3231013495633765E-4</v>
      </c>
    </row>
    <row r="1585" spans="2:5" ht="15" customHeight="1">
      <c r="B1585" s="93"/>
      <c r="C1585" s="43" t="s">
        <v>148</v>
      </c>
      <c r="D1585" s="42">
        <v>4</v>
      </c>
      <c r="E1585" s="41">
        <v>1.7641351327511687E-4</v>
      </c>
    </row>
    <row r="1586" spans="2:5" ht="15" customHeight="1">
      <c r="B1586" s="93"/>
      <c r="C1586" s="43" t="s">
        <v>153</v>
      </c>
      <c r="D1586" s="42">
        <v>4</v>
      </c>
      <c r="E1586" s="41">
        <v>1.7641351327511687E-4</v>
      </c>
    </row>
    <row r="1587" spans="2:5" ht="15" customHeight="1">
      <c r="B1587" s="93"/>
      <c r="C1587" s="43" t="s">
        <v>143</v>
      </c>
      <c r="D1587" s="42">
        <v>18</v>
      </c>
      <c r="E1587" s="41">
        <v>7.9386080973802594E-4</v>
      </c>
    </row>
    <row r="1588" spans="2:5" ht="15" customHeight="1">
      <c r="B1588" s="93"/>
      <c r="C1588" s="43" t="s">
        <v>141</v>
      </c>
      <c r="D1588" s="42">
        <v>1</v>
      </c>
      <c r="E1588" s="41">
        <v>4.4103378318779218E-5</v>
      </c>
    </row>
    <row r="1589" spans="2:5" ht="15" customHeight="1">
      <c r="B1589" s="93"/>
      <c r="C1589" s="43" t="s">
        <v>124</v>
      </c>
      <c r="D1589" s="42">
        <v>2</v>
      </c>
      <c r="E1589" s="41">
        <v>8.8206756637558437E-5</v>
      </c>
    </row>
    <row r="1590" spans="2:5" ht="15" customHeight="1">
      <c r="B1590" s="93"/>
      <c r="C1590" s="43" t="s">
        <v>152</v>
      </c>
      <c r="D1590" s="42">
        <v>2</v>
      </c>
      <c r="E1590" s="41">
        <v>8.8206756637558437E-5</v>
      </c>
    </row>
    <row r="1591" spans="2:5" ht="15" customHeight="1">
      <c r="B1591" s="93"/>
      <c r="C1591" s="43" t="s">
        <v>130</v>
      </c>
      <c r="D1591" s="42">
        <v>2</v>
      </c>
      <c r="E1591" s="41">
        <v>8.8206756637558437E-5</v>
      </c>
    </row>
    <row r="1592" spans="2:5" ht="15" customHeight="1">
      <c r="B1592" s="93"/>
      <c r="C1592" s="43" t="s">
        <v>133</v>
      </c>
      <c r="D1592" s="42">
        <v>1</v>
      </c>
      <c r="E1592" s="41">
        <v>4.4103378318779218E-5</v>
      </c>
    </row>
    <row r="1593" spans="2:5" ht="15" customHeight="1">
      <c r="B1593" s="93"/>
      <c r="C1593" s="43" t="s">
        <v>163</v>
      </c>
      <c r="D1593" s="42">
        <v>20</v>
      </c>
      <c r="E1593" s="41">
        <v>8.820675663755844E-4</v>
      </c>
    </row>
    <row r="1594" spans="2:5" ht="15" customHeight="1">
      <c r="B1594" s="93"/>
      <c r="C1594" s="43" t="s">
        <v>137</v>
      </c>
      <c r="D1594" s="42">
        <v>1</v>
      </c>
      <c r="E1594" s="41">
        <v>4.4103378318779218E-5</v>
      </c>
    </row>
    <row r="1595" spans="2:5" ht="15" customHeight="1">
      <c r="B1595" s="93"/>
      <c r="C1595" s="43" t="s">
        <v>161</v>
      </c>
      <c r="D1595" s="42">
        <v>10</v>
      </c>
      <c r="E1595" s="41">
        <v>4.410337831877922E-4</v>
      </c>
    </row>
    <row r="1596" spans="2:5" ht="15" customHeight="1">
      <c r="B1596" s="93"/>
      <c r="C1596" s="43" t="s">
        <v>169</v>
      </c>
      <c r="D1596" s="42">
        <v>2</v>
      </c>
      <c r="E1596" s="41">
        <v>8.8206756637558437E-5</v>
      </c>
    </row>
    <row r="1597" spans="2:5" ht="15" customHeight="1">
      <c r="B1597" s="93"/>
      <c r="C1597" s="43" t="s">
        <v>171</v>
      </c>
      <c r="D1597" s="42">
        <v>5</v>
      </c>
      <c r="E1597" s="41">
        <v>2.205168915938961E-4</v>
      </c>
    </row>
    <row r="1598" spans="2:5" ht="15" customHeight="1">
      <c r="B1598" s="93"/>
      <c r="C1598" s="43" t="s">
        <v>160</v>
      </c>
      <c r="D1598" s="42">
        <v>2</v>
      </c>
      <c r="E1598" s="41">
        <v>8.8206756637558437E-5</v>
      </c>
    </row>
    <row r="1599" spans="2:5" ht="15" customHeight="1">
      <c r="B1599" s="93"/>
      <c r="C1599" s="43" t="s">
        <v>168</v>
      </c>
      <c r="D1599" s="42">
        <v>8</v>
      </c>
      <c r="E1599" s="41">
        <v>3.5282702655023375E-4</v>
      </c>
    </row>
    <row r="1600" spans="2:5" ht="15" customHeight="1">
      <c r="B1600" s="93"/>
      <c r="C1600" s="43" t="s">
        <v>126</v>
      </c>
      <c r="D1600" s="42">
        <v>1</v>
      </c>
      <c r="E1600" s="41">
        <v>4.4103378318779218E-5</v>
      </c>
    </row>
    <row r="1601" spans="2:5" ht="15" customHeight="1">
      <c r="B1601" s="93"/>
      <c r="C1601" s="43" t="s">
        <v>149</v>
      </c>
      <c r="D1601" s="42">
        <v>2</v>
      </c>
      <c r="E1601" s="41">
        <v>8.8206756637558437E-5</v>
      </c>
    </row>
    <row r="1602" spans="2:5" ht="15" customHeight="1">
      <c r="B1602" s="93"/>
      <c r="C1602" s="43" t="s">
        <v>144</v>
      </c>
      <c r="D1602" s="42">
        <v>2</v>
      </c>
      <c r="E1602" s="41">
        <v>8.8206756637558437E-5</v>
      </c>
    </row>
    <row r="1603" spans="2:5" ht="15" customHeight="1">
      <c r="B1603" s="93"/>
      <c r="C1603" s="43" t="s">
        <v>150</v>
      </c>
      <c r="D1603" s="42">
        <v>5</v>
      </c>
      <c r="E1603" s="41">
        <v>2.205168915938961E-4</v>
      </c>
    </row>
    <row r="1604" spans="2:5" ht="15" customHeight="1">
      <c r="B1604" s="93"/>
      <c r="C1604" s="43" t="s">
        <v>138</v>
      </c>
      <c r="D1604" s="42">
        <v>4</v>
      </c>
      <c r="E1604" s="41">
        <v>1.7641351327511687E-4</v>
      </c>
    </row>
    <row r="1605" spans="2:5" ht="15" customHeight="1">
      <c r="B1605" s="93"/>
      <c r="C1605" s="43" t="s">
        <v>155</v>
      </c>
      <c r="D1605" s="42">
        <v>9</v>
      </c>
      <c r="E1605" s="41">
        <v>3.9693040486901297E-4</v>
      </c>
    </row>
    <row r="1606" spans="2:5" ht="15" customHeight="1">
      <c r="B1606" s="93"/>
      <c r="C1606" s="43" t="s">
        <v>119</v>
      </c>
      <c r="D1606" s="42">
        <v>2</v>
      </c>
      <c r="E1606" s="41">
        <v>8.8206756637558437E-5</v>
      </c>
    </row>
    <row r="1607" spans="2:5" ht="15" customHeight="1">
      <c r="B1607" s="93"/>
      <c r="C1607" s="43" t="s">
        <v>170</v>
      </c>
      <c r="D1607" s="42">
        <v>10</v>
      </c>
      <c r="E1607" s="41">
        <v>4.410337831877922E-4</v>
      </c>
    </row>
    <row r="1608" spans="2:5" ht="15" customHeight="1">
      <c r="B1608" s="93"/>
      <c r="C1608" s="43" t="s">
        <v>123</v>
      </c>
      <c r="D1608" s="42">
        <v>4</v>
      </c>
      <c r="E1608" s="41">
        <v>1.7641351327511687E-4</v>
      </c>
    </row>
    <row r="1609" spans="2:5" ht="15" customHeight="1">
      <c r="B1609" s="93"/>
      <c r="C1609" s="43" t="s">
        <v>154</v>
      </c>
      <c r="D1609" s="42">
        <v>4</v>
      </c>
      <c r="E1609" s="41">
        <v>1.7641351327511687E-4</v>
      </c>
    </row>
    <row r="1610" spans="2:5" ht="15" customHeight="1">
      <c r="B1610" s="93"/>
      <c r="C1610" s="43" t="s">
        <v>147</v>
      </c>
      <c r="D1610" s="42">
        <v>1</v>
      </c>
      <c r="E1610" s="41">
        <v>4.4103378318779218E-5</v>
      </c>
    </row>
    <row r="1611" spans="2:5" ht="15" customHeight="1">
      <c r="B1611" s="93"/>
      <c r="C1611" s="43" t="s">
        <v>146</v>
      </c>
      <c r="D1611" s="42">
        <v>1</v>
      </c>
      <c r="E1611" s="41">
        <v>4.4103378318779218E-5</v>
      </c>
    </row>
    <row r="1612" spans="2:5" ht="15" customHeight="1">
      <c r="B1612" s="93"/>
      <c r="C1612" s="43" t="s">
        <v>167</v>
      </c>
      <c r="D1612" s="42">
        <v>19</v>
      </c>
      <c r="E1612" s="41">
        <v>8.3796418805680512E-4</v>
      </c>
    </row>
    <row r="1613" spans="2:5" ht="15" customHeight="1">
      <c r="B1613" s="93"/>
      <c r="C1613" s="43" t="s">
        <v>165</v>
      </c>
      <c r="D1613" s="42">
        <v>13</v>
      </c>
      <c r="E1613" s="41">
        <v>5.7334391814412987E-4</v>
      </c>
    </row>
    <row r="1614" spans="2:5" ht="15" customHeight="1">
      <c r="B1614" s="94"/>
      <c r="C1614" s="40" t="s">
        <v>20</v>
      </c>
      <c r="D1614" s="39">
        <v>286</v>
      </c>
      <c r="E1614" s="38">
        <v>1.2613566199170857E-2</v>
      </c>
    </row>
    <row r="1615" spans="2:5" ht="15" customHeight="1">
      <c r="B1615" s="92" t="s">
        <v>83</v>
      </c>
      <c r="C1615" s="43" t="s">
        <v>140</v>
      </c>
      <c r="D1615" s="42">
        <v>2</v>
      </c>
      <c r="E1615" s="41">
        <v>8.8206756637558437E-5</v>
      </c>
    </row>
    <row r="1616" spans="2:5" ht="15" customHeight="1">
      <c r="B1616" s="93"/>
      <c r="C1616" s="43" t="s">
        <v>129</v>
      </c>
      <c r="D1616" s="42">
        <v>2</v>
      </c>
      <c r="E1616" s="41">
        <v>8.8206756637558437E-5</v>
      </c>
    </row>
    <row r="1617" spans="2:5" ht="15" customHeight="1">
      <c r="B1617" s="93"/>
      <c r="C1617" s="43" t="s">
        <v>145</v>
      </c>
      <c r="D1617" s="42">
        <v>1</v>
      </c>
      <c r="E1617" s="41">
        <v>4.4103378318779218E-5</v>
      </c>
    </row>
    <row r="1618" spans="2:5" ht="15" customHeight="1">
      <c r="B1618" s="93"/>
      <c r="C1618" s="43" t="s">
        <v>151</v>
      </c>
      <c r="D1618" s="42">
        <v>1</v>
      </c>
      <c r="E1618" s="41">
        <v>4.4103378318779218E-5</v>
      </c>
    </row>
    <row r="1619" spans="2:5" ht="15" customHeight="1">
      <c r="B1619" s="93"/>
      <c r="C1619" s="43" t="s">
        <v>134</v>
      </c>
      <c r="D1619" s="42">
        <v>13</v>
      </c>
      <c r="E1619" s="41">
        <v>5.7334391814412987E-4</v>
      </c>
    </row>
    <row r="1620" spans="2:5" ht="15" customHeight="1">
      <c r="B1620" s="93"/>
      <c r="C1620" s="43" t="s">
        <v>172</v>
      </c>
      <c r="D1620" s="42">
        <v>7</v>
      </c>
      <c r="E1620" s="41">
        <v>3.0872364823145452E-4</v>
      </c>
    </row>
    <row r="1621" spans="2:5" ht="15" customHeight="1">
      <c r="B1621" s="93"/>
      <c r="C1621" s="43" t="s">
        <v>159</v>
      </c>
      <c r="D1621" s="42">
        <v>1</v>
      </c>
      <c r="E1621" s="41">
        <v>4.4103378318779218E-5</v>
      </c>
    </row>
    <row r="1622" spans="2:5" ht="15" customHeight="1">
      <c r="B1622" s="93"/>
      <c r="C1622" s="43" t="s">
        <v>157</v>
      </c>
      <c r="D1622" s="42">
        <v>3</v>
      </c>
      <c r="E1622" s="41">
        <v>1.3231013495633765E-4</v>
      </c>
    </row>
    <row r="1623" spans="2:5" ht="15" customHeight="1">
      <c r="B1623" s="93"/>
      <c r="C1623" s="43" t="s">
        <v>166</v>
      </c>
      <c r="D1623" s="42">
        <v>1</v>
      </c>
      <c r="E1623" s="41">
        <v>4.4103378318779218E-5</v>
      </c>
    </row>
    <row r="1624" spans="2:5" ht="15" customHeight="1">
      <c r="B1624" s="93"/>
      <c r="C1624" s="43" t="s">
        <v>142</v>
      </c>
      <c r="D1624" s="42">
        <v>1</v>
      </c>
      <c r="E1624" s="41">
        <v>4.4103378318779218E-5</v>
      </c>
    </row>
    <row r="1625" spans="2:5" ht="15" customHeight="1">
      <c r="B1625" s="93"/>
      <c r="C1625" s="43" t="s">
        <v>143</v>
      </c>
      <c r="D1625" s="42">
        <v>3</v>
      </c>
      <c r="E1625" s="41">
        <v>1.3231013495633765E-4</v>
      </c>
    </row>
    <row r="1626" spans="2:5" ht="15" customHeight="1">
      <c r="B1626" s="93"/>
      <c r="C1626" s="43" t="s">
        <v>124</v>
      </c>
      <c r="D1626" s="42">
        <v>2</v>
      </c>
      <c r="E1626" s="41">
        <v>8.8206756637558437E-5</v>
      </c>
    </row>
    <row r="1627" spans="2:5" ht="15" customHeight="1">
      <c r="B1627" s="93"/>
      <c r="C1627" s="43" t="s">
        <v>125</v>
      </c>
      <c r="D1627" s="42">
        <v>1</v>
      </c>
      <c r="E1627" s="41">
        <v>4.4103378318779218E-5</v>
      </c>
    </row>
    <row r="1628" spans="2:5" ht="15" customHeight="1">
      <c r="B1628" s="93"/>
      <c r="C1628" s="43" t="s">
        <v>152</v>
      </c>
      <c r="D1628" s="42">
        <v>2</v>
      </c>
      <c r="E1628" s="41">
        <v>8.8206756637558437E-5</v>
      </c>
    </row>
    <row r="1629" spans="2:5" ht="15" customHeight="1">
      <c r="B1629" s="93"/>
      <c r="C1629" s="43" t="s">
        <v>163</v>
      </c>
      <c r="D1629" s="42">
        <v>7</v>
      </c>
      <c r="E1629" s="41">
        <v>3.0872364823145452E-4</v>
      </c>
    </row>
    <row r="1630" spans="2:5" ht="15" customHeight="1">
      <c r="B1630" s="93"/>
      <c r="C1630" s="43" t="s">
        <v>161</v>
      </c>
      <c r="D1630" s="42">
        <v>3</v>
      </c>
      <c r="E1630" s="41">
        <v>1.3231013495633765E-4</v>
      </c>
    </row>
    <row r="1631" spans="2:5" ht="15" customHeight="1">
      <c r="B1631" s="93"/>
      <c r="C1631" s="43" t="s">
        <v>169</v>
      </c>
      <c r="D1631" s="42">
        <v>2</v>
      </c>
      <c r="E1631" s="41">
        <v>8.8206756637558437E-5</v>
      </c>
    </row>
    <row r="1632" spans="2:5" ht="15" customHeight="1">
      <c r="B1632" s="93"/>
      <c r="C1632" s="43" t="s">
        <v>160</v>
      </c>
      <c r="D1632" s="42">
        <v>1</v>
      </c>
      <c r="E1632" s="41">
        <v>4.4103378318779218E-5</v>
      </c>
    </row>
    <row r="1633" spans="2:5" ht="15" customHeight="1">
      <c r="B1633" s="93"/>
      <c r="C1633" s="43" t="s">
        <v>168</v>
      </c>
      <c r="D1633" s="42">
        <v>2</v>
      </c>
      <c r="E1633" s="41">
        <v>8.8206756637558437E-5</v>
      </c>
    </row>
    <row r="1634" spans="2:5" ht="15" customHeight="1">
      <c r="B1634" s="93"/>
      <c r="C1634" s="43" t="s">
        <v>149</v>
      </c>
      <c r="D1634" s="42">
        <v>1</v>
      </c>
      <c r="E1634" s="41">
        <v>4.4103378318779218E-5</v>
      </c>
    </row>
    <row r="1635" spans="2:5" ht="15" customHeight="1">
      <c r="B1635" s="93"/>
      <c r="C1635" s="43" t="s">
        <v>144</v>
      </c>
      <c r="D1635" s="42">
        <v>2</v>
      </c>
      <c r="E1635" s="41">
        <v>8.8206756637558437E-5</v>
      </c>
    </row>
    <row r="1636" spans="2:5" ht="15" customHeight="1">
      <c r="B1636" s="93"/>
      <c r="C1636" s="43" t="s">
        <v>155</v>
      </c>
      <c r="D1636" s="42">
        <v>5</v>
      </c>
      <c r="E1636" s="41">
        <v>2.205168915938961E-4</v>
      </c>
    </row>
    <row r="1637" spans="2:5" ht="15" customHeight="1">
      <c r="B1637" s="93"/>
      <c r="C1637" s="43" t="s">
        <v>119</v>
      </c>
      <c r="D1637" s="42">
        <v>4</v>
      </c>
      <c r="E1637" s="41">
        <v>1.7641351327511687E-4</v>
      </c>
    </row>
    <row r="1638" spans="2:5" ht="15" customHeight="1">
      <c r="B1638" s="93"/>
      <c r="C1638" s="43" t="s">
        <v>170</v>
      </c>
      <c r="D1638" s="42">
        <v>4</v>
      </c>
      <c r="E1638" s="41">
        <v>1.7641351327511687E-4</v>
      </c>
    </row>
    <row r="1639" spans="2:5" ht="15" customHeight="1">
      <c r="B1639" s="93"/>
      <c r="C1639" s="43" t="s">
        <v>154</v>
      </c>
      <c r="D1639" s="42">
        <v>2</v>
      </c>
      <c r="E1639" s="41">
        <v>8.8206756637558437E-5</v>
      </c>
    </row>
    <row r="1640" spans="2:5" ht="15" customHeight="1">
      <c r="B1640" s="93"/>
      <c r="C1640" s="43" t="s">
        <v>131</v>
      </c>
      <c r="D1640" s="42">
        <v>4</v>
      </c>
      <c r="E1640" s="41">
        <v>1.7641351327511687E-4</v>
      </c>
    </row>
    <row r="1641" spans="2:5" ht="15" customHeight="1">
      <c r="B1641" s="93"/>
      <c r="C1641" s="43" t="s">
        <v>146</v>
      </c>
      <c r="D1641" s="42">
        <v>5</v>
      </c>
      <c r="E1641" s="41">
        <v>2.205168915938961E-4</v>
      </c>
    </row>
    <row r="1642" spans="2:5" ht="15" customHeight="1">
      <c r="B1642" s="93"/>
      <c r="C1642" s="43" t="s">
        <v>167</v>
      </c>
      <c r="D1642" s="42">
        <v>1</v>
      </c>
      <c r="E1642" s="41">
        <v>4.4103378318779218E-5</v>
      </c>
    </row>
    <row r="1643" spans="2:5" ht="15" customHeight="1">
      <c r="B1643" s="93"/>
      <c r="C1643" s="43" t="s">
        <v>165</v>
      </c>
      <c r="D1643" s="42">
        <v>2</v>
      </c>
      <c r="E1643" s="41">
        <v>8.8206756637558437E-5</v>
      </c>
    </row>
    <row r="1644" spans="2:5" ht="15" customHeight="1">
      <c r="B1644" s="94"/>
      <c r="C1644" s="40" t="s">
        <v>20</v>
      </c>
      <c r="D1644" s="39">
        <v>85</v>
      </c>
      <c r="E1644" s="38">
        <v>3.7487871570962335E-3</v>
      </c>
    </row>
    <row r="1645" spans="2:5" ht="15" customHeight="1">
      <c r="B1645" s="92" t="s">
        <v>74</v>
      </c>
      <c r="C1645" s="43" t="s">
        <v>172</v>
      </c>
      <c r="D1645" s="42">
        <v>4</v>
      </c>
      <c r="E1645" s="41">
        <v>1.7641351327511687E-4</v>
      </c>
    </row>
    <row r="1646" spans="2:5" ht="15" customHeight="1">
      <c r="B1646" s="93"/>
      <c r="C1646" s="43" t="s">
        <v>159</v>
      </c>
      <c r="D1646" s="42">
        <v>1</v>
      </c>
      <c r="E1646" s="41">
        <v>4.4103378318779218E-5</v>
      </c>
    </row>
    <row r="1647" spans="2:5" ht="15" customHeight="1">
      <c r="B1647" s="93"/>
      <c r="C1647" s="43" t="s">
        <v>164</v>
      </c>
      <c r="D1647" s="42">
        <v>1</v>
      </c>
      <c r="E1647" s="41">
        <v>4.4103378318779218E-5</v>
      </c>
    </row>
    <row r="1648" spans="2:5" ht="15" customHeight="1">
      <c r="B1648" s="93"/>
      <c r="C1648" s="43" t="s">
        <v>141</v>
      </c>
      <c r="D1648" s="42">
        <v>2</v>
      </c>
      <c r="E1648" s="41">
        <v>8.8206756637558437E-5</v>
      </c>
    </row>
    <row r="1649" spans="2:5" ht="15" customHeight="1">
      <c r="B1649" s="93"/>
      <c r="C1649" s="43" t="s">
        <v>152</v>
      </c>
      <c r="D1649" s="42">
        <v>1</v>
      </c>
      <c r="E1649" s="41">
        <v>4.4103378318779218E-5</v>
      </c>
    </row>
    <row r="1650" spans="2:5" ht="15" customHeight="1">
      <c r="B1650" s="93"/>
      <c r="C1650" s="43" t="s">
        <v>169</v>
      </c>
      <c r="D1650" s="42">
        <v>1</v>
      </c>
      <c r="E1650" s="41">
        <v>4.4103378318779218E-5</v>
      </c>
    </row>
    <row r="1651" spans="2:5" ht="15" customHeight="1">
      <c r="B1651" s="93"/>
      <c r="C1651" s="43" t="s">
        <v>171</v>
      </c>
      <c r="D1651" s="42">
        <v>2</v>
      </c>
      <c r="E1651" s="41">
        <v>8.8206756637558437E-5</v>
      </c>
    </row>
    <row r="1652" spans="2:5" ht="15" customHeight="1">
      <c r="B1652" s="93"/>
      <c r="C1652" s="43" t="s">
        <v>160</v>
      </c>
      <c r="D1652" s="42">
        <v>3</v>
      </c>
      <c r="E1652" s="41">
        <v>1.3231013495633765E-4</v>
      </c>
    </row>
    <row r="1653" spans="2:5" ht="15" customHeight="1">
      <c r="B1653" s="93"/>
      <c r="C1653" s="43" t="s">
        <v>168</v>
      </c>
      <c r="D1653" s="42">
        <v>2</v>
      </c>
      <c r="E1653" s="41">
        <v>8.8206756637558437E-5</v>
      </c>
    </row>
    <row r="1654" spans="2:5" ht="15" customHeight="1">
      <c r="B1654" s="93"/>
      <c r="C1654" s="43" t="s">
        <v>170</v>
      </c>
      <c r="D1654" s="42">
        <v>1</v>
      </c>
      <c r="E1654" s="41">
        <v>4.4103378318779218E-5</v>
      </c>
    </row>
    <row r="1655" spans="2:5" ht="15" customHeight="1">
      <c r="B1655" s="93"/>
      <c r="C1655" s="43" t="s">
        <v>154</v>
      </c>
      <c r="D1655" s="42">
        <v>1</v>
      </c>
      <c r="E1655" s="41">
        <v>4.4103378318779218E-5</v>
      </c>
    </row>
    <row r="1656" spans="2:5" ht="15" customHeight="1">
      <c r="B1656" s="93"/>
      <c r="C1656" s="43" t="s">
        <v>167</v>
      </c>
      <c r="D1656" s="42">
        <v>2</v>
      </c>
      <c r="E1656" s="41">
        <v>8.8206756637558437E-5</v>
      </c>
    </row>
    <row r="1657" spans="2:5" ht="15" customHeight="1">
      <c r="B1657" s="93"/>
      <c r="C1657" s="43" t="s">
        <v>165</v>
      </c>
      <c r="D1657" s="42">
        <v>2</v>
      </c>
      <c r="E1657" s="41">
        <v>8.8206756637558437E-5</v>
      </c>
    </row>
    <row r="1658" spans="2:5" ht="15" customHeight="1">
      <c r="B1658" s="94"/>
      <c r="C1658" s="40" t="s">
        <v>20</v>
      </c>
      <c r="D1658" s="39">
        <v>23</v>
      </c>
      <c r="E1658" s="38">
        <v>1.0143777013319221E-3</v>
      </c>
    </row>
    <row r="1659" spans="2:5" ht="15" customHeight="1">
      <c r="B1659" s="92" t="s">
        <v>38</v>
      </c>
      <c r="C1659" s="43" t="s">
        <v>140</v>
      </c>
      <c r="D1659" s="42">
        <v>1</v>
      </c>
      <c r="E1659" s="41">
        <v>4.4103378318779218E-5</v>
      </c>
    </row>
    <row r="1660" spans="2:5" ht="15" customHeight="1">
      <c r="B1660" s="93"/>
      <c r="C1660" s="43" t="s">
        <v>129</v>
      </c>
      <c r="D1660" s="42">
        <v>30</v>
      </c>
      <c r="E1660" s="41">
        <v>1.3231013495633766E-3</v>
      </c>
    </row>
    <row r="1661" spans="2:5" ht="15" customHeight="1">
      <c r="B1661" s="93"/>
      <c r="C1661" s="43" t="s">
        <v>128</v>
      </c>
      <c r="D1661" s="42">
        <v>5</v>
      </c>
      <c r="E1661" s="41">
        <v>2.205168915938961E-4</v>
      </c>
    </row>
    <row r="1662" spans="2:5" ht="15" customHeight="1">
      <c r="B1662" s="93"/>
      <c r="C1662" s="43" t="s">
        <v>172</v>
      </c>
      <c r="D1662" s="42">
        <v>16</v>
      </c>
      <c r="E1662" s="41">
        <v>7.0565405310046749E-4</v>
      </c>
    </row>
    <row r="1663" spans="2:5" ht="15" customHeight="1">
      <c r="B1663" s="93"/>
      <c r="C1663" s="43" t="s">
        <v>159</v>
      </c>
      <c r="D1663" s="42">
        <v>5</v>
      </c>
      <c r="E1663" s="41">
        <v>2.205168915938961E-4</v>
      </c>
    </row>
    <row r="1664" spans="2:5" ht="15" customHeight="1">
      <c r="B1664" s="93"/>
      <c r="C1664" s="43" t="s">
        <v>157</v>
      </c>
      <c r="D1664" s="42">
        <v>1</v>
      </c>
      <c r="E1664" s="41">
        <v>4.4103378318779218E-5</v>
      </c>
    </row>
    <row r="1665" spans="2:5" ht="15" customHeight="1">
      <c r="B1665" s="93"/>
      <c r="C1665" s="43" t="s">
        <v>164</v>
      </c>
      <c r="D1665" s="42">
        <v>4</v>
      </c>
      <c r="E1665" s="41">
        <v>1.7641351327511687E-4</v>
      </c>
    </row>
    <row r="1666" spans="2:5" ht="15" customHeight="1">
      <c r="B1666" s="93"/>
      <c r="C1666" s="43" t="s">
        <v>162</v>
      </c>
      <c r="D1666" s="42">
        <v>1</v>
      </c>
      <c r="E1666" s="41">
        <v>4.4103378318779218E-5</v>
      </c>
    </row>
    <row r="1667" spans="2:5" ht="15" customHeight="1">
      <c r="B1667" s="93"/>
      <c r="C1667" s="43" t="s">
        <v>148</v>
      </c>
      <c r="D1667" s="42">
        <v>1</v>
      </c>
      <c r="E1667" s="41">
        <v>4.4103378318779218E-5</v>
      </c>
    </row>
    <row r="1668" spans="2:5" ht="15" customHeight="1">
      <c r="B1668" s="93"/>
      <c r="C1668" s="43" t="s">
        <v>153</v>
      </c>
      <c r="D1668" s="42">
        <v>1</v>
      </c>
      <c r="E1668" s="41">
        <v>4.4103378318779218E-5</v>
      </c>
    </row>
    <row r="1669" spans="2:5" ht="15" customHeight="1">
      <c r="B1669" s="93"/>
      <c r="C1669" s="43" t="s">
        <v>141</v>
      </c>
      <c r="D1669" s="42">
        <v>3</v>
      </c>
      <c r="E1669" s="41">
        <v>1.3231013495633765E-4</v>
      </c>
    </row>
    <row r="1670" spans="2:5" ht="15" customHeight="1">
      <c r="B1670" s="93"/>
      <c r="C1670" s="43" t="s">
        <v>124</v>
      </c>
      <c r="D1670" s="42">
        <v>5</v>
      </c>
      <c r="E1670" s="41">
        <v>2.205168915938961E-4</v>
      </c>
    </row>
    <row r="1671" spans="2:5" ht="15" customHeight="1">
      <c r="B1671" s="93"/>
      <c r="C1671" s="43" t="s">
        <v>125</v>
      </c>
      <c r="D1671" s="42">
        <v>1</v>
      </c>
      <c r="E1671" s="41">
        <v>4.4103378318779218E-5</v>
      </c>
    </row>
    <row r="1672" spans="2:5" ht="15" customHeight="1">
      <c r="B1672" s="93"/>
      <c r="C1672" s="43" t="s">
        <v>130</v>
      </c>
      <c r="D1672" s="42">
        <v>2</v>
      </c>
      <c r="E1672" s="41">
        <v>8.8206756637558437E-5</v>
      </c>
    </row>
    <row r="1673" spans="2:5" ht="15" customHeight="1">
      <c r="B1673" s="93"/>
      <c r="C1673" s="43" t="s">
        <v>133</v>
      </c>
      <c r="D1673" s="42">
        <v>1</v>
      </c>
      <c r="E1673" s="41">
        <v>4.4103378318779218E-5</v>
      </c>
    </row>
    <row r="1674" spans="2:5" ht="15" customHeight="1">
      <c r="B1674" s="93"/>
      <c r="C1674" s="43" t="s">
        <v>163</v>
      </c>
      <c r="D1674" s="42">
        <v>1</v>
      </c>
      <c r="E1674" s="41">
        <v>4.4103378318779218E-5</v>
      </c>
    </row>
    <row r="1675" spans="2:5" ht="15" customHeight="1">
      <c r="B1675" s="93"/>
      <c r="C1675" s="43" t="s">
        <v>137</v>
      </c>
      <c r="D1675" s="42">
        <v>1</v>
      </c>
      <c r="E1675" s="41">
        <v>4.4103378318779218E-5</v>
      </c>
    </row>
    <row r="1676" spans="2:5" ht="15" customHeight="1">
      <c r="B1676" s="93"/>
      <c r="C1676" s="43" t="s">
        <v>161</v>
      </c>
      <c r="D1676" s="42">
        <v>21</v>
      </c>
      <c r="E1676" s="41">
        <v>9.2617094469436357E-4</v>
      </c>
    </row>
    <row r="1677" spans="2:5" ht="15" customHeight="1">
      <c r="B1677" s="93"/>
      <c r="C1677" s="43" t="s">
        <v>169</v>
      </c>
      <c r="D1677" s="42">
        <v>2</v>
      </c>
      <c r="E1677" s="41">
        <v>8.8206756637558437E-5</v>
      </c>
    </row>
    <row r="1678" spans="2:5" ht="15" customHeight="1">
      <c r="B1678" s="93"/>
      <c r="C1678" s="43" t="s">
        <v>171</v>
      </c>
      <c r="D1678" s="42">
        <v>7</v>
      </c>
      <c r="E1678" s="41">
        <v>3.0872364823145452E-4</v>
      </c>
    </row>
    <row r="1679" spans="2:5" ht="15" customHeight="1">
      <c r="B1679" s="93"/>
      <c r="C1679" s="43" t="s">
        <v>168</v>
      </c>
      <c r="D1679" s="42">
        <v>1</v>
      </c>
      <c r="E1679" s="41">
        <v>4.4103378318779218E-5</v>
      </c>
    </row>
    <row r="1680" spans="2:5" ht="15" customHeight="1">
      <c r="B1680" s="93"/>
      <c r="C1680" s="43" t="s">
        <v>149</v>
      </c>
      <c r="D1680" s="42">
        <v>1</v>
      </c>
      <c r="E1680" s="41">
        <v>4.4103378318779218E-5</v>
      </c>
    </row>
    <row r="1681" spans="2:5" ht="15" customHeight="1">
      <c r="B1681" s="93"/>
      <c r="C1681" s="43" t="s">
        <v>144</v>
      </c>
      <c r="D1681" s="42">
        <v>3</v>
      </c>
      <c r="E1681" s="41">
        <v>1.3231013495633765E-4</v>
      </c>
    </row>
    <row r="1682" spans="2:5" ht="15" customHeight="1">
      <c r="B1682" s="93"/>
      <c r="C1682" s="43" t="s">
        <v>150</v>
      </c>
      <c r="D1682" s="42">
        <v>1</v>
      </c>
      <c r="E1682" s="41">
        <v>4.4103378318779218E-5</v>
      </c>
    </row>
    <row r="1683" spans="2:5" ht="15" customHeight="1">
      <c r="B1683" s="93"/>
      <c r="C1683" s="43" t="s">
        <v>138</v>
      </c>
      <c r="D1683" s="42">
        <v>4</v>
      </c>
      <c r="E1683" s="41">
        <v>1.7641351327511687E-4</v>
      </c>
    </row>
    <row r="1684" spans="2:5" ht="15" customHeight="1">
      <c r="B1684" s="93"/>
      <c r="C1684" s="43" t="s">
        <v>155</v>
      </c>
      <c r="D1684" s="42">
        <v>1</v>
      </c>
      <c r="E1684" s="41">
        <v>4.4103378318779218E-5</v>
      </c>
    </row>
    <row r="1685" spans="2:5" ht="15" customHeight="1">
      <c r="B1685" s="93"/>
      <c r="C1685" s="43" t="s">
        <v>170</v>
      </c>
      <c r="D1685" s="42">
        <v>6</v>
      </c>
      <c r="E1685" s="41">
        <v>2.646202699126753E-4</v>
      </c>
    </row>
    <row r="1686" spans="2:5" ht="15" customHeight="1">
      <c r="B1686" s="93"/>
      <c r="C1686" s="43" t="s">
        <v>154</v>
      </c>
      <c r="D1686" s="42">
        <v>17</v>
      </c>
      <c r="E1686" s="41">
        <v>7.4975743141924667E-4</v>
      </c>
    </row>
    <row r="1687" spans="2:5" ht="15" customHeight="1">
      <c r="B1687" s="93"/>
      <c r="C1687" s="43" t="s">
        <v>131</v>
      </c>
      <c r="D1687" s="42">
        <v>1</v>
      </c>
      <c r="E1687" s="41">
        <v>4.4103378318779218E-5</v>
      </c>
    </row>
    <row r="1688" spans="2:5" ht="15" customHeight="1">
      <c r="B1688" s="93"/>
      <c r="C1688" s="43" t="s">
        <v>147</v>
      </c>
      <c r="D1688" s="42">
        <v>4</v>
      </c>
      <c r="E1688" s="41">
        <v>1.7641351327511687E-4</v>
      </c>
    </row>
    <row r="1689" spans="2:5" ht="15" customHeight="1">
      <c r="B1689" s="93"/>
      <c r="C1689" s="43" t="s">
        <v>167</v>
      </c>
      <c r="D1689" s="42">
        <v>2</v>
      </c>
      <c r="E1689" s="41">
        <v>8.8206756637558437E-5</v>
      </c>
    </row>
    <row r="1690" spans="2:5" ht="15" customHeight="1">
      <c r="B1690" s="93"/>
      <c r="C1690" s="43" t="s">
        <v>165</v>
      </c>
      <c r="D1690" s="42">
        <v>5</v>
      </c>
      <c r="E1690" s="41">
        <v>2.205168915938961E-4</v>
      </c>
    </row>
    <row r="1691" spans="2:5" ht="15" customHeight="1">
      <c r="B1691" s="94"/>
      <c r="C1691" s="40" t="s">
        <v>20</v>
      </c>
      <c r="D1691" s="39">
        <v>155</v>
      </c>
      <c r="E1691" s="38">
        <v>6.8360236394107788E-3</v>
      </c>
    </row>
    <row r="1692" spans="2:5" ht="15" customHeight="1">
      <c r="B1692" s="92" t="s">
        <v>71</v>
      </c>
      <c r="C1692" s="43" t="s">
        <v>151</v>
      </c>
      <c r="D1692" s="42">
        <v>1</v>
      </c>
      <c r="E1692" s="41">
        <v>4.4103378318779218E-5</v>
      </c>
    </row>
    <row r="1693" spans="2:5" ht="15" customHeight="1">
      <c r="B1693" s="93"/>
      <c r="C1693" s="43" t="s">
        <v>162</v>
      </c>
      <c r="D1693" s="42">
        <v>1</v>
      </c>
      <c r="E1693" s="41">
        <v>4.4103378318779218E-5</v>
      </c>
    </row>
    <row r="1694" spans="2:5" ht="15" customHeight="1">
      <c r="B1694" s="93"/>
      <c r="C1694" s="43" t="s">
        <v>148</v>
      </c>
      <c r="D1694" s="42">
        <v>4</v>
      </c>
      <c r="E1694" s="41">
        <v>1.7641351327511687E-4</v>
      </c>
    </row>
    <row r="1695" spans="2:5" ht="15" customHeight="1">
      <c r="B1695" s="93"/>
      <c r="C1695" s="43" t="s">
        <v>141</v>
      </c>
      <c r="D1695" s="42">
        <v>1</v>
      </c>
      <c r="E1695" s="41">
        <v>4.4103378318779218E-5</v>
      </c>
    </row>
    <row r="1696" spans="2:5" ht="15" customHeight="1">
      <c r="B1696" s="93"/>
      <c r="C1696" s="43" t="s">
        <v>152</v>
      </c>
      <c r="D1696" s="42">
        <v>1</v>
      </c>
      <c r="E1696" s="41">
        <v>4.4103378318779218E-5</v>
      </c>
    </row>
    <row r="1697" spans="2:5" ht="15" customHeight="1">
      <c r="B1697" s="93"/>
      <c r="C1697" s="43" t="s">
        <v>133</v>
      </c>
      <c r="D1697" s="42">
        <v>1</v>
      </c>
      <c r="E1697" s="41">
        <v>4.4103378318779218E-5</v>
      </c>
    </row>
    <row r="1698" spans="2:5" ht="15" customHeight="1">
      <c r="B1698" s="93"/>
      <c r="C1698" s="43" t="s">
        <v>163</v>
      </c>
      <c r="D1698" s="42">
        <v>1</v>
      </c>
      <c r="E1698" s="41">
        <v>4.4103378318779218E-5</v>
      </c>
    </row>
    <row r="1699" spans="2:5" ht="15" customHeight="1">
      <c r="B1699" s="93"/>
      <c r="C1699" s="43" t="s">
        <v>168</v>
      </c>
      <c r="D1699" s="42">
        <v>4</v>
      </c>
      <c r="E1699" s="41">
        <v>1.7641351327511687E-4</v>
      </c>
    </row>
    <row r="1700" spans="2:5" ht="15" customHeight="1">
      <c r="B1700" s="93"/>
      <c r="C1700" s="43" t="s">
        <v>149</v>
      </c>
      <c r="D1700" s="42">
        <v>1</v>
      </c>
      <c r="E1700" s="41">
        <v>4.4103378318779218E-5</v>
      </c>
    </row>
    <row r="1701" spans="2:5" ht="15" customHeight="1">
      <c r="B1701" s="93"/>
      <c r="C1701" s="43" t="s">
        <v>167</v>
      </c>
      <c r="D1701" s="42">
        <v>1</v>
      </c>
      <c r="E1701" s="41">
        <v>4.4103378318779218E-5</v>
      </c>
    </row>
    <row r="1702" spans="2:5" ht="15" customHeight="1">
      <c r="B1702" s="94"/>
      <c r="C1702" s="40" t="s">
        <v>20</v>
      </c>
      <c r="D1702" s="39">
        <v>16</v>
      </c>
      <c r="E1702" s="38">
        <v>7.0565405310046749E-4</v>
      </c>
    </row>
    <row r="1703" spans="2:5" ht="15" customHeight="1">
      <c r="B1703" s="96" t="s">
        <v>210</v>
      </c>
      <c r="C1703" s="97"/>
      <c r="D1703" s="68">
        <v>22674</v>
      </c>
      <c r="E1703" s="69">
        <v>1</v>
      </c>
    </row>
    <row r="1705" spans="2:5" ht="15" customHeight="1">
      <c r="B1705" s="19" t="s">
        <v>255</v>
      </c>
    </row>
    <row r="1706" spans="2:5" ht="15" customHeight="1">
      <c r="B1706" s="21" t="s">
        <v>19</v>
      </c>
    </row>
    <row r="1707" spans="2:5" ht="15" customHeight="1">
      <c r="B1707" s="20" t="s">
        <v>18</v>
      </c>
    </row>
    <row r="1708" spans="2:5" ht="15" customHeight="1">
      <c r="B1708" s="19" t="s">
        <v>17</v>
      </c>
    </row>
    <row r="1709" spans="2:5" ht="15" customHeight="1">
      <c r="B1709" s="19" t="s">
        <v>256</v>
      </c>
    </row>
  </sheetData>
  <mergeCells count="51">
    <mergeCell ref="B1703:C1703"/>
    <mergeCell ref="B1569:B1614"/>
    <mergeCell ref="B1615:B1644"/>
    <mergeCell ref="B1645:B1658"/>
    <mergeCell ref="B1659:B1691"/>
    <mergeCell ref="B1692:B1702"/>
    <mergeCell ref="B643:B651"/>
    <mergeCell ref="B652:B701"/>
    <mergeCell ref="B702:B747"/>
    <mergeCell ref="B748:B803"/>
    <mergeCell ref="B804:B834"/>
    <mergeCell ref="B7:E8"/>
    <mergeCell ref="B10:B40"/>
    <mergeCell ref="B41:B87"/>
    <mergeCell ref="B88:B135"/>
    <mergeCell ref="B136:B174"/>
    <mergeCell ref="B175:B181"/>
    <mergeCell ref="B182:B192"/>
    <mergeCell ref="B193:B195"/>
    <mergeCell ref="B196:B252"/>
    <mergeCell ref="B253:B309"/>
    <mergeCell ref="B310:B317"/>
    <mergeCell ref="B318:B366"/>
    <mergeCell ref="B509:B564"/>
    <mergeCell ref="B565:B604"/>
    <mergeCell ref="B605:B642"/>
    <mergeCell ref="B367:B401"/>
    <mergeCell ref="B402:B403"/>
    <mergeCell ref="B404:B436"/>
    <mergeCell ref="B437:B455"/>
    <mergeCell ref="B456:B508"/>
    <mergeCell ref="B835:B859"/>
    <mergeCell ref="B860:B901"/>
    <mergeCell ref="B902:B904"/>
    <mergeCell ref="B1268:B1305"/>
    <mergeCell ref="B1306:B1348"/>
    <mergeCell ref="B905:B940"/>
    <mergeCell ref="B941:B965"/>
    <mergeCell ref="B966:B1011"/>
    <mergeCell ref="B1012:B1052"/>
    <mergeCell ref="B1053:B1093"/>
    <mergeCell ref="B1094:B1139"/>
    <mergeCell ref="B1140:B1168"/>
    <mergeCell ref="B1169:B1176"/>
    <mergeCell ref="B1177:B1224"/>
    <mergeCell ref="B1225:B1267"/>
    <mergeCell ref="B1349:B1391"/>
    <mergeCell ref="B1392:B1443"/>
    <mergeCell ref="B1444:B1477"/>
    <mergeCell ref="B1478:B1524"/>
    <mergeCell ref="B1525:B1568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7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43"/>
  <sheetViews>
    <sheetView showGridLines="0" topLeftCell="A13" zoomScaleNormal="100" zoomScaleSheetLayoutView="115" workbookViewId="0">
      <selection activeCell="F31" sqref="F31"/>
    </sheetView>
  </sheetViews>
  <sheetFormatPr baseColWidth="10" defaultColWidth="11.42578125" defaultRowHeight="15"/>
  <cols>
    <col min="1" max="1" width="9.28515625" style="17" customWidth="1"/>
    <col min="2" max="2" width="25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5" s="29" customFormat="1" ht="15" customHeight="1">
      <c r="C1" s="35"/>
    </row>
    <row r="2" spans="1:5" s="29" customFormat="1" ht="15" customHeight="1">
      <c r="C2" s="35"/>
    </row>
    <row r="3" spans="1:5" s="29" customFormat="1" ht="15" customHeight="1">
      <c r="A3" s="29" t="s">
        <v>67</v>
      </c>
      <c r="C3" s="35"/>
    </row>
    <row r="4" spans="1:5" s="29" customFormat="1" ht="30" customHeight="1">
      <c r="C4" s="35"/>
      <c r="D4" s="34"/>
    </row>
    <row r="5" spans="1:5" s="29" customFormat="1" ht="15" customHeight="1">
      <c r="C5" s="35"/>
      <c r="D5" s="34"/>
    </row>
    <row r="6" spans="1:5" s="29" customFormat="1" ht="15" customHeight="1">
      <c r="C6" s="35"/>
      <c r="D6" s="34"/>
    </row>
    <row r="7" spans="1:5" s="29" customFormat="1" ht="15" customHeight="1">
      <c r="B7" s="91" t="s">
        <v>261</v>
      </c>
      <c r="C7" s="91"/>
      <c r="D7" s="91"/>
    </row>
    <row r="8" spans="1:5" s="29" customFormat="1" ht="15" customHeight="1">
      <c r="B8" s="91"/>
      <c r="C8" s="91"/>
      <c r="D8" s="91"/>
    </row>
    <row r="9" spans="1:5" s="29" customFormat="1" ht="33" customHeight="1">
      <c r="B9" s="91"/>
      <c r="C9" s="91"/>
      <c r="D9" s="91"/>
    </row>
    <row r="10" spans="1:5" s="29" customFormat="1" ht="4.5" customHeight="1">
      <c r="B10" s="33"/>
      <c r="C10" s="33"/>
      <c r="D10" s="33"/>
    </row>
    <row r="11" spans="1:5" s="29" customFormat="1" ht="33" customHeight="1">
      <c r="B11" s="32" t="s">
        <v>201</v>
      </c>
      <c r="C11" s="31" t="s">
        <v>200</v>
      </c>
      <c r="D11" s="30" t="s">
        <v>64</v>
      </c>
    </row>
    <row r="12" spans="1:5">
      <c r="B12" s="27" t="s">
        <v>199</v>
      </c>
      <c r="C12" s="26">
        <v>266</v>
      </c>
      <c r="D12" s="25">
        <f t="shared" ref="D12:D36" si="0">C12/$C$36</f>
        <v>1.1731498632795273E-2</v>
      </c>
    </row>
    <row r="13" spans="1:5">
      <c r="B13" s="27" t="s">
        <v>198</v>
      </c>
      <c r="C13" s="26">
        <v>106</v>
      </c>
      <c r="D13" s="25">
        <f t="shared" si="0"/>
        <v>4.6749581017905975E-3</v>
      </c>
    </row>
    <row r="14" spans="1:5">
      <c r="B14" s="27" t="s">
        <v>197</v>
      </c>
      <c r="C14" s="26">
        <v>209</v>
      </c>
      <c r="D14" s="25">
        <f t="shared" si="0"/>
        <v>9.2176060686248572E-3</v>
      </c>
      <c r="E14" s="28"/>
    </row>
    <row r="15" spans="1:5">
      <c r="B15" s="27" t="s">
        <v>196</v>
      </c>
      <c r="C15" s="26">
        <v>453</v>
      </c>
      <c r="D15" s="25">
        <f t="shared" si="0"/>
        <v>1.9978830378406986E-2</v>
      </c>
      <c r="E15" s="28"/>
    </row>
    <row r="16" spans="1:5">
      <c r="B16" s="27" t="s">
        <v>195</v>
      </c>
      <c r="C16" s="26">
        <v>369</v>
      </c>
      <c r="D16" s="25">
        <f t="shared" si="0"/>
        <v>1.6274146599629533E-2</v>
      </c>
    </row>
    <row r="17" spans="2:4">
      <c r="B17" s="27" t="s">
        <v>194</v>
      </c>
      <c r="C17" s="26">
        <v>500</v>
      </c>
      <c r="D17" s="25">
        <f t="shared" si="0"/>
        <v>2.2051689159389608E-2</v>
      </c>
    </row>
    <row r="18" spans="2:4">
      <c r="B18" s="27" t="s">
        <v>193</v>
      </c>
      <c r="C18" s="26">
        <v>2321</v>
      </c>
      <c r="D18" s="25">
        <f t="shared" si="0"/>
        <v>0.10236394107788657</v>
      </c>
    </row>
    <row r="19" spans="2:4" ht="15" customHeight="1">
      <c r="B19" s="27" t="s">
        <v>192</v>
      </c>
      <c r="C19" s="26">
        <v>4180</v>
      </c>
      <c r="D19" s="25">
        <f t="shared" si="0"/>
        <v>0.18435212137249712</v>
      </c>
    </row>
    <row r="20" spans="2:4">
      <c r="B20" s="27" t="s">
        <v>191</v>
      </c>
      <c r="C20" s="26">
        <v>268</v>
      </c>
      <c r="D20" s="25">
        <f t="shared" si="0"/>
        <v>1.1819705389432831E-2</v>
      </c>
    </row>
    <row r="21" spans="2:4">
      <c r="B21" s="27" t="s">
        <v>190</v>
      </c>
      <c r="C21" s="26">
        <v>561</v>
      </c>
      <c r="D21" s="25">
        <f t="shared" si="0"/>
        <v>2.4741995236835141E-2</v>
      </c>
    </row>
    <row r="22" spans="2:4">
      <c r="B22" s="27" t="s">
        <v>189</v>
      </c>
      <c r="C22" s="26">
        <v>880</v>
      </c>
      <c r="D22" s="25">
        <f t="shared" si="0"/>
        <v>3.881097292052571E-2</v>
      </c>
    </row>
    <row r="23" spans="2:4" ht="15" customHeight="1">
      <c r="B23" s="27" t="s">
        <v>188</v>
      </c>
      <c r="C23" s="26">
        <v>7253</v>
      </c>
      <c r="D23" s="25">
        <f t="shared" si="0"/>
        <v>0.31988180294610569</v>
      </c>
    </row>
    <row r="24" spans="2:4">
      <c r="B24" s="27" t="s">
        <v>187</v>
      </c>
      <c r="C24" s="26">
        <v>230</v>
      </c>
      <c r="D24" s="25">
        <f t="shared" si="0"/>
        <v>1.014377701331922E-2</v>
      </c>
    </row>
    <row r="25" spans="2:4" ht="15" customHeight="1">
      <c r="B25" s="27" t="s">
        <v>186</v>
      </c>
      <c r="C25" s="26">
        <v>1083</v>
      </c>
      <c r="D25" s="25">
        <f t="shared" si="0"/>
        <v>4.7763958719237894E-2</v>
      </c>
    </row>
    <row r="26" spans="2:4" ht="15" customHeight="1">
      <c r="B26" s="27" t="s">
        <v>185</v>
      </c>
      <c r="C26" s="26">
        <v>3194</v>
      </c>
      <c r="D26" s="25">
        <f t="shared" si="0"/>
        <v>0.14086619035018083</v>
      </c>
    </row>
    <row r="27" spans="2:4">
      <c r="B27" s="27" t="s">
        <v>184</v>
      </c>
      <c r="C27" s="26">
        <v>44</v>
      </c>
      <c r="D27" s="25">
        <f t="shared" si="0"/>
        <v>1.9405486460262857E-3</v>
      </c>
    </row>
    <row r="28" spans="2:4">
      <c r="B28" s="27" t="s">
        <v>183</v>
      </c>
      <c r="C28" s="26">
        <v>40</v>
      </c>
      <c r="D28" s="25">
        <f t="shared" si="0"/>
        <v>1.7641351327511688E-3</v>
      </c>
    </row>
    <row r="29" spans="2:4">
      <c r="B29" s="27" t="s">
        <v>182</v>
      </c>
      <c r="C29" s="26">
        <v>25</v>
      </c>
      <c r="D29" s="25">
        <f t="shared" si="0"/>
        <v>1.1025844579694805E-3</v>
      </c>
    </row>
    <row r="30" spans="2:4">
      <c r="B30" s="27" t="s">
        <v>181</v>
      </c>
      <c r="C30" s="26">
        <v>25</v>
      </c>
      <c r="D30" s="25">
        <f t="shared" si="0"/>
        <v>1.1025844579694805E-3</v>
      </c>
    </row>
    <row r="31" spans="2:4">
      <c r="B31" s="27" t="s">
        <v>180</v>
      </c>
      <c r="C31" s="26">
        <v>193</v>
      </c>
      <c r="D31" s="25">
        <f t="shared" si="0"/>
        <v>8.5119520155243888E-3</v>
      </c>
    </row>
    <row r="32" spans="2:4">
      <c r="B32" s="27" t="s">
        <v>179</v>
      </c>
      <c r="C32" s="26">
        <v>414</v>
      </c>
      <c r="D32" s="25">
        <f t="shared" si="0"/>
        <v>1.8258798623974597E-2</v>
      </c>
    </row>
    <row r="33" spans="1:4">
      <c r="B33" s="27" t="s">
        <v>178</v>
      </c>
      <c r="C33" s="26">
        <v>26</v>
      </c>
      <c r="D33" s="25">
        <f t="shared" si="0"/>
        <v>1.1466878362882597E-3</v>
      </c>
    </row>
    <row r="34" spans="1:4">
      <c r="B34" s="27" t="s">
        <v>177</v>
      </c>
      <c r="C34" s="26">
        <v>28</v>
      </c>
      <c r="D34" s="25">
        <f t="shared" si="0"/>
        <v>1.2348945929258181E-3</v>
      </c>
    </row>
    <row r="35" spans="1:4">
      <c r="B35" s="27" t="s">
        <v>176</v>
      </c>
      <c r="C35" s="26">
        <v>6</v>
      </c>
      <c r="D35" s="25">
        <f t="shared" si="0"/>
        <v>2.646202699126753E-4</v>
      </c>
    </row>
    <row r="36" spans="1:4">
      <c r="B36" s="24" t="s">
        <v>20</v>
      </c>
      <c r="C36" s="23">
        <v>22674</v>
      </c>
      <c r="D36" s="22">
        <f t="shared" si="0"/>
        <v>1</v>
      </c>
    </row>
    <row r="38" spans="1:4">
      <c r="B38" s="72" t="s">
        <v>255</v>
      </c>
    </row>
    <row r="39" spans="1:4">
      <c r="B39" s="72" t="s">
        <v>19</v>
      </c>
    </row>
    <row r="40" spans="1:4">
      <c r="B40" s="72" t="s">
        <v>18</v>
      </c>
    </row>
    <row r="41" spans="1:4">
      <c r="B41" s="72" t="s">
        <v>17</v>
      </c>
    </row>
    <row r="42" spans="1:4">
      <c r="B42" s="72" t="s">
        <v>256</v>
      </c>
    </row>
    <row r="43" spans="1:4">
      <c r="A43" s="56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693"/>
  <sheetViews>
    <sheetView showGridLines="0" topLeftCell="A663" zoomScaleNormal="100" zoomScaleSheetLayoutView="85" workbookViewId="0">
      <selection activeCell="C14" sqref="C14"/>
    </sheetView>
  </sheetViews>
  <sheetFormatPr baseColWidth="10" defaultColWidth="35" defaultRowHeight="15" customHeight="1"/>
  <cols>
    <col min="1" max="1" width="1" style="36" customWidth="1"/>
    <col min="2" max="2" width="22.85546875" style="37" customWidth="1"/>
    <col min="3" max="3" width="31.42578125" style="37" customWidth="1"/>
    <col min="4" max="4" width="14.28515625" style="37" customWidth="1"/>
    <col min="5" max="5" width="16.85546875" style="37" customWidth="1"/>
    <col min="6" max="16384" width="35" style="36"/>
  </cols>
  <sheetData>
    <row r="1" spans="1:5" s="51" customFormat="1" ht="12" customHeight="1">
      <c r="B1" s="55"/>
      <c r="C1" s="54"/>
      <c r="D1" s="54"/>
      <c r="E1" s="54"/>
    </row>
    <row r="2" spans="1:5" s="51" customFormat="1" ht="15" customHeight="1">
      <c r="C2" s="53"/>
    </row>
    <row r="3" spans="1:5" s="51" customFormat="1" ht="15" customHeight="1">
      <c r="C3" s="53"/>
    </row>
    <row r="4" spans="1:5" s="51" customFormat="1" ht="30" customHeight="1">
      <c r="C4" s="53"/>
      <c r="D4" s="52"/>
    </row>
    <row r="5" spans="1:5" s="51" customFormat="1" ht="15" customHeight="1">
      <c r="C5" s="53"/>
      <c r="D5" s="52"/>
    </row>
    <row r="6" spans="1:5" s="47" customFormat="1" ht="24" customHeight="1">
      <c r="B6" s="50"/>
      <c r="C6" s="49"/>
      <c r="D6" s="49"/>
      <c r="E6" s="49"/>
    </row>
    <row r="7" spans="1:5" s="47" customFormat="1" ht="26.25" customHeight="1">
      <c r="A7" s="48"/>
      <c r="B7" s="95"/>
      <c r="C7" s="95"/>
      <c r="D7" s="95"/>
      <c r="E7" s="95"/>
    </row>
    <row r="8" spans="1:5" s="47" customFormat="1" ht="33" customHeight="1">
      <c r="A8" s="48"/>
      <c r="B8" s="95"/>
      <c r="C8" s="95"/>
      <c r="D8" s="95"/>
      <c r="E8" s="95"/>
    </row>
    <row r="9" spans="1:5" s="29" customFormat="1" ht="40.5" customHeight="1">
      <c r="B9" s="44" t="s">
        <v>202</v>
      </c>
      <c r="C9" s="46" t="s">
        <v>175</v>
      </c>
      <c r="D9" s="45" t="s">
        <v>65</v>
      </c>
      <c r="E9" s="44" t="s">
        <v>64</v>
      </c>
    </row>
    <row r="10" spans="1:5" ht="15" customHeight="1">
      <c r="B10" s="92" t="s">
        <v>199</v>
      </c>
      <c r="C10" s="43" t="s">
        <v>34</v>
      </c>
      <c r="D10" s="42">
        <v>1</v>
      </c>
      <c r="E10" s="41">
        <v>4.4103378318779218E-5</v>
      </c>
    </row>
    <row r="11" spans="1:5" ht="15" customHeight="1">
      <c r="B11" s="93"/>
      <c r="C11" s="43" t="s">
        <v>49</v>
      </c>
      <c r="D11" s="42">
        <v>6</v>
      </c>
      <c r="E11" s="41">
        <v>2.646202699126753E-4</v>
      </c>
    </row>
    <row r="12" spans="1:5" ht="15" customHeight="1">
      <c r="B12" s="93"/>
      <c r="C12" s="43" t="s">
        <v>52</v>
      </c>
      <c r="D12" s="42">
        <v>2</v>
      </c>
      <c r="E12" s="41">
        <v>8.8206756637558437E-5</v>
      </c>
    </row>
    <row r="13" spans="1:5" ht="15" customHeight="1">
      <c r="B13" s="93"/>
      <c r="C13" s="43" t="s">
        <v>62</v>
      </c>
      <c r="D13" s="42">
        <v>98</v>
      </c>
      <c r="E13" s="41">
        <v>4.3221310752403633E-3</v>
      </c>
    </row>
    <row r="14" spans="1:5" ht="15" customHeight="1">
      <c r="B14" s="93"/>
      <c r="C14" s="43" t="s">
        <v>60</v>
      </c>
      <c r="D14" s="42">
        <v>10</v>
      </c>
      <c r="E14" s="41">
        <v>4.410337831877922E-4</v>
      </c>
    </row>
    <row r="15" spans="1:5" ht="15" customHeight="1">
      <c r="B15" s="93"/>
      <c r="C15" s="43" t="s">
        <v>54</v>
      </c>
      <c r="D15" s="42">
        <v>4</v>
      </c>
      <c r="E15" s="41">
        <v>1.7641351327511687E-4</v>
      </c>
    </row>
    <row r="16" spans="1:5" ht="15" customHeight="1">
      <c r="B16" s="93"/>
      <c r="C16" s="43" t="s">
        <v>57</v>
      </c>
      <c r="D16" s="42">
        <v>5</v>
      </c>
      <c r="E16" s="41">
        <v>2.205168915938961E-4</v>
      </c>
    </row>
    <row r="17" spans="2:5" ht="15" customHeight="1">
      <c r="B17" s="93"/>
      <c r="C17" s="43" t="s">
        <v>45</v>
      </c>
      <c r="D17" s="42">
        <v>4</v>
      </c>
      <c r="E17" s="41">
        <v>1.7641351327511687E-4</v>
      </c>
    </row>
    <row r="18" spans="2:5" ht="15" customHeight="1">
      <c r="B18" s="93"/>
      <c r="C18" s="43" t="s">
        <v>61</v>
      </c>
      <c r="D18" s="42">
        <v>17</v>
      </c>
      <c r="E18" s="41">
        <v>7.4975743141924667E-4</v>
      </c>
    </row>
    <row r="19" spans="2:5" ht="15" customHeight="1">
      <c r="B19" s="93"/>
      <c r="C19" s="43" t="s">
        <v>50</v>
      </c>
      <c r="D19" s="42">
        <v>1</v>
      </c>
      <c r="E19" s="41">
        <v>4.4103378318779218E-5</v>
      </c>
    </row>
    <row r="20" spans="2:5" ht="15" customHeight="1">
      <c r="B20" s="93"/>
      <c r="C20" s="43" t="s">
        <v>42</v>
      </c>
      <c r="D20" s="42">
        <v>1</v>
      </c>
      <c r="E20" s="41">
        <v>4.4103378318779218E-5</v>
      </c>
    </row>
    <row r="21" spans="2:5" ht="15" customHeight="1">
      <c r="B21" s="93"/>
      <c r="C21" s="43" t="s">
        <v>56</v>
      </c>
      <c r="D21" s="42">
        <v>5</v>
      </c>
      <c r="E21" s="41">
        <v>2.205168915938961E-4</v>
      </c>
    </row>
    <row r="22" spans="2:5" ht="15" customHeight="1">
      <c r="B22" s="93"/>
      <c r="C22" s="43" t="s">
        <v>36</v>
      </c>
      <c r="D22" s="42">
        <v>1</v>
      </c>
      <c r="E22" s="41">
        <v>4.4103378318779218E-5</v>
      </c>
    </row>
    <row r="23" spans="2:5" ht="15" customHeight="1">
      <c r="B23" s="93"/>
      <c r="C23" s="43" t="s">
        <v>46</v>
      </c>
      <c r="D23" s="42">
        <v>3</v>
      </c>
      <c r="E23" s="41">
        <v>1.3231013495633765E-4</v>
      </c>
    </row>
    <row r="24" spans="2:5" ht="15" customHeight="1">
      <c r="B24" s="93"/>
      <c r="C24" s="43" t="s">
        <v>41</v>
      </c>
      <c r="D24" s="42">
        <v>1</v>
      </c>
      <c r="E24" s="41">
        <v>4.4103378318779218E-5</v>
      </c>
    </row>
    <row r="25" spans="2:5" ht="15" customHeight="1">
      <c r="B25" s="93"/>
      <c r="C25" s="43" t="s">
        <v>32</v>
      </c>
      <c r="D25" s="42">
        <v>1</v>
      </c>
      <c r="E25" s="41">
        <v>4.4103378318779218E-5</v>
      </c>
    </row>
    <row r="26" spans="2:5" ht="15" customHeight="1">
      <c r="B26" s="93"/>
      <c r="C26" s="43" t="s">
        <v>37</v>
      </c>
      <c r="D26" s="42">
        <v>1</v>
      </c>
      <c r="E26" s="41">
        <v>4.4103378318779218E-5</v>
      </c>
    </row>
    <row r="27" spans="2:5" ht="15" customHeight="1">
      <c r="B27" s="93"/>
      <c r="C27" s="43" t="s">
        <v>58</v>
      </c>
      <c r="D27" s="42">
        <v>7</v>
      </c>
      <c r="E27" s="41">
        <v>3.0872364823145452E-4</v>
      </c>
    </row>
    <row r="28" spans="2:5" ht="15" customHeight="1">
      <c r="B28" s="93"/>
      <c r="C28" s="43" t="s">
        <v>47</v>
      </c>
      <c r="D28" s="42">
        <v>3</v>
      </c>
      <c r="E28" s="41">
        <v>1.3231013495633765E-4</v>
      </c>
    </row>
    <row r="29" spans="2:5" ht="15" customHeight="1">
      <c r="B29" s="93"/>
      <c r="C29" s="43" t="s">
        <v>27</v>
      </c>
      <c r="D29" s="42">
        <v>2</v>
      </c>
      <c r="E29" s="41">
        <v>8.8206756637558437E-5</v>
      </c>
    </row>
    <row r="30" spans="2:5" ht="15" customHeight="1">
      <c r="B30" s="93"/>
      <c r="C30" s="43" t="s">
        <v>51</v>
      </c>
      <c r="D30" s="42">
        <v>6</v>
      </c>
      <c r="E30" s="41">
        <v>2.646202699126753E-4</v>
      </c>
    </row>
    <row r="31" spans="2:5" ht="15" customHeight="1">
      <c r="B31" s="93"/>
      <c r="C31" s="43" t="s">
        <v>35</v>
      </c>
      <c r="D31" s="42">
        <v>1</v>
      </c>
      <c r="E31" s="41">
        <v>4.4103378318779218E-5</v>
      </c>
    </row>
    <row r="32" spans="2:5" ht="15" customHeight="1">
      <c r="B32" s="93"/>
      <c r="C32" s="43" t="s">
        <v>59</v>
      </c>
      <c r="D32" s="42">
        <v>3</v>
      </c>
      <c r="E32" s="41">
        <v>1.3231013495633765E-4</v>
      </c>
    </row>
    <row r="33" spans="2:5" ht="15" customHeight="1">
      <c r="B33" s="93"/>
      <c r="C33" s="43" t="s">
        <v>40</v>
      </c>
      <c r="D33" s="42">
        <v>1</v>
      </c>
      <c r="E33" s="41">
        <v>4.4103378318779218E-5</v>
      </c>
    </row>
    <row r="34" spans="2:5" ht="15" customHeight="1">
      <c r="B34" s="93"/>
      <c r="C34" s="43" t="s">
        <v>33</v>
      </c>
      <c r="D34" s="42">
        <v>2</v>
      </c>
      <c r="E34" s="41">
        <v>8.8206756637558437E-5</v>
      </c>
    </row>
    <row r="35" spans="2:5" ht="15" customHeight="1">
      <c r="B35" s="93"/>
      <c r="C35" s="43" t="s">
        <v>53</v>
      </c>
      <c r="D35" s="42">
        <v>2</v>
      </c>
      <c r="E35" s="41">
        <v>8.8206756637558437E-5</v>
      </c>
    </row>
    <row r="36" spans="2:5" ht="15" customHeight="1">
      <c r="B36" s="93"/>
      <c r="C36" s="43" t="s">
        <v>63</v>
      </c>
      <c r="D36" s="42">
        <v>66</v>
      </c>
      <c r="E36" s="41">
        <v>2.9108229690394285E-3</v>
      </c>
    </row>
    <row r="37" spans="2:5" ht="15" customHeight="1">
      <c r="B37" s="93"/>
      <c r="C37" s="43" t="s">
        <v>48</v>
      </c>
      <c r="D37" s="42">
        <v>1</v>
      </c>
      <c r="E37" s="41">
        <v>4.4103378318779218E-5</v>
      </c>
    </row>
    <row r="38" spans="2:5" ht="15" customHeight="1">
      <c r="B38" s="93"/>
      <c r="C38" s="43" t="s">
        <v>44</v>
      </c>
      <c r="D38" s="42">
        <v>4</v>
      </c>
      <c r="E38" s="41">
        <v>1.7641351327511687E-4</v>
      </c>
    </row>
    <row r="39" spans="2:5" ht="15" customHeight="1">
      <c r="B39" s="93"/>
      <c r="C39" s="43" t="s">
        <v>38</v>
      </c>
      <c r="D39" s="42">
        <v>3</v>
      </c>
      <c r="E39" s="41">
        <v>1.3231013495633765E-4</v>
      </c>
    </row>
    <row r="40" spans="2:5" ht="15" customHeight="1">
      <c r="B40" s="93"/>
      <c r="C40" s="43" t="s">
        <v>55</v>
      </c>
      <c r="D40" s="42">
        <v>3</v>
      </c>
      <c r="E40" s="41">
        <v>1.3231013495633765E-4</v>
      </c>
    </row>
    <row r="41" spans="2:5" ht="15" customHeight="1">
      <c r="B41" s="93"/>
      <c r="C41" s="43" t="s">
        <v>29</v>
      </c>
      <c r="D41" s="42">
        <v>1</v>
      </c>
      <c r="E41" s="41">
        <v>4.4103378318779218E-5</v>
      </c>
    </row>
    <row r="42" spans="2:5" ht="15" customHeight="1">
      <c r="B42" s="94"/>
      <c r="C42" s="40" t="s">
        <v>20</v>
      </c>
      <c r="D42" s="39">
        <v>266</v>
      </c>
      <c r="E42" s="38">
        <v>1.1731498632795273E-2</v>
      </c>
    </row>
    <row r="43" spans="2:5" ht="15" customHeight="1">
      <c r="B43" s="92" t="s">
        <v>198</v>
      </c>
      <c r="C43" s="43" t="s">
        <v>34</v>
      </c>
      <c r="D43" s="42">
        <v>1</v>
      </c>
      <c r="E43" s="41">
        <v>4.4103378318779218E-5</v>
      </c>
    </row>
    <row r="44" spans="2:5" ht="15" customHeight="1">
      <c r="B44" s="93"/>
      <c r="C44" s="43" t="s">
        <v>49</v>
      </c>
      <c r="D44" s="42">
        <v>6</v>
      </c>
      <c r="E44" s="41">
        <v>2.646202699126753E-4</v>
      </c>
    </row>
    <row r="45" spans="2:5" ht="15" customHeight="1">
      <c r="B45" s="93"/>
      <c r="C45" s="43" t="s">
        <v>52</v>
      </c>
      <c r="D45" s="42">
        <v>2</v>
      </c>
      <c r="E45" s="41">
        <v>8.8206756637558437E-5</v>
      </c>
    </row>
    <row r="46" spans="2:5" ht="15" customHeight="1">
      <c r="B46" s="93"/>
      <c r="C46" s="43" t="s">
        <v>62</v>
      </c>
      <c r="D46" s="42">
        <v>32</v>
      </c>
      <c r="E46" s="41">
        <v>1.411308106200935E-3</v>
      </c>
    </row>
    <row r="47" spans="2:5" ht="15" customHeight="1">
      <c r="B47" s="93"/>
      <c r="C47" s="43" t="s">
        <v>60</v>
      </c>
      <c r="D47" s="42">
        <v>8</v>
      </c>
      <c r="E47" s="41">
        <v>3.5282702655023375E-4</v>
      </c>
    </row>
    <row r="48" spans="2:5" ht="15" customHeight="1">
      <c r="B48" s="93"/>
      <c r="C48" s="43" t="s">
        <v>54</v>
      </c>
      <c r="D48" s="42">
        <v>3</v>
      </c>
      <c r="E48" s="41">
        <v>1.3231013495633765E-4</v>
      </c>
    </row>
    <row r="49" spans="2:5" ht="15" customHeight="1">
      <c r="B49" s="93"/>
      <c r="C49" s="43" t="s">
        <v>57</v>
      </c>
      <c r="D49" s="42">
        <v>3</v>
      </c>
      <c r="E49" s="41">
        <v>1.3231013495633765E-4</v>
      </c>
    </row>
    <row r="50" spans="2:5" ht="15" customHeight="1">
      <c r="B50" s="93"/>
      <c r="C50" s="43" t="s">
        <v>61</v>
      </c>
      <c r="D50" s="42">
        <v>4</v>
      </c>
      <c r="E50" s="41">
        <v>1.7641351327511687E-4</v>
      </c>
    </row>
    <row r="51" spans="2:5" ht="15" customHeight="1">
      <c r="B51" s="93"/>
      <c r="C51" s="43" t="s">
        <v>42</v>
      </c>
      <c r="D51" s="42">
        <v>3</v>
      </c>
      <c r="E51" s="41">
        <v>1.3231013495633765E-4</v>
      </c>
    </row>
    <row r="52" spans="2:5" ht="15" customHeight="1">
      <c r="B52" s="93"/>
      <c r="C52" s="43" t="s">
        <v>43</v>
      </c>
      <c r="D52" s="42">
        <v>2</v>
      </c>
      <c r="E52" s="41">
        <v>8.8206756637558437E-5</v>
      </c>
    </row>
    <row r="53" spans="2:5" ht="15" customHeight="1">
      <c r="B53" s="93"/>
      <c r="C53" s="43" t="s">
        <v>46</v>
      </c>
      <c r="D53" s="42">
        <v>1</v>
      </c>
      <c r="E53" s="41">
        <v>4.4103378318779218E-5</v>
      </c>
    </row>
    <row r="54" spans="2:5" ht="15" customHeight="1">
      <c r="B54" s="93"/>
      <c r="C54" s="43" t="s">
        <v>251</v>
      </c>
      <c r="D54" s="42">
        <v>1</v>
      </c>
      <c r="E54" s="41">
        <v>4.4103378318779218E-5</v>
      </c>
    </row>
    <row r="55" spans="2:5" ht="15" customHeight="1">
      <c r="B55" s="93"/>
      <c r="C55" s="43" t="s">
        <v>47</v>
      </c>
      <c r="D55" s="42">
        <v>2</v>
      </c>
      <c r="E55" s="41">
        <v>8.8206756637558437E-5</v>
      </c>
    </row>
    <row r="56" spans="2:5" ht="15" customHeight="1">
      <c r="B56" s="93"/>
      <c r="C56" s="43" t="s">
        <v>27</v>
      </c>
      <c r="D56" s="42">
        <v>1</v>
      </c>
      <c r="E56" s="41">
        <v>4.4103378318779218E-5</v>
      </c>
    </row>
    <row r="57" spans="2:5" ht="15" customHeight="1">
      <c r="B57" s="93"/>
      <c r="C57" s="43" t="s">
        <v>51</v>
      </c>
      <c r="D57" s="42">
        <v>5</v>
      </c>
      <c r="E57" s="41">
        <v>2.205168915938961E-4</v>
      </c>
    </row>
    <row r="58" spans="2:5" ht="15" customHeight="1">
      <c r="B58" s="93"/>
      <c r="C58" s="43" t="s">
        <v>35</v>
      </c>
      <c r="D58" s="42">
        <v>1</v>
      </c>
      <c r="E58" s="41">
        <v>4.4103378318779218E-5</v>
      </c>
    </row>
    <row r="59" spans="2:5" ht="15" customHeight="1">
      <c r="B59" s="93"/>
      <c r="C59" s="43" t="s">
        <v>59</v>
      </c>
      <c r="D59" s="42">
        <v>3</v>
      </c>
      <c r="E59" s="41">
        <v>1.3231013495633765E-4</v>
      </c>
    </row>
    <row r="60" spans="2:5" ht="15" customHeight="1">
      <c r="B60" s="93"/>
      <c r="C60" s="43" t="s">
        <v>40</v>
      </c>
      <c r="D60" s="42">
        <v>1</v>
      </c>
      <c r="E60" s="41">
        <v>4.4103378318779218E-5</v>
      </c>
    </row>
    <row r="61" spans="2:5" ht="15" customHeight="1">
      <c r="B61" s="93"/>
      <c r="C61" s="43" t="s">
        <v>33</v>
      </c>
      <c r="D61" s="42">
        <v>2</v>
      </c>
      <c r="E61" s="41">
        <v>8.8206756637558437E-5</v>
      </c>
    </row>
    <row r="62" spans="2:5" ht="15" customHeight="1">
      <c r="B62" s="93"/>
      <c r="C62" s="43" t="s">
        <v>53</v>
      </c>
      <c r="D62" s="42">
        <v>1</v>
      </c>
      <c r="E62" s="41">
        <v>4.4103378318779218E-5</v>
      </c>
    </row>
    <row r="63" spans="2:5" ht="15" customHeight="1">
      <c r="B63" s="93"/>
      <c r="C63" s="43" t="s">
        <v>63</v>
      </c>
      <c r="D63" s="42">
        <v>22</v>
      </c>
      <c r="E63" s="41">
        <v>9.7027432301314285E-4</v>
      </c>
    </row>
    <row r="64" spans="2:5" ht="15" customHeight="1">
      <c r="B64" s="93"/>
      <c r="C64" s="43" t="s">
        <v>44</v>
      </c>
      <c r="D64" s="42">
        <v>1</v>
      </c>
      <c r="E64" s="41">
        <v>4.4103378318779218E-5</v>
      </c>
    </row>
    <row r="65" spans="2:5" ht="15" customHeight="1">
      <c r="B65" s="93"/>
      <c r="C65" s="43" t="s">
        <v>55</v>
      </c>
      <c r="D65" s="42">
        <v>1</v>
      </c>
      <c r="E65" s="41">
        <v>4.4103378318779218E-5</v>
      </c>
    </row>
    <row r="66" spans="2:5" ht="15" customHeight="1">
      <c r="B66" s="94"/>
      <c r="C66" s="40" t="s">
        <v>20</v>
      </c>
      <c r="D66" s="39">
        <v>106</v>
      </c>
      <c r="E66" s="38">
        <v>4.6749581017905975E-3</v>
      </c>
    </row>
    <row r="67" spans="2:5" ht="15" customHeight="1">
      <c r="B67" s="92" t="s">
        <v>197</v>
      </c>
      <c r="C67" s="43" t="s">
        <v>49</v>
      </c>
      <c r="D67" s="42">
        <v>9</v>
      </c>
      <c r="E67" s="41">
        <v>3.9693040486901297E-4</v>
      </c>
    </row>
    <row r="68" spans="2:5" ht="15" customHeight="1">
      <c r="B68" s="93"/>
      <c r="C68" s="43" t="s">
        <v>62</v>
      </c>
      <c r="D68" s="42">
        <v>62</v>
      </c>
      <c r="E68" s="41">
        <v>2.7344094557643114E-3</v>
      </c>
    </row>
    <row r="69" spans="2:5" ht="15" customHeight="1">
      <c r="B69" s="93"/>
      <c r="C69" s="43" t="s">
        <v>60</v>
      </c>
      <c r="D69" s="42">
        <v>13</v>
      </c>
      <c r="E69" s="41">
        <v>5.7334391814412987E-4</v>
      </c>
    </row>
    <row r="70" spans="2:5" ht="15" customHeight="1">
      <c r="B70" s="93"/>
      <c r="C70" s="43" t="s">
        <v>26</v>
      </c>
      <c r="D70" s="42">
        <v>1</v>
      </c>
      <c r="E70" s="41">
        <v>4.4103378318779218E-5</v>
      </c>
    </row>
    <row r="71" spans="2:5" ht="15" customHeight="1">
      <c r="B71" s="93"/>
      <c r="C71" s="43" t="s">
        <v>54</v>
      </c>
      <c r="D71" s="42">
        <v>1</v>
      </c>
      <c r="E71" s="41">
        <v>4.4103378318779218E-5</v>
      </c>
    </row>
    <row r="72" spans="2:5" ht="15" customHeight="1">
      <c r="B72" s="93"/>
      <c r="C72" s="43" t="s">
        <v>57</v>
      </c>
      <c r="D72" s="42">
        <v>3</v>
      </c>
      <c r="E72" s="41">
        <v>1.3231013495633765E-4</v>
      </c>
    </row>
    <row r="73" spans="2:5" ht="15" customHeight="1">
      <c r="B73" s="93"/>
      <c r="C73" s="43" t="s">
        <v>45</v>
      </c>
      <c r="D73" s="42">
        <v>4</v>
      </c>
      <c r="E73" s="41">
        <v>1.7641351327511687E-4</v>
      </c>
    </row>
    <row r="74" spans="2:5" ht="15" customHeight="1">
      <c r="B74" s="93"/>
      <c r="C74" s="43" t="s">
        <v>61</v>
      </c>
      <c r="D74" s="42">
        <v>20</v>
      </c>
      <c r="E74" s="41">
        <v>8.820675663755844E-4</v>
      </c>
    </row>
    <row r="75" spans="2:5" ht="15" customHeight="1">
      <c r="B75" s="93"/>
      <c r="C75" s="43" t="s">
        <v>50</v>
      </c>
      <c r="D75" s="42">
        <v>1</v>
      </c>
      <c r="E75" s="41">
        <v>4.4103378318779218E-5</v>
      </c>
    </row>
    <row r="76" spans="2:5" ht="15" customHeight="1">
      <c r="B76" s="93"/>
      <c r="C76" s="43" t="s">
        <v>56</v>
      </c>
      <c r="D76" s="42">
        <v>1</v>
      </c>
      <c r="E76" s="41">
        <v>4.4103378318779218E-5</v>
      </c>
    </row>
    <row r="77" spans="2:5" ht="15" customHeight="1">
      <c r="B77" s="93"/>
      <c r="C77" s="43" t="s">
        <v>46</v>
      </c>
      <c r="D77" s="42">
        <v>8</v>
      </c>
      <c r="E77" s="41">
        <v>3.5282702655023375E-4</v>
      </c>
    </row>
    <row r="78" spans="2:5" ht="15" customHeight="1">
      <c r="B78" s="93"/>
      <c r="C78" s="43" t="s">
        <v>32</v>
      </c>
      <c r="D78" s="42">
        <v>1</v>
      </c>
      <c r="E78" s="41">
        <v>4.4103378318779218E-5</v>
      </c>
    </row>
    <row r="79" spans="2:5" ht="15" customHeight="1">
      <c r="B79" s="93"/>
      <c r="C79" s="43" t="s">
        <v>251</v>
      </c>
      <c r="D79" s="42">
        <v>1</v>
      </c>
      <c r="E79" s="41">
        <v>4.4103378318779218E-5</v>
      </c>
    </row>
    <row r="80" spans="2:5" ht="15" customHeight="1">
      <c r="B80" s="93"/>
      <c r="C80" s="43" t="s">
        <v>37</v>
      </c>
      <c r="D80" s="42">
        <v>1</v>
      </c>
      <c r="E80" s="41">
        <v>4.4103378318779218E-5</v>
      </c>
    </row>
    <row r="81" spans="2:5" ht="15" customHeight="1">
      <c r="B81" s="93"/>
      <c r="C81" s="43" t="s">
        <v>58</v>
      </c>
      <c r="D81" s="42">
        <v>4</v>
      </c>
      <c r="E81" s="41">
        <v>1.7641351327511687E-4</v>
      </c>
    </row>
    <row r="82" spans="2:5" ht="15" customHeight="1">
      <c r="B82" s="93"/>
      <c r="C82" s="43" t="s">
        <v>47</v>
      </c>
      <c r="D82" s="42">
        <v>2</v>
      </c>
      <c r="E82" s="41">
        <v>8.8206756637558437E-5</v>
      </c>
    </row>
    <row r="83" spans="2:5" ht="15" customHeight="1">
      <c r="B83" s="93"/>
      <c r="C83" s="43" t="s">
        <v>51</v>
      </c>
      <c r="D83" s="42">
        <v>5</v>
      </c>
      <c r="E83" s="41">
        <v>2.205168915938961E-4</v>
      </c>
    </row>
    <row r="84" spans="2:5" ht="15" customHeight="1">
      <c r="B84" s="93"/>
      <c r="C84" s="43" t="s">
        <v>35</v>
      </c>
      <c r="D84" s="42">
        <v>2</v>
      </c>
      <c r="E84" s="41">
        <v>8.8206756637558437E-5</v>
      </c>
    </row>
    <row r="85" spans="2:5" ht="15" customHeight="1">
      <c r="B85" s="93"/>
      <c r="C85" s="43" t="s">
        <v>59</v>
      </c>
      <c r="D85" s="42">
        <v>3</v>
      </c>
      <c r="E85" s="41">
        <v>1.3231013495633765E-4</v>
      </c>
    </row>
    <row r="86" spans="2:5" ht="15" customHeight="1">
      <c r="B86" s="93"/>
      <c r="C86" s="43" t="s">
        <v>40</v>
      </c>
      <c r="D86" s="42">
        <v>1</v>
      </c>
      <c r="E86" s="41">
        <v>4.4103378318779218E-5</v>
      </c>
    </row>
    <row r="87" spans="2:5" ht="15" customHeight="1">
      <c r="B87" s="93"/>
      <c r="C87" s="43" t="s">
        <v>63</v>
      </c>
      <c r="D87" s="42">
        <v>55</v>
      </c>
      <c r="E87" s="41">
        <v>2.4256858075328569E-3</v>
      </c>
    </row>
    <row r="88" spans="2:5" ht="15" customHeight="1">
      <c r="B88" s="93"/>
      <c r="C88" s="43" t="s">
        <v>48</v>
      </c>
      <c r="D88" s="42">
        <v>1</v>
      </c>
      <c r="E88" s="41">
        <v>4.4103378318779218E-5</v>
      </c>
    </row>
    <row r="89" spans="2:5" ht="15" customHeight="1">
      <c r="B89" s="93"/>
      <c r="C89" s="43" t="s">
        <v>44</v>
      </c>
      <c r="D89" s="42">
        <v>2</v>
      </c>
      <c r="E89" s="41">
        <v>8.8206756637558437E-5</v>
      </c>
    </row>
    <row r="90" spans="2:5" ht="15" customHeight="1">
      <c r="B90" s="93"/>
      <c r="C90" s="43" t="s">
        <v>38</v>
      </c>
      <c r="D90" s="42">
        <v>3</v>
      </c>
      <c r="E90" s="41">
        <v>1.3231013495633765E-4</v>
      </c>
    </row>
    <row r="91" spans="2:5" ht="15" customHeight="1">
      <c r="B91" s="93"/>
      <c r="C91" s="43" t="s">
        <v>55</v>
      </c>
      <c r="D91" s="42">
        <v>5</v>
      </c>
      <c r="E91" s="41">
        <v>2.205168915938961E-4</v>
      </c>
    </row>
    <row r="92" spans="2:5" ht="15" customHeight="1">
      <c r="B92" s="94"/>
      <c r="C92" s="40" t="s">
        <v>20</v>
      </c>
      <c r="D92" s="39">
        <v>209</v>
      </c>
      <c r="E92" s="38">
        <v>9.2176060686248572E-3</v>
      </c>
    </row>
    <row r="93" spans="2:5" ht="15" customHeight="1">
      <c r="B93" s="92" t="s">
        <v>196</v>
      </c>
      <c r="C93" s="43" t="s">
        <v>34</v>
      </c>
      <c r="D93" s="42">
        <v>1</v>
      </c>
      <c r="E93" s="41">
        <v>4.4103378318779218E-5</v>
      </c>
    </row>
    <row r="94" spans="2:5" ht="15" customHeight="1">
      <c r="B94" s="93"/>
      <c r="C94" s="43" t="s">
        <v>49</v>
      </c>
      <c r="D94" s="42">
        <v>15</v>
      </c>
      <c r="E94" s="41">
        <v>6.6155067478168832E-4</v>
      </c>
    </row>
    <row r="95" spans="2:5" ht="15" customHeight="1">
      <c r="B95" s="93"/>
      <c r="C95" s="43" t="s">
        <v>52</v>
      </c>
      <c r="D95" s="42">
        <v>3</v>
      </c>
      <c r="E95" s="41">
        <v>1.3231013495633765E-4</v>
      </c>
    </row>
    <row r="96" spans="2:5" ht="15" customHeight="1">
      <c r="B96" s="93"/>
      <c r="C96" s="43" t="s">
        <v>62</v>
      </c>
      <c r="D96" s="42">
        <v>132</v>
      </c>
      <c r="E96" s="41">
        <v>5.8216459380788571E-3</v>
      </c>
    </row>
    <row r="97" spans="2:5" ht="15" customHeight="1">
      <c r="B97" s="93"/>
      <c r="C97" s="43" t="s">
        <v>60</v>
      </c>
      <c r="D97" s="42">
        <v>24</v>
      </c>
      <c r="E97" s="41">
        <v>1.0584810796507012E-3</v>
      </c>
    </row>
    <row r="98" spans="2:5" ht="15" customHeight="1">
      <c r="B98" s="93"/>
      <c r="C98" s="43" t="s">
        <v>54</v>
      </c>
      <c r="D98" s="42">
        <v>7</v>
      </c>
      <c r="E98" s="41">
        <v>3.0872364823145452E-4</v>
      </c>
    </row>
    <row r="99" spans="2:5" ht="15" customHeight="1">
      <c r="B99" s="93"/>
      <c r="C99" s="43" t="s">
        <v>57</v>
      </c>
      <c r="D99" s="42">
        <v>8</v>
      </c>
      <c r="E99" s="41">
        <v>3.5282702655023375E-4</v>
      </c>
    </row>
    <row r="100" spans="2:5" ht="15" customHeight="1">
      <c r="B100" s="93"/>
      <c r="C100" s="43" t="s">
        <v>45</v>
      </c>
      <c r="D100" s="42">
        <v>5</v>
      </c>
      <c r="E100" s="41">
        <v>2.205168915938961E-4</v>
      </c>
    </row>
    <row r="101" spans="2:5" ht="15" customHeight="1">
      <c r="B101" s="93"/>
      <c r="C101" s="43" t="s">
        <v>61</v>
      </c>
      <c r="D101" s="42">
        <v>27</v>
      </c>
      <c r="E101" s="41">
        <v>1.1907912146070388E-3</v>
      </c>
    </row>
    <row r="102" spans="2:5" ht="15" customHeight="1">
      <c r="B102" s="93"/>
      <c r="C102" s="43" t="s">
        <v>50</v>
      </c>
      <c r="D102" s="42">
        <v>5</v>
      </c>
      <c r="E102" s="41">
        <v>2.205168915938961E-4</v>
      </c>
    </row>
    <row r="103" spans="2:5" ht="15" customHeight="1">
      <c r="B103" s="93"/>
      <c r="C103" s="43" t="s">
        <v>42</v>
      </c>
      <c r="D103" s="42">
        <v>7</v>
      </c>
      <c r="E103" s="41">
        <v>3.0872364823145452E-4</v>
      </c>
    </row>
    <row r="104" spans="2:5" ht="15" customHeight="1">
      <c r="B104" s="93"/>
      <c r="C104" s="43" t="s">
        <v>56</v>
      </c>
      <c r="D104" s="42">
        <v>7</v>
      </c>
      <c r="E104" s="41">
        <v>3.0872364823145452E-4</v>
      </c>
    </row>
    <row r="105" spans="2:5" ht="15" customHeight="1">
      <c r="B105" s="93"/>
      <c r="C105" s="43" t="s">
        <v>43</v>
      </c>
      <c r="D105" s="42">
        <v>4</v>
      </c>
      <c r="E105" s="41">
        <v>1.7641351327511687E-4</v>
      </c>
    </row>
    <row r="106" spans="2:5" ht="15" customHeight="1">
      <c r="B106" s="93"/>
      <c r="C106" s="43" t="s">
        <v>46</v>
      </c>
      <c r="D106" s="42">
        <v>4</v>
      </c>
      <c r="E106" s="41">
        <v>1.7641351327511687E-4</v>
      </c>
    </row>
    <row r="107" spans="2:5" ht="15" customHeight="1">
      <c r="B107" s="93"/>
      <c r="C107" s="43" t="s">
        <v>32</v>
      </c>
      <c r="D107" s="42">
        <v>2</v>
      </c>
      <c r="E107" s="41">
        <v>8.8206756637558437E-5</v>
      </c>
    </row>
    <row r="108" spans="2:5" ht="15" customHeight="1">
      <c r="B108" s="93"/>
      <c r="C108" s="43" t="s">
        <v>39</v>
      </c>
      <c r="D108" s="42">
        <v>1</v>
      </c>
      <c r="E108" s="41">
        <v>4.4103378318779218E-5</v>
      </c>
    </row>
    <row r="109" spans="2:5" ht="15" customHeight="1">
      <c r="B109" s="93"/>
      <c r="C109" s="43" t="s">
        <v>37</v>
      </c>
      <c r="D109" s="42">
        <v>3</v>
      </c>
      <c r="E109" s="41">
        <v>1.3231013495633765E-4</v>
      </c>
    </row>
    <row r="110" spans="2:5" ht="15" customHeight="1">
      <c r="B110" s="93"/>
      <c r="C110" s="43" t="s">
        <v>58</v>
      </c>
      <c r="D110" s="42">
        <v>13</v>
      </c>
      <c r="E110" s="41">
        <v>5.7334391814412987E-4</v>
      </c>
    </row>
    <row r="111" spans="2:5" ht="15" customHeight="1">
      <c r="B111" s="93"/>
      <c r="C111" s="43" t="s">
        <v>24</v>
      </c>
      <c r="D111" s="42">
        <v>2</v>
      </c>
      <c r="E111" s="41">
        <v>8.8206756637558437E-5</v>
      </c>
    </row>
    <row r="112" spans="2:5" ht="15" customHeight="1">
      <c r="B112" s="93"/>
      <c r="C112" s="43" t="s">
        <v>47</v>
      </c>
      <c r="D112" s="42">
        <v>5</v>
      </c>
      <c r="E112" s="41">
        <v>2.205168915938961E-4</v>
      </c>
    </row>
    <row r="113" spans="2:5" ht="15" customHeight="1">
      <c r="B113" s="93"/>
      <c r="C113" s="43" t="s">
        <v>51</v>
      </c>
      <c r="D113" s="42">
        <v>15</v>
      </c>
      <c r="E113" s="41">
        <v>6.6155067478168832E-4</v>
      </c>
    </row>
    <row r="114" spans="2:5" ht="15" customHeight="1">
      <c r="B114" s="93"/>
      <c r="C114" s="43" t="s">
        <v>35</v>
      </c>
      <c r="D114" s="42">
        <v>1</v>
      </c>
      <c r="E114" s="41">
        <v>4.4103378318779218E-5</v>
      </c>
    </row>
    <row r="115" spans="2:5" ht="15" customHeight="1">
      <c r="B115" s="93"/>
      <c r="C115" s="43" t="s">
        <v>59</v>
      </c>
      <c r="D115" s="42">
        <v>6</v>
      </c>
      <c r="E115" s="41">
        <v>2.646202699126753E-4</v>
      </c>
    </row>
    <row r="116" spans="2:5" ht="15" customHeight="1">
      <c r="B116" s="93"/>
      <c r="C116" s="43" t="s">
        <v>40</v>
      </c>
      <c r="D116" s="42">
        <v>3</v>
      </c>
      <c r="E116" s="41">
        <v>1.3231013495633765E-4</v>
      </c>
    </row>
    <row r="117" spans="2:5" ht="15" customHeight="1">
      <c r="B117" s="93"/>
      <c r="C117" s="43" t="s">
        <v>33</v>
      </c>
      <c r="D117" s="42">
        <v>2</v>
      </c>
      <c r="E117" s="41">
        <v>8.8206756637558437E-5</v>
      </c>
    </row>
    <row r="118" spans="2:5" ht="15" customHeight="1">
      <c r="B118" s="93"/>
      <c r="C118" s="43" t="s">
        <v>53</v>
      </c>
      <c r="D118" s="42">
        <v>3</v>
      </c>
      <c r="E118" s="41">
        <v>1.3231013495633765E-4</v>
      </c>
    </row>
    <row r="119" spans="2:5" ht="15" customHeight="1">
      <c r="B119" s="93"/>
      <c r="C119" s="43" t="s">
        <v>63</v>
      </c>
      <c r="D119" s="42">
        <v>135</v>
      </c>
      <c r="E119" s="41">
        <v>5.9539560730351949E-3</v>
      </c>
    </row>
    <row r="120" spans="2:5" ht="15" customHeight="1">
      <c r="B120" s="93"/>
      <c r="C120" s="43" t="s">
        <v>48</v>
      </c>
      <c r="D120" s="42">
        <v>7</v>
      </c>
      <c r="E120" s="41">
        <v>3.0872364823145452E-4</v>
      </c>
    </row>
    <row r="121" spans="2:5" ht="15" customHeight="1">
      <c r="B121" s="93"/>
      <c r="C121" s="43" t="s">
        <v>44</v>
      </c>
      <c r="D121" s="42">
        <v>1</v>
      </c>
      <c r="E121" s="41">
        <v>4.4103378318779218E-5</v>
      </c>
    </row>
    <row r="122" spans="2:5" ht="15" customHeight="1">
      <c r="B122" s="93"/>
      <c r="C122" s="43" t="s">
        <v>38</v>
      </c>
      <c r="D122" s="42">
        <v>2</v>
      </c>
      <c r="E122" s="41">
        <v>8.8206756637558437E-5</v>
      </c>
    </row>
    <row r="123" spans="2:5" ht="15" customHeight="1">
      <c r="B123" s="93"/>
      <c r="C123" s="43" t="s">
        <v>55</v>
      </c>
      <c r="D123" s="42">
        <v>3</v>
      </c>
      <c r="E123" s="41">
        <v>1.3231013495633765E-4</v>
      </c>
    </row>
    <row r="124" spans="2:5" ht="15" customHeight="1">
      <c r="B124" s="94"/>
      <c r="C124" s="40" t="s">
        <v>20</v>
      </c>
      <c r="D124" s="39">
        <v>453</v>
      </c>
      <c r="E124" s="38">
        <v>1.9978830378406986E-2</v>
      </c>
    </row>
    <row r="125" spans="2:5" ht="15" customHeight="1">
      <c r="B125" s="92" t="s">
        <v>195</v>
      </c>
      <c r="C125" s="43" t="s">
        <v>34</v>
      </c>
      <c r="D125" s="42">
        <v>1</v>
      </c>
      <c r="E125" s="41">
        <v>4.4103378318779218E-5</v>
      </c>
    </row>
    <row r="126" spans="2:5" ht="15" customHeight="1">
      <c r="B126" s="93"/>
      <c r="C126" s="43" t="s">
        <v>49</v>
      </c>
      <c r="D126" s="42">
        <v>9</v>
      </c>
      <c r="E126" s="41">
        <v>3.9693040486901297E-4</v>
      </c>
    </row>
    <row r="127" spans="2:5" ht="15" customHeight="1">
      <c r="B127" s="93"/>
      <c r="C127" s="43" t="s">
        <v>52</v>
      </c>
      <c r="D127" s="42">
        <v>6</v>
      </c>
      <c r="E127" s="41">
        <v>2.646202699126753E-4</v>
      </c>
    </row>
    <row r="128" spans="2:5" ht="15" customHeight="1">
      <c r="B128" s="93"/>
      <c r="C128" s="43" t="s">
        <v>62</v>
      </c>
      <c r="D128" s="42">
        <v>100</v>
      </c>
      <c r="E128" s="41">
        <v>4.4103378318779219E-3</v>
      </c>
    </row>
    <row r="129" spans="2:5" ht="15" customHeight="1">
      <c r="B129" s="93"/>
      <c r="C129" s="43" t="s">
        <v>60</v>
      </c>
      <c r="D129" s="42">
        <v>8</v>
      </c>
      <c r="E129" s="41">
        <v>3.5282702655023375E-4</v>
      </c>
    </row>
    <row r="130" spans="2:5" ht="15" customHeight="1">
      <c r="B130" s="93"/>
      <c r="C130" s="43" t="s">
        <v>54</v>
      </c>
      <c r="D130" s="42">
        <v>10</v>
      </c>
      <c r="E130" s="41">
        <v>4.410337831877922E-4</v>
      </c>
    </row>
    <row r="131" spans="2:5" ht="15" customHeight="1">
      <c r="B131" s="93"/>
      <c r="C131" s="43" t="s">
        <v>57</v>
      </c>
      <c r="D131" s="42">
        <v>7</v>
      </c>
      <c r="E131" s="41">
        <v>3.0872364823145452E-4</v>
      </c>
    </row>
    <row r="132" spans="2:5" ht="15" customHeight="1">
      <c r="B132" s="93"/>
      <c r="C132" s="43" t="s">
        <v>45</v>
      </c>
      <c r="D132" s="42">
        <v>7</v>
      </c>
      <c r="E132" s="41">
        <v>3.0872364823145452E-4</v>
      </c>
    </row>
    <row r="133" spans="2:5" ht="15" customHeight="1">
      <c r="B133" s="93"/>
      <c r="C133" s="43" t="s">
        <v>61</v>
      </c>
      <c r="D133" s="42">
        <v>25</v>
      </c>
      <c r="E133" s="41">
        <v>1.1025844579694805E-3</v>
      </c>
    </row>
    <row r="134" spans="2:5" ht="15" customHeight="1">
      <c r="B134" s="93"/>
      <c r="C134" s="43" t="s">
        <v>50</v>
      </c>
      <c r="D134" s="42">
        <v>10</v>
      </c>
      <c r="E134" s="41">
        <v>4.410337831877922E-4</v>
      </c>
    </row>
    <row r="135" spans="2:5" ht="15" customHeight="1">
      <c r="B135" s="93"/>
      <c r="C135" s="43" t="s">
        <v>42</v>
      </c>
      <c r="D135" s="42">
        <v>5</v>
      </c>
      <c r="E135" s="41">
        <v>2.205168915938961E-4</v>
      </c>
    </row>
    <row r="136" spans="2:5" ht="15" customHeight="1">
      <c r="B136" s="93"/>
      <c r="C136" s="43" t="s">
        <v>56</v>
      </c>
      <c r="D136" s="42">
        <v>8</v>
      </c>
      <c r="E136" s="41">
        <v>3.5282702655023375E-4</v>
      </c>
    </row>
    <row r="137" spans="2:5" ht="15" customHeight="1">
      <c r="B137" s="93"/>
      <c r="C137" s="43" t="s">
        <v>43</v>
      </c>
      <c r="D137" s="42">
        <v>3</v>
      </c>
      <c r="E137" s="41">
        <v>1.3231013495633765E-4</v>
      </c>
    </row>
    <row r="138" spans="2:5" ht="15" customHeight="1">
      <c r="B138" s="93"/>
      <c r="C138" s="43" t="s">
        <v>46</v>
      </c>
      <c r="D138" s="42">
        <v>3</v>
      </c>
      <c r="E138" s="41">
        <v>1.3231013495633765E-4</v>
      </c>
    </row>
    <row r="139" spans="2:5" ht="15" customHeight="1">
      <c r="B139" s="93"/>
      <c r="C139" s="43" t="s">
        <v>41</v>
      </c>
      <c r="D139" s="42">
        <v>1</v>
      </c>
      <c r="E139" s="41">
        <v>4.4103378318779218E-5</v>
      </c>
    </row>
    <row r="140" spans="2:5" ht="15" customHeight="1">
      <c r="B140" s="93"/>
      <c r="C140" s="43" t="s">
        <v>32</v>
      </c>
      <c r="D140" s="42">
        <v>1</v>
      </c>
      <c r="E140" s="41">
        <v>4.4103378318779218E-5</v>
      </c>
    </row>
    <row r="141" spans="2:5" ht="15" customHeight="1">
      <c r="B141" s="93"/>
      <c r="C141" s="43" t="s">
        <v>39</v>
      </c>
      <c r="D141" s="42">
        <v>2</v>
      </c>
      <c r="E141" s="41">
        <v>8.8206756637558437E-5</v>
      </c>
    </row>
    <row r="142" spans="2:5" ht="15" customHeight="1">
      <c r="B142" s="93"/>
      <c r="C142" s="43" t="s">
        <v>251</v>
      </c>
      <c r="D142" s="42">
        <v>1</v>
      </c>
      <c r="E142" s="41">
        <v>4.4103378318779218E-5</v>
      </c>
    </row>
    <row r="143" spans="2:5" ht="15" customHeight="1">
      <c r="B143" s="93"/>
      <c r="C143" s="43" t="s">
        <v>37</v>
      </c>
      <c r="D143" s="42">
        <v>1</v>
      </c>
      <c r="E143" s="41">
        <v>4.4103378318779218E-5</v>
      </c>
    </row>
    <row r="144" spans="2:5" ht="15" customHeight="1">
      <c r="B144" s="93"/>
      <c r="C144" s="43" t="s">
        <v>58</v>
      </c>
      <c r="D144" s="42">
        <v>5</v>
      </c>
      <c r="E144" s="41">
        <v>2.205168915938961E-4</v>
      </c>
    </row>
    <row r="145" spans="2:5" ht="15" customHeight="1">
      <c r="B145" s="93"/>
      <c r="C145" s="43" t="s">
        <v>30</v>
      </c>
      <c r="D145" s="42">
        <v>3</v>
      </c>
      <c r="E145" s="41">
        <v>1.3231013495633765E-4</v>
      </c>
    </row>
    <row r="146" spans="2:5" ht="15" customHeight="1">
      <c r="B146" s="93"/>
      <c r="C146" s="43" t="s">
        <v>47</v>
      </c>
      <c r="D146" s="42">
        <v>4</v>
      </c>
      <c r="E146" s="41">
        <v>1.7641351327511687E-4</v>
      </c>
    </row>
    <row r="147" spans="2:5" ht="15" customHeight="1">
      <c r="B147" s="93"/>
      <c r="C147" s="43" t="s">
        <v>51</v>
      </c>
      <c r="D147" s="42">
        <v>7</v>
      </c>
      <c r="E147" s="41">
        <v>3.0872364823145452E-4</v>
      </c>
    </row>
    <row r="148" spans="2:5" ht="15" customHeight="1">
      <c r="B148" s="93"/>
      <c r="C148" s="43" t="s">
        <v>59</v>
      </c>
      <c r="D148" s="42">
        <v>13</v>
      </c>
      <c r="E148" s="41">
        <v>5.7334391814412987E-4</v>
      </c>
    </row>
    <row r="149" spans="2:5" ht="15" customHeight="1">
      <c r="B149" s="93"/>
      <c r="C149" s="43" t="s">
        <v>40</v>
      </c>
      <c r="D149" s="42">
        <v>3</v>
      </c>
      <c r="E149" s="41">
        <v>1.3231013495633765E-4</v>
      </c>
    </row>
    <row r="150" spans="2:5" ht="15" customHeight="1">
      <c r="B150" s="93"/>
      <c r="C150" s="43" t="s">
        <v>33</v>
      </c>
      <c r="D150" s="42">
        <v>1</v>
      </c>
      <c r="E150" s="41">
        <v>4.4103378318779218E-5</v>
      </c>
    </row>
    <row r="151" spans="2:5" ht="15" customHeight="1">
      <c r="B151" s="93"/>
      <c r="C151" s="43" t="s">
        <v>53</v>
      </c>
      <c r="D151" s="42">
        <v>6</v>
      </c>
      <c r="E151" s="41">
        <v>2.646202699126753E-4</v>
      </c>
    </row>
    <row r="152" spans="2:5" ht="15" customHeight="1">
      <c r="B152" s="93"/>
      <c r="C152" s="43" t="s">
        <v>63</v>
      </c>
      <c r="D152" s="42">
        <v>102</v>
      </c>
      <c r="E152" s="41">
        <v>4.4985445885154804E-3</v>
      </c>
    </row>
    <row r="153" spans="2:5" ht="15" customHeight="1">
      <c r="B153" s="93"/>
      <c r="C153" s="43" t="s">
        <v>48</v>
      </c>
      <c r="D153" s="42">
        <v>4</v>
      </c>
      <c r="E153" s="41">
        <v>1.7641351327511687E-4</v>
      </c>
    </row>
    <row r="154" spans="2:5" ht="15" customHeight="1">
      <c r="B154" s="93"/>
      <c r="C154" s="43" t="s">
        <v>44</v>
      </c>
      <c r="D154" s="42">
        <v>1</v>
      </c>
      <c r="E154" s="41">
        <v>4.4103378318779218E-5</v>
      </c>
    </row>
    <row r="155" spans="2:5" ht="15" customHeight="1">
      <c r="B155" s="93"/>
      <c r="C155" s="43" t="s">
        <v>38</v>
      </c>
      <c r="D155" s="42">
        <v>2</v>
      </c>
      <c r="E155" s="41">
        <v>8.8206756637558437E-5</v>
      </c>
    </row>
    <row r="156" spans="2:5" ht="15" customHeight="1">
      <c r="B156" s="93"/>
      <c r="C156" s="43" t="s">
        <v>55</v>
      </c>
      <c r="D156" s="42">
        <v>8</v>
      </c>
      <c r="E156" s="41">
        <v>3.5282702655023375E-4</v>
      </c>
    </row>
    <row r="157" spans="2:5" ht="15" customHeight="1">
      <c r="B157" s="93"/>
      <c r="C157" s="43" t="s">
        <v>29</v>
      </c>
      <c r="D157" s="42">
        <v>2</v>
      </c>
      <c r="E157" s="41">
        <v>8.8206756637558437E-5</v>
      </c>
    </row>
    <row r="158" spans="2:5" ht="15" customHeight="1">
      <c r="B158" s="94"/>
      <c r="C158" s="40" t="s">
        <v>20</v>
      </c>
      <c r="D158" s="39">
        <v>369</v>
      </c>
      <c r="E158" s="38">
        <v>1.6274146599629533E-2</v>
      </c>
    </row>
    <row r="159" spans="2:5" ht="15" customHeight="1">
      <c r="B159" s="92" t="s">
        <v>194</v>
      </c>
      <c r="C159" s="43" t="s">
        <v>49</v>
      </c>
      <c r="D159" s="42">
        <v>13</v>
      </c>
      <c r="E159" s="41">
        <v>5.7334391814412987E-4</v>
      </c>
    </row>
    <row r="160" spans="2:5" ht="15" customHeight="1">
      <c r="B160" s="93"/>
      <c r="C160" s="43" t="s">
        <v>62</v>
      </c>
      <c r="D160" s="42">
        <v>125</v>
      </c>
      <c r="E160" s="41">
        <v>5.5129222898474021E-3</v>
      </c>
    </row>
    <row r="161" spans="2:5" ht="15" customHeight="1">
      <c r="B161" s="93"/>
      <c r="C161" s="43" t="s">
        <v>60</v>
      </c>
      <c r="D161" s="42">
        <v>37</v>
      </c>
      <c r="E161" s="41">
        <v>1.6318249977948312E-3</v>
      </c>
    </row>
    <row r="162" spans="2:5" ht="15" customHeight="1">
      <c r="B162" s="93"/>
      <c r="C162" s="43" t="s">
        <v>25</v>
      </c>
      <c r="D162" s="42">
        <v>1</v>
      </c>
      <c r="E162" s="41">
        <v>4.4103378318779218E-5</v>
      </c>
    </row>
    <row r="163" spans="2:5" ht="15" customHeight="1">
      <c r="B163" s="93"/>
      <c r="C163" s="43" t="s">
        <v>54</v>
      </c>
      <c r="D163" s="42">
        <v>9</v>
      </c>
      <c r="E163" s="41">
        <v>3.9693040486901297E-4</v>
      </c>
    </row>
    <row r="164" spans="2:5" ht="15" customHeight="1">
      <c r="B164" s="93"/>
      <c r="C164" s="43" t="s">
        <v>57</v>
      </c>
      <c r="D164" s="42">
        <v>10</v>
      </c>
      <c r="E164" s="41">
        <v>4.410337831877922E-4</v>
      </c>
    </row>
    <row r="165" spans="2:5" ht="15" customHeight="1">
      <c r="B165" s="93"/>
      <c r="C165" s="43" t="s">
        <v>45</v>
      </c>
      <c r="D165" s="42">
        <v>13</v>
      </c>
      <c r="E165" s="41">
        <v>5.7334391814412987E-4</v>
      </c>
    </row>
    <row r="166" spans="2:5" ht="15" customHeight="1">
      <c r="B166" s="93"/>
      <c r="C166" s="43" t="s">
        <v>61</v>
      </c>
      <c r="D166" s="42">
        <v>29</v>
      </c>
      <c r="E166" s="41">
        <v>1.2789979712445974E-3</v>
      </c>
    </row>
    <row r="167" spans="2:5" ht="15" customHeight="1">
      <c r="B167" s="93"/>
      <c r="C167" s="43" t="s">
        <v>50</v>
      </c>
      <c r="D167" s="42">
        <v>6</v>
      </c>
      <c r="E167" s="41">
        <v>2.646202699126753E-4</v>
      </c>
    </row>
    <row r="168" spans="2:5" ht="15" customHeight="1">
      <c r="B168" s="93"/>
      <c r="C168" s="43" t="s">
        <v>42</v>
      </c>
      <c r="D168" s="42">
        <v>4</v>
      </c>
      <c r="E168" s="41">
        <v>1.7641351327511687E-4</v>
      </c>
    </row>
    <row r="169" spans="2:5" ht="15" customHeight="1">
      <c r="B169" s="93"/>
      <c r="C169" s="43" t="s">
        <v>56</v>
      </c>
      <c r="D169" s="42">
        <v>7</v>
      </c>
      <c r="E169" s="41">
        <v>3.0872364823145452E-4</v>
      </c>
    </row>
    <row r="170" spans="2:5" ht="15" customHeight="1">
      <c r="B170" s="93"/>
      <c r="C170" s="43" t="s">
        <v>36</v>
      </c>
      <c r="D170" s="42">
        <v>1</v>
      </c>
      <c r="E170" s="41">
        <v>4.4103378318779218E-5</v>
      </c>
    </row>
    <row r="171" spans="2:5" ht="15" customHeight="1">
      <c r="B171" s="93"/>
      <c r="C171" s="43" t="s">
        <v>43</v>
      </c>
      <c r="D171" s="42">
        <v>8</v>
      </c>
      <c r="E171" s="41">
        <v>3.5282702655023375E-4</v>
      </c>
    </row>
    <row r="172" spans="2:5" ht="15" customHeight="1">
      <c r="B172" s="93"/>
      <c r="C172" s="43" t="s">
        <v>46</v>
      </c>
      <c r="D172" s="42">
        <v>8</v>
      </c>
      <c r="E172" s="41">
        <v>3.5282702655023375E-4</v>
      </c>
    </row>
    <row r="173" spans="2:5" ht="15" customHeight="1">
      <c r="B173" s="93"/>
      <c r="C173" s="43" t="s">
        <v>32</v>
      </c>
      <c r="D173" s="42">
        <v>1</v>
      </c>
      <c r="E173" s="41">
        <v>4.4103378318779218E-5</v>
      </c>
    </row>
    <row r="174" spans="2:5" ht="15" customHeight="1">
      <c r="B174" s="93"/>
      <c r="C174" s="43" t="s">
        <v>39</v>
      </c>
      <c r="D174" s="42">
        <v>1</v>
      </c>
      <c r="E174" s="41">
        <v>4.4103378318779218E-5</v>
      </c>
    </row>
    <row r="175" spans="2:5" ht="15" customHeight="1">
      <c r="B175" s="93"/>
      <c r="C175" s="43" t="s">
        <v>37</v>
      </c>
      <c r="D175" s="42">
        <v>2</v>
      </c>
      <c r="E175" s="41">
        <v>8.8206756637558437E-5</v>
      </c>
    </row>
    <row r="176" spans="2:5" ht="15" customHeight="1">
      <c r="B176" s="93"/>
      <c r="C176" s="43" t="s">
        <v>58</v>
      </c>
      <c r="D176" s="42">
        <v>24</v>
      </c>
      <c r="E176" s="41">
        <v>1.0584810796507012E-3</v>
      </c>
    </row>
    <row r="177" spans="2:5" ht="15" customHeight="1">
      <c r="B177" s="93"/>
      <c r="C177" s="43" t="s">
        <v>24</v>
      </c>
      <c r="D177" s="42">
        <v>1</v>
      </c>
      <c r="E177" s="41">
        <v>4.4103378318779218E-5</v>
      </c>
    </row>
    <row r="178" spans="2:5" ht="15" customHeight="1">
      <c r="B178" s="93"/>
      <c r="C178" s="43" t="s">
        <v>30</v>
      </c>
      <c r="D178" s="42">
        <v>1</v>
      </c>
      <c r="E178" s="41">
        <v>4.4103378318779218E-5</v>
      </c>
    </row>
    <row r="179" spans="2:5" ht="15" customHeight="1">
      <c r="B179" s="93"/>
      <c r="C179" s="43" t="s">
        <v>47</v>
      </c>
      <c r="D179" s="42">
        <v>2</v>
      </c>
      <c r="E179" s="41">
        <v>8.8206756637558437E-5</v>
      </c>
    </row>
    <row r="180" spans="2:5" ht="15" customHeight="1">
      <c r="B180" s="93"/>
      <c r="C180" s="43" t="s">
        <v>27</v>
      </c>
      <c r="D180" s="42">
        <v>2</v>
      </c>
      <c r="E180" s="41">
        <v>8.8206756637558437E-5</v>
      </c>
    </row>
    <row r="181" spans="2:5" ht="15" customHeight="1">
      <c r="B181" s="93"/>
      <c r="C181" s="43" t="s">
        <v>51</v>
      </c>
      <c r="D181" s="42">
        <v>15</v>
      </c>
      <c r="E181" s="41">
        <v>6.6155067478168832E-4</v>
      </c>
    </row>
    <row r="182" spans="2:5" ht="15" customHeight="1">
      <c r="B182" s="93"/>
      <c r="C182" s="43" t="s">
        <v>59</v>
      </c>
      <c r="D182" s="42">
        <v>10</v>
      </c>
      <c r="E182" s="41">
        <v>4.410337831877922E-4</v>
      </c>
    </row>
    <row r="183" spans="2:5" ht="15" customHeight="1">
      <c r="B183" s="93"/>
      <c r="C183" s="43" t="s">
        <v>40</v>
      </c>
      <c r="D183" s="42">
        <v>2</v>
      </c>
      <c r="E183" s="41">
        <v>8.8206756637558437E-5</v>
      </c>
    </row>
    <row r="184" spans="2:5" ht="15" customHeight="1">
      <c r="B184" s="93"/>
      <c r="C184" s="43" t="s">
        <v>33</v>
      </c>
      <c r="D184" s="42">
        <v>2</v>
      </c>
      <c r="E184" s="41">
        <v>8.8206756637558437E-5</v>
      </c>
    </row>
    <row r="185" spans="2:5" ht="15" customHeight="1">
      <c r="B185" s="93"/>
      <c r="C185" s="43" t="s">
        <v>53</v>
      </c>
      <c r="D185" s="42">
        <v>5</v>
      </c>
      <c r="E185" s="41">
        <v>2.205168915938961E-4</v>
      </c>
    </row>
    <row r="186" spans="2:5" ht="15" customHeight="1">
      <c r="B186" s="93"/>
      <c r="C186" s="43" t="s">
        <v>63</v>
      </c>
      <c r="D186" s="42">
        <v>143</v>
      </c>
      <c r="E186" s="41">
        <v>6.3067830995854283E-3</v>
      </c>
    </row>
    <row r="187" spans="2:5" ht="15" customHeight="1">
      <c r="B187" s="93"/>
      <c r="C187" s="43" t="s">
        <v>48</v>
      </c>
      <c r="D187" s="42">
        <v>7</v>
      </c>
      <c r="E187" s="41">
        <v>3.0872364823145452E-4</v>
      </c>
    </row>
    <row r="188" spans="2:5" ht="15" customHeight="1">
      <c r="B188" s="93"/>
      <c r="C188" s="43" t="s">
        <v>44</v>
      </c>
      <c r="D188" s="42">
        <v>3</v>
      </c>
      <c r="E188" s="41">
        <v>1.3231013495633765E-4</v>
      </c>
    </row>
    <row r="189" spans="2:5" ht="15" customHeight="1">
      <c r="B189" s="93"/>
      <c r="C189" s="43" t="s">
        <v>38</v>
      </c>
      <c r="D189" s="42">
        <v>1</v>
      </c>
      <c r="E189" s="41">
        <v>4.4103378318779218E-5</v>
      </c>
    </row>
    <row r="190" spans="2:5" ht="15" customHeight="1">
      <c r="B190" s="93"/>
      <c r="C190" s="43" t="s">
        <v>55</v>
      </c>
      <c r="D190" s="42">
        <v>7</v>
      </c>
      <c r="E190" s="41">
        <v>3.0872364823145452E-4</v>
      </c>
    </row>
    <row r="191" spans="2:5" ht="15" customHeight="1">
      <c r="B191" s="94"/>
      <c r="C191" s="40" t="s">
        <v>20</v>
      </c>
      <c r="D191" s="39">
        <v>500</v>
      </c>
      <c r="E191" s="38">
        <v>2.2051689159389608E-2</v>
      </c>
    </row>
    <row r="192" spans="2:5" ht="15" customHeight="1">
      <c r="B192" s="92" t="s">
        <v>193</v>
      </c>
      <c r="C192" s="43" t="s">
        <v>34</v>
      </c>
      <c r="D192" s="42">
        <v>2</v>
      </c>
      <c r="E192" s="41">
        <v>8.8206756637558437E-5</v>
      </c>
    </row>
    <row r="193" spans="2:5" ht="15" customHeight="1">
      <c r="B193" s="93"/>
      <c r="C193" s="43" t="s">
        <v>49</v>
      </c>
      <c r="D193" s="42">
        <v>55</v>
      </c>
      <c r="E193" s="41">
        <v>2.4256858075328569E-3</v>
      </c>
    </row>
    <row r="194" spans="2:5" ht="15" customHeight="1">
      <c r="B194" s="93"/>
      <c r="C194" s="43" t="s">
        <v>52</v>
      </c>
      <c r="D194" s="42">
        <v>16</v>
      </c>
      <c r="E194" s="41">
        <v>7.0565405310046749E-4</v>
      </c>
    </row>
    <row r="195" spans="2:5" ht="15" customHeight="1">
      <c r="B195" s="93"/>
      <c r="C195" s="43" t="s">
        <v>62</v>
      </c>
      <c r="D195" s="42">
        <v>638</v>
      </c>
      <c r="E195" s="41">
        <v>2.8137955367381142E-2</v>
      </c>
    </row>
    <row r="196" spans="2:5" ht="15" customHeight="1">
      <c r="B196" s="93"/>
      <c r="C196" s="43" t="s">
        <v>60</v>
      </c>
      <c r="D196" s="42">
        <v>108</v>
      </c>
      <c r="E196" s="41">
        <v>4.7631648584281552E-3</v>
      </c>
    </row>
    <row r="197" spans="2:5" ht="15" customHeight="1">
      <c r="B197" s="93"/>
      <c r="C197" s="43" t="s">
        <v>26</v>
      </c>
      <c r="D197" s="42">
        <v>1</v>
      </c>
      <c r="E197" s="41">
        <v>4.4103378318779218E-5</v>
      </c>
    </row>
    <row r="198" spans="2:5" ht="15" customHeight="1">
      <c r="B198" s="93"/>
      <c r="C198" s="43" t="s">
        <v>54</v>
      </c>
      <c r="D198" s="42">
        <v>38</v>
      </c>
      <c r="E198" s="41">
        <v>1.6759283761136102E-3</v>
      </c>
    </row>
    <row r="199" spans="2:5" ht="15" customHeight="1">
      <c r="B199" s="93"/>
      <c r="C199" s="43" t="s">
        <v>57</v>
      </c>
      <c r="D199" s="42">
        <v>38</v>
      </c>
      <c r="E199" s="41">
        <v>1.6759283761136102E-3</v>
      </c>
    </row>
    <row r="200" spans="2:5" ht="15" customHeight="1">
      <c r="B200" s="93"/>
      <c r="C200" s="43" t="s">
        <v>45</v>
      </c>
      <c r="D200" s="42">
        <v>28</v>
      </c>
      <c r="E200" s="41">
        <v>1.2348945929258181E-3</v>
      </c>
    </row>
    <row r="201" spans="2:5" ht="15" customHeight="1">
      <c r="B201" s="93"/>
      <c r="C201" s="43" t="s">
        <v>61</v>
      </c>
      <c r="D201" s="42">
        <v>149</v>
      </c>
      <c r="E201" s="41">
        <v>6.571403369498104E-3</v>
      </c>
    </row>
    <row r="202" spans="2:5" ht="15" customHeight="1">
      <c r="B202" s="93"/>
      <c r="C202" s="43" t="s">
        <v>50</v>
      </c>
      <c r="D202" s="42">
        <v>28</v>
      </c>
      <c r="E202" s="41">
        <v>1.2348945929258181E-3</v>
      </c>
    </row>
    <row r="203" spans="2:5" ht="15" customHeight="1">
      <c r="B203" s="93"/>
      <c r="C203" s="43" t="s">
        <v>42</v>
      </c>
      <c r="D203" s="42">
        <v>23</v>
      </c>
      <c r="E203" s="41">
        <v>1.0143777013319221E-3</v>
      </c>
    </row>
    <row r="204" spans="2:5" ht="15" customHeight="1">
      <c r="B204" s="93"/>
      <c r="C204" s="43" t="s">
        <v>56</v>
      </c>
      <c r="D204" s="42">
        <v>42</v>
      </c>
      <c r="E204" s="41">
        <v>1.8523418893887271E-3</v>
      </c>
    </row>
    <row r="205" spans="2:5" ht="15" customHeight="1">
      <c r="B205" s="93"/>
      <c r="C205" s="43" t="s">
        <v>36</v>
      </c>
      <c r="D205" s="42">
        <v>5</v>
      </c>
      <c r="E205" s="41">
        <v>2.205168915938961E-4</v>
      </c>
    </row>
    <row r="206" spans="2:5" ht="15" customHeight="1">
      <c r="B206" s="93"/>
      <c r="C206" s="43" t="s">
        <v>43</v>
      </c>
      <c r="D206" s="42">
        <v>7</v>
      </c>
      <c r="E206" s="41">
        <v>3.0872364823145452E-4</v>
      </c>
    </row>
    <row r="207" spans="2:5" ht="15" customHeight="1">
      <c r="B207" s="93"/>
      <c r="C207" s="43" t="s">
        <v>46</v>
      </c>
      <c r="D207" s="42">
        <v>52</v>
      </c>
      <c r="E207" s="41">
        <v>2.2933756725765195E-3</v>
      </c>
    </row>
    <row r="208" spans="2:5" ht="15" customHeight="1">
      <c r="B208" s="93"/>
      <c r="C208" s="43" t="s">
        <v>41</v>
      </c>
      <c r="D208" s="42">
        <v>7</v>
      </c>
      <c r="E208" s="41">
        <v>3.0872364823145452E-4</v>
      </c>
    </row>
    <row r="209" spans="2:5" ht="15" customHeight="1">
      <c r="B209" s="93"/>
      <c r="C209" s="43" t="s">
        <v>32</v>
      </c>
      <c r="D209" s="42">
        <v>13</v>
      </c>
      <c r="E209" s="41">
        <v>5.7334391814412987E-4</v>
      </c>
    </row>
    <row r="210" spans="2:5" ht="15" customHeight="1">
      <c r="B210" s="93"/>
      <c r="C210" s="43" t="s">
        <v>39</v>
      </c>
      <c r="D210" s="42">
        <v>5</v>
      </c>
      <c r="E210" s="41">
        <v>2.205168915938961E-4</v>
      </c>
    </row>
    <row r="211" spans="2:5" ht="15" customHeight="1">
      <c r="B211" s="93"/>
      <c r="C211" s="43" t="s">
        <v>37</v>
      </c>
      <c r="D211" s="42">
        <v>16</v>
      </c>
      <c r="E211" s="41">
        <v>7.0565405310046749E-4</v>
      </c>
    </row>
    <row r="212" spans="2:5" ht="15" customHeight="1">
      <c r="B212" s="93"/>
      <c r="C212" s="43" t="s">
        <v>58</v>
      </c>
      <c r="D212" s="42">
        <v>84</v>
      </c>
      <c r="E212" s="41">
        <v>3.7046837787774543E-3</v>
      </c>
    </row>
    <row r="213" spans="2:5" ht="15" customHeight="1">
      <c r="B213" s="93"/>
      <c r="C213" s="43" t="s">
        <v>24</v>
      </c>
      <c r="D213" s="42">
        <v>3</v>
      </c>
      <c r="E213" s="41">
        <v>1.3231013495633765E-4</v>
      </c>
    </row>
    <row r="214" spans="2:5" ht="15" customHeight="1">
      <c r="B214" s="93"/>
      <c r="C214" s="43" t="s">
        <v>30</v>
      </c>
      <c r="D214" s="42">
        <v>1</v>
      </c>
      <c r="E214" s="41">
        <v>4.4103378318779218E-5</v>
      </c>
    </row>
    <row r="215" spans="2:5" ht="15" customHeight="1">
      <c r="B215" s="93"/>
      <c r="C215" s="43" t="s">
        <v>47</v>
      </c>
      <c r="D215" s="42">
        <v>20</v>
      </c>
      <c r="E215" s="41">
        <v>8.820675663755844E-4</v>
      </c>
    </row>
    <row r="216" spans="2:5" ht="15" customHeight="1">
      <c r="B216" s="93"/>
      <c r="C216" s="43" t="s">
        <v>27</v>
      </c>
      <c r="D216" s="42">
        <v>1</v>
      </c>
      <c r="E216" s="41">
        <v>4.4103378318779218E-5</v>
      </c>
    </row>
    <row r="217" spans="2:5" ht="15" customHeight="1">
      <c r="B217" s="93"/>
      <c r="C217" s="43" t="s">
        <v>51</v>
      </c>
      <c r="D217" s="42">
        <v>31</v>
      </c>
      <c r="E217" s="41">
        <v>1.3672047278821557E-3</v>
      </c>
    </row>
    <row r="218" spans="2:5" ht="15" customHeight="1">
      <c r="B218" s="93"/>
      <c r="C218" s="43" t="s">
        <v>35</v>
      </c>
      <c r="D218" s="42">
        <v>3</v>
      </c>
      <c r="E218" s="41">
        <v>1.3231013495633765E-4</v>
      </c>
    </row>
    <row r="219" spans="2:5" ht="15" customHeight="1">
      <c r="B219" s="93"/>
      <c r="C219" s="43" t="s">
        <v>59</v>
      </c>
      <c r="D219" s="42">
        <v>55</v>
      </c>
      <c r="E219" s="41">
        <v>2.4256858075328569E-3</v>
      </c>
    </row>
    <row r="220" spans="2:5" ht="15" customHeight="1">
      <c r="B220" s="93"/>
      <c r="C220" s="43" t="s">
        <v>40</v>
      </c>
      <c r="D220" s="42">
        <v>12</v>
      </c>
      <c r="E220" s="41">
        <v>5.2924053982535059E-4</v>
      </c>
    </row>
    <row r="221" spans="2:5" ht="15" customHeight="1">
      <c r="B221" s="93"/>
      <c r="C221" s="43" t="s">
        <v>31</v>
      </c>
      <c r="D221" s="42">
        <v>4</v>
      </c>
      <c r="E221" s="41">
        <v>1.7641351327511687E-4</v>
      </c>
    </row>
    <row r="222" spans="2:5" ht="15" customHeight="1">
      <c r="B222" s="93"/>
      <c r="C222" s="43" t="s">
        <v>33</v>
      </c>
      <c r="D222" s="42">
        <v>13</v>
      </c>
      <c r="E222" s="41">
        <v>5.7334391814412987E-4</v>
      </c>
    </row>
    <row r="223" spans="2:5" ht="15" customHeight="1">
      <c r="B223" s="93"/>
      <c r="C223" s="43" t="s">
        <v>53</v>
      </c>
      <c r="D223" s="42">
        <v>23</v>
      </c>
      <c r="E223" s="41">
        <v>1.0143777013319221E-3</v>
      </c>
    </row>
    <row r="224" spans="2:5" ht="15" customHeight="1">
      <c r="B224" s="93"/>
      <c r="C224" s="43" t="s">
        <v>63</v>
      </c>
      <c r="D224" s="42">
        <v>705</v>
      </c>
      <c r="E224" s="41">
        <v>3.109288171473935E-2</v>
      </c>
    </row>
    <row r="225" spans="2:5" ht="15" customHeight="1">
      <c r="B225" s="93"/>
      <c r="C225" s="43" t="s">
        <v>48</v>
      </c>
      <c r="D225" s="42">
        <v>41</v>
      </c>
      <c r="E225" s="41">
        <v>1.8082385110699479E-3</v>
      </c>
    </row>
    <row r="226" spans="2:5" ht="15" customHeight="1">
      <c r="B226" s="93"/>
      <c r="C226" s="43" t="s">
        <v>44</v>
      </c>
      <c r="D226" s="42">
        <v>19</v>
      </c>
      <c r="E226" s="41">
        <v>8.3796418805680512E-4</v>
      </c>
    </row>
    <row r="227" spans="2:5" ht="15" customHeight="1">
      <c r="B227" s="93"/>
      <c r="C227" s="43" t="s">
        <v>38</v>
      </c>
      <c r="D227" s="42">
        <v>11</v>
      </c>
      <c r="E227" s="41">
        <v>4.8513716150657142E-4</v>
      </c>
    </row>
    <row r="228" spans="2:5" ht="15" customHeight="1">
      <c r="B228" s="93"/>
      <c r="C228" s="43" t="s">
        <v>55</v>
      </c>
      <c r="D228" s="42">
        <v>20</v>
      </c>
      <c r="E228" s="41">
        <v>8.820675663755844E-4</v>
      </c>
    </row>
    <row r="229" spans="2:5" ht="15" customHeight="1">
      <c r="B229" s="93"/>
      <c r="C229" s="43" t="s">
        <v>29</v>
      </c>
      <c r="D229" s="42">
        <v>4</v>
      </c>
      <c r="E229" s="41">
        <v>1.7641351327511687E-4</v>
      </c>
    </row>
    <row r="230" spans="2:5" ht="15" customHeight="1">
      <c r="B230" s="94"/>
      <c r="C230" s="40" t="s">
        <v>20</v>
      </c>
      <c r="D230" s="39">
        <v>2321</v>
      </c>
      <c r="E230" s="38">
        <v>0.10236394107788657</v>
      </c>
    </row>
    <row r="231" spans="2:5" ht="15" customHeight="1">
      <c r="B231" s="92" t="s">
        <v>192</v>
      </c>
      <c r="C231" s="43" t="s">
        <v>34</v>
      </c>
      <c r="D231" s="42">
        <v>12</v>
      </c>
      <c r="E231" s="41">
        <v>5.2924053982535059E-4</v>
      </c>
    </row>
    <row r="232" spans="2:5" ht="15" customHeight="1">
      <c r="B232" s="93"/>
      <c r="C232" s="43" t="s">
        <v>250</v>
      </c>
      <c r="D232" s="42">
        <v>5</v>
      </c>
      <c r="E232" s="41">
        <v>2.205168915938961E-4</v>
      </c>
    </row>
    <row r="233" spans="2:5" ht="15" customHeight="1">
      <c r="B233" s="93"/>
      <c r="C233" s="43" t="s">
        <v>49</v>
      </c>
      <c r="D233" s="42">
        <v>97</v>
      </c>
      <c r="E233" s="41">
        <v>4.278027696921584E-3</v>
      </c>
    </row>
    <row r="234" spans="2:5" ht="15" customHeight="1">
      <c r="B234" s="93"/>
      <c r="C234" s="43" t="s">
        <v>52</v>
      </c>
      <c r="D234" s="42">
        <v>27</v>
      </c>
      <c r="E234" s="41">
        <v>1.1907912146070388E-3</v>
      </c>
    </row>
    <row r="235" spans="2:5" ht="15" customHeight="1">
      <c r="B235" s="93"/>
      <c r="C235" s="43" t="s">
        <v>62</v>
      </c>
      <c r="D235" s="42">
        <v>893</v>
      </c>
      <c r="E235" s="41">
        <v>3.9384316838669844E-2</v>
      </c>
    </row>
    <row r="236" spans="2:5" ht="15" customHeight="1">
      <c r="B236" s="93"/>
      <c r="C236" s="43" t="s">
        <v>60</v>
      </c>
      <c r="D236" s="42">
        <v>199</v>
      </c>
      <c r="E236" s="41">
        <v>8.7765722854370645E-3</v>
      </c>
    </row>
    <row r="237" spans="2:5" ht="15" customHeight="1">
      <c r="B237" s="93"/>
      <c r="C237" s="43" t="s">
        <v>25</v>
      </c>
      <c r="D237" s="42">
        <v>1</v>
      </c>
      <c r="E237" s="41">
        <v>4.4103378318779218E-5</v>
      </c>
    </row>
    <row r="238" spans="2:5" ht="15" customHeight="1">
      <c r="B238" s="93"/>
      <c r="C238" s="43" t="s">
        <v>252</v>
      </c>
      <c r="D238" s="42">
        <v>1</v>
      </c>
      <c r="E238" s="41">
        <v>4.4103378318779218E-5</v>
      </c>
    </row>
    <row r="239" spans="2:5" ht="15" customHeight="1">
      <c r="B239" s="93"/>
      <c r="C239" s="43" t="s">
        <v>54</v>
      </c>
      <c r="D239" s="42">
        <v>76</v>
      </c>
      <c r="E239" s="41">
        <v>3.3518567522272205E-3</v>
      </c>
    </row>
    <row r="240" spans="2:5" ht="15" customHeight="1">
      <c r="B240" s="93"/>
      <c r="C240" s="43" t="s">
        <v>57</v>
      </c>
      <c r="D240" s="42">
        <v>100</v>
      </c>
      <c r="E240" s="41">
        <v>4.4103378318779219E-3</v>
      </c>
    </row>
    <row r="241" spans="2:5" ht="15" customHeight="1">
      <c r="B241" s="93"/>
      <c r="C241" s="43" t="s">
        <v>45</v>
      </c>
      <c r="D241" s="42">
        <v>56</v>
      </c>
      <c r="E241" s="41">
        <v>2.4697891858516362E-3</v>
      </c>
    </row>
    <row r="242" spans="2:5" ht="15" customHeight="1">
      <c r="B242" s="93"/>
      <c r="C242" s="43" t="s">
        <v>61</v>
      </c>
      <c r="D242" s="42">
        <v>634</v>
      </c>
      <c r="E242" s="41">
        <v>2.7961541854106025E-2</v>
      </c>
    </row>
    <row r="243" spans="2:5" ht="15" customHeight="1">
      <c r="B243" s="93"/>
      <c r="C243" s="43" t="s">
        <v>50</v>
      </c>
      <c r="D243" s="42">
        <v>65</v>
      </c>
      <c r="E243" s="41">
        <v>2.8667195907206493E-3</v>
      </c>
    </row>
    <row r="244" spans="2:5" ht="15" customHeight="1">
      <c r="B244" s="93"/>
      <c r="C244" s="43" t="s">
        <v>42</v>
      </c>
      <c r="D244" s="42">
        <v>32</v>
      </c>
      <c r="E244" s="41">
        <v>1.411308106200935E-3</v>
      </c>
    </row>
    <row r="245" spans="2:5" ht="15" customHeight="1">
      <c r="B245" s="93"/>
      <c r="C245" s="43" t="s">
        <v>56</v>
      </c>
      <c r="D245" s="42">
        <v>54</v>
      </c>
      <c r="E245" s="41">
        <v>2.3815824292140776E-3</v>
      </c>
    </row>
    <row r="246" spans="2:5" ht="15" customHeight="1">
      <c r="B246" s="93"/>
      <c r="C246" s="43" t="s">
        <v>36</v>
      </c>
      <c r="D246" s="42">
        <v>16</v>
      </c>
      <c r="E246" s="41">
        <v>7.0565405310046749E-4</v>
      </c>
    </row>
    <row r="247" spans="2:5" ht="15" customHeight="1">
      <c r="B247" s="93"/>
      <c r="C247" s="43" t="s">
        <v>43</v>
      </c>
      <c r="D247" s="42">
        <v>24</v>
      </c>
      <c r="E247" s="41">
        <v>1.0584810796507012E-3</v>
      </c>
    </row>
    <row r="248" spans="2:5" ht="15" customHeight="1">
      <c r="B248" s="93"/>
      <c r="C248" s="43" t="s">
        <v>28</v>
      </c>
      <c r="D248" s="42">
        <v>2</v>
      </c>
      <c r="E248" s="41">
        <v>8.8206756637558437E-5</v>
      </c>
    </row>
    <row r="249" spans="2:5" ht="15" customHeight="1">
      <c r="B249" s="93"/>
      <c r="C249" s="43" t="s">
        <v>46</v>
      </c>
      <c r="D249" s="42">
        <v>40</v>
      </c>
      <c r="E249" s="41">
        <v>1.7641351327511688E-3</v>
      </c>
    </row>
    <row r="250" spans="2:5" ht="15" customHeight="1">
      <c r="B250" s="93"/>
      <c r="C250" s="43" t="s">
        <v>41</v>
      </c>
      <c r="D250" s="42">
        <v>36</v>
      </c>
      <c r="E250" s="41">
        <v>1.5877216194760519E-3</v>
      </c>
    </row>
    <row r="251" spans="2:5" ht="15" customHeight="1">
      <c r="B251" s="93"/>
      <c r="C251" s="43" t="s">
        <v>32</v>
      </c>
      <c r="D251" s="42">
        <v>14</v>
      </c>
      <c r="E251" s="41">
        <v>6.1744729646290904E-4</v>
      </c>
    </row>
    <row r="252" spans="2:5" ht="15" customHeight="1">
      <c r="B252" s="93"/>
      <c r="C252" s="43" t="s">
        <v>39</v>
      </c>
      <c r="D252" s="42">
        <v>9</v>
      </c>
      <c r="E252" s="41">
        <v>3.9693040486901297E-4</v>
      </c>
    </row>
    <row r="253" spans="2:5" ht="15" customHeight="1">
      <c r="B253" s="93"/>
      <c r="C253" s="43" t="s">
        <v>251</v>
      </c>
      <c r="D253" s="42">
        <v>1</v>
      </c>
      <c r="E253" s="41">
        <v>4.4103378318779218E-5</v>
      </c>
    </row>
    <row r="254" spans="2:5" ht="15" customHeight="1">
      <c r="B254" s="93"/>
      <c r="C254" s="43" t="s">
        <v>37</v>
      </c>
      <c r="D254" s="42">
        <v>13</v>
      </c>
      <c r="E254" s="41">
        <v>5.7334391814412987E-4</v>
      </c>
    </row>
    <row r="255" spans="2:5" ht="15" customHeight="1">
      <c r="B255" s="93"/>
      <c r="C255" s="43" t="s">
        <v>58</v>
      </c>
      <c r="D255" s="42">
        <v>117</v>
      </c>
      <c r="E255" s="41">
        <v>5.1600952632971687E-3</v>
      </c>
    </row>
    <row r="256" spans="2:5" ht="15" customHeight="1">
      <c r="B256" s="93"/>
      <c r="C256" s="43" t="s">
        <v>24</v>
      </c>
      <c r="D256" s="42">
        <v>2</v>
      </c>
      <c r="E256" s="41">
        <v>8.8206756637558437E-5</v>
      </c>
    </row>
    <row r="257" spans="2:5" ht="15" customHeight="1">
      <c r="B257" s="93"/>
      <c r="C257" s="43" t="s">
        <v>30</v>
      </c>
      <c r="D257" s="42">
        <v>9</v>
      </c>
      <c r="E257" s="41">
        <v>3.9693040486901297E-4</v>
      </c>
    </row>
    <row r="258" spans="2:5" ht="15" customHeight="1">
      <c r="B258" s="93"/>
      <c r="C258" s="43" t="s">
        <v>47</v>
      </c>
      <c r="D258" s="42">
        <v>38</v>
      </c>
      <c r="E258" s="41">
        <v>1.6759283761136102E-3</v>
      </c>
    </row>
    <row r="259" spans="2:5" ht="15" customHeight="1">
      <c r="B259" s="93"/>
      <c r="C259" s="43" t="s">
        <v>27</v>
      </c>
      <c r="D259" s="42">
        <v>1</v>
      </c>
      <c r="E259" s="41">
        <v>4.4103378318779218E-5</v>
      </c>
    </row>
    <row r="260" spans="2:5" ht="15" customHeight="1">
      <c r="B260" s="93"/>
      <c r="C260" s="43" t="s">
        <v>51</v>
      </c>
      <c r="D260" s="42">
        <v>112</v>
      </c>
      <c r="E260" s="41">
        <v>4.9395783717032724E-3</v>
      </c>
    </row>
    <row r="261" spans="2:5" ht="15" customHeight="1">
      <c r="B261" s="93"/>
      <c r="C261" s="43" t="s">
        <v>35</v>
      </c>
      <c r="D261" s="42">
        <v>7</v>
      </c>
      <c r="E261" s="41">
        <v>3.0872364823145452E-4</v>
      </c>
    </row>
    <row r="262" spans="2:5" ht="15" customHeight="1">
      <c r="B262" s="93"/>
      <c r="C262" s="43" t="s">
        <v>59</v>
      </c>
      <c r="D262" s="42">
        <v>134</v>
      </c>
      <c r="E262" s="41">
        <v>5.9098526947164156E-3</v>
      </c>
    </row>
    <row r="263" spans="2:5" ht="15" customHeight="1">
      <c r="B263" s="93"/>
      <c r="C263" s="43" t="s">
        <v>40</v>
      </c>
      <c r="D263" s="42">
        <v>22</v>
      </c>
      <c r="E263" s="41">
        <v>9.7027432301314285E-4</v>
      </c>
    </row>
    <row r="264" spans="2:5" ht="15" customHeight="1">
      <c r="B264" s="93"/>
      <c r="C264" s="43" t="s">
        <v>31</v>
      </c>
      <c r="D264" s="42">
        <v>5</v>
      </c>
      <c r="E264" s="41">
        <v>2.205168915938961E-4</v>
      </c>
    </row>
    <row r="265" spans="2:5" ht="15" customHeight="1">
      <c r="B265" s="93"/>
      <c r="C265" s="43" t="s">
        <v>33</v>
      </c>
      <c r="D265" s="42">
        <v>13</v>
      </c>
      <c r="E265" s="41">
        <v>5.7334391814412987E-4</v>
      </c>
    </row>
    <row r="266" spans="2:5" ht="15" customHeight="1">
      <c r="B266" s="93"/>
      <c r="C266" s="43" t="s">
        <v>23</v>
      </c>
      <c r="D266" s="42">
        <v>3</v>
      </c>
      <c r="E266" s="41">
        <v>1.3231013495633765E-4</v>
      </c>
    </row>
    <row r="267" spans="2:5" ht="15" customHeight="1">
      <c r="B267" s="93"/>
      <c r="C267" s="43" t="s">
        <v>53</v>
      </c>
      <c r="D267" s="42">
        <v>69</v>
      </c>
      <c r="E267" s="41">
        <v>3.0431331039957659E-3</v>
      </c>
    </row>
    <row r="268" spans="2:5" ht="15" customHeight="1">
      <c r="B268" s="93"/>
      <c r="C268" s="43" t="s">
        <v>63</v>
      </c>
      <c r="D268" s="42">
        <v>1024</v>
      </c>
      <c r="E268" s="41">
        <v>4.516185939842992E-2</v>
      </c>
    </row>
    <row r="269" spans="2:5" ht="15" customHeight="1">
      <c r="B269" s="93"/>
      <c r="C269" s="43" t="s">
        <v>48</v>
      </c>
      <c r="D269" s="42">
        <v>65</v>
      </c>
      <c r="E269" s="41">
        <v>2.8667195907206493E-3</v>
      </c>
    </row>
    <row r="270" spans="2:5" ht="15" customHeight="1">
      <c r="B270" s="93"/>
      <c r="C270" s="43" t="s">
        <v>44</v>
      </c>
      <c r="D270" s="42">
        <v>28</v>
      </c>
      <c r="E270" s="41">
        <v>1.2348945929258181E-3</v>
      </c>
    </row>
    <row r="271" spans="2:5" ht="15" customHeight="1">
      <c r="B271" s="93"/>
      <c r="C271" s="43" t="s">
        <v>38</v>
      </c>
      <c r="D271" s="42">
        <v>13</v>
      </c>
      <c r="E271" s="41">
        <v>5.7334391814412987E-4</v>
      </c>
    </row>
    <row r="272" spans="2:5" ht="15" customHeight="1">
      <c r="B272" s="93"/>
      <c r="C272" s="43" t="s">
        <v>55</v>
      </c>
      <c r="D272" s="42">
        <v>102</v>
      </c>
      <c r="E272" s="41">
        <v>4.4985445885154804E-3</v>
      </c>
    </row>
    <row r="273" spans="2:5" ht="15" customHeight="1">
      <c r="B273" s="93"/>
      <c r="C273" s="43" t="s">
        <v>29</v>
      </c>
      <c r="D273" s="42">
        <v>9</v>
      </c>
      <c r="E273" s="41">
        <v>3.9693040486901297E-4</v>
      </c>
    </row>
    <row r="274" spans="2:5" ht="15" customHeight="1">
      <c r="B274" s="94"/>
      <c r="C274" s="40" t="s">
        <v>20</v>
      </c>
      <c r="D274" s="39">
        <v>4180</v>
      </c>
      <c r="E274" s="38">
        <v>0.18435212137249712</v>
      </c>
    </row>
    <row r="275" spans="2:5" ht="15" customHeight="1">
      <c r="B275" s="92" t="s">
        <v>191</v>
      </c>
      <c r="C275" s="43" t="s">
        <v>34</v>
      </c>
      <c r="D275" s="42">
        <v>2</v>
      </c>
      <c r="E275" s="41">
        <v>8.8206756637558437E-5</v>
      </c>
    </row>
    <row r="276" spans="2:5" ht="15" customHeight="1">
      <c r="B276" s="93"/>
      <c r="C276" s="43" t="s">
        <v>49</v>
      </c>
      <c r="D276" s="42">
        <v>9</v>
      </c>
      <c r="E276" s="41">
        <v>3.9693040486901297E-4</v>
      </c>
    </row>
    <row r="277" spans="2:5" ht="15" customHeight="1">
      <c r="B277" s="93"/>
      <c r="C277" s="43" t="s">
        <v>52</v>
      </c>
      <c r="D277" s="42">
        <v>3</v>
      </c>
      <c r="E277" s="41">
        <v>1.3231013495633765E-4</v>
      </c>
    </row>
    <row r="278" spans="2:5" ht="15" customHeight="1">
      <c r="B278" s="93"/>
      <c r="C278" s="43" t="s">
        <v>62</v>
      </c>
      <c r="D278" s="42">
        <v>62</v>
      </c>
      <c r="E278" s="41">
        <v>2.7344094557643114E-3</v>
      </c>
    </row>
    <row r="279" spans="2:5" ht="15" customHeight="1">
      <c r="B279" s="93"/>
      <c r="C279" s="43" t="s">
        <v>60</v>
      </c>
      <c r="D279" s="42">
        <v>17</v>
      </c>
      <c r="E279" s="41">
        <v>7.4975743141924667E-4</v>
      </c>
    </row>
    <row r="280" spans="2:5" ht="15" customHeight="1">
      <c r="B280" s="93"/>
      <c r="C280" s="43" t="s">
        <v>54</v>
      </c>
      <c r="D280" s="42">
        <v>10</v>
      </c>
      <c r="E280" s="41">
        <v>4.410337831877922E-4</v>
      </c>
    </row>
    <row r="281" spans="2:5" ht="15" customHeight="1">
      <c r="B281" s="93"/>
      <c r="C281" s="43" t="s">
        <v>57</v>
      </c>
      <c r="D281" s="42">
        <v>9</v>
      </c>
      <c r="E281" s="41">
        <v>3.9693040486901297E-4</v>
      </c>
    </row>
    <row r="282" spans="2:5" ht="15" customHeight="1">
      <c r="B282" s="93"/>
      <c r="C282" s="43" t="s">
        <v>45</v>
      </c>
      <c r="D282" s="42">
        <v>5</v>
      </c>
      <c r="E282" s="41">
        <v>2.205168915938961E-4</v>
      </c>
    </row>
    <row r="283" spans="2:5" ht="15" customHeight="1">
      <c r="B283" s="93"/>
      <c r="C283" s="43" t="s">
        <v>61</v>
      </c>
      <c r="D283" s="42">
        <v>17</v>
      </c>
      <c r="E283" s="41">
        <v>7.4975743141924667E-4</v>
      </c>
    </row>
    <row r="284" spans="2:5" ht="15" customHeight="1">
      <c r="B284" s="93"/>
      <c r="C284" s="43" t="s">
        <v>50</v>
      </c>
      <c r="D284" s="42">
        <v>3</v>
      </c>
      <c r="E284" s="41">
        <v>1.3231013495633765E-4</v>
      </c>
    </row>
    <row r="285" spans="2:5" ht="15" customHeight="1">
      <c r="B285" s="93"/>
      <c r="C285" s="43" t="s">
        <v>42</v>
      </c>
      <c r="D285" s="42">
        <v>3</v>
      </c>
      <c r="E285" s="41">
        <v>1.3231013495633765E-4</v>
      </c>
    </row>
    <row r="286" spans="2:5" ht="15" customHeight="1">
      <c r="B286" s="93"/>
      <c r="C286" s="43" t="s">
        <v>56</v>
      </c>
      <c r="D286" s="42">
        <v>6</v>
      </c>
      <c r="E286" s="41">
        <v>2.646202699126753E-4</v>
      </c>
    </row>
    <row r="287" spans="2:5" ht="15" customHeight="1">
      <c r="B287" s="93"/>
      <c r="C287" s="43" t="s">
        <v>36</v>
      </c>
      <c r="D287" s="42">
        <v>1</v>
      </c>
      <c r="E287" s="41">
        <v>4.4103378318779218E-5</v>
      </c>
    </row>
    <row r="288" spans="2:5" ht="15" customHeight="1">
      <c r="B288" s="93"/>
      <c r="C288" s="43" t="s">
        <v>22</v>
      </c>
      <c r="D288" s="42">
        <v>1</v>
      </c>
      <c r="E288" s="41">
        <v>4.4103378318779218E-5</v>
      </c>
    </row>
    <row r="289" spans="2:5" ht="15" customHeight="1">
      <c r="B289" s="93"/>
      <c r="C289" s="43" t="s">
        <v>46</v>
      </c>
      <c r="D289" s="42">
        <v>6</v>
      </c>
      <c r="E289" s="41">
        <v>2.646202699126753E-4</v>
      </c>
    </row>
    <row r="290" spans="2:5" ht="15" customHeight="1">
      <c r="B290" s="93"/>
      <c r="C290" s="43" t="s">
        <v>41</v>
      </c>
      <c r="D290" s="42">
        <v>1</v>
      </c>
      <c r="E290" s="41">
        <v>4.4103378318779218E-5</v>
      </c>
    </row>
    <row r="291" spans="2:5" ht="15" customHeight="1">
      <c r="B291" s="93"/>
      <c r="C291" s="43" t="s">
        <v>32</v>
      </c>
      <c r="D291" s="42">
        <v>2</v>
      </c>
      <c r="E291" s="41">
        <v>8.8206756637558437E-5</v>
      </c>
    </row>
    <row r="292" spans="2:5" ht="15" customHeight="1">
      <c r="B292" s="93"/>
      <c r="C292" s="43" t="s">
        <v>39</v>
      </c>
      <c r="D292" s="42">
        <v>1</v>
      </c>
      <c r="E292" s="41">
        <v>4.4103378318779218E-5</v>
      </c>
    </row>
    <row r="293" spans="2:5" ht="15" customHeight="1">
      <c r="B293" s="93"/>
      <c r="C293" s="43" t="s">
        <v>37</v>
      </c>
      <c r="D293" s="42">
        <v>1</v>
      </c>
      <c r="E293" s="41">
        <v>4.4103378318779218E-5</v>
      </c>
    </row>
    <row r="294" spans="2:5" ht="15" customHeight="1">
      <c r="B294" s="93"/>
      <c r="C294" s="43" t="s">
        <v>58</v>
      </c>
      <c r="D294" s="42">
        <v>5</v>
      </c>
      <c r="E294" s="41">
        <v>2.205168915938961E-4</v>
      </c>
    </row>
    <row r="295" spans="2:5" ht="15" customHeight="1">
      <c r="B295" s="93"/>
      <c r="C295" s="43" t="s">
        <v>30</v>
      </c>
      <c r="D295" s="42">
        <v>1</v>
      </c>
      <c r="E295" s="41">
        <v>4.4103378318779218E-5</v>
      </c>
    </row>
    <row r="296" spans="2:5" ht="15" customHeight="1">
      <c r="B296" s="93"/>
      <c r="C296" s="43" t="s">
        <v>51</v>
      </c>
      <c r="D296" s="42">
        <v>5</v>
      </c>
      <c r="E296" s="41">
        <v>2.205168915938961E-4</v>
      </c>
    </row>
    <row r="297" spans="2:5" ht="15" customHeight="1">
      <c r="B297" s="93"/>
      <c r="C297" s="43" t="s">
        <v>35</v>
      </c>
      <c r="D297" s="42">
        <v>2</v>
      </c>
      <c r="E297" s="41">
        <v>8.8206756637558437E-5</v>
      </c>
    </row>
    <row r="298" spans="2:5" ht="15" customHeight="1">
      <c r="B298" s="93"/>
      <c r="C298" s="43" t="s">
        <v>59</v>
      </c>
      <c r="D298" s="42">
        <v>15</v>
      </c>
      <c r="E298" s="41">
        <v>6.6155067478168832E-4</v>
      </c>
    </row>
    <row r="299" spans="2:5" ht="15" customHeight="1">
      <c r="B299" s="93"/>
      <c r="C299" s="43" t="s">
        <v>40</v>
      </c>
      <c r="D299" s="42">
        <v>2</v>
      </c>
      <c r="E299" s="41">
        <v>8.8206756637558437E-5</v>
      </c>
    </row>
    <row r="300" spans="2:5" ht="15" customHeight="1">
      <c r="B300" s="93"/>
      <c r="C300" s="43" t="s">
        <v>31</v>
      </c>
      <c r="D300" s="42">
        <v>1</v>
      </c>
      <c r="E300" s="41">
        <v>4.4103378318779218E-5</v>
      </c>
    </row>
    <row r="301" spans="2:5" ht="15" customHeight="1">
      <c r="B301" s="93"/>
      <c r="C301" s="43" t="s">
        <v>33</v>
      </c>
      <c r="D301" s="42">
        <v>4</v>
      </c>
      <c r="E301" s="41">
        <v>1.7641351327511687E-4</v>
      </c>
    </row>
    <row r="302" spans="2:5" ht="15" customHeight="1">
      <c r="B302" s="93"/>
      <c r="C302" s="43" t="s">
        <v>53</v>
      </c>
      <c r="D302" s="42">
        <v>1</v>
      </c>
      <c r="E302" s="41">
        <v>4.4103378318779218E-5</v>
      </c>
    </row>
    <row r="303" spans="2:5" ht="15" customHeight="1">
      <c r="B303" s="93"/>
      <c r="C303" s="43" t="s">
        <v>63</v>
      </c>
      <c r="D303" s="42">
        <v>60</v>
      </c>
      <c r="E303" s="41">
        <v>2.6462026991267533E-3</v>
      </c>
    </row>
    <row r="304" spans="2:5" ht="15" customHeight="1">
      <c r="B304" s="93"/>
      <c r="C304" s="43" t="s">
        <v>48</v>
      </c>
      <c r="D304" s="42">
        <v>2</v>
      </c>
      <c r="E304" s="41">
        <v>8.8206756637558437E-5</v>
      </c>
    </row>
    <row r="305" spans="2:5" ht="15" customHeight="1">
      <c r="B305" s="93"/>
      <c r="C305" s="43" t="s">
        <v>44</v>
      </c>
      <c r="D305" s="42">
        <v>5</v>
      </c>
      <c r="E305" s="41">
        <v>2.205168915938961E-4</v>
      </c>
    </row>
    <row r="306" spans="2:5" ht="15" customHeight="1">
      <c r="B306" s="93"/>
      <c r="C306" s="43" t="s">
        <v>253</v>
      </c>
      <c r="D306" s="42">
        <v>1</v>
      </c>
      <c r="E306" s="41">
        <v>4.4103378318779218E-5</v>
      </c>
    </row>
    <row r="307" spans="2:5" ht="15" customHeight="1">
      <c r="B307" s="93"/>
      <c r="C307" s="43" t="s">
        <v>55</v>
      </c>
      <c r="D307" s="42">
        <v>5</v>
      </c>
      <c r="E307" s="41">
        <v>2.205168915938961E-4</v>
      </c>
    </row>
    <row r="308" spans="2:5" ht="15" customHeight="1">
      <c r="B308" s="94"/>
      <c r="C308" s="40" t="s">
        <v>20</v>
      </c>
      <c r="D308" s="39">
        <v>268</v>
      </c>
      <c r="E308" s="38">
        <v>1.1819705389432831E-2</v>
      </c>
    </row>
    <row r="309" spans="2:5" ht="15" customHeight="1">
      <c r="B309" s="92" t="s">
        <v>190</v>
      </c>
      <c r="C309" s="43" t="s">
        <v>34</v>
      </c>
      <c r="D309" s="42">
        <v>1</v>
      </c>
      <c r="E309" s="41">
        <v>4.4103378318779218E-5</v>
      </c>
    </row>
    <row r="310" spans="2:5" ht="15" customHeight="1">
      <c r="B310" s="93"/>
      <c r="C310" s="43" t="s">
        <v>250</v>
      </c>
      <c r="D310" s="42">
        <v>1</v>
      </c>
      <c r="E310" s="41">
        <v>4.4103378318779218E-5</v>
      </c>
    </row>
    <row r="311" spans="2:5" ht="15" customHeight="1">
      <c r="B311" s="93"/>
      <c r="C311" s="43" t="s">
        <v>49</v>
      </c>
      <c r="D311" s="42">
        <v>18</v>
      </c>
      <c r="E311" s="41">
        <v>7.9386080973802594E-4</v>
      </c>
    </row>
    <row r="312" spans="2:5" ht="15" customHeight="1">
      <c r="B312" s="93"/>
      <c r="C312" s="43" t="s">
        <v>52</v>
      </c>
      <c r="D312" s="42">
        <v>5</v>
      </c>
      <c r="E312" s="41">
        <v>2.205168915938961E-4</v>
      </c>
    </row>
    <row r="313" spans="2:5" ht="15" customHeight="1">
      <c r="B313" s="93"/>
      <c r="C313" s="43" t="s">
        <v>62</v>
      </c>
      <c r="D313" s="42">
        <v>127</v>
      </c>
      <c r="E313" s="41">
        <v>5.6011290464849607E-3</v>
      </c>
    </row>
    <row r="314" spans="2:5" ht="15" customHeight="1">
      <c r="B314" s="93"/>
      <c r="C314" s="43" t="s">
        <v>60</v>
      </c>
      <c r="D314" s="42">
        <v>33</v>
      </c>
      <c r="E314" s="41">
        <v>1.4554114845197143E-3</v>
      </c>
    </row>
    <row r="315" spans="2:5" ht="15" customHeight="1">
      <c r="B315" s="93"/>
      <c r="C315" s="43" t="s">
        <v>54</v>
      </c>
      <c r="D315" s="42">
        <v>15</v>
      </c>
      <c r="E315" s="41">
        <v>6.6155067478168832E-4</v>
      </c>
    </row>
    <row r="316" spans="2:5" ht="15" customHeight="1">
      <c r="B316" s="93"/>
      <c r="C316" s="43" t="s">
        <v>57</v>
      </c>
      <c r="D316" s="42">
        <v>16</v>
      </c>
      <c r="E316" s="41">
        <v>7.0565405310046749E-4</v>
      </c>
    </row>
    <row r="317" spans="2:5" ht="15" customHeight="1">
      <c r="B317" s="93"/>
      <c r="C317" s="43" t="s">
        <v>45</v>
      </c>
      <c r="D317" s="42">
        <v>7</v>
      </c>
      <c r="E317" s="41">
        <v>3.0872364823145452E-4</v>
      </c>
    </row>
    <row r="318" spans="2:5" ht="15" customHeight="1">
      <c r="B318" s="93"/>
      <c r="C318" s="43" t="s">
        <v>61</v>
      </c>
      <c r="D318" s="42">
        <v>39</v>
      </c>
      <c r="E318" s="41">
        <v>1.7200317544323895E-3</v>
      </c>
    </row>
    <row r="319" spans="2:5" ht="15" customHeight="1">
      <c r="B319" s="93"/>
      <c r="C319" s="43" t="s">
        <v>50</v>
      </c>
      <c r="D319" s="42">
        <v>3</v>
      </c>
      <c r="E319" s="41">
        <v>1.3231013495633765E-4</v>
      </c>
    </row>
    <row r="320" spans="2:5" ht="15" customHeight="1">
      <c r="B320" s="93"/>
      <c r="C320" s="43" t="s">
        <v>42</v>
      </c>
      <c r="D320" s="42">
        <v>5</v>
      </c>
      <c r="E320" s="41">
        <v>2.205168915938961E-4</v>
      </c>
    </row>
    <row r="321" spans="2:5" ht="15" customHeight="1">
      <c r="B321" s="93"/>
      <c r="C321" s="43" t="s">
        <v>56</v>
      </c>
      <c r="D321" s="42">
        <v>17</v>
      </c>
      <c r="E321" s="41">
        <v>7.4975743141924667E-4</v>
      </c>
    </row>
    <row r="322" spans="2:5" ht="15" customHeight="1">
      <c r="B322" s="93"/>
      <c r="C322" s="43" t="s">
        <v>36</v>
      </c>
      <c r="D322" s="42">
        <v>2</v>
      </c>
      <c r="E322" s="41">
        <v>8.8206756637558437E-5</v>
      </c>
    </row>
    <row r="323" spans="2:5" ht="15" customHeight="1">
      <c r="B323" s="93"/>
      <c r="C323" s="43" t="s">
        <v>43</v>
      </c>
      <c r="D323" s="42">
        <v>5</v>
      </c>
      <c r="E323" s="41">
        <v>2.205168915938961E-4</v>
      </c>
    </row>
    <row r="324" spans="2:5" ht="15" customHeight="1">
      <c r="B324" s="93"/>
      <c r="C324" s="43" t="s">
        <v>22</v>
      </c>
      <c r="D324" s="42">
        <v>1</v>
      </c>
      <c r="E324" s="41">
        <v>4.4103378318779218E-5</v>
      </c>
    </row>
    <row r="325" spans="2:5" ht="15" customHeight="1">
      <c r="B325" s="93"/>
      <c r="C325" s="43" t="s">
        <v>46</v>
      </c>
      <c r="D325" s="42">
        <v>10</v>
      </c>
      <c r="E325" s="41">
        <v>4.410337831877922E-4</v>
      </c>
    </row>
    <row r="326" spans="2:5" ht="15" customHeight="1">
      <c r="B326" s="93"/>
      <c r="C326" s="43" t="s">
        <v>32</v>
      </c>
      <c r="D326" s="42">
        <v>4</v>
      </c>
      <c r="E326" s="41">
        <v>1.7641351327511687E-4</v>
      </c>
    </row>
    <row r="327" spans="2:5" ht="15" customHeight="1">
      <c r="B327" s="93"/>
      <c r="C327" s="43" t="s">
        <v>39</v>
      </c>
      <c r="D327" s="42">
        <v>1</v>
      </c>
      <c r="E327" s="41">
        <v>4.4103378318779218E-5</v>
      </c>
    </row>
    <row r="328" spans="2:5" ht="15" customHeight="1">
      <c r="B328" s="93"/>
      <c r="C328" s="43" t="s">
        <v>37</v>
      </c>
      <c r="D328" s="42">
        <v>3</v>
      </c>
      <c r="E328" s="41">
        <v>1.3231013495633765E-4</v>
      </c>
    </row>
    <row r="329" spans="2:5" ht="15" customHeight="1">
      <c r="B329" s="93"/>
      <c r="C329" s="43" t="s">
        <v>58</v>
      </c>
      <c r="D329" s="42">
        <v>14</v>
      </c>
      <c r="E329" s="41">
        <v>6.1744729646290904E-4</v>
      </c>
    </row>
    <row r="330" spans="2:5" ht="15" customHeight="1">
      <c r="B330" s="93"/>
      <c r="C330" s="43" t="s">
        <v>30</v>
      </c>
      <c r="D330" s="42">
        <v>1</v>
      </c>
      <c r="E330" s="41">
        <v>4.4103378318779218E-5</v>
      </c>
    </row>
    <row r="331" spans="2:5" ht="15" customHeight="1">
      <c r="B331" s="93"/>
      <c r="C331" s="43" t="s">
        <v>47</v>
      </c>
      <c r="D331" s="42">
        <v>3</v>
      </c>
      <c r="E331" s="41">
        <v>1.3231013495633765E-4</v>
      </c>
    </row>
    <row r="332" spans="2:5" ht="15" customHeight="1">
      <c r="B332" s="93"/>
      <c r="C332" s="43" t="s">
        <v>27</v>
      </c>
      <c r="D332" s="42">
        <v>2</v>
      </c>
      <c r="E332" s="41">
        <v>8.8206756637558437E-5</v>
      </c>
    </row>
    <row r="333" spans="2:5" ht="15" customHeight="1">
      <c r="B333" s="93"/>
      <c r="C333" s="43" t="s">
        <v>51</v>
      </c>
      <c r="D333" s="42">
        <v>18</v>
      </c>
      <c r="E333" s="41">
        <v>7.9386080973802594E-4</v>
      </c>
    </row>
    <row r="334" spans="2:5" ht="15" customHeight="1">
      <c r="B334" s="93"/>
      <c r="C334" s="43" t="s">
        <v>35</v>
      </c>
      <c r="D334" s="42">
        <v>1</v>
      </c>
      <c r="E334" s="41">
        <v>4.4103378318779218E-5</v>
      </c>
    </row>
    <row r="335" spans="2:5" ht="15" customHeight="1">
      <c r="B335" s="93"/>
      <c r="C335" s="43" t="s">
        <v>59</v>
      </c>
      <c r="D335" s="42">
        <v>20</v>
      </c>
      <c r="E335" s="41">
        <v>8.820675663755844E-4</v>
      </c>
    </row>
    <row r="336" spans="2:5" ht="15" customHeight="1">
      <c r="B336" s="93"/>
      <c r="C336" s="43" t="s">
        <v>40</v>
      </c>
      <c r="D336" s="42">
        <v>3</v>
      </c>
      <c r="E336" s="41">
        <v>1.3231013495633765E-4</v>
      </c>
    </row>
    <row r="337" spans="2:5" ht="15" customHeight="1">
      <c r="B337" s="93"/>
      <c r="C337" s="43" t="s">
        <v>31</v>
      </c>
      <c r="D337" s="42">
        <v>1</v>
      </c>
      <c r="E337" s="41">
        <v>4.4103378318779218E-5</v>
      </c>
    </row>
    <row r="338" spans="2:5" ht="15" customHeight="1">
      <c r="B338" s="93"/>
      <c r="C338" s="43" t="s">
        <v>33</v>
      </c>
      <c r="D338" s="42">
        <v>2</v>
      </c>
      <c r="E338" s="41">
        <v>8.8206756637558437E-5</v>
      </c>
    </row>
    <row r="339" spans="2:5" ht="15" customHeight="1">
      <c r="B339" s="93"/>
      <c r="C339" s="43" t="s">
        <v>23</v>
      </c>
      <c r="D339" s="42">
        <v>2</v>
      </c>
      <c r="E339" s="41">
        <v>8.8206756637558437E-5</v>
      </c>
    </row>
    <row r="340" spans="2:5" ht="15" customHeight="1">
      <c r="B340" s="93"/>
      <c r="C340" s="43" t="s">
        <v>53</v>
      </c>
      <c r="D340" s="42">
        <v>14</v>
      </c>
      <c r="E340" s="41">
        <v>6.1744729646290904E-4</v>
      </c>
    </row>
    <row r="341" spans="2:5" ht="15" customHeight="1">
      <c r="B341" s="93"/>
      <c r="C341" s="43" t="s">
        <v>63</v>
      </c>
      <c r="D341" s="42">
        <v>142</v>
      </c>
      <c r="E341" s="41">
        <v>6.262679721266649E-3</v>
      </c>
    </row>
    <row r="342" spans="2:5" ht="15" customHeight="1">
      <c r="B342" s="93"/>
      <c r="C342" s="43" t="s">
        <v>48</v>
      </c>
      <c r="D342" s="42">
        <v>5</v>
      </c>
      <c r="E342" s="41">
        <v>2.205168915938961E-4</v>
      </c>
    </row>
    <row r="343" spans="2:5" ht="15" customHeight="1">
      <c r="B343" s="93"/>
      <c r="C343" s="43" t="s">
        <v>44</v>
      </c>
      <c r="D343" s="42">
        <v>7</v>
      </c>
      <c r="E343" s="41">
        <v>3.0872364823145452E-4</v>
      </c>
    </row>
    <row r="344" spans="2:5" ht="15" customHeight="1">
      <c r="B344" s="93"/>
      <c r="C344" s="43" t="s">
        <v>38</v>
      </c>
      <c r="D344" s="42">
        <v>1</v>
      </c>
      <c r="E344" s="41">
        <v>4.4103378318779218E-5</v>
      </c>
    </row>
    <row r="345" spans="2:5" ht="15" customHeight="1">
      <c r="B345" s="93"/>
      <c r="C345" s="43" t="s">
        <v>55</v>
      </c>
      <c r="D345" s="42">
        <v>11</v>
      </c>
      <c r="E345" s="41">
        <v>4.8513716150657142E-4</v>
      </c>
    </row>
    <row r="346" spans="2:5" ht="15" customHeight="1">
      <c r="B346" s="93"/>
      <c r="C346" s="43" t="s">
        <v>29</v>
      </c>
      <c r="D346" s="42">
        <v>1</v>
      </c>
      <c r="E346" s="41">
        <v>4.4103378318779218E-5</v>
      </c>
    </row>
    <row r="347" spans="2:5" ht="15" customHeight="1">
      <c r="B347" s="94"/>
      <c r="C347" s="40" t="s">
        <v>20</v>
      </c>
      <c r="D347" s="39">
        <v>561</v>
      </c>
      <c r="E347" s="38">
        <v>2.4741995236835141E-2</v>
      </c>
    </row>
    <row r="348" spans="2:5" ht="15" customHeight="1">
      <c r="B348" s="92" t="s">
        <v>189</v>
      </c>
      <c r="C348" s="43" t="s">
        <v>34</v>
      </c>
      <c r="D348" s="42">
        <v>3</v>
      </c>
      <c r="E348" s="41">
        <v>1.3231013495633765E-4</v>
      </c>
    </row>
    <row r="349" spans="2:5" ht="15" customHeight="1">
      <c r="B349" s="93"/>
      <c r="C349" s="43" t="s">
        <v>49</v>
      </c>
      <c r="D349" s="42">
        <v>11</v>
      </c>
      <c r="E349" s="41">
        <v>4.8513716150657142E-4</v>
      </c>
    </row>
    <row r="350" spans="2:5" ht="15" customHeight="1">
      <c r="B350" s="93"/>
      <c r="C350" s="43" t="s">
        <v>52</v>
      </c>
      <c r="D350" s="42">
        <v>4</v>
      </c>
      <c r="E350" s="41">
        <v>1.7641351327511687E-4</v>
      </c>
    </row>
    <row r="351" spans="2:5" ht="15" customHeight="1">
      <c r="B351" s="93"/>
      <c r="C351" s="43" t="s">
        <v>62</v>
      </c>
      <c r="D351" s="42">
        <v>146</v>
      </c>
      <c r="E351" s="41">
        <v>6.4390932345417661E-3</v>
      </c>
    </row>
    <row r="352" spans="2:5" ht="15" customHeight="1">
      <c r="B352" s="93"/>
      <c r="C352" s="43" t="s">
        <v>60</v>
      </c>
      <c r="D352" s="42">
        <v>62</v>
      </c>
      <c r="E352" s="41">
        <v>2.7344094557643114E-3</v>
      </c>
    </row>
    <row r="353" spans="2:5" ht="15" customHeight="1">
      <c r="B353" s="93"/>
      <c r="C353" s="43" t="s">
        <v>54</v>
      </c>
      <c r="D353" s="42">
        <v>15</v>
      </c>
      <c r="E353" s="41">
        <v>6.6155067478168832E-4</v>
      </c>
    </row>
    <row r="354" spans="2:5" ht="15" customHeight="1">
      <c r="B354" s="93"/>
      <c r="C354" s="43" t="s">
        <v>57</v>
      </c>
      <c r="D354" s="42">
        <v>13</v>
      </c>
      <c r="E354" s="41">
        <v>5.7334391814412987E-4</v>
      </c>
    </row>
    <row r="355" spans="2:5" ht="15" customHeight="1">
      <c r="B355" s="93"/>
      <c r="C355" s="43" t="s">
        <v>45</v>
      </c>
      <c r="D355" s="42">
        <v>34</v>
      </c>
      <c r="E355" s="41">
        <v>1.4995148628384933E-3</v>
      </c>
    </row>
    <row r="356" spans="2:5" ht="15" customHeight="1">
      <c r="B356" s="93"/>
      <c r="C356" s="43" t="s">
        <v>61</v>
      </c>
      <c r="D356" s="42">
        <v>66</v>
      </c>
      <c r="E356" s="41">
        <v>2.9108229690394285E-3</v>
      </c>
    </row>
    <row r="357" spans="2:5" ht="15" customHeight="1">
      <c r="B357" s="93"/>
      <c r="C357" s="43" t="s">
        <v>50</v>
      </c>
      <c r="D357" s="42">
        <v>5</v>
      </c>
      <c r="E357" s="41">
        <v>2.205168915938961E-4</v>
      </c>
    </row>
    <row r="358" spans="2:5" ht="15" customHeight="1">
      <c r="B358" s="93"/>
      <c r="C358" s="43" t="s">
        <v>42</v>
      </c>
      <c r="D358" s="42">
        <v>7</v>
      </c>
      <c r="E358" s="41">
        <v>3.0872364823145452E-4</v>
      </c>
    </row>
    <row r="359" spans="2:5" ht="15" customHeight="1">
      <c r="B359" s="93"/>
      <c r="C359" s="43" t="s">
        <v>56</v>
      </c>
      <c r="D359" s="42">
        <v>33</v>
      </c>
      <c r="E359" s="41">
        <v>1.4554114845197143E-3</v>
      </c>
    </row>
    <row r="360" spans="2:5" ht="15" customHeight="1">
      <c r="B360" s="93"/>
      <c r="C360" s="43" t="s">
        <v>36</v>
      </c>
      <c r="D360" s="42">
        <v>4</v>
      </c>
      <c r="E360" s="41">
        <v>1.7641351327511687E-4</v>
      </c>
    </row>
    <row r="361" spans="2:5" ht="15" customHeight="1">
      <c r="B361" s="93"/>
      <c r="C361" s="43" t="s">
        <v>43</v>
      </c>
      <c r="D361" s="42">
        <v>2</v>
      </c>
      <c r="E361" s="41">
        <v>8.8206756637558437E-5</v>
      </c>
    </row>
    <row r="362" spans="2:5" ht="15" customHeight="1">
      <c r="B362" s="93"/>
      <c r="C362" s="43" t="s">
        <v>46</v>
      </c>
      <c r="D362" s="42">
        <v>18</v>
      </c>
      <c r="E362" s="41">
        <v>7.9386080973802594E-4</v>
      </c>
    </row>
    <row r="363" spans="2:5" ht="15" customHeight="1">
      <c r="B363" s="93"/>
      <c r="C363" s="43" t="s">
        <v>32</v>
      </c>
      <c r="D363" s="42">
        <v>9</v>
      </c>
      <c r="E363" s="41">
        <v>3.9693040486901297E-4</v>
      </c>
    </row>
    <row r="364" spans="2:5" ht="15" customHeight="1">
      <c r="B364" s="93"/>
      <c r="C364" s="43" t="s">
        <v>39</v>
      </c>
      <c r="D364" s="42">
        <v>5</v>
      </c>
      <c r="E364" s="41">
        <v>2.205168915938961E-4</v>
      </c>
    </row>
    <row r="365" spans="2:5" ht="15" customHeight="1">
      <c r="B365" s="93"/>
      <c r="C365" s="43" t="s">
        <v>37</v>
      </c>
      <c r="D365" s="42">
        <v>8</v>
      </c>
      <c r="E365" s="41">
        <v>3.5282702655023375E-4</v>
      </c>
    </row>
    <row r="366" spans="2:5" ht="15" customHeight="1">
      <c r="B366" s="93"/>
      <c r="C366" s="43" t="s">
        <v>58</v>
      </c>
      <c r="D366" s="42">
        <v>20</v>
      </c>
      <c r="E366" s="41">
        <v>8.820675663755844E-4</v>
      </c>
    </row>
    <row r="367" spans="2:5" ht="15" customHeight="1">
      <c r="B367" s="93"/>
      <c r="C367" s="43" t="s">
        <v>30</v>
      </c>
      <c r="D367" s="42">
        <v>4</v>
      </c>
      <c r="E367" s="41">
        <v>1.7641351327511687E-4</v>
      </c>
    </row>
    <row r="368" spans="2:5" ht="15" customHeight="1">
      <c r="B368" s="93"/>
      <c r="C368" s="43" t="s">
        <v>47</v>
      </c>
      <c r="D368" s="42">
        <v>13</v>
      </c>
      <c r="E368" s="41">
        <v>5.7334391814412987E-4</v>
      </c>
    </row>
    <row r="369" spans="2:5" ht="15" customHeight="1">
      <c r="B369" s="93"/>
      <c r="C369" s="43" t="s">
        <v>27</v>
      </c>
      <c r="D369" s="42">
        <v>1</v>
      </c>
      <c r="E369" s="41">
        <v>4.4103378318779218E-5</v>
      </c>
    </row>
    <row r="370" spans="2:5" ht="15" customHeight="1">
      <c r="B370" s="93"/>
      <c r="C370" s="43" t="s">
        <v>51</v>
      </c>
      <c r="D370" s="42">
        <v>23</v>
      </c>
      <c r="E370" s="41">
        <v>1.0143777013319221E-3</v>
      </c>
    </row>
    <row r="371" spans="2:5" ht="15" customHeight="1">
      <c r="B371" s="93"/>
      <c r="C371" s="43" t="s">
        <v>35</v>
      </c>
      <c r="D371" s="42">
        <v>2</v>
      </c>
      <c r="E371" s="41">
        <v>8.8206756637558437E-5</v>
      </c>
    </row>
    <row r="372" spans="2:5" ht="15" customHeight="1">
      <c r="B372" s="93"/>
      <c r="C372" s="43" t="s">
        <v>59</v>
      </c>
      <c r="D372" s="42">
        <v>38</v>
      </c>
      <c r="E372" s="41">
        <v>1.6759283761136102E-3</v>
      </c>
    </row>
    <row r="373" spans="2:5" ht="15" customHeight="1">
      <c r="B373" s="93"/>
      <c r="C373" s="43" t="s">
        <v>40</v>
      </c>
      <c r="D373" s="42">
        <v>6</v>
      </c>
      <c r="E373" s="41">
        <v>2.646202699126753E-4</v>
      </c>
    </row>
    <row r="374" spans="2:5" ht="15" customHeight="1">
      <c r="B374" s="93"/>
      <c r="C374" s="43" t="s">
        <v>31</v>
      </c>
      <c r="D374" s="42">
        <v>3</v>
      </c>
      <c r="E374" s="41">
        <v>1.3231013495633765E-4</v>
      </c>
    </row>
    <row r="375" spans="2:5" ht="15" customHeight="1">
      <c r="B375" s="93"/>
      <c r="C375" s="43" t="s">
        <v>33</v>
      </c>
      <c r="D375" s="42">
        <v>6</v>
      </c>
      <c r="E375" s="41">
        <v>2.646202699126753E-4</v>
      </c>
    </row>
    <row r="376" spans="2:5" ht="15" customHeight="1">
      <c r="B376" s="93"/>
      <c r="C376" s="43" t="s">
        <v>23</v>
      </c>
      <c r="D376" s="42">
        <v>1</v>
      </c>
      <c r="E376" s="41">
        <v>4.4103378318779218E-5</v>
      </c>
    </row>
    <row r="377" spans="2:5" ht="15" customHeight="1">
      <c r="B377" s="93"/>
      <c r="C377" s="43" t="s">
        <v>53</v>
      </c>
      <c r="D377" s="42">
        <v>15</v>
      </c>
      <c r="E377" s="41">
        <v>6.6155067478168832E-4</v>
      </c>
    </row>
    <row r="378" spans="2:5" ht="15" customHeight="1">
      <c r="B378" s="93"/>
      <c r="C378" s="43" t="s">
        <v>63</v>
      </c>
      <c r="D378" s="42">
        <v>267</v>
      </c>
      <c r="E378" s="41">
        <v>1.1775602011114052E-2</v>
      </c>
    </row>
    <row r="379" spans="2:5" ht="15" customHeight="1">
      <c r="B379" s="93"/>
      <c r="C379" s="43" t="s">
        <v>48</v>
      </c>
      <c r="D379" s="42">
        <v>17</v>
      </c>
      <c r="E379" s="41">
        <v>7.4975743141924667E-4</v>
      </c>
    </row>
    <row r="380" spans="2:5" ht="15" customHeight="1">
      <c r="B380" s="93"/>
      <c r="C380" s="43" t="s">
        <v>44</v>
      </c>
      <c r="D380" s="42">
        <v>8</v>
      </c>
      <c r="E380" s="41">
        <v>3.5282702655023375E-4</v>
      </c>
    </row>
    <row r="381" spans="2:5" ht="15" customHeight="1">
      <c r="B381" s="93"/>
      <c r="C381" s="43" t="s">
        <v>253</v>
      </c>
      <c r="D381" s="42">
        <v>1</v>
      </c>
      <c r="E381" s="41">
        <v>4.4103378318779218E-5</v>
      </c>
    </row>
    <row r="382" spans="2:5" ht="15" customHeight="1">
      <c r="B382" s="93"/>
      <c r="C382" s="43" t="s">
        <v>55</v>
      </c>
      <c r="D382" s="42">
        <v>9</v>
      </c>
      <c r="E382" s="41">
        <v>3.9693040486901297E-4</v>
      </c>
    </row>
    <row r="383" spans="2:5" ht="15" customHeight="1">
      <c r="B383" s="93"/>
      <c r="C383" s="43" t="s">
        <v>29</v>
      </c>
      <c r="D383" s="42">
        <v>1</v>
      </c>
      <c r="E383" s="41">
        <v>4.4103378318779218E-5</v>
      </c>
    </row>
    <row r="384" spans="2:5" ht="15" customHeight="1">
      <c r="B384" s="94"/>
      <c r="C384" s="40" t="s">
        <v>20</v>
      </c>
      <c r="D384" s="39">
        <v>880</v>
      </c>
      <c r="E384" s="38">
        <v>3.881097292052571E-2</v>
      </c>
    </row>
    <row r="385" spans="2:5" ht="15" customHeight="1">
      <c r="B385" s="92" t="s">
        <v>188</v>
      </c>
      <c r="C385" s="43" t="s">
        <v>34</v>
      </c>
      <c r="D385" s="42">
        <v>13</v>
      </c>
      <c r="E385" s="41">
        <v>5.7334391814412987E-4</v>
      </c>
    </row>
    <row r="386" spans="2:5" ht="15" customHeight="1">
      <c r="B386" s="93"/>
      <c r="C386" s="43" t="s">
        <v>250</v>
      </c>
      <c r="D386" s="42">
        <v>7</v>
      </c>
      <c r="E386" s="41">
        <v>3.0872364823145452E-4</v>
      </c>
    </row>
    <row r="387" spans="2:5" ht="15" customHeight="1">
      <c r="B387" s="93"/>
      <c r="C387" s="43" t="s">
        <v>49</v>
      </c>
      <c r="D387" s="42">
        <v>128</v>
      </c>
      <c r="E387" s="41">
        <v>5.64523242480374E-3</v>
      </c>
    </row>
    <row r="388" spans="2:5" ht="15" customHeight="1">
      <c r="B388" s="93"/>
      <c r="C388" s="43" t="s">
        <v>52</v>
      </c>
      <c r="D388" s="42">
        <v>56</v>
      </c>
      <c r="E388" s="41">
        <v>2.4697891858516362E-3</v>
      </c>
    </row>
    <row r="389" spans="2:5" ht="15" customHeight="1">
      <c r="B389" s="93"/>
      <c r="C389" s="43" t="s">
        <v>62</v>
      </c>
      <c r="D389" s="42">
        <v>1238</v>
      </c>
      <c r="E389" s="41">
        <v>5.4599982358648672E-2</v>
      </c>
    </row>
    <row r="390" spans="2:5" ht="15" customHeight="1">
      <c r="B390" s="93"/>
      <c r="C390" s="43" t="s">
        <v>60</v>
      </c>
      <c r="D390" s="42">
        <v>291</v>
      </c>
      <c r="E390" s="41">
        <v>1.2834083090764753E-2</v>
      </c>
    </row>
    <row r="391" spans="2:5" ht="15" customHeight="1">
      <c r="B391" s="93"/>
      <c r="C391" s="43" t="s">
        <v>25</v>
      </c>
      <c r="D391" s="42">
        <v>2</v>
      </c>
      <c r="E391" s="41">
        <v>8.8206756637558437E-5</v>
      </c>
    </row>
    <row r="392" spans="2:5" ht="15" customHeight="1">
      <c r="B392" s="93"/>
      <c r="C392" s="43" t="s">
        <v>26</v>
      </c>
      <c r="D392" s="42">
        <v>4</v>
      </c>
      <c r="E392" s="41">
        <v>1.7641351327511687E-4</v>
      </c>
    </row>
    <row r="393" spans="2:5" ht="15" customHeight="1">
      <c r="B393" s="93"/>
      <c r="C393" s="43" t="s">
        <v>252</v>
      </c>
      <c r="D393" s="42">
        <v>1</v>
      </c>
      <c r="E393" s="41">
        <v>4.4103378318779218E-5</v>
      </c>
    </row>
    <row r="394" spans="2:5" ht="15" customHeight="1">
      <c r="B394" s="93"/>
      <c r="C394" s="43" t="s">
        <v>54</v>
      </c>
      <c r="D394" s="42">
        <v>98</v>
      </c>
      <c r="E394" s="41">
        <v>4.3221310752403633E-3</v>
      </c>
    </row>
    <row r="395" spans="2:5" ht="15" customHeight="1">
      <c r="B395" s="93"/>
      <c r="C395" s="43" t="s">
        <v>57</v>
      </c>
      <c r="D395" s="42">
        <v>161</v>
      </c>
      <c r="E395" s="41">
        <v>7.1006439093234544E-3</v>
      </c>
    </row>
    <row r="396" spans="2:5" ht="15" customHeight="1">
      <c r="B396" s="93"/>
      <c r="C396" s="43" t="s">
        <v>45</v>
      </c>
      <c r="D396" s="42">
        <v>78</v>
      </c>
      <c r="E396" s="41">
        <v>3.440063508864779E-3</v>
      </c>
    </row>
    <row r="397" spans="2:5" ht="15" customHeight="1">
      <c r="B397" s="93"/>
      <c r="C397" s="43" t="s">
        <v>61</v>
      </c>
      <c r="D397" s="42">
        <v>953</v>
      </c>
      <c r="E397" s="41">
        <v>4.2030519537796594E-2</v>
      </c>
    </row>
    <row r="398" spans="2:5" ht="15" customHeight="1">
      <c r="B398" s="93"/>
      <c r="C398" s="43" t="s">
        <v>50</v>
      </c>
      <c r="D398" s="42">
        <v>82</v>
      </c>
      <c r="E398" s="41">
        <v>3.6164770221398957E-3</v>
      </c>
    </row>
    <row r="399" spans="2:5" ht="15" customHeight="1">
      <c r="B399" s="93"/>
      <c r="C399" s="43" t="s">
        <v>42</v>
      </c>
      <c r="D399" s="42">
        <v>45</v>
      </c>
      <c r="E399" s="41">
        <v>1.984652024345065E-3</v>
      </c>
    </row>
    <row r="400" spans="2:5" ht="15" customHeight="1">
      <c r="B400" s="93"/>
      <c r="C400" s="43" t="s">
        <v>56</v>
      </c>
      <c r="D400" s="42">
        <v>82</v>
      </c>
      <c r="E400" s="41">
        <v>3.6164770221398957E-3</v>
      </c>
    </row>
    <row r="401" spans="2:5" ht="15" customHeight="1">
      <c r="B401" s="93"/>
      <c r="C401" s="43" t="s">
        <v>36</v>
      </c>
      <c r="D401" s="42">
        <v>36</v>
      </c>
      <c r="E401" s="41">
        <v>1.5877216194760519E-3</v>
      </c>
    </row>
    <row r="402" spans="2:5" ht="15" customHeight="1">
      <c r="B402" s="93"/>
      <c r="C402" s="43" t="s">
        <v>43</v>
      </c>
      <c r="D402" s="42">
        <v>52</v>
      </c>
      <c r="E402" s="41">
        <v>2.2933756725765195E-3</v>
      </c>
    </row>
    <row r="403" spans="2:5" ht="15" customHeight="1">
      <c r="B403" s="93"/>
      <c r="C403" s="43" t="s">
        <v>28</v>
      </c>
      <c r="D403" s="42">
        <v>3</v>
      </c>
      <c r="E403" s="41">
        <v>1.3231013495633765E-4</v>
      </c>
    </row>
    <row r="404" spans="2:5" ht="15" customHeight="1">
      <c r="B404" s="93"/>
      <c r="C404" s="43" t="s">
        <v>22</v>
      </c>
      <c r="D404" s="42">
        <v>3</v>
      </c>
      <c r="E404" s="41">
        <v>1.3231013495633765E-4</v>
      </c>
    </row>
    <row r="405" spans="2:5" ht="15" customHeight="1">
      <c r="B405" s="93"/>
      <c r="C405" s="43" t="s">
        <v>46</v>
      </c>
      <c r="D405" s="42">
        <v>83</v>
      </c>
      <c r="E405" s="41">
        <v>3.660580400458675E-3</v>
      </c>
    </row>
    <row r="406" spans="2:5" ht="15" customHeight="1">
      <c r="B406" s="93"/>
      <c r="C406" s="43" t="s">
        <v>41</v>
      </c>
      <c r="D406" s="42">
        <v>68</v>
      </c>
      <c r="E406" s="41">
        <v>2.9990297256769867E-3</v>
      </c>
    </row>
    <row r="407" spans="2:5" ht="15" customHeight="1">
      <c r="B407" s="93"/>
      <c r="C407" s="43" t="s">
        <v>32</v>
      </c>
      <c r="D407" s="42">
        <v>42</v>
      </c>
      <c r="E407" s="41">
        <v>1.8523418893887271E-3</v>
      </c>
    </row>
    <row r="408" spans="2:5" ht="15" customHeight="1">
      <c r="B408" s="93"/>
      <c r="C408" s="43" t="s">
        <v>39</v>
      </c>
      <c r="D408" s="42">
        <v>16</v>
      </c>
      <c r="E408" s="41">
        <v>7.0565405310046749E-4</v>
      </c>
    </row>
    <row r="409" spans="2:5" ht="15" customHeight="1">
      <c r="B409" s="93"/>
      <c r="C409" s="43" t="s">
        <v>251</v>
      </c>
      <c r="D409" s="42">
        <v>2</v>
      </c>
      <c r="E409" s="41">
        <v>8.8206756637558437E-5</v>
      </c>
    </row>
    <row r="410" spans="2:5" ht="15" customHeight="1">
      <c r="B410" s="93"/>
      <c r="C410" s="43" t="s">
        <v>37</v>
      </c>
      <c r="D410" s="42">
        <v>35</v>
      </c>
      <c r="E410" s="41">
        <v>1.5436182411572726E-3</v>
      </c>
    </row>
    <row r="411" spans="2:5" ht="15" customHeight="1">
      <c r="B411" s="93"/>
      <c r="C411" s="43" t="s">
        <v>58</v>
      </c>
      <c r="D411" s="42">
        <v>130</v>
      </c>
      <c r="E411" s="41">
        <v>5.7334391814412985E-3</v>
      </c>
    </row>
    <row r="412" spans="2:5" ht="15" customHeight="1">
      <c r="B412" s="93"/>
      <c r="C412" s="43" t="s">
        <v>24</v>
      </c>
      <c r="D412" s="42">
        <v>5</v>
      </c>
      <c r="E412" s="41">
        <v>2.205168915938961E-4</v>
      </c>
    </row>
    <row r="413" spans="2:5" ht="15" customHeight="1">
      <c r="B413" s="93"/>
      <c r="C413" s="43" t="s">
        <v>30</v>
      </c>
      <c r="D413" s="42">
        <v>17</v>
      </c>
      <c r="E413" s="41">
        <v>7.4975743141924667E-4</v>
      </c>
    </row>
    <row r="414" spans="2:5" ht="15" customHeight="1">
      <c r="B414" s="93"/>
      <c r="C414" s="43" t="s">
        <v>47</v>
      </c>
      <c r="D414" s="42">
        <v>59</v>
      </c>
      <c r="E414" s="41">
        <v>2.602099320807974E-3</v>
      </c>
    </row>
    <row r="415" spans="2:5" ht="15" customHeight="1">
      <c r="B415" s="93"/>
      <c r="C415" s="43" t="s">
        <v>27</v>
      </c>
      <c r="D415" s="42">
        <v>7</v>
      </c>
      <c r="E415" s="41">
        <v>3.0872364823145452E-4</v>
      </c>
    </row>
    <row r="416" spans="2:5" ht="15" customHeight="1">
      <c r="B416" s="93"/>
      <c r="C416" s="43" t="s">
        <v>51</v>
      </c>
      <c r="D416" s="42">
        <v>142</v>
      </c>
      <c r="E416" s="41">
        <v>6.262679721266649E-3</v>
      </c>
    </row>
    <row r="417" spans="2:5" ht="15" customHeight="1">
      <c r="B417" s="93"/>
      <c r="C417" s="43" t="s">
        <v>21</v>
      </c>
      <c r="D417" s="42">
        <v>1</v>
      </c>
      <c r="E417" s="41">
        <v>4.4103378318779218E-5</v>
      </c>
    </row>
    <row r="418" spans="2:5" ht="15" customHeight="1">
      <c r="B418" s="93"/>
      <c r="C418" s="43" t="s">
        <v>35</v>
      </c>
      <c r="D418" s="42">
        <v>14</v>
      </c>
      <c r="E418" s="41">
        <v>6.1744729646290904E-4</v>
      </c>
    </row>
    <row r="419" spans="2:5" ht="15" customHeight="1">
      <c r="B419" s="93"/>
      <c r="C419" s="43" t="s">
        <v>59</v>
      </c>
      <c r="D419" s="42">
        <v>268</v>
      </c>
      <c r="E419" s="41">
        <v>1.1819705389432831E-2</v>
      </c>
    </row>
    <row r="420" spans="2:5" ht="15" customHeight="1">
      <c r="B420" s="93"/>
      <c r="C420" s="43" t="s">
        <v>40</v>
      </c>
      <c r="D420" s="42">
        <v>10</v>
      </c>
      <c r="E420" s="41">
        <v>4.410337831877922E-4</v>
      </c>
    </row>
    <row r="421" spans="2:5" ht="15" customHeight="1">
      <c r="B421" s="93"/>
      <c r="C421" s="43" t="s">
        <v>31</v>
      </c>
      <c r="D421" s="42">
        <v>11</v>
      </c>
      <c r="E421" s="41">
        <v>4.8513716150657142E-4</v>
      </c>
    </row>
    <row r="422" spans="2:5" ht="15" customHeight="1">
      <c r="B422" s="93"/>
      <c r="C422" s="43" t="s">
        <v>33</v>
      </c>
      <c r="D422" s="42">
        <v>34</v>
      </c>
      <c r="E422" s="41">
        <v>1.4995148628384933E-3</v>
      </c>
    </row>
    <row r="423" spans="2:5" ht="15" customHeight="1">
      <c r="B423" s="93"/>
      <c r="C423" s="43" t="s">
        <v>23</v>
      </c>
      <c r="D423" s="42">
        <v>7</v>
      </c>
      <c r="E423" s="41">
        <v>3.0872364823145452E-4</v>
      </c>
    </row>
    <row r="424" spans="2:5" ht="15" customHeight="1">
      <c r="B424" s="93"/>
      <c r="C424" s="43" t="s">
        <v>53</v>
      </c>
      <c r="D424" s="42">
        <v>135</v>
      </c>
      <c r="E424" s="41">
        <v>5.9539560730351949E-3</v>
      </c>
    </row>
    <row r="425" spans="2:5" ht="15" customHeight="1">
      <c r="B425" s="93"/>
      <c r="C425" s="43" t="s">
        <v>63</v>
      </c>
      <c r="D425" s="42">
        <v>2534</v>
      </c>
      <c r="E425" s="41">
        <v>0.11175796065978653</v>
      </c>
    </row>
    <row r="426" spans="2:5" ht="15" customHeight="1">
      <c r="B426" s="93"/>
      <c r="C426" s="43" t="s">
        <v>48</v>
      </c>
      <c r="D426" s="42">
        <v>92</v>
      </c>
      <c r="E426" s="41">
        <v>4.0575108053276885E-3</v>
      </c>
    </row>
    <row r="427" spans="2:5" ht="15" customHeight="1">
      <c r="B427" s="93"/>
      <c r="C427" s="43" t="s">
        <v>44</v>
      </c>
      <c r="D427" s="42">
        <v>42</v>
      </c>
      <c r="E427" s="41">
        <v>1.8523418893887271E-3</v>
      </c>
    </row>
    <row r="428" spans="2:5" ht="15" customHeight="1">
      <c r="B428" s="93"/>
      <c r="C428" s="43" t="s">
        <v>38</v>
      </c>
      <c r="D428" s="42">
        <v>13</v>
      </c>
      <c r="E428" s="41">
        <v>5.7334391814412987E-4</v>
      </c>
    </row>
    <row r="429" spans="2:5" ht="15" customHeight="1">
      <c r="B429" s="93"/>
      <c r="C429" s="43" t="s">
        <v>55</v>
      </c>
      <c r="D429" s="42">
        <v>140</v>
      </c>
      <c r="E429" s="41">
        <v>6.1744729646290904E-3</v>
      </c>
    </row>
    <row r="430" spans="2:5" ht="15" customHeight="1">
      <c r="B430" s="93"/>
      <c r="C430" s="43" t="s">
        <v>29</v>
      </c>
      <c r="D430" s="42">
        <v>13</v>
      </c>
      <c r="E430" s="41">
        <v>5.7334391814412987E-4</v>
      </c>
    </row>
    <row r="431" spans="2:5" ht="15" customHeight="1">
      <c r="B431" s="94"/>
      <c r="C431" s="40" t="s">
        <v>20</v>
      </c>
      <c r="D431" s="39">
        <v>7253</v>
      </c>
      <c r="E431" s="38">
        <v>0.31988180294610569</v>
      </c>
    </row>
    <row r="432" spans="2:5" ht="15" customHeight="1">
      <c r="B432" s="92" t="s">
        <v>187</v>
      </c>
      <c r="C432" s="43" t="s">
        <v>49</v>
      </c>
      <c r="D432" s="42">
        <v>6</v>
      </c>
      <c r="E432" s="41">
        <v>2.646202699126753E-4</v>
      </c>
    </row>
    <row r="433" spans="2:5" ht="15" customHeight="1">
      <c r="B433" s="93"/>
      <c r="C433" s="43" t="s">
        <v>52</v>
      </c>
      <c r="D433" s="42">
        <v>2</v>
      </c>
      <c r="E433" s="41">
        <v>8.8206756637558437E-5</v>
      </c>
    </row>
    <row r="434" spans="2:5" ht="15" customHeight="1">
      <c r="B434" s="93"/>
      <c r="C434" s="43" t="s">
        <v>62</v>
      </c>
      <c r="D434" s="42">
        <v>62</v>
      </c>
      <c r="E434" s="41">
        <v>2.7344094557643114E-3</v>
      </c>
    </row>
    <row r="435" spans="2:5" ht="15" customHeight="1">
      <c r="B435" s="93"/>
      <c r="C435" s="43" t="s">
        <v>60</v>
      </c>
      <c r="D435" s="42">
        <v>8</v>
      </c>
      <c r="E435" s="41">
        <v>3.5282702655023375E-4</v>
      </c>
    </row>
    <row r="436" spans="2:5" ht="15" customHeight="1">
      <c r="B436" s="93"/>
      <c r="C436" s="43" t="s">
        <v>54</v>
      </c>
      <c r="D436" s="42">
        <v>5</v>
      </c>
      <c r="E436" s="41">
        <v>2.205168915938961E-4</v>
      </c>
    </row>
    <row r="437" spans="2:5" ht="15" customHeight="1">
      <c r="B437" s="93"/>
      <c r="C437" s="43" t="s">
        <v>57</v>
      </c>
      <c r="D437" s="42">
        <v>4</v>
      </c>
      <c r="E437" s="41">
        <v>1.7641351327511687E-4</v>
      </c>
    </row>
    <row r="438" spans="2:5" ht="15" customHeight="1">
      <c r="B438" s="93"/>
      <c r="C438" s="43" t="s">
        <v>61</v>
      </c>
      <c r="D438" s="42">
        <v>27</v>
      </c>
      <c r="E438" s="41">
        <v>1.1907912146070388E-3</v>
      </c>
    </row>
    <row r="439" spans="2:5" ht="15" customHeight="1">
      <c r="B439" s="93"/>
      <c r="C439" s="43" t="s">
        <v>50</v>
      </c>
      <c r="D439" s="42">
        <v>2</v>
      </c>
      <c r="E439" s="41">
        <v>8.8206756637558437E-5</v>
      </c>
    </row>
    <row r="440" spans="2:5" ht="15" customHeight="1">
      <c r="B440" s="93"/>
      <c r="C440" s="43" t="s">
        <v>56</v>
      </c>
      <c r="D440" s="42">
        <v>4</v>
      </c>
      <c r="E440" s="41">
        <v>1.7641351327511687E-4</v>
      </c>
    </row>
    <row r="441" spans="2:5" ht="15" customHeight="1">
      <c r="B441" s="93"/>
      <c r="C441" s="43" t="s">
        <v>36</v>
      </c>
      <c r="D441" s="42">
        <v>1</v>
      </c>
      <c r="E441" s="41">
        <v>4.4103378318779218E-5</v>
      </c>
    </row>
    <row r="442" spans="2:5" ht="15" customHeight="1">
      <c r="B442" s="93"/>
      <c r="C442" s="43" t="s">
        <v>46</v>
      </c>
      <c r="D442" s="42">
        <v>3</v>
      </c>
      <c r="E442" s="41">
        <v>1.3231013495633765E-4</v>
      </c>
    </row>
    <row r="443" spans="2:5" ht="15" customHeight="1">
      <c r="B443" s="93"/>
      <c r="C443" s="43" t="s">
        <v>41</v>
      </c>
      <c r="D443" s="42">
        <v>1</v>
      </c>
      <c r="E443" s="41">
        <v>4.4103378318779218E-5</v>
      </c>
    </row>
    <row r="444" spans="2:5" ht="15" customHeight="1">
      <c r="B444" s="93"/>
      <c r="C444" s="43" t="s">
        <v>32</v>
      </c>
      <c r="D444" s="42">
        <v>1</v>
      </c>
      <c r="E444" s="41">
        <v>4.4103378318779218E-5</v>
      </c>
    </row>
    <row r="445" spans="2:5" ht="15" customHeight="1">
      <c r="B445" s="93"/>
      <c r="C445" s="43" t="s">
        <v>37</v>
      </c>
      <c r="D445" s="42">
        <v>2</v>
      </c>
      <c r="E445" s="41">
        <v>8.8206756637558437E-5</v>
      </c>
    </row>
    <row r="446" spans="2:5" ht="15" customHeight="1">
      <c r="B446" s="93"/>
      <c r="C446" s="43" t="s">
        <v>58</v>
      </c>
      <c r="D446" s="42">
        <v>3</v>
      </c>
      <c r="E446" s="41">
        <v>1.3231013495633765E-4</v>
      </c>
    </row>
    <row r="447" spans="2:5" ht="15" customHeight="1">
      <c r="B447" s="93"/>
      <c r="C447" s="43" t="s">
        <v>30</v>
      </c>
      <c r="D447" s="42">
        <v>1</v>
      </c>
      <c r="E447" s="41">
        <v>4.4103378318779218E-5</v>
      </c>
    </row>
    <row r="448" spans="2:5" ht="15" customHeight="1">
      <c r="B448" s="93"/>
      <c r="C448" s="43" t="s">
        <v>47</v>
      </c>
      <c r="D448" s="42">
        <v>5</v>
      </c>
      <c r="E448" s="41">
        <v>2.205168915938961E-4</v>
      </c>
    </row>
    <row r="449" spans="2:5" ht="15" customHeight="1">
      <c r="B449" s="93"/>
      <c r="C449" s="43" t="s">
        <v>27</v>
      </c>
      <c r="D449" s="42">
        <v>1</v>
      </c>
      <c r="E449" s="41">
        <v>4.4103378318779218E-5</v>
      </c>
    </row>
    <row r="450" spans="2:5" ht="15" customHeight="1">
      <c r="B450" s="93"/>
      <c r="C450" s="43" t="s">
        <v>51</v>
      </c>
      <c r="D450" s="42">
        <v>6</v>
      </c>
      <c r="E450" s="41">
        <v>2.646202699126753E-4</v>
      </c>
    </row>
    <row r="451" spans="2:5" ht="15" customHeight="1">
      <c r="B451" s="93"/>
      <c r="C451" s="43" t="s">
        <v>35</v>
      </c>
      <c r="D451" s="42">
        <v>1</v>
      </c>
      <c r="E451" s="41">
        <v>4.4103378318779218E-5</v>
      </c>
    </row>
    <row r="452" spans="2:5" ht="15" customHeight="1">
      <c r="B452" s="93"/>
      <c r="C452" s="43" t="s">
        <v>59</v>
      </c>
      <c r="D452" s="42">
        <v>5</v>
      </c>
      <c r="E452" s="41">
        <v>2.205168915938961E-4</v>
      </c>
    </row>
    <row r="453" spans="2:5" ht="15" customHeight="1">
      <c r="B453" s="93"/>
      <c r="C453" s="43" t="s">
        <v>31</v>
      </c>
      <c r="D453" s="42">
        <v>1</v>
      </c>
      <c r="E453" s="41">
        <v>4.4103378318779218E-5</v>
      </c>
    </row>
    <row r="454" spans="2:5" ht="15" customHeight="1">
      <c r="B454" s="93"/>
      <c r="C454" s="43" t="s">
        <v>53</v>
      </c>
      <c r="D454" s="42">
        <v>3</v>
      </c>
      <c r="E454" s="41">
        <v>1.3231013495633765E-4</v>
      </c>
    </row>
    <row r="455" spans="2:5" ht="15" customHeight="1">
      <c r="B455" s="93"/>
      <c r="C455" s="43" t="s">
        <v>63</v>
      </c>
      <c r="D455" s="42">
        <v>70</v>
      </c>
      <c r="E455" s="41">
        <v>3.0872364823145452E-3</v>
      </c>
    </row>
    <row r="456" spans="2:5" ht="15" customHeight="1">
      <c r="B456" s="93"/>
      <c r="C456" s="43" t="s">
        <v>48</v>
      </c>
      <c r="D456" s="42">
        <v>3</v>
      </c>
      <c r="E456" s="41">
        <v>1.3231013495633765E-4</v>
      </c>
    </row>
    <row r="457" spans="2:5" ht="15" customHeight="1">
      <c r="B457" s="93"/>
      <c r="C457" s="43" t="s">
        <v>38</v>
      </c>
      <c r="D457" s="42">
        <v>1</v>
      </c>
      <c r="E457" s="41">
        <v>4.4103378318779218E-5</v>
      </c>
    </row>
    <row r="458" spans="2:5" ht="15" customHeight="1">
      <c r="B458" s="93"/>
      <c r="C458" s="43" t="s">
        <v>55</v>
      </c>
      <c r="D458" s="42">
        <v>2</v>
      </c>
      <c r="E458" s="41">
        <v>8.8206756637558437E-5</v>
      </c>
    </row>
    <row r="459" spans="2:5" ht="15" customHeight="1">
      <c r="B459" s="94"/>
      <c r="C459" s="40" t="s">
        <v>20</v>
      </c>
      <c r="D459" s="39">
        <v>230</v>
      </c>
      <c r="E459" s="38">
        <v>1.014377701331922E-2</v>
      </c>
    </row>
    <row r="460" spans="2:5" ht="15" customHeight="1">
      <c r="B460" s="92" t="s">
        <v>186</v>
      </c>
      <c r="C460" s="43" t="s">
        <v>34</v>
      </c>
      <c r="D460" s="42">
        <v>7</v>
      </c>
      <c r="E460" s="41">
        <v>3.0872364823145452E-4</v>
      </c>
    </row>
    <row r="461" spans="2:5" ht="15" customHeight="1">
      <c r="B461" s="93"/>
      <c r="C461" s="43" t="s">
        <v>49</v>
      </c>
      <c r="D461" s="42">
        <v>24</v>
      </c>
      <c r="E461" s="41">
        <v>1.0584810796507012E-3</v>
      </c>
    </row>
    <row r="462" spans="2:5" ht="15" customHeight="1">
      <c r="B462" s="93"/>
      <c r="C462" s="43" t="s">
        <v>52</v>
      </c>
      <c r="D462" s="42">
        <v>6</v>
      </c>
      <c r="E462" s="41">
        <v>2.646202699126753E-4</v>
      </c>
    </row>
    <row r="463" spans="2:5" ht="15" customHeight="1">
      <c r="B463" s="93"/>
      <c r="C463" s="43" t="s">
        <v>62</v>
      </c>
      <c r="D463" s="42">
        <v>223</v>
      </c>
      <c r="E463" s="41">
        <v>9.8350533650877654E-3</v>
      </c>
    </row>
    <row r="464" spans="2:5" ht="15" customHeight="1">
      <c r="B464" s="93"/>
      <c r="C464" s="43" t="s">
        <v>60</v>
      </c>
      <c r="D464" s="42">
        <v>61</v>
      </c>
      <c r="E464" s="41">
        <v>2.6903060774455321E-3</v>
      </c>
    </row>
    <row r="465" spans="2:5" ht="15" customHeight="1">
      <c r="B465" s="93"/>
      <c r="C465" s="43" t="s">
        <v>54</v>
      </c>
      <c r="D465" s="42">
        <v>16</v>
      </c>
      <c r="E465" s="41">
        <v>7.0565405310046749E-4</v>
      </c>
    </row>
    <row r="466" spans="2:5" ht="15" customHeight="1">
      <c r="B466" s="93"/>
      <c r="C466" s="43" t="s">
        <v>57</v>
      </c>
      <c r="D466" s="42">
        <v>21</v>
      </c>
      <c r="E466" s="41">
        <v>9.2617094469436357E-4</v>
      </c>
    </row>
    <row r="467" spans="2:5" ht="15" customHeight="1">
      <c r="B467" s="93"/>
      <c r="C467" s="43" t="s">
        <v>45</v>
      </c>
      <c r="D467" s="42">
        <v>11</v>
      </c>
      <c r="E467" s="41">
        <v>4.8513716150657142E-4</v>
      </c>
    </row>
    <row r="468" spans="2:5" ht="15" customHeight="1">
      <c r="B468" s="93"/>
      <c r="C468" s="43" t="s">
        <v>61</v>
      </c>
      <c r="D468" s="42">
        <v>102</v>
      </c>
      <c r="E468" s="41">
        <v>4.4985445885154804E-3</v>
      </c>
    </row>
    <row r="469" spans="2:5" ht="15" customHeight="1">
      <c r="B469" s="93"/>
      <c r="C469" s="43" t="s">
        <v>50</v>
      </c>
      <c r="D469" s="42">
        <v>14</v>
      </c>
      <c r="E469" s="41">
        <v>6.1744729646290904E-4</v>
      </c>
    </row>
    <row r="470" spans="2:5" ht="15" customHeight="1">
      <c r="B470" s="93"/>
      <c r="C470" s="43" t="s">
        <v>42</v>
      </c>
      <c r="D470" s="42">
        <v>8</v>
      </c>
      <c r="E470" s="41">
        <v>3.5282702655023375E-4</v>
      </c>
    </row>
    <row r="471" spans="2:5" ht="15" customHeight="1">
      <c r="B471" s="93"/>
      <c r="C471" s="43" t="s">
        <v>56</v>
      </c>
      <c r="D471" s="42">
        <v>31</v>
      </c>
      <c r="E471" s="41">
        <v>1.3672047278821557E-3</v>
      </c>
    </row>
    <row r="472" spans="2:5" ht="15" customHeight="1">
      <c r="B472" s="93"/>
      <c r="C472" s="43" t="s">
        <v>36</v>
      </c>
      <c r="D472" s="42">
        <v>6</v>
      </c>
      <c r="E472" s="41">
        <v>2.646202699126753E-4</v>
      </c>
    </row>
    <row r="473" spans="2:5" ht="15" customHeight="1">
      <c r="B473" s="93"/>
      <c r="C473" s="43" t="s">
        <v>43</v>
      </c>
      <c r="D473" s="42">
        <v>9</v>
      </c>
      <c r="E473" s="41">
        <v>3.9693040486901297E-4</v>
      </c>
    </row>
    <row r="474" spans="2:5" ht="15" customHeight="1">
      <c r="B474" s="93"/>
      <c r="C474" s="43" t="s">
        <v>46</v>
      </c>
      <c r="D474" s="42">
        <v>14</v>
      </c>
      <c r="E474" s="41">
        <v>6.1744729646290904E-4</v>
      </c>
    </row>
    <row r="475" spans="2:5" ht="15" customHeight="1">
      <c r="B475" s="93"/>
      <c r="C475" s="43" t="s">
        <v>41</v>
      </c>
      <c r="D475" s="42">
        <v>4</v>
      </c>
      <c r="E475" s="41">
        <v>1.7641351327511687E-4</v>
      </c>
    </row>
    <row r="476" spans="2:5" ht="15" customHeight="1">
      <c r="B476" s="93"/>
      <c r="C476" s="43" t="s">
        <v>32</v>
      </c>
      <c r="D476" s="42">
        <v>6</v>
      </c>
      <c r="E476" s="41">
        <v>2.646202699126753E-4</v>
      </c>
    </row>
    <row r="477" spans="2:5" ht="15" customHeight="1">
      <c r="B477" s="93"/>
      <c r="C477" s="43" t="s">
        <v>39</v>
      </c>
      <c r="D477" s="42">
        <v>4</v>
      </c>
      <c r="E477" s="41">
        <v>1.7641351327511687E-4</v>
      </c>
    </row>
    <row r="478" spans="2:5" ht="15" customHeight="1">
      <c r="B478" s="93"/>
      <c r="C478" s="43" t="s">
        <v>37</v>
      </c>
      <c r="D478" s="42">
        <v>6</v>
      </c>
      <c r="E478" s="41">
        <v>2.646202699126753E-4</v>
      </c>
    </row>
    <row r="479" spans="2:5" ht="15" customHeight="1">
      <c r="B479" s="93"/>
      <c r="C479" s="43" t="s">
        <v>58</v>
      </c>
      <c r="D479" s="42">
        <v>26</v>
      </c>
      <c r="E479" s="41">
        <v>1.1466878362882597E-3</v>
      </c>
    </row>
    <row r="480" spans="2:5" ht="15" customHeight="1">
      <c r="B480" s="93"/>
      <c r="C480" s="43" t="s">
        <v>24</v>
      </c>
      <c r="D480" s="42">
        <v>1</v>
      </c>
      <c r="E480" s="41">
        <v>4.4103378318779218E-5</v>
      </c>
    </row>
    <row r="481" spans="2:5" ht="15" customHeight="1">
      <c r="B481" s="93"/>
      <c r="C481" s="43" t="s">
        <v>30</v>
      </c>
      <c r="D481" s="42">
        <v>2</v>
      </c>
      <c r="E481" s="41">
        <v>8.8206756637558437E-5</v>
      </c>
    </row>
    <row r="482" spans="2:5" ht="15" customHeight="1">
      <c r="B482" s="93"/>
      <c r="C482" s="43" t="s">
        <v>47</v>
      </c>
      <c r="D482" s="42">
        <v>16</v>
      </c>
      <c r="E482" s="41">
        <v>7.0565405310046749E-4</v>
      </c>
    </row>
    <row r="483" spans="2:5" ht="15" customHeight="1">
      <c r="B483" s="93"/>
      <c r="C483" s="43" t="s">
        <v>51</v>
      </c>
      <c r="D483" s="42">
        <v>26</v>
      </c>
      <c r="E483" s="41">
        <v>1.1466878362882597E-3</v>
      </c>
    </row>
    <row r="484" spans="2:5" ht="15" customHeight="1">
      <c r="B484" s="93"/>
      <c r="C484" s="43" t="s">
        <v>21</v>
      </c>
      <c r="D484" s="42">
        <v>1</v>
      </c>
      <c r="E484" s="41">
        <v>4.4103378318779218E-5</v>
      </c>
    </row>
    <row r="485" spans="2:5" ht="15" customHeight="1">
      <c r="B485" s="93"/>
      <c r="C485" s="43" t="s">
        <v>35</v>
      </c>
      <c r="D485" s="42">
        <v>5</v>
      </c>
      <c r="E485" s="41">
        <v>2.205168915938961E-4</v>
      </c>
    </row>
    <row r="486" spans="2:5" ht="15" customHeight="1">
      <c r="B486" s="93"/>
      <c r="C486" s="43" t="s">
        <v>59</v>
      </c>
      <c r="D486" s="42">
        <v>50</v>
      </c>
      <c r="E486" s="41">
        <v>2.2051689159389609E-3</v>
      </c>
    </row>
    <row r="487" spans="2:5" ht="15" customHeight="1">
      <c r="B487" s="93"/>
      <c r="C487" s="43" t="s">
        <v>40</v>
      </c>
      <c r="D487" s="42">
        <v>6</v>
      </c>
      <c r="E487" s="41">
        <v>2.646202699126753E-4</v>
      </c>
    </row>
    <row r="488" spans="2:5" ht="15" customHeight="1">
      <c r="B488" s="93"/>
      <c r="C488" s="43" t="s">
        <v>31</v>
      </c>
      <c r="D488" s="42">
        <v>5</v>
      </c>
      <c r="E488" s="41">
        <v>2.205168915938961E-4</v>
      </c>
    </row>
    <row r="489" spans="2:5" ht="15" customHeight="1">
      <c r="B489" s="93"/>
      <c r="C489" s="43" t="s">
        <v>33</v>
      </c>
      <c r="D489" s="42">
        <v>3</v>
      </c>
      <c r="E489" s="41">
        <v>1.3231013495633765E-4</v>
      </c>
    </row>
    <row r="490" spans="2:5" ht="15" customHeight="1">
      <c r="B490" s="93"/>
      <c r="C490" s="43" t="s">
        <v>53</v>
      </c>
      <c r="D490" s="42">
        <v>18</v>
      </c>
      <c r="E490" s="41">
        <v>7.9386080973802594E-4</v>
      </c>
    </row>
    <row r="491" spans="2:5" ht="15" customHeight="1">
      <c r="B491" s="93"/>
      <c r="C491" s="43" t="s">
        <v>63</v>
      </c>
      <c r="D491" s="42">
        <v>302</v>
      </c>
      <c r="E491" s="41">
        <v>1.3319220252271323E-2</v>
      </c>
    </row>
    <row r="492" spans="2:5" ht="15" customHeight="1">
      <c r="B492" s="93"/>
      <c r="C492" s="43" t="s">
        <v>48</v>
      </c>
      <c r="D492" s="42">
        <v>14</v>
      </c>
      <c r="E492" s="41">
        <v>6.1744729646290904E-4</v>
      </c>
    </row>
    <row r="493" spans="2:5" ht="15" customHeight="1">
      <c r="B493" s="93"/>
      <c r="C493" s="43" t="s">
        <v>44</v>
      </c>
      <c r="D493" s="42">
        <v>10</v>
      </c>
      <c r="E493" s="41">
        <v>4.410337831877922E-4</v>
      </c>
    </row>
    <row r="494" spans="2:5" ht="15" customHeight="1">
      <c r="B494" s="93"/>
      <c r="C494" s="43" t="s">
        <v>38</v>
      </c>
      <c r="D494" s="42">
        <v>6</v>
      </c>
      <c r="E494" s="41">
        <v>2.646202699126753E-4</v>
      </c>
    </row>
    <row r="495" spans="2:5" ht="15" customHeight="1">
      <c r="B495" s="93"/>
      <c r="C495" s="43" t="s">
        <v>55</v>
      </c>
      <c r="D495" s="42">
        <v>15</v>
      </c>
      <c r="E495" s="41">
        <v>6.6155067478168832E-4</v>
      </c>
    </row>
    <row r="496" spans="2:5" ht="15" customHeight="1">
      <c r="B496" s="93"/>
      <c r="C496" s="43" t="s">
        <v>29</v>
      </c>
      <c r="D496" s="42">
        <v>4</v>
      </c>
      <c r="E496" s="41">
        <v>1.7641351327511687E-4</v>
      </c>
    </row>
    <row r="497" spans="2:5" ht="15" customHeight="1">
      <c r="B497" s="94"/>
      <c r="C497" s="40" t="s">
        <v>20</v>
      </c>
      <c r="D497" s="39">
        <v>1083</v>
      </c>
      <c r="E497" s="38">
        <v>4.7763958719237894E-2</v>
      </c>
    </row>
    <row r="498" spans="2:5" ht="15" customHeight="1">
      <c r="B498" s="92" t="s">
        <v>185</v>
      </c>
      <c r="C498" s="43" t="s">
        <v>34</v>
      </c>
      <c r="D498" s="42">
        <v>8</v>
      </c>
      <c r="E498" s="41">
        <v>3.5282702655023375E-4</v>
      </c>
    </row>
    <row r="499" spans="2:5" ht="15" customHeight="1">
      <c r="B499" s="93"/>
      <c r="C499" s="43" t="s">
        <v>250</v>
      </c>
      <c r="D499" s="42">
        <v>4</v>
      </c>
      <c r="E499" s="41">
        <v>1.7641351327511687E-4</v>
      </c>
    </row>
    <row r="500" spans="2:5" ht="15" customHeight="1">
      <c r="B500" s="93"/>
      <c r="C500" s="43" t="s">
        <v>49</v>
      </c>
      <c r="D500" s="42">
        <v>74</v>
      </c>
      <c r="E500" s="41">
        <v>3.2636499955896623E-3</v>
      </c>
    </row>
    <row r="501" spans="2:5" ht="15" customHeight="1">
      <c r="B501" s="93"/>
      <c r="C501" s="43" t="s">
        <v>52</v>
      </c>
      <c r="D501" s="42">
        <v>43</v>
      </c>
      <c r="E501" s="41">
        <v>1.8964452677075064E-3</v>
      </c>
    </row>
    <row r="502" spans="2:5" ht="15" customHeight="1">
      <c r="B502" s="93"/>
      <c r="C502" s="43" t="s">
        <v>62</v>
      </c>
      <c r="D502" s="42">
        <v>697</v>
      </c>
      <c r="E502" s="41">
        <v>3.0740054688189116E-2</v>
      </c>
    </row>
    <row r="503" spans="2:5" ht="15" customHeight="1">
      <c r="B503" s="93"/>
      <c r="C503" s="43" t="s">
        <v>60</v>
      </c>
      <c r="D503" s="42">
        <v>150</v>
      </c>
      <c r="E503" s="41">
        <v>6.6155067478168824E-3</v>
      </c>
    </row>
    <row r="504" spans="2:5" ht="15" customHeight="1">
      <c r="B504" s="93"/>
      <c r="C504" s="43" t="s">
        <v>26</v>
      </c>
      <c r="D504" s="42">
        <v>1</v>
      </c>
      <c r="E504" s="41">
        <v>4.4103378318779218E-5</v>
      </c>
    </row>
    <row r="505" spans="2:5" ht="15" customHeight="1">
      <c r="B505" s="93"/>
      <c r="C505" s="43" t="s">
        <v>54</v>
      </c>
      <c r="D505" s="42">
        <v>27</v>
      </c>
      <c r="E505" s="41">
        <v>1.1907912146070388E-3</v>
      </c>
    </row>
    <row r="506" spans="2:5" ht="15" customHeight="1">
      <c r="B506" s="93"/>
      <c r="C506" s="43" t="s">
        <v>57</v>
      </c>
      <c r="D506" s="42">
        <v>50</v>
      </c>
      <c r="E506" s="41">
        <v>2.2051689159389609E-3</v>
      </c>
    </row>
    <row r="507" spans="2:5" ht="15" customHeight="1">
      <c r="B507" s="93"/>
      <c r="C507" s="43" t="s">
        <v>254</v>
      </c>
      <c r="D507" s="42">
        <v>1</v>
      </c>
      <c r="E507" s="41">
        <v>4.4103378318779218E-5</v>
      </c>
    </row>
    <row r="508" spans="2:5" ht="15" customHeight="1">
      <c r="B508" s="93"/>
      <c r="C508" s="43" t="s">
        <v>45</v>
      </c>
      <c r="D508" s="42">
        <v>33</v>
      </c>
      <c r="E508" s="41">
        <v>1.4554114845197143E-3</v>
      </c>
    </row>
    <row r="509" spans="2:5" ht="15" customHeight="1">
      <c r="B509" s="93"/>
      <c r="C509" s="43" t="s">
        <v>61</v>
      </c>
      <c r="D509" s="42">
        <v>307</v>
      </c>
      <c r="E509" s="41">
        <v>1.353973714386522E-2</v>
      </c>
    </row>
    <row r="510" spans="2:5" ht="15" customHeight="1">
      <c r="B510" s="93"/>
      <c r="C510" s="43" t="s">
        <v>50</v>
      </c>
      <c r="D510" s="42">
        <v>40</v>
      </c>
      <c r="E510" s="41">
        <v>1.7641351327511688E-3</v>
      </c>
    </row>
    <row r="511" spans="2:5" ht="15" customHeight="1">
      <c r="B511" s="93"/>
      <c r="C511" s="43" t="s">
        <v>42</v>
      </c>
      <c r="D511" s="42">
        <v>28</v>
      </c>
      <c r="E511" s="41">
        <v>1.2348945929258181E-3</v>
      </c>
    </row>
    <row r="512" spans="2:5" ht="15" customHeight="1">
      <c r="B512" s="93"/>
      <c r="C512" s="43" t="s">
        <v>56</v>
      </c>
      <c r="D512" s="42">
        <v>44</v>
      </c>
      <c r="E512" s="41">
        <v>1.9405486460262857E-3</v>
      </c>
    </row>
    <row r="513" spans="2:5" ht="15" customHeight="1">
      <c r="B513" s="93"/>
      <c r="C513" s="43" t="s">
        <v>36</v>
      </c>
      <c r="D513" s="42">
        <v>16</v>
      </c>
      <c r="E513" s="41">
        <v>7.0565405310046749E-4</v>
      </c>
    </row>
    <row r="514" spans="2:5" ht="15" customHeight="1">
      <c r="B514" s="93"/>
      <c r="C514" s="43" t="s">
        <v>43</v>
      </c>
      <c r="D514" s="42">
        <v>29</v>
      </c>
      <c r="E514" s="41">
        <v>1.2789979712445974E-3</v>
      </c>
    </row>
    <row r="515" spans="2:5" ht="15" customHeight="1">
      <c r="B515" s="93"/>
      <c r="C515" s="43" t="s">
        <v>28</v>
      </c>
      <c r="D515" s="42">
        <v>1</v>
      </c>
      <c r="E515" s="41">
        <v>4.4103378318779218E-5</v>
      </c>
    </row>
    <row r="516" spans="2:5" ht="15" customHeight="1">
      <c r="B516" s="93"/>
      <c r="C516" s="43" t="s">
        <v>22</v>
      </c>
      <c r="D516" s="42">
        <v>1</v>
      </c>
      <c r="E516" s="41">
        <v>4.4103378318779218E-5</v>
      </c>
    </row>
    <row r="517" spans="2:5" ht="15" customHeight="1">
      <c r="B517" s="93"/>
      <c r="C517" s="43" t="s">
        <v>46</v>
      </c>
      <c r="D517" s="42">
        <v>25</v>
      </c>
      <c r="E517" s="41">
        <v>1.1025844579694805E-3</v>
      </c>
    </row>
    <row r="518" spans="2:5" ht="15" customHeight="1">
      <c r="B518" s="93"/>
      <c r="C518" s="43" t="s">
        <v>41</v>
      </c>
      <c r="D518" s="42">
        <v>18</v>
      </c>
      <c r="E518" s="41">
        <v>7.9386080973802594E-4</v>
      </c>
    </row>
    <row r="519" spans="2:5" ht="15" customHeight="1">
      <c r="B519" s="93"/>
      <c r="C519" s="43" t="s">
        <v>32</v>
      </c>
      <c r="D519" s="42">
        <v>7</v>
      </c>
      <c r="E519" s="41">
        <v>3.0872364823145452E-4</v>
      </c>
    </row>
    <row r="520" spans="2:5" ht="15" customHeight="1">
      <c r="B520" s="93"/>
      <c r="C520" s="43" t="s">
        <v>39</v>
      </c>
      <c r="D520" s="42">
        <v>10</v>
      </c>
      <c r="E520" s="41">
        <v>4.410337831877922E-4</v>
      </c>
    </row>
    <row r="521" spans="2:5" ht="15" customHeight="1">
      <c r="B521" s="93"/>
      <c r="C521" s="43" t="s">
        <v>37</v>
      </c>
      <c r="D521" s="42">
        <v>19</v>
      </c>
      <c r="E521" s="41">
        <v>8.3796418805680512E-4</v>
      </c>
    </row>
    <row r="522" spans="2:5" ht="15" customHeight="1">
      <c r="B522" s="93"/>
      <c r="C522" s="43" t="s">
        <v>58</v>
      </c>
      <c r="D522" s="42">
        <v>93</v>
      </c>
      <c r="E522" s="41">
        <v>4.1016141836464669E-3</v>
      </c>
    </row>
    <row r="523" spans="2:5" ht="15" customHeight="1">
      <c r="B523" s="93"/>
      <c r="C523" s="43" t="s">
        <v>24</v>
      </c>
      <c r="D523" s="42">
        <v>1</v>
      </c>
      <c r="E523" s="41">
        <v>4.4103378318779218E-5</v>
      </c>
    </row>
    <row r="524" spans="2:5" ht="15" customHeight="1">
      <c r="B524" s="93"/>
      <c r="C524" s="43" t="s">
        <v>30</v>
      </c>
      <c r="D524" s="42">
        <v>8</v>
      </c>
      <c r="E524" s="41">
        <v>3.5282702655023375E-4</v>
      </c>
    </row>
    <row r="525" spans="2:5" ht="15" customHeight="1">
      <c r="B525" s="93"/>
      <c r="C525" s="43" t="s">
        <v>47</v>
      </c>
      <c r="D525" s="42">
        <v>46</v>
      </c>
      <c r="E525" s="41">
        <v>2.0287554026638442E-3</v>
      </c>
    </row>
    <row r="526" spans="2:5" ht="15" customHeight="1">
      <c r="B526" s="93"/>
      <c r="C526" s="43" t="s">
        <v>27</v>
      </c>
      <c r="D526" s="42">
        <v>2</v>
      </c>
      <c r="E526" s="41">
        <v>8.8206756637558437E-5</v>
      </c>
    </row>
    <row r="527" spans="2:5" ht="15" customHeight="1">
      <c r="B527" s="93"/>
      <c r="C527" s="43" t="s">
        <v>51</v>
      </c>
      <c r="D527" s="42">
        <v>54</v>
      </c>
      <c r="E527" s="41">
        <v>2.3815824292140776E-3</v>
      </c>
    </row>
    <row r="528" spans="2:5" ht="15" customHeight="1">
      <c r="B528" s="93"/>
      <c r="C528" s="43" t="s">
        <v>21</v>
      </c>
      <c r="D528" s="42">
        <v>1</v>
      </c>
      <c r="E528" s="41">
        <v>4.4103378318779218E-5</v>
      </c>
    </row>
    <row r="529" spans="2:5" ht="15" customHeight="1">
      <c r="B529" s="93"/>
      <c r="C529" s="43" t="s">
        <v>35</v>
      </c>
      <c r="D529" s="42">
        <v>10</v>
      </c>
      <c r="E529" s="41">
        <v>4.410337831877922E-4</v>
      </c>
    </row>
    <row r="530" spans="2:5" ht="15" customHeight="1">
      <c r="B530" s="93"/>
      <c r="C530" s="43" t="s">
        <v>59</v>
      </c>
      <c r="D530" s="42">
        <v>135</v>
      </c>
      <c r="E530" s="41">
        <v>5.9539560730351949E-3</v>
      </c>
    </row>
    <row r="531" spans="2:5" ht="15" customHeight="1">
      <c r="B531" s="93"/>
      <c r="C531" s="43" t="s">
        <v>40</v>
      </c>
      <c r="D531" s="42">
        <v>13</v>
      </c>
      <c r="E531" s="41">
        <v>5.7334391814412987E-4</v>
      </c>
    </row>
    <row r="532" spans="2:5" ht="15" customHeight="1">
      <c r="B532" s="93"/>
      <c r="C532" s="43" t="s">
        <v>31</v>
      </c>
      <c r="D532" s="42">
        <v>9</v>
      </c>
      <c r="E532" s="41">
        <v>3.9693040486901297E-4</v>
      </c>
    </row>
    <row r="533" spans="2:5" ht="15" customHeight="1">
      <c r="B533" s="93"/>
      <c r="C533" s="43" t="s">
        <v>33</v>
      </c>
      <c r="D533" s="42">
        <v>15</v>
      </c>
      <c r="E533" s="41">
        <v>6.6155067478168832E-4</v>
      </c>
    </row>
    <row r="534" spans="2:5" ht="15" customHeight="1">
      <c r="B534" s="93"/>
      <c r="C534" s="43" t="s">
        <v>23</v>
      </c>
      <c r="D534" s="42">
        <v>3</v>
      </c>
      <c r="E534" s="41">
        <v>1.3231013495633765E-4</v>
      </c>
    </row>
    <row r="535" spans="2:5" ht="15" customHeight="1">
      <c r="B535" s="93"/>
      <c r="C535" s="43" t="s">
        <v>53</v>
      </c>
      <c r="D535" s="42">
        <v>44</v>
      </c>
      <c r="E535" s="41">
        <v>1.9405486460262857E-3</v>
      </c>
    </row>
    <row r="536" spans="2:5" ht="15" customHeight="1">
      <c r="B536" s="93"/>
      <c r="C536" s="43" t="s">
        <v>63</v>
      </c>
      <c r="D536" s="42">
        <v>984</v>
      </c>
      <c r="E536" s="41">
        <v>4.3397724265678748E-2</v>
      </c>
    </row>
    <row r="537" spans="2:5" ht="15" customHeight="1">
      <c r="B537" s="93"/>
      <c r="C537" s="43" t="s">
        <v>48</v>
      </c>
      <c r="D537" s="42">
        <v>46</v>
      </c>
      <c r="E537" s="41">
        <v>2.0287554026638442E-3</v>
      </c>
    </row>
    <row r="538" spans="2:5" ht="15" customHeight="1">
      <c r="B538" s="93"/>
      <c r="C538" s="43" t="s">
        <v>44</v>
      </c>
      <c r="D538" s="42">
        <v>15</v>
      </c>
      <c r="E538" s="41">
        <v>6.6155067478168832E-4</v>
      </c>
    </row>
    <row r="539" spans="2:5" ht="15" customHeight="1">
      <c r="B539" s="93"/>
      <c r="C539" s="43" t="s">
        <v>38</v>
      </c>
      <c r="D539" s="42">
        <v>12</v>
      </c>
      <c r="E539" s="41">
        <v>5.2924053982535059E-4</v>
      </c>
    </row>
    <row r="540" spans="2:5" ht="15" customHeight="1">
      <c r="B540" s="93"/>
      <c r="C540" s="43" t="s">
        <v>55</v>
      </c>
      <c r="D540" s="42">
        <v>63</v>
      </c>
      <c r="E540" s="41">
        <v>2.7785128340830907E-3</v>
      </c>
    </row>
    <row r="541" spans="2:5" ht="15" customHeight="1">
      <c r="B541" s="93"/>
      <c r="C541" s="43" t="s">
        <v>29</v>
      </c>
      <c r="D541" s="42">
        <v>7</v>
      </c>
      <c r="E541" s="41">
        <v>3.0872364823145452E-4</v>
      </c>
    </row>
    <row r="542" spans="2:5" ht="15" customHeight="1">
      <c r="B542" s="94"/>
      <c r="C542" s="40" t="s">
        <v>20</v>
      </c>
      <c r="D542" s="39">
        <v>3194</v>
      </c>
      <c r="E542" s="38">
        <v>0.14086619035018083</v>
      </c>
    </row>
    <row r="543" spans="2:5" ht="15" customHeight="1">
      <c r="B543" s="92" t="s">
        <v>184</v>
      </c>
      <c r="C543" s="43" t="s">
        <v>49</v>
      </c>
      <c r="D543" s="42">
        <v>1</v>
      </c>
      <c r="E543" s="41">
        <v>4.4103378318779218E-5</v>
      </c>
    </row>
    <row r="544" spans="2:5" ht="15" customHeight="1">
      <c r="B544" s="93"/>
      <c r="C544" s="43" t="s">
        <v>62</v>
      </c>
      <c r="D544" s="42">
        <v>15</v>
      </c>
      <c r="E544" s="41">
        <v>6.6155067478168832E-4</v>
      </c>
    </row>
    <row r="545" spans="2:5" ht="15" customHeight="1">
      <c r="B545" s="93"/>
      <c r="C545" s="43" t="s">
        <v>60</v>
      </c>
      <c r="D545" s="42">
        <v>2</v>
      </c>
      <c r="E545" s="41">
        <v>8.8206756637558437E-5</v>
      </c>
    </row>
    <row r="546" spans="2:5" ht="15" customHeight="1">
      <c r="B546" s="93"/>
      <c r="C546" s="43" t="s">
        <v>57</v>
      </c>
      <c r="D546" s="42">
        <v>1</v>
      </c>
      <c r="E546" s="41">
        <v>4.4103378318779218E-5</v>
      </c>
    </row>
    <row r="547" spans="2:5" ht="15" customHeight="1">
      <c r="B547" s="93"/>
      <c r="C547" s="43" t="s">
        <v>61</v>
      </c>
      <c r="D547" s="42">
        <v>3</v>
      </c>
      <c r="E547" s="41">
        <v>1.3231013495633765E-4</v>
      </c>
    </row>
    <row r="548" spans="2:5" ht="15" customHeight="1">
      <c r="B548" s="93"/>
      <c r="C548" s="43" t="s">
        <v>56</v>
      </c>
      <c r="D548" s="42">
        <v>2</v>
      </c>
      <c r="E548" s="41">
        <v>8.8206756637558437E-5</v>
      </c>
    </row>
    <row r="549" spans="2:5" ht="15" customHeight="1">
      <c r="B549" s="93"/>
      <c r="C549" s="43" t="s">
        <v>22</v>
      </c>
      <c r="D549" s="42">
        <v>1</v>
      </c>
      <c r="E549" s="41">
        <v>4.4103378318779218E-5</v>
      </c>
    </row>
    <row r="550" spans="2:5" ht="15" customHeight="1">
      <c r="B550" s="93"/>
      <c r="C550" s="43" t="s">
        <v>58</v>
      </c>
      <c r="D550" s="42">
        <v>2</v>
      </c>
      <c r="E550" s="41">
        <v>8.8206756637558437E-5</v>
      </c>
    </row>
    <row r="551" spans="2:5" ht="15" customHeight="1">
      <c r="B551" s="93"/>
      <c r="C551" s="43" t="s">
        <v>35</v>
      </c>
      <c r="D551" s="42">
        <v>1</v>
      </c>
      <c r="E551" s="41">
        <v>4.4103378318779218E-5</v>
      </c>
    </row>
    <row r="552" spans="2:5" ht="15" customHeight="1">
      <c r="B552" s="93"/>
      <c r="C552" s="43" t="s">
        <v>59</v>
      </c>
      <c r="D552" s="42">
        <v>1</v>
      </c>
      <c r="E552" s="41">
        <v>4.4103378318779218E-5</v>
      </c>
    </row>
    <row r="553" spans="2:5" ht="15" customHeight="1">
      <c r="B553" s="93"/>
      <c r="C553" s="43" t="s">
        <v>40</v>
      </c>
      <c r="D553" s="42">
        <v>1</v>
      </c>
      <c r="E553" s="41">
        <v>4.4103378318779218E-5</v>
      </c>
    </row>
    <row r="554" spans="2:5" ht="15" customHeight="1">
      <c r="B554" s="93"/>
      <c r="C554" s="43" t="s">
        <v>63</v>
      </c>
      <c r="D554" s="42">
        <v>11</v>
      </c>
      <c r="E554" s="41">
        <v>4.8513716150657142E-4</v>
      </c>
    </row>
    <row r="555" spans="2:5" ht="15" customHeight="1">
      <c r="B555" s="93"/>
      <c r="C555" s="43" t="s">
        <v>48</v>
      </c>
      <c r="D555" s="42">
        <v>1</v>
      </c>
      <c r="E555" s="41">
        <v>4.4103378318779218E-5</v>
      </c>
    </row>
    <row r="556" spans="2:5" ht="15" customHeight="1">
      <c r="B556" s="93"/>
      <c r="C556" s="43" t="s">
        <v>44</v>
      </c>
      <c r="D556" s="42">
        <v>1</v>
      </c>
      <c r="E556" s="41">
        <v>4.4103378318779218E-5</v>
      </c>
    </row>
    <row r="557" spans="2:5" ht="15" customHeight="1">
      <c r="B557" s="93"/>
      <c r="C557" s="43" t="s">
        <v>55</v>
      </c>
      <c r="D557" s="42">
        <v>1</v>
      </c>
      <c r="E557" s="41">
        <v>4.4103378318779218E-5</v>
      </c>
    </row>
    <row r="558" spans="2:5" ht="15" customHeight="1">
      <c r="B558" s="94"/>
      <c r="C558" s="40" t="s">
        <v>20</v>
      </c>
      <c r="D558" s="39">
        <v>44</v>
      </c>
      <c r="E558" s="38">
        <v>1.9405486460262857E-3</v>
      </c>
    </row>
    <row r="559" spans="2:5" ht="15" customHeight="1">
      <c r="B559" s="92" t="s">
        <v>183</v>
      </c>
      <c r="C559" s="43" t="s">
        <v>34</v>
      </c>
      <c r="D559" s="42">
        <v>1</v>
      </c>
      <c r="E559" s="41">
        <v>4.4103378318779218E-5</v>
      </c>
    </row>
    <row r="560" spans="2:5" ht="15" customHeight="1">
      <c r="B560" s="93"/>
      <c r="C560" s="43" t="s">
        <v>52</v>
      </c>
      <c r="D560" s="42">
        <v>2</v>
      </c>
      <c r="E560" s="41">
        <v>8.8206756637558437E-5</v>
      </c>
    </row>
    <row r="561" spans="2:5" ht="15" customHeight="1">
      <c r="B561" s="93"/>
      <c r="C561" s="43" t="s">
        <v>62</v>
      </c>
      <c r="D561" s="42">
        <v>6</v>
      </c>
      <c r="E561" s="41">
        <v>2.646202699126753E-4</v>
      </c>
    </row>
    <row r="562" spans="2:5" ht="15" customHeight="1">
      <c r="B562" s="93"/>
      <c r="C562" s="43" t="s">
        <v>60</v>
      </c>
      <c r="D562" s="42">
        <v>3</v>
      </c>
      <c r="E562" s="41">
        <v>1.3231013495633765E-4</v>
      </c>
    </row>
    <row r="563" spans="2:5" ht="15" customHeight="1">
      <c r="B563" s="93"/>
      <c r="C563" s="43" t="s">
        <v>54</v>
      </c>
      <c r="D563" s="42">
        <v>1</v>
      </c>
      <c r="E563" s="41">
        <v>4.4103378318779218E-5</v>
      </c>
    </row>
    <row r="564" spans="2:5" ht="15" customHeight="1">
      <c r="B564" s="93"/>
      <c r="C564" s="43" t="s">
        <v>61</v>
      </c>
      <c r="D564" s="42">
        <v>3</v>
      </c>
      <c r="E564" s="41">
        <v>1.3231013495633765E-4</v>
      </c>
    </row>
    <row r="565" spans="2:5" ht="15" customHeight="1">
      <c r="B565" s="93"/>
      <c r="C565" s="43" t="s">
        <v>56</v>
      </c>
      <c r="D565" s="42">
        <v>2</v>
      </c>
      <c r="E565" s="41">
        <v>8.8206756637558437E-5</v>
      </c>
    </row>
    <row r="566" spans="2:5" ht="15" customHeight="1">
      <c r="B566" s="93"/>
      <c r="C566" s="43" t="s">
        <v>37</v>
      </c>
      <c r="D566" s="42">
        <v>2</v>
      </c>
      <c r="E566" s="41">
        <v>8.8206756637558437E-5</v>
      </c>
    </row>
    <row r="567" spans="2:5" ht="15" customHeight="1">
      <c r="B567" s="93"/>
      <c r="C567" s="43" t="s">
        <v>51</v>
      </c>
      <c r="D567" s="42">
        <v>3</v>
      </c>
      <c r="E567" s="41">
        <v>1.3231013495633765E-4</v>
      </c>
    </row>
    <row r="568" spans="2:5" ht="15" customHeight="1">
      <c r="B568" s="93"/>
      <c r="C568" s="43" t="s">
        <v>59</v>
      </c>
      <c r="D568" s="42">
        <v>3</v>
      </c>
      <c r="E568" s="41">
        <v>1.3231013495633765E-4</v>
      </c>
    </row>
    <row r="569" spans="2:5" ht="15" customHeight="1">
      <c r="B569" s="93"/>
      <c r="C569" s="43" t="s">
        <v>63</v>
      </c>
      <c r="D569" s="42">
        <v>12</v>
      </c>
      <c r="E569" s="41">
        <v>5.2924053982535059E-4</v>
      </c>
    </row>
    <row r="570" spans="2:5" ht="15" customHeight="1">
      <c r="B570" s="93"/>
      <c r="C570" s="43" t="s">
        <v>48</v>
      </c>
      <c r="D570" s="42">
        <v>1</v>
      </c>
      <c r="E570" s="41">
        <v>4.4103378318779218E-5</v>
      </c>
    </row>
    <row r="571" spans="2:5" ht="15" customHeight="1">
      <c r="B571" s="93"/>
      <c r="C571" s="43" t="s">
        <v>55</v>
      </c>
      <c r="D571" s="42">
        <v>1</v>
      </c>
      <c r="E571" s="41">
        <v>4.4103378318779218E-5</v>
      </c>
    </row>
    <row r="572" spans="2:5" ht="15" customHeight="1">
      <c r="B572" s="94"/>
      <c r="C572" s="40" t="s">
        <v>20</v>
      </c>
      <c r="D572" s="39">
        <v>40</v>
      </c>
      <c r="E572" s="38">
        <v>1.7641351327511688E-3</v>
      </c>
    </row>
    <row r="573" spans="2:5" ht="15" customHeight="1">
      <c r="B573" s="92" t="s">
        <v>182</v>
      </c>
      <c r="C573" s="43" t="s">
        <v>62</v>
      </c>
      <c r="D573" s="42">
        <v>9</v>
      </c>
      <c r="E573" s="41">
        <v>3.9693040486901297E-4</v>
      </c>
    </row>
    <row r="574" spans="2:5" ht="15" customHeight="1">
      <c r="B574" s="93"/>
      <c r="C574" s="43" t="s">
        <v>60</v>
      </c>
      <c r="D574" s="42">
        <v>4</v>
      </c>
      <c r="E574" s="41">
        <v>1.7641351327511687E-4</v>
      </c>
    </row>
    <row r="575" spans="2:5" ht="15" customHeight="1">
      <c r="B575" s="93"/>
      <c r="C575" s="43" t="s">
        <v>42</v>
      </c>
      <c r="D575" s="42">
        <v>3</v>
      </c>
      <c r="E575" s="41">
        <v>1.3231013495633765E-4</v>
      </c>
    </row>
    <row r="576" spans="2:5" ht="15" customHeight="1">
      <c r="B576" s="93"/>
      <c r="C576" s="43" t="s">
        <v>251</v>
      </c>
      <c r="D576" s="42">
        <v>1</v>
      </c>
      <c r="E576" s="41">
        <v>4.4103378318779218E-5</v>
      </c>
    </row>
    <row r="577" spans="2:5" ht="15" customHeight="1">
      <c r="B577" s="93"/>
      <c r="C577" s="43" t="s">
        <v>37</v>
      </c>
      <c r="D577" s="42">
        <v>2</v>
      </c>
      <c r="E577" s="41">
        <v>8.8206756637558437E-5</v>
      </c>
    </row>
    <row r="578" spans="2:5" ht="15" customHeight="1">
      <c r="B578" s="93"/>
      <c r="C578" s="43" t="s">
        <v>51</v>
      </c>
      <c r="D578" s="42">
        <v>1</v>
      </c>
      <c r="E578" s="41">
        <v>4.4103378318779218E-5</v>
      </c>
    </row>
    <row r="579" spans="2:5" ht="15" customHeight="1">
      <c r="B579" s="93"/>
      <c r="C579" s="43" t="s">
        <v>63</v>
      </c>
      <c r="D579" s="42">
        <v>5</v>
      </c>
      <c r="E579" s="41">
        <v>2.205168915938961E-4</v>
      </c>
    </row>
    <row r="580" spans="2:5" ht="15" customHeight="1">
      <c r="B580" s="94"/>
      <c r="C580" s="40" t="s">
        <v>20</v>
      </c>
      <c r="D580" s="39">
        <v>25</v>
      </c>
      <c r="E580" s="38">
        <v>1.1025844579694805E-3</v>
      </c>
    </row>
    <row r="581" spans="2:5" ht="15" customHeight="1">
      <c r="B581" s="92" t="s">
        <v>181</v>
      </c>
      <c r="C581" s="43" t="s">
        <v>62</v>
      </c>
      <c r="D581" s="42">
        <v>7</v>
      </c>
      <c r="E581" s="41">
        <v>3.0872364823145452E-4</v>
      </c>
    </row>
    <row r="582" spans="2:5" ht="15" customHeight="1">
      <c r="B582" s="93"/>
      <c r="C582" s="43" t="s">
        <v>60</v>
      </c>
      <c r="D582" s="42">
        <v>1</v>
      </c>
      <c r="E582" s="41">
        <v>4.4103378318779218E-5</v>
      </c>
    </row>
    <row r="583" spans="2:5" ht="15" customHeight="1">
      <c r="B583" s="93"/>
      <c r="C583" s="43" t="s">
        <v>54</v>
      </c>
      <c r="D583" s="42">
        <v>3</v>
      </c>
      <c r="E583" s="41">
        <v>1.3231013495633765E-4</v>
      </c>
    </row>
    <row r="584" spans="2:5" ht="15" customHeight="1">
      <c r="B584" s="93"/>
      <c r="C584" s="43" t="s">
        <v>45</v>
      </c>
      <c r="D584" s="42">
        <v>1</v>
      </c>
      <c r="E584" s="41">
        <v>4.4103378318779218E-5</v>
      </c>
    </row>
    <row r="585" spans="2:5" ht="15" customHeight="1">
      <c r="B585" s="93"/>
      <c r="C585" s="43" t="s">
        <v>61</v>
      </c>
      <c r="D585" s="42">
        <v>4</v>
      </c>
      <c r="E585" s="41">
        <v>1.7641351327511687E-4</v>
      </c>
    </row>
    <row r="586" spans="2:5" ht="15" customHeight="1">
      <c r="B586" s="93"/>
      <c r="C586" s="43" t="s">
        <v>50</v>
      </c>
      <c r="D586" s="42">
        <v>1</v>
      </c>
      <c r="E586" s="41">
        <v>4.4103378318779218E-5</v>
      </c>
    </row>
    <row r="587" spans="2:5" ht="15" customHeight="1">
      <c r="B587" s="93"/>
      <c r="C587" s="43" t="s">
        <v>40</v>
      </c>
      <c r="D587" s="42">
        <v>2</v>
      </c>
      <c r="E587" s="41">
        <v>8.8206756637558437E-5</v>
      </c>
    </row>
    <row r="588" spans="2:5" ht="15" customHeight="1">
      <c r="B588" s="93"/>
      <c r="C588" s="43" t="s">
        <v>63</v>
      </c>
      <c r="D588" s="42">
        <v>5</v>
      </c>
      <c r="E588" s="41">
        <v>2.205168915938961E-4</v>
      </c>
    </row>
    <row r="589" spans="2:5" ht="15" customHeight="1">
      <c r="B589" s="93"/>
      <c r="C589" s="43" t="s">
        <v>44</v>
      </c>
      <c r="D589" s="42">
        <v>1</v>
      </c>
      <c r="E589" s="41">
        <v>4.4103378318779218E-5</v>
      </c>
    </row>
    <row r="590" spans="2:5" ht="15" customHeight="1">
      <c r="B590" s="94"/>
      <c r="C590" s="40" t="s">
        <v>20</v>
      </c>
      <c r="D590" s="39">
        <v>25</v>
      </c>
      <c r="E590" s="38">
        <v>1.1025844579694805E-3</v>
      </c>
    </row>
    <row r="591" spans="2:5" ht="15" customHeight="1">
      <c r="B591" s="92" t="s">
        <v>180</v>
      </c>
      <c r="C591" s="43" t="s">
        <v>49</v>
      </c>
      <c r="D591" s="42">
        <v>3</v>
      </c>
      <c r="E591" s="41">
        <v>1.3231013495633765E-4</v>
      </c>
    </row>
    <row r="592" spans="2:5" ht="15" customHeight="1">
      <c r="B592" s="93"/>
      <c r="C592" s="43" t="s">
        <v>52</v>
      </c>
      <c r="D592" s="42">
        <v>1</v>
      </c>
      <c r="E592" s="41">
        <v>4.4103378318779218E-5</v>
      </c>
    </row>
    <row r="593" spans="2:5" ht="15" customHeight="1">
      <c r="B593" s="93"/>
      <c r="C593" s="43" t="s">
        <v>62</v>
      </c>
      <c r="D593" s="42">
        <v>50</v>
      </c>
      <c r="E593" s="41">
        <v>2.2051689159389609E-3</v>
      </c>
    </row>
    <row r="594" spans="2:5" ht="15" customHeight="1">
      <c r="B594" s="93"/>
      <c r="C594" s="43" t="s">
        <v>60</v>
      </c>
      <c r="D594" s="42">
        <v>6</v>
      </c>
      <c r="E594" s="41">
        <v>2.646202699126753E-4</v>
      </c>
    </row>
    <row r="595" spans="2:5" ht="15" customHeight="1">
      <c r="B595" s="93"/>
      <c r="C595" s="43" t="s">
        <v>57</v>
      </c>
      <c r="D595" s="42">
        <v>2</v>
      </c>
      <c r="E595" s="41">
        <v>8.8206756637558437E-5</v>
      </c>
    </row>
    <row r="596" spans="2:5" ht="15" customHeight="1">
      <c r="B596" s="93"/>
      <c r="C596" s="43" t="s">
        <v>45</v>
      </c>
      <c r="D596" s="42">
        <v>3</v>
      </c>
      <c r="E596" s="41">
        <v>1.3231013495633765E-4</v>
      </c>
    </row>
    <row r="597" spans="2:5" ht="15" customHeight="1">
      <c r="B597" s="93"/>
      <c r="C597" s="43" t="s">
        <v>61</v>
      </c>
      <c r="D597" s="42">
        <v>24</v>
      </c>
      <c r="E597" s="41">
        <v>1.0584810796507012E-3</v>
      </c>
    </row>
    <row r="598" spans="2:5" ht="15" customHeight="1">
      <c r="B598" s="93"/>
      <c r="C598" s="43" t="s">
        <v>50</v>
      </c>
      <c r="D598" s="42">
        <v>7</v>
      </c>
      <c r="E598" s="41">
        <v>3.0872364823145452E-4</v>
      </c>
    </row>
    <row r="599" spans="2:5" ht="15" customHeight="1">
      <c r="B599" s="93"/>
      <c r="C599" s="43" t="s">
        <v>42</v>
      </c>
      <c r="D599" s="42">
        <v>3</v>
      </c>
      <c r="E599" s="41">
        <v>1.3231013495633765E-4</v>
      </c>
    </row>
    <row r="600" spans="2:5" ht="15" customHeight="1">
      <c r="B600" s="93"/>
      <c r="C600" s="43" t="s">
        <v>46</v>
      </c>
      <c r="D600" s="42">
        <v>5</v>
      </c>
      <c r="E600" s="41">
        <v>2.205168915938961E-4</v>
      </c>
    </row>
    <row r="601" spans="2:5" ht="15" customHeight="1">
      <c r="B601" s="93"/>
      <c r="C601" s="43" t="s">
        <v>41</v>
      </c>
      <c r="D601" s="42">
        <v>3</v>
      </c>
      <c r="E601" s="41">
        <v>1.3231013495633765E-4</v>
      </c>
    </row>
    <row r="602" spans="2:5" ht="15" customHeight="1">
      <c r="B602" s="93"/>
      <c r="C602" s="43" t="s">
        <v>32</v>
      </c>
      <c r="D602" s="42">
        <v>2</v>
      </c>
      <c r="E602" s="41">
        <v>8.8206756637558437E-5</v>
      </c>
    </row>
    <row r="603" spans="2:5" ht="15" customHeight="1">
      <c r="B603" s="93"/>
      <c r="C603" s="43" t="s">
        <v>39</v>
      </c>
      <c r="D603" s="42">
        <v>1</v>
      </c>
      <c r="E603" s="41">
        <v>4.4103378318779218E-5</v>
      </c>
    </row>
    <row r="604" spans="2:5" ht="15" customHeight="1">
      <c r="B604" s="93"/>
      <c r="C604" s="43" t="s">
        <v>37</v>
      </c>
      <c r="D604" s="42">
        <v>1</v>
      </c>
      <c r="E604" s="41">
        <v>4.4103378318779218E-5</v>
      </c>
    </row>
    <row r="605" spans="2:5" ht="15" customHeight="1">
      <c r="B605" s="93"/>
      <c r="C605" s="43" t="s">
        <v>58</v>
      </c>
      <c r="D605" s="42">
        <v>5</v>
      </c>
      <c r="E605" s="41">
        <v>2.205168915938961E-4</v>
      </c>
    </row>
    <row r="606" spans="2:5" ht="15" customHeight="1">
      <c r="B606" s="93"/>
      <c r="C606" s="43" t="s">
        <v>24</v>
      </c>
      <c r="D606" s="42">
        <v>1</v>
      </c>
      <c r="E606" s="41">
        <v>4.4103378318779218E-5</v>
      </c>
    </row>
    <row r="607" spans="2:5" ht="15" customHeight="1">
      <c r="B607" s="93"/>
      <c r="C607" s="43" t="s">
        <v>47</v>
      </c>
      <c r="D607" s="42">
        <v>3</v>
      </c>
      <c r="E607" s="41">
        <v>1.3231013495633765E-4</v>
      </c>
    </row>
    <row r="608" spans="2:5" ht="15" customHeight="1">
      <c r="B608" s="93"/>
      <c r="C608" s="43" t="s">
        <v>27</v>
      </c>
      <c r="D608" s="42">
        <v>1</v>
      </c>
      <c r="E608" s="41">
        <v>4.4103378318779218E-5</v>
      </c>
    </row>
    <row r="609" spans="2:5" ht="15" customHeight="1">
      <c r="B609" s="93"/>
      <c r="C609" s="43" t="s">
        <v>51</v>
      </c>
      <c r="D609" s="42">
        <v>4</v>
      </c>
      <c r="E609" s="41">
        <v>1.7641351327511687E-4</v>
      </c>
    </row>
    <row r="610" spans="2:5" ht="15" customHeight="1">
      <c r="B610" s="93"/>
      <c r="C610" s="43" t="s">
        <v>21</v>
      </c>
      <c r="D610" s="42">
        <v>1</v>
      </c>
      <c r="E610" s="41">
        <v>4.4103378318779218E-5</v>
      </c>
    </row>
    <row r="611" spans="2:5" ht="15" customHeight="1">
      <c r="B611" s="93"/>
      <c r="C611" s="43" t="s">
        <v>35</v>
      </c>
      <c r="D611" s="42">
        <v>1</v>
      </c>
      <c r="E611" s="41">
        <v>4.4103378318779218E-5</v>
      </c>
    </row>
    <row r="612" spans="2:5" ht="15" customHeight="1">
      <c r="B612" s="93"/>
      <c r="C612" s="43" t="s">
        <v>59</v>
      </c>
      <c r="D612" s="42">
        <v>9</v>
      </c>
      <c r="E612" s="41">
        <v>3.9693040486901297E-4</v>
      </c>
    </row>
    <row r="613" spans="2:5" ht="15" customHeight="1">
      <c r="B613" s="93"/>
      <c r="C613" s="43" t="s">
        <v>40</v>
      </c>
      <c r="D613" s="42">
        <v>1</v>
      </c>
      <c r="E613" s="41">
        <v>4.4103378318779218E-5</v>
      </c>
    </row>
    <row r="614" spans="2:5" ht="15" customHeight="1">
      <c r="B614" s="93"/>
      <c r="C614" s="43" t="s">
        <v>31</v>
      </c>
      <c r="D614" s="42">
        <v>2</v>
      </c>
      <c r="E614" s="41">
        <v>8.8206756637558437E-5</v>
      </c>
    </row>
    <row r="615" spans="2:5" ht="15" customHeight="1">
      <c r="B615" s="93"/>
      <c r="C615" s="43" t="s">
        <v>53</v>
      </c>
      <c r="D615" s="42">
        <v>1</v>
      </c>
      <c r="E615" s="41">
        <v>4.4103378318779218E-5</v>
      </c>
    </row>
    <row r="616" spans="2:5" ht="15" customHeight="1">
      <c r="B616" s="93"/>
      <c r="C616" s="43" t="s">
        <v>63</v>
      </c>
      <c r="D616" s="42">
        <v>45</v>
      </c>
      <c r="E616" s="41">
        <v>1.984652024345065E-3</v>
      </c>
    </row>
    <row r="617" spans="2:5" ht="15" customHeight="1">
      <c r="B617" s="93"/>
      <c r="C617" s="43" t="s">
        <v>48</v>
      </c>
      <c r="D617" s="42">
        <v>2</v>
      </c>
      <c r="E617" s="41">
        <v>8.8206756637558437E-5</v>
      </c>
    </row>
    <row r="618" spans="2:5" ht="15" customHeight="1">
      <c r="B618" s="93"/>
      <c r="C618" s="43" t="s">
        <v>44</v>
      </c>
      <c r="D618" s="42">
        <v>1</v>
      </c>
      <c r="E618" s="41">
        <v>4.4103378318779218E-5</v>
      </c>
    </row>
    <row r="619" spans="2:5" ht="15" customHeight="1">
      <c r="B619" s="93"/>
      <c r="C619" s="43" t="s">
        <v>38</v>
      </c>
      <c r="D619" s="42">
        <v>3</v>
      </c>
      <c r="E619" s="41">
        <v>1.3231013495633765E-4</v>
      </c>
    </row>
    <row r="620" spans="2:5" ht="15" customHeight="1">
      <c r="B620" s="93"/>
      <c r="C620" s="43" t="s">
        <v>55</v>
      </c>
      <c r="D620" s="42">
        <v>2</v>
      </c>
      <c r="E620" s="41">
        <v>8.8206756637558437E-5</v>
      </c>
    </row>
    <row r="621" spans="2:5" ht="15" customHeight="1">
      <c r="B621" s="94"/>
      <c r="C621" s="40" t="s">
        <v>20</v>
      </c>
      <c r="D621" s="39">
        <v>193</v>
      </c>
      <c r="E621" s="38">
        <v>8.5119520155243888E-3</v>
      </c>
    </row>
    <row r="622" spans="2:5" ht="15" customHeight="1">
      <c r="B622" s="92" t="s">
        <v>179</v>
      </c>
      <c r="C622" s="43" t="s">
        <v>250</v>
      </c>
      <c r="D622" s="42">
        <v>1</v>
      </c>
      <c r="E622" s="41">
        <v>4.4103378318779218E-5</v>
      </c>
    </row>
    <row r="623" spans="2:5" ht="15" customHeight="1">
      <c r="B623" s="93"/>
      <c r="C623" s="43" t="s">
        <v>49</v>
      </c>
      <c r="D623" s="42">
        <v>12</v>
      </c>
      <c r="E623" s="41">
        <v>5.2924053982535059E-4</v>
      </c>
    </row>
    <row r="624" spans="2:5" ht="15" customHeight="1">
      <c r="B624" s="93"/>
      <c r="C624" s="43" t="s">
        <v>52</v>
      </c>
      <c r="D624" s="42">
        <v>3</v>
      </c>
      <c r="E624" s="41">
        <v>1.3231013495633765E-4</v>
      </c>
    </row>
    <row r="625" spans="2:5" ht="15" customHeight="1">
      <c r="B625" s="93"/>
      <c r="C625" s="43" t="s">
        <v>62</v>
      </c>
      <c r="D625" s="42">
        <v>100</v>
      </c>
      <c r="E625" s="41">
        <v>4.4103378318779219E-3</v>
      </c>
    </row>
    <row r="626" spans="2:5" ht="15" customHeight="1">
      <c r="B626" s="93"/>
      <c r="C626" s="43" t="s">
        <v>60</v>
      </c>
      <c r="D626" s="42">
        <v>24</v>
      </c>
      <c r="E626" s="41">
        <v>1.0584810796507012E-3</v>
      </c>
    </row>
    <row r="627" spans="2:5" ht="15" customHeight="1">
      <c r="B627" s="93"/>
      <c r="C627" s="43" t="s">
        <v>25</v>
      </c>
      <c r="D627" s="42">
        <v>1</v>
      </c>
      <c r="E627" s="41">
        <v>4.4103378318779218E-5</v>
      </c>
    </row>
    <row r="628" spans="2:5" ht="15" customHeight="1">
      <c r="B628" s="93"/>
      <c r="C628" s="43" t="s">
        <v>54</v>
      </c>
      <c r="D628" s="42">
        <v>4</v>
      </c>
      <c r="E628" s="41">
        <v>1.7641351327511687E-4</v>
      </c>
    </row>
    <row r="629" spans="2:5" ht="15" customHeight="1">
      <c r="B629" s="93"/>
      <c r="C629" s="43" t="s">
        <v>57</v>
      </c>
      <c r="D629" s="42">
        <v>9</v>
      </c>
      <c r="E629" s="41">
        <v>3.9693040486901297E-4</v>
      </c>
    </row>
    <row r="630" spans="2:5" ht="15" customHeight="1">
      <c r="B630" s="93"/>
      <c r="C630" s="43" t="s">
        <v>45</v>
      </c>
      <c r="D630" s="42">
        <v>5</v>
      </c>
      <c r="E630" s="41">
        <v>2.205168915938961E-4</v>
      </c>
    </row>
    <row r="631" spans="2:5" ht="15" customHeight="1">
      <c r="B631" s="93"/>
      <c r="C631" s="43" t="s">
        <v>61</v>
      </c>
      <c r="D631" s="42">
        <v>46</v>
      </c>
      <c r="E631" s="41">
        <v>2.0287554026638442E-3</v>
      </c>
    </row>
    <row r="632" spans="2:5" ht="15" customHeight="1">
      <c r="B632" s="93"/>
      <c r="C632" s="43" t="s">
        <v>50</v>
      </c>
      <c r="D632" s="42">
        <v>7</v>
      </c>
      <c r="E632" s="41">
        <v>3.0872364823145452E-4</v>
      </c>
    </row>
    <row r="633" spans="2:5" ht="15" customHeight="1">
      <c r="B633" s="93"/>
      <c r="C633" s="43" t="s">
        <v>42</v>
      </c>
      <c r="D633" s="42">
        <v>4</v>
      </c>
      <c r="E633" s="41">
        <v>1.7641351327511687E-4</v>
      </c>
    </row>
    <row r="634" spans="2:5" ht="15" customHeight="1">
      <c r="B634" s="93"/>
      <c r="C634" s="43" t="s">
        <v>56</v>
      </c>
      <c r="D634" s="42">
        <v>4</v>
      </c>
      <c r="E634" s="41">
        <v>1.7641351327511687E-4</v>
      </c>
    </row>
    <row r="635" spans="2:5" ht="15" customHeight="1">
      <c r="B635" s="93"/>
      <c r="C635" s="43" t="s">
        <v>43</v>
      </c>
      <c r="D635" s="42">
        <v>5</v>
      </c>
      <c r="E635" s="41">
        <v>2.205168915938961E-4</v>
      </c>
    </row>
    <row r="636" spans="2:5" ht="15" customHeight="1">
      <c r="B636" s="93"/>
      <c r="C636" s="43" t="s">
        <v>46</v>
      </c>
      <c r="D636" s="42">
        <v>3</v>
      </c>
      <c r="E636" s="41">
        <v>1.3231013495633765E-4</v>
      </c>
    </row>
    <row r="637" spans="2:5" ht="15" customHeight="1">
      <c r="B637" s="93"/>
      <c r="C637" s="43" t="s">
        <v>41</v>
      </c>
      <c r="D637" s="42">
        <v>2</v>
      </c>
      <c r="E637" s="41">
        <v>8.8206756637558437E-5</v>
      </c>
    </row>
    <row r="638" spans="2:5" ht="15" customHeight="1">
      <c r="B638" s="93"/>
      <c r="C638" s="43" t="s">
        <v>39</v>
      </c>
      <c r="D638" s="42">
        <v>2</v>
      </c>
      <c r="E638" s="41">
        <v>8.8206756637558437E-5</v>
      </c>
    </row>
    <row r="639" spans="2:5" ht="15" customHeight="1">
      <c r="B639" s="93"/>
      <c r="C639" s="43" t="s">
        <v>37</v>
      </c>
      <c r="D639" s="42">
        <v>2</v>
      </c>
      <c r="E639" s="41">
        <v>8.8206756637558437E-5</v>
      </c>
    </row>
    <row r="640" spans="2:5" ht="15" customHeight="1">
      <c r="B640" s="93"/>
      <c r="C640" s="43" t="s">
        <v>58</v>
      </c>
      <c r="D640" s="42">
        <v>15</v>
      </c>
      <c r="E640" s="41">
        <v>6.6155067478168832E-4</v>
      </c>
    </row>
    <row r="641" spans="2:5" ht="15" customHeight="1">
      <c r="B641" s="93"/>
      <c r="C641" s="43" t="s">
        <v>30</v>
      </c>
      <c r="D641" s="42">
        <v>5</v>
      </c>
      <c r="E641" s="41">
        <v>2.205168915938961E-4</v>
      </c>
    </row>
    <row r="642" spans="2:5" ht="15" customHeight="1">
      <c r="B642" s="93"/>
      <c r="C642" s="43" t="s">
        <v>47</v>
      </c>
      <c r="D642" s="42">
        <v>5</v>
      </c>
      <c r="E642" s="41">
        <v>2.205168915938961E-4</v>
      </c>
    </row>
    <row r="643" spans="2:5" ht="15" customHeight="1">
      <c r="B643" s="93"/>
      <c r="C643" s="43" t="s">
        <v>27</v>
      </c>
      <c r="D643" s="42">
        <v>2</v>
      </c>
      <c r="E643" s="41">
        <v>8.8206756637558437E-5</v>
      </c>
    </row>
    <row r="644" spans="2:5" ht="15" customHeight="1">
      <c r="B644" s="93"/>
      <c r="C644" s="43" t="s">
        <v>51</v>
      </c>
      <c r="D644" s="42">
        <v>3</v>
      </c>
      <c r="E644" s="41">
        <v>1.3231013495633765E-4</v>
      </c>
    </row>
    <row r="645" spans="2:5" ht="15" customHeight="1">
      <c r="B645" s="93"/>
      <c r="C645" s="43" t="s">
        <v>35</v>
      </c>
      <c r="D645" s="42">
        <v>1</v>
      </c>
      <c r="E645" s="41">
        <v>4.4103378318779218E-5</v>
      </c>
    </row>
    <row r="646" spans="2:5" ht="15" customHeight="1">
      <c r="B646" s="93"/>
      <c r="C646" s="43" t="s">
        <v>59</v>
      </c>
      <c r="D646" s="42">
        <v>12</v>
      </c>
      <c r="E646" s="41">
        <v>5.2924053982535059E-4</v>
      </c>
    </row>
    <row r="647" spans="2:5" ht="15" customHeight="1">
      <c r="B647" s="93"/>
      <c r="C647" s="43" t="s">
        <v>40</v>
      </c>
      <c r="D647" s="42">
        <v>1</v>
      </c>
      <c r="E647" s="41">
        <v>4.4103378318779218E-5</v>
      </c>
    </row>
    <row r="648" spans="2:5" ht="15" customHeight="1">
      <c r="B648" s="93"/>
      <c r="C648" s="43" t="s">
        <v>33</v>
      </c>
      <c r="D648" s="42">
        <v>2</v>
      </c>
      <c r="E648" s="41">
        <v>8.8206756637558437E-5</v>
      </c>
    </row>
    <row r="649" spans="2:5" ht="15" customHeight="1">
      <c r="B649" s="93"/>
      <c r="C649" s="43" t="s">
        <v>23</v>
      </c>
      <c r="D649" s="42">
        <v>3</v>
      </c>
      <c r="E649" s="41">
        <v>1.3231013495633765E-4</v>
      </c>
    </row>
    <row r="650" spans="2:5" ht="15" customHeight="1">
      <c r="B650" s="93"/>
      <c r="C650" s="43" t="s">
        <v>53</v>
      </c>
      <c r="D650" s="42">
        <v>7</v>
      </c>
      <c r="E650" s="41">
        <v>3.0872364823145452E-4</v>
      </c>
    </row>
    <row r="651" spans="2:5" ht="15" customHeight="1">
      <c r="B651" s="93"/>
      <c r="C651" s="43" t="s">
        <v>63</v>
      </c>
      <c r="D651" s="42">
        <v>115</v>
      </c>
      <c r="E651" s="41">
        <v>5.0718885066596102E-3</v>
      </c>
    </row>
    <row r="652" spans="2:5" ht="15" customHeight="1">
      <c r="B652" s="93"/>
      <c r="C652" s="43" t="s">
        <v>48</v>
      </c>
      <c r="D652" s="42">
        <v>2</v>
      </c>
      <c r="E652" s="41">
        <v>8.8206756637558437E-5</v>
      </c>
    </row>
    <row r="653" spans="2:5" ht="15" customHeight="1">
      <c r="B653" s="93"/>
      <c r="C653" s="43" t="s">
        <v>44</v>
      </c>
      <c r="D653" s="42">
        <v>1</v>
      </c>
      <c r="E653" s="41">
        <v>4.4103378318779218E-5</v>
      </c>
    </row>
    <row r="654" spans="2:5" ht="15" customHeight="1">
      <c r="B654" s="93"/>
      <c r="C654" s="43" t="s">
        <v>38</v>
      </c>
      <c r="D654" s="42">
        <v>1</v>
      </c>
      <c r="E654" s="41">
        <v>4.4103378318779218E-5</v>
      </c>
    </row>
    <row r="655" spans="2:5" ht="15" customHeight="1">
      <c r="B655" s="93"/>
      <c r="C655" s="43" t="s">
        <v>55</v>
      </c>
      <c r="D655" s="42">
        <v>5</v>
      </c>
      <c r="E655" s="41">
        <v>2.205168915938961E-4</v>
      </c>
    </row>
    <row r="656" spans="2:5" ht="15" customHeight="1">
      <c r="B656" s="94"/>
      <c r="C656" s="40" t="s">
        <v>20</v>
      </c>
      <c r="D656" s="39">
        <v>414</v>
      </c>
      <c r="E656" s="38">
        <v>1.8258798623974597E-2</v>
      </c>
    </row>
    <row r="657" spans="2:5" ht="15" customHeight="1">
      <c r="B657" s="92" t="s">
        <v>178</v>
      </c>
      <c r="C657" s="43" t="s">
        <v>49</v>
      </c>
      <c r="D657" s="42">
        <v>1</v>
      </c>
      <c r="E657" s="41">
        <v>4.4103378318779218E-5</v>
      </c>
    </row>
    <row r="658" spans="2:5" ht="15" customHeight="1">
      <c r="B658" s="93"/>
      <c r="C658" s="43" t="s">
        <v>62</v>
      </c>
      <c r="D658" s="42">
        <v>4</v>
      </c>
      <c r="E658" s="41">
        <v>1.7641351327511687E-4</v>
      </c>
    </row>
    <row r="659" spans="2:5" ht="15" customHeight="1">
      <c r="B659" s="93"/>
      <c r="C659" s="43" t="s">
        <v>60</v>
      </c>
      <c r="D659" s="42">
        <v>1</v>
      </c>
      <c r="E659" s="41">
        <v>4.4103378318779218E-5</v>
      </c>
    </row>
    <row r="660" spans="2:5" ht="15" customHeight="1">
      <c r="B660" s="93"/>
      <c r="C660" s="43" t="s">
        <v>61</v>
      </c>
      <c r="D660" s="42">
        <v>5</v>
      </c>
      <c r="E660" s="41">
        <v>2.205168915938961E-4</v>
      </c>
    </row>
    <row r="661" spans="2:5" ht="15" customHeight="1">
      <c r="B661" s="93"/>
      <c r="C661" s="43" t="s">
        <v>56</v>
      </c>
      <c r="D661" s="42">
        <v>1</v>
      </c>
      <c r="E661" s="41">
        <v>4.4103378318779218E-5</v>
      </c>
    </row>
    <row r="662" spans="2:5" ht="15" customHeight="1">
      <c r="B662" s="93"/>
      <c r="C662" s="43" t="s">
        <v>46</v>
      </c>
      <c r="D662" s="42">
        <v>2</v>
      </c>
      <c r="E662" s="41">
        <v>8.8206756637558437E-5</v>
      </c>
    </row>
    <row r="663" spans="2:5" ht="15" customHeight="1">
      <c r="B663" s="93"/>
      <c r="C663" s="43" t="s">
        <v>37</v>
      </c>
      <c r="D663" s="42">
        <v>1</v>
      </c>
      <c r="E663" s="41">
        <v>4.4103378318779218E-5</v>
      </c>
    </row>
    <row r="664" spans="2:5" ht="15" customHeight="1">
      <c r="B664" s="93"/>
      <c r="C664" s="43" t="s">
        <v>21</v>
      </c>
      <c r="D664" s="42">
        <v>1</v>
      </c>
      <c r="E664" s="41">
        <v>4.4103378318779218E-5</v>
      </c>
    </row>
    <row r="665" spans="2:5" ht="15" customHeight="1">
      <c r="B665" s="93"/>
      <c r="C665" s="43" t="s">
        <v>53</v>
      </c>
      <c r="D665" s="42">
        <v>1</v>
      </c>
      <c r="E665" s="41">
        <v>4.4103378318779218E-5</v>
      </c>
    </row>
    <row r="666" spans="2:5" ht="15" customHeight="1">
      <c r="B666" s="93"/>
      <c r="C666" s="43" t="s">
        <v>63</v>
      </c>
      <c r="D666" s="42">
        <v>9</v>
      </c>
      <c r="E666" s="41">
        <v>3.9693040486901297E-4</v>
      </c>
    </row>
    <row r="667" spans="2:5" ht="15" customHeight="1">
      <c r="B667" s="94"/>
      <c r="C667" s="40" t="s">
        <v>20</v>
      </c>
      <c r="D667" s="39">
        <v>26</v>
      </c>
      <c r="E667" s="38">
        <v>1.1466878362882597E-3</v>
      </c>
    </row>
    <row r="668" spans="2:5" ht="15" customHeight="1">
      <c r="B668" s="92" t="s">
        <v>177</v>
      </c>
      <c r="C668" s="43" t="s">
        <v>49</v>
      </c>
      <c r="D668" s="42">
        <v>2</v>
      </c>
      <c r="E668" s="41">
        <v>8.8206756637558437E-5</v>
      </c>
    </row>
    <row r="669" spans="2:5" ht="15" customHeight="1">
      <c r="B669" s="93"/>
      <c r="C669" s="43" t="s">
        <v>52</v>
      </c>
      <c r="D669" s="42">
        <v>1</v>
      </c>
      <c r="E669" s="41">
        <v>4.4103378318779218E-5</v>
      </c>
    </row>
    <row r="670" spans="2:5" ht="15" customHeight="1">
      <c r="B670" s="93"/>
      <c r="C670" s="43" t="s">
        <v>62</v>
      </c>
      <c r="D670" s="42">
        <v>6</v>
      </c>
      <c r="E670" s="41">
        <v>2.646202699126753E-4</v>
      </c>
    </row>
    <row r="671" spans="2:5" ht="15" customHeight="1">
      <c r="B671" s="93"/>
      <c r="C671" s="43" t="s">
        <v>60</v>
      </c>
      <c r="D671" s="42">
        <v>2</v>
      </c>
      <c r="E671" s="41">
        <v>8.8206756637558437E-5</v>
      </c>
    </row>
    <row r="672" spans="2:5" ht="15" customHeight="1">
      <c r="B672" s="93"/>
      <c r="C672" s="43" t="s">
        <v>61</v>
      </c>
      <c r="D672" s="42">
        <v>4</v>
      </c>
      <c r="E672" s="41">
        <v>1.7641351327511687E-4</v>
      </c>
    </row>
    <row r="673" spans="2:5" ht="15" customHeight="1">
      <c r="B673" s="93"/>
      <c r="C673" s="43" t="s">
        <v>42</v>
      </c>
      <c r="D673" s="42">
        <v>1</v>
      </c>
      <c r="E673" s="41">
        <v>4.4103378318779218E-5</v>
      </c>
    </row>
    <row r="674" spans="2:5" ht="15" customHeight="1">
      <c r="B674" s="93"/>
      <c r="C674" s="43" t="s">
        <v>56</v>
      </c>
      <c r="D674" s="42">
        <v>1</v>
      </c>
      <c r="E674" s="41">
        <v>4.4103378318779218E-5</v>
      </c>
    </row>
    <row r="675" spans="2:5" ht="15" customHeight="1">
      <c r="B675" s="93"/>
      <c r="C675" s="43" t="s">
        <v>37</v>
      </c>
      <c r="D675" s="42">
        <v>1</v>
      </c>
      <c r="E675" s="41">
        <v>4.4103378318779218E-5</v>
      </c>
    </row>
    <row r="676" spans="2:5" ht="15" customHeight="1">
      <c r="B676" s="93"/>
      <c r="C676" s="43" t="s">
        <v>58</v>
      </c>
      <c r="D676" s="42">
        <v>1</v>
      </c>
      <c r="E676" s="41">
        <v>4.4103378318779218E-5</v>
      </c>
    </row>
    <row r="677" spans="2:5" ht="15" customHeight="1">
      <c r="B677" s="93"/>
      <c r="C677" s="43" t="s">
        <v>47</v>
      </c>
      <c r="D677" s="42">
        <v>1</v>
      </c>
      <c r="E677" s="41">
        <v>4.4103378318779218E-5</v>
      </c>
    </row>
    <row r="678" spans="2:5" ht="15" customHeight="1">
      <c r="B678" s="93"/>
      <c r="C678" s="43" t="s">
        <v>53</v>
      </c>
      <c r="D678" s="42">
        <v>1</v>
      </c>
      <c r="E678" s="41">
        <v>4.4103378318779218E-5</v>
      </c>
    </row>
    <row r="679" spans="2:5" ht="15" customHeight="1">
      <c r="B679" s="93"/>
      <c r="C679" s="43" t="s">
        <v>63</v>
      </c>
      <c r="D679" s="42">
        <v>4</v>
      </c>
      <c r="E679" s="41">
        <v>1.7641351327511687E-4</v>
      </c>
    </row>
    <row r="680" spans="2:5" ht="15" customHeight="1">
      <c r="B680" s="93"/>
      <c r="C680" s="43" t="s">
        <v>48</v>
      </c>
      <c r="D680" s="42">
        <v>2</v>
      </c>
      <c r="E680" s="41">
        <v>8.8206756637558437E-5</v>
      </c>
    </row>
    <row r="681" spans="2:5" ht="15" customHeight="1">
      <c r="B681" s="93"/>
      <c r="C681" s="43" t="s">
        <v>55</v>
      </c>
      <c r="D681" s="42">
        <v>1</v>
      </c>
      <c r="E681" s="41">
        <v>4.4103378318779218E-5</v>
      </c>
    </row>
    <row r="682" spans="2:5" ht="15" customHeight="1">
      <c r="B682" s="94"/>
      <c r="C682" s="40" t="s">
        <v>20</v>
      </c>
      <c r="D682" s="39">
        <v>28</v>
      </c>
      <c r="E682" s="38">
        <v>1.2348945929258181E-3</v>
      </c>
    </row>
    <row r="683" spans="2:5" ht="15" customHeight="1">
      <c r="B683" s="92" t="s">
        <v>176</v>
      </c>
      <c r="C683" s="43" t="s">
        <v>62</v>
      </c>
      <c r="D683" s="42">
        <v>2</v>
      </c>
      <c r="E683" s="41">
        <v>8.8206756637558437E-5</v>
      </c>
    </row>
    <row r="684" spans="2:5" ht="15" customHeight="1">
      <c r="B684" s="93"/>
      <c r="C684" s="43" t="s">
        <v>60</v>
      </c>
      <c r="D684" s="42">
        <v>1</v>
      </c>
      <c r="E684" s="41">
        <v>4.4103378318779218E-5</v>
      </c>
    </row>
    <row r="685" spans="2:5" ht="15" customHeight="1">
      <c r="B685" s="93"/>
      <c r="C685" s="43" t="s">
        <v>63</v>
      </c>
      <c r="D685" s="42">
        <v>3</v>
      </c>
      <c r="E685" s="41">
        <v>1.3231013495633765E-4</v>
      </c>
    </row>
    <row r="686" spans="2:5" ht="15" customHeight="1">
      <c r="B686" s="94"/>
      <c r="C686" s="40" t="s">
        <v>20</v>
      </c>
      <c r="D686" s="39">
        <v>6</v>
      </c>
      <c r="E686" s="38">
        <v>2.646202699126753E-4</v>
      </c>
    </row>
    <row r="687" spans="2:5" ht="15" customHeight="1">
      <c r="B687" s="96" t="s">
        <v>20</v>
      </c>
      <c r="C687" s="97"/>
      <c r="D687" s="68">
        <v>22674</v>
      </c>
      <c r="E687" s="69">
        <v>1</v>
      </c>
    </row>
    <row r="689" spans="2:2" ht="15" customHeight="1">
      <c r="B689" s="19" t="s">
        <v>255</v>
      </c>
    </row>
    <row r="690" spans="2:2" ht="15" customHeight="1">
      <c r="B690" s="21" t="s">
        <v>19</v>
      </c>
    </row>
    <row r="691" spans="2:2" ht="15" customHeight="1">
      <c r="B691" s="20" t="s">
        <v>18</v>
      </c>
    </row>
    <row r="692" spans="2:2" ht="15" customHeight="1">
      <c r="B692" s="19" t="s">
        <v>17</v>
      </c>
    </row>
    <row r="693" spans="2:2" ht="15" customHeight="1">
      <c r="B693" s="19" t="s">
        <v>256</v>
      </c>
    </row>
  </sheetData>
  <mergeCells count="26">
    <mergeCell ref="B687:C687"/>
    <mergeCell ref="B573:B580"/>
    <mergeCell ref="B581:B590"/>
    <mergeCell ref="B591:B621"/>
    <mergeCell ref="B622:B656"/>
    <mergeCell ref="B657:B667"/>
    <mergeCell ref="B498:B542"/>
    <mergeCell ref="B543:B558"/>
    <mergeCell ref="B559:B572"/>
    <mergeCell ref="B668:B682"/>
    <mergeCell ref="B683:B686"/>
    <mergeCell ref="B7:E8"/>
    <mergeCell ref="B10:B42"/>
    <mergeCell ref="B43:B66"/>
    <mergeCell ref="B67:B92"/>
    <mergeCell ref="B93:B124"/>
    <mergeCell ref="B309:B347"/>
    <mergeCell ref="B460:B497"/>
    <mergeCell ref="B348:B384"/>
    <mergeCell ref="B125:B158"/>
    <mergeCell ref="B159:B191"/>
    <mergeCell ref="B192:B230"/>
    <mergeCell ref="B231:B274"/>
    <mergeCell ref="B275:B308"/>
    <mergeCell ref="B385:B431"/>
    <mergeCell ref="B432:B459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9" orientation="portrait" r:id="rId1"/>
  <colBreaks count="1" manualBreakCount="1">
    <brk id="5" max="18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866"/>
  <sheetViews>
    <sheetView showGridLines="0" topLeftCell="A836" zoomScaleNormal="100" zoomScaleSheetLayoutView="85" workbookViewId="0">
      <selection activeCell="G11" sqref="G11"/>
    </sheetView>
  </sheetViews>
  <sheetFormatPr baseColWidth="10" defaultColWidth="35" defaultRowHeight="15" customHeight="1"/>
  <cols>
    <col min="1" max="1" width="1" style="36" customWidth="1"/>
    <col min="2" max="2" width="22.85546875" style="37" customWidth="1"/>
    <col min="3" max="3" width="31.42578125" style="37" customWidth="1"/>
    <col min="4" max="4" width="14.28515625" style="37" customWidth="1"/>
    <col min="5" max="5" width="16.85546875" style="37" customWidth="1"/>
    <col min="6" max="16384" width="35" style="36"/>
  </cols>
  <sheetData>
    <row r="1" spans="1:5" s="51" customFormat="1" ht="12" customHeight="1">
      <c r="B1" s="55"/>
      <c r="C1" s="54"/>
      <c r="D1" s="54"/>
      <c r="E1" s="54"/>
    </row>
    <row r="2" spans="1:5" s="51" customFormat="1" ht="15" customHeight="1">
      <c r="C2" s="53"/>
    </row>
    <row r="3" spans="1:5" s="51" customFormat="1" ht="15" customHeight="1">
      <c r="C3" s="53"/>
    </row>
    <row r="4" spans="1:5" s="51" customFormat="1" ht="30" customHeight="1">
      <c r="C4" s="53"/>
      <c r="D4" s="52"/>
    </row>
    <row r="5" spans="1:5" s="51" customFormat="1" ht="15" customHeight="1">
      <c r="C5" s="53"/>
      <c r="D5" s="52"/>
    </row>
    <row r="6" spans="1:5" s="47" customFormat="1" ht="24" customHeight="1">
      <c r="B6" s="50"/>
      <c r="C6" s="49"/>
      <c r="D6" s="49"/>
      <c r="E6" s="49"/>
    </row>
    <row r="7" spans="1:5" s="47" customFormat="1" ht="26.25" customHeight="1">
      <c r="A7" s="48"/>
      <c r="B7" s="95"/>
      <c r="C7" s="95"/>
      <c r="D7" s="95"/>
      <c r="E7" s="95"/>
    </row>
    <row r="8" spans="1:5" s="47" customFormat="1" ht="33" customHeight="1">
      <c r="A8" s="48"/>
      <c r="B8" s="95"/>
      <c r="C8" s="95"/>
      <c r="D8" s="95"/>
      <c r="E8" s="95"/>
    </row>
    <row r="9" spans="1:5" s="29" customFormat="1" ht="40.5" customHeight="1">
      <c r="B9" s="44" t="s">
        <v>115</v>
      </c>
      <c r="C9" s="46" t="s">
        <v>201</v>
      </c>
      <c r="D9" s="45" t="s">
        <v>65</v>
      </c>
      <c r="E9" s="44" t="s">
        <v>64</v>
      </c>
    </row>
    <row r="10" spans="1:5" ht="15" customHeight="1">
      <c r="B10" s="92" t="s">
        <v>78</v>
      </c>
      <c r="C10" s="43" t="s">
        <v>199</v>
      </c>
      <c r="D10" s="42">
        <v>2</v>
      </c>
      <c r="E10" s="41">
        <v>8.8206756637558437E-5</v>
      </c>
    </row>
    <row r="11" spans="1:5" ht="15" customHeight="1">
      <c r="B11" s="93"/>
      <c r="C11" s="43" t="s">
        <v>198</v>
      </c>
      <c r="D11" s="42">
        <v>2</v>
      </c>
      <c r="E11" s="41">
        <v>8.8206756637558437E-5</v>
      </c>
    </row>
    <row r="12" spans="1:5" ht="15" customHeight="1">
      <c r="B12" s="93"/>
      <c r="C12" s="43" t="s">
        <v>197</v>
      </c>
      <c r="D12" s="42">
        <v>1</v>
      </c>
      <c r="E12" s="41">
        <v>4.4103378318779218E-5</v>
      </c>
    </row>
    <row r="13" spans="1:5" ht="15" customHeight="1">
      <c r="B13" s="93"/>
      <c r="C13" s="43" t="s">
        <v>196</v>
      </c>
      <c r="D13" s="42">
        <v>2</v>
      </c>
      <c r="E13" s="41">
        <v>8.8206756637558437E-5</v>
      </c>
    </row>
    <row r="14" spans="1:5" ht="15" customHeight="1">
      <c r="B14" s="93"/>
      <c r="C14" s="43" t="s">
        <v>195</v>
      </c>
      <c r="D14" s="42">
        <v>3</v>
      </c>
      <c r="E14" s="41">
        <v>1.3231013495633765E-4</v>
      </c>
    </row>
    <row r="15" spans="1:5" ht="15" customHeight="1">
      <c r="B15" s="93"/>
      <c r="C15" s="43" t="s">
        <v>194</v>
      </c>
      <c r="D15" s="42">
        <v>2</v>
      </c>
      <c r="E15" s="41">
        <v>8.8206756637558437E-5</v>
      </c>
    </row>
    <row r="16" spans="1:5" ht="15" customHeight="1">
      <c r="B16" s="93"/>
      <c r="C16" s="43" t="s">
        <v>193</v>
      </c>
      <c r="D16" s="42">
        <v>12</v>
      </c>
      <c r="E16" s="41">
        <v>5.2924053982535059E-4</v>
      </c>
    </row>
    <row r="17" spans="2:5" ht="15" customHeight="1">
      <c r="B17" s="93"/>
      <c r="C17" s="43" t="s">
        <v>192</v>
      </c>
      <c r="D17" s="42">
        <v>32</v>
      </c>
      <c r="E17" s="41">
        <v>1.411308106200935E-3</v>
      </c>
    </row>
    <row r="18" spans="2:5" ht="15" customHeight="1">
      <c r="B18" s="93"/>
      <c r="C18" s="43" t="s">
        <v>190</v>
      </c>
      <c r="D18" s="42">
        <v>1</v>
      </c>
      <c r="E18" s="41">
        <v>4.4103378318779218E-5</v>
      </c>
    </row>
    <row r="19" spans="2:5" ht="15" customHeight="1">
      <c r="B19" s="93"/>
      <c r="C19" s="43" t="s">
        <v>189</v>
      </c>
      <c r="D19" s="42">
        <v>7</v>
      </c>
      <c r="E19" s="41">
        <v>3.0872364823145452E-4</v>
      </c>
    </row>
    <row r="20" spans="2:5" ht="15" customHeight="1">
      <c r="B20" s="93"/>
      <c r="C20" s="43" t="s">
        <v>188</v>
      </c>
      <c r="D20" s="42">
        <v>51</v>
      </c>
      <c r="E20" s="41">
        <v>2.2492722942577402E-3</v>
      </c>
    </row>
    <row r="21" spans="2:5" ht="15" customHeight="1">
      <c r="B21" s="93"/>
      <c r="C21" s="43" t="s">
        <v>187</v>
      </c>
      <c r="D21" s="42">
        <v>5</v>
      </c>
      <c r="E21" s="41">
        <v>2.205168915938961E-4</v>
      </c>
    </row>
    <row r="22" spans="2:5" ht="15" customHeight="1">
      <c r="B22" s="93"/>
      <c r="C22" s="43" t="s">
        <v>186</v>
      </c>
      <c r="D22" s="42">
        <v>14</v>
      </c>
      <c r="E22" s="41">
        <v>6.1744729646290904E-4</v>
      </c>
    </row>
    <row r="23" spans="2:5" ht="15" customHeight="1">
      <c r="B23" s="93"/>
      <c r="C23" s="43" t="s">
        <v>185</v>
      </c>
      <c r="D23" s="42">
        <v>38</v>
      </c>
      <c r="E23" s="41">
        <v>1.6759283761136102E-3</v>
      </c>
    </row>
    <row r="24" spans="2:5" ht="15" customHeight="1">
      <c r="B24" s="93"/>
      <c r="C24" s="43" t="s">
        <v>180</v>
      </c>
      <c r="D24" s="42">
        <v>3</v>
      </c>
      <c r="E24" s="41">
        <v>1.3231013495633765E-4</v>
      </c>
    </row>
    <row r="25" spans="2:5" ht="15" customHeight="1">
      <c r="B25" s="93"/>
      <c r="C25" s="43" t="s">
        <v>179</v>
      </c>
      <c r="D25" s="42">
        <v>4</v>
      </c>
      <c r="E25" s="41">
        <v>1.7641351327511687E-4</v>
      </c>
    </row>
    <row r="26" spans="2:5" ht="15" customHeight="1">
      <c r="B26" s="93"/>
      <c r="C26" s="43" t="s">
        <v>177</v>
      </c>
      <c r="D26" s="42">
        <v>1</v>
      </c>
      <c r="E26" s="41">
        <v>4.4103378318779218E-5</v>
      </c>
    </row>
    <row r="27" spans="2:5" ht="15" customHeight="1">
      <c r="B27" s="94"/>
      <c r="C27" s="40" t="s">
        <v>20</v>
      </c>
      <c r="D27" s="39">
        <v>180</v>
      </c>
      <c r="E27" s="38">
        <v>7.9386080973802599E-3</v>
      </c>
    </row>
    <row r="28" spans="2:5" ht="15" customHeight="1">
      <c r="B28" s="92" t="s">
        <v>110</v>
      </c>
      <c r="C28" s="43" t="s">
        <v>199</v>
      </c>
      <c r="D28" s="42">
        <v>7</v>
      </c>
      <c r="E28" s="41">
        <v>3.0872364823145452E-4</v>
      </c>
    </row>
    <row r="29" spans="2:5" ht="15" customHeight="1">
      <c r="B29" s="93"/>
      <c r="C29" s="43" t="s">
        <v>198</v>
      </c>
      <c r="D29" s="42">
        <v>4</v>
      </c>
      <c r="E29" s="41">
        <v>1.7641351327511687E-4</v>
      </c>
    </row>
    <row r="30" spans="2:5" ht="15" customHeight="1">
      <c r="B30" s="93"/>
      <c r="C30" s="43" t="s">
        <v>197</v>
      </c>
      <c r="D30" s="42">
        <v>3</v>
      </c>
      <c r="E30" s="41">
        <v>1.3231013495633765E-4</v>
      </c>
    </row>
    <row r="31" spans="2:5" ht="15" customHeight="1">
      <c r="B31" s="93"/>
      <c r="C31" s="43" t="s">
        <v>196</v>
      </c>
      <c r="D31" s="42">
        <v>10</v>
      </c>
      <c r="E31" s="41">
        <v>4.410337831877922E-4</v>
      </c>
    </row>
    <row r="32" spans="2:5" ht="15" customHeight="1">
      <c r="B32" s="93"/>
      <c r="C32" s="43" t="s">
        <v>195</v>
      </c>
      <c r="D32" s="42">
        <v>12</v>
      </c>
      <c r="E32" s="41">
        <v>5.2924053982535059E-4</v>
      </c>
    </row>
    <row r="33" spans="2:5" ht="15" customHeight="1">
      <c r="B33" s="93"/>
      <c r="C33" s="43" t="s">
        <v>194</v>
      </c>
      <c r="D33" s="42">
        <v>13</v>
      </c>
      <c r="E33" s="41">
        <v>5.7334391814412987E-4</v>
      </c>
    </row>
    <row r="34" spans="2:5" ht="15" customHeight="1">
      <c r="B34" s="93"/>
      <c r="C34" s="43" t="s">
        <v>193</v>
      </c>
      <c r="D34" s="42">
        <v>50</v>
      </c>
      <c r="E34" s="41">
        <v>2.2051689159389609E-3</v>
      </c>
    </row>
    <row r="35" spans="2:5" ht="15" customHeight="1">
      <c r="B35" s="93"/>
      <c r="C35" s="43" t="s">
        <v>192</v>
      </c>
      <c r="D35" s="42">
        <v>141</v>
      </c>
      <c r="E35" s="41">
        <v>6.2185763429478697E-3</v>
      </c>
    </row>
    <row r="36" spans="2:5" ht="15" customHeight="1">
      <c r="B36" s="93"/>
      <c r="C36" s="43" t="s">
        <v>191</v>
      </c>
      <c r="D36" s="42">
        <v>12</v>
      </c>
      <c r="E36" s="41">
        <v>5.2924053982535059E-4</v>
      </c>
    </row>
    <row r="37" spans="2:5" ht="15" customHeight="1">
      <c r="B37" s="93"/>
      <c r="C37" s="43" t="s">
        <v>190</v>
      </c>
      <c r="D37" s="42">
        <v>26</v>
      </c>
      <c r="E37" s="41">
        <v>1.1466878362882597E-3</v>
      </c>
    </row>
    <row r="38" spans="2:5" ht="15" customHeight="1">
      <c r="B38" s="93"/>
      <c r="C38" s="43" t="s">
        <v>189</v>
      </c>
      <c r="D38" s="42">
        <v>22</v>
      </c>
      <c r="E38" s="41">
        <v>9.7027432301314285E-4</v>
      </c>
    </row>
    <row r="39" spans="2:5" ht="15" customHeight="1">
      <c r="B39" s="93"/>
      <c r="C39" s="43" t="s">
        <v>188</v>
      </c>
      <c r="D39" s="42">
        <v>244</v>
      </c>
      <c r="E39" s="41">
        <v>1.0761224309782129E-2</v>
      </c>
    </row>
    <row r="40" spans="2:5" ht="15" customHeight="1">
      <c r="B40" s="93"/>
      <c r="C40" s="43" t="s">
        <v>187</v>
      </c>
      <c r="D40" s="42">
        <v>7</v>
      </c>
      <c r="E40" s="41">
        <v>3.0872364823145452E-4</v>
      </c>
    </row>
    <row r="41" spans="2:5" ht="15" customHeight="1">
      <c r="B41" s="93"/>
      <c r="C41" s="43" t="s">
        <v>186</v>
      </c>
      <c r="D41" s="42">
        <v>34</v>
      </c>
      <c r="E41" s="41">
        <v>1.4995148628384933E-3</v>
      </c>
    </row>
    <row r="42" spans="2:5" ht="15" customHeight="1">
      <c r="B42" s="93"/>
      <c r="C42" s="43" t="s">
        <v>185</v>
      </c>
      <c r="D42" s="42">
        <v>78</v>
      </c>
      <c r="E42" s="41">
        <v>3.440063508864779E-3</v>
      </c>
    </row>
    <row r="43" spans="2:5" ht="15" customHeight="1">
      <c r="B43" s="93"/>
      <c r="C43" s="43" t="s">
        <v>184</v>
      </c>
      <c r="D43" s="42">
        <v>1</v>
      </c>
      <c r="E43" s="41">
        <v>4.4103378318779218E-5</v>
      </c>
    </row>
    <row r="44" spans="2:5" ht="15" customHeight="1">
      <c r="B44" s="93"/>
      <c r="C44" s="43" t="s">
        <v>183</v>
      </c>
      <c r="D44" s="42">
        <v>1</v>
      </c>
      <c r="E44" s="41">
        <v>4.4103378318779218E-5</v>
      </c>
    </row>
    <row r="45" spans="2:5" ht="15" customHeight="1">
      <c r="B45" s="93"/>
      <c r="C45" s="43" t="s">
        <v>180</v>
      </c>
      <c r="D45" s="42">
        <v>2</v>
      </c>
      <c r="E45" s="41">
        <v>8.8206756637558437E-5</v>
      </c>
    </row>
    <row r="46" spans="2:5" ht="15" customHeight="1">
      <c r="B46" s="93"/>
      <c r="C46" s="43" t="s">
        <v>179</v>
      </c>
      <c r="D46" s="42">
        <v>9</v>
      </c>
      <c r="E46" s="41">
        <v>3.9693040486901297E-4</v>
      </c>
    </row>
    <row r="47" spans="2:5" ht="15" customHeight="1">
      <c r="B47" s="93"/>
      <c r="C47" s="43" t="s">
        <v>204</v>
      </c>
      <c r="D47" s="42">
        <v>1</v>
      </c>
      <c r="E47" s="41">
        <v>4.4103378318779218E-5</v>
      </c>
    </row>
    <row r="48" spans="2:5" ht="15" customHeight="1">
      <c r="B48" s="94"/>
      <c r="C48" s="40" t="s">
        <v>20</v>
      </c>
      <c r="D48" s="39">
        <v>677</v>
      </c>
      <c r="E48" s="38">
        <v>2.9857987121813531E-2</v>
      </c>
    </row>
    <row r="49" spans="2:5" ht="15" customHeight="1">
      <c r="B49" s="92" t="s">
        <v>100</v>
      </c>
      <c r="C49" s="43" t="s">
        <v>199</v>
      </c>
      <c r="D49" s="42">
        <v>5</v>
      </c>
      <c r="E49" s="41">
        <v>2.205168915938961E-4</v>
      </c>
    </row>
    <row r="50" spans="2:5" ht="15" customHeight="1">
      <c r="B50" s="93"/>
      <c r="C50" s="43" t="s">
        <v>198</v>
      </c>
      <c r="D50" s="42">
        <v>5</v>
      </c>
      <c r="E50" s="41">
        <v>2.205168915938961E-4</v>
      </c>
    </row>
    <row r="51" spans="2:5" ht="15" customHeight="1">
      <c r="B51" s="93"/>
      <c r="C51" s="43" t="s">
        <v>197</v>
      </c>
      <c r="D51" s="42">
        <v>5</v>
      </c>
      <c r="E51" s="41">
        <v>2.205168915938961E-4</v>
      </c>
    </row>
    <row r="52" spans="2:5" ht="15" customHeight="1">
      <c r="B52" s="93"/>
      <c r="C52" s="43" t="s">
        <v>196</v>
      </c>
      <c r="D52" s="42">
        <v>22</v>
      </c>
      <c r="E52" s="41">
        <v>9.7027432301314285E-4</v>
      </c>
    </row>
    <row r="53" spans="2:5" ht="15" customHeight="1">
      <c r="B53" s="93"/>
      <c r="C53" s="43" t="s">
        <v>195</v>
      </c>
      <c r="D53" s="42">
        <v>19</v>
      </c>
      <c r="E53" s="41">
        <v>8.3796418805680512E-4</v>
      </c>
    </row>
    <row r="54" spans="2:5" ht="15" customHeight="1">
      <c r="B54" s="93"/>
      <c r="C54" s="43" t="s">
        <v>194</v>
      </c>
      <c r="D54" s="42">
        <v>15</v>
      </c>
      <c r="E54" s="41">
        <v>6.6155067478168832E-4</v>
      </c>
    </row>
    <row r="55" spans="2:5" ht="15" customHeight="1">
      <c r="B55" s="93"/>
      <c r="C55" s="43" t="s">
        <v>193</v>
      </c>
      <c r="D55" s="42">
        <v>48</v>
      </c>
      <c r="E55" s="41">
        <v>2.1169621593014024E-3</v>
      </c>
    </row>
    <row r="56" spans="2:5" ht="15" customHeight="1">
      <c r="B56" s="93"/>
      <c r="C56" s="43" t="s">
        <v>192</v>
      </c>
      <c r="D56" s="42">
        <v>99</v>
      </c>
      <c r="E56" s="41">
        <v>4.3662344535591426E-3</v>
      </c>
    </row>
    <row r="57" spans="2:5" ht="15" customHeight="1">
      <c r="B57" s="93"/>
      <c r="C57" s="43" t="s">
        <v>191</v>
      </c>
      <c r="D57" s="42">
        <v>3</v>
      </c>
      <c r="E57" s="41">
        <v>1.3231013495633765E-4</v>
      </c>
    </row>
    <row r="58" spans="2:5" ht="15" customHeight="1">
      <c r="B58" s="93"/>
      <c r="C58" s="43" t="s">
        <v>190</v>
      </c>
      <c r="D58" s="42">
        <v>13</v>
      </c>
      <c r="E58" s="41">
        <v>5.7334391814412987E-4</v>
      </c>
    </row>
    <row r="59" spans="2:5" ht="15" customHeight="1">
      <c r="B59" s="93"/>
      <c r="C59" s="43" t="s">
        <v>189</v>
      </c>
      <c r="D59" s="42">
        <v>22</v>
      </c>
      <c r="E59" s="41">
        <v>9.7027432301314285E-4</v>
      </c>
    </row>
    <row r="60" spans="2:5" ht="15" customHeight="1">
      <c r="B60" s="93"/>
      <c r="C60" s="43" t="s">
        <v>188</v>
      </c>
      <c r="D60" s="42">
        <v>148</v>
      </c>
      <c r="E60" s="41">
        <v>6.5272999911793247E-3</v>
      </c>
    </row>
    <row r="61" spans="2:5" ht="15" customHeight="1">
      <c r="B61" s="93"/>
      <c r="C61" s="43" t="s">
        <v>187</v>
      </c>
      <c r="D61" s="42">
        <v>7</v>
      </c>
      <c r="E61" s="41">
        <v>3.0872364823145452E-4</v>
      </c>
    </row>
    <row r="62" spans="2:5" ht="15" customHeight="1">
      <c r="B62" s="93"/>
      <c r="C62" s="43" t="s">
        <v>186</v>
      </c>
      <c r="D62" s="42">
        <v>23</v>
      </c>
      <c r="E62" s="41">
        <v>1.0143777013319221E-3</v>
      </c>
    </row>
    <row r="63" spans="2:5" ht="15" customHeight="1">
      <c r="B63" s="93"/>
      <c r="C63" s="43" t="s">
        <v>185</v>
      </c>
      <c r="D63" s="42">
        <v>61</v>
      </c>
      <c r="E63" s="41">
        <v>2.6903060774455321E-3</v>
      </c>
    </row>
    <row r="64" spans="2:5" ht="15" customHeight="1">
      <c r="B64" s="93"/>
      <c r="C64" s="43" t="s">
        <v>180</v>
      </c>
      <c r="D64" s="42">
        <v>6</v>
      </c>
      <c r="E64" s="41">
        <v>2.646202699126753E-4</v>
      </c>
    </row>
    <row r="65" spans="2:5" ht="15" customHeight="1">
      <c r="B65" s="93"/>
      <c r="C65" s="43" t="s">
        <v>179</v>
      </c>
      <c r="D65" s="42">
        <v>10</v>
      </c>
      <c r="E65" s="41">
        <v>4.410337831877922E-4</v>
      </c>
    </row>
    <row r="66" spans="2:5" ht="15" customHeight="1">
      <c r="B66" s="93"/>
      <c r="C66" s="43" t="s">
        <v>204</v>
      </c>
      <c r="D66" s="42">
        <v>4</v>
      </c>
      <c r="E66" s="41">
        <v>1.7641351327511687E-4</v>
      </c>
    </row>
    <row r="67" spans="2:5" ht="15" customHeight="1">
      <c r="B67" s="94"/>
      <c r="C67" s="40" t="s">
        <v>20</v>
      </c>
      <c r="D67" s="39">
        <v>515</v>
      </c>
      <c r="E67" s="38">
        <v>2.2713239834171298E-2</v>
      </c>
    </row>
    <row r="68" spans="2:5" ht="15" customHeight="1">
      <c r="B68" s="92" t="s">
        <v>76</v>
      </c>
      <c r="C68" s="43" t="s">
        <v>199</v>
      </c>
      <c r="D68" s="42">
        <v>5</v>
      </c>
      <c r="E68" s="41">
        <v>2.205168915938961E-4</v>
      </c>
    </row>
    <row r="69" spans="2:5" ht="15" customHeight="1">
      <c r="B69" s="93"/>
      <c r="C69" s="43" t="s">
        <v>198</v>
      </c>
      <c r="D69" s="42">
        <v>1</v>
      </c>
      <c r="E69" s="41">
        <v>4.4103378318779218E-5</v>
      </c>
    </row>
    <row r="70" spans="2:5" ht="15" customHeight="1">
      <c r="B70" s="93"/>
      <c r="C70" s="43" t="s">
        <v>197</v>
      </c>
      <c r="D70" s="42">
        <v>6</v>
      </c>
      <c r="E70" s="41">
        <v>2.646202699126753E-4</v>
      </c>
    </row>
    <row r="71" spans="2:5" ht="15" customHeight="1">
      <c r="B71" s="93"/>
      <c r="C71" s="43" t="s">
        <v>196</v>
      </c>
      <c r="D71" s="42">
        <v>6</v>
      </c>
      <c r="E71" s="41">
        <v>2.646202699126753E-4</v>
      </c>
    </row>
    <row r="72" spans="2:5" ht="15" customHeight="1">
      <c r="B72" s="93"/>
      <c r="C72" s="43" t="s">
        <v>195</v>
      </c>
      <c r="D72" s="42">
        <v>8</v>
      </c>
      <c r="E72" s="41">
        <v>3.5282702655023375E-4</v>
      </c>
    </row>
    <row r="73" spans="2:5" ht="15" customHeight="1">
      <c r="B73" s="93"/>
      <c r="C73" s="43" t="s">
        <v>194</v>
      </c>
      <c r="D73" s="42">
        <v>13</v>
      </c>
      <c r="E73" s="41">
        <v>5.7334391814412987E-4</v>
      </c>
    </row>
    <row r="74" spans="2:5" ht="15" customHeight="1">
      <c r="B74" s="93"/>
      <c r="C74" s="43" t="s">
        <v>193</v>
      </c>
      <c r="D74" s="42">
        <v>37</v>
      </c>
      <c r="E74" s="41">
        <v>1.6318249977948312E-3</v>
      </c>
    </row>
    <row r="75" spans="2:5" ht="15" customHeight="1">
      <c r="B75" s="93"/>
      <c r="C75" s="43" t="s">
        <v>192</v>
      </c>
      <c r="D75" s="42">
        <v>77</v>
      </c>
      <c r="E75" s="41">
        <v>3.3959601305459997E-3</v>
      </c>
    </row>
    <row r="76" spans="2:5" ht="15" customHeight="1">
      <c r="B76" s="93"/>
      <c r="C76" s="43" t="s">
        <v>191</v>
      </c>
      <c r="D76" s="42">
        <v>5</v>
      </c>
      <c r="E76" s="41">
        <v>2.205168915938961E-4</v>
      </c>
    </row>
    <row r="77" spans="2:5" ht="15" customHeight="1">
      <c r="B77" s="93"/>
      <c r="C77" s="43" t="s">
        <v>190</v>
      </c>
      <c r="D77" s="42">
        <v>8</v>
      </c>
      <c r="E77" s="41">
        <v>3.5282702655023375E-4</v>
      </c>
    </row>
    <row r="78" spans="2:5" ht="15" customHeight="1">
      <c r="B78" s="93"/>
      <c r="C78" s="43" t="s">
        <v>189</v>
      </c>
      <c r="D78" s="42">
        <v>37</v>
      </c>
      <c r="E78" s="41">
        <v>1.6318249977948312E-3</v>
      </c>
    </row>
    <row r="79" spans="2:5" ht="15" customHeight="1">
      <c r="B79" s="93"/>
      <c r="C79" s="43" t="s">
        <v>188</v>
      </c>
      <c r="D79" s="42">
        <v>91</v>
      </c>
      <c r="E79" s="41">
        <v>4.0134074270089092E-3</v>
      </c>
    </row>
    <row r="80" spans="2:5" ht="15" customHeight="1">
      <c r="B80" s="93"/>
      <c r="C80" s="43" t="s">
        <v>186</v>
      </c>
      <c r="D80" s="42">
        <v>16</v>
      </c>
      <c r="E80" s="41">
        <v>7.0565405310046749E-4</v>
      </c>
    </row>
    <row r="81" spans="2:5" ht="15" customHeight="1">
      <c r="B81" s="93"/>
      <c r="C81" s="43" t="s">
        <v>185</v>
      </c>
      <c r="D81" s="42">
        <v>39</v>
      </c>
      <c r="E81" s="41">
        <v>1.7200317544323895E-3</v>
      </c>
    </row>
    <row r="82" spans="2:5" ht="15" customHeight="1">
      <c r="B82" s="93"/>
      <c r="C82" s="43" t="s">
        <v>182</v>
      </c>
      <c r="D82" s="42">
        <v>1</v>
      </c>
      <c r="E82" s="41">
        <v>4.4103378318779218E-5</v>
      </c>
    </row>
    <row r="83" spans="2:5" ht="15" customHeight="1">
      <c r="B83" s="93"/>
      <c r="C83" s="43" t="s">
        <v>181</v>
      </c>
      <c r="D83" s="42">
        <v>1</v>
      </c>
      <c r="E83" s="41">
        <v>4.4103378318779218E-5</v>
      </c>
    </row>
    <row r="84" spans="2:5" ht="15" customHeight="1">
      <c r="B84" s="93"/>
      <c r="C84" s="43" t="s">
        <v>180</v>
      </c>
      <c r="D84" s="42">
        <v>3</v>
      </c>
      <c r="E84" s="41">
        <v>1.3231013495633765E-4</v>
      </c>
    </row>
    <row r="85" spans="2:5" ht="15" customHeight="1">
      <c r="B85" s="93"/>
      <c r="C85" s="43" t="s">
        <v>179</v>
      </c>
      <c r="D85" s="42">
        <v>6</v>
      </c>
      <c r="E85" s="41">
        <v>2.646202699126753E-4</v>
      </c>
    </row>
    <row r="86" spans="2:5" ht="15" customHeight="1">
      <c r="B86" s="94"/>
      <c r="C86" s="40" t="s">
        <v>20</v>
      </c>
      <c r="D86" s="39">
        <v>360</v>
      </c>
      <c r="E86" s="38">
        <v>1.587721619476052E-2</v>
      </c>
    </row>
    <row r="87" spans="2:5" ht="15" customHeight="1">
      <c r="B87" s="92" t="s">
        <v>72</v>
      </c>
      <c r="C87" s="43" t="s">
        <v>196</v>
      </c>
      <c r="D87" s="42">
        <v>2</v>
      </c>
      <c r="E87" s="41">
        <v>8.8206756637558437E-5</v>
      </c>
    </row>
    <row r="88" spans="2:5" ht="15" customHeight="1">
      <c r="B88" s="93"/>
      <c r="C88" s="43" t="s">
        <v>194</v>
      </c>
      <c r="D88" s="42">
        <v>1</v>
      </c>
      <c r="E88" s="41">
        <v>4.4103378318779218E-5</v>
      </c>
    </row>
    <row r="89" spans="2:5" ht="15" customHeight="1">
      <c r="B89" s="93"/>
      <c r="C89" s="43" t="s">
        <v>193</v>
      </c>
      <c r="D89" s="42">
        <v>3</v>
      </c>
      <c r="E89" s="41">
        <v>1.3231013495633765E-4</v>
      </c>
    </row>
    <row r="90" spans="2:5" ht="15" customHeight="1">
      <c r="B90" s="93"/>
      <c r="C90" s="43" t="s">
        <v>192</v>
      </c>
      <c r="D90" s="42">
        <v>2</v>
      </c>
      <c r="E90" s="41">
        <v>8.8206756637558437E-5</v>
      </c>
    </row>
    <row r="91" spans="2:5" ht="15" customHeight="1">
      <c r="B91" s="93"/>
      <c r="C91" s="43" t="s">
        <v>191</v>
      </c>
      <c r="D91" s="42">
        <v>1</v>
      </c>
      <c r="E91" s="41">
        <v>4.4103378318779218E-5</v>
      </c>
    </row>
    <row r="92" spans="2:5" ht="15" customHeight="1">
      <c r="B92" s="93"/>
      <c r="C92" s="43" t="s">
        <v>190</v>
      </c>
      <c r="D92" s="42">
        <v>1</v>
      </c>
      <c r="E92" s="41">
        <v>4.4103378318779218E-5</v>
      </c>
    </row>
    <row r="93" spans="2:5" ht="15" customHeight="1">
      <c r="B93" s="93"/>
      <c r="C93" s="43" t="s">
        <v>188</v>
      </c>
      <c r="D93" s="42">
        <v>8</v>
      </c>
      <c r="E93" s="41">
        <v>3.5282702655023375E-4</v>
      </c>
    </row>
    <row r="94" spans="2:5" ht="15" customHeight="1">
      <c r="B94" s="93"/>
      <c r="C94" s="43" t="s">
        <v>186</v>
      </c>
      <c r="D94" s="42">
        <v>1</v>
      </c>
      <c r="E94" s="41">
        <v>4.4103378318779218E-5</v>
      </c>
    </row>
    <row r="95" spans="2:5" ht="15" customHeight="1">
      <c r="B95" s="93"/>
      <c r="C95" s="43" t="s">
        <v>185</v>
      </c>
      <c r="D95" s="42">
        <v>2</v>
      </c>
      <c r="E95" s="41">
        <v>8.8206756637558437E-5</v>
      </c>
    </row>
    <row r="96" spans="2:5" ht="15" customHeight="1">
      <c r="B96" s="93"/>
      <c r="C96" s="43" t="s">
        <v>184</v>
      </c>
      <c r="D96" s="42">
        <v>1</v>
      </c>
      <c r="E96" s="41">
        <v>4.4103378318779218E-5</v>
      </c>
    </row>
    <row r="97" spans="2:5" ht="15" customHeight="1">
      <c r="B97" s="93"/>
      <c r="C97" s="43" t="s">
        <v>180</v>
      </c>
      <c r="D97" s="42">
        <v>1</v>
      </c>
      <c r="E97" s="41">
        <v>4.4103378318779218E-5</v>
      </c>
    </row>
    <row r="98" spans="2:5" ht="15" customHeight="1">
      <c r="B98" s="94"/>
      <c r="C98" s="40" t="s">
        <v>20</v>
      </c>
      <c r="D98" s="39">
        <v>23</v>
      </c>
      <c r="E98" s="38">
        <v>1.0143777013319221E-3</v>
      </c>
    </row>
    <row r="99" spans="2:5" ht="15" customHeight="1">
      <c r="B99" s="92" t="s">
        <v>77</v>
      </c>
      <c r="C99" s="43" t="s">
        <v>199</v>
      </c>
      <c r="D99" s="42">
        <v>1</v>
      </c>
      <c r="E99" s="41">
        <v>4.4103378318779218E-5</v>
      </c>
    </row>
    <row r="100" spans="2:5" ht="15" customHeight="1">
      <c r="B100" s="93"/>
      <c r="C100" s="43" t="s">
        <v>197</v>
      </c>
      <c r="D100" s="42">
        <v>1</v>
      </c>
      <c r="E100" s="41">
        <v>4.4103378318779218E-5</v>
      </c>
    </row>
    <row r="101" spans="2:5" ht="15" customHeight="1">
      <c r="B101" s="93"/>
      <c r="C101" s="43" t="s">
        <v>195</v>
      </c>
      <c r="D101" s="42">
        <v>1</v>
      </c>
      <c r="E101" s="41">
        <v>4.4103378318779218E-5</v>
      </c>
    </row>
    <row r="102" spans="2:5" ht="15" customHeight="1">
      <c r="B102" s="93"/>
      <c r="C102" s="43" t="s">
        <v>193</v>
      </c>
      <c r="D102" s="42">
        <v>1</v>
      </c>
      <c r="E102" s="41">
        <v>4.4103378318779218E-5</v>
      </c>
    </row>
    <row r="103" spans="2:5" ht="15" customHeight="1">
      <c r="B103" s="93"/>
      <c r="C103" s="43" t="s">
        <v>192</v>
      </c>
      <c r="D103" s="42">
        <v>2</v>
      </c>
      <c r="E103" s="41">
        <v>8.8206756637558437E-5</v>
      </c>
    </row>
    <row r="104" spans="2:5" ht="15" customHeight="1">
      <c r="B104" s="93"/>
      <c r="C104" s="43" t="s">
        <v>189</v>
      </c>
      <c r="D104" s="42">
        <v>1</v>
      </c>
      <c r="E104" s="41">
        <v>4.4103378318779218E-5</v>
      </c>
    </row>
    <row r="105" spans="2:5" ht="15" customHeight="1">
      <c r="B105" s="93"/>
      <c r="C105" s="43" t="s">
        <v>188</v>
      </c>
      <c r="D105" s="42">
        <v>4</v>
      </c>
      <c r="E105" s="41">
        <v>1.7641351327511687E-4</v>
      </c>
    </row>
    <row r="106" spans="2:5" ht="15" customHeight="1">
      <c r="B106" s="93"/>
      <c r="C106" s="43" t="s">
        <v>186</v>
      </c>
      <c r="D106" s="42">
        <v>2</v>
      </c>
      <c r="E106" s="41">
        <v>8.8206756637558437E-5</v>
      </c>
    </row>
    <row r="107" spans="2:5" ht="15" customHeight="1">
      <c r="B107" s="93"/>
      <c r="C107" s="43" t="s">
        <v>185</v>
      </c>
      <c r="D107" s="42">
        <v>5</v>
      </c>
      <c r="E107" s="41">
        <v>2.205168915938961E-4</v>
      </c>
    </row>
    <row r="108" spans="2:5" ht="15" customHeight="1">
      <c r="B108" s="93"/>
      <c r="C108" s="43" t="s">
        <v>180</v>
      </c>
      <c r="D108" s="42">
        <v>1</v>
      </c>
      <c r="E108" s="41">
        <v>4.4103378318779218E-5</v>
      </c>
    </row>
    <row r="109" spans="2:5" ht="15" customHeight="1">
      <c r="B109" s="93"/>
      <c r="C109" s="43" t="s">
        <v>179</v>
      </c>
      <c r="D109" s="42">
        <v>2</v>
      </c>
      <c r="E109" s="41">
        <v>8.8206756637558437E-5</v>
      </c>
    </row>
    <row r="110" spans="2:5" ht="15" customHeight="1">
      <c r="B110" s="94"/>
      <c r="C110" s="40" t="s">
        <v>20</v>
      </c>
      <c r="D110" s="39">
        <v>21</v>
      </c>
      <c r="E110" s="38">
        <v>9.2617094469436357E-4</v>
      </c>
    </row>
    <row r="111" spans="2:5" ht="15" customHeight="1">
      <c r="B111" s="92" t="s">
        <v>209</v>
      </c>
      <c r="C111" s="43" t="s">
        <v>193</v>
      </c>
      <c r="D111" s="42">
        <v>1</v>
      </c>
      <c r="E111" s="41">
        <v>4.4103378318779218E-5</v>
      </c>
    </row>
    <row r="112" spans="2:5" ht="15" customHeight="1">
      <c r="B112" s="93"/>
      <c r="C112" s="43" t="s">
        <v>186</v>
      </c>
      <c r="D112" s="42">
        <v>1</v>
      </c>
      <c r="E112" s="41">
        <v>4.4103378318779218E-5</v>
      </c>
    </row>
    <row r="113" spans="2:5" ht="15" customHeight="1">
      <c r="B113" s="93"/>
      <c r="C113" s="43" t="s">
        <v>185</v>
      </c>
      <c r="D113" s="42">
        <v>1</v>
      </c>
      <c r="E113" s="41">
        <v>4.4103378318779218E-5</v>
      </c>
    </row>
    <row r="114" spans="2:5" ht="15" customHeight="1">
      <c r="B114" s="94"/>
      <c r="C114" s="40" t="s">
        <v>20</v>
      </c>
      <c r="D114" s="39">
        <v>3</v>
      </c>
      <c r="E114" s="38">
        <v>1.3231013495633765E-4</v>
      </c>
    </row>
    <row r="115" spans="2:5" ht="15" customHeight="1">
      <c r="B115" s="92" t="s">
        <v>113</v>
      </c>
      <c r="C115" s="43" t="s">
        <v>199</v>
      </c>
      <c r="D115" s="42">
        <v>18</v>
      </c>
      <c r="E115" s="41">
        <v>7.9386080973802594E-4</v>
      </c>
    </row>
    <row r="116" spans="2:5" ht="15" customHeight="1">
      <c r="B116" s="93"/>
      <c r="C116" s="43" t="s">
        <v>198</v>
      </c>
      <c r="D116" s="42">
        <v>3</v>
      </c>
      <c r="E116" s="41">
        <v>1.3231013495633765E-4</v>
      </c>
    </row>
    <row r="117" spans="2:5" ht="15" customHeight="1">
      <c r="B117" s="93"/>
      <c r="C117" s="43" t="s">
        <v>197</v>
      </c>
      <c r="D117" s="42">
        <v>20</v>
      </c>
      <c r="E117" s="41">
        <v>8.820675663755844E-4</v>
      </c>
    </row>
    <row r="118" spans="2:5" ht="15" customHeight="1">
      <c r="B118" s="93"/>
      <c r="C118" s="43" t="s">
        <v>196</v>
      </c>
      <c r="D118" s="42">
        <v>28</v>
      </c>
      <c r="E118" s="41">
        <v>1.2348945929258181E-3</v>
      </c>
    </row>
    <row r="119" spans="2:5" ht="15" customHeight="1">
      <c r="B119" s="93"/>
      <c r="C119" s="43" t="s">
        <v>195</v>
      </c>
      <c r="D119" s="42">
        <v>32</v>
      </c>
      <c r="E119" s="41">
        <v>1.411308106200935E-3</v>
      </c>
    </row>
    <row r="120" spans="2:5" ht="15" customHeight="1">
      <c r="B120" s="93"/>
      <c r="C120" s="43" t="s">
        <v>194</v>
      </c>
      <c r="D120" s="42">
        <v>32</v>
      </c>
      <c r="E120" s="41">
        <v>1.411308106200935E-3</v>
      </c>
    </row>
    <row r="121" spans="2:5" ht="15" customHeight="1">
      <c r="B121" s="93"/>
      <c r="C121" s="43" t="s">
        <v>193</v>
      </c>
      <c r="D121" s="42">
        <v>165</v>
      </c>
      <c r="E121" s="41">
        <v>7.2770574225985707E-3</v>
      </c>
    </row>
    <row r="122" spans="2:5" ht="15" customHeight="1">
      <c r="B122" s="93"/>
      <c r="C122" s="43" t="s">
        <v>192</v>
      </c>
      <c r="D122" s="42">
        <v>688</v>
      </c>
      <c r="E122" s="41">
        <v>3.0343124283320103E-2</v>
      </c>
    </row>
    <row r="123" spans="2:5" ht="15" customHeight="1">
      <c r="B123" s="93"/>
      <c r="C123" s="43" t="s">
        <v>191</v>
      </c>
      <c r="D123" s="42">
        <v>18</v>
      </c>
      <c r="E123" s="41">
        <v>7.9386080973802594E-4</v>
      </c>
    </row>
    <row r="124" spans="2:5" ht="15" customHeight="1">
      <c r="B124" s="93"/>
      <c r="C124" s="43" t="s">
        <v>190</v>
      </c>
      <c r="D124" s="42">
        <v>40</v>
      </c>
      <c r="E124" s="41">
        <v>1.7641351327511688E-3</v>
      </c>
    </row>
    <row r="125" spans="2:5" ht="15" customHeight="1">
      <c r="B125" s="93"/>
      <c r="C125" s="43" t="s">
        <v>189</v>
      </c>
      <c r="D125" s="42">
        <v>71</v>
      </c>
      <c r="E125" s="41">
        <v>3.1313398606333245E-3</v>
      </c>
    </row>
    <row r="126" spans="2:5" ht="15" customHeight="1">
      <c r="B126" s="93"/>
      <c r="C126" s="43" t="s">
        <v>188</v>
      </c>
      <c r="D126" s="42">
        <v>1011</v>
      </c>
      <c r="E126" s="41">
        <v>4.4588515480285792E-2</v>
      </c>
    </row>
    <row r="127" spans="2:5" ht="15" customHeight="1">
      <c r="B127" s="93"/>
      <c r="C127" s="43" t="s">
        <v>187</v>
      </c>
      <c r="D127" s="42">
        <v>27</v>
      </c>
      <c r="E127" s="41">
        <v>1.1907912146070388E-3</v>
      </c>
    </row>
    <row r="128" spans="2:5" ht="15" customHeight="1">
      <c r="B128" s="93"/>
      <c r="C128" s="43" t="s">
        <v>186</v>
      </c>
      <c r="D128" s="42">
        <v>110</v>
      </c>
      <c r="E128" s="41">
        <v>4.8513716150657138E-3</v>
      </c>
    </row>
    <row r="129" spans="2:5" ht="15" customHeight="1">
      <c r="B129" s="93"/>
      <c r="C129" s="43" t="s">
        <v>185</v>
      </c>
      <c r="D129" s="42">
        <v>340</v>
      </c>
      <c r="E129" s="41">
        <v>1.4995148628384934E-2</v>
      </c>
    </row>
    <row r="130" spans="2:5" ht="15" customHeight="1">
      <c r="B130" s="93"/>
      <c r="C130" s="43" t="s">
        <v>184</v>
      </c>
      <c r="D130" s="42">
        <v>3</v>
      </c>
      <c r="E130" s="41">
        <v>1.3231013495633765E-4</v>
      </c>
    </row>
    <row r="131" spans="2:5" ht="15" customHeight="1">
      <c r="B131" s="93"/>
      <c r="C131" s="43" t="s">
        <v>183</v>
      </c>
      <c r="D131" s="42">
        <v>3</v>
      </c>
      <c r="E131" s="41">
        <v>1.3231013495633765E-4</v>
      </c>
    </row>
    <row r="132" spans="2:5" ht="15" customHeight="1">
      <c r="B132" s="93"/>
      <c r="C132" s="43" t="s">
        <v>181</v>
      </c>
      <c r="D132" s="42">
        <v>5</v>
      </c>
      <c r="E132" s="41">
        <v>2.205168915938961E-4</v>
      </c>
    </row>
    <row r="133" spans="2:5" ht="15" customHeight="1">
      <c r="B133" s="93"/>
      <c r="C133" s="43" t="s">
        <v>180</v>
      </c>
      <c r="D133" s="42">
        <v>28</v>
      </c>
      <c r="E133" s="41">
        <v>1.2348945929258181E-3</v>
      </c>
    </row>
    <row r="134" spans="2:5" ht="15" customHeight="1">
      <c r="B134" s="93"/>
      <c r="C134" s="43" t="s">
        <v>179</v>
      </c>
      <c r="D134" s="42">
        <v>49</v>
      </c>
      <c r="E134" s="41">
        <v>2.1610655376201817E-3</v>
      </c>
    </row>
    <row r="135" spans="2:5" ht="15" customHeight="1">
      <c r="B135" s="93"/>
      <c r="C135" s="43" t="s">
        <v>204</v>
      </c>
      <c r="D135" s="42">
        <v>5</v>
      </c>
      <c r="E135" s="41">
        <v>2.205168915938961E-4</v>
      </c>
    </row>
    <row r="136" spans="2:5" ht="15" customHeight="1">
      <c r="B136" s="93"/>
      <c r="C136" s="43" t="s">
        <v>177</v>
      </c>
      <c r="D136" s="42">
        <v>4</v>
      </c>
      <c r="E136" s="41">
        <v>1.7641351327511687E-4</v>
      </c>
    </row>
    <row r="137" spans="2:5" ht="15" customHeight="1">
      <c r="B137" s="94"/>
      <c r="C137" s="40" t="s">
        <v>20</v>
      </c>
      <c r="D137" s="39">
        <v>2700</v>
      </c>
      <c r="E137" s="38">
        <v>0.11907912146070389</v>
      </c>
    </row>
    <row r="138" spans="2:5" ht="15" customHeight="1">
      <c r="B138" s="92" t="s">
        <v>111</v>
      </c>
      <c r="C138" s="43" t="s">
        <v>199</v>
      </c>
      <c r="D138" s="42">
        <v>32</v>
      </c>
      <c r="E138" s="41">
        <v>1.411308106200935E-3</v>
      </c>
    </row>
    <row r="139" spans="2:5" ht="15" customHeight="1">
      <c r="B139" s="93"/>
      <c r="C139" s="43" t="s">
        <v>198</v>
      </c>
      <c r="D139" s="42">
        <v>9</v>
      </c>
      <c r="E139" s="41">
        <v>3.9693040486901297E-4</v>
      </c>
    </row>
    <row r="140" spans="2:5" ht="15" customHeight="1">
      <c r="B140" s="93"/>
      <c r="C140" s="43" t="s">
        <v>197</v>
      </c>
      <c r="D140" s="42">
        <v>30</v>
      </c>
      <c r="E140" s="41">
        <v>1.3231013495633766E-3</v>
      </c>
    </row>
    <row r="141" spans="2:5" ht="15" customHeight="1">
      <c r="B141" s="93"/>
      <c r="C141" s="43" t="s">
        <v>196</v>
      </c>
      <c r="D141" s="42">
        <v>59</v>
      </c>
      <c r="E141" s="41">
        <v>2.602099320807974E-3</v>
      </c>
    </row>
    <row r="142" spans="2:5" ht="15" customHeight="1">
      <c r="B142" s="93"/>
      <c r="C142" s="43" t="s">
        <v>195</v>
      </c>
      <c r="D142" s="42">
        <v>52</v>
      </c>
      <c r="E142" s="41">
        <v>2.2933756725765195E-3</v>
      </c>
    </row>
    <row r="143" spans="2:5" ht="15" customHeight="1">
      <c r="B143" s="93"/>
      <c r="C143" s="43" t="s">
        <v>194</v>
      </c>
      <c r="D143" s="42">
        <v>84</v>
      </c>
      <c r="E143" s="41">
        <v>3.7046837787774543E-3</v>
      </c>
    </row>
    <row r="144" spans="2:5" ht="15" customHeight="1">
      <c r="B144" s="93"/>
      <c r="C144" s="43" t="s">
        <v>193</v>
      </c>
      <c r="D144" s="42">
        <v>406</v>
      </c>
      <c r="E144" s="41">
        <v>1.7905971597424363E-2</v>
      </c>
    </row>
    <row r="145" spans="2:5" ht="15" customHeight="1">
      <c r="B145" s="93"/>
      <c r="C145" s="43" t="s">
        <v>192</v>
      </c>
      <c r="D145" s="42">
        <v>588</v>
      </c>
      <c r="E145" s="41">
        <v>2.5932786451442182E-2</v>
      </c>
    </row>
    <row r="146" spans="2:5" ht="15" customHeight="1">
      <c r="B146" s="93"/>
      <c r="C146" s="43" t="s">
        <v>191</v>
      </c>
      <c r="D146" s="42">
        <v>33</v>
      </c>
      <c r="E146" s="41">
        <v>1.4554114845197143E-3</v>
      </c>
    </row>
    <row r="147" spans="2:5" ht="15" customHeight="1">
      <c r="B147" s="93"/>
      <c r="C147" s="43" t="s">
        <v>190</v>
      </c>
      <c r="D147" s="42">
        <v>75</v>
      </c>
      <c r="E147" s="41">
        <v>3.3077533739084412E-3</v>
      </c>
    </row>
    <row r="148" spans="2:5" ht="15" customHeight="1">
      <c r="B148" s="93"/>
      <c r="C148" s="43" t="s">
        <v>189</v>
      </c>
      <c r="D148" s="42">
        <v>134</v>
      </c>
      <c r="E148" s="41">
        <v>5.9098526947164156E-3</v>
      </c>
    </row>
    <row r="149" spans="2:5" ht="15" customHeight="1">
      <c r="B149" s="93"/>
      <c r="C149" s="43" t="s">
        <v>188</v>
      </c>
      <c r="D149" s="42">
        <v>1749</v>
      </c>
      <c r="E149" s="41">
        <v>7.7136808679544852E-2</v>
      </c>
    </row>
    <row r="150" spans="2:5" ht="15" customHeight="1">
      <c r="B150" s="93"/>
      <c r="C150" s="43" t="s">
        <v>187</v>
      </c>
      <c r="D150" s="42">
        <v>41</v>
      </c>
      <c r="E150" s="41">
        <v>1.8082385110699479E-3</v>
      </c>
    </row>
    <row r="151" spans="2:5" ht="15" customHeight="1">
      <c r="B151" s="93"/>
      <c r="C151" s="43" t="s">
        <v>186</v>
      </c>
      <c r="D151" s="42">
        <v>166</v>
      </c>
      <c r="E151" s="41">
        <v>7.32116080091735E-3</v>
      </c>
    </row>
    <row r="152" spans="2:5" ht="15" customHeight="1">
      <c r="B152" s="93"/>
      <c r="C152" s="43" t="s">
        <v>185</v>
      </c>
      <c r="D152" s="42">
        <v>607</v>
      </c>
      <c r="E152" s="41">
        <v>2.6770750639498984E-2</v>
      </c>
    </row>
    <row r="153" spans="2:5" ht="15" customHeight="1">
      <c r="B153" s="93"/>
      <c r="C153" s="43" t="s">
        <v>184</v>
      </c>
      <c r="D153" s="42">
        <v>6</v>
      </c>
      <c r="E153" s="41">
        <v>2.646202699126753E-4</v>
      </c>
    </row>
    <row r="154" spans="2:5" ht="15" customHeight="1">
      <c r="B154" s="93"/>
      <c r="C154" s="43" t="s">
        <v>183</v>
      </c>
      <c r="D154" s="42">
        <v>3</v>
      </c>
      <c r="E154" s="41">
        <v>1.3231013495633765E-4</v>
      </c>
    </row>
    <row r="155" spans="2:5" ht="15" customHeight="1">
      <c r="B155" s="93"/>
      <c r="C155" s="43" t="s">
        <v>182</v>
      </c>
      <c r="D155" s="42">
        <v>4</v>
      </c>
      <c r="E155" s="41">
        <v>1.7641351327511687E-4</v>
      </c>
    </row>
    <row r="156" spans="2:5" ht="15" customHeight="1">
      <c r="B156" s="93"/>
      <c r="C156" s="43" t="s">
        <v>181</v>
      </c>
      <c r="D156" s="42">
        <v>4</v>
      </c>
      <c r="E156" s="41">
        <v>1.7641351327511687E-4</v>
      </c>
    </row>
    <row r="157" spans="2:5" ht="15" customHeight="1">
      <c r="B157" s="93"/>
      <c r="C157" s="43" t="s">
        <v>180</v>
      </c>
      <c r="D157" s="42">
        <v>26</v>
      </c>
      <c r="E157" s="41">
        <v>1.1466878362882597E-3</v>
      </c>
    </row>
    <row r="158" spans="2:5" ht="15" customHeight="1">
      <c r="B158" s="93"/>
      <c r="C158" s="43" t="s">
        <v>179</v>
      </c>
      <c r="D158" s="42">
        <v>53</v>
      </c>
      <c r="E158" s="41">
        <v>2.3374790508952988E-3</v>
      </c>
    </row>
    <row r="159" spans="2:5" ht="15" customHeight="1">
      <c r="B159" s="93"/>
      <c r="C159" s="43" t="s">
        <v>204</v>
      </c>
      <c r="D159" s="42">
        <v>3</v>
      </c>
      <c r="E159" s="41">
        <v>1.3231013495633765E-4</v>
      </c>
    </row>
    <row r="160" spans="2:5" ht="15" customHeight="1">
      <c r="B160" s="93"/>
      <c r="C160" s="43" t="s">
        <v>177</v>
      </c>
      <c r="D160" s="42">
        <v>1</v>
      </c>
      <c r="E160" s="41">
        <v>4.4103378318779218E-5</v>
      </c>
    </row>
    <row r="161" spans="2:5" ht="15" customHeight="1">
      <c r="B161" s="93"/>
      <c r="C161" s="43" t="s">
        <v>176</v>
      </c>
      <c r="D161" s="42">
        <v>2</v>
      </c>
      <c r="E161" s="41">
        <v>8.8206756637558437E-5</v>
      </c>
    </row>
    <row r="162" spans="2:5" ht="15" customHeight="1">
      <c r="B162" s="94"/>
      <c r="C162" s="40" t="s">
        <v>20</v>
      </c>
      <c r="D162" s="39">
        <v>4167</v>
      </c>
      <c r="E162" s="38">
        <v>0.183778777454353</v>
      </c>
    </row>
    <row r="163" spans="2:5" ht="15" customHeight="1">
      <c r="B163" s="92" t="s">
        <v>208</v>
      </c>
      <c r="C163" s="43" t="s">
        <v>199</v>
      </c>
      <c r="D163" s="42">
        <v>1</v>
      </c>
      <c r="E163" s="41">
        <v>4.4103378318779218E-5</v>
      </c>
    </row>
    <row r="164" spans="2:5" ht="15" customHeight="1">
      <c r="B164" s="93"/>
      <c r="C164" s="43" t="s">
        <v>196</v>
      </c>
      <c r="D164" s="42">
        <v>2</v>
      </c>
      <c r="E164" s="41">
        <v>8.8206756637558437E-5</v>
      </c>
    </row>
    <row r="165" spans="2:5" ht="15" customHeight="1">
      <c r="B165" s="93"/>
      <c r="C165" s="43" t="s">
        <v>194</v>
      </c>
      <c r="D165" s="42">
        <v>1</v>
      </c>
      <c r="E165" s="41">
        <v>4.4103378318779218E-5</v>
      </c>
    </row>
    <row r="166" spans="2:5" ht="15" customHeight="1">
      <c r="B166" s="93"/>
      <c r="C166" s="43" t="s">
        <v>192</v>
      </c>
      <c r="D166" s="42">
        <v>2</v>
      </c>
      <c r="E166" s="41">
        <v>8.8206756637558437E-5</v>
      </c>
    </row>
    <row r="167" spans="2:5" ht="15" customHeight="1">
      <c r="B167" s="93"/>
      <c r="C167" s="43" t="s">
        <v>190</v>
      </c>
      <c r="D167" s="42">
        <v>1</v>
      </c>
      <c r="E167" s="41">
        <v>4.4103378318779218E-5</v>
      </c>
    </row>
    <row r="168" spans="2:5" ht="15" customHeight="1">
      <c r="B168" s="93"/>
      <c r="C168" s="43" t="s">
        <v>188</v>
      </c>
      <c r="D168" s="42">
        <v>2</v>
      </c>
      <c r="E168" s="41">
        <v>8.8206756637558437E-5</v>
      </c>
    </row>
    <row r="169" spans="2:5" ht="15" customHeight="1">
      <c r="B169" s="94"/>
      <c r="C169" s="40" t="s">
        <v>20</v>
      </c>
      <c r="D169" s="39">
        <v>9</v>
      </c>
      <c r="E169" s="38">
        <v>3.9693040486901297E-4</v>
      </c>
    </row>
    <row r="170" spans="2:5" ht="15" customHeight="1">
      <c r="B170" s="92" t="s">
        <v>95</v>
      </c>
      <c r="C170" s="43" t="s">
        <v>199</v>
      </c>
      <c r="D170" s="42">
        <v>11</v>
      </c>
      <c r="E170" s="41">
        <v>4.8513716150657142E-4</v>
      </c>
    </row>
    <row r="171" spans="2:5" ht="15" customHeight="1">
      <c r="B171" s="93"/>
      <c r="C171" s="43" t="s">
        <v>198</v>
      </c>
      <c r="D171" s="42">
        <v>8</v>
      </c>
      <c r="E171" s="41">
        <v>3.5282702655023375E-4</v>
      </c>
    </row>
    <row r="172" spans="2:5" ht="15" customHeight="1">
      <c r="B172" s="93"/>
      <c r="C172" s="43" t="s">
        <v>197</v>
      </c>
      <c r="D172" s="42">
        <v>13</v>
      </c>
      <c r="E172" s="41">
        <v>5.7334391814412987E-4</v>
      </c>
    </row>
    <row r="173" spans="2:5" ht="15" customHeight="1">
      <c r="B173" s="93"/>
      <c r="C173" s="43" t="s">
        <v>196</v>
      </c>
      <c r="D173" s="42">
        <v>24</v>
      </c>
      <c r="E173" s="41">
        <v>1.0584810796507012E-3</v>
      </c>
    </row>
    <row r="174" spans="2:5" ht="15" customHeight="1">
      <c r="B174" s="93"/>
      <c r="C174" s="43" t="s">
        <v>195</v>
      </c>
      <c r="D174" s="42">
        <v>9</v>
      </c>
      <c r="E174" s="41">
        <v>3.9693040486901297E-4</v>
      </c>
    </row>
    <row r="175" spans="2:5" ht="15" customHeight="1">
      <c r="B175" s="93"/>
      <c r="C175" s="43" t="s">
        <v>194</v>
      </c>
      <c r="D175" s="42">
        <v>37</v>
      </c>
      <c r="E175" s="41">
        <v>1.6318249977948312E-3</v>
      </c>
    </row>
    <row r="176" spans="2:5" ht="15" customHeight="1">
      <c r="B176" s="93"/>
      <c r="C176" s="43" t="s">
        <v>193</v>
      </c>
      <c r="D176" s="42">
        <v>110</v>
      </c>
      <c r="E176" s="41">
        <v>4.8513716150657138E-3</v>
      </c>
    </row>
    <row r="177" spans="2:5" ht="15" customHeight="1">
      <c r="B177" s="93"/>
      <c r="C177" s="43" t="s">
        <v>192</v>
      </c>
      <c r="D177" s="42">
        <v>200</v>
      </c>
      <c r="E177" s="41">
        <v>8.8206756637558437E-3</v>
      </c>
    </row>
    <row r="178" spans="2:5" ht="15" customHeight="1">
      <c r="B178" s="93"/>
      <c r="C178" s="43" t="s">
        <v>191</v>
      </c>
      <c r="D178" s="42">
        <v>17</v>
      </c>
      <c r="E178" s="41">
        <v>7.4975743141924667E-4</v>
      </c>
    </row>
    <row r="179" spans="2:5" ht="15" customHeight="1">
      <c r="B179" s="93"/>
      <c r="C179" s="43" t="s">
        <v>190</v>
      </c>
      <c r="D179" s="42">
        <v>33</v>
      </c>
      <c r="E179" s="41">
        <v>1.4554114845197143E-3</v>
      </c>
    </row>
    <row r="180" spans="2:5" ht="15" customHeight="1">
      <c r="B180" s="93"/>
      <c r="C180" s="43" t="s">
        <v>189</v>
      </c>
      <c r="D180" s="42">
        <v>62</v>
      </c>
      <c r="E180" s="41">
        <v>2.7344094557643114E-3</v>
      </c>
    </row>
    <row r="181" spans="2:5" ht="15" customHeight="1">
      <c r="B181" s="93"/>
      <c r="C181" s="43" t="s">
        <v>188</v>
      </c>
      <c r="D181" s="42">
        <v>295</v>
      </c>
      <c r="E181" s="41">
        <v>1.301049660403987E-2</v>
      </c>
    </row>
    <row r="182" spans="2:5" ht="15" customHeight="1">
      <c r="B182" s="93"/>
      <c r="C182" s="43" t="s">
        <v>187</v>
      </c>
      <c r="D182" s="42">
        <v>8</v>
      </c>
      <c r="E182" s="41">
        <v>3.5282702655023375E-4</v>
      </c>
    </row>
    <row r="183" spans="2:5" ht="15" customHeight="1">
      <c r="B183" s="93"/>
      <c r="C183" s="43" t="s">
        <v>186</v>
      </c>
      <c r="D183" s="42">
        <v>64</v>
      </c>
      <c r="E183" s="41">
        <v>2.82261621240187E-3</v>
      </c>
    </row>
    <row r="184" spans="2:5" ht="15" customHeight="1">
      <c r="B184" s="93"/>
      <c r="C184" s="43" t="s">
        <v>185</v>
      </c>
      <c r="D184" s="42">
        <v>151</v>
      </c>
      <c r="E184" s="41">
        <v>6.6596101261356616E-3</v>
      </c>
    </row>
    <row r="185" spans="2:5" ht="15" customHeight="1">
      <c r="B185" s="93"/>
      <c r="C185" s="43" t="s">
        <v>184</v>
      </c>
      <c r="D185" s="42">
        <v>2</v>
      </c>
      <c r="E185" s="41">
        <v>8.8206756637558437E-5</v>
      </c>
    </row>
    <row r="186" spans="2:5" ht="15" customHeight="1">
      <c r="B186" s="93"/>
      <c r="C186" s="43" t="s">
        <v>183</v>
      </c>
      <c r="D186" s="42">
        <v>3</v>
      </c>
      <c r="E186" s="41">
        <v>1.3231013495633765E-4</v>
      </c>
    </row>
    <row r="187" spans="2:5" ht="15" customHeight="1">
      <c r="B187" s="93"/>
      <c r="C187" s="43" t="s">
        <v>182</v>
      </c>
      <c r="D187" s="42">
        <v>4</v>
      </c>
      <c r="E187" s="41">
        <v>1.7641351327511687E-4</v>
      </c>
    </row>
    <row r="188" spans="2:5" ht="15" customHeight="1">
      <c r="B188" s="93"/>
      <c r="C188" s="43" t="s">
        <v>181</v>
      </c>
      <c r="D188" s="42">
        <v>1</v>
      </c>
      <c r="E188" s="41">
        <v>4.4103378318779218E-5</v>
      </c>
    </row>
    <row r="189" spans="2:5" ht="15" customHeight="1">
      <c r="B189" s="93"/>
      <c r="C189" s="43" t="s">
        <v>180</v>
      </c>
      <c r="D189" s="42">
        <v>6</v>
      </c>
      <c r="E189" s="41">
        <v>2.646202699126753E-4</v>
      </c>
    </row>
    <row r="190" spans="2:5" ht="15" customHeight="1">
      <c r="B190" s="93"/>
      <c r="C190" s="43" t="s">
        <v>179</v>
      </c>
      <c r="D190" s="42">
        <v>24</v>
      </c>
      <c r="E190" s="41">
        <v>1.0584810796507012E-3</v>
      </c>
    </row>
    <row r="191" spans="2:5" ht="15" customHeight="1">
      <c r="B191" s="93"/>
      <c r="C191" s="43" t="s">
        <v>204</v>
      </c>
      <c r="D191" s="42">
        <v>1</v>
      </c>
      <c r="E191" s="41">
        <v>4.4103378318779218E-5</v>
      </c>
    </row>
    <row r="192" spans="2:5" ht="15" customHeight="1">
      <c r="B192" s="93"/>
      <c r="C192" s="43" t="s">
        <v>177</v>
      </c>
      <c r="D192" s="42">
        <v>2</v>
      </c>
      <c r="E192" s="41">
        <v>8.8206756637558437E-5</v>
      </c>
    </row>
    <row r="193" spans="2:5" ht="15" customHeight="1">
      <c r="B193" s="93"/>
      <c r="C193" s="43" t="s">
        <v>176</v>
      </c>
      <c r="D193" s="42">
        <v>1</v>
      </c>
      <c r="E193" s="41">
        <v>4.4103378318779218E-5</v>
      </c>
    </row>
    <row r="194" spans="2:5" ht="15" customHeight="1">
      <c r="B194" s="94"/>
      <c r="C194" s="40" t="s">
        <v>20</v>
      </c>
      <c r="D194" s="39">
        <v>1086</v>
      </c>
      <c r="E194" s="38">
        <v>4.7896268854194228E-2</v>
      </c>
    </row>
    <row r="195" spans="2:5" ht="15" customHeight="1">
      <c r="B195" s="92" t="s">
        <v>81</v>
      </c>
      <c r="C195" s="43" t="s">
        <v>199</v>
      </c>
      <c r="D195" s="42">
        <v>3</v>
      </c>
      <c r="E195" s="41">
        <v>1.3231013495633765E-4</v>
      </c>
    </row>
    <row r="196" spans="2:5" ht="15" customHeight="1">
      <c r="B196" s="93"/>
      <c r="C196" s="43" t="s">
        <v>198</v>
      </c>
      <c r="D196" s="42">
        <v>1</v>
      </c>
      <c r="E196" s="41">
        <v>4.4103378318779218E-5</v>
      </c>
    </row>
    <row r="197" spans="2:5" ht="15" customHeight="1">
      <c r="B197" s="93"/>
      <c r="C197" s="43" t="s">
        <v>197</v>
      </c>
      <c r="D197" s="42">
        <v>10</v>
      </c>
      <c r="E197" s="41">
        <v>4.410337831877922E-4</v>
      </c>
    </row>
    <row r="198" spans="2:5" ht="15" customHeight="1">
      <c r="B198" s="93"/>
      <c r="C198" s="43" t="s">
        <v>196</v>
      </c>
      <c r="D198" s="42">
        <v>4</v>
      </c>
      <c r="E198" s="41">
        <v>1.7641351327511687E-4</v>
      </c>
    </row>
    <row r="199" spans="2:5" ht="15" customHeight="1">
      <c r="B199" s="93"/>
      <c r="C199" s="43" t="s">
        <v>195</v>
      </c>
      <c r="D199" s="42">
        <v>3</v>
      </c>
      <c r="E199" s="41">
        <v>1.3231013495633765E-4</v>
      </c>
    </row>
    <row r="200" spans="2:5" ht="15" customHeight="1">
      <c r="B200" s="93"/>
      <c r="C200" s="43" t="s">
        <v>194</v>
      </c>
      <c r="D200" s="42">
        <v>8</v>
      </c>
      <c r="E200" s="41">
        <v>3.5282702655023375E-4</v>
      </c>
    </row>
    <row r="201" spans="2:5" ht="15" customHeight="1">
      <c r="B201" s="93"/>
      <c r="C201" s="43" t="s">
        <v>193</v>
      </c>
      <c r="D201" s="42">
        <v>52</v>
      </c>
      <c r="E201" s="41">
        <v>2.2933756725765195E-3</v>
      </c>
    </row>
    <row r="202" spans="2:5" ht="15" customHeight="1">
      <c r="B202" s="93"/>
      <c r="C202" s="43" t="s">
        <v>192</v>
      </c>
      <c r="D202" s="42">
        <v>42</v>
      </c>
      <c r="E202" s="41">
        <v>1.8523418893887271E-3</v>
      </c>
    </row>
    <row r="203" spans="2:5" ht="15" customHeight="1">
      <c r="B203" s="93"/>
      <c r="C203" s="43" t="s">
        <v>191</v>
      </c>
      <c r="D203" s="42">
        <v>6</v>
      </c>
      <c r="E203" s="41">
        <v>2.646202699126753E-4</v>
      </c>
    </row>
    <row r="204" spans="2:5" ht="15" customHeight="1">
      <c r="B204" s="93"/>
      <c r="C204" s="43" t="s">
        <v>190</v>
      </c>
      <c r="D204" s="42">
        <v>10</v>
      </c>
      <c r="E204" s="41">
        <v>4.410337831877922E-4</v>
      </c>
    </row>
    <row r="205" spans="2:5" ht="15" customHeight="1">
      <c r="B205" s="93"/>
      <c r="C205" s="43" t="s">
        <v>189</v>
      </c>
      <c r="D205" s="42">
        <v>18</v>
      </c>
      <c r="E205" s="41">
        <v>7.9386080973802594E-4</v>
      </c>
    </row>
    <row r="206" spans="2:5" ht="15" customHeight="1">
      <c r="B206" s="93"/>
      <c r="C206" s="43" t="s">
        <v>188</v>
      </c>
      <c r="D206" s="42">
        <v>86</v>
      </c>
      <c r="E206" s="41">
        <v>3.7928905354150128E-3</v>
      </c>
    </row>
    <row r="207" spans="2:5" ht="15" customHeight="1">
      <c r="B207" s="93"/>
      <c r="C207" s="43" t="s">
        <v>187</v>
      </c>
      <c r="D207" s="42">
        <v>4</v>
      </c>
      <c r="E207" s="41">
        <v>1.7641351327511687E-4</v>
      </c>
    </row>
    <row r="208" spans="2:5" ht="15" customHeight="1">
      <c r="B208" s="93"/>
      <c r="C208" s="43" t="s">
        <v>186</v>
      </c>
      <c r="D208" s="42">
        <v>16</v>
      </c>
      <c r="E208" s="41">
        <v>7.0565405310046749E-4</v>
      </c>
    </row>
    <row r="209" spans="2:5" ht="15" customHeight="1">
      <c r="B209" s="93"/>
      <c r="C209" s="43" t="s">
        <v>185</v>
      </c>
      <c r="D209" s="42">
        <v>28</v>
      </c>
      <c r="E209" s="41">
        <v>1.2348945929258181E-3</v>
      </c>
    </row>
    <row r="210" spans="2:5" ht="15" customHeight="1">
      <c r="B210" s="93"/>
      <c r="C210" s="43" t="s">
        <v>180</v>
      </c>
      <c r="D210" s="42">
        <v>5</v>
      </c>
      <c r="E210" s="41">
        <v>2.205168915938961E-4</v>
      </c>
    </row>
    <row r="211" spans="2:5" ht="15" customHeight="1">
      <c r="B211" s="93"/>
      <c r="C211" s="43" t="s">
        <v>179</v>
      </c>
      <c r="D211" s="42">
        <v>3</v>
      </c>
      <c r="E211" s="41">
        <v>1.3231013495633765E-4</v>
      </c>
    </row>
    <row r="212" spans="2:5" ht="15" customHeight="1">
      <c r="B212" s="93"/>
      <c r="C212" s="43" t="s">
        <v>204</v>
      </c>
      <c r="D212" s="42">
        <v>2</v>
      </c>
      <c r="E212" s="41">
        <v>8.8206756637558437E-5</v>
      </c>
    </row>
    <row r="213" spans="2:5" ht="15" customHeight="1">
      <c r="B213" s="94"/>
      <c r="C213" s="40" t="s">
        <v>20</v>
      </c>
      <c r="D213" s="39">
        <v>301</v>
      </c>
      <c r="E213" s="38">
        <v>1.3275116873952544E-2</v>
      </c>
    </row>
    <row r="214" spans="2:5" ht="15" customHeight="1">
      <c r="B214" s="92" t="s">
        <v>259</v>
      </c>
      <c r="C214" s="43" t="s">
        <v>188</v>
      </c>
      <c r="D214" s="42">
        <v>1</v>
      </c>
      <c r="E214" s="41">
        <v>4.4103378318779218E-5</v>
      </c>
    </row>
    <row r="215" spans="2:5" ht="15" customHeight="1">
      <c r="B215" s="93"/>
      <c r="C215" s="43" t="s">
        <v>186</v>
      </c>
      <c r="D215" s="42">
        <v>1</v>
      </c>
      <c r="E215" s="41">
        <v>4.4103378318779218E-5</v>
      </c>
    </row>
    <row r="216" spans="2:5" ht="15" customHeight="1">
      <c r="B216" s="94"/>
      <c r="C216" s="40" t="s">
        <v>20</v>
      </c>
      <c r="D216" s="39">
        <v>2</v>
      </c>
      <c r="E216" s="38">
        <v>8.8206756637558437E-5</v>
      </c>
    </row>
    <row r="217" spans="2:5" ht="15" customHeight="1">
      <c r="B217" s="92" t="s">
        <v>79</v>
      </c>
      <c r="C217" s="43" t="s">
        <v>199</v>
      </c>
      <c r="D217" s="42">
        <v>3</v>
      </c>
      <c r="E217" s="41">
        <v>1.3231013495633765E-4</v>
      </c>
    </row>
    <row r="218" spans="2:5" ht="15" customHeight="1">
      <c r="B218" s="93"/>
      <c r="C218" s="43" t="s">
        <v>197</v>
      </c>
      <c r="D218" s="42">
        <v>1</v>
      </c>
      <c r="E218" s="41">
        <v>4.4103378318779218E-5</v>
      </c>
    </row>
    <row r="219" spans="2:5" ht="15" customHeight="1">
      <c r="B219" s="93"/>
      <c r="C219" s="43" t="s">
        <v>196</v>
      </c>
      <c r="D219" s="42">
        <v>6</v>
      </c>
      <c r="E219" s="41">
        <v>2.646202699126753E-4</v>
      </c>
    </row>
    <row r="220" spans="2:5" ht="15" customHeight="1">
      <c r="B220" s="93"/>
      <c r="C220" s="43" t="s">
        <v>195</v>
      </c>
      <c r="D220" s="42">
        <v>3</v>
      </c>
      <c r="E220" s="41">
        <v>1.3231013495633765E-4</v>
      </c>
    </row>
    <row r="221" spans="2:5" ht="15" customHeight="1">
      <c r="B221" s="93"/>
      <c r="C221" s="43" t="s">
        <v>193</v>
      </c>
      <c r="D221" s="42">
        <v>22</v>
      </c>
      <c r="E221" s="41">
        <v>9.7027432301314285E-4</v>
      </c>
    </row>
    <row r="222" spans="2:5" ht="15" customHeight="1">
      <c r="B222" s="93"/>
      <c r="C222" s="43" t="s">
        <v>192</v>
      </c>
      <c r="D222" s="42">
        <v>18</v>
      </c>
      <c r="E222" s="41">
        <v>7.9386080973802594E-4</v>
      </c>
    </row>
    <row r="223" spans="2:5" ht="15" customHeight="1">
      <c r="B223" s="93"/>
      <c r="C223" s="43" t="s">
        <v>191</v>
      </c>
      <c r="D223" s="42">
        <v>2</v>
      </c>
      <c r="E223" s="41">
        <v>8.8206756637558437E-5</v>
      </c>
    </row>
    <row r="224" spans="2:5" ht="15" customHeight="1">
      <c r="B224" s="93"/>
      <c r="C224" s="43" t="s">
        <v>190</v>
      </c>
      <c r="D224" s="42">
        <v>3</v>
      </c>
      <c r="E224" s="41">
        <v>1.3231013495633765E-4</v>
      </c>
    </row>
    <row r="225" spans="2:5" ht="15" customHeight="1">
      <c r="B225" s="93"/>
      <c r="C225" s="43" t="s">
        <v>189</v>
      </c>
      <c r="D225" s="42">
        <v>9</v>
      </c>
      <c r="E225" s="41">
        <v>3.9693040486901297E-4</v>
      </c>
    </row>
    <row r="226" spans="2:5" ht="15" customHeight="1">
      <c r="B226" s="93"/>
      <c r="C226" s="43" t="s">
        <v>188</v>
      </c>
      <c r="D226" s="42">
        <v>34</v>
      </c>
      <c r="E226" s="41">
        <v>1.4995148628384933E-3</v>
      </c>
    </row>
    <row r="227" spans="2:5" ht="15" customHeight="1">
      <c r="B227" s="93"/>
      <c r="C227" s="43" t="s">
        <v>187</v>
      </c>
      <c r="D227" s="42">
        <v>2</v>
      </c>
      <c r="E227" s="41">
        <v>8.8206756637558437E-5</v>
      </c>
    </row>
    <row r="228" spans="2:5" ht="15" customHeight="1">
      <c r="B228" s="93"/>
      <c r="C228" s="43" t="s">
        <v>186</v>
      </c>
      <c r="D228" s="42">
        <v>2</v>
      </c>
      <c r="E228" s="41">
        <v>8.8206756637558437E-5</v>
      </c>
    </row>
    <row r="229" spans="2:5" ht="15" customHeight="1">
      <c r="B229" s="93"/>
      <c r="C229" s="43" t="s">
        <v>185</v>
      </c>
      <c r="D229" s="42">
        <v>19</v>
      </c>
      <c r="E229" s="41">
        <v>8.3796418805680512E-4</v>
      </c>
    </row>
    <row r="230" spans="2:5" ht="15" customHeight="1">
      <c r="B230" s="93"/>
      <c r="C230" s="43" t="s">
        <v>180</v>
      </c>
      <c r="D230" s="42">
        <v>1</v>
      </c>
      <c r="E230" s="41">
        <v>4.4103378318779218E-5</v>
      </c>
    </row>
    <row r="231" spans="2:5" ht="15" customHeight="1">
      <c r="B231" s="93"/>
      <c r="C231" s="43" t="s">
        <v>179</v>
      </c>
      <c r="D231" s="42">
        <v>5</v>
      </c>
      <c r="E231" s="41">
        <v>2.205168915938961E-4</v>
      </c>
    </row>
    <row r="232" spans="2:5" ht="15" customHeight="1">
      <c r="B232" s="94"/>
      <c r="C232" s="40" t="s">
        <v>20</v>
      </c>
      <c r="D232" s="39">
        <v>130</v>
      </c>
      <c r="E232" s="38">
        <v>5.7334391814412985E-3</v>
      </c>
    </row>
    <row r="233" spans="2:5" ht="15" customHeight="1">
      <c r="B233" s="92" t="s">
        <v>92</v>
      </c>
      <c r="C233" s="43" t="s">
        <v>197</v>
      </c>
      <c r="D233" s="42">
        <v>1</v>
      </c>
      <c r="E233" s="41">
        <v>4.4103378318779218E-5</v>
      </c>
    </row>
    <row r="234" spans="2:5" ht="15" customHeight="1">
      <c r="B234" s="93"/>
      <c r="C234" s="43" t="s">
        <v>195</v>
      </c>
      <c r="D234" s="42">
        <v>2</v>
      </c>
      <c r="E234" s="41">
        <v>8.8206756637558437E-5</v>
      </c>
    </row>
    <row r="235" spans="2:5" ht="15" customHeight="1">
      <c r="B235" s="93"/>
      <c r="C235" s="43" t="s">
        <v>194</v>
      </c>
      <c r="D235" s="42">
        <v>1</v>
      </c>
      <c r="E235" s="41">
        <v>4.4103378318779218E-5</v>
      </c>
    </row>
    <row r="236" spans="2:5" ht="15" customHeight="1">
      <c r="B236" s="93"/>
      <c r="C236" s="43" t="s">
        <v>193</v>
      </c>
      <c r="D236" s="42">
        <v>6</v>
      </c>
      <c r="E236" s="41">
        <v>2.646202699126753E-4</v>
      </c>
    </row>
    <row r="237" spans="2:5" ht="15" customHeight="1">
      <c r="B237" s="93"/>
      <c r="C237" s="43" t="s">
        <v>192</v>
      </c>
      <c r="D237" s="42">
        <v>11</v>
      </c>
      <c r="E237" s="41">
        <v>4.8513716150657142E-4</v>
      </c>
    </row>
    <row r="238" spans="2:5" ht="15" customHeight="1">
      <c r="B238" s="93"/>
      <c r="C238" s="43" t="s">
        <v>191</v>
      </c>
      <c r="D238" s="42">
        <v>2</v>
      </c>
      <c r="E238" s="41">
        <v>8.8206756637558437E-5</v>
      </c>
    </row>
    <row r="239" spans="2:5" ht="15" customHeight="1">
      <c r="B239" s="93"/>
      <c r="C239" s="43" t="s">
        <v>190</v>
      </c>
      <c r="D239" s="42">
        <v>2</v>
      </c>
      <c r="E239" s="41">
        <v>8.8206756637558437E-5</v>
      </c>
    </row>
    <row r="240" spans="2:5" ht="15" customHeight="1">
      <c r="B240" s="93"/>
      <c r="C240" s="43" t="s">
        <v>189</v>
      </c>
      <c r="D240" s="42">
        <v>6</v>
      </c>
      <c r="E240" s="41">
        <v>2.646202699126753E-4</v>
      </c>
    </row>
    <row r="241" spans="2:5" ht="15" customHeight="1">
      <c r="B241" s="93"/>
      <c r="C241" s="43" t="s">
        <v>188</v>
      </c>
      <c r="D241" s="42">
        <v>28</v>
      </c>
      <c r="E241" s="41">
        <v>1.2348945929258181E-3</v>
      </c>
    </row>
    <row r="242" spans="2:5" ht="15" customHeight="1">
      <c r="B242" s="93"/>
      <c r="C242" s="43" t="s">
        <v>187</v>
      </c>
      <c r="D242" s="42">
        <v>2</v>
      </c>
      <c r="E242" s="41">
        <v>8.8206756637558437E-5</v>
      </c>
    </row>
    <row r="243" spans="2:5" ht="15" customHeight="1">
      <c r="B243" s="93"/>
      <c r="C243" s="43" t="s">
        <v>186</v>
      </c>
      <c r="D243" s="42">
        <v>5</v>
      </c>
      <c r="E243" s="41">
        <v>2.205168915938961E-4</v>
      </c>
    </row>
    <row r="244" spans="2:5" ht="15" customHeight="1">
      <c r="B244" s="93"/>
      <c r="C244" s="43" t="s">
        <v>185</v>
      </c>
      <c r="D244" s="42">
        <v>16</v>
      </c>
      <c r="E244" s="41">
        <v>7.0565405310046749E-4</v>
      </c>
    </row>
    <row r="245" spans="2:5" ht="15" customHeight="1">
      <c r="B245" s="93"/>
      <c r="C245" s="43" t="s">
        <v>180</v>
      </c>
      <c r="D245" s="42">
        <v>2</v>
      </c>
      <c r="E245" s="41">
        <v>8.8206756637558437E-5</v>
      </c>
    </row>
    <row r="246" spans="2:5" ht="15" customHeight="1">
      <c r="B246" s="93"/>
      <c r="C246" s="43" t="s">
        <v>179</v>
      </c>
      <c r="D246" s="42">
        <v>4</v>
      </c>
      <c r="E246" s="41">
        <v>1.7641351327511687E-4</v>
      </c>
    </row>
    <row r="247" spans="2:5" ht="15" customHeight="1">
      <c r="B247" s="94"/>
      <c r="C247" s="40" t="s">
        <v>20</v>
      </c>
      <c r="D247" s="39">
        <v>88</v>
      </c>
      <c r="E247" s="38">
        <v>3.8810972920525714E-3</v>
      </c>
    </row>
    <row r="248" spans="2:5" ht="15" customHeight="1">
      <c r="B248" s="92" t="s">
        <v>108</v>
      </c>
      <c r="C248" s="43" t="s">
        <v>199</v>
      </c>
      <c r="D248" s="42">
        <v>12</v>
      </c>
      <c r="E248" s="41">
        <v>5.2924053982535059E-4</v>
      </c>
    </row>
    <row r="249" spans="2:5" ht="15" customHeight="1">
      <c r="B249" s="93"/>
      <c r="C249" s="43" t="s">
        <v>198</v>
      </c>
      <c r="D249" s="42">
        <v>5</v>
      </c>
      <c r="E249" s="41">
        <v>2.205168915938961E-4</v>
      </c>
    </row>
    <row r="250" spans="2:5" ht="15" customHeight="1">
      <c r="B250" s="93"/>
      <c r="C250" s="43" t="s">
        <v>197</v>
      </c>
      <c r="D250" s="42">
        <v>9</v>
      </c>
      <c r="E250" s="41">
        <v>3.9693040486901297E-4</v>
      </c>
    </row>
    <row r="251" spans="2:5" ht="15" customHeight="1">
      <c r="B251" s="93"/>
      <c r="C251" s="43" t="s">
        <v>196</v>
      </c>
      <c r="D251" s="42">
        <v>21</v>
      </c>
      <c r="E251" s="41">
        <v>9.2617094469436357E-4</v>
      </c>
    </row>
    <row r="252" spans="2:5" ht="15" customHeight="1">
      <c r="B252" s="93"/>
      <c r="C252" s="43" t="s">
        <v>195</v>
      </c>
      <c r="D252" s="42">
        <v>17</v>
      </c>
      <c r="E252" s="41">
        <v>7.4975743141924667E-4</v>
      </c>
    </row>
    <row r="253" spans="2:5" ht="15" customHeight="1">
      <c r="B253" s="93"/>
      <c r="C253" s="43" t="s">
        <v>194</v>
      </c>
      <c r="D253" s="42">
        <v>24</v>
      </c>
      <c r="E253" s="41">
        <v>1.0584810796507012E-3</v>
      </c>
    </row>
    <row r="254" spans="2:5" ht="15" customHeight="1">
      <c r="B254" s="93"/>
      <c r="C254" s="43" t="s">
        <v>193</v>
      </c>
      <c r="D254" s="42">
        <v>82</v>
      </c>
      <c r="E254" s="41">
        <v>3.6164770221398957E-3</v>
      </c>
    </row>
    <row r="255" spans="2:5" ht="15" customHeight="1">
      <c r="B255" s="93"/>
      <c r="C255" s="43" t="s">
        <v>192</v>
      </c>
      <c r="D255" s="42">
        <v>104</v>
      </c>
      <c r="E255" s="41">
        <v>4.586751345153039E-3</v>
      </c>
    </row>
    <row r="256" spans="2:5" ht="15" customHeight="1">
      <c r="B256" s="93"/>
      <c r="C256" s="43" t="s">
        <v>191</v>
      </c>
      <c r="D256" s="42">
        <v>6</v>
      </c>
      <c r="E256" s="41">
        <v>2.646202699126753E-4</v>
      </c>
    </row>
    <row r="257" spans="2:5" ht="15" customHeight="1">
      <c r="B257" s="93"/>
      <c r="C257" s="43" t="s">
        <v>190</v>
      </c>
      <c r="D257" s="42">
        <v>13</v>
      </c>
      <c r="E257" s="41">
        <v>5.7334391814412987E-4</v>
      </c>
    </row>
    <row r="258" spans="2:5" ht="15" customHeight="1">
      <c r="B258" s="93"/>
      <c r="C258" s="43" t="s">
        <v>189</v>
      </c>
      <c r="D258" s="42">
        <v>20</v>
      </c>
      <c r="E258" s="41">
        <v>8.820675663755844E-4</v>
      </c>
    </row>
    <row r="259" spans="2:5" ht="15" customHeight="1">
      <c r="B259" s="93"/>
      <c r="C259" s="43" t="s">
        <v>188</v>
      </c>
      <c r="D259" s="42">
        <v>93</v>
      </c>
      <c r="E259" s="41">
        <v>4.1016141836464669E-3</v>
      </c>
    </row>
    <row r="260" spans="2:5" ht="15" customHeight="1">
      <c r="B260" s="93"/>
      <c r="C260" s="43" t="s">
        <v>187</v>
      </c>
      <c r="D260" s="42">
        <v>4</v>
      </c>
      <c r="E260" s="41">
        <v>1.7641351327511687E-4</v>
      </c>
    </row>
    <row r="261" spans="2:5" ht="15" customHeight="1">
      <c r="B261" s="93"/>
      <c r="C261" s="43" t="s">
        <v>186</v>
      </c>
      <c r="D261" s="42">
        <v>33</v>
      </c>
      <c r="E261" s="41">
        <v>1.4554114845197143E-3</v>
      </c>
    </row>
    <row r="262" spans="2:5" ht="15" customHeight="1">
      <c r="B262" s="93"/>
      <c r="C262" s="43" t="s">
        <v>185</v>
      </c>
      <c r="D262" s="42">
        <v>42</v>
      </c>
      <c r="E262" s="41">
        <v>1.8523418893887271E-3</v>
      </c>
    </row>
    <row r="263" spans="2:5" ht="15" customHeight="1">
      <c r="B263" s="93"/>
      <c r="C263" s="43" t="s">
        <v>183</v>
      </c>
      <c r="D263" s="42">
        <v>2</v>
      </c>
      <c r="E263" s="41">
        <v>8.8206756637558437E-5</v>
      </c>
    </row>
    <row r="264" spans="2:5" ht="15" customHeight="1">
      <c r="B264" s="93"/>
      <c r="C264" s="43" t="s">
        <v>180</v>
      </c>
      <c r="D264" s="42">
        <v>6</v>
      </c>
      <c r="E264" s="41">
        <v>2.646202699126753E-4</v>
      </c>
    </row>
    <row r="265" spans="2:5" ht="15" customHeight="1">
      <c r="B265" s="93"/>
      <c r="C265" s="43" t="s">
        <v>179</v>
      </c>
      <c r="D265" s="42">
        <v>8</v>
      </c>
      <c r="E265" s="41">
        <v>3.5282702655023375E-4</v>
      </c>
    </row>
    <row r="266" spans="2:5" ht="15" customHeight="1">
      <c r="B266" s="93"/>
      <c r="C266" s="43" t="s">
        <v>204</v>
      </c>
      <c r="D266" s="42">
        <v>1</v>
      </c>
      <c r="E266" s="41">
        <v>4.4103378318779218E-5</v>
      </c>
    </row>
    <row r="267" spans="2:5" ht="15" customHeight="1">
      <c r="B267" s="94"/>
      <c r="C267" s="40" t="s">
        <v>20</v>
      </c>
      <c r="D267" s="39">
        <v>502</v>
      </c>
      <c r="E267" s="38">
        <v>2.2139895916027167E-2</v>
      </c>
    </row>
    <row r="268" spans="2:5" ht="15" customHeight="1">
      <c r="B268" s="92" t="s">
        <v>112</v>
      </c>
      <c r="C268" s="43" t="s">
        <v>199</v>
      </c>
      <c r="D268" s="42">
        <v>17</v>
      </c>
      <c r="E268" s="41">
        <v>7.4975743141924667E-4</v>
      </c>
    </row>
    <row r="269" spans="2:5" ht="15" customHeight="1">
      <c r="B269" s="93"/>
      <c r="C269" s="43" t="s">
        <v>198</v>
      </c>
      <c r="D269" s="42">
        <v>5</v>
      </c>
      <c r="E269" s="41">
        <v>2.205168915938961E-4</v>
      </c>
    </row>
    <row r="270" spans="2:5" ht="15" customHeight="1">
      <c r="B270" s="93"/>
      <c r="C270" s="43" t="s">
        <v>197</v>
      </c>
      <c r="D270" s="42">
        <v>15</v>
      </c>
      <c r="E270" s="41">
        <v>6.6155067478168832E-4</v>
      </c>
    </row>
    <row r="271" spans="2:5" ht="15" customHeight="1">
      <c r="B271" s="93"/>
      <c r="C271" s="43" t="s">
        <v>196</v>
      </c>
      <c r="D271" s="42">
        <v>38</v>
      </c>
      <c r="E271" s="41">
        <v>1.6759283761136102E-3</v>
      </c>
    </row>
    <row r="272" spans="2:5" ht="15" customHeight="1">
      <c r="B272" s="93"/>
      <c r="C272" s="43" t="s">
        <v>195</v>
      </c>
      <c r="D272" s="42">
        <v>22</v>
      </c>
      <c r="E272" s="41">
        <v>9.7027432301314285E-4</v>
      </c>
    </row>
    <row r="273" spans="2:5" ht="15" customHeight="1">
      <c r="B273" s="93"/>
      <c r="C273" s="43" t="s">
        <v>194</v>
      </c>
      <c r="D273" s="42">
        <v>30</v>
      </c>
      <c r="E273" s="41">
        <v>1.3231013495633766E-3</v>
      </c>
    </row>
    <row r="274" spans="2:5" ht="15" customHeight="1">
      <c r="B274" s="93"/>
      <c r="C274" s="43" t="s">
        <v>193</v>
      </c>
      <c r="D274" s="42">
        <v>163</v>
      </c>
      <c r="E274" s="41">
        <v>7.188850665961013E-3</v>
      </c>
    </row>
    <row r="275" spans="2:5" ht="15" customHeight="1">
      <c r="B275" s="93"/>
      <c r="C275" s="43" t="s">
        <v>192</v>
      </c>
      <c r="D275" s="42">
        <v>281</v>
      </c>
      <c r="E275" s="41">
        <v>1.239304930757696E-2</v>
      </c>
    </row>
    <row r="276" spans="2:5" ht="15" customHeight="1">
      <c r="B276" s="93"/>
      <c r="C276" s="43" t="s">
        <v>191</v>
      </c>
      <c r="D276" s="42">
        <v>17</v>
      </c>
      <c r="E276" s="41">
        <v>7.4975743141924667E-4</v>
      </c>
    </row>
    <row r="277" spans="2:5" ht="15" customHeight="1">
      <c r="B277" s="93"/>
      <c r="C277" s="43" t="s">
        <v>190</v>
      </c>
      <c r="D277" s="42">
        <v>40</v>
      </c>
      <c r="E277" s="41">
        <v>1.7641351327511688E-3</v>
      </c>
    </row>
    <row r="278" spans="2:5" ht="15" customHeight="1">
      <c r="B278" s="93"/>
      <c r="C278" s="43" t="s">
        <v>189</v>
      </c>
      <c r="D278" s="42">
        <v>68</v>
      </c>
      <c r="E278" s="41">
        <v>2.9990297256769867E-3</v>
      </c>
    </row>
    <row r="279" spans="2:5" ht="15" customHeight="1">
      <c r="B279" s="93"/>
      <c r="C279" s="43" t="s">
        <v>188</v>
      </c>
      <c r="D279" s="42">
        <v>473</v>
      </c>
      <c r="E279" s="41">
        <v>2.0860897944782571E-2</v>
      </c>
    </row>
    <row r="280" spans="2:5" ht="15" customHeight="1">
      <c r="B280" s="93"/>
      <c r="C280" s="43" t="s">
        <v>187</v>
      </c>
      <c r="D280" s="42">
        <v>12</v>
      </c>
      <c r="E280" s="41">
        <v>5.2924053982535059E-4</v>
      </c>
    </row>
    <row r="281" spans="2:5" ht="15" customHeight="1">
      <c r="B281" s="93"/>
      <c r="C281" s="43" t="s">
        <v>186</v>
      </c>
      <c r="D281" s="42">
        <v>73</v>
      </c>
      <c r="E281" s="41">
        <v>3.2195466172708831E-3</v>
      </c>
    </row>
    <row r="282" spans="2:5" ht="15" customHeight="1">
      <c r="B282" s="93"/>
      <c r="C282" s="43" t="s">
        <v>185</v>
      </c>
      <c r="D282" s="42">
        <v>226</v>
      </c>
      <c r="E282" s="41">
        <v>9.9673635000441033E-3</v>
      </c>
    </row>
    <row r="283" spans="2:5" ht="15" customHeight="1">
      <c r="B283" s="93"/>
      <c r="C283" s="43" t="s">
        <v>184</v>
      </c>
      <c r="D283" s="42">
        <v>5</v>
      </c>
      <c r="E283" s="41">
        <v>2.205168915938961E-4</v>
      </c>
    </row>
    <row r="284" spans="2:5" ht="15" customHeight="1">
      <c r="B284" s="93"/>
      <c r="C284" s="43" t="s">
        <v>183</v>
      </c>
      <c r="D284" s="42">
        <v>5</v>
      </c>
      <c r="E284" s="41">
        <v>2.205168915938961E-4</v>
      </c>
    </row>
    <row r="285" spans="2:5" ht="15" customHeight="1">
      <c r="B285" s="93"/>
      <c r="C285" s="43" t="s">
        <v>182</v>
      </c>
      <c r="D285" s="42">
        <v>1</v>
      </c>
      <c r="E285" s="41">
        <v>4.4103378318779218E-5</v>
      </c>
    </row>
    <row r="286" spans="2:5" ht="15" customHeight="1">
      <c r="B286" s="93"/>
      <c r="C286" s="43" t="s">
        <v>181</v>
      </c>
      <c r="D286" s="42">
        <v>1</v>
      </c>
      <c r="E286" s="41">
        <v>4.4103378318779218E-5</v>
      </c>
    </row>
    <row r="287" spans="2:5" ht="15" customHeight="1">
      <c r="B287" s="93"/>
      <c r="C287" s="43" t="s">
        <v>180</v>
      </c>
      <c r="D287" s="42">
        <v>7</v>
      </c>
      <c r="E287" s="41">
        <v>3.0872364823145452E-4</v>
      </c>
    </row>
    <row r="288" spans="2:5" ht="15" customHeight="1">
      <c r="B288" s="93"/>
      <c r="C288" s="43" t="s">
        <v>179</v>
      </c>
      <c r="D288" s="42">
        <v>25</v>
      </c>
      <c r="E288" s="41">
        <v>1.1025844579694805E-3</v>
      </c>
    </row>
    <row r="289" spans="2:5" ht="15" customHeight="1">
      <c r="B289" s="93"/>
      <c r="C289" s="43" t="s">
        <v>204</v>
      </c>
      <c r="D289" s="42">
        <v>1</v>
      </c>
      <c r="E289" s="41">
        <v>4.4103378318779218E-5</v>
      </c>
    </row>
    <row r="290" spans="2:5" ht="15" customHeight="1">
      <c r="B290" s="93"/>
      <c r="C290" s="43" t="s">
        <v>177</v>
      </c>
      <c r="D290" s="42">
        <v>2</v>
      </c>
      <c r="E290" s="41">
        <v>8.8206756637558437E-5</v>
      </c>
    </row>
    <row r="291" spans="2:5" ht="15" customHeight="1">
      <c r="B291" s="94"/>
      <c r="C291" s="40" t="s">
        <v>20</v>
      </c>
      <c r="D291" s="39">
        <v>1527</v>
      </c>
      <c r="E291" s="38">
        <v>6.7345858692775873E-2</v>
      </c>
    </row>
    <row r="292" spans="2:5" ht="15" customHeight="1">
      <c r="B292" s="92" t="s">
        <v>207</v>
      </c>
      <c r="C292" s="43" t="s">
        <v>199</v>
      </c>
      <c r="D292" s="42">
        <v>2</v>
      </c>
      <c r="E292" s="41">
        <v>8.8206756637558437E-5</v>
      </c>
    </row>
    <row r="293" spans="2:5" ht="15" customHeight="1">
      <c r="B293" s="93"/>
      <c r="C293" s="43" t="s">
        <v>198</v>
      </c>
      <c r="D293" s="42">
        <v>2</v>
      </c>
      <c r="E293" s="41">
        <v>8.8206756637558437E-5</v>
      </c>
    </row>
    <row r="294" spans="2:5" ht="15" customHeight="1">
      <c r="B294" s="93"/>
      <c r="C294" s="43" t="s">
        <v>197</v>
      </c>
      <c r="D294" s="42">
        <v>1</v>
      </c>
      <c r="E294" s="41">
        <v>4.4103378318779218E-5</v>
      </c>
    </row>
    <row r="295" spans="2:5" ht="15" customHeight="1">
      <c r="B295" s="93"/>
      <c r="C295" s="43" t="s">
        <v>196</v>
      </c>
      <c r="D295" s="42">
        <v>5</v>
      </c>
      <c r="E295" s="41">
        <v>2.205168915938961E-4</v>
      </c>
    </row>
    <row r="296" spans="2:5" ht="15" customHeight="1">
      <c r="B296" s="93"/>
      <c r="C296" s="43" t="s">
        <v>195</v>
      </c>
      <c r="D296" s="42">
        <v>3</v>
      </c>
      <c r="E296" s="41">
        <v>1.3231013495633765E-4</v>
      </c>
    </row>
    <row r="297" spans="2:5" ht="15" customHeight="1">
      <c r="B297" s="93"/>
      <c r="C297" s="43" t="s">
        <v>194</v>
      </c>
      <c r="D297" s="42">
        <v>4</v>
      </c>
      <c r="E297" s="41">
        <v>1.7641351327511687E-4</v>
      </c>
    </row>
    <row r="298" spans="2:5" ht="15" customHeight="1">
      <c r="B298" s="93"/>
      <c r="C298" s="43" t="s">
        <v>193</v>
      </c>
      <c r="D298" s="42">
        <v>21</v>
      </c>
      <c r="E298" s="41">
        <v>9.2617094469436357E-4</v>
      </c>
    </row>
    <row r="299" spans="2:5" ht="15" customHeight="1">
      <c r="B299" s="93"/>
      <c r="C299" s="43" t="s">
        <v>192</v>
      </c>
      <c r="D299" s="42">
        <v>36</v>
      </c>
      <c r="E299" s="41">
        <v>1.5877216194760519E-3</v>
      </c>
    </row>
    <row r="300" spans="2:5" ht="15" customHeight="1">
      <c r="B300" s="93"/>
      <c r="C300" s="43" t="s">
        <v>191</v>
      </c>
      <c r="D300" s="42">
        <v>5</v>
      </c>
      <c r="E300" s="41">
        <v>2.205168915938961E-4</v>
      </c>
    </row>
    <row r="301" spans="2:5" ht="15" customHeight="1">
      <c r="B301" s="93"/>
      <c r="C301" s="43" t="s">
        <v>190</v>
      </c>
      <c r="D301" s="42">
        <v>5</v>
      </c>
      <c r="E301" s="41">
        <v>2.205168915938961E-4</v>
      </c>
    </row>
    <row r="302" spans="2:5" ht="15" customHeight="1">
      <c r="B302" s="93"/>
      <c r="C302" s="43" t="s">
        <v>189</v>
      </c>
      <c r="D302" s="42">
        <v>6</v>
      </c>
      <c r="E302" s="41">
        <v>2.646202699126753E-4</v>
      </c>
    </row>
    <row r="303" spans="2:5" ht="15" customHeight="1">
      <c r="B303" s="93"/>
      <c r="C303" s="43" t="s">
        <v>188</v>
      </c>
      <c r="D303" s="42">
        <v>76</v>
      </c>
      <c r="E303" s="41">
        <v>3.3518567522272205E-3</v>
      </c>
    </row>
    <row r="304" spans="2:5" ht="15" customHeight="1">
      <c r="B304" s="93"/>
      <c r="C304" s="43" t="s">
        <v>187</v>
      </c>
      <c r="D304" s="42">
        <v>3</v>
      </c>
      <c r="E304" s="41">
        <v>1.3231013495633765E-4</v>
      </c>
    </row>
    <row r="305" spans="2:5" ht="15" customHeight="1">
      <c r="B305" s="93"/>
      <c r="C305" s="43" t="s">
        <v>186</v>
      </c>
      <c r="D305" s="42">
        <v>15</v>
      </c>
      <c r="E305" s="41">
        <v>6.6155067478168832E-4</v>
      </c>
    </row>
    <row r="306" spans="2:5" ht="15" customHeight="1">
      <c r="B306" s="93"/>
      <c r="C306" s="43" t="s">
        <v>185</v>
      </c>
      <c r="D306" s="42">
        <v>32</v>
      </c>
      <c r="E306" s="41">
        <v>1.411308106200935E-3</v>
      </c>
    </row>
    <row r="307" spans="2:5" ht="15" customHeight="1">
      <c r="B307" s="93"/>
      <c r="C307" s="43" t="s">
        <v>184</v>
      </c>
      <c r="D307" s="42">
        <v>1</v>
      </c>
      <c r="E307" s="41">
        <v>4.4103378318779218E-5</v>
      </c>
    </row>
    <row r="308" spans="2:5" ht="15" customHeight="1">
      <c r="B308" s="93"/>
      <c r="C308" s="43" t="s">
        <v>180</v>
      </c>
      <c r="D308" s="42">
        <v>4</v>
      </c>
      <c r="E308" s="41">
        <v>1.7641351327511687E-4</v>
      </c>
    </row>
    <row r="309" spans="2:5" ht="15" customHeight="1">
      <c r="B309" s="93"/>
      <c r="C309" s="43" t="s">
        <v>179</v>
      </c>
      <c r="D309" s="42">
        <v>5</v>
      </c>
      <c r="E309" s="41">
        <v>2.205168915938961E-4</v>
      </c>
    </row>
    <row r="310" spans="2:5" ht="15" customHeight="1">
      <c r="B310" s="94"/>
      <c r="C310" s="40" t="s">
        <v>20</v>
      </c>
      <c r="D310" s="39">
        <v>226</v>
      </c>
      <c r="E310" s="38">
        <v>9.9673635000441033E-3</v>
      </c>
    </row>
    <row r="311" spans="2:5" ht="15" customHeight="1">
      <c r="B311" s="92" t="s">
        <v>91</v>
      </c>
      <c r="C311" s="43" t="s">
        <v>199</v>
      </c>
      <c r="D311" s="42">
        <v>5</v>
      </c>
      <c r="E311" s="41">
        <v>2.205168915938961E-4</v>
      </c>
    </row>
    <row r="312" spans="2:5" ht="15" customHeight="1">
      <c r="B312" s="93"/>
      <c r="C312" s="43" t="s">
        <v>197</v>
      </c>
      <c r="D312" s="42">
        <v>1</v>
      </c>
      <c r="E312" s="41">
        <v>4.4103378318779218E-5</v>
      </c>
    </row>
    <row r="313" spans="2:5" ht="15" customHeight="1">
      <c r="B313" s="93"/>
      <c r="C313" s="43" t="s">
        <v>196</v>
      </c>
      <c r="D313" s="42">
        <v>8</v>
      </c>
      <c r="E313" s="41">
        <v>3.5282702655023375E-4</v>
      </c>
    </row>
    <row r="314" spans="2:5" ht="15" customHeight="1">
      <c r="B314" s="93"/>
      <c r="C314" s="43" t="s">
        <v>195</v>
      </c>
      <c r="D314" s="42">
        <v>10</v>
      </c>
      <c r="E314" s="41">
        <v>4.410337831877922E-4</v>
      </c>
    </row>
    <row r="315" spans="2:5" ht="15" customHeight="1">
      <c r="B315" s="93"/>
      <c r="C315" s="43" t="s">
        <v>194</v>
      </c>
      <c r="D315" s="42">
        <v>11</v>
      </c>
      <c r="E315" s="41">
        <v>4.8513716150657142E-4</v>
      </c>
    </row>
    <row r="316" spans="2:5" ht="15" customHeight="1">
      <c r="B316" s="93"/>
      <c r="C316" s="43" t="s">
        <v>193</v>
      </c>
      <c r="D316" s="42">
        <v>48</v>
      </c>
      <c r="E316" s="41">
        <v>2.1169621593014024E-3</v>
      </c>
    </row>
    <row r="317" spans="2:5" ht="15" customHeight="1">
      <c r="B317" s="93"/>
      <c r="C317" s="43" t="s">
        <v>192</v>
      </c>
      <c r="D317" s="42">
        <v>65</v>
      </c>
      <c r="E317" s="41">
        <v>2.8667195907206493E-3</v>
      </c>
    </row>
    <row r="318" spans="2:5" ht="15" customHeight="1">
      <c r="B318" s="93"/>
      <c r="C318" s="43" t="s">
        <v>191</v>
      </c>
      <c r="D318" s="42">
        <v>7</v>
      </c>
      <c r="E318" s="41">
        <v>3.0872364823145452E-4</v>
      </c>
    </row>
    <row r="319" spans="2:5" ht="15" customHeight="1">
      <c r="B319" s="93"/>
      <c r="C319" s="43" t="s">
        <v>190</v>
      </c>
      <c r="D319" s="42">
        <v>18</v>
      </c>
      <c r="E319" s="41">
        <v>7.9386080973802594E-4</v>
      </c>
    </row>
    <row r="320" spans="2:5" ht="15" customHeight="1">
      <c r="B320" s="93"/>
      <c r="C320" s="43" t="s">
        <v>189</v>
      </c>
      <c r="D320" s="42">
        <v>40</v>
      </c>
      <c r="E320" s="41">
        <v>1.7641351327511688E-3</v>
      </c>
    </row>
    <row r="321" spans="2:5" ht="15" customHeight="1">
      <c r="B321" s="93"/>
      <c r="C321" s="43" t="s">
        <v>188</v>
      </c>
      <c r="D321" s="42">
        <v>101</v>
      </c>
      <c r="E321" s="41">
        <v>4.4544412101967011E-3</v>
      </c>
    </row>
    <row r="322" spans="2:5" ht="15" customHeight="1">
      <c r="B322" s="93"/>
      <c r="C322" s="43" t="s">
        <v>187</v>
      </c>
      <c r="D322" s="42">
        <v>4</v>
      </c>
      <c r="E322" s="41">
        <v>1.7641351327511687E-4</v>
      </c>
    </row>
    <row r="323" spans="2:5" ht="15" customHeight="1">
      <c r="B323" s="93"/>
      <c r="C323" s="43" t="s">
        <v>186</v>
      </c>
      <c r="D323" s="42">
        <v>37</v>
      </c>
      <c r="E323" s="41">
        <v>1.6318249977948312E-3</v>
      </c>
    </row>
    <row r="324" spans="2:5" ht="15" customHeight="1">
      <c r="B324" s="93"/>
      <c r="C324" s="43" t="s">
        <v>185</v>
      </c>
      <c r="D324" s="42">
        <v>57</v>
      </c>
      <c r="E324" s="41">
        <v>2.5138925641704155E-3</v>
      </c>
    </row>
    <row r="325" spans="2:5" ht="15" customHeight="1">
      <c r="B325" s="93"/>
      <c r="C325" s="43" t="s">
        <v>184</v>
      </c>
      <c r="D325" s="42">
        <v>2</v>
      </c>
      <c r="E325" s="41">
        <v>8.8206756637558437E-5</v>
      </c>
    </row>
    <row r="326" spans="2:5" ht="15" customHeight="1">
      <c r="B326" s="93"/>
      <c r="C326" s="43" t="s">
        <v>183</v>
      </c>
      <c r="D326" s="42">
        <v>2</v>
      </c>
      <c r="E326" s="41">
        <v>8.8206756637558437E-5</v>
      </c>
    </row>
    <row r="327" spans="2:5" ht="15" customHeight="1">
      <c r="B327" s="93"/>
      <c r="C327" s="43" t="s">
        <v>180</v>
      </c>
      <c r="D327" s="42">
        <v>1</v>
      </c>
      <c r="E327" s="41">
        <v>4.4103378318779218E-5</v>
      </c>
    </row>
    <row r="328" spans="2:5" ht="15" customHeight="1">
      <c r="B328" s="93"/>
      <c r="C328" s="43" t="s">
        <v>179</v>
      </c>
      <c r="D328" s="42">
        <v>6</v>
      </c>
      <c r="E328" s="41">
        <v>2.646202699126753E-4</v>
      </c>
    </row>
    <row r="329" spans="2:5" ht="15" customHeight="1">
      <c r="B329" s="93"/>
      <c r="C329" s="43" t="s">
        <v>204</v>
      </c>
      <c r="D329" s="42">
        <v>1</v>
      </c>
      <c r="E329" s="41">
        <v>4.4103378318779218E-5</v>
      </c>
    </row>
    <row r="330" spans="2:5" ht="15" customHeight="1">
      <c r="B330" s="93"/>
      <c r="C330" s="43" t="s">
        <v>177</v>
      </c>
      <c r="D330" s="42">
        <v>1</v>
      </c>
      <c r="E330" s="41">
        <v>4.4103378318779218E-5</v>
      </c>
    </row>
    <row r="331" spans="2:5" ht="15" customHeight="1">
      <c r="B331" s="94"/>
      <c r="C331" s="40" t="s">
        <v>20</v>
      </c>
      <c r="D331" s="39">
        <v>425</v>
      </c>
      <c r="E331" s="38">
        <v>1.8743935785481169E-2</v>
      </c>
    </row>
    <row r="332" spans="2:5" ht="15" customHeight="1">
      <c r="B332" s="92" t="s">
        <v>75</v>
      </c>
      <c r="C332" s="43" t="s">
        <v>198</v>
      </c>
      <c r="D332" s="42">
        <v>1</v>
      </c>
      <c r="E332" s="41">
        <v>4.4103378318779218E-5</v>
      </c>
    </row>
    <row r="333" spans="2:5" ht="15" customHeight="1">
      <c r="B333" s="93"/>
      <c r="C333" s="43" t="s">
        <v>193</v>
      </c>
      <c r="D333" s="42">
        <v>1</v>
      </c>
      <c r="E333" s="41">
        <v>4.4103378318779218E-5</v>
      </c>
    </row>
    <row r="334" spans="2:5" ht="15" customHeight="1">
      <c r="B334" s="93"/>
      <c r="C334" s="43" t="s">
        <v>192</v>
      </c>
      <c r="D334" s="42">
        <v>2</v>
      </c>
      <c r="E334" s="41">
        <v>8.8206756637558437E-5</v>
      </c>
    </row>
    <row r="335" spans="2:5" ht="15" customHeight="1">
      <c r="B335" s="93"/>
      <c r="C335" s="43" t="s">
        <v>189</v>
      </c>
      <c r="D335" s="42">
        <v>1</v>
      </c>
      <c r="E335" s="41">
        <v>4.4103378318779218E-5</v>
      </c>
    </row>
    <row r="336" spans="2:5" ht="15" customHeight="1">
      <c r="B336" s="93"/>
      <c r="C336" s="43" t="s">
        <v>188</v>
      </c>
      <c r="D336" s="42">
        <v>5</v>
      </c>
      <c r="E336" s="41">
        <v>2.205168915938961E-4</v>
      </c>
    </row>
    <row r="337" spans="2:5" ht="15" customHeight="1">
      <c r="B337" s="93"/>
      <c r="C337" s="43" t="s">
        <v>185</v>
      </c>
      <c r="D337" s="42">
        <v>5</v>
      </c>
      <c r="E337" s="41">
        <v>2.205168915938961E-4</v>
      </c>
    </row>
    <row r="338" spans="2:5" ht="15" customHeight="1">
      <c r="B338" s="93"/>
      <c r="C338" s="43" t="s">
        <v>179</v>
      </c>
      <c r="D338" s="42">
        <v>3</v>
      </c>
      <c r="E338" s="41">
        <v>1.3231013495633765E-4</v>
      </c>
    </row>
    <row r="339" spans="2:5" ht="15" customHeight="1">
      <c r="B339" s="94"/>
      <c r="C339" s="40" t="s">
        <v>20</v>
      </c>
      <c r="D339" s="39">
        <v>18</v>
      </c>
      <c r="E339" s="38">
        <v>7.9386080973802594E-4</v>
      </c>
    </row>
    <row r="340" spans="2:5" ht="15" customHeight="1">
      <c r="B340" s="92" t="s">
        <v>98</v>
      </c>
      <c r="C340" s="43" t="s">
        <v>199</v>
      </c>
      <c r="D340" s="42">
        <v>6</v>
      </c>
      <c r="E340" s="41">
        <v>2.646202699126753E-4</v>
      </c>
    </row>
    <row r="341" spans="2:5" ht="15" customHeight="1">
      <c r="B341" s="93"/>
      <c r="C341" s="43" t="s">
        <v>197</v>
      </c>
      <c r="D341" s="42">
        <v>3</v>
      </c>
      <c r="E341" s="41">
        <v>1.3231013495633765E-4</v>
      </c>
    </row>
    <row r="342" spans="2:5" ht="15" customHeight="1">
      <c r="B342" s="93"/>
      <c r="C342" s="43" t="s">
        <v>196</v>
      </c>
      <c r="D342" s="42">
        <v>13</v>
      </c>
      <c r="E342" s="41">
        <v>5.7334391814412987E-4</v>
      </c>
    </row>
    <row r="343" spans="2:5" ht="15" customHeight="1">
      <c r="B343" s="93"/>
      <c r="C343" s="43" t="s">
        <v>195</v>
      </c>
      <c r="D343" s="42">
        <v>5</v>
      </c>
      <c r="E343" s="41">
        <v>2.205168915938961E-4</v>
      </c>
    </row>
    <row r="344" spans="2:5" ht="15" customHeight="1">
      <c r="B344" s="93"/>
      <c r="C344" s="43" t="s">
        <v>194</v>
      </c>
      <c r="D344" s="42">
        <v>24</v>
      </c>
      <c r="E344" s="41">
        <v>1.0584810796507012E-3</v>
      </c>
    </row>
    <row r="345" spans="2:5" ht="15" customHeight="1">
      <c r="B345" s="93"/>
      <c r="C345" s="43" t="s">
        <v>193</v>
      </c>
      <c r="D345" s="42">
        <v>76</v>
      </c>
      <c r="E345" s="41">
        <v>3.3518567522272205E-3</v>
      </c>
    </row>
    <row r="346" spans="2:5" ht="15" customHeight="1">
      <c r="B346" s="93"/>
      <c r="C346" s="43" t="s">
        <v>192</v>
      </c>
      <c r="D346" s="42">
        <v>103</v>
      </c>
      <c r="E346" s="41">
        <v>4.5426479668342597E-3</v>
      </c>
    </row>
    <row r="347" spans="2:5" ht="15" customHeight="1">
      <c r="B347" s="93"/>
      <c r="C347" s="43" t="s">
        <v>191</v>
      </c>
      <c r="D347" s="42">
        <v>5</v>
      </c>
      <c r="E347" s="41">
        <v>2.205168915938961E-4</v>
      </c>
    </row>
    <row r="348" spans="2:5" ht="15" customHeight="1">
      <c r="B348" s="93"/>
      <c r="C348" s="43" t="s">
        <v>190</v>
      </c>
      <c r="D348" s="42">
        <v>14</v>
      </c>
      <c r="E348" s="41">
        <v>6.1744729646290904E-4</v>
      </c>
    </row>
    <row r="349" spans="2:5" ht="15" customHeight="1">
      <c r="B349" s="93"/>
      <c r="C349" s="43" t="s">
        <v>189</v>
      </c>
      <c r="D349" s="42">
        <v>20</v>
      </c>
      <c r="E349" s="41">
        <v>8.820675663755844E-4</v>
      </c>
    </row>
    <row r="350" spans="2:5" ht="15" customHeight="1">
      <c r="B350" s="93"/>
      <c r="C350" s="43" t="s">
        <v>188</v>
      </c>
      <c r="D350" s="42">
        <v>121</v>
      </c>
      <c r="E350" s="41">
        <v>5.3365087765722859E-3</v>
      </c>
    </row>
    <row r="351" spans="2:5" ht="15" customHeight="1">
      <c r="B351" s="93"/>
      <c r="C351" s="43" t="s">
        <v>187</v>
      </c>
      <c r="D351" s="42">
        <v>2</v>
      </c>
      <c r="E351" s="41">
        <v>8.8206756637558437E-5</v>
      </c>
    </row>
    <row r="352" spans="2:5" ht="15" customHeight="1">
      <c r="B352" s="93"/>
      <c r="C352" s="43" t="s">
        <v>186</v>
      </c>
      <c r="D352" s="42">
        <v>22</v>
      </c>
      <c r="E352" s="41">
        <v>9.7027432301314285E-4</v>
      </c>
    </row>
    <row r="353" spans="2:5" ht="15" customHeight="1">
      <c r="B353" s="93"/>
      <c r="C353" s="43" t="s">
        <v>185</v>
      </c>
      <c r="D353" s="42">
        <v>87</v>
      </c>
      <c r="E353" s="41">
        <v>3.8369939137337921E-3</v>
      </c>
    </row>
    <row r="354" spans="2:5" ht="15" customHeight="1">
      <c r="B354" s="93"/>
      <c r="C354" s="43" t="s">
        <v>184</v>
      </c>
      <c r="D354" s="42">
        <v>2</v>
      </c>
      <c r="E354" s="41">
        <v>8.8206756637558437E-5</v>
      </c>
    </row>
    <row r="355" spans="2:5" ht="15" customHeight="1">
      <c r="B355" s="93"/>
      <c r="C355" s="43" t="s">
        <v>180</v>
      </c>
      <c r="D355" s="42">
        <v>5</v>
      </c>
      <c r="E355" s="41">
        <v>2.205168915938961E-4</v>
      </c>
    </row>
    <row r="356" spans="2:5" ht="15" customHeight="1">
      <c r="B356" s="93"/>
      <c r="C356" s="43" t="s">
        <v>179</v>
      </c>
      <c r="D356" s="42">
        <v>13</v>
      </c>
      <c r="E356" s="41">
        <v>5.7334391814412987E-4</v>
      </c>
    </row>
    <row r="357" spans="2:5" ht="15" customHeight="1">
      <c r="B357" s="93"/>
      <c r="C357" s="43" t="s">
        <v>177</v>
      </c>
      <c r="D357" s="42">
        <v>1</v>
      </c>
      <c r="E357" s="41">
        <v>4.4103378318779218E-5</v>
      </c>
    </row>
    <row r="358" spans="2:5" ht="15" customHeight="1">
      <c r="B358" s="94"/>
      <c r="C358" s="40" t="s">
        <v>20</v>
      </c>
      <c r="D358" s="39">
        <v>522</v>
      </c>
      <c r="E358" s="38">
        <v>2.3021963482402753E-2</v>
      </c>
    </row>
    <row r="359" spans="2:5" ht="15" customHeight="1">
      <c r="B359" s="92" t="s">
        <v>102</v>
      </c>
      <c r="C359" s="43" t="s">
        <v>199</v>
      </c>
      <c r="D359" s="42">
        <v>6</v>
      </c>
      <c r="E359" s="41">
        <v>2.646202699126753E-4</v>
      </c>
    </row>
    <row r="360" spans="2:5" ht="15" customHeight="1">
      <c r="B360" s="93"/>
      <c r="C360" s="43" t="s">
        <v>198</v>
      </c>
      <c r="D360" s="42">
        <v>5</v>
      </c>
      <c r="E360" s="41">
        <v>2.205168915938961E-4</v>
      </c>
    </row>
    <row r="361" spans="2:5" ht="15" customHeight="1">
      <c r="B361" s="93"/>
      <c r="C361" s="43" t="s">
        <v>197</v>
      </c>
      <c r="D361" s="42">
        <v>3</v>
      </c>
      <c r="E361" s="41">
        <v>1.3231013495633765E-4</v>
      </c>
    </row>
    <row r="362" spans="2:5" ht="15" customHeight="1">
      <c r="B362" s="93"/>
      <c r="C362" s="43" t="s">
        <v>196</v>
      </c>
      <c r="D362" s="42">
        <v>11</v>
      </c>
      <c r="E362" s="41">
        <v>4.8513716150657142E-4</v>
      </c>
    </row>
    <row r="363" spans="2:5" ht="15" customHeight="1">
      <c r="B363" s="93"/>
      <c r="C363" s="43" t="s">
        <v>195</v>
      </c>
      <c r="D363" s="42">
        <v>20</v>
      </c>
      <c r="E363" s="41">
        <v>8.820675663755844E-4</v>
      </c>
    </row>
    <row r="364" spans="2:5" ht="15" customHeight="1">
      <c r="B364" s="93"/>
      <c r="C364" s="43" t="s">
        <v>194</v>
      </c>
      <c r="D364" s="42">
        <v>9</v>
      </c>
      <c r="E364" s="41">
        <v>3.9693040486901297E-4</v>
      </c>
    </row>
    <row r="365" spans="2:5" ht="15" customHeight="1">
      <c r="B365" s="93"/>
      <c r="C365" s="43" t="s">
        <v>193</v>
      </c>
      <c r="D365" s="42">
        <v>83</v>
      </c>
      <c r="E365" s="41">
        <v>3.660580400458675E-3</v>
      </c>
    </row>
    <row r="366" spans="2:5" ht="15" customHeight="1">
      <c r="B366" s="93"/>
      <c r="C366" s="43" t="s">
        <v>192</v>
      </c>
      <c r="D366" s="42">
        <v>194</v>
      </c>
      <c r="E366" s="41">
        <v>8.5560553938431681E-3</v>
      </c>
    </row>
    <row r="367" spans="2:5" ht="15" customHeight="1">
      <c r="B367" s="93"/>
      <c r="C367" s="43" t="s">
        <v>191</v>
      </c>
      <c r="D367" s="42">
        <v>18</v>
      </c>
      <c r="E367" s="41">
        <v>7.9386080973802594E-4</v>
      </c>
    </row>
    <row r="368" spans="2:5" ht="15" customHeight="1">
      <c r="B368" s="93"/>
      <c r="C368" s="43" t="s">
        <v>190</v>
      </c>
      <c r="D368" s="42">
        <v>30</v>
      </c>
      <c r="E368" s="41">
        <v>1.3231013495633766E-3</v>
      </c>
    </row>
    <row r="369" spans="2:5" ht="15" customHeight="1">
      <c r="B369" s="93"/>
      <c r="C369" s="43" t="s">
        <v>189</v>
      </c>
      <c r="D369" s="42">
        <v>48</v>
      </c>
      <c r="E369" s="41">
        <v>2.1169621593014024E-3</v>
      </c>
    </row>
    <row r="370" spans="2:5" ht="15" customHeight="1">
      <c r="B370" s="93"/>
      <c r="C370" s="43" t="s">
        <v>188</v>
      </c>
      <c r="D370" s="42">
        <v>377</v>
      </c>
      <c r="E370" s="41">
        <v>1.6626973626179764E-2</v>
      </c>
    </row>
    <row r="371" spans="2:5" ht="15" customHeight="1">
      <c r="B371" s="93"/>
      <c r="C371" s="43" t="s">
        <v>187</v>
      </c>
      <c r="D371" s="42">
        <v>7</v>
      </c>
      <c r="E371" s="41">
        <v>3.0872364823145452E-4</v>
      </c>
    </row>
    <row r="372" spans="2:5" ht="15" customHeight="1">
      <c r="B372" s="93"/>
      <c r="C372" s="43" t="s">
        <v>186</v>
      </c>
      <c r="D372" s="42">
        <v>66</v>
      </c>
      <c r="E372" s="41">
        <v>2.9108229690394285E-3</v>
      </c>
    </row>
    <row r="373" spans="2:5" ht="15" customHeight="1">
      <c r="B373" s="93"/>
      <c r="C373" s="43" t="s">
        <v>185</v>
      </c>
      <c r="D373" s="42">
        <v>196</v>
      </c>
      <c r="E373" s="41">
        <v>8.6442621504807266E-3</v>
      </c>
    </row>
    <row r="374" spans="2:5" ht="15" customHeight="1">
      <c r="B374" s="93"/>
      <c r="C374" s="43" t="s">
        <v>184</v>
      </c>
      <c r="D374" s="42">
        <v>1</v>
      </c>
      <c r="E374" s="41">
        <v>4.4103378318779218E-5</v>
      </c>
    </row>
    <row r="375" spans="2:5" ht="15" customHeight="1">
      <c r="B375" s="93"/>
      <c r="C375" s="43" t="s">
        <v>183</v>
      </c>
      <c r="D375" s="42">
        <v>5</v>
      </c>
      <c r="E375" s="41">
        <v>2.205168915938961E-4</v>
      </c>
    </row>
    <row r="376" spans="2:5" ht="15" customHeight="1">
      <c r="B376" s="93"/>
      <c r="C376" s="43" t="s">
        <v>180</v>
      </c>
      <c r="D376" s="42">
        <v>11</v>
      </c>
      <c r="E376" s="41">
        <v>4.8513716150657142E-4</v>
      </c>
    </row>
    <row r="377" spans="2:5" ht="15" customHeight="1">
      <c r="B377" s="93"/>
      <c r="C377" s="43" t="s">
        <v>179</v>
      </c>
      <c r="D377" s="42">
        <v>22</v>
      </c>
      <c r="E377" s="41">
        <v>9.7027432301314285E-4</v>
      </c>
    </row>
    <row r="378" spans="2:5" ht="15" customHeight="1">
      <c r="B378" s="93"/>
      <c r="C378" s="43" t="s">
        <v>177</v>
      </c>
      <c r="D378" s="42">
        <v>2</v>
      </c>
      <c r="E378" s="41">
        <v>8.8206756637558437E-5</v>
      </c>
    </row>
    <row r="379" spans="2:5" ht="15" customHeight="1">
      <c r="B379" s="94"/>
      <c r="C379" s="40" t="s">
        <v>20</v>
      </c>
      <c r="D379" s="39">
        <v>1114</v>
      </c>
      <c r="E379" s="38">
        <v>4.9131163447120048E-2</v>
      </c>
    </row>
    <row r="380" spans="2:5" ht="15" customHeight="1">
      <c r="B380" s="92" t="s">
        <v>206</v>
      </c>
      <c r="C380" s="43" t="s">
        <v>199</v>
      </c>
      <c r="D380" s="42">
        <v>57</v>
      </c>
      <c r="E380" s="41">
        <v>2.5138925641704155E-3</v>
      </c>
    </row>
    <row r="381" spans="2:5" ht="15" customHeight="1">
      <c r="B381" s="93"/>
      <c r="C381" s="43" t="s">
        <v>198</v>
      </c>
      <c r="D381" s="42">
        <v>8</v>
      </c>
      <c r="E381" s="41">
        <v>3.5282702655023375E-4</v>
      </c>
    </row>
    <row r="382" spans="2:5" ht="15" customHeight="1">
      <c r="B382" s="93"/>
      <c r="C382" s="43" t="s">
        <v>197</v>
      </c>
      <c r="D382" s="42">
        <v>22</v>
      </c>
      <c r="E382" s="41">
        <v>9.7027432301314285E-4</v>
      </c>
    </row>
    <row r="383" spans="2:5" ht="15" customHeight="1">
      <c r="B383" s="93"/>
      <c r="C383" s="43" t="s">
        <v>196</v>
      </c>
      <c r="D383" s="42">
        <v>50</v>
      </c>
      <c r="E383" s="41">
        <v>2.2051689159389609E-3</v>
      </c>
    </row>
    <row r="384" spans="2:5" ht="15" customHeight="1">
      <c r="B384" s="93"/>
      <c r="C384" s="43" t="s">
        <v>195</v>
      </c>
      <c r="D384" s="42">
        <v>37</v>
      </c>
      <c r="E384" s="41">
        <v>1.6318249977948312E-3</v>
      </c>
    </row>
    <row r="385" spans="2:5" ht="15" customHeight="1">
      <c r="B385" s="93"/>
      <c r="C385" s="43" t="s">
        <v>194</v>
      </c>
      <c r="D385" s="42">
        <v>51</v>
      </c>
      <c r="E385" s="41">
        <v>2.2492722942577402E-3</v>
      </c>
    </row>
    <row r="386" spans="2:5" ht="15" customHeight="1">
      <c r="B386" s="93"/>
      <c r="C386" s="43" t="s">
        <v>193</v>
      </c>
      <c r="D386" s="42">
        <v>274</v>
      </c>
      <c r="E386" s="41">
        <v>1.2084325659345505E-2</v>
      </c>
    </row>
    <row r="387" spans="2:5" ht="15" customHeight="1">
      <c r="B387" s="93"/>
      <c r="C387" s="43" t="s">
        <v>192</v>
      </c>
      <c r="D387" s="42">
        <v>444</v>
      </c>
      <c r="E387" s="41">
        <v>1.9581899973537972E-2</v>
      </c>
    </row>
    <row r="388" spans="2:5" ht="15" customHeight="1">
      <c r="B388" s="93"/>
      <c r="C388" s="43" t="s">
        <v>191</v>
      </c>
      <c r="D388" s="42">
        <v>24</v>
      </c>
      <c r="E388" s="41">
        <v>1.0584810796507012E-3</v>
      </c>
    </row>
    <row r="389" spans="2:5" ht="15" customHeight="1">
      <c r="B389" s="93"/>
      <c r="C389" s="43" t="s">
        <v>190</v>
      </c>
      <c r="D389" s="42">
        <v>58</v>
      </c>
      <c r="E389" s="41">
        <v>2.5579959424891947E-3</v>
      </c>
    </row>
    <row r="390" spans="2:5" ht="15" customHeight="1">
      <c r="B390" s="93"/>
      <c r="C390" s="43" t="s">
        <v>189</v>
      </c>
      <c r="D390" s="42">
        <v>48</v>
      </c>
      <c r="E390" s="41">
        <v>2.1169621593014024E-3</v>
      </c>
    </row>
    <row r="391" spans="2:5" ht="15" customHeight="1">
      <c r="B391" s="93"/>
      <c r="C391" s="43" t="s">
        <v>188</v>
      </c>
      <c r="D391" s="42">
        <v>566</v>
      </c>
      <c r="E391" s="41">
        <v>2.4962512128429037E-2</v>
      </c>
    </row>
    <row r="392" spans="2:5" ht="15" customHeight="1">
      <c r="B392" s="93"/>
      <c r="C392" s="43" t="s">
        <v>187</v>
      </c>
      <c r="D392" s="42">
        <v>35</v>
      </c>
      <c r="E392" s="41">
        <v>1.5436182411572726E-3</v>
      </c>
    </row>
    <row r="393" spans="2:5" ht="15" customHeight="1">
      <c r="B393" s="93"/>
      <c r="C393" s="43" t="s">
        <v>186</v>
      </c>
      <c r="D393" s="42">
        <v>82</v>
      </c>
      <c r="E393" s="41">
        <v>3.6164770221398957E-3</v>
      </c>
    </row>
    <row r="394" spans="2:5" ht="15" customHeight="1">
      <c r="B394" s="93"/>
      <c r="C394" s="43" t="s">
        <v>185</v>
      </c>
      <c r="D394" s="42">
        <v>309</v>
      </c>
      <c r="E394" s="41">
        <v>1.3627943900502778E-2</v>
      </c>
    </row>
    <row r="395" spans="2:5" ht="15" customHeight="1">
      <c r="B395" s="93"/>
      <c r="C395" s="43" t="s">
        <v>184</v>
      </c>
      <c r="D395" s="42">
        <v>6</v>
      </c>
      <c r="E395" s="41">
        <v>2.646202699126753E-4</v>
      </c>
    </row>
    <row r="396" spans="2:5" ht="15" customHeight="1">
      <c r="B396" s="93"/>
      <c r="C396" s="43" t="s">
        <v>183</v>
      </c>
      <c r="D396" s="42">
        <v>2</v>
      </c>
      <c r="E396" s="41">
        <v>8.8206756637558437E-5</v>
      </c>
    </row>
    <row r="397" spans="2:5" ht="15" customHeight="1">
      <c r="B397" s="93"/>
      <c r="C397" s="43" t="s">
        <v>182</v>
      </c>
      <c r="D397" s="42">
        <v>3</v>
      </c>
      <c r="E397" s="41">
        <v>1.3231013495633765E-4</v>
      </c>
    </row>
    <row r="398" spans="2:5" ht="15" customHeight="1">
      <c r="B398" s="93"/>
      <c r="C398" s="43" t="s">
        <v>181</v>
      </c>
      <c r="D398" s="42">
        <v>2</v>
      </c>
      <c r="E398" s="41">
        <v>8.8206756637558437E-5</v>
      </c>
    </row>
    <row r="399" spans="2:5" ht="15" customHeight="1">
      <c r="B399" s="93"/>
      <c r="C399" s="43" t="s">
        <v>180</v>
      </c>
      <c r="D399" s="42">
        <v>22</v>
      </c>
      <c r="E399" s="41">
        <v>9.7027432301314285E-4</v>
      </c>
    </row>
    <row r="400" spans="2:5" ht="15" customHeight="1">
      <c r="B400" s="93"/>
      <c r="C400" s="43" t="s">
        <v>179</v>
      </c>
      <c r="D400" s="42">
        <v>46</v>
      </c>
      <c r="E400" s="41">
        <v>2.0287554026638442E-3</v>
      </c>
    </row>
    <row r="401" spans="2:5" ht="15" customHeight="1">
      <c r="B401" s="93"/>
      <c r="C401" s="43" t="s">
        <v>204</v>
      </c>
      <c r="D401" s="42">
        <v>1</v>
      </c>
      <c r="E401" s="41">
        <v>4.4103378318779218E-5</v>
      </c>
    </row>
    <row r="402" spans="2:5" ht="15" customHeight="1">
      <c r="B402" s="93"/>
      <c r="C402" s="43" t="s">
        <v>177</v>
      </c>
      <c r="D402" s="42">
        <v>1</v>
      </c>
      <c r="E402" s="41">
        <v>4.4103378318779218E-5</v>
      </c>
    </row>
    <row r="403" spans="2:5" ht="15" customHeight="1">
      <c r="B403" s="94"/>
      <c r="C403" s="40" t="s">
        <v>20</v>
      </c>
      <c r="D403" s="39">
        <v>2148</v>
      </c>
      <c r="E403" s="38">
        <v>9.4734056628737767E-2</v>
      </c>
    </row>
    <row r="404" spans="2:5" ht="15" customHeight="1">
      <c r="B404" s="92" t="s">
        <v>205</v>
      </c>
      <c r="C404" s="43" t="s">
        <v>199</v>
      </c>
      <c r="D404" s="42">
        <v>3</v>
      </c>
      <c r="E404" s="41">
        <v>1.3231013495633765E-4</v>
      </c>
    </row>
    <row r="405" spans="2:5" ht="15" customHeight="1">
      <c r="B405" s="93"/>
      <c r="C405" s="43" t="s">
        <v>198</v>
      </c>
      <c r="D405" s="42">
        <v>1</v>
      </c>
      <c r="E405" s="41">
        <v>4.4103378318779218E-5</v>
      </c>
    </row>
    <row r="406" spans="2:5" ht="15" customHeight="1">
      <c r="B406" s="93"/>
      <c r="C406" s="43" t="s">
        <v>197</v>
      </c>
      <c r="D406" s="42">
        <v>1</v>
      </c>
      <c r="E406" s="41">
        <v>4.4103378318779218E-5</v>
      </c>
    </row>
    <row r="407" spans="2:5" ht="15" customHeight="1">
      <c r="B407" s="93"/>
      <c r="C407" s="43" t="s">
        <v>196</v>
      </c>
      <c r="D407" s="42">
        <v>4</v>
      </c>
      <c r="E407" s="41">
        <v>1.7641351327511687E-4</v>
      </c>
    </row>
    <row r="408" spans="2:5" ht="15" customHeight="1">
      <c r="B408" s="93"/>
      <c r="C408" s="43" t="s">
        <v>195</v>
      </c>
      <c r="D408" s="42">
        <v>4</v>
      </c>
      <c r="E408" s="41">
        <v>1.7641351327511687E-4</v>
      </c>
    </row>
    <row r="409" spans="2:5" ht="15" customHeight="1">
      <c r="B409" s="93"/>
      <c r="C409" s="43" t="s">
        <v>194</v>
      </c>
      <c r="D409" s="42">
        <v>5</v>
      </c>
      <c r="E409" s="41">
        <v>2.205168915938961E-4</v>
      </c>
    </row>
    <row r="410" spans="2:5" ht="15" customHeight="1">
      <c r="B410" s="93"/>
      <c r="C410" s="43" t="s">
        <v>193</v>
      </c>
      <c r="D410" s="42">
        <v>15</v>
      </c>
      <c r="E410" s="41">
        <v>6.6155067478168832E-4</v>
      </c>
    </row>
    <row r="411" spans="2:5" ht="15" customHeight="1">
      <c r="B411" s="93"/>
      <c r="C411" s="43" t="s">
        <v>192</v>
      </c>
      <c r="D411" s="42">
        <v>21</v>
      </c>
      <c r="E411" s="41">
        <v>9.2617094469436357E-4</v>
      </c>
    </row>
    <row r="412" spans="2:5" ht="15" customHeight="1">
      <c r="B412" s="93"/>
      <c r="C412" s="43" t="s">
        <v>191</v>
      </c>
      <c r="D412" s="42">
        <v>2</v>
      </c>
      <c r="E412" s="41">
        <v>8.8206756637558437E-5</v>
      </c>
    </row>
    <row r="413" spans="2:5" ht="15" customHeight="1">
      <c r="B413" s="93"/>
      <c r="C413" s="43" t="s">
        <v>190</v>
      </c>
      <c r="D413" s="42">
        <v>6</v>
      </c>
      <c r="E413" s="41">
        <v>2.646202699126753E-4</v>
      </c>
    </row>
    <row r="414" spans="2:5" ht="15" customHeight="1">
      <c r="B414" s="93"/>
      <c r="C414" s="43" t="s">
        <v>189</v>
      </c>
      <c r="D414" s="42">
        <v>10</v>
      </c>
      <c r="E414" s="41">
        <v>4.410337831877922E-4</v>
      </c>
    </row>
    <row r="415" spans="2:5" ht="15" customHeight="1">
      <c r="B415" s="93"/>
      <c r="C415" s="43" t="s">
        <v>188</v>
      </c>
      <c r="D415" s="42">
        <v>35</v>
      </c>
      <c r="E415" s="41">
        <v>1.5436182411572726E-3</v>
      </c>
    </row>
    <row r="416" spans="2:5" ht="15" customHeight="1">
      <c r="B416" s="93"/>
      <c r="C416" s="43" t="s">
        <v>187</v>
      </c>
      <c r="D416" s="42">
        <v>2</v>
      </c>
      <c r="E416" s="41">
        <v>8.8206756637558437E-5</v>
      </c>
    </row>
    <row r="417" spans="2:5" ht="15" customHeight="1">
      <c r="B417" s="93"/>
      <c r="C417" s="43" t="s">
        <v>186</v>
      </c>
      <c r="D417" s="42">
        <v>14</v>
      </c>
      <c r="E417" s="41">
        <v>6.1744729646290904E-4</v>
      </c>
    </row>
    <row r="418" spans="2:5" ht="15" customHeight="1">
      <c r="B418" s="93"/>
      <c r="C418" s="43" t="s">
        <v>185</v>
      </c>
      <c r="D418" s="42">
        <v>18</v>
      </c>
      <c r="E418" s="41">
        <v>7.9386080973802594E-4</v>
      </c>
    </row>
    <row r="419" spans="2:5" ht="15" customHeight="1">
      <c r="B419" s="93"/>
      <c r="C419" s="43" t="s">
        <v>180</v>
      </c>
      <c r="D419" s="42">
        <v>2</v>
      </c>
      <c r="E419" s="41">
        <v>8.8206756637558437E-5</v>
      </c>
    </row>
    <row r="420" spans="2:5" ht="15" customHeight="1">
      <c r="B420" s="93"/>
      <c r="C420" s="43" t="s">
        <v>179</v>
      </c>
      <c r="D420" s="42">
        <v>4</v>
      </c>
      <c r="E420" s="41">
        <v>1.7641351327511687E-4</v>
      </c>
    </row>
    <row r="421" spans="2:5" ht="15" customHeight="1">
      <c r="B421" s="94"/>
      <c r="C421" s="40" t="s">
        <v>20</v>
      </c>
      <c r="D421" s="39">
        <v>147</v>
      </c>
      <c r="E421" s="38">
        <v>6.4831966128605454E-3</v>
      </c>
    </row>
    <row r="422" spans="2:5" ht="15" customHeight="1">
      <c r="B422" s="92" t="s">
        <v>88</v>
      </c>
      <c r="C422" s="43" t="s">
        <v>198</v>
      </c>
      <c r="D422" s="42">
        <v>2</v>
      </c>
      <c r="E422" s="41">
        <v>8.8206756637558437E-5</v>
      </c>
    </row>
    <row r="423" spans="2:5" ht="15" customHeight="1">
      <c r="B423" s="93"/>
      <c r="C423" s="43" t="s">
        <v>197</v>
      </c>
      <c r="D423" s="42">
        <v>1</v>
      </c>
      <c r="E423" s="41">
        <v>4.4103378318779218E-5</v>
      </c>
    </row>
    <row r="424" spans="2:5" ht="15" customHeight="1">
      <c r="B424" s="93"/>
      <c r="C424" s="43" t="s">
        <v>196</v>
      </c>
      <c r="D424" s="42">
        <v>1</v>
      </c>
      <c r="E424" s="41">
        <v>4.4103378318779218E-5</v>
      </c>
    </row>
    <row r="425" spans="2:5" ht="15" customHeight="1">
      <c r="B425" s="93"/>
      <c r="C425" s="43" t="s">
        <v>195</v>
      </c>
      <c r="D425" s="42">
        <v>5</v>
      </c>
      <c r="E425" s="41">
        <v>2.205168915938961E-4</v>
      </c>
    </row>
    <row r="426" spans="2:5" ht="15" customHeight="1">
      <c r="B426" s="93"/>
      <c r="C426" s="43" t="s">
        <v>194</v>
      </c>
      <c r="D426" s="42">
        <v>5</v>
      </c>
      <c r="E426" s="41">
        <v>2.205168915938961E-4</v>
      </c>
    </row>
    <row r="427" spans="2:5" ht="15" customHeight="1">
      <c r="B427" s="93"/>
      <c r="C427" s="43" t="s">
        <v>193</v>
      </c>
      <c r="D427" s="42">
        <v>20</v>
      </c>
      <c r="E427" s="41">
        <v>8.820675663755844E-4</v>
      </c>
    </row>
    <row r="428" spans="2:5" ht="15" customHeight="1">
      <c r="B428" s="93"/>
      <c r="C428" s="43" t="s">
        <v>192</v>
      </c>
      <c r="D428" s="42">
        <v>31</v>
      </c>
      <c r="E428" s="41">
        <v>1.3672047278821557E-3</v>
      </c>
    </row>
    <row r="429" spans="2:5" ht="15" customHeight="1">
      <c r="B429" s="93"/>
      <c r="C429" s="43" t="s">
        <v>191</v>
      </c>
      <c r="D429" s="42">
        <v>6</v>
      </c>
      <c r="E429" s="41">
        <v>2.646202699126753E-4</v>
      </c>
    </row>
    <row r="430" spans="2:5" ht="15" customHeight="1">
      <c r="B430" s="93"/>
      <c r="C430" s="43" t="s">
        <v>190</v>
      </c>
      <c r="D430" s="42">
        <v>3</v>
      </c>
      <c r="E430" s="41">
        <v>1.3231013495633765E-4</v>
      </c>
    </row>
    <row r="431" spans="2:5" ht="15" customHeight="1">
      <c r="B431" s="93"/>
      <c r="C431" s="43" t="s">
        <v>189</v>
      </c>
      <c r="D431" s="42">
        <v>12</v>
      </c>
      <c r="E431" s="41">
        <v>5.2924053982535059E-4</v>
      </c>
    </row>
    <row r="432" spans="2:5" ht="15" customHeight="1">
      <c r="B432" s="93"/>
      <c r="C432" s="43" t="s">
        <v>188</v>
      </c>
      <c r="D432" s="42">
        <v>42</v>
      </c>
      <c r="E432" s="41">
        <v>1.8523418893887271E-3</v>
      </c>
    </row>
    <row r="433" spans="2:5" ht="15" customHeight="1">
      <c r="B433" s="93"/>
      <c r="C433" s="43" t="s">
        <v>187</v>
      </c>
      <c r="D433" s="42">
        <v>1</v>
      </c>
      <c r="E433" s="41">
        <v>4.4103378318779218E-5</v>
      </c>
    </row>
    <row r="434" spans="2:5" ht="15" customHeight="1">
      <c r="B434" s="93"/>
      <c r="C434" s="43" t="s">
        <v>186</v>
      </c>
      <c r="D434" s="42">
        <v>3</v>
      </c>
      <c r="E434" s="41">
        <v>1.3231013495633765E-4</v>
      </c>
    </row>
    <row r="435" spans="2:5" ht="15" customHeight="1">
      <c r="B435" s="93"/>
      <c r="C435" s="43" t="s">
        <v>185</v>
      </c>
      <c r="D435" s="42">
        <v>10</v>
      </c>
      <c r="E435" s="41">
        <v>4.410337831877922E-4</v>
      </c>
    </row>
    <row r="436" spans="2:5" ht="15" customHeight="1">
      <c r="B436" s="93"/>
      <c r="C436" s="43" t="s">
        <v>183</v>
      </c>
      <c r="D436" s="42">
        <v>1</v>
      </c>
      <c r="E436" s="41">
        <v>4.4103378318779218E-5</v>
      </c>
    </row>
    <row r="437" spans="2:5" ht="15" customHeight="1">
      <c r="B437" s="93"/>
      <c r="C437" s="43" t="s">
        <v>179</v>
      </c>
      <c r="D437" s="42">
        <v>1</v>
      </c>
      <c r="E437" s="41">
        <v>4.4103378318779218E-5</v>
      </c>
    </row>
    <row r="438" spans="2:5" ht="15" customHeight="1">
      <c r="B438" s="94"/>
      <c r="C438" s="40" t="s">
        <v>20</v>
      </c>
      <c r="D438" s="39">
        <v>144</v>
      </c>
      <c r="E438" s="38">
        <v>6.3508864779042076E-3</v>
      </c>
    </row>
    <row r="439" spans="2:5" ht="15" customHeight="1">
      <c r="B439" s="92" t="s">
        <v>87</v>
      </c>
      <c r="C439" s="43" t="s">
        <v>199</v>
      </c>
      <c r="D439" s="42">
        <v>3</v>
      </c>
      <c r="E439" s="41">
        <v>1.3231013495633765E-4</v>
      </c>
    </row>
    <row r="440" spans="2:5" ht="15" customHeight="1">
      <c r="B440" s="93"/>
      <c r="C440" s="43" t="s">
        <v>198</v>
      </c>
      <c r="D440" s="42">
        <v>1</v>
      </c>
      <c r="E440" s="41">
        <v>4.4103378318779218E-5</v>
      </c>
    </row>
    <row r="441" spans="2:5" ht="15" customHeight="1">
      <c r="B441" s="93"/>
      <c r="C441" s="43" t="s">
        <v>197</v>
      </c>
      <c r="D441" s="42">
        <v>5</v>
      </c>
      <c r="E441" s="41">
        <v>2.205168915938961E-4</v>
      </c>
    </row>
    <row r="442" spans="2:5" ht="15" customHeight="1">
      <c r="B442" s="93"/>
      <c r="C442" s="43" t="s">
        <v>196</v>
      </c>
      <c r="D442" s="42">
        <v>3</v>
      </c>
      <c r="E442" s="41">
        <v>1.3231013495633765E-4</v>
      </c>
    </row>
    <row r="443" spans="2:5" ht="15" customHeight="1">
      <c r="B443" s="93"/>
      <c r="C443" s="43" t="s">
        <v>195</v>
      </c>
      <c r="D443" s="42">
        <v>8</v>
      </c>
      <c r="E443" s="41">
        <v>3.5282702655023375E-4</v>
      </c>
    </row>
    <row r="444" spans="2:5" ht="15" customHeight="1">
      <c r="B444" s="93"/>
      <c r="C444" s="43" t="s">
        <v>194</v>
      </c>
      <c r="D444" s="42">
        <v>7</v>
      </c>
      <c r="E444" s="41">
        <v>3.0872364823145452E-4</v>
      </c>
    </row>
    <row r="445" spans="2:5" ht="15" customHeight="1">
      <c r="B445" s="93"/>
      <c r="C445" s="43" t="s">
        <v>193</v>
      </c>
      <c r="D445" s="42">
        <v>20</v>
      </c>
      <c r="E445" s="41">
        <v>8.820675663755844E-4</v>
      </c>
    </row>
    <row r="446" spans="2:5" ht="15" customHeight="1">
      <c r="B446" s="93"/>
      <c r="C446" s="43" t="s">
        <v>192</v>
      </c>
      <c r="D446" s="42">
        <v>100</v>
      </c>
      <c r="E446" s="41">
        <v>4.4103378318779219E-3</v>
      </c>
    </row>
    <row r="447" spans="2:5" ht="15" customHeight="1">
      <c r="B447" s="93"/>
      <c r="C447" s="43" t="s">
        <v>191</v>
      </c>
      <c r="D447" s="42">
        <v>5</v>
      </c>
      <c r="E447" s="41">
        <v>2.205168915938961E-4</v>
      </c>
    </row>
    <row r="448" spans="2:5" ht="15" customHeight="1">
      <c r="B448" s="93"/>
      <c r="C448" s="43" t="s">
        <v>190</v>
      </c>
      <c r="D448" s="42">
        <v>11</v>
      </c>
      <c r="E448" s="41">
        <v>4.8513716150657142E-4</v>
      </c>
    </row>
    <row r="449" spans="2:5" ht="15" customHeight="1">
      <c r="B449" s="93"/>
      <c r="C449" s="43" t="s">
        <v>189</v>
      </c>
      <c r="D449" s="42">
        <v>9</v>
      </c>
      <c r="E449" s="41">
        <v>3.9693040486901297E-4</v>
      </c>
    </row>
    <row r="450" spans="2:5" ht="15" customHeight="1">
      <c r="B450" s="93"/>
      <c r="C450" s="43" t="s">
        <v>188</v>
      </c>
      <c r="D450" s="42">
        <v>139</v>
      </c>
      <c r="E450" s="41">
        <v>6.1303695863103112E-3</v>
      </c>
    </row>
    <row r="451" spans="2:5" ht="15" customHeight="1">
      <c r="B451" s="93"/>
      <c r="C451" s="43" t="s">
        <v>187</v>
      </c>
      <c r="D451" s="42">
        <v>2</v>
      </c>
      <c r="E451" s="41">
        <v>8.8206756637558437E-5</v>
      </c>
    </row>
    <row r="452" spans="2:5" ht="15" customHeight="1">
      <c r="B452" s="93"/>
      <c r="C452" s="43" t="s">
        <v>186</v>
      </c>
      <c r="D452" s="42">
        <v>15</v>
      </c>
      <c r="E452" s="41">
        <v>6.6155067478168832E-4</v>
      </c>
    </row>
    <row r="453" spans="2:5" ht="15" customHeight="1">
      <c r="B453" s="93"/>
      <c r="C453" s="43" t="s">
        <v>185</v>
      </c>
      <c r="D453" s="42">
        <v>62</v>
      </c>
      <c r="E453" s="41">
        <v>2.7344094557643114E-3</v>
      </c>
    </row>
    <row r="454" spans="2:5" ht="15" customHeight="1">
      <c r="B454" s="93"/>
      <c r="C454" s="43" t="s">
        <v>184</v>
      </c>
      <c r="D454" s="42">
        <v>1</v>
      </c>
      <c r="E454" s="41">
        <v>4.4103378318779218E-5</v>
      </c>
    </row>
    <row r="455" spans="2:5" ht="15" customHeight="1">
      <c r="B455" s="93"/>
      <c r="C455" s="43" t="s">
        <v>183</v>
      </c>
      <c r="D455" s="42">
        <v>1</v>
      </c>
      <c r="E455" s="41">
        <v>4.4103378318779218E-5</v>
      </c>
    </row>
    <row r="456" spans="2:5" ht="15" customHeight="1">
      <c r="B456" s="93"/>
      <c r="C456" s="43" t="s">
        <v>180</v>
      </c>
      <c r="D456" s="42">
        <v>2</v>
      </c>
      <c r="E456" s="41">
        <v>8.8206756637558437E-5</v>
      </c>
    </row>
    <row r="457" spans="2:5" ht="15" customHeight="1">
      <c r="B457" s="93"/>
      <c r="C457" s="43" t="s">
        <v>179</v>
      </c>
      <c r="D457" s="42">
        <v>4</v>
      </c>
      <c r="E457" s="41">
        <v>1.7641351327511687E-4</v>
      </c>
    </row>
    <row r="458" spans="2:5" ht="15" customHeight="1">
      <c r="B458" s="93"/>
      <c r="C458" s="43" t="s">
        <v>177</v>
      </c>
      <c r="D458" s="42">
        <v>1</v>
      </c>
      <c r="E458" s="41">
        <v>4.4103378318779218E-5</v>
      </c>
    </row>
    <row r="459" spans="2:5" ht="15" customHeight="1">
      <c r="B459" s="94"/>
      <c r="C459" s="40" t="s">
        <v>20</v>
      </c>
      <c r="D459" s="39">
        <v>399</v>
      </c>
      <c r="E459" s="38">
        <v>1.7597247949192908E-2</v>
      </c>
    </row>
    <row r="460" spans="2:5" ht="15" customHeight="1">
      <c r="B460" s="92" t="s">
        <v>68</v>
      </c>
      <c r="C460" s="43" t="s">
        <v>186</v>
      </c>
      <c r="D460" s="42">
        <v>1</v>
      </c>
      <c r="E460" s="41">
        <v>4.4103378318779218E-5</v>
      </c>
    </row>
    <row r="461" spans="2:5" ht="15" customHeight="1">
      <c r="B461" s="93"/>
      <c r="C461" s="43" t="s">
        <v>185</v>
      </c>
      <c r="D461" s="42">
        <v>1</v>
      </c>
      <c r="E461" s="41">
        <v>4.4103378318779218E-5</v>
      </c>
    </row>
    <row r="462" spans="2:5" ht="15" customHeight="1">
      <c r="B462" s="94"/>
      <c r="C462" s="40" t="s">
        <v>20</v>
      </c>
      <c r="D462" s="39">
        <v>2</v>
      </c>
      <c r="E462" s="38">
        <v>8.8206756637558437E-5</v>
      </c>
    </row>
    <row r="463" spans="2:5" ht="15" customHeight="1">
      <c r="B463" s="92" t="s">
        <v>80</v>
      </c>
      <c r="C463" s="43" t="s">
        <v>199</v>
      </c>
      <c r="D463" s="42">
        <v>1</v>
      </c>
      <c r="E463" s="41">
        <v>4.4103378318779218E-5</v>
      </c>
    </row>
    <row r="464" spans="2:5" ht="15" customHeight="1">
      <c r="B464" s="93"/>
      <c r="C464" s="43" t="s">
        <v>198</v>
      </c>
      <c r="D464" s="42">
        <v>2</v>
      </c>
      <c r="E464" s="41">
        <v>8.8206756637558437E-5</v>
      </c>
    </row>
    <row r="465" spans="2:5" ht="15" customHeight="1">
      <c r="B465" s="93"/>
      <c r="C465" s="43" t="s">
        <v>197</v>
      </c>
      <c r="D465" s="42">
        <v>1</v>
      </c>
      <c r="E465" s="41">
        <v>4.4103378318779218E-5</v>
      </c>
    </row>
    <row r="466" spans="2:5" ht="15" customHeight="1">
      <c r="B466" s="93"/>
      <c r="C466" s="43" t="s">
        <v>196</v>
      </c>
      <c r="D466" s="42">
        <v>5</v>
      </c>
      <c r="E466" s="41">
        <v>2.205168915938961E-4</v>
      </c>
    </row>
    <row r="467" spans="2:5" ht="15" customHeight="1">
      <c r="B467" s="93"/>
      <c r="C467" s="43" t="s">
        <v>195</v>
      </c>
      <c r="D467" s="42">
        <v>4</v>
      </c>
      <c r="E467" s="41">
        <v>1.7641351327511687E-4</v>
      </c>
    </row>
    <row r="468" spans="2:5" ht="15" customHeight="1">
      <c r="B468" s="93"/>
      <c r="C468" s="43" t="s">
        <v>194</v>
      </c>
      <c r="D468" s="42">
        <v>9</v>
      </c>
      <c r="E468" s="41">
        <v>3.9693040486901297E-4</v>
      </c>
    </row>
    <row r="469" spans="2:5" ht="15" customHeight="1">
      <c r="B469" s="93"/>
      <c r="C469" s="43" t="s">
        <v>193</v>
      </c>
      <c r="D469" s="42">
        <v>20</v>
      </c>
      <c r="E469" s="41">
        <v>8.820675663755844E-4</v>
      </c>
    </row>
    <row r="470" spans="2:5" ht="15" customHeight="1">
      <c r="B470" s="93"/>
      <c r="C470" s="43" t="s">
        <v>192</v>
      </c>
      <c r="D470" s="42">
        <v>36</v>
      </c>
      <c r="E470" s="41">
        <v>1.5877216194760519E-3</v>
      </c>
    </row>
    <row r="471" spans="2:5" ht="15" customHeight="1">
      <c r="B471" s="93"/>
      <c r="C471" s="43" t="s">
        <v>191</v>
      </c>
      <c r="D471" s="42">
        <v>2</v>
      </c>
      <c r="E471" s="41">
        <v>8.8206756637558437E-5</v>
      </c>
    </row>
    <row r="472" spans="2:5" ht="15" customHeight="1">
      <c r="B472" s="93"/>
      <c r="C472" s="43" t="s">
        <v>190</v>
      </c>
      <c r="D472" s="42">
        <v>8</v>
      </c>
      <c r="E472" s="41">
        <v>3.5282702655023375E-4</v>
      </c>
    </row>
    <row r="473" spans="2:5" ht="15" customHeight="1">
      <c r="B473" s="93"/>
      <c r="C473" s="43" t="s">
        <v>189</v>
      </c>
      <c r="D473" s="42">
        <v>11</v>
      </c>
      <c r="E473" s="41">
        <v>4.8513716150657142E-4</v>
      </c>
    </row>
    <row r="474" spans="2:5" ht="15" customHeight="1">
      <c r="B474" s="93"/>
      <c r="C474" s="43" t="s">
        <v>188</v>
      </c>
      <c r="D474" s="42">
        <v>92</v>
      </c>
      <c r="E474" s="41">
        <v>4.0575108053276885E-3</v>
      </c>
    </row>
    <row r="475" spans="2:5" ht="15" customHeight="1">
      <c r="B475" s="93"/>
      <c r="C475" s="43" t="s">
        <v>187</v>
      </c>
      <c r="D475" s="42">
        <v>1</v>
      </c>
      <c r="E475" s="41">
        <v>4.4103378318779218E-5</v>
      </c>
    </row>
    <row r="476" spans="2:5" ht="15" customHeight="1">
      <c r="B476" s="93"/>
      <c r="C476" s="43" t="s">
        <v>186</v>
      </c>
      <c r="D476" s="42">
        <v>15</v>
      </c>
      <c r="E476" s="41">
        <v>6.6155067478168832E-4</v>
      </c>
    </row>
    <row r="477" spans="2:5" ht="15" customHeight="1">
      <c r="B477" s="93"/>
      <c r="C477" s="43" t="s">
        <v>185</v>
      </c>
      <c r="D477" s="42">
        <v>36</v>
      </c>
      <c r="E477" s="41">
        <v>1.5877216194760519E-3</v>
      </c>
    </row>
    <row r="478" spans="2:5" ht="15" customHeight="1">
      <c r="B478" s="93"/>
      <c r="C478" s="43" t="s">
        <v>180</v>
      </c>
      <c r="D478" s="42">
        <v>2</v>
      </c>
      <c r="E478" s="41">
        <v>8.8206756637558437E-5</v>
      </c>
    </row>
    <row r="479" spans="2:5" ht="15" customHeight="1">
      <c r="B479" s="93"/>
      <c r="C479" s="43" t="s">
        <v>179</v>
      </c>
      <c r="D479" s="42">
        <v>5</v>
      </c>
      <c r="E479" s="41">
        <v>2.205168915938961E-4</v>
      </c>
    </row>
    <row r="480" spans="2:5" ht="15" customHeight="1">
      <c r="B480" s="94"/>
      <c r="C480" s="40" t="s">
        <v>20</v>
      </c>
      <c r="D480" s="39">
        <v>250</v>
      </c>
      <c r="E480" s="38">
        <v>1.1025844579694804E-2</v>
      </c>
    </row>
    <row r="481" spans="2:5" ht="15" customHeight="1">
      <c r="B481" s="92" t="s">
        <v>109</v>
      </c>
      <c r="C481" s="43" t="s">
        <v>199</v>
      </c>
      <c r="D481" s="42">
        <v>2</v>
      </c>
      <c r="E481" s="41">
        <v>8.8206756637558437E-5</v>
      </c>
    </row>
    <row r="482" spans="2:5" ht="15" customHeight="1">
      <c r="B482" s="93"/>
      <c r="C482" s="43" t="s">
        <v>198</v>
      </c>
      <c r="D482" s="42">
        <v>1</v>
      </c>
      <c r="E482" s="41">
        <v>4.4103378318779218E-5</v>
      </c>
    </row>
    <row r="483" spans="2:5" ht="15" customHeight="1">
      <c r="B483" s="93"/>
      <c r="C483" s="43" t="s">
        <v>195</v>
      </c>
      <c r="D483" s="42">
        <v>1</v>
      </c>
      <c r="E483" s="41">
        <v>4.4103378318779218E-5</v>
      </c>
    </row>
    <row r="484" spans="2:5" ht="15" customHeight="1">
      <c r="B484" s="93"/>
      <c r="C484" s="43" t="s">
        <v>194</v>
      </c>
      <c r="D484" s="42">
        <v>3</v>
      </c>
      <c r="E484" s="41">
        <v>1.3231013495633765E-4</v>
      </c>
    </row>
    <row r="485" spans="2:5" ht="15" customHeight="1">
      <c r="B485" s="93"/>
      <c r="C485" s="43" t="s">
        <v>193</v>
      </c>
      <c r="D485" s="42">
        <v>1</v>
      </c>
      <c r="E485" s="41">
        <v>4.4103378318779218E-5</v>
      </c>
    </row>
    <row r="486" spans="2:5" ht="15" customHeight="1">
      <c r="B486" s="93"/>
      <c r="C486" s="43" t="s">
        <v>192</v>
      </c>
      <c r="D486" s="42">
        <v>5</v>
      </c>
      <c r="E486" s="41">
        <v>2.205168915938961E-4</v>
      </c>
    </row>
    <row r="487" spans="2:5" ht="15" customHeight="1">
      <c r="B487" s="93"/>
      <c r="C487" s="43" t="s">
        <v>190</v>
      </c>
      <c r="D487" s="42">
        <v>2</v>
      </c>
      <c r="E487" s="41">
        <v>8.8206756637558437E-5</v>
      </c>
    </row>
    <row r="488" spans="2:5" ht="15" customHeight="1">
      <c r="B488" s="93"/>
      <c r="C488" s="43" t="s">
        <v>189</v>
      </c>
      <c r="D488" s="42">
        <v>2</v>
      </c>
      <c r="E488" s="41">
        <v>8.8206756637558437E-5</v>
      </c>
    </row>
    <row r="489" spans="2:5" ht="15" customHeight="1">
      <c r="B489" s="93"/>
      <c r="C489" s="43" t="s">
        <v>188</v>
      </c>
      <c r="D489" s="42">
        <v>14</v>
      </c>
      <c r="E489" s="41">
        <v>6.1744729646290904E-4</v>
      </c>
    </row>
    <row r="490" spans="2:5" ht="15" customHeight="1">
      <c r="B490" s="93"/>
      <c r="C490" s="43" t="s">
        <v>187</v>
      </c>
      <c r="D490" s="42">
        <v>1</v>
      </c>
      <c r="E490" s="41">
        <v>4.4103378318779218E-5</v>
      </c>
    </row>
    <row r="491" spans="2:5" ht="15" customHeight="1">
      <c r="B491" s="93"/>
      <c r="C491" s="43" t="s">
        <v>186</v>
      </c>
      <c r="D491" s="42">
        <v>2</v>
      </c>
      <c r="E491" s="41">
        <v>8.8206756637558437E-5</v>
      </c>
    </row>
    <row r="492" spans="2:5" ht="15" customHeight="1">
      <c r="B492" s="93"/>
      <c r="C492" s="43" t="s">
        <v>185</v>
      </c>
      <c r="D492" s="42">
        <v>4</v>
      </c>
      <c r="E492" s="41">
        <v>1.7641351327511687E-4</v>
      </c>
    </row>
    <row r="493" spans="2:5" ht="15" customHeight="1">
      <c r="B493" s="93"/>
      <c r="C493" s="43" t="s">
        <v>180</v>
      </c>
      <c r="D493" s="42">
        <v>1</v>
      </c>
      <c r="E493" s="41">
        <v>4.4103378318779218E-5</v>
      </c>
    </row>
    <row r="494" spans="2:5" ht="15" customHeight="1">
      <c r="B494" s="93"/>
      <c r="C494" s="43" t="s">
        <v>179</v>
      </c>
      <c r="D494" s="42">
        <v>4</v>
      </c>
      <c r="E494" s="41">
        <v>1.7641351327511687E-4</v>
      </c>
    </row>
    <row r="495" spans="2:5" ht="15" customHeight="1">
      <c r="B495" s="94"/>
      <c r="C495" s="40" t="s">
        <v>20</v>
      </c>
      <c r="D495" s="39">
        <v>43</v>
      </c>
      <c r="E495" s="38">
        <v>1.8964452677075064E-3</v>
      </c>
    </row>
    <row r="496" spans="2:5" ht="15" customHeight="1">
      <c r="B496" s="92" t="s">
        <v>82</v>
      </c>
      <c r="C496" s="43" t="s">
        <v>199</v>
      </c>
      <c r="D496" s="42">
        <v>2</v>
      </c>
      <c r="E496" s="41">
        <v>8.8206756637558437E-5</v>
      </c>
    </row>
    <row r="497" spans="2:5" ht="15" customHeight="1">
      <c r="B497" s="93"/>
      <c r="C497" s="43" t="s">
        <v>198</v>
      </c>
      <c r="D497" s="42">
        <v>3</v>
      </c>
      <c r="E497" s="41">
        <v>1.3231013495633765E-4</v>
      </c>
    </row>
    <row r="498" spans="2:5" ht="15" customHeight="1">
      <c r="B498" s="93"/>
      <c r="C498" s="43" t="s">
        <v>197</v>
      </c>
      <c r="D498" s="42">
        <v>1</v>
      </c>
      <c r="E498" s="41">
        <v>4.4103378318779218E-5</v>
      </c>
    </row>
    <row r="499" spans="2:5" ht="15" customHeight="1">
      <c r="B499" s="93"/>
      <c r="C499" s="43" t="s">
        <v>196</v>
      </c>
      <c r="D499" s="42">
        <v>10</v>
      </c>
      <c r="E499" s="41">
        <v>4.410337831877922E-4</v>
      </c>
    </row>
    <row r="500" spans="2:5" ht="15" customHeight="1">
      <c r="B500" s="93"/>
      <c r="C500" s="43" t="s">
        <v>195</v>
      </c>
      <c r="D500" s="42">
        <v>6</v>
      </c>
      <c r="E500" s="41">
        <v>2.646202699126753E-4</v>
      </c>
    </row>
    <row r="501" spans="2:5" ht="15" customHeight="1">
      <c r="B501" s="93"/>
      <c r="C501" s="43" t="s">
        <v>194</v>
      </c>
      <c r="D501" s="42">
        <v>6</v>
      </c>
      <c r="E501" s="41">
        <v>2.646202699126753E-4</v>
      </c>
    </row>
    <row r="502" spans="2:5" ht="15" customHeight="1">
      <c r="B502" s="93"/>
      <c r="C502" s="43" t="s">
        <v>193</v>
      </c>
      <c r="D502" s="42">
        <v>39</v>
      </c>
      <c r="E502" s="41">
        <v>1.7200317544323895E-3</v>
      </c>
    </row>
    <row r="503" spans="2:5" ht="15" customHeight="1">
      <c r="B503" s="93"/>
      <c r="C503" s="43" t="s">
        <v>192</v>
      </c>
      <c r="D503" s="42">
        <v>44</v>
      </c>
      <c r="E503" s="41">
        <v>1.9405486460262857E-3</v>
      </c>
    </row>
    <row r="504" spans="2:5" ht="15" customHeight="1">
      <c r="B504" s="93"/>
      <c r="C504" s="43" t="s">
        <v>191</v>
      </c>
      <c r="D504" s="42">
        <v>4</v>
      </c>
      <c r="E504" s="41">
        <v>1.7641351327511687E-4</v>
      </c>
    </row>
    <row r="505" spans="2:5" ht="15" customHeight="1">
      <c r="B505" s="93"/>
      <c r="C505" s="43" t="s">
        <v>190</v>
      </c>
      <c r="D505" s="42">
        <v>8</v>
      </c>
      <c r="E505" s="41">
        <v>3.5282702655023375E-4</v>
      </c>
    </row>
    <row r="506" spans="2:5" ht="15" customHeight="1">
      <c r="B506" s="93"/>
      <c r="C506" s="43" t="s">
        <v>189</v>
      </c>
      <c r="D506" s="42">
        <v>15</v>
      </c>
      <c r="E506" s="41">
        <v>6.6155067478168832E-4</v>
      </c>
    </row>
    <row r="507" spans="2:5" ht="15" customHeight="1">
      <c r="B507" s="93"/>
      <c r="C507" s="43" t="s">
        <v>188</v>
      </c>
      <c r="D507" s="42">
        <v>80</v>
      </c>
      <c r="E507" s="41">
        <v>3.5282702655023376E-3</v>
      </c>
    </row>
    <row r="508" spans="2:5" ht="15" customHeight="1">
      <c r="B508" s="93"/>
      <c r="C508" s="43" t="s">
        <v>187</v>
      </c>
      <c r="D508" s="42">
        <v>2</v>
      </c>
      <c r="E508" s="41">
        <v>8.8206756637558437E-5</v>
      </c>
    </row>
    <row r="509" spans="2:5" ht="15" customHeight="1">
      <c r="B509" s="93"/>
      <c r="C509" s="43" t="s">
        <v>186</v>
      </c>
      <c r="D509" s="42">
        <v>14</v>
      </c>
      <c r="E509" s="41">
        <v>6.1744729646290904E-4</v>
      </c>
    </row>
    <row r="510" spans="2:5" ht="15" customHeight="1">
      <c r="B510" s="93"/>
      <c r="C510" s="43" t="s">
        <v>185</v>
      </c>
      <c r="D510" s="42">
        <v>47</v>
      </c>
      <c r="E510" s="41">
        <v>2.0728587809826231E-3</v>
      </c>
    </row>
    <row r="511" spans="2:5" ht="15" customHeight="1">
      <c r="B511" s="93"/>
      <c r="C511" s="43" t="s">
        <v>183</v>
      </c>
      <c r="D511" s="42">
        <v>2</v>
      </c>
      <c r="E511" s="41">
        <v>8.8206756637558437E-5</v>
      </c>
    </row>
    <row r="512" spans="2:5" ht="15" customHeight="1">
      <c r="B512" s="93"/>
      <c r="C512" s="43" t="s">
        <v>182</v>
      </c>
      <c r="D512" s="42">
        <v>5</v>
      </c>
      <c r="E512" s="41">
        <v>2.205168915938961E-4</v>
      </c>
    </row>
    <row r="513" spans="2:5" ht="15" customHeight="1">
      <c r="B513" s="93"/>
      <c r="C513" s="43" t="s">
        <v>180</v>
      </c>
      <c r="D513" s="42">
        <v>4</v>
      </c>
      <c r="E513" s="41">
        <v>1.7641351327511687E-4</v>
      </c>
    </row>
    <row r="514" spans="2:5" ht="15" customHeight="1">
      <c r="B514" s="93"/>
      <c r="C514" s="43" t="s">
        <v>179</v>
      </c>
      <c r="D514" s="42">
        <v>6</v>
      </c>
      <c r="E514" s="41">
        <v>2.646202699126753E-4</v>
      </c>
    </row>
    <row r="515" spans="2:5" ht="15" customHeight="1">
      <c r="B515" s="93"/>
      <c r="C515" s="43" t="s">
        <v>204</v>
      </c>
      <c r="D515" s="42">
        <v>1</v>
      </c>
      <c r="E515" s="41">
        <v>4.4103378318779218E-5</v>
      </c>
    </row>
    <row r="516" spans="2:5" ht="15" customHeight="1">
      <c r="B516" s="93"/>
      <c r="C516" s="43" t="s">
        <v>177</v>
      </c>
      <c r="D516" s="42">
        <v>2</v>
      </c>
      <c r="E516" s="41">
        <v>8.8206756637558437E-5</v>
      </c>
    </row>
    <row r="517" spans="2:5" ht="15" customHeight="1">
      <c r="B517" s="94"/>
      <c r="C517" s="40" t="s">
        <v>20</v>
      </c>
      <c r="D517" s="39">
        <v>301</v>
      </c>
      <c r="E517" s="38">
        <v>1.3275116873952544E-2</v>
      </c>
    </row>
    <row r="518" spans="2:5" ht="15" customHeight="1">
      <c r="B518" s="92" t="s">
        <v>101</v>
      </c>
      <c r="C518" s="43" t="s">
        <v>199</v>
      </c>
      <c r="D518" s="42">
        <v>4</v>
      </c>
      <c r="E518" s="41">
        <v>1.7641351327511687E-4</v>
      </c>
    </row>
    <row r="519" spans="2:5" ht="15" customHeight="1">
      <c r="B519" s="93"/>
      <c r="C519" s="43" t="s">
        <v>198</v>
      </c>
      <c r="D519" s="42">
        <v>2</v>
      </c>
      <c r="E519" s="41">
        <v>8.8206756637558437E-5</v>
      </c>
    </row>
    <row r="520" spans="2:5" ht="15" customHeight="1">
      <c r="B520" s="93"/>
      <c r="C520" s="43" t="s">
        <v>196</v>
      </c>
      <c r="D520" s="42">
        <v>6</v>
      </c>
      <c r="E520" s="41">
        <v>2.646202699126753E-4</v>
      </c>
    </row>
    <row r="521" spans="2:5" ht="15" customHeight="1">
      <c r="B521" s="93"/>
      <c r="C521" s="43" t="s">
        <v>195</v>
      </c>
      <c r="D521" s="42">
        <v>5</v>
      </c>
      <c r="E521" s="41">
        <v>2.205168915938961E-4</v>
      </c>
    </row>
    <row r="522" spans="2:5" ht="15" customHeight="1">
      <c r="B522" s="93"/>
      <c r="C522" s="43" t="s">
        <v>194</v>
      </c>
      <c r="D522" s="42">
        <v>4</v>
      </c>
      <c r="E522" s="41">
        <v>1.7641351327511687E-4</v>
      </c>
    </row>
    <row r="523" spans="2:5" ht="15" customHeight="1">
      <c r="B523" s="93"/>
      <c r="C523" s="43" t="s">
        <v>193</v>
      </c>
      <c r="D523" s="42">
        <v>18</v>
      </c>
      <c r="E523" s="41">
        <v>7.9386080973802594E-4</v>
      </c>
    </row>
    <row r="524" spans="2:5" ht="15" customHeight="1">
      <c r="B524" s="93"/>
      <c r="C524" s="43" t="s">
        <v>192</v>
      </c>
      <c r="D524" s="42">
        <v>45</v>
      </c>
      <c r="E524" s="41">
        <v>1.984652024345065E-3</v>
      </c>
    </row>
    <row r="525" spans="2:5" ht="15" customHeight="1">
      <c r="B525" s="93"/>
      <c r="C525" s="43" t="s">
        <v>191</v>
      </c>
      <c r="D525" s="42">
        <v>4</v>
      </c>
      <c r="E525" s="41">
        <v>1.7641351327511687E-4</v>
      </c>
    </row>
    <row r="526" spans="2:5" ht="15" customHeight="1">
      <c r="B526" s="93"/>
      <c r="C526" s="43" t="s">
        <v>190</v>
      </c>
      <c r="D526" s="42">
        <v>12</v>
      </c>
      <c r="E526" s="41">
        <v>5.2924053982535059E-4</v>
      </c>
    </row>
    <row r="527" spans="2:5" ht="15" customHeight="1">
      <c r="B527" s="93"/>
      <c r="C527" s="43" t="s">
        <v>189</v>
      </c>
      <c r="D527" s="42">
        <v>4</v>
      </c>
      <c r="E527" s="41">
        <v>1.7641351327511687E-4</v>
      </c>
    </row>
    <row r="528" spans="2:5" ht="15" customHeight="1">
      <c r="B528" s="93"/>
      <c r="C528" s="43" t="s">
        <v>188</v>
      </c>
      <c r="D528" s="42">
        <v>57</v>
      </c>
      <c r="E528" s="41">
        <v>2.5138925641704155E-3</v>
      </c>
    </row>
    <row r="529" spans="2:5" ht="15" customHeight="1">
      <c r="B529" s="93"/>
      <c r="C529" s="43" t="s">
        <v>187</v>
      </c>
      <c r="D529" s="42">
        <v>4</v>
      </c>
      <c r="E529" s="41">
        <v>1.7641351327511687E-4</v>
      </c>
    </row>
    <row r="530" spans="2:5" ht="15" customHeight="1">
      <c r="B530" s="93"/>
      <c r="C530" s="43" t="s">
        <v>186</v>
      </c>
      <c r="D530" s="42">
        <v>13</v>
      </c>
      <c r="E530" s="41">
        <v>5.7334391814412987E-4</v>
      </c>
    </row>
    <row r="531" spans="2:5" ht="15" customHeight="1">
      <c r="B531" s="93"/>
      <c r="C531" s="43" t="s">
        <v>185</v>
      </c>
      <c r="D531" s="42">
        <v>17</v>
      </c>
      <c r="E531" s="41">
        <v>7.4975743141924667E-4</v>
      </c>
    </row>
    <row r="532" spans="2:5" ht="15" customHeight="1">
      <c r="B532" s="93"/>
      <c r="C532" s="43" t="s">
        <v>181</v>
      </c>
      <c r="D532" s="42">
        <v>3</v>
      </c>
      <c r="E532" s="41">
        <v>1.3231013495633765E-4</v>
      </c>
    </row>
    <row r="533" spans="2:5" ht="15" customHeight="1">
      <c r="B533" s="93"/>
      <c r="C533" s="43" t="s">
        <v>179</v>
      </c>
      <c r="D533" s="42">
        <v>3</v>
      </c>
      <c r="E533" s="41">
        <v>1.3231013495633765E-4</v>
      </c>
    </row>
    <row r="534" spans="2:5" ht="15" customHeight="1">
      <c r="B534" s="94"/>
      <c r="C534" s="40" t="s">
        <v>20</v>
      </c>
      <c r="D534" s="39">
        <v>201</v>
      </c>
      <c r="E534" s="38">
        <v>8.864779042074623E-3</v>
      </c>
    </row>
    <row r="535" spans="2:5" ht="15" customHeight="1">
      <c r="B535" s="92" t="s">
        <v>97</v>
      </c>
      <c r="C535" s="43" t="s">
        <v>199</v>
      </c>
      <c r="D535" s="42">
        <v>3</v>
      </c>
      <c r="E535" s="41">
        <v>1.3231013495633765E-4</v>
      </c>
    </row>
    <row r="536" spans="2:5" ht="15" customHeight="1">
      <c r="B536" s="93"/>
      <c r="C536" s="43" t="s">
        <v>198</v>
      </c>
      <c r="D536" s="42">
        <v>1</v>
      </c>
      <c r="E536" s="41">
        <v>4.4103378318779218E-5</v>
      </c>
    </row>
    <row r="537" spans="2:5" ht="15" customHeight="1">
      <c r="B537" s="93"/>
      <c r="C537" s="43" t="s">
        <v>197</v>
      </c>
      <c r="D537" s="42">
        <v>3</v>
      </c>
      <c r="E537" s="41">
        <v>1.3231013495633765E-4</v>
      </c>
    </row>
    <row r="538" spans="2:5" ht="15" customHeight="1">
      <c r="B538" s="93"/>
      <c r="C538" s="43" t="s">
        <v>196</v>
      </c>
      <c r="D538" s="42">
        <v>2</v>
      </c>
      <c r="E538" s="41">
        <v>8.8206756637558437E-5</v>
      </c>
    </row>
    <row r="539" spans="2:5" ht="15" customHeight="1">
      <c r="B539" s="93"/>
      <c r="C539" s="43" t="s">
        <v>195</v>
      </c>
      <c r="D539" s="42">
        <v>4</v>
      </c>
      <c r="E539" s="41">
        <v>1.7641351327511687E-4</v>
      </c>
    </row>
    <row r="540" spans="2:5" ht="15" customHeight="1">
      <c r="B540" s="93"/>
      <c r="C540" s="43" t="s">
        <v>194</v>
      </c>
      <c r="D540" s="42">
        <v>5</v>
      </c>
      <c r="E540" s="41">
        <v>2.205168915938961E-4</v>
      </c>
    </row>
    <row r="541" spans="2:5" ht="15" customHeight="1">
      <c r="B541" s="93"/>
      <c r="C541" s="43" t="s">
        <v>193</v>
      </c>
      <c r="D541" s="42">
        <v>19</v>
      </c>
      <c r="E541" s="41">
        <v>8.3796418805680512E-4</v>
      </c>
    </row>
    <row r="542" spans="2:5" ht="15" customHeight="1">
      <c r="B542" s="93"/>
      <c r="C542" s="43" t="s">
        <v>192</v>
      </c>
      <c r="D542" s="42">
        <v>29</v>
      </c>
      <c r="E542" s="41">
        <v>1.2789979712445974E-3</v>
      </c>
    </row>
    <row r="543" spans="2:5" ht="15" customHeight="1">
      <c r="B543" s="93"/>
      <c r="C543" s="43" t="s">
        <v>191</v>
      </c>
      <c r="D543" s="42">
        <v>9</v>
      </c>
      <c r="E543" s="41">
        <v>3.9693040486901297E-4</v>
      </c>
    </row>
    <row r="544" spans="2:5" ht="15" customHeight="1">
      <c r="B544" s="93"/>
      <c r="C544" s="43" t="s">
        <v>190</v>
      </c>
      <c r="D544" s="42">
        <v>5</v>
      </c>
      <c r="E544" s="41">
        <v>2.205168915938961E-4</v>
      </c>
    </row>
    <row r="545" spans="2:5" ht="15" customHeight="1">
      <c r="B545" s="93"/>
      <c r="C545" s="43" t="s">
        <v>189</v>
      </c>
      <c r="D545" s="42">
        <v>7</v>
      </c>
      <c r="E545" s="41">
        <v>3.0872364823145452E-4</v>
      </c>
    </row>
    <row r="546" spans="2:5" ht="15" customHeight="1">
      <c r="B546" s="93"/>
      <c r="C546" s="43" t="s">
        <v>188</v>
      </c>
      <c r="D546" s="42">
        <v>48</v>
      </c>
      <c r="E546" s="41">
        <v>2.1169621593014024E-3</v>
      </c>
    </row>
    <row r="547" spans="2:5" ht="15" customHeight="1">
      <c r="B547" s="93"/>
      <c r="C547" s="43" t="s">
        <v>187</v>
      </c>
      <c r="D547" s="42">
        <v>2</v>
      </c>
      <c r="E547" s="41">
        <v>8.8206756637558437E-5</v>
      </c>
    </row>
    <row r="548" spans="2:5" ht="15" customHeight="1">
      <c r="B548" s="93"/>
      <c r="C548" s="43" t="s">
        <v>186</v>
      </c>
      <c r="D548" s="42">
        <v>5</v>
      </c>
      <c r="E548" s="41">
        <v>2.205168915938961E-4</v>
      </c>
    </row>
    <row r="549" spans="2:5" ht="15" customHeight="1">
      <c r="B549" s="93"/>
      <c r="C549" s="43" t="s">
        <v>185</v>
      </c>
      <c r="D549" s="42">
        <v>22</v>
      </c>
      <c r="E549" s="41">
        <v>9.7027432301314285E-4</v>
      </c>
    </row>
    <row r="550" spans="2:5" ht="15" customHeight="1">
      <c r="B550" s="93"/>
      <c r="C550" s="43" t="s">
        <v>184</v>
      </c>
      <c r="D550" s="42">
        <v>2</v>
      </c>
      <c r="E550" s="41">
        <v>8.8206756637558437E-5</v>
      </c>
    </row>
    <row r="551" spans="2:5" ht="15" customHeight="1">
      <c r="B551" s="93"/>
      <c r="C551" s="43" t="s">
        <v>183</v>
      </c>
      <c r="D551" s="42">
        <v>1</v>
      </c>
      <c r="E551" s="41">
        <v>4.4103378318779218E-5</v>
      </c>
    </row>
    <row r="552" spans="2:5" ht="15" customHeight="1">
      <c r="B552" s="93"/>
      <c r="C552" s="43" t="s">
        <v>180</v>
      </c>
      <c r="D552" s="42">
        <v>5</v>
      </c>
      <c r="E552" s="41">
        <v>2.205168915938961E-4</v>
      </c>
    </row>
    <row r="553" spans="2:5" ht="15" customHeight="1">
      <c r="B553" s="93"/>
      <c r="C553" s="43" t="s">
        <v>179</v>
      </c>
      <c r="D553" s="42">
        <v>2</v>
      </c>
      <c r="E553" s="41">
        <v>8.8206756637558437E-5</v>
      </c>
    </row>
    <row r="554" spans="2:5" ht="15" customHeight="1">
      <c r="B554" s="94"/>
      <c r="C554" s="40" t="s">
        <v>20</v>
      </c>
      <c r="D554" s="39">
        <v>174</v>
      </c>
      <c r="E554" s="38">
        <v>7.6739878274675842E-3</v>
      </c>
    </row>
    <row r="555" spans="2:5" ht="15" customHeight="1">
      <c r="B555" s="92" t="s">
        <v>85</v>
      </c>
      <c r="C555" s="43" t="s">
        <v>199</v>
      </c>
      <c r="D555" s="42">
        <v>4</v>
      </c>
      <c r="E555" s="41">
        <v>1.7641351327511687E-4</v>
      </c>
    </row>
    <row r="556" spans="2:5" ht="15" customHeight="1">
      <c r="B556" s="93"/>
      <c r="C556" s="43" t="s">
        <v>198</v>
      </c>
      <c r="D556" s="42">
        <v>5</v>
      </c>
      <c r="E556" s="41">
        <v>2.205168915938961E-4</v>
      </c>
    </row>
    <row r="557" spans="2:5" ht="15" customHeight="1">
      <c r="B557" s="93"/>
      <c r="C557" s="43" t="s">
        <v>197</v>
      </c>
      <c r="D557" s="42">
        <v>8</v>
      </c>
      <c r="E557" s="41">
        <v>3.5282702655023375E-4</v>
      </c>
    </row>
    <row r="558" spans="2:5" ht="15" customHeight="1">
      <c r="B558" s="93"/>
      <c r="C558" s="43" t="s">
        <v>196</v>
      </c>
      <c r="D558" s="42">
        <v>14</v>
      </c>
      <c r="E558" s="41">
        <v>6.1744729646290904E-4</v>
      </c>
    </row>
    <row r="559" spans="2:5" ht="15" customHeight="1">
      <c r="B559" s="93"/>
      <c r="C559" s="43" t="s">
        <v>195</v>
      </c>
      <c r="D559" s="42">
        <v>7</v>
      </c>
      <c r="E559" s="41">
        <v>3.0872364823145452E-4</v>
      </c>
    </row>
    <row r="560" spans="2:5" ht="15" customHeight="1">
      <c r="B560" s="93"/>
      <c r="C560" s="43" t="s">
        <v>194</v>
      </c>
      <c r="D560" s="42">
        <v>11</v>
      </c>
      <c r="E560" s="41">
        <v>4.8513716150657142E-4</v>
      </c>
    </row>
    <row r="561" spans="2:5" ht="15" customHeight="1">
      <c r="B561" s="93"/>
      <c r="C561" s="43" t="s">
        <v>193</v>
      </c>
      <c r="D561" s="42">
        <v>50</v>
      </c>
      <c r="E561" s="41">
        <v>2.2051689159389609E-3</v>
      </c>
    </row>
    <row r="562" spans="2:5" ht="15" customHeight="1">
      <c r="B562" s="93"/>
      <c r="C562" s="43" t="s">
        <v>192</v>
      </c>
      <c r="D562" s="42">
        <v>94</v>
      </c>
      <c r="E562" s="41">
        <v>4.1457175619652462E-3</v>
      </c>
    </row>
    <row r="563" spans="2:5" ht="15" customHeight="1">
      <c r="B563" s="93"/>
      <c r="C563" s="43" t="s">
        <v>191</v>
      </c>
      <c r="D563" s="42">
        <v>9</v>
      </c>
      <c r="E563" s="41">
        <v>3.9693040486901297E-4</v>
      </c>
    </row>
    <row r="564" spans="2:5" ht="15" customHeight="1">
      <c r="B564" s="93"/>
      <c r="C564" s="43" t="s">
        <v>190</v>
      </c>
      <c r="D564" s="42">
        <v>18</v>
      </c>
      <c r="E564" s="41">
        <v>7.9386080973802594E-4</v>
      </c>
    </row>
    <row r="565" spans="2:5" ht="15" customHeight="1">
      <c r="B565" s="93"/>
      <c r="C565" s="43" t="s">
        <v>189</v>
      </c>
      <c r="D565" s="42">
        <v>11</v>
      </c>
      <c r="E565" s="41">
        <v>4.8513716150657142E-4</v>
      </c>
    </row>
    <row r="566" spans="2:5" ht="15" customHeight="1">
      <c r="B566" s="93"/>
      <c r="C566" s="43" t="s">
        <v>188</v>
      </c>
      <c r="D566" s="42">
        <v>120</v>
      </c>
      <c r="E566" s="41">
        <v>5.2924053982535066E-3</v>
      </c>
    </row>
    <row r="567" spans="2:5" ht="15" customHeight="1">
      <c r="B567" s="93"/>
      <c r="C567" s="43" t="s">
        <v>187</v>
      </c>
      <c r="D567" s="42">
        <v>6</v>
      </c>
      <c r="E567" s="41">
        <v>2.646202699126753E-4</v>
      </c>
    </row>
    <row r="568" spans="2:5" ht="15" customHeight="1">
      <c r="B568" s="93"/>
      <c r="C568" s="43" t="s">
        <v>186</v>
      </c>
      <c r="D568" s="42">
        <v>20</v>
      </c>
      <c r="E568" s="41">
        <v>8.820675663755844E-4</v>
      </c>
    </row>
    <row r="569" spans="2:5" ht="15" customHeight="1">
      <c r="B569" s="93"/>
      <c r="C569" s="43" t="s">
        <v>185</v>
      </c>
      <c r="D569" s="42">
        <v>63</v>
      </c>
      <c r="E569" s="41">
        <v>2.7785128340830907E-3</v>
      </c>
    </row>
    <row r="570" spans="2:5" ht="15" customHeight="1">
      <c r="B570" s="93"/>
      <c r="C570" s="43" t="s">
        <v>184</v>
      </c>
      <c r="D570" s="42">
        <v>1</v>
      </c>
      <c r="E570" s="41">
        <v>4.4103378318779218E-5</v>
      </c>
    </row>
    <row r="571" spans="2:5" ht="15" customHeight="1">
      <c r="B571" s="93"/>
      <c r="C571" s="43" t="s">
        <v>180</v>
      </c>
      <c r="D571" s="42">
        <v>3</v>
      </c>
      <c r="E571" s="41">
        <v>1.3231013495633765E-4</v>
      </c>
    </row>
    <row r="572" spans="2:5" ht="15" customHeight="1">
      <c r="B572" s="93"/>
      <c r="C572" s="43" t="s">
        <v>179</v>
      </c>
      <c r="D572" s="42">
        <v>11</v>
      </c>
      <c r="E572" s="41">
        <v>4.8513716150657142E-4</v>
      </c>
    </row>
    <row r="573" spans="2:5" ht="15" customHeight="1">
      <c r="B573" s="93"/>
      <c r="C573" s="43" t="s">
        <v>204</v>
      </c>
      <c r="D573" s="42">
        <v>1</v>
      </c>
      <c r="E573" s="41">
        <v>4.4103378318779218E-5</v>
      </c>
    </row>
    <row r="574" spans="2:5" ht="15" customHeight="1">
      <c r="B574" s="93"/>
      <c r="C574" s="43" t="s">
        <v>177</v>
      </c>
      <c r="D574" s="42">
        <v>1</v>
      </c>
      <c r="E574" s="41">
        <v>4.4103378318779218E-5</v>
      </c>
    </row>
    <row r="575" spans="2:5" ht="15" customHeight="1">
      <c r="B575" s="94"/>
      <c r="C575" s="40" t="s">
        <v>20</v>
      </c>
      <c r="D575" s="39">
        <v>457</v>
      </c>
      <c r="E575" s="38">
        <v>2.0155243891682103E-2</v>
      </c>
    </row>
    <row r="576" spans="2:5" ht="15" customHeight="1">
      <c r="B576" s="92" t="s">
        <v>89</v>
      </c>
      <c r="C576" s="43" t="s">
        <v>199</v>
      </c>
      <c r="D576" s="42">
        <v>1</v>
      </c>
      <c r="E576" s="41">
        <v>4.4103378318779218E-5</v>
      </c>
    </row>
    <row r="577" spans="2:5" ht="15" customHeight="1">
      <c r="B577" s="93"/>
      <c r="C577" s="43" t="s">
        <v>198</v>
      </c>
      <c r="D577" s="42">
        <v>1</v>
      </c>
      <c r="E577" s="41">
        <v>4.4103378318779218E-5</v>
      </c>
    </row>
    <row r="578" spans="2:5" ht="15" customHeight="1">
      <c r="B578" s="93"/>
      <c r="C578" s="43" t="s">
        <v>197</v>
      </c>
      <c r="D578" s="42">
        <v>1</v>
      </c>
      <c r="E578" s="41">
        <v>4.4103378318779218E-5</v>
      </c>
    </row>
    <row r="579" spans="2:5" ht="15" customHeight="1">
      <c r="B579" s="93"/>
      <c r="C579" s="43" t="s">
        <v>196</v>
      </c>
      <c r="D579" s="42">
        <v>2</v>
      </c>
      <c r="E579" s="41">
        <v>8.8206756637558437E-5</v>
      </c>
    </row>
    <row r="580" spans="2:5" ht="15" customHeight="1">
      <c r="B580" s="93"/>
      <c r="C580" s="43" t="s">
        <v>195</v>
      </c>
      <c r="D580" s="42">
        <v>3</v>
      </c>
      <c r="E580" s="41">
        <v>1.3231013495633765E-4</v>
      </c>
    </row>
    <row r="581" spans="2:5" ht="15" customHeight="1">
      <c r="B581" s="93"/>
      <c r="C581" s="43" t="s">
        <v>194</v>
      </c>
      <c r="D581" s="42">
        <v>2</v>
      </c>
      <c r="E581" s="41">
        <v>8.8206756637558437E-5</v>
      </c>
    </row>
    <row r="582" spans="2:5" ht="15" customHeight="1">
      <c r="B582" s="93"/>
      <c r="C582" s="43" t="s">
        <v>193</v>
      </c>
      <c r="D582" s="42">
        <v>13</v>
      </c>
      <c r="E582" s="41">
        <v>5.7334391814412987E-4</v>
      </c>
    </row>
    <row r="583" spans="2:5" ht="15" customHeight="1">
      <c r="B583" s="93"/>
      <c r="C583" s="43" t="s">
        <v>192</v>
      </c>
      <c r="D583" s="42">
        <v>17</v>
      </c>
      <c r="E583" s="41">
        <v>7.4975743141924667E-4</v>
      </c>
    </row>
    <row r="584" spans="2:5" ht="15" customHeight="1">
      <c r="B584" s="93"/>
      <c r="C584" s="43" t="s">
        <v>191</v>
      </c>
      <c r="D584" s="42">
        <v>2</v>
      </c>
      <c r="E584" s="41">
        <v>8.8206756637558437E-5</v>
      </c>
    </row>
    <row r="585" spans="2:5" ht="15" customHeight="1">
      <c r="B585" s="93"/>
      <c r="C585" s="43" t="s">
        <v>190</v>
      </c>
      <c r="D585" s="42">
        <v>2</v>
      </c>
      <c r="E585" s="41">
        <v>8.8206756637558437E-5</v>
      </c>
    </row>
    <row r="586" spans="2:5" ht="15" customHeight="1">
      <c r="B586" s="93"/>
      <c r="C586" s="43" t="s">
        <v>189</v>
      </c>
      <c r="D586" s="42">
        <v>3</v>
      </c>
      <c r="E586" s="41">
        <v>1.3231013495633765E-4</v>
      </c>
    </row>
    <row r="587" spans="2:5" ht="15" customHeight="1">
      <c r="B587" s="93"/>
      <c r="C587" s="43" t="s">
        <v>188</v>
      </c>
      <c r="D587" s="42">
        <v>8</v>
      </c>
      <c r="E587" s="41">
        <v>3.5282702655023375E-4</v>
      </c>
    </row>
    <row r="588" spans="2:5" ht="15" customHeight="1">
      <c r="B588" s="93"/>
      <c r="C588" s="43" t="s">
        <v>186</v>
      </c>
      <c r="D588" s="42">
        <v>5</v>
      </c>
      <c r="E588" s="41">
        <v>2.205168915938961E-4</v>
      </c>
    </row>
    <row r="589" spans="2:5" ht="15" customHeight="1">
      <c r="B589" s="93"/>
      <c r="C589" s="43" t="s">
        <v>185</v>
      </c>
      <c r="D589" s="42">
        <v>12</v>
      </c>
      <c r="E589" s="41">
        <v>5.2924053982535059E-4</v>
      </c>
    </row>
    <row r="590" spans="2:5" ht="15" customHeight="1">
      <c r="B590" s="93"/>
      <c r="C590" s="43" t="s">
        <v>184</v>
      </c>
      <c r="D590" s="42">
        <v>1</v>
      </c>
      <c r="E590" s="41">
        <v>4.4103378318779218E-5</v>
      </c>
    </row>
    <row r="591" spans="2:5" ht="15" customHeight="1">
      <c r="B591" s="93"/>
      <c r="C591" s="43" t="s">
        <v>181</v>
      </c>
      <c r="D591" s="42">
        <v>2</v>
      </c>
      <c r="E591" s="41">
        <v>8.8206756637558437E-5</v>
      </c>
    </row>
    <row r="592" spans="2:5" ht="15" customHeight="1">
      <c r="B592" s="93"/>
      <c r="C592" s="43" t="s">
        <v>180</v>
      </c>
      <c r="D592" s="42">
        <v>1</v>
      </c>
      <c r="E592" s="41">
        <v>4.4103378318779218E-5</v>
      </c>
    </row>
    <row r="593" spans="2:5" ht="15" customHeight="1">
      <c r="B593" s="93"/>
      <c r="C593" s="43" t="s">
        <v>179</v>
      </c>
      <c r="D593" s="42">
        <v>1</v>
      </c>
      <c r="E593" s="41">
        <v>4.4103378318779218E-5</v>
      </c>
    </row>
    <row r="594" spans="2:5" ht="15" customHeight="1">
      <c r="B594" s="94"/>
      <c r="C594" s="40" t="s">
        <v>20</v>
      </c>
      <c r="D594" s="39">
        <v>77</v>
      </c>
      <c r="E594" s="38">
        <v>3.3959601305459997E-3</v>
      </c>
    </row>
    <row r="595" spans="2:5" ht="15" customHeight="1">
      <c r="B595" s="92" t="s">
        <v>73</v>
      </c>
      <c r="C595" s="43" t="s">
        <v>193</v>
      </c>
      <c r="D595" s="42">
        <v>2</v>
      </c>
      <c r="E595" s="41">
        <v>8.8206756637558437E-5</v>
      </c>
    </row>
    <row r="596" spans="2:5" ht="15" customHeight="1">
      <c r="B596" s="93"/>
      <c r="C596" s="43" t="s">
        <v>189</v>
      </c>
      <c r="D596" s="42">
        <v>2</v>
      </c>
      <c r="E596" s="41">
        <v>8.8206756637558437E-5</v>
      </c>
    </row>
    <row r="597" spans="2:5" ht="15" customHeight="1">
      <c r="B597" s="93"/>
      <c r="C597" s="43" t="s">
        <v>188</v>
      </c>
      <c r="D597" s="42">
        <v>4</v>
      </c>
      <c r="E597" s="41">
        <v>1.7641351327511687E-4</v>
      </c>
    </row>
    <row r="598" spans="2:5" ht="15" customHeight="1">
      <c r="B598" s="93"/>
      <c r="C598" s="43" t="s">
        <v>186</v>
      </c>
      <c r="D598" s="42">
        <v>2</v>
      </c>
      <c r="E598" s="41">
        <v>8.8206756637558437E-5</v>
      </c>
    </row>
    <row r="599" spans="2:5" ht="15" customHeight="1">
      <c r="B599" s="93"/>
      <c r="C599" s="43" t="s">
        <v>185</v>
      </c>
      <c r="D599" s="42">
        <v>4</v>
      </c>
      <c r="E599" s="41">
        <v>1.7641351327511687E-4</v>
      </c>
    </row>
    <row r="600" spans="2:5" ht="15" customHeight="1">
      <c r="B600" s="94"/>
      <c r="C600" s="40" t="s">
        <v>20</v>
      </c>
      <c r="D600" s="39">
        <v>14</v>
      </c>
      <c r="E600" s="38">
        <v>6.1744729646290904E-4</v>
      </c>
    </row>
    <row r="601" spans="2:5" ht="15" customHeight="1">
      <c r="B601" s="92" t="s">
        <v>107</v>
      </c>
      <c r="C601" s="43" t="s">
        <v>199</v>
      </c>
      <c r="D601" s="42">
        <v>9</v>
      </c>
      <c r="E601" s="41">
        <v>3.9693040486901297E-4</v>
      </c>
    </row>
    <row r="602" spans="2:5" ht="15" customHeight="1">
      <c r="B602" s="93"/>
      <c r="C602" s="43" t="s">
        <v>198</v>
      </c>
      <c r="D602" s="42">
        <v>7</v>
      </c>
      <c r="E602" s="41">
        <v>3.0872364823145452E-4</v>
      </c>
    </row>
    <row r="603" spans="2:5" ht="15" customHeight="1">
      <c r="B603" s="93"/>
      <c r="C603" s="43" t="s">
        <v>197</v>
      </c>
      <c r="D603" s="42">
        <v>5</v>
      </c>
      <c r="E603" s="41">
        <v>2.205168915938961E-4</v>
      </c>
    </row>
    <row r="604" spans="2:5" ht="15" customHeight="1">
      <c r="B604" s="93"/>
      <c r="C604" s="43" t="s">
        <v>196</v>
      </c>
      <c r="D604" s="42">
        <v>17</v>
      </c>
      <c r="E604" s="41">
        <v>7.4975743141924667E-4</v>
      </c>
    </row>
    <row r="605" spans="2:5" ht="15" customHeight="1">
      <c r="B605" s="93"/>
      <c r="C605" s="43" t="s">
        <v>195</v>
      </c>
      <c r="D605" s="42">
        <v>8</v>
      </c>
      <c r="E605" s="41">
        <v>3.5282702655023375E-4</v>
      </c>
    </row>
    <row r="606" spans="2:5" ht="15" customHeight="1">
      <c r="B606" s="93"/>
      <c r="C606" s="43" t="s">
        <v>194</v>
      </c>
      <c r="D606" s="42">
        <v>17</v>
      </c>
      <c r="E606" s="41">
        <v>7.4975743141924667E-4</v>
      </c>
    </row>
    <row r="607" spans="2:5" ht="15" customHeight="1">
      <c r="B607" s="93"/>
      <c r="C607" s="43" t="s">
        <v>193</v>
      </c>
      <c r="D607" s="42">
        <v>45</v>
      </c>
      <c r="E607" s="41">
        <v>1.984652024345065E-3</v>
      </c>
    </row>
    <row r="608" spans="2:5" ht="15" customHeight="1">
      <c r="B608" s="93"/>
      <c r="C608" s="43" t="s">
        <v>192</v>
      </c>
      <c r="D608" s="42">
        <v>128</v>
      </c>
      <c r="E608" s="41">
        <v>5.64523242480374E-3</v>
      </c>
    </row>
    <row r="609" spans="2:5" ht="15" customHeight="1">
      <c r="B609" s="93"/>
      <c r="C609" s="43" t="s">
        <v>191</v>
      </c>
      <c r="D609" s="42">
        <v>9</v>
      </c>
      <c r="E609" s="41">
        <v>3.9693040486901297E-4</v>
      </c>
    </row>
    <row r="610" spans="2:5" ht="15" customHeight="1">
      <c r="B610" s="93"/>
      <c r="C610" s="43" t="s">
        <v>190</v>
      </c>
      <c r="D610" s="42">
        <v>20</v>
      </c>
      <c r="E610" s="41">
        <v>8.820675663755844E-4</v>
      </c>
    </row>
    <row r="611" spans="2:5" ht="15" customHeight="1">
      <c r="B611" s="93"/>
      <c r="C611" s="43" t="s">
        <v>189</v>
      </c>
      <c r="D611" s="42">
        <v>29</v>
      </c>
      <c r="E611" s="41">
        <v>1.2789979712445974E-3</v>
      </c>
    </row>
    <row r="612" spans="2:5" ht="15" customHeight="1">
      <c r="B612" s="93"/>
      <c r="C612" s="43" t="s">
        <v>188</v>
      </c>
      <c r="D612" s="42">
        <v>178</v>
      </c>
      <c r="E612" s="41">
        <v>7.8504013407427013E-3</v>
      </c>
    </row>
    <row r="613" spans="2:5" ht="15" customHeight="1">
      <c r="B613" s="93"/>
      <c r="C613" s="43" t="s">
        <v>187</v>
      </c>
      <c r="D613" s="42">
        <v>6</v>
      </c>
      <c r="E613" s="41">
        <v>2.646202699126753E-4</v>
      </c>
    </row>
    <row r="614" spans="2:5" ht="15" customHeight="1">
      <c r="B614" s="93"/>
      <c r="C614" s="43" t="s">
        <v>186</v>
      </c>
      <c r="D614" s="42">
        <v>30</v>
      </c>
      <c r="E614" s="41">
        <v>1.3231013495633766E-3</v>
      </c>
    </row>
    <row r="615" spans="2:5" ht="15" customHeight="1">
      <c r="B615" s="93"/>
      <c r="C615" s="43" t="s">
        <v>185</v>
      </c>
      <c r="D615" s="42">
        <v>71</v>
      </c>
      <c r="E615" s="41">
        <v>3.1313398606333245E-3</v>
      </c>
    </row>
    <row r="616" spans="2:5" ht="15" customHeight="1">
      <c r="B616" s="93"/>
      <c r="C616" s="43" t="s">
        <v>183</v>
      </c>
      <c r="D616" s="42">
        <v>3</v>
      </c>
      <c r="E616" s="41">
        <v>1.3231013495633765E-4</v>
      </c>
    </row>
    <row r="617" spans="2:5" ht="15" customHeight="1">
      <c r="B617" s="93"/>
      <c r="C617" s="43" t="s">
        <v>182</v>
      </c>
      <c r="D617" s="42">
        <v>1</v>
      </c>
      <c r="E617" s="41">
        <v>4.4103378318779218E-5</v>
      </c>
    </row>
    <row r="618" spans="2:5" ht="15" customHeight="1">
      <c r="B618" s="93"/>
      <c r="C618" s="43" t="s">
        <v>180</v>
      </c>
      <c r="D618" s="42">
        <v>4</v>
      </c>
      <c r="E618" s="41">
        <v>1.7641351327511687E-4</v>
      </c>
    </row>
    <row r="619" spans="2:5" ht="15" customHeight="1">
      <c r="B619" s="93"/>
      <c r="C619" s="43" t="s">
        <v>179</v>
      </c>
      <c r="D619" s="42">
        <v>5</v>
      </c>
      <c r="E619" s="41">
        <v>2.205168915938961E-4</v>
      </c>
    </row>
    <row r="620" spans="2:5" ht="15" customHeight="1">
      <c r="B620" s="94"/>
      <c r="C620" s="40" t="s">
        <v>20</v>
      </c>
      <c r="D620" s="39">
        <v>592</v>
      </c>
      <c r="E620" s="38">
        <v>2.6109199964717299E-2</v>
      </c>
    </row>
    <row r="621" spans="2:5" ht="15" customHeight="1">
      <c r="B621" s="92" t="s">
        <v>99</v>
      </c>
      <c r="C621" s="43" t="s">
        <v>199</v>
      </c>
      <c r="D621" s="42">
        <v>7</v>
      </c>
      <c r="E621" s="41">
        <v>3.0872364823145452E-4</v>
      </c>
    </row>
    <row r="622" spans="2:5" ht="15" customHeight="1">
      <c r="B622" s="93"/>
      <c r="C622" s="43" t="s">
        <v>198</v>
      </c>
      <c r="D622" s="42">
        <v>2</v>
      </c>
      <c r="E622" s="41">
        <v>8.8206756637558437E-5</v>
      </c>
    </row>
    <row r="623" spans="2:5" ht="15" customHeight="1">
      <c r="B623" s="93"/>
      <c r="C623" s="43" t="s">
        <v>197</v>
      </c>
      <c r="D623" s="42">
        <v>3</v>
      </c>
      <c r="E623" s="41">
        <v>1.3231013495633765E-4</v>
      </c>
    </row>
    <row r="624" spans="2:5" ht="15" customHeight="1">
      <c r="B624" s="93"/>
      <c r="C624" s="43" t="s">
        <v>196</v>
      </c>
      <c r="D624" s="42">
        <v>4</v>
      </c>
      <c r="E624" s="41">
        <v>1.7641351327511687E-4</v>
      </c>
    </row>
    <row r="625" spans="2:5" ht="15" customHeight="1">
      <c r="B625" s="93"/>
      <c r="C625" s="43" t="s">
        <v>195</v>
      </c>
      <c r="D625" s="42">
        <v>6</v>
      </c>
      <c r="E625" s="41">
        <v>2.646202699126753E-4</v>
      </c>
    </row>
    <row r="626" spans="2:5" ht="15" customHeight="1">
      <c r="B626" s="93"/>
      <c r="C626" s="43" t="s">
        <v>194</v>
      </c>
      <c r="D626" s="42">
        <v>5</v>
      </c>
      <c r="E626" s="41">
        <v>2.205168915938961E-4</v>
      </c>
    </row>
    <row r="627" spans="2:5" ht="15" customHeight="1">
      <c r="B627" s="93"/>
      <c r="C627" s="43" t="s">
        <v>193</v>
      </c>
      <c r="D627" s="42">
        <v>29</v>
      </c>
      <c r="E627" s="41">
        <v>1.2789979712445974E-3</v>
      </c>
    </row>
    <row r="628" spans="2:5" ht="15" customHeight="1">
      <c r="B628" s="93"/>
      <c r="C628" s="43" t="s">
        <v>192</v>
      </c>
      <c r="D628" s="42">
        <v>77</v>
      </c>
      <c r="E628" s="41">
        <v>3.3959601305459997E-3</v>
      </c>
    </row>
    <row r="629" spans="2:5" ht="15" customHeight="1">
      <c r="B629" s="93"/>
      <c r="C629" s="43" t="s">
        <v>191</v>
      </c>
      <c r="D629" s="42">
        <v>1</v>
      </c>
      <c r="E629" s="41">
        <v>4.4103378318779218E-5</v>
      </c>
    </row>
    <row r="630" spans="2:5" ht="15" customHeight="1">
      <c r="B630" s="93"/>
      <c r="C630" s="43" t="s">
        <v>190</v>
      </c>
      <c r="D630" s="42">
        <v>7</v>
      </c>
      <c r="E630" s="41">
        <v>3.0872364823145452E-4</v>
      </c>
    </row>
    <row r="631" spans="2:5" ht="15" customHeight="1">
      <c r="B631" s="93"/>
      <c r="C631" s="43" t="s">
        <v>189</v>
      </c>
      <c r="D631" s="42">
        <v>6</v>
      </c>
      <c r="E631" s="41">
        <v>2.646202699126753E-4</v>
      </c>
    </row>
    <row r="632" spans="2:5" ht="15" customHeight="1">
      <c r="B632" s="93"/>
      <c r="C632" s="43" t="s">
        <v>188</v>
      </c>
      <c r="D632" s="42">
        <v>87</v>
      </c>
      <c r="E632" s="41">
        <v>3.8369939137337921E-3</v>
      </c>
    </row>
    <row r="633" spans="2:5" ht="15" customHeight="1">
      <c r="B633" s="93"/>
      <c r="C633" s="43" t="s">
        <v>187</v>
      </c>
      <c r="D633" s="42">
        <v>4</v>
      </c>
      <c r="E633" s="41">
        <v>1.7641351327511687E-4</v>
      </c>
    </row>
    <row r="634" spans="2:5" ht="15" customHeight="1">
      <c r="B634" s="93"/>
      <c r="C634" s="43" t="s">
        <v>186</v>
      </c>
      <c r="D634" s="42">
        <v>13</v>
      </c>
      <c r="E634" s="41">
        <v>5.7334391814412987E-4</v>
      </c>
    </row>
    <row r="635" spans="2:5" ht="15" customHeight="1">
      <c r="B635" s="93"/>
      <c r="C635" s="43" t="s">
        <v>185</v>
      </c>
      <c r="D635" s="42">
        <v>56</v>
      </c>
      <c r="E635" s="41">
        <v>2.4697891858516362E-3</v>
      </c>
    </row>
    <row r="636" spans="2:5" ht="15" customHeight="1">
      <c r="B636" s="93"/>
      <c r="C636" s="43" t="s">
        <v>184</v>
      </c>
      <c r="D636" s="42">
        <v>1</v>
      </c>
      <c r="E636" s="41">
        <v>4.4103378318779218E-5</v>
      </c>
    </row>
    <row r="637" spans="2:5" ht="15" customHeight="1">
      <c r="B637" s="93"/>
      <c r="C637" s="43" t="s">
        <v>182</v>
      </c>
      <c r="D637" s="42">
        <v>1</v>
      </c>
      <c r="E637" s="41">
        <v>4.4103378318779218E-5</v>
      </c>
    </row>
    <row r="638" spans="2:5" ht="15" customHeight="1">
      <c r="B638" s="93"/>
      <c r="C638" s="43" t="s">
        <v>181</v>
      </c>
      <c r="D638" s="42">
        <v>1</v>
      </c>
      <c r="E638" s="41">
        <v>4.4103378318779218E-5</v>
      </c>
    </row>
    <row r="639" spans="2:5" ht="15" customHeight="1">
      <c r="B639" s="93"/>
      <c r="C639" s="43" t="s">
        <v>180</v>
      </c>
      <c r="D639" s="42">
        <v>2</v>
      </c>
      <c r="E639" s="41">
        <v>8.8206756637558437E-5</v>
      </c>
    </row>
    <row r="640" spans="2:5" ht="15" customHeight="1">
      <c r="B640" s="93"/>
      <c r="C640" s="43" t="s">
        <v>179</v>
      </c>
      <c r="D640" s="42">
        <v>14</v>
      </c>
      <c r="E640" s="41">
        <v>6.1744729646290904E-4</v>
      </c>
    </row>
    <row r="641" spans="2:5" ht="15" customHeight="1">
      <c r="B641" s="93"/>
      <c r="C641" s="43" t="s">
        <v>204</v>
      </c>
      <c r="D641" s="42">
        <v>1</v>
      </c>
      <c r="E641" s="41">
        <v>4.4103378318779218E-5</v>
      </c>
    </row>
    <row r="642" spans="2:5" ht="15" customHeight="1">
      <c r="B642" s="93"/>
      <c r="C642" s="43" t="s">
        <v>177</v>
      </c>
      <c r="D642" s="42">
        <v>1</v>
      </c>
      <c r="E642" s="41">
        <v>4.4103378318779218E-5</v>
      </c>
    </row>
    <row r="643" spans="2:5" ht="15" customHeight="1">
      <c r="B643" s="94"/>
      <c r="C643" s="40" t="s">
        <v>20</v>
      </c>
      <c r="D643" s="39">
        <v>328</v>
      </c>
      <c r="E643" s="38">
        <v>1.4465908088559583E-2</v>
      </c>
    </row>
    <row r="644" spans="2:5" ht="15" customHeight="1">
      <c r="B644" s="92" t="s">
        <v>84</v>
      </c>
      <c r="C644" s="43" t="s">
        <v>199</v>
      </c>
      <c r="D644" s="42">
        <v>1</v>
      </c>
      <c r="E644" s="41">
        <v>4.4103378318779218E-5</v>
      </c>
    </row>
    <row r="645" spans="2:5" ht="15" customHeight="1">
      <c r="B645" s="93"/>
      <c r="C645" s="43" t="s">
        <v>195</v>
      </c>
      <c r="D645" s="42">
        <v>1</v>
      </c>
      <c r="E645" s="41">
        <v>4.4103378318779218E-5</v>
      </c>
    </row>
    <row r="646" spans="2:5" ht="15" customHeight="1">
      <c r="B646" s="93"/>
      <c r="C646" s="43" t="s">
        <v>193</v>
      </c>
      <c r="D646" s="42">
        <v>7</v>
      </c>
      <c r="E646" s="41">
        <v>3.0872364823145452E-4</v>
      </c>
    </row>
    <row r="647" spans="2:5" ht="15" customHeight="1">
      <c r="B647" s="93"/>
      <c r="C647" s="43" t="s">
        <v>192</v>
      </c>
      <c r="D647" s="42">
        <v>40</v>
      </c>
      <c r="E647" s="41">
        <v>1.7641351327511688E-3</v>
      </c>
    </row>
    <row r="648" spans="2:5" ht="15" customHeight="1">
      <c r="B648" s="93"/>
      <c r="C648" s="43" t="s">
        <v>191</v>
      </c>
      <c r="D648" s="42">
        <v>1</v>
      </c>
      <c r="E648" s="41">
        <v>4.4103378318779218E-5</v>
      </c>
    </row>
    <row r="649" spans="2:5" ht="15" customHeight="1">
      <c r="B649" s="93"/>
      <c r="C649" s="43" t="s">
        <v>190</v>
      </c>
      <c r="D649" s="42">
        <v>2</v>
      </c>
      <c r="E649" s="41">
        <v>8.8206756637558437E-5</v>
      </c>
    </row>
    <row r="650" spans="2:5" ht="15" customHeight="1">
      <c r="B650" s="93"/>
      <c r="C650" s="43" t="s">
        <v>189</v>
      </c>
      <c r="D650" s="42">
        <v>1</v>
      </c>
      <c r="E650" s="41">
        <v>4.4103378318779218E-5</v>
      </c>
    </row>
    <row r="651" spans="2:5" ht="15" customHeight="1">
      <c r="B651" s="93"/>
      <c r="C651" s="43" t="s">
        <v>188</v>
      </c>
      <c r="D651" s="42">
        <v>76</v>
      </c>
      <c r="E651" s="41">
        <v>3.3518567522272205E-3</v>
      </c>
    </row>
    <row r="652" spans="2:5" ht="15" customHeight="1">
      <c r="B652" s="93"/>
      <c r="C652" s="43" t="s">
        <v>187</v>
      </c>
      <c r="D652" s="42">
        <v>1</v>
      </c>
      <c r="E652" s="41">
        <v>4.4103378318779218E-5</v>
      </c>
    </row>
    <row r="653" spans="2:5" ht="15" customHeight="1">
      <c r="B653" s="93"/>
      <c r="C653" s="43" t="s">
        <v>186</v>
      </c>
      <c r="D653" s="42">
        <v>5</v>
      </c>
      <c r="E653" s="41">
        <v>2.205168915938961E-4</v>
      </c>
    </row>
    <row r="654" spans="2:5" ht="15" customHeight="1">
      <c r="B654" s="93"/>
      <c r="C654" s="43" t="s">
        <v>185</v>
      </c>
      <c r="D654" s="42">
        <v>22</v>
      </c>
      <c r="E654" s="41">
        <v>9.7027432301314285E-4</v>
      </c>
    </row>
    <row r="655" spans="2:5" ht="15" customHeight="1">
      <c r="B655" s="93"/>
      <c r="C655" s="43" t="s">
        <v>180</v>
      </c>
      <c r="D655" s="42">
        <v>4</v>
      </c>
      <c r="E655" s="41">
        <v>1.7641351327511687E-4</v>
      </c>
    </row>
    <row r="656" spans="2:5" ht="15" customHeight="1">
      <c r="B656" s="93"/>
      <c r="C656" s="43" t="s">
        <v>179</v>
      </c>
      <c r="D656" s="42">
        <v>6</v>
      </c>
      <c r="E656" s="41">
        <v>2.646202699126753E-4</v>
      </c>
    </row>
    <row r="657" spans="2:5" ht="15" customHeight="1">
      <c r="B657" s="93"/>
      <c r="C657" s="43" t="s">
        <v>204</v>
      </c>
      <c r="D657" s="42">
        <v>1</v>
      </c>
      <c r="E657" s="41">
        <v>4.4103378318779218E-5</v>
      </c>
    </row>
    <row r="658" spans="2:5" ht="15" customHeight="1">
      <c r="B658" s="94"/>
      <c r="C658" s="40" t="s">
        <v>20</v>
      </c>
      <c r="D658" s="39">
        <v>168</v>
      </c>
      <c r="E658" s="38">
        <v>7.4093675575549085E-3</v>
      </c>
    </row>
    <row r="659" spans="2:5" ht="15" customHeight="1">
      <c r="B659" s="92" t="s">
        <v>86</v>
      </c>
      <c r="C659" s="43" t="s">
        <v>199</v>
      </c>
      <c r="D659" s="42">
        <v>1</v>
      </c>
      <c r="E659" s="41">
        <v>4.4103378318779218E-5</v>
      </c>
    </row>
    <row r="660" spans="2:5" ht="15" customHeight="1">
      <c r="B660" s="93"/>
      <c r="C660" s="43" t="s">
        <v>197</v>
      </c>
      <c r="D660" s="42">
        <v>1</v>
      </c>
      <c r="E660" s="41">
        <v>4.4103378318779218E-5</v>
      </c>
    </row>
    <row r="661" spans="2:5" ht="15" customHeight="1">
      <c r="B661" s="93"/>
      <c r="C661" s="43" t="s">
        <v>196</v>
      </c>
      <c r="D661" s="42">
        <v>7</v>
      </c>
      <c r="E661" s="41">
        <v>3.0872364823145452E-4</v>
      </c>
    </row>
    <row r="662" spans="2:5" ht="15" customHeight="1">
      <c r="B662" s="93"/>
      <c r="C662" s="43" t="s">
        <v>195</v>
      </c>
      <c r="D662" s="42">
        <v>5</v>
      </c>
      <c r="E662" s="41">
        <v>2.205168915938961E-4</v>
      </c>
    </row>
    <row r="663" spans="2:5" ht="15" customHeight="1">
      <c r="B663" s="93"/>
      <c r="C663" s="43" t="s">
        <v>194</v>
      </c>
      <c r="D663" s="42">
        <v>7</v>
      </c>
      <c r="E663" s="41">
        <v>3.0872364823145452E-4</v>
      </c>
    </row>
    <row r="664" spans="2:5" ht="15" customHeight="1">
      <c r="B664" s="93"/>
      <c r="C664" s="43" t="s">
        <v>193</v>
      </c>
      <c r="D664" s="42">
        <v>43</v>
      </c>
      <c r="E664" s="41">
        <v>1.8964452677075064E-3</v>
      </c>
    </row>
    <row r="665" spans="2:5" ht="15" customHeight="1">
      <c r="B665" s="93"/>
      <c r="C665" s="43" t="s">
        <v>192</v>
      </c>
      <c r="D665" s="42">
        <v>73</v>
      </c>
      <c r="E665" s="41">
        <v>3.2195466172708831E-3</v>
      </c>
    </row>
    <row r="666" spans="2:5" ht="15" customHeight="1">
      <c r="B666" s="93"/>
      <c r="C666" s="43" t="s">
        <v>191</v>
      </c>
      <c r="D666" s="42">
        <v>2</v>
      </c>
      <c r="E666" s="41">
        <v>8.8206756637558437E-5</v>
      </c>
    </row>
    <row r="667" spans="2:5" ht="15" customHeight="1">
      <c r="B667" s="93"/>
      <c r="C667" s="43" t="s">
        <v>190</v>
      </c>
      <c r="D667" s="42">
        <v>6</v>
      </c>
      <c r="E667" s="41">
        <v>2.646202699126753E-4</v>
      </c>
    </row>
    <row r="668" spans="2:5" ht="15" customHeight="1">
      <c r="B668" s="93"/>
      <c r="C668" s="43" t="s">
        <v>189</v>
      </c>
      <c r="D668" s="42">
        <v>18</v>
      </c>
      <c r="E668" s="41">
        <v>7.9386080973802594E-4</v>
      </c>
    </row>
    <row r="669" spans="2:5" ht="15" customHeight="1">
      <c r="B669" s="93"/>
      <c r="C669" s="43" t="s">
        <v>188</v>
      </c>
      <c r="D669" s="42">
        <v>101</v>
      </c>
      <c r="E669" s="41">
        <v>4.4544412101967011E-3</v>
      </c>
    </row>
    <row r="670" spans="2:5" ht="15" customHeight="1">
      <c r="B670" s="93"/>
      <c r="C670" s="43" t="s">
        <v>187</v>
      </c>
      <c r="D670" s="42">
        <v>3</v>
      </c>
      <c r="E670" s="41">
        <v>1.3231013495633765E-4</v>
      </c>
    </row>
    <row r="671" spans="2:5" ht="15" customHeight="1">
      <c r="B671" s="93"/>
      <c r="C671" s="43" t="s">
        <v>186</v>
      </c>
      <c r="D671" s="42">
        <v>15</v>
      </c>
      <c r="E671" s="41">
        <v>6.6155067478168832E-4</v>
      </c>
    </row>
    <row r="672" spans="2:5" ht="15" customHeight="1">
      <c r="B672" s="93"/>
      <c r="C672" s="43" t="s">
        <v>185</v>
      </c>
      <c r="D672" s="42">
        <v>53</v>
      </c>
      <c r="E672" s="41">
        <v>2.3374790508952988E-3</v>
      </c>
    </row>
    <row r="673" spans="2:5" ht="15" customHeight="1">
      <c r="B673" s="93"/>
      <c r="C673" s="43" t="s">
        <v>184</v>
      </c>
      <c r="D673" s="42">
        <v>1</v>
      </c>
      <c r="E673" s="41">
        <v>4.4103378318779218E-5</v>
      </c>
    </row>
    <row r="674" spans="2:5" ht="15" customHeight="1">
      <c r="B674" s="93"/>
      <c r="C674" s="43" t="s">
        <v>183</v>
      </c>
      <c r="D674" s="42">
        <v>1</v>
      </c>
      <c r="E674" s="41">
        <v>4.4103378318779218E-5</v>
      </c>
    </row>
    <row r="675" spans="2:5" ht="15" customHeight="1">
      <c r="B675" s="93"/>
      <c r="C675" s="43" t="s">
        <v>180</v>
      </c>
      <c r="D675" s="42">
        <v>2</v>
      </c>
      <c r="E675" s="41">
        <v>8.8206756637558437E-5</v>
      </c>
    </row>
    <row r="676" spans="2:5" ht="15" customHeight="1">
      <c r="B676" s="93"/>
      <c r="C676" s="43" t="s">
        <v>179</v>
      </c>
      <c r="D676" s="42">
        <v>2</v>
      </c>
      <c r="E676" s="41">
        <v>8.8206756637558437E-5</v>
      </c>
    </row>
    <row r="677" spans="2:5" ht="15" customHeight="1">
      <c r="B677" s="93"/>
      <c r="C677" s="43" t="s">
        <v>177</v>
      </c>
      <c r="D677" s="42">
        <v>2</v>
      </c>
      <c r="E677" s="41">
        <v>8.8206756637558437E-5</v>
      </c>
    </row>
    <row r="678" spans="2:5" ht="15" customHeight="1">
      <c r="B678" s="94"/>
      <c r="C678" s="40" t="s">
        <v>20</v>
      </c>
      <c r="D678" s="39">
        <v>343</v>
      </c>
      <c r="E678" s="38">
        <v>1.5127458763341272E-2</v>
      </c>
    </row>
    <row r="679" spans="2:5" ht="15" customHeight="1">
      <c r="B679" s="92" t="s">
        <v>94</v>
      </c>
      <c r="C679" s="43" t="s">
        <v>199</v>
      </c>
      <c r="D679" s="42">
        <v>5</v>
      </c>
      <c r="E679" s="41">
        <v>2.205168915938961E-4</v>
      </c>
    </row>
    <row r="680" spans="2:5" ht="15" customHeight="1">
      <c r="B680" s="93"/>
      <c r="C680" s="43" t="s">
        <v>198</v>
      </c>
      <c r="D680" s="42">
        <v>1</v>
      </c>
      <c r="E680" s="41">
        <v>4.4103378318779218E-5</v>
      </c>
    </row>
    <row r="681" spans="2:5" ht="15" customHeight="1">
      <c r="B681" s="93"/>
      <c r="C681" s="43" t="s">
        <v>197</v>
      </c>
      <c r="D681" s="42">
        <v>3</v>
      </c>
      <c r="E681" s="41">
        <v>1.3231013495633765E-4</v>
      </c>
    </row>
    <row r="682" spans="2:5" ht="15" customHeight="1">
      <c r="B682" s="93"/>
      <c r="C682" s="43" t="s">
        <v>196</v>
      </c>
      <c r="D682" s="42">
        <v>8</v>
      </c>
      <c r="E682" s="41">
        <v>3.5282702655023375E-4</v>
      </c>
    </row>
    <row r="683" spans="2:5" ht="15" customHeight="1">
      <c r="B683" s="93"/>
      <c r="C683" s="43" t="s">
        <v>195</v>
      </c>
      <c r="D683" s="42">
        <v>3</v>
      </c>
      <c r="E683" s="41">
        <v>1.3231013495633765E-4</v>
      </c>
    </row>
    <row r="684" spans="2:5" ht="15" customHeight="1">
      <c r="B684" s="93"/>
      <c r="C684" s="43" t="s">
        <v>194</v>
      </c>
      <c r="D684" s="42">
        <v>8</v>
      </c>
      <c r="E684" s="41">
        <v>3.5282702655023375E-4</v>
      </c>
    </row>
    <row r="685" spans="2:5" ht="15" customHeight="1">
      <c r="B685" s="93"/>
      <c r="C685" s="43" t="s">
        <v>193</v>
      </c>
      <c r="D685" s="42">
        <v>54</v>
      </c>
      <c r="E685" s="41">
        <v>2.3815824292140776E-3</v>
      </c>
    </row>
    <row r="686" spans="2:5" ht="15" customHeight="1">
      <c r="B686" s="93"/>
      <c r="C686" s="43" t="s">
        <v>192</v>
      </c>
      <c r="D686" s="42">
        <v>21</v>
      </c>
      <c r="E686" s="41">
        <v>9.2617094469436357E-4</v>
      </c>
    </row>
    <row r="687" spans="2:5" ht="15" customHeight="1">
      <c r="B687" s="93"/>
      <c r="C687" s="43" t="s">
        <v>191</v>
      </c>
      <c r="D687" s="42">
        <v>3</v>
      </c>
      <c r="E687" s="41">
        <v>1.3231013495633765E-4</v>
      </c>
    </row>
    <row r="688" spans="2:5" ht="15" customHeight="1">
      <c r="B688" s="93"/>
      <c r="C688" s="43" t="s">
        <v>190</v>
      </c>
      <c r="D688" s="42">
        <v>7</v>
      </c>
      <c r="E688" s="41">
        <v>3.0872364823145452E-4</v>
      </c>
    </row>
    <row r="689" spans="2:5" ht="15" customHeight="1">
      <c r="B689" s="93"/>
      <c r="C689" s="43" t="s">
        <v>189</v>
      </c>
      <c r="D689" s="42">
        <v>26</v>
      </c>
      <c r="E689" s="41">
        <v>1.1466878362882597E-3</v>
      </c>
    </row>
    <row r="690" spans="2:5" ht="15" customHeight="1">
      <c r="B690" s="93"/>
      <c r="C690" s="43" t="s">
        <v>188</v>
      </c>
      <c r="D690" s="42">
        <v>93</v>
      </c>
      <c r="E690" s="41">
        <v>4.1016141836464669E-3</v>
      </c>
    </row>
    <row r="691" spans="2:5" ht="15" customHeight="1">
      <c r="B691" s="93"/>
      <c r="C691" s="43" t="s">
        <v>187</v>
      </c>
      <c r="D691" s="42">
        <v>6</v>
      </c>
      <c r="E691" s="41">
        <v>2.646202699126753E-4</v>
      </c>
    </row>
    <row r="692" spans="2:5" ht="15" customHeight="1">
      <c r="B692" s="93"/>
      <c r="C692" s="43" t="s">
        <v>186</v>
      </c>
      <c r="D692" s="42">
        <v>21</v>
      </c>
      <c r="E692" s="41">
        <v>9.2617094469436357E-4</v>
      </c>
    </row>
    <row r="693" spans="2:5" ht="15" customHeight="1">
      <c r="B693" s="93"/>
      <c r="C693" s="43" t="s">
        <v>185</v>
      </c>
      <c r="D693" s="42">
        <v>48</v>
      </c>
      <c r="E693" s="41">
        <v>2.1169621593014024E-3</v>
      </c>
    </row>
    <row r="694" spans="2:5" ht="15" customHeight="1">
      <c r="B694" s="93"/>
      <c r="C694" s="43" t="s">
        <v>183</v>
      </c>
      <c r="D694" s="42">
        <v>4</v>
      </c>
      <c r="E694" s="41">
        <v>1.7641351327511687E-4</v>
      </c>
    </row>
    <row r="695" spans="2:5" ht="15" customHeight="1">
      <c r="B695" s="93"/>
      <c r="C695" s="43" t="s">
        <v>180</v>
      </c>
      <c r="D695" s="42">
        <v>2</v>
      </c>
      <c r="E695" s="41">
        <v>8.8206756637558437E-5</v>
      </c>
    </row>
    <row r="696" spans="2:5" ht="15" customHeight="1">
      <c r="B696" s="93"/>
      <c r="C696" s="43" t="s">
        <v>179</v>
      </c>
      <c r="D696" s="42">
        <v>15</v>
      </c>
      <c r="E696" s="41">
        <v>6.6155067478168832E-4</v>
      </c>
    </row>
    <row r="697" spans="2:5" ht="15" customHeight="1">
      <c r="B697" s="93"/>
      <c r="C697" s="43" t="s">
        <v>204</v>
      </c>
      <c r="D697" s="42">
        <v>1</v>
      </c>
      <c r="E697" s="41">
        <v>4.4103378318779218E-5</v>
      </c>
    </row>
    <row r="698" spans="2:5" ht="15" customHeight="1">
      <c r="B698" s="93"/>
      <c r="C698" s="43" t="s">
        <v>177</v>
      </c>
      <c r="D698" s="42">
        <v>1</v>
      </c>
      <c r="E698" s="41">
        <v>4.4103378318779218E-5</v>
      </c>
    </row>
    <row r="699" spans="2:5" ht="15" customHeight="1">
      <c r="B699" s="93"/>
      <c r="C699" s="43" t="s">
        <v>176</v>
      </c>
      <c r="D699" s="42">
        <v>1</v>
      </c>
      <c r="E699" s="41">
        <v>4.4103378318779218E-5</v>
      </c>
    </row>
    <row r="700" spans="2:5" ht="15" customHeight="1">
      <c r="B700" s="94"/>
      <c r="C700" s="40" t="s">
        <v>20</v>
      </c>
      <c r="D700" s="39">
        <v>331</v>
      </c>
      <c r="E700" s="38">
        <v>1.4598218223515921E-2</v>
      </c>
    </row>
    <row r="701" spans="2:5" ht="15" customHeight="1">
      <c r="B701" s="92" t="s">
        <v>106</v>
      </c>
      <c r="C701" s="43" t="s">
        <v>199</v>
      </c>
      <c r="D701" s="42">
        <v>5</v>
      </c>
      <c r="E701" s="41">
        <v>2.205168915938961E-4</v>
      </c>
    </row>
    <row r="702" spans="2:5" ht="15" customHeight="1">
      <c r="B702" s="93"/>
      <c r="C702" s="43" t="s">
        <v>198</v>
      </c>
      <c r="D702" s="42">
        <v>7</v>
      </c>
      <c r="E702" s="41">
        <v>3.0872364823145452E-4</v>
      </c>
    </row>
    <row r="703" spans="2:5" ht="15" customHeight="1">
      <c r="B703" s="93"/>
      <c r="C703" s="43" t="s">
        <v>197</v>
      </c>
      <c r="D703" s="42">
        <v>12</v>
      </c>
      <c r="E703" s="41">
        <v>5.2924053982535059E-4</v>
      </c>
    </row>
    <row r="704" spans="2:5" ht="15" customHeight="1">
      <c r="B704" s="93"/>
      <c r="C704" s="43" t="s">
        <v>196</v>
      </c>
      <c r="D704" s="42">
        <v>22</v>
      </c>
      <c r="E704" s="41">
        <v>9.7027432301314285E-4</v>
      </c>
    </row>
    <row r="705" spans="2:5" ht="15" customHeight="1">
      <c r="B705" s="93"/>
      <c r="C705" s="43" t="s">
        <v>195</v>
      </c>
      <c r="D705" s="42">
        <v>17</v>
      </c>
      <c r="E705" s="41">
        <v>7.4975743141924667E-4</v>
      </c>
    </row>
    <row r="706" spans="2:5" ht="15" customHeight="1">
      <c r="B706" s="93"/>
      <c r="C706" s="43" t="s">
        <v>194</v>
      </c>
      <c r="D706" s="42">
        <v>18</v>
      </c>
      <c r="E706" s="41">
        <v>7.9386080973802594E-4</v>
      </c>
    </row>
    <row r="707" spans="2:5" ht="15" customHeight="1">
      <c r="B707" s="93"/>
      <c r="C707" s="43" t="s">
        <v>193</v>
      </c>
      <c r="D707" s="42">
        <v>112</v>
      </c>
      <c r="E707" s="41">
        <v>4.9395783717032724E-3</v>
      </c>
    </row>
    <row r="708" spans="2:5" ht="15" customHeight="1">
      <c r="B708" s="93"/>
      <c r="C708" s="43" t="s">
        <v>192</v>
      </c>
      <c r="D708" s="42">
        <v>91</v>
      </c>
      <c r="E708" s="41">
        <v>4.0134074270089092E-3</v>
      </c>
    </row>
    <row r="709" spans="2:5" ht="15" customHeight="1">
      <c r="B709" s="93"/>
      <c r="C709" s="43" t="s">
        <v>191</v>
      </c>
      <c r="D709" s="42">
        <v>7</v>
      </c>
      <c r="E709" s="41">
        <v>3.0872364823145452E-4</v>
      </c>
    </row>
    <row r="710" spans="2:5" ht="15" customHeight="1">
      <c r="B710" s="93"/>
      <c r="C710" s="43" t="s">
        <v>190</v>
      </c>
      <c r="D710" s="42">
        <v>15</v>
      </c>
      <c r="E710" s="41">
        <v>6.6155067478168832E-4</v>
      </c>
    </row>
    <row r="711" spans="2:5" ht="15" customHeight="1">
      <c r="B711" s="93"/>
      <c r="C711" s="43" t="s">
        <v>189</v>
      </c>
      <c r="D711" s="42">
        <v>34</v>
      </c>
      <c r="E711" s="41">
        <v>1.4995148628384933E-3</v>
      </c>
    </row>
    <row r="712" spans="2:5" ht="15" customHeight="1">
      <c r="B712" s="93"/>
      <c r="C712" s="43" t="s">
        <v>188</v>
      </c>
      <c r="D712" s="42">
        <v>127</v>
      </c>
      <c r="E712" s="41">
        <v>5.6011290464849607E-3</v>
      </c>
    </row>
    <row r="713" spans="2:5" ht="15" customHeight="1">
      <c r="B713" s="93"/>
      <c r="C713" s="43" t="s">
        <v>187</v>
      </c>
      <c r="D713" s="42">
        <v>5</v>
      </c>
      <c r="E713" s="41">
        <v>2.205168915938961E-4</v>
      </c>
    </row>
    <row r="714" spans="2:5" ht="15" customHeight="1">
      <c r="B714" s="93"/>
      <c r="C714" s="43" t="s">
        <v>186</v>
      </c>
      <c r="D714" s="42">
        <v>36</v>
      </c>
      <c r="E714" s="41">
        <v>1.5877216194760519E-3</v>
      </c>
    </row>
    <row r="715" spans="2:5" ht="15" customHeight="1">
      <c r="B715" s="93"/>
      <c r="C715" s="43" t="s">
        <v>185</v>
      </c>
      <c r="D715" s="42">
        <v>121</v>
      </c>
      <c r="E715" s="41">
        <v>5.3365087765722859E-3</v>
      </c>
    </row>
    <row r="716" spans="2:5" ht="15" customHeight="1">
      <c r="B716" s="93"/>
      <c r="C716" s="43" t="s">
        <v>184</v>
      </c>
      <c r="D716" s="42">
        <v>1</v>
      </c>
      <c r="E716" s="41">
        <v>4.4103378318779218E-5</v>
      </c>
    </row>
    <row r="717" spans="2:5" ht="15" customHeight="1">
      <c r="B717" s="93"/>
      <c r="C717" s="43" t="s">
        <v>182</v>
      </c>
      <c r="D717" s="42">
        <v>2</v>
      </c>
      <c r="E717" s="41">
        <v>8.8206756637558437E-5</v>
      </c>
    </row>
    <row r="718" spans="2:5" ht="15" customHeight="1">
      <c r="B718" s="93"/>
      <c r="C718" s="43" t="s">
        <v>181</v>
      </c>
      <c r="D718" s="42">
        <v>1</v>
      </c>
      <c r="E718" s="41">
        <v>4.4103378318779218E-5</v>
      </c>
    </row>
    <row r="719" spans="2:5" ht="15" customHeight="1">
      <c r="B719" s="93"/>
      <c r="C719" s="43" t="s">
        <v>180</v>
      </c>
      <c r="D719" s="42">
        <v>7</v>
      </c>
      <c r="E719" s="41">
        <v>3.0872364823145452E-4</v>
      </c>
    </row>
    <row r="720" spans="2:5" ht="15" customHeight="1">
      <c r="B720" s="93"/>
      <c r="C720" s="43" t="s">
        <v>179</v>
      </c>
      <c r="D720" s="42">
        <v>16</v>
      </c>
      <c r="E720" s="41">
        <v>7.0565405310046749E-4</v>
      </c>
    </row>
    <row r="721" spans="2:5" ht="15" customHeight="1">
      <c r="B721" s="93"/>
      <c r="C721" s="43" t="s">
        <v>204</v>
      </c>
      <c r="D721" s="42">
        <v>1</v>
      </c>
      <c r="E721" s="41">
        <v>4.4103378318779218E-5</v>
      </c>
    </row>
    <row r="722" spans="2:5" ht="15" customHeight="1">
      <c r="B722" s="93"/>
      <c r="C722" s="43" t="s">
        <v>177</v>
      </c>
      <c r="D722" s="42">
        <v>2</v>
      </c>
      <c r="E722" s="41">
        <v>8.8206756637558437E-5</v>
      </c>
    </row>
    <row r="723" spans="2:5" ht="15" customHeight="1">
      <c r="B723" s="93"/>
      <c r="C723" s="43" t="s">
        <v>176</v>
      </c>
      <c r="D723" s="42">
        <v>1</v>
      </c>
      <c r="E723" s="41">
        <v>4.4103378318779218E-5</v>
      </c>
    </row>
    <row r="724" spans="2:5" ht="15" customHeight="1">
      <c r="B724" s="94"/>
      <c r="C724" s="40" t="s">
        <v>20</v>
      </c>
      <c r="D724" s="39">
        <v>660</v>
      </c>
      <c r="E724" s="38">
        <v>2.9108229690394283E-2</v>
      </c>
    </row>
    <row r="725" spans="2:5" ht="15" customHeight="1">
      <c r="B725" s="92" t="s">
        <v>90</v>
      </c>
      <c r="C725" s="43" t="s">
        <v>199</v>
      </c>
      <c r="D725" s="42">
        <v>1</v>
      </c>
      <c r="E725" s="41">
        <v>4.4103378318779218E-5</v>
      </c>
    </row>
    <row r="726" spans="2:5" ht="15" customHeight="1">
      <c r="B726" s="93"/>
      <c r="C726" s="43" t="s">
        <v>198</v>
      </c>
      <c r="D726" s="42">
        <v>4</v>
      </c>
      <c r="E726" s="41">
        <v>1.7641351327511687E-4</v>
      </c>
    </row>
    <row r="727" spans="2:5" ht="15" customHeight="1">
      <c r="B727" s="93"/>
      <c r="C727" s="43" t="s">
        <v>197</v>
      </c>
      <c r="D727" s="42">
        <v>1</v>
      </c>
      <c r="E727" s="41">
        <v>4.4103378318779218E-5</v>
      </c>
    </row>
    <row r="728" spans="2:5" ht="15" customHeight="1">
      <c r="B728" s="93"/>
      <c r="C728" s="43" t="s">
        <v>196</v>
      </c>
      <c r="D728" s="42">
        <v>3</v>
      </c>
      <c r="E728" s="41">
        <v>1.3231013495633765E-4</v>
      </c>
    </row>
    <row r="729" spans="2:5" ht="15" customHeight="1">
      <c r="B729" s="93"/>
      <c r="C729" s="43" t="s">
        <v>195</v>
      </c>
      <c r="D729" s="42">
        <v>2</v>
      </c>
      <c r="E729" s="41">
        <v>8.8206756637558437E-5</v>
      </c>
    </row>
    <row r="730" spans="2:5" ht="15" customHeight="1">
      <c r="B730" s="93"/>
      <c r="C730" s="43" t="s">
        <v>194</v>
      </c>
      <c r="D730" s="42">
        <v>2</v>
      </c>
      <c r="E730" s="41">
        <v>8.8206756637558437E-5</v>
      </c>
    </row>
    <row r="731" spans="2:5" ht="15" customHeight="1">
      <c r="B731" s="93"/>
      <c r="C731" s="43" t="s">
        <v>193</v>
      </c>
      <c r="D731" s="42">
        <v>7</v>
      </c>
      <c r="E731" s="41">
        <v>3.0872364823145452E-4</v>
      </c>
    </row>
    <row r="732" spans="2:5" ht="15" customHeight="1">
      <c r="B732" s="93"/>
      <c r="C732" s="43" t="s">
        <v>192</v>
      </c>
      <c r="D732" s="42">
        <v>26</v>
      </c>
      <c r="E732" s="41">
        <v>1.1466878362882597E-3</v>
      </c>
    </row>
    <row r="733" spans="2:5" ht="15" customHeight="1">
      <c r="B733" s="93"/>
      <c r="C733" s="43" t="s">
        <v>191</v>
      </c>
      <c r="D733" s="42">
        <v>2</v>
      </c>
      <c r="E733" s="41">
        <v>8.8206756637558437E-5</v>
      </c>
    </row>
    <row r="734" spans="2:5" ht="15" customHeight="1">
      <c r="B734" s="93"/>
      <c r="C734" s="43" t="s">
        <v>190</v>
      </c>
      <c r="D734" s="42">
        <v>3</v>
      </c>
      <c r="E734" s="41">
        <v>1.3231013495633765E-4</v>
      </c>
    </row>
    <row r="735" spans="2:5" ht="15" customHeight="1">
      <c r="B735" s="93"/>
      <c r="C735" s="43" t="s">
        <v>189</v>
      </c>
      <c r="D735" s="42">
        <v>1</v>
      </c>
      <c r="E735" s="41">
        <v>4.4103378318779218E-5</v>
      </c>
    </row>
    <row r="736" spans="2:5" ht="15" customHeight="1">
      <c r="B736" s="93"/>
      <c r="C736" s="43" t="s">
        <v>188</v>
      </c>
      <c r="D736" s="42">
        <v>38</v>
      </c>
      <c r="E736" s="41">
        <v>1.6759283761136102E-3</v>
      </c>
    </row>
    <row r="737" spans="2:5" ht="15" customHeight="1">
      <c r="B737" s="93"/>
      <c r="C737" s="43" t="s">
        <v>186</v>
      </c>
      <c r="D737" s="42">
        <v>7</v>
      </c>
      <c r="E737" s="41">
        <v>3.0872364823145452E-4</v>
      </c>
    </row>
    <row r="738" spans="2:5" ht="15" customHeight="1">
      <c r="B738" s="93"/>
      <c r="C738" s="43" t="s">
        <v>185</v>
      </c>
      <c r="D738" s="42">
        <v>16</v>
      </c>
      <c r="E738" s="41">
        <v>7.0565405310046749E-4</v>
      </c>
    </row>
    <row r="739" spans="2:5" ht="15" customHeight="1">
      <c r="B739" s="93"/>
      <c r="C739" s="43" t="s">
        <v>184</v>
      </c>
      <c r="D739" s="42">
        <v>1</v>
      </c>
      <c r="E739" s="41">
        <v>4.4103378318779218E-5</v>
      </c>
    </row>
    <row r="740" spans="2:5" ht="15" customHeight="1">
      <c r="B740" s="93"/>
      <c r="C740" s="43" t="s">
        <v>181</v>
      </c>
      <c r="D740" s="42">
        <v>1</v>
      </c>
      <c r="E740" s="41">
        <v>4.4103378318779218E-5</v>
      </c>
    </row>
    <row r="741" spans="2:5" ht="15" customHeight="1">
      <c r="B741" s="93"/>
      <c r="C741" s="43" t="s">
        <v>179</v>
      </c>
      <c r="D741" s="42">
        <v>1</v>
      </c>
      <c r="E741" s="41">
        <v>4.4103378318779218E-5</v>
      </c>
    </row>
    <row r="742" spans="2:5" ht="15" customHeight="1">
      <c r="B742" s="94"/>
      <c r="C742" s="40" t="s">
        <v>20</v>
      </c>
      <c r="D742" s="39">
        <v>116</v>
      </c>
      <c r="E742" s="38">
        <v>5.1159918849783895E-3</v>
      </c>
    </row>
    <row r="743" spans="2:5" ht="15" customHeight="1">
      <c r="B743" s="92" t="s">
        <v>103</v>
      </c>
      <c r="C743" s="43" t="s">
        <v>199</v>
      </c>
      <c r="D743" s="42">
        <v>4</v>
      </c>
      <c r="E743" s="41">
        <v>1.7641351327511687E-4</v>
      </c>
    </row>
    <row r="744" spans="2:5" ht="15" customHeight="1">
      <c r="B744" s="93"/>
      <c r="C744" s="43" t="s">
        <v>197</v>
      </c>
      <c r="D744" s="42">
        <v>3</v>
      </c>
      <c r="E744" s="41">
        <v>1.3231013495633765E-4</v>
      </c>
    </row>
    <row r="745" spans="2:5" ht="15" customHeight="1">
      <c r="B745" s="93"/>
      <c r="C745" s="43" t="s">
        <v>196</v>
      </c>
      <c r="D745" s="42">
        <v>8</v>
      </c>
      <c r="E745" s="41">
        <v>3.5282702655023375E-4</v>
      </c>
    </row>
    <row r="746" spans="2:5" ht="15" customHeight="1">
      <c r="B746" s="93"/>
      <c r="C746" s="43" t="s">
        <v>195</v>
      </c>
      <c r="D746" s="42">
        <v>4</v>
      </c>
      <c r="E746" s="41">
        <v>1.7641351327511687E-4</v>
      </c>
    </row>
    <row r="747" spans="2:5" ht="15" customHeight="1">
      <c r="B747" s="93"/>
      <c r="C747" s="43" t="s">
        <v>194</v>
      </c>
      <c r="D747" s="42">
        <v>4</v>
      </c>
      <c r="E747" s="41">
        <v>1.7641351327511687E-4</v>
      </c>
    </row>
    <row r="748" spans="2:5" ht="15" customHeight="1">
      <c r="B748" s="93"/>
      <c r="C748" s="43" t="s">
        <v>193</v>
      </c>
      <c r="D748" s="42">
        <v>47</v>
      </c>
      <c r="E748" s="41">
        <v>2.0728587809826231E-3</v>
      </c>
    </row>
    <row r="749" spans="2:5" ht="15" customHeight="1">
      <c r="B749" s="93"/>
      <c r="C749" s="43" t="s">
        <v>192</v>
      </c>
      <c r="D749" s="42">
        <v>52</v>
      </c>
      <c r="E749" s="41">
        <v>2.2933756725765195E-3</v>
      </c>
    </row>
    <row r="750" spans="2:5" ht="15" customHeight="1">
      <c r="B750" s="93"/>
      <c r="C750" s="43" t="s">
        <v>191</v>
      </c>
      <c r="D750" s="42">
        <v>6</v>
      </c>
      <c r="E750" s="41">
        <v>2.646202699126753E-4</v>
      </c>
    </row>
    <row r="751" spans="2:5" ht="15" customHeight="1">
      <c r="B751" s="93"/>
      <c r="C751" s="43" t="s">
        <v>190</v>
      </c>
      <c r="D751" s="42">
        <v>7</v>
      </c>
      <c r="E751" s="41">
        <v>3.0872364823145452E-4</v>
      </c>
    </row>
    <row r="752" spans="2:5" ht="15" customHeight="1">
      <c r="B752" s="93"/>
      <c r="C752" s="43" t="s">
        <v>189</v>
      </c>
      <c r="D752" s="42">
        <v>15</v>
      </c>
      <c r="E752" s="41">
        <v>6.6155067478168832E-4</v>
      </c>
    </row>
    <row r="753" spans="2:5" ht="15" customHeight="1">
      <c r="B753" s="93"/>
      <c r="C753" s="43" t="s">
        <v>188</v>
      </c>
      <c r="D753" s="42">
        <v>138</v>
      </c>
      <c r="E753" s="41">
        <v>6.0862662079915319E-3</v>
      </c>
    </row>
    <row r="754" spans="2:5" ht="15" customHeight="1">
      <c r="B754" s="93"/>
      <c r="C754" s="43" t="s">
        <v>187</v>
      </c>
      <c r="D754" s="42">
        <v>5</v>
      </c>
      <c r="E754" s="41">
        <v>2.205168915938961E-4</v>
      </c>
    </row>
    <row r="755" spans="2:5" ht="15" customHeight="1">
      <c r="B755" s="93"/>
      <c r="C755" s="43" t="s">
        <v>186</v>
      </c>
      <c r="D755" s="42">
        <v>17</v>
      </c>
      <c r="E755" s="41">
        <v>7.4975743141924667E-4</v>
      </c>
    </row>
    <row r="756" spans="2:5" ht="15" customHeight="1">
      <c r="B756" s="93"/>
      <c r="C756" s="43" t="s">
        <v>185</v>
      </c>
      <c r="D756" s="42">
        <v>55</v>
      </c>
      <c r="E756" s="41">
        <v>2.4256858075328569E-3</v>
      </c>
    </row>
    <row r="757" spans="2:5" ht="15" customHeight="1">
      <c r="B757" s="93"/>
      <c r="C757" s="43" t="s">
        <v>180</v>
      </c>
      <c r="D757" s="42">
        <v>3</v>
      </c>
      <c r="E757" s="41">
        <v>1.3231013495633765E-4</v>
      </c>
    </row>
    <row r="758" spans="2:5" ht="15" customHeight="1">
      <c r="B758" s="93"/>
      <c r="C758" s="43" t="s">
        <v>179</v>
      </c>
      <c r="D758" s="42">
        <v>5</v>
      </c>
      <c r="E758" s="41">
        <v>2.205168915938961E-4</v>
      </c>
    </row>
    <row r="759" spans="2:5" ht="15" customHeight="1">
      <c r="B759" s="93"/>
      <c r="C759" s="43" t="s">
        <v>177</v>
      </c>
      <c r="D759" s="42">
        <v>1</v>
      </c>
      <c r="E759" s="41">
        <v>4.4103378318779218E-5</v>
      </c>
    </row>
    <row r="760" spans="2:5" ht="15" customHeight="1">
      <c r="B760" s="94"/>
      <c r="C760" s="40" t="s">
        <v>20</v>
      </c>
      <c r="D760" s="39">
        <v>374</v>
      </c>
      <c r="E760" s="38">
        <v>1.6494663491223426E-2</v>
      </c>
    </row>
    <row r="761" spans="2:5" ht="15" customHeight="1">
      <c r="B761" s="92" t="s">
        <v>203</v>
      </c>
      <c r="C761" s="43" t="s">
        <v>199</v>
      </c>
      <c r="D761" s="42">
        <v>2</v>
      </c>
      <c r="E761" s="41">
        <v>8.8206756637558437E-5</v>
      </c>
    </row>
    <row r="762" spans="2:5" ht="15" customHeight="1">
      <c r="B762" s="93"/>
      <c r="C762" s="43" t="s">
        <v>198</v>
      </c>
      <c r="D762" s="42">
        <v>4</v>
      </c>
      <c r="E762" s="41">
        <v>1.7641351327511687E-4</v>
      </c>
    </row>
    <row r="763" spans="2:5" ht="15" customHeight="1">
      <c r="B763" s="93"/>
      <c r="C763" s="43" t="s">
        <v>197</v>
      </c>
      <c r="D763" s="42">
        <v>6</v>
      </c>
      <c r="E763" s="41">
        <v>2.646202699126753E-4</v>
      </c>
    </row>
    <row r="764" spans="2:5" ht="15" customHeight="1">
      <c r="B764" s="93"/>
      <c r="C764" s="43" t="s">
        <v>196</v>
      </c>
      <c r="D764" s="42">
        <v>10</v>
      </c>
      <c r="E764" s="41">
        <v>4.410337831877922E-4</v>
      </c>
    </row>
    <row r="765" spans="2:5" ht="15" customHeight="1">
      <c r="B765" s="93"/>
      <c r="C765" s="43" t="s">
        <v>195</v>
      </c>
      <c r="D765" s="42">
        <v>10</v>
      </c>
      <c r="E765" s="41">
        <v>4.410337831877922E-4</v>
      </c>
    </row>
    <row r="766" spans="2:5" ht="15" customHeight="1">
      <c r="B766" s="93"/>
      <c r="C766" s="43" t="s">
        <v>194</v>
      </c>
      <c r="D766" s="42">
        <v>6</v>
      </c>
      <c r="E766" s="41">
        <v>2.646202699126753E-4</v>
      </c>
    </row>
    <row r="767" spans="2:5" ht="15" customHeight="1">
      <c r="B767" s="93"/>
      <c r="C767" s="43" t="s">
        <v>193</v>
      </c>
      <c r="D767" s="42">
        <v>35</v>
      </c>
      <c r="E767" s="41">
        <v>1.5436182411572726E-3</v>
      </c>
    </row>
    <row r="768" spans="2:5" ht="15" customHeight="1">
      <c r="B768" s="93"/>
      <c r="C768" s="43" t="s">
        <v>192</v>
      </c>
      <c r="D768" s="42">
        <v>20</v>
      </c>
      <c r="E768" s="41">
        <v>8.820675663755844E-4</v>
      </c>
    </row>
    <row r="769" spans="2:5" ht="15" customHeight="1">
      <c r="B769" s="93"/>
      <c r="C769" s="43" t="s">
        <v>191</v>
      </c>
      <c r="D769" s="42">
        <v>6</v>
      </c>
      <c r="E769" s="41">
        <v>2.646202699126753E-4</v>
      </c>
    </row>
    <row r="770" spans="2:5" ht="15" customHeight="1">
      <c r="B770" s="93"/>
      <c r="C770" s="43" t="s">
        <v>190</v>
      </c>
      <c r="D770" s="42">
        <v>5</v>
      </c>
      <c r="E770" s="41">
        <v>2.205168915938961E-4</v>
      </c>
    </row>
    <row r="771" spans="2:5" ht="15" customHeight="1">
      <c r="B771" s="93"/>
      <c r="C771" s="43" t="s">
        <v>189</v>
      </c>
      <c r="D771" s="42">
        <v>13</v>
      </c>
      <c r="E771" s="41">
        <v>5.7334391814412987E-4</v>
      </c>
    </row>
    <row r="772" spans="2:5" ht="15" customHeight="1">
      <c r="B772" s="93"/>
      <c r="C772" s="43" t="s">
        <v>188</v>
      </c>
      <c r="D772" s="42">
        <v>66</v>
      </c>
      <c r="E772" s="41">
        <v>2.9108229690394285E-3</v>
      </c>
    </row>
    <row r="773" spans="2:5" ht="15" customHeight="1">
      <c r="B773" s="93"/>
      <c r="C773" s="43" t="s">
        <v>187</v>
      </c>
      <c r="D773" s="42">
        <v>3</v>
      </c>
      <c r="E773" s="41">
        <v>1.3231013495633765E-4</v>
      </c>
    </row>
    <row r="774" spans="2:5" ht="15" customHeight="1">
      <c r="B774" s="93"/>
      <c r="C774" s="43" t="s">
        <v>186</v>
      </c>
      <c r="D774" s="42">
        <v>13</v>
      </c>
      <c r="E774" s="41">
        <v>5.7334391814412987E-4</v>
      </c>
    </row>
    <row r="775" spans="2:5" ht="15" customHeight="1">
      <c r="B775" s="93"/>
      <c r="C775" s="43" t="s">
        <v>185</v>
      </c>
      <c r="D775" s="42">
        <v>33</v>
      </c>
      <c r="E775" s="41">
        <v>1.4554114845197143E-3</v>
      </c>
    </row>
    <row r="776" spans="2:5" ht="15" customHeight="1">
      <c r="B776" s="93"/>
      <c r="C776" s="43" t="s">
        <v>184</v>
      </c>
      <c r="D776" s="42">
        <v>2</v>
      </c>
      <c r="E776" s="41">
        <v>8.8206756637558437E-5</v>
      </c>
    </row>
    <row r="777" spans="2:5" ht="15" customHeight="1">
      <c r="B777" s="93"/>
      <c r="C777" s="43" t="s">
        <v>182</v>
      </c>
      <c r="D777" s="42">
        <v>1</v>
      </c>
      <c r="E777" s="41">
        <v>4.4103378318779218E-5</v>
      </c>
    </row>
    <row r="778" spans="2:5" ht="15" customHeight="1">
      <c r="B778" s="93"/>
      <c r="C778" s="43" t="s">
        <v>181</v>
      </c>
      <c r="D778" s="42">
        <v>1</v>
      </c>
      <c r="E778" s="41">
        <v>4.4103378318779218E-5</v>
      </c>
    </row>
    <row r="779" spans="2:5" ht="15" customHeight="1">
      <c r="B779" s="93"/>
      <c r="C779" s="43" t="s">
        <v>179</v>
      </c>
      <c r="D779" s="42">
        <v>6</v>
      </c>
      <c r="E779" s="41">
        <v>2.646202699126753E-4</v>
      </c>
    </row>
    <row r="780" spans="2:5" ht="15" customHeight="1">
      <c r="B780" s="93"/>
      <c r="C780" s="43" t="s">
        <v>177</v>
      </c>
      <c r="D780" s="42">
        <v>1</v>
      </c>
      <c r="E780" s="41">
        <v>4.4103378318779218E-5</v>
      </c>
    </row>
    <row r="781" spans="2:5" ht="15" customHeight="1">
      <c r="B781" s="93"/>
      <c r="C781" s="43" t="s">
        <v>176</v>
      </c>
      <c r="D781" s="42">
        <v>1</v>
      </c>
      <c r="E781" s="41">
        <v>4.4103378318779218E-5</v>
      </c>
    </row>
    <row r="782" spans="2:5" ht="15" customHeight="1">
      <c r="B782" s="94"/>
      <c r="C782" s="40" t="s">
        <v>20</v>
      </c>
      <c r="D782" s="39">
        <v>244</v>
      </c>
      <c r="E782" s="38">
        <v>1.0761224309782129E-2</v>
      </c>
    </row>
    <row r="783" spans="2:5" ht="15" customHeight="1">
      <c r="B783" s="92" t="s">
        <v>105</v>
      </c>
      <c r="C783" s="43" t="s">
        <v>199</v>
      </c>
      <c r="D783" s="42">
        <v>7</v>
      </c>
      <c r="E783" s="41">
        <v>3.0872364823145452E-4</v>
      </c>
    </row>
    <row r="784" spans="2:5" ht="15" customHeight="1">
      <c r="B784" s="93"/>
      <c r="C784" s="43" t="s">
        <v>198</v>
      </c>
      <c r="D784" s="42">
        <v>1</v>
      </c>
      <c r="E784" s="41">
        <v>4.4103378318779218E-5</v>
      </c>
    </row>
    <row r="785" spans="2:5" ht="15" customHeight="1">
      <c r="B785" s="93"/>
      <c r="C785" s="43" t="s">
        <v>197</v>
      </c>
      <c r="D785" s="42">
        <v>3</v>
      </c>
      <c r="E785" s="41">
        <v>1.3231013495633765E-4</v>
      </c>
    </row>
    <row r="786" spans="2:5" ht="15" customHeight="1">
      <c r="B786" s="93"/>
      <c r="C786" s="43" t="s">
        <v>196</v>
      </c>
      <c r="D786" s="42">
        <v>12</v>
      </c>
      <c r="E786" s="41">
        <v>5.2924053982535059E-4</v>
      </c>
    </row>
    <row r="787" spans="2:5" ht="15" customHeight="1">
      <c r="B787" s="93"/>
      <c r="C787" s="43" t="s">
        <v>195</v>
      </c>
      <c r="D787" s="42">
        <v>3</v>
      </c>
      <c r="E787" s="41">
        <v>1.3231013495633765E-4</v>
      </c>
    </row>
    <row r="788" spans="2:5" ht="15" customHeight="1">
      <c r="B788" s="93"/>
      <c r="C788" s="43" t="s">
        <v>194</v>
      </c>
      <c r="D788" s="42">
        <v>10</v>
      </c>
      <c r="E788" s="41">
        <v>4.410337831877922E-4</v>
      </c>
    </row>
    <row r="789" spans="2:5" ht="15" customHeight="1">
      <c r="B789" s="93"/>
      <c r="C789" s="43" t="s">
        <v>193</v>
      </c>
      <c r="D789" s="42">
        <v>32</v>
      </c>
      <c r="E789" s="41">
        <v>1.411308106200935E-3</v>
      </c>
    </row>
    <row r="790" spans="2:5" ht="15" customHeight="1">
      <c r="B790" s="93"/>
      <c r="C790" s="43" t="s">
        <v>192</v>
      </c>
      <c r="D790" s="42">
        <v>49</v>
      </c>
      <c r="E790" s="41">
        <v>2.1610655376201817E-3</v>
      </c>
    </row>
    <row r="791" spans="2:5" ht="15" customHeight="1">
      <c r="B791" s="93"/>
      <c r="C791" s="43" t="s">
        <v>191</v>
      </c>
      <c r="D791" s="42">
        <v>1</v>
      </c>
      <c r="E791" s="41">
        <v>4.4103378318779218E-5</v>
      </c>
    </row>
    <row r="792" spans="2:5" ht="15" customHeight="1">
      <c r="B792" s="93"/>
      <c r="C792" s="43" t="s">
        <v>190</v>
      </c>
      <c r="D792" s="42">
        <v>14</v>
      </c>
      <c r="E792" s="41">
        <v>6.1744729646290904E-4</v>
      </c>
    </row>
    <row r="793" spans="2:5" ht="15" customHeight="1">
      <c r="B793" s="93"/>
      <c r="C793" s="43" t="s">
        <v>189</v>
      </c>
      <c r="D793" s="42">
        <v>2</v>
      </c>
      <c r="E793" s="41">
        <v>8.8206756637558437E-5</v>
      </c>
    </row>
    <row r="794" spans="2:5" ht="15" customHeight="1">
      <c r="B794" s="93"/>
      <c r="C794" s="43" t="s">
        <v>188</v>
      </c>
      <c r="D794" s="42">
        <v>74</v>
      </c>
      <c r="E794" s="41">
        <v>3.2636499955896623E-3</v>
      </c>
    </row>
    <row r="795" spans="2:5" ht="15" customHeight="1">
      <c r="B795" s="93"/>
      <c r="C795" s="43" t="s">
        <v>187</v>
      </c>
      <c r="D795" s="42">
        <v>5</v>
      </c>
      <c r="E795" s="41">
        <v>2.205168915938961E-4</v>
      </c>
    </row>
    <row r="796" spans="2:5" ht="15" customHeight="1">
      <c r="B796" s="93"/>
      <c r="C796" s="43" t="s">
        <v>186</v>
      </c>
      <c r="D796" s="42">
        <v>17</v>
      </c>
      <c r="E796" s="41">
        <v>7.4975743141924667E-4</v>
      </c>
    </row>
    <row r="797" spans="2:5" ht="15" customHeight="1">
      <c r="B797" s="93"/>
      <c r="C797" s="43" t="s">
        <v>185</v>
      </c>
      <c r="D797" s="42">
        <v>43</v>
      </c>
      <c r="E797" s="41">
        <v>1.8964452677075064E-3</v>
      </c>
    </row>
    <row r="798" spans="2:5" ht="15" customHeight="1">
      <c r="B798" s="93"/>
      <c r="C798" s="43" t="s">
        <v>184</v>
      </c>
      <c r="D798" s="42">
        <v>2</v>
      </c>
      <c r="E798" s="41">
        <v>8.8206756637558437E-5</v>
      </c>
    </row>
    <row r="799" spans="2:5" ht="15" customHeight="1">
      <c r="B799" s="93"/>
      <c r="C799" s="43" t="s">
        <v>183</v>
      </c>
      <c r="D799" s="42">
        <v>1</v>
      </c>
      <c r="E799" s="41">
        <v>4.4103378318779218E-5</v>
      </c>
    </row>
    <row r="800" spans="2:5" ht="15" customHeight="1">
      <c r="B800" s="93"/>
      <c r="C800" s="43" t="s">
        <v>182</v>
      </c>
      <c r="D800" s="42">
        <v>2</v>
      </c>
      <c r="E800" s="41">
        <v>8.8206756637558437E-5</v>
      </c>
    </row>
    <row r="801" spans="2:5" ht="15" customHeight="1">
      <c r="B801" s="93"/>
      <c r="C801" s="43" t="s">
        <v>181</v>
      </c>
      <c r="D801" s="42">
        <v>1</v>
      </c>
      <c r="E801" s="41">
        <v>4.4103378318779218E-5</v>
      </c>
    </row>
    <row r="802" spans="2:5" ht="15" customHeight="1">
      <c r="B802" s="93"/>
      <c r="C802" s="43" t="s">
        <v>180</v>
      </c>
      <c r="D802" s="42">
        <v>5</v>
      </c>
      <c r="E802" s="41">
        <v>2.205168915938961E-4</v>
      </c>
    </row>
    <row r="803" spans="2:5" ht="15" customHeight="1">
      <c r="B803" s="93"/>
      <c r="C803" s="43" t="s">
        <v>179</v>
      </c>
      <c r="D803" s="42">
        <v>2</v>
      </c>
      <c r="E803" s="41">
        <v>8.8206756637558437E-5</v>
      </c>
    </row>
    <row r="804" spans="2:5" ht="15" customHeight="1">
      <c r="B804" s="94"/>
      <c r="C804" s="40" t="s">
        <v>20</v>
      </c>
      <c r="D804" s="39">
        <v>286</v>
      </c>
      <c r="E804" s="38">
        <v>1.2613566199170857E-2</v>
      </c>
    </row>
    <row r="805" spans="2:5" ht="15" customHeight="1">
      <c r="B805" s="92" t="s">
        <v>83</v>
      </c>
      <c r="C805" s="43" t="s">
        <v>199</v>
      </c>
      <c r="D805" s="42">
        <v>3</v>
      </c>
      <c r="E805" s="41">
        <v>1.3231013495633765E-4</v>
      </c>
    </row>
    <row r="806" spans="2:5" ht="15" customHeight="1">
      <c r="B806" s="93"/>
      <c r="C806" s="43" t="s">
        <v>197</v>
      </c>
      <c r="D806" s="42">
        <v>3</v>
      </c>
      <c r="E806" s="41">
        <v>1.3231013495633765E-4</v>
      </c>
    </row>
    <row r="807" spans="2:5" ht="15" customHeight="1">
      <c r="B807" s="93"/>
      <c r="C807" s="43" t="s">
        <v>196</v>
      </c>
      <c r="D807" s="42">
        <v>2</v>
      </c>
      <c r="E807" s="41">
        <v>8.8206756637558437E-5</v>
      </c>
    </row>
    <row r="808" spans="2:5" ht="15" customHeight="1">
      <c r="B808" s="93"/>
      <c r="C808" s="43" t="s">
        <v>195</v>
      </c>
      <c r="D808" s="42">
        <v>2</v>
      </c>
      <c r="E808" s="41">
        <v>8.8206756637558437E-5</v>
      </c>
    </row>
    <row r="809" spans="2:5" ht="15" customHeight="1">
      <c r="B809" s="93"/>
      <c r="C809" s="43" t="s">
        <v>194</v>
      </c>
      <c r="D809" s="42">
        <v>1</v>
      </c>
      <c r="E809" s="41">
        <v>4.4103378318779218E-5</v>
      </c>
    </row>
    <row r="810" spans="2:5" ht="15" customHeight="1">
      <c r="B810" s="93"/>
      <c r="C810" s="43" t="s">
        <v>193</v>
      </c>
      <c r="D810" s="42">
        <v>9</v>
      </c>
      <c r="E810" s="41">
        <v>3.9693040486901297E-4</v>
      </c>
    </row>
    <row r="811" spans="2:5" ht="15" customHeight="1">
      <c r="B811" s="93"/>
      <c r="C811" s="43" t="s">
        <v>192</v>
      </c>
      <c r="D811" s="42">
        <v>17</v>
      </c>
      <c r="E811" s="41">
        <v>7.4975743141924667E-4</v>
      </c>
    </row>
    <row r="812" spans="2:5" ht="15" customHeight="1">
      <c r="B812" s="93"/>
      <c r="C812" s="43" t="s">
        <v>190</v>
      </c>
      <c r="D812" s="42">
        <v>2</v>
      </c>
      <c r="E812" s="41">
        <v>8.8206756637558437E-5</v>
      </c>
    </row>
    <row r="813" spans="2:5" ht="15" customHeight="1">
      <c r="B813" s="93"/>
      <c r="C813" s="43" t="s">
        <v>188</v>
      </c>
      <c r="D813" s="42">
        <v>18</v>
      </c>
      <c r="E813" s="41">
        <v>7.9386080973802594E-4</v>
      </c>
    </row>
    <row r="814" spans="2:5" ht="15" customHeight="1">
      <c r="B814" s="93"/>
      <c r="C814" s="43" t="s">
        <v>187</v>
      </c>
      <c r="D814" s="42">
        <v>1</v>
      </c>
      <c r="E814" s="41">
        <v>4.4103378318779218E-5</v>
      </c>
    </row>
    <row r="815" spans="2:5" ht="15" customHeight="1">
      <c r="B815" s="93"/>
      <c r="C815" s="43" t="s">
        <v>186</v>
      </c>
      <c r="D815" s="42">
        <v>6</v>
      </c>
      <c r="E815" s="41">
        <v>2.646202699126753E-4</v>
      </c>
    </row>
    <row r="816" spans="2:5" ht="15" customHeight="1">
      <c r="B816" s="93"/>
      <c r="C816" s="43" t="s">
        <v>185</v>
      </c>
      <c r="D816" s="42">
        <v>16</v>
      </c>
      <c r="E816" s="41">
        <v>7.0565405310046749E-4</v>
      </c>
    </row>
    <row r="817" spans="2:5" ht="15" customHeight="1">
      <c r="B817" s="93"/>
      <c r="C817" s="43" t="s">
        <v>180</v>
      </c>
      <c r="D817" s="42">
        <v>3</v>
      </c>
      <c r="E817" s="41">
        <v>1.3231013495633765E-4</v>
      </c>
    </row>
    <row r="818" spans="2:5" ht="15" customHeight="1">
      <c r="B818" s="93"/>
      <c r="C818" s="43" t="s">
        <v>179</v>
      </c>
      <c r="D818" s="42">
        <v>2</v>
      </c>
      <c r="E818" s="41">
        <v>8.8206756637558437E-5</v>
      </c>
    </row>
    <row r="819" spans="2:5" ht="15" customHeight="1">
      <c r="B819" s="94"/>
      <c r="C819" s="40" t="s">
        <v>20</v>
      </c>
      <c r="D819" s="39">
        <v>85</v>
      </c>
      <c r="E819" s="38">
        <v>3.7487871570962335E-3</v>
      </c>
    </row>
    <row r="820" spans="2:5" ht="15" customHeight="1">
      <c r="B820" s="92" t="s">
        <v>74</v>
      </c>
      <c r="C820" s="43" t="s">
        <v>199</v>
      </c>
      <c r="D820" s="42">
        <v>1</v>
      </c>
      <c r="E820" s="41">
        <v>4.4103378318779218E-5</v>
      </c>
    </row>
    <row r="821" spans="2:5" ht="15" customHeight="1">
      <c r="B821" s="93"/>
      <c r="C821" s="43" t="s">
        <v>196</v>
      </c>
      <c r="D821" s="42">
        <v>1</v>
      </c>
      <c r="E821" s="41">
        <v>4.4103378318779218E-5</v>
      </c>
    </row>
    <row r="822" spans="2:5" ht="15" customHeight="1">
      <c r="B822" s="93"/>
      <c r="C822" s="43" t="s">
        <v>195</v>
      </c>
      <c r="D822" s="42">
        <v>1</v>
      </c>
      <c r="E822" s="41">
        <v>4.4103378318779218E-5</v>
      </c>
    </row>
    <row r="823" spans="2:5" ht="15" customHeight="1">
      <c r="B823" s="93"/>
      <c r="C823" s="43" t="s">
        <v>193</v>
      </c>
      <c r="D823" s="42">
        <v>1</v>
      </c>
      <c r="E823" s="41">
        <v>4.4103378318779218E-5</v>
      </c>
    </row>
    <row r="824" spans="2:5" ht="15" customHeight="1">
      <c r="B824" s="93"/>
      <c r="C824" s="43" t="s">
        <v>192</v>
      </c>
      <c r="D824" s="42">
        <v>3</v>
      </c>
      <c r="E824" s="41">
        <v>1.3231013495633765E-4</v>
      </c>
    </row>
    <row r="825" spans="2:5" ht="15" customHeight="1">
      <c r="B825" s="93"/>
      <c r="C825" s="43" t="s">
        <v>188</v>
      </c>
      <c r="D825" s="42">
        <v>7</v>
      </c>
      <c r="E825" s="41">
        <v>3.0872364823145452E-4</v>
      </c>
    </row>
    <row r="826" spans="2:5" ht="15" customHeight="1">
      <c r="B826" s="93"/>
      <c r="C826" s="43" t="s">
        <v>186</v>
      </c>
      <c r="D826" s="42">
        <v>1</v>
      </c>
      <c r="E826" s="41">
        <v>4.4103378318779218E-5</v>
      </c>
    </row>
    <row r="827" spans="2:5" ht="15" customHeight="1">
      <c r="B827" s="93"/>
      <c r="C827" s="43" t="s">
        <v>185</v>
      </c>
      <c r="D827" s="42">
        <v>7</v>
      </c>
      <c r="E827" s="41">
        <v>3.0872364823145452E-4</v>
      </c>
    </row>
    <row r="828" spans="2:5" ht="15" customHeight="1">
      <c r="B828" s="93"/>
      <c r="C828" s="43" t="s">
        <v>177</v>
      </c>
      <c r="D828" s="42">
        <v>1</v>
      </c>
      <c r="E828" s="41">
        <v>4.4103378318779218E-5</v>
      </c>
    </row>
    <row r="829" spans="2:5" ht="15" customHeight="1">
      <c r="B829" s="94"/>
      <c r="C829" s="40" t="s">
        <v>20</v>
      </c>
      <c r="D829" s="39">
        <v>23</v>
      </c>
      <c r="E829" s="38">
        <v>1.0143777013319221E-3</v>
      </c>
    </row>
    <row r="830" spans="2:5" ht="15" customHeight="1">
      <c r="B830" s="92" t="s">
        <v>38</v>
      </c>
      <c r="C830" s="43" t="s">
        <v>199</v>
      </c>
      <c r="D830" s="42">
        <v>3</v>
      </c>
      <c r="E830" s="41">
        <v>1.3231013495633765E-4</v>
      </c>
    </row>
    <row r="831" spans="2:5" ht="15" customHeight="1">
      <c r="B831" s="93"/>
      <c r="C831" s="43" t="s">
        <v>198</v>
      </c>
      <c r="D831" s="42">
        <v>1</v>
      </c>
      <c r="E831" s="41">
        <v>4.4103378318779218E-5</v>
      </c>
    </row>
    <row r="832" spans="2:5" ht="15" customHeight="1">
      <c r="B832" s="93"/>
      <c r="C832" s="43" t="s">
        <v>197</v>
      </c>
      <c r="D832" s="42">
        <v>2</v>
      </c>
      <c r="E832" s="41">
        <v>8.8206756637558437E-5</v>
      </c>
    </row>
    <row r="833" spans="2:5" ht="15" customHeight="1">
      <c r="B833" s="93"/>
      <c r="C833" s="43" t="s">
        <v>196</v>
      </c>
      <c r="D833" s="42">
        <v>1</v>
      </c>
      <c r="E833" s="41">
        <v>4.4103378318779218E-5</v>
      </c>
    </row>
    <row r="834" spans="2:5" ht="15" customHeight="1">
      <c r="B834" s="93"/>
      <c r="C834" s="43" t="s">
        <v>195</v>
      </c>
      <c r="D834" s="42">
        <v>1</v>
      </c>
      <c r="E834" s="41">
        <v>4.4103378318779218E-5</v>
      </c>
    </row>
    <row r="835" spans="2:5" ht="15" customHeight="1">
      <c r="B835" s="93"/>
      <c r="C835" s="43" t="s">
        <v>194</v>
      </c>
      <c r="D835" s="42">
        <v>3</v>
      </c>
      <c r="E835" s="41">
        <v>1.3231013495633765E-4</v>
      </c>
    </row>
    <row r="836" spans="2:5" ht="15" customHeight="1">
      <c r="B836" s="93"/>
      <c r="C836" s="43" t="s">
        <v>193</v>
      </c>
      <c r="D836" s="42">
        <v>18</v>
      </c>
      <c r="E836" s="41">
        <v>7.9386080973802594E-4</v>
      </c>
    </row>
    <row r="837" spans="2:5" ht="15" customHeight="1">
      <c r="B837" s="93"/>
      <c r="C837" s="43" t="s">
        <v>192</v>
      </c>
      <c r="D837" s="42">
        <v>30</v>
      </c>
      <c r="E837" s="41">
        <v>1.3231013495633766E-3</v>
      </c>
    </row>
    <row r="838" spans="2:5" ht="15" customHeight="1">
      <c r="B838" s="93"/>
      <c r="C838" s="43" t="s">
        <v>191</v>
      </c>
      <c r="D838" s="42">
        <v>6</v>
      </c>
      <c r="E838" s="41">
        <v>2.646202699126753E-4</v>
      </c>
    </row>
    <row r="839" spans="2:5" ht="15" customHeight="1">
      <c r="B839" s="93"/>
      <c r="C839" s="43" t="s">
        <v>190</v>
      </c>
      <c r="D839" s="42">
        <v>7</v>
      </c>
      <c r="E839" s="41">
        <v>3.0872364823145452E-4</v>
      </c>
    </row>
    <row r="840" spans="2:5" ht="15" customHeight="1">
      <c r="B840" s="93"/>
      <c r="C840" s="43" t="s">
        <v>189</v>
      </c>
      <c r="D840" s="42">
        <v>9</v>
      </c>
      <c r="E840" s="41">
        <v>3.9693040486901297E-4</v>
      </c>
    </row>
    <row r="841" spans="2:5" ht="15" customHeight="1">
      <c r="B841" s="93"/>
      <c r="C841" s="43" t="s">
        <v>188</v>
      </c>
      <c r="D841" s="42">
        <v>46</v>
      </c>
      <c r="E841" s="41">
        <v>2.0287554026638442E-3</v>
      </c>
    </row>
    <row r="842" spans="2:5" ht="15" customHeight="1">
      <c r="B842" s="93"/>
      <c r="C842" s="43" t="s">
        <v>186</v>
      </c>
      <c r="D842" s="42">
        <v>9</v>
      </c>
      <c r="E842" s="41">
        <v>3.9693040486901297E-4</v>
      </c>
    </row>
    <row r="843" spans="2:5" ht="15" customHeight="1">
      <c r="B843" s="93"/>
      <c r="C843" s="43" t="s">
        <v>185</v>
      </c>
      <c r="D843" s="42">
        <v>15</v>
      </c>
      <c r="E843" s="41">
        <v>6.6155067478168832E-4</v>
      </c>
    </row>
    <row r="844" spans="2:5" ht="15" customHeight="1">
      <c r="B844" s="93"/>
      <c r="C844" s="43" t="s">
        <v>184</v>
      </c>
      <c r="D844" s="42">
        <v>1</v>
      </c>
      <c r="E844" s="41">
        <v>4.4103378318779218E-5</v>
      </c>
    </row>
    <row r="845" spans="2:5" ht="15" customHeight="1">
      <c r="B845" s="93"/>
      <c r="C845" s="43" t="s">
        <v>181</v>
      </c>
      <c r="D845" s="42">
        <v>1</v>
      </c>
      <c r="E845" s="41">
        <v>4.4103378318779218E-5</v>
      </c>
    </row>
    <row r="846" spans="2:5" ht="15" customHeight="1">
      <c r="B846" s="93"/>
      <c r="C846" s="43" t="s">
        <v>180</v>
      </c>
      <c r="D846" s="42">
        <v>1</v>
      </c>
      <c r="E846" s="41">
        <v>4.4103378318779218E-5</v>
      </c>
    </row>
    <row r="847" spans="2:5" ht="15" customHeight="1">
      <c r="B847" s="93"/>
      <c r="C847" s="43" t="s">
        <v>179</v>
      </c>
      <c r="D847" s="42">
        <v>1</v>
      </c>
      <c r="E847" s="41">
        <v>4.4103378318779218E-5</v>
      </c>
    </row>
    <row r="848" spans="2:5" ht="15" customHeight="1">
      <c r="B848" s="94"/>
      <c r="C848" s="40" t="s">
        <v>20</v>
      </c>
      <c r="D848" s="39">
        <v>155</v>
      </c>
      <c r="E848" s="38">
        <v>6.8360236394107788E-3</v>
      </c>
    </row>
    <row r="849" spans="2:5" ht="15" customHeight="1">
      <c r="B849" s="92" t="s">
        <v>71</v>
      </c>
      <c r="C849" s="43" t="s">
        <v>199</v>
      </c>
      <c r="D849" s="42">
        <v>1</v>
      </c>
      <c r="E849" s="41">
        <v>4.4103378318779218E-5</v>
      </c>
    </row>
    <row r="850" spans="2:5" ht="15" customHeight="1">
      <c r="B850" s="93"/>
      <c r="C850" s="43" t="s">
        <v>198</v>
      </c>
      <c r="D850" s="42">
        <v>1</v>
      </c>
      <c r="E850" s="41">
        <v>4.4103378318779218E-5</v>
      </c>
    </row>
    <row r="851" spans="2:5" ht="15" customHeight="1">
      <c r="B851" s="93"/>
      <c r="C851" s="43" t="s">
        <v>197</v>
      </c>
      <c r="D851" s="42">
        <v>1</v>
      </c>
      <c r="E851" s="41">
        <v>4.4103378318779218E-5</v>
      </c>
    </row>
    <row r="852" spans="2:5" ht="15" customHeight="1">
      <c r="B852" s="93"/>
      <c r="C852" s="43" t="s">
        <v>195</v>
      </c>
      <c r="D852" s="42">
        <v>1</v>
      </c>
      <c r="E852" s="41">
        <v>4.4103378318779218E-5</v>
      </c>
    </row>
    <row r="853" spans="2:5" ht="15" customHeight="1">
      <c r="B853" s="93"/>
      <c r="C853" s="43" t="s">
        <v>194</v>
      </c>
      <c r="D853" s="42">
        <v>2</v>
      </c>
      <c r="E853" s="41">
        <v>8.8206756637558437E-5</v>
      </c>
    </row>
    <row r="854" spans="2:5" ht="15" customHeight="1">
      <c r="B854" s="93"/>
      <c r="C854" s="43" t="s">
        <v>193</v>
      </c>
      <c r="D854" s="42">
        <v>4</v>
      </c>
      <c r="E854" s="41">
        <v>1.7641351327511687E-4</v>
      </c>
    </row>
    <row r="855" spans="2:5" ht="15" customHeight="1">
      <c r="B855" s="93"/>
      <c r="C855" s="43" t="s">
        <v>188</v>
      </c>
      <c r="D855" s="42">
        <v>1</v>
      </c>
      <c r="E855" s="41">
        <v>4.4103378318779218E-5</v>
      </c>
    </row>
    <row r="856" spans="2:5" ht="15" customHeight="1">
      <c r="B856" s="93"/>
      <c r="C856" s="43" t="s">
        <v>186</v>
      </c>
      <c r="D856" s="42">
        <v>1</v>
      </c>
      <c r="E856" s="41">
        <v>4.4103378318779218E-5</v>
      </c>
    </row>
    <row r="857" spans="2:5" ht="15" customHeight="1">
      <c r="B857" s="93"/>
      <c r="C857" s="43" t="s">
        <v>185</v>
      </c>
      <c r="D857" s="42">
        <v>3</v>
      </c>
      <c r="E857" s="41">
        <v>1.3231013495633765E-4</v>
      </c>
    </row>
    <row r="858" spans="2:5" ht="15" customHeight="1">
      <c r="B858" s="93"/>
      <c r="C858" s="43" t="s">
        <v>179</v>
      </c>
      <c r="D858" s="42">
        <v>1</v>
      </c>
      <c r="E858" s="41">
        <v>4.4103378318779218E-5</v>
      </c>
    </row>
    <row r="859" spans="2:5" ht="15" customHeight="1">
      <c r="B859" s="94"/>
      <c r="C859" s="40" t="s">
        <v>20</v>
      </c>
      <c r="D859" s="39">
        <v>16</v>
      </c>
      <c r="E859" s="38">
        <v>7.0565405310046749E-4</v>
      </c>
    </row>
    <row r="860" spans="2:5" ht="15" customHeight="1">
      <c r="B860" s="96" t="s">
        <v>20</v>
      </c>
      <c r="C860" s="97"/>
      <c r="D860" s="68">
        <v>22674</v>
      </c>
      <c r="E860" s="69">
        <v>1</v>
      </c>
    </row>
    <row r="862" spans="2:5" ht="15" customHeight="1">
      <c r="B862" s="19" t="s">
        <v>255</v>
      </c>
    </row>
    <row r="863" spans="2:5" ht="15" customHeight="1">
      <c r="B863" s="21" t="s">
        <v>19</v>
      </c>
    </row>
    <row r="864" spans="2:5" ht="15" customHeight="1">
      <c r="B864" s="20" t="s">
        <v>18</v>
      </c>
    </row>
    <row r="865" spans="2:2" ht="15" customHeight="1">
      <c r="B865" s="19" t="s">
        <v>17</v>
      </c>
    </row>
    <row r="866" spans="2:2" ht="15" customHeight="1">
      <c r="B866" s="19" t="s">
        <v>256</v>
      </c>
    </row>
  </sheetData>
  <mergeCells count="51">
    <mergeCell ref="B761:B782"/>
    <mergeCell ref="B659:B678"/>
    <mergeCell ref="B679:B700"/>
    <mergeCell ref="B701:B724"/>
    <mergeCell ref="B860:C860"/>
    <mergeCell ref="B783:B804"/>
    <mergeCell ref="B805:B819"/>
    <mergeCell ref="B820:B829"/>
    <mergeCell ref="B830:B848"/>
    <mergeCell ref="B849:B859"/>
    <mergeCell ref="B7:E8"/>
    <mergeCell ref="B68:B86"/>
    <mergeCell ref="B87:B98"/>
    <mergeCell ref="B99:B110"/>
    <mergeCell ref="B111:B114"/>
    <mergeCell ref="B10:B27"/>
    <mergeCell ref="B28:B48"/>
    <mergeCell ref="B49:B67"/>
    <mergeCell ref="B115:B137"/>
    <mergeCell ref="B138:B162"/>
    <mergeCell ref="B163:B169"/>
    <mergeCell ref="B170:B194"/>
    <mergeCell ref="B195:B213"/>
    <mergeCell ref="B214:B216"/>
    <mergeCell ref="B217:B232"/>
    <mergeCell ref="B233:B247"/>
    <mergeCell ref="B248:B267"/>
    <mergeCell ref="B463:B480"/>
    <mergeCell ref="B460:B462"/>
    <mergeCell ref="B268:B291"/>
    <mergeCell ref="B292:B310"/>
    <mergeCell ref="B311:B331"/>
    <mergeCell ref="B332:B339"/>
    <mergeCell ref="B340:B358"/>
    <mergeCell ref="B359:B379"/>
    <mergeCell ref="B380:B403"/>
    <mergeCell ref="B404:B421"/>
    <mergeCell ref="B422:B438"/>
    <mergeCell ref="B439:B459"/>
    <mergeCell ref="B481:B495"/>
    <mergeCell ref="B496:B517"/>
    <mergeCell ref="B725:B742"/>
    <mergeCell ref="B743:B760"/>
    <mergeCell ref="B576:B594"/>
    <mergeCell ref="B595:B600"/>
    <mergeCell ref="B601:B620"/>
    <mergeCell ref="B621:B643"/>
    <mergeCell ref="B644:B658"/>
    <mergeCell ref="B518:B534"/>
    <mergeCell ref="B535:B554"/>
    <mergeCell ref="B555:B575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8" orientation="portrait" r:id="rId1"/>
  <colBreaks count="1" manualBreakCount="1">
    <brk id="5" max="18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20"/>
  <sheetViews>
    <sheetView showGridLines="0" zoomScaleNormal="100" zoomScaleSheetLayoutView="115" workbookViewId="0">
      <selection activeCell="G12" sqref="G12"/>
    </sheetView>
  </sheetViews>
  <sheetFormatPr baseColWidth="10" defaultColWidth="11.42578125" defaultRowHeight="1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5" s="29" customFormat="1" ht="15" customHeight="1">
      <c r="C1" s="35"/>
    </row>
    <row r="2" spans="1:5" s="29" customFormat="1" ht="15" customHeight="1">
      <c r="C2" s="35"/>
    </row>
    <row r="3" spans="1:5" s="29" customFormat="1" ht="15" customHeight="1">
      <c r="A3" s="29" t="s">
        <v>67</v>
      </c>
      <c r="C3" s="35"/>
    </row>
    <row r="4" spans="1:5" s="29" customFormat="1" ht="30" customHeight="1">
      <c r="C4" s="35"/>
      <c r="D4" s="34"/>
    </row>
    <row r="5" spans="1:5" s="29" customFormat="1" ht="15" customHeight="1">
      <c r="C5" s="35"/>
      <c r="D5" s="34"/>
    </row>
    <row r="6" spans="1:5" s="29" customFormat="1" ht="15" customHeight="1">
      <c r="C6" s="35"/>
      <c r="D6" s="34"/>
    </row>
    <row r="7" spans="1:5" s="29" customFormat="1" ht="15" customHeight="1">
      <c r="B7" s="91" t="s">
        <v>262</v>
      </c>
      <c r="C7" s="91"/>
      <c r="D7" s="91"/>
    </row>
    <row r="8" spans="1:5" s="29" customFormat="1" ht="15" customHeight="1">
      <c r="B8" s="91"/>
      <c r="C8" s="91"/>
      <c r="D8" s="91"/>
    </row>
    <row r="9" spans="1:5" s="29" customFormat="1" ht="33" customHeight="1">
      <c r="B9" s="91"/>
      <c r="C9" s="91"/>
      <c r="D9" s="91"/>
    </row>
    <row r="10" spans="1:5" s="29" customFormat="1" ht="4.5" customHeight="1">
      <c r="B10" s="33"/>
      <c r="C10" s="33"/>
      <c r="D10" s="33"/>
    </row>
    <row r="11" spans="1:5" s="29" customFormat="1" ht="33" customHeight="1">
      <c r="B11" s="32" t="s">
        <v>213</v>
      </c>
      <c r="C11" s="31" t="s">
        <v>65</v>
      </c>
      <c r="D11" s="30" t="s">
        <v>64</v>
      </c>
    </row>
    <row r="12" spans="1:5">
      <c r="B12" s="27" t="s">
        <v>212</v>
      </c>
      <c r="C12" s="26">
        <v>13034</v>
      </c>
      <c r="D12" s="25">
        <v>0.57484343300696839</v>
      </c>
    </row>
    <row r="13" spans="1:5">
      <c r="B13" s="27" t="s">
        <v>211</v>
      </c>
      <c r="C13" s="26">
        <v>9640</v>
      </c>
      <c r="D13" s="25">
        <v>0.42515656699303167</v>
      </c>
    </row>
    <row r="14" spans="1:5">
      <c r="B14" s="24" t="s">
        <v>210</v>
      </c>
      <c r="C14" s="23">
        <v>22674</v>
      </c>
      <c r="D14" s="22">
        <v>1</v>
      </c>
    </row>
    <row r="15" spans="1:5">
      <c r="B15" s="28"/>
      <c r="C15" s="59"/>
      <c r="D15" s="59"/>
      <c r="E15" s="28"/>
    </row>
    <row r="16" spans="1:5">
      <c r="B16" s="19" t="s">
        <v>255</v>
      </c>
      <c r="C16" s="59"/>
      <c r="D16" s="59"/>
      <c r="E16" s="28"/>
    </row>
    <row r="17" spans="2:4">
      <c r="B17" s="21" t="s">
        <v>19</v>
      </c>
      <c r="C17" s="58"/>
      <c r="D17" s="58"/>
    </row>
    <row r="18" spans="2:4">
      <c r="B18" s="20" t="s">
        <v>18</v>
      </c>
      <c r="C18" s="57"/>
      <c r="D18" s="57"/>
    </row>
    <row r="19" spans="2:4">
      <c r="B19" s="19" t="s">
        <v>17</v>
      </c>
    </row>
    <row r="20" spans="2:4">
      <c r="B20" s="19" t="s">
        <v>256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164"/>
  <sheetViews>
    <sheetView showGridLines="0" zoomScale="91" zoomScaleNormal="91" zoomScaleSheetLayoutView="100" workbookViewId="0">
      <selection activeCell="H16" sqref="H16"/>
    </sheetView>
  </sheetViews>
  <sheetFormatPr baseColWidth="10" defaultColWidth="11.42578125" defaultRowHeight="11.25"/>
  <cols>
    <col min="1" max="1" width="5.7109375" style="29" customWidth="1"/>
    <col min="2" max="2" width="19" style="47" customWidth="1"/>
    <col min="3" max="3" width="14.7109375" style="47" customWidth="1"/>
    <col min="4" max="4" width="23.5703125" style="60" customWidth="1"/>
    <col min="5" max="5" width="15.140625" style="47" bestFit="1" customWidth="1"/>
    <col min="6" max="6" width="5.7109375" style="29" customWidth="1"/>
    <col min="7" max="16384" width="11.42578125" style="29"/>
  </cols>
  <sheetData>
    <row r="1" spans="1:6" s="62" customFormat="1" ht="15">
      <c r="B1" s="51"/>
      <c r="C1" s="47"/>
    </row>
    <row r="2" spans="1:6" s="47" customFormat="1">
      <c r="B2" s="66"/>
    </row>
    <row r="3" spans="1:6" ht="15" customHeight="1">
      <c r="B3" s="67"/>
      <c r="C3" s="35"/>
      <c r="D3" s="29"/>
      <c r="F3" s="47"/>
    </row>
    <row r="4" spans="1:6" ht="30" customHeight="1">
      <c r="B4" s="67"/>
      <c r="C4" s="35"/>
      <c r="D4" s="29"/>
      <c r="F4" s="47"/>
    </row>
    <row r="5" spans="1:6" ht="15" customHeight="1">
      <c r="B5" s="67"/>
      <c r="C5" s="35"/>
      <c r="D5" s="29"/>
      <c r="F5" s="47"/>
    </row>
    <row r="6" spans="1:6" s="47" customFormat="1">
      <c r="B6" s="55"/>
      <c r="C6" s="49"/>
    </row>
    <row r="7" spans="1:6" s="47" customFormat="1">
      <c r="A7" s="51"/>
      <c r="B7" s="66"/>
      <c r="C7" s="51"/>
    </row>
    <row r="8" spans="1:6" s="62" customFormat="1" ht="15" customHeight="1">
      <c r="B8" s="91" t="s">
        <v>263</v>
      </c>
      <c r="C8" s="91"/>
      <c r="D8" s="91"/>
      <c r="E8" s="91"/>
    </row>
    <row r="9" spans="1:6" s="62" customFormat="1" ht="15" customHeight="1">
      <c r="A9" s="64"/>
      <c r="B9" s="91"/>
      <c r="C9" s="91"/>
      <c r="D9" s="91"/>
      <c r="E9" s="91"/>
      <c r="F9" s="65"/>
    </row>
    <row r="10" spans="1:6" s="62" customFormat="1" ht="15" customHeight="1">
      <c r="A10" s="64"/>
      <c r="B10" s="91"/>
      <c r="C10" s="91"/>
      <c r="D10" s="91"/>
      <c r="E10" s="91"/>
      <c r="F10" s="64"/>
    </row>
    <row r="11" spans="1:6" s="62" customFormat="1" ht="15" customHeight="1">
      <c r="A11" s="64"/>
      <c r="B11" s="70"/>
      <c r="C11" s="70"/>
      <c r="D11" s="70"/>
      <c r="E11" s="70"/>
      <c r="F11" s="64"/>
    </row>
    <row r="12" spans="1:6" s="62" customFormat="1" ht="36.950000000000003" customHeight="1">
      <c r="B12" s="63" t="s">
        <v>115</v>
      </c>
      <c r="C12" s="63" t="s">
        <v>213</v>
      </c>
      <c r="D12" s="63" t="s">
        <v>65</v>
      </c>
      <c r="E12" s="63" t="s">
        <v>64</v>
      </c>
    </row>
    <row r="13" spans="1:6" ht="13.5">
      <c r="B13" s="98" t="s">
        <v>78</v>
      </c>
      <c r="C13" s="61" t="s">
        <v>215</v>
      </c>
      <c r="D13" s="26">
        <v>108</v>
      </c>
      <c r="E13" s="25">
        <v>4.7631648584281552E-3</v>
      </c>
    </row>
    <row r="14" spans="1:6" ht="13.5">
      <c r="B14" s="99"/>
      <c r="C14" s="61" t="s">
        <v>214</v>
      </c>
      <c r="D14" s="26">
        <v>72</v>
      </c>
      <c r="E14" s="25">
        <v>3.1754432389521038E-3</v>
      </c>
    </row>
    <row r="15" spans="1:6" ht="13.5">
      <c r="B15" s="100"/>
      <c r="C15" s="71" t="s">
        <v>20</v>
      </c>
      <c r="D15" s="73">
        <v>180</v>
      </c>
      <c r="E15" s="74">
        <v>7.9386080973802599E-3</v>
      </c>
    </row>
    <row r="16" spans="1:6" ht="13.5">
      <c r="B16" s="98" t="s">
        <v>110</v>
      </c>
      <c r="C16" s="61" t="s">
        <v>215</v>
      </c>
      <c r="D16" s="26">
        <v>412</v>
      </c>
      <c r="E16" s="25">
        <v>1.8170591867337039E-2</v>
      </c>
    </row>
    <row r="17" spans="2:5" ht="13.5">
      <c r="B17" s="99"/>
      <c r="C17" s="61" t="s">
        <v>214</v>
      </c>
      <c r="D17" s="26">
        <v>265</v>
      </c>
      <c r="E17" s="25">
        <v>1.1687395254476493E-2</v>
      </c>
    </row>
    <row r="18" spans="2:5" ht="13.5">
      <c r="B18" s="100"/>
      <c r="C18" s="71" t="s">
        <v>20</v>
      </c>
      <c r="D18" s="73">
        <v>677</v>
      </c>
      <c r="E18" s="74">
        <v>2.9857987121813531E-2</v>
      </c>
    </row>
    <row r="19" spans="2:5" ht="13.5">
      <c r="B19" s="98" t="s">
        <v>100</v>
      </c>
      <c r="C19" s="61" t="s">
        <v>215</v>
      </c>
      <c r="D19" s="26">
        <v>276</v>
      </c>
      <c r="E19" s="25">
        <v>1.2172532415983064E-2</v>
      </c>
    </row>
    <row r="20" spans="2:5" ht="13.5">
      <c r="B20" s="99"/>
      <c r="C20" s="61" t="s">
        <v>214</v>
      </c>
      <c r="D20" s="26">
        <v>239</v>
      </c>
      <c r="E20" s="25">
        <v>1.0540707418188234E-2</v>
      </c>
    </row>
    <row r="21" spans="2:5" ht="13.5">
      <c r="B21" s="100"/>
      <c r="C21" s="71" t="s">
        <v>20</v>
      </c>
      <c r="D21" s="73">
        <v>515</v>
      </c>
      <c r="E21" s="74">
        <v>2.2713239834171298E-2</v>
      </c>
    </row>
    <row r="22" spans="2:5" ht="13.5">
      <c r="B22" s="98" t="s">
        <v>76</v>
      </c>
      <c r="C22" s="61" t="s">
        <v>215</v>
      </c>
      <c r="D22" s="26">
        <v>226</v>
      </c>
      <c r="E22" s="25">
        <v>9.9673635000441033E-3</v>
      </c>
    </row>
    <row r="23" spans="2:5" ht="13.5">
      <c r="B23" s="99"/>
      <c r="C23" s="61" t="s">
        <v>214</v>
      </c>
      <c r="D23" s="26">
        <v>134</v>
      </c>
      <c r="E23" s="25">
        <v>5.9098526947164156E-3</v>
      </c>
    </row>
    <row r="24" spans="2:5" ht="13.5">
      <c r="B24" s="100"/>
      <c r="C24" s="71" t="s">
        <v>20</v>
      </c>
      <c r="D24" s="73">
        <v>360</v>
      </c>
      <c r="E24" s="74">
        <v>1.587721619476052E-2</v>
      </c>
    </row>
    <row r="25" spans="2:5" ht="13.5">
      <c r="B25" s="98" t="s">
        <v>72</v>
      </c>
      <c r="C25" s="61" t="s">
        <v>215</v>
      </c>
      <c r="D25" s="26">
        <v>13</v>
      </c>
      <c r="E25" s="25">
        <v>5.7334391814412987E-4</v>
      </c>
    </row>
    <row r="26" spans="2:5" ht="13.5">
      <c r="B26" s="99"/>
      <c r="C26" s="61" t="s">
        <v>214</v>
      </c>
      <c r="D26" s="26">
        <v>10</v>
      </c>
      <c r="E26" s="25">
        <v>4.410337831877922E-4</v>
      </c>
    </row>
    <row r="27" spans="2:5" ht="13.5">
      <c r="B27" s="100"/>
      <c r="C27" s="71" t="s">
        <v>20</v>
      </c>
      <c r="D27" s="73">
        <v>23</v>
      </c>
      <c r="E27" s="74">
        <v>1.0143777013319221E-3</v>
      </c>
    </row>
    <row r="28" spans="2:5" ht="13.5">
      <c r="B28" s="98" t="s">
        <v>77</v>
      </c>
      <c r="C28" s="61" t="s">
        <v>215</v>
      </c>
      <c r="D28" s="26">
        <v>9</v>
      </c>
      <c r="E28" s="25">
        <v>3.9693040486901297E-4</v>
      </c>
    </row>
    <row r="29" spans="2:5" ht="13.5">
      <c r="B29" s="99"/>
      <c r="C29" s="61" t="s">
        <v>214</v>
      </c>
      <c r="D29" s="26">
        <v>12</v>
      </c>
      <c r="E29" s="25">
        <v>5.2924053982535059E-4</v>
      </c>
    </row>
    <row r="30" spans="2:5" ht="13.5">
      <c r="B30" s="100"/>
      <c r="C30" s="71" t="s">
        <v>20</v>
      </c>
      <c r="D30" s="73">
        <v>21</v>
      </c>
      <c r="E30" s="74">
        <v>9.2617094469436357E-4</v>
      </c>
    </row>
    <row r="31" spans="2:5" ht="13.5">
      <c r="B31" s="98" t="s">
        <v>70</v>
      </c>
      <c r="C31" s="61" t="s">
        <v>215</v>
      </c>
      <c r="D31" s="26">
        <v>2</v>
      </c>
      <c r="E31" s="25">
        <v>8.8206756637558437E-5</v>
      </c>
    </row>
    <row r="32" spans="2:5" ht="13.5">
      <c r="B32" s="99"/>
      <c r="C32" s="61" t="s">
        <v>214</v>
      </c>
      <c r="D32" s="26">
        <v>1</v>
      </c>
      <c r="E32" s="25">
        <v>4.4103378318779218E-5</v>
      </c>
    </row>
    <row r="33" spans="2:5" ht="13.5">
      <c r="B33" s="100"/>
      <c r="C33" s="71" t="s">
        <v>20</v>
      </c>
      <c r="D33" s="73">
        <v>3</v>
      </c>
      <c r="E33" s="74">
        <v>1.3231013495633765E-4</v>
      </c>
    </row>
    <row r="34" spans="2:5" ht="13.5">
      <c r="B34" s="98" t="s">
        <v>113</v>
      </c>
      <c r="C34" s="61" t="s">
        <v>215</v>
      </c>
      <c r="D34" s="26">
        <v>1527</v>
      </c>
      <c r="E34" s="25">
        <v>6.7345858692775873E-2</v>
      </c>
    </row>
    <row r="35" spans="2:5" ht="13.5">
      <c r="B35" s="99"/>
      <c r="C35" s="61" t="s">
        <v>214</v>
      </c>
      <c r="D35" s="26">
        <v>1173</v>
      </c>
      <c r="E35" s="25">
        <v>5.1733262767928022E-2</v>
      </c>
    </row>
    <row r="36" spans="2:5" ht="13.5">
      <c r="B36" s="100"/>
      <c r="C36" s="71" t="s">
        <v>20</v>
      </c>
      <c r="D36" s="73">
        <v>2700</v>
      </c>
      <c r="E36" s="74">
        <v>0.11907912146070389</v>
      </c>
    </row>
    <row r="37" spans="2:5" ht="13.5">
      <c r="B37" s="98" t="s">
        <v>111</v>
      </c>
      <c r="C37" s="61" t="s">
        <v>215</v>
      </c>
      <c r="D37" s="26">
        <v>2490</v>
      </c>
      <c r="E37" s="25">
        <v>0.10981741201376026</v>
      </c>
    </row>
    <row r="38" spans="2:5" ht="13.5">
      <c r="B38" s="99"/>
      <c r="C38" s="61" t="s">
        <v>214</v>
      </c>
      <c r="D38" s="26">
        <v>1677</v>
      </c>
      <c r="E38" s="25">
        <v>7.3961365440592744E-2</v>
      </c>
    </row>
    <row r="39" spans="2:5" ht="13.5">
      <c r="B39" s="100"/>
      <c r="C39" s="71" t="s">
        <v>20</v>
      </c>
      <c r="D39" s="73">
        <v>4167</v>
      </c>
      <c r="E39" s="74">
        <v>0.183778777454353</v>
      </c>
    </row>
    <row r="40" spans="2:5" ht="13.5">
      <c r="B40" s="98" t="s">
        <v>69</v>
      </c>
      <c r="C40" s="61" t="s">
        <v>215</v>
      </c>
      <c r="D40" s="26">
        <v>7</v>
      </c>
      <c r="E40" s="25">
        <v>3.0872364823145452E-4</v>
      </c>
    </row>
    <row r="41" spans="2:5" ht="13.5">
      <c r="B41" s="99"/>
      <c r="C41" s="61" t="s">
        <v>214</v>
      </c>
      <c r="D41" s="26">
        <v>2</v>
      </c>
      <c r="E41" s="25">
        <v>8.8206756637558437E-5</v>
      </c>
    </row>
    <row r="42" spans="2:5" ht="13.5">
      <c r="B42" s="100"/>
      <c r="C42" s="71" t="s">
        <v>20</v>
      </c>
      <c r="D42" s="73">
        <v>9</v>
      </c>
      <c r="E42" s="74">
        <v>3.9693040486901297E-4</v>
      </c>
    </row>
    <row r="43" spans="2:5" ht="13.5">
      <c r="B43" s="98" t="s">
        <v>95</v>
      </c>
      <c r="C43" s="61" t="s">
        <v>215</v>
      </c>
      <c r="D43" s="26">
        <v>649</v>
      </c>
      <c r="E43" s="25">
        <v>2.8623092528887714E-2</v>
      </c>
    </row>
    <row r="44" spans="2:5" ht="13.5">
      <c r="B44" s="99"/>
      <c r="C44" s="61" t="s">
        <v>214</v>
      </c>
      <c r="D44" s="26">
        <v>437</v>
      </c>
      <c r="E44" s="25">
        <v>1.9273176325306517E-2</v>
      </c>
    </row>
    <row r="45" spans="2:5" ht="13.5">
      <c r="B45" s="100"/>
      <c r="C45" s="71" t="s">
        <v>20</v>
      </c>
      <c r="D45" s="73">
        <v>1086</v>
      </c>
      <c r="E45" s="74">
        <v>4.7896268854194228E-2</v>
      </c>
    </row>
    <row r="46" spans="2:5" ht="13.5">
      <c r="B46" s="98" t="s">
        <v>81</v>
      </c>
      <c r="C46" s="61" t="s">
        <v>215</v>
      </c>
      <c r="D46" s="26">
        <v>204</v>
      </c>
      <c r="E46" s="25">
        <v>8.9970891770309609E-3</v>
      </c>
    </row>
    <row r="47" spans="2:5" ht="13.5">
      <c r="B47" s="99"/>
      <c r="C47" s="61" t="s">
        <v>214</v>
      </c>
      <c r="D47" s="26">
        <v>97</v>
      </c>
      <c r="E47" s="25">
        <v>4.278027696921584E-3</v>
      </c>
    </row>
    <row r="48" spans="2:5" ht="13.5">
      <c r="B48" s="100"/>
      <c r="C48" s="71" t="s">
        <v>20</v>
      </c>
      <c r="D48" s="73">
        <v>301</v>
      </c>
      <c r="E48" s="74">
        <v>1.3275116873952544E-2</v>
      </c>
    </row>
    <row r="49" spans="2:5" ht="13.5">
      <c r="B49" s="98" t="s">
        <v>259</v>
      </c>
      <c r="C49" s="61" t="s">
        <v>214</v>
      </c>
      <c r="D49" s="26">
        <v>2</v>
      </c>
      <c r="E49" s="25">
        <v>8.8206756637558437E-5</v>
      </c>
    </row>
    <row r="50" spans="2:5" ht="13.5">
      <c r="B50" s="100"/>
      <c r="C50" s="71" t="s">
        <v>20</v>
      </c>
      <c r="D50" s="73">
        <v>2</v>
      </c>
      <c r="E50" s="74">
        <v>8.8206756637558437E-5</v>
      </c>
    </row>
    <row r="51" spans="2:5" ht="13.5">
      <c r="B51" s="98" t="s">
        <v>79</v>
      </c>
      <c r="C51" s="61" t="s">
        <v>215</v>
      </c>
      <c r="D51" s="26">
        <v>63</v>
      </c>
      <c r="E51" s="25">
        <v>2.7785128340830907E-3</v>
      </c>
    </row>
    <row r="52" spans="2:5" ht="13.5">
      <c r="B52" s="99"/>
      <c r="C52" s="61" t="s">
        <v>214</v>
      </c>
      <c r="D52" s="26">
        <v>67</v>
      </c>
      <c r="E52" s="25">
        <v>2.9549263473582078E-3</v>
      </c>
    </row>
    <row r="53" spans="2:5" ht="13.5">
      <c r="B53" s="100"/>
      <c r="C53" s="71" t="s">
        <v>20</v>
      </c>
      <c r="D53" s="73">
        <v>130</v>
      </c>
      <c r="E53" s="74">
        <v>5.7334391814412985E-3</v>
      </c>
    </row>
    <row r="54" spans="2:5" ht="13.5">
      <c r="B54" s="98" t="s">
        <v>92</v>
      </c>
      <c r="C54" s="61" t="s">
        <v>215</v>
      </c>
      <c r="D54" s="26">
        <v>44</v>
      </c>
      <c r="E54" s="25">
        <v>1.9405486460262857E-3</v>
      </c>
    </row>
    <row r="55" spans="2:5" ht="13.5">
      <c r="B55" s="99"/>
      <c r="C55" s="61" t="s">
        <v>214</v>
      </c>
      <c r="D55" s="26">
        <v>44</v>
      </c>
      <c r="E55" s="25">
        <v>1.9405486460262857E-3</v>
      </c>
    </row>
    <row r="56" spans="2:5" ht="13.5">
      <c r="B56" s="100"/>
      <c r="C56" s="71" t="s">
        <v>20</v>
      </c>
      <c r="D56" s="73">
        <v>88</v>
      </c>
      <c r="E56" s="74">
        <v>3.8810972920525714E-3</v>
      </c>
    </row>
    <row r="57" spans="2:5" ht="13.5">
      <c r="B57" s="98" t="s">
        <v>108</v>
      </c>
      <c r="C57" s="61" t="s">
        <v>215</v>
      </c>
      <c r="D57" s="26">
        <v>262</v>
      </c>
      <c r="E57" s="25">
        <v>1.1555085119520156E-2</v>
      </c>
    </row>
    <row r="58" spans="2:5" ht="13.5">
      <c r="B58" s="99"/>
      <c r="C58" s="61" t="s">
        <v>214</v>
      </c>
      <c r="D58" s="26">
        <v>240</v>
      </c>
      <c r="E58" s="25">
        <v>1.0584810796507013E-2</v>
      </c>
    </row>
    <row r="59" spans="2:5" ht="13.5">
      <c r="B59" s="100"/>
      <c r="C59" s="71" t="s">
        <v>20</v>
      </c>
      <c r="D59" s="73">
        <v>502</v>
      </c>
      <c r="E59" s="74">
        <v>2.2139895916027167E-2</v>
      </c>
    </row>
    <row r="60" spans="2:5" ht="13.5">
      <c r="B60" s="98" t="s">
        <v>112</v>
      </c>
      <c r="C60" s="61" t="s">
        <v>215</v>
      </c>
      <c r="D60" s="26">
        <v>902</v>
      </c>
      <c r="E60" s="25">
        <v>3.9781247243538854E-2</v>
      </c>
    </row>
    <row r="61" spans="2:5" ht="13.5">
      <c r="B61" s="99"/>
      <c r="C61" s="61" t="s">
        <v>214</v>
      </c>
      <c r="D61" s="26">
        <v>625</v>
      </c>
      <c r="E61" s="25">
        <v>2.7564611449237011E-2</v>
      </c>
    </row>
    <row r="62" spans="2:5" ht="13.5">
      <c r="B62" s="100"/>
      <c r="C62" s="71" t="s">
        <v>20</v>
      </c>
      <c r="D62" s="73">
        <v>1527</v>
      </c>
      <c r="E62" s="74">
        <v>6.7345858692775873E-2</v>
      </c>
    </row>
    <row r="63" spans="2:5" ht="13.5">
      <c r="B63" s="98" t="s">
        <v>96</v>
      </c>
      <c r="C63" s="61" t="s">
        <v>215</v>
      </c>
      <c r="D63" s="26">
        <v>132</v>
      </c>
      <c r="E63" s="25">
        <v>5.8216459380788571E-3</v>
      </c>
    </row>
    <row r="64" spans="2:5" ht="13.5">
      <c r="B64" s="99"/>
      <c r="C64" s="61" t="s">
        <v>214</v>
      </c>
      <c r="D64" s="26">
        <v>94</v>
      </c>
      <c r="E64" s="25">
        <v>4.1457175619652462E-3</v>
      </c>
    </row>
    <row r="65" spans="2:5" ht="13.5">
      <c r="B65" s="100"/>
      <c r="C65" s="71" t="s">
        <v>20</v>
      </c>
      <c r="D65" s="73">
        <v>226</v>
      </c>
      <c r="E65" s="74">
        <v>9.9673635000441033E-3</v>
      </c>
    </row>
    <row r="66" spans="2:5" ht="13.5">
      <c r="B66" s="98" t="s">
        <v>91</v>
      </c>
      <c r="C66" s="61" t="s">
        <v>215</v>
      </c>
      <c r="D66" s="26">
        <v>238</v>
      </c>
      <c r="E66" s="25">
        <v>1.0496604039869455E-2</v>
      </c>
    </row>
    <row r="67" spans="2:5" ht="13.5">
      <c r="B67" s="99"/>
      <c r="C67" s="61" t="s">
        <v>214</v>
      </c>
      <c r="D67" s="26">
        <v>187</v>
      </c>
      <c r="E67" s="25">
        <v>8.2473317456117131E-3</v>
      </c>
    </row>
    <row r="68" spans="2:5" ht="13.5">
      <c r="B68" s="100"/>
      <c r="C68" s="71" t="s">
        <v>20</v>
      </c>
      <c r="D68" s="73">
        <v>425</v>
      </c>
      <c r="E68" s="74">
        <v>1.8743935785481169E-2</v>
      </c>
    </row>
    <row r="69" spans="2:5" ht="13.5">
      <c r="B69" s="98" t="s">
        <v>75</v>
      </c>
      <c r="C69" s="61" t="s">
        <v>215</v>
      </c>
      <c r="D69" s="26">
        <v>10</v>
      </c>
      <c r="E69" s="25">
        <v>4.410337831877922E-4</v>
      </c>
    </row>
    <row r="70" spans="2:5" ht="13.5">
      <c r="B70" s="99"/>
      <c r="C70" s="61" t="s">
        <v>214</v>
      </c>
      <c r="D70" s="26">
        <v>8</v>
      </c>
      <c r="E70" s="25">
        <v>3.5282702655023375E-4</v>
      </c>
    </row>
    <row r="71" spans="2:5" ht="13.5">
      <c r="B71" s="100"/>
      <c r="C71" s="71" t="s">
        <v>20</v>
      </c>
      <c r="D71" s="73">
        <v>18</v>
      </c>
      <c r="E71" s="74">
        <v>7.9386080973802594E-4</v>
      </c>
    </row>
    <row r="72" spans="2:5" ht="13.5">
      <c r="B72" s="98" t="s">
        <v>98</v>
      </c>
      <c r="C72" s="61" t="s">
        <v>215</v>
      </c>
      <c r="D72" s="26">
        <v>289</v>
      </c>
      <c r="E72" s="25">
        <v>1.2745876334127194E-2</v>
      </c>
    </row>
    <row r="73" spans="2:5" ht="13.5">
      <c r="B73" s="99"/>
      <c r="C73" s="61" t="s">
        <v>214</v>
      </c>
      <c r="D73" s="26">
        <v>233</v>
      </c>
      <c r="E73" s="25">
        <v>1.0276087148275558E-2</v>
      </c>
    </row>
    <row r="74" spans="2:5" ht="13.5">
      <c r="B74" s="100"/>
      <c r="C74" s="71" t="s">
        <v>20</v>
      </c>
      <c r="D74" s="73">
        <v>522</v>
      </c>
      <c r="E74" s="74">
        <v>2.3021963482402753E-2</v>
      </c>
    </row>
    <row r="75" spans="2:5" ht="13.5">
      <c r="B75" s="98" t="s">
        <v>102</v>
      </c>
      <c r="C75" s="61" t="s">
        <v>215</v>
      </c>
      <c r="D75" s="26">
        <v>675</v>
      </c>
      <c r="E75" s="25">
        <v>2.9769780365175972E-2</v>
      </c>
    </row>
    <row r="76" spans="2:5" ht="13.5">
      <c r="B76" s="99"/>
      <c r="C76" s="61" t="s">
        <v>214</v>
      </c>
      <c r="D76" s="26">
        <v>439</v>
      </c>
      <c r="E76" s="25">
        <v>1.9361383081944076E-2</v>
      </c>
    </row>
    <row r="77" spans="2:5" ht="13.5">
      <c r="B77" s="100"/>
      <c r="C77" s="71" t="s">
        <v>20</v>
      </c>
      <c r="D77" s="73">
        <v>1114</v>
      </c>
      <c r="E77" s="74">
        <v>4.9131163447120048E-2</v>
      </c>
    </row>
    <row r="78" spans="2:5" ht="13.5">
      <c r="B78" s="98" t="s">
        <v>114</v>
      </c>
      <c r="C78" s="61" t="s">
        <v>215</v>
      </c>
      <c r="D78" s="26">
        <v>1077</v>
      </c>
      <c r="E78" s="25">
        <v>4.7499338449325218E-2</v>
      </c>
    </row>
    <row r="79" spans="2:5" ht="13.5">
      <c r="B79" s="99"/>
      <c r="C79" s="61" t="s">
        <v>214</v>
      </c>
      <c r="D79" s="26">
        <v>1071</v>
      </c>
      <c r="E79" s="25">
        <v>4.7234718179412542E-2</v>
      </c>
    </row>
    <row r="80" spans="2:5" ht="13.5">
      <c r="B80" s="100"/>
      <c r="C80" s="71" t="s">
        <v>20</v>
      </c>
      <c r="D80" s="73">
        <v>2148</v>
      </c>
      <c r="E80" s="74">
        <v>9.4734056628737767E-2</v>
      </c>
    </row>
    <row r="81" spans="2:5" ht="13.5">
      <c r="B81" s="98" t="s">
        <v>93</v>
      </c>
      <c r="C81" s="61" t="s">
        <v>215</v>
      </c>
      <c r="D81" s="26">
        <v>66</v>
      </c>
      <c r="E81" s="25">
        <v>2.9108229690394285E-3</v>
      </c>
    </row>
    <row r="82" spans="2:5" ht="13.5">
      <c r="B82" s="99"/>
      <c r="C82" s="61" t="s">
        <v>214</v>
      </c>
      <c r="D82" s="26">
        <v>81</v>
      </c>
      <c r="E82" s="25">
        <v>3.5723736438211169E-3</v>
      </c>
    </row>
    <row r="83" spans="2:5" ht="13.5">
      <c r="B83" s="100"/>
      <c r="C83" s="71" t="s">
        <v>20</v>
      </c>
      <c r="D83" s="73">
        <v>147</v>
      </c>
      <c r="E83" s="74">
        <v>6.4831966128605454E-3</v>
      </c>
    </row>
    <row r="84" spans="2:5" ht="13.5">
      <c r="B84" s="98" t="s">
        <v>88</v>
      </c>
      <c r="C84" s="61" t="s">
        <v>215</v>
      </c>
      <c r="D84" s="26">
        <v>98</v>
      </c>
      <c r="E84" s="25">
        <v>4.3221310752403633E-3</v>
      </c>
    </row>
    <row r="85" spans="2:5" ht="13.5">
      <c r="B85" s="99"/>
      <c r="C85" s="61" t="s">
        <v>214</v>
      </c>
      <c r="D85" s="26">
        <v>46</v>
      </c>
      <c r="E85" s="25">
        <v>2.0287554026638442E-3</v>
      </c>
    </row>
    <row r="86" spans="2:5" ht="13.5">
      <c r="B86" s="100"/>
      <c r="C86" s="71" t="s">
        <v>20</v>
      </c>
      <c r="D86" s="73">
        <v>144</v>
      </c>
      <c r="E86" s="74">
        <v>6.3508864779042076E-3</v>
      </c>
    </row>
    <row r="87" spans="2:5" ht="13.5">
      <c r="B87" s="98" t="s">
        <v>87</v>
      </c>
      <c r="C87" s="61" t="s">
        <v>215</v>
      </c>
      <c r="D87" s="26">
        <v>224</v>
      </c>
      <c r="E87" s="25">
        <v>9.8791567434065447E-3</v>
      </c>
    </row>
    <row r="88" spans="2:5" ht="13.5">
      <c r="B88" s="99"/>
      <c r="C88" s="61" t="s">
        <v>214</v>
      </c>
      <c r="D88" s="26">
        <v>175</v>
      </c>
      <c r="E88" s="25">
        <v>7.7180912057863635E-3</v>
      </c>
    </row>
    <row r="89" spans="2:5" ht="13.5">
      <c r="B89" s="100"/>
      <c r="C89" s="71" t="s">
        <v>20</v>
      </c>
      <c r="D89" s="73">
        <v>399</v>
      </c>
      <c r="E89" s="74">
        <v>1.7597247949192908E-2</v>
      </c>
    </row>
    <row r="90" spans="2:5" ht="13.5">
      <c r="B90" s="98" t="s">
        <v>68</v>
      </c>
      <c r="C90" s="61" t="s">
        <v>215</v>
      </c>
      <c r="D90" s="26">
        <v>2</v>
      </c>
      <c r="E90" s="25">
        <v>8.8206756637558437E-5</v>
      </c>
    </row>
    <row r="91" spans="2:5" ht="13.5">
      <c r="B91" s="100"/>
      <c r="C91" s="71" t="s">
        <v>20</v>
      </c>
      <c r="D91" s="73">
        <v>2</v>
      </c>
      <c r="E91" s="74">
        <v>8.8206756637558437E-5</v>
      </c>
    </row>
    <row r="92" spans="2:5" ht="13.5">
      <c r="B92" s="98" t="s">
        <v>80</v>
      </c>
      <c r="C92" s="61" t="s">
        <v>215</v>
      </c>
      <c r="D92" s="26">
        <v>160</v>
      </c>
      <c r="E92" s="25">
        <v>7.0565405310046752E-3</v>
      </c>
    </row>
    <row r="93" spans="2:5" ht="13.5">
      <c r="B93" s="99"/>
      <c r="C93" s="61" t="s">
        <v>214</v>
      </c>
      <c r="D93" s="26">
        <v>90</v>
      </c>
      <c r="E93" s="25">
        <v>3.9693040486901299E-3</v>
      </c>
    </row>
    <row r="94" spans="2:5" ht="13.5">
      <c r="B94" s="100"/>
      <c r="C94" s="71" t="s">
        <v>20</v>
      </c>
      <c r="D94" s="73">
        <v>250</v>
      </c>
      <c r="E94" s="74">
        <v>1.1025844579694804E-2</v>
      </c>
    </row>
    <row r="95" spans="2:5" ht="13.5">
      <c r="B95" s="98" t="s">
        <v>109</v>
      </c>
      <c r="C95" s="61" t="s">
        <v>215</v>
      </c>
      <c r="D95" s="26">
        <v>26</v>
      </c>
      <c r="E95" s="25">
        <v>1.1466878362882597E-3</v>
      </c>
    </row>
    <row r="96" spans="2:5" ht="13.5">
      <c r="B96" s="99"/>
      <c r="C96" s="61" t="s">
        <v>214</v>
      </c>
      <c r="D96" s="26">
        <v>17</v>
      </c>
      <c r="E96" s="25">
        <v>7.4975743141924667E-4</v>
      </c>
    </row>
    <row r="97" spans="2:5" ht="13.5">
      <c r="B97" s="100"/>
      <c r="C97" s="71" t="s">
        <v>20</v>
      </c>
      <c r="D97" s="73">
        <v>43</v>
      </c>
      <c r="E97" s="74">
        <v>1.8964452677075064E-3</v>
      </c>
    </row>
    <row r="98" spans="2:5" ht="13.5">
      <c r="B98" s="98" t="s">
        <v>82</v>
      </c>
      <c r="C98" s="61" t="s">
        <v>215</v>
      </c>
      <c r="D98" s="26">
        <v>192</v>
      </c>
      <c r="E98" s="25">
        <v>8.4678486372056095E-3</v>
      </c>
    </row>
    <row r="99" spans="2:5" ht="13.5">
      <c r="B99" s="99"/>
      <c r="C99" s="61" t="s">
        <v>214</v>
      </c>
      <c r="D99" s="26">
        <v>109</v>
      </c>
      <c r="E99" s="25">
        <v>4.8072682367469345E-3</v>
      </c>
    </row>
    <row r="100" spans="2:5" ht="13.5">
      <c r="B100" s="100"/>
      <c r="C100" s="71" t="s">
        <v>20</v>
      </c>
      <c r="D100" s="73">
        <v>301</v>
      </c>
      <c r="E100" s="74">
        <v>1.3275116873952544E-2</v>
      </c>
    </row>
    <row r="101" spans="2:5" ht="13.5">
      <c r="B101" s="98" t="s">
        <v>101</v>
      </c>
      <c r="C101" s="61" t="s">
        <v>215</v>
      </c>
      <c r="D101" s="26">
        <v>127</v>
      </c>
      <c r="E101" s="25">
        <v>5.6011290464849607E-3</v>
      </c>
    </row>
    <row r="102" spans="2:5" ht="13.5">
      <c r="B102" s="99"/>
      <c r="C102" s="61" t="s">
        <v>214</v>
      </c>
      <c r="D102" s="26">
        <v>74</v>
      </c>
      <c r="E102" s="25">
        <v>3.2636499955896623E-3</v>
      </c>
    </row>
    <row r="103" spans="2:5" ht="13.5">
      <c r="B103" s="100"/>
      <c r="C103" s="71" t="s">
        <v>20</v>
      </c>
      <c r="D103" s="73">
        <v>201</v>
      </c>
      <c r="E103" s="74">
        <v>8.864779042074623E-3</v>
      </c>
    </row>
    <row r="104" spans="2:5" ht="13.5">
      <c r="B104" s="98" t="s">
        <v>97</v>
      </c>
      <c r="C104" s="61" t="s">
        <v>215</v>
      </c>
      <c r="D104" s="26">
        <v>84</v>
      </c>
      <c r="E104" s="25">
        <v>3.7046837787774543E-3</v>
      </c>
    </row>
    <row r="105" spans="2:5" ht="13.5">
      <c r="B105" s="99"/>
      <c r="C105" s="61" t="s">
        <v>214</v>
      </c>
      <c r="D105" s="26">
        <v>90</v>
      </c>
      <c r="E105" s="25">
        <v>3.9693040486901299E-3</v>
      </c>
    </row>
    <row r="106" spans="2:5" ht="13.5">
      <c r="B106" s="100"/>
      <c r="C106" s="71" t="s">
        <v>20</v>
      </c>
      <c r="D106" s="73">
        <v>174</v>
      </c>
      <c r="E106" s="74">
        <v>7.6739878274675842E-3</v>
      </c>
    </row>
    <row r="107" spans="2:5" ht="13.5">
      <c r="B107" s="98" t="s">
        <v>85</v>
      </c>
      <c r="C107" s="61" t="s">
        <v>215</v>
      </c>
      <c r="D107" s="26">
        <v>244</v>
      </c>
      <c r="E107" s="25">
        <v>1.0761224309782129E-2</v>
      </c>
    </row>
    <row r="108" spans="2:5" ht="13.5">
      <c r="B108" s="99"/>
      <c r="C108" s="61" t="s">
        <v>214</v>
      </c>
      <c r="D108" s="26">
        <v>213</v>
      </c>
      <c r="E108" s="25">
        <v>9.3940195818999744E-3</v>
      </c>
    </row>
    <row r="109" spans="2:5" ht="13.5">
      <c r="B109" s="100"/>
      <c r="C109" s="71" t="s">
        <v>20</v>
      </c>
      <c r="D109" s="73">
        <v>457</v>
      </c>
      <c r="E109" s="74">
        <v>2.0155243891682103E-2</v>
      </c>
    </row>
    <row r="110" spans="2:5" ht="13.5">
      <c r="B110" s="98" t="s">
        <v>89</v>
      </c>
      <c r="C110" s="61" t="s">
        <v>215</v>
      </c>
      <c r="D110" s="26">
        <v>36</v>
      </c>
      <c r="E110" s="25">
        <v>1.5877216194760519E-3</v>
      </c>
    </row>
    <row r="111" spans="2:5" ht="13.5">
      <c r="B111" s="99"/>
      <c r="C111" s="61" t="s">
        <v>214</v>
      </c>
      <c r="D111" s="26">
        <v>41</v>
      </c>
      <c r="E111" s="25">
        <v>1.8082385110699479E-3</v>
      </c>
    </row>
    <row r="112" spans="2:5" ht="13.5">
      <c r="B112" s="100"/>
      <c r="C112" s="71" t="s">
        <v>20</v>
      </c>
      <c r="D112" s="73">
        <v>77</v>
      </c>
      <c r="E112" s="74">
        <v>3.3959601305459997E-3</v>
      </c>
    </row>
    <row r="113" spans="2:5" ht="13.5">
      <c r="B113" s="98" t="s">
        <v>73</v>
      </c>
      <c r="C113" s="61" t="s">
        <v>215</v>
      </c>
      <c r="D113" s="26">
        <v>7</v>
      </c>
      <c r="E113" s="25">
        <v>3.0872364823145452E-4</v>
      </c>
    </row>
    <row r="114" spans="2:5" ht="13.5">
      <c r="B114" s="99"/>
      <c r="C114" s="61" t="s">
        <v>214</v>
      </c>
      <c r="D114" s="26">
        <v>7</v>
      </c>
      <c r="E114" s="25">
        <v>3.0872364823145452E-4</v>
      </c>
    </row>
    <row r="115" spans="2:5" ht="13.5">
      <c r="B115" s="100"/>
      <c r="C115" s="71" t="s">
        <v>20</v>
      </c>
      <c r="D115" s="73">
        <v>14</v>
      </c>
      <c r="E115" s="74">
        <v>6.1744729646290904E-4</v>
      </c>
    </row>
    <row r="116" spans="2:5" ht="13.5">
      <c r="B116" s="98" t="s">
        <v>107</v>
      </c>
      <c r="C116" s="61" t="s">
        <v>215</v>
      </c>
      <c r="D116" s="26">
        <v>400</v>
      </c>
      <c r="E116" s="25">
        <v>1.7641351327511687E-2</v>
      </c>
    </row>
    <row r="117" spans="2:5" ht="13.5">
      <c r="B117" s="99"/>
      <c r="C117" s="61" t="s">
        <v>214</v>
      </c>
      <c r="D117" s="26">
        <v>192</v>
      </c>
      <c r="E117" s="25">
        <v>8.4678486372056095E-3</v>
      </c>
    </row>
    <row r="118" spans="2:5" ht="13.5">
      <c r="B118" s="100"/>
      <c r="C118" s="71" t="s">
        <v>20</v>
      </c>
      <c r="D118" s="73">
        <v>592</v>
      </c>
      <c r="E118" s="74">
        <v>2.6109199964717299E-2</v>
      </c>
    </row>
    <row r="119" spans="2:5" ht="13.5">
      <c r="B119" s="98" t="s">
        <v>99</v>
      </c>
      <c r="C119" s="61" t="s">
        <v>215</v>
      </c>
      <c r="D119" s="26">
        <v>178</v>
      </c>
      <c r="E119" s="25">
        <v>7.8504013407427013E-3</v>
      </c>
    </row>
    <row r="120" spans="2:5" ht="13.5">
      <c r="B120" s="99"/>
      <c r="C120" s="61" t="s">
        <v>214</v>
      </c>
      <c r="D120" s="26">
        <v>150</v>
      </c>
      <c r="E120" s="25">
        <v>6.6155067478168824E-3</v>
      </c>
    </row>
    <row r="121" spans="2:5" ht="13.5">
      <c r="B121" s="100"/>
      <c r="C121" s="71" t="s">
        <v>20</v>
      </c>
      <c r="D121" s="73">
        <v>328</v>
      </c>
      <c r="E121" s="74">
        <v>1.4465908088559583E-2</v>
      </c>
    </row>
    <row r="122" spans="2:5" ht="13.5">
      <c r="B122" s="98" t="s">
        <v>84</v>
      </c>
      <c r="C122" s="61" t="s">
        <v>215</v>
      </c>
      <c r="D122" s="26">
        <v>111</v>
      </c>
      <c r="E122" s="25">
        <v>4.8954749933844931E-3</v>
      </c>
    </row>
    <row r="123" spans="2:5" ht="13.5">
      <c r="B123" s="99"/>
      <c r="C123" s="61" t="s">
        <v>214</v>
      </c>
      <c r="D123" s="26">
        <v>57</v>
      </c>
      <c r="E123" s="25">
        <v>2.5138925641704155E-3</v>
      </c>
    </row>
    <row r="124" spans="2:5" ht="13.5">
      <c r="B124" s="100"/>
      <c r="C124" s="71" t="s">
        <v>20</v>
      </c>
      <c r="D124" s="73">
        <v>168</v>
      </c>
      <c r="E124" s="74">
        <v>7.4093675575549085E-3</v>
      </c>
    </row>
    <row r="125" spans="2:5" ht="13.5">
      <c r="B125" s="98" t="s">
        <v>86</v>
      </c>
      <c r="C125" s="61" t="s">
        <v>215</v>
      </c>
      <c r="D125" s="26">
        <v>192</v>
      </c>
      <c r="E125" s="25">
        <v>8.4678486372056095E-3</v>
      </c>
    </row>
    <row r="126" spans="2:5" ht="13.5">
      <c r="B126" s="99"/>
      <c r="C126" s="61" t="s">
        <v>214</v>
      </c>
      <c r="D126" s="26">
        <v>151</v>
      </c>
      <c r="E126" s="25">
        <v>6.6596101261356616E-3</v>
      </c>
    </row>
    <row r="127" spans="2:5" ht="13.5">
      <c r="B127" s="100"/>
      <c r="C127" s="71" t="s">
        <v>20</v>
      </c>
      <c r="D127" s="73">
        <v>343</v>
      </c>
      <c r="E127" s="74">
        <v>1.5127458763341272E-2</v>
      </c>
    </row>
    <row r="128" spans="2:5" ht="13.5">
      <c r="B128" s="98" t="s">
        <v>94</v>
      </c>
      <c r="C128" s="61" t="s">
        <v>215</v>
      </c>
      <c r="D128" s="26">
        <v>198</v>
      </c>
      <c r="E128" s="25">
        <v>8.7324689071182852E-3</v>
      </c>
    </row>
    <row r="129" spans="2:5" ht="13.5">
      <c r="B129" s="99"/>
      <c r="C129" s="61" t="s">
        <v>214</v>
      </c>
      <c r="D129" s="26">
        <v>133</v>
      </c>
      <c r="E129" s="25">
        <v>5.8657493163976364E-3</v>
      </c>
    </row>
    <row r="130" spans="2:5" ht="13.5">
      <c r="B130" s="100"/>
      <c r="C130" s="71" t="s">
        <v>20</v>
      </c>
      <c r="D130" s="73">
        <v>331</v>
      </c>
      <c r="E130" s="74">
        <v>1.4598218223515921E-2</v>
      </c>
    </row>
    <row r="131" spans="2:5" ht="13.5">
      <c r="B131" s="98" t="s">
        <v>106</v>
      </c>
      <c r="C131" s="61" t="s">
        <v>215</v>
      </c>
      <c r="D131" s="26">
        <v>356</v>
      </c>
      <c r="E131" s="25">
        <v>1.5700802681485403E-2</v>
      </c>
    </row>
    <row r="132" spans="2:5" ht="13.5">
      <c r="B132" s="99"/>
      <c r="C132" s="61" t="s">
        <v>214</v>
      </c>
      <c r="D132" s="26">
        <v>304</v>
      </c>
      <c r="E132" s="25">
        <v>1.3407427008908882E-2</v>
      </c>
    </row>
    <row r="133" spans="2:5" ht="13.5">
      <c r="B133" s="100"/>
      <c r="C133" s="71" t="s">
        <v>20</v>
      </c>
      <c r="D133" s="73">
        <v>660</v>
      </c>
      <c r="E133" s="74">
        <v>2.9108229690394283E-2</v>
      </c>
    </row>
    <row r="134" spans="2:5" ht="13.5">
      <c r="B134" s="98" t="s">
        <v>90</v>
      </c>
      <c r="C134" s="61" t="s">
        <v>215</v>
      </c>
      <c r="D134" s="26">
        <v>59</v>
      </c>
      <c r="E134" s="25">
        <v>2.602099320807974E-3</v>
      </c>
    </row>
    <row r="135" spans="2:5" ht="13.5">
      <c r="B135" s="99"/>
      <c r="C135" s="61" t="s">
        <v>214</v>
      </c>
      <c r="D135" s="26">
        <v>57</v>
      </c>
      <c r="E135" s="25">
        <v>2.5138925641704155E-3</v>
      </c>
    </row>
    <row r="136" spans="2:5" ht="13.5">
      <c r="B136" s="100"/>
      <c r="C136" s="71" t="s">
        <v>20</v>
      </c>
      <c r="D136" s="73">
        <v>116</v>
      </c>
      <c r="E136" s="74">
        <v>5.1159918849783895E-3</v>
      </c>
    </row>
    <row r="137" spans="2:5" ht="13.5">
      <c r="B137" s="98" t="s">
        <v>103</v>
      </c>
      <c r="C137" s="61" t="s">
        <v>215</v>
      </c>
      <c r="D137" s="26">
        <v>215</v>
      </c>
      <c r="E137" s="25">
        <v>9.4822263385375312E-3</v>
      </c>
    </row>
    <row r="138" spans="2:5" ht="13.5">
      <c r="B138" s="99"/>
      <c r="C138" s="61" t="s">
        <v>214</v>
      </c>
      <c r="D138" s="26">
        <v>159</v>
      </c>
      <c r="E138" s="25">
        <v>7.0124371526858959E-3</v>
      </c>
    </row>
    <row r="139" spans="2:5" ht="13.5">
      <c r="B139" s="100"/>
      <c r="C139" s="71" t="s">
        <v>20</v>
      </c>
      <c r="D139" s="73">
        <v>374</v>
      </c>
      <c r="E139" s="74">
        <v>1.6494663491223426E-2</v>
      </c>
    </row>
    <row r="140" spans="2:5" ht="13.5">
      <c r="B140" s="98" t="s">
        <v>104</v>
      </c>
      <c r="C140" s="61" t="s">
        <v>215</v>
      </c>
      <c r="D140" s="26">
        <v>143</v>
      </c>
      <c r="E140" s="25">
        <v>6.3067830995854283E-3</v>
      </c>
    </row>
    <row r="141" spans="2:5" ht="13.5">
      <c r="B141" s="99"/>
      <c r="C141" s="61" t="s">
        <v>214</v>
      </c>
      <c r="D141" s="26">
        <v>101</v>
      </c>
      <c r="E141" s="25">
        <v>4.4544412101967011E-3</v>
      </c>
    </row>
    <row r="142" spans="2:5" ht="13.5">
      <c r="B142" s="100"/>
      <c r="C142" s="71" t="s">
        <v>20</v>
      </c>
      <c r="D142" s="73">
        <v>244</v>
      </c>
      <c r="E142" s="74">
        <v>1.0761224309782129E-2</v>
      </c>
    </row>
    <row r="143" spans="2:5" ht="13.5">
      <c r="B143" s="98" t="s">
        <v>105</v>
      </c>
      <c r="C143" s="61" t="s">
        <v>215</v>
      </c>
      <c r="D143" s="26">
        <v>130</v>
      </c>
      <c r="E143" s="25">
        <v>5.7334391814412985E-3</v>
      </c>
    </row>
    <row r="144" spans="2:5" ht="13.5">
      <c r="B144" s="99"/>
      <c r="C144" s="61" t="s">
        <v>214</v>
      </c>
      <c r="D144" s="26">
        <v>156</v>
      </c>
      <c r="E144" s="25">
        <v>6.880127017729558E-3</v>
      </c>
    </row>
    <row r="145" spans="2:5" ht="13.5">
      <c r="B145" s="100"/>
      <c r="C145" s="71" t="s">
        <v>20</v>
      </c>
      <c r="D145" s="73">
        <v>286</v>
      </c>
      <c r="E145" s="74">
        <v>1.2613566199170857E-2</v>
      </c>
    </row>
    <row r="146" spans="2:5" ht="13.5">
      <c r="B146" s="98" t="s">
        <v>83</v>
      </c>
      <c r="C146" s="61" t="s">
        <v>215</v>
      </c>
      <c r="D146" s="26">
        <v>56</v>
      </c>
      <c r="E146" s="25">
        <v>2.4697891858516362E-3</v>
      </c>
    </row>
    <row r="147" spans="2:5" ht="13.5">
      <c r="B147" s="99"/>
      <c r="C147" s="61" t="s">
        <v>214</v>
      </c>
      <c r="D147" s="26">
        <v>29</v>
      </c>
      <c r="E147" s="25">
        <v>1.2789979712445974E-3</v>
      </c>
    </row>
    <row r="148" spans="2:5" ht="13.5">
      <c r="B148" s="100"/>
      <c r="C148" s="71" t="s">
        <v>20</v>
      </c>
      <c r="D148" s="73">
        <v>85</v>
      </c>
      <c r="E148" s="74">
        <v>3.7487871570962335E-3</v>
      </c>
    </row>
    <row r="149" spans="2:5" ht="13.5">
      <c r="B149" s="98" t="s">
        <v>74</v>
      </c>
      <c r="C149" s="61" t="s">
        <v>215</v>
      </c>
      <c r="D149" s="26">
        <v>13</v>
      </c>
      <c r="E149" s="25">
        <v>5.7334391814412987E-4</v>
      </c>
    </row>
    <row r="150" spans="2:5" ht="13.5">
      <c r="B150" s="99"/>
      <c r="C150" s="61" t="s">
        <v>214</v>
      </c>
      <c r="D150" s="26">
        <v>10</v>
      </c>
      <c r="E150" s="25">
        <v>4.410337831877922E-4</v>
      </c>
    </row>
    <row r="151" spans="2:5" ht="13.5">
      <c r="B151" s="100"/>
      <c r="C151" s="71" t="s">
        <v>20</v>
      </c>
      <c r="D151" s="73">
        <v>23</v>
      </c>
      <c r="E151" s="74">
        <v>1.0143777013319221E-3</v>
      </c>
    </row>
    <row r="152" spans="2:5" ht="13.5">
      <c r="B152" s="98" t="s">
        <v>38</v>
      </c>
      <c r="C152" s="61" t="s">
        <v>215</v>
      </c>
      <c r="D152" s="26">
        <v>96</v>
      </c>
      <c r="E152" s="25">
        <v>4.2339243186028047E-3</v>
      </c>
    </row>
    <row r="153" spans="2:5" ht="13.5">
      <c r="B153" s="99"/>
      <c r="C153" s="61" t="s">
        <v>214</v>
      </c>
      <c r="D153" s="26">
        <v>59</v>
      </c>
      <c r="E153" s="25">
        <v>2.602099320807974E-3</v>
      </c>
    </row>
    <row r="154" spans="2:5" ht="13.5">
      <c r="B154" s="100"/>
      <c r="C154" s="71" t="s">
        <v>20</v>
      </c>
      <c r="D154" s="73">
        <v>155</v>
      </c>
      <c r="E154" s="74">
        <v>6.8360236394107788E-3</v>
      </c>
    </row>
    <row r="155" spans="2:5" ht="13.5">
      <c r="B155" s="98" t="s">
        <v>71</v>
      </c>
      <c r="C155" s="61" t="s">
        <v>215</v>
      </c>
      <c r="D155" s="26">
        <v>6</v>
      </c>
      <c r="E155" s="25">
        <v>2.646202699126753E-4</v>
      </c>
    </row>
    <row r="156" spans="2:5" ht="13.5">
      <c r="B156" s="99"/>
      <c r="C156" s="61" t="s">
        <v>214</v>
      </c>
      <c r="D156" s="26">
        <v>10</v>
      </c>
      <c r="E156" s="25">
        <v>4.410337831877922E-4</v>
      </c>
    </row>
    <row r="157" spans="2:5" ht="13.5">
      <c r="B157" s="100"/>
      <c r="C157" s="71" t="s">
        <v>20</v>
      </c>
      <c r="D157" s="73">
        <v>16</v>
      </c>
      <c r="E157" s="74">
        <v>7.0565405310046749E-4</v>
      </c>
    </row>
    <row r="158" spans="2:5" ht="13.5">
      <c r="B158" s="96" t="s">
        <v>210</v>
      </c>
      <c r="C158" s="97"/>
      <c r="D158" s="23">
        <v>22674</v>
      </c>
      <c r="E158" s="22">
        <v>1</v>
      </c>
    </row>
    <row r="160" spans="2:5">
      <c r="B160" s="19" t="s">
        <v>255</v>
      </c>
    </row>
    <row r="161" spans="2:2">
      <c r="B161" s="21" t="s">
        <v>19</v>
      </c>
    </row>
    <row r="162" spans="2:2">
      <c r="B162" s="20" t="s">
        <v>18</v>
      </c>
    </row>
    <row r="163" spans="2:2">
      <c r="B163" s="19" t="s">
        <v>17</v>
      </c>
    </row>
    <row r="164" spans="2:2">
      <c r="B164" s="19" t="s">
        <v>256</v>
      </c>
    </row>
  </sheetData>
  <mergeCells count="51">
    <mergeCell ref="B158:C158"/>
    <mergeCell ref="B8:E10"/>
    <mergeCell ref="B31:B33"/>
    <mergeCell ref="B34:B36"/>
    <mergeCell ref="B37:B39"/>
    <mergeCell ref="B40:B42"/>
    <mergeCell ref="B51:B53"/>
    <mergeCell ref="B43:B45"/>
    <mergeCell ref="B46:B48"/>
    <mergeCell ref="B49:B50"/>
    <mergeCell ref="B69:B71"/>
    <mergeCell ref="B72:B74"/>
    <mergeCell ref="B75:B77"/>
    <mergeCell ref="B78:B80"/>
    <mergeCell ref="B81:B83"/>
    <mergeCell ref="B54:B56"/>
    <mergeCell ref="B57:B59"/>
    <mergeCell ref="B60:B62"/>
    <mergeCell ref="B63:B65"/>
    <mergeCell ref="B66:B68"/>
    <mergeCell ref="B98:B100"/>
    <mergeCell ref="B84:B86"/>
    <mergeCell ref="B87:B89"/>
    <mergeCell ref="B95:B97"/>
    <mergeCell ref="B90:B91"/>
    <mergeCell ref="B92:B94"/>
    <mergeCell ref="B128:B130"/>
    <mergeCell ref="B131:B133"/>
    <mergeCell ref="B101:B103"/>
    <mergeCell ref="B104:B106"/>
    <mergeCell ref="B107:B109"/>
    <mergeCell ref="B110:B112"/>
    <mergeCell ref="B113:B115"/>
    <mergeCell ref="B116:B118"/>
    <mergeCell ref="B119:B121"/>
    <mergeCell ref="B122:B124"/>
    <mergeCell ref="B125:B127"/>
    <mergeCell ref="B152:B154"/>
    <mergeCell ref="B155:B157"/>
    <mergeCell ref="B134:B136"/>
    <mergeCell ref="B137:B139"/>
    <mergeCell ref="B140:B142"/>
    <mergeCell ref="B143:B145"/>
    <mergeCell ref="B146:B148"/>
    <mergeCell ref="B149:B151"/>
    <mergeCell ref="B28:B30"/>
    <mergeCell ref="B13:B15"/>
    <mergeCell ref="B16:B18"/>
    <mergeCell ref="B19:B21"/>
    <mergeCell ref="B22:B24"/>
    <mergeCell ref="B25:B27"/>
  </mergeCells>
  <printOptions horizontalCentered="1"/>
  <pageMargins left="0.74803149606299213" right="0.74803149606299213" top="0.98425196850393704" bottom="0.98425196850393704" header="0.51181102362204722" footer="0.51181102362204722"/>
  <pageSetup scale="59" orientation="portrait" r:id="rId1"/>
  <headerFooter>
    <oddFooter>&amp;C&amp;P de &amp;N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G35"/>
  <sheetViews>
    <sheetView showGridLines="0" zoomScaleNormal="100" zoomScaleSheetLayoutView="100" workbookViewId="0">
      <selection activeCell="H25" sqref="H25"/>
    </sheetView>
  </sheetViews>
  <sheetFormatPr baseColWidth="10" defaultColWidth="11.42578125" defaultRowHeight="11.25"/>
  <cols>
    <col min="1" max="1" width="5.7109375" style="29" customWidth="1"/>
    <col min="2" max="2" width="19" style="47" customWidth="1"/>
    <col min="3" max="3" width="17.140625" style="47" customWidth="1"/>
    <col min="4" max="4" width="17.140625" style="60" customWidth="1"/>
    <col min="5" max="5" width="16.5703125" style="60" customWidth="1"/>
    <col min="6" max="6" width="16.5703125" style="47" customWidth="1"/>
    <col min="7" max="7" width="5.7109375" style="29" customWidth="1"/>
    <col min="8" max="16384" width="11.42578125" style="29"/>
  </cols>
  <sheetData>
    <row r="1" spans="1:7" s="62" customFormat="1" ht="15">
      <c r="B1" s="51"/>
      <c r="C1" s="47"/>
    </row>
    <row r="2" spans="1:7" s="47" customFormat="1">
      <c r="B2" s="66"/>
    </row>
    <row r="3" spans="1:7" ht="15" customHeight="1">
      <c r="B3" s="67"/>
      <c r="C3" s="35"/>
      <c r="D3" s="29"/>
      <c r="E3" s="29"/>
      <c r="G3" s="47"/>
    </row>
    <row r="4" spans="1:7" ht="30" customHeight="1">
      <c r="B4" s="67"/>
      <c r="C4" s="35"/>
      <c r="D4" s="29"/>
      <c r="E4" s="29"/>
      <c r="G4" s="47"/>
    </row>
    <row r="5" spans="1:7" ht="15" customHeight="1">
      <c r="B5" s="67"/>
      <c r="C5" s="35"/>
      <c r="D5" s="29"/>
      <c r="E5" s="29"/>
      <c r="G5" s="47"/>
    </row>
    <row r="6" spans="1:7" s="47" customFormat="1">
      <c r="B6" s="55"/>
      <c r="C6" s="49"/>
    </row>
    <row r="7" spans="1:7" s="47" customFormat="1">
      <c r="A7" s="51"/>
      <c r="B7" s="66"/>
      <c r="C7" s="51"/>
    </row>
    <row r="8" spans="1:7" s="62" customFormat="1" ht="15" customHeight="1">
      <c r="B8" s="91" t="s">
        <v>227</v>
      </c>
      <c r="C8" s="91"/>
      <c r="D8" s="91"/>
      <c r="E8" s="91"/>
      <c r="F8" s="91"/>
    </row>
    <row r="9" spans="1:7" s="62" customFormat="1" ht="15" customHeight="1">
      <c r="A9" s="64"/>
      <c r="B9" s="91"/>
      <c r="C9" s="91"/>
      <c r="D9" s="91"/>
      <c r="E9" s="91"/>
      <c r="F9" s="91"/>
      <c r="G9" s="65"/>
    </row>
    <row r="10" spans="1:7" s="62" customFormat="1" ht="15" customHeight="1">
      <c r="A10" s="64"/>
      <c r="B10" s="91"/>
      <c r="C10" s="91"/>
      <c r="D10" s="91"/>
      <c r="E10" s="91"/>
      <c r="F10" s="91"/>
      <c r="G10" s="64"/>
    </row>
    <row r="11" spans="1:7" s="62" customFormat="1" ht="15" customHeight="1">
      <c r="A11" s="64"/>
      <c r="B11" s="70"/>
      <c r="C11" s="70"/>
      <c r="D11" s="70"/>
      <c r="E11" s="70"/>
      <c r="F11" s="70"/>
      <c r="G11" s="64"/>
    </row>
    <row r="12" spans="1:7" s="62" customFormat="1" ht="36.950000000000003" customHeight="1">
      <c r="B12" s="63" t="s">
        <v>213</v>
      </c>
      <c r="C12" s="63" t="s">
        <v>226</v>
      </c>
      <c r="D12" s="63" t="s">
        <v>65</v>
      </c>
      <c r="E12" s="63" t="s">
        <v>225</v>
      </c>
      <c r="F12" s="63" t="s">
        <v>224</v>
      </c>
    </row>
    <row r="13" spans="1:7" ht="13.5">
      <c r="B13" s="101" t="s">
        <v>215</v>
      </c>
      <c r="C13" s="77" t="s">
        <v>223</v>
      </c>
      <c r="D13" s="78">
        <v>11</v>
      </c>
      <c r="E13" s="79">
        <v>8.4394660119686967E-4</v>
      </c>
      <c r="F13" s="79">
        <f t="shared" ref="F13:F29" si="0">D13/$D$29</f>
        <v>4.8513716150657142E-4</v>
      </c>
    </row>
    <row r="14" spans="1:7" ht="13.5">
      <c r="B14" s="102"/>
      <c r="C14" s="77" t="s">
        <v>222</v>
      </c>
      <c r="D14" s="78">
        <v>101</v>
      </c>
      <c r="E14" s="79">
        <v>7.7489642473530769E-3</v>
      </c>
      <c r="F14" s="79">
        <f t="shared" si="0"/>
        <v>4.4544412101967011E-3</v>
      </c>
    </row>
    <row r="15" spans="1:7" ht="13.5">
      <c r="B15" s="102"/>
      <c r="C15" s="77" t="s">
        <v>221</v>
      </c>
      <c r="D15" s="78">
        <v>1856</v>
      </c>
      <c r="E15" s="79">
        <v>0.14239680834739912</v>
      </c>
      <c r="F15" s="79">
        <f t="shared" si="0"/>
        <v>8.1855870159654232E-2</v>
      </c>
    </row>
    <row r="16" spans="1:7" ht="13.5">
      <c r="B16" s="102"/>
      <c r="C16" s="77" t="s">
        <v>220</v>
      </c>
      <c r="D16" s="78">
        <v>4099</v>
      </c>
      <c r="E16" s="79">
        <v>0.3144851925732699</v>
      </c>
      <c r="F16" s="79">
        <f t="shared" si="0"/>
        <v>0.18077974772867603</v>
      </c>
    </row>
    <row r="17" spans="2:6" ht="18" customHeight="1">
      <c r="B17" s="102"/>
      <c r="C17" s="77" t="s">
        <v>219</v>
      </c>
      <c r="D17" s="78">
        <v>4381</v>
      </c>
      <c r="E17" s="79">
        <v>0.336120914531226</v>
      </c>
      <c r="F17" s="79">
        <f t="shared" si="0"/>
        <v>0.19321690041457176</v>
      </c>
    </row>
    <row r="18" spans="2:6" ht="13.5">
      <c r="B18" s="102"/>
      <c r="C18" s="77" t="s">
        <v>218</v>
      </c>
      <c r="D18" s="78">
        <v>2240</v>
      </c>
      <c r="E18" s="79">
        <v>0.17185821697099893</v>
      </c>
      <c r="F18" s="79">
        <f t="shared" si="0"/>
        <v>9.8791567434065447E-2</v>
      </c>
    </row>
    <row r="19" spans="2:6" ht="13.5">
      <c r="B19" s="102"/>
      <c r="C19" s="77" t="s">
        <v>217</v>
      </c>
      <c r="D19" s="78">
        <v>285</v>
      </c>
      <c r="E19" s="79">
        <v>2.1865889212827987E-2</v>
      </c>
      <c r="F19" s="79">
        <f t="shared" si="0"/>
        <v>1.2569462820852077E-2</v>
      </c>
    </row>
    <row r="20" spans="2:6" ht="13.5">
      <c r="B20" s="103"/>
      <c r="C20" s="77" t="s">
        <v>216</v>
      </c>
      <c r="D20" s="78">
        <v>61</v>
      </c>
      <c r="E20" s="79">
        <v>4.6800675157280961E-3</v>
      </c>
      <c r="F20" s="79">
        <f t="shared" si="0"/>
        <v>2.6903060774455321E-3</v>
      </c>
    </row>
    <row r="21" spans="2:6" ht="13.5">
      <c r="B21" s="98" t="s">
        <v>214</v>
      </c>
      <c r="C21" s="61" t="s">
        <v>223</v>
      </c>
      <c r="D21" s="26">
        <v>12</v>
      </c>
      <c r="E21" s="25">
        <v>1.2448132780082987E-3</v>
      </c>
      <c r="F21" s="25">
        <f t="shared" si="0"/>
        <v>5.2924053982535059E-4</v>
      </c>
    </row>
    <row r="22" spans="2:6" ht="13.5">
      <c r="B22" s="99"/>
      <c r="C22" s="61" t="s">
        <v>222</v>
      </c>
      <c r="D22" s="26">
        <v>92</v>
      </c>
      <c r="E22" s="25">
        <v>9.5435684647302912E-3</v>
      </c>
      <c r="F22" s="25">
        <f t="shared" si="0"/>
        <v>4.0575108053276885E-3</v>
      </c>
    </row>
    <row r="23" spans="2:6" ht="13.5">
      <c r="B23" s="99"/>
      <c r="C23" s="61" t="s">
        <v>221</v>
      </c>
      <c r="D23" s="26">
        <v>812</v>
      </c>
      <c r="E23" s="25">
        <v>8.4232365145228222E-2</v>
      </c>
      <c r="F23" s="25">
        <f t="shared" si="0"/>
        <v>3.5811943194848726E-2</v>
      </c>
    </row>
    <row r="24" spans="2:6" ht="13.5">
      <c r="B24" s="99"/>
      <c r="C24" s="61" t="s">
        <v>220</v>
      </c>
      <c r="D24" s="26">
        <v>2653</v>
      </c>
      <c r="E24" s="25">
        <v>0.27520746887966807</v>
      </c>
      <c r="F24" s="25">
        <f t="shared" si="0"/>
        <v>0.11700626267972127</v>
      </c>
    </row>
    <row r="25" spans="2:6" ht="27">
      <c r="B25" s="99"/>
      <c r="C25" s="61" t="s">
        <v>219</v>
      </c>
      <c r="D25" s="26">
        <v>3639</v>
      </c>
      <c r="E25" s="25">
        <v>0.37748962655601659</v>
      </c>
      <c r="F25" s="25">
        <f t="shared" si="0"/>
        <v>0.16049219370203757</v>
      </c>
    </row>
    <row r="26" spans="2:6" ht="13.5">
      <c r="B26" s="99"/>
      <c r="C26" s="61" t="s">
        <v>218</v>
      </c>
      <c r="D26" s="26">
        <v>2146</v>
      </c>
      <c r="E26" s="25">
        <v>0.22261410788381741</v>
      </c>
      <c r="F26" s="25">
        <f t="shared" si="0"/>
        <v>9.4645849872100202E-2</v>
      </c>
    </row>
    <row r="27" spans="2:6" ht="13.5">
      <c r="B27" s="99"/>
      <c r="C27" s="61" t="s">
        <v>217</v>
      </c>
      <c r="D27" s="26">
        <v>225</v>
      </c>
      <c r="E27" s="25">
        <v>2.3340248962655602E-2</v>
      </c>
      <c r="F27" s="25">
        <f t="shared" si="0"/>
        <v>9.923260121725324E-3</v>
      </c>
    </row>
    <row r="28" spans="2:6" ht="13.5">
      <c r="B28" s="100"/>
      <c r="C28" s="61" t="s">
        <v>216</v>
      </c>
      <c r="D28" s="26">
        <v>61</v>
      </c>
      <c r="E28" s="25">
        <v>6.3278008298755187E-3</v>
      </c>
      <c r="F28" s="25">
        <f t="shared" si="0"/>
        <v>2.6903060774455321E-3</v>
      </c>
    </row>
    <row r="29" spans="2:6" ht="13.5">
      <c r="B29" s="24" t="s">
        <v>20</v>
      </c>
      <c r="C29" s="24"/>
      <c r="D29" s="23">
        <v>22674</v>
      </c>
      <c r="E29" s="22"/>
      <c r="F29" s="22">
        <f t="shared" si="0"/>
        <v>1</v>
      </c>
    </row>
    <row r="31" spans="2:6">
      <c r="B31" s="19" t="s">
        <v>255</v>
      </c>
    </row>
    <row r="32" spans="2:6">
      <c r="B32" s="21" t="s">
        <v>19</v>
      </c>
    </row>
    <row r="33" spans="2:2">
      <c r="B33" s="20" t="s">
        <v>18</v>
      </c>
    </row>
    <row r="34" spans="2:2">
      <c r="B34" s="19" t="s">
        <v>17</v>
      </c>
    </row>
    <row r="35" spans="2:2">
      <c r="B35" s="19" t="s">
        <v>256</v>
      </c>
    </row>
  </sheetData>
  <mergeCells count="3">
    <mergeCell ref="B8:F10"/>
    <mergeCell ref="B13:B20"/>
    <mergeCell ref="B21:B28"/>
  </mergeCells>
  <printOptions horizontalCentered="1"/>
  <pageMargins left="0.74803149606299213" right="0.74803149606299213" top="0.98425196850393704" bottom="0.98425196850393704" header="0.51181102362204722" footer="0.51181102362204722"/>
  <pageSetup scale="80" orientation="portrait" r:id="rId1"/>
  <headerFooter>
    <oddFooter>&amp;C&amp;P de &amp;N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E42"/>
  <sheetViews>
    <sheetView showGridLines="0" zoomScaleNormal="100" zoomScaleSheetLayoutView="115" workbookViewId="0">
      <selection activeCell="B7" sqref="B7:D9"/>
    </sheetView>
  </sheetViews>
  <sheetFormatPr baseColWidth="10" defaultColWidth="11.42578125" defaultRowHeight="1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5" s="29" customFormat="1" ht="15" customHeight="1">
      <c r="C1" s="35"/>
    </row>
    <row r="2" spans="1:5" s="29" customFormat="1" ht="15" customHeight="1">
      <c r="C2" s="35"/>
    </row>
    <row r="3" spans="1:5" s="29" customFormat="1" ht="15" customHeight="1">
      <c r="A3" s="29" t="s">
        <v>67</v>
      </c>
      <c r="C3" s="35"/>
    </row>
    <row r="4" spans="1:5" s="29" customFormat="1" ht="30" customHeight="1">
      <c r="C4" s="35"/>
      <c r="D4" s="34"/>
    </row>
    <row r="5" spans="1:5" s="29" customFormat="1" ht="15" customHeight="1">
      <c r="C5" s="35"/>
      <c r="D5" s="34"/>
    </row>
    <row r="6" spans="1:5" s="29" customFormat="1" ht="15" customHeight="1">
      <c r="C6" s="35"/>
      <c r="D6" s="34"/>
    </row>
    <row r="7" spans="1:5" s="29" customFormat="1" ht="15" customHeight="1">
      <c r="B7" s="91" t="s">
        <v>264</v>
      </c>
      <c r="C7" s="91"/>
      <c r="D7" s="91"/>
    </row>
    <row r="8" spans="1:5" s="29" customFormat="1" ht="15" customHeight="1">
      <c r="B8" s="91"/>
      <c r="C8" s="91"/>
      <c r="D8" s="91"/>
    </row>
    <row r="9" spans="1:5" s="29" customFormat="1" ht="33" customHeight="1">
      <c r="B9" s="91"/>
      <c r="C9" s="91"/>
      <c r="D9" s="91"/>
    </row>
    <row r="10" spans="1:5" s="29" customFormat="1" ht="4.5" customHeight="1">
      <c r="B10" s="33"/>
      <c r="C10" s="33"/>
      <c r="D10" s="33"/>
    </row>
    <row r="11" spans="1:5" s="29" customFormat="1" ht="33" customHeight="1">
      <c r="B11" s="32" t="s">
        <v>249</v>
      </c>
      <c r="C11" s="31" t="s">
        <v>65</v>
      </c>
      <c r="D11" s="30" t="s">
        <v>64</v>
      </c>
    </row>
    <row r="12" spans="1:5">
      <c r="B12" s="27" t="s">
        <v>248</v>
      </c>
      <c r="C12" s="26">
        <v>12427</v>
      </c>
      <c r="D12" s="25">
        <f t="shared" ref="D12:D35" si="0">C12/$C$35</f>
        <v>0.54807268236746931</v>
      </c>
    </row>
    <row r="13" spans="1:5">
      <c r="B13" s="27" t="s">
        <v>247</v>
      </c>
      <c r="C13" s="26">
        <v>5936</v>
      </c>
      <c r="D13" s="25">
        <f t="shared" si="0"/>
        <v>0.26179765370027341</v>
      </c>
    </row>
    <row r="14" spans="1:5">
      <c r="B14" s="27" t="s">
        <v>246</v>
      </c>
      <c r="C14" s="26">
        <v>1121</v>
      </c>
      <c r="D14" s="25">
        <f t="shared" si="0"/>
        <v>4.9439887095351506E-2</v>
      </c>
      <c r="E14" s="28"/>
    </row>
    <row r="15" spans="1:5">
      <c r="B15" s="27" t="s">
        <v>245</v>
      </c>
      <c r="C15" s="26">
        <v>740</v>
      </c>
      <c r="D15" s="25">
        <f t="shared" si="0"/>
        <v>3.2636499955896625E-2</v>
      </c>
      <c r="E15" s="28"/>
    </row>
    <row r="16" spans="1:5">
      <c r="B16" s="27" t="s">
        <v>244</v>
      </c>
      <c r="C16" s="26">
        <v>576</v>
      </c>
      <c r="D16" s="25">
        <f t="shared" si="0"/>
        <v>2.540354591161683E-2</v>
      </c>
    </row>
    <row r="17" spans="2:4">
      <c r="B17" s="27" t="s">
        <v>243</v>
      </c>
      <c r="C17" s="26">
        <v>424</v>
      </c>
      <c r="D17" s="25">
        <f t="shared" si="0"/>
        <v>1.869983240716239E-2</v>
      </c>
    </row>
    <row r="18" spans="2:4">
      <c r="B18" s="27" t="s">
        <v>242</v>
      </c>
      <c r="C18" s="26">
        <v>355</v>
      </c>
      <c r="D18" s="25">
        <f t="shared" si="0"/>
        <v>1.5656699303166623E-2</v>
      </c>
    </row>
    <row r="19" spans="2:4">
      <c r="B19" s="27" t="s">
        <v>241</v>
      </c>
      <c r="C19" s="26">
        <v>295</v>
      </c>
      <c r="D19" s="25">
        <f t="shared" si="0"/>
        <v>1.301049660403987E-2</v>
      </c>
    </row>
    <row r="20" spans="2:4">
      <c r="B20" s="27" t="s">
        <v>240</v>
      </c>
      <c r="C20" s="26">
        <v>240</v>
      </c>
      <c r="D20" s="25">
        <f t="shared" si="0"/>
        <v>1.0584810796507013E-2</v>
      </c>
    </row>
    <row r="21" spans="2:4">
      <c r="B21" s="27" t="s">
        <v>239</v>
      </c>
      <c r="C21" s="26">
        <v>163</v>
      </c>
      <c r="D21" s="25">
        <f t="shared" si="0"/>
        <v>7.188850665961013E-3</v>
      </c>
    </row>
    <row r="22" spans="2:4">
      <c r="B22" s="27" t="s">
        <v>238</v>
      </c>
      <c r="C22" s="26">
        <v>87</v>
      </c>
      <c r="D22" s="25">
        <f t="shared" si="0"/>
        <v>3.8369939137337921E-3</v>
      </c>
    </row>
    <row r="23" spans="2:4">
      <c r="B23" s="27" t="s">
        <v>237</v>
      </c>
      <c r="C23" s="26">
        <v>69</v>
      </c>
      <c r="D23" s="25">
        <f t="shared" si="0"/>
        <v>3.0431331039957659E-3</v>
      </c>
    </row>
    <row r="24" spans="2:4">
      <c r="B24" s="27" t="s">
        <v>236</v>
      </c>
      <c r="C24" s="26">
        <v>63</v>
      </c>
      <c r="D24" s="25">
        <f t="shared" si="0"/>
        <v>2.7785128340830907E-3</v>
      </c>
    </row>
    <row r="25" spans="2:4">
      <c r="B25" s="27" t="s">
        <v>235</v>
      </c>
      <c r="C25" s="26">
        <v>46</v>
      </c>
      <c r="D25" s="25">
        <f t="shared" si="0"/>
        <v>2.0287554026638442E-3</v>
      </c>
    </row>
    <row r="26" spans="2:4">
      <c r="B26" s="27" t="s">
        <v>234</v>
      </c>
      <c r="C26" s="26">
        <v>42</v>
      </c>
      <c r="D26" s="25">
        <f t="shared" si="0"/>
        <v>1.8523418893887271E-3</v>
      </c>
    </row>
    <row r="27" spans="2:4">
      <c r="B27" s="27" t="s">
        <v>233</v>
      </c>
      <c r="C27" s="26">
        <v>35</v>
      </c>
      <c r="D27" s="25">
        <f t="shared" si="0"/>
        <v>1.5436182411572726E-3</v>
      </c>
    </row>
    <row r="28" spans="2:4">
      <c r="B28" s="27" t="s">
        <v>232</v>
      </c>
      <c r="C28" s="26">
        <v>22</v>
      </c>
      <c r="D28" s="25">
        <f t="shared" si="0"/>
        <v>9.7027432301314285E-4</v>
      </c>
    </row>
    <row r="29" spans="2:4">
      <c r="B29" s="27" t="s">
        <v>230</v>
      </c>
      <c r="C29" s="26">
        <v>13</v>
      </c>
      <c r="D29" s="25">
        <f t="shared" si="0"/>
        <v>5.7334391814412987E-4</v>
      </c>
    </row>
    <row r="30" spans="2:4">
      <c r="B30" s="27" t="s">
        <v>231</v>
      </c>
      <c r="C30" s="26">
        <v>12</v>
      </c>
      <c r="D30" s="25">
        <f t="shared" si="0"/>
        <v>5.2924053982535059E-4</v>
      </c>
    </row>
    <row r="31" spans="2:4">
      <c r="B31" s="27" t="s">
        <v>228</v>
      </c>
      <c r="C31" s="26">
        <v>5</v>
      </c>
      <c r="D31" s="25">
        <f t="shared" si="0"/>
        <v>2.205168915938961E-4</v>
      </c>
    </row>
    <row r="32" spans="2:4">
      <c r="B32" s="27" t="s">
        <v>265</v>
      </c>
      <c r="C32" s="26">
        <v>1</v>
      </c>
      <c r="D32" s="25">
        <f t="shared" si="0"/>
        <v>4.4103378318779218E-5</v>
      </c>
    </row>
    <row r="33" spans="1:4">
      <c r="B33" s="27" t="s">
        <v>266</v>
      </c>
      <c r="C33" s="26">
        <v>1</v>
      </c>
      <c r="D33" s="25">
        <f t="shared" si="0"/>
        <v>4.4103378318779218E-5</v>
      </c>
    </row>
    <row r="34" spans="1:4">
      <c r="B34" s="27" t="s">
        <v>229</v>
      </c>
      <c r="C34" s="26">
        <v>1</v>
      </c>
      <c r="D34" s="25">
        <f t="shared" si="0"/>
        <v>4.4103378318779218E-5</v>
      </c>
    </row>
    <row r="35" spans="1:4">
      <c r="B35" s="24" t="s">
        <v>20</v>
      </c>
      <c r="C35" s="23">
        <v>22674</v>
      </c>
      <c r="D35" s="22">
        <f t="shared" si="0"/>
        <v>1</v>
      </c>
    </row>
    <row r="37" spans="1:4">
      <c r="B37" s="72" t="s">
        <v>255</v>
      </c>
    </row>
    <row r="38" spans="1:4">
      <c r="B38" s="72" t="s">
        <v>19</v>
      </c>
    </row>
    <row r="39" spans="1:4">
      <c r="B39" s="72" t="s">
        <v>18</v>
      </c>
    </row>
    <row r="40" spans="1:4">
      <c r="B40" s="72" t="s">
        <v>17</v>
      </c>
    </row>
    <row r="41" spans="1:4">
      <c r="B41" s="72" t="s">
        <v>256</v>
      </c>
    </row>
    <row r="42" spans="1:4">
      <c r="A42" s="56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17</vt:i4>
      </vt:variant>
    </vt:vector>
  </HeadingPairs>
  <TitlesOfParts>
    <vt:vector size="31" baseType="lpstr">
      <vt:lpstr>Índice</vt:lpstr>
      <vt:lpstr>Zacatecas_EdoUsa</vt:lpstr>
      <vt:lpstr>Zacatecas_Cons</vt:lpstr>
      <vt:lpstr>ZacatecasXCons</vt:lpstr>
      <vt:lpstr>Zacatecas_EdoMun</vt:lpstr>
      <vt:lpstr>Zacatecas_USAMuni</vt:lpstr>
      <vt:lpstr>Zacatecas_MUNICIPIO</vt:lpstr>
      <vt:lpstr>Zacatecas_educ_gral</vt:lpstr>
      <vt:lpstr>Zacatecas_NivelE_USA</vt:lpstr>
      <vt:lpstr>Zacatecas_EducCons</vt:lpstr>
      <vt:lpstr>Zacatecas_GenGral</vt:lpstr>
      <vt:lpstr>Zacatecas_GENERO</vt:lpstr>
      <vt:lpstr>Zacatecas_Gen_Edad</vt:lpstr>
      <vt:lpstr>Zacatecas_ocup_gral</vt:lpstr>
      <vt:lpstr>Zacatecas_EducCons!Área_de_impresión</vt:lpstr>
      <vt:lpstr>Zacatecas_MUNICIPIO!Área_de_impresión</vt:lpstr>
      <vt:lpstr>Zacatecas_NivelE_USA!Área_de_impresión</vt:lpstr>
      <vt:lpstr>Zacatecas_USAMuni!Área_de_impresión</vt:lpstr>
      <vt:lpstr>Zacatecas_Cons!Títulos_a_imprimir</vt:lpstr>
      <vt:lpstr>Zacatecas_EdoMun!Títulos_a_imprimir</vt:lpstr>
      <vt:lpstr>Zacatecas_EdoUsa!Títulos_a_imprimir</vt:lpstr>
      <vt:lpstr>Zacatecas_educ_gral!Títulos_a_imprimir</vt:lpstr>
      <vt:lpstr>Zacatecas_EducCons!Títulos_a_imprimir</vt:lpstr>
      <vt:lpstr>Zacatecas_Gen_Edad!Títulos_a_imprimir</vt:lpstr>
      <vt:lpstr>Zacatecas_GENERO!Títulos_a_imprimir</vt:lpstr>
      <vt:lpstr>Zacatecas_GenGral!Títulos_a_imprimir</vt:lpstr>
      <vt:lpstr>Zacatecas_MUNICIPIO!Títulos_a_imprimir</vt:lpstr>
      <vt:lpstr>Zacatecas_NivelE_USA!Títulos_a_imprimir</vt:lpstr>
      <vt:lpstr>Zacatecas_ocup_gral!Títulos_a_imprimir</vt:lpstr>
      <vt:lpstr>Zacatecas_USAMuni!Títulos_a_imprimir</vt:lpstr>
      <vt:lpstr>ZacatecasXCons!Títulos_a_imprimir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123</cp:lastModifiedBy>
  <dcterms:created xsi:type="dcterms:W3CDTF">2020-06-05T01:44:56Z</dcterms:created>
  <dcterms:modified xsi:type="dcterms:W3CDTF">2022-07-26T16:22:47Z</dcterms:modified>
</cp:coreProperties>
</file>