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3040" windowHeight="8805" tabRatio="782"/>
  </bookViews>
  <sheets>
    <sheet name="Índice" sheetId="1" r:id="rId1"/>
    <sheet name="Baja California Sur_EdoUsa" sheetId="2" r:id="rId2"/>
    <sheet name="Baja California Sur_Cons" sheetId="15" r:id="rId3"/>
    <sheet name="Baja California SurXCons" sheetId="16" r:id="rId4"/>
    <sheet name="Baja California Sur_EdoMun" sheetId="5" r:id="rId5"/>
    <sheet name="Baja California Sur_USAMuni" sheetId="6" r:id="rId6"/>
    <sheet name="Baja California Sur_MUNICIPIO" sheetId="7" r:id="rId7"/>
    <sheet name="Baja California Sur_educ_gral" sheetId="8" r:id="rId8"/>
    <sheet name="Baja California Sur_NivelE_Cons" sheetId="9" r:id="rId9"/>
    <sheet name="Baja California Sur_EducCons" sheetId="10" r:id="rId10"/>
    <sheet name="Baja California Sur_GenGral" sheetId="11" r:id="rId11"/>
    <sheet name="Baja California Sur_GENERO" sheetId="12" r:id="rId12"/>
    <sheet name="Baja California Sur_Gen_Edad" sheetId="13" r:id="rId13"/>
    <sheet name="Baja California Sur_ocup_gral" sheetId="14" r:id="rId14"/>
  </sheets>
  <definedNames>
    <definedName name="_xlnm._FilterDatabase" localSheetId="2" hidden="1">'Baja California Sur_Cons'!$B$11:$D$11</definedName>
    <definedName name="_xlnm._FilterDatabase" localSheetId="4" hidden="1">'Baja California Sur_EdoMun'!$B$11:$D$11</definedName>
    <definedName name="_xlnm._FilterDatabase" localSheetId="1" hidden="1">'Baja California Sur_EdoUsa'!$B$11:$D$11</definedName>
    <definedName name="_xlnm._FilterDatabase" localSheetId="7" hidden="1">'Baja California Sur_educ_gral'!$B$11:$D$11</definedName>
    <definedName name="_xlnm._FilterDatabase" localSheetId="9" hidden="1">'Baja California Sur_EducCons'!$B$9:$E$9</definedName>
    <definedName name="_xlnm._FilterDatabase" localSheetId="11" hidden="1">'Baja California Sur_GENERO'!$B$12:$E$120</definedName>
    <definedName name="_xlnm._FilterDatabase" localSheetId="10" hidden="1">'Baja California Sur_GenGral'!$B$11:$D$11</definedName>
    <definedName name="_xlnm._FilterDatabase" localSheetId="6" hidden="1">'Baja California Sur_MUNICIPIO'!$B$9:$E$9</definedName>
    <definedName name="_xlnm._FilterDatabase" localSheetId="8" hidden="1">'Baja California Sur_NivelE_Cons'!$B$9:$E$9</definedName>
    <definedName name="_xlnm._FilterDatabase" localSheetId="13" hidden="1">'Baja California Sur_ocup_gral'!$B$11:$D$11</definedName>
    <definedName name="_xlnm._FilterDatabase" localSheetId="5" hidden="1">'Baja California Sur_USAMuni'!$B$9:$E$9</definedName>
    <definedName name="_xlnm._FilterDatabase" localSheetId="3" hidden="1">'Baja California SurXCons'!$B$11:$D$11</definedName>
    <definedName name="_xlnm.Print_Area" localSheetId="9">'Baja California Sur_EducCons'!$A$1:$E$9</definedName>
    <definedName name="_xlnm.Print_Area" localSheetId="6">'Baja California Sur_MUNICIPIO'!$A$1:$E$9</definedName>
    <definedName name="_xlnm.Print_Area" localSheetId="8">'Baja California Sur_NivelE_Cons'!$A$1:$E$9</definedName>
    <definedName name="_xlnm.Print_Area" localSheetId="5">'Baja California Sur_USAMuni'!$A$1:$E$9</definedName>
    <definedName name="_xlnm.Print_Titles" localSheetId="2">'Baja California Sur_Cons'!$1:$11</definedName>
    <definedName name="_xlnm.Print_Titles" localSheetId="4">'Baja California Sur_EdoMun'!$1:$11</definedName>
    <definedName name="_xlnm.Print_Titles" localSheetId="1">'Baja California Sur_EdoUsa'!$1:$11</definedName>
    <definedName name="_xlnm.Print_Titles" localSheetId="7">'Baja California Sur_educ_gral'!$1:$11</definedName>
    <definedName name="_xlnm.Print_Titles" localSheetId="9">'Baja California Sur_EducCons'!$1:$9</definedName>
    <definedName name="_xlnm.Print_Titles" localSheetId="12">'Baja California Sur_Gen_Edad'!$1:$12</definedName>
    <definedName name="_xlnm.Print_Titles" localSheetId="11">'Baja California Sur_GENERO'!$1:$12</definedName>
    <definedName name="_xlnm.Print_Titles" localSheetId="10">'Baja California Sur_GenGral'!$1:$11</definedName>
    <definedName name="_xlnm.Print_Titles" localSheetId="6">'Baja California Sur_MUNICIPIO'!$1:$9</definedName>
    <definedName name="_xlnm.Print_Titles" localSheetId="8">'Baja California Sur_NivelE_Cons'!$1:$9</definedName>
    <definedName name="_xlnm.Print_Titles" localSheetId="13">'Baja California Sur_ocup_gral'!$1:$11</definedName>
    <definedName name="_xlnm.Print_Titles" localSheetId="5">'Baja California Sur_USAMuni'!$1:$9</definedName>
    <definedName name="_xlnm.Print_Titles" localSheetId="3">'Baja California SurXCons'!$1:$11</definedName>
  </definedNames>
  <calcPr calcId="152511"/>
</workbook>
</file>

<file path=xl/calcChain.xml><?xml version="1.0" encoding="utf-8"?>
<calcChain xmlns="http://schemas.openxmlformats.org/spreadsheetml/2006/main">
  <c r="D13" i="5" l="1"/>
  <c r="D14" i="5"/>
  <c r="D15" i="5"/>
  <c r="D16" i="5"/>
  <c r="D12" i="5"/>
  <c r="D13" i="16" l="1"/>
  <c r="D14" i="16"/>
  <c r="D15" i="16"/>
  <c r="D16" i="16"/>
  <c r="D17" i="16"/>
  <c r="D18" i="16"/>
  <c r="D19" i="16"/>
  <c r="D20" i="16"/>
  <c r="D21" i="16"/>
  <c r="D22" i="16"/>
  <c r="D12" i="16"/>
  <c r="D28" i="14" l="1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1" i="8" l="1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<sst xmlns="http://schemas.openxmlformats.org/spreadsheetml/2006/main" count="1191" uniqueCount="182">
  <si>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</si>
  <si>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</si>
  <si>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</si>
  <si>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</si>
  <si>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</si>
  <si>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</si>
  <si>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</si>
  <si>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</si>
  <si>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</si>
  <si>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</si>
  <si>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</si>
  <si>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</si>
  <si>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</si>
  <si>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</si>
  <si>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</si>
  <si>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</si>
  <si>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</si>
  <si>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</si>
  <si>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</si>
  <si>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</si>
  <si>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Wisconsin</t>
  </si>
  <si>
    <t>Nebraska</t>
  </si>
  <si>
    <t>Alabama</t>
  </si>
  <si>
    <t>Pennsylvania</t>
  </si>
  <si>
    <t>New York</t>
  </si>
  <si>
    <t>Louisiana</t>
  </si>
  <si>
    <t>Tennessee</t>
  </si>
  <si>
    <t>New Jersey</t>
  </si>
  <si>
    <t>Minnesota</t>
  </si>
  <si>
    <t>Michigan</t>
  </si>
  <si>
    <t>Indiana</t>
  </si>
  <si>
    <t>New Mexico</t>
  </si>
  <si>
    <t>South Carolina</t>
  </si>
  <si>
    <t>Washington</t>
  </si>
  <si>
    <t>Georgia</t>
  </si>
  <si>
    <t>North Carolina</t>
  </si>
  <si>
    <t>Utah</t>
  </si>
  <si>
    <t>Colorado</t>
  </si>
  <si>
    <t>Oregon</t>
  </si>
  <si>
    <t>Arizona</t>
  </si>
  <si>
    <t>Nevada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</si>
  <si>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</si>
  <si>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</si>
  <si>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</si>
  <si>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</si>
  <si>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</si>
  <si>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</si>
  <si>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</si>
  <si>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</si>
  <si>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Tucson</t>
  </si>
  <si>
    <t>Boise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</si>
  <si>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</si>
  <si>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</si>
  <si>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</si>
  <si>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</si>
  <si>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</si>
  <si>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</si>
  <si>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</si>
  <si>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</si>
  <si>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</si>
  <si>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</si>
  <si>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</si>
  <si>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</si>
  <si>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</si>
  <si>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Filadelfia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</si>
  <si>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</si>
  <si>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</si>
  <si>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</si>
  <si>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</si>
  <si>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</si>
  <si>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</si>
  <si>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</si>
  <si>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</si>
  <si>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</si>
  <si>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</si>
  <si>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</si>
  <si>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</si>
  <si>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</si>
  <si>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</si>
  <si>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</si>
  <si>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</si>
  <si>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</si>
  <si>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</si>
  <si>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</si>
  <si>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</si>
  <si>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</si>
  <si>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</si>
  <si>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Los Cabos</t>
  </si>
  <si>
    <t>Mulegé</t>
  </si>
  <si>
    <t>Comondú</t>
  </si>
  <si>
    <t>La Paz</t>
  </si>
  <si>
    <t>Municipio de origen</t>
  </si>
  <si>
    <t>Municipio de Origen</t>
  </si>
  <si>
    <t>Estado</t>
  </si>
  <si>
    <t>Profesional titulado</t>
  </si>
  <si>
    <t>Profesional pasante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</si>
  <si>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</si>
  <si>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</si>
  <si>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</si>
  <si>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</si>
  <si>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</si>
  <si>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</si>
  <si>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</si>
  <si>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</si>
  <si>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</si>
  <si>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</si>
  <si>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</si>
  <si>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</si>
  <si>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</si>
  <si>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1° Primaria</t>
  </si>
  <si>
    <t>Sin Estudios</t>
  </si>
  <si>
    <t>Número de matrículas</t>
  </si>
  <si>
    <t>Nivel de Estudios</t>
  </si>
  <si>
    <t>Nivel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</si>
  <si>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</si>
  <si>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</si>
  <si>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</si>
  <si>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</si>
  <si>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</si>
  <si>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</si>
  <si>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</si>
  <si>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</si>
  <si>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</si>
  <si>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</si>
  <si>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</si>
  <si>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</si>
  <si>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</si>
  <si>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</si>
  <si>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</si>
  <si>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</si>
  <si>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</si>
  <si>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</si>
  <si>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BAJA CALIFORNIA SUR POR GÉNERO Y EDAD EN EE.UU.</t>
  </si>
  <si>
    <t>Operario(a)</t>
  </si>
  <si>
    <t>Albañil</t>
  </si>
  <si>
    <t>Profesionista</t>
  </si>
  <si>
    <t>Otro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</si>
  <si>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</si>
  <si>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</si>
  <si>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</si>
  <si>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</si>
  <si>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</si>
  <si>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</si>
  <si>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</si>
  <si>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>Oklahoma</t>
  </si>
  <si>
    <t>Idaho</t>
  </si>
  <si>
    <t>Maryland</t>
  </si>
  <si>
    <t>Hasta 10 Años</t>
  </si>
  <si>
    <t>Carnicero</t>
  </si>
  <si>
    <t>Matrículas consulares expedidas a originarios de Baja California Sur en el 2021.</t>
  </si>
  <si>
    <t>MATRÍCULAS CONSULARES DE ALTA SEGURIDAD EXPEDIDAS A ORIGINARIOS DE BAJA CALIFORNIA SUR POR ESTADO DE LA UNIÓN AMERICANA. DURANTE EL 2021</t>
  </si>
  <si>
    <t>Arkansas</t>
  </si>
  <si>
    <t>Delaware</t>
  </si>
  <si>
    <t>Iowa</t>
  </si>
  <si>
    <t>Virginia</t>
  </si>
  <si>
    <t>Tamaño de la muestra: 701,861</t>
  </si>
  <si>
    <t>Mayo de 2022</t>
  </si>
  <si>
    <t>MATRÍCULAS CONSULARES DE ALTA SEGURIDAD EXPEDIDAS DURANTE EL 2021 A ORIGINARIOS DE BAJA CALIFORNIA SUR EN LOS CONSULADOS DE MÉXICO EN EE.UU.</t>
  </si>
  <si>
    <t>Yuma</t>
  </si>
  <si>
    <t>MATRÍCULAS CONSULARES EXPEDIDAS EN EE.UU. A ORIGINARIOS DE BAJA CALIFORNIA SUR POR NIVEL DE EDUCACIÓN, 2021.</t>
  </si>
  <si>
    <t>1° Año de profesional</t>
  </si>
  <si>
    <t>Posgrado [Maestría]</t>
  </si>
  <si>
    <t>MATRÍCULAS CONSULARES EXPEDIDAS A ORIGINARIOS DE BAJA CALIFORNIA SUR POR GÉNERO EN EE.UU DURANTE EL 2021.</t>
  </si>
  <si>
    <t>MATRÍCULAS CONSULARES EXPEDIDAS A ORIGINARIOS DE BAJA CALIFORNIA SUR POR GÉNERO Y CONSULADO DE MÉXICO 2021.</t>
  </si>
  <si>
    <t>MATRÍCULAS CONSULARES EXPEDIDAS EN EE.UU. A ORIGINARIOS DE BAJA CALIFORNIA SUR POR PERFIL OCUPACIONAL, 2021.</t>
  </si>
  <si>
    <t>Pintor(a)</t>
  </si>
  <si>
    <t>Chofer</t>
  </si>
  <si>
    <t>Comerciante</t>
  </si>
  <si>
    <t>Jardinero(a)</t>
  </si>
  <si>
    <t>Mesero(a)</t>
  </si>
  <si>
    <t>MATRÍCULAS CONSULARES DE ALTA SEGURIDAD EXPEDIDAS POR MUNICIPIO A ORIGINARIOS DEL ESTADO DE BAJA CALIFORNIA SUR EN LOS CONSULADOS DE MÉXICO EN EE.UU. 2021</t>
  </si>
  <si>
    <t>5.2 Por Circunscripción Consular</t>
  </si>
  <si>
    <t>LOS 10 CONSULADOS DE MÉXICO EN EE.UU. CON MAYOR NÚMERO DE EXPEDICIÓN DE MATRÍCULAS CONSULARES DURANTE EL 2021 A ORIGINARIOS DE BAJA CALIFORNIA SUR</t>
  </si>
  <si>
    <t>266o. PRIMARIA</t>
  </si>
  <si>
    <t>27PRIMARIA CON CERTIFICADO</t>
  </si>
  <si>
    <t>311o. SECUNDARIA</t>
  </si>
  <si>
    <t>322o. SECUNDARIA</t>
  </si>
  <si>
    <t>34SECUNDARIA CON CERTIFICADO</t>
  </si>
  <si>
    <t>52PREPARATORIA CON CERTIFICADO</t>
  </si>
  <si>
    <t>66PROFESIONAL TITULADO</t>
  </si>
  <si>
    <t>SAN JOSE</t>
  </si>
  <si>
    <t>SAN JOSE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</si>
</sst>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10.5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medium">
        <color rgb="FF979991"/>
      </left>
      <right/>
      <top style="medium">
        <color rgb="FF979991"/>
      </top>
      <bottom style="medium">
        <color rgb="FF97999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3" fontId="7" fillId="3" borderId="17" xfId="0" applyNumberFormat="1" applyFont="1" applyFill="1" applyBorder="1" applyAlignment="1">
      <alignment horizontal="right" vertical="top" wrapText="1"/>
    </xf>
    <xf numFmtId="164" fontId="7" fillId="3" borderId="18" xfId="0" applyNumberFormat="1" applyFont="1" applyFill="1" applyBorder="1" applyAlignment="1">
      <alignment horizontal="right" vertical="top" wrapText="1"/>
    </xf>
    <xf numFmtId="3" fontId="6" fillId="5" borderId="17" xfId="0" applyNumberFormat="1" applyFont="1" applyFill="1" applyBorder="1" applyAlignment="1">
      <alignment horizontal="right" vertical="top" wrapText="1"/>
    </xf>
    <xf numFmtId="164" fontId="6" fillId="5" borderId="0" xfId="0" applyNumberFormat="1" applyFont="1" applyFill="1" applyAlignment="1">
      <alignment horizontal="right" vertical="top" wrapText="1"/>
    </xf>
    <xf numFmtId="49" fontId="8" fillId="3" borderId="19" xfId="0" applyNumberFormat="1" applyFont="1" applyFill="1" applyBorder="1" applyAlignment="1">
      <alignment horizontal="left" vertical="top" wrapText="1"/>
    </xf>
    <xf numFmtId="49" fontId="8" fillId="3" borderId="17" xfId="0" applyNumberFormat="1" applyFont="1" applyFill="1" applyBorder="1" applyAlignment="1">
      <alignment horizontal="left" vertical="top" wrapText="1"/>
    </xf>
    <xf numFmtId="3" fontId="6" fillId="4" borderId="0" xfId="0" applyNumberFormat="1" applyFont="1" applyFill="1" applyAlignment="1">
      <alignment horizontal="right" vertical="top" wrapText="1"/>
    </xf>
    <xf numFmtId="164" fontId="6" fillId="4" borderId="0" xfId="0" applyNumberFormat="1" applyFont="1" applyFill="1" applyAlignment="1">
      <alignment horizontal="right" vertical="top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4" borderId="0" xfId="0" applyNumberFormat="1" applyFont="1" applyFill="1" applyAlignment="1">
      <alignment horizontal="center" vertical="top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25" fillId="3" borderId="0" xfId="0" applyFont="1" applyFill="1" applyBorder="1" applyAlignment="1">
      <alignment horizontal="center" vertical="distributed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193367</xdr:rowOff>
    </xdr:from>
    <xdr:to>
      <xdr:col>3</xdr:col>
      <xdr:colOff>1084313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76200</xdr:rowOff>
    </xdr:from>
    <xdr:to>
      <xdr:col>5</xdr:col>
      <xdr:colOff>207297</xdr:colOff>
      <xdr:row>8</xdr:row>
      <xdr:rowOff>70055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002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142875</xdr:rowOff>
    </xdr:from>
    <xdr:to>
      <xdr:col>5</xdr:col>
      <xdr:colOff>131097</xdr:colOff>
      <xdr:row>8</xdr:row>
      <xdr:rowOff>142875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668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SUR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99219</xdr:rowOff>
    </xdr:from>
    <xdr:to>
      <xdr:col>4</xdr:col>
      <xdr:colOff>1057799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9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SUR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525858</xdr:colOff>
      <xdr:row>7</xdr:row>
      <xdr:rowOff>59532</xdr:rowOff>
    </xdr:from>
    <xdr:to>
      <xdr:col>4</xdr:col>
      <xdr:colOff>1037955</xdr:colOff>
      <xdr:row>7</xdr:row>
      <xdr:rowOff>248047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8" y="1393032"/>
          <a:ext cx="512097" cy="1313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4325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SUR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SUR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413844</xdr:colOff>
      <xdr:row>7</xdr:row>
      <xdr:rowOff>131379</xdr:rowOff>
    </xdr:from>
    <xdr:to>
      <xdr:col>4</xdr:col>
      <xdr:colOff>925941</xdr:colOff>
      <xdr:row>7</xdr:row>
      <xdr:rowOff>321879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48344" y="1464879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85725</xdr:colOff>
      <xdr:row>7</xdr:row>
      <xdr:rowOff>161925</xdr:rowOff>
    </xdr:from>
    <xdr:to>
      <xdr:col>4</xdr:col>
      <xdr:colOff>597822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33725" y="14954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823517</xdr:colOff>
      <xdr:row>8</xdr:row>
      <xdr:rowOff>39688</xdr:rowOff>
    </xdr:from>
    <xdr:to>
      <xdr:col>5</xdr:col>
      <xdr:colOff>323583</xdr:colOff>
      <xdr:row>9</xdr:row>
      <xdr:rowOff>39688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4367" y="1563688"/>
          <a:ext cx="3192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126353</xdr:colOff>
      <xdr:row>8</xdr:row>
      <xdr:rowOff>87475</xdr:rowOff>
    </xdr:from>
    <xdr:to>
      <xdr:col>7</xdr:col>
      <xdr:colOff>259393</xdr:colOff>
      <xdr:row>9</xdr:row>
      <xdr:rowOff>87475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8353" y="1611475"/>
          <a:ext cx="89504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28575</xdr:rowOff>
    </xdr:from>
    <xdr:to>
      <xdr:col>4</xdr:col>
      <xdr:colOff>559722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95625" y="1552575"/>
          <a:ext cx="512097" cy="1619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A25" sqref="A25:D25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8" t="s">
        <v>149</v>
      </c>
      <c r="B1" s="89"/>
      <c r="C1" s="89"/>
      <c r="D1" s="90"/>
    </row>
    <row r="2" spans="1:4">
      <c r="A2" s="2"/>
      <c r="B2" s="3"/>
      <c r="C2" s="3"/>
      <c r="D2" s="4"/>
    </row>
    <row r="3" spans="1:4">
      <c r="A3" s="91" t="s">
        <v>0</v>
      </c>
      <c r="B3" s="92"/>
      <c r="C3" s="92"/>
      <c r="D3" s="93"/>
    </row>
    <row r="4" spans="1:4">
      <c r="A4" s="91"/>
      <c r="B4" s="92"/>
      <c r="C4" s="92"/>
      <c r="D4" s="93"/>
    </row>
    <row r="5" spans="1:4">
      <c r="A5" s="5"/>
      <c r="B5" s="6"/>
      <c r="C5" s="6"/>
      <c r="D5" s="7"/>
    </row>
    <row r="6" spans="1:4" ht="18.75">
      <c r="A6" s="85" t="s">
        <v>1</v>
      </c>
      <c r="B6" s="86"/>
      <c r="C6" s="86"/>
      <c r="D6" s="87"/>
    </row>
    <row r="7" spans="1:4">
      <c r="A7" s="8"/>
      <c r="B7" s="9"/>
      <c r="C7" s="9"/>
      <c r="D7" s="10"/>
    </row>
    <row r="8" spans="1:4" ht="18.75">
      <c r="A8" s="85" t="s">
        <v>2</v>
      </c>
      <c r="B8" s="86"/>
      <c r="C8" s="86"/>
      <c r="D8" s="87"/>
    </row>
    <row r="9" spans="1:4" ht="18.75">
      <c r="A9" s="11"/>
      <c r="B9" s="85" t="s">
        <v>3</v>
      </c>
      <c r="C9" s="86"/>
      <c r="D9" s="86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 ht="18.75">
      <c r="A12" s="11"/>
      <c r="B12" s="85" t="s">
        <v>5</v>
      </c>
      <c r="C12" s="86"/>
      <c r="D12" s="86"/>
    </row>
    <row r="13" spans="1:4" ht="18.75">
      <c r="A13" s="11"/>
      <c r="B13" s="85" t="s">
        <v>6</v>
      </c>
      <c r="C13" s="86"/>
      <c r="D13" s="86"/>
    </row>
    <row r="14" spans="1:4" ht="18.75">
      <c r="A14" s="11"/>
      <c r="B14" s="85" t="s">
        <v>7</v>
      </c>
      <c r="C14" s="86"/>
      <c r="D14" s="86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 ht="18.75">
      <c r="A17" s="11"/>
      <c r="B17" s="85" t="s">
        <v>9</v>
      </c>
      <c r="C17" s="86"/>
      <c r="D17" s="86"/>
    </row>
    <row r="18" spans="1:4" ht="18.75">
      <c r="A18" s="11"/>
      <c r="B18" s="85" t="s">
        <v>10</v>
      </c>
      <c r="C18" s="86"/>
      <c r="D18" s="86"/>
    </row>
    <row r="19" spans="1:4" ht="18.75">
      <c r="A19" s="11"/>
      <c r="B19" s="85" t="s">
        <v>11</v>
      </c>
      <c r="C19" s="86"/>
      <c r="D19" s="86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 ht="18.75">
      <c r="A22" s="11"/>
      <c r="B22" s="85" t="s">
        <v>13</v>
      </c>
      <c r="C22" s="86"/>
      <c r="D22" s="86"/>
    </row>
    <row r="23" spans="1:4" ht="18.75">
      <c r="A23" s="11"/>
      <c r="B23" s="85" t="s">
        <v>171</v>
      </c>
      <c r="C23" s="86"/>
      <c r="D23" s="86"/>
    </row>
    <row r="24" spans="1:4">
      <c r="A24" s="11"/>
      <c r="B24" s="12"/>
      <c r="C24" s="12"/>
      <c r="D24" s="13"/>
    </row>
    <row r="25" spans="1:4" ht="18.75">
      <c r="A25" s="85" t="s">
        <v>14</v>
      </c>
      <c r="B25" s="86"/>
      <c r="C25" s="86"/>
      <c r="D25" s="87"/>
    </row>
    <row r="26" spans="1:4">
      <c r="A26" s="11"/>
      <c r="B26" s="12"/>
      <c r="C26" s="12"/>
      <c r="D26" s="13"/>
    </row>
    <row r="27" spans="1:4" ht="18.75">
      <c r="A27" s="85" t="s">
        <v>15</v>
      </c>
      <c r="B27" s="86"/>
      <c r="C27" s="86"/>
      <c r="D27" s="87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Baja California Sur_USAMuni'!A1" display="3.2 Por Estado de USA"/>
    <hyperlink ref="A8:D8" location="'Baja California Sur_Cons'!A1" display="2. Por Circunscripción Consular"/>
    <hyperlink ref="B9:D9" location="'Baja California SurXCons'!A1" display="2.1 Top ten por circunscripción consular"/>
    <hyperlink ref="A6:D6" location="'Baja California Sur_EdoUsa'!A1" display="1. Por Estados de USA"/>
    <hyperlink ref="B12:D12" location="'Baja California Sur_EdoMun'!A1" display="3.1 Municipio general"/>
    <hyperlink ref="B14:D14" location="'Baja California Sur_MUNICIPIO'!A1" display="3.3 Por Circunscripción Consular"/>
    <hyperlink ref="B17:D17" location="'Baja California Sur_educ_gral'!A1" display="4.1 Educación general"/>
    <hyperlink ref="B18:D18" location="'Baja California Sur_NivelE_Cons'!A1" display="4.2 Por Estado de USA"/>
    <hyperlink ref="B19:D19" location="'Baja California Sur_EducCons'!A1" display="4.3 Por Circunscripción Consular"/>
    <hyperlink ref="B22:D22" location="'Baja California Sur_GenGral'!A1" display="5.1 Género General"/>
    <hyperlink ref="B23:D23" location="'Baja California Sur_GENERO'!A1" display="5.2 Por Circunscripción Consular"/>
    <hyperlink ref="A25:D25" location="'Baja California Sur_Gen_Edad'!A1" display="6. Por estructura de Edad"/>
    <hyperlink ref="A27:D27" location="'Baja California Sur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50"/>
  <sheetViews>
    <sheetView showGridLines="0" topLeftCell="A2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150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47</v>
      </c>
      <c r="C11" s="31" t="s">
        <v>46</v>
      </c>
      <c r="D11" s="30" t="s">
        <v>45</v>
      </c>
    </row>
    <row r="12" spans="1:4">
      <c r="B12" s="27" t="s">
        <v>44</v>
      </c>
      <c r="C12" s="26">
        <v>171</v>
      </c>
      <c r="D12" s="25">
        <v>0.45</v>
      </c>
    </row>
    <row r="13" spans="1:4">
      <c r="B13" s="27" t="s">
        <v>43</v>
      </c>
      <c r="C13" s="26">
        <v>30</v>
      </c>
      <c r="D13" s="25">
        <v>7.8947368421052627E-2</v>
      </c>
    </row>
    <row r="14" spans="1:4">
      <c r="B14" s="27" t="s">
        <v>39</v>
      </c>
      <c r="C14" s="26">
        <v>22</v>
      </c>
      <c r="D14" s="25">
        <v>5.7894736842105263E-2</v>
      </c>
    </row>
    <row r="15" spans="1:4">
      <c r="B15" s="27" t="s">
        <v>40</v>
      </c>
      <c r="C15" s="26">
        <v>19</v>
      </c>
      <c r="D15" s="25">
        <v>0.05</v>
      </c>
    </row>
    <row r="16" spans="1:4">
      <c r="B16" s="27" t="s">
        <v>36</v>
      </c>
      <c r="C16" s="26">
        <v>17</v>
      </c>
      <c r="D16" s="25">
        <v>4.4736842105263158E-2</v>
      </c>
    </row>
    <row r="17" spans="2:4">
      <c r="B17" s="27" t="s">
        <v>42</v>
      </c>
      <c r="C17" s="26">
        <v>16</v>
      </c>
      <c r="D17" s="25">
        <v>4.2105263157894736E-2</v>
      </c>
    </row>
    <row r="18" spans="2:4">
      <c r="B18" s="27" t="s">
        <v>35</v>
      </c>
      <c r="C18" s="26">
        <v>14</v>
      </c>
      <c r="D18" s="25">
        <v>3.6842105263157891E-2</v>
      </c>
    </row>
    <row r="19" spans="2:4">
      <c r="B19" s="27" t="s">
        <v>41</v>
      </c>
      <c r="C19" s="26">
        <v>13</v>
      </c>
      <c r="D19" s="25">
        <v>3.4210526315789476E-2</v>
      </c>
    </row>
    <row r="20" spans="2:4">
      <c r="B20" s="27" t="s">
        <v>22</v>
      </c>
      <c r="C20" s="26">
        <v>8</v>
      </c>
      <c r="D20" s="25">
        <v>2.1052631578947368E-2</v>
      </c>
    </row>
    <row r="21" spans="2:4">
      <c r="B21" s="27" t="s">
        <v>38</v>
      </c>
      <c r="C21" s="26">
        <v>8</v>
      </c>
      <c r="D21" s="25">
        <v>2.1052631578947368E-2</v>
      </c>
    </row>
    <row r="22" spans="2:4">
      <c r="B22" s="27" t="s">
        <v>37</v>
      </c>
      <c r="C22" s="26">
        <v>5</v>
      </c>
      <c r="D22" s="25">
        <v>1.3157894736842105E-2</v>
      </c>
    </row>
    <row r="23" spans="2:4">
      <c r="B23" s="27" t="s">
        <v>34</v>
      </c>
      <c r="C23" s="26">
        <v>5</v>
      </c>
      <c r="D23" s="25">
        <v>1.3157894736842105E-2</v>
      </c>
    </row>
    <row r="24" spans="2:4">
      <c r="B24" s="27" t="s">
        <v>145</v>
      </c>
      <c r="C24" s="26">
        <v>5</v>
      </c>
      <c r="D24" s="25">
        <v>1.3157894736842105E-2</v>
      </c>
    </row>
    <row r="25" spans="2:4">
      <c r="B25" s="27" t="s">
        <v>23</v>
      </c>
      <c r="C25" s="26">
        <v>5</v>
      </c>
      <c r="D25" s="25">
        <v>1.3157894736842105E-2</v>
      </c>
    </row>
    <row r="26" spans="2:4">
      <c r="B26" s="27" t="s">
        <v>32</v>
      </c>
      <c r="C26" s="26">
        <v>5</v>
      </c>
      <c r="D26" s="25">
        <v>1.3157894736842105E-2</v>
      </c>
    </row>
    <row r="27" spans="2:4">
      <c r="B27" s="27" t="s">
        <v>33</v>
      </c>
      <c r="C27" s="26">
        <v>5</v>
      </c>
      <c r="D27" s="25">
        <v>1.3157894736842105E-2</v>
      </c>
    </row>
    <row r="28" spans="2:4">
      <c r="B28" s="27" t="s">
        <v>30</v>
      </c>
      <c r="C28" s="26">
        <v>3</v>
      </c>
      <c r="D28" s="25">
        <v>7.8947368421052634E-3</v>
      </c>
    </row>
    <row r="29" spans="2:4">
      <c r="B29" s="27" t="s">
        <v>29</v>
      </c>
      <c r="C29" s="26">
        <v>3</v>
      </c>
      <c r="D29" s="25">
        <v>7.8947368421052634E-3</v>
      </c>
    </row>
    <row r="30" spans="2:4">
      <c r="B30" s="27" t="s">
        <v>28</v>
      </c>
      <c r="C30" s="26">
        <v>3</v>
      </c>
      <c r="D30" s="25">
        <v>7.8947368421052634E-3</v>
      </c>
    </row>
    <row r="31" spans="2:4">
      <c r="B31" s="27" t="s">
        <v>27</v>
      </c>
      <c r="C31" s="26">
        <v>3</v>
      </c>
      <c r="D31" s="25">
        <v>7.8947368421052634E-3</v>
      </c>
    </row>
    <row r="32" spans="2:4">
      <c r="B32" s="27" t="s">
        <v>31</v>
      </c>
      <c r="C32" s="26">
        <v>3</v>
      </c>
      <c r="D32" s="25">
        <v>7.8947368421052634E-3</v>
      </c>
    </row>
    <row r="33" spans="2:4">
      <c r="B33" s="27" t="s">
        <v>144</v>
      </c>
      <c r="C33" s="26">
        <v>3</v>
      </c>
      <c r="D33" s="25">
        <v>7.8947368421052634E-3</v>
      </c>
    </row>
    <row r="34" spans="2:4">
      <c r="B34" s="27" t="s">
        <v>25</v>
      </c>
      <c r="C34" s="26">
        <v>2</v>
      </c>
      <c r="D34" s="25">
        <v>5.263157894736842E-3</v>
      </c>
    </row>
    <row r="35" spans="2:4">
      <c r="B35" s="27" t="s">
        <v>21</v>
      </c>
      <c r="C35" s="26">
        <v>2</v>
      </c>
      <c r="D35" s="25">
        <v>5.263157894736842E-3</v>
      </c>
    </row>
    <row r="36" spans="2:4">
      <c r="B36" s="27" t="s">
        <v>26</v>
      </c>
      <c r="C36" s="26">
        <v>2</v>
      </c>
      <c r="D36" s="25">
        <v>5.263157894736842E-3</v>
      </c>
    </row>
    <row r="37" spans="2:4">
      <c r="B37" s="27" t="s">
        <v>20</v>
      </c>
      <c r="C37" s="26">
        <v>2</v>
      </c>
      <c r="D37" s="25">
        <v>5.263157894736842E-3</v>
      </c>
    </row>
    <row r="38" spans="2:4">
      <c r="B38" s="27" t="s">
        <v>151</v>
      </c>
      <c r="C38" s="26">
        <v>1</v>
      </c>
      <c r="D38" s="25">
        <v>2.631578947368421E-3</v>
      </c>
    </row>
    <row r="39" spans="2:4">
      <c r="B39" s="27" t="s">
        <v>152</v>
      </c>
      <c r="C39" s="26">
        <v>1</v>
      </c>
      <c r="D39" s="25">
        <v>2.631578947368421E-3</v>
      </c>
    </row>
    <row r="40" spans="2:4">
      <c r="B40" s="27" t="s">
        <v>153</v>
      </c>
      <c r="C40" s="26">
        <v>1</v>
      </c>
      <c r="D40" s="25">
        <v>2.631578947368421E-3</v>
      </c>
    </row>
    <row r="41" spans="2:4">
      <c r="B41" s="27" t="s">
        <v>146</v>
      </c>
      <c r="C41" s="26">
        <v>1</v>
      </c>
      <c r="D41" s="25">
        <v>2.631578947368421E-3</v>
      </c>
    </row>
    <row r="42" spans="2:4">
      <c r="B42" s="27" t="s">
        <v>24</v>
      </c>
      <c r="C42" s="26">
        <v>1</v>
      </c>
      <c r="D42" s="25">
        <v>2.631578947368421E-3</v>
      </c>
    </row>
    <row r="43" spans="2:4">
      <c r="B43" s="27" t="s">
        <v>154</v>
      </c>
      <c r="C43" s="26">
        <v>1</v>
      </c>
      <c r="D43" s="25">
        <v>2.631578947368421E-3</v>
      </c>
    </row>
    <row r="44" spans="2:4">
      <c r="B44" s="24" t="s">
        <v>19</v>
      </c>
      <c r="C44" s="23">
        <v>380</v>
      </c>
      <c r="D44" s="22">
        <v>1</v>
      </c>
    </row>
    <row r="46" spans="2:4">
      <c r="B46" s="19" t="s">
        <v>155</v>
      </c>
    </row>
    <row r="47" spans="2:4">
      <c r="B47" s="21" t="s">
        <v>18</v>
      </c>
    </row>
    <row r="48" spans="2:4">
      <c r="B48" s="20" t="s">
        <v>17</v>
      </c>
    </row>
    <row r="49" spans="2:2">
      <c r="B49" s="19" t="s">
        <v>16</v>
      </c>
    </row>
    <row r="50" spans="2:2">
      <c r="B50" s="19" t="s">
        <v>156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0"/>
  <sheetViews>
    <sheetView showGridLines="0" topLeftCell="A30" zoomScaleNormal="100" zoomScaleSheetLayoutView="115" workbookViewId="0">
      <selection activeCell="F51" sqref="F5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157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86</v>
      </c>
      <c r="C11" s="31" t="s">
        <v>46</v>
      </c>
      <c r="D11" s="30" t="s">
        <v>45</v>
      </c>
    </row>
    <row r="12" spans="1:4">
      <c r="B12" s="27" t="s">
        <v>85</v>
      </c>
      <c r="C12" s="26">
        <v>40</v>
      </c>
      <c r="D12" s="25">
        <v>0.10526315789473684</v>
      </c>
    </row>
    <row r="13" spans="1:4">
      <c r="B13" s="27" t="s">
        <v>79</v>
      </c>
      <c r="C13" s="26">
        <v>34</v>
      </c>
      <c r="D13" s="25">
        <v>8.9473684210526316E-2</v>
      </c>
    </row>
    <row r="14" spans="1:4">
      <c r="B14" s="27" t="s">
        <v>78</v>
      </c>
      <c r="C14" s="26">
        <v>20</v>
      </c>
      <c r="D14" s="25">
        <v>5.2631578947368418E-2</v>
      </c>
    </row>
    <row r="15" spans="1:4">
      <c r="B15" s="27" t="s">
        <v>84</v>
      </c>
      <c r="C15" s="26">
        <v>19</v>
      </c>
      <c r="D15" s="25">
        <v>0.05</v>
      </c>
    </row>
    <row r="16" spans="1:4">
      <c r="B16" s="27" t="s">
        <v>82</v>
      </c>
      <c r="C16" s="26">
        <v>18</v>
      </c>
      <c r="D16" s="25">
        <v>4.736842105263158E-2</v>
      </c>
    </row>
    <row r="17" spans="2:4">
      <c r="B17" s="27" t="s">
        <v>69</v>
      </c>
      <c r="C17" s="26">
        <v>18</v>
      </c>
      <c r="D17" s="25">
        <v>4.736842105263158E-2</v>
      </c>
    </row>
    <row r="18" spans="2:4">
      <c r="B18" s="27" t="s">
        <v>77</v>
      </c>
      <c r="C18" s="26">
        <v>18</v>
      </c>
      <c r="D18" s="25">
        <v>4.736842105263158E-2</v>
      </c>
    </row>
    <row r="19" spans="2:4">
      <c r="B19" s="27" t="s">
        <v>75</v>
      </c>
      <c r="C19" s="26">
        <v>18</v>
      </c>
      <c r="D19" s="25">
        <v>4.736842105263158E-2</v>
      </c>
    </row>
    <row r="20" spans="2:4">
      <c r="B20" s="27" t="s">
        <v>58</v>
      </c>
      <c r="C20" s="26">
        <v>17</v>
      </c>
      <c r="D20" s="25">
        <v>4.4736842105263158E-2</v>
      </c>
    </row>
    <row r="21" spans="2:4">
      <c r="B21" s="27" t="s">
        <v>59</v>
      </c>
      <c r="C21" s="26">
        <v>17</v>
      </c>
      <c r="D21" s="25">
        <v>4.4736842105263158E-2</v>
      </c>
    </row>
    <row r="22" spans="2:4">
      <c r="B22" s="27" t="s">
        <v>68</v>
      </c>
      <c r="C22" s="26">
        <v>15</v>
      </c>
      <c r="D22" s="25">
        <v>3.9473684210526314E-2</v>
      </c>
    </row>
    <row r="23" spans="2:4">
      <c r="B23" s="27" t="s">
        <v>81</v>
      </c>
      <c r="C23" s="26">
        <v>14</v>
      </c>
      <c r="D23" s="25">
        <v>3.6842105263157891E-2</v>
      </c>
    </row>
    <row r="24" spans="2:4">
      <c r="B24" s="27" t="s">
        <v>63</v>
      </c>
      <c r="C24" s="26">
        <v>14</v>
      </c>
      <c r="D24" s="25">
        <v>3.6842105263157891E-2</v>
      </c>
    </row>
    <row r="25" spans="2:4">
      <c r="B25" s="27" t="s">
        <v>76</v>
      </c>
      <c r="C25" s="26">
        <v>12</v>
      </c>
      <c r="D25" s="25">
        <v>3.1578947368421054E-2</v>
      </c>
    </row>
    <row r="26" spans="2:4">
      <c r="B26" s="27" t="s">
        <v>74</v>
      </c>
      <c r="C26" s="26">
        <v>11</v>
      </c>
      <c r="D26" s="25">
        <v>2.8947368421052631E-2</v>
      </c>
    </row>
    <row r="27" spans="2:4">
      <c r="B27" s="27" t="s">
        <v>72</v>
      </c>
      <c r="C27" s="26">
        <v>10</v>
      </c>
      <c r="D27" s="25">
        <v>2.6315789473684209E-2</v>
      </c>
    </row>
    <row r="28" spans="2:4">
      <c r="B28" s="27" t="s">
        <v>83</v>
      </c>
      <c r="C28" s="26">
        <v>9</v>
      </c>
      <c r="D28" s="25">
        <v>2.368421052631579E-2</v>
      </c>
    </row>
    <row r="29" spans="2:4">
      <c r="B29" s="27" t="s">
        <v>70</v>
      </c>
      <c r="C29" s="26">
        <v>9</v>
      </c>
      <c r="D29" s="25">
        <v>2.368421052631579E-2</v>
      </c>
    </row>
    <row r="30" spans="2:4">
      <c r="B30" s="27" t="s">
        <v>62</v>
      </c>
      <c r="C30" s="26">
        <v>8</v>
      </c>
      <c r="D30" s="25">
        <v>2.1052631578947368E-2</v>
      </c>
    </row>
    <row r="31" spans="2:4">
      <c r="B31" s="27" t="s">
        <v>64</v>
      </c>
      <c r="C31" s="26">
        <v>7</v>
      </c>
      <c r="D31" s="25">
        <v>1.8421052631578946E-2</v>
      </c>
    </row>
    <row r="32" spans="2:4">
      <c r="B32" s="27" t="s">
        <v>50</v>
      </c>
      <c r="C32" s="26">
        <v>6</v>
      </c>
      <c r="D32" s="25">
        <v>1.5789473684210527E-2</v>
      </c>
    </row>
    <row r="33" spans="2:4">
      <c r="B33" s="27" t="s">
        <v>66</v>
      </c>
      <c r="C33" s="26">
        <v>5</v>
      </c>
      <c r="D33" s="25">
        <v>1.3157894736842105E-2</v>
      </c>
    </row>
    <row r="34" spans="2:4">
      <c r="B34" s="27" t="s">
        <v>56</v>
      </c>
      <c r="C34" s="26">
        <v>5</v>
      </c>
      <c r="D34" s="25">
        <v>1.3157894736842105E-2</v>
      </c>
    </row>
    <row r="35" spans="2:4">
      <c r="B35" s="27" t="s">
        <v>73</v>
      </c>
      <c r="C35" s="26">
        <v>4</v>
      </c>
      <c r="D35" s="25">
        <v>1.0526315789473684E-2</v>
      </c>
    </row>
    <row r="36" spans="2:4">
      <c r="B36" s="27" t="s">
        <v>49</v>
      </c>
      <c r="C36" s="26">
        <v>4</v>
      </c>
      <c r="D36" s="25">
        <v>1.0526315789473684E-2</v>
      </c>
    </row>
    <row r="37" spans="2:4">
      <c r="B37" s="27" t="s">
        <v>54</v>
      </c>
      <c r="C37" s="26">
        <v>3</v>
      </c>
      <c r="D37" s="25">
        <v>7.8947368421052634E-3</v>
      </c>
    </row>
    <row r="38" spans="2:4">
      <c r="B38" s="27" t="s">
        <v>61</v>
      </c>
      <c r="C38" s="26">
        <v>3</v>
      </c>
      <c r="D38" s="25">
        <v>7.8947368421052634E-3</v>
      </c>
    </row>
    <row r="39" spans="2:4">
      <c r="B39" s="27" t="s">
        <v>80</v>
      </c>
      <c r="C39" s="26">
        <v>3</v>
      </c>
      <c r="D39" s="25">
        <v>7.8947368421052634E-3</v>
      </c>
    </row>
    <row r="40" spans="2:4">
      <c r="B40" s="27" t="s">
        <v>55</v>
      </c>
      <c r="C40" s="26">
        <v>3</v>
      </c>
      <c r="D40" s="25">
        <v>7.8947368421052634E-3</v>
      </c>
    </row>
    <row r="41" spans="2:4">
      <c r="B41" s="27" t="s">
        <v>57</v>
      </c>
      <c r="C41" s="26">
        <v>3</v>
      </c>
      <c r="D41" s="25">
        <v>7.8947368421052634E-3</v>
      </c>
    </row>
    <row r="42" spans="2:4">
      <c r="B42" s="27" t="s">
        <v>51</v>
      </c>
      <c r="C42" s="26">
        <v>2</v>
      </c>
      <c r="D42" s="25">
        <v>5.263157894736842E-3</v>
      </c>
    </row>
    <row r="43" spans="2:4">
      <c r="B43" s="27" t="s">
        <v>71</v>
      </c>
      <c r="C43" s="26">
        <v>2</v>
      </c>
      <c r="D43" s="25">
        <v>5.263157894736842E-3</v>
      </c>
    </row>
    <row r="44" spans="2:4">
      <c r="B44" s="27" t="s">
        <v>53</v>
      </c>
      <c r="C44" s="26">
        <v>2</v>
      </c>
      <c r="D44" s="25">
        <v>5.263157894736842E-3</v>
      </c>
    </row>
    <row r="45" spans="2:4">
      <c r="B45" s="27" t="s">
        <v>33</v>
      </c>
      <c r="C45" s="26">
        <v>2</v>
      </c>
      <c r="D45" s="25">
        <v>5.263157894736842E-3</v>
      </c>
    </row>
    <row r="46" spans="2:4">
      <c r="B46" s="27" t="s">
        <v>52</v>
      </c>
      <c r="C46" s="26">
        <v>1</v>
      </c>
      <c r="D46" s="25">
        <v>2.631578947368421E-3</v>
      </c>
    </row>
    <row r="47" spans="2:4">
      <c r="B47" s="27" t="s">
        <v>67</v>
      </c>
      <c r="C47" s="26">
        <v>1</v>
      </c>
      <c r="D47" s="25">
        <v>2.631578947368421E-3</v>
      </c>
    </row>
    <row r="48" spans="2:4">
      <c r="B48" s="27" t="s">
        <v>60</v>
      </c>
      <c r="C48" s="26">
        <v>1</v>
      </c>
      <c r="D48" s="25">
        <v>2.631578947368421E-3</v>
      </c>
    </row>
    <row r="49" spans="2:4">
      <c r="B49" s="27" t="s">
        <v>65</v>
      </c>
      <c r="C49" s="26">
        <v>1</v>
      </c>
      <c r="D49" s="25">
        <v>2.631578947368421E-3</v>
      </c>
    </row>
    <row r="50" spans="2:4">
      <c r="B50" s="27" t="s">
        <v>158</v>
      </c>
      <c r="C50" s="26">
        <v>1</v>
      </c>
      <c r="D50" s="25">
        <v>2.631578947368421E-3</v>
      </c>
    </row>
    <row r="51" spans="2:4">
      <c r="B51" s="24" t="s">
        <v>19</v>
      </c>
      <c r="C51" s="23">
        <v>380</v>
      </c>
      <c r="D51" s="22">
        <v>1</v>
      </c>
    </row>
    <row r="53" spans="2:4">
      <c r="B53" s="19" t="s">
        <v>155</v>
      </c>
    </row>
    <row r="54" spans="2:4">
      <c r="B54" s="21" t="s">
        <v>18</v>
      </c>
    </row>
    <row r="55" spans="2:4">
      <c r="B55" s="20" t="s">
        <v>17</v>
      </c>
    </row>
    <row r="56" spans="2:4" ht="11.25" customHeight="1">
      <c r="B56" s="19" t="s">
        <v>16</v>
      </c>
    </row>
    <row r="57" spans="2:4">
      <c r="B57" s="19" t="s">
        <v>156</v>
      </c>
    </row>
    <row r="59" spans="2:4">
      <c r="C59" s="17"/>
    </row>
    <row r="60" spans="2:4">
      <c r="C6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30"/>
  <sheetViews>
    <sheetView showGridLines="0" zoomScaleNormal="100" zoomScaleSheetLayoutView="115" workbookViewId="0">
      <selection activeCell="H13" sqref="H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8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172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86</v>
      </c>
      <c r="C11" s="31" t="s">
        <v>46</v>
      </c>
      <c r="D11" s="30" t="s">
        <v>45</v>
      </c>
    </row>
    <row r="12" spans="1:4" ht="15" customHeight="1">
      <c r="B12" s="27" t="s">
        <v>85</v>
      </c>
      <c r="C12" s="26">
        <v>40</v>
      </c>
      <c r="D12" s="25">
        <f>C12/$C$22</f>
        <v>0.18264840182648401</v>
      </c>
    </row>
    <row r="13" spans="1:4">
      <c r="B13" s="27" t="s">
        <v>79</v>
      </c>
      <c r="C13" s="26">
        <v>34</v>
      </c>
      <c r="D13" s="25">
        <f t="shared" ref="D13:D22" si="0">C13/$C$22</f>
        <v>0.15525114155251141</v>
      </c>
    </row>
    <row r="14" spans="1:4" s="28" customFormat="1">
      <c r="A14" s="17"/>
      <c r="B14" s="27" t="s">
        <v>78</v>
      </c>
      <c r="C14" s="26">
        <v>20</v>
      </c>
      <c r="D14" s="25">
        <f t="shared" si="0"/>
        <v>9.1324200913242004E-2</v>
      </c>
    </row>
    <row r="15" spans="1:4" s="28" customFormat="1">
      <c r="A15" s="17"/>
      <c r="B15" s="27" t="s">
        <v>84</v>
      </c>
      <c r="C15" s="26">
        <v>19</v>
      </c>
      <c r="D15" s="25">
        <f t="shared" si="0"/>
        <v>8.6757990867579904E-2</v>
      </c>
    </row>
    <row r="16" spans="1:4">
      <c r="B16" s="27" t="s">
        <v>82</v>
      </c>
      <c r="C16" s="26">
        <v>18</v>
      </c>
      <c r="D16" s="25">
        <f t="shared" si="0"/>
        <v>8.2191780821917804E-2</v>
      </c>
    </row>
    <row r="17" spans="2:4">
      <c r="B17" s="27" t="s">
        <v>69</v>
      </c>
      <c r="C17" s="26">
        <v>18</v>
      </c>
      <c r="D17" s="25">
        <f t="shared" si="0"/>
        <v>8.2191780821917804E-2</v>
      </c>
    </row>
    <row r="18" spans="2:4">
      <c r="B18" s="27" t="s">
        <v>77</v>
      </c>
      <c r="C18" s="26">
        <v>18</v>
      </c>
      <c r="D18" s="25">
        <f t="shared" si="0"/>
        <v>8.2191780821917804E-2</v>
      </c>
    </row>
    <row r="19" spans="2:4">
      <c r="B19" s="27" t="s">
        <v>75</v>
      </c>
      <c r="C19" s="26">
        <v>18</v>
      </c>
      <c r="D19" s="25">
        <f t="shared" si="0"/>
        <v>8.2191780821917804E-2</v>
      </c>
    </row>
    <row r="20" spans="2:4">
      <c r="B20" s="27" t="s">
        <v>58</v>
      </c>
      <c r="C20" s="26">
        <v>17</v>
      </c>
      <c r="D20" s="25">
        <f t="shared" si="0"/>
        <v>7.7625570776255703E-2</v>
      </c>
    </row>
    <row r="21" spans="2:4">
      <c r="B21" s="27" t="s">
        <v>59</v>
      </c>
      <c r="C21" s="26">
        <v>17</v>
      </c>
      <c r="D21" s="25">
        <f t="shared" si="0"/>
        <v>7.7625570776255703E-2</v>
      </c>
    </row>
    <row r="22" spans="2:4">
      <c r="B22" s="24" t="s">
        <v>19</v>
      </c>
      <c r="C22" s="23">
        <v>219</v>
      </c>
      <c r="D22" s="22">
        <f t="shared" si="0"/>
        <v>1</v>
      </c>
    </row>
    <row r="23" spans="2:4">
      <c r="C23" s="17"/>
    </row>
    <row r="24" spans="2:4">
      <c r="B24" s="19" t="s">
        <v>155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156</v>
      </c>
      <c r="C28" s="17"/>
    </row>
    <row r="29" spans="2:4">
      <c r="C29" s="17"/>
    </row>
    <row r="30" spans="2:4">
      <c r="C3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2"/>
  <sheetViews>
    <sheetView showGridLines="0" zoomScaleNormal="100" zoomScaleSheetLayoutView="115" workbookViewId="0">
      <selection activeCell="E22" sqref="E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170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91</v>
      </c>
      <c r="C11" s="31" t="s">
        <v>46</v>
      </c>
      <c r="D11" s="30" t="s">
        <v>45</v>
      </c>
    </row>
    <row r="12" spans="1:4">
      <c r="B12" s="27" t="s">
        <v>90</v>
      </c>
      <c r="C12" s="26">
        <v>166</v>
      </c>
      <c r="D12" s="25">
        <f>C12/$C$16</f>
        <v>0.43684210526315792</v>
      </c>
    </row>
    <row r="13" spans="1:4">
      <c r="B13" s="27" t="s">
        <v>89</v>
      </c>
      <c r="C13" s="26">
        <v>110</v>
      </c>
      <c r="D13" s="25">
        <f t="shared" ref="D13:D16" si="0">C13/$C$16</f>
        <v>0.28947368421052633</v>
      </c>
    </row>
    <row r="14" spans="1:4">
      <c r="B14" s="27" t="s">
        <v>88</v>
      </c>
      <c r="C14" s="26">
        <v>64</v>
      </c>
      <c r="D14" s="25">
        <f t="shared" si="0"/>
        <v>0.16842105263157894</v>
      </c>
    </row>
    <row r="15" spans="1:4">
      <c r="B15" s="27" t="s">
        <v>87</v>
      </c>
      <c r="C15" s="26">
        <v>40</v>
      </c>
      <c r="D15" s="25">
        <f t="shared" si="0"/>
        <v>0.10526315789473684</v>
      </c>
    </row>
    <row r="16" spans="1:4">
      <c r="B16" s="24" t="s">
        <v>19</v>
      </c>
      <c r="C16" s="23">
        <v>380</v>
      </c>
      <c r="D16" s="22">
        <f t="shared" si="0"/>
        <v>1</v>
      </c>
    </row>
    <row r="17" spans="2:4">
      <c r="B17" s="20"/>
      <c r="C17" s="56"/>
      <c r="D17" s="56"/>
    </row>
    <row r="18" spans="2:4">
      <c r="B18" s="19" t="s">
        <v>155</v>
      </c>
    </row>
    <row r="19" spans="2:4">
      <c r="B19" s="21" t="s">
        <v>18</v>
      </c>
    </row>
    <row r="20" spans="2:4">
      <c r="B20" s="20" t="s">
        <v>17</v>
      </c>
    </row>
    <row r="21" spans="2:4">
      <c r="B21" s="19" t="s">
        <v>16</v>
      </c>
    </row>
    <row r="22" spans="2:4">
      <c r="B22" s="19" t="s">
        <v>156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5"/>
  <sheetViews>
    <sheetView showGridLines="0" topLeftCell="A94" zoomScale="96" zoomScaleNormal="96" zoomScaleSheetLayoutView="85" workbookViewId="0">
      <selection activeCell="E121" sqref="E12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93</v>
      </c>
      <c r="C9" s="47" t="s">
        <v>92</v>
      </c>
      <c r="D9" s="46" t="s">
        <v>46</v>
      </c>
      <c r="E9" s="45" t="s">
        <v>45</v>
      </c>
    </row>
    <row r="10" spans="1:5" ht="15" customHeight="1">
      <c r="B10" s="95" t="s">
        <v>22</v>
      </c>
      <c r="C10" s="43" t="s">
        <v>89</v>
      </c>
      <c r="D10" s="42">
        <v>3</v>
      </c>
      <c r="E10" s="41">
        <v>7.8947368421052634E-3</v>
      </c>
    </row>
    <row r="11" spans="1:5" ht="15" customHeight="1">
      <c r="B11" s="96"/>
      <c r="C11" s="43" t="s">
        <v>90</v>
      </c>
      <c r="D11" s="42">
        <v>4</v>
      </c>
      <c r="E11" s="41">
        <v>1.0526315789473684E-2</v>
      </c>
    </row>
    <row r="12" spans="1:5" ht="15" customHeight="1">
      <c r="B12" s="96"/>
      <c r="C12" s="43" t="s">
        <v>88</v>
      </c>
      <c r="D12" s="42">
        <v>1</v>
      </c>
      <c r="E12" s="41">
        <v>2.631578947368421E-3</v>
      </c>
    </row>
    <row r="13" spans="1:5" ht="15" customHeight="1">
      <c r="B13" s="97"/>
      <c r="C13" s="40" t="s">
        <v>19</v>
      </c>
      <c r="D13" s="39">
        <v>8</v>
      </c>
      <c r="E13" s="38">
        <v>2.1052631578947368E-2</v>
      </c>
    </row>
    <row r="14" spans="1:5" ht="15" customHeight="1">
      <c r="B14" s="95" t="s">
        <v>39</v>
      </c>
      <c r="C14" s="43" t="s">
        <v>89</v>
      </c>
      <c r="D14" s="42">
        <v>2</v>
      </c>
      <c r="E14" s="41">
        <v>5.263157894736842E-3</v>
      </c>
    </row>
    <row r="15" spans="1:5" ht="15" customHeight="1">
      <c r="B15" s="96"/>
      <c r="C15" s="43" t="s">
        <v>90</v>
      </c>
      <c r="D15" s="42">
        <v>13</v>
      </c>
      <c r="E15" s="41">
        <v>3.4210526315789476E-2</v>
      </c>
    </row>
    <row r="16" spans="1:5" ht="15" customHeight="1">
      <c r="B16" s="96"/>
      <c r="C16" s="43" t="s">
        <v>87</v>
      </c>
      <c r="D16" s="42">
        <v>2</v>
      </c>
      <c r="E16" s="41">
        <v>5.263157894736842E-3</v>
      </c>
    </row>
    <row r="17" spans="2:5" ht="15" customHeight="1">
      <c r="B17" s="96"/>
      <c r="C17" s="43" t="s">
        <v>88</v>
      </c>
      <c r="D17" s="42">
        <v>5</v>
      </c>
      <c r="E17" s="41">
        <v>1.3157894736842105E-2</v>
      </c>
    </row>
    <row r="18" spans="2:5" ht="15" customHeight="1">
      <c r="B18" s="97"/>
      <c r="C18" s="40" t="s">
        <v>19</v>
      </c>
      <c r="D18" s="39">
        <v>22</v>
      </c>
      <c r="E18" s="38">
        <v>5.7894736842105263E-2</v>
      </c>
    </row>
    <row r="19" spans="2:5" ht="15" customHeight="1">
      <c r="B19" s="95" t="s">
        <v>151</v>
      </c>
      <c r="C19" s="43" t="s">
        <v>88</v>
      </c>
      <c r="D19" s="42">
        <v>1</v>
      </c>
      <c r="E19" s="41">
        <v>2.631578947368421E-3</v>
      </c>
    </row>
    <row r="20" spans="2:5" ht="15" customHeight="1">
      <c r="B20" s="97"/>
      <c r="C20" s="40" t="s">
        <v>19</v>
      </c>
      <c r="D20" s="39">
        <v>1</v>
      </c>
      <c r="E20" s="38">
        <v>2.631578947368421E-3</v>
      </c>
    </row>
    <row r="21" spans="2:5" ht="15" customHeight="1">
      <c r="B21" s="95" t="s">
        <v>44</v>
      </c>
      <c r="C21" s="43" t="s">
        <v>89</v>
      </c>
      <c r="D21" s="42">
        <v>59</v>
      </c>
      <c r="E21" s="41">
        <v>0.15526315789473685</v>
      </c>
    </row>
    <row r="22" spans="2:5" ht="15" customHeight="1">
      <c r="B22" s="96"/>
      <c r="C22" s="43" t="s">
        <v>90</v>
      </c>
      <c r="D22" s="42">
        <v>72</v>
      </c>
      <c r="E22" s="41">
        <v>0.18947368421052632</v>
      </c>
    </row>
    <row r="23" spans="2:5" ht="15" customHeight="1">
      <c r="B23" s="96"/>
      <c r="C23" s="43" t="s">
        <v>87</v>
      </c>
      <c r="D23" s="42">
        <v>14</v>
      </c>
      <c r="E23" s="41">
        <v>3.6842105263157891E-2</v>
      </c>
    </row>
    <row r="24" spans="2:5" ht="15" customHeight="1">
      <c r="B24" s="96"/>
      <c r="C24" s="43" t="s">
        <v>88</v>
      </c>
      <c r="D24" s="42">
        <v>26</v>
      </c>
      <c r="E24" s="41">
        <v>6.8421052631578952E-2</v>
      </c>
    </row>
    <row r="25" spans="2:5" ht="15" customHeight="1">
      <c r="B25" s="97"/>
      <c r="C25" s="40" t="s">
        <v>19</v>
      </c>
      <c r="D25" s="39">
        <v>171</v>
      </c>
      <c r="E25" s="38">
        <v>0.45</v>
      </c>
    </row>
    <row r="26" spans="2:5" ht="15" customHeight="1">
      <c r="B26" s="95" t="s">
        <v>37</v>
      </c>
      <c r="C26" s="43" t="s">
        <v>89</v>
      </c>
      <c r="D26" s="42">
        <v>2</v>
      </c>
      <c r="E26" s="41">
        <v>5.263157894736842E-3</v>
      </c>
    </row>
    <row r="27" spans="2:5" ht="15" customHeight="1">
      <c r="B27" s="96"/>
      <c r="C27" s="43" t="s">
        <v>90</v>
      </c>
      <c r="D27" s="42">
        <v>2</v>
      </c>
      <c r="E27" s="41">
        <v>5.263157894736842E-3</v>
      </c>
    </row>
    <row r="28" spans="2:5" ht="15" customHeight="1">
      <c r="B28" s="96"/>
      <c r="C28" s="43" t="s">
        <v>88</v>
      </c>
      <c r="D28" s="42">
        <v>1</v>
      </c>
      <c r="E28" s="41">
        <v>2.631578947368421E-3</v>
      </c>
    </row>
    <row r="29" spans="2:5" ht="15" customHeight="1">
      <c r="B29" s="97"/>
      <c r="C29" s="40" t="s">
        <v>19</v>
      </c>
      <c r="D29" s="39">
        <v>5</v>
      </c>
      <c r="E29" s="38">
        <v>1.3157894736842105E-2</v>
      </c>
    </row>
    <row r="30" spans="2:5" ht="15" customHeight="1">
      <c r="B30" s="95" t="s">
        <v>152</v>
      </c>
      <c r="C30" s="43" t="s">
        <v>87</v>
      </c>
      <c r="D30" s="42">
        <v>1</v>
      </c>
      <c r="E30" s="41">
        <v>2.631578947368421E-3</v>
      </c>
    </row>
    <row r="31" spans="2:5" ht="15" customHeight="1">
      <c r="B31" s="97"/>
      <c r="C31" s="40" t="s">
        <v>19</v>
      </c>
      <c r="D31" s="39">
        <v>1</v>
      </c>
      <c r="E31" s="38">
        <v>2.631578947368421E-3</v>
      </c>
    </row>
    <row r="32" spans="2:5" ht="15" customHeight="1">
      <c r="B32" s="95" t="s">
        <v>41</v>
      </c>
      <c r="C32" s="43" t="s">
        <v>89</v>
      </c>
      <c r="D32" s="42">
        <v>1</v>
      </c>
      <c r="E32" s="41">
        <v>2.631578947368421E-3</v>
      </c>
    </row>
    <row r="33" spans="2:5" ht="15" customHeight="1">
      <c r="B33" s="96"/>
      <c r="C33" s="43" t="s">
        <v>90</v>
      </c>
      <c r="D33" s="42">
        <v>5</v>
      </c>
      <c r="E33" s="41">
        <v>1.3157894736842105E-2</v>
      </c>
    </row>
    <row r="34" spans="2:5" ht="15" customHeight="1">
      <c r="B34" s="96"/>
      <c r="C34" s="43" t="s">
        <v>88</v>
      </c>
      <c r="D34" s="42">
        <v>7</v>
      </c>
      <c r="E34" s="41">
        <v>1.8421052631578946E-2</v>
      </c>
    </row>
    <row r="35" spans="2:5" ht="15" customHeight="1">
      <c r="B35" s="97"/>
      <c r="C35" s="40" t="s">
        <v>19</v>
      </c>
      <c r="D35" s="39">
        <v>13</v>
      </c>
      <c r="E35" s="38">
        <v>3.4210526315789476E-2</v>
      </c>
    </row>
    <row r="36" spans="2:5" ht="15" customHeight="1">
      <c r="B36" s="95" t="s">
        <v>34</v>
      </c>
      <c r="C36" s="43" t="s">
        <v>89</v>
      </c>
      <c r="D36" s="42">
        <v>1</v>
      </c>
      <c r="E36" s="41">
        <v>2.631578947368421E-3</v>
      </c>
    </row>
    <row r="37" spans="2:5" ht="15" customHeight="1">
      <c r="B37" s="96"/>
      <c r="C37" s="43" t="s">
        <v>90</v>
      </c>
      <c r="D37" s="42">
        <v>1</v>
      </c>
      <c r="E37" s="41">
        <v>2.631578947368421E-3</v>
      </c>
    </row>
    <row r="38" spans="2:5" ht="15" customHeight="1">
      <c r="B38" s="96"/>
      <c r="C38" s="43" t="s">
        <v>87</v>
      </c>
      <c r="D38" s="42">
        <v>2</v>
      </c>
      <c r="E38" s="41">
        <v>5.263157894736842E-3</v>
      </c>
    </row>
    <row r="39" spans="2:5" ht="15" customHeight="1">
      <c r="B39" s="96"/>
      <c r="C39" s="43" t="s">
        <v>88</v>
      </c>
      <c r="D39" s="42">
        <v>1</v>
      </c>
      <c r="E39" s="41">
        <v>2.631578947368421E-3</v>
      </c>
    </row>
    <row r="40" spans="2:5" ht="15" customHeight="1">
      <c r="B40" s="97"/>
      <c r="C40" s="40" t="s">
        <v>19</v>
      </c>
      <c r="D40" s="39">
        <v>5</v>
      </c>
      <c r="E40" s="38">
        <v>1.3157894736842105E-2</v>
      </c>
    </row>
    <row r="41" spans="2:5" ht="15" customHeight="1">
      <c r="B41" s="95" t="s">
        <v>145</v>
      </c>
      <c r="C41" s="43" t="s">
        <v>89</v>
      </c>
      <c r="D41" s="42">
        <v>1</v>
      </c>
      <c r="E41" s="41">
        <v>2.631578947368421E-3</v>
      </c>
    </row>
    <row r="42" spans="2:5" ht="15" customHeight="1">
      <c r="B42" s="96"/>
      <c r="C42" s="43" t="s">
        <v>90</v>
      </c>
      <c r="D42" s="42">
        <v>3</v>
      </c>
      <c r="E42" s="41">
        <v>7.8947368421052634E-3</v>
      </c>
    </row>
    <row r="43" spans="2:5" ht="15" customHeight="1">
      <c r="B43" s="96"/>
      <c r="C43" s="43" t="s">
        <v>88</v>
      </c>
      <c r="D43" s="42">
        <v>1</v>
      </c>
      <c r="E43" s="41">
        <v>2.631578947368421E-3</v>
      </c>
    </row>
    <row r="44" spans="2:5" ht="15" customHeight="1">
      <c r="B44" s="97"/>
      <c r="C44" s="40" t="s">
        <v>19</v>
      </c>
      <c r="D44" s="39">
        <v>5</v>
      </c>
      <c r="E44" s="38">
        <v>1.3157894736842105E-2</v>
      </c>
    </row>
    <row r="45" spans="2:5" ht="15" customHeight="1">
      <c r="B45" s="95" t="s">
        <v>42</v>
      </c>
      <c r="C45" s="43" t="s">
        <v>89</v>
      </c>
      <c r="D45" s="42">
        <v>4</v>
      </c>
      <c r="E45" s="41">
        <v>1.0526315789473684E-2</v>
      </c>
    </row>
    <row r="46" spans="2:5" ht="15" customHeight="1">
      <c r="B46" s="96"/>
      <c r="C46" s="43" t="s">
        <v>90</v>
      </c>
      <c r="D46" s="42">
        <v>9</v>
      </c>
      <c r="E46" s="41">
        <v>2.368421052631579E-2</v>
      </c>
    </row>
    <row r="47" spans="2:5" ht="15" customHeight="1">
      <c r="B47" s="96"/>
      <c r="C47" s="43" t="s">
        <v>87</v>
      </c>
      <c r="D47" s="42">
        <v>2</v>
      </c>
      <c r="E47" s="41">
        <v>5.263157894736842E-3</v>
      </c>
    </row>
    <row r="48" spans="2:5" ht="15" customHeight="1">
      <c r="B48" s="96"/>
      <c r="C48" s="43" t="s">
        <v>88</v>
      </c>
      <c r="D48" s="42">
        <v>1</v>
      </c>
      <c r="E48" s="41">
        <v>2.631578947368421E-3</v>
      </c>
    </row>
    <row r="49" spans="2:5" ht="15" customHeight="1">
      <c r="B49" s="97"/>
      <c r="C49" s="40" t="s">
        <v>19</v>
      </c>
      <c r="D49" s="39">
        <v>16</v>
      </c>
      <c r="E49" s="38">
        <v>4.2105263157894736E-2</v>
      </c>
    </row>
    <row r="50" spans="2:5" ht="15" customHeight="1">
      <c r="B50" s="95" t="s">
        <v>30</v>
      </c>
      <c r="C50" s="43" t="s">
        <v>90</v>
      </c>
      <c r="D50" s="42">
        <v>3</v>
      </c>
      <c r="E50" s="41">
        <v>7.8947368421052634E-3</v>
      </c>
    </row>
    <row r="51" spans="2:5" ht="15" customHeight="1">
      <c r="B51" s="97"/>
      <c r="C51" s="40" t="s">
        <v>19</v>
      </c>
      <c r="D51" s="39">
        <v>3</v>
      </c>
      <c r="E51" s="38">
        <v>7.8947368421052634E-3</v>
      </c>
    </row>
    <row r="52" spans="2:5" ht="15" customHeight="1">
      <c r="B52" s="95" t="s">
        <v>153</v>
      </c>
      <c r="C52" s="43" t="s">
        <v>90</v>
      </c>
      <c r="D52" s="42">
        <v>1</v>
      </c>
      <c r="E52" s="41">
        <v>2.631578947368421E-3</v>
      </c>
    </row>
    <row r="53" spans="2:5" ht="15" customHeight="1">
      <c r="B53" s="97"/>
      <c r="C53" s="40" t="s">
        <v>19</v>
      </c>
      <c r="D53" s="39">
        <v>1</v>
      </c>
      <c r="E53" s="38">
        <v>2.631578947368421E-3</v>
      </c>
    </row>
    <row r="54" spans="2:5" ht="15" customHeight="1">
      <c r="B54" s="95" t="s">
        <v>25</v>
      </c>
      <c r="C54" s="43" t="s">
        <v>88</v>
      </c>
      <c r="D54" s="42">
        <v>2</v>
      </c>
      <c r="E54" s="41">
        <v>5.263157894736842E-3</v>
      </c>
    </row>
    <row r="55" spans="2:5" ht="15" customHeight="1">
      <c r="B55" s="97"/>
      <c r="C55" s="40" t="s">
        <v>19</v>
      </c>
      <c r="D55" s="39">
        <v>2</v>
      </c>
      <c r="E55" s="38">
        <v>5.263157894736842E-3</v>
      </c>
    </row>
    <row r="56" spans="2:5" ht="15" customHeight="1">
      <c r="B56" s="95" t="s">
        <v>146</v>
      </c>
      <c r="C56" s="43" t="s">
        <v>89</v>
      </c>
      <c r="D56" s="42">
        <v>1</v>
      </c>
      <c r="E56" s="41">
        <v>2.631578947368421E-3</v>
      </c>
    </row>
    <row r="57" spans="2:5" ht="15" customHeight="1">
      <c r="B57" s="97"/>
      <c r="C57" s="40" t="s">
        <v>19</v>
      </c>
      <c r="D57" s="39">
        <v>1</v>
      </c>
      <c r="E57" s="38">
        <v>2.631578947368421E-3</v>
      </c>
    </row>
    <row r="58" spans="2:5" ht="15" customHeight="1">
      <c r="B58" s="95" t="s">
        <v>29</v>
      </c>
      <c r="C58" s="43" t="s">
        <v>89</v>
      </c>
      <c r="D58" s="42">
        <v>1</v>
      </c>
      <c r="E58" s="41">
        <v>2.631578947368421E-3</v>
      </c>
    </row>
    <row r="59" spans="2:5" ht="15" customHeight="1">
      <c r="B59" s="96"/>
      <c r="C59" s="43" t="s">
        <v>90</v>
      </c>
      <c r="D59" s="42">
        <v>1</v>
      </c>
      <c r="E59" s="41">
        <v>2.631578947368421E-3</v>
      </c>
    </row>
    <row r="60" spans="2:5" ht="15" customHeight="1">
      <c r="B60" s="96"/>
      <c r="C60" s="43" t="s">
        <v>88</v>
      </c>
      <c r="D60" s="42">
        <v>1</v>
      </c>
      <c r="E60" s="41">
        <v>2.631578947368421E-3</v>
      </c>
    </row>
    <row r="61" spans="2:5" ht="15" customHeight="1">
      <c r="B61" s="97"/>
      <c r="C61" s="40" t="s">
        <v>19</v>
      </c>
      <c r="D61" s="39">
        <v>3</v>
      </c>
      <c r="E61" s="38">
        <v>7.8947368421052634E-3</v>
      </c>
    </row>
    <row r="62" spans="2:5" ht="15" customHeight="1">
      <c r="B62" s="95" t="s">
        <v>28</v>
      </c>
      <c r="C62" s="43" t="s">
        <v>89</v>
      </c>
      <c r="D62" s="42">
        <v>1</v>
      </c>
      <c r="E62" s="41">
        <v>2.631578947368421E-3</v>
      </c>
    </row>
    <row r="63" spans="2:5" ht="15" customHeight="1">
      <c r="B63" s="96"/>
      <c r="C63" s="43" t="s">
        <v>90</v>
      </c>
      <c r="D63" s="42">
        <v>1</v>
      </c>
      <c r="E63" s="41">
        <v>2.631578947368421E-3</v>
      </c>
    </row>
    <row r="64" spans="2:5" ht="15" customHeight="1">
      <c r="B64" s="96"/>
      <c r="C64" s="43" t="s">
        <v>87</v>
      </c>
      <c r="D64" s="42">
        <v>1</v>
      </c>
      <c r="E64" s="41">
        <v>2.631578947368421E-3</v>
      </c>
    </row>
    <row r="65" spans="2:5" ht="15" customHeight="1">
      <c r="B65" s="97"/>
      <c r="C65" s="40" t="s">
        <v>19</v>
      </c>
      <c r="D65" s="39">
        <v>3</v>
      </c>
      <c r="E65" s="38">
        <v>7.8947368421052634E-3</v>
      </c>
    </row>
    <row r="66" spans="2:5" ht="15" customHeight="1">
      <c r="B66" s="95" t="s">
        <v>21</v>
      </c>
      <c r="C66" s="43" t="s">
        <v>89</v>
      </c>
      <c r="D66" s="42">
        <v>2</v>
      </c>
      <c r="E66" s="41">
        <v>5.263157894736842E-3</v>
      </c>
    </row>
    <row r="67" spans="2:5" ht="15" customHeight="1">
      <c r="B67" s="97"/>
      <c r="C67" s="40" t="s">
        <v>19</v>
      </c>
      <c r="D67" s="39">
        <v>2</v>
      </c>
      <c r="E67" s="38">
        <v>5.263157894736842E-3</v>
      </c>
    </row>
    <row r="68" spans="2:5" ht="15" customHeight="1">
      <c r="B68" s="95" t="s">
        <v>40</v>
      </c>
      <c r="C68" s="43" t="s">
        <v>89</v>
      </c>
      <c r="D68" s="42">
        <v>7</v>
      </c>
      <c r="E68" s="41">
        <v>1.8421052631578946E-2</v>
      </c>
    </row>
    <row r="69" spans="2:5" ht="15" customHeight="1">
      <c r="B69" s="96"/>
      <c r="C69" s="43" t="s">
        <v>90</v>
      </c>
      <c r="D69" s="42">
        <v>8</v>
      </c>
      <c r="E69" s="41">
        <v>2.1052631578947368E-2</v>
      </c>
    </row>
    <row r="70" spans="2:5" ht="15" customHeight="1">
      <c r="B70" s="96"/>
      <c r="C70" s="43" t="s">
        <v>87</v>
      </c>
      <c r="D70" s="42">
        <v>4</v>
      </c>
      <c r="E70" s="41">
        <v>1.0526315789473684E-2</v>
      </c>
    </row>
    <row r="71" spans="2:5" ht="15" customHeight="1">
      <c r="B71" s="97"/>
      <c r="C71" s="40" t="s">
        <v>19</v>
      </c>
      <c r="D71" s="39">
        <v>19</v>
      </c>
      <c r="E71" s="38">
        <v>0.05</v>
      </c>
    </row>
    <row r="72" spans="2:5" ht="15" customHeight="1">
      <c r="B72" s="95" t="s">
        <v>27</v>
      </c>
      <c r="C72" s="43" t="s">
        <v>90</v>
      </c>
      <c r="D72" s="42">
        <v>3</v>
      </c>
      <c r="E72" s="41">
        <v>7.8947368421052634E-3</v>
      </c>
    </row>
    <row r="73" spans="2:5" ht="15" customHeight="1">
      <c r="B73" s="97"/>
      <c r="C73" s="40" t="s">
        <v>19</v>
      </c>
      <c r="D73" s="39">
        <v>3</v>
      </c>
      <c r="E73" s="38">
        <v>7.8947368421052634E-3</v>
      </c>
    </row>
    <row r="74" spans="2:5" ht="15" customHeight="1">
      <c r="B74" s="95" t="s">
        <v>31</v>
      </c>
      <c r="C74" s="43" t="s">
        <v>89</v>
      </c>
      <c r="D74" s="42">
        <v>1</v>
      </c>
      <c r="E74" s="41">
        <v>2.631578947368421E-3</v>
      </c>
    </row>
    <row r="75" spans="2:5" ht="15" customHeight="1">
      <c r="B75" s="96"/>
      <c r="C75" s="43" t="s">
        <v>87</v>
      </c>
      <c r="D75" s="42">
        <v>1</v>
      </c>
      <c r="E75" s="41">
        <v>2.631578947368421E-3</v>
      </c>
    </row>
    <row r="76" spans="2:5" ht="15" customHeight="1">
      <c r="B76" s="96"/>
      <c r="C76" s="43" t="s">
        <v>88</v>
      </c>
      <c r="D76" s="42">
        <v>1</v>
      </c>
      <c r="E76" s="41">
        <v>2.631578947368421E-3</v>
      </c>
    </row>
    <row r="77" spans="2:5" ht="15" customHeight="1">
      <c r="B77" s="97"/>
      <c r="C77" s="40" t="s">
        <v>19</v>
      </c>
      <c r="D77" s="39">
        <v>3</v>
      </c>
      <c r="E77" s="38">
        <v>7.8947368421052634E-3</v>
      </c>
    </row>
    <row r="78" spans="2:5" ht="15" customHeight="1">
      <c r="B78" s="95" t="s">
        <v>24</v>
      </c>
      <c r="C78" s="43" t="s">
        <v>87</v>
      </c>
      <c r="D78" s="42">
        <v>1</v>
      </c>
      <c r="E78" s="41">
        <v>2.631578947368421E-3</v>
      </c>
    </row>
    <row r="79" spans="2:5" ht="15" customHeight="1">
      <c r="B79" s="97"/>
      <c r="C79" s="40" t="s">
        <v>19</v>
      </c>
      <c r="D79" s="39">
        <v>1</v>
      </c>
      <c r="E79" s="38">
        <v>2.631578947368421E-3</v>
      </c>
    </row>
    <row r="80" spans="2:5" ht="15" customHeight="1">
      <c r="B80" s="95" t="s">
        <v>35</v>
      </c>
      <c r="C80" s="43" t="s">
        <v>89</v>
      </c>
      <c r="D80" s="42">
        <v>2</v>
      </c>
      <c r="E80" s="41">
        <v>5.263157894736842E-3</v>
      </c>
    </row>
    <row r="81" spans="2:5" ht="15" customHeight="1">
      <c r="B81" s="96"/>
      <c r="C81" s="43" t="s">
        <v>90</v>
      </c>
      <c r="D81" s="42">
        <v>6</v>
      </c>
      <c r="E81" s="41">
        <v>1.5789473684210527E-2</v>
      </c>
    </row>
    <row r="82" spans="2:5" ht="15" customHeight="1">
      <c r="B82" s="96"/>
      <c r="C82" s="43" t="s">
        <v>87</v>
      </c>
      <c r="D82" s="42">
        <v>5</v>
      </c>
      <c r="E82" s="41">
        <v>1.3157894736842105E-2</v>
      </c>
    </row>
    <row r="83" spans="2:5" ht="15" customHeight="1">
      <c r="B83" s="96"/>
      <c r="C83" s="43" t="s">
        <v>88</v>
      </c>
      <c r="D83" s="42">
        <v>1</v>
      </c>
      <c r="E83" s="41">
        <v>2.631578947368421E-3</v>
      </c>
    </row>
    <row r="84" spans="2:5" ht="15" customHeight="1">
      <c r="B84" s="97"/>
      <c r="C84" s="40" t="s">
        <v>19</v>
      </c>
      <c r="D84" s="39">
        <v>14</v>
      </c>
      <c r="E84" s="38">
        <v>3.6842105263157891E-2</v>
      </c>
    </row>
    <row r="85" spans="2:5" ht="15" customHeight="1">
      <c r="B85" s="95" t="s">
        <v>144</v>
      </c>
      <c r="C85" s="43" t="s">
        <v>90</v>
      </c>
      <c r="D85" s="42">
        <v>1</v>
      </c>
      <c r="E85" s="41">
        <v>2.631578947368421E-3</v>
      </c>
    </row>
    <row r="86" spans="2:5" ht="15" customHeight="1">
      <c r="B86" s="96"/>
      <c r="C86" s="43" t="s">
        <v>87</v>
      </c>
      <c r="D86" s="42">
        <v>1</v>
      </c>
      <c r="E86" s="41">
        <v>2.631578947368421E-3</v>
      </c>
    </row>
    <row r="87" spans="2:5" ht="15" customHeight="1">
      <c r="B87" s="96"/>
      <c r="C87" s="43" t="s">
        <v>88</v>
      </c>
      <c r="D87" s="42">
        <v>1</v>
      </c>
      <c r="E87" s="41">
        <v>2.631578947368421E-3</v>
      </c>
    </row>
    <row r="88" spans="2:5" ht="15" customHeight="1">
      <c r="B88" s="97"/>
      <c r="C88" s="40" t="s">
        <v>19</v>
      </c>
      <c r="D88" s="39">
        <v>3</v>
      </c>
      <c r="E88" s="38">
        <v>7.8947368421052634E-3</v>
      </c>
    </row>
    <row r="89" spans="2:5" ht="15" customHeight="1">
      <c r="B89" s="95" t="s">
        <v>38</v>
      </c>
      <c r="C89" s="43" t="s">
        <v>89</v>
      </c>
      <c r="D89" s="42">
        <v>4</v>
      </c>
      <c r="E89" s="41">
        <v>1.0526315789473684E-2</v>
      </c>
    </row>
    <row r="90" spans="2:5" ht="15" customHeight="1">
      <c r="B90" s="96"/>
      <c r="C90" s="43" t="s">
        <v>90</v>
      </c>
      <c r="D90" s="42">
        <v>1</v>
      </c>
      <c r="E90" s="41">
        <v>2.631578947368421E-3</v>
      </c>
    </row>
    <row r="91" spans="2:5" ht="15" customHeight="1">
      <c r="B91" s="96"/>
      <c r="C91" s="43" t="s">
        <v>87</v>
      </c>
      <c r="D91" s="42">
        <v>2</v>
      </c>
      <c r="E91" s="41">
        <v>5.263157894736842E-3</v>
      </c>
    </row>
    <row r="92" spans="2:5" ht="15" customHeight="1">
      <c r="B92" s="96"/>
      <c r="C92" s="43" t="s">
        <v>88</v>
      </c>
      <c r="D92" s="42">
        <v>1</v>
      </c>
      <c r="E92" s="41">
        <v>2.631578947368421E-3</v>
      </c>
    </row>
    <row r="93" spans="2:5" ht="15" customHeight="1">
      <c r="B93" s="97"/>
      <c r="C93" s="40" t="s">
        <v>19</v>
      </c>
      <c r="D93" s="39">
        <v>8</v>
      </c>
      <c r="E93" s="38">
        <v>2.1052631578947368E-2</v>
      </c>
    </row>
    <row r="94" spans="2:5" ht="15" customHeight="1">
      <c r="B94" s="95" t="s">
        <v>23</v>
      </c>
      <c r="C94" s="43" t="s">
        <v>89</v>
      </c>
      <c r="D94" s="42">
        <v>1</v>
      </c>
      <c r="E94" s="41">
        <v>2.631578947368421E-3</v>
      </c>
    </row>
    <row r="95" spans="2:5" ht="15" customHeight="1">
      <c r="B95" s="96"/>
      <c r="C95" s="43" t="s">
        <v>88</v>
      </c>
      <c r="D95" s="42">
        <v>4</v>
      </c>
      <c r="E95" s="41">
        <v>1.0526315789473684E-2</v>
      </c>
    </row>
    <row r="96" spans="2:5" ht="15" customHeight="1">
      <c r="B96" s="97"/>
      <c r="C96" s="40" t="s">
        <v>19</v>
      </c>
      <c r="D96" s="39">
        <v>5</v>
      </c>
      <c r="E96" s="38">
        <v>1.3157894736842105E-2</v>
      </c>
    </row>
    <row r="97" spans="2:5" ht="15" customHeight="1">
      <c r="B97" s="95" t="s">
        <v>32</v>
      </c>
      <c r="C97" s="43" t="s">
        <v>90</v>
      </c>
      <c r="D97" s="42">
        <v>2</v>
      </c>
      <c r="E97" s="41">
        <v>5.263157894736842E-3</v>
      </c>
    </row>
    <row r="98" spans="2:5" ht="15" customHeight="1">
      <c r="B98" s="96"/>
      <c r="C98" s="43" t="s">
        <v>88</v>
      </c>
      <c r="D98" s="42">
        <v>3</v>
      </c>
      <c r="E98" s="41">
        <v>7.8947368421052634E-3</v>
      </c>
    </row>
    <row r="99" spans="2:5" ht="15" customHeight="1">
      <c r="B99" s="97"/>
      <c r="C99" s="40" t="s">
        <v>19</v>
      </c>
      <c r="D99" s="39">
        <v>5</v>
      </c>
      <c r="E99" s="38">
        <v>1.3157894736842105E-2</v>
      </c>
    </row>
    <row r="100" spans="2:5" ht="15" customHeight="1">
      <c r="B100" s="95" t="s">
        <v>26</v>
      </c>
      <c r="C100" s="43" t="s">
        <v>90</v>
      </c>
      <c r="D100" s="42">
        <v>2</v>
      </c>
      <c r="E100" s="41">
        <v>5.263157894736842E-3</v>
      </c>
    </row>
    <row r="101" spans="2:5" ht="15" customHeight="1">
      <c r="B101" s="97"/>
      <c r="C101" s="40" t="s">
        <v>19</v>
      </c>
      <c r="D101" s="39">
        <v>2</v>
      </c>
      <c r="E101" s="38">
        <v>5.263157894736842E-3</v>
      </c>
    </row>
    <row r="102" spans="2:5" ht="15" customHeight="1">
      <c r="B102" s="95" t="s">
        <v>43</v>
      </c>
      <c r="C102" s="43" t="s">
        <v>89</v>
      </c>
      <c r="D102" s="42">
        <v>10</v>
      </c>
      <c r="E102" s="41">
        <v>2.6315789473684209E-2</v>
      </c>
    </row>
    <row r="103" spans="2:5" ht="15" customHeight="1">
      <c r="B103" s="96"/>
      <c r="C103" s="43" t="s">
        <v>90</v>
      </c>
      <c r="D103" s="42">
        <v>14</v>
      </c>
      <c r="E103" s="41">
        <v>3.6842105263157891E-2</v>
      </c>
    </row>
    <row r="104" spans="2:5" ht="15" customHeight="1">
      <c r="B104" s="96"/>
      <c r="C104" s="43" t="s">
        <v>87</v>
      </c>
      <c r="D104" s="42">
        <v>3</v>
      </c>
      <c r="E104" s="41">
        <v>7.8947368421052634E-3</v>
      </c>
    </row>
    <row r="105" spans="2:5" ht="15" customHeight="1">
      <c r="B105" s="96"/>
      <c r="C105" s="43" t="s">
        <v>88</v>
      </c>
      <c r="D105" s="42">
        <v>3</v>
      </c>
      <c r="E105" s="41">
        <v>7.8947368421052634E-3</v>
      </c>
    </row>
    <row r="106" spans="2:5" ht="15" customHeight="1">
      <c r="B106" s="97"/>
      <c r="C106" s="40" t="s">
        <v>19</v>
      </c>
      <c r="D106" s="39">
        <v>30</v>
      </c>
      <c r="E106" s="38">
        <v>7.8947368421052627E-2</v>
      </c>
    </row>
    <row r="107" spans="2:5" ht="15" customHeight="1">
      <c r="B107" s="95" t="s">
        <v>36</v>
      </c>
      <c r="C107" s="43" t="s">
        <v>89</v>
      </c>
      <c r="D107" s="42">
        <v>6</v>
      </c>
      <c r="E107" s="41">
        <v>1.5789473684210527E-2</v>
      </c>
    </row>
    <row r="108" spans="2:5" ht="15" customHeight="1">
      <c r="B108" s="96"/>
      <c r="C108" s="43" t="s">
        <v>90</v>
      </c>
      <c r="D108" s="42">
        <v>8</v>
      </c>
      <c r="E108" s="41">
        <v>2.1052631578947368E-2</v>
      </c>
    </row>
    <row r="109" spans="2:5" ht="15" customHeight="1">
      <c r="B109" s="96"/>
      <c r="C109" s="43" t="s">
        <v>87</v>
      </c>
      <c r="D109" s="42">
        <v>1</v>
      </c>
      <c r="E109" s="41">
        <v>2.631578947368421E-3</v>
      </c>
    </row>
    <row r="110" spans="2:5" ht="15" customHeight="1">
      <c r="B110" s="96"/>
      <c r="C110" s="43" t="s">
        <v>88</v>
      </c>
      <c r="D110" s="42">
        <v>2</v>
      </c>
      <c r="E110" s="41">
        <v>5.263157894736842E-3</v>
      </c>
    </row>
    <row r="111" spans="2:5" ht="15" customHeight="1">
      <c r="B111" s="97"/>
      <c r="C111" s="40" t="s">
        <v>19</v>
      </c>
      <c r="D111" s="39">
        <v>17</v>
      </c>
      <c r="E111" s="38">
        <v>4.4736842105263158E-2</v>
      </c>
    </row>
    <row r="112" spans="2:5" ht="15" customHeight="1">
      <c r="B112" s="95" t="s">
        <v>154</v>
      </c>
      <c r="C112" s="43" t="s">
        <v>88</v>
      </c>
      <c r="D112" s="42">
        <v>1</v>
      </c>
      <c r="E112" s="41">
        <v>2.631578947368421E-3</v>
      </c>
    </row>
    <row r="113" spans="2:5" ht="15" customHeight="1">
      <c r="B113" s="97"/>
      <c r="C113" s="40" t="s">
        <v>19</v>
      </c>
      <c r="D113" s="39">
        <v>1</v>
      </c>
      <c r="E113" s="38">
        <v>2.631578947368421E-3</v>
      </c>
    </row>
    <row r="114" spans="2:5" ht="15" customHeight="1">
      <c r="B114" s="95" t="s">
        <v>33</v>
      </c>
      <c r="C114" s="43" t="s">
        <v>89</v>
      </c>
      <c r="D114" s="42">
        <v>1</v>
      </c>
      <c r="E114" s="41">
        <v>2.631578947368421E-3</v>
      </c>
    </row>
    <row r="115" spans="2:5" ht="15" customHeight="1">
      <c r="B115" s="96"/>
      <c r="C115" s="43" t="s">
        <v>90</v>
      </c>
      <c r="D115" s="42">
        <v>4</v>
      </c>
      <c r="E115" s="41">
        <v>1.0526315789473684E-2</v>
      </c>
    </row>
    <row r="116" spans="2:5" ht="15" customHeight="1">
      <c r="B116" s="97"/>
      <c r="C116" s="40" t="s">
        <v>19</v>
      </c>
      <c r="D116" s="39">
        <v>5</v>
      </c>
      <c r="E116" s="38">
        <v>1.3157894736842105E-2</v>
      </c>
    </row>
    <row r="117" spans="2:5" ht="15" customHeight="1">
      <c r="B117" s="95" t="s">
        <v>20</v>
      </c>
      <c r="C117" s="43" t="s">
        <v>90</v>
      </c>
      <c r="D117" s="42">
        <v>2</v>
      </c>
      <c r="E117" s="41">
        <v>5.263157894736842E-3</v>
      </c>
    </row>
    <row r="118" spans="2:5" ht="15" customHeight="1">
      <c r="B118" s="97"/>
      <c r="C118" s="40" t="s">
        <v>19</v>
      </c>
      <c r="D118" s="39">
        <v>2</v>
      </c>
      <c r="E118" s="38">
        <v>5.263157894736842E-3</v>
      </c>
    </row>
    <row r="119" spans="2:5" ht="15" customHeight="1">
      <c r="B119" s="98" t="s">
        <v>19</v>
      </c>
      <c r="C119" s="99"/>
      <c r="D119" s="68">
        <v>380</v>
      </c>
      <c r="E119" s="69">
        <v>1</v>
      </c>
    </row>
    <row r="121" spans="2:5" ht="15" customHeight="1">
      <c r="B121" s="19" t="s">
        <v>155</v>
      </c>
    </row>
    <row r="122" spans="2:5" ht="15" customHeight="1">
      <c r="B122" s="21" t="s">
        <v>18</v>
      </c>
    </row>
    <row r="123" spans="2:5" ht="15" customHeight="1">
      <c r="B123" s="20" t="s">
        <v>17</v>
      </c>
    </row>
    <row r="124" spans="2:5" ht="15" customHeight="1">
      <c r="B124" s="19" t="s">
        <v>16</v>
      </c>
    </row>
    <row r="125" spans="2:5" ht="15" customHeight="1">
      <c r="B125" s="19" t="s">
        <v>156</v>
      </c>
    </row>
  </sheetData>
  <mergeCells count="34">
    <mergeCell ref="B74:B77"/>
    <mergeCell ref="B78:B79"/>
    <mergeCell ref="B80:B84"/>
    <mergeCell ref="B85:B88"/>
    <mergeCell ref="B50:B51"/>
    <mergeCell ref="B52:B53"/>
    <mergeCell ref="B54:B55"/>
    <mergeCell ref="B56:B57"/>
    <mergeCell ref="B58:B61"/>
    <mergeCell ref="B62:B65"/>
    <mergeCell ref="B66:B67"/>
    <mergeCell ref="B26:B29"/>
    <mergeCell ref="B30:B31"/>
    <mergeCell ref="B32:B35"/>
    <mergeCell ref="B68:B71"/>
    <mergeCell ref="B72:B73"/>
    <mergeCell ref="B36:B40"/>
    <mergeCell ref="B41:B44"/>
    <mergeCell ref="B45:B49"/>
    <mergeCell ref="B7:E8"/>
    <mergeCell ref="B10:B13"/>
    <mergeCell ref="B14:B18"/>
    <mergeCell ref="B19:B20"/>
    <mergeCell ref="B21:B25"/>
    <mergeCell ref="B89:B93"/>
    <mergeCell ref="B94:B96"/>
    <mergeCell ref="B97:B99"/>
    <mergeCell ref="B100:B101"/>
    <mergeCell ref="B102:B106"/>
    <mergeCell ref="B107:B111"/>
    <mergeCell ref="B112:B113"/>
    <mergeCell ref="B114:B116"/>
    <mergeCell ref="B117:B118"/>
    <mergeCell ref="B119:C1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5"/>
  <sheetViews>
    <sheetView showGridLines="0" topLeftCell="A135" zoomScaleNormal="100" zoomScaleSheetLayoutView="85" workbookViewId="0">
      <selection activeCell="F149" sqref="F1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86</v>
      </c>
      <c r="C9" s="47" t="s">
        <v>92</v>
      </c>
      <c r="D9" s="46" t="s">
        <v>46</v>
      </c>
      <c r="E9" s="45" t="s">
        <v>45</v>
      </c>
    </row>
    <row r="10" spans="1:5" ht="15" customHeight="1">
      <c r="B10" s="95" t="s">
        <v>51</v>
      </c>
      <c r="C10" s="43" t="s">
        <v>89</v>
      </c>
      <c r="D10" s="42">
        <v>1</v>
      </c>
      <c r="E10" s="41">
        <v>2.631578947368421E-3</v>
      </c>
    </row>
    <row r="11" spans="1:5" ht="15" customHeight="1">
      <c r="B11" s="96"/>
      <c r="C11" s="43" t="s">
        <v>88</v>
      </c>
      <c r="D11" s="42">
        <v>1</v>
      </c>
      <c r="E11" s="41">
        <v>2.631578947368421E-3</v>
      </c>
    </row>
    <row r="12" spans="1:5" ht="15" customHeight="1">
      <c r="B12" s="97"/>
      <c r="C12" s="40" t="s">
        <v>19</v>
      </c>
      <c r="D12" s="39">
        <v>2</v>
      </c>
      <c r="E12" s="38">
        <v>5.263157894736842E-3</v>
      </c>
    </row>
    <row r="13" spans="1:5" ht="15" customHeight="1">
      <c r="B13" s="95" t="s">
        <v>81</v>
      </c>
      <c r="C13" s="43" t="s">
        <v>89</v>
      </c>
      <c r="D13" s="42">
        <v>4</v>
      </c>
      <c r="E13" s="41">
        <v>1.0526315789473684E-2</v>
      </c>
    </row>
    <row r="14" spans="1:5" ht="15" customHeight="1">
      <c r="B14" s="96"/>
      <c r="C14" s="43" t="s">
        <v>90</v>
      </c>
      <c r="D14" s="42">
        <v>7</v>
      </c>
      <c r="E14" s="41">
        <v>1.8421052631578946E-2</v>
      </c>
    </row>
    <row r="15" spans="1:5" ht="15" customHeight="1">
      <c r="B15" s="96"/>
      <c r="C15" s="43" t="s">
        <v>87</v>
      </c>
      <c r="D15" s="42">
        <v>2</v>
      </c>
      <c r="E15" s="41">
        <v>5.263157894736842E-3</v>
      </c>
    </row>
    <row r="16" spans="1:5" ht="15" customHeight="1">
      <c r="B16" s="96"/>
      <c r="C16" s="43" t="s">
        <v>88</v>
      </c>
      <c r="D16" s="42">
        <v>1</v>
      </c>
      <c r="E16" s="41">
        <v>2.631578947368421E-3</v>
      </c>
    </row>
    <row r="17" spans="2:5" ht="15" customHeight="1">
      <c r="B17" s="97"/>
      <c r="C17" s="40" t="s">
        <v>19</v>
      </c>
      <c r="D17" s="39">
        <v>14</v>
      </c>
      <c r="E17" s="38">
        <v>3.6842105263157891E-2</v>
      </c>
    </row>
    <row r="18" spans="2:5" ht="15" customHeight="1">
      <c r="B18" s="95" t="s">
        <v>71</v>
      </c>
      <c r="C18" s="43" t="s">
        <v>90</v>
      </c>
      <c r="D18" s="42">
        <v>2</v>
      </c>
      <c r="E18" s="41">
        <v>5.263157894736842E-3</v>
      </c>
    </row>
    <row r="19" spans="2:5" ht="15" customHeight="1">
      <c r="B19" s="97"/>
      <c r="C19" s="40" t="s">
        <v>19</v>
      </c>
      <c r="D19" s="39">
        <v>2</v>
      </c>
      <c r="E19" s="38">
        <v>5.263157894736842E-3</v>
      </c>
    </row>
    <row r="20" spans="2:5" ht="15" customHeight="1">
      <c r="B20" s="95" t="s">
        <v>50</v>
      </c>
      <c r="C20" s="43" t="s">
        <v>89</v>
      </c>
      <c r="D20" s="42">
        <v>1</v>
      </c>
      <c r="E20" s="41">
        <v>2.631578947368421E-3</v>
      </c>
    </row>
    <row r="21" spans="2:5" ht="15" customHeight="1">
      <c r="B21" s="96"/>
      <c r="C21" s="43" t="s">
        <v>90</v>
      </c>
      <c r="D21" s="42">
        <v>4</v>
      </c>
      <c r="E21" s="41">
        <v>1.0526315789473684E-2</v>
      </c>
    </row>
    <row r="22" spans="2:5" ht="15" customHeight="1">
      <c r="B22" s="96"/>
      <c r="C22" s="43" t="s">
        <v>88</v>
      </c>
      <c r="D22" s="42">
        <v>1</v>
      </c>
      <c r="E22" s="41">
        <v>2.631578947368421E-3</v>
      </c>
    </row>
    <row r="23" spans="2:5" ht="15" customHeight="1">
      <c r="B23" s="97"/>
      <c r="C23" s="40" t="s">
        <v>19</v>
      </c>
      <c r="D23" s="39">
        <v>6</v>
      </c>
      <c r="E23" s="38">
        <v>1.5789473684210527E-2</v>
      </c>
    </row>
    <row r="24" spans="2:5" ht="15" customHeight="1">
      <c r="B24" s="95" t="s">
        <v>84</v>
      </c>
      <c r="C24" s="43" t="s">
        <v>89</v>
      </c>
      <c r="D24" s="42">
        <v>4</v>
      </c>
      <c r="E24" s="41">
        <v>1.0526315789473684E-2</v>
      </c>
    </row>
    <row r="25" spans="2:5" ht="15" customHeight="1">
      <c r="B25" s="96"/>
      <c r="C25" s="43" t="s">
        <v>90</v>
      </c>
      <c r="D25" s="42">
        <v>12</v>
      </c>
      <c r="E25" s="41">
        <v>3.1578947368421054E-2</v>
      </c>
    </row>
    <row r="26" spans="2:5" ht="15" customHeight="1">
      <c r="B26" s="96"/>
      <c r="C26" s="43" t="s">
        <v>87</v>
      </c>
      <c r="D26" s="42">
        <v>2</v>
      </c>
      <c r="E26" s="41">
        <v>5.263157894736842E-3</v>
      </c>
    </row>
    <row r="27" spans="2:5" ht="15" customHeight="1">
      <c r="B27" s="96"/>
      <c r="C27" s="43" t="s">
        <v>88</v>
      </c>
      <c r="D27" s="42">
        <v>1</v>
      </c>
      <c r="E27" s="41">
        <v>2.631578947368421E-3</v>
      </c>
    </row>
    <row r="28" spans="2:5" ht="15" customHeight="1">
      <c r="B28" s="97"/>
      <c r="C28" s="40" t="s">
        <v>19</v>
      </c>
      <c r="D28" s="39">
        <v>19</v>
      </c>
      <c r="E28" s="38">
        <v>0.05</v>
      </c>
    </row>
    <row r="29" spans="2:5" ht="15" customHeight="1">
      <c r="B29" s="95" t="s">
        <v>82</v>
      </c>
      <c r="C29" s="43" t="s">
        <v>89</v>
      </c>
      <c r="D29" s="42">
        <v>8</v>
      </c>
      <c r="E29" s="41">
        <v>2.1052631578947368E-2</v>
      </c>
    </row>
    <row r="30" spans="2:5" ht="15" customHeight="1">
      <c r="B30" s="96"/>
      <c r="C30" s="43" t="s">
        <v>90</v>
      </c>
      <c r="D30" s="42">
        <v>7</v>
      </c>
      <c r="E30" s="41">
        <v>1.8421052631578946E-2</v>
      </c>
    </row>
    <row r="31" spans="2:5" ht="15" customHeight="1">
      <c r="B31" s="96"/>
      <c r="C31" s="43" t="s">
        <v>87</v>
      </c>
      <c r="D31" s="42">
        <v>1</v>
      </c>
      <c r="E31" s="41">
        <v>2.631578947368421E-3</v>
      </c>
    </row>
    <row r="32" spans="2:5" ht="15" customHeight="1">
      <c r="B32" s="96"/>
      <c r="C32" s="43" t="s">
        <v>88</v>
      </c>
      <c r="D32" s="42">
        <v>2</v>
      </c>
      <c r="E32" s="41">
        <v>5.263157894736842E-3</v>
      </c>
    </row>
    <row r="33" spans="2:5" ht="15" customHeight="1">
      <c r="B33" s="97"/>
      <c r="C33" s="40" t="s">
        <v>19</v>
      </c>
      <c r="D33" s="39">
        <v>18</v>
      </c>
      <c r="E33" s="38">
        <v>4.736842105263158E-2</v>
      </c>
    </row>
    <row r="34" spans="2:5" ht="15" customHeight="1">
      <c r="B34" s="95" t="s">
        <v>66</v>
      </c>
      <c r="C34" s="43" t="s">
        <v>89</v>
      </c>
      <c r="D34" s="42">
        <v>2</v>
      </c>
      <c r="E34" s="41">
        <v>5.263157894736842E-3</v>
      </c>
    </row>
    <row r="35" spans="2:5" ht="15" customHeight="1">
      <c r="B35" s="96"/>
      <c r="C35" s="43" t="s">
        <v>90</v>
      </c>
      <c r="D35" s="42">
        <v>2</v>
      </c>
      <c r="E35" s="41">
        <v>5.263157894736842E-3</v>
      </c>
    </row>
    <row r="36" spans="2:5" ht="15" customHeight="1">
      <c r="B36" s="96"/>
      <c r="C36" s="43" t="s">
        <v>88</v>
      </c>
      <c r="D36" s="42">
        <v>1</v>
      </c>
      <c r="E36" s="41">
        <v>2.631578947368421E-3</v>
      </c>
    </row>
    <row r="37" spans="2:5" ht="15" customHeight="1">
      <c r="B37" s="97"/>
      <c r="C37" s="40" t="s">
        <v>19</v>
      </c>
      <c r="D37" s="39">
        <v>5</v>
      </c>
      <c r="E37" s="38">
        <v>1.3157894736842105E-2</v>
      </c>
    </row>
    <row r="38" spans="2:5" ht="15" customHeight="1">
      <c r="B38" s="95" t="s">
        <v>54</v>
      </c>
      <c r="C38" s="43" t="s">
        <v>89</v>
      </c>
      <c r="D38" s="42">
        <v>1</v>
      </c>
      <c r="E38" s="41">
        <v>2.631578947368421E-3</v>
      </c>
    </row>
    <row r="39" spans="2:5" ht="15" customHeight="1">
      <c r="B39" s="96"/>
      <c r="C39" s="43" t="s">
        <v>90</v>
      </c>
      <c r="D39" s="42">
        <v>1</v>
      </c>
      <c r="E39" s="41">
        <v>2.631578947368421E-3</v>
      </c>
    </row>
    <row r="40" spans="2:5" ht="15" customHeight="1">
      <c r="B40" s="96"/>
      <c r="C40" s="43" t="s">
        <v>88</v>
      </c>
      <c r="D40" s="42">
        <v>1</v>
      </c>
      <c r="E40" s="41">
        <v>2.631578947368421E-3</v>
      </c>
    </row>
    <row r="41" spans="2:5" ht="15" customHeight="1">
      <c r="B41" s="97"/>
      <c r="C41" s="40" t="s">
        <v>19</v>
      </c>
      <c r="D41" s="39">
        <v>3</v>
      </c>
      <c r="E41" s="38">
        <v>7.8947368421052634E-3</v>
      </c>
    </row>
    <row r="42" spans="2:5" ht="15" customHeight="1">
      <c r="B42" s="95" t="s">
        <v>52</v>
      </c>
      <c r="C42" s="43" t="s">
        <v>87</v>
      </c>
      <c r="D42" s="42">
        <v>1</v>
      </c>
      <c r="E42" s="41">
        <v>2.631578947368421E-3</v>
      </c>
    </row>
    <row r="43" spans="2:5" ht="15" customHeight="1">
      <c r="B43" s="97"/>
      <c r="C43" s="40" t="s">
        <v>19</v>
      </c>
      <c r="D43" s="39">
        <v>1</v>
      </c>
      <c r="E43" s="38">
        <v>2.631578947368421E-3</v>
      </c>
    </row>
    <row r="44" spans="2:5" ht="15" customHeight="1">
      <c r="B44" s="95" t="s">
        <v>64</v>
      </c>
      <c r="C44" s="43" t="s">
        <v>89</v>
      </c>
      <c r="D44" s="42">
        <v>1</v>
      </c>
      <c r="E44" s="41">
        <v>2.631578947368421E-3</v>
      </c>
    </row>
    <row r="45" spans="2:5" ht="15" customHeight="1">
      <c r="B45" s="96"/>
      <c r="C45" s="43" t="s">
        <v>90</v>
      </c>
      <c r="D45" s="42">
        <v>1</v>
      </c>
      <c r="E45" s="41">
        <v>2.631578947368421E-3</v>
      </c>
    </row>
    <row r="46" spans="2:5" ht="15" customHeight="1">
      <c r="B46" s="96"/>
      <c r="C46" s="43" t="s">
        <v>87</v>
      </c>
      <c r="D46" s="42">
        <v>1</v>
      </c>
      <c r="E46" s="41">
        <v>2.631578947368421E-3</v>
      </c>
    </row>
    <row r="47" spans="2:5" ht="15" customHeight="1">
      <c r="B47" s="96"/>
      <c r="C47" s="43" t="s">
        <v>88</v>
      </c>
      <c r="D47" s="42">
        <v>4</v>
      </c>
      <c r="E47" s="41">
        <v>1.0526315789473684E-2</v>
      </c>
    </row>
    <row r="48" spans="2:5" ht="15" customHeight="1">
      <c r="B48" s="97"/>
      <c r="C48" s="40" t="s">
        <v>19</v>
      </c>
      <c r="D48" s="39">
        <v>7</v>
      </c>
      <c r="E48" s="38">
        <v>1.8421052631578946E-2</v>
      </c>
    </row>
    <row r="49" spans="2:5" ht="15" customHeight="1">
      <c r="B49" s="95" t="s">
        <v>79</v>
      </c>
      <c r="C49" s="43" t="s">
        <v>89</v>
      </c>
      <c r="D49" s="42">
        <v>17</v>
      </c>
      <c r="E49" s="41">
        <v>4.4736842105263158E-2</v>
      </c>
    </row>
    <row r="50" spans="2:5" ht="15" customHeight="1">
      <c r="B50" s="96"/>
      <c r="C50" s="43" t="s">
        <v>90</v>
      </c>
      <c r="D50" s="42">
        <v>12</v>
      </c>
      <c r="E50" s="41">
        <v>3.1578947368421054E-2</v>
      </c>
    </row>
    <row r="51" spans="2:5" ht="15" customHeight="1">
      <c r="B51" s="96"/>
      <c r="C51" s="43" t="s">
        <v>87</v>
      </c>
      <c r="D51" s="42">
        <v>2</v>
      </c>
      <c r="E51" s="41">
        <v>5.263157894736842E-3</v>
      </c>
    </row>
    <row r="52" spans="2:5" ht="15" customHeight="1">
      <c r="B52" s="96"/>
      <c r="C52" s="43" t="s">
        <v>88</v>
      </c>
      <c r="D52" s="42">
        <v>3</v>
      </c>
      <c r="E52" s="41">
        <v>7.8947368421052634E-3</v>
      </c>
    </row>
    <row r="53" spans="2:5" ht="15" customHeight="1">
      <c r="B53" s="97"/>
      <c r="C53" s="40" t="s">
        <v>19</v>
      </c>
      <c r="D53" s="39">
        <v>34</v>
      </c>
      <c r="E53" s="38">
        <v>8.9473684210526316E-2</v>
      </c>
    </row>
    <row r="54" spans="2:5" ht="15" customHeight="1">
      <c r="B54" s="95" t="s">
        <v>83</v>
      </c>
      <c r="C54" s="43" t="s">
        <v>89</v>
      </c>
      <c r="D54" s="42">
        <v>2</v>
      </c>
      <c r="E54" s="41">
        <v>5.263157894736842E-3</v>
      </c>
    </row>
    <row r="55" spans="2:5" ht="15" customHeight="1">
      <c r="B55" s="96"/>
      <c r="C55" s="43" t="s">
        <v>90</v>
      </c>
      <c r="D55" s="42">
        <v>5</v>
      </c>
      <c r="E55" s="41">
        <v>1.3157894736842105E-2</v>
      </c>
    </row>
    <row r="56" spans="2:5" ht="15" customHeight="1">
      <c r="B56" s="96"/>
      <c r="C56" s="43" t="s">
        <v>87</v>
      </c>
      <c r="D56" s="42">
        <v>2</v>
      </c>
      <c r="E56" s="41">
        <v>5.263157894736842E-3</v>
      </c>
    </row>
    <row r="57" spans="2:5" ht="15" customHeight="1">
      <c r="B57" s="97"/>
      <c r="C57" s="40" t="s">
        <v>19</v>
      </c>
      <c r="D57" s="39">
        <v>9</v>
      </c>
      <c r="E57" s="38">
        <v>2.368421052631579E-2</v>
      </c>
    </row>
    <row r="58" spans="2:5" ht="15" customHeight="1">
      <c r="B58" s="95" t="s">
        <v>67</v>
      </c>
      <c r="C58" s="43" t="s">
        <v>90</v>
      </c>
      <c r="D58" s="42">
        <v>1</v>
      </c>
      <c r="E58" s="41">
        <v>2.631578947368421E-3</v>
      </c>
    </row>
    <row r="59" spans="2:5" ht="15" customHeight="1">
      <c r="B59" s="97"/>
      <c r="C59" s="40" t="s">
        <v>19</v>
      </c>
      <c r="D59" s="39">
        <v>1</v>
      </c>
      <c r="E59" s="38">
        <v>2.631578947368421E-3</v>
      </c>
    </row>
    <row r="60" spans="2:5" ht="15" customHeight="1">
      <c r="B60" s="95" t="s">
        <v>69</v>
      </c>
      <c r="C60" s="43" t="s">
        <v>89</v>
      </c>
      <c r="D60" s="42">
        <v>7</v>
      </c>
      <c r="E60" s="41">
        <v>1.8421052631578946E-2</v>
      </c>
    </row>
    <row r="61" spans="2:5" ht="15" customHeight="1">
      <c r="B61" s="96"/>
      <c r="C61" s="43" t="s">
        <v>90</v>
      </c>
      <c r="D61" s="42">
        <v>7</v>
      </c>
      <c r="E61" s="41">
        <v>1.8421052631578946E-2</v>
      </c>
    </row>
    <row r="62" spans="2:5" ht="15" customHeight="1">
      <c r="B62" s="96"/>
      <c r="C62" s="43" t="s">
        <v>87</v>
      </c>
      <c r="D62" s="42">
        <v>4</v>
      </c>
      <c r="E62" s="41">
        <v>1.0526315789473684E-2</v>
      </c>
    </row>
    <row r="63" spans="2:5" ht="15" customHeight="1">
      <c r="B63" s="97"/>
      <c r="C63" s="40" t="s">
        <v>19</v>
      </c>
      <c r="D63" s="39">
        <v>18</v>
      </c>
      <c r="E63" s="38">
        <v>4.736842105263158E-2</v>
      </c>
    </row>
    <row r="64" spans="2:5" ht="15" customHeight="1">
      <c r="B64" s="95" t="s">
        <v>73</v>
      </c>
      <c r="C64" s="43" t="s">
        <v>90</v>
      </c>
      <c r="D64" s="42">
        <v>1</v>
      </c>
      <c r="E64" s="41">
        <v>2.631578947368421E-3</v>
      </c>
    </row>
    <row r="65" spans="2:5" ht="15" customHeight="1">
      <c r="B65" s="96"/>
      <c r="C65" s="43" t="s">
        <v>87</v>
      </c>
      <c r="D65" s="42">
        <v>1</v>
      </c>
      <c r="E65" s="41">
        <v>2.631578947368421E-3</v>
      </c>
    </row>
    <row r="66" spans="2:5" ht="15" customHeight="1">
      <c r="B66" s="96"/>
      <c r="C66" s="43" t="s">
        <v>88</v>
      </c>
      <c r="D66" s="42">
        <v>2</v>
      </c>
      <c r="E66" s="41">
        <v>5.263157894736842E-3</v>
      </c>
    </row>
    <row r="67" spans="2:5" ht="15" customHeight="1">
      <c r="B67" s="97"/>
      <c r="C67" s="40" t="s">
        <v>19</v>
      </c>
      <c r="D67" s="39">
        <v>4</v>
      </c>
      <c r="E67" s="38">
        <v>1.0526315789473684E-2</v>
      </c>
    </row>
    <row r="68" spans="2:5" ht="15" customHeight="1">
      <c r="B68" s="95" t="s">
        <v>85</v>
      </c>
      <c r="C68" s="43" t="s">
        <v>89</v>
      </c>
      <c r="D68" s="42">
        <v>10</v>
      </c>
      <c r="E68" s="41">
        <v>2.6315789473684209E-2</v>
      </c>
    </row>
    <row r="69" spans="2:5" ht="15" customHeight="1">
      <c r="B69" s="96"/>
      <c r="C69" s="43" t="s">
        <v>90</v>
      </c>
      <c r="D69" s="42">
        <v>17</v>
      </c>
      <c r="E69" s="41">
        <v>4.4736842105263158E-2</v>
      </c>
    </row>
    <row r="70" spans="2:5" ht="15" customHeight="1">
      <c r="B70" s="96"/>
      <c r="C70" s="43" t="s">
        <v>87</v>
      </c>
      <c r="D70" s="42">
        <v>5</v>
      </c>
      <c r="E70" s="41">
        <v>1.3157894736842105E-2</v>
      </c>
    </row>
    <row r="71" spans="2:5" ht="15" customHeight="1">
      <c r="B71" s="96"/>
      <c r="C71" s="43" t="s">
        <v>88</v>
      </c>
      <c r="D71" s="42">
        <v>8</v>
      </c>
      <c r="E71" s="41">
        <v>2.1052631578947368E-2</v>
      </c>
    </row>
    <row r="72" spans="2:5" ht="15" customHeight="1">
      <c r="B72" s="97"/>
      <c r="C72" s="40" t="s">
        <v>19</v>
      </c>
      <c r="D72" s="39">
        <v>40</v>
      </c>
      <c r="E72" s="38">
        <v>0.10526315789473684</v>
      </c>
    </row>
    <row r="73" spans="2:5" ht="15" customHeight="1">
      <c r="B73" s="95" t="s">
        <v>61</v>
      </c>
      <c r="C73" s="43" t="s">
        <v>90</v>
      </c>
      <c r="D73" s="42">
        <v>2</v>
      </c>
      <c r="E73" s="41">
        <v>5.263157894736842E-3</v>
      </c>
    </row>
    <row r="74" spans="2:5" ht="15" customHeight="1">
      <c r="B74" s="96"/>
      <c r="C74" s="43" t="s">
        <v>88</v>
      </c>
      <c r="D74" s="42">
        <v>1</v>
      </c>
      <c r="E74" s="41">
        <v>2.631578947368421E-3</v>
      </c>
    </row>
    <row r="75" spans="2:5" ht="15" customHeight="1">
      <c r="B75" s="97"/>
      <c r="C75" s="40" t="s">
        <v>19</v>
      </c>
      <c r="D75" s="39">
        <v>3</v>
      </c>
      <c r="E75" s="38">
        <v>7.8947368421052634E-3</v>
      </c>
    </row>
    <row r="76" spans="2:5" ht="15" customHeight="1">
      <c r="B76" s="95" t="s">
        <v>60</v>
      </c>
      <c r="C76" s="43" t="s">
        <v>90</v>
      </c>
      <c r="D76" s="42">
        <v>1</v>
      </c>
      <c r="E76" s="41">
        <v>2.631578947368421E-3</v>
      </c>
    </row>
    <row r="77" spans="2:5" ht="15" customHeight="1">
      <c r="B77" s="97"/>
      <c r="C77" s="40" t="s">
        <v>19</v>
      </c>
      <c r="D77" s="39">
        <v>1</v>
      </c>
      <c r="E77" s="38">
        <v>2.631578947368421E-3</v>
      </c>
    </row>
    <row r="78" spans="2:5" ht="15" customHeight="1">
      <c r="B78" s="95" t="s">
        <v>53</v>
      </c>
      <c r="C78" s="43" t="s">
        <v>88</v>
      </c>
      <c r="D78" s="42">
        <v>2</v>
      </c>
      <c r="E78" s="41">
        <v>5.263157894736842E-3</v>
      </c>
    </row>
    <row r="79" spans="2:5" ht="15" customHeight="1">
      <c r="B79" s="97"/>
      <c r="C79" s="40" t="s">
        <v>19</v>
      </c>
      <c r="D79" s="39">
        <v>2</v>
      </c>
      <c r="E79" s="38">
        <v>5.263157894736842E-3</v>
      </c>
    </row>
    <row r="80" spans="2:5" ht="15" customHeight="1">
      <c r="B80" s="95" t="s">
        <v>80</v>
      </c>
      <c r="C80" s="43" t="s">
        <v>90</v>
      </c>
      <c r="D80" s="42">
        <v>2</v>
      </c>
      <c r="E80" s="41">
        <v>5.263157894736842E-3</v>
      </c>
    </row>
    <row r="81" spans="2:5" ht="15" customHeight="1">
      <c r="B81" s="96"/>
      <c r="C81" s="43" t="s">
        <v>87</v>
      </c>
      <c r="D81" s="42">
        <v>1</v>
      </c>
      <c r="E81" s="41">
        <v>2.631578947368421E-3</v>
      </c>
    </row>
    <row r="82" spans="2:5" ht="15" customHeight="1">
      <c r="B82" s="97"/>
      <c r="C82" s="40" t="s">
        <v>19</v>
      </c>
      <c r="D82" s="39">
        <v>3</v>
      </c>
      <c r="E82" s="38">
        <v>7.8947368421052634E-3</v>
      </c>
    </row>
    <row r="83" spans="2:5" ht="15" customHeight="1">
      <c r="B83" s="95" t="s">
        <v>55</v>
      </c>
      <c r="C83" s="43" t="s">
        <v>89</v>
      </c>
      <c r="D83" s="42">
        <v>2</v>
      </c>
      <c r="E83" s="41">
        <v>5.263157894736842E-3</v>
      </c>
    </row>
    <row r="84" spans="2:5" ht="15" customHeight="1">
      <c r="B84" s="96"/>
      <c r="C84" s="43" t="s">
        <v>90</v>
      </c>
      <c r="D84" s="42">
        <v>1</v>
      </c>
      <c r="E84" s="41">
        <v>2.631578947368421E-3</v>
      </c>
    </row>
    <row r="85" spans="2:5" ht="15" customHeight="1">
      <c r="B85" s="97"/>
      <c r="C85" s="40" t="s">
        <v>19</v>
      </c>
      <c r="D85" s="39">
        <v>3</v>
      </c>
      <c r="E85" s="38">
        <v>7.8947368421052634E-3</v>
      </c>
    </row>
    <row r="86" spans="2:5" ht="15" customHeight="1">
      <c r="B86" s="95" t="s">
        <v>72</v>
      </c>
      <c r="C86" s="43" t="s">
        <v>89</v>
      </c>
      <c r="D86" s="42">
        <v>1</v>
      </c>
      <c r="E86" s="41">
        <v>2.631578947368421E-3</v>
      </c>
    </row>
    <row r="87" spans="2:5" ht="15" customHeight="1">
      <c r="B87" s="96"/>
      <c r="C87" s="43" t="s">
        <v>90</v>
      </c>
      <c r="D87" s="42">
        <v>3</v>
      </c>
      <c r="E87" s="41">
        <v>7.8947368421052634E-3</v>
      </c>
    </row>
    <row r="88" spans="2:5" ht="15" customHeight="1">
      <c r="B88" s="96"/>
      <c r="C88" s="43" t="s">
        <v>88</v>
      </c>
      <c r="D88" s="42">
        <v>6</v>
      </c>
      <c r="E88" s="41">
        <v>1.5789473684210527E-2</v>
      </c>
    </row>
    <row r="89" spans="2:5" ht="15" customHeight="1">
      <c r="B89" s="97"/>
      <c r="C89" s="40" t="s">
        <v>19</v>
      </c>
      <c r="D89" s="39">
        <v>10</v>
      </c>
      <c r="E89" s="38">
        <v>2.6315789473684209E-2</v>
      </c>
    </row>
    <row r="90" spans="2:5" ht="15" customHeight="1">
      <c r="B90" s="95" t="s">
        <v>68</v>
      </c>
      <c r="C90" s="43" t="s">
        <v>89</v>
      </c>
      <c r="D90" s="42">
        <v>5</v>
      </c>
      <c r="E90" s="41">
        <v>1.3157894736842105E-2</v>
      </c>
    </row>
    <row r="91" spans="2:5" ht="15" customHeight="1">
      <c r="B91" s="96"/>
      <c r="C91" s="43" t="s">
        <v>90</v>
      </c>
      <c r="D91" s="42">
        <v>4</v>
      </c>
      <c r="E91" s="41">
        <v>1.0526315789473684E-2</v>
      </c>
    </row>
    <row r="92" spans="2:5" ht="15" customHeight="1">
      <c r="B92" s="96"/>
      <c r="C92" s="43" t="s">
        <v>87</v>
      </c>
      <c r="D92" s="42">
        <v>2</v>
      </c>
      <c r="E92" s="41">
        <v>5.263157894736842E-3</v>
      </c>
    </row>
    <row r="93" spans="2:5" ht="15" customHeight="1">
      <c r="B93" s="96"/>
      <c r="C93" s="43" t="s">
        <v>88</v>
      </c>
      <c r="D93" s="42">
        <v>4</v>
      </c>
      <c r="E93" s="41">
        <v>1.0526315789473684E-2</v>
      </c>
    </row>
    <row r="94" spans="2:5" ht="15" customHeight="1">
      <c r="B94" s="97"/>
      <c r="C94" s="40" t="s">
        <v>19</v>
      </c>
      <c r="D94" s="39">
        <v>15</v>
      </c>
      <c r="E94" s="38">
        <v>3.9473684210526314E-2</v>
      </c>
    </row>
    <row r="95" spans="2:5" ht="15" customHeight="1">
      <c r="B95" s="95" t="s">
        <v>58</v>
      </c>
      <c r="C95" s="43" t="s">
        <v>89</v>
      </c>
      <c r="D95" s="42">
        <v>1</v>
      </c>
      <c r="E95" s="41">
        <v>2.631578947368421E-3</v>
      </c>
    </row>
    <row r="96" spans="2:5" ht="15" customHeight="1">
      <c r="B96" s="96"/>
      <c r="C96" s="43" t="s">
        <v>90</v>
      </c>
      <c r="D96" s="42">
        <v>11</v>
      </c>
      <c r="E96" s="41">
        <v>2.8947368421052631E-2</v>
      </c>
    </row>
    <row r="97" spans="2:5" ht="15" customHeight="1">
      <c r="B97" s="96"/>
      <c r="C97" s="43" t="s">
        <v>87</v>
      </c>
      <c r="D97" s="42">
        <v>2</v>
      </c>
      <c r="E97" s="41">
        <v>5.263157894736842E-3</v>
      </c>
    </row>
    <row r="98" spans="2:5" ht="15" customHeight="1">
      <c r="B98" s="96"/>
      <c r="C98" s="43" t="s">
        <v>88</v>
      </c>
      <c r="D98" s="42">
        <v>3</v>
      </c>
      <c r="E98" s="41">
        <v>7.8947368421052634E-3</v>
      </c>
    </row>
    <row r="99" spans="2:5" ht="15" customHeight="1">
      <c r="B99" s="97"/>
      <c r="C99" s="40" t="s">
        <v>19</v>
      </c>
      <c r="D99" s="39">
        <v>17</v>
      </c>
      <c r="E99" s="38">
        <v>4.4736842105263158E-2</v>
      </c>
    </row>
    <row r="100" spans="2:5" ht="15" customHeight="1">
      <c r="B100" s="95" t="s">
        <v>62</v>
      </c>
      <c r="C100" s="43" t="s">
        <v>89</v>
      </c>
      <c r="D100" s="42">
        <v>4</v>
      </c>
      <c r="E100" s="41">
        <v>1.0526315789473684E-2</v>
      </c>
    </row>
    <row r="101" spans="2:5" ht="15" customHeight="1">
      <c r="B101" s="96"/>
      <c r="C101" s="43" t="s">
        <v>90</v>
      </c>
      <c r="D101" s="42">
        <v>1</v>
      </c>
      <c r="E101" s="41">
        <v>2.631578947368421E-3</v>
      </c>
    </row>
    <row r="102" spans="2:5" ht="15" customHeight="1">
      <c r="B102" s="96"/>
      <c r="C102" s="43" t="s">
        <v>87</v>
      </c>
      <c r="D102" s="42">
        <v>2</v>
      </c>
      <c r="E102" s="41">
        <v>5.263157894736842E-3</v>
      </c>
    </row>
    <row r="103" spans="2:5" ht="15" customHeight="1">
      <c r="B103" s="96"/>
      <c r="C103" s="43" t="s">
        <v>88</v>
      </c>
      <c r="D103" s="42">
        <v>1</v>
      </c>
      <c r="E103" s="41">
        <v>2.631578947368421E-3</v>
      </c>
    </row>
    <row r="104" spans="2:5" ht="15" customHeight="1">
      <c r="B104" s="97"/>
      <c r="C104" s="40" t="s">
        <v>19</v>
      </c>
      <c r="D104" s="39">
        <v>8</v>
      </c>
      <c r="E104" s="38">
        <v>2.1052631578947368E-2</v>
      </c>
    </row>
    <row r="105" spans="2:5" ht="15" customHeight="1">
      <c r="B105" s="95" t="s">
        <v>78</v>
      </c>
      <c r="C105" s="43" t="s">
        <v>89</v>
      </c>
      <c r="D105" s="42">
        <v>2</v>
      </c>
      <c r="E105" s="41">
        <v>5.263157894736842E-3</v>
      </c>
    </row>
    <row r="106" spans="2:5" ht="15" customHeight="1">
      <c r="B106" s="96"/>
      <c r="C106" s="43" t="s">
        <v>90</v>
      </c>
      <c r="D106" s="42">
        <v>8</v>
      </c>
      <c r="E106" s="41">
        <v>2.1052631578947368E-2</v>
      </c>
    </row>
    <row r="107" spans="2:5" ht="15" customHeight="1">
      <c r="B107" s="96"/>
      <c r="C107" s="43" t="s">
        <v>87</v>
      </c>
      <c r="D107" s="42">
        <v>5</v>
      </c>
      <c r="E107" s="41">
        <v>1.3157894736842105E-2</v>
      </c>
    </row>
    <row r="108" spans="2:5" ht="15" customHeight="1">
      <c r="B108" s="96"/>
      <c r="C108" s="43" t="s">
        <v>88</v>
      </c>
      <c r="D108" s="42">
        <v>5</v>
      </c>
      <c r="E108" s="41">
        <v>1.3157894736842105E-2</v>
      </c>
    </row>
    <row r="109" spans="2:5" ht="15" customHeight="1">
      <c r="B109" s="97"/>
      <c r="C109" s="40" t="s">
        <v>19</v>
      </c>
      <c r="D109" s="39">
        <v>20</v>
      </c>
      <c r="E109" s="38">
        <v>5.2631578947368418E-2</v>
      </c>
    </row>
    <row r="110" spans="2:5" ht="15" customHeight="1">
      <c r="B110" s="95" t="s">
        <v>70</v>
      </c>
      <c r="C110" s="43" t="s">
        <v>89</v>
      </c>
      <c r="D110" s="42">
        <v>2</v>
      </c>
      <c r="E110" s="41">
        <v>5.263157894736842E-3</v>
      </c>
    </row>
    <row r="111" spans="2:5" ht="15" customHeight="1">
      <c r="B111" s="96"/>
      <c r="C111" s="43" t="s">
        <v>90</v>
      </c>
      <c r="D111" s="42">
        <v>6</v>
      </c>
      <c r="E111" s="41">
        <v>1.5789473684210527E-2</v>
      </c>
    </row>
    <row r="112" spans="2:5" ht="15" customHeight="1">
      <c r="B112" s="96"/>
      <c r="C112" s="43" t="s">
        <v>87</v>
      </c>
      <c r="D112" s="42">
        <v>1</v>
      </c>
      <c r="E112" s="41">
        <v>2.631578947368421E-3</v>
      </c>
    </row>
    <row r="113" spans="2:5" ht="15" customHeight="1">
      <c r="B113" s="97"/>
      <c r="C113" s="40" t="s">
        <v>19</v>
      </c>
      <c r="D113" s="39">
        <v>9</v>
      </c>
      <c r="E113" s="38">
        <v>2.368421052631579E-2</v>
      </c>
    </row>
    <row r="114" spans="2:5" ht="15" customHeight="1">
      <c r="B114" s="95" t="s">
        <v>57</v>
      </c>
      <c r="C114" s="43" t="s">
        <v>89</v>
      </c>
      <c r="D114" s="42">
        <v>1</v>
      </c>
      <c r="E114" s="41">
        <v>2.631578947368421E-3</v>
      </c>
    </row>
    <row r="115" spans="2:5" ht="15" customHeight="1">
      <c r="B115" s="96"/>
      <c r="C115" s="43" t="s">
        <v>90</v>
      </c>
      <c r="D115" s="42">
        <v>1</v>
      </c>
      <c r="E115" s="41">
        <v>2.631578947368421E-3</v>
      </c>
    </row>
    <row r="116" spans="2:5" ht="15" customHeight="1">
      <c r="B116" s="96"/>
      <c r="C116" s="43" t="s">
        <v>87</v>
      </c>
      <c r="D116" s="42">
        <v>1</v>
      </c>
      <c r="E116" s="41">
        <v>2.631578947368421E-3</v>
      </c>
    </row>
    <row r="117" spans="2:5" ht="15" customHeight="1">
      <c r="B117" s="97"/>
      <c r="C117" s="40" t="s">
        <v>19</v>
      </c>
      <c r="D117" s="39">
        <v>3</v>
      </c>
      <c r="E117" s="38">
        <v>7.8947368421052634E-3</v>
      </c>
    </row>
    <row r="118" spans="2:5" ht="15" customHeight="1">
      <c r="B118" s="95" t="s">
        <v>59</v>
      </c>
      <c r="C118" s="43" t="s">
        <v>89</v>
      </c>
      <c r="D118" s="42">
        <v>6</v>
      </c>
      <c r="E118" s="41">
        <v>1.5789473684210527E-2</v>
      </c>
    </row>
    <row r="119" spans="2:5" ht="15" customHeight="1">
      <c r="B119" s="96"/>
      <c r="C119" s="43" t="s">
        <v>90</v>
      </c>
      <c r="D119" s="42">
        <v>8</v>
      </c>
      <c r="E119" s="41">
        <v>2.1052631578947368E-2</v>
      </c>
    </row>
    <row r="120" spans="2:5" ht="15" customHeight="1">
      <c r="B120" s="96"/>
      <c r="C120" s="43" t="s">
        <v>87</v>
      </c>
      <c r="D120" s="42">
        <v>1</v>
      </c>
      <c r="E120" s="41">
        <v>2.631578947368421E-3</v>
      </c>
    </row>
    <row r="121" spans="2:5" ht="15" customHeight="1">
      <c r="B121" s="96"/>
      <c r="C121" s="43" t="s">
        <v>88</v>
      </c>
      <c r="D121" s="42">
        <v>2</v>
      </c>
      <c r="E121" s="41">
        <v>5.263157894736842E-3</v>
      </c>
    </row>
    <row r="122" spans="2:5" ht="15" customHeight="1">
      <c r="B122" s="97"/>
      <c r="C122" s="40" t="s">
        <v>19</v>
      </c>
      <c r="D122" s="39">
        <v>17</v>
      </c>
      <c r="E122" s="38">
        <v>4.4736842105263158E-2</v>
      </c>
    </row>
    <row r="123" spans="2:5" ht="15" customHeight="1">
      <c r="B123" s="95" t="s">
        <v>65</v>
      </c>
      <c r="C123" s="43" t="s">
        <v>88</v>
      </c>
      <c r="D123" s="42">
        <v>1</v>
      </c>
      <c r="E123" s="41">
        <v>2.631578947368421E-3</v>
      </c>
    </row>
    <row r="124" spans="2:5" ht="15" customHeight="1">
      <c r="B124" s="97"/>
      <c r="C124" s="40" t="s">
        <v>19</v>
      </c>
      <c r="D124" s="39">
        <v>1</v>
      </c>
      <c r="E124" s="38">
        <v>2.631578947368421E-3</v>
      </c>
    </row>
    <row r="125" spans="2:5" ht="15" customHeight="1">
      <c r="B125" s="95" t="s">
        <v>77</v>
      </c>
      <c r="C125" s="43" t="s">
        <v>89</v>
      </c>
      <c r="D125" s="42">
        <v>8</v>
      </c>
      <c r="E125" s="41">
        <v>2.1052631578947368E-2</v>
      </c>
    </row>
    <row r="126" spans="2:5" ht="15" customHeight="1">
      <c r="B126" s="96"/>
      <c r="C126" s="43" t="s">
        <v>90</v>
      </c>
      <c r="D126" s="42">
        <v>7</v>
      </c>
      <c r="E126" s="41">
        <v>1.8421052631578946E-2</v>
      </c>
    </row>
    <row r="127" spans="2:5" ht="15" customHeight="1">
      <c r="B127" s="96"/>
      <c r="C127" s="43" t="s">
        <v>88</v>
      </c>
      <c r="D127" s="42">
        <v>3</v>
      </c>
      <c r="E127" s="41">
        <v>7.8947368421052634E-3</v>
      </c>
    </row>
    <row r="128" spans="2:5" ht="15" customHeight="1">
      <c r="B128" s="97"/>
      <c r="C128" s="40" t="s">
        <v>19</v>
      </c>
      <c r="D128" s="39">
        <v>18</v>
      </c>
      <c r="E128" s="38">
        <v>4.736842105263158E-2</v>
      </c>
    </row>
    <row r="129" spans="2:5" ht="15" customHeight="1">
      <c r="B129" s="95" t="s">
        <v>63</v>
      </c>
      <c r="C129" s="43" t="s">
        <v>89</v>
      </c>
      <c r="D129" s="42">
        <v>3</v>
      </c>
      <c r="E129" s="41">
        <v>7.8947368421052634E-3</v>
      </c>
    </row>
    <row r="130" spans="2:5" ht="15" customHeight="1">
      <c r="B130" s="96"/>
      <c r="C130" s="43" t="s">
        <v>90</v>
      </c>
      <c r="D130" s="42">
        <v>7</v>
      </c>
      <c r="E130" s="41">
        <v>1.8421052631578946E-2</v>
      </c>
    </row>
    <row r="131" spans="2:5" ht="15" customHeight="1">
      <c r="B131" s="96"/>
      <c r="C131" s="43" t="s">
        <v>87</v>
      </c>
      <c r="D131" s="42">
        <v>2</v>
      </c>
      <c r="E131" s="41">
        <v>5.263157894736842E-3</v>
      </c>
    </row>
    <row r="132" spans="2:5" ht="15" customHeight="1">
      <c r="B132" s="96"/>
      <c r="C132" s="43" t="s">
        <v>88</v>
      </c>
      <c r="D132" s="42">
        <v>2</v>
      </c>
      <c r="E132" s="41">
        <v>5.263157894736842E-3</v>
      </c>
    </row>
    <row r="133" spans="2:5" ht="15" customHeight="1">
      <c r="B133" s="97"/>
      <c r="C133" s="40" t="s">
        <v>19</v>
      </c>
      <c r="D133" s="39">
        <v>14</v>
      </c>
      <c r="E133" s="38">
        <v>3.6842105263157891E-2</v>
      </c>
    </row>
    <row r="134" spans="2:5" ht="15" customHeight="1">
      <c r="B134" s="95" t="s">
        <v>74</v>
      </c>
      <c r="C134" s="43" t="s">
        <v>89</v>
      </c>
      <c r="D134" s="42">
        <v>5</v>
      </c>
      <c r="E134" s="41">
        <v>1.3157894736842105E-2</v>
      </c>
    </row>
    <row r="135" spans="2:5" ht="15" customHeight="1">
      <c r="B135" s="96"/>
      <c r="C135" s="43" t="s">
        <v>90</v>
      </c>
      <c r="D135" s="42">
        <v>5</v>
      </c>
      <c r="E135" s="41">
        <v>1.3157894736842105E-2</v>
      </c>
    </row>
    <row r="136" spans="2:5" ht="15" customHeight="1">
      <c r="B136" s="96"/>
      <c r="C136" s="43" t="s">
        <v>88</v>
      </c>
      <c r="D136" s="42">
        <v>1</v>
      </c>
      <c r="E136" s="41">
        <v>2.631578947368421E-3</v>
      </c>
    </row>
    <row r="137" spans="2:5" ht="15" customHeight="1">
      <c r="B137" s="97"/>
      <c r="C137" s="40" t="s">
        <v>19</v>
      </c>
      <c r="D137" s="39">
        <v>11</v>
      </c>
      <c r="E137" s="38">
        <v>2.8947368421052631E-2</v>
      </c>
    </row>
    <row r="138" spans="2:5" ht="15" customHeight="1">
      <c r="B138" s="95" t="s">
        <v>75</v>
      </c>
      <c r="C138" s="43" t="s">
        <v>89</v>
      </c>
      <c r="D138" s="42">
        <v>7</v>
      </c>
      <c r="E138" s="41">
        <v>1.8421052631578946E-2</v>
      </c>
    </row>
    <row r="139" spans="2:5" ht="15" customHeight="1">
      <c r="B139" s="96"/>
      <c r="C139" s="43" t="s">
        <v>90</v>
      </c>
      <c r="D139" s="42">
        <v>10</v>
      </c>
      <c r="E139" s="41">
        <v>2.6315789473684209E-2</v>
      </c>
    </row>
    <row r="140" spans="2:5" ht="15" customHeight="1">
      <c r="B140" s="96"/>
      <c r="C140" s="43" t="s">
        <v>88</v>
      </c>
      <c r="D140" s="42">
        <v>1</v>
      </c>
      <c r="E140" s="41">
        <v>2.631578947368421E-3</v>
      </c>
    </row>
    <row r="141" spans="2:5" ht="15" customHeight="1">
      <c r="B141" s="97"/>
      <c r="C141" s="40" t="s">
        <v>19</v>
      </c>
      <c r="D141" s="39">
        <v>18</v>
      </c>
      <c r="E141" s="38">
        <v>4.736842105263158E-2</v>
      </c>
    </row>
    <row r="142" spans="2:5" ht="15" customHeight="1">
      <c r="B142" s="95" t="s">
        <v>76</v>
      </c>
      <c r="C142" s="43" t="s">
        <v>89</v>
      </c>
      <c r="D142" s="42">
        <v>2</v>
      </c>
      <c r="E142" s="41">
        <v>5.263157894736842E-3</v>
      </c>
    </row>
    <row r="143" spans="2:5" ht="15" customHeight="1">
      <c r="B143" s="96"/>
      <c r="C143" s="43" t="s">
        <v>90</v>
      </c>
      <c r="D143" s="42">
        <v>4</v>
      </c>
      <c r="E143" s="41">
        <v>1.0526315789473684E-2</v>
      </c>
    </row>
    <row r="144" spans="2:5" ht="15" customHeight="1">
      <c r="B144" s="96"/>
      <c r="C144" s="43" t="s">
        <v>87</v>
      </c>
      <c r="D144" s="42">
        <v>2</v>
      </c>
      <c r="E144" s="41">
        <v>5.263157894736842E-3</v>
      </c>
    </row>
    <row r="145" spans="2:5" ht="15" customHeight="1">
      <c r="B145" s="96"/>
      <c r="C145" s="43" t="s">
        <v>88</v>
      </c>
      <c r="D145" s="42">
        <v>4</v>
      </c>
      <c r="E145" s="41">
        <v>1.0526315789473684E-2</v>
      </c>
    </row>
    <row r="146" spans="2:5" ht="15" customHeight="1">
      <c r="B146" s="97"/>
      <c r="C146" s="40" t="s">
        <v>19</v>
      </c>
      <c r="D146" s="39">
        <v>12</v>
      </c>
      <c r="E146" s="38">
        <v>3.1578947368421054E-2</v>
      </c>
    </row>
    <row r="147" spans="2:5" ht="15" customHeight="1">
      <c r="B147" s="95" t="s">
        <v>56</v>
      </c>
      <c r="C147" s="43" t="s">
        <v>89</v>
      </c>
      <c r="D147" s="42">
        <v>1</v>
      </c>
      <c r="E147" s="41">
        <v>2.631578947368421E-3</v>
      </c>
    </row>
    <row r="148" spans="2:5" ht="15" customHeight="1">
      <c r="B148" s="96"/>
      <c r="C148" s="43" t="s">
        <v>90</v>
      </c>
      <c r="D148" s="42">
        <v>4</v>
      </c>
      <c r="E148" s="41">
        <v>1.0526315789473684E-2</v>
      </c>
    </row>
    <row r="149" spans="2:5" ht="15" customHeight="1">
      <c r="B149" s="97"/>
      <c r="C149" s="40" t="s">
        <v>19</v>
      </c>
      <c r="D149" s="39">
        <v>5</v>
      </c>
      <c r="E149" s="38">
        <v>1.3157894736842105E-2</v>
      </c>
    </row>
    <row r="150" spans="2:5" ht="15" customHeight="1">
      <c r="B150" s="95" t="s">
        <v>49</v>
      </c>
      <c r="C150" s="43" t="s">
        <v>89</v>
      </c>
      <c r="D150" s="42">
        <v>1</v>
      </c>
      <c r="E150" s="41">
        <v>2.631578947368421E-3</v>
      </c>
    </row>
    <row r="151" spans="2:5" ht="15" customHeight="1">
      <c r="B151" s="96"/>
      <c r="C151" s="43" t="s">
        <v>90</v>
      </c>
      <c r="D151" s="42">
        <v>1</v>
      </c>
      <c r="E151" s="41">
        <v>2.631578947368421E-3</v>
      </c>
    </row>
    <row r="152" spans="2:5" ht="15" customHeight="1">
      <c r="B152" s="96"/>
      <c r="C152" s="43" t="s">
        <v>88</v>
      </c>
      <c r="D152" s="42">
        <v>2</v>
      </c>
      <c r="E152" s="41">
        <v>5.263157894736842E-3</v>
      </c>
    </row>
    <row r="153" spans="2:5" ht="15" customHeight="1">
      <c r="B153" s="97"/>
      <c r="C153" s="40" t="s">
        <v>19</v>
      </c>
      <c r="D153" s="39">
        <v>4</v>
      </c>
      <c r="E153" s="38">
        <v>1.0526315789473684E-2</v>
      </c>
    </row>
    <row r="154" spans="2:5" ht="15" customHeight="1">
      <c r="B154" s="95" t="s">
        <v>33</v>
      </c>
      <c r="C154" s="43" t="s">
        <v>89</v>
      </c>
      <c r="D154" s="42">
        <v>1</v>
      </c>
      <c r="E154" s="41">
        <v>2.631578947368421E-3</v>
      </c>
    </row>
    <row r="155" spans="2:5" ht="15" customHeight="1">
      <c r="B155" s="96"/>
      <c r="C155" s="43" t="s">
        <v>88</v>
      </c>
      <c r="D155" s="42">
        <v>1</v>
      </c>
      <c r="E155" s="41">
        <v>2.631578947368421E-3</v>
      </c>
    </row>
    <row r="156" spans="2:5" ht="15" customHeight="1">
      <c r="B156" s="97"/>
      <c r="C156" s="40" t="s">
        <v>19</v>
      </c>
      <c r="D156" s="39">
        <v>2</v>
      </c>
      <c r="E156" s="38">
        <v>5.263157894736842E-3</v>
      </c>
    </row>
    <row r="157" spans="2:5" ht="15" customHeight="1">
      <c r="B157" s="95" t="s">
        <v>158</v>
      </c>
      <c r="C157" s="43" t="s">
        <v>90</v>
      </c>
      <c r="D157" s="42">
        <v>1</v>
      </c>
      <c r="E157" s="41">
        <v>2.631578947368421E-3</v>
      </c>
    </row>
    <row r="158" spans="2:5" ht="15" customHeight="1">
      <c r="B158" s="97"/>
      <c r="C158" s="40" t="s">
        <v>19</v>
      </c>
      <c r="D158" s="39">
        <v>1</v>
      </c>
      <c r="E158" s="38">
        <v>2.631578947368421E-3</v>
      </c>
    </row>
    <row r="159" spans="2:5" ht="15" customHeight="1">
      <c r="B159" s="98" t="s">
        <v>116</v>
      </c>
      <c r="C159" s="99"/>
      <c r="D159" s="68">
        <v>380</v>
      </c>
      <c r="E159" s="69">
        <v>1</v>
      </c>
    </row>
    <row r="161" spans="2:2" ht="15" customHeight="1">
      <c r="B161" s="19" t="s">
        <v>155</v>
      </c>
    </row>
    <row r="162" spans="2:2" ht="15" customHeight="1">
      <c r="B162" s="21" t="s">
        <v>18</v>
      </c>
    </row>
    <row r="163" spans="2:2" ht="15" customHeight="1">
      <c r="B163" s="20" t="s">
        <v>17</v>
      </c>
    </row>
    <row r="164" spans="2:2" ht="15" customHeight="1">
      <c r="B164" s="19" t="s">
        <v>16</v>
      </c>
    </row>
    <row r="165" spans="2:2" ht="15" customHeight="1">
      <c r="B165" s="19" t="s">
        <v>156</v>
      </c>
    </row>
  </sheetData>
  <mergeCells count="41">
    <mergeCell ref="B7:E8"/>
    <mergeCell ref="B10:B12"/>
    <mergeCell ref="B13:B17"/>
    <mergeCell ref="B18:B19"/>
    <mergeCell ref="B20:B23"/>
    <mergeCell ref="B24:B28"/>
    <mergeCell ref="B29:B33"/>
    <mergeCell ref="B34:B37"/>
    <mergeCell ref="B38:B41"/>
    <mergeCell ref="B42:B43"/>
    <mergeCell ref="B44:B48"/>
    <mergeCell ref="B49:B53"/>
    <mergeCell ref="B54:B57"/>
    <mergeCell ref="B58:B59"/>
    <mergeCell ref="B60:B63"/>
    <mergeCell ref="B64:B67"/>
    <mergeCell ref="B68:B72"/>
    <mergeCell ref="B73:B75"/>
    <mergeCell ref="B76:B77"/>
    <mergeCell ref="B78:B79"/>
    <mergeCell ref="B80:B82"/>
    <mergeCell ref="B83:B85"/>
    <mergeCell ref="B86:B89"/>
    <mergeCell ref="B90:B94"/>
    <mergeCell ref="B95:B99"/>
    <mergeCell ref="B100:B104"/>
    <mergeCell ref="B105:B109"/>
    <mergeCell ref="B110:B113"/>
    <mergeCell ref="B114:B117"/>
    <mergeCell ref="B118:B122"/>
    <mergeCell ref="B123:B124"/>
    <mergeCell ref="B125:B128"/>
    <mergeCell ref="B129:B133"/>
    <mergeCell ref="B134:B137"/>
    <mergeCell ref="B138:B141"/>
    <mergeCell ref="B159:C159"/>
    <mergeCell ref="B142:B146"/>
    <mergeCell ref="B147:B149"/>
    <mergeCell ref="B150:B153"/>
    <mergeCell ref="B154:B156"/>
    <mergeCell ref="B157:B1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38"/>
  <sheetViews>
    <sheetView showGridLines="0" topLeftCell="A12" zoomScaleNormal="100" zoomScaleSheetLayoutView="115" workbookViewId="0">
      <selection activeCell="G33" sqref="G3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159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112</v>
      </c>
      <c r="C11" s="31" t="s">
        <v>111</v>
      </c>
      <c r="D11" s="30" t="s">
        <v>45</v>
      </c>
    </row>
    <row r="12" spans="1:4">
      <c r="B12" s="27" t="s">
        <v>110</v>
      </c>
      <c r="C12" s="26">
        <v>3</v>
      </c>
      <c r="D12" s="25">
        <f t="shared" ref="D12:D31" si="0">C12/$C$31</f>
        <v>7.8947368421052634E-3</v>
      </c>
    </row>
    <row r="13" spans="1:4">
      <c r="B13" s="27" t="s">
        <v>109</v>
      </c>
      <c r="C13" s="26">
        <v>2</v>
      </c>
      <c r="D13" s="25">
        <f t="shared" si="0"/>
        <v>5.263157894736842E-3</v>
      </c>
    </row>
    <row r="14" spans="1:4">
      <c r="B14" s="27" t="s">
        <v>108</v>
      </c>
      <c r="C14" s="26">
        <v>4</v>
      </c>
      <c r="D14" s="25">
        <f t="shared" si="0"/>
        <v>1.0526315789473684E-2</v>
      </c>
    </row>
    <row r="15" spans="1:4">
      <c r="B15" s="27" t="s">
        <v>107</v>
      </c>
      <c r="C15" s="26">
        <v>2</v>
      </c>
      <c r="D15" s="25">
        <f t="shared" si="0"/>
        <v>5.263157894736842E-3</v>
      </c>
    </row>
    <row r="16" spans="1:4">
      <c r="B16" s="27" t="s">
        <v>106</v>
      </c>
      <c r="C16" s="26">
        <v>2</v>
      </c>
      <c r="D16" s="25">
        <f t="shared" si="0"/>
        <v>5.263157894736842E-3</v>
      </c>
    </row>
    <row r="17" spans="2:4">
      <c r="B17" s="27" t="s">
        <v>105</v>
      </c>
      <c r="C17" s="26">
        <v>17</v>
      </c>
      <c r="D17" s="25">
        <f t="shared" si="0"/>
        <v>4.4736842105263158E-2</v>
      </c>
    </row>
    <row r="18" spans="2:4" ht="15" customHeight="1">
      <c r="B18" s="27" t="s">
        <v>104</v>
      </c>
      <c r="C18" s="26">
        <v>33</v>
      </c>
      <c r="D18" s="25">
        <f t="shared" si="0"/>
        <v>8.6842105263157901E-2</v>
      </c>
    </row>
    <row r="19" spans="2:4">
      <c r="B19" s="27" t="s">
        <v>103</v>
      </c>
      <c r="C19" s="26">
        <v>9</v>
      </c>
      <c r="D19" s="25">
        <f t="shared" si="0"/>
        <v>2.368421052631579E-2</v>
      </c>
    </row>
    <row r="20" spans="2:4">
      <c r="B20" s="27" t="s">
        <v>102</v>
      </c>
      <c r="C20" s="26">
        <v>12</v>
      </c>
      <c r="D20" s="25">
        <f t="shared" si="0"/>
        <v>3.1578947368421054E-2</v>
      </c>
    </row>
    <row r="21" spans="2:4">
      <c r="B21" s="27" t="s">
        <v>101</v>
      </c>
      <c r="C21" s="26">
        <v>15</v>
      </c>
      <c r="D21" s="25">
        <f t="shared" si="0"/>
        <v>3.9473684210526314E-2</v>
      </c>
    </row>
    <row r="22" spans="2:4" ht="27">
      <c r="B22" s="27" t="s">
        <v>100</v>
      </c>
      <c r="C22" s="26">
        <v>97</v>
      </c>
      <c r="D22" s="25">
        <f t="shared" si="0"/>
        <v>0.25526315789473686</v>
      </c>
    </row>
    <row r="23" spans="2:4">
      <c r="B23" s="27" t="s">
        <v>99</v>
      </c>
      <c r="C23" s="26">
        <v>5</v>
      </c>
      <c r="D23" s="25">
        <f t="shared" si="0"/>
        <v>1.3157894736842105E-2</v>
      </c>
    </row>
    <row r="24" spans="2:4" ht="27">
      <c r="B24" s="27" t="s">
        <v>98</v>
      </c>
      <c r="C24" s="26">
        <v>29</v>
      </c>
      <c r="D24" s="25">
        <f t="shared" si="0"/>
        <v>7.6315789473684212E-2</v>
      </c>
    </row>
    <row r="25" spans="2:4" ht="27">
      <c r="B25" s="27" t="s">
        <v>97</v>
      </c>
      <c r="C25" s="26">
        <v>103</v>
      </c>
      <c r="D25" s="25">
        <f t="shared" si="0"/>
        <v>0.27105263157894738</v>
      </c>
    </row>
    <row r="26" spans="2:4">
      <c r="B26" s="27" t="s">
        <v>160</v>
      </c>
      <c r="C26" s="26">
        <v>1</v>
      </c>
      <c r="D26" s="25">
        <f t="shared" si="0"/>
        <v>2.631578947368421E-3</v>
      </c>
    </row>
    <row r="27" spans="2:4">
      <c r="B27" s="27" t="s">
        <v>96</v>
      </c>
      <c r="C27" s="26">
        <v>1</v>
      </c>
      <c r="D27" s="25">
        <f t="shared" si="0"/>
        <v>2.631578947368421E-3</v>
      </c>
    </row>
    <row r="28" spans="2:4">
      <c r="B28" s="27" t="s">
        <v>95</v>
      </c>
      <c r="C28" s="26">
        <v>11</v>
      </c>
      <c r="D28" s="25">
        <f t="shared" si="0"/>
        <v>2.8947368421052631E-2</v>
      </c>
    </row>
    <row r="29" spans="2:4">
      <c r="B29" s="27" t="s">
        <v>94</v>
      </c>
      <c r="C29" s="26">
        <v>32</v>
      </c>
      <c r="D29" s="25">
        <f t="shared" si="0"/>
        <v>8.4210526315789472E-2</v>
      </c>
    </row>
    <row r="30" spans="2:4">
      <c r="B30" s="27" t="s">
        <v>161</v>
      </c>
      <c r="C30" s="26">
        <v>2</v>
      </c>
      <c r="D30" s="25">
        <f t="shared" si="0"/>
        <v>5.263157894736842E-3</v>
      </c>
    </row>
    <row r="31" spans="2:4">
      <c r="B31" s="24" t="s">
        <v>19</v>
      </c>
      <c r="C31" s="23">
        <v>380</v>
      </c>
      <c r="D31" s="22">
        <f t="shared" si="0"/>
        <v>1</v>
      </c>
    </row>
    <row r="32" spans="2:4">
      <c r="C32" s="17"/>
    </row>
    <row r="33" spans="2:3">
      <c r="B33" s="70" t="s">
        <v>155</v>
      </c>
      <c r="C33" s="17"/>
    </row>
    <row r="34" spans="2:3">
      <c r="B34" s="70" t="s">
        <v>18</v>
      </c>
      <c r="C34" s="17"/>
    </row>
    <row r="35" spans="2:3">
      <c r="B35" s="70" t="s">
        <v>17</v>
      </c>
      <c r="C35" s="17"/>
    </row>
    <row r="36" spans="2:3">
      <c r="B36" s="70" t="s">
        <v>16</v>
      </c>
      <c r="C36" s="17"/>
    </row>
    <row r="37" spans="2:3">
      <c r="B37" s="70" t="s">
        <v>156</v>
      </c>
      <c r="C37" s="17"/>
    </row>
    <row r="38" spans="2:3">
      <c r="C3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64"/>
  <sheetViews>
    <sheetView showGridLines="0" topLeftCell="A134" zoomScaleNormal="100" zoomScaleSheetLayoutView="85" workbookViewId="0">
      <selection activeCell="C169" sqref="C16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113</v>
      </c>
      <c r="C9" s="47" t="s">
        <v>93</v>
      </c>
      <c r="D9" s="46" t="s">
        <v>46</v>
      </c>
      <c r="E9" s="45" t="s">
        <v>45</v>
      </c>
    </row>
    <row r="10" spans="1:5" ht="15" customHeight="1">
      <c r="B10" s="95" t="s">
        <v>110</v>
      </c>
      <c r="C10" s="43" t="s">
        <v>44</v>
      </c>
      <c r="D10" s="42">
        <v>2</v>
      </c>
      <c r="E10" s="41">
        <v>5.263157894736842E-3</v>
      </c>
    </row>
    <row r="11" spans="1:5" ht="15" customHeight="1">
      <c r="B11" s="96"/>
      <c r="C11" s="43" t="s">
        <v>40</v>
      </c>
      <c r="D11" s="42">
        <v>1</v>
      </c>
      <c r="E11" s="41">
        <v>2.631578947368421E-3</v>
      </c>
    </row>
    <row r="12" spans="1:5" ht="15" customHeight="1">
      <c r="B12" s="97"/>
      <c r="C12" s="40" t="s">
        <v>19</v>
      </c>
      <c r="D12" s="39">
        <v>3</v>
      </c>
      <c r="E12" s="38">
        <v>7.8947368421052634E-3</v>
      </c>
    </row>
    <row r="13" spans="1:5" ht="15" customHeight="1">
      <c r="B13" s="95" t="s">
        <v>109</v>
      </c>
      <c r="C13" s="43" t="s">
        <v>39</v>
      </c>
      <c r="D13" s="42">
        <v>1</v>
      </c>
      <c r="E13" s="41">
        <v>2.631578947368421E-3</v>
      </c>
    </row>
    <row r="14" spans="1:5" ht="15" customHeight="1">
      <c r="B14" s="96"/>
      <c r="C14" s="43" t="s">
        <v>41</v>
      </c>
      <c r="D14" s="42">
        <v>1</v>
      </c>
      <c r="E14" s="41">
        <v>2.631578947368421E-3</v>
      </c>
    </row>
    <row r="15" spans="1:5" ht="15" customHeight="1">
      <c r="B15" s="97"/>
      <c r="C15" s="40" t="s">
        <v>19</v>
      </c>
      <c r="D15" s="39">
        <v>2</v>
      </c>
      <c r="E15" s="38">
        <v>5.263157894736842E-3</v>
      </c>
    </row>
    <row r="16" spans="1:5" ht="15" customHeight="1">
      <c r="B16" s="95" t="s">
        <v>108</v>
      </c>
      <c r="C16" s="43" t="s">
        <v>44</v>
      </c>
      <c r="D16" s="42">
        <v>3</v>
      </c>
      <c r="E16" s="41">
        <v>7.8947368421052634E-3</v>
      </c>
    </row>
    <row r="17" spans="2:5" ht="15" customHeight="1">
      <c r="B17" s="96"/>
      <c r="C17" s="43" t="s">
        <v>144</v>
      </c>
      <c r="D17" s="42">
        <v>1</v>
      </c>
      <c r="E17" s="41">
        <v>2.631578947368421E-3</v>
      </c>
    </row>
    <row r="18" spans="2:5" ht="15" customHeight="1">
      <c r="B18" s="97"/>
      <c r="C18" s="40" t="s">
        <v>19</v>
      </c>
      <c r="D18" s="39">
        <v>4</v>
      </c>
      <c r="E18" s="38">
        <v>1.0526315789473684E-2</v>
      </c>
    </row>
    <row r="19" spans="2:5" ht="15" customHeight="1">
      <c r="B19" s="95" t="s">
        <v>107</v>
      </c>
      <c r="C19" s="43" t="s">
        <v>41</v>
      </c>
      <c r="D19" s="42">
        <v>2</v>
      </c>
      <c r="E19" s="41">
        <v>5.263157894736842E-3</v>
      </c>
    </row>
    <row r="20" spans="2:5" ht="15" customHeight="1">
      <c r="B20" s="97"/>
      <c r="C20" s="40" t="s">
        <v>19</v>
      </c>
      <c r="D20" s="39">
        <v>2</v>
      </c>
      <c r="E20" s="38">
        <v>5.263157894736842E-3</v>
      </c>
    </row>
    <row r="21" spans="2:5" ht="15" customHeight="1">
      <c r="B21" s="95" t="s">
        <v>106</v>
      </c>
      <c r="C21" s="43" t="s">
        <v>22</v>
      </c>
      <c r="D21" s="42">
        <v>1</v>
      </c>
      <c r="E21" s="41">
        <v>2.631578947368421E-3</v>
      </c>
    </row>
    <row r="22" spans="2:5" ht="15" customHeight="1">
      <c r="B22" s="96"/>
      <c r="C22" s="43" t="s">
        <v>41</v>
      </c>
      <c r="D22" s="42">
        <v>1</v>
      </c>
      <c r="E22" s="41">
        <v>2.631578947368421E-3</v>
      </c>
    </row>
    <row r="23" spans="2:5" ht="15" customHeight="1">
      <c r="B23" s="97"/>
      <c r="C23" s="40" t="s">
        <v>19</v>
      </c>
      <c r="D23" s="39">
        <v>2</v>
      </c>
      <c r="E23" s="38">
        <v>5.263157894736842E-3</v>
      </c>
    </row>
    <row r="24" spans="2:5" ht="15" customHeight="1">
      <c r="B24" s="95" t="s">
        <v>105</v>
      </c>
      <c r="C24" s="43" t="s">
        <v>44</v>
      </c>
      <c r="D24" s="42">
        <v>3</v>
      </c>
      <c r="E24" s="41">
        <v>7.8947368421052634E-3</v>
      </c>
    </row>
    <row r="25" spans="2:5" ht="15" customHeight="1">
      <c r="B25" s="96"/>
      <c r="C25" s="43" t="s">
        <v>41</v>
      </c>
      <c r="D25" s="42">
        <v>2</v>
      </c>
      <c r="E25" s="41">
        <v>5.263157894736842E-3</v>
      </c>
    </row>
    <row r="26" spans="2:5" ht="15" customHeight="1">
      <c r="B26" s="96"/>
      <c r="C26" s="43" t="s">
        <v>42</v>
      </c>
      <c r="D26" s="42">
        <v>1</v>
      </c>
      <c r="E26" s="41">
        <v>2.631578947368421E-3</v>
      </c>
    </row>
    <row r="27" spans="2:5" ht="15" customHeight="1">
      <c r="B27" s="96"/>
      <c r="C27" s="43" t="s">
        <v>25</v>
      </c>
      <c r="D27" s="42">
        <v>1</v>
      </c>
      <c r="E27" s="41">
        <v>2.631578947368421E-3</v>
      </c>
    </row>
    <row r="28" spans="2:5" ht="15" customHeight="1">
      <c r="B28" s="96"/>
      <c r="C28" s="43" t="s">
        <v>40</v>
      </c>
      <c r="D28" s="42">
        <v>1</v>
      </c>
      <c r="E28" s="41">
        <v>2.631578947368421E-3</v>
      </c>
    </row>
    <row r="29" spans="2:5" ht="15" customHeight="1">
      <c r="B29" s="96"/>
      <c r="C29" s="43" t="s">
        <v>38</v>
      </c>
      <c r="D29" s="42">
        <v>1</v>
      </c>
      <c r="E29" s="41">
        <v>2.631578947368421E-3</v>
      </c>
    </row>
    <row r="30" spans="2:5" ht="15" customHeight="1">
      <c r="B30" s="96"/>
      <c r="C30" s="43" t="s">
        <v>23</v>
      </c>
      <c r="D30" s="42">
        <v>1</v>
      </c>
      <c r="E30" s="41">
        <v>2.631578947368421E-3</v>
      </c>
    </row>
    <row r="31" spans="2:5" ht="15" customHeight="1">
      <c r="B31" s="96"/>
      <c r="C31" s="43" t="s">
        <v>43</v>
      </c>
      <c r="D31" s="42">
        <v>5</v>
      </c>
      <c r="E31" s="41">
        <v>1.3157894736842105E-2</v>
      </c>
    </row>
    <row r="32" spans="2:5" ht="15" customHeight="1">
      <c r="B32" s="96"/>
      <c r="C32" s="43" t="s">
        <v>36</v>
      </c>
      <c r="D32" s="42">
        <v>1</v>
      </c>
      <c r="E32" s="41">
        <v>2.631578947368421E-3</v>
      </c>
    </row>
    <row r="33" spans="2:5" ht="15" customHeight="1">
      <c r="B33" s="96"/>
      <c r="C33" s="43" t="s">
        <v>33</v>
      </c>
      <c r="D33" s="42">
        <v>1</v>
      </c>
      <c r="E33" s="41">
        <v>2.631578947368421E-3</v>
      </c>
    </row>
    <row r="34" spans="2:5" ht="15" customHeight="1">
      <c r="B34" s="97"/>
      <c r="C34" s="40" t="s">
        <v>19</v>
      </c>
      <c r="D34" s="39">
        <v>17</v>
      </c>
      <c r="E34" s="38">
        <v>4.4736842105263158E-2</v>
      </c>
    </row>
    <row r="35" spans="2:5" ht="15" customHeight="1">
      <c r="B35" s="95" t="s">
        <v>104</v>
      </c>
      <c r="C35" s="43" t="s">
        <v>22</v>
      </c>
      <c r="D35" s="42">
        <v>1</v>
      </c>
      <c r="E35" s="41">
        <v>2.631578947368421E-3</v>
      </c>
    </row>
    <row r="36" spans="2:5" ht="15" customHeight="1">
      <c r="B36" s="96"/>
      <c r="C36" s="43" t="s">
        <v>39</v>
      </c>
      <c r="D36" s="42">
        <v>2</v>
      </c>
      <c r="E36" s="41">
        <v>5.263157894736842E-3</v>
      </c>
    </row>
    <row r="37" spans="2:5" ht="15" customHeight="1">
      <c r="B37" s="96"/>
      <c r="C37" s="43" t="s">
        <v>44</v>
      </c>
      <c r="D37" s="42">
        <v>12</v>
      </c>
      <c r="E37" s="41">
        <v>3.1578947368421054E-2</v>
      </c>
    </row>
    <row r="38" spans="2:5" ht="15" customHeight="1">
      <c r="B38" s="96"/>
      <c r="C38" s="43" t="s">
        <v>41</v>
      </c>
      <c r="D38" s="42">
        <v>1</v>
      </c>
      <c r="E38" s="41">
        <v>2.631578947368421E-3</v>
      </c>
    </row>
    <row r="39" spans="2:5" ht="15" customHeight="1">
      <c r="B39" s="96"/>
      <c r="C39" s="43" t="s">
        <v>145</v>
      </c>
      <c r="D39" s="42">
        <v>1</v>
      </c>
      <c r="E39" s="41">
        <v>2.631578947368421E-3</v>
      </c>
    </row>
    <row r="40" spans="2:5" ht="15" customHeight="1">
      <c r="B40" s="96"/>
      <c r="C40" s="43" t="s">
        <v>42</v>
      </c>
      <c r="D40" s="42">
        <v>3</v>
      </c>
      <c r="E40" s="41">
        <v>7.8947368421052634E-3</v>
      </c>
    </row>
    <row r="41" spans="2:5" ht="15" customHeight="1">
      <c r="B41" s="96"/>
      <c r="C41" s="43" t="s">
        <v>21</v>
      </c>
      <c r="D41" s="42">
        <v>2</v>
      </c>
      <c r="E41" s="41">
        <v>5.263157894736842E-3</v>
      </c>
    </row>
    <row r="42" spans="2:5" ht="15" customHeight="1">
      <c r="B42" s="96"/>
      <c r="C42" s="43" t="s">
        <v>40</v>
      </c>
      <c r="D42" s="42">
        <v>1</v>
      </c>
      <c r="E42" s="41">
        <v>2.631578947368421E-3</v>
      </c>
    </row>
    <row r="43" spans="2:5" ht="15" customHeight="1">
      <c r="B43" s="96"/>
      <c r="C43" s="43" t="s">
        <v>35</v>
      </c>
      <c r="D43" s="42">
        <v>1</v>
      </c>
      <c r="E43" s="41">
        <v>2.631578947368421E-3</v>
      </c>
    </row>
    <row r="44" spans="2:5" ht="15" customHeight="1">
      <c r="B44" s="96"/>
      <c r="C44" s="43" t="s">
        <v>23</v>
      </c>
      <c r="D44" s="42">
        <v>1</v>
      </c>
      <c r="E44" s="41">
        <v>2.631578947368421E-3</v>
      </c>
    </row>
    <row r="45" spans="2:5" ht="15" customHeight="1">
      <c r="B45" s="96"/>
      <c r="C45" s="43" t="s">
        <v>32</v>
      </c>
      <c r="D45" s="42">
        <v>2</v>
      </c>
      <c r="E45" s="41">
        <v>5.263157894736842E-3</v>
      </c>
    </row>
    <row r="46" spans="2:5" ht="15" customHeight="1">
      <c r="B46" s="96"/>
      <c r="C46" s="43" t="s">
        <v>26</v>
      </c>
      <c r="D46" s="42">
        <v>1</v>
      </c>
      <c r="E46" s="41">
        <v>2.631578947368421E-3</v>
      </c>
    </row>
    <row r="47" spans="2:5" ht="15" customHeight="1">
      <c r="B47" s="96"/>
      <c r="C47" s="43" t="s">
        <v>43</v>
      </c>
      <c r="D47" s="42">
        <v>2</v>
      </c>
      <c r="E47" s="41">
        <v>5.263157894736842E-3</v>
      </c>
    </row>
    <row r="48" spans="2:5" ht="15" customHeight="1">
      <c r="B48" s="96"/>
      <c r="C48" s="43" t="s">
        <v>36</v>
      </c>
      <c r="D48" s="42">
        <v>3</v>
      </c>
      <c r="E48" s="41">
        <v>7.8947368421052634E-3</v>
      </c>
    </row>
    <row r="49" spans="2:5" ht="15" customHeight="1">
      <c r="B49" s="97"/>
      <c r="C49" s="40" t="s">
        <v>19</v>
      </c>
      <c r="D49" s="39">
        <v>33</v>
      </c>
      <c r="E49" s="38">
        <v>8.6842105263157901E-2</v>
      </c>
    </row>
    <row r="50" spans="2:5" ht="15" customHeight="1">
      <c r="B50" s="95" t="s">
        <v>103</v>
      </c>
      <c r="C50" s="43" t="s">
        <v>44</v>
      </c>
      <c r="D50" s="42">
        <v>5</v>
      </c>
      <c r="E50" s="41">
        <v>1.3157894736842105E-2</v>
      </c>
    </row>
    <row r="51" spans="2:5" ht="15" customHeight="1">
      <c r="B51" s="96"/>
      <c r="C51" s="43" t="s">
        <v>29</v>
      </c>
      <c r="D51" s="42">
        <v>1</v>
      </c>
      <c r="E51" s="41">
        <v>2.631578947368421E-3</v>
      </c>
    </row>
    <row r="52" spans="2:5" ht="15" customHeight="1">
      <c r="B52" s="96"/>
      <c r="C52" s="43" t="s">
        <v>40</v>
      </c>
      <c r="D52" s="42">
        <v>1</v>
      </c>
      <c r="E52" s="41">
        <v>2.631578947368421E-3</v>
      </c>
    </row>
    <row r="53" spans="2:5" ht="15" customHeight="1">
      <c r="B53" s="96"/>
      <c r="C53" s="43" t="s">
        <v>43</v>
      </c>
      <c r="D53" s="42">
        <v>2</v>
      </c>
      <c r="E53" s="41">
        <v>5.263157894736842E-3</v>
      </c>
    </row>
    <row r="54" spans="2:5" ht="15" customHeight="1">
      <c r="B54" s="97"/>
      <c r="C54" s="40" t="s">
        <v>19</v>
      </c>
      <c r="D54" s="39">
        <v>9</v>
      </c>
      <c r="E54" s="38">
        <v>2.368421052631579E-2</v>
      </c>
    </row>
    <row r="55" spans="2:5" ht="15" customHeight="1">
      <c r="B55" s="95" t="s">
        <v>102</v>
      </c>
      <c r="C55" s="43" t="s">
        <v>44</v>
      </c>
      <c r="D55" s="42">
        <v>9</v>
      </c>
      <c r="E55" s="41">
        <v>2.368421052631579E-2</v>
      </c>
    </row>
    <row r="56" spans="2:5" ht="15" customHeight="1">
      <c r="B56" s="96"/>
      <c r="C56" s="43" t="s">
        <v>40</v>
      </c>
      <c r="D56" s="42">
        <v>1</v>
      </c>
      <c r="E56" s="41">
        <v>2.631578947368421E-3</v>
      </c>
    </row>
    <row r="57" spans="2:5" ht="15" customHeight="1">
      <c r="B57" s="96"/>
      <c r="C57" s="43" t="s">
        <v>43</v>
      </c>
      <c r="D57" s="42">
        <v>2</v>
      </c>
      <c r="E57" s="41">
        <v>5.263157894736842E-3</v>
      </c>
    </row>
    <row r="58" spans="2:5" ht="15" customHeight="1">
      <c r="B58" s="97"/>
      <c r="C58" s="40" t="s">
        <v>19</v>
      </c>
      <c r="D58" s="39">
        <v>12</v>
      </c>
      <c r="E58" s="38">
        <v>3.1578947368421054E-2</v>
      </c>
    </row>
    <row r="59" spans="2:5" ht="15" customHeight="1">
      <c r="B59" s="95" t="s">
        <v>101</v>
      </c>
      <c r="C59" s="43" t="s">
        <v>44</v>
      </c>
      <c r="D59" s="42">
        <v>10</v>
      </c>
      <c r="E59" s="41">
        <v>2.6315789473684209E-2</v>
      </c>
    </row>
    <row r="60" spans="2:5" ht="15" customHeight="1">
      <c r="B60" s="96"/>
      <c r="C60" s="43" t="s">
        <v>37</v>
      </c>
      <c r="D60" s="42">
        <v>1</v>
      </c>
      <c r="E60" s="41">
        <v>2.631578947368421E-3</v>
      </c>
    </row>
    <row r="61" spans="2:5" ht="15" customHeight="1">
      <c r="B61" s="96"/>
      <c r="C61" s="43" t="s">
        <v>145</v>
      </c>
      <c r="D61" s="42">
        <v>1</v>
      </c>
      <c r="E61" s="41">
        <v>2.631578947368421E-3</v>
      </c>
    </row>
    <row r="62" spans="2:5" ht="15" customHeight="1">
      <c r="B62" s="96"/>
      <c r="C62" s="43" t="s">
        <v>30</v>
      </c>
      <c r="D62" s="42">
        <v>1</v>
      </c>
      <c r="E62" s="41">
        <v>2.631578947368421E-3</v>
      </c>
    </row>
    <row r="63" spans="2:5" ht="15" customHeight="1">
      <c r="B63" s="96"/>
      <c r="C63" s="43" t="s">
        <v>31</v>
      </c>
      <c r="D63" s="42">
        <v>1</v>
      </c>
      <c r="E63" s="41">
        <v>2.631578947368421E-3</v>
      </c>
    </row>
    <row r="64" spans="2:5" ht="15" customHeight="1">
      <c r="B64" s="96"/>
      <c r="C64" s="43" t="s">
        <v>36</v>
      </c>
      <c r="D64" s="42">
        <v>1</v>
      </c>
      <c r="E64" s="41">
        <v>2.631578947368421E-3</v>
      </c>
    </row>
    <row r="65" spans="2:5" ht="15" customHeight="1">
      <c r="B65" s="97"/>
      <c r="C65" s="40" t="s">
        <v>19</v>
      </c>
      <c r="D65" s="39">
        <v>15</v>
      </c>
      <c r="E65" s="38">
        <v>3.9473684210526314E-2</v>
      </c>
    </row>
    <row r="66" spans="2:5" ht="15" customHeight="1">
      <c r="B66" s="95" t="s">
        <v>100</v>
      </c>
      <c r="C66" s="43" t="s">
        <v>22</v>
      </c>
      <c r="D66" s="42">
        <v>2</v>
      </c>
      <c r="E66" s="41">
        <v>5.263157894736842E-3</v>
      </c>
    </row>
    <row r="67" spans="2:5" ht="15" customHeight="1">
      <c r="B67" s="96"/>
      <c r="C67" s="43" t="s">
        <v>39</v>
      </c>
      <c r="D67" s="42">
        <v>6</v>
      </c>
      <c r="E67" s="41">
        <v>1.5789473684210527E-2</v>
      </c>
    </row>
    <row r="68" spans="2:5" ht="15" customHeight="1">
      <c r="B68" s="96"/>
      <c r="C68" s="43" t="s">
        <v>44</v>
      </c>
      <c r="D68" s="42">
        <v>38</v>
      </c>
      <c r="E68" s="41">
        <v>0.1</v>
      </c>
    </row>
    <row r="69" spans="2:5" ht="15" customHeight="1">
      <c r="B69" s="96"/>
      <c r="C69" s="43" t="s">
        <v>37</v>
      </c>
      <c r="D69" s="42">
        <v>1</v>
      </c>
      <c r="E69" s="41">
        <v>2.631578947368421E-3</v>
      </c>
    </row>
    <row r="70" spans="2:5" ht="15" customHeight="1">
      <c r="B70" s="96"/>
      <c r="C70" s="43" t="s">
        <v>152</v>
      </c>
      <c r="D70" s="42">
        <v>1</v>
      </c>
      <c r="E70" s="41">
        <v>2.631578947368421E-3</v>
      </c>
    </row>
    <row r="71" spans="2:5" ht="15" customHeight="1">
      <c r="B71" s="96"/>
      <c r="C71" s="43" t="s">
        <v>41</v>
      </c>
      <c r="D71" s="42">
        <v>3</v>
      </c>
      <c r="E71" s="41">
        <v>7.8947368421052634E-3</v>
      </c>
    </row>
    <row r="72" spans="2:5" ht="15" customHeight="1">
      <c r="B72" s="96"/>
      <c r="C72" s="43" t="s">
        <v>34</v>
      </c>
      <c r="D72" s="42">
        <v>2</v>
      </c>
      <c r="E72" s="41">
        <v>5.263157894736842E-3</v>
      </c>
    </row>
    <row r="73" spans="2:5" ht="15" customHeight="1">
      <c r="B73" s="96"/>
      <c r="C73" s="43" t="s">
        <v>145</v>
      </c>
      <c r="D73" s="42">
        <v>2</v>
      </c>
      <c r="E73" s="41">
        <v>5.263157894736842E-3</v>
      </c>
    </row>
    <row r="74" spans="2:5" ht="15" customHeight="1">
      <c r="B74" s="96"/>
      <c r="C74" s="43" t="s">
        <v>42</v>
      </c>
      <c r="D74" s="42">
        <v>5</v>
      </c>
      <c r="E74" s="41">
        <v>1.3157894736842105E-2</v>
      </c>
    </row>
    <row r="75" spans="2:5" ht="15" customHeight="1">
      <c r="B75" s="96"/>
      <c r="C75" s="43" t="s">
        <v>30</v>
      </c>
      <c r="D75" s="42">
        <v>2</v>
      </c>
      <c r="E75" s="41">
        <v>5.263157894736842E-3</v>
      </c>
    </row>
    <row r="76" spans="2:5" ht="15" customHeight="1">
      <c r="B76" s="96"/>
      <c r="C76" s="43" t="s">
        <v>153</v>
      </c>
      <c r="D76" s="42">
        <v>1</v>
      </c>
      <c r="E76" s="41">
        <v>2.631578947368421E-3</v>
      </c>
    </row>
    <row r="77" spans="2:5" ht="15" customHeight="1">
      <c r="B77" s="96"/>
      <c r="C77" s="43" t="s">
        <v>25</v>
      </c>
      <c r="D77" s="42">
        <v>1</v>
      </c>
      <c r="E77" s="41">
        <v>2.631578947368421E-3</v>
      </c>
    </row>
    <row r="78" spans="2:5" ht="15" customHeight="1">
      <c r="B78" s="96"/>
      <c r="C78" s="43" t="s">
        <v>146</v>
      </c>
      <c r="D78" s="42">
        <v>1</v>
      </c>
      <c r="E78" s="41">
        <v>2.631578947368421E-3</v>
      </c>
    </row>
    <row r="79" spans="2:5" ht="15" customHeight="1">
      <c r="B79" s="96"/>
      <c r="C79" s="43" t="s">
        <v>29</v>
      </c>
      <c r="D79" s="42">
        <v>1</v>
      </c>
      <c r="E79" s="41">
        <v>2.631578947368421E-3</v>
      </c>
    </row>
    <row r="80" spans="2:5" ht="15" customHeight="1">
      <c r="B80" s="96"/>
      <c r="C80" s="43" t="s">
        <v>28</v>
      </c>
      <c r="D80" s="42">
        <v>1</v>
      </c>
      <c r="E80" s="41">
        <v>2.631578947368421E-3</v>
      </c>
    </row>
    <row r="81" spans="2:5" ht="15" customHeight="1">
      <c r="B81" s="96"/>
      <c r="C81" s="43" t="s">
        <v>40</v>
      </c>
      <c r="D81" s="42">
        <v>4</v>
      </c>
      <c r="E81" s="41">
        <v>1.0526315789473684E-2</v>
      </c>
    </row>
    <row r="82" spans="2:5" ht="15" customHeight="1">
      <c r="B82" s="96"/>
      <c r="C82" s="43" t="s">
        <v>27</v>
      </c>
      <c r="D82" s="42">
        <v>3</v>
      </c>
      <c r="E82" s="41">
        <v>7.8947368421052634E-3</v>
      </c>
    </row>
    <row r="83" spans="2:5" ht="15" customHeight="1">
      <c r="B83" s="96"/>
      <c r="C83" s="43" t="s">
        <v>35</v>
      </c>
      <c r="D83" s="42">
        <v>7</v>
      </c>
      <c r="E83" s="41">
        <v>1.8421052631578946E-2</v>
      </c>
    </row>
    <row r="84" spans="2:5" ht="15" customHeight="1">
      <c r="B84" s="96"/>
      <c r="C84" s="43" t="s">
        <v>23</v>
      </c>
      <c r="D84" s="42">
        <v>1</v>
      </c>
      <c r="E84" s="41">
        <v>2.631578947368421E-3</v>
      </c>
    </row>
    <row r="85" spans="2:5" ht="15" customHeight="1">
      <c r="B85" s="96"/>
      <c r="C85" s="43" t="s">
        <v>32</v>
      </c>
      <c r="D85" s="42">
        <v>1</v>
      </c>
      <c r="E85" s="41">
        <v>2.631578947368421E-3</v>
      </c>
    </row>
    <row r="86" spans="2:5" ht="15" customHeight="1">
      <c r="B86" s="96"/>
      <c r="C86" s="43" t="s">
        <v>26</v>
      </c>
      <c r="D86" s="42">
        <v>1</v>
      </c>
      <c r="E86" s="41">
        <v>2.631578947368421E-3</v>
      </c>
    </row>
    <row r="87" spans="2:5" ht="15" customHeight="1">
      <c r="B87" s="96"/>
      <c r="C87" s="43" t="s">
        <v>43</v>
      </c>
      <c r="D87" s="42">
        <v>10</v>
      </c>
      <c r="E87" s="41">
        <v>2.6315789473684209E-2</v>
      </c>
    </row>
    <row r="88" spans="2:5" ht="15" customHeight="1">
      <c r="B88" s="96"/>
      <c r="C88" s="43" t="s">
        <v>36</v>
      </c>
      <c r="D88" s="42">
        <v>1</v>
      </c>
      <c r="E88" s="41">
        <v>2.631578947368421E-3</v>
      </c>
    </row>
    <row r="89" spans="2:5" ht="15" customHeight="1">
      <c r="B89" s="96"/>
      <c r="C89" s="43" t="s">
        <v>33</v>
      </c>
      <c r="D89" s="42">
        <v>2</v>
      </c>
      <c r="E89" s="41">
        <v>5.263157894736842E-3</v>
      </c>
    </row>
    <row r="90" spans="2:5" ht="15" customHeight="1">
      <c r="B90" s="97"/>
      <c r="C90" s="40" t="s">
        <v>19</v>
      </c>
      <c r="D90" s="39">
        <v>97</v>
      </c>
      <c r="E90" s="38">
        <v>0.25526315789473686</v>
      </c>
    </row>
    <row r="91" spans="2:5" ht="15" customHeight="1">
      <c r="B91" s="95" t="s">
        <v>99</v>
      </c>
      <c r="C91" s="43" t="s">
        <v>44</v>
      </c>
      <c r="D91" s="42">
        <v>2</v>
      </c>
      <c r="E91" s="41">
        <v>5.263157894736842E-3</v>
      </c>
    </row>
    <row r="92" spans="2:5" ht="15" customHeight="1">
      <c r="B92" s="96"/>
      <c r="C92" s="43" t="s">
        <v>37</v>
      </c>
      <c r="D92" s="42">
        <v>1</v>
      </c>
      <c r="E92" s="41">
        <v>2.631578947368421E-3</v>
      </c>
    </row>
    <row r="93" spans="2:5" ht="15" customHeight="1">
      <c r="B93" s="96"/>
      <c r="C93" s="43" t="s">
        <v>144</v>
      </c>
      <c r="D93" s="42">
        <v>1</v>
      </c>
      <c r="E93" s="41">
        <v>2.631578947368421E-3</v>
      </c>
    </row>
    <row r="94" spans="2:5" ht="15" customHeight="1">
      <c r="B94" s="96"/>
      <c r="C94" s="43" t="s">
        <v>36</v>
      </c>
      <c r="D94" s="42">
        <v>1</v>
      </c>
      <c r="E94" s="41">
        <v>2.631578947368421E-3</v>
      </c>
    </row>
    <row r="95" spans="2:5" ht="15" customHeight="1">
      <c r="B95" s="97"/>
      <c r="C95" s="40" t="s">
        <v>19</v>
      </c>
      <c r="D95" s="39">
        <v>5</v>
      </c>
      <c r="E95" s="38">
        <v>1.3157894736842105E-2</v>
      </c>
    </row>
    <row r="96" spans="2:5" ht="15" customHeight="1">
      <c r="B96" s="95" t="s">
        <v>98</v>
      </c>
      <c r="C96" s="43" t="s">
        <v>22</v>
      </c>
      <c r="D96" s="42">
        <v>1</v>
      </c>
      <c r="E96" s="41">
        <v>2.631578947368421E-3</v>
      </c>
    </row>
    <row r="97" spans="2:5" ht="15" customHeight="1">
      <c r="B97" s="96"/>
      <c r="C97" s="43" t="s">
        <v>39</v>
      </c>
      <c r="D97" s="42">
        <v>1</v>
      </c>
      <c r="E97" s="41">
        <v>2.631578947368421E-3</v>
      </c>
    </row>
    <row r="98" spans="2:5" ht="15" customHeight="1">
      <c r="B98" s="96"/>
      <c r="C98" s="43" t="s">
        <v>151</v>
      </c>
      <c r="D98" s="42">
        <v>1</v>
      </c>
      <c r="E98" s="41">
        <v>2.631578947368421E-3</v>
      </c>
    </row>
    <row r="99" spans="2:5" ht="15" customHeight="1">
      <c r="B99" s="96"/>
      <c r="C99" s="43" t="s">
        <v>44</v>
      </c>
      <c r="D99" s="42">
        <v>15</v>
      </c>
      <c r="E99" s="41">
        <v>3.9473684210526314E-2</v>
      </c>
    </row>
    <row r="100" spans="2:5" ht="15" customHeight="1">
      <c r="B100" s="96"/>
      <c r="C100" s="43" t="s">
        <v>37</v>
      </c>
      <c r="D100" s="42">
        <v>1</v>
      </c>
      <c r="E100" s="41">
        <v>2.631578947368421E-3</v>
      </c>
    </row>
    <row r="101" spans="2:5" ht="15" customHeight="1">
      <c r="B101" s="96"/>
      <c r="C101" s="43" t="s">
        <v>41</v>
      </c>
      <c r="D101" s="42">
        <v>1</v>
      </c>
      <c r="E101" s="41">
        <v>2.631578947368421E-3</v>
      </c>
    </row>
    <row r="102" spans="2:5" ht="15" customHeight="1">
      <c r="B102" s="96"/>
      <c r="C102" s="43" t="s">
        <v>34</v>
      </c>
      <c r="D102" s="42">
        <v>2</v>
      </c>
      <c r="E102" s="41">
        <v>5.263157894736842E-3</v>
      </c>
    </row>
    <row r="103" spans="2:5" ht="15" customHeight="1">
      <c r="B103" s="96"/>
      <c r="C103" s="43" t="s">
        <v>42</v>
      </c>
      <c r="D103" s="42">
        <v>1</v>
      </c>
      <c r="E103" s="41">
        <v>2.631578947368421E-3</v>
      </c>
    </row>
    <row r="104" spans="2:5" ht="15" customHeight="1">
      <c r="B104" s="96"/>
      <c r="C104" s="43" t="s">
        <v>40</v>
      </c>
      <c r="D104" s="42">
        <v>1</v>
      </c>
      <c r="E104" s="41">
        <v>2.631578947368421E-3</v>
      </c>
    </row>
    <row r="105" spans="2:5" ht="15" customHeight="1">
      <c r="B105" s="96"/>
      <c r="C105" s="43" t="s">
        <v>35</v>
      </c>
      <c r="D105" s="42">
        <v>2</v>
      </c>
      <c r="E105" s="41">
        <v>5.263157894736842E-3</v>
      </c>
    </row>
    <row r="106" spans="2:5" ht="15" customHeight="1">
      <c r="B106" s="96"/>
      <c r="C106" s="43" t="s">
        <v>38</v>
      </c>
      <c r="D106" s="42">
        <v>1</v>
      </c>
      <c r="E106" s="41">
        <v>2.631578947368421E-3</v>
      </c>
    </row>
    <row r="107" spans="2:5" ht="15" customHeight="1">
      <c r="B107" s="96"/>
      <c r="C107" s="43" t="s">
        <v>32</v>
      </c>
      <c r="D107" s="42">
        <v>1</v>
      </c>
      <c r="E107" s="41">
        <v>2.631578947368421E-3</v>
      </c>
    </row>
    <row r="108" spans="2:5" ht="15" customHeight="1">
      <c r="B108" s="96"/>
      <c r="C108" s="43" t="s">
        <v>154</v>
      </c>
      <c r="D108" s="42">
        <v>1</v>
      </c>
      <c r="E108" s="41">
        <v>2.631578947368421E-3</v>
      </c>
    </row>
    <row r="109" spans="2:5" ht="15" customHeight="1">
      <c r="B109" s="97"/>
      <c r="C109" s="40" t="s">
        <v>19</v>
      </c>
      <c r="D109" s="39">
        <v>29</v>
      </c>
      <c r="E109" s="38">
        <v>7.6315789473684212E-2</v>
      </c>
    </row>
    <row r="110" spans="2:5" ht="15" customHeight="1">
      <c r="B110" s="95" t="s">
        <v>97</v>
      </c>
      <c r="C110" s="43" t="s">
        <v>22</v>
      </c>
      <c r="D110" s="42">
        <v>2</v>
      </c>
      <c r="E110" s="41">
        <v>5.263157894736842E-3</v>
      </c>
    </row>
    <row r="111" spans="2:5" ht="15" customHeight="1">
      <c r="B111" s="96"/>
      <c r="C111" s="43" t="s">
        <v>39</v>
      </c>
      <c r="D111" s="42">
        <v>4</v>
      </c>
      <c r="E111" s="41">
        <v>1.0526315789473684E-2</v>
      </c>
    </row>
    <row r="112" spans="2:5" ht="15" customHeight="1">
      <c r="B112" s="96"/>
      <c r="C112" s="43" t="s">
        <v>44</v>
      </c>
      <c r="D112" s="42">
        <v>54</v>
      </c>
      <c r="E112" s="41">
        <v>0.14210526315789473</v>
      </c>
    </row>
    <row r="113" spans="2:5" ht="15" customHeight="1">
      <c r="B113" s="96"/>
      <c r="C113" s="43" t="s">
        <v>41</v>
      </c>
      <c r="D113" s="42">
        <v>2</v>
      </c>
      <c r="E113" s="41">
        <v>5.263157894736842E-3</v>
      </c>
    </row>
    <row r="114" spans="2:5" ht="15" customHeight="1">
      <c r="B114" s="96"/>
      <c r="C114" s="43" t="s">
        <v>145</v>
      </c>
      <c r="D114" s="42">
        <v>1</v>
      </c>
      <c r="E114" s="41">
        <v>2.631578947368421E-3</v>
      </c>
    </row>
    <row r="115" spans="2:5" ht="15" customHeight="1">
      <c r="B115" s="96"/>
      <c r="C115" s="43" t="s">
        <v>42</v>
      </c>
      <c r="D115" s="42">
        <v>3</v>
      </c>
      <c r="E115" s="41">
        <v>7.8947368421052634E-3</v>
      </c>
    </row>
    <row r="116" spans="2:5" ht="15" customHeight="1">
      <c r="B116" s="96"/>
      <c r="C116" s="43" t="s">
        <v>29</v>
      </c>
      <c r="D116" s="42">
        <v>1</v>
      </c>
      <c r="E116" s="41">
        <v>2.631578947368421E-3</v>
      </c>
    </row>
    <row r="117" spans="2:5" ht="15" customHeight="1">
      <c r="B117" s="96"/>
      <c r="C117" s="43" t="s">
        <v>28</v>
      </c>
      <c r="D117" s="42">
        <v>1</v>
      </c>
      <c r="E117" s="41">
        <v>2.631578947368421E-3</v>
      </c>
    </row>
    <row r="118" spans="2:5" ht="15" customHeight="1">
      <c r="B118" s="96"/>
      <c r="C118" s="43" t="s">
        <v>40</v>
      </c>
      <c r="D118" s="42">
        <v>8</v>
      </c>
      <c r="E118" s="41">
        <v>2.1052631578947368E-2</v>
      </c>
    </row>
    <row r="119" spans="2:5" ht="15" customHeight="1">
      <c r="B119" s="96"/>
      <c r="C119" s="43" t="s">
        <v>31</v>
      </c>
      <c r="D119" s="42">
        <v>1</v>
      </c>
      <c r="E119" s="41">
        <v>2.631578947368421E-3</v>
      </c>
    </row>
    <row r="120" spans="2:5" ht="15" customHeight="1">
      <c r="B120" s="96"/>
      <c r="C120" s="43" t="s">
        <v>24</v>
      </c>
      <c r="D120" s="42">
        <v>1</v>
      </c>
      <c r="E120" s="41">
        <v>2.631578947368421E-3</v>
      </c>
    </row>
    <row r="121" spans="2:5" ht="15" customHeight="1">
      <c r="B121" s="96"/>
      <c r="C121" s="43" t="s">
        <v>35</v>
      </c>
      <c r="D121" s="42">
        <v>2</v>
      </c>
      <c r="E121" s="41">
        <v>5.263157894736842E-3</v>
      </c>
    </row>
    <row r="122" spans="2:5" ht="15" customHeight="1">
      <c r="B122" s="96"/>
      <c r="C122" s="43" t="s">
        <v>38</v>
      </c>
      <c r="D122" s="42">
        <v>5</v>
      </c>
      <c r="E122" s="41">
        <v>1.3157894736842105E-2</v>
      </c>
    </row>
    <row r="123" spans="2:5" ht="15" customHeight="1">
      <c r="B123" s="96"/>
      <c r="C123" s="43" t="s">
        <v>23</v>
      </c>
      <c r="D123" s="42">
        <v>2</v>
      </c>
      <c r="E123" s="41">
        <v>5.263157894736842E-3</v>
      </c>
    </row>
    <row r="124" spans="2:5" ht="15" customHeight="1">
      <c r="B124" s="96"/>
      <c r="C124" s="43" t="s">
        <v>32</v>
      </c>
      <c r="D124" s="42">
        <v>1</v>
      </c>
      <c r="E124" s="41">
        <v>2.631578947368421E-3</v>
      </c>
    </row>
    <row r="125" spans="2:5" ht="15" customHeight="1">
      <c r="B125" s="96"/>
      <c r="C125" s="43" t="s">
        <v>43</v>
      </c>
      <c r="D125" s="42">
        <v>5</v>
      </c>
      <c r="E125" s="41">
        <v>1.3157894736842105E-2</v>
      </c>
    </row>
    <row r="126" spans="2:5" ht="15" customHeight="1">
      <c r="B126" s="96"/>
      <c r="C126" s="43" t="s">
        <v>36</v>
      </c>
      <c r="D126" s="42">
        <v>7</v>
      </c>
      <c r="E126" s="41">
        <v>1.8421052631578946E-2</v>
      </c>
    </row>
    <row r="127" spans="2:5" ht="15" customHeight="1">
      <c r="B127" s="96"/>
      <c r="C127" s="43" t="s">
        <v>33</v>
      </c>
      <c r="D127" s="42">
        <v>2</v>
      </c>
      <c r="E127" s="41">
        <v>5.263157894736842E-3</v>
      </c>
    </row>
    <row r="128" spans="2:5" ht="15" customHeight="1">
      <c r="B128" s="96"/>
      <c r="C128" s="43" t="s">
        <v>20</v>
      </c>
      <c r="D128" s="42">
        <v>1</v>
      </c>
      <c r="E128" s="41">
        <v>2.631578947368421E-3</v>
      </c>
    </row>
    <row r="129" spans="2:5" ht="15" customHeight="1">
      <c r="B129" s="97"/>
      <c r="C129" s="40" t="s">
        <v>19</v>
      </c>
      <c r="D129" s="39">
        <v>103</v>
      </c>
      <c r="E129" s="38">
        <v>0.27105263157894738</v>
      </c>
    </row>
    <row r="130" spans="2:5" ht="15" customHeight="1">
      <c r="B130" s="95" t="s">
        <v>160</v>
      </c>
      <c r="C130" s="43" t="s">
        <v>39</v>
      </c>
      <c r="D130" s="42">
        <v>1</v>
      </c>
      <c r="E130" s="41">
        <v>2.631578947368421E-3</v>
      </c>
    </row>
    <row r="131" spans="2:5" ht="15" customHeight="1">
      <c r="B131" s="97"/>
      <c r="C131" s="40" t="s">
        <v>19</v>
      </c>
      <c r="D131" s="39">
        <v>1</v>
      </c>
      <c r="E131" s="38">
        <v>2.631578947368421E-3</v>
      </c>
    </row>
    <row r="132" spans="2:5" ht="15" customHeight="1">
      <c r="B132" s="95" t="s">
        <v>96</v>
      </c>
      <c r="C132" s="43" t="s">
        <v>44</v>
      </c>
      <c r="D132" s="42">
        <v>1</v>
      </c>
      <c r="E132" s="41">
        <v>2.631578947368421E-3</v>
      </c>
    </row>
    <row r="133" spans="2:5" ht="15" customHeight="1">
      <c r="B133" s="97"/>
      <c r="C133" s="40" t="s">
        <v>19</v>
      </c>
      <c r="D133" s="39">
        <v>1</v>
      </c>
      <c r="E133" s="38">
        <v>2.631578947368421E-3</v>
      </c>
    </row>
    <row r="134" spans="2:5" ht="15" customHeight="1">
      <c r="B134" s="95" t="s">
        <v>95</v>
      </c>
      <c r="C134" s="43" t="s">
        <v>22</v>
      </c>
      <c r="D134" s="42">
        <v>1</v>
      </c>
      <c r="E134" s="41">
        <v>2.631578947368421E-3</v>
      </c>
    </row>
    <row r="135" spans="2:5" ht="15" customHeight="1">
      <c r="B135" s="96"/>
      <c r="C135" s="43" t="s">
        <v>39</v>
      </c>
      <c r="D135" s="42">
        <v>1</v>
      </c>
      <c r="E135" s="41">
        <v>2.631578947368421E-3</v>
      </c>
    </row>
    <row r="136" spans="2:5" ht="15" customHeight="1">
      <c r="B136" s="96"/>
      <c r="C136" s="43" t="s">
        <v>44</v>
      </c>
      <c r="D136" s="42">
        <v>5</v>
      </c>
      <c r="E136" s="41">
        <v>1.3157894736842105E-2</v>
      </c>
    </row>
    <row r="137" spans="2:5" ht="15" customHeight="1">
      <c r="B137" s="96"/>
      <c r="C137" s="43" t="s">
        <v>42</v>
      </c>
      <c r="D137" s="42">
        <v>1</v>
      </c>
      <c r="E137" s="41">
        <v>2.631578947368421E-3</v>
      </c>
    </row>
    <row r="138" spans="2:5" ht="15" customHeight="1">
      <c r="B138" s="96"/>
      <c r="C138" s="43" t="s">
        <v>31</v>
      </c>
      <c r="D138" s="42">
        <v>1</v>
      </c>
      <c r="E138" s="41">
        <v>2.631578947368421E-3</v>
      </c>
    </row>
    <row r="139" spans="2:5" ht="15" customHeight="1">
      <c r="B139" s="96"/>
      <c r="C139" s="43" t="s">
        <v>43</v>
      </c>
      <c r="D139" s="42">
        <v>1</v>
      </c>
      <c r="E139" s="41">
        <v>2.631578947368421E-3</v>
      </c>
    </row>
    <row r="140" spans="2:5" ht="15" customHeight="1">
      <c r="B140" s="96"/>
      <c r="C140" s="43" t="s">
        <v>20</v>
      </c>
      <c r="D140" s="42">
        <v>1</v>
      </c>
      <c r="E140" s="41">
        <v>2.631578947368421E-3</v>
      </c>
    </row>
    <row r="141" spans="2:5" ht="15" customHeight="1">
      <c r="B141" s="97"/>
      <c r="C141" s="40" t="s">
        <v>19</v>
      </c>
      <c r="D141" s="39">
        <v>11</v>
      </c>
      <c r="E141" s="38">
        <v>2.8947368421052631E-2</v>
      </c>
    </row>
    <row r="142" spans="2:5" ht="15" customHeight="1">
      <c r="B142" s="95" t="s">
        <v>94</v>
      </c>
      <c r="C142" s="43" t="s">
        <v>39</v>
      </c>
      <c r="D142" s="42">
        <v>6</v>
      </c>
      <c r="E142" s="41">
        <v>1.5789473684210527E-2</v>
      </c>
    </row>
    <row r="143" spans="2:5" ht="15" customHeight="1">
      <c r="B143" s="96"/>
      <c r="C143" s="43" t="s">
        <v>44</v>
      </c>
      <c r="D143" s="42">
        <v>12</v>
      </c>
      <c r="E143" s="41">
        <v>3.1578947368421054E-2</v>
      </c>
    </row>
    <row r="144" spans="2:5" ht="15" customHeight="1">
      <c r="B144" s="96"/>
      <c r="C144" s="43" t="s">
        <v>37</v>
      </c>
      <c r="D144" s="42">
        <v>1</v>
      </c>
      <c r="E144" s="41">
        <v>2.631578947368421E-3</v>
      </c>
    </row>
    <row r="145" spans="2:5" ht="15" customHeight="1">
      <c r="B145" s="96"/>
      <c r="C145" s="43" t="s">
        <v>34</v>
      </c>
      <c r="D145" s="42">
        <v>1</v>
      </c>
      <c r="E145" s="41">
        <v>2.631578947368421E-3</v>
      </c>
    </row>
    <row r="146" spans="2:5" ht="15" customHeight="1">
      <c r="B146" s="96"/>
      <c r="C146" s="43" t="s">
        <v>42</v>
      </c>
      <c r="D146" s="42">
        <v>1</v>
      </c>
      <c r="E146" s="41">
        <v>2.631578947368421E-3</v>
      </c>
    </row>
    <row r="147" spans="2:5" ht="15" customHeight="1">
      <c r="B147" s="96"/>
      <c r="C147" s="43" t="s">
        <v>28</v>
      </c>
      <c r="D147" s="42">
        <v>1</v>
      </c>
      <c r="E147" s="41">
        <v>2.631578947368421E-3</v>
      </c>
    </row>
    <row r="148" spans="2:5" ht="15" customHeight="1">
      <c r="B148" s="96"/>
      <c r="C148" s="43" t="s">
        <v>40</v>
      </c>
      <c r="D148" s="42">
        <v>1</v>
      </c>
      <c r="E148" s="41">
        <v>2.631578947368421E-3</v>
      </c>
    </row>
    <row r="149" spans="2:5" ht="15" customHeight="1">
      <c r="B149" s="96"/>
      <c r="C149" s="43" t="s">
        <v>35</v>
      </c>
      <c r="D149" s="42">
        <v>1</v>
      </c>
      <c r="E149" s="41">
        <v>2.631578947368421E-3</v>
      </c>
    </row>
    <row r="150" spans="2:5" ht="15" customHeight="1">
      <c r="B150" s="96"/>
      <c r="C150" s="43" t="s">
        <v>144</v>
      </c>
      <c r="D150" s="42">
        <v>1</v>
      </c>
      <c r="E150" s="41">
        <v>2.631578947368421E-3</v>
      </c>
    </row>
    <row r="151" spans="2:5" ht="15" customHeight="1">
      <c r="B151" s="96"/>
      <c r="C151" s="43" t="s">
        <v>38</v>
      </c>
      <c r="D151" s="42">
        <v>1</v>
      </c>
      <c r="E151" s="41">
        <v>2.631578947368421E-3</v>
      </c>
    </row>
    <row r="152" spans="2:5" ht="15" customHeight="1">
      <c r="B152" s="96"/>
      <c r="C152" s="43" t="s">
        <v>43</v>
      </c>
      <c r="D152" s="42">
        <v>3</v>
      </c>
      <c r="E152" s="41">
        <v>7.8947368421052634E-3</v>
      </c>
    </row>
    <row r="153" spans="2:5" ht="15" customHeight="1">
      <c r="B153" s="96"/>
      <c r="C153" s="43" t="s">
        <v>36</v>
      </c>
      <c r="D153" s="42">
        <v>3</v>
      </c>
      <c r="E153" s="41">
        <v>7.8947368421052634E-3</v>
      </c>
    </row>
    <row r="154" spans="2:5" ht="15" customHeight="1">
      <c r="B154" s="97"/>
      <c r="C154" s="40" t="s">
        <v>19</v>
      </c>
      <c r="D154" s="39">
        <v>32</v>
      </c>
      <c r="E154" s="38">
        <v>8.4210526315789472E-2</v>
      </c>
    </row>
    <row r="155" spans="2:5" ht="15" customHeight="1">
      <c r="B155" s="95" t="s">
        <v>161</v>
      </c>
      <c r="C155" s="43" t="s">
        <v>42</v>
      </c>
      <c r="D155" s="42">
        <v>1</v>
      </c>
      <c r="E155" s="41">
        <v>2.631578947368421E-3</v>
      </c>
    </row>
    <row r="156" spans="2:5" ht="15" customHeight="1">
      <c r="B156" s="96"/>
      <c r="C156" s="43" t="s">
        <v>35</v>
      </c>
      <c r="D156" s="42">
        <v>1</v>
      </c>
      <c r="E156" s="41">
        <v>2.631578947368421E-3</v>
      </c>
    </row>
    <row r="157" spans="2:5" ht="15" customHeight="1">
      <c r="B157" s="97"/>
      <c r="C157" s="40" t="s">
        <v>19</v>
      </c>
      <c r="D157" s="39">
        <v>2</v>
      </c>
      <c r="E157" s="38">
        <v>5.263157894736842E-3</v>
      </c>
    </row>
    <row r="158" spans="2:5" ht="15" customHeight="1">
      <c r="B158" s="98" t="s">
        <v>19</v>
      </c>
      <c r="C158" s="99"/>
      <c r="D158" s="68">
        <v>380</v>
      </c>
      <c r="E158" s="69">
        <v>1</v>
      </c>
    </row>
    <row r="160" spans="2:5" ht="15" customHeight="1">
      <c r="B160" s="19" t="s">
        <v>155</v>
      </c>
    </row>
    <row r="161" spans="2:2" ht="15" customHeight="1">
      <c r="B161" s="21" t="s">
        <v>18</v>
      </c>
    </row>
    <row r="162" spans="2:2" ht="15" customHeight="1">
      <c r="B162" s="20" t="s">
        <v>17</v>
      </c>
    </row>
    <row r="163" spans="2:2" ht="15" customHeight="1">
      <c r="B163" s="19" t="s">
        <v>16</v>
      </c>
    </row>
    <row r="164" spans="2:2" ht="15" customHeight="1">
      <c r="B164" s="19" t="s">
        <v>156</v>
      </c>
    </row>
  </sheetData>
  <mergeCells count="21">
    <mergeCell ref="B96:B109"/>
    <mergeCell ref="B110:B129"/>
    <mergeCell ref="B130:B131"/>
    <mergeCell ref="B132:B133"/>
    <mergeCell ref="B134:B141"/>
    <mergeCell ref="B142:B154"/>
    <mergeCell ref="B155:B157"/>
    <mergeCell ref="B158:C158"/>
    <mergeCell ref="B7:E8"/>
    <mergeCell ref="B10:B12"/>
    <mergeCell ref="B13:B15"/>
    <mergeCell ref="B16:B18"/>
    <mergeCell ref="B19:B20"/>
    <mergeCell ref="B21:B23"/>
    <mergeCell ref="B24:B34"/>
    <mergeCell ref="B35:B49"/>
    <mergeCell ref="B50:B54"/>
    <mergeCell ref="B55:B58"/>
    <mergeCell ref="B59:B65"/>
    <mergeCell ref="B66:B90"/>
    <mergeCell ref="B91:B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29"/>
  <sheetViews>
    <sheetView showGridLines="0" topLeftCell="A199" zoomScaleNormal="100" zoomScaleSheetLayoutView="85" workbookViewId="0">
      <selection activeCell="F220" sqref="F22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 thickBot="1">
      <c r="B9" s="45" t="s">
        <v>86</v>
      </c>
      <c r="C9" s="47" t="s">
        <v>112</v>
      </c>
      <c r="D9" s="46" t="s">
        <v>46</v>
      </c>
      <c r="E9" s="45" t="s">
        <v>45</v>
      </c>
    </row>
    <row r="10" spans="1:5" ht="15" customHeight="1" thickBot="1">
      <c r="B10" s="95" t="s">
        <v>51</v>
      </c>
      <c r="C10" s="43" t="s">
        <v>101</v>
      </c>
      <c r="D10" s="77">
        <v>1</v>
      </c>
      <c r="E10" s="78">
        <v>2.6315789473679999E-3</v>
      </c>
    </row>
    <row r="11" spans="1:5" ht="15" customHeight="1" thickBot="1">
      <c r="B11" s="96"/>
      <c r="C11" s="43" t="s">
        <v>95</v>
      </c>
      <c r="D11" s="77">
        <v>1</v>
      </c>
      <c r="E11" s="78">
        <v>2.6315789473679999E-3</v>
      </c>
    </row>
    <row r="12" spans="1:5" ht="15" customHeight="1" thickBot="1">
      <c r="B12" s="97"/>
      <c r="C12" s="40" t="s">
        <v>19</v>
      </c>
      <c r="D12" s="79">
        <v>2</v>
      </c>
      <c r="E12" s="80">
        <v>5.2631578947369998E-3</v>
      </c>
    </row>
    <row r="13" spans="1:5" ht="15" customHeight="1" thickBot="1">
      <c r="B13" s="95" t="s">
        <v>81</v>
      </c>
      <c r="C13" s="43" t="s">
        <v>104</v>
      </c>
      <c r="D13" s="77">
        <v>2</v>
      </c>
      <c r="E13" s="78">
        <v>5.2631578947369998E-3</v>
      </c>
    </row>
    <row r="14" spans="1:5" ht="15" customHeight="1" thickBot="1">
      <c r="B14" s="96"/>
      <c r="C14" s="43" t="s">
        <v>100</v>
      </c>
      <c r="D14" s="77">
        <v>5</v>
      </c>
      <c r="E14" s="78">
        <v>1.3157894736842E-2</v>
      </c>
    </row>
    <row r="15" spans="1:5" ht="15" customHeight="1" thickBot="1">
      <c r="B15" s="96"/>
      <c r="C15" s="43" t="s">
        <v>98</v>
      </c>
      <c r="D15" s="77">
        <v>3</v>
      </c>
      <c r="E15" s="78">
        <v>7.8947368421049997E-3</v>
      </c>
    </row>
    <row r="16" spans="1:5" ht="15" customHeight="1" thickBot="1">
      <c r="B16" s="96"/>
      <c r="C16" s="43" t="s">
        <v>97</v>
      </c>
      <c r="D16" s="77">
        <v>2</v>
      </c>
      <c r="E16" s="78">
        <v>5.2631578947369998E-3</v>
      </c>
    </row>
    <row r="17" spans="2:5" ht="15" customHeight="1" thickBot="1">
      <c r="B17" s="96"/>
      <c r="C17" s="43" t="s">
        <v>95</v>
      </c>
      <c r="D17" s="77">
        <v>1</v>
      </c>
      <c r="E17" s="78">
        <v>2.6315789473679999E-3</v>
      </c>
    </row>
    <row r="18" spans="2:5" ht="15" customHeight="1" thickBot="1">
      <c r="B18" s="96"/>
      <c r="C18" s="43" t="s">
        <v>94</v>
      </c>
      <c r="D18" s="77">
        <v>1</v>
      </c>
      <c r="E18" s="78">
        <v>2.6315789473679999E-3</v>
      </c>
    </row>
    <row r="19" spans="2:5" ht="15" customHeight="1" thickBot="1">
      <c r="B19" s="97"/>
      <c r="C19" s="40" t="s">
        <v>19</v>
      </c>
      <c r="D19" s="79">
        <v>14</v>
      </c>
      <c r="E19" s="80">
        <v>3.6842105263158002E-2</v>
      </c>
    </row>
    <row r="20" spans="2:5" ht="15" customHeight="1" thickBot="1">
      <c r="B20" s="95" t="s">
        <v>71</v>
      </c>
      <c r="C20" s="43" t="s">
        <v>94</v>
      </c>
      <c r="D20" s="77">
        <v>2</v>
      </c>
      <c r="E20" s="78">
        <v>5.2631578947369998E-3</v>
      </c>
    </row>
    <row r="21" spans="2:5" ht="15" customHeight="1" thickBot="1">
      <c r="B21" s="97"/>
      <c r="C21" s="40" t="s">
        <v>19</v>
      </c>
      <c r="D21" s="79">
        <v>2</v>
      </c>
      <c r="E21" s="80">
        <v>5.2631578947369998E-3</v>
      </c>
    </row>
    <row r="22" spans="2:5" ht="15" customHeight="1" thickBot="1">
      <c r="B22" s="95" t="s">
        <v>50</v>
      </c>
      <c r="C22" s="43" t="s">
        <v>104</v>
      </c>
      <c r="D22" s="77">
        <v>2</v>
      </c>
      <c r="E22" s="78">
        <v>5.2631578947369998E-3</v>
      </c>
    </row>
    <row r="23" spans="2:5" ht="15" customHeight="1" thickBot="1">
      <c r="B23" s="96"/>
      <c r="C23" s="43" t="s">
        <v>101</v>
      </c>
      <c r="D23" s="77">
        <v>1</v>
      </c>
      <c r="E23" s="78">
        <v>2.6315789473679999E-3</v>
      </c>
    </row>
    <row r="24" spans="2:5" ht="15" customHeight="1" thickBot="1">
      <c r="B24" s="96"/>
      <c r="C24" s="43" t="s">
        <v>100</v>
      </c>
      <c r="D24" s="77">
        <v>2</v>
      </c>
      <c r="E24" s="78">
        <v>5.2631578947369998E-3</v>
      </c>
    </row>
    <row r="25" spans="2:5" ht="15" customHeight="1" thickBot="1">
      <c r="B25" s="96"/>
      <c r="C25" s="43" t="s">
        <v>97</v>
      </c>
      <c r="D25" s="77">
        <v>1</v>
      </c>
      <c r="E25" s="78">
        <v>2.6315789473679999E-3</v>
      </c>
    </row>
    <row r="26" spans="2:5" ht="15" customHeight="1" thickBot="1">
      <c r="B26" s="97"/>
      <c r="C26" s="40" t="s">
        <v>19</v>
      </c>
      <c r="D26" s="79">
        <v>6</v>
      </c>
      <c r="E26" s="80">
        <v>1.5789473684210999E-2</v>
      </c>
    </row>
    <row r="27" spans="2:5" ht="15" customHeight="1" thickBot="1">
      <c r="B27" s="95" t="s">
        <v>84</v>
      </c>
      <c r="C27" s="43" t="s">
        <v>105</v>
      </c>
      <c r="D27" s="77">
        <v>1</v>
      </c>
      <c r="E27" s="78">
        <v>2.6315789473679999E-3</v>
      </c>
    </row>
    <row r="28" spans="2:5" ht="15" customHeight="1" thickBot="1">
      <c r="B28" s="96"/>
      <c r="C28" s="43" t="s">
        <v>104</v>
      </c>
      <c r="D28" s="77">
        <v>3</v>
      </c>
      <c r="E28" s="78">
        <v>7.8947368421049997E-3</v>
      </c>
    </row>
    <row r="29" spans="2:5" ht="15" customHeight="1" thickBot="1">
      <c r="B29" s="96"/>
      <c r="C29" s="43" t="s">
        <v>101</v>
      </c>
      <c r="D29" s="77">
        <v>1</v>
      </c>
      <c r="E29" s="78">
        <v>2.6315789473679999E-3</v>
      </c>
    </row>
    <row r="30" spans="2:5" ht="15" customHeight="1" thickBot="1">
      <c r="B30" s="96"/>
      <c r="C30" s="43" t="s">
        <v>100</v>
      </c>
      <c r="D30" s="77">
        <v>6</v>
      </c>
      <c r="E30" s="78">
        <v>1.5789473684210999E-2</v>
      </c>
    </row>
    <row r="31" spans="2:5" ht="15" customHeight="1" thickBot="1">
      <c r="B31" s="96"/>
      <c r="C31" s="43" t="s">
        <v>98</v>
      </c>
      <c r="D31" s="77">
        <v>1</v>
      </c>
      <c r="E31" s="78">
        <v>2.6315789473679999E-3</v>
      </c>
    </row>
    <row r="32" spans="2:5" ht="15" customHeight="1" thickBot="1">
      <c r="B32" s="96"/>
      <c r="C32" s="43" t="s">
        <v>97</v>
      </c>
      <c r="D32" s="77">
        <v>3</v>
      </c>
      <c r="E32" s="78">
        <v>7.8947368421049997E-3</v>
      </c>
    </row>
    <row r="33" spans="2:5" ht="15" customHeight="1" thickBot="1">
      <c r="B33" s="96"/>
      <c r="C33" s="43" t="s">
        <v>95</v>
      </c>
      <c r="D33" s="77">
        <v>2</v>
      </c>
      <c r="E33" s="78">
        <v>5.2631578947369998E-3</v>
      </c>
    </row>
    <row r="34" spans="2:5" ht="15" customHeight="1" thickBot="1">
      <c r="B34" s="96"/>
      <c r="C34" s="43" t="s">
        <v>94</v>
      </c>
      <c r="D34" s="77">
        <v>1</v>
      </c>
      <c r="E34" s="78">
        <v>2.6315789473679999E-3</v>
      </c>
    </row>
    <row r="35" spans="2:5" ht="15" customHeight="1" thickBot="1">
      <c r="B35" s="96"/>
      <c r="C35" s="43" t="s">
        <v>161</v>
      </c>
      <c r="D35" s="77">
        <v>1</v>
      </c>
      <c r="E35" s="78">
        <v>2.6315789473679999E-3</v>
      </c>
    </row>
    <row r="36" spans="2:5" ht="15" customHeight="1" thickBot="1">
      <c r="B36" s="97"/>
      <c r="C36" s="40" t="s">
        <v>19</v>
      </c>
      <c r="D36" s="79">
        <v>19</v>
      </c>
      <c r="E36" s="80">
        <v>0.05</v>
      </c>
    </row>
    <row r="37" spans="2:5" ht="15" customHeight="1" thickBot="1">
      <c r="B37" s="95" t="s">
        <v>82</v>
      </c>
      <c r="C37" s="43" t="s">
        <v>105</v>
      </c>
      <c r="D37" s="77">
        <v>4</v>
      </c>
      <c r="E37" s="78">
        <v>1.0526315789474E-2</v>
      </c>
    </row>
    <row r="38" spans="2:5" ht="15" customHeight="1" thickBot="1">
      <c r="B38" s="96"/>
      <c r="C38" s="43" t="s">
        <v>104</v>
      </c>
      <c r="D38" s="77">
        <v>1</v>
      </c>
      <c r="E38" s="78">
        <v>2.6315789473679999E-3</v>
      </c>
    </row>
    <row r="39" spans="2:5" ht="15" customHeight="1" thickBot="1">
      <c r="B39" s="96"/>
      <c r="C39" s="43" t="s">
        <v>103</v>
      </c>
      <c r="D39" s="77">
        <v>1</v>
      </c>
      <c r="E39" s="78">
        <v>2.6315789473679999E-3</v>
      </c>
    </row>
    <row r="40" spans="2:5" ht="15" customHeight="1" thickBot="1">
      <c r="B40" s="96"/>
      <c r="C40" s="43" t="s">
        <v>100</v>
      </c>
      <c r="D40" s="77">
        <v>7</v>
      </c>
      <c r="E40" s="78">
        <v>1.8421052631579001E-2</v>
      </c>
    </row>
    <row r="41" spans="2:5" ht="15" customHeight="1" thickBot="1">
      <c r="B41" s="96"/>
      <c r="C41" s="43" t="s">
        <v>97</v>
      </c>
      <c r="D41" s="77">
        <v>4</v>
      </c>
      <c r="E41" s="78">
        <v>1.0526315789474E-2</v>
      </c>
    </row>
    <row r="42" spans="2:5" ht="15" customHeight="1" thickBot="1">
      <c r="B42" s="96"/>
      <c r="C42" s="43" t="s">
        <v>95</v>
      </c>
      <c r="D42" s="77">
        <v>1</v>
      </c>
      <c r="E42" s="78">
        <v>2.6315789473679999E-3</v>
      </c>
    </row>
    <row r="43" spans="2:5" ht="15" customHeight="1" thickBot="1">
      <c r="B43" s="97"/>
      <c r="C43" s="40" t="s">
        <v>19</v>
      </c>
      <c r="D43" s="79">
        <v>18</v>
      </c>
      <c r="E43" s="80">
        <v>4.7368421052631997E-2</v>
      </c>
    </row>
    <row r="44" spans="2:5" ht="15" customHeight="1" thickBot="1">
      <c r="B44" s="95" t="s">
        <v>66</v>
      </c>
      <c r="C44" s="43" t="s">
        <v>101</v>
      </c>
      <c r="D44" s="77">
        <v>1</v>
      </c>
      <c r="E44" s="78">
        <v>2.6315789473679999E-3</v>
      </c>
    </row>
    <row r="45" spans="2:5" ht="15" customHeight="1" thickBot="1">
      <c r="B45" s="96"/>
      <c r="C45" s="43" t="s">
        <v>100</v>
      </c>
      <c r="D45" s="77">
        <v>1</v>
      </c>
      <c r="E45" s="78">
        <v>2.6315789473679999E-3</v>
      </c>
    </row>
    <row r="46" spans="2:5" ht="15" customHeight="1" thickBot="1">
      <c r="B46" s="96"/>
      <c r="C46" s="43" t="s">
        <v>99</v>
      </c>
      <c r="D46" s="77">
        <v>1</v>
      </c>
      <c r="E46" s="78">
        <v>2.6315789473679999E-3</v>
      </c>
    </row>
    <row r="47" spans="2:5" ht="15" customHeight="1" thickBot="1">
      <c r="B47" s="96"/>
      <c r="C47" s="43" t="s">
        <v>98</v>
      </c>
      <c r="D47" s="77">
        <v>1</v>
      </c>
      <c r="E47" s="78">
        <v>2.6315789473679999E-3</v>
      </c>
    </row>
    <row r="48" spans="2:5" ht="15" customHeight="1" thickBot="1">
      <c r="B48" s="96"/>
      <c r="C48" s="43" t="s">
        <v>94</v>
      </c>
      <c r="D48" s="77">
        <v>1</v>
      </c>
      <c r="E48" s="78">
        <v>2.6315789473679999E-3</v>
      </c>
    </row>
    <row r="49" spans="2:5" ht="15" customHeight="1" thickBot="1">
      <c r="B49" s="97"/>
      <c r="C49" s="40" t="s">
        <v>19</v>
      </c>
      <c r="D49" s="79">
        <v>5</v>
      </c>
      <c r="E49" s="80">
        <v>1.3157894736842E-2</v>
      </c>
    </row>
    <row r="50" spans="2:5" ht="15" customHeight="1" thickBot="1">
      <c r="B50" s="95" t="s">
        <v>54</v>
      </c>
      <c r="C50" s="43" t="s">
        <v>103</v>
      </c>
      <c r="D50" s="77">
        <v>1</v>
      </c>
      <c r="E50" s="78">
        <v>2.6315789473679999E-3</v>
      </c>
    </row>
    <row r="51" spans="2:5" ht="15" customHeight="1" thickBot="1">
      <c r="B51" s="96"/>
      <c r="C51" s="43" t="s">
        <v>100</v>
      </c>
      <c r="D51" s="77">
        <v>1</v>
      </c>
      <c r="E51" s="78">
        <v>2.6315789473679999E-3</v>
      </c>
    </row>
    <row r="52" spans="2:5" ht="15" customHeight="1" thickBot="1">
      <c r="B52" s="96"/>
      <c r="C52" s="43" t="s">
        <v>97</v>
      </c>
      <c r="D52" s="77">
        <v>1</v>
      </c>
      <c r="E52" s="78">
        <v>2.6315789473679999E-3</v>
      </c>
    </row>
    <row r="53" spans="2:5" ht="15" customHeight="1" thickBot="1">
      <c r="B53" s="97"/>
      <c r="C53" s="40" t="s">
        <v>19</v>
      </c>
      <c r="D53" s="79">
        <v>3</v>
      </c>
      <c r="E53" s="80">
        <v>7.8947368421049997E-3</v>
      </c>
    </row>
    <row r="54" spans="2:5" ht="15" customHeight="1" thickBot="1">
      <c r="B54" s="95" t="s">
        <v>52</v>
      </c>
      <c r="C54" s="43" t="s">
        <v>97</v>
      </c>
      <c r="D54" s="77">
        <v>1</v>
      </c>
      <c r="E54" s="78">
        <v>2.6315789473679999E-3</v>
      </c>
    </row>
    <row r="55" spans="2:5" ht="15" customHeight="1" thickBot="1">
      <c r="B55" s="97"/>
      <c r="C55" s="40" t="s">
        <v>19</v>
      </c>
      <c r="D55" s="79">
        <v>1</v>
      </c>
      <c r="E55" s="80">
        <v>2.6315789473679999E-3</v>
      </c>
    </row>
    <row r="56" spans="2:5" ht="15" customHeight="1" thickBot="1">
      <c r="B56" s="95" t="s">
        <v>64</v>
      </c>
      <c r="C56" s="43" t="s">
        <v>105</v>
      </c>
      <c r="D56" s="77">
        <v>1</v>
      </c>
      <c r="E56" s="78">
        <v>2.6315789473679999E-3</v>
      </c>
    </row>
    <row r="57" spans="2:5" ht="15" customHeight="1" thickBot="1">
      <c r="B57" s="96"/>
      <c r="C57" s="43" t="s">
        <v>104</v>
      </c>
      <c r="D57" s="77">
        <v>1</v>
      </c>
      <c r="E57" s="78">
        <v>2.6315789473679999E-3</v>
      </c>
    </row>
    <row r="58" spans="2:5" ht="15" customHeight="1" thickBot="1">
      <c r="B58" s="96"/>
      <c r="C58" s="43" t="s">
        <v>100</v>
      </c>
      <c r="D58" s="77">
        <v>3</v>
      </c>
      <c r="E58" s="78">
        <v>7.8947368421049997E-3</v>
      </c>
    </row>
    <row r="59" spans="2:5" ht="15" customHeight="1" thickBot="1">
      <c r="B59" s="96"/>
      <c r="C59" s="43" t="s">
        <v>97</v>
      </c>
      <c r="D59" s="77">
        <v>2</v>
      </c>
      <c r="E59" s="78">
        <v>5.2631578947369998E-3</v>
      </c>
    </row>
    <row r="60" spans="2:5" ht="15" customHeight="1" thickBot="1">
      <c r="B60" s="97"/>
      <c r="C60" s="40" t="s">
        <v>19</v>
      </c>
      <c r="D60" s="79">
        <v>7</v>
      </c>
      <c r="E60" s="80">
        <v>1.8421052631579001E-2</v>
      </c>
    </row>
    <row r="61" spans="2:5" ht="15" customHeight="1" thickBot="1">
      <c r="B61" s="95" t="s">
        <v>79</v>
      </c>
      <c r="C61" s="43" t="s">
        <v>105</v>
      </c>
      <c r="D61" s="77">
        <v>1</v>
      </c>
      <c r="E61" s="78">
        <v>2.6315789473679999E-3</v>
      </c>
    </row>
    <row r="62" spans="2:5" ht="15" customHeight="1" thickBot="1">
      <c r="B62" s="96"/>
      <c r="C62" s="43" t="s">
        <v>104</v>
      </c>
      <c r="D62" s="77">
        <v>2</v>
      </c>
      <c r="E62" s="78">
        <v>5.2631578947369998E-3</v>
      </c>
    </row>
    <row r="63" spans="2:5" ht="15" customHeight="1" thickBot="1">
      <c r="B63" s="96"/>
      <c r="C63" s="43" t="s">
        <v>103</v>
      </c>
      <c r="D63" s="77">
        <v>2</v>
      </c>
      <c r="E63" s="78">
        <v>5.2631578947369998E-3</v>
      </c>
    </row>
    <row r="64" spans="2:5" ht="15" customHeight="1" thickBot="1">
      <c r="B64" s="96"/>
      <c r="C64" s="43" t="s">
        <v>102</v>
      </c>
      <c r="D64" s="77">
        <v>2</v>
      </c>
      <c r="E64" s="78">
        <v>5.2631578947369998E-3</v>
      </c>
    </row>
    <row r="65" spans="2:5" ht="15" customHeight="1" thickBot="1">
      <c r="B65" s="96"/>
      <c r="C65" s="43" t="s">
        <v>101</v>
      </c>
      <c r="D65" s="77">
        <v>3</v>
      </c>
      <c r="E65" s="78">
        <v>7.8947368421049997E-3</v>
      </c>
    </row>
    <row r="66" spans="2:5" ht="15" customHeight="1" thickBot="1">
      <c r="B66" s="96"/>
      <c r="C66" s="43" t="s">
        <v>100</v>
      </c>
      <c r="D66" s="77">
        <v>10</v>
      </c>
      <c r="E66" s="78">
        <v>2.6315789473684001E-2</v>
      </c>
    </row>
    <row r="67" spans="2:5" ht="15" customHeight="1" thickBot="1">
      <c r="B67" s="96"/>
      <c r="C67" s="43" t="s">
        <v>99</v>
      </c>
      <c r="D67" s="77">
        <v>1</v>
      </c>
      <c r="E67" s="78">
        <v>2.6315789473679999E-3</v>
      </c>
    </row>
    <row r="68" spans="2:5" ht="15" customHeight="1" thickBot="1">
      <c r="B68" s="96"/>
      <c r="C68" s="43" t="s">
        <v>98</v>
      </c>
      <c r="D68" s="77">
        <v>2</v>
      </c>
      <c r="E68" s="78">
        <v>5.2631578947369998E-3</v>
      </c>
    </row>
    <row r="69" spans="2:5" ht="15" customHeight="1" thickBot="1">
      <c r="B69" s="96"/>
      <c r="C69" s="43" t="s">
        <v>97</v>
      </c>
      <c r="D69" s="77">
        <v>8</v>
      </c>
      <c r="E69" s="78">
        <v>2.1052631578947E-2</v>
      </c>
    </row>
    <row r="70" spans="2:5" ht="15" customHeight="1" thickBot="1">
      <c r="B70" s="96"/>
      <c r="C70" s="43" t="s">
        <v>95</v>
      </c>
      <c r="D70" s="77">
        <v>1</v>
      </c>
      <c r="E70" s="78">
        <v>2.6315789473679999E-3</v>
      </c>
    </row>
    <row r="71" spans="2:5" ht="15" customHeight="1" thickBot="1">
      <c r="B71" s="96"/>
      <c r="C71" s="43" t="s">
        <v>94</v>
      </c>
      <c r="D71" s="77">
        <v>2</v>
      </c>
      <c r="E71" s="78">
        <v>5.2631578947369998E-3</v>
      </c>
    </row>
    <row r="72" spans="2:5" ht="15" customHeight="1" thickBot="1">
      <c r="B72" s="97"/>
      <c r="C72" s="40" t="s">
        <v>19</v>
      </c>
      <c r="D72" s="79">
        <v>34</v>
      </c>
      <c r="E72" s="80">
        <v>8.9473684210525997E-2</v>
      </c>
    </row>
    <row r="73" spans="2:5" ht="15" customHeight="1" thickBot="1">
      <c r="B73" s="95" t="s">
        <v>83</v>
      </c>
      <c r="C73" s="81" t="s">
        <v>173</v>
      </c>
      <c r="D73" s="77">
        <v>1</v>
      </c>
      <c r="E73" s="78">
        <v>2.6315789473679999E-3</v>
      </c>
    </row>
    <row r="74" spans="2:5" ht="15" customHeight="1" thickBot="1">
      <c r="B74" s="96"/>
      <c r="C74" s="81" t="s">
        <v>174</v>
      </c>
      <c r="D74" s="77">
        <v>1</v>
      </c>
      <c r="E74" s="78">
        <v>2.6315789473679999E-3</v>
      </c>
    </row>
    <row r="75" spans="2:5" ht="15" customHeight="1" thickBot="1">
      <c r="B75" s="96"/>
      <c r="C75" s="81" t="s">
        <v>175</v>
      </c>
      <c r="D75" s="77">
        <v>1</v>
      </c>
      <c r="E75" s="78">
        <v>2.6315789473679999E-3</v>
      </c>
    </row>
    <row r="76" spans="2:5" ht="15" customHeight="1" thickBot="1">
      <c r="B76" s="96"/>
      <c r="C76" s="81" t="s">
        <v>176</v>
      </c>
      <c r="D76" s="77">
        <v>2</v>
      </c>
      <c r="E76" s="78">
        <v>5.2631578947369998E-3</v>
      </c>
    </row>
    <row r="77" spans="2:5" ht="15" customHeight="1" thickBot="1">
      <c r="B77" s="96"/>
      <c r="C77" s="81" t="s">
        <v>177</v>
      </c>
      <c r="D77" s="77">
        <v>2</v>
      </c>
      <c r="E77" s="78">
        <v>5.2631578947369998E-3</v>
      </c>
    </row>
    <row r="78" spans="2:5" ht="15" customHeight="1" thickBot="1">
      <c r="B78" s="96"/>
      <c r="C78" s="81" t="s">
        <v>178</v>
      </c>
      <c r="D78" s="77">
        <v>1</v>
      </c>
      <c r="E78" s="78">
        <v>2.6315789473679999E-3</v>
      </c>
    </row>
    <row r="79" spans="2:5" ht="15" customHeight="1" thickBot="1">
      <c r="B79" s="96"/>
      <c r="C79" s="82" t="s">
        <v>179</v>
      </c>
      <c r="D79" s="77">
        <v>1</v>
      </c>
      <c r="E79" s="78">
        <v>2.6315789473679999E-3</v>
      </c>
    </row>
    <row r="80" spans="2:5" ht="15" customHeight="1" thickBot="1">
      <c r="B80" s="97"/>
      <c r="C80" s="40" t="s">
        <v>19</v>
      </c>
      <c r="D80" s="79">
        <v>9</v>
      </c>
      <c r="E80" s="80">
        <v>2.3684210526315998E-2</v>
      </c>
    </row>
    <row r="81" spans="2:5" ht="15" customHeight="1" thickBot="1">
      <c r="B81" s="95" t="s">
        <v>115</v>
      </c>
      <c r="C81" s="43" t="s">
        <v>100</v>
      </c>
      <c r="D81" s="77">
        <v>1</v>
      </c>
      <c r="E81" s="78">
        <v>2.6315789473679999E-3</v>
      </c>
    </row>
    <row r="82" spans="2:5" ht="15" customHeight="1" thickBot="1">
      <c r="B82" s="97"/>
      <c r="C82" s="40" t="s">
        <v>19</v>
      </c>
      <c r="D82" s="79">
        <v>1</v>
      </c>
      <c r="E82" s="80">
        <v>2.6315789473679999E-3</v>
      </c>
    </row>
    <row r="83" spans="2:5" ht="15" customHeight="1" thickBot="1">
      <c r="B83" s="95" t="s">
        <v>69</v>
      </c>
      <c r="C83" s="43" t="s">
        <v>110</v>
      </c>
      <c r="D83" s="77">
        <v>1</v>
      </c>
      <c r="E83" s="78">
        <v>2.6315789473679999E-3</v>
      </c>
    </row>
    <row r="84" spans="2:5" ht="15" customHeight="1" thickBot="1">
      <c r="B84" s="96"/>
      <c r="C84" s="43" t="s">
        <v>105</v>
      </c>
      <c r="D84" s="77">
        <v>1</v>
      </c>
      <c r="E84" s="78">
        <v>2.6315789473679999E-3</v>
      </c>
    </row>
    <row r="85" spans="2:5" ht="15" customHeight="1" thickBot="1">
      <c r="B85" s="96"/>
      <c r="C85" s="43" t="s">
        <v>103</v>
      </c>
      <c r="D85" s="77">
        <v>1</v>
      </c>
      <c r="E85" s="78">
        <v>2.6315789473679999E-3</v>
      </c>
    </row>
    <row r="86" spans="2:5" ht="15" customHeight="1" thickBot="1">
      <c r="B86" s="96"/>
      <c r="C86" s="43" t="s">
        <v>102</v>
      </c>
      <c r="D86" s="77">
        <v>1</v>
      </c>
      <c r="E86" s="78">
        <v>2.6315789473679999E-3</v>
      </c>
    </row>
    <row r="87" spans="2:5" ht="15" customHeight="1" thickBot="1">
      <c r="B87" s="96"/>
      <c r="C87" s="43" t="s">
        <v>100</v>
      </c>
      <c r="D87" s="77">
        <v>4</v>
      </c>
      <c r="E87" s="78">
        <v>1.0526315789474E-2</v>
      </c>
    </row>
    <row r="88" spans="2:5" ht="15" customHeight="1" thickBot="1">
      <c r="B88" s="96"/>
      <c r="C88" s="43" t="s">
        <v>98</v>
      </c>
      <c r="D88" s="77">
        <v>1</v>
      </c>
      <c r="E88" s="78">
        <v>2.6315789473679999E-3</v>
      </c>
    </row>
    <row r="89" spans="2:5" ht="15" customHeight="1" thickBot="1">
      <c r="B89" s="96"/>
      <c r="C89" s="43" t="s">
        <v>97</v>
      </c>
      <c r="D89" s="77">
        <v>8</v>
      </c>
      <c r="E89" s="78">
        <v>2.1052631578947E-2</v>
      </c>
    </row>
    <row r="90" spans="2:5" ht="15" customHeight="1" thickBot="1">
      <c r="B90" s="96"/>
      <c r="C90" s="43" t="s">
        <v>94</v>
      </c>
      <c r="D90" s="77">
        <v>1</v>
      </c>
      <c r="E90" s="78">
        <v>2.6315789473679999E-3</v>
      </c>
    </row>
    <row r="91" spans="2:5" ht="15" customHeight="1" thickBot="1">
      <c r="B91" s="97"/>
      <c r="C91" s="40" t="s">
        <v>19</v>
      </c>
      <c r="D91" s="79">
        <v>18</v>
      </c>
      <c r="E91" s="80">
        <v>4.7368421052631997E-2</v>
      </c>
    </row>
    <row r="92" spans="2:5" ht="15" customHeight="1" thickBot="1">
      <c r="B92" s="95" t="s">
        <v>73</v>
      </c>
      <c r="C92" s="43" t="s">
        <v>108</v>
      </c>
      <c r="D92" s="77">
        <v>1</v>
      </c>
      <c r="E92" s="78">
        <v>2.6315789473679999E-3</v>
      </c>
    </row>
    <row r="93" spans="2:5" ht="15" customHeight="1" thickBot="1">
      <c r="B93" s="96"/>
      <c r="C93" s="43" t="s">
        <v>99</v>
      </c>
      <c r="D93" s="77">
        <v>1</v>
      </c>
      <c r="E93" s="78">
        <v>2.6315789473679999E-3</v>
      </c>
    </row>
    <row r="94" spans="2:5" ht="15" customHeight="1" thickBot="1">
      <c r="B94" s="96"/>
      <c r="C94" s="43" t="s">
        <v>98</v>
      </c>
      <c r="D94" s="77">
        <v>1</v>
      </c>
      <c r="E94" s="78">
        <v>2.6315789473679999E-3</v>
      </c>
    </row>
    <row r="95" spans="2:5" ht="15" customHeight="1" thickBot="1">
      <c r="B95" s="96"/>
      <c r="C95" s="43" t="s">
        <v>94</v>
      </c>
      <c r="D95" s="77">
        <v>1</v>
      </c>
      <c r="E95" s="78">
        <v>2.6315789473679999E-3</v>
      </c>
    </row>
    <row r="96" spans="2:5" ht="15" customHeight="1">
      <c r="B96" s="97"/>
      <c r="C96" s="40" t="s">
        <v>19</v>
      </c>
      <c r="D96" s="79">
        <v>4</v>
      </c>
      <c r="E96" s="80">
        <v>1.0526315789474E-2</v>
      </c>
    </row>
    <row r="97" spans="2:5" ht="15" customHeight="1">
      <c r="B97" s="95" t="s">
        <v>114</v>
      </c>
      <c r="C97" s="43" t="s">
        <v>104</v>
      </c>
      <c r="D97" s="42">
        <v>7</v>
      </c>
      <c r="E97" s="41">
        <v>1.8518518518518517E-2</v>
      </c>
    </row>
    <row r="98" spans="2:5" ht="15" customHeight="1">
      <c r="B98" s="96"/>
      <c r="C98" s="43" t="s">
        <v>102</v>
      </c>
      <c r="D98" s="42">
        <v>1</v>
      </c>
      <c r="E98" s="41">
        <v>2.6455026455026454E-3</v>
      </c>
    </row>
    <row r="99" spans="2:5" ht="15" customHeight="1">
      <c r="B99" s="96"/>
      <c r="C99" s="43" t="s">
        <v>101</v>
      </c>
      <c r="D99" s="42">
        <v>2</v>
      </c>
      <c r="E99" s="41">
        <v>5.2910052910052907E-3</v>
      </c>
    </row>
    <row r="100" spans="2:5" ht="15" customHeight="1">
      <c r="B100" s="96"/>
      <c r="C100" s="43" t="s">
        <v>100</v>
      </c>
      <c r="D100" s="42">
        <v>8</v>
      </c>
      <c r="E100" s="41">
        <v>2.1164021164021163E-2</v>
      </c>
    </row>
    <row r="101" spans="2:5" ht="15" customHeight="1">
      <c r="B101" s="96"/>
      <c r="C101" s="43" t="s">
        <v>98</v>
      </c>
      <c r="D101" s="42">
        <v>4</v>
      </c>
      <c r="E101" s="41">
        <v>1.0582010582010581E-2</v>
      </c>
    </row>
    <row r="102" spans="2:5" ht="15" customHeight="1">
      <c r="B102" s="96"/>
      <c r="C102" s="43" t="s">
        <v>97</v>
      </c>
      <c r="D102" s="42">
        <v>12</v>
      </c>
      <c r="E102" s="41">
        <v>3.1746031746031744E-2</v>
      </c>
    </row>
    <row r="103" spans="2:5" ht="15" customHeight="1">
      <c r="B103" s="96"/>
      <c r="C103" s="43" t="s">
        <v>95</v>
      </c>
      <c r="D103" s="42">
        <v>2</v>
      </c>
      <c r="E103" s="41">
        <v>5.2910052910052907E-3</v>
      </c>
    </row>
    <row r="104" spans="2:5" ht="15" customHeight="1">
      <c r="B104" s="96"/>
      <c r="C104" s="43" t="s">
        <v>94</v>
      </c>
      <c r="D104" s="42">
        <v>4</v>
      </c>
      <c r="E104" s="41">
        <v>1.0582010582010581E-2</v>
      </c>
    </row>
    <row r="105" spans="2:5" ht="15" customHeight="1">
      <c r="B105" s="97"/>
      <c r="C105" s="40" t="s">
        <v>19</v>
      </c>
      <c r="D105" s="39">
        <v>40</v>
      </c>
      <c r="E105" s="38">
        <v>0.10582010582010581</v>
      </c>
    </row>
    <row r="106" spans="2:5" ht="15" customHeight="1">
      <c r="B106" s="95" t="s">
        <v>61</v>
      </c>
      <c r="C106" s="43" t="s">
        <v>100</v>
      </c>
      <c r="D106" s="42">
        <v>2</v>
      </c>
      <c r="E106" s="41">
        <v>5.2910052910052907E-3</v>
      </c>
    </row>
    <row r="107" spans="2:5" ht="15" customHeight="1">
      <c r="B107" s="96"/>
      <c r="C107" s="43" t="s">
        <v>97</v>
      </c>
      <c r="D107" s="42">
        <v>1</v>
      </c>
      <c r="E107" s="41">
        <v>2.6455026455026454E-3</v>
      </c>
    </row>
    <row r="108" spans="2:5" ht="15" customHeight="1">
      <c r="B108" s="97"/>
      <c r="C108" s="40" t="s">
        <v>19</v>
      </c>
      <c r="D108" s="39">
        <v>3</v>
      </c>
      <c r="E108" s="38">
        <v>7.9365079365079361E-3</v>
      </c>
    </row>
    <row r="109" spans="2:5" ht="15" customHeight="1">
      <c r="B109" s="95" t="s">
        <v>60</v>
      </c>
      <c r="C109" s="43" t="s">
        <v>97</v>
      </c>
      <c r="D109" s="42">
        <v>1</v>
      </c>
      <c r="E109" s="41">
        <v>2.6455026455026454E-3</v>
      </c>
    </row>
    <row r="110" spans="2:5" ht="15" customHeight="1">
      <c r="B110" s="97"/>
      <c r="C110" s="40" t="s">
        <v>19</v>
      </c>
      <c r="D110" s="39">
        <v>1</v>
      </c>
      <c r="E110" s="38">
        <v>2.6455026455026454E-3</v>
      </c>
    </row>
    <row r="111" spans="2:5" ht="15" customHeight="1">
      <c r="B111" s="95" t="s">
        <v>53</v>
      </c>
      <c r="C111" s="43" t="s">
        <v>105</v>
      </c>
      <c r="D111" s="42">
        <v>1</v>
      </c>
      <c r="E111" s="41">
        <v>2.6455026455026454E-3</v>
      </c>
    </row>
    <row r="112" spans="2:5" ht="15" customHeight="1">
      <c r="B112" s="96"/>
      <c r="C112" s="43" t="s">
        <v>100</v>
      </c>
      <c r="D112" s="42">
        <v>1</v>
      </c>
      <c r="E112" s="41">
        <v>2.6455026455026454E-3</v>
      </c>
    </row>
    <row r="113" spans="2:5" ht="15" customHeight="1">
      <c r="B113" s="97"/>
      <c r="C113" s="40" t="s">
        <v>19</v>
      </c>
      <c r="D113" s="39">
        <v>2</v>
      </c>
      <c r="E113" s="38">
        <v>5.2910052910052907E-3</v>
      </c>
    </row>
    <row r="114" spans="2:5" ht="15" customHeight="1">
      <c r="B114" s="95" t="s">
        <v>80</v>
      </c>
      <c r="C114" s="43" t="s">
        <v>100</v>
      </c>
      <c r="D114" s="42">
        <v>2</v>
      </c>
      <c r="E114" s="41">
        <v>5.2910052910052907E-3</v>
      </c>
    </row>
    <row r="115" spans="2:5" ht="15" customHeight="1">
      <c r="B115" s="96"/>
      <c r="C115" s="43" t="s">
        <v>97</v>
      </c>
      <c r="D115" s="42">
        <v>1</v>
      </c>
      <c r="E115" s="41">
        <v>2.6455026455026454E-3</v>
      </c>
    </row>
    <row r="116" spans="2:5" ht="15" customHeight="1">
      <c r="B116" s="97"/>
      <c r="C116" s="40" t="s">
        <v>19</v>
      </c>
      <c r="D116" s="39">
        <v>3</v>
      </c>
      <c r="E116" s="38">
        <v>7.9365079365079361E-3</v>
      </c>
    </row>
    <row r="117" spans="2:5" ht="15" customHeight="1">
      <c r="B117" s="95" t="s">
        <v>55</v>
      </c>
      <c r="C117" s="43" t="s">
        <v>104</v>
      </c>
      <c r="D117" s="42">
        <v>2</v>
      </c>
      <c r="E117" s="41">
        <v>5.2910052910052907E-3</v>
      </c>
    </row>
    <row r="118" spans="2:5" ht="15" customHeight="1">
      <c r="B118" s="96"/>
      <c r="C118" s="43" t="s">
        <v>100</v>
      </c>
      <c r="D118" s="42">
        <v>1</v>
      </c>
      <c r="E118" s="41">
        <v>2.6455026455026454E-3</v>
      </c>
    </row>
    <row r="119" spans="2:5" ht="15" customHeight="1">
      <c r="B119" s="97"/>
      <c r="C119" s="40" t="s">
        <v>19</v>
      </c>
      <c r="D119" s="39">
        <v>3</v>
      </c>
      <c r="E119" s="38">
        <v>7.9365079365079361E-3</v>
      </c>
    </row>
    <row r="120" spans="2:5" ht="15" customHeight="1">
      <c r="B120" s="95" t="s">
        <v>72</v>
      </c>
      <c r="C120" s="43" t="s">
        <v>109</v>
      </c>
      <c r="D120" s="42">
        <v>1</v>
      </c>
      <c r="E120" s="41">
        <v>2.6455026455026454E-3</v>
      </c>
    </row>
    <row r="121" spans="2:5" ht="15" customHeight="1">
      <c r="B121" s="96"/>
      <c r="C121" s="43" t="s">
        <v>107</v>
      </c>
      <c r="D121" s="42">
        <v>2</v>
      </c>
      <c r="E121" s="41">
        <v>5.2910052910052907E-3</v>
      </c>
    </row>
    <row r="122" spans="2:5" ht="15" customHeight="1">
      <c r="B122" s="96"/>
      <c r="C122" s="43" t="s">
        <v>106</v>
      </c>
      <c r="D122" s="42">
        <v>1</v>
      </c>
      <c r="E122" s="41">
        <v>2.6455026455026454E-3</v>
      </c>
    </row>
    <row r="123" spans="2:5" ht="15" customHeight="1">
      <c r="B123" s="96"/>
      <c r="C123" s="43" t="s">
        <v>105</v>
      </c>
      <c r="D123" s="42">
        <v>2</v>
      </c>
      <c r="E123" s="41">
        <v>5.2910052910052907E-3</v>
      </c>
    </row>
    <row r="124" spans="2:5" ht="15" customHeight="1">
      <c r="B124" s="96"/>
      <c r="C124" s="43" t="s">
        <v>104</v>
      </c>
      <c r="D124" s="42">
        <v>1</v>
      </c>
      <c r="E124" s="41">
        <v>2.6455026455026454E-3</v>
      </c>
    </row>
    <row r="125" spans="2:5" ht="15" customHeight="1">
      <c r="B125" s="96"/>
      <c r="C125" s="43" t="s">
        <v>100</v>
      </c>
      <c r="D125" s="42">
        <v>1</v>
      </c>
      <c r="E125" s="41">
        <v>2.6455026455026454E-3</v>
      </c>
    </row>
    <row r="126" spans="2:5" ht="15" customHeight="1">
      <c r="B126" s="96"/>
      <c r="C126" s="43" t="s">
        <v>98</v>
      </c>
      <c r="D126" s="42">
        <v>1</v>
      </c>
      <c r="E126" s="41">
        <v>2.6455026455026454E-3</v>
      </c>
    </row>
    <row r="127" spans="2:5" ht="15" customHeight="1">
      <c r="B127" s="96"/>
      <c r="C127" s="43" t="s">
        <v>97</v>
      </c>
      <c r="D127" s="42">
        <v>1</v>
      </c>
      <c r="E127" s="41">
        <v>2.6455026455026454E-3</v>
      </c>
    </row>
    <row r="128" spans="2:5" ht="15" customHeight="1">
      <c r="B128" s="97"/>
      <c r="C128" s="40" t="s">
        <v>19</v>
      </c>
      <c r="D128" s="39">
        <v>10</v>
      </c>
      <c r="E128" s="38">
        <v>2.6455026455026454E-2</v>
      </c>
    </row>
    <row r="129" spans="2:5" ht="15" customHeight="1">
      <c r="B129" s="95" t="s">
        <v>68</v>
      </c>
      <c r="C129" s="43" t="s">
        <v>108</v>
      </c>
      <c r="D129" s="42">
        <v>1</v>
      </c>
      <c r="E129" s="41">
        <v>2.6455026455026454E-3</v>
      </c>
    </row>
    <row r="130" spans="2:5" ht="15" customHeight="1">
      <c r="B130" s="96"/>
      <c r="C130" s="43" t="s">
        <v>105</v>
      </c>
      <c r="D130" s="42">
        <v>2</v>
      </c>
      <c r="E130" s="41">
        <v>5.2910052910052907E-3</v>
      </c>
    </row>
    <row r="131" spans="2:5" ht="15" customHeight="1">
      <c r="B131" s="96"/>
      <c r="C131" s="43" t="s">
        <v>102</v>
      </c>
      <c r="D131" s="42">
        <v>1</v>
      </c>
      <c r="E131" s="41">
        <v>2.6455026455026454E-3</v>
      </c>
    </row>
    <row r="132" spans="2:5" ht="15" customHeight="1">
      <c r="B132" s="96"/>
      <c r="C132" s="43" t="s">
        <v>100</v>
      </c>
      <c r="D132" s="42">
        <v>4</v>
      </c>
      <c r="E132" s="41">
        <v>1.0582010582010581E-2</v>
      </c>
    </row>
    <row r="133" spans="2:5" ht="15" customHeight="1">
      <c r="B133" s="96"/>
      <c r="C133" s="43" t="s">
        <v>98</v>
      </c>
      <c r="D133" s="42">
        <v>2</v>
      </c>
      <c r="E133" s="41">
        <v>5.2910052910052907E-3</v>
      </c>
    </row>
    <row r="134" spans="2:5" ht="15" customHeight="1">
      <c r="B134" s="96"/>
      <c r="C134" s="43" t="s">
        <v>97</v>
      </c>
      <c r="D134" s="42">
        <v>5</v>
      </c>
      <c r="E134" s="41">
        <v>1.3227513227513227E-2</v>
      </c>
    </row>
    <row r="135" spans="2:5" ht="15" customHeight="1">
      <c r="B135" s="97"/>
      <c r="C135" s="40" t="s">
        <v>19</v>
      </c>
      <c r="D135" s="39">
        <v>15</v>
      </c>
      <c r="E135" s="38">
        <v>3.968253968253968E-2</v>
      </c>
    </row>
    <row r="136" spans="2:5" ht="15" customHeight="1">
      <c r="B136" s="95" t="s">
        <v>58</v>
      </c>
      <c r="C136" s="43" t="s">
        <v>109</v>
      </c>
      <c r="D136" s="42">
        <v>1</v>
      </c>
      <c r="E136" s="41">
        <v>2.6455026455026454E-3</v>
      </c>
    </row>
    <row r="137" spans="2:5" ht="15" customHeight="1">
      <c r="B137" s="96"/>
      <c r="C137" s="43" t="s">
        <v>104</v>
      </c>
      <c r="D137" s="42">
        <v>2</v>
      </c>
      <c r="E137" s="41">
        <v>5.2910052910052907E-3</v>
      </c>
    </row>
    <row r="138" spans="2:5" ht="15" customHeight="1">
      <c r="B138" s="96"/>
      <c r="C138" s="43" t="s">
        <v>100</v>
      </c>
      <c r="D138" s="42">
        <v>6</v>
      </c>
      <c r="E138" s="41">
        <v>1.5873015873015872E-2</v>
      </c>
    </row>
    <row r="139" spans="2:5" ht="15" customHeight="1">
      <c r="B139" s="96"/>
      <c r="C139" s="43" t="s">
        <v>98</v>
      </c>
      <c r="D139" s="42">
        <v>1</v>
      </c>
      <c r="E139" s="41">
        <v>2.6455026455026454E-3</v>
      </c>
    </row>
    <row r="140" spans="2:5" ht="15" customHeight="1">
      <c r="B140" s="96"/>
      <c r="C140" s="43" t="s">
        <v>97</v>
      </c>
      <c r="D140" s="42">
        <v>4</v>
      </c>
      <c r="E140" s="41">
        <v>1.0582010582010581E-2</v>
      </c>
    </row>
    <row r="141" spans="2:5" ht="15" customHeight="1">
      <c r="B141" s="96"/>
      <c r="C141" s="43" t="s">
        <v>95</v>
      </c>
      <c r="D141" s="42">
        <v>1</v>
      </c>
      <c r="E141" s="41">
        <v>2.6455026455026454E-3</v>
      </c>
    </row>
    <row r="142" spans="2:5" ht="15" customHeight="1">
      <c r="B142" s="96"/>
      <c r="C142" s="43" t="s">
        <v>94</v>
      </c>
      <c r="D142" s="42">
        <v>2</v>
      </c>
      <c r="E142" s="41">
        <v>5.2910052910052907E-3</v>
      </c>
    </row>
    <row r="143" spans="2:5" ht="15" customHeight="1">
      <c r="B143" s="97"/>
      <c r="C143" s="40" t="s">
        <v>19</v>
      </c>
      <c r="D143" s="39">
        <v>17</v>
      </c>
      <c r="E143" s="38">
        <v>4.4973544973544971E-2</v>
      </c>
    </row>
    <row r="144" spans="2:5" ht="15" customHeight="1">
      <c r="B144" s="95" t="s">
        <v>62</v>
      </c>
      <c r="C144" s="43" t="s">
        <v>105</v>
      </c>
      <c r="D144" s="42">
        <v>1</v>
      </c>
      <c r="E144" s="41">
        <v>2.6455026455026454E-3</v>
      </c>
    </row>
    <row r="145" spans="2:5" ht="15" customHeight="1">
      <c r="B145" s="96"/>
      <c r="C145" s="43" t="s">
        <v>98</v>
      </c>
      <c r="D145" s="42">
        <v>1</v>
      </c>
      <c r="E145" s="41">
        <v>2.6455026455026454E-3</v>
      </c>
    </row>
    <row r="146" spans="2:5" ht="15" customHeight="1">
      <c r="B146" s="96"/>
      <c r="C146" s="43" t="s">
        <v>97</v>
      </c>
      <c r="D146" s="42">
        <v>5</v>
      </c>
      <c r="E146" s="41">
        <v>1.3227513227513227E-2</v>
      </c>
    </row>
    <row r="147" spans="2:5" ht="15" customHeight="1">
      <c r="B147" s="96"/>
      <c r="C147" s="43" t="s">
        <v>94</v>
      </c>
      <c r="D147" s="42">
        <v>1</v>
      </c>
      <c r="E147" s="41">
        <v>2.6455026455026454E-3</v>
      </c>
    </row>
    <row r="148" spans="2:5" ht="15" customHeight="1">
      <c r="B148" s="97"/>
      <c r="C148" s="40" t="s">
        <v>19</v>
      </c>
      <c r="D148" s="39">
        <v>8</v>
      </c>
      <c r="E148" s="38">
        <v>2.1164021164021163E-2</v>
      </c>
    </row>
    <row r="149" spans="2:5" ht="15" customHeight="1">
      <c r="B149" s="95" t="s">
        <v>78</v>
      </c>
      <c r="C149" s="43" t="s">
        <v>106</v>
      </c>
      <c r="D149" s="42">
        <v>1</v>
      </c>
      <c r="E149" s="41">
        <v>2.6455026455026454E-3</v>
      </c>
    </row>
    <row r="150" spans="2:5" ht="15" customHeight="1">
      <c r="B150" s="96"/>
      <c r="C150" s="43" t="s">
        <v>104</v>
      </c>
      <c r="D150" s="42">
        <v>3</v>
      </c>
      <c r="E150" s="41">
        <v>7.9365079365079361E-3</v>
      </c>
    </row>
    <row r="151" spans="2:5" ht="15" customHeight="1">
      <c r="B151" s="96"/>
      <c r="C151" s="43" t="s">
        <v>100</v>
      </c>
      <c r="D151" s="42">
        <v>8</v>
      </c>
      <c r="E151" s="41">
        <v>2.1164021164021163E-2</v>
      </c>
    </row>
    <row r="152" spans="2:5" ht="15" customHeight="1">
      <c r="B152" s="96"/>
      <c r="C152" s="43" t="s">
        <v>98</v>
      </c>
      <c r="D152" s="42">
        <v>3</v>
      </c>
      <c r="E152" s="41">
        <v>7.9365079365079361E-3</v>
      </c>
    </row>
    <row r="153" spans="2:5" ht="15" customHeight="1">
      <c r="B153" s="96"/>
      <c r="C153" s="43" t="s">
        <v>97</v>
      </c>
      <c r="D153" s="42">
        <v>3</v>
      </c>
      <c r="E153" s="41">
        <v>7.9365079365079361E-3</v>
      </c>
    </row>
    <row r="154" spans="2:5" ht="15" customHeight="1">
      <c r="B154" s="96"/>
      <c r="C154" s="43" t="s">
        <v>94</v>
      </c>
      <c r="D154" s="42">
        <v>1</v>
      </c>
      <c r="E154" s="41">
        <v>2.6455026455026454E-3</v>
      </c>
    </row>
    <row r="155" spans="2:5" ht="15" customHeight="1">
      <c r="B155" s="96"/>
      <c r="C155" s="43" t="s">
        <v>161</v>
      </c>
      <c r="D155" s="42">
        <v>1</v>
      </c>
      <c r="E155" s="41">
        <v>2.6455026455026454E-3</v>
      </c>
    </row>
    <row r="156" spans="2:5" ht="15" customHeight="1">
      <c r="B156" s="97"/>
      <c r="C156" s="40" t="s">
        <v>19</v>
      </c>
      <c r="D156" s="39">
        <v>20</v>
      </c>
      <c r="E156" s="38">
        <v>5.2910052910052907E-2</v>
      </c>
    </row>
    <row r="157" spans="2:5" ht="15" customHeight="1">
      <c r="B157" s="95" t="s">
        <v>70</v>
      </c>
      <c r="C157" s="43" t="s">
        <v>104</v>
      </c>
      <c r="D157" s="42">
        <v>1</v>
      </c>
      <c r="E157" s="41">
        <v>2.6455026455026454E-3</v>
      </c>
    </row>
    <row r="158" spans="2:5" ht="15" customHeight="1">
      <c r="B158" s="96"/>
      <c r="C158" s="43" t="s">
        <v>103</v>
      </c>
      <c r="D158" s="42">
        <v>1</v>
      </c>
      <c r="E158" s="41">
        <v>2.6455026455026454E-3</v>
      </c>
    </row>
    <row r="159" spans="2:5" ht="15" customHeight="1">
      <c r="B159" s="96"/>
      <c r="C159" s="43" t="s">
        <v>102</v>
      </c>
      <c r="D159" s="42">
        <v>1</v>
      </c>
      <c r="E159" s="41">
        <v>2.6455026455026454E-3</v>
      </c>
    </row>
    <row r="160" spans="2:5" ht="15" customHeight="1">
      <c r="B160" s="96"/>
      <c r="C160" s="43" t="s">
        <v>101</v>
      </c>
      <c r="D160" s="42">
        <v>2</v>
      </c>
      <c r="E160" s="41">
        <v>5.2910052910052907E-3</v>
      </c>
    </row>
    <row r="161" spans="2:5" ht="15" customHeight="1">
      <c r="B161" s="96"/>
      <c r="C161" s="43" t="s">
        <v>98</v>
      </c>
      <c r="D161" s="42">
        <v>1</v>
      </c>
      <c r="E161" s="41">
        <v>2.6455026455026454E-3</v>
      </c>
    </row>
    <row r="162" spans="2:5" ht="15" customHeight="1">
      <c r="B162" s="96"/>
      <c r="C162" s="43" t="s">
        <v>97</v>
      </c>
      <c r="D162" s="42">
        <v>3</v>
      </c>
      <c r="E162" s="41">
        <v>7.9365079365079361E-3</v>
      </c>
    </row>
    <row r="163" spans="2:5" ht="15" customHeight="1">
      <c r="B163" s="97"/>
      <c r="C163" s="40" t="s">
        <v>19</v>
      </c>
      <c r="D163" s="39">
        <v>9</v>
      </c>
      <c r="E163" s="38">
        <v>2.3809523809523808E-2</v>
      </c>
    </row>
    <row r="164" spans="2:5" ht="15" customHeight="1">
      <c r="B164" s="95" t="s">
        <v>57</v>
      </c>
      <c r="C164" s="43" t="s">
        <v>100</v>
      </c>
      <c r="D164" s="42">
        <v>1</v>
      </c>
      <c r="E164" s="41">
        <v>2.6455026455026454E-3</v>
      </c>
    </row>
    <row r="165" spans="2:5" ht="15" customHeight="1">
      <c r="B165" s="96"/>
      <c r="C165" s="43" t="s">
        <v>97</v>
      </c>
      <c r="D165" s="42">
        <v>1</v>
      </c>
      <c r="E165" s="41">
        <v>2.6455026455026454E-3</v>
      </c>
    </row>
    <row r="166" spans="2:5" ht="15" customHeight="1">
      <c r="B166" s="96"/>
      <c r="C166" s="43" t="s">
        <v>94</v>
      </c>
      <c r="D166" s="42">
        <v>1</v>
      </c>
      <c r="E166" s="41">
        <v>2.6455026455026454E-3</v>
      </c>
    </row>
    <row r="167" spans="2:5" ht="15" customHeight="1">
      <c r="B167" s="97"/>
      <c r="C167" s="40" t="s">
        <v>19</v>
      </c>
      <c r="D167" s="39">
        <v>3</v>
      </c>
      <c r="E167" s="38">
        <v>7.9365079365079361E-3</v>
      </c>
    </row>
    <row r="168" spans="2:5" ht="15" customHeight="1">
      <c r="B168" s="95" t="s">
        <v>59</v>
      </c>
      <c r="C168" s="43" t="s">
        <v>105</v>
      </c>
      <c r="D168" s="42">
        <v>1</v>
      </c>
      <c r="E168" s="41">
        <v>2.6455026455026454E-3</v>
      </c>
    </row>
    <row r="169" spans="2:5" ht="15" customHeight="1">
      <c r="B169" s="96"/>
      <c r="C169" s="43" t="s">
        <v>104</v>
      </c>
      <c r="D169" s="42">
        <v>3</v>
      </c>
      <c r="E169" s="41">
        <v>7.9365079365079361E-3</v>
      </c>
    </row>
    <row r="170" spans="2:5" ht="15" customHeight="1">
      <c r="B170" s="96"/>
      <c r="C170" s="43" t="s">
        <v>101</v>
      </c>
      <c r="D170" s="42">
        <v>1</v>
      </c>
      <c r="E170" s="41">
        <v>2.6455026455026454E-3</v>
      </c>
    </row>
    <row r="171" spans="2:5" ht="15" customHeight="1">
      <c r="B171" s="96"/>
      <c r="C171" s="43" t="s">
        <v>100</v>
      </c>
      <c r="D171" s="42">
        <v>1</v>
      </c>
      <c r="E171" s="41">
        <v>2.6455026455026454E-3</v>
      </c>
    </row>
    <row r="172" spans="2:5" ht="15" customHeight="1">
      <c r="B172" s="96"/>
      <c r="C172" s="43" t="s">
        <v>99</v>
      </c>
      <c r="D172" s="42">
        <v>1</v>
      </c>
      <c r="E172" s="41">
        <v>2.6455026455026454E-3</v>
      </c>
    </row>
    <row r="173" spans="2:5" ht="15" customHeight="1">
      <c r="B173" s="96"/>
      <c r="C173" s="43" t="s">
        <v>97</v>
      </c>
      <c r="D173" s="42">
        <v>7</v>
      </c>
      <c r="E173" s="41">
        <v>1.8518518518518517E-2</v>
      </c>
    </row>
    <row r="174" spans="2:5" ht="15" customHeight="1">
      <c r="B174" s="96"/>
      <c r="C174" s="43" t="s">
        <v>94</v>
      </c>
      <c r="D174" s="42">
        <v>3</v>
      </c>
      <c r="E174" s="41">
        <v>7.9365079365079361E-3</v>
      </c>
    </row>
    <row r="175" spans="2:5" ht="15" customHeight="1">
      <c r="B175" s="97"/>
      <c r="C175" s="40" t="s">
        <v>19</v>
      </c>
      <c r="D175" s="39">
        <v>17</v>
      </c>
      <c r="E175" s="38">
        <v>4.4973544973544971E-2</v>
      </c>
    </row>
    <row r="176" spans="2:5" ht="15" customHeight="1">
      <c r="B176" s="95" t="s">
        <v>65</v>
      </c>
      <c r="C176" s="43" t="s">
        <v>100</v>
      </c>
      <c r="D176" s="42">
        <v>1</v>
      </c>
      <c r="E176" s="41">
        <v>2.6455026455026454E-3</v>
      </c>
    </row>
    <row r="177" spans="2:5" ht="15" customHeight="1">
      <c r="B177" s="97"/>
      <c r="C177" s="40" t="s">
        <v>19</v>
      </c>
      <c r="D177" s="39">
        <v>1</v>
      </c>
      <c r="E177" s="38">
        <v>2.6455026455026454E-3</v>
      </c>
    </row>
    <row r="178" spans="2:5" ht="15" customHeight="1">
      <c r="B178" s="95" t="s">
        <v>77</v>
      </c>
      <c r="C178" s="43" t="s">
        <v>104</v>
      </c>
      <c r="D178" s="42">
        <v>1</v>
      </c>
      <c r="E178" s="41">
        <v>2.6455026455026454E-3</v>
      </c>
    </row>
    <row r="179" spans="2:5" ht="15" customHeight="1">
      <c r="B179" s="96"/>
      <c r="C179" s="43" t="s">
        <v>103</v>
      </c>
      <c r="D179" s="42">
        <v>1</v>
      </c>
      <c r="E179" s="41">
        <v>2.6455026455026454E-3</v>
      </c>
    </row>
    <row r="180" spans="2:5" ht="15" customHeight="1">
      <c r="B180" s="96"/>
      <c r="C180" s="43" t="s">
        <v>102</v>
      </c>
      <c r="D180" s="42">
        <v>1</v>
      </c>
      <c r="E180" s="41">
        <v>2.6455026455026454E-3</v>
      </c>
    </row>
    <row r="181" spans="2:5" ht="15" customHeight="1">
      <c r="B181" s="96"/>
      <c r="C181" s="43" t="s">
        <v>101</v>
      </c>
      <c r="D181" s="42">
        <v>2</v>
      </c>
      <c r="E181" s="41">
        <v>5.2910052910052907E-3</v>
      </c>
    </row>
    <row r="182" spans="2:5" ht="15" customHeight="1">
      <c r="B182" s="96"/>
      <c r="C182" s="43" t="s">
        <v>100</v>
      </c>
      <c r="D182" s="42">
        <v>3</v>
      </c>
      <c r="E182" s="41">
        <v>7.9365079365079361E-3</v>
      </c>
    </row>
    <row r="183" spans="2:5" ht="15" customHeight="1">
      <c r="B183" s="96"/>
      <c r="C183" s="43" t="s">
        <v>98</v>
      </c>
      <c r="D183" s="42">
        <v>1</v>
      </c>
      <c r="E183" s="41">
        <v>2.6455026455026454E-3</v>
      </c>
    </row>
    <row r="184" spans="2:5" ht="15" customHeight="1">
      <c r="B184" s="96"/>
      <c r="C184" s="43" t="s">
        <v>97</v>
      </c>
      <c r="D184" s="42">
        <v>9</v>
      </c>
      <c r="E184" s="41">
        <v>2.3809523809523808E-2</v>
      </c>
    </row>
    <row r="185" spans="2:5" ht="15" customHeight="1">
      <c r="B185" s="97"/>
      <c r="C185" s="40" t="s">
        <v>19</v>
      </c>
      <c r="D185" s="39">
        <v>18</v>
      </c>
      <c r="E185" s="38">
        <v>4.7619047619047616E-2</v>
      </c>
    </row>
    <row r="186" spans="2:5" ht="15" customHeight="1">
      <c r="B186" s="95" t="s">
        <v>63</v>
      </c>
      <c r="C186" s="43" t="s">
        <v>104</v>
      </c>
      <c r="D186" s="42">
        <v>1</v>
      </c>
      <c r="E186" s="41">
        <v>2.6455026455026454E-3</v>
      </c>
    </row>
    <row r="187" spans="2:5" ht="15" customHeight="1">
      <c r="B187" s="96"/>
      <c r="C187" s="43" t="s">
        <v>102</v>
      </c>
      <c r="D187" s="42">
        <v>1</v>
      </c>
      <c r="E187" s="41">
        <v>2.6455026455026454E-3</v>
      </c>
    </row>
    <row r="188" spans="2:5" ht="15" customHeight="1">
      <c r="B188" s="96"/>
      <c r="C188" s="43" t="s">
        <v>100</v>
      </c>
      <c r="D188" s="42">
        <v>2</v>
      </c>
      <c r="E188" s="41">
        <v>5.2910052910052907E-3</v>
      </c>
    </row>
    <row r="189" spans="2:5" ht="15" customHeight="1">
      <c r="B189" s="96"/>
      <c r="C189" s="43" t="s">
        <v>99</v>
      </c>
      <c r="D189" s="42">
        <v>1</v>
      </c>
      <c r="E189" s="41">
        <v>2.6455026455026454E-3</v>
      </c>
    </row>
    <row r="190" spans="2:5" ht="15" customHeight="1">
      <c r="B190" s="96"/>
      <c r="C190" s="43" t="s">
        <v>98</v>
      </c>
      <c r="D190" s="42">
        <v>1</v>
      </c>
      <c r="E190" s="41">
        <v>2.6455026455026454E-3</v>
      </c>
    </row>
    <row r="191" spans="2:5" ht="15" customHeight="1">
      <c r="B191" s="96"/>
      <c r="C191" s="43" t="s">
        <v>97</v>
      </c>
      <c r="D191" s="42">
        <v>3</v>
      </c>
      <c r="E191" s="41">
        <v>7.9365079365079361E-3</v>
      </c>
    </row>
    <row r="192" spans="2:5" ht="15" customHeight="1">
      <c r="B192" s="96"/>
      <c r="C192" s="43" t="s">
        <v>94</v>
      </c>
      <c r="D192" s="42">
        <v>5</v>
      </c>
      <c r="E192" s="41">
        <v>1.3227513227513227E-2</v>
      </c>
    </row>
    <row r="193" spans="2:5" ht="15" customHeight="1">
      <c r="B193" s="97"/>
      <c r="C193" s="40" t="s">
        <v>19</v>
      </c>
      <c r="D193" s="39">
        <v>14</v>
      </c>
      <c r="E193" s="38">
        <v>3.7037037037037035E-2</v>
      </c>
    </row>
    <row r="194" spans="2:5" ht="15" customHeight="1">
      <c r="B194" s="95" t="s">
        <v>74</v>
      </c>
      <c r="C194" s="43" t="s">
        <v>110</v>
      </c>
      <c r="D194" s="42">
        <v>2</v>
      </c>
      <c r="E194" s="41">
        <v>5.2910052910052907E-3</v>
      </c>
    </row>
    <row r="195" spans="2:5" ht="15" customHeight="1">
      <c r="B195" s="96"/>
      <c r="C195" s="43" t="s">
        <v>108</v>
      </c>
      <c r="D195" s="42">
        <v>1</v>
      </c>
      <c r="E195" s="41">
        <v>2.6455026455026454E-3</v>
      </c>
    </row>
    <row r="196" spans="2:5" ht="15" customHeight="1">
      <c r="B196" s="96"/>
      <c r="C196" s="43" t="s">
        <v>101</v>
      </c>
      <c r="D196" s="42">
        <v>1</v>
      </c>
      <c r="E196" s="41">
        <v>2.6455026455026454E-3</v>
      </c>
    </row>
    <row r="197" spans="2:5" ht="15" customHeight="1">
      <c r="B197" s="96"/>
      <c r="C197" s="43" t="s">
        <v>100</v>
      </c>
      <c r="D197" s="42">
        <v>3</v>
      </c>
      <c r="E197" s="41">
        <v>7.9365079365079361E-3</v>
      </c>
    </row>
    <row r="198" spans="2:5" ht="15" customHeight="1">
      <c r="B198" s="96"/>
      <c r="C198" s="43" t="s">
        <v>98</v>
      </c>
      <c r="D198" s="42">
        <v>1</v>
      </c>
      <c r="E198" s="41">
        <v>2.6455026455026454E-3</v>
      </c>
    </row>
    <row r="199" spans="2:5" ht="15" customHeight="1">
      <c r="B199" s="96"/>
      <c r="C199" s="43" t="s">
        <v>97</v>
      </c>
      <c r="D199" s="42">
        <v>2</v>
      </c>
      <c r="E199" s="41">
        <v>5.2910052910052907E-3</v>
      </c>
    </row>
    <row r="200" spans="2:5" ht="15" customHeight="1">
      <c r="B200" s="96"/>
      <c r="C200" s="43" t="s">
        <v>95</v>
      </c>
      <c r="D200" s="42">
        <v>1</v>
      </c>
      <c r="E200" s="41">
        <v>2.6455026455026454E-3</v>
      </c>
    </row>
    <row r="201" spans="2:5" ht="15" customHeight="1">
      <c r="B201" s="97"/>
      <c r="C201" s="40" t="s">
        <v>19</v>
      </c>
      <c r="D201" s="39">
        <v>11</v>
      </c>
      <c r="E201" s="38">
        <v>2.9100529100529099E-2</v>
      </c>
    </row>
    <row r="202" spans="2:5" ht="15" customHeight="1">
      <c r="B202" s="95" t="s">
        <v>180</v>
      </c>
      <c r="C202" s="43" t="s">
        <v>108</v>
      </c>
      <c r="D202" s="42">
        <v>1</v>
      </c>
      <c r="E202" s="41">
        <v>2.6455026455026454E-3</v>
      </c>
    </row>
    <row r="203" spans="2:5" ht="15" customHeight="1">
      <c r="B203" s="96"/>
      <c r="C203" s="43" t="s">
        <v>102</v>
      </c>
      <c r="D203" s="42">
        <v>1</v>
      </c>
      <c r="E203" s="41">
        <v>2.6455026455026454E-3</v>
      </c>
    </row>
    <row r="204" spans="2:5" ht="15" customHeight="1">
      <c r="B204" s="96"/>
      <c r="C204" s="43" t="s">
        <v>100</v>
      </c>
      <c r="D204" s="42">
        <v>7</v>
      </c>
      <c r="E204" s="41">
        <v>1.8518518518518517E-2</v>
      </c>
    </row>
    <row r="205" spans="2:5" ht="15" customHeight="1">
      <c r="B205" s="96"/>
      <c r="C205" s="43" t="s">
        <v>98</v>
      </c>
      <c r="D205" s="42">
        <v>1</v>
      </c>
      <c r="E205" s="41">
        <v>2.6455026455026454E-3</v>
      </c>
    </row>
    <row r="206" spans="2:5" ht="15" customHeight="1">
      <c r="B206" s="96"/>
      <c r="C206" s="43" t="s">
        <v>97</v>
      </c>
      <c r="D206" s="42">
        <v>6</v>
      </c>
      <c r="E206" s="41">
        <v>1.5873015873015872E-2</v>
      </c>
    </row>
    <row r="207" spans="2:5" ht="15" customHeight="1">
      <c r="B207" s="96"/>
      <c r="C207" s="43" t="s">
        <v>96</v>
      </c>
      <c r="D207" s="42">
        <v>1</v>
      </c>
      <c r="E207" s="41">
        <v>2.6455026455026454E-3</v>
      </c>
    </row>
    <row r="208" spans="2:5" ht="15" customHeight="1">
      <c r="B208" s="96"/>
      <c r="C208" s="43" t="s">
        <v>95</v>
      </c>
      <c r="D208" s="42">
        <v>1</v>
      </c>
      <c r="E208" s="41">
        <v>2.6455026455026454E-3</v>
      </c>
    </row>
    <row r="209" spans="2:5" ht="15" customHeight="1">
      <c r="B209" s="97" t="s">
        <v>181</v>
      </c>
      <c r="C209" s="40" t="s">
        <v>19</v>
      </c>
      <c r="D209" s="39">
        <v>18</v>
      </c>
      <c r="E209" s="38">
        <v>4.7619047619047616E-2</v>
      </c>
    </row>
    <row r="210" spans="2:5" ht="15" customHeight="1">
      <c r="B210" s="95" t="s">
        <v>76</v>
      </c>
      <c r="C210" s="43" t="s">
        <v>103</v>
      </c>
      <c r="D210" s="42">
        <v>1</v>
      </c>
      <c r="E210" s="41">
        <v>2.6455026455026454E-3</v>
      </c>
    </row>
    <row r="211" spans="2:5" ht="15" customHeight="1">
      <c r="B211" s="96"/>
      <c r="C211" s="43" t="s">
        <v>102</v>
      </c>
      <c r="D211" s="42">
        <v>1</v>
      </c>
      <c r="E211" s="41">
        <v>2.6455026455026454E-3</v>
      </c>
    </row>
    <row r="212" spans="2:5" ht="15" customHeight="1">
      <c r="B212" s="96"/>
      <c r="C212" s="43" t="s">
        <v>100</v>
      </c>
      <c r="D212" s="42">
        <v>1</v>
      </c>
      <c r="E212" s="41">
        <v>2.6455026455026454E-3</v>
      </c>
    </row>
    <row r="213" spans="2:5" ht="15" customHeight="1">
      <c r="B213" s="96"/>
      <c r="C213" s="43" t="s">
        <v>98</v>
      </c>
      <c r="D213" s="42">
        <v>2</v>
      </c>
      <c r="E213" s="41">
        <v>5.2910052910052907E-3</v>
      </c>
    </row>
    <row r="214" spans="2:5" ht="15" customHeight="1">
      <c r="B214" s="96"/>
      <c r="C214" s="43" t="s">
        <v>97</v>
      </c>
      <c r="D214" s="42">
        <v>6</v>
      </c>
      <c r="E214" s="41">
        <v>1.5873015873015872E-2</v>
      </c>
    </row>
    <row r="215" spans="2:5" ht="15" customHeight="1">
      <c r="B215" s="96"/>
      <c r="C215" s="43" t="s">
        <v>94</v>
      </c>
      <c r="D215" s="42">
        <v>1</v>
      </c>
      <c r="E215" s="41">
        <v>2.6455026455026454E-3</v>
      </c>
    </row>
    <row r="216" spans="2:5" ht="15" customHeight="1">
      <c r="B216" s="97"/>
      <c r="C216" s="40" t="s">
        <v>19</v>
      </c>
      <c r="D216" s="39">
        <v>12</v>
      </c>
      <c r="E216" s="38">
        <v>3.1746031746031744E-2</v>
      </c>
    </row>
    <row r="217" spans="2:5" ht="15" customHeight="1">
      <c r="B217" s="95" t="s">
        <v>56</v>
      </c>
      <c r="C217" s="43" t="s">
        <v>105</v>
      </c>
      <c r="D217" s="42">
        <v>1</v>
      </c>
      <c r="E217" s="41">
        <v>2.6455026455026454E-3</v>
      </c>
    </row>
    <row r="218" spans="2:5" ht="15" customHeight="1">
      <c r="B218" s="96"/>
      <c r="C218" s="43" t="s">
        <v>100</v>
      </c>
      <c r="D218" s="42">
        <v>2</v>
      </c>
      <c r="E218" s="41">
        <v>5.2910052910052907E-3</v>
      </c>
    </row>
    <row r="219" spans="2:5" ht="15" customHeight="1">
      <c r="B219" s="96"/>
      <c r="C219" s="43" t="s">
        <v>97</v>
      </c>
      <c r="D219" s="42">
        <v>2</v>
      </c>
      <c r="E219" s="41">
        <v>5.2910052910052907E-3</v>
      </c>
    </row>
    <row r="220" spans="2:5" ht="15" customHeight="1">
      <c r="B220" s="96"/>
      <c r="C220" s="40" t="s">
        <v>19</v>
      </c>
      <c r="D220" s="39">
        <v>5</v>
      </c>
      <c r="E220" s="38">
        <v>1.3227513227513227E-2</v>
      </c>
    </row>
    <row r="221" spans="2:5" ht="15" customHeight="1">
      <c r="B221" s="95" t="s">
        <v>49</v>
      </c>
      <c r="C221" s="43" t="s">
        <v>160</v>
      </c>
      <c r="D221" s="42">
        <v>1</v>
      </c>
      <c r="E221" s="41">
        <v>2.6455026455026454E-3</v>
      </c>
    </row>
    <row r="222" spans="2:5" ht="15" customHeight="1">
      <c r="B222" s="96"/>
      <c r="C222" s="43" t="s">
        <v>94</v>
      </c>
      <c r="D222" s="42">
        <v>3</v>
      </c>
      <c r="E222" s="41">
        <v>7.9365079365079361E-3</v>
      </c>
    </row>
    <row r="223" spans="2:5" ht="15" customHeight="1">
      <c r="B223" s="97"/>
      <c r="C223" s="40" t="s">
        <v>19</v>
      </c>
      <c r="D223" s="39">
        <v>4</v>
      </c>
      <c r="E223" s="38">
        <v>1.0582010582010581E-2</v>
      </c>
    </row>
    <row r="224" spans="2:5" ht="15" customHeight="1">
      <c r="B224" s="95" t="s">
        <v>33</v>
      </c>
      <c r="C224" s="43" t="s">
        <v>100</v>
      </c>
      <c r="D224" s="42">
        <v>1</v>
      </c>
      <c r="E224" s="41">
        <v>2.6455026455026454E-3</v>
      </c>
    </row>
    <row r="225" spans="2:5" ht="15" customHeight="1">
      <c r="B225" s="96"/>
      <c r="C225" s="43" t="s">
        <v>98</v>
      </c>
      <c r="D225" s="42">
        <v>1</v>
      </c>
      <c r="E225" s="41">
        <v>2.6455026455026454E-3</v>
      </c>
    </row>
    <row r="226" spans="2:5" ht="15" customHeight="1">
      <c r="B226" s="97"/>
      <c r="C226" s="40" t="s">
        <v>19</v>
      </c>
      <c r="D226" s="39">
        <v>2</v>
      </c>
      <c r="E226" s="38">
        <v>5.2910052910052907E-3</v>
      </c>
    </row>
    <row r="227" spans="2:5" ht="15" customHeight="1">
      <c r="B227" s="95" t="s">
        <v>158</v>
      </c>
      <c r="C227" s="43" t="s">
        <v>94</v>
      </c>
      <c r="D227" s="42">
        <v>1</v>
      </c>
      <c r="E227" s="41">
        <v>2.6455026455026454E-3</v>
      </c>
    </row>
    <row r="228" spans="2:5" ht="15" customHeight="1">
      <c r="B228" s="97"/>
      <c r="C228" s="40" t="s">
        <v>19</v>
      </c>
      <c r="D228" s="39">
        <v>1</v>
      </c>
      <c r="E228" s="38">
        <v>2.6455026455026454E-3</v>
      </c>
    </row>
    <row r="229" spans="2:5" ht="15" customHeight="1">
      <c r="B229" s="101" t="s">
        <v>19</v>
      </c>
      <c r="C229" s="101"/>
      <c r="D229" s="83">
        <v>380</v>
      </c>
      <c r="E229" s="84">
        <v>1</v>
      </c>
    </row>
  </sheetData>
  <mergeCells count="41">
    <mergeCell ref="B217:B220"/>
    <mergeCell ref="B221:B223"/>
    <mergeCell ref="B224:B226"/>
    <mergeCell ref="B227:B228"/>
    <mergeCell ref="B229:C229"/>
    <mergeCell ref="B178:B185"/>
    <mergeCell ref="B186:B193"/>
    <mergeCell ref="B194:B201"/>
    <mergeCell ref="B202:B209"/>
    <mergeCell ref="B210:B216"/>
    <mergeCell ref="B149:B156"/>
    <mergeCell ref="B157:B163"/>
    <mergeCell ref="B164:B167"/>
    <mergeCell ref="B168:B175"/>
    <mergeCell ref="B176:B177"/>
    <mergeCell ref="B117:B119"/>
    <mergeCell ref="B120:B128"/>
    <mergeCell ref="B129:B135"/>
    <mergeCell ref="B136:B143"/>
    <mergeCell ref="B144:B148"/>
    <mergeCell ref="B114:B116"/>
    <mergeCell ref="B22:B26"/>
    <mergeCell ref="B27:B36"/>
    <mergeCell ref="B37:B43"/>
    <mergeCell ref="B44:B49"/>
    <mergeCell ref="B50:B53"/>
    <mergeCell ref="B54:B55"/>
    <mergeCell ref="B56:B60"/>
    <mergeCell ref="B61:B72"/>
    <mergeCell ref="B73:B80"/>
    <mergeCell ref="B81:B82"/>
    <mergeCell ref="B83:B91"/>
    <mergeCell ref="B92:B96"/>
    <mergeCell ref="B97:B105"/>
    <mergeCell ref="B106:B108"/>
    <mergeCell ref="B109:B110"/>
    <mergeCell ref="B7:E8"/>
    <mergeCell ref="B10:B12"/>
    <mergeCell ref="B13:B19"/>
    <mergeCell ref="B20:B21"/>
    <mergeCell ref="B111:B1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3" zoomScaleNormal="100" zoomScaleSheetLayoutView="115" workbookViewId="0">
      <selection activeCell="F18" sqref="F1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162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46</v>
      </c>
      <c r="D11" s="30" t="s">
        <v>45</v>
      </c>
    </row>
    <row r="12" spans="1:4">
      <c r="B12" s="27" t="s">
        <v>118</v>
      </c>
      <c r="C12" s="26">
        <v>197</v>
      </c>
      <c r="D12" s="25">
        <v>0.51842105263157889</v>
      </c>
    </row>
    <row r="13" spans="1:4">
      <c r="B13" s="27" t="s">
        <v>117</v>
      </c>
      <c r="C13" s="26">
        <v>183</v>
      </c>
      <c r="D13" s="25">
        <v>0.48157894736842105</v>
      </c>
    </row>
    <row r="14" spans="1:4">
      <c r="B14" s="24" t="s">
        <v>116</v>
      </c>
      <c r="C14" s="23">
        <v>380</v>
      </c>
      <c r="D14" s="22">
        <v>1</v>
      </c>
    </row>
    <row r="15" spans="1:4">
      <c r="B15" s="28"/>
      <c r="C15" s="58"/>
      <c r="D15" s="58"/>
    </row>
    <row r="16" spans="1:4">
      <c r="B16" s="19" t="s">
        <v>155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156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5"/>
  <sheetViews>
    <sheetView showGridLines="0" topLeftCell="A97" zoomScale="96" zoomScaleNormal="96" zoomScaleSheetLayoutView="100" workbookViewId="0">
      <selection activeCell="G21" sqref="G2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105" t="s">
        <v>163</v>
      </c>
      <c r="C8" s="105"/>
      <c r="D8" s="105"/>
      <c r="E8" s="105"/>
    </row>
    <row r="9" spans="1:6" s="61" customFormat="1" ht="15" customHeight="1">
      <c r="A9" s="63"/>
      <c r="B9" s="105"/>
      <c r="C9" s="105"/>
      <c r="D9" s="105"/>
      <c r="E9" s="105"/>
      <c r="F9" s="64"/>
    </row>
    <row r="10" spans="1:6" s="61" customFormat="1" ht="15" customHeight="1">
      <c r="A10" s="63"/>
      <c r="B10" s="105"/>
      <c r="C10" s="105"/>
      <c r="D10" s="105"/>
      <c r="E10" s="105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86</v>
      </c>
      <c r="C12" s="62" t="s">
        <v>119</v>
      </c>
      <c r="D12" s="62" t="s">
        <v>46</v>
      </c>
      <c r="E12" s="62" t="s">
        <v>45</v>
      </c>
    </row>
    <row r="13" spans="1:6" ht="13.5">
      <c r="B13" s="102" t="s">
        <v>51</v>
      </c>
      <c r="C13" s="60" t="s">
        <v>121</v>
      </c>
      <c r="D13" s="26">
        <v>1</v>
      </c>
      <c r="E13" s="25">
        <v>2.631578947368421E-3</v>
      </c>
    </row>
    <row r="14" spans="1:6" ht="13.5">
      <c r="B14" s="103"/>
      <c r="C14" s="60" t="s">
        <v>120</v>
      </c>
      <c r="D14" s="26">
        <v>1</v>
      </c>
      <c r="E14" s="25">
        <v>2.631578947368421E-3</v>
      </c>
    </row>
    <row r="15" spans="1:6" ht="13.5">
      <c r="B15" s="104"/>
      <c r="C15" s="71" t="s">
        <v>19</v>
      </c>
      <c r="D15" s="72">
        <v>2</v>
      </c>
      <c r="E15" s="73">
        <v>5.263157894736842E-3</v>
      </c>
    </row>
    <row r="16" spans="1:6" ht="13.5">
      <c r="B16" s="102" t="s">
        <v>81</v>
      </c>
      <c r="C16" s="60" t="s">
        <v>121</v>
      </c>
      <c r="D16" s="26">
        <v>8</v>
      </c>
      <c r="E16" s="25">
        <v>2.1052631578947368E-2</v>
      </c>
    </row>
    <row r="17" spans="2:5" ht="13.5">
      <c r="B17" s="103"/>
      <c r="C17" s="60" t="s">
        <v>120</v>
      </c>
      <c r="D17" s="26">
        <v>6</v>
      </c>
      <c r="E17" s="25">
        <v>1.5789473684210527E-2</v>
      </c>
    </row>
    <row r="18" spans="2:5" ht="13.5">
      <c r="B18" s="104"/>
      <c r="C18" s="71" t="s">
        <v>19</v>
      </c>
      <c r="D18" s="72">
        <v>14</v>
      </c>
      <c r="E18" s="73">
        <v>3.6842105263157891E-2</v>
      </c>
    </row>
    <row r="19" spans="2:5" ht="13.5">
      <c r="B19" s="102" t="s">
        <v>71</v>
      </c>
      <c r="C19" s="60" t="s">
        <v>120</v>
      </c>
      <c r="D19" s="26">
        <v>2</v>
      </c>
      <c r="E19" s="25">
        <v>5.263157894736842E-3</v>
      </c>
    </row>
    <row r="20" spans="2:5" ht="13.5">
      <c r="B20" s="104"/>
      <c r="C20" s="71" t="s">
        <v>19</v>
      </c>
      <c r="D20" s="72">
        <v>2</v>
      </c>
      <c r="E20" s="73">
        <v>5.263157894736842E-3</v>
      </c>
    </row>
    <row r="21" spans="2:5" ht="13.5">
      <c r="B21" s="102" t="s">
        <v>50</v>
      </c>
      <c r="C21" s="60" t="s">
        <v>121</v>
      </c>
      <c r="D21" s="26">
        <v>2</v>
      </c>
      <c r="E21" s="25">
        <v>5.263157894736842E-3</v>
      </c>
    </row>
    <row r="22" spans="2:5" ht="13.5">
      <c r="B22" s="103"/>
      <c r="C22" s="60" t="s">
        <v>120</v>
      </c>
      <c r="D22" s="26">
        <v>4</v>
      </c>
      <c r="E22" s="25">
        <v>1.0526315789473684E-2</v>
      </c>
    </row>
    <row r="23" spans="2:5" ht="13.5">
      <c r="B23" s="104"/>
      <c r="C23" s="71" t="s">
        <v>19</v>
      </c>
      <c r="D23" s="72">
        <v>6</v>
      </c>
      <c r="E23" s="73">
        <v>1.5789473684210527E-2</v>
      </c>
    </row>
    <row r="24" spans="2:5" ht="13.5">
      <c r="B24" s="102" t="s">
        <v>84</v>
      </c>
      <c r="C24" s="60" t="s">
        <v>121</v>
      </c>
      <c r="D24" s="26">
        <v>13</v>
      </c>
      <c r="E24" s="25">
        <v>3.4210526315789476E-2</v>
      </c>
    </row>
    <row r="25" spans="2:5" ht="13.5">
      <c r="B25" s="103"/>
      <c r="C25" s="60" t="s">
        <v>120</v>
      </c>
      <c r="D25" s="26">
        <v>6</v>
      </c>
      <c r="E25" s="25">
        <v>1.5789473684210527E-2</v>
      </c>
    </row>
    <row r="26" spans="2:5" ht="13.5">
      <c r="B26" s="104"/>
      <c r="C26" s="71" t="s">
        <v>19</v>
      </c>
      <c r="D26" s="72">
        <v>19</v>
      </c>
      <c r="E26" s="73">
        <v>0.05</v>
      </c>
    </row>
    <row r="27" spans="2:5" ht="13.5">
      <c r="B27" s="102" t="s">
        <v>82</v>
      </c>
      <c r="C27" s="60" t="s">
        <v>121</v>
      </c>
      <c r="D27" s="26">
        <v>8</v>
      </c>
      <c r="E27" s="25">
        <v>2.1052631578947368E-2</v>
      </c>
    </row>
    <row r="28" spans="2:5" ht="13.5">
      <c r="B28" s="103"/>
      <c r="C28" s="60" t="s">
        <v>120</v>
      </c>
      <c r="D28" s="26">
        <v>10</v>
      </c>
      <c r="E28" s="25">
        <v>2.6315789473684209E-2</v>
      </c>
    </row>
    <row r="29" spans="2:5" ht="13.5">
      <c r="B29" s="104"/>
      <c r="C29" s="71" t="s">
        <v>19</v>
      </c>
      <c r="D29" s="72">
        <v>18</v>
      </c>
      <c r="E29" s="73">
        <v>4.736842105263158E-2</v>
      </c>
    </row>
    <row r="30" spans="2:5" ht="13.5">
      <c r="B30" s="102" t="s">
        <v>66</v>
      </c>
      <c r="C30" s="60" t="s">
        <v>121</v>
      </c>
      <c r="D30" s="26">
        <v>2</v>
      </c>
      <c r="E30" s="25">
        <v>5.263157894736842E-3</v>
      </c>
    </row>
    <row r="31" spans="2:5" ht="13.5">
      <c r="B31" s="103"/>
      <c r="C31" s="60" t="s">
        <v>120</v>
      </c>
      <c r="D31" s="26">
        <v>3</v>
      </c>
      <c r="E31" s="25">
        <v>7.8947368421052634E-3</v>
      </c>
    </row>
    <row r="32" spans="2:5" ht="13.5">
      <c r="B32" s="104"/>
      <c r="C32" s="71" t="s">
        <v>19</v>
      </c>
      <c r="D32" s="72">
        <v>5</v>
      </c>
      <c r="E32" s="73">
        <v>1.3157894736842105E-2</v>
      </c>
    </row>
    <row r="33" spans="2:5" ht="13.5">
      <c r="B33" s="102" t="s">
        <v>54</v>
      </c>
      <c r="C33" s="60" t="s">
        <v>121</v>
      </c>
      <c r="D33" s="26">
        <v>2</v>
      </c>
      <c r="E33" s="25">
        <v>5.263157894736842E-3</v>
      </c>
    </row>
    <row r="34" spans="2:5" ht="13.5">
      <c r="B34" s="103"/>
      <c r="C34" s="60" t="s">
        <v>120</v>
      </c>
      <c r="D34" s="26">
        <v>1</v>
      </c>
      <c r="E34" s="25">
        <v>2.631578947368421E-3</v>
      </c>
    </row>
    <row r="35" spans="2:5" ht="13.5">
      <c r="B35" s="104"/>
      <c r="C35" s="71" t="s">
        <v>19</v>
      </c>
      <c r="D35" s="72">
        <v>3</v>
      </c>
      <c r="E35" s="73">
        <v>7.8947368421052634E-3</v>
      </c>
    </row>
    <row r="36" spans="2:5" ht="13.5">
      <c r="B36" s="102" t="s">
        <v>52</v>
      </c>
      <c r="C36" s="60" t="s">
        <v>120</v>
      </c>
      <c r="D36" s="26">
        <v>1</v>
      </c>
      <c r="E36" s="25">
        <v>2.631578947368421E-3</v>
      </c>
    </row>
    <row r="37" spans="2:5" ht="13.5">
      <c r="B37" s="104"/>
      <c r="C37" s="71" t="s">
        <v>19</v>
      </c>
      <c r="D37" s="72">
        <v>1</v>
      </c>
      <c r="E37" s="73">
        <v>2.631578947368421E-3</v>
      </c>
    </row>
    <row r="38" spans="2:5" ht="13.5">
      <c r="B38" s="102" t="s">
        <v>64</v>
      </c>
      <c r="C38" s="60" t="s">
        <v>121</v>
      </c>
      <c r="D38" s="26">
        <v>6</v>
      </c>
      <c r="E38" s="25">
        <v>1.5789473684210527E-2</v>
      </c>
    </row>
    <row r="39" spans="2:5" ht="13.5">
      <c r="B39" s="103"/>
      <c r="C39" s="60" t="s">
        <v>120</v>
      </c>
      <c r="D39" s="26">
        <v>1</v>
      </c>
      <c r="E39" s="25">
        <v>2.631578947368421E-3</v>
      </c>
    </row>
    <row r="40" spans="2:5" ht="13.5">
      <c r="B40" s="104"/>
      <c r="C40" s="71" t="s">
        <v>19</v>
      </c>
      <c r="D40" s="72">
        <v>7</v>
      </c>
      <c r="E40" s="73">
        <v>1.8421052631578946E-2</v>
      </c>
    </row>
    <row r="41" spans="2:5" ht="13.5">
      <c r="B41" s="102" t="s">
        <v>79</v>
      </c>
      <c r="C41" s="60" t="s">
        <v>121</v>
      </c>
      <c r="D41" s="26">
        <v>17</v>
      </c>
      <c r="E41" s="25">
        <v>4.4736842105263158E-2</v>
      </c>
    </row>
    <row r="42" spans="2:5" ht="13.5">
      <c r="B42" s="103"/>
      <c r="C42" s="60" t="s">
        <v>120</v>
      </c>
      <c r="D42" s="26">
        <v>17</v>
      </c>
      <c r="E42" s="25">
        <v>4.4736842105263158E-2</v>
      </c>
    </row>
    <row r="43" spans="2:5" ht="13.5">
      <c r="B43" s="104"/>
      <c r="C43" s="71" t="s">
        <v>19</v>
      </c>
      <c r="D43" s="72">
        <v>34</v>
      </c>
      <c r="E43" s="73">
        <v>8.9473684210526316E-2</v>
      </c>
    </row>
    <row r="44" spans="2:5" ht="13.5">
      <c r="B44" s="102" t="s">
        <v>83</v>
      </c>
      <c r="C44" s="60" t="s">
        <v>121</v>
      </c>
      <c r="D44" s="26">
        <v>5</v>
      </c>
      <c r="E44" s="25">
        <v>1.3157894736842105E-2</v>
      </c>
    </row>
    <row r="45" spans="2:5" ht="13.5">
      <c r="B45" s="103"/>
      <c r="C45" s="60" t="s">
        <v>120</v>
      </c>
      <c r="D45" s="26">
        <v>4</v>
      </c>
      <c r="E45" s="25">
        <v>1.0526315789473684E-2</v>
      </c>
    </row>
    <row r="46" spans="2:5" ht="13.5">
      <c r="B46" s="104"/>
      <c r="C46" s="71" t="s">
        <v>19</v>
      </c>
      <c r="D46" s="72">
        <v>9</v>
      </c>
      <c r="E46" s="73">
        <v>2.368421052631579E-2</v>
      </c>
    </row>
    <row r="47" spans="2:5" ht="13.5">
      <c r="B47" s="102" t="s">
        <v>67</v>
      </c>
      <c r="C47" s="60" t="s">
        <v>120</v>
      </c>
      <c r="D47" s="26">
        <v>1</v>
      </c>
      <c r="E47" s="25">
        <v>2.631578947368421E-3</v>
      </c>
    </row>
    <row r="48" spans="2:5" ht="13.5">
      <c r="B48" s="104"/>
      <c r="C48" s="71" t="s">
        <v>19</v>
      </c>
      <c r="D48" s="72">
        <v>1</v>
      </c>
      <c r="E48" s="73">
        <v>2.631578947368421E-3</v>
      </c>
    </row>
    <row r="49" spans="2:5" ht="13.5">
      <c r="B49" s="102" t="s">
        <v>69</v>
      </c>
      <c r="C49" s="60" t="s">
        <v>121</v>
      </c>
      <c r="D49" s="26">
        <v>7</v>
      </c>
      <c r="E49" s="25">
        <v>1.8421052631578946E-2</v>
      </c>
    </row>
    <row r="50" spans="2:5" ht="13.5">
      <c r="B50" s="103"/>
      <c r="C50" s="60" t="s">
        <v>120</v>
      </c>
      <c r="D50" s="26">
        <v>11</v>
      </c>
      <c r="E50" s="25">
        <v>2.8947368421052631E-2</v>
      </c>
    </row>
    <row r="51" spans="2:5" ht="13.5">
      <c r="B51" s="104"/>
      <c r="C51" s="71" t="s">
        <v>19</v>
      </c>
      <c r="D51" s="72">
        <v>18</v>
      </c>
      <c r="E51" s="73">
        <v>4.736842105263158E-2</v>
      </c>
    </row>
    <row r="52" spans="2:5" ht="13.5">
      <c r="B52" s="102" t="s">
        <v>73</v>
      </c>
      <c r="C52" s="60" t="s">
        <v>121</v>
      </c>
      <c r="D52" s="26">
        <v>2</v>
      </c>
      <c r="E52" s="25">
        <v>5.263157894736842E-3</v>
      </c>
    </row>
    <row r="53" spans="2:5" ht="13.5">
      <c r="B53" s="103"/>
      <c r="C53" s="60" t="s">
        <v>120</v>
      </c>
      <c r="D53" s="26">
        <v>2</v>
      </c>
      <c r="E53" s="25">
        <v>5.263157894736842E-3</v>
      </c>
    </row>
    <row r="54" spans="2:5" ht="13.5">
      <c r="B54" s="104"/>
      <c r="C54" s="71" t="s">
        <v>19</v>
      </c>
      <c r="D54" s="72">
        <v>4</v>
      </c>
      <c r="E54" s="73">
        <v>1.0526315789473684E-2</v>
      </c>
    </row>
    <row r="55" spans="2:5" ht="13.5">
      <c r="B55" s="102" t="s">
        <v>85</v>
      </c>
      <c r="C55" s="60" t="s">
        <v>121</v>
      </c>
      <c r="D55" s="26">
        <v>17</v>
      </c>
      <c r="E55" s="25">
        <v>4.4736842105263158E-2</v>
      </c>
    </row>
    <row r="56" spans="2:5" ht="13.5">
      <c r="B56" s="103"/>
      <c r="C56" s="60" t="s">
        <v>120</v>
      </c>
      <c r="D56" s="26">
        <v>23</v>
      </c>
      <c r="E56" s="25">
        <v>6.0526315789473685E-2</v>
      </c>
    </row>
    <row r="57" spans="2:5" ht="13.5">
      <c r="B57" s="104"/>
      <c r="C57" s="71" t="s">
        <v>19</v>
      </c>
      <c r="D57" s="72">
        <v>40</v>
      </c>
      <c r="E57" s="73">
        <v>0.10526315789473684</v>
      </c>
    </row>
    <row r="58" spans="2:5" ht="13.5">
      <c r="B58" s="102" t="s">
        <v>61</v>
      </c>
      <c r="C58" s="60" t="s">
        <v>121</v>
      </c>
      <c r="D58" s="26">
        <v>3</v>
      </c>
      <c r="E58" s="25">
        <v>7.8947368421052634E-3</v>
      </c>
    </row>
    <row r="59" spans="2:5" ht="13.5">
      <c r="B59" s="104"/>
      <c r="C59" s="71" t="s">
        <v>19</v>
      </c>
      <c r="D59" s="72">
        <v>3</v>
      </c>
      <c r="E59" s="73">
        <v>7.8947368421052634E-3</v>
      </c>
    </row>
    <row r="60" spans="2:5" ht="13.5">
      <c r="B60" s="102" t="s">
        <v>60</v>
      </c>
      <c r="C60" s="60" t="s">
        <v>120</v>
      </c>
      <c r="D60" s="26">
        <v>1</v>
      </c>
      <c r="E60" s="25">
        <v>2.631578947368421E-3</v>
      </c>
    </row>
    <row r="61" spans="2:5" ht="13.5">
      <c r="B61" s="104"/>
      <c r="C61" s="71" t="s">
        <v>19</v>
      </c>
      <c r="D61" s="72">
        <v>1</v>
      </c>
      <c r="E61" s="73">
        <v>2.631578947368421E-3</v>
      </c>
    </row>
    <row r="62" spans="2:5" ht="13.5">
      <c r="B62" s="102" t="s">
        <v>53</v>
      </c>
      <c r="C62" s="60" t="s">
        <v>121</v>
      </c>
      <c r="D62" s="26">
        <v>1</v>
      </c>
      <c r="E62" s="25">
        <v>2.631578947368421E-3</v>
      </c>
    </row>
    <row r="63" spans="2:5" ht="13.5">
      <c r="B63" s="103"/>
      <c r="C63" s="60" t="s">
        <v>120</v>
      </c>
      <c r="D63" s="26">
        <v>1</v>
      </c>
      <c r="E63" s="25">
        <v>2.631578947368421E-3</v>
      </c>
    </row>
    <row r="64" spans="2:5" ht="13.5">
      <c r="B64" s="104"/>
      <c r="C64" s="71" t="s">
        <v>19</v>
      </c>
      <c r="D64" s="72">
        <v>2</v>
      </c>
      <c r="E64" s="73">
        <v>5.263157894736842E-3</v>
      </c>
    </row>
    <row r="65" spans="2:5" ht="13.5">
      <c r="B65" s="102" t="s">
        <v>80</v>
      </c>
      <c r="C65" s="60" t="s">
        <v>121</v>
      </c>
      <c r="D65" s="26">
        <v>3</v>
      </c>
      <c r="E65" s="25">
        <v>7.8947368421052634E-3</v>
      </c>
    </row>
    <row r="66" spans="2:5" ht="13.5">
      <c r="B66" s="104"/>
      <c r="C66" s="71" t="s">
        <v>19</v>
      </c>
      <c r="D66" s="72">
        <v>3</v>
      </c>
      <c r="E66" s="73">
        <v>7.8947368421052634E-3</v>
      </c>
    </row>
    <row r="67" spans="2:5" ht="13.5">
      <c r="B67" s="102" t="s">
        <v>55</v>
      </c>
      <c r="C67" s="60" t="s">
        <v>121</v>
      </c>
      <c r="D67" s="26">
        <v>3</v>
      </c>
      <c r="E67" s="25">
        <v>7.8947368421052634E-3</v>
      </c>
    </row>
    <row r="68" spans="2:5" ht="13.5">
      <c r="B68" s="104"/>
      <c r="C68" s="71" t="s">
        <v>19</v>
      </c>
      <c r="D68" s="72">
        <v>3</v>
      </c>
      <c r="E68" s="73">
        <v>7.8947368421052634E-3</v>
      </c>
    </row>
    <row r="69" spans="2:5" ht="13.5">
      <c r="B69" s="102" t="s">
        <v>72</v>
      </c>
      <c r="C69" s="60" t="s">
        <v>121</v>
      </c>
      <c r="D69" s="26">
        <v>5</v>
      </c>
      <c r="E69" s="25">
        <v>1.3157894736842105E-2</v>
      </c>
    </row>
    <row r="70" spans="2:5" ht="13.5">
      <c r="B70" s="103"/>
      <c r="C70" s="60" t="s">
        <v>120</v>
      </c>
      <c r="D70" s="26">
        <v>5</v>
      </c>
      <c r="E70" s="25">
        <v>1.3157894736842105E-2</v>
      </c>
    </row>
    <row r="71" spans="2:5" ht="13.5">
      <c r="B71" s="104"/>
      <c r="C71" s="71" t="s">
        <v>19</v>
      </c>
      <c r="D71" s="72">
        <v>10</v>
      </c>
      <c r="E71" s="73">
        <v>2.6315789473684209E-2</v>
      </c>
    </row>
    <row r="72" spans="2:5" ht="13.5">
      <c r="B72" s="102" t="s">
        <v>68</v>
      </c>
      <c r="C72" s="60" t="s">
        <v>121</v>
      </c>
      <c r="D72" s="26">
        <v>6</v>
      </c>
      <c r="E72" s="25">
        <v>1.5789473684210527E-2</v>
      </c>
    </row>
    <row r="73" spans="2:5" ht="13.5">
      <c r="B73" s="103"/>
      <c r="C73" s="60" t="s">
        <v>120</v>
      </c>
      <c r="D73" s="26">
        <v>9</v>
      </c>
      <c r="E73" s="25">
        <v>2.368421052631579E-2</v>
      </c>
    </row>
    <row r="74" spans="2:5" ht="13.5">
      <c r="B74" s="104"/>
      <c r="C74" s="71" t="s">
        <v>19</v>
      </c>
      <c r="D74" s="72">
        <v>15</v>
      </c>
      <c r="E74" s="73">
        <v>3.9473684210526314E-2</v>
      </c>
    </row>
    <row r="75" spans="2:5" ht="13.5">
      <c r="B75" s="102" t="s">
        <v>58</v>
      </c>
      <c r="C75" s="60" t="s">
        <v>121</v>
      </c>
      <c r="D75" s="26">
        <v>7</v>
      </c>
      <c r="E75" s="25">
        <v>1.8421052631578946E-2</v>
      </c>
    </row>
    <row r="76" spans="2:5" ht="13.5">
      <c r="B76" s="103"/>
      <c r="C76" s="60" t="s">
        <v>120</v>
      </c>
      <c r="D76" s="26">
        <v>10</v>
      </c>
      <c r="E76" s="25">
        <v>2.6315789473684209E-2</v>
      </c>
    </row>
    <row r="77" spans="2:5" ht="13.5">
      <c r="B77" s="104"/>
      <c r="C77" s="71" t="s">
        <v>19</v>
      </c>
      <c r="D77" s="72">
        <v>17</v>
      </c>
      <c r="E77" s="73">
        <v>4.4736842105263158E-2</v>
      </c>
    </row>
    <row r="78" spans="2:5" ht="13.5">
      <c r="B78" s="102" t="s">
        <v>62</v>
      </c>
      <c r="C78" s="60" t="s">
        <v>121</v>
      </c>
      <c r="D78" s="26">
        <v>2</v>
      </c>
      <c r="E78" s="25">
        <v>5.263157894736842E-3</v>
      </c>
    </row>
    <row r="79" spans="2:5" ht="13.5">
      <c r="B79" s="103"/>
      <c r="C79" s="60" t="s">
        <v>120</v>
      </c>
      <c r="D79" s="26">
        <v>6</v>
      </c>
      <c r="E79" s="25">
        <v>1.5789473684210527E-2</v>
      </c>
    </row>
    <row r="80" spans="2:5" ht="13.5">
      <c r="B80" s="104"/>
      <c r="C80" s="71" t="s">
        <v>19</v>
      </c>
      <c r="D80" s="72">
        <v>8</v>
      </c>
      <c r="E80" s="73">
        <v>2.1052631578947368E-2</v>
      </c>
    </row>
    <row r="81" spans="2:5" ht="13.5">
      <c r="B81" s="102" t="s">
        <v>78</v>
      </c>
      <c r="C81" s="60" t="s">
        <v>121</v>
      </c>
      <c r="D81" s="26">
        <v>13</v>
      </c>
      <c r="E81" s="25">
        <v>3.4210526315789476E-2</v>
      </c>
    </row>
    <row r="82" spans="2:5" ht="13.5">
      <c r="B82" s="103"/>
      <c r="C82" s="60" t="s">
        <v>120</v>
      </c>
      <c r="D82" s="26">
        <v>7</v>
      </c>
      <c r="E82" s="25">
        <v>1.8421052631578946E-2</v>
      </c>
    </row>
    <row r="83" spans="2:5" ht="13.5">
      <c r="B83" s="104"/>
      <c r="C83" s="71" t="s">
        <v>19</v>
      </c>
      <c r="D83" s="72">
        <v>20</v>
      </c>
      <c r="E83" s="73">
        <v>5.2631578947368418E-2</v>
      </c>
    </row>
    <row r="84" spans="2:5" ht="13.5">
      <c r="B84" s="102" t="s">
        <v>70</v>
      </c>
      <c r="C84" s="60" t="s">
        <v>121</v>
      </c>
      <c r="D84" s="26">
        <v>5</v>
      </c>
      <c r="E84" s="25">
        <v>1.3157894736842105E-2</v>
      </c>
    </row>
    <row r="85" spans="2:5" ht="13.5">
      <c r="B85" s="103"/>
      <c r="C85" s="60" t="s">
        <v>120</v>
      </c>
      <c r="D85" s="26">
        <v>4</v>
      </c>
      <c r="E85" s="25">
        <v>1.0526315789473684E-2</v>
      </c>
    </row>
    <row r="86" spans="2:5" ht="13.5">
      <c r="B86" s="104"/>
      <c r="C86" s="71" t="s">
        <v>19</v>
      </c>
      <c r="D86" s="72">
        <v>9</v>
      </c>
      <c r="E86" s="73">
        <v>2.368421052631579E-2</v>
      </c>
    </row>
    <row r="87" spans="2:5" ht="13.5">
      <c r="B87" s="102" t="s">
        <v>57</v>
      </c>
      <c r="C87" s="60" t="s">
        <v>121</v>
      </c>
      <c r="D87" s="26">
        <v>2</v>
      </c>
      <c r="E87" s="25">
        <v>5.263157894736842E-3</v>
      </c>
    </row>
    <row r="88" spans="2:5" ht="13.5">
      <c r="B88" s="103"/>
      <c r="C88" s="60" t="s">
        <v>120</v>
      </c>
      <c r="D88" s="26">
        <v>1</v>
      </c>
      <c r="E88" s="25">
        <v>2.631578947368421E-3</v>
      </c>
    </row>
    <row r="89" spans="2:5" ht="13.5">
      <c r="B89" s="104"/>
      <c r="C89" s="71" t="s">
        <v>19</v>
      </c>
      <c r="D89" s="72">
        <v>3</v>
      </c>
      <c r="E89" s="73">
        <v>7.8947368421052634E-3</v>
      </c>
    </row>
    <row r="90" spans="2:5" ht="13.5">
      <c r="B90" s="102" t="s">
        <v>59</v>
      </c>
      <c r="C90" s="60" t="s">
        <v>121</v>
      </c>
      <c r="D90" s="26">
        <v>7</v>
      </c>
      <c r="E90" s="25">
        <v>1.8421052631578946E-2</v>
      </c>
    </row>
    <row r="91" spans="2:5" ht="13.5">
      <c r="B91" s="103"/>
      <c r="C91" s="60" t="s">
        <v>120</v>
      </c>
      <c r="D91" s="26">
        <v>10</v>
      </c>
      <c r="E91" s="25">
        <v>2.6315789473684209E-2</v>
      </c>
    </row>
    <row r="92" spans="2:5" ht="13.5">
      <c r="B92" s="104"/>
      <c r="C92" s="71" t="s">
        <v>19</v>
      </c>
      <c r="D92" s="72">
        <v>17</v>
      </c>
      <c r="E92" s="73">
        <v>4.4736842105263158E-2</v>
      </c>
    </row>
    <row r="93" spans="2:5" ht="13.5">
      <c r="B93" s="102" t="s">
        <v>65</v>
      </c>
      <c r="C93" s="60" t="s">
        <v>121</v>
      </c>
      <c r="D93" s="26">
        <v>1</v>
      </c>
      <c r="E93" s="25">
        <v>2.631578947368421E-3</v>
      </c>
    </row>
    <row r="94" spans="2:5" ht="13.5">
      <c r="B94" s="104"/>
      <c r="C94" s="71" t="s">
        <v>19</v>
      </c>
      <c r="D94" s="72">
        <v>1</v>
      </c>
      <c r="E94" s="73">
        <v>2.631578947368421E-3</v>
      </c>
    </row>
    <row r="95" spans="2:5" ht="13.5">
      <c r="B95" s="102" t="s">
        <v>77</v>
      </c>
      <c r="C95" s="60" t="s">
        <v>121</v>
      </c>
      <c r="D95" s="26">
        <v>14</v>
      </c>
      <c r="E95" s="25">
        <v>3.6842105263157891E-2</v>
      </c>
    </row>
    <row r="96" spans="2:5" ht="13.5">
      <c r="B96" s="103"/>
      <c r="C96" s="60" t="s">
        <v>120</v>
      </c>
      <c r="D96" s="26">
        <v>4</v>
      </c>
      <c r="E96" s="25">
        <v>1.0526315789473684E-2</v>
      </c>
    </row>
    <row r="97" spans="2:5" ht="13.5">
      <c r="B97" s="104"/>
      <c r="C97" s="71" t="s">
        <v>19</v>
      </c>
      <c r="D97" s="72">
        <v>18</v>
      </c>
      <c r="E97" s="73">
        <v>4.736842105263158E-2</v>
      </c>
    </row>
    <row r="98" spans="2:5" ht="13.5">
      <c r="B98" s="102" t="s">
        <v>63</v>
      </c>
      <c r="C98" s="60" t="s">
        <v>121</v>
      </c>
      <c r="D98" s="26">
        <v>9</v>
      </c>
      <c r="E98" s="25">
        <v>2.368421052631579E-2</v>
      </c>
    </row>
    <row r="99" spans="2:5" ht="13.5">
      <c r="B99" s="103"/>
      <c r="C99" s="60" t="s">
        <v>120</v>
      </c>
      <c r="D99" s="26">
        <v>5</v>
      </c>
      <c r="E99" s="25">
        <v>1.3157894736842105E-2</v>
      </c>
    </row>
    <row r="100" spans="2:5" ht="13.5">
      <c r="B100" s="104"/>
      <c r="C100" s="71" t="s">
        <v>19</v>
      </c>
      <c r="D100" s="72">
        <v>14</v>
      </c>
      <c r="E100" s="73">
        <v>3.6842105263157891E-2</v>
      </c>
    </row>
    <row r="101" spans="2:5" ht="13.5">
      <c r="B101" s="102" t="s">
        <v>74</v>
      </c>
      <c r="C101" s="60" t="s">
        <v>121</v>
      </c>
      <c r="D101" s="26">
        <v>6</v>
      </c>
      <c r="E101" s="25">
        <v>1.5789473684210527E-2</v>
      </c>
    </row>
    <row r="102" spans="2:5" ht="13.5">
      <c r="B102" s="103"/>
      <c r="C102" s="60" t="s">
        <v>120</v>
      </c>
      <c r="D102" s="26">
        <v>5</v>
      </c>
      <c r="E102" s="25">
        <v>1.3157894736842105E-2</v>
      </c>
    </row>
    <row r="103" spans="2:5" ht="13.5">
      <c r="B103" s="104"/>
      <c r="C103" s="71" t="s">
        <v>19</v>
      </c>
      <c r="D103" s="72">
        <v>11</v>
      </c>
      <c r="E103" s="73">
        <v>2.8947368421052631E-2</v>
      </c>
    </row>
    <row r="104" spans="2:5" ht="13.5">
      <c r="B104" s="102" t="s">
        <v>75</v>
      </c>
      <c r="C104" s="60" t="s">
        <v>121</v>
      </c>
      <c r="D104" s="26">
        <v>9</v>
      </c>
      <c r="E104" s="25">
        <v>2.368421052631579E-2</v>
      </c>
    </row>
    <row r="105" spans="2:5" ht="13.5">
      <c r="B105" s="103"/>
      <c r="C105" s="60" t="s">
        <v>120</v>
      </c>
      <c r="D105" s="26">
        <v>9</v>
      </c>
      <c r="E105" s="25">
        <v>2.368421052631579E-2</v>
      </c>
    </row>
    <row r="106" spans="2:5" ht="13.5">
      <c r="B106" s="104"/>
      <c r="C106" s="71" t="s">
        <v>19</v>
      </c>
      <c r="D106" s="72">
        <v>18</v>
      </c>
      <c r="E106" s="73">
        <v>4.736842105263158E-2</v>
      </c>
    </row>
    <row r="107" spans="2:5" ht="13.5">
      <c r="B107" s="102" t="s">
        <v>76</v>
      </c>
      <c r="C107" s="60" t="s">
        <v>121</v>
      </c>
      <c r="D107" s="26">
        <v>7</v>
      </c>
      <c r="E107" s="25">
        <v>1.8421052631578946E-2</v>
      </c>
    </row>
    <row r="108" spans="2:5" ht="13.5">
      <c r="B108" s="103"/>
      <c r="C108" s="60" t="s">
        <v>120</v>
      </c>
      <c r="D108" s="26">
        <v>5</v>
      </c>
      <c r="E108" s="25">
        <v>1.3157894736842105E-2</v>
      </c>
    </row>
    <row r="109" spans="2:5" ht="13.5">
      <c r="B109" s="104"/>
      <c r="C109" s="71" t="s">
        <v>19</v>
      </c>
      <c r="D109" s="72">
        <v>12</v>
      </c>
      <c r="E109" s="73">
        <v>3.1578947368421054E-2</v>
      </c>
    </row>
    <row r="110" spans="2:5" ht="13.5">
      <c r="B110" s="102" t="s">
        <v>56</v>
      </c>
      <c r="C110" s="60" t="s">
        <v>121</v>
      </c>
      <c r="D110" s="26">
        <v>2</v>
      </c>
      <c r="E110" s="25">
        <v>5.263157894736842E-3</v>
      </c>
    </row>
    <row r="111" spans="2:5" ht="13.5">
      <c r="B111" s="103"/>
      <c r="C111" s="60" t="s">
        <v>120</v>
      </c>
      <c r="D111" s="26">
        <v>3</v>
      </c>
      <c r="E111" s="25">
        <v>7.8947368421052634E-3</v>
      </c>
    </row>
    <row r="112" spans="2:5" ht="13.5">
      <c r="B112" s="104"/>
      <c r="C112" s="71" t="s">
        <v>19</v>
      </c>
      <c r="D112" s="72">
        <v>5</v>
      </c>
      <c r="E112" s="73">
        <v>1.3157894736842105E-2</v>
      </c>
    </row>
    <row r="113" spans="2:5" ht="13.5">
      <c r="B113" s="102" t="s">
        <v>49</v>
      </c>
      <c r="C113" s="60" t="s">
        <v>121</v>
      </c>
      <c r="D113" s="26">
        <v>2</v>
      </c>
      <c r="E113" s="25">
        <v>5.263157894736842E-3</v>
      </c>
    </row>
    <row r="114" spans="2:5" ht="13.5">
      <c r="B114" s="103"/>
      <c r="C114" s="60" t="s">
        <v>120</v>
      </c>
      <c r="D114" s="26">
        <v>2</v>
      </c>
      <c r="E114" s="25">
        <v>5.263157894736842E-3</v>
      </c>
    </row>
    <row r="115" spans="2:5" ht="13.5">
      <c r="B115" s="104"/>
      <c r="C115" s="71" t="s">
        <v>19</v>
      </c>
      <c r="D115" s="72">
        <v>4</v>
      </c>
      <c r="E115" s="73">
        <v>1.0526315789473684E-2</v>
      </c>
    </row>
    <row r="116" spans="2:5" ht="13.5">
      <c r="B116" s="102" t="s">
        <v>33</v>
      </c>
      <c r="C116" s="60" t="s">
        <v>120</v>
      </c>
      <c r="D116" s="26">
        <v>2</v>
      </c>
      <c r="E116" s="25">
        <v>5.263157894736842E-3</v>
      </c>
    </row>
    <row r="117" spans="2:5" ht="13.5">
      <c r="B117" s="104"/>
      <c r="C117" s="71" t="s">
        <v>19</v>
      </c>
      <c r="D117" s="72">
        <v>2</v>
      </c>
      <c r="E117" s="73">
        <v>5.263157894736842E-3</v>
      </c>
    </row>
    <row r="118" spans="2:5" ht="13.5">
      <c r="B118" s="102" t="s">
        <v>158</v>
      </c>
      <c r="C118" s="60" t="s">
        <v>120</v>
      </c>
      <c r="D118" s="26">
        <v>1</v>
      </c>
      <c r="E118" s="25">
        <v>2.631578947368421E-3</v>
      </c>
    </row>
    <row r="119" spans="2:5" ht="13.5">
      <c r="B119" s="104"/>
      <c r="C119" s="71" t="s">
        <v>19</v>
      </c>
      <c r="D119" s="72">
        <v>1</v>
      </c>
      <c r="E119" s="73">
        <v>2.631578947368421E-3</v>
      </c>
    </row>
    <row r="120" spans="2:5" ht="13.5">
      <c r="B120" s="98" t="s">
        <v>116</v>
      </c>
      <c r="C120" s="99"/>
      <c r="D120" s="23">
        <v>380</v>
      </c>
      <c r="E120" s="22">
        <v>1</v>
      </c>
    </row>
    <row r="122" spans="2:5">
      <c r="B122" s="19" t="s">
        <v>155</v>
      </c>
    </row>
    <row r="123" spans="2:5">
      <c r="B123" s="21" t="s">
        <v>18</v>
      </c>
    </row>
    <row r="124" spans="2:5">
      <c r="B124" s="20" t="s">
        <v>17</v>
      </c>
    </row>
    <row r="125" spans="2:5">
      <c r="B125" s="19" t="s">
        <v>16</v>
      </c>
    </row>
    <row r="126" spans="2:5">
      <c r="B126" s="19" t="s">
        <v>156</v>
      </c>
    </row>
    <row r="127" spans="2:5">
      <c r="B127" s="29"/>
      <c r="C127" s="29"/>
      <c r="D127" s="29"/>
      <c r="E127" s="29"/>
    </row>
    <row r="128" spans="2:5">
      <c r="B128" s="29"/>
      <c r="C128" s="29"/>
      <c r="D128" s="29"/>
      <c r="E128" s="29"/>
    </row>
    <row r="129" spans="2:5">
      <c r="B129" s="29"/>
      <c r="C129" s="29"/>
      <c r="D129" s="29"/>
      <c r="E129" s="29"/>
    </row>
    <row r="130" spans="2:5">
      <c r="B130" s="29"/>
      <c r="C130" s="29"/>
      <c r="D130" s="29"/>
      <c r="E130" s="29"/>
    </row>
    <row r="131" spans="2:5">
      <c r="B131" s="29"/>
      <c r="C131" s="29"/>
      <c r="D131" s="29"/>
      <c r="E131" s="29"/>
    </row>
    <row r="132" spans="2:5">
      <c r="B132" s="29"/>
      <c r="C132" s="29"/>
      <c r="D132" s="29"/>
      <c r="E132" s="29"/>
    </row>
    <row r="133" spans="2:5">
      <c r="B133" s="29"/>
      <c r="C133" s="29"/>
      <c r="D133" s="29"/>
      <c r="E133" s="29"/>
    </row>
    <row r="134" spans="2:5">
      <c r="B134" s="29"/>
      <c r="C134" s="29"/>
      <c r="D134" s="29"/>
      <c r="E134" s="29"/>
    </row>
    <row r="135" spans="2:5">
      <c r="B135" s="29"/>
      <c r="C135" s="29"/>
      <c r="D135" s="29"/>
      <c r="E135" s="29"/>
    </row>
  </sheetData>
  <mergeCells count="41">
    <mergeCell ref="B55:B57"/>
    <mergeCell ref="B58:B59"/>
    <mergeCell ref="B60:B61"/>
    <mergeCell ref="B62:B64"/>
    <mergeCell ref="B101:B103"/>
    <mergeCell ref="B81:B83"/>
    <mergeCell ref="B84:B86"/>
    <mergeCell ref="B87:B89"/>
    <mergeCell ref="B90:B92"/>
    <mergeCell ref="B65:B66"/>
    <mergeCell ref="B67:B68"/>
    <mergeCell ref="B72:B74"/>
    <mergeCell ref="B75:B77"/>
    <mergeCell ref="B78:B80"/>
    <mergeCell ref="B69:B71"/>
    <mergeCell ref="B93:B94"/>
    <mergeCell ref="B27:B29"/>
    <mergeCell ref="B30:B32"/>
    <mergeCell ref="B33:B35"/>
    <mergeCell ref="B49:B51"/>
    <mergeCell ref="B52:B54"/>
    <mergeCell ref="B36:B37"/>
    <mergeCell ref="B38:B40"/>
    <mergeCell ref="B41:B43"/>
    <mergeCell ref="B44:B46"/>
    <mergeCell ref="B47:B48"/>
    <mergeCell ref="B8:E10"/>
    <mergeCell ref="B13:B15"/>
    <mergeCell ref="B16:B18"/>
    <mergeCell ref="B19:B20"/>
    <mergeCell ref="B24:B26"/>
    <mergeCell ref="B21:B23"/>
    <mergeCell ref="B95:B97"/>
    <mergeCell ref="B98:B100"/>
    <mergeCell ref="B118:B119"/>
    <mergeCell ref="B120:C120"/>
    <mergeCell ref="B104:B106"/>
    <mergeCell ref="B107:B109"/>
    <mergeCell ref="B110:B112"/>
    <mergeCell ref="B113:B115"/>
    <mergeCell ref="B116:B11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opLeftCell="A10" zoomScale="98" zoomScaleNormal="98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94" t="s">
        <v>132</v>
      </c>
      <c r="C8" s="94"/>
      <c r="D8" s="94"/>
      <c r="E8" s="94"/>
      <c r="F8" s="94"/>
    </row>
    <row r="9" spans="1:7" s="61" customFormat="1" ht="15" customHeight="1">
      <c r="A9" s="63"/>
      <c r="B9" s="94"/>
      <c r="C9" s="94"/>
      <c r="D9" s="94"/>
      <c r="E9" s="94"/>
      <c r="F9" s="94"/>
      <c r="G9" s="64"/>
    </row>
    <row r="10" spans="1:7" s="61" customFormat="1" ht="15" customHeight="1">
      <c r="A10" s="63"/>
      <c r="B10" s="94"/>
      <c r="C10" s="94"/>
      <c r="D10" s="94"/>
      <c r="E10" s="94"/>
      <c r="F10" s="94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119</v>
      </c>
      <c r="C12" s="62" t="s">
        <v>131</v>
      </c>
      <c r="D12" s="62" t="s">
        <v>46</v>
      </c>
      <c r="E12" s="62" t="s">
        <v>130</v>
      </c>
      <c r="F12" s="62" t="s">
        <v>129</v>
      </c>
    </row>
    <row r="13" spans="1:7" ht="13.5">
      <c r="B13" s="106" t="s">
        <v>121</v>
      </c>
      <c r="C13" s="75" t="s">
        <v>128</v>
      </c>
      <c r="D13" s="76">
        <v>3</v>
      </c>
      <c r="E13" s="74">
        <v>1.5228426395939087E-2</v>
      </c>
      <c r="F13" s="74">
        <v>7.8947368421052634E-3</v>
      </c>
    </row>
    <row r="14" spans="1:7" ht="13.5">
      <c r="B14" s="107"/>
      <c r="C14" s="75" t="s">
        <v>127</v>
      </c>
      <c r="D14" s="76">
        <v>46</v>
      </c>
      <c r="E14" s="74">
        <v>0.233502538071066</v>
      </c>
      <c r="F14" s="74">
        <v>0.12105263157894737</v>
      </c>
    </row>
    <row r="15" spans="1:7" ht="13.5">
      <c r="B15" s="107"/>
      <c r="C15" s="75" t="s">
        <v>126</v>
      </c>
      <c r="D15" s="76">
        <v>71</v>
      </c>
      <c r="E15" s="74">
        <v>0.3604060913705584</v>
      </c>
      <c r="F15" s="74">
        <v>0.18684210526315789</v>
      </c>
    </row>
    <row r="16" spans="1:7" ht="21" customHeight="1">
      <c r="B16" s="107"/>
      <c r="C16" s="75" t="s">
        <v>125</v>
      </c>
      <c r="D16" s="76">
        <v>56</v>
      </c>
      <c r="E16" s="74">
        <v>0.28426395939086296</v>
      </c>
      <c r="F16" s="74">
        <v>0.14736842105263157</v>
      </c>
    </row>
    <row r="17" spans="2:6" ht="13.5">
      <c r="B17" s="107"/>
      <c r="C17" s="75" t="s">
        <v>124</v>
      </c>
      <c r="D17" s="76">
        <v>20</v>
      </c>
      <c r="E17" s="74">
        <v>0.10152284263959391</v>
      </c>
      <c r="F17" s="74">
        <v>5.2631578947368418E-2</v>
      </c>
    </row>
    <row r="18" spans="2:6" ht="13.5">
      <c r="B18" s="108"/>
      <c r="C18" s="75" t="s">
        <v>122</v>
      </c>
      <c r="D18" s="76">
        <v>1</v>
      </c>
      <c r="E18" s="74">
        <v>5.076142131979695E-3</v>
      </c>
      <c r="F18" s="74">
        <v>2.631578947368421E-3</v>
      </c>
    </row>
    <row r="19" spans="2:6" ht="13.5">
      <c r="B19" s="102" t="s">
        <v>120</v>
      </c>
      <c r="C19" s="60" t="s">
        <v>147</v>
      </c>
      <c r="D19" s="26">
        <v>1</v>
      </c>
      <c r="E19" s="25">
        <v>5.4644808743169399E-3</v>
      </c>
      <c r="F19" s="25">
        <v>2.631578947368421E-3</v>
      </c>
    </row>
    <row r="20" spans="2:6" ht="13.5">
      <c r="B20" s="103"/>
      <c r="C20" s="60" t="s">
        <v>128</v>
      </c>
      <c r="D20" s="26">
        <v>5</v>
      </c>
      <c r="E20" s="25">
        <v>2.7322404371584699E-2</v>
      </c>
      <c r="F20" s="25">
        <v>1.3157894736842105E-2</v>
      </c>
    </row>
    <row r="21" spans="2:6" ht="13.5">
      <c r="B21" s="103"/>
      <c r="C21" s="60" t="s">
        <v>127</v>
      </c>
      <c r="D21" s="26">
        <v>29</v>
      </c>
      <c r="E21" s="25">
        <v>0.15846994535519127</v>
      </c>
      <c r="F21" s="25">
        <v>7.6315789473684212E-2</v>
      </c>
    </row>
    <row r="22" spans="2:6" ht="13.5">
      <c r="B22" s="103"/>
      <c r="C22" s="60" t="s">
        <v>126</v>
      </c>
      <c r="D22" s="26">
        <v>72</v>
      </c>
      <c r="E22" s="25">
        <v>0.39344262295081966</v>
      </c>
      <c r="F22" s="25">
        <v>0.18947368421052632</v>
      </c>
    </row>
    <row r="23" spans="2:6" ht="27">
      <c r="B23" s="103"/>
      <c r="C23" s="60" t="s">
        <v>125</v>
      </c>
      <c r="D23" s="26">
        <v>54</v>
      </c>
      <c r="E23" s="25">
        <v>0.29508196721311475</v>
      </c>
      <c r="F23" s="25">
        <v>0.14210526315789473</v>
      </c>
    </row>
    <row r="24" spans="2:6" ht="13.5">
      <c r="B24" s="103"/>
      <c r="C24" s="60" t="s">
        <v>124</v>
      </c>
      <c r="D24" s="26">
        <v>21</v>
      </c>
      <c r="E24" s="25">
        <v>0.11475409836065574</v>
      </c>
      <c r="F24" s="25">
        <v>5.526315789473684E-2</v>
      </c>
    </row>
    <row r="25" spans="2:6" ht="13.5">
      <c r="B25" s="104"/>
      <c r="C25" s="60" t="s">
        <v>123</v>
      </c>
      <c r="D25" s="26">
        <v>1</v>
      </c>
      <c r="E25" s="25">
        <v>5.4644808743169399E-3</v>
      </c>
      <c r="F25" s="25">
        <v>2.631578947368421E-3</v>
      </c>
    </row>
    <row r="26" spans="2:6" ht="13.5">
      <c r="B26" s="24" t="s">
        <v>19</v>
      </c>
      <c r="C26" s="24"/>
      <c r="D26" s="23">
        <v>380</v>
      </c>
      <c r="E26" s="22"/>
      <c r="F26" s="22">
        <v>1</v>
      </c>
    </row>
    <row r="28" spans="2:6">
      <c r="B28" s="19" t="s">
        <v>155</v>
      </c>
    </row>
    <row r="29" spans="2:6">
      <c r="B29" s="21" t="s">
        <v>18</v>
      </c>
    </row>
    <row r="30" spans="2:6">
      <c r="B30" s="20" t="s">
        <v>17</v>
      </c>
    </row>
    <row r="31" spans="2:6">
      <c r="B31" s="19" t="s">
        <v>16</v>
      </c>
    </row>
    <row r="32" spans="2:6">
      <c r="B32" s="19" t="s">
        <v>156</v>
      </c>
    </row>
    <row r="33" spans="2:6">
      <c r="B33" s="29"/>
      <c r="C33" s="29"/>
      <c r="D33" s="29"/>
      <c r="E33" s="29"/>
      <c r="F33" s="29"/>
    </row>
    <row r="34" spans="2:6">
      <c r="B34" s="29"/>
      <c r="C34" s="29"/>
      <c r="D34" s="29"/>
      <c r="E34" s="29"/>
      <c r="F34" s="29"/>
    </row>
    <row r="35" spans="2:6">
      <c r="B35" s="29"/>
      <c r="C35" s="29"/>
      <c r="D35" s="29"/>
      <c r="E35" s="29"/>
      <c r="F35" s="29"/>
    </row>
  </sheetData>
  <mergeCells count="3">
    <mergeCell ref="B13:B18"/>
    <mergeCell ref="B19:B25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5"/>
  <sheetViews>
    <sheetView showGridLines="0" topLeftCell="A4" zoomScaleNormal="100" zoomScaleSheetLayoutView="115" workbookViewId="0">
      <selection activeCell="B30" sqref="B3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164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26.25" customHeight="1">
      <c r="B11" s="32" t="s">
        <v>143</v>
      </c>
      <c r="C11" s="31" t="s">
        <v>46</v>
      </c>
      <c r="D11" s="30" t="s">
        <v>45</v>
      </c>
    </row>
    <row r="12" spans="1:4">
      <c r="B12" s="27" t="s">
        <v>142</v>
      </c>
      <c r="C12" s="26">
        <v>197</v>
      </c>
      <c r="D12" s="25">
        <f t="shared" ref="D12:D28" si="0">C12/$C$28</f>
        <v>0.51842105263157889</v>
      </c>
    </row>
    <row r="13" spans="1:4">
      <c r="B13" s="27" t="s">
        <v>141</v>
      </c>
      <c r="C13" s="26">
        <v>94</v>
      </c>
      <c r="D13" s="25">
        <f t="shared" si="0"/>
        <v>0.24736842105263157</v>
      </c>
    </row>
    <row r="14" spans="1:4">
      <c r="B14" s="27" t="s">
        <v>140</v>
      </c>
      <c r="C14" s="26">
        <v>30</v>
      </c>
      <c r="D14" s="25">
        <f t="shared" si="0"/>
        <v>7.8947368421052627E-2</v>
      </c>
    </row>
    <row r="15" spans="1:4">
      <c r="B15" s="27" t="s">
        <v>139</v>
      </c>
      <c r="C15" s="26">
        <v>14</v>
      </c>
      <c r="D15" s="25">
        <f t="shared" si="0"/>
        <v>3.6842105263157891E-2</v>
      </c>
    </row>
    <row r="16" spans="1:4">
      <c r="B16" s="27" t="s">
        <v>165</v>
      </c>
      <c r="C16" s="26">
        <v>9</v>
      </c>
      <c r="D16" s="25">
        <f t="shared" si="0"/>
        <v>2.368421052631579E-2</v>
      </c>
    </row>
    <row r="17" spans="2:4">
      <c r="B17" s="27" t="s">
        <v>138</v>
      </c>
      <c r="C17" s="26">
        <v>8</v>
      </c>
      <c r="D17" s="25">
        <f t="shared" si="0"/>
        <v>2.1052631578947368E-2</v>
      </c>
    </row>
    <row r="18" spans="2:4">
      <c r="B18" s="27" t="s">
        <v>136</v>
      </c>
      <c r="C18" s="26">
        <v>8</v>
      </c>
      <c r="D18" s="25">
        <f t="shared" si="0"/>
        <v>2.1052631578947368E-2</v>
      </c>
    </row>
    <row r="19" spans="2:4">
      <c r="B19" s="27" t="s">
        <v>137</v>
      </c>
      <c r="C19" s="26">
        <v>5</v>
      </c>
      <c r="D19" s="25">
        <f t="shared" si="0"/>
        <v>1.3157894736842105E-2</v>
      </c>
    </row>
    <row r="20" spans="2:4">
      <c r="B20" s="27" t="s">
        <v>135</v>
      </c>
      <c r="C20" s="26">
        <v>5</v>
      </c>
      <c r="D20" s="25">
        <f t="shared" si="0"/>
        <v>1.3157894736842105E-2</v>
      </c>
    </row>
    <row r="21" spans="2:4">
      <c r="B21" s="27" t="s">
        <v>166</v>
      </c>
      <c r="C21" s="26">
        <v>2</v>
      </c>
      <c r="D21" s="25">
        <f t="shared" si="0"/>
        <v>5.263157894736842E-3</v>
      </c>
    </row>
    <row r="22" spans="2:4">
      <c r="B22" s="27" t="s">
        <v>167</v>
      </c>
      <c r="C22" s="26">
        <v>2</v>
      </c>
      <c r="D22" s="25">
        <f t="shared" si="0"/>
        <v>5.263157894736842E-3</v>
      </c>
    </row>
    <row r="23" spans="2:4">
      <c r="B23" s="27" t="s">
        <v>133</v>
      </c>
      <c r="C23" s="26">
        <v>2</v>
      </c>
      <c r="D23" s="25">
        <f t="shared" si="0"/>
        <v>5.263157894736842E-3</v>
      </c>
    </row>
    <row r="24" spans="2:4">
      <c r="B24" s="27" t="s">
        <v>134</v>
      </c>
      <c r="C24" s="26">
        <v>1</v>
      </c>
      <c r="D24" s="25">
        <f t="shared" si="0"/>
        <v>2.631578947368421E-3</v>
      </c>
    </row>
    <row r="25" spans="2:4">
      <c r="B25" s="27" t="s">
        <v>148</v>
      </c>
      <c r="C25" s="26">
        <v>1</v>
      </c>
      <c r="D25" s="25">
        <f t="shared" si="0"/>
        <v>2.631578947368421E-3</v>
      </c>
    </row>
    <row r="26" spans="2:4">
      <c r="B26" s="27" t="s">
        <v>168</v>
      </c>
      <c r="C26" s="26">
        <v>1</v>
      </c>
      <c r="D26" s="25">
        <f t="shared" si="0"/>
        <v>2.631578947368421E-3</v>
      </c>
    </row>
    <row r="27" spans="2:4">
      <c r="B27" s="27" t="s">
        <v>169</v>
      </c>
      <c r="C27" s="26">
        <v>1</v>
      </c>
      <c r="D27" s="25">
        <f t="shared" si="0"/>
        <v>2.631578947368421E-3</v>
      </c>
    </row>
    <row r="28" spans="2:4">
      <c r="B28" s="24" t="s">
        <v>19</v>
      </c>
      <c r="C28" s="23">
        <v>380</v>
      </c>
      <c r="D28" s="22">
        <f t="shared" si="0"/>
        <v>1</v>
      </c>
    </row>
    <row r="29" spans="2:4">
      <c r="C29" s="17"/>
    </row>
    <row r="30" spans="2:4">
      <c r="B30" s="70" t="s">
        <v>155</v>
      </c>
    </row>
    <row r="31" spans="2:4">
      <c r="B31" s="70" t="s">
        <v>18</v>
      </c>
    </row>
    <row r="32" spans="2:4">
      <c r="B32" s="70" t="s">
        <v>17</v>
      </c>
    </row>
    <row r="33" spans="2:2">
      <c r="B33" s="70" t="s">
        <v>16</v>
      </c>
    </row>
    <row r="34" spans="2:2">
      <c r="B34" s="70" t="s">
        <v>156</v>
      </c>
    </row>
    <row r="35" spans="2:2">
      <c r="B35" s="7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 Sur_EdoUsa</vt:lpstr>
      <vt:lpstr>Baja California Sur_Cons</vt:lpstr>
      <vt:lpstr>Baja California SurXCons</vt:lpstr>
      <vt:lpstr>Baja California Sur_EdoMun</vt:lpstr>
      <vt:lpstr>Baja California Sur_USAMuni</vt:lpstr>
      <vt:lpstr>Baja California Sur_MUNICIPIO</vt:lpstr>
      <vt:lpstr>Baja California Sur_educ_gral</vt:lpstr>
      <vt:lpstr>Baja California Sur_NivelE_Cons</vt:lpstr>
      <vt:lpstr>Baja California Sur_EducCons</vt:lpstr>
      <vt:lpstr>Baja California Sur_GenGral</vt:lpstr>
      <vt:lpstr>Baja California Sur_GENERO</vt:lpstr>
      <vt:lpstr>Baja California Sur_Gen_Edad</vt:lpstr>
      <vt:lpstr>Baja California Sur_ocup_gral</vt:lpstr>
      <vt:lpstr>'Baja California Sur_EducCons'!Área_de_impresión</vt:lpstr>
      <vt:lpstr>'Baja California Sur_MUNICIPIO'!Área_de_impresión</vt:lpstr>
      <vt:lpstr>'Baja California Sur_NivelE_Cons'!Área_de_impresión</vt:lpstr>
      <vt:lpstr>'Baja California Sur_USAMuni'!Área_de_impresión</vt:lpstr>
      <vt:lpstr>'Baja California Sur_Cons'!Títulos_a_imprimir</vt:lpstr>
      <vt:lpstr>'Baja California Sur_EdoMun'!Títulos_a_imprimir</vt:lpstr>
      <vt:lpstr>'Baja California Sur_EdoUsa'!Títulos_a_imprimir</vt:lpstr>
      <vt:lpstr>'Baja California Sur_educ_gral'!Títulos_a_imprimir</vt:lpstr>
      <vt:lpstr>'Baja California Sur_EducCons'!Títulos_a_imprimir</vt:lpstr>
      <vt:lpstr>'Baja California Sur_Gen_Edad'!Títulos_a_imprimir</vt:lpstr>
      <vt:lpstr>'Baja California Sur_GENERO'!Títulos_a_imprimir</vt:lpstr>
      <vt:lpstr>'Baja California Sur_GenGral'!Títulos_a_imprimir</vt:lpstr>
      <vt:lpstr>'Baja California Sur_MUNICIPIO'!Títulos_a_imprimir</vt:lpstr>
      <vt:lpstr>'Baja California Sur_NivelE_Cons'!Títulos_a_imprimir</vt:lpstr>
      <vt:lpstr>'Baja California Sur_ocup_gral'!Títulos_a_imprimir</vt:lpstr>
      <vt:lpstr>'Baja California Sur_USAMuni'!Títulos_a_imprimir</vt:lpstr>
      <vt:lpstr>'Baja California SurXCons'!Títulos_a_imprimir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2020-06-02T19:13:30Z</dcterms:created>
  <dcterms:modified xsi:type="dcterms:W3CDTF">2022-07-26T19:17:51Z</dcterms:modified>
</cp:coreProperties>
</file>