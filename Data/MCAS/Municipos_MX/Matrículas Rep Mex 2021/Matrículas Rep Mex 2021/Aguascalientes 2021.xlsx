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3040" windowHeight="8805" tabRatio="866" firstSheet="11" activeTab="13"/>
  </bookViews>
  <sheets>
    <sheet name="Índice" sheetId="14" r:id="rId1"/>
    <sheet name="Aguascalientes_EdoUsa" sheetId="1" r:id="rId2"/>
    <sheet name="Aguascalientes_Cons" sheetId="15" r:id="rId3"/>
    <sheet name="AguascalientesXCons" sheetId="16" r:id="rId4"/>
    <sheet name="Aguascalientes_EdoMun" sheetId="4" r:id="rId5"/>
    <sheet name="Aguascalientes_USAMuni" sheetId="5" r:id="rId6"/>
    <sheet name="Aguascalientes_MUNICIPIO" sheetId="6" r:id="rId7"/>
    <sheet name="Aguascalientes_educ_gral" sheetId="7" r:id="rId8"/>
    <sheet name="Aguascalientes_NivelE_Cons" sheetId="8" r:id="rId9"/>
    <sheet name="Aguascalientes_EducCons" sheetId="9" r:id="rId10"/>
    <sheet name="Aguascalientes_GenGral" sheetId="10" r:id="rId11"/>
    <sheet name="Aguascalientes_GENERO" sheetId="11" r:id="rId12"/>
    <sheet name="Aguascalientes_Gen_Edad" sheetId="12" r:id="rId13"/>
    <sheet name="Aguascalientes_ocup_gral" sheetId="13" r:id="rId14"/>
  </sheets>
  <definedNames>
    <definedName name="_xlnm._FilterDatabase" localSheetId="2" hidden="1">Aguascalientes_Cons!$B$11:$D$11</definedName>
    <definedName name="_xlnm._FilterDatabase" localSheetId="4" hidden="1">Aguascalientes_EdoMun!$B$11:$D$11</definedName>
    <definedName name="_xlnm._FilterDatabase" localSheetId="1" hidden="1">Aguascalientes_EdoUsa!$B$11:$D$11</definedName>
    <definedName name="_xlnm._FilterDatabase" localSheetId="7" hidden="1">Aguascalientes_educ_gral!$B$11:$D$11</definedName>
    <definedName name="_xlnm._FilterDatabase" localSheetId="9" hidden="1">Aguascalientes_EducCons!$B$9:$E$9</definedName>
    <definedName name="_xlnm._FilterDatabase" localSheetId="11" hidden="1">Aguascalientes_GENERO!$B$12:$E$147</definedName>
    <definedName name="_xlnm._FilterDatabase" localSheetId="10" hidden="1">Aguascalientes_GenGral!$B$11:$D$11</definedName>
    <definedName name="_xlnm._FilterDatabase" localSheetId="6" hidden="1">Aguascalientes_MUNICIPIO!$B$9:$E$9</definedName>
    <definedName name="_xlnm._FilterDatabase" localSheetId="8" hidden="1">Aguascalientes_NivelE_Cons!$B$9:$E$9</definedName>
    <definedName name="_xlnm._FilterDatabase" localSheetId="13" hidden="1">Aguascalientes_ocup_gral!$B$11:$D$11</definedName>
    <definedName name="_xlnm._FilterDatabase" localSheetId="5" hidden="1">Aguascalientes_USAMuni!$B$9:$E$9</definedName>
    <definedName name="_xlnm._FilterDatabase" localSheetId="3" hidden="1">AguascalientesXCons!$B$11:$D$11</definedName>
    <definedName name="_xlnm.Print_Area" localSheetId="9">Aguascalientes_EducCons!$A$1:$E$9</definedName>
    <definedName name="_xlnm.Print_Area" localSheetId="6">Aguascalientes_MUNICIPIO!$A$1:$E$9</definedName>
    <definedName name="_xlnm.Print_Area" localSheetId="8">Aguascalientes_NivelE_Cons!$A$1:$E$9</definedName>
    <definedName name="_xlnm.Print_Area" localSheetId="5">Aguascalientes_USAMuni!$A$1:$E$9</definedName>
    <definedName name="_xlnm.Print_Titles" localSheetId="2">Aguascalientes_Cons!$1:$11</definedName>
    <definedName name="_xlnm.Print_Titles" localSheetId="4">Aguascalientes_EdoMun!$1:$11</definedName>
    <definedName name="_xlnm.Print_Titles" localSheetId="1">Aguascalientes_EdoUsa!$1:$11</definedName>
    <definedName name="_xlnm.Print_Titles" localSheetId="7">Aguascalientes_educ_gral!$1:$11</definedName>
    <definedName name="_xlnm.Print_Titles" localSheetId="9">Aguascalientes_EducCons!$1:$9</definedName>
    <definedName name="_xlnm.Print_Titles" localSheetId="12">Aguascalientes_Gen_Edad!$1:$11</definedName>
    <definedName name="_xlnm.Print_Titles" localSheetId="11">Aguascalientes_GENERO!$1:$12</definedName>
    <definedName name="_xlnm.Print_Titles" localSheetId="10">Aguascalientes_GenGral!$1:$11</definedName>
    <definedName name="_xlnm.Print_Titles" localSheetId="6">Aguascalientes_MUNICIPIO!$1:$9</definedName>
    <definedName name="_xlnm.Print_Titles" localSheetId="8">Aguascalientes_NivelE_Cons!$1:$9</definedName>
    <definedName name="_xlnm.Print_Titles" localSheetId="13">Aguascalientes_ocup_gral!$1:$11</definedName>
    <definedName name="_xlnm.Print_Titles" localSheetId="5">Aguascalientes_USAMuni!$1:$9</definedName>
    <definedName name="_xlnm.Print_Titles" localSheetId="3">AguascalientesXCons!$1:$11</definedName>
  </definedNames>
  <calcPr calcId="152511"/>
</workbook>
</file>

<file path=xl/calcChain.xml><?xml version="1.0" encoding="utf-8"?>
<calcChain xmlns="http://schemas.openxmlformats.org/spreadsheetml/2006/main">
  <c r="D13" i="4" l="1"/>
  <c r="D14" i="4"/>
  <c r="D15" i="4"/>
  <c r="D16" i="4"/>
  <c r="D17" i="4"/>
  <c r="D18" i="4"/>
  <c r="D19" i="4"/>
  <c r="D20" i="4"/>
  <c r="D21" i="4"/>
  <c r="D22" i="4"/>
  <c r="D23" i="4"/>
  <c r="D12" i="4"/>
  <c r="D12" i="16"/>
  <c r="D13" i="16"/>
  <c r="D14" i="16"/>
  <c r="D15" i="16"/>
  <c r="D16" i="16"/>
  <c r="D17" i="16"/>
  <c r="D18" i="16"/>
  <c r="D19" i="16"/>
  <c r="D20" i="16"/>
  <c r="D21" i="16"/>
  <c r="D33" i="13" l="1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F28" i="12" l="1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D36" i="7" l="1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</calcChain>
</file>

<file path=xl/sharedStrings.xml><?xml version="1.0" encoding="utf-8"?>
<sst xmlns="http://schemas.openxmlformats.org/spreadsheetml/2006/main" count="2441" uniqueCount="212">
  <si>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</si>
  <si>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</si>
  <si>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</si>
  <si>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</si>
  <si>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</si>
  <si>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</si>
  <si>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</si>
  <si>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</si>
  <si>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</si>
  <si>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</si>
  <si>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</si>
  <si>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</si>
  <si>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</si>
  <si>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</si>
  <si>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</si>
  <si>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</si>
  <si>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</si>
  <si>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</si>
  <si>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</si>
  <si>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</si>
  <si>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</si>
  <si>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</si>
  <si>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</si>
  <si>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</si>
  <si>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</si>
  <si>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</si>
  <si>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</si>
  <si>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</si>
  <si>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</si>
  <si>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</si>
  <si>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</si>
  <si>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</si>
  <si>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</si>
  <si>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</si>
  <si>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</si>
  <si>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</si>
  <si>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</si>
  <si>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</si>
  <si>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</si>
  <si>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</si>
  <si>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</si>
  <si>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</si>
  <si>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</si>
  <si>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Massachusetts</t>
  </si>
  <si>
    <t>North Dakota</t>
  </si>
  <si>
    <t>South Dakota</t>
  </si>
  <si>
    <t>Total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</si>
  <si>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</si>
  <si>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</si>
  <si>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</si>
  <si>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</si>
  <si>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</si>
  <si>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</si>
  <si>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</si>
  <si>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</si>
  <si>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</si>
  <si>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</si>
  <si>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</si>
  <si>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</si>
  <si>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</si>
  <si>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</si>
  <si>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</si>
  <si>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</si>
  <si>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</si>
  <si>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</si>
  <si>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</si>
  <si>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</si>
  <si>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</si>
  <si>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</si>
  <si>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</si>
  <si>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</si>
  <si>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</si>
  <si>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</si>
  <si>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</si>
  <si>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</si>
  <si>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</si>
  <si>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</si>
  <si>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</si>
  <si>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</si>
  <si>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</si>
  <si>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</si>
  <si>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</si>
  <si>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</si>
  <si>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</si>
  <si>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</si>
  <si>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</si>
  <si>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</si>
  <si>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</si>
  <si>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</si>
  <si>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</si>
  <si>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</si>
  <si>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</si>
  <si>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</si>
  <si>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</si>
  <si>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El Llano</t>
  </si>
  <si>
    <t>San José de Gracia</t>
  </si>
  <si>
    <t>Cosío</t>
  </si>
  <si>
    <t>San Francisco de los Romo</t>
  </si>
  <si>
    <t>Tepezalá</t>
  </si>
  <si>
    <t>Asientos</t>
  </si>
  <si>
    <t>Jesús María</t>
  </si>
  <si>
    <t>Pabellón de Arteaga</t>
  </si>
  <si>
    <t>Rincón de Romos</t>
  </si>
  <si>
    <t>Calvillo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</si>
  <si>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</si>
  <si>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</si>
  <si>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</si>
  <si>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</si>
  <si>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</si>
  <si>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</si>
  <si>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</si>
  <si>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</si>
  <si>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</si>
  <si>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</si>
  <si>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</si>
  <si>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</si>
  <si>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</si>
  <si>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</si>
  <si>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</si>
  <si>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</si>
  <si>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</si>
  <si>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</si>
  <si>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</si>
  <si>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</si>
  <si>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</si>
  <si>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</si>
  <si>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</si>
  <si>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</si>
  <si>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</si>
  <si>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</si>
  <si>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</si>
  <si>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</si>
  <si>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</si>
  <si>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</si>
  <si>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</si>
  <si>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</si>
  <si>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</si>
  <si>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</si>
  <si>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</si>
  <si>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</si>
  <si>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</si>
  <si>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</si>
  <si>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</si>
  <si>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</si>
  <si>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</si>
  <si>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</si>
  <si>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</si>
  <si>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</si>
  <si>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</si>
  <si>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</si>
  <si>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</si>
  <si>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</si>
  <si>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</si>
  <si>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</si>
  <si>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</si>
  <si>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</si>
  <si>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AGUASCALIENTES POR GÉNERO Y EDAD EN EE.UU.</t>
  </si>
  <si>
    <t>Carnicero</t>
  </si>
  <si>
    <t>Panadero(a)</t>
  </si>
  <si>
    <t>Cajero(a)</t>
  </si>
  <si>
    <t>Profesionista</t>
  </si>
  <si>
    <t>Chofer</t>
  </si>
  <si>
    <t>Jubilado(a)</t>
  </si>
  <si>
    <t>Comerciante</t>
  </si>
  <si>
    <t>Operario(a)</t>
  </si>
  <si>
    <t>Mesero(a)</t>
  </si>
  <si>
    <t>Campesino(a)</t>
  </si>
  <si>
    <t>Pintor(a)</t>
  </si>
  <si>
    <t>Jardinero(a)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</si>
  <si>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</si>
  <si>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</si>
  <si>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</si>
  <si>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</si>
  <si>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</si>
  <si>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</si>
  <si>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</si>
  <si>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</si>
  <si>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</si>
  <si>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</si>
  <si>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</si>
  <si>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</si>
  <si>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</si>
  <si>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</si>
  <si>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</si>
  <si>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</si>
  <si>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</si>
  <si>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</si>
  <si>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</si>
  <si>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</si>
  <si>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</si>
  <si>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</si>
  <si>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</si>
  <si>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</si>
  <si>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Matrículas consulares expedidas a originarios de Aguascalientes en el 2021.</t>
  </si>
  <si>
    <t>Montana</t>
  </si>
  <si>
    <t>Alaska</t>
  </si>
  <si>
    <t>Maine</t>
  </si>
  <si>
    <t>West Virginia</t>
  </si>
  <si>
    <t>Tamaño de la muestra: 701,861</t>
  </si>
  <si>
    <t>Mayo de 2022</t>
  </si>
  <si>
    <t>MATRÍCULAS CONSULARES DE ALTA SEGURIDAD EXPEDIDAS A ORIGINARIOS DE AGUASCALIENTES POR ESTADO DE LA UNIÓN AMERICANA. DURANTE EL 2021</t>
  </si>
  <si>
    <t>MATRÍCULAS CONSULARES DE ALTA SEGURIDAD EXPEDIDAS DURANTE EL 2021 A ORIGINARIOS DE AGUASCALIENTES EN LOS CONSULADOS DE MÉXICO EN EE.UU.</t>
  </si>
  <si>
    <t>Yuma</t>
  </si>
  <si>
    <t>MATRÍCULAS CONSULARES DE ALTA SEGURIDAD EXPEDIDAS POR MUNICIPIO A ORIGINARIOS DEL ESTADO DE AGUASCALIENTES EN LOS CONSULADOS DE MÉXICO EN EE.UU. 2021</t>
  </si>
  <si>
    <t>MATRÍCULAS CONSULARES EXPEDIDAS EN EE.UU. A ORIGINARIOS DE AGUASCALIENTES POR NIVEL DE EDUCACIÓN, 2021.</t>
  </si>
  <si>
    <t>MATRÍCULAS CONSULARES EXPEDIDAS A ORIGINARIOS DE AGUASCALIENTES POR GÉNERO Y CONSULADO DE MÉXICO 2021.</t>
  </si>
  <si>
    <t>MATRÍCULAS CONSULARES EXPEDIDAS EN EE.UU. A ORIGINARIOS DE AGUASCALIENTES POR PERFIL OCUPACIONAL, 2021.</t>
  </si>
  <si>
    <t>Misionero(a)</t>
  </si>
  <si>
    <t>Taxista</t>
  </si>
  <si>
    <t>5.2 Por Circunscripción Consular</t>
  </si>
  <si>
    <t>MATRÍCULAS CONSULARES EXPEDIDAS A ORIGINARIOS DE AGUASCALIENTES POR GÉNERO EN EE.UU DURANTE EL 2021.</t>
  </si>
  <si>
    <t xml:space="preserve">LOS 10 CONSULADOS DE MÉXICO EN EE.UU. CON MAYOR NÚMERO DE EXPEDICIÓN DE MATRÍCULAS CONSULARES DURANTE EL 2021 A ORIGINARIOS DE AGUASCALIENTES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</si>
</sst>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3" fillId="0" borderId="0"/>
    <xf numFmtId="0" fontId="21" fillId="0" borderId="0" applyNumberForma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5" fillId="3" borderId="3" xfId="0" applyNumberFormat="1" applyFont="1" applyFill="1" applyBorder="1" applyAlignment="1">
      <alignment vertical="center" wrapText="1"/>
    </xf>
    <xf numFmtId="3" fontId="6" fillId="3" borderId="3" xfId="0" applyNumberFormat="1" applyFont="1" applyFill="1" applyBorder="1" applyAlignment="1">
      <alignment horizontal="right" vertical="center" wrapText="1"/>
    </xf>
    <xf numFmtId="164" fontId="6" fillId="3" borderId="3" xfId="0" applyNumberFormat="1" applyFont="1" applyFill="1" applyBorder="1" applyAlignment="1">
      <alignment horizontal="right" vertical="center" wrapText="1"/>
    </xf>
    <xf numFmtId="0" fontId="7" fillId="3" borderId="0" xfId="0" applyFont="1" applyFill="1"/>
    <xf numFmtId="49" fontId="4" fillId="4" borderId="3" xfId="0" applyNumberFormat="1" applyFont="1" applyFill="1" applyBorder="1" applyAlignment="1">
      <alignment vertical="center" wrapText="1"/>
    </xf>
    <xf numFmtId="3" fontId="4" fillId="4" borderId="3" xfId="0" applyNumberFormat="1" applyFont="1" applyFill="1" applyBorder="1" applyAlignment="1">
      <alignment horizontal="right" vertical="center" wrapText="1"/>
    </xf>
    <xf numFmtId="164" fontId="4" fillId="4" borderId="3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center"/>
    </xf>
    <xf numFmtId="0" fontId="8" fillId="3" borderId="0" xfId="0" applyFont="1" applyFill="1" applyAlignment="1">
      <alignment vertical="top"/>
    </xf>
    <xf numFmtId="0" fontId="9" fillId="3" borderId="0" xfId="0" applyFont="1" applyFill="1"/>
    <xf numFmtId="0" fontId="10" fillId="3" borderId="0" xfId="0" applyFont="1" applyFill="1"/>
    <xf numFmtId="164" fontId="4" fillId="5" borderId="3" xfId="1" applyNumberFormat="1" applyFont="1" applyFill="1" applyBorder="1" applyAlignment="1">
      <alignment horizontal="right" vertical="top" wrapText="1"/>
    </xf>
    <xf numFmtId="165" fontId="4" fillId="5" borderId="3" xfId="1" applyNumberFormat="1" applyFont="1" applyFill="1" applyBorder="1" applyAlignment="1">
      <alignment horizontal="right" vertical="top" wrapText="1"/>
    </xf>
    <xf numFmtId="49" fontId="4" fillId="5" borderId="3" xfId="1" applyNumberFormat="1" applyFont="1" applyFill="1" applyBorder="1" applyAlignment="1">
      <alignment vertical="top" wrapText="1"/>
    </xf>
    <xf numFmtId="164" fontId="12" fillId="3" borderId="3" xfId="1" applyNumberFormat="1" applyFont="1" applyFill="1" applyBorder="1" applyAlignment="1">
      <alignment horizontal="right" vertical="top" wrapText="1"/>
    </xf>
    <xf numFmtId="165" fontId="12" fillId="3" borderId="3" xfId="1" applyNumberFormat="1" applyFont="1" applyFill="1" applyBorder="1" applyAlignment="1">
      <alignment horizontal="right" vertical="top" wrapText="1"/>
    </xf>
    <xf numFmtId="49" fontId="12" fillId="3" borderId="3" xfId="1" applyNumberFormat="1" applyFont="1" applyFill="1" applyBorder="1" applyAlignment="1">
      <alignment vertical="top" wrapText="1"/>
    </xf>
    <xf numFmtId="0" fontId="14" fillId="2" borderId="2" xfId="2" applyFont="1" applyFill="1" applyBorder="1" applyAlignment="1">
      <alignment horizontal="center" vertical="center" wrapText="1"/>
    </xf>
    <xf numFmtId="1" fontId="14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5" fillId="3" borderId="0" xfId="0" applyFont="1" applyFill="1" applyAlignment="1"/>
    <xf numFmtId="0" fontId="16" fillId="3" borderId="0" xfId="0" applyFont="1" applyFill="1"/>
    <xf numFmtId="0" fontId="16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7" fillId="3" borderId="0" xfId="0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7" fillId="3" borderId="0" xfId="0" applyNumberFormat="1" applyFont="1" applyFill="1"/>
    <xf numFmtId="3" fontId="1" fillId="3" borderId="0" xfId="0" applyNumberFormat="1" applyFont="1" applyFill="1"/>
    <xf numFmtId="49" fontId="5" fillId="3" borderId="3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4" fillId="2" borderId="3" xfId="2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11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0" fillId="0" borderId="0" xfId="0" applyFont="1"/>
    <xf numFmtId="0" fontId="20" fillId="0" borderId="12" xfId="0" applyFon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0" fillId="0" borderId="13" xfId="0" applyFont="1" applyBorder="1" applyAlignment="1">
      <alignment horizontal="left"/>
    </xf>
    <xf numFmtId="0" fontId="20" fillId="0" borderId="12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13" xfId="0" applyFont="1" applyBorder="1" applyAlignment="1">
      <alignment horizontal="left" wrapText="1"/>
    </xf>
    <xf numFmtId="0" fontId="20" fillId="0" borderId="12" xfId="0" applyFont="1" applyBorder="1" applyAlignment="1"/>
    <xf numFmtId="0" fontId="20" fillId="0" borderId="0" xfId="0" applyFont="1" applyBorder="1" applyAlignment="1"/>
    <xf numFmtId="0" fontId="20" fillId="0" borderId="13" xfId="0" applyFont="1" applyBorder="1" applyAlignment="1"/>
    <xf numFmtId="0" fontId="20" fillId="0" borderId="12" xfId="0" applyFont="1" applyBorder="1"/>
    <xf numFmtId="0" fontId="20" fillId="0" borderId="0" xfId="0" applyFont="1" applyBorder="1"/>
    <xf numFmtId="0" fontId="20" fillId="0" borderId="13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16" xfId="0" applyFont="1" applyBorder="1"/>
    <xf numFmtId="0" fontId="19" fillId="3" borderId="8" xfId="0" applyFont="1" applyFill="1" applyBorder="1" applyAlignment="1">
      <alignment horizontal="center" vertical="distributed"/>
    </xf>
    <xf numFmtId="0" fontId="23" fillId="0" borderId="12" xfId="0" applyFont="1" applyBorder="1"/>
    <xf numFmtId="3" fontId="4" fillId="4" borderId="3" xfId="0" applyNumberFormat="1" applyFont="1" applyFill="1" applyBorder="1" applyAlignment="1">
      <alignment horizontal="right" wrapText="1"/>
    </xf>
    <xf numFmtId="164" fontId="4" fillId="4" borderId="3" xfId="0" applyNumberFormat="1" applyFont="1" applyFill="1" applyBorder="1" applyAlignment="1">
      <alignment horizontal="right" wrapText="1"/>
    </xf>
    <xf numFmtId="0" fontId="25" fillId="3" borderId="0" xfId="0" applyFont="1" applyFill="1"/>
    <xf numFmtId="49" fontId="4" fillId="5" borderId="4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4" fontId="4" fillId="5" borderId="3" xfId="0" applyNumberFormat="1" applyFont="1" applyFill="1" applyBorder="1" applyAlignment="1">
      <alignment horizontal="right" vertical="center" wrapText="1"/>
    </xf>
    <xf numFmtId="49" fontId="5" fillId="6" borderId="3" xfId="0" applyNumberFormat="1" applyFont="1" applyFill="1" applyBorder="1" applyAlignment="1">
      <alignment horizontal="left" vertical="center" wrapText="1"/>
    </xf>
    <xf numFmtId="3" fontId="6" fillId="6" borderId="3" xfId="0" applyNumberFormat="1" applyFont="1" applyFill="1" applyBorder="1" applyAlignment="1">
      <alignment horizontal="right" vertical="center" wrapText="1"/>
    </xf>
    <xf numFmtId="164" fontId="6" fillId="6" borderId="3" xfId="0" applyNumberFormat="1" applyFont="1" applyFill="1" applyBorder="1" applyAlignment="1">
      <alignment horizontal="right" vertical="center" wrapText="1"/>
    </xf>
    <xf numFmtId="0" fontId="24" fillId="0" borderId="12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22" fillId="2" borderId="9" xfId="0" applyFont="1" applyFill="1" applyBorder="1" applyAlignment="1">
      <alignment horizontal="center" wrapText="1"/>
    </xf>
    <xf numFmtId="0" fontId="22" fillId="2" borderId="10" xfId="0" applyFont="1" applyFill="1" applyBorder="1" applyAlignment="1">
      <alignment horizontal="center" wrapText="1"/>
    </xf>
    <xf numFmtId="0" fontId="22" fillId="2" borderId="11" xfId="0" applyFont="1" applyFill="1" applyBorder="1" applyAlignment="1">
      <alignment horizontal="center" wrapText="1"/>
    </xf>
    <xf numFmtId="0" fontId="23" fillId="0" borderId="12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13" xfId="0" applyFont="1" applyBorder="1" applyAlignment="1">
      <alignment horizontal="left" wrapText="1"/>
    </xf>
    <xf numFmtId="0" fontId="24" fillId="0" borderId="13" xfId="3" applyFont="1" applyBorder="1" applyAlignment="1">
      <alignment horizontal="left"/>
    </xf>
    <xf numFmtId="0" fontId="2" fillId="0" borderId="0" xfId="0" applyFont="1" applyBorder="1" applyAlignment="1">
      <alignment horizontal="center" vertical="center" wrapText="1"/>
    </xf>
    <xf numFmtId="49" fontId="12" fillId="3" borderId="2" xfId="1" applyNumberFormat="1" applyFont="1" applyFill="1" applyBorder="1" applyAlignment="1">
      <alignment horizontal="center" vertical="center" wrapText="1"/>
    </xf>
    <xf numFmtId="49" fontId="12" fillId="3" borderId="7" xfId="1" applyNumberFormat="1" applyFont="1" applyFill="1" applyBorder="1" applyAlignment="1">
      <alignment horizontal="center" vertical="center" wrapText="1"/>
    </xf>
    <xf numFmtId="49" fontId="12" fillId="3" borderId="6" xfId="1" applyNumberFormat="1" applyFont="1" applyFill="1" applyBorder="1" applyAlignment="1">
      <alignment horizontal="center" vertical="center" wrapText="1"/>
    </xf>
    <xf numFmtId="49" fontId="4" fillId="4" borderId="5" xfId="0" applyNumberFormat="1" applyFont="1" applyFill="1" applyBorder="1" applyAlignment="1">
      <alignment horizontal="center" vertical="center" wrapText="1"/>
    </xf>
    <xf numFmtId="49" fontId="4" fillId="4" borderId="4" xfId="0" applyNumberFormat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49" fontId="5" fillId="3" borderId="6" xfId="0" applyNumberFormat="1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distributed"/>
    </xf>
    <xf numFmtId="0" fontId="19" fillId="3" borderId="8" xfId="0" applyFont="1" applyFill="1" applyBorder="1" applyAlignment="1">
      <alignment horizontal="center" vertical="distributed"/>
    </xf>
    <xf numFmtId="49" fontId="5" fillId="6" borderId="2" xfId="0" applyNumberFormat="1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49" fontId="5" fillId="6" borderId="6" xfId="0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591266</xdr:colOff>
      <xdr:row>1</xdr:row>
      <xdr:rowOff>202892</xdr:rowOff>
    </xdr:from>
    <xdr:to>
      <xdr:col>3</xdr:col>
      <xdr:colOff>1103363</xdr:colOff>
      <xdr:row>2</xdr:row>
      <xdr:rowOff>202892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15491" y="7362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AGUASCALIENTES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AGUASCALIENTES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AGUASCALIENTES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AGUASCALIENTES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128428</xdr:colOff>
      <xdr:row>8</xdr:row>
      <xdr:rowOff>0</xdr:rowOff>
    </xdr:from>
    <xdr:to>
      <xdr:col>7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topLeftCell="A7" zoomScaleNormal="100" zoomScaleSheetLayoutView="100" workbookViewId="0">
      <selection activeCell="A25" sqref="A25:D25"/>
    </sheetView>
  </sheetViews>
  <sheetFormatPr baseColWidth="10" defaultColWidth="11.42578125" defaultRowHeight="18"/>
  <cols>
    <col min="1" max="1" width="5.140625" style="52" customWidth="1"/>
    <col min="2" max="2" width="20" style="52" customWidth="1"/>
    <col min="3" max="3" width="24.7109375" style="52" customWidth="1"/>
    <col min="4" max="4" width="20.42578125" style="52" customWidth="1"/>
    <col min="5" max="16384" width="11.42578125" style="52"/>
  </cols>
  <sheetData>
    <row r="1" spans="1:4" ht="42" customHeight="1" thickBot="1">
      <c r="A1" s="81" t="s">
        <v>193</v>
      </c>
      <c r="B1" s="82"/>
      <c r="C1" s="82"/>
      <c r="D1" s="83"/>
    </row>
    <row r="2" spans="1:4">
      <c r="A2" s="53"/>
      <c r="B2" s="54"/>
      <c r="C2" s="54"/>
      <c r="D2" s="55"/>
    </row>
    <row r="3" spans="1:4">
      <c r="A3" s="84" t="s">
        <v>177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6"/>
      <c r="B5" s="57"/>
      <c r="C5" s="57"/>
      <c r="D5" s="58"/>
    </row>
    <row r="6" spans="1:4" ht="18.75">
      <c r="A6" s="79" t="s">
        <v>178</v>
      </c>
      <c r="B6" s="80"/>
      <c r="C6" s="80"/>
      <c r="D6" s="87"/>
    </row>
    <row r="7" spans="1:4">
      <c r="A7" s="59"/>
      <c r="B7" s="60"/>
      <c r="C7" s="60"/>
      <c r="D7" s="61"/>
    </row>
    <row r="8" spans="1:4" ht="18.75">
      <c r="A8" s="79" t="s">
        <v>179</v>
      </c>
      <c r="B8" s="80"/>
      <c r="C8" s="80"/>
      <c r="D8" s="87"/>
    </row>
    <row r="9" spans="1:4" ht="18.75">
      <c r="A9" s="62"/>
      <c r="B9" s="79" t="s">
        <v>180</v>
      </c>
      <c r="C9" s="80"/>
      <c r="D9" s="80"/>
    </row>
    <row r="10" spans="1:4">
      <c r="A10" s="62"/>
      <c r="B10" s="63"/>
      <c r="C10" s="63"/>
      <c r="D10" s="64"/>
    </row>
    <row r="11" spans="1:4" ht="18.75">
      <c r="A11" s="69" t="s">
        <v>181</v>
      </c>
      <c r="B11" s="63"/>
      <c r="C11" s="63"/>
      <c r="D11" s="64"/>
    </row>
    <row r="12" spans="1:4" ht="18.75">
      <c r="A12" s="62"/>
      <c r="B12" s="79" t="s">
        <v>182</v>
      </c>
      <c r="C12" s="80"/>
      <c r="D12" s="80"/>
    </row>
    <row r="13" spans="1:4" ht="18.75">
      <c r="A13" s="62"/>
      <c r="B13" s="79" t="s">
        <v>183</v>
      </c>
      <c r="C13" s="80"/>
      <c r="D13" s="80"/>
    </row>
    <row r="14" spans="1:4" ht="18.75">
      <c r="A14" s="62"/>
      <c r="B14" s="79" t="s">
        <v>184</v>
      </c>
      <c r="C14" s="80"/>
      <c r="D14" s="80"/>
    </row>
    <row r="15" spans="1:4">
      <c r="A15" s="62"/>
      <c r="B15" s="63"/>
      <c r="C15" s="63"/>
      <c r="D15" s="64"/>
    </row>
    <row r="16" spans="1:4" ht="18.75">
      <c r="A16" s="69" t="s">
        <v>185</v>
      </c>
      <c r="B16" s="63"/>
      <c r="C16" s="63"/>
      <c r="D16" s="64"/>
    </row>
    <row r="17" spans="1:4" ht="18.75">
      <c r="A17" s="62"/>
      <c r="B17" s="79" t="s">
        <v>186</v>
      </c>
      <c r="C17" s="80"/>
      <c r="D17" s="80"/>
    </row>
    <row r="18" spans="1:4" ht="18.75">
      <c r="A18" s="62"/>
      <c r="B18" s="79" t="s">
        <v>187</v>
      </c>
      <c r="C18" s="80"/>
      <c r="D18" s="80"/>
    </row>
    <row r="19" spans="1:4" ht="18.75">
      <c r="A19" s="62"/>
      <c r="B19" s="79" t="s">
        <v>188</v>
      </c>
      <c r="C19" s="80"/>
      <c r="D19" s="80"/>
    </row>
    <row r="20" spans="1:4">
      <c r="A20" s="62"/>
      <c r="B20" s="63"/>
      <c r="C20" s="63"/>
      <c r="D20" s="64"/>
    </row>
    <row r="21" spans="1:4" ht="18.75">
      <c r="A21" s="69" t="s">
        <v>189</v>
      </c>
      <c r="B21" s="63"/>
      <c r="C21" s="63"/>
      <c r="D21" s="64"/>
    </row>
    <row r="22" spans="1:4" ht="18.75">
      <c r="A22" s="62"/>
      <c r="B22" s="79" t="s">
        <v>190</v>
      </c>
      <c r="C22" s="80"/>
      <c r="D22" s="80"/>
    </row>
    <row r="23" spans="1:4" ht="18.75">
      <c r="A23" s="62"/>
      <c r="B23" s="79" t="s">
        <v>209</v>
      </c>
      <c r="C23" s="80"/>
      <c r="D23" s="80"/>
    </row>
    <row r="24" spans="1:4">
      <c r="A24" s="62"/>
      <c r="B24" s="63"/>
      <c r="C24" s="63"/>
      <c r="D24" s="64"/>
    </row>
    <row r="25" spans="1:4" ht="18.75">
      <c r="A25" s="79" t="s">
        <v>191</v>
      </c>
      <c r="B25" s="80"/>
      <c r="C25" s="80"/>
      <c r="D25" s="87"/>
    </row>
    <row r="26" spans="1:4" ht="18.75">
      <c r="A26" s="79"/>
      <c r="B26" s="80"/>
      <c r="C26" s="80"/>
      <c r="D26" s="87"/>
    </row>
    <row r="27" spans="1:4" ht="18.75">
      <c r="A27" s="79" t="s">
        <v>192</v>
      </c>
      <c r="B27" s="80"/>
      <c r="C27" s="80"/>
      <c r="D27" s="87"/>
    </row>
    <row r="28" spans="1:4" ht="18.75" thickBot="1">
      <c r="A28" s="65"/>
      <c r="B28" s="66"/>
      <c r="C28" s="66"/>
      <c r="D28" s="67"/>
    </row>
  </sheetData>
  <mergeCells count="16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A26:D26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Aguascalientes_USAMuni!A1" display="3.2 Por Estado de USA"/>
    <hyperlink ref="A8:D8" location="Aguascalientes_Cons!A1" display="2. Por Circunscripción Consular"/>
    <hyperlink ref="B9:D9" location="AguascalientesXCons!A1" display="2.1 Top ten por circunscripción consular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D64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8" t="s">
        <v>200</v>
      </c>
      <c r="C7" s="88"/>
      <c r="D7" s="88"/>
    </row>
    <row r="8" spans="1:4" s="1" customFormat="1" ht="15" customHeight="1">
      <c r="B8" s="88"/>
      <c r="C8" s="88"/>
      <c r="D8" s="88"/>
    </row>
    <row r="9" spans="1:4" s="1" customFormat="1" ht="33" customHeight="1">
      <c r="B9" s="88"/>
      <c r="C9" s="88"/>
      <c r="D9" s="88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</v>
      </c>
      <c r="C11" s="6" t="s">
        <v>2</v>
      </c>
      <c r="D11" s="7" t="s">
        <v>3</v>
      </c>
    </row>
    <row r="12" spans="1:4">
      <c r="B12" s="9" t="s">
        <v>5</v>
      </c>
      <c r="C12" s="10">
        <v>1341</v>
      </c>
      <c r="D12" s="11">
        <v>0.20153291253381425</v>
      </c>
    </row>
    <row r="13" spans="1:4">
      <c r="B13" s="9" t="s">
        <v>4</v>
      </c>
      <c r="C13" s="10">
        <v>1238</v>
      </c>
      <c r="D13" s="11">
        <v>0.18605350165314097</v>
      </c>
    </row>
    <row r="14" spans="1:4">
      <c r="B14" s="9" t="s">
        <v>6</v>
      </c>
      <c r="C14" s="10">
        <v>822</v>
      </c>
      <c r="D14" s="11">
        <v>0.12353471596032461</v>
      </c>
    </row>
    <row r="15" spans="1:4">
      <c r="B15" s="9" t="s">
        <v>9</v>
      </c>
      <c r="C15" s="10">
        <v>500</v>
      </c>
      <c r="D15" s="11">
        <v>7.5142771265404265E-2</v>
      </c>
    </row>
    <row r="16" spans="1:4">
      <c r="B16" s="9" t="s">
        <v>7</v>
      </c>
      <c r="C16" s="10">
        <v>467</v>
      </c>
      <c r="D16" s="11">
        <v>7.0183348361887582E-2</v>
      </c>
    </row>
    <row r="17" spans="2:4">
      <c r="B17" s="9" t="s">
        <v>8</v>
      </c>
      <c r="C17" s="10">
        <v>393</v>
      </c>
      <c r="D17" s="11">
        <v>5.9062218214607755E-2</v>
      </c>
    </row>
    <row r="18" spans="2:4">
      <c r="B18" s="9" t="s">
        <v>10</v>
      </c>
      <c r="C18" s="10">
        <v>188</v>
      </c>
      <c r="D18" s="11">
        <v>2.8253681995792004E-2</v>
      </c>
    </row>
    <row r="19" spans="2:4">
      <c r="B19" s="9" t="s">
        <v>15</v>
      </c>
      <c r="C19" s="10">
        <v>166</v>
      </c>
      <c r="D19" s="11">
        <v>2.4947400060114217E-2</v>
      </c>
    </row>
    <row r="20" spans="2:4">
      <c r="B20" s="9" t="s">
        <v>11</v>
      </c>
      <c r="C20" s="10">
        <v>157</v>
      </c>
      <c r="D20" s="11">
        <v>2.3594830177336941E-2</v>
      </c>
    </row>
    <row r="21" spans="2:4">
      <c r="B21" s="9" t="s">
        <v>20</v>
      </c>
      <c r="C21" s="10">
        <v>121</v>
      </c>
      <c r="D21" s="11">
        <v>1.8184550646227832E-2</v>
      </c>
    </row>
    <row r="22" spans="2:4">
      <c r="B22" s="9" t="s">
        <v>14</v>
      </c>
      <c r="C22" s="10">
        <v>112</v>
      </c>
      <c r="D22" s="11">
        <v>1.6831980763450556E-2</v>
      </c>
    </row>
    <row r="23" spans="2:4">
      <c r="B23" s="9" t="s">
        <v>12</v>
      </c>
      <c r="C23" s="10">
        <v>101</v>
      </c>
      <c r="D23" s="11">
        <v>1.5178839795611663E-2</v>
      </c>
    </row>
    <row r="24" spans="2:4">
      <c r="B24" s="9" t="s">
        <v>23</v>
      </c>
      <c r="C24" s="10">
        <v>101</v>
      </c>
      <c r="D24" s="11">
        <v>1.5178839795611663E-2</v>
      </c>
    </row>
    <row r="25" spans="2:4">
      <c r="B25" s="9" t="s">
        <v>19</v>
      </c>
      <c r="C25" s="10">
        <v>92</v>
      </c>
      <c r="D25" s="11">
        <v>1.3826269912834385E-2</v>
      </c>
    </row>
    <row r="26" spans="2:4">
      <c r="B26" s="9" t="s">
        <v>22</v>
      </c>
      <c r="C26" s="10">
        <v>90</v>
      </c>
      <c r="D26" s="11">
        <v>1.3525698827772768E-2</v>
      </c>
    </row>
    <row r="27" spans="2:4">
      <c r="B27" s="9" t="s">
        <v>13</v>
      </c>
      <c r="C27" s="10">
        <v>79</v>
      </c>
      <c r="D27" s="11">
        <v>1.1872557859933875E-2</v>
      </c>
    </row>
    <row r="28" spans="2:4">
      <c r="B28" s="9" t="s">
        <v>16</v>
      </c>
      <c r="C28" s="10">
        <v>72</v>
      </c>
      <c r="D28" s="11">
        <v>1.0820559062218215E-2</v>
      </c>
    </row>
    <row r="29" spans="2:4">
      <c r="B29" s="9" t="s">
        <v>18</v>
      </c>
      <c r="C29" s="10">
        <v>63</v>
      </c>
      <c r="D29" s="11">
        <v>9.4679891794409374E-3</v>
      </c>
    </row>
    <row r="30" spans="2:4">
      <c r="B30" s="9" t="s">
        <v>17</v>
      </c>
      <c r="C30" s="10">
        <v>55</v>
      </c>
      <c r="D30" s="11">
        <v>8.2657048391944696E-3</v>
      </c>
    </row>
    <row r="31" spans="2:4">
      <c r="B31" s="9" t="s">
        <v>24</v>
      </c>
      <c r="C31" s="10">
        <v>51</v>
      </c>
      <c r="D31" s="11">
        <v>7.6645626690712357E-3</v>
      </c>
    </row>
    <row r="32" spans="2:4">
      <c r="B32" s="9" t="s">
        <v>21</v>
      </c>
      <c r="C32" s="10">
        <v>45</v>
      </c>
      <c r="D32" s="11">
        <v>6.762849413886384E-3</v>
      </c>
    </row>
    <row r="33" spans="2:4">
      <c r="B33" s="9" t="s">
        <v>32</v>
      </c>
      <c r="C33" s="10">
        <v>42</v>
      </c>
      <c r="D33" s="11">
        <v>6.3119927862939585E-3</v>
      </c>
    </row>
    <row r="34" spans="2:4">
      <c r="B34" s="9" t="s">
        <v>28</v>
      </c>
      <c r="C34" s="10">
        <v>38</v>
      </c>
      <c r="D34" s="11">
        <v>5.7108506161707246E-3</v>
      </c>
    </row>
    <row r="35" spans="2:4">
      <c r="B35" s="9" t="s">
        <v>30</v>
      </c>
      <c r="C35" s="10">
        <v>36</v>
      </c>
      <c r="D35" s="11">
        <v>5.4102795311091077E-3</v>
      </c>
    </row>
    <row r="36" spans="2:4">
      <c r="B36" s="9" t="s">
        <v>26</v>
      </c>
      <c r="C36" s="10">
        <v>29</v>
      </c>
      <c r="D36" s="11">
        <v>4.3582807333934475E-3</v>
      </c>
    </row>
    <row r="37" spans="2:4">
      <c r="B37" s="9" t="s">
        <v>25</v>
      </c>
      <c r="C37" s="10">
        <v>29</v>
      </c>
      <c r="D37" s="11">
        <v>4.3582807333934475E-3</v>
      </c>
    </row>
    <row r="38" spans="2:4">
      <c r="B38" s="9" t="s">
        <v>35</v>
      </c>
      <c r="C38" s="10">
        <v>28</v>
      </c>
      <c r="D38" s="11">
        <v>4.207995190862639E-3</v>
      </c>
    </row>
    <row r="39" spans="2:4">
      <c r="B39" s="9" t="s">
        <v>34</v>
      </c>
      <c r="C39" s="10">
        <v>21</v>
      </c>
      <c r="D39" s="11">
        <v>3.1559963931469793E-3</v>
      </c>
    </row>
    <row r="40" spans="2:4">
      <c r="B40" s="9" t="s">
        <v>27</v>
      </c>
      <c r="C40" s="10">
        <v>20</v>
      </c>
      <c r="D40" s="11">
        <v>3.0057108506161708E-3</v>
      </c>
    </row>
    <row r="41" spans="2:4">
      <c r="B41" s="9" t="s">
        <v>29</v>
      </c>
      <c r="C41" s="10">
        <v>19</v>
      </c>
      <c r="D41" s="11">
        <v>2.8554253080853623E-3</v>
      </c>
    </row>
    <row r="42" spans="2:4">
      <c r="B42" s="9" t="s">
        <v>33</v>
      </c>
      <c r="C42" s="10">
        <v>16</v>
      </c>
      <c r="D42" s="11">
        <v>2.4045686804929365E-3</v>
      </c>
    </row>
    <row r="43" spans="2:4">
      <c r="B43" s="9" t="s">
        <v>38</v>
      </c>
      <c r="C43" s="10">
        <v>15</v>
      </c>
      <c r="D43" s="11">
        <v>2.254283137962128E-3</v>
      </c>
    </row>
    <row r="44" spans="2:4">
      <c r="B44" s="9" t="s">
        <v>31</v>
      </c>
      <c r="C44" s="10">
        <v>15</v>
      </c>
      <c r="D44" s="11">
        <v>2.254283137962128E-3</v>
      </c>
    </row>
    <row r="45" spans="2:4">
      <c r="B45" s="9" t="s">
        <v>42</v>
      </c>
      <c r="C45" s="10">
        <v>13</v>
      </c>
      <c r="D45" s="11">
        <v>1.953712052900511E-3</v>
      </c>
    </row>
    <row r="46" spans="2:4">
      <c r="B46" s="9" t="s">
        <v>39</v>
      </c>
      <c r="C46" s="10">
        <v>12</v>
      </c>
      <c r="D46" s="11">
        <v>1.8034265103697023E-3</v>
      </c>
    </row>
    <row r="47" spans="2:4">
      <c r="B47" s="9" t="s">
        <v>45</v>
      </c>
      <c r="C47" s="10">
        <v>12</v>
      </c>
      <c r="D47" s="11">
        <v>1.8034265103697023E-3</v>
      </c>
    </row>
    <row r="48" spans="2:4">
      <c r="B48" s="9" t="s">
        <v>37</v>
      </c>
      <c r="C48" s="10">
        <v>11</v>
      </c>
      <c r="D48" s="11">
        <v>1.6531409678388939E-3</v>
      </c>
    </row>
    <row r="49" spans="2:4">
      <c r="B49" s="9" t="s">
        <v>41</v>
      </c>
      <c r="C49" s="10">
        <v>9</v>
      </c>
      <c r="D49" s="11">
        <v>1.3525698827772769E-3</v>
      </c>
    </row>
    <row r="50" spans="2:4">
      <c r="B50" s="9" t="s">
        <v>36</v>
      </c>
      <c r="C50" s="10">
        <v>9</v>
      </c>
      <c r="D50" s="11">
        <v>1.3525698827772769E-3</v>
      </c>
    </row>
    <row r="51" spans="2:4">
      <c r="B51" s="9" t="s">
        <v>40</v>
      </c>
      <c r="C51" s="10">
        <v>8</v>
      </c>
      <c r="D51" s="11">
        <v>1.2022843402464682E-3</v>
      </c>
    </row>
    <row r="52" spans="2:4">
      <c r="B52" s="9" t="s">
        <v>43</v>
      </c>
      <c r="C52" s="10">
        <v>5</v>
      </c>
      <c r="D52" s="11">
        <v>7.514277126540427E-4</v>
      </c>
    </row>
    <row r="53" spans="2:4">
      <c r="B53" s="9" t="s">
        <v>194</v>
      </c>
      <c r="C53" s="10">
        <v>4</v>
      </c>
      <c r="D53" s="11">
        <v>6.0114217012323412E-4</v>
      </c>
    </row>
    <row r="54" spans="2:4">
      <c r="B54" s="9" t="s">
        <v>44</v>
      </c>
      <c r="C54" s="10">
        <v>4</v>
      </c>
      <c r="D54" s="11">
        <v>6.0114217012323412E-4</v>
      </c>
    </row>
    <row r="55" spans="2:4">
      <c r="B55" s="9" t="s">
        <v>195</v>
      </c>
      <c r="C55" s="10">
        <v>3</v>
      </c>
      <c r="D55" s="11">
        <v>4.5085662759242559E-4</v>
      </c>
    </row>
    <row r="56" spans="2:4">
      <c r="B56" s="9" t="s">
        <v>196</v>
      </c>
      <c r="C56" s="10">
        <v>1</v>
      </c>
      <c r="D56" s="11">
        <v>1.5028554253080853E-4</v>
      </c>
    </row>
    <row r="57" spans="2:4">
      <c r="B57" s="9" t="s">
        <v>197</v>
      </c>
      <c r="C57" s="10">
        <v>1</v>
      </c>
      <c r="D57" s="11">
        <v>1.5028554253080853E-4</v>
      </c>
    </row>
    <row r="58" spans="2:4">
      <c r="B58" s="13" t="s">
        <v>46</v>
      </c>
      <c r="C58" s="14">
        <v>6654</v>
      </c>
      <c r="D58" s="15">
        <v>1</v>
      </c>
    </row>
    <row r="60" spans="2:4">
      <c r="B60" s="17" t="s">
        <v>198</v>
      </c>
    </row>
    <row r="61" spans="2:4">
      <c r="B61" s="18" t="s">
        <v>47</v>
      </c>
    </row>
    <row r="62" spans="2:4">
      <c r="B62" s="19" t="s">
        <v>48</v>
      </c>
    </row>
    <row r="63" spans="2:4">
      <c r="B63" s="17" t="s">
        <v>49</v>
      </c>
    </row>
    <row r="64" spans="2:4">
      <c r="B64" s="17" t="s">
        <v>199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4"/>
  <sheetViews>
    <sheetView showGridLines="0" zoomScaleNormal="100" zoomScaleSheetLayoutView="115" workbookViewId="0">
      <selection activeCell="D62" sqref="D62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8" t="s">
        <v>201</v>
      </c>
      <c r="C7" s="88"/>
      <c r="D7" s="88"/>
    </row>
    <row r="8" spans="1:4" s="1" customFormat="1" ht="15" customHeight="1">
      <c r="B8" s="88"/>
      <c r="C8" s="88"/>
      <c r="D8" s="88"/>
    </row>
    <row r="9" spans="1:4" s="1" customFormat="1" ht="33" customHeight="1">
      <c r="B9" s="88"/>
      <c r="C9" s="88"/>
      <c r="D9" s="88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93</v>
      </c>
      <c r="C11" s="6" t="s">
        <v>2</v>
      </c>
      <c r="D11" s="7" t="s">
        <v>3</v>
      </c>
    </row>
    <row r="12" spans="1:4">
      <c r="B12" s="9" t="s">
        <v>91</v>
      </c>
      <c r="C12" s="10">
        <v>1309</v>
      </c>
      <c r="D12" s="11">
        <v>0.19672377517282838</v>
      </c>
    </row>
    <row r="13" spans="1:4">
      <c r="B13" s="9" t="s">
        <v>89</v>
      </c>
      <c r="C13" s="10">
        <v>655</v>
      </c>
      <c r="D13" s="11">
        <v>9.8437030357679589E-2</v>
      </c>
    </row>
    <row r="14" spans="1:4">
      <c r="B14" s="9" t="s">
        <v>80</v>
      </c>
      <c r="C14" s="10">
        <v>561</v>
      </c>
      <c r="D14" s="11">
        <v>8.4310189359783586E-2</v>
      </c>
    </row>
    <row r="15" spans="1:4">
      <c r="B15" s="9" t="s">
        <v>92</v>
      </c>
      <c r="C15" s="10">
        <v>538</v>
      </c>
      <c r="D15" s="11">
        <v>8.0853621881574994E-2</v>
      </c>
    </row>
    <row r="16" spans="1:4">
      <c r="B16" s="9" t="s">
        <v>90</v>
      </c>
      <c r="C16" s="10">
        <v>438</v>
      </c>
      <c r="D16" s="11">
        <v>6.5825067628494133E-2</v>
      </c>
    </row>
    <row r="17" spans="2:4">
      <c r="B17" s="9" t="s">
        <v>73</v>
      </c>
      <c r="C17" s="10">
        <v>395</v>
      </c>
      <c r="D17" s="11">
        <v>5.9362789299669372E-2</v>
      </c>
    </row>
    <row r="18" spans="2:4">
      <c r="B18" s="9" t="s">
        <v>88</v>
      </c>
      <c r="C18" s="10">
        <v>210</v>
      </c>
      <c r="D18" s="11">
        <v>3.1559963931469794E-2</v>
      </c>
    </row>
    <row r="19" spans="2:4">
      <c r="B19" s="9" t="s">
        <v>85</v>
      </c>
      <c r="C19" s="10">
        <v>207</v>
      </c>
      <c r="D19" s="11">
        <v>3.1109107303877368E-2</v>
      </c>
    </row>
    <row r="20" spans="2:4">
      <c r="B20" s="9" t="s">
        <v>84</v>
      </c>
      <c r="C20" s="10">
        <v>186</v>
      </c>
      <c r="D20" s="11">
        <v>2.7953110910730387E-2</v>
      </c>
    </row>
    <row r="21" spans="2:4">
      <c r="B21" s="9" t="s">
        <v>76</v>
      </c>
      <c r="C21" s="10">
        <v>157</v>
      </c>
      <c r="D21" s="11">
        <v>2.3594830177336941E-2</v>
      </c>
    </row>
    <row r="22" spans="2:4">
      <c r="B22" s="9" t="s">
        <v>60</v>
      </c>
      <c r="C22" s="10">
        <v>151</v>
      </c>
      <c r="D22" s="11">
        <v>2.269311692215209E-2</v>
      </c>
    </row>
    <row r="23" spans="2:4">
      <c r="B23" s="9" t="s">
        <v>74</v>
      </c>
      <c r="C23" s="10">
        <v>131</v>
      </c>
      <c r="D23" s="11">
        <v>1.9687406071535917E-2</v>
      </c>
    </row>
    <row r="24" spans="2:4">
      <c r="B24" s="9" t="s">
        <v>64</v>
      </c>
      <c r="C24" s="10">
        <v>130</v>
      </c>
      <c r="D24" s="11">
        <v>1.9537120529005109E-2</v>
      </c>
    </row>
    <row r="25" spans="2:4">
      <c r="B25" s="9" t="s">
        <v>79</v>
      </c>
      <c r="C25" s="10">
        <v>125</v>
      </c>
      <c r="D25" s="11">
        <v>1.8785692816351066E-2</v>
      </c>
    </row>
    <row r="26" spans="2:4">
      <c r="B26" s="9" t="s">
        <v>86</v>
      </c>
      <c r="C26" s="10">
        <v>113</v>
      </c>
      <c r="D26" s="11">
        <v>1.6982266305981365E-2</v>
      </c>
    </row>
    <row r="27" spans="2:4">
      <c r="B27" s="9" t="s">
        <v>83</v>
      </c>
      <c r="C27" s="10">
        <v>103</v>
      </c>
      <c r="D27" s="11">
        <v>1.547941088067328E-2</v>
      </c>
    </row>
    <row r="28" spans="2:4">
      <c r="B28" s="9" t="s">
        <v>69</v>
      </c>
      <c r="C28" s="10">
        <v>102</v>
      </c>
      <c r="D28" s="11">
        <v>1.5329125338142471E-2</v>
      </c>
    </row>
    <row r="29" spans="2:4">
      <c r="B29" s="9" t="s">
        <v>78</v>
      </c>
      <c r="C29" s="10">
        <v>99</v>
      </c>
      <c r="D29" s="11">
        <v>1.4878268710550046E-2</v>
      </c>
    </row>
    <row r="30" spans="2:4">
      <c r="B30" s="9" t="s">
        <v>75</v>
      </c>
      <c r="C30" s="10">
        <v>95</v>
      </c>
      <c r="D30" s="11">
        <v>1.427712654042681E-2</v>
      </c>
    </row>
    <row r="31" spans="2:4">
      <c r="B31" s="9" t="s">
        <v>72</v>
      </c>
      <c r="C31" s="10">
        <v>92</v>
      </c>
      <c r="D31" s="11">
        <v>1.3826269912834385E-2</v>
      </c>
    </row>
    <row r="32" spans="2:4">
      <c r="B32" s="9" t="s">
        <v>63</v>
      </c>
      <c r="C32" s="10">
        <v>83</v>
      </c>
      <c r="D32" s="11">
        <v>1.2473700030057109E-2</v>
      </c>
    </row>
    <row r="33" spans="2:4">
      <c r="B33" s="9" t="s">
        <v>81</v>
      </c>
      <c r="C33" s="10">
        <v>70</v>
      </c>
      <c r="D33" s="11">
        <v>1.0519987977156597E-2</v>
      </c>
    </row>
    <row r="34" spans="2:4">
      <c r="B34" s="9" t="s">
        <v>66</v>
      </c>
      <c r="C34" s="10">
        <v>68</v>
      </c>
      <c r="D34" s="11">
        <v>1.021941689209498E-2</v>
      </c>
    </row>
    <row r="35" spans="2:4">
      <c r="B35" s="9" t="s">
        <v>56</v>
      </c>
      <c r="C35" s="10">
        <v>60</v>
      </c>
      <c r="D35" s="11">
        <v>9.017132551848512E-3</v>
      </c>
    </row>
    <row r="36" spans="2:4">
      <c r="B36" s="9" t="s">
        <v>61</v>
      </c>
      <c r="C36" s="10">
        <v>57</v>
      </c>
      <c r="D36" s="11">
        <v>8.5662759242560865E-3</v>
      </c>
    </row>
    <row r="37" spans="2:4">
      <c r="B37" s="9" t="s">
        <v>82</v>
      </c>
      <c r="C37" s="10">
        <v>55</v>
      </c>
      <c r="D37" s="11">
        <v>8.2657048391944696E-3</v>
      </c>
    </row>
    <row r="38" spans="2:4">
      <c r="B38" s="9" t="s">
        <v>62</v>
      </c>
      <c r="C38" s="10">
        <v>54</v>
      </c>
      <c r="D38" s="11">
        <v>8.1154192966636611E-3</v>
      </c>
    </row>
    <row r="39" spans="2:4">
      <c r="B39" s="9" t="s">
        <v>59</v>
      </c>
      <c r="C39" s="10">
        <v>45</v>
      </c>
      <c r="D39" s="11">
        <v>6.762849413886384E-3</v>
      </c>
    </row>
    <row r="40" spans="2:4">
      <c r="B40" s="9" t="s">
        <v>77</v>
      </c>
      <c r="C40" s="10">
        <v>45</v>
      </c>
      <c r="D40" s="11">
        <v>6.762849413886384E-3</v>
      </c>
    </row>
    <row r="41" spans="2:4">
      <c r="B41" s="9" t="s">
        <v>65</v>
      </c>
      <c r="C41" s="10">
        <v>41</v>
      </c>
      <c r="D41" s="11">
        <v>6.1617072437631501E-3</v>
      </c>
    </row>
    <row r="42" spans="2:4">
      <c r="B42" s="9" t="s">
        <v>71</v>
      </c>
      <c r="C42" s="10">
        <v>40</v>
      </c>
      <c r="D42" s="11">
        <v>6.0114217012323416E-3</v>
      </c>
    </row>
    <row r="43" spans="2:4">
      <c r="B43" s="9" t="s">
        <v>87</v>
      </c>
      <c r="C43" s="10">
        <v>39</v>
      </c>
      <c r="D43" s="11">
        <v>5.8611361587015331E-3</v>
      </c>
    </row>
    <row r="44" spans="2:4">
      <c r="B44" s="9" t="s">
        <v>54</v>
      </c>
      <c r="C44" s="10">
        <v>36</v>
      </c>
      <c r="D44" s="11">
        <v>5.4102795311091077E-3</v>
      </c>
    </row>
    <row r="45" spans="2:4">
      <c r="B45" s="9" t="s">
        <v>68</v>
      </c>
      <c r="C45" s="10">
        <v>34</v>
      </c>
      <c r="D45" s="11">
        <v>5.1097084460474899E-3</v>
      </c>
    </row>
    <row r="46" spans="2:4">
      <c r="B46" s="9" t="s">
        <v>17</v>
      </c>
      <c r="C46" s="10">
        <v>33</v>
      </c>
      <c r="D46" s="11">
        <v>4.9594229035166814E-3</v>
      </c>
    </row>
    <row r="47" spans="2:4">
      <c r="B47" s="9" t="s">
        <v>58</v>
      </c>
      <c r="C47" s="10">
        <v>26</v>
      </c>
      <c r="D47" s="11">
        <v>3.9074241058010221E-3</v>
      </c>
    </row>
    <row r="48" spans="2:4">
      <c r="B48" s="9" t="s">
        <v>70</v>
      </c>
      <c r="C48" s="10">
        <v>20</v>
      </c>
      <c r="D48" s="11">
        <v>3.0057108506161708E-3</v>
      </c>
    </row>
    <row r="49" spans="2:4">
      <c r="B49" s="9" t="s">
        <v>57</v>
      </c>
      <c r="C49" s="10">
        <v>15</v>
      </c>
      <c r="D49" s="11">
        <v>2.254283137962128E-3</v>
      </c>
    </row>
    <row r="50" spans="2:4">
      <c r="B50" s="9" t="s">
        <v>67</v>
      </c>
      <c r="C50" s="10">
        <v>13</v>
      </c>
      <c r="D50" s="11">
        <v>1.953712052900511E-3</v>
      </c>
    </row>
    <row r="51" spans="2:4">
      <c r="B51" s="9" t="s">
        <v>53</v>
      </c>
      <c r="C51" s="10">
        <v>8</v>
      </c>
      <c r="D51" s="11">
        <v>1.2022843402464682E-3</v>
      </c>
    </row>
    <row r="52" spans="2:4">
      <c r="B52" s="9" t="s">
        <v>50</v>
      </c>
      <c r="C52" s="10">
        <v>5</v>
      </c>
      <c r="D52" s="11">
        <v>7.514277126540427E-4</v>
      </c>
    </row>
    <row r="53" spans="2:4">
      <c r="B53" s="9" t="s">
        <v>52</v>
      </c>
      <c r="C53" s="10">
        <v>5</v>
      </c>
      <c r="D53" s="11">
        <v>7.514277126540427E-4</v>
      </c>
    </row>
    <row r="54" spans="2:4">
      <c r="B54" s="9" t="s">
        <v>51</v>
      </c>
      <c r="C54" s="10">
        <v>2</v>
      </c>
      <c r="D54" s="11">
        <v>3.0057108506161706E-4</v>
      </c>
    </row>
    <row r="55" spans="2:4">
      <c r="B55" s="9" t="s">
        <v>202</v>
      </c>
      <c r="C55" s="10">
        <v>2</v>
      </c>
      <c r="D55" s="11">
        <v>3.0057108506161706E-4</v>
      </c>
    </row>
    <row r="56" spans="2:4">
      <c r="B56" s="9" t="s">
        <v>55</v>
      </c>
      <c r="C56" s="10">
        <v>1</v>
      </c>
      <c r="D56" s="11">
        <v>1.5028554253080853E-4</v>
      </c>
    </row>
    <row r="57" spans="2:4">
      <c r="B57" s="13" t="s">
        <v>46</v>
      </c>
      <c r="C57" s="14">
        <v>6654</v>
      </c>
      <c r="D57" s="15">
        <v>1</v>
      </c>
    </row>
    <row r="59" spans="2:4">
      <c r="B59" s="17" t="s">
        <v>198</v>
      </c>
    </row>
    <row r="60" spans="2:4">
      <c r="B60" s="18" t="s">
        <v>47</v>
      </c>
    </row>
    <row r="61" spans="2:4">
      <c r="B61" s="19" t="s">
        <v>48</v>
      </c>
    </row>
    <row r="62" spans="2:4">
      <c r="B62" s="17" t="s">
        <v>49</v>
      </c>
    </row>
    <row r="63" spans="2:4">
      <c r="B63" s="17" t="s">
        <v>199</v>
      </c>
    </row>
    <row r="64" spans="2:4">
      <c r="C64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zoomScaleNormal="100" zoomScaleSheetLayoutView="115" workbookViewId="0">
      <selection activeCell="I18" sqref="I18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8" t="s">
        <v>211</v>
      </c>
      <c r="C7" s="88"/>
      <c r="D7" s="88"/>
    </row>
    <row r="8" spans="1:4" s="1" customFormat="1" ht="15" customHeight="1">
      <c r="B8" s="88"/>
      <c r="C8" s="88"/>
      <c r="D8" s="88"/>
    </row>
    <row r="9" spans="1:4" s="1" customFormat="1" ht="33" customHeight="1">
      <c r="B9" s="88"/>
      <c r="C9" s="88"/>
      <c r="D9" s="88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93</v>
      </c>
      <c r="C11" s="6" t="s">
        <v>2</v>
      </c>
      <c r="D11" s="7" t="s">
        <v>3</v>
      </c>
    </row>
    <row r="12" spans="1:4" ht="15" customHeight="1">
      <c r="B12" s="9" t="s">
        <v>91</v>
      </c>
      <c r="C12" s="10">
        <v>1309</v>
      </c>
      <c r="D12" s="11">
        <f>C12/$C$22</f>
        <v>0.2811426116838488</v>
      </c>
    </row>
    <row r="13" spans="1:4">
      <c r="B13" s="9" t="s">
        <v>89</v>
      </c>
      <c r="C13" s="10">
        <v>655</v>
      </c>
      <c r="D13" s="11">
        <f t="shared" ref="D13:D21" si="0">C13/$C$22</f>
        <v>0.1406786941580756</v>
      </c>
    </row>
    <row r="14" spans="1:4" s="12" customFormat="1">
      <c r="A14" s="8"/>
      <c r="B14" s="9" t="s">
        <v>80</v>
      </c>
      <c r="C14" s="10">
        <v>561</v>
      </c>
      <c r="D14" s="11">
        <f t="shared" si="0"/>
        <v>0.12048969072164949</v>
      </c>
    </row>
    <row r="15" spans="1:4" s="12" customFormat="1">
      <c r="A15" s="8"/>
      <c r="B15" s="9" t="s">
        <v>92</v>
      </c>
      <c r="C15" s="10">
        <v>538</v>
      </c>
      <c r="D15" s="11">
        <f t="shared" si="0"/>
        <v>0.11554982817869416</v>
      </c>
    </row>
    <row r="16" spans="1:4">
      <c r="B16" s="9" t="s">
        <v>90</v>
      </c>
      <c r="C16" s="10">
        <v>438</v>
      </c>
      <c r="D16" s="11">
        <f t="shared" si="0"/>
        <v>9.4072164948453607E-2</v>
      </c>
    </row>
    <row r="17" spans="2:4">
      <c r="B17" s="9" t="s">
        <v>73</v>
      </c>
      <c r="C17" s="10">
        <v>395</v>
      </c>
      <c r="D17" s="11">
        <f t="shared" si="0"/>
        <v>8.4836769759450176E-2</v>
      </c>
    </row>
    <row r="18" spans="2:4">
      <c r="B18" s="9" t="s">
        <v>88</v>
      </c>
      <c r="C18" s="10">
        <v>210</v>
      </c>
      <c r="D18" s="11">
        <f t="shared" si="0"/>
        <v>4.5103092783505154E-2</v>
      </c>
    </row>
    <row r="19" spans="2:4">
      <c r="B19" s="9" t="s">
        <v>85</v>
      </c>
      <c r="C19" s="10">
        <v>207</v>
      </c>
      <c r="D19" s="11">
        <f t="shared" si="0"/>
        <v>4.445876288659794E-2</v>
      </c>
    </row>
    <row r="20" spans="2:4">
      <c r="B20" s="9" t="s">
        <v>84</v>
      </c>
      <c r="C20" s="10">
        <v>186</v>
      </c>
      <c r="D20" s="11">
        <f t="shared" si="0"/>
        <v>3.994845360824742E-2</v>
      </c>
    </row>
    <row r="21" spans="2:4">
      <c r="B21" s="9" t="s">
        <v>76</v>
      </c>
      <c r="C21" s="10">
        <v>157</v>
      </c>
      <c r="D21" s="11">
        <f t="shared" si="0"/>
        <v>3.3719931271477661E-2</v>
      </c>
    </row>
    <row r="22" spans="2:4">
      <c r="B22" s="13" t="s">
        <v>46</v>
      </c>
      <c r="C22" s="14">
        <v>4656</v>
      </c>
      <c r="D22" s="15">
        <v>1</v>
      </c>
    </row>
    <row r="24" spans="2:4">
      <c r="B24" s="17" t="s">
        <v>198</v>
      </c>
      <c r="C24" s="8"/>
    </row>
    <row r="25" spans="2:4">
      <c r="B25" s="18" t="s">
        <v>47</v>
      </c>
      <c r="C25" s="8"/>
    </row>
    <row r="26" spans="2:4">
      <c r="B26" s="19" t="s">
        <v>48</v>
      </c>
      <c r="C26" s="8"/>
    </row>
    <row r="27" spans="2:4">
      <c r="B27" s="17" t="s">
        <v>49</v>
      </c>
      <c r="C27" s="8"/>
    </row>
    <row r="28" spans="2:4">
      <c r="B28" s="17" t="s">
        <v>199</v>
      </c>
      <c r="C28" s="8"/>
    </row>
    <row r="29" spans="2:4">
      <c r="C29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D31"/>
  <sheetViews>
    <sheetView showGridLines="0" zoomScaleNormal="100" zoomScaleSheetLayoutView="115" workbookViewId="0">
      <selection activeCell="D23" sqref="D23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8" t="s">
        <v>203</v>
      </c>
      <c r="C7" s="88"/>
      <c r="D7" s="88"/>
    </row>
    <row r="8" spans="1:4" s="1" customFormat="1" ht="15" customHeight="1">
      <c r="B8" s="88"/>
      <c r="C8" s="88"/>
      <c r="D8" s="88"/>
    </row>
    <row r="9" spans="1:4" s="1" customFormat="1" ht="33" customHeight="1">
      <c r="B9" s="88"/>
      <c r="C9" s="88"/>
      <c r="D9" s="88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104</v>
      </c>
      <c r="C11" s="6" t="s">
        <v>2</v>
      </c>
      <c r="D11" s="7" t="s">
        <v>3</v>
      </c>
    </row>
    <row r="12" spans="1:4">
      <c r="B12" s="9" t="s">
        <v>0</v>
      </c>
      <c r="C12" s="10">
        <v>3744</v>
      </c>
      <c r="D12" s="11">
        <f>C12/$C$23</f>
        <v>0.56266907123534715</v>
      </c>
    </row>
    <row r="13" spans="1:4">
      <c r="B13" s="9" t="s">
        <v>103</v>
      </c>
      <c r="C13" s="10">
        <v>807</v>
      </c>
      <c r="D13" s="11">
        <f t="shared" ref="D13:D23" si="0">C13/$C$23</f>
        <v>0.12128043282236249</v>
      </c>
    </row>
    <row r="14" spans="1:4">
      <c r="B14" s="9" t="s">
        <v>102</v>
      </c>
      <c r="C14" s="10">
        <v>654</v>
      </c>
      <c r="D14" s="11">
        <f t="shared" si="0"/>
        <v>9.8286744815148777E-2</v>
      </c>
    </row>
    <row r="15" spans="1:4">
      <c r="B15" s="9" t="s">
        <v>101</v>
      </c>
      <c r="C15" s="10">
        <v>430</v>
      </c>
      <c r="D15" s="11">
        <f t="shared" si="0"/>
        <v>6.4622783288247665E-2</v>
      </c>
    </row>
    <row r="16" spans="1:4">
      <c r="B16" s="9" t="s">
        <v>100</v>
      </c>
      <c r="C16" s="10">
        <v>338</v>
      </c>
      <c r="D16" s="11">
        <f t="shared" si="0"/>
        <v>5.0796513375413285E-2</v>
      </c>
    </row>
    <row r="17" spans="2:4">
      <c r="B17" s="9" t="s">
        <v>99</v>
      </c>
      <c r="C17" s="10">
        <v>302</v>
      </c>
      <c r="D17" s="11">
        <f t="shared" si="0"/>
        <v>4.538623384430418E-2</v>
      </c>
    </row>
    <row r="18" spans="2:4">
      <c r="B18" s="9" t="s">
        <v>98</v>
      </c>
      <c r="C18" s="10">
        <v>100</v>
      </c>
      <c r="D18" s="11">
        <f t="shared" si="0"/>
        <v>1.5028554253080854E-2</v>
      </c>
    </row>
    <row r="19" spans="2:4">
      <c r="B19" s="9" t="s">
        <v>95</v>
      </c>
      <c r="C19" s="10">
        <v>80</v>
      </c>
      <c r="D19" s="11">
        <f t="shared" si="0"/>
        <v>1.2022843402464683E-2</v>
      </c>
    </row>
    <row r="20" spans="2:4" ht="27">
      <c r="B20" s="9" t="s">
        <v>97</v>
      </c>
      <c r="C20" s="10">
        <v>77</v>
      </c>
      <c r="D20" s="11">
        <f t="shared" si="0"/>
        <v>1.1571986774872258E-2</v>
      </c>
    </row>
    <row r="21" spans="2:4">
      <c r="B21" s="9" t="s">
        <v>96</v>
      </c>
      <c r="C21" s="10">
        <v>69</v>
      </c>
      <c r="D21" s="11">
        <f t="shared" si="0"/>
        <v>1.0369702434625788E-2</v>
      </c>
    </row>
    <row r="22" spans="2:4">
      <c r="B22" s="9" t="s">
        <v>94</v>
      </c>
      <c r="C22" s="10">
        <v>53</v>
      </c>
      <c r="D22" s="11">
        <f t="shared" si="0"/>
        <v>7.9651337541328526E-3</v>
      </c>
    </row>
    <row r="23" spans="2:4">
      <c r="B23" s="13" t="s">
        <v>46</v>
      </c>
      <c r="C23" s="14">
        <v>6654</v>
      </c>
      <c r="D23" s="15">
        <f t="shared" si="0"/>
        <v>1</v>
      </c>
    </row>
    <row r="25" spans="2:4">
      <c r="B25" s="17" t="s">
        <v>198</v>
      </c>
    </row>
    <row r="26" spans="2:4">
      <c r="B26" s="18" t="s">
        <v>47</v>
      </c>
    </row>
    <row r="27" spans="2:4">
      <c r="B27" s="19" t="s">
        <v>48</v>
      </c>
    </row>
    <row r="28" spans="2:4">
      <c r="B28" s="17" t="s">
        <v>49</v>
      </c>
    </row>
    <row r="29" spans="2:4">
      <c r="B29" s="17" t="s">
        <v>199</v>
      </c>
    </row>
    <row r="30" spans="2:4">
      <c r="C30" s="8"/>
    </row>
    <row r="31" spans="2:4">
      <c r="C31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E331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94"/>
      <c r="C7" s="94"/>
      <c r="D7" s="94"/>
      <c r="E7" s="94"/>
    </row>
    <row r="8" spans="1:5" s="31" customFormat="1" ht="33" customHeight="1">
      <c r="A8" s="32"/>
      <c r="B8" s="94"/>
      <c r="C8" s="94"/>
      <c r="D8" s="94"/>
      <c r="E8" s="94"/>
    </row>
    <row r="9" spans="1:5" s="1" customFormat="1" ht="40.5" customHeight="1">
      <c r="B9" s="28" t="s">
        <v>106</v>
      </c>
      <c r="C9" s="30" t="s">
        <v>105</v>
      </c>
      <c r="D9" s="29" t="s">
        <v>2</v>
      </c>
      <c r="E9" s="28" t="s">
        <v>3</v>
      </c>
    </row>
    <row r="10" spans="1:5" ht="15" customHeight="1">
      <c r="B10" s="89" t="s">
        <v>35</v>
      </c>
      <c r="C10" s="27" t="s">
        <v>0</v>
      </c>
      <c r="D10" s="26">
        <v>19</v>
      </c>
      <c r="E10" s="25">
        <v>2.8554253080853623E-3</v>
      </c>
    </row>
    <row r="11" spans="1:5" ht="15" customHeight="1">
      <c r="B11" s="90"/>
      <c r="C11" s="27" t="s">
        <v>103</v>
      </c>
      <c r="D11" s="26">
        <v>1</v>
      </c>
      <c r="E11" s="25">
        <v>1.5028554253080853E-4</v>
      </c>
    </row>
    <row r="12" spans="1:5" ht="15" customHeight="1">
      <c r="B12" s="90"/>
      <c r="C12" s="27" t="s">
        <v>94</v>
      </c>
      <c r="D12" s="26">
        <v>1</v>
      </c>
      <c r="E12" s="25">
        <v>1.5028554253080853E-4</v>
      </c>
    </row>
    <row r="13" spans="1:5" ht="15" customHeight="1">
      <c r="B13" s="90"/>
      <c r="C13" s="27" t="s">
        <v>100</v>
      </c>
      <c r="D13" s="26">
        <v>3</v>
      </c>
      <c r="E13" s="25">
        <v>4.5085662759242559E-4</v>
      </c>
    </row>
    <row r="14" spans="1:5" ht="15" customHeight="1">
      <c r="B14" s="90"/>
      <c r="C14" s="27" t="s">
        <v>101</v>
      </c>
      <c r="D14" s="26">
        <v>1</v>
      </c>
      <c r="E14" s="25">
        <v>1.5028554253080853E-4</v>
      </c>
    </row>
    <row r="15" spans="1:5" ht="15" customHeight="1">
      <c r="B15" s="90"/>
      <c r="C15" s="27" t="s">
        <v>102</v>
      </c>
      <c r="D15" s="26">
        <v>1</v>
      </c>
      <c r="E15" s="25">
        <v>1.5028554253080853E-4</v>
      </c>
    </row>
    <row r="16" spans="1:5" ht="15" customHeight="1">
      <c r="B16" s="90"/>
      <c r="C16" s="27" t="s">
        <v>97</v>
      </c>
      <c r="D16" s="26">
        <v>1</v>
      </c>
      <c r="E16" s="25">
        <v>1.5028554253080853E-4</v>
      </c>
    </row>
    <row r="17" spans="2:5" ht="15" customHeight="1">
      <c r="B17" s="90"/>
      <c r="C17" s="27" t="s">
        <v>98</v>
      </c>
      <c r="D17" s="26">
        <v>1</v>
      </c>
      <c r="E17" s="25">
        <v>1.5028554253080853E-4</v>
      </c>
    </row>
    <row r="18" spans="2:5" ht="15" customHeight="1">
      <c r="B18" s="91"/>
      <c r="C18" s="24" t="s">
        <v>46</v>
      </c>
      <c r="D18" s="23">
        <v>28</v>
      </c>
      <c r="E18" s="22">
        <v>4.207995190862639E-3</v>
      </c>
    </row>
    <row r="19" spans="2:5" ht="15" customHeight="1">
      <c r="B19" s="89" t="s">
        <v>195</v>
      </c>
      <c r="C19" s="27" t="s">
        <v>0</v>
      </c>
      <c r="D19" s="26">
        <v>2</v>
      </c>
      <c r="E19" s="25">
        <v>3.0057108506161706E-4</v>
      </c>
    </row>
    <row r="20" spans="2:5" ht="15" customHeight="1">
      <c r="B20" s="90"/>
      <c r="C20" s="27" t="s">
        <v>102</v>
      </c>
      <c r="D20" s="26">
        <v>1</v>
      </c>
      <c r="E20" s="25">
        <v>1.5028554253080853E-4</v>
      </c>
    </row>
    <row r="21" spans="2:5" ht="15" customHeight="1">
      <c r="B21" s="91"/>
      <c r="C21" s="24" t="s">
        <v>46</v>
      </c>
      <c r="D21" s="23">
        <v>3</v>
      </c>
      <c r="E21" s="22">
        <v>4.5085662759242559E-4</v>
      </c>
    </row>
    <row r="22" spans="2:5" ht="15" customHeight="1">
      <c r="B22" s="89" t="s">
        <v>22</v>
      </c>
      <c r="C22" s="27" t="s">
        <v>0</v>
      </c>
      <c r="D22" s="26">
        <v>58</v>
      </c>
      <c r="E22" s="25">
        <v>8.716561466786895E-3</v>
      </c>
    </row>
    <row r="23" spans="2:5" ht="15" customHeight="1">
      <c r="B23" s="90"/>
      <c r="C23" s="27" t="s">
        <v>99</v>
      </c>
      <c r="D23" s="26">
        <v>1</v>
      </c>
      <c r="E23" s="25">
        <v>1.5028554253080853E-4</v>
      </c>
    </row>
    <row r="24" spans="2:5" ht="15" customHeight="1">
      <c r="B24" s="90"/>
      <c r="C24" s="27" t="s">
        <v>103</v>
      </c>
      <c r="D24" s="26">
        <v>5</v>
      </c>
      <c r="E24" s="25">
        <v>7.514277126540427E-4</v>
      </c>
    </row>
    <row r="25" spans="2:5" ht="15" customHeight="1">
      <c r="B25" s="90"/>
      <c r="C25" s="27" t="s">
        <v>100</v>
      </c>
      <c r="D25" s="26">
        <v>9</v>
      </c>
      <c r="E25" s="25">
        <v>1.3525698827772769E-3</v>
      </c>
    </row>
    <row r="26" spans="2:5" ht="15" customHeight="1">
      <c r="B26" s="90"/>
      <c r="C26" s="27" t="s">
        <v>101</v>
      </c>
      <c r="D26" s="26">
        <v>8</v>
      </c>
      <c r="E26" s="25">
        <v>1.2022843402464682E-3</v>
      </c>
    </row>
    <row r="27" spans="2:5" ht="15" customHeight="1">
      <c r="B27" s="90"/>
      <c r="C27" s="27" t="s">
        <v>102</v>
      </c>
      <c r="D27" s="26">
        <v>4</v>
      </c>
      <c r="E27" s="25">
        <v>6.0114217012323412E-4</v>
      </c>
    </row>
    <row r="28" spans="2:5" ht="15" customHeight="1">
      <c r="B28" s="90"/>
      <c r="C28" s="27" t="s">
        <v>97</v>
      </c>
      <c r="D28" s="26">
        <v>3</v>
      </c>
      <c r="E28" s="25">
        <v>4.5085662759242559E-4</v>
      </c>
    </row>
    <row r="29" spans="2:5" ht="15" customHeight="1">
      <c r="B29" s="90"/>
      <c r="C29" s="27" t="s">
        <v>95</v>
      </c>
      <c r="D29" s="26">
        <v>1</v>
      </c>
      <c r="E29" s="25">
        <v>1.5028554253080853E-4</v>
      </c>
    </row>
    <row r="30" spans="2:5" ht="15" customHeight="1">
      <c r="B30" s="90"/>
      <c r="C30" s="27" t="s">
        <v>98</v>
      </c>
      <c r="D30" s="26">
        <v>1</v>
      </c>
      <c r="E30" s="25">
        <v>1.5028554253080853E-4</v>
      </c>
    </row>
    <row r="31" spans="2:5" ht="15" customHeight="1">
      <c r="B31" s="91"/>
      <c r="C31" s="24" t="s">
        <v>46</v>
      </c>
      <c r="D31" s="23">
        <v>90</v>
      </c>
      <c r="E31" s="22">
        <v>1.3525698827772768E-2</v>
      </c>
    </row>
    <row r="32" spans="2:5" ht="15" customHeight="1">
      <c r="B32" s="89" t="s">
        <v>13</v>
      </c>
      <c r="C32" s="27" t="s">
        <v>0</v>
      </c>
      <c r="D32" s="26">
        <v>35</v>
      </c>
      <c r="E32" s="25">
        <v>5.2599939885782983E-3</v>
      </c>
    </row>
    <row r="33" spans="2:5" ht="15" customHeight="1">
      <c r="B33" s="90"/>
      <c r="C33" s="27" t="s">
        <v>99</v>
      </c>
      <c r="D33" s="26">
        <v>8</v>
      </c>
      <c r="E33" s="25">
        <v>1.2022843402464682E-3</v>
      </c>
    </row>
    <row r="34" spans="2:5" ht="15" customHeight="1">
      <c r="B34" s="90"/>
      <c r="C34" s="27" t="s">
        <v>103</v>
      </c>
      <c r="D34" s="26">
        <v>2</v>
      </c>
      <c r="E34" s="25">
        <v>3.0057108506161706E-4</v>
      </c>
    </row>
    <row r="35" spans="2:5" ht="15" customHeight="1">
      <c r="B35" s="90"/>
      <c r="C35" s="27" t="s">
        <v>100</v>
      </c>
      <c r="D35" s="26">
        <v>4</v>
      </c>
      <c r="E35" s="25">
        <v>6.0114217012323412E-4</v>
      </c>
    </row>
    <row r="36" spans="2:5" ht="15" customHeight="1">
      <c r="B36" s="90"/>
      <c r="C36" s="27" t="s">
        <v>101</v>
      </c>
      <c r="D36" s="26">
        <v>7</v>
      </c>
      <c r="E36" s="25">
        <v>1.0519987977156598E-3</v>
      </c>
    </row>
    <row r="37" spans="2:5" ht="15" customHeight="1">
      <c r="B37" s="90"/>
      <c r="C37" s="27" t="s">
        <v>102</v>
      </c>
      <c r="D37" s="26">
        <v>19</v>
      </c>
      <c r="E37" s="25">
        <v>2.8554253080853623E-3</v>
      </c>
    </row>
    <row r="38" spans="2:5" ht="15" customHeight="1">
      <c r="B38" s="90"/>
      <c r="C38" s="27" t="s">
        <v>97</v>
      </c>
      <c r="D38" s="26">
        <v>2</v>
      </c>
      <c r="E38" s="25">
        <v>3.0057108506161706E-4</v>
      </c>
    </row>
    <row r="39" spans="2:5" ht="15" customHeight="1">
      <c r="B39" s="90"/>
      <c r="C39" s="27" t="s">
        <v>98</v>
      </c>
      <c r="D39" s="26">
        <v>2</v>
      </c>
      <c r="E39" s="25">
        <v>3.0057108506161706E-4</v>
      </c>
    </row>
    <row r="40" spans="2:5" ht="15" customHeight="1">
      <c r="B40" s="91"/>
      <c r="C40" s="24" t="s">
        <v>46</v>
      </c>
      <c r="D40" s="23">
        <v>79</v>
      </c>
      <c r="E40" s="22">
        <v>1.1872557859933875E-2</v>
      </c>
    </row>
    <row r="41" spans="2:5" ht="15" customHeight="1">
      <c r="B41" s="89" t="s">
        <v>4</v>
      </c>
      <c r="C41" s="27" t="s">
        <v>0</v>
      </c>
      <c r="D41" s="26">
        <v>779</v>
      </c>
      <c r="E41" s="25">
        <v>0.11707243763149985</v>
      </c>
    </row>
    <row r="42" spans="2:5" ht="15" customHeight="1">
      <c r="B42" s="90"/>
      <c r="C42" s="27" t="s">
        <v>99</v>
      </c>
      <c r="D42" s="26">
        <v>32</v>
      </c>
      <c r="E42" s="25">
        <v>4.8091373609858729E-3</v>
      </c>
    </row>
    <row r="43" spans="2:5" ht="15" customHeight="1">
      <c r="B43" s="90"/>
      <c r="C43" s="27" t="s">
        <v>103</v>
      </c>
      <c r="D43" s="26">
        <v>129</v>
      </c>
      <c r="E43" s="25">
        <v>1.93868349864743E-2</v>
      </c>
    </row>
    <row r="44" spans="2:5" ht="15" customHeight="1">
      <c r="B44" s="90"/>
      <c r="C44" s="27" t="s">
        <v>96</v>
      </c>
      <c r="D44" s="26">
        <v>10</v>
      </c>
      <c r="E44" s="25">
        <v>1.5028554253080854E-3</v>
      </c>
    </row>
    <row r="45" spans="2:5" ht="15" customHeight="1">
      <c r="B45" s="90"/>
      <c r="C45" s="27" t="s">
        <v>94</v>
      </c>
      <c r="D45" s="26">
        <v>5</v>
      </c>
      <c r="E45" s="25">
        <v>7.514277126540427E-4</v>
      </c>
    </row>
    <row r="46" spans="2:5" ht="15" customHeight="1">
      <c r="B46" s="90"/>
      <c r="C46" s="27" t="s">
        <v>100</v>
      </c>
      <c r="D46" s="26">
        <v>76</v>
      </c>
      <c r="E46" s="25">
        <v>1.1421701232341449E-2</v>
      </c>
    </row>
    <row r="47" spans="2:5" ht="15" customHeight="1">
      <c r="B47" s="90"/>
      <c r="C47" s="27" t="s">
        <v>101</v>
      </c>
      <c r="D47" s="26">
        <v>57</v>
      </c>
      <c r="E47" s="25">
        <v>8.5662759242560865E-3</v>
      </c>
    </row>
    <row r="48" spans="2:5" ht="15" customHeight="1">
      <c r="B48" s="90"/>
      <c r="C48" s="27" t="s">
        <v>102</v>
      </c>
      <c r="D48" s="26">
        <v>80</v>
      </c>
      <c r="E48" s="25">
        <v>1.2022843402464683E-2</v>
      </c>
    </row>
    <row r="49" spans="2:5" ht="15" customHeight="1">
      <c r="B49" s="90"/>
      <c r="C49" s="27" t="s">
        <v>97</v>
      </c>
      <c r="D49" s="26">
        <v>6</v>
      </c>
      <c r="E49" s="25">
        <v>9.0171325518485117E-4</v>
      </c>
    </row>
    <row r="50" spans="2:5" ht="15" customHeight="1">
      <c r="B50" s="90"/>
      <c r="C50" s="27" t="s">
        <v>95</v>
      </c>
      <c r="D50" s="26">
        <v>31</v>
      </c>
      <c r="E50" s="25">
        <v>4.6588518184550645E-3</v>
      </c>
    </row>
    <row r="51" spans="2:5" ht="15" customHeight="1">
      <c r="B51" s="90"/>
      <c r="C51" s="27" t="s">
        <v>98</v>
      </c>
      <c r="D51" s="26">
        <v>33</v>
      </c>
      <c r="E51" s="25">
        <v>4.9594229035166814E-3</v>
      </c>
    </row>
    <row r="52" spans="2:5" ht="15" customHeight="1">
      <c r="B52" s="91"/>
      <c r="C52" s="24" t="s">
        <v>46</v>
      </c>
      <c r="D52" s="23">
        <v>1238</v>
      </c>
      <c r="E52" s="22">
        <v>0.18605350165314097</v>
      </c>
    </row>
    <row r="53" spans="2:5" ht="15" customHeight="1">
      <c r="B53" s="89" t="s">
        <v>8</v>
      </c>
      <c r="C53" s="27" t="s">
        <v>0</v>
      </c>
      <c r="D53" s="26">
        <v>161</v>
      </c>
      <c r="E53" s="25">
        <v>2.4195972347460175E-2</v>
      </c>
    </row>
    <row r="54" spans="2:5" ht="15" customHeight="1">
      <c r="B54" s="90"/>
      <c r="C54" s="27" t="s">
        <v>99</v>
      </c>
      <c r="D54" s="26">
        <v>18</v>
      </c>
      <c r="E54" s="25">
        <v>2.7051397655545538E-3</v>
      </c>
    </row>
    <row r="55" spans="2:5" ht="15" customHeight="1">
      <c r="B55" s="90"/>
      <c r="C55" s="27" t="s">
        <v>103</v>
      </c>
      <c r="D55" s="26">
        <v>41</v>
      </c>
      <c r="E55" s="25">
        <v>6.1617072437631501E-3</v>
      </c>
    </row>
    <row r="56" spans="2:5" ht="15" customHeight="1">
      <c r="B56" s="90"/>
      <c r="C56" s="27" t="s">
        <v>96</v>
      </c>
      <c r="D56" s="26">
        <v>16</v>
      </c>
      <c r="E56" s="25">
        <v>2.4045686804929365E-3</v>
      </c>
    </row>
    <row r="57" spans="2:5" ht="15" customHeight="1">
      <c r="B57" s="90"/>
      <c r="C57" s="27" t="s">
        <v>94</v>
      </c>
      <c r="D57" s="26">
        <v>1</v>
      </c>
      <c r="E57" s="25">
        <v>1.5028554253080853E-4</v>
      </c>
    </row>
    <row r="58" spans="2:5" ht="15" customHeight="1">
      <c r="B58" s="90"/>
      <c r="C58" s="27" t="s">
        <v>100</v>
      </c>
      <c r="D58" s="26">
        <v>23</v>
      </c>
      <c r="E58" s="25">
        <v>3.4565674782085962E-3</v>
      </c>
    </row>
    <row r="59" spans="2:5" ht="15" customHeight="1">
      <c r="B59" s="90"/>
      <c r="C59" s="27" t="s">
        <v>101</v>
      </c>
      <c r="D59" s="26">
        <v>41</v>
      </c>
      <c r="E59" s="25">
        <v>6.1617072437631501E-3</v>
      </c>
    </row>
    <row r="60" spans="2:5" ht="15" customHeight="1">
      <c r="B60" s="90"/>
      <c r="C60" s="27" t="s">
        <v>102</v>
      </c>
      <c r="D60" s="26">
        <v>66</v>
      </c>
      <c r="E60" s="25">
        <v>9.9188458070333628E-3</v>
      </c>
    </row>
    <row r="61" spans="2:5" ht="15" customHeight="1">
      <c r="B61" s="90"/>
      <c r="C61" s="27" t="s">
        <v>97</v>
      </c>
      <c r="D61" s="26">
        <v>4</v>
      </c>
      <c r="E61" s="25">
        <v>6.0114217012323412E-4</v>
      </c>
    </row>
    <row r="62" spans="2:5" ht="15" customHeight="1">
      <c r="B62" s="90"/>
      <c r="C62" s="27" t="s">
        <v>98</v>
      </c>
      <c r="D62" s="26">
        <v>22</v>
      </c>
      <c r="E62" s="25">
        <v>3.3062819356777877E-3</v>
      </c>
    </row>
    <row r="63" spans="2:5" ht="15" customHeight="1">
      <c r="B63" s="91"/>
      <c r="C63" s="24" t="s">
        <v>46</v>
      </c>
      <c r="D63" s="23">
        <v>393</v>
      </c>
      <c r="E63" s="22">
        <v>5.9062218214607755E-2</v>
      </c>
    </row>
    <row r="64" spans="2:5" ht="15" customHeight="1">
      <c r="B64" s="89" t="s">
        <v>38</v>
      </c>
      <c r="C64" s="27" t="s">
        <v>0</v>
      </c>
      <c r="D64" s="26">
        <v>14</v>
      </c>
      <c r="E64" s="25">
        <v>2.1039975954313195E-3</v>
      </c>
    </row>
    <row r="65" spans="2:5" ht="15" customHeight="1">
      <c r="B65" s="90"/>
      <c r="C65" s="27" t="s">
        <v>102</v>
      </c>
      <c r="D65" s="26">
        <v>1</v>
      </c>
      <c r="E65" s="25">
        <v>1.5028554253080853E-4</v>
      </c>
    </row>
    <row r="66" spans="2:5" ht="15" customHeight="1">
      <c r="B66" s="91"/>
      <c r="C66" s="24" t="s">
        <v>46</v>
      </c>
      <c r="D66" s="23">
        <v>15</v>
      </c>
      <c r="E66" s="22">
        <v>2.254283137962128E-3</v>
      </c>
    </row>
    <row r="67" spans="2:5" ht="15" customHeight="1">
      <c r="B67" s="89" t="s">
        <v>41</v>
      </c>
      <c r="C67" s="27" t="s">
        <v>0</v>
      </c>
      <c r="D67" s="26">
        <v>7</v>
      </c>
      <c r="E67" s="25">
        <v>1.0519987977156598E-3</v>
      </c>
    </row>
    <row r="68" spans="2:5" ht="15" customHeight="1">
      <c r="B68" s="90"/>
      <c r="C68" s="27" t="s">
        <v>100</v>
      </c>
      <c r="D68" s="26">
        <v>1</v>
      </c>
      <c r="E68" s="25">
        <v>1.5028554253080853E-4</v>
      </c>
    </row>
    <row r="69" spans="2:5" ht="15" customHeight="1">
      <c r="B69" s="90"/>
      <c r="C69" s="27" t="s">
        <v>98</v>
      </c>
      <c r="D69" s="26">
        <v>1</v>
      </c>
      <c r="E69" s="25">
        <v>1.5028554253080853E-4</v>
      </c>
    </row>
    <row r="70" spans="2:5" ht="15" customHeight="1">
      <c r="B70" s="91"/>
      <c r="C70" s="24" t="s">
        <v>46</v>
      </c>
      <c r="D70" s="23">
        <v>9</v>
      </c>
      <c r="E70" s="22">
        <v>1.3525698827772769E-3</v>
      </c>
    </row>
    <row r="71" spans="2:5" ht="15" customHeight="1">
      <c r="B71" s="89" t="s">
        <v>10</v>
      </c>
      <c r="C71" s="27" t="s">
        <v>0</v>
      </c>
      <c r="D71" s="26">
        <v>118</v>
      </c>
      <c r="E71" s="25">
        <v>1.7733694018635407E-2</v>
      </c>
    </row>
    <row r="72" spans="2:5" ht="15" customHeight="1">
      <c r="B72" s="90"/>
      <c r="C72" s="27" t="s">
        <v>99</v>
      </c>
      <c r="D72" s="26">
        <v>14</v>
      </c>
      <c r="E72" s="25">
        <v>2.1039975954313195E-3</v>
      </c>
    </row>
    <row r="73" spans="2:5" ht="15" customHeight="1">
      <c r="B73" s="90"/>
      <c r="C73" s="27" t="s">
        <v>103</v>
      </c>
      <c r="D73" s="26">
        <v>11</v>
      </c>
      <c r="E73" s="25">
        <v>1.6531409678388939E-3</v>
      </c>
    </row>
    <row r="74" spans="2:5" ht="15" customHeight="1">
      <c r="B74" s="90"/>
      <c r="C74" s="27" t="s">
        <v>96</v>
      </c>
      <c r="D74" s="26">
        <v>1</v>
      </c>
      <c r="E74" s="25">
        <v>1.5028554253080853E-4</v>
      </c>
    </row>
    <row r="75" spans="2:5" ht="15" customHeight="1">
      <c r="B75" s="90"/>
      <c r="C75" s="27" t="s">
        <v>94</v>
      </c>
      <c r="D75" s="26">
        <v>9</v>
      </c>
      <c r="E75" s="25">
        <v>1.3525698827772769E-3</v>
      </c>
    </row>
    <row r="76" spans="2:5" ht="15" customHeight="1">
      <c r="B76" s="90"/>
      <c r="C76" s="27" t="s">
        <v>100</v>
      </c>
      <c r="D76" s="26">
        <v>11</v>
      </c>
      <c r="E76" s="25">
        <v>1.6531409678388939E-3</v>
      </c>
    </row>
    <row r="77" spans="2:5" ht="15" customHeight="1">
      <c r="B77" s="90"/>
      <c r="C77" s="27" t="s">
        <v>101</v>
      </c>
      <c r="D77" s="26">
        <v>11</v>
      </c>
      <c r="E77" s="25">
        <v>1.6531409678388939E-3</v>
      </c>
    </row>
    <row r="78" spans="2:5" ht="15" customHeight="1">
      <c r="B78" s="90"/>
      <c r="C78" s="27" t="s">
        <v>102</v>
      </c>
      <c r="D78" s="26">
        <v>9</v>
      </c>
      <c r="E78" s="25">
        <v>1.3525698827772769E-3</v>
      </c>
    </row>
    <row r="79" spans="2:5" ht="15" customHeight="1">
      <c r="B79" s="90"/>
      <c r="C79" s="27" t="s">
        <v>95</v>
      </c>
      <c r="D79" s="26">
        <v>2</v>
      </c>
      <c r="E79" s="25">
        <v>3.0057108506161706E-4</v>
      </c>
    </row>
    <row r="80" spans="2:5" ht="15" customHeight="1">
      <c r="B80" s="90"/>
      <c r="C80" s="27" t="s">
        <v>98</v>
      </c>
      <c r="D80" s="26">
        <v>2</v>
      </c>
      <c r="E80" s="25">
        <v>3.0057108506161706E-4</v>
      </c>
    </row>
    <row r="81" spans="2:5" ht="15" customHeight="1">
      <c r="B81" s="91"/>
      <c r="C81" s="24" t="s">
        <v>46</v>
      </c>
      <c r="D81" s="23">
        <v>188</v>
      </c>
      <c r="E81" s="22">
        <v>2.8253681995792004E-2</v>
      </c>
    </row>
    <row r="82" spans="2:5" ht="15" customHeight="1">
      <c r="B82" s="89" t="s">
        <v>12</v>
      </c>
      <c r="C82" s="27" t="s">
        <v>0</v>
      </c>
      <c r="D82" s="26">
        <v>63</v>
      </c>
      <c r="E82" s="25">
        <v>9.4679891794409374E-3</v>
      </c>
    </row>
    <row r="83" spans="2:5" ht="15" customHeight="1">
      <c r="B83" s="90"/>
      <c r="C83" s="27" t="s">
        <v>99</v>
      </c>
      <c r="D83" s="26">
        <v>10</v>
      </c>
      <c r="E83" s="25">
        <v>1.5028554253080854E-3</v>
      </c>
    </row>
    <row r="84" spans="2:5" ht="15" customHeight="1">
      <c r="B84" s="90"/>
      <c r="C84" s="27" t="s">
        <v>103</v>
      </c>
      <c r="D84" s="26">
        <v>16</v>
      </c>
      <c r="E84" s="25">
        <v>2.4045686804929365E-3</v>
      </c>
    </row>
    <row r="85" spans="2:5" ht="15" customHeight="1">
      <c r="B85" s="90"/>
      <c r="C85" s="27" t="s">
        <v>96</v>
      </c>
      <c r="D85" s="26">
        <v>1</v>
      </c>
      <c r="E85" s="25">
        <v>1.5028554253080853E-4</v>
      </c>
    </row>
    <row r="86" spans="2:5" ht="15" customHeight="1">
      <c r="B86" s="90"/>
      <c r="C86" s="27" t="s">
        <v>94</v>
      </c>
      <c r="D86" s="26">
        <v>1</v>
      </c>
      <c r="E86" s="25">
        <v>1.5028554253080853E-4</v>
      </c>
    </row>
    <row r="87" spans="2:5" ht="15" customHeight="1">
      <c r="B87" s="90"/>
      <c r="C87" s="27" t="s">
        <v>100</v>
      </c>
      <c r="D87" s="26">
        <v>3</v>
      </c>
      <c r="E87" s="25">
        <v>4.5085662759242559E-4</v>
      </c>
    </row>
    <row r="88" spans="2:5" ht="15" customHeight="1">
      <c r="B88" s="90"/>
      <c r="C88" s="27" t="s">
        <v>101</v>
      </c>
      <c r="D88" s="26">
        <v>2</v>
      </c>
      <c r="E88" s="25">
        <v>3.0057108506161706E-4</v>
      </c>
    </row>
    <row r="89" spans="2:5" ht="15" customHeight="1">
      <c r="B89" s="90"/>
      <c r="C89" s="27" t="s">
        <v>102</v>
      </c>
      <c r="D89" s="26">
        <v>3</v>
      </c>
      <c r="E89" s="25">
        <v>4.5085662759242559E-4</v>
      </c>
    </row>
    <row r="90" spans="2:5" ht="15" customHeight="1">
      <c r="B90" s="90"/>
      <c r="C90" s="27" t="s">
        <v>95</v>
      </c>
      <c r="D90" s="26">
        <v>2</v>
      </c>
      <c r="E90" s="25">
        <v>3.0057108506161706E-4</v>
      </c>
    </row>
    <row r="91" spans="2:5" ht="15" customHeight="1">
      <c r="B91" s="91"/>
      <c r="C91" s="24" t="s">
        <v>46</v>
      </c>
      <c r="D91" s="23">
        <v>101</v>
      </c>
      <c r="E91" s="22">
        <v>1.5178839795611663E-2</v>
      </c>
    </row>
    <row r="92" spans="2:5" ht="15" customHeight="1">
      <c r="B92" s="89" t="s">
        <v>26</v>
      </c>
      <c r="C92" s="27" t="s">
        <v>0</v>
      </c>
      <c r="D92" s="26">
        <v>11</v>
      </c>
      <c r="E92" s="25">
        <v>1.6531409678388939E-3</v>
      </c>
    </row>
    <row r="93" spans="2:5" ht="15" customHeight="1">
      <c r="B93" s="90"/>
      <c r="C93" s="27" t="s">
        <v>99</v>
      </c>
      <c r="D93" s="26">
        <v>1</v>
      </c>
      <c r="E93" s="25">
        <v>1.5028554253080853E-4</v>
      </c>
    </row>
    <row r="94" spans="2:5" ht="15" customHeight="1">
      <c r="B94" s="90"/>
      <c r="C94" s="27" t="s">
        <v>103</v>
      </c>
      <c r="D94" s="26">
        <v>13</v>
      </c>
      <c r="E94" s="25">
        <v>1.953712052900511E-3</v>
      </c>
    </row>
    <row r="95" spans="2:5" ht="15" customHeight="1">
      <c r="B95" s="90"/>
      <c r="C95" s="27" t="s">
        <v>100</v>
      </c>
      <c r="D95" s="26">
        <v>1</v>
      </c>
      <c r="E95" s="25">
        <v>1.5028554253080853E-4</v>
      </c>
    </row>
    <row r="96" spans="2:5" ht="15" customHeight="1">
      <c r="B96" s="90"/>
      <c r="C96" s="27" t="s">
        <v>102</v>
      </c>
      <c r="D96" s="26">
        <v>3</v>
      </c>
      <c r="E96" s="25">
        <v>4.5085662759242559E-4</v>
      </c>
    </row>
    <row r="97" spans="2:5" ht="15" customHeight="1">
      <c r="B97" s="91"/>
      <c r="C97" s="24" t="s">
        <v>46</v>
      </c>
      <c r="D97" s="23">
        <v>29</v>
      </c>
      <c r="E97" s="22">
        <v>4.3582807333934475E-3</v>
      </c>
    </row>
    <row r="98" spans="2:5" ht="15" customHeight="1">
      <c r="B98" s="89" t="s">
        <v>6</v>
      </c>
      <c r="C98" s="27" t="s">
        <v>0</v>
      </c>
      <c r="D98" s="26">
        <v>403</v>
      </c>
      <c r="E98" s="25">
        <v>6.056507363991584E-2</v>
      </c>
    </row>
    <row r="99" spans="2:5" ht="15" customHeight="1">
      <c r="B99" s="90"/>
      <c r="C99" s="27" t="s">
        <v>99</v>
      </c>
      <c r="D99" s="26">
        <v>53</v>
      </c>
      <c r="E99" s="25">
        <v>7.9651337541328526E-3</v>
      </c>
    </row>
    <row r="100" spans="2:5" ht="15" customHeight="1">
      <c r="B100" s="90"/>
      <c r="C100" s="27" t="s">
        <v>103</v>
      </c>
      <c r="D100" s="26">
        <v>203</v>
      </c>
      <c r="E100" s="25">
        <v>3.0507965133754134E-2</v>
      </c>
    </row>
    <row r="101" spans="2:5" ht="15" customHeight="1">
      <c r="B101" s="90"/>
      <c r="C101" s="27" t="s">
        <v>96</v>
      </c>
      <c r="D101" s="26">
        <v>1</v>
      </c>
      <c r="E101" s="25">
        <v>1.5028554253080853E-4</v>
      </c>
    </row>
    <row r="102" spans="2:5" ht="15" customHeight="1">
      <c r="B102" s="90"/>
      <c r="C102" s="27" t="s">
        <v>94</v>
      </c>
      <c r="D102" s="26">
        <v>2</v>
      </c>
      <c r="E102" s="25">
        <v>3.0057108506161706E-4</v>
      </c>
    </row>
    <row r="103" spans="2:5" ht="15" customHeight="1">
      <c r="B103" s="90"/>
      <c r="C103" s="27" t="s">
        <v>100</v>
      </c>
      <c r="D103" s="26">
        <v>66</v>
      </c>
      <c r="E103" s="25">
        <v>9.9188458070333628E-3</v>
      </c>
    </row>
    <row r="104" spans="2:5" ht="15" customHeight="1">
      <c r="B104" s="90"/>
      <c r="C104" s="27" t="s">
        <v>101</v>
      </c>
      <c r="D104" s="26">
        <v>48</v>
      </c>
      <c r="E104" s="25">
        <v>7.2137060414788094E-3</v>
      </c>
    </row>
    <row r="105" spans="2:5" ht="15" customHeight="1">
      <c r="B105" s="90"/>
      <c r="C105" s="27" t="s">
        <v>102</v>
      </c>
      <c r="D105" s="26">
        <v>26</v>
      </c>
      <c r="E105" s="25">
        <v>3.9074241058010221E-3</v>
      </c>
    </row>
    <row r="106" spans="2:5" ht="15" customHeight="1">
      <c r="B106" s="90"/>
      <c r="C106" s="27" t="s">
        <v>97</v>
      </c>
      <c r="D106" s="26">
        <v>20</v>
      </c>
      <c r="E106" s="25">
        <v>3.0057108506161708E-3</v>
      </c>
    </row>
    <row r="107" spans="2:5" ht="15" customHeight="1">
      <c r="B107" s="91"/>
      <c r="C107" s="24" t="s">
        <v>46</v>
      </c>
      <c r="D107" s="23">
        <v>822</v>
      </c>
      <c r="E107" s="22">
        <v>0.12353471596032461</v>
      </c>
    </row>
    <row r="108" spans="2:5" ht="15" customHeight="1">
      <c r="B108" s="89" t="s">
        <v>9</v>
      </c>
      <c r="C108" s="27" t="s">
        <v>0</v>
      </c>
      <c r="D108" s="26">
        <v>404</v>
      </c>
      <c r="E108" s="25">
        <v>6.0715359182446652E-2</v>
      </c>
    </row>
    <row r="109" spans="2:5" ht="15" customHeight="1">
      <c r="B109" s="90"/>
      <c r="C109" s="27" t="s">
        <v>99</v>
      </c>
      <c r="D109" s="26">
        <v>19</v>
      </c>
      <c r="E109" s="25">
        <v>2.8554253080853623E-3</v>
      </c>
    </row>
    <row r="110" spans="2:5" ht="15" customHeight="1">
      <c r="B110" s="90"/>
      <c r="C110" s="27" t="s">
        <v>103</v>
      </c>
      <c r="D110" s="26">
        <v>21</v>
      </c>
      <c r="E110" s="25">
        <v>3.1559963931469793E-3</v>
      </c>
    </row>
    <row r="111" spans="2:5" ht="15" customHeight="1">
      <c r="B111" s="90"/>
      <c r="C111" s="27" t="s">
        <v>96</v>
      </c>
      <c r="D111" s="26">
        <v>1</v>
      </c>
      <c r="E111" s="25">
        <v>1.5028554253080853E-4</v>
      </c>
    </row>
    <row r="112" spans="2:5" ht="15" customHeight="1">
      <c r="B112" s="90"/>
      <c r="C112" s="27" t="s">
        <v>94</v>
      </c>
      <c r="D112" s="26">
        <v>15</v>
      </c>
      <c r="E112" s="25">
        <v>2.254283137962128E-3</v>
      </c>
    </row>
    <row r="113" spans="2:5" ht="15" customHeight="1">
      <c r="B113" s="90"/>
      <c r="C113" s="27" t="s">
        <v>100</v>
      </c>
      <c r="D113" s="26">
        <v>20</v>
      </c>
      <c r="E113" s="25">
        <v>3.0057108506161708E-3</v>
      </c>
    </row>
    <row r="114" spans="2:5" ht="15" customHeight="1">
      <c r="B114" s="90"/>
      <c r="C114" s="27" t="s">
        <v>101</v>
      </c>
      <c r="D114" s="26">
        <v>7</v>
      </c>
      <c r="E114" s="25">
        <v>1.0519987977156598E-3</v>
      </c>
    </row>
    <row r="115" spans="2:5" ht="15" customHeight="1">
      <c r="B115" s="90"/>
      <c r="C115" s="27" t="s">
        <v>102</v>
      </c>
      <c r="D115" s="26">
        <v>8</v>
      </c>
      <c r="E115" s="25">
        <v>1.2022843402464682E-3</v>
      </c>
    </row>
    <row r="116" spans="2:5" ht="15" customHeight="1">
      <c r="B116" s="90"/>
      <c r="C116" s="27" t="s">
        <v>97</v>
      </c>
      <c r="D116" s="26">
        <v>2</v>
      </c>
      <c r="E116" s="25">
        <v>3.0057108506161706E-4</v>
      </c>
    </row>
    <row r="117" spans="2:5" ht="15" customHeight="1">
      <c r="B117" s="90"/>
      <c r="C117" s="27" t="s">
        <v>98</v>
      </c>
      <c r="D117" s="26">
        <v>3</v>
      </c>
      <c r="E117" s="25">
        <v>4.5085662759242559E-4</v>
      </c>
    </row>
    <row r="118" spans="2:5" ht="15" customHeight="1">
      <c r="B118" s="91"/>
      <c r="C118" s="24" t="s">
        <v>46</v>
      </c>
      <c r="D118" s="23">
        <v>500</v>
      </c>
      <c r="E118" s="22">
        <v>7.5142771265404265E-2</v>
      </c>
    </row>
    <row r="119" spans="2:5" ht="15" customHeight="1">
      <c r="B119" s="89" t="s">
        <v>24</v>
      </c>
      <c r="C119" s="27" t="s">
        <v>0</v>
      </c>
      <c r="D119" s="26">
        <v>31</v>
      </c>
      <c r="E119" s="25">
        <v>4.6588518184550645E-3</v>
      </c>
    </row>
    <row r="120" spans="2:5" ht="15" customHeight="1">
      <c r="B120" s="90"/>
      <c r="C120" s="27" t="s">
        <v>99</v>
      </c>
      <c r="D120" s="26">
        <v>1</v>
      </c>
      <c r="E120" s="25">
        <v>1.5028554253080853E-4</v>
      </c>
    </row>
    <row r="121" spans="2:5" ht="15" customHeight="1">
      <c r="B121" s="90"/>
      <c r="C121" s="27" t="s">
        <v>100</v>
      </c>
      <c r="D121" s="26">
        <v>5</v>
      </c>
      <c r="E121" s="25">
        <v>7.514277126540427E-4</v>
      </c>
    </row>
    <row r="122" spans="2:5" ht="15" customHeight="1">
      <c r="B122" s="90"/>
      <c r="C122" s="27" t="s">
        <v>101</v>
      </c>
      <c r="D122" s="26">
        <v>5</v>
      </c>
      <c r="E122" s="25">
        <v>7.514277126540427E-4</v>
      </c>
    </row>
    <row r="123" spans="2:5" ht="15" customHeight="1">
      <c r="B123" s="90"/>
      <c r="C123" s="27" t="s">
        <v>102</v>
      </c>
      <c r="D123" s="26">
        <v>4</v>
      </c>
      <c r="E123" s="25">
        <v>6.0114217012323412E-4</v>
      </c>
    </row>
    <row r="124" spans="2:5" ht="15" customHeight="1">
      <c r="B124" s="90"/>
      <c r="C124" s="27" t="s">
        <v>97</v>
      </c>
      <c r="D124" s="26">
        <v>4</v>
      </c>
      <c r="E124" s="25">
        <v>6.0114217012323412E-4</v>
      </c>
    </row>
    <row r="125" spans="2:5" ht="15" customHeight="1">
      <c r="B125" s="90"/>
      <c r="C125" s="27" t="s">
        <v>95</v>
      </c>
      <c r="D125" s="26">
        <v>1</v>
      </c>
      <c r="E125" s="25">
        <v>1.5028554253080853E-4</v>
      </c>
    </row>
    <row r="126" spans="2:5" ht="15" customHeight="1">
      <c r="B126" s="91"/>
      <c r="C126" s="24" t="s">
        <v>46</v>
      </c>
      <c r="D126" s="23">
        <v>51</v>
      </c>
      <c r="E126" s="22">
        <v>7.6645626690712357E-3</v>
      </c>
    </row>
    <row r="127" spans="2:5" ht="15" customHeight="1">
      <c r="B127" s="89" t="s">
        <v>16</v>
      </c>
      <c r="C127" s="27" t="s">
        <v>0</v>
      </c>
      <c r="D127" s="26">
        <v>47</v>
      </c>
      <c r="E127" s="25">
        <v>7.0634204989480009E-3</v>
      </c>
    </row>
    <row r="128" spans="2:5" ht="15" customHeight="1">
      <c r="B128" s="90"/>
      <c r="C128" s="27" t="s">
        <v>99</v>
      </c>
      <c r="D128" s="26">
        <v>3</v>
      </c>
      <c r="E128" s="25">
        <v>4.5085662759242559E-4</v>
      </c>
    </row>
    <row r="129" spans="2:5" ht="15" customHeight="1">
      <c r="B129" s="90"/>
      <c r="C129" s="27" t="s">
        <v>103</v>
      </c>
      <c r="D129" s="26">
        <v>10</v>
      </c>
      <c r="E129" s="25">
        <v>1.5028554253080854E-3</v>
      </c>
    </row>
    <row r="130" spans="2:5" ht="15" customHeight="1">
      <c r="B130" s="90"/>
      <c r="C130" s="27" t="s">
        <v>100</v>
      </c>
      <c r="D130" s="26">
        <v>2</v>
      </c>
      <c r="E130" s="25">
        <v>3.0057108506161706E-4</v>
      </c>
    </row>
    <row r="131" spans="2:5" ht="15" customHeight="1">
      <c r="B131" s="90"/>
      <c r="C131" s="27" t="s">
        <v>101</v>
      </c>
      <c r="D131" s="26">
        <v>4</v>
      </c>
      <c r="E131" s="25">
        <v>6.0114217012323412E-4</v>
      </c>
    </row>
    <row r="132" spans="2:5" ht="15" customHeight="1">
      <c r="B132" s="90"/>
      <c r="C132" s="27" t="s">
        <v>102</v>
      </c>
      <c r="D132" s="26">
        <v>4</v>
      </c>
      <c r="E132" s="25">
        <v>6.0114217012323412E-4</v>
      </c>
    </row>
    <row r="133" spans="2:5" ht="15" customHeight="1">
      <c r="B133" s="90"/>
      <c r="C133" s="27" t="s">
        <v>97</v>
      </c>
      <c r="D133" s="26">
        <v>1</v>
      </c>
      <c r="E133" s="25">
        <v>1.5028554253080853E-4</v>
      </c>
    </row>
    <row r="134" spans="2:5" ht="15" customHeight="1">
      <c r="B134" s="90"/>
      <c r="C134" s="27" t="s">
        <v>98</v>
      </c>
      <c r="D134" s="26">
        <v>1</v>
      </c>
      <c r="E134" s="25">
        <v>1.5028554253080853E-4</v>
      </c>
    </row>
    <row r="135" spans="2:5" ht="15" customHeight="1">
      <c r="B135" s="91"/>
      <c r="C135" s="24" t="s">
        <v>46</v>
      </c>
      <c r="D135" s="23">
        <v>72</v>
      </c>
      <c r="E135" s="22">
        <v>1.0820559062218215E-2</v>
      </c>
    </row>
    <row r="136" spans="2:5" ht="15" customHeight="1">
      <c r="B136" s="89" t="s">
        <v>19</v>
      </c>
      <c r="C136" s="27" t="s">
        <v>0</v>
      </c>
      <c r="D136" s="26">
        <v>41</v>
      </c>
      <c r="E136" s="25">
        <v>6.1617072437631501E-3</v>
      </c>
    </row>
    <row r="137" spans="2:5" ht="15" customHeight="1">
      <c r="B137" s="90"/>
      <c r="C137" s="27" t="s">
        <v>96</v>
      </c>
      <c r="D137" s="26">
        <v>1</v>
      </c>
      <c r="E137" s="25">
        <v>1.5028554253080853E-4</v>
      </c>
    </row>
    <row r="138" spans="2:5" ht="15" customHeight="1">
      <c r="B138" s="90"/>
      <c r="C138" s="27" t="s">
        <v>100</v>
      </c>
      <c r="D138" s="26">
        <v>7</v>
      </c>
      <c r="E138" s="25">
        <v>1.0519987977156598E-3</v>
      </c>
    </row>
    <row r="139" spans="2:5" ht="15" customHeight="1">
      <c r="B139" s="90"/>
      <c r="C139" s="27" t="s">
        <v>101</v>
      </c>
      <c r="D139" s="26">
        <v>14</v>
      </c>
      <c r="E139" s="25">
        <v>2.1039975954313195E-3</v>
      </c>
    </row>
    <row r="140" spans="2:5" ht="15" customHeight="1">
      <c r="B140" s="90"/>
      <c r="C140" s="27" t="s">
        <v>102</v>
      </c>
      <c r="D140" s="26">
        <v>10</v>
      </c>
      <c r="E140" s="25">
        <v>1.5028554253080854E-3</v>
      </c>
    </row>
    <row r="141" spans="2:5" ht="15" customHeight="1">
      <c r="B141" s="90"/>
      <c r="C141" s="27" t="s">
        <v>97</v>
      </c>
      <c r="D141" s="26">
        <v>19</v>
      </c>
      <c r="E141" s="25">
        <v>2.8554253080853623E-3</v>
      </c>
    </row>
    <row r="142" spans="2:5" ht="15" customHeight="1">
      <c r="B142" s="91"/>
      <c r="C142" s="24" t="s">
        <v>46</v>
      </c>
      <c r="D142" s="23">
        <v>92</v>
      </c>
      <c r="E142" s="22">
        <v>1.3826269912834385E-2</v>
      </c>
    </row>
    <row r="143" spans="2:5" ht="15" customHeight="1">
      <c r="B143" s="89" t="s">
        <v>29</v>
      </c>
      <c r="C143" s="27" t="s">
        <v>0</v>
      </c>
      <c r="D143" s="26">
        <v>8</v>
      </c>
      <c r="E143" s="25">
        <v>1.2022843402464682E-3</v>
      </c>
    </row>
    <row r="144" spans="2:5" ht="15" customHeight="1">
      <c r="B144" s="90"/>
      <c r="C144" s="27" t="s">
        <v>99</v>
      </c>
      <c r="D144" s="26">
        <v>1</v>
      </c>
      <c r="E144" s="25">
        <v>1.5028554253080853E-4</v>
      </c>
    </row>
    <row r="145" spans="2:5" ht="15" customHeight="1">
      <c r="B145" s="90"/>
      <c r="C145" s="27" t="s">
        <v>103</v>
      </c>
      <c r="D145" s="26">
        <v>4</v>
      </c>
      <c r="E145" s="25">
        <v>6.0114217012323412E-4</v>
      </c>
    </row>
    <row r="146" spans="2:5" ht="15" customHeight="1">
      <c r="B146" s="90"/>
      <c r="C146" s="27" t="s">
        <v>100</v>
      </c>
      <c r="D146" s="26">
        <v>1</v>
      </c>
      <c r="E146" s="25">
        <v>1.5028554253080853E-4</v>
      </c>
    </row>
    <row r="147" spans="2:5" ht="15" customHeight="1">
      <c r="B147" s="90"/>
      <c r="C147" s="27" t="s">
        <v>102</v>
      </c>
      <c r="D147" s="26">
        <v>4</v>
      </c>
      <c r="E147" s="25">
        <v>6.0114217012323412E-4</v>
      </c>
    </row>
    <row r="148" spans="2:5" ht="15" customHeight="1">
      <c r="B148" s="90"/>
      <c r="C148" s="27" t="s">
        <v>95</v>
      </c>
      <c r="D148" s="26">
        <v>1</v>
      </c>
      <c r="E148" s="25">
        <v>1.5028554253080853E-4</v>
      </c>
    </row>
    <row r="149" spans="2:5" ht="15" customHeight="1">
      <c r="B149" s="91"/>
      <c r="C149" s="24" t="s">
        <v>46</v>
      </c>
      <c r="D149" s="23">
        <v>19</v>
      </c>
      <c r="E149" s="22">
        <v>2.8554253080853623E-3</v>
      </c>
    </row>
    <row r="150" spans="2:5" ht="15" customHeight="1">
      <c r="B150" s="89" t="s">
        <v>196</v>
      </c>
      <c r="C150" s="27" t="s">
        <v>101</v>
      </c>
      <c r="D150" s="26">
        <v>1</v>
      </c>
      <c r="E150" s="25">
        <v>1.5028554253080853E-4</v>
      </c>
    </row>
    <row r="151" spans="2:5" ht="15" customHeight="1">
      <c r="B151" s="91"/>
      <c r="C151" s="24" t="s">
        <v>46</v>
      </c>
      <c r="D151" s="23">
        <v>1</v>
      </c>
      <c r="E151" s="22">
        <v>1.5028554253080853E-4</v>
      </c>
    </row>
    <row r="152" spans="2:5" ht="15" customHeight="1">
      <c r="B152" s="89" t="s">
        <v>39</v>
      </c>
      <c r="C152" s="27" t="s">
        <v>0</v>
      </c>
      <c r="D152" s="26">
        <v>8</v>
      </c>
      <c r="E152" s="25">
        <v>1.2022843402464682E-3</v>
      </c>
    </row>
    <row r="153" spans="2:5" ht="15" customHeight="1">
      <c r="B153" s="90"/>
      <c r="C153" s="27" t="s">
        <v>99</v>
      </c>
      <c r="D153" s="26">
        <v>1</v>
      </c>
      <c r="E153" s="25">
        <v>1.5028554253080853E-4</v>
      </c>
    </row>
    <row r="154" spans="2:5" ht="15" customHeight="1">
      <c r="B154" s="90"/>
      <c r="C154" s="27" t="s">
        <v>102</v>
      </c>
      <c r="D154" s="26">
        <v>3</v>
      </c>
      <c r="E154" s="25">
        <v>4.5085662759242559E-4</v>
      </c>
    </row>
    <row r="155" spans="2:5" ht="15" customHeight="1">
      <c r="B155" s="91"/>
      <c r="C155" s="24" t="s">
        <v>46</v>
      </c>
      <c r="D155" s="23">
        <v>12</v>
      </c>
      <c r="E155" s="22">
        <v>1.8034265103697023E-3</v>
      </c>
    </row>
    <row r="156" spans="2:5" ht="15" customHeight="1">
      <c r="B156" s="89" t="s">
        <v>43</v>
      </c>
      <c r="C156" s="27" t="s">
        <v>0</v>
      </c>
      <c r="D156" s="26">
        <v>5</v>
      </c>
      <c r="E156" s="25">
        <v>7.514277126540427E-4</v>
      </c>
    </row>
    <row r="157" spans="2:5" ht="15" customHeight="1">
      <c r="B157" s="91"/>
      <c r="C157" s="24" t="s">
        <v>46</v>
      </c>
      <c r="D157" s="23">
        <v>5</v>
      </c>
      <c r="E157" s="22">
        <v>7.514277126540427E-4</v>
      </c>
    </row>
    <row r="158" spans="2:5" ht="15" customHeight="1">
      <c r="B158" s="89" t="s">
        <v>28</v>
      </c>
      <c r="C158" s="27" t="s">
        <v>0</v>
      </c>
      <c r="D158" s="26">
        <v>27</v>
      </c>
      <c r="E158" s="25">
        <v>4.0577096483318306E-3</v>
      </c>
    </row>
    <row r="159" spans="2:5" ht="15" customHeight="1">
      <c r="B159" s="90"/>
      <c r="C159" s="27" t="s">
        <v>103</v>
      </c>
      <c r="D159" s="26">
        <v>3</v>
      </c>
      <c r="E159" s="25">
        <v>4.5085662759242559E-4</v>
      </c>
    </row>
    <row r="160" spans="2:5" ht="15" customHeight="1">
      <c r="B160" s="90"/>
      <c r="C160" s="27" t="s">
        <v>100</v>
      </c>
      <c r="D160" s="26">
        <v>4</v>
      </c>
      <c r="E160" s="25">
        <v>6.0114217012323412E-4</v>
      </c>
    </row>
    <row r="161" spans="2:5" ht="15" customHeight="1">
      <c r="B161" s="90"/>
      <c r="C161" s="27" t="s">
        <v>101</v>
      </c>
      <c r="D161" s="26">
        <v>2</v>
      </c>
      <c r="E161" s="25">
        <v>3.0057108506161706E-4</v>
      </c>
    </row>
    <row r="162" spans="2:5" ht="15" customHeight="1">
      <c r="B162" s="90"/>
      <c r="C162" s="27" t="s">
        <v>102</v>
      </c>
      <c r="D162" s="26">
        <v>2</v>
      </c>
      <c r="E162" s="25">
        <v>3.0057108506161706E-4</v>
      </c>
    </row>
    <row r="163" spans="2:5" ht="15" customHeight="1">
      <c r="B163" s="91"/>
      <c r="C163" s="24" t="s">
        <v>46</v>
      </c>
      <c r="D163" s="23">
        <v>38</v>
      </c>
      <c r="E163" s="22">
        <v>5.7108506161707246E-3</v>
      </c>
    </row>
    <row r="164" spans="2:5" ht="15" customHeight="1">
      <c r="B164" s="89" t="s">
        <v>30</v>
      </c>
      <c r="C164" s="27" t="s">
        <v>0</v>
      </c>
      <c r="D164" s="26">
        <v>17</v>
      </c>
      <c r="E164" s="25">
        <v>2.5548542230237449E-3</v>
      </c>
    </row>
    <row r="165" spans="2:5" ht="15" customHeight="1">
      <c r="B165" s="90"/>
      <c r="C165" s="27" t="s">
        <v>99</v>
      </c>
      <c r="D165" s="26">
        <v>2</v>
      </c>
      <c r="E165" s="25">
        <v>3.0057108506161706E-4</v>
      </c>
    </row>
    <row r="166" spans="2:5" ht="15" customHeight="1">
      <c r="B166" s="90"/>
      <c r="C166" s="27" t="s">
        <v>103</v>
      </c>
      <c r="D166" s="26">
        <v>9</v>
      </c>
      <c r="E166" s="25">
        <v>1.3525698827772769E-3</v>
      </c>
    </row>
    <row r="167" spans="2:5" ht="15" customHeight="1">
      <c r="B167" s="90"/>
      <c r="C167" s="27" t="s">
        <v>100</v>
      </c>
      <c r="D167" s="26">
        <v>8</v>
      </c>
      <c r="E167" s="25">
        <v>1.2022843402464682E-3</v>
      </c>
    </row>
    <row r="168" spans="2:5" ht="15" customHeight="1">
      <c r="B168" s="91"/>
      <c r="C168" s="24" t="s">
        <v>46</v>
      </c>
      <c r="D168" s="23">
        <v>36</v>
      </c>
      <c r="E168" s="22">
        <v>5.4102795311091077E-3</v>
      </c>
    </row>
    <row r="169" spans="2:5" ht="15" customHeight="1">
      <c r="B169" s="89" t="s">
        <v>36</v>
      </c>
      <c r="C169" s="27" t="s">
        <v>0</v>
      </c>
      <c r="D169" s="26">
        <v>5</v>
      </c>
      <c r="E169" s="25">
        <v>7.514277126540427E-4</v>
      </c>
    </row>
    <row r="170" spans="2:5" ht="15" customHeight="1">
      <c r="B170" s="90"/>
      <c r="C170" s="27" t="s">
        <v>103</v>
      </c>
      <c r="D170" s="26">
        <v>2</v>
      </c>
      <c r="E170" s="25">
        <v>3.0057108506161706E-4</v>
      </c>
    </row>
    <row r="171" spans="2:5" ht="15" customHeight="1">
      <c r="B171" s="90"/>
      <c r="C171" s="27" t="s">
        <v>101</v>
      </c>
      <c r="D171" s="26">
        <v>2</v>
      </c>
      <c r="E171" s="25">
        <v>3.0057108506161706E-4</v>
      </c>
    </row>
    <row r="172" spans="2:5" ht="15" customHeight="1">
      <c r="B172" s="91"/>
      <c r="C172" s="24" t="s">
        <v>46</v>
      </c>
      <c r="D172" s="23">
        <v>9</v>
      </c>
      <c r="E172" s="22">
        <v>1.3525698827772769E-3</v>
      </c>
    </row>
    <row r="173" spans="2:5" ht="15" customHeight="1">
      <c r="B173" s="89" t="s">
        <v>25</v>
      </c>
      <c r="C173" s="27" t="s">
        <v>0</v>
      </c>
      <c r="D173" s="26">
        <v>9</v>
      </c>
      <c r="E173" s="25">
        <v>1.3525698827772769E-3</v>
      </c>
    </row>
    <row r="174" spans="2:5" ht="15" customHeight="1">
      <c r="B174" s="90"/>
      <c r="C174" s="27" t="s">
        <v>103</v>
      </c>
      <c r="D174" s="26">
        <v>5</v>
      </c>
      <c r="E174" s="25">
        <v>7.514277126540427E-4</v>
      </c>
    </row>
    <row r="175" spans="2:5" ht="15" customHeight="1">
      <c r="B175" s="90"/>
      <c r="C175" s="27" t="s">
        <v>96</v>
      </c>
      <c r="D175" s="26">
        <v>3</v>
      </c>
      <c r="E175" s="25">
        <v>4.5085662759242559E-4</v>
      </c>
    </row>
    <row r="176" spans="2:5" ht="15" customHeight="1">
      <c r="B176" s="90"/>
      <c r="C176" s="27" t="s">
        <v>100</v>
      </c>
      <c r="D176" s="26">
        <v>1</v>
      </c>
      <c r="E176" s="25">
        <v>1.5028554253080853E-4</v>
      </c>
    </row>
    <row r="177" spans="2:5" ht="15" customHeight="1">
      <c r="B177" s="90"/>
      <c r="C177" s="27" t="s">
        <v>101</v>
      </c>
      <c r="D177" s="26">
        <v>4</v>
      </c>
      <c r="E177" s="25">
        <v>6.0114217012323412E-4</v>
      </c>
    </row>
    <row r="178" spans="2:5" ht="15" customHeight="1">
      <c r="B178" s="90"/>
      <c r="C178" s="27" t="s">
        <v>102</v>
      </c>
      <c r="D178" s="26">
        <v>6</v>
      </c>
      <c r="E178" s="25">
        <v>9.0171325518485117E-4</v>
      </c>
    </row>
    <row r="179" spans="2:5" ht="15" customHeight="1">
      <c r="B179" s="90"/>
      <c r="C179" s="27" t="s">
        <v>97</v>
      </c>
      <c r="D179" s="26">
        <v>1</v>
      </c>
      <c r="E179" s="25">
        <v>1.5028554253080853E-4</v>
      </c>
    </row>
    <row r="180" spans="2:5" ht="15" customHeight="1">
      <c r="B180" s="91"/>
      <c r="C180" s="24" t="s">
        <v>46</v>
      </c>
      <c r="D180" s="23">
        <v>29</v>
      </c>
      <c r="E180" s="22">
        <v>4.3582807333934475E-3</v>
      </c>
    </row>
    <row r="181" spans="2:5" ht="15" customHeight="1">
      <c r="B181" s="89" t="s">
        <v>194</v>
      </c>
      <c r="C181" s="27" t="s">
        <v>0</v>
      </c>
      <c r="D181" s="26">
        <v>1</v>
      </c>
      <c r="E181" s="25">
        <v>1.5028554253080853E-4</v>
      </c>
    </row>
    <row r="182" spans="2:5" ht="15" customHeight="1">
      <c r="B182" s="90"/>
      <c r="C182" s="27" t="s">
        <v>103</v>
      </c>
      <c r="D182" s="26">
        <v>3</v>
      </c>
      <c r="E182" s="25">
        <v>4.5085662759242559E-4</v>
      </c>
    </row>
    <row r="183" spans="2:5" ht="15" customHeight="1">
      <c r="B183" s="91"/>
      <c r="C183" s="24" t="s">
        <v>46</v>
      </c>
      <c r="D183" s="23">
        <v>4</v>
      </c>
      <c r="E183" s="22">
        <v>6.0114217012323412E-4</v>
      </c>
    </row>
    <row r="184" spans="2:5" ht="15" customHeight="1">
      <c r="B184" s="89" t="s">
        <v>23</v>
      </c>
      <c r="C184" s="27" t="s">
        <v>0</v>
      </c>
      <c r="D184" s="26">
        <v>42</v>
      </c>
      <c r="E184" s="25">
        <v>6.3119927862939585E-3</v>
      </c>
    </row>
    <row r="185" spans="2:5" ht="15" customHeight="1">
      <c r="B185" s="90"/>
      <c r="C185" s="27" t="s">
        <v>99</v>
      </c>
      <c r="D185" s="26">
        <v>2</v>
      </c>
      <c r="E185" s="25">
        <v>3.0057108506161706E-4</v>
      </c>
    </row>
    <row r="186" spans="2:5" ht="15" customHeight="1">
      <c r="B186" s="90"/>
      <c r="C186" s="27" t="s">
        <v>103</v>
      </c>
      <c r="D186" s="26">
        <v>2</v>
      </c>
      <c r="E186" s="25">
        <v>3.0057108506161706E-4</v>
      </c>
    </row>
    <row r="187" spans="2:5" ht="15" customHeight="1">
      <c r="B187" s="90"/>
      <c r="C187" s="27" t="s">
        <v>100</v>
      </c>
      <c r="D187" s="26">
        <v>1</v>
      </c>
      <c r="E187" s="25">
        <v>1.5028554253080853E-4</v>
      </c>
    </row>
    <row r="188" spans="2:5" ht="15" customHeight="1">
      <c r="B188" s="90"/>
      <c r="C188" s="27" t="s">
        <v>101</v>
      </c>
      <c r="D188" s="26">
        <v>8</v>
      </c>
      <c r="E188" s="25">
        <v>1.2022843402464682E-3</v>
      </c>
    </row>
    <row r="189" spans="2:5" ht="15" customHeight="1">
      <c r="B189" s="90"/>
      <c r="C189" s="27" t="s">
        <v>102</v>
      </c>
      <c r="D189" s="26">
        <v>42</v>
      </c>
      <c r="E189" s="25">
        <v>6.3119927862939585E-3</v>
      </c>
    </row>
    <row r="190" spans="2:5" ht="15" customHeight="1">
      <c r="B190" s="90"/>
      <c r="C190" s="27" t="s">
        <v>95</v>
      </c>
      <c r="D190" s="26">
        <v>2</v>
      </c>
      <c r="E190" s="25">
        <v>3.0057108506161706E-4</v>
      </c>
    </row>
    <row r="191" spans="2:5" ht="15" customHeight="1">
      <c r="B191" s="90"/>
      <c r="C191" s="27" t="s">
        <v>98</v>
      </c>
      <c r="D191" s="26">
        <v>2</v>
      </c>
      <c r="E191" s="25">
        <v>3.0057108506161706E-4</v>
      </c>
    </row>
    <row r="192" spans="2:5" ht="15" customHeight="1">
      <c r="B192" s="91"/>
      <c r="C192" s="24" t="s">
        <v>46</v>
      </c>
      <c r="D192" s="23">
        <v>101</v>
      </c>
      <c r="E192" s="22">
        <v>1.5178839795611663E-2</v>
      </c>
    </row>
    <row r="193" spans="2:5" ht="15" customHeight="1">
      <c r="B193" s="89" t="s">
        <v>11</v>
      </c>
      <c r="C193" s="27" t="s">
        <v>0</v>
      </c>
      <c r="D193" s="26">
        <v>79</v>
      </c>
      <c r="E193" s="25">
        <v>1.1872557859933875E-2</v>
      </c>
    </row>
    <row r="194" spans="2:5" ht="15" customHeight="1">
      <c r="B194" s="90"/>
      <c r="C194" s="27" t="s">
        <v>103</v>
      </c>
      <c r="D194" s="26">
        <v>12</v>
      </c>
      <c r="E194" s="25">
        <v>1.8034265103697023E-3</v>
      </c>
    </row>
    <row r="195" spans="2:5" ht="15" customHeight="1">
      <c r="B195" s="90"/>
      <c r="C195" s="27" t="s">
        <v>96</v>
      </c>
      <c r="D195" s="26">
        <v>23</v>
      </c>
      <c r="E195" s="25">
        <v>3.4565674782085962E-3</v>
      </c>
    </row>
    <row r="196" spans="2:5" ht="15" customHeight="1">
      <c r="B196" s="90"/>
      <c r="C196" s="27" t="s">
        <v>100</v>
      </c>
      <c r="D196" s="26">
        <v>4</v>
      </c>
      <c r="E196" s="25">
        <v>6.0114217012323412E-4</v>
      </c>
    </row>
    <row r="197" spans="2:5" ht="15" customHeight="1">
      <c r="B197" s="90"/>
      <c r="C197" s="27" t="s">
        <v>101</v>
      </c>
      <c r="D197" s="26">
        <v>10</v>
      </c>
      <c r="E197" s="25">
        <v>1.5028554253080854E-3</v>
      </c>
    </row>
    <row r="198" spans="2:5" ht="15" customHeight="1">
      <c r="B198" s="90"/>
      <c r="C198" s="27" t="s">
        <v>102</v>
      </c>
      <c r="D198" s="26">
        <v>25</v>
      </c>
      <c r="E198" s="25">
        <v>3.7571385632702136E-3</v>
      </c>
    </row>
    <row r="199" spans="2:5" ht="15" customHeight="1">
      <c r="B199" s="90"/>
      <c r="C199" s="27" t="s">
        <v>97</v>
      </c>
      <c r="D199" s="26">
        <v>1</v>
      </c>
      <c r="E199" s="25">
        <v>1.5028554253080853E-4</v>
      </c>
    </row>
    <row r="200" spans="2:5" ht="15" customHeight="1">
      <c r="B200" s="90"/>
      <c r="C200" s="27" t="s">
        <v>95</v>
      </c>
      <c r="D200" s="26">
        <v>2</v>
      </c>
      <c r="E200" s="25">
        <v>3.0057108506161706E-4</v>
      </c>
    </row>
    <row r="201" spans="2:5" ht="15" customHeight="1">
      <c r="B201" s="90"/>
      <c r="C201" s="27" t="s">
        <v>98</v>
      </c>
      <c r="D201" s="26">
        <v>1</v>
      </c>
      <c r="E201" s="25">
        <v>1.5028554253080853E-4</v>
      </c>
    </row>
    <row r="202" spans="2:5" ht="15" customHeight="1">
      <c r="B202" s="91"/>
      <c r="C202" s="24" t="s">
        <v>46</v>
      </c>
      <c r="D202" s="23">
        <v>157</v>
      </c>
      <c r="E202" s="22">
        <v>2.3594830177336941E-2</v>
      </c>
    </row>
    <row r="203" spans="2:5" ht="15" customHeight="1">
      <c r="B203" s="89" t="s">
        <v>40</v>
      </c>
      <c r="C203" s="27" t="s">
        <v>0</v>
      </c>
      <c r="D203" s="26">
        <v>6</v>
      </c>
      <c r="E203" s="25">
        <v>9.0171325518485117E-4</v>
      </c>
    </row>
    <row r="204" spans="2:5" ht="15" customHeight="1">
      <c r="B204" s="90"/>
      <c r="C204" s="27" t="s">
        <v>100</v>
      </c>
      <c r="D204" s="26">
        <v>1</v>
      </c>
      <c r="E204" s="25">
        <v>1.5028554253080853E-4</v>
      </c>
    </row>
    <row r="205" spans="2:5" ht="15" customHeight="1">
      <c r="B205" s="90"/>
      <c r="C205" s="27" t="s">
        <v>102</v>
      </c>
      <c r="D205" s="26">
        <v>1</v>
      </c>
      <c r="E205" s="25">
        <v>1.5028554253080853E-4</v>
      </c>
    </row>
    <row r="206" spans="2:5" ht="15" customHeight="1">
      <c r="B206" s="91"/>
      <c r="C206" s="24" t="s">
        <v>46</v>
      </c>
      <c r="D206" s="23">
        <v>8</v>
      </c>
      <c r="E206" s="22">
        <v>1.2022843402464682E-3</v>
      </c>
    </row>
    <row r="207" spans="2:5" ht="15" customHeight="1">
      <c r="B207" s="89" t="s">
        <v>18</v>
      </c>
      <c r="C207" s="27" t="s">
        <v>0</v>
      </c>
      <c r="D207" s="26">
        <v>39</v>
      </c>
      <c r="E207" s="25">
        <v>5.8611361587015331E-3</v>
      </c>
    </row>
    <row r="208" spans="2:5" ht="15" customHeight="1">
      <c r="B208" s="90"/>
      <c r="C208" s="27" t="s">
        <v>99</v>
      </c>
      <c r="D208" s="26">
        <v>2</v>
      </c>
      <c r="E208" s="25">
        <v>3.0057108506161706E-4</v>
      </c>
    </row>
    <row r="209" spans="2:5" ht="15" customHeight="1">
      <c r="B209" s="90"/>
      <c r="C209" s="27" t="s">
        <v>103</v>
      </c>
      <c r="D209" s="26">
        <v>1</v>
      </c>
      <c r="E209" s="25">
        <v>1.5028554253080853E-4</v>
      </c>
    </row>
    <row r="210" spans="2:5" ht="15" customHeight="1">
      <c r="B210" s="90"/>
      <c r="C210" s="27" t="s">
        <v>96</v>
      </c>
      <c r="D210" s="26">
        <v>4</v>
      </c>
      <c r="E210" s="25">
        <v>6.0114217012323412E-4</v>
      </c>
    </row>
    <row r="211" spans="2:5" ht="15" customHeight="1">
      <c r="B211" s="90"/>
      <c r="C211" s="27" t="s">
        <v>100</v>
      </c>
      <c r="D211" s="26">
        <v>8</v>
      </c>
      <c r="E211" s="25">
        <v>1.2022843402464682E-3</v>
      </c>
    </row>
    <row r="212" spans="2:5" ht="15" customHeight="1">
      <c r="B212" s="90"/>
      <c r="C212" s="27" t="s">
        <v>101</v>
      </c>
      <c r="D212" s="26">
        <v>4</v>
      </c>
      <c r="E212" s="25">
        <v>6.0114217012323412E-4</v>
      </c>
    </row>
    <row r="213" spans="2:5" ht="15" customHeight="1">
      <c r="B213" s="90"/>
      <c r="C213" s="27" t="s">
        <v>102</v>
      </c>
      <c r="D213" s="26">
        <v>5</v>
      </c>
      <c r="E213" s="25">
        <v>7.514277126540427E-4</v>
      </c>
    </row>
    <row r="214" spans="2:5" ht="15" customHeight="1">
      <c r="B214" s="91"/>
      <c r="C214" s="24" t="s">
        <v>46</v>
      </c>
      <c r="D214" s="23">
        <v>63</v>
      </c>
      <c r="E214" s="22">
        <v>9.4679891794409374E-3</v>
      </c>
    </row>
    <row r="215" spans="2:5" ht="15" customHeight="1">
      <c r="B215" s="89" t="s">
        <v>33</v>
      </c>
      <c r="C215" s="27" t="s">
        <v>0</v>
      </c>
      <c r="D215" s="26">
        <v>12</v>
      </c>
      <c r="E215" s="25">
        <v>1.8034265103697023E-3</v>
      </c>
    </row>
    <row r="216" spans="2:5" ht="15" customHeight="1">
      <c r="B216" s="90"/>
      <c r="C216" s="27" t="s">
        <v>99</v>
      </c>
      <c r="D216" s="26">
        <v>3</v>
      </c>
      <c r="E216" s="25">
        <v>4.5085662759242559E-4</v>
      </c>
    </row>
    <row r="217" spans="2:5" ht="15" customHeight="1">
      <c r="B217" s="90"/>
      <c r="C217" s="27" t="s">
        <v>103</v>
      </c>
      <c r="D217" s="26">
        <v>1</v>
      </c>
      <c r="E217" s="25">
        <v>1.5028554253080853E-4</v>
      </c>
    </row>
    <row r="218" spans="2:5" ht="15" customHeight="1">
      <c r="B218" s="91"/>
      <c r="C218" s="24" t="s">
        <v>46</v>
      </c>
      <c r="D218" s="23">
        <v>16</v>
      </c>
      <c r="E218" s="22">
        <v>2.4045686804929365E-3</v>
      </c>
    </row>
    <row r="219" spans="2:5" ht="15" customHeight="1">
      <c r="B219" s="89" t="s">
        <v>15</v>
      </c>
      <c r="C219" s="27" t="s">
        <v>0</v>
      </c>
      <c r="D219" s="26">
        <v>85</v>
      </c>
      <c r="E219" s="25">
        <v>1.2774271115118726E-2</v>
      </c>
    </row>
    <row r="220" spans="2:5" ht="15" customHeight="1">
      <c r="B220" s="90"/>
      <c r="C220" s="27" t="s">
        <v>99</v>
      </c>
      <c r="D220" s="26">
        <v>14</v>
      </c>
      <c r="E220" s="25">
        <v>2.1039975954313195E-3</v>
      </c>
    </row>
    <row r="221" spans="2:5" ht="15" customHeight="1">
      <c r="B221" s="90"/>
      <c r="C221" s="27" t="s">
        <v>103</v>
      </c>
      <c r="D221" s="26">
        <v>36</v>
      </c>
      <c r="E221" s="25">
        <v>5.4102795311091077E-3</v>
      </c>
    </row>
    <row r="222" spans="2:5" ht="15" customHeight="1">
      <c r="B222" s="90"/>
      <c r="C222" s="27" t="s">
        <v>94</v>
      </c>
      <c r="D222" s="26">
        <v>1</v>
      </c>
      <c r="E222" s="25">
        <v>1.5028554253080853E-4</v>
      </c>
    </row>
    <row r="223" spans="2:5" ht="15" customHeight="1">
      <c r="B223" s="90"/>
      <c r="C223" s="27" t="s">
        <v>100</v>
      </c>
      <c r="D223" s="26">
        <v>7</v>
      </c>
      <c r="E223" s="25">
        <v>1.0519987977156598E-3</v>
      </c>
    </row>
    <row r="224" spans="2:5" ht="15" customHeight="1">
      <c r="B224" s="90"/>
      <c r="C224" s="27" t="s">
        <v>101</v>
      </c>
      <c r="D224" s="26">
        <v>11</v>
      </c>
      <c r="E224" s="25">
        <v>1.6531409678388939E-3</v>
      </c>
    </row>
    <row r="225" spans="2:5" ht="15" customHeight="1">
      <c r="B225" s="90"/>
      <c r="C225" s="27" t="s">
        <v>102</v>
      </c>
      <c r="D225" s="26">
        <v>9</v>
      </c>
      <c r="E225" s="25">
        <v>1.3525698827772769E-3</v>
      </c>
    </row>
    <row r="226" spans="2:5" ht="15" customHeight="1">
      <c r="B226" s="90"/>
      <c r="C226" s="27" t="s">
        <v>98</v>
      </c>
      <c r="D226" s="26">
        <v>3</v>
      </c>
      <c r="E226" s="25">
        <v>4.5085662759242559E-4</v>
      </c>
    </row>
    <row r="227" spans="2:5" ht="15" customHeight="1">
      <c r="B227" s="91"/>
      <c r="C227" s="24" t="s">
        <v>46</v>
      </c>
      <c r="D227" s="23">
        <v>166</v>
      </c>
      <c r="E227" s="22">
        <v>2.4947400060114217E-2</v>
      </c>
    </row>
    <row r="228" spans="2:5" ht="15" customHeight="1">
      <c r="B228" s="89" t="s">
        <v>44</v>
      </c>
      <c r="C228" s="27" t="s">
        <v>0</v>
      </c>
      <c r="D228" s="26">
        <v>3</v>
      </c>
      <c r="E228" s="25">
        <v>4.5085662759242559E-4</v>
      </c>
    </row>
    <row r="229" spans="2:5" ht="15" customHeight="1">
      <c r="B229" s="90"/>
      <c r="C229" s="27" t="s">
        <v>103</v>
      </c>
      <c r="D229" s="26">
        <v>1</v>
      </c>
      <c r="E229" s="25">
        <v>1.5028554253080853E-4</v>
      </c>
    </row>
    <row r="230" spans="2:5" ht="15" customHeight="1">
      <c r="B230" s="91"/>
      <c r="C230" s="24" t="s">
        <v>46</v>
      </c>
      <c r="D230" s="23">
        <v>4</v>
      </c>
      <c r="E230" s="22">
        <v>6.0114217012323412E-4</v>
      </c>
    </row>
    <row r="231" spans="2:5" ht="15" customHeight="1">
      <c r="B231" s="89" t="s">
        <v>34</v>
      </c>
      <c r="C231" s="27" t="s">
        <v>0</v>
      </c>
      <c r="D231" s="26">
        <v>8</v>
      </c>
      <c r="E231" s="25">
        <v>1.2022843402464682E-3</v>
      </c>
    </row>
    <row r="232" spans="2:5" ht="15" customHeight="1">
      <c r="B232" s="90"/>
      <c r="C232" s="27" t="s">
        <v>103</v>
      </c>
      <c r="D232" s="26">
        <v>4</v>
      </c>
      <c r="E232" s="25">
        <v>6.0114217012323412E-4</v>
      </c>
    </row>
    <row r="233" spans="2:5" ht="15" customHeight="1">
      <c r="B233" s="90"/>
      <c r="C233" s="27" t="s">
        <v>100</v>
      </c>
      <c r="D233" s="26">
        <v>2</v>
      </c>
      <c r="E233" s="25">
        <v>3.0057108506161706E-4</v>
      </c>
    </row>
    <row r="234" spans="2:5" ht="15" customHeight="1">
      <c r="B234" s="90"/>
      <c r="C234" s="27" t="s">
        <v>102</v>
      </c>
      <c r="D234" s="26">
        <v>7</v>
      </c>
      <c r="E234" s="25">
        <v>1.0519987977156598E-3</v>
      </c>
    </row>
    <row r="235" spans="2:5" ht="15" customHeight="1">
      <c r="B235" s="91"/>
      <c r="C235" s="24" t="s">
        <v>46</v>
      </c>
      <c r="D235" s="23">
        <v>21</v>
      </c>
      <c r="E235" s="22">
        <v>3.1559963931469793E-3</v>
      </c>
    </row>
    <row r="236" spans="2:5" ht="15" customHeight="1">
      <c r="B236" s="89" t="s">
        <v>7</v>
      </c>
      <c r="C236" s="27" t="s">
        <v>0</v>
      </c>
      <c r="D236" s="26">
        <v>113</v>
      </c>
      <c r="E236" s="25">
        <v>1.6982266305981365E-2</v>
      </c>
    </row>
    <row r="237" spans="2:5" ht="15" customHeight="1">
      <c r="B237" s="90"/>
      <c r="C237" s="27" t="s">
        <v>99</v>
      </c>
      <c r="D237" s="26">
        <v>8</v>
      </c>
      <c r="E237" s="25">
        <v>1.2022843402464682E-3</v>
      </c>
    </row>
    <row r="238" spans="2:5" ht="15" customHeight="1">
      <c r="B238" s="90"/>
      <c r="C238" s="27" t="s">
        <v>103</v>
      </c>
      <c r="D238" s="26">
        <v>172</v>
      </c>
      <c r="E238" s="25">
        <v>2.5849113315299068E-2</v>
      </c>
    </row>
    <row r="239" spans="2:5" ht="15" customHeight="1">
      <c r="B239" s="90"/>
      <c r="C239" s="27" t="s">
        <v>96</v>
      </c>
      <c r="D239" s="26">
        <v>1</v>
      </c>
      <c r="E239" s="25">
        <v>1.5028554253080853E-4</v>
      </c>
    </row>
    <row r="240" spans="2:5" ht="15" customHeight="1">
      <c r="B240" s="90"/>
      <c r="C240" s="27" t="s">
        <v>94</v>
      </c>
      <c r="D240" s="26">
        <v>6</v>
      </c>
      <c r="E240" s="25">
        <v>9.0171325518485117E-4</v>
      </c>
    </row>
    <row r="241" spans="2:5" ht="15" customHeight="1">
      <c r="B241" s="90"/>
      <c r="C241" s="27" t="s">
        <v>100</v>
      </c>
      <c r="D241" s="26">
        <v>7</v>
      </c>
      <c r="E241" s="25">
        <v>1.0519987977156598E-3</v>
      </c>
    </row>
    <row r="242" spans="2:5" ht="15" customHeight="1">
      <c r="B242" s="90"/>
      <c r="C242" s="27" t="s">
        <v>101</v>
      </c>
      <c r="D242" s="26">
        <v>33</v>
      </c>
      <c r="E242" s="25">
        <v>4.9594229035166814E-3</v>
      </c>
    </row>
    <row r="243" spans="2:5" ht="15" customHeight="1">
      <c r="B243" s="90"/>
      <c r="C243" s="27" t="s">
        <v>102</v>
      </c>
      <c r="D243" s="26">
        <v>115</v>
      </c>
      <c r="E243" s="25">
        <v>1.7282837391042982E-2</v>
      </c>
    </row>
    <row r="244" spans="2:5" ht="15" customHeight="1">
      <c r="B244" s="90"/>
      <c r="C244" s="27" t="s">
        <v>97</v>
      </c>
      <c r="D244" s="26">
        <v>2</v>
      </c>
      <c r="E244" s="25">
        <v>3.0057108506161706E-4</v>
      </c>
    </row>
    <row r="245" spans="2:5" ht="15" customHeight="1">
      <c r="B245" s="90"/>
      <c r="C245" s="27" t="s">
        <v>95</v>
      </c>
      <c r="D245" s="26">
        <v>4</v>
      </c>
      <c r="E245" s="25">
        <v>6.0114217012323412E-4</v>
      </c>
    </row>
    <row r="246" spans="2:5" ht="15" customHeight="1">
      <c r="B246" s="90"/>
      <c r="C246" s="27" t="s">
        <v>98</v>
      </c>
      <c r="D246" s="26">
        <v>6</v>
      </c>
      <c r="E246" s="25">
        <v>9.0171325518485117E-4</v>
      </c>
    </row>
    <row r="247" spans="2:5" ht="15" customHeight="1">
      <c r="B247" s="91"/>
      <c r="C247" s="24" t="s">
        <v>46</v>
      </c>
      <c r="D247" s="23">
        <v>467</v>
      </c>
      <c r="E247" s="22">
        <v>7.0183348361887582E-2</v>
      </c>
    </row>
    <row r="248" spans="2:5" ht="15" customHeight="1">
      <c r="B248" s="89" t="s">
        <v>31</v>
      </c>
      <c r="C248" s="27" t="s">
        <v>0</v>
      </c>
      <c r="D248" s="26">
        <v>7</v>
      </c>
      <c r="E248" s="25">
        <v>1.0519987977156598E-3</v>
      </c>
    </row>
    <row r="249" spans="2:5" ht="15" customHeight="1">
      <c r="B249" s="90"/>
      <c r="C249" s="27" t="s">
        <v>103</v>
      </c>
      <c r="D249" s="26">
        <v>3</v>
      </c>
      <c r="E249" s="25">
        <v>4.5085662759242559E-4</v>
      </c>
    </row>
    <row r="250" spans="2:5" ht="15" customHeight="1">
      <c r="B250" s="90"/>
      <c r="C250" s="27" t="s">
        <v>100</v>
      </c>
      <c r="D250" s="26">
        <v>3</v>
      </c>
      <c r="E250" s="25">
        <v>4.5085662759242559E-4</v>
      </c>
    </row>
    <row r="251" spans="2:5" ht="15" customHeight="1">
      <c r="B251" s="90"/>
      <c r="C251" s="27" t="s">
        <v>98</v>
      </c>
      <c r="D251" s="26">
        <v>2</v>
      </c>
      <c r="E251" s="25">
        <v>3.0057108506161706E-4</v>
      </c>
    </row>
    <row r="252" spans="2:5" ht="15" customHeight="1">
      <c r="B252" s="91"/>
      <c r="C252" s="24" t="s">
        <v>46</v>
      </c>
      <c r="D252" s="23">
        <v>15</v>
      </c>
      <c r="E252" s="22">
        <v>2.254283137962128E-3</v>
      </c>
    </row>
    <row r="253" spans="2:5" ht="15" customHeight="1">
      <c r="B253" s="89" t="s">
        <v>37</v>
      </c>
      <c r="C253" s="27" t="s">
        <v>0</v>
      </c>
      <c r="D253" s="26">
        <v>11</v>
      </c>
      <c r="E253" s="25">
        <v>1.6531409678388939E-3</v>
      </c>
    </row>
    <row r="254" spans="2:5" ht="15" customHeight="1">
      <c r="B254" s="91"/>
      <c r="C254" s="24" t="s">
        <v>46</v>
      </c>
      <c r="D254" s="23">
        <v>11</v>
      </c>
      <c r="E254" s="22">
        <v>1.6531409678388939E-3</v>
      </c>
    </row>
    <row r="255" spans="2:5" ht="15" customHeight="1">
      <c r="B255" s="89" t="s">
        <v>32</v>
      </c>
      <c r="C255" s="27" t="s">
        <v>0</v>
      </c>
      <c r="D255" s="26">
        <v>30</v>
      </c>
      <c r="E255" s="25">
        <v>4.508566275924256E-3</v>
      </c>
    </row>
    <row r="256" spans="2:5" ht="15" customHeight="1">
      <c r="B256" s="90"/>
      <c r="C256" s="27" t="s">
        <v>94</v>
      </c>
      <c r="D256" s="26">
        <v>1</v>
      </c>
      <c r="E256" s="25">
        <v>1.5028554253080853E-4</v>
      </c>
    </row>
    <row r="257" spans="2:5" ht="15" customHeight="1">
      <c r="B257" s="90"/>
      <c r="C257" s="27" t="s">
        <v>101</v>
      </c>
      <c r="D257" s="26">
        <v>3</v>
      </c>
      <c r="E257" s="25">
        <v>4.5085662759242559E-4</v>
      </c>
    </row>
    <row r="258" spans="2:5" ht="15" customHeight="1">
      <c r="B258" s="90"/>
      <c r="C258" s="27" t="s">
        <v>102</v>
      </c>
      <c r="D258" s="26">
        <v>8</v>
      </c>
      <c r="E258" s="25">
        <v>1.2022843402464682E-3</v>
      </c>
    </row>
    <row r="259" spans="2:5" ht="15" customHeight="1">
      <c r="B259" s="91"/>
      <c r="C259" s="24" t="s">
        <v>46</v>
      </c>
      <c r="D259" s="23">
        <v>42</v>
      </c>
      <c r="E259" s="22">
        <v>6.3119927862939585E-3</v>
      </c>
    </row>
    <row r="260" spans="2:5" ht="15" customHeight="1">
      <c r="B260" s="89" t="s">
        <v>45</v>
      </c>
      <c r="C260" s="27" t="s">
        <v>0</v>
      </c>
      <c r="D260" s="26">
        <v>3</v>
      </c>
      <c r="E260" s="25">
        <v>4.5085662759242559E-4</v>
      </c>
    </row>
    <row r="261" spans="2:5" ht="15" customHeight="1">
      <c r="B261" s="90"/>
      <c r="C261" s="27" t="s">
        <v>103</v>
      </c>
      <c r="D261" s="26">
        <v>4</v>
      </c>
      <c r="E261" s="25">
        <v>6.0114217012323412E-4</v>
      </c>
    </row>
    <row r="262" spans="2:5" ht="15" customHeight="1">
      <c r="B262" s="90"/>
      <c r="C262" s="27" t="s">
        <v>100</v>
      </c>
      <c r="D262" s="26">
        <v>4</v>
      </c>
      <c r="E262" s="25">
        <v>6.0114217012323412E-4</v>
      </c>
    </row>
    <row r="263" spans="2:5" ht="15" customHeight="1">
      <c r="B263" s="90"/>
      <c r="C263" s="27" t="s">
        <v>102</v>
      </c>
      <c r="D263" s="26">
        <v>1</v>
      </c>
      <c r="E263" s="25">
        <v>1.5028554253080853E-4</v>
      </c>
    </row>
    <row r="264" spans="2:5" ht="15" customHeight="1">
      <c r="B264" s="91"/>
      <c r="C264" s="24" t="s">
        <v>46</v>
      </c>
      <c r="D264" s="23">
        <v>12</v>
      </c>
      <c r="E264" s="22">
        <v>1.8034265103697023E-3</v>
      </c>
    </row>
    <row r="265" spans="2:5" ht="15" customHeight="1">
      <c r="B265" s="89" t="s">
        <v>14</v>
      </c>
      <c r="C265" s="27" t="s">
        <v>0</v>
      </c>
      <c r="D265" s="26">
        <v>71</v>
      </c>
      <c r="E265" s="25">
        <v>1.0670273519687407E-2</v>
      </c>
    </row>
    <row r="266" spans="2:5" ht="15" customHeight="1">
      <c r="B266" s="90"/>
      <c r="C266" s="27" t="s">
        <v>99</v>
      </c>
      <c r="D266" s="26">
        <v>7</v>
      </c>
      <c r="E266" s="25">
        <v>1.0519987977156598E-3</v>
      </c>
    </row>
    <row r="267" spans="2:5" ht="15" customHeight="1">
      <c r="B267" s="90"/>
      <c r="C267" s="27" t="s">
        <v>103</v>
      </c>
      <c r="D267" s="26">
        <v>3</v>
      </c>
      <c r="E267" s="25">
        <v>4.5085662759242559E-4</v>
      </c>
    </row>
    <row r="268" spans="2:5" ht="15" customHeight="1">
      <c r="B268" s="90"/>
      <c r="C268" s="27" t="s">
        <v>96</v>
      </c>
      <c r="D268" s="26">
        <v>1</v>
      </c>
      <c r="E268" s="25">
        <v>1.5028554253080853E-4</v>
      </c>
    </row>
    <row r="269" spans="2:5" ht="15" customHeight="1">
      <c r="B269" s="90"/>
      <c r="C269" s="27" t="s">
        <v>94</v>
      </c>
      <c r="D269" s="26">
        <v>2</v>
      </c>
      <c r="E269" s="25">
        <v>3.0057108506161706E-4</v>
      </c>
    </row>
    <row r="270" spans="2:5" ht="15" customHeight="1">
      <c r="B270" s="90"/>
      <c r="C270" s="27" t="s">
        <v>100</v>
      </c>
      <c r="D270" s="26">
        <v>1</v>
      </c>
      <c r="E270" s="25">
        <v>1.5028554253080853E-4</v>
      </c>
    </row>
    <row r="271" spans="2:5" ht="15" customHeight="1">
      <c r="B271" s="90"/>
      <c r="C271" s="27" t="s">
        <v>101</v>
      </c>
      <c r="D271" s="26">
        <v>8</v>
      </c>
      <c r="E271" s="25">
        <v>1.2022843402464682E-3</v>
      </c>
    </row>
    <row r="272" spans="2:5" ht="15" customHeight="1">
      <c r="B272" s="90"/>
      <c r="C272" s="27" t="s">
        <v>102</v>
      </c>
      <c r="D272" s="26">
        <v>18</v>
      </c>
      <c r="E272" s="25">
        <v>2.7051397655545538E-3</v>
      </c>
    </row>
    <row r="273" spans="2:5" ht="15" customHeight="1">
      <c r="B273" s="90"/>
      <c r="C273" s="27" t="s">
        <v>98</v>
      </c>
      <c r="D273" s="26">
        <v>1</v>
      </c>
      <c r="E273" s="25">
        <v>1.5028554253080853E-4</v>
      </c>
    </row>
    <row r="274" spans="2:5" ht="15" customHeight="1">
      <c r="B274" s="91"/>
      <c r="C274" s="24" t="s">
        <v>46</v>
      </c>
      <c r="D274" s="23">
        <v>112</v>
      </c>
      <c r="E274" s="22">
        <v>1.6831980763450556E-2</v>
      </c>
    </row>
    <row r="275" spans="2:5" ht="15" customHeight="1">
      <c r="B275" s="89" t="s">
        <v>5</v>
      </c>
      <c r="C275" s="27" t="s">
        <v>0</v>
      </c>
      <c r="D275" s="26">
        <v>818</v>
      </c>
      <c r="E275" s="25">
        <v>0.12293357379020138</v>
      </c>
    </row>
    <row r="276" spans="2:5" ht="15" customHeight="1">
      <c r="B276" s="90"/>
      <c r="C276" s="27" t="s">
        <v>99</v>
      </c>
      <c r="D276" s="26">
        <v>97</v>
      </c>
      <c r="E276" s="25">
        <v>1.4577697625488427E-2</v>
      </c>
    </row>
    <row r="277" spans="2:5" ht="15" customHeight="1">
      <c r="B277" s="90"/>
      <c r="C277" s="27" t="s">
        <v>103</v>
      </c>
      <c r="D277" s="26">
        <v>62</v>
      </c>
      <c r="E277" s="25">
        <v>9.3177036369101289E-3</v>
      </c>
    </row>
    <row r="278" spans="2:5" ht="15" customHeight="1">
      <c r="B278" s="90"/>
      <c r="C278" s="27" t="s">
        <v>96</v>
      </c>
      <c r="D278" s="26">
        <v>4</v>
      </c>
      <c r="E278" s="25">
        <v>6.0114217012323412E-4</v>
      </c>
    </row>
    <row r="279" spans="2:5" ht="15" customHeight="1">
      <c r="B279" s="90"/>
      <c r="C279" s="27" t="s">
        <v>94</v>
      </c>
      <c r="D279" s="26">
        <v>8</v>
      </c>
      <c r="E279" s="25">
        <v>1.2022843402464682E-3</v>
      </c>
    </row>
    <row r="280" spans="2:5" ht="15" customHeight="1">
      <c r="B280" s="90"/>
      <c r="C280" s="27" t="s">
        <v>100</v>
      </c>
      <c r="D280" s="26">
        <v>47</v>
      </c>
      <c r="E280" s="25">
        <v>7.0634204989480009E-3</v>
      </c>
    </row>
    <row r="281" spans="2:5" ht="15" customHeight="1">
      <c r="B281" s="90"/>
      <c r="C281" s="27" t="s">
        <v>101</v>
      </c>
      <c r="D281" s="26">
        <v>120</v>
      </c>
      <c r="E281" s="25">
        <v>1.8034265103697024E-2</v>
      </c>
    </row>
    <row r="282" spans="2:5" ht="15" customHeight="1">
      <c r="B282" s="90"/>
      <c r="C282" s="27" t="s">
        <v>102</v>
      </c>
      <c r="D282" s="26">
        <v>135</v>
      </c>
      <c r="E282" s="25">
        <v>2.0288548241659151E-2</v>
      </c>
    </row>
    <row r="283" spans="2:5" ht="15" customHeight="1">
      <c r="B283" s="90"/>
      <c r="C283" s="27" t="s">
        <v>97</v>
      </c>
      <c r="D283" s="26">
        <v>8</v>
      </c>
      <c r="E283" s="25">
        <v>1.2022843402464682E-3</v>
      </c>
    </row>
    <row r="284" spans="2:5" ht="15" customHeight="1">
      <c r="B284" s="90"/>
      <c r="C284" s="27" t="s">
        <v>95</v>
      </c>
      <c r="D284" s="26">
        <v>31</v>
      </c>
      <c r="E284" s="25">
        <v>4.6588518184550645E-3</v>
      </c>
    </row>
    <row r="285" spans="2:5" ht="15" customHeight="1">
      <c r="B285" s="90"/>
      <c r="C285" s="27" t="s">
        <v>98</v>
      </c>
      <c r="D285" s="26">
        <v>11</v>
      </c>
      <c r="E285" s="25">
        <v>1.6531409678388939E-3</v>
      </c>
    </row>
    <row r="286" spans="2:5" ht="15" customHeight="1">
      <c r="B286" s="91"/>
      <c r="C286" s="24" t="s">
        <v>46</v>
      </c>
      <c r="D286" s="23">
        <v>1341</v>
      </c>
      <c r="E286" s="22">
        <v>0.20153291253381425</v>
      </c>
    </row>
    <row r="287" spans="2:5" ht="15" customHeight="1">
      <c r="B287" s="89" t="s">
        <v>20</v>
      </c>
      <c r="C287" s="27" t="s">
        <v>0</v>
      </c>
      <c r="D287" s="26">
        <v>50</v>
      </c>
      <c r="E287" s="25">
        <v>7.5142771265404272E-3</v>
      </c>
    </row>
    <row r="288" spans="2:5" ht="15" customHeight="1">
      <c r="B288" s="90"/>
      <c r="C288" s="27" t="s">
        <v>99</v>
      </c>
      <c r="D288" s="26">
        <v>5</v>
      </c>
      <c r="E288" s="25">
        <v>7.514277126540427E-4</v>
      </c>
    </row>
    <row r="289" spans="2:5" ht="15" customHeight="1">
      <c r="B289" s="90"/>
      <c r="C289" s="27" t="s">
        <v>103</v>
      </c>
      <c r="D289" s="26">
        <v>17</v>
      </c>
      <c r="E289" s="25">
        <v>2.5548542230237449E-3</v>
      </c>
    </row>
    <row r="290" spans="2:5" ht="15" customHeight="1">
      <c r="B290" s="90"/>
      <c r="C290" s="27" t="s">
        <v>96</v>
      </c>
      <c r="D290" s="26">
        <v>1</v>
      </c>
      <c r="E290" s="25">
        <v>1.5028554253080853E-4</v>
      </c>
    </row>
    <row r="291" spans="2:5" ht="15" customHeight="1">
      <c r="B291" s="90"/>
      <c r="C291" s="27" t="s">
        <v>94</v>
      </c>
      <c r="D291" s="26">
        <v>1</v>
      </c>
      <c r="E291" s="25">
        <v>1.5028554253080853E-4</v>
      </c>
    </row>
    <row r="292" spans="2:5" ht="15" customHeight="1">
      <c r="B292" s="90"/>
      <c r="C292" s="27" t="s">
        <v>100</v>
      </c>
      <c r="D292" s="26">
        <v>2</v>
      </c>
      <c r="E292" s="25">
        <v>3.0057108506161706E-4</v>
      </c>
    </row>
    <row r="293" spans="2:5" ht="15" customHeight="1">
      <c r="B293" s="90"/>
      <c r="C293" s="27" t="s">
        <v>101</v>
      </c>
      <c r="D293" s="26">
        <v>10</v>
      </c>
      <c r="E293" s="25">
        <v>1.5028554253080854E-3</v>
      </c>
    </row>
    <row r="294" spans="2:5" ht="15" customHeight="1">
      <c r="B294" s="90"/>
      <c r="C294" s="27" t="s">
        <v>102</v>
      </c>
      <c r="D294" s="26">
        <v>25</v>
      </c>
      <c r="E294" s="25">
        <v>3.7571385632702136E-3</v>
      </c>
    </row>
    <row r="295" spans="2:5" ht="15" customHeight="1">
      <c r="B295" s="90"/>
      <c r="C295" s="27" t="s">
        <v>97</v>
      </c>
      <c r="D295" s="26">
        <v>3</v>
      </c>
      <c r="E295" s="25">
        <v>4.5085662759242559E-4</v>
      </c>
    </row>
    <row r="296" spans="2:5" ht="15" customHeight="1">
      <c r="B296" s="90"/>
      <c r="C296" s="27" t="s">
        <v>98</v>
      </c>
      <c r="D296" s="26">
        <v>7</v>
      </c>
      <c r="E296" s="25">
        <v>1.0519987977156598E-3</v>
      </c>
    </row>
    <row r="297" spans="2:5" ht="15" customHeight="1">
      <c r="B297" s="91"/>
      <c r="C297" s="24" t="s">
        <v>46</v>
      </c>
      <c r="D297" s="23">
        <v>121</v>
      </c>
      <c r="E297" s="22">
        <v>1.8184550646227832E-2</v>
      </c>
    </row>
    <row r="298" spans="2:5" ht="15" customHeight="1">
      <c r="B298" s="89" t="s">
        <v>27</v>
      </c>
      <c r="C298" s="27" t="s">
        <v>0</v>
      </c>
      <c r="D298" s="26">
        <v>11</v>
      </c>
      <c r="E298" s="25">
        <v>1.6531409678388939E-3</v>
      </c>
    </row>
    <row r="299" spans="2:5" ht="15" customHeight="1">
      <c r="B299" s="90"/>
      <c r="C299" s="27" t="s">
        <v>103</v>
      </c>
      <c r="D299" s="26">
        <v>2</v>
      </c>
      <c r="E299" s="25">
        <v>3.0057108506161706E-4</v>
      </c>
    </row>
    <row r="300" spans="2:5" ht="15" customHeight="1">
      <c r="B300" s="90"/>
      <c r="C300" s="27" t="s">
        <v>96</v>
      </c>
      <c r="D300" s="26">
        <v>1</v>
      </c>
      <c r="E300" s="25">
        <v>1.5028554253080853E-4</v>
      </c>
    </row>
    <row r="301" spans="2:5" ht="15" customHeight="1">
      <c r="B301" s="90"/>
      <c r="C301" s="27" t="s">
        <v>100</v>
      </c>
      <c r="D301" s="26">
        <v>2</v>
      </c>
      <c r="E301" s="25">
        <v>3.0057108506161706E-4</v>
      </c>
    </row>
    <row r="302" spans="2:5" ht="15" customHeight="1">
      <c r="B302" s="90"/>
      <c r="C302" s="27" t="s">
        <v>101</v>
      </c>
      <c r="D302" s="26">
        <v>2</v>
      </c>
      <c r="E302" s="25">
        <v>3.0057108506161706E-4</v>
      </c>
    </row>
    <row r="303" spans="2:5" ht="15" customHeight="1">
      <c r="B303" s="90"/>
      <c r="C303" s="27" t="s">
        <v>102</v>
      </c>
      <c r="D303" s="26">
        <v>2</v>
      </c>
      <c r="E303" s="25">
        <v>3.0057108506161706E-4</v>
      </c>
    </row>
    <row r="304" spans="2:5" ht="15" customHeight="1">
      <c r="B304" s="91"/>
      <c r="C304" s="24" t="s">
        <v>46</v>
      </c>
      <c r="D304" s="23">
        <v>20</v>
      </c>
      <c r="E304" s="22">
        <v>3.0057108506161708E-3</v>
      </c>
    </row>
    <row r="305" spans="2:5" ht="15" customHeight="1">
      <c r="B305" s="89" t="s">
        <v>17</v>
      </c>
      <c r="C305" s="27" t="s">
        <v>0</v>
      </c>
      <c r="D305" s="26">
        <v>37</v>
      </c>
      <c r="E305" s="25">
        <v>5.5605650736399162E-3</v>
      </c>
    </row>
    <row r="306" spans="2:5" ht="15" customHeight="1">
      <c r="B306" s="90"/>
      <c r="C306" s="27" t="s">
        <v>103</v>
      </c>
      <c r="D306" s="26">
        <v>7</v>
      </c>
      <c r="E306" s="25">
        <v>1.0519987977156598E-3</v>
      </c>
    </row>
    <row r="307" spans="2:5" ht="15" customHeight="1">
      <c r="B307" s="90"/>
      <c r="C307" s="27" t="s">
        <v>100</v>
      </c>
      <c r="D307" s="26">
        <v>3</v>
      </c>
      <c r="E307" s="25">
        <v>4.5085662759242559E-4</v>
      </c>
    </row>
    <row r="308" spans="2:5" ht="15" customHeight="1">
      <c r="B308" s="90"/>
      <c r="C308" s="27" t="s">
        <v>101</v>
      </c>
      <c r="D308" s="26">
        <v>4</v>
      </c>
      <c r="E308" s="25">
        <v>6.0114217012323412E-4</v>
      </c>
    </row>
    <row r="309" spans="2:5" ht="15" customHeight="1">
      <c r="B309" s="90"/>
      <c r="C309" s="27" t="s">
        <v>102</v>
      </c>
      <c r="D309" s="26">
        <v>2</v>
      </c>
      <c r="E309" s="25">
        <v>3.0057108506161706E-4</v>
      </c>
    </row>
    <row r="310" spans="2:5" ht="15" customHeight="1">
      <c r="B310" s="90"/>
      <c r="C310" s="27" t="s">
        <v>95</v>
      </c>
      <c r="D310" s="26">
        <v>2</v>
      </c>
      <c r="E310" s="25">
        <v>3.0057108506161706E-4</v>
      </c>
    </row>
    <row r="311" spans="2:5" ht="15" customHeight="1">
      <c r="B311" s="91"/>
      <c r="C311" s="24" t="s">
        <v>46</v>
      </c>
      <c r="D311" s="23">
        <v>55</v>
      </c>
      <c r="E311" s="22">
        <v>8.2657048391944696E-3</v>
      </c>
    </row>
    <row r="312" spans="2:5" ht="15" customHeight="1">
      <c r="B312" s="89" t="s">
        <v>197</v>
      </c>
      <c r="C312" s="27" t="s">
        <v>0</v>
      </c>
      <c r="D312" s="26">
        <v>1</v>
      </c>
      <c r="E312" s="25">
        <v>1.5028554253080853E-4</v>
      </c>
    </row>
    <row r="313" spans="2:5" ht="15" customHeight="1">
      <c r="B313" s="91"/>
      <c r="C313" s="24" t="s">
        <v>46</v>
      </c>
      <c r="D313" s="23">
        <v>1</v>
      </c>
      <c r="E313" s="22">
        <v>1.5028554253080853E-4</v>
      </c>
    </row>
    <row r="314" spans="2:5" ht="15" customHeight="1">
      <c r="B314" s="89" t="s">
        <v>21</v>
      </c>
      <c r="C314" s="27" t="s">
        <v>0</v>
      </c>
      <c r="D314" s="26">
        <v>39</v>
      </c>
      <c r="E314" s="25">
        <v>5.8611361587015331E-3</v>
      </c>
    </row>
    <row r="315" spans="2:5" ht="15" customHeight="1">
      <c r="B315" s="90"/>
      <c r="C315" s="27" t="s">
        <v>103</v>
      </c>
      <c r="D315" s="26">
        <v>2</v>
      </c>
      <c r="E315" s="25">
        <v>3.0057108506161706E-4</v>
      </c>
    </row>
    <row r="316" spans="2:5" ht="15" customHeight="1">
      <c r="B316" s="90"/>
      <c r="C316" s="27" t="s">
        <v>100</v>
      </c>
      <c r="D316" s="26">
        <v>1</v>
      </c>
      <c r="E316" s="25">
        <v>1.5028554253080853E-4</v>
      </c>
    </row>
    <row r="317" spans="2:5" ht="15" customHeight="1">
      <c r="B317" s="90"/>
      <c r="C317" s="27" t="s">
        <v>102</v>
      </c>
      <c r="D317" s="26">
        <v>2</v>
      </c>
      <c r="E317" s="25">
        <v>3.0057108506161706E-4</v>
      </c>
    </row>
    <row r="318" spans="2:5" ht="15" customHeight="1">
      <c r="B318" s="90"/>
      <c r="C318" s="27" t="s">
        <v>95</v>
      </c>
      <c r="D318" s="26">
        <v>1</v>
      </c>
      <c r="E318" s="25">
        <v>1.5028554253080853E-4</v>
      </c>
    </row>
    <row r="319" spans="2:5" ht="15" customHeight="1">
      <c r="B319" s="91"/>
      <c r="C319" s="24" t="s">
        <v>46</v>
      </c>
      <c r="D319" s="23">
        <v>45</v>
      </c>
      <c r="E319" s="22">
        <v>6.762849413886384E-3</v>
      </c>
    </row>
    <row r="320" spans="2:5" ht="15" customHeight="1">
      <c r="B320" s="89" t="s">
        <v>42</v>
      </c>
      <c r="C320" s="27" t="s">
        <v>0</v>
      </c>
      <c r="D320" s="26">
        <v>6</v>
      </c>
      <c r="E320" s="25">
        <v>9.0171325518485117E-4</v>
      </c>
    </row>
    <row r="321" spans="2:5" ht="15" customHeight="1">
      <c r="B321" s="90"/>
      <c r="C321" s="27" t="s">
        <v>101</v>
      </c>
      <c r="D321" s="26">
        <v>3</v>
      </c>
      <c r="E321" s="25">
        <v>4.5085662759242559E-4</v>
      </c>
    </row>
    <row r="322" spans="2:5" ht="15" customHeight="1">
      <c r="B322" s="90"/>
      <c r="C322" s="27" t="s">
        <v>102</v>
      </c>
      <c r="D322" s="26">
        <v>3</v>
      </c>
      <c r="E322" s="25">
        <v>4.5085662759242559E-4</v>
      </c>
    </row>
    <row r="323" spans="2:5" ht="15" customHeight="1">
      <c r="B323" s="90"/>
      <c r="C323" s="27" t="s">
        <v>98</v>
      </c>
      <c r="D323" s="26">
        <v>1</v>
      </c>
      <c r="E323" s="25">
        <v>1.5028554253080853E-4</v>
      </c>
    </row>
    <row r="324" spans="2:5" ht="15" customHeight="1">
      <c r="B324" s="91"/>
      <c r="C324" s="24" t="s">
        <v>46</v>
      </c>
      <c r="D324" s="23">
        <v>13</v>
      </c>
      <c r="E324" s="22">
        <v>1.953712052900511E-3</v>
      </c>
    </row>
    <row r="325" spans="2:5" ht="15" customHeight="1">
      <c r="B325" s="92" t="s">
        <v>46</v>
      </c>
      <c r="C325" s="93"/>
      <c r="D325" s="70">
        <v>6654</v>
      </c>
      <c r="E325" s="71">
        <v>1</v>
      </c>
    </row>
    <row r="327" spans="2:5" ht="15" customHeight="1">
      <c r="B327" s="17" t="s">
        <v>198</v>
      </c>
    </row>
    <row r="328" spans="2:5" ht="15" customHeight="1">
      <c r="B328" s="18" t="s">
        <v>47</v>
      </c>
    </row>
    <row r="329" spans="2:5" ht="15" customHeight="1">
      <c r="B329" s="19" t="s">
        <v>48</v>
      </c>
    </row>
    <row r="330" spans="2:5" ht="15" customHeight="1">
      <c r="B330" s="17" t="s">
        <v>49</v>
      </c>
    </row>
    <row r="331" spans="2:5" ht="15" customHeight="1">
      <c r="B331" s="17" t="s">
        <v>199</v>
      </c>
    </row>
  </sheetData>
  <mergeCells count="48">
    <mergeCell ref="B7:E8"/>
    <mergeCell ref="B193:B202"/>
    <mergeCell ref="B203:B206"/>
    <mergeCell ref="B207:B214"/>
    <mergeCell ref="B158:B163"/>
    <mergeCell ref="B164:B168"/>
    <mergeCell ref="B169:B172"/>
    <mergeCell ref="B173:B180"/>
    <mergeCell ref="B181:B183"/>
    <mergeCell ref="B184:B192"/>
    <mergeCell ref="B10:B18"/>
    <mergeCell ref="B19:B21"/>
    <mergeCell ref="B22:B31"/>
    <mergeCell ref="B32:B40"/>
    <mergeCell ref="B41:B52"/>
    <mergeCell ref="B53:B63"/>
    <mergeCell ref="B64:B66"/>
    <mergeCell ref="B67:B70"/>
    <mergeCell ref="B71:B81"/>
    <mergeCell ref="B82:B91"/>
    <mergeCell ref="B92:B97"/>
    <mergeCell ref="B98:B107"/>
    <mergeCell ref="B108:B118"/>
    <mergeCell ref="B119:B126"/>
    <mergeCell ref="B127:B135"/>
    <mergeCell ref="B136:B142"/>
    <mergeCell ref="B143:B149"/>
    <mergeCell ref="B150:B151"/>
    <mergeCell ref="B152:B155"/>
    <mergeCell ref="B156:B157"/>
    <mergeCell ref="B215:B218"/>
    <mergeCell ref="B219:B227"/>
    <mergeCell ref="B228:B230"/>
    <mergeCell ref="B231:B235"/>
    <mergeCell ref="B236:B247"/>
    <mergeCell ref="B248:B252"/>
    <mergeCell ref="B253:B254"/>
    <mergeCell ref="B255:B259"/>
    <mergeCell ref="B260:B264"/>
    <mergeCell ref="B265:B274"/>
    <mergeCell ref="B314:B319"/>
    <mergeCell ref="B320:B324"/>
    <mergeCell ref="B325:C325"/>
    <mergeCell ref="B275:B286"/>
    <mergeCell ref="B287:B297"/>
    <mergeCell ref="B298:B304"/>
    <mergeCell ref="B305:B311"/>
    <mergeCell ref="B312:B3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376"/>
  <sheetViews>
    <sheetView showGridLines="0" zoomScaleNormal="100" zoomScaleSheetLayoutView="85" workbookViewId="0">
      <selection activeCell="F369" sqref="F369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94"/>
      <c r="C7" s="94"/>
      <c r="D7" s="94"/>
      <c r="E7" s="94"/>
    </row>
    <row r="8" spans="1:5" s="31" customFormat="1" ht="33" customHeight="1">
      <c r="A8" s="32"/>
      <c r="B8" s="94"/>
      <c r="C8" s="94"/>
      <c r="D8" s="94"/>
      <c r="E8" s="94"/>
    </row>
    <row r="9" spans="1:5" s="1" customFormat="1" ht="40.5" customHeight="1">
      <c r="B9" s="28" t="s">
        <v>93</v>
      </c>
      <c r="C9" s="30" t="s">
        <v>105</v>
      </c>
      <c r="D9" s="29" t="s">
        <v>2</v>
      </c>
      <c r="E9" s="28" t="s">
        <v>3</v>
      </c>
    </row>
    <row r="10" spans="1:5" ht="15" customHeight="1">
      <c r="B10" s="89" t="s">
        <v>56</v>
      </c>
      <c r="C10" s="27" t="s">
        <v>0</v>
      </c>
      <c r="D10" s="26">
        <v>39</v>
      </c>
      <c r="E10" s="25">
        <v>5.8611361587015331E-3</v>
      </c>
    </row>
    <row r="11" spans="1:5" ht="15" customHeight="1">
      <c r="B11" s="90"/>
      <c r="C11" s="27" t="s">
        <v>103</v>
      </c>
      <c r="D11" s="26">
        <v>1</v>
      </c>
      <c r="E11" s="25">
        <v>1.5028554253080853E-4</v>
      </c>
    </row>
    <row r="12" spans="1:5" ht="15" customHeight="1">
      <c r="B12" s="90"/>
      <c r="C12" s="27" t="s">
        <v>96</v>
      </c>
      <c r="D12" s="26">
        <v>4</v>
      </c>
      <c r="E12" s="25">
        <v>6.0114217012323412E-4</v>
      </c>
    </row>
    <row r="13" spans="1:5" ht="15" customHeight="1">
      <c r="B13" s="90"/>
      <c r="C13" s="27" t="s">
        <v>100</v>
      </c>
      <c r="D13" s="26">
        <v>8</v>
      </c>
      <c r="E13" s="25">
        <v>1.2022843402464682E-3</v>
      </c>
    </row>
    <row r="14" spans="1:5" ht="15" customHeight="1">
      <c r="B14" s="90"/>
      <c r="C14" s="27" t="s">
        <v>101</v>
      </c>
      <c r="D14" s="26">
        <v>3</v>
      </c>
      <c r="E14" s="25">
        <v>4.5085662759242559E-4</v>
      </c>
    </row>
    <row r="15" spans="1:5" ht="15" customHeight="1">
      <c r="B15" s="90"/>
      <c r="C15" s="27" t="s">
        <v>102</v>
      </c>
      <c r="D15" s="26">
        <v>5</v>
      </c>
      <c r="E15" s="25">
        <v>7.514277126540427E-4</v>
      </c>
    </row>
    <row r="16" spans="1:5" ht="15" customHeight="1">
      <c r="B16" s="91"/>
      <c r="C16" s="24" t="s">
        <v>46</v>
      </c>
      <c r="D16" s="23">
        <v>60</v>
      </c>
      <c r="E16" s="22">
        <v>9.017132551848512E-3</v>
      </c>
    </row>
    <row r="17" spans="2:5" ht="15" customHeight="1">
      <c r="B17" s="89" t="s">
        <v>88</v>
      </c>
      <c r="C17" s="27" t="s">
        <v>0</v>
      </c>
      <c r="D17" s="26">
        <v>132</v>
      </c>
      <c r="E17" s="25">
        <v>1.9837691614066726E-2</v>
      </c>
    </row>
    <row r="18" spans="2:5" ht="15" customHeight="1">
      <c r="B18" s="90"/>
      <c r="C18" s="27" t="s">
        <v>99</v>
      </c>
      <c r="D18" s="26">
        <v>17</v>
      </c>
      <c r="E18" s="25">
        <v>2.5548542230237449E-3</v>
      </c>
    </row>
    <row r="19" spans="2:5" ht="15" customHeight="1">
      <c r="B19" s="90"/>
      <c r="C19" s="27" t="s">
        <v>103</v>
      </c>
      <c r="D19" s="26">
        <v>19</v>
      </c>
      <c r="E19" s="25">
        <v>2.8554253080853623E-3</v>
      </c>
    </row>
    <row r="20" spans="2:5" ht="15" customHeight="1">
      <c r="B20" s="90"/>
      <c r="C20" s="27" t="s">
        <v>96</v>
      </c>
      <c r="D20" s="26">
        <v>2</v>
      </c>
      <c r="E20" s="25">
        <v>3.0057108506161706E-4</v>
      </c>
    </row>
    <row r="21" spans="2:5" ht="15" customHeight="1">
      <c r="B21" s="90"/>
      <c r="C21" s="27" t="s">
        <v>94</v>
      </c>
      <c r="D21" s="26">
        <v>3</v>
      </c>
      <c r="E21" s="25">
        <v>4.5085662759242559E-4</v>
      </c>
    </row>
    <row r="22" spans="2:5" ht="15" customHeight="1">
      <c r="B22" s="90"/>
      <c r="C22" s="27" t="s">
        <v>100</v>
      </c>
      <c r="D22" s="26">
        <v>5</v>
      </c>
      <c r="E22" s="25">
        <v>7.514277126540427E-4</v>
      </c>
    </row>
    <row r="23" spans="2:5" ht="15" customHeight="1">
      <c r="B23" s="90"/>
      <c r="C23" s="27" t="s">
        <v>101</v>
      </c>
      <c r="D23" s="26">
        <v>7</v>
      </c>
      <c r="E23" s="25">
        <v>1.0519987977156598E-3</v>
      </c>
    </row>
    <row r="24" spans="2:5" ht="15" customHeight="1">
      <c r="B24" s="90"/>
      <c r="C24" s="27" t="s">
        <v>102</v>
      </c>
      <c r="D24" s="26">
        <v>21</v>
      </c>
      <c r="E24" s="25">
        <v>3.1559963931469793E-3</v>
      </c>
    </row>
    <row r="25" spans="2:5" ht="15" customHeight="1">
      <c r="B25" s="90"/>
      <c r="C25" s="27" t="s">
        <v>95</v>
      </c>
      <c r="D25" s="26">
        <v>2</v>
      </c>
      <c r="E25" s="25">
        <v>3.0057108506161706E-4</v>
      </c>
    </row>
    <row r="26" spans="2:5" ht="15" customHeight="1">
      <c r="B26" s="90"/>
      <c r="C26" s="27" t="s">
        <v>98</v>
      </c>
      <c r="D26" s="26">
        <v>2</v>
      </c>
      <c r="E26" s="25">
        <v>3.0057108506161706E-4</v>
      </c>
    </row>
    <row r="27" spans="2:5" ht="15" customHeight="1">
      <c r="B27" s="91"/>
      <c r="C27" s="24" t="s">
        <v>46</v>
      </c>
      <c r="D27" s="23">
        <v>210</v>
      </c>
      <c r="E27" s="22">
        <v>3.1559963931469794E-2</v>
      </c>
    </row>
    <row r="28" spans="2:5" ht="15" customHeight="1">
      <c r="B28" s="89" t="s">
        <v>78</v>
      </c>
      <c r="C28" s="27" t="s">
        <v>0</v>
      </c>
      <c r="D28" s="26">
        <v>41</v>
      </c>
      <c r="E28" s="25">
        <v>6.1617072437631501E-3</v>
      </c>
    </row>
    <row r="29" spans="2:5" ht="15" customHeight="1">
      <c r="B29" s="90"/>
      <c r="C29" s="27" t="s">
        <v>99</v>
      </c>
      <c r="D29" s="26">
        <v>8</v>
      </c>
      <c r="E29" s="25">
        <v>1.2022843402464682E-3</v>
      </c>
    </row>
    <row r="30" spans="2:5" ht="15" customHeight="1">
      <c r="B30" s="90"/>
      <c r="C30" s="27" t="s">
        <v>103</v>
      </c>
      <c r="D30" s="26">
        <v>36</v>
      </c>
      <c r="E30" s="25">
        <v>5.4102795311091077E-3</v>
      </c>
    </row>
    <row r="31" spans="2:5" ht="15" customHeight="1">
      <c r="B31" s="90"/>
      <c r="C31" s="27" t="s">
        <v>94</v>
      </c>
      <c r="D31" s="26">
        <v>2</v>
      </c>
      <c r="E31" s="25">
        <v>3.0057108506161706E-4</v>
      </c>
    </row>
    <row r="32" spans="2:5" ht="15" customHeight="1">
      <c r="B32" s="90"/>
      <c r="C32" s="27" t="s">
        <v>100</v>
      </c>
      <c r="D32" s="26">
        <v>1</v>
      </c>
      <c r="E32" s="25">
        <v>1.5028554253080853E-4</v>
      </c>
    </row>
    <row r="33" spans="2:5" ht="15" customHeight="1">
      <c r="B33" s="90"/>
      <c r="C33" s="27" t="s">
        <v>101</v>
      </c>
      <c r="D33" s="26">
        <v>4</v>
      </c>
      <c r="E33" s="25">
        <v>6.0114217012323412E-4</v>
      </c>
    </row>
    <row r="34" spans="2:5" ht="15" customHeight="1">
      <c r="B34" s="90"/>
      <c r="C34" s="27" t="s">
        <v>102</v>
      </c>
      <c r="D34" s="26">
        <v>4</v>
      </c>
      <c r="E34" s="25">
        <v>6.0114217012323412E-4</v>
      </c>
    </row>
    <row r="35" spans="2:5" ht="15" customHeight="1">
      <c r="B35" s="90"/>
      <c r="C35" s="27" t="s">
        <v>97</v>
      </c>
      <c r="D35" s="26">
        <v>2</v>
      </c>
      <c r="E35" s="25">
        <v>3.0057108506161706E-4</v>
      </c>
    </row>
    <row r="36" spans="2:5" ht="15" customHeight="1">
      <c r="B36" s="90"/>
      <c r="C36" s="27" t="s">
        <v>95</v>
      </c>
      <c r="D36" s="26">
        <v>1</v>
      </c>
      <c r="E36" s="25">
        <v>1.5028554253080853E-4</v>
      </c>
    </row>
    <row r="37" spans="2:5" ht="15" customHeight="1">
      <c r="B37" s="91"/>
      <c r="C37" s="24" t="s">
        <v>46</v>
      </c>
      <c r="D37" s="23">
        <v>99</v>
      </c>
      <c r="E37" s="22">
        <v>1.4878268710550046E-2</v>
      </c>
    </row>
    <row r="38" spans="2:5" ht="15" customHeight="1">
      <c r="B38" s="89" t="s">
        <v>54</v>
      </c>
      <c r="C38" s="27" t="s">
        <v>0</v>
      </c>
      <c r="D38" s="26">
        <v>13</v>
      </c>
      <c r="E38" s="25">
        <v>1.953712052900511E-3</v>
      </c>
    </row>
    <row r="39" spans="2:5" ht="15" customHeight="1">
      <c r="B39" s="90"/>
      <c r="C39" s="27" t="s">
        <v>99</v>
      </c>
      <c r="D39" s="26">
        <v>1</v>
      </c>
      <c r="E39" s="25">
        <v>1.5028554253080853E-4</v>
      </c>
    </row>
    <row r="40" spans="2:5" ht="15" customHeight="1">
      <c r="B40" s="90"/>
      <c r="C40" s="27" t="s">
        <v>103</v>
      </c>
      <c r="D40" s="26">
        <v>16</v>
      </c>
      <c r="E40" s="25">
        <v>2.4045686804929365E-3</v>
      </c>
    </row>
    <row r="41" spans="2:5" ht="15" customHeight="1">
      <c r="B41" s="90"/>
      <c r="C41" s="27" t="s">
        <v>100</v>
      </c>
      <c r="D41" s="26">
        <v>2</v>
      </c>
      <c r="E41" s="25">
        <v>3.0057108506161706E-4</v>
      </c>
    </row>
    <row r="42" spans="2:5" ht="15" customHeight="1">
      <c r="B42" s="90"/>
      <c r="C42" s="27" t="s">
        <v>102</v>
      </c>
      <c r="D42" s="26">
        <v>3</v>
      </c>
      <c r="E42" s="25">
        <v>4.5085662759242559E-4</v>
      </c>
    </row>
    <row r="43" spans="2:5" ht="15" customHeight="1">
      <c r="B43" s="90"/>
      <c r="C43" s="27" t="s">
        <v>98</v>
      </c>
      <c r="D43" s="26">
        <v>1</v>
      </c>
      <c r="E43" s="25">
        <v>1.5028554253080853E-4</v>
      </c>
    </row>
    <row r="44" spans="2:5" ht="15" customHeight="1">
      <c r="B44" s="91"/>
      <c r="C44" s="24" t="s">
        <v>46</v>
      </c>
      <c r="D44" s="23">
        <v>36</v>
      </c>
      <c r="E44" s="22">
        <v>5.4102795311091077E-3</v>
      </c>
    </row>
    <row r="45" spans="2:5" ht="15" customHeight="1">
      <c r="B45" s="89" t="s">
        <v>50</v>
      </c>
      <c r="C45" s="27" t="s">
        <v>0</v>
      </c>
      <c r="D45" s="26">
        <v>4</v>
      </c>
      <c r="E45" s="25">
        <v>6.0114217012323412E-4</v>
      </c>
    </row>
    <row r="46" spans="2:5" ht="15" customHeight="1">
      <c r="B46" s="90"/>
      <c r="C46" s="27" t="s">
        <v>101</v>
      </c>
      <c r="D46" s="26">
        <v>1</v>
      </c>
      <c r="E46" s="25">
        <v>1.5028554253080853E-4</v>
      </c>
    </row>
    <row r="47" spans="2:5" ht="15" customHeight="1">
      <c r="B47" s="91"/>
      <c r="C47" s="24" t="s">
        <v>46</v>
      </c>
      <c r="D47" s="23">
        <v>5</v>
      </c>
      <c r="E47" s="22">
        <v>7.514277126540427E-4</v>
      </c>
    </row>
    <row r="48" spans="2:5" ht="15" customHeight="1">
      <c r="B48" s="89" t="s">
        <v>55</v>
      </c>
      <c r="C48" s="27" t="s">
        <v>0</v>
      </c>
      <c r="D48" s="26">
        <v>1</v>
      </c>
      <c r="E48" s="25">
        <v>1.5028554253080853E-4</v>
      </c>
    </row>
    <row r="49" spans="2:5" ht="15" customHeight="1">
      <c r="B49" s="91"/>
      <c r="C49" s="24" t="s">
        <v>46</v>
      </c>
      <c r="D49" s="23">
        <v>1</v>
      </c>
      <c r="E49" s="22">
        <v>1.5028554253080853E-4</v>
      </c>
    </row>
    <row r="50" spans="2:5" ht="15" customHeight="1">
      <c r="B50" s="89" t="s">
        <v>91</v>
      </c>
      <c r="C50" s="27" t="s">
        <v>0</v>
      </c>
      <c r="D50" s="26">
        <v>788</v>
      </c>
      <c r="E50" s="25">
        <v>0.11842500751427712</v>
      </c>
    </row>
    <row r="51" spans="2:5" ht="15" customHeight="1">
      <c r="B51" s="90"/>
      <c r="C51" s="27" t="s">
        <v>99</v>
      </c>
      <c r="D51" s="26">
        <v>71</v>
      </c>
      <c r="E51" s="25">
        <v>1.0670273519687407E-2</v>
      </c>
    </row>
    <row r="52" spans="2:5" ht="15" customHeight="1">
      <c r="B52" s="90"/>
      <c r="C52" s="27" t="s">
        <v>103</v>
      </c>
      <c r="D52" s="26">
        <v>227</v>
      </c>
      <c r="E52" s="25">
        <v>3.4114818154493541E-2</v>
      </c>
    </row>
    <row r="53" spans="2:5" ht="15" customHeight="1">
      <c r="B53" s="90"/>
      <c r="C53" s="27" t="s">
        <v>96</v>
      </c>
      <c r="D53" s="26">
        <v>4</v>
      </c>
      <c r="E53" s="25">
        <v>6.0114217012323412E-4</v>
      </c>
    </row>
    <row r="54" spans="2:5" ht="15" customHeight="1">
      <c r="B54" s="90"/>
      <c r="C54" s="27" t="s">
        <v>94</v>
      </c>
      <c r="D54" s="26">
        <v>16</v>
      </c>
      <c r="E54" s="25">
        <v>2.4045686804929365E-3</v>
      </c>
    </row>
    <row r="55" spans="2:5" ht="15" customHeight="1">
      <c r="B55" s="90"/>
      <c r="C55" s="27" t="s">
        <v>100</v>
      </c>
      <c r="D55" s="26">
        <v>85</v>
      </c>
      <c r="E55" s="25">
        <v>1.2774271115118726E-2</v>
      </c>
    </row>
    <row r="56" spans="2:5" ht="15" customHeight="1">
      <c r="B56" s="90"/>
      <c r="C56" s="27" t="s">
        <v>101</v>
      </c>
      <c r="D56" s="26">
        <v>56</v>
      </c>
      <c r="E56" s="25">
        <v>8.4159903817252781E-3</v>
      </c>
    </row>
    <row r="57" spans="2:5" ht="15" customHeight="1">
      <c r="B57" s="90"/>
      <c r="C57" s="27" t="s">
        <v>102</v>
      </c>
      <c r="D57" s="26">
        <v>36</v>
      </c>
      <c r="E57" s="25">
        <v>5.4102795311091077E-3</v>
      </c>
    </row>
    <row r="58" spans="2:5" ht="15" customHeight="1">
      <c r="B58" s="90"/>
      <c r="C58" s="27" t="s">
        <v>97</v>
      </c>
      <c r="D58" s="26">
        <v>23</v>
      </c>
      <c r="E58" s="25">
        <v>3.4565674782085962E-3</v>
      </c>
    </row>
    <row r="59" spans="2:5" ht="15" customHeight="1">
      <c r="B59" s="90"/>
      <c r="C59" s="27" t="s">
        <v>98</v>
      </c>
      <c r="D59" s="26">
        <v>3</v>
      </c>
      <c r="E59" s="25">
        <v>4.5085662759242559E-4</v>
      </c>
    </row>
    <row r="60" spans="2:5" ht="15" customHeight="1">
      <c r="B60" s="91"/>
      <c r="C60" s="24" t="s">
        <v>46</v>
      </c>
      <c r="D60" s="23">
        <v>1309</v>
      </c>
      <c r="E60" s="22">
        <v>0.19672377517282838</v>
      </c>
    </row>
    <row r="61" spans="2:5" ht="15" customHeight="1">
      <c r="B61" s="89" t="s">
        <v>89</v>
      </c>
      <c r="C61" s="27" t="s">
        <v>0</v>
      </c>
      <c r="D61" s="26">
        <v>419</v>
      </c>
      <c r="E61" s="25">
        <v>6.2969642320408775E-2</v>
      </c>
    </row>
    <row r="62" spans="2:5" ht="15" customHeight="1">
      <c r="B62" s="90"/>
      <c r="C62" s="27" t="s">
        <v>99</v>
      </c>
      <c r="D62" s="26">
        <v>45</v>
      </c>
      <c r="E62" s="25">
        <v>6.762849413886384E-3</v>
      </c>
    </row>
    <row r="63" spans="2:5" ht="15" customHeight="1">
      <c r="B63" s="90"/>
      <c r="C63" s="27" t="s">
        <v>103</v>
      </c>
      <c r="D63" s="26">
        <v>8</v>
      </c>
      <c r="E63" s="25">
        <v>1.2022843402464682E-3</v>
      </c>
    </row>
    <row r="64" spans="2:5" ht="15" customHeight="1">
      <c r="B64" s="90"/>
      <c r="C64" s="27" t="s">
        <v>96</v>
      </c>
      <c r="D64" s="26">
        <v>3</v>
      </c>
      <c r="E64" s="25">
        <v>4.5085662759242559E-4</v>
      </c>
    </row>
    <row r="65" spans="2:5" ht="15" customHeight="1">
      <c r="B65" s="90"/>
      <c r="C65" s="27" t="s">
        <v>94</v>
      </c>
      <c r="D65" s="26">
        <v>4</v>
      </c>
      <c r="E65" s="25">
        <v>6.0114217012323412E-4</v>
      </c>
    </row>
    <row r="66" spans="2:5" ht="15" customHeight="1">
      <c r="B66" s="90"/>
      <c r="C66" s="27" t="s">
        <v>100</v>
      </c>
      <c r="D66" s="26">
        <v>21</v>
      </c>
      <c r="E66" s="25">
        <v>3.1559963931469793E-3</v>
      </c>
    </row>
    <row r="67" spans="2:5" ht="15" customHeight="1">
      <c r="B67" s="90"/>
      <c r="C67" s="27" t="s">
        <v>101</v>
      </c>
      <c r="D67" s="26">
        <v>65</v>
      </c>
      <c r="E67" s="25">
        <v>9.7685602645025543E-3</v>
      </c>
    </row>
    <row r="68" spans="2:5" ht="15" customHeight="1">
      <c r="B68" s="90"/>
      <c r="C68" s="27" t="s">
        <v>102</v>
      </c>
      <c r="D68" s="26">
        <v>78</v>
      </c>
      <c r="E68" s="25">
        <v>1.1722272317403066E-2</v>
      </c>
    </row>
    <row r="69" spans="2:5" ht="15" customHeight="1">
      <c r="B69" s="90"/>
      <c r="C69" s="27" t="s">
        <v>97</v>
      </c>
      <c r="D69" s="26">
        <v>4</v>
      </c>
      <c r="E69" s="25">
        <v>6.0114217012323412E-4</v>
      </c>
    </row>
    <row r="70" spans="2:5" ht="15" customHeight="1">
      <c r="B70" s="90"/>
      <c r="C70" s="27" t="s">
        <v>95</v>
      </c>
      <c r="D70" s="26">
        <v>3</v>
      </c>
      <c r="E70" s="25">
        <v>4.5085662759242559E-4</v>
      </c>
    </row>
    <row r="71" spans="2:5" ht="15" customHeight="1">
      <c r="B71" s="90"/>
      <c r="C71" s="27" t="s">
        <v>98</v>
      </c>
      <c r="D71" s="26">
        <v>5</v>
      </c>
      <c r="E71" s="25">
        <v>7.514277126540427E-4</v>
      </c>
    </row>
    <row r="72" spans="2:5" ht="15" customHeight="1">
      <c r="B72" s="91"/>
      <c r="C72" s="24" t="s">
        <v>46</v>
      </c>
      <c r="D72" s="23">
        <v>655</v>
      </c>
      <c r="E72" s="22">
        <v>9.8437030357679589E-2</v>
      </c>
    </row>
    <row r="73" spans="2:5" ht="15" customHeight="1">
      <c r="B73" s="89" t="s">
        <v>73</v>
      </c>
      <c r="C73" s="27" t="s">
        <v>0</v>
      </c>
      <c r="D73" s="26">
        <v>163</v>
      </c>
      <c r="E73" s="25">
        <v>2.4496543432521792E-2</v>
      </c>
    </row>
    <row r="74" spans="2:5" ht="15" customHeight="1">
      <c r="B74" s="90"/>
      <c r="C74" s="27" t="s">
        <v>99</v>
      </c>
      <c r="D74" s="26">
        <v>18</v>
      </c>
      <c r="E74" s="25">
        <v>2.7051397655545538E-3</v>
      </c>
    </row>
    <row r="75" spans="2:5" ht="15" customHeight="1">
      <c r="B75" s="90"/>
      <c r="C75" s="27" t="s">
        <v>103</v>
      </c>
      <c r="D75" s="26">
        <v>40</v>
      </c>
      <c r="E75" s="25">
        <v>6.0114217012323416E-3</v>
      </c>
    </row>
    <row r="76" spans="2:5" ht="15" customHeight="1">
      <c r="B76" s="90"/>
      <c r="C76" s="27" t="s">
        <v>96</v>
      </c>
      <c r="D76" s="26">
        <v>16</v>
      </c>
      <c r="E76" s="25">
        <v>2.4045686804929365E-3</v>
      </c>
    </row>
    <row r="77" spans="2:5" ht="15" customHeight="1">
      <c r="B77" s="90"/>
      <c r="C77" s="27" t="s">
        <v>94</v>
      </c>
      <c r="D77" s="26">
        <v>1</v>
      </c>
      <c r="E77" s="25">
        <v>1.5028554253080853E-4</v>
      </c>
    </row>
    <row r="78" spans="2:5" ht="15" customHeight="1">
      <c r="B78" s="90"/>
      <c r="C78" s="27" t="s">
        <v>100</v>
      </c>
      <c r="D78" s="26">
        <v>23</v>
      </c>
      <c r="E78" s="25">
        <v>3.4565674782085962E-3</v>
      </c>
    </row>
    <row r="79" spans="2:5" ht="15" customHeight="1">
      <c r="B79" s="90"/>
      <c r="C79" s="27" t="s">
        <v>101</v>
      </c>
      <c r="D79" s="26">
        <v>41</v>
      </c>
      <c r="E79" s="25">
        <v>6.1617072437631501E-3</v>
      </c>
    </row>
    <row r="80" spans="2:5" ht="15" customHeight="1">
      <c r="B80" s="90"/>
      <c r="C80" s="27" t="s">
        <v>102</v>
      </c>
      <c r="D80" s="26">
        <v>67</v>
      </c>
      <c r="E80" s="25">
        <v>1.0069131349564171E-2</v>
      </c>
    </row>
    <row r="81" spans="2:5" ht="15" customHeight="1">
      <c r="B81" s="90"/>
      <c r="C81" s="27" t="s">
        <v>97</v>
      </c>
      <c r="D81" s="26">
        <v>4</v>
      </c>
      <c r="E81" s="25">
        <v>6.0114217012323412E-4</v>
      </c>
    </row>
    <row r="82" spans="2:5" ht="15" customHeight="1">
      <c r="B82" s="90"/>
      <c r="C82" s="27" t="s">
        <v>98</v>
      </c>
      <c r="D82" s="26">
        <v>22</v>
      </c>
      <c r="E82" s="25">
        <v>3.3062819356777877E-3</v>
      </c>
    </row>
    <row r="83" spans="2:5" ht="15" customHeight="1">
      <c r="B83" s="91"/>
      <c r="C83" s="24" t="s">
        <v>46</v>
      </c>
      <c r="D83" s="23">
        <v>395</v>
      </c>
      <c r="E83" s="22">
        <v>5.9362789299669372E-2</v>
      </c>
    </row>
    <row r="84" spans="2:5" ht="15" customHeight="1">
      <c r="B84" s="89" t="s">
        <v>59</v>
      </c>
      <c r="C84" s="27" t="s">
        <v>0</v>
      </c>
      <c r="D84" s="26">
        <v>30</v>
      </c>
      <c r="E84" s="25">
        <v>4.508566275924256E-3</v>
      </c>
    </row>
    <row r="85" spans="2:5" ht="15" customHeight="1">
      <c r="B85" s="90"/>
      <c r="C85" s="27" t="s">
        <v>103</v>
      </c>
      <c r="D85" s="26">
        <v>6</v>
      </c>
      <c r="E85" s="25">
        <v>9.0171325518485117E-4</v>
      </c>
    </row>
    <row r="86" spans="2:5" ht="15" customHeight="1">
      <c r="B86" s="90"/>
      <c r="C86" s="27" t="s">
        <v>100</v>
      </c>
      <c r="D86" s="26">
        <v>4</v>
      </c>
      <c r="E86" s="25">
        <v>6.0114217012323412E-4</v>
      </c>
    </row>
    <row r="87" spans="2:5" ht="15" customHeight="1">
      <c r="B87" s="90"/>
      <c r="C87" s="27" t="s">
        <v>101</v>
      </c>
      <c r="D87" s="26">
        <v>2</v>
      </c>
      <c r="E87" s="25">
        <v>3.0057108506161706E-4</v>
      </c>
    </row>
    <row r="88" spans="2:5" ht="15" customHeight="1">
      <c r="B88" s="90"/>
      <c r="C88" s="27" t="s">
        <v>102</v>
      </c>
      <c r="D88" s="26">
        <v>3</v>
      </c>
      <c r="E88" s="25">
        <v>4.5085662759242559E-4</v>
      </c>
    </row>
    <row r="89" spans="2:5" ht="15" customHeight="1">
      <c r="B89" s="91"/>
      <c r="C89" s="24" t="s">
        <v>46</v>
      </c>
      <c r="D89" s="23">
        <v>45</v>
      </c>
      <c r="E89" s="22">
        <v>6.762849413886384E-3</v>
      </c>
    </row>
    <row r="90" spans="2:5" ht="15" customHeight="1">
      <c r="B90" s="89" t="s">
        <v>57</v>
      </c>
      <c r="C90" s="27" t="s">
        <v>0</v>
      </c>
      <c r="D90" s="26">
        <v>10</v>
      </c>
      <c r="E90" s="25">
        <v>1.5028554253080854E-3</v>
      </c>
    </row>
    <row r="91" spans="2:5" ht="15" customHeight="1">
      <c r="B91" s="90"/>
      <c r="C91" s="27" t="s">
        <v>99</v>
      </c>
      <c r="D91" s="26">
        <v>2</v>
      </c>
      <c r="E91" s="25">
        <v>3.0057108506161706E-4</v>
      </c>
    </row>
    <row r="92" spans="2:5" ht="15" customHeight="1">
      <c r="B92" s="90"/>
      <c r="C92" s="27" t="s">
        <v>101</v>
      </c>
      <c r="D92" s="26">
        <v>1</v>
      </c>
      <c r="E92" s="25">
        <v>1.5028554253080853E-4</v>
      </c>
    </row>
    <row r="93" spans="2:5" ht="15" customHeight="1">
      <c r="B93" s="90"/>
      <c r="C93" s="27" t="s">
        <v>102</v>
      </c>
      <c r="D93" s="26">
        <v>1</v>
      </c>
      <c r="E93" s="25">
        <v>1.5028554253080853E-4</v>
      </c>
    </row>
    <row r="94" spans="2:5" ht="15" customHeight="1">
      <c r="B94" s="90"/>
      <c r="C94" s="27" t="s">
        <v>97</v>
      </c>
      <c r="D94" s="26">
        <v>1</v>
      </c>
      <c r="E94" s="25">
        <v>1.5028554253080853E-4</v>
      </c>
    </row>
    <row r="95" spans="2:5" ht="15" customHeight="1">
      <c r="B95" s="91"/>
      <c r="C95" s="24" t="s">
        <v>46</v>
      </c>
      <c r="D95" s="23">
        <v>15</v>
      </c>
      <c r="E95" s="22">
        <v>2.254283137962128E-3</v>
      </c>
    </row>
    <row r="96" spans="2:5" ht="15" customHeight="1">
      <c r="B96" s="89" t="s">
        <v>70</v>
      </c>
      <c r="C96" s="27" t="s">
        <v>0</v>
      </c>
      <c r="D96" s="26">
        <v>18</v>
      </c>
      <c r="E96" s="25">
        <v>2.7051397655545538E-3</v>
      </c>
    </row>
    <row r="97" spans="2:5" ht="15" customHeight="1">
      <c r="B97" s="90"/>
      <c r="C97" s="27" t="s">
        <v>100</v>
      </c>
      <c r="D97" s="26">
        <v>1</v>
      </c>
      <c r="E97" s="25">
        <v>1.5028554253080853E-4</v>
      </c>
    </row>
    <row r="98" spans="2:5" ht="15" customHeight="1">
      <c r="B98" s="90"/>
      <c r="C98" s="27" t="s">
        <v>98</v>
      </c>
      <c r="D98" s="26">
        <v>1</v>
      </c>
      <c r="E98" s="25">
        <v>1.5028554253080853E-4</v>
      </c>
    </row>
    <row r="99" spans="2:5" ht="15" customHeight="1">
      <c r="B99" s="91"/>
      <c r="C99" s="24" t="s">
        <v>46</v>
      </c>
      <c r="D99" s="23">
        <v>20</v>
      </c>
      <c r="E99" s="22">
        <v>3.0057108506161708E-3</v>
      </c>
    </row>
    <row r="100" spans="2:5" ht="15" customHeight="1">
      <c r="B100" s="89" t="s">
        <v>86</v>
      </c>
      <c r="C100" s="27" t="s">
        <v>0</v>
      </c>
      <c r="D100" s="26">
        <v>74</v>
      </c>
      <c r="E100" s="25">
        <v>1.1121130147279832E-2</v>
      </c>
    </row>
    <row r="101" spans="2:5" ht="15" customHeight="1">
      <c r="B101" s="90"/>
      <c r="C101" s="27" t="s">
        <v>99</v>
      </c>
      <c r="D101" s="26">
        <v>2</v>
      </c>
      <c r="E101" s="25">
        <v>3.0057108506161706E-4</v>
      </c>
    </row>
    <row r="102" spans="2:5" ht="15" customHeight="1">
      <c r="B102" s="90"/>
      <c r="C102" s="27" t="s">
        <v>103</v>
      </c>
      <c r="D102" s="26">
        <v>7</v>
      </c>
      <c r="E102" s="25">
        <v>1.0519987977156598E-3</v>
      </c>
    </row>
    <row r="103" spans="2:5" ht="15" customHeight="1">
      <c r="B103" s="90"/>
      <c r="C103" s="27" t="s">
        <v>96</v>
      </c>
      <c r="D103" s="26">
        <v>2</v>
      </c>
      <c r="E103" s="25">
        <v>3.0057108506161706E-4</v>
      </c>
    </row>
    <row r="104" spans="2:5" ht="15" customHeight="1">
      <c r="B104" s="90"/>
      <c r="C104" s="27" t="s">
        <v>94</v>
      </c>
      <c r="D104" s="26">
        <v>1</v>
      </c>
      <c r="E104" s="25">
        <v>1.5028554253080853E-4</v>
      </c>
    </row>
    <row r="105" spans="2:5" ht="15" customHeight="1">
      <c r="B105" s="90"/>
      <c r="C105" s="27" t="s">
        <v>100</v>
      </c>
      <c r="D105" s="26">
        <v>7</v>
      </c>
      <c r="E105" s="25">
        <v>1.0519987977156598E-3</v>
      </c>
    </row>
    <row r="106" spans="2:5" ht="15" customHeight="1">
      <c r="B106" s="90"/>
      <c r="C106" s="27" t="s">
        <v>101</v>
      </c>
      <c r="D106" s="26">
        <v>6</v>
      </c>
      <c r="E106" s="25">
        <v>9.0171325518485117E-4</v>
      </c>
    </row>
    <row r="107" spans="2:5" ht="15" customHeight="1">
      <c r="B107" s="90"/>
      <c r="C107" s="27" t="s">
        <v>102</v>
      </c>
      <c r="D107" s="26">
        <v>7</v>
      </c>
      <c r="E107" s="25">
        <v>1.0519987977156598E-3</v>
      </c>
    </row>
    <row r="108" spans="2:5" ht="15" customHeight="1">
      <c r="B108" s="90"/>
      <c r="C108" s="27" t="s">
        <v>95</v>
      </c>
      <c r="D108" s="26">
        <v>5</v>
      </c>
      <c r="E108" s="25">
        <v>7.514277126540427E-4</v>
      </c>
    </row>
    <row r="109" spans="2:5" ht="15" customHeight="1">
      <c r="B109" s="90"/>
      <c r="C109" s="27" t="s">
        <v>98</v>
      </c>
      <c r="D109" s="26">
        <v>2</v>
      </c>
      <c r="E109" s="25">
        <v>3.0057108506161706E-4</v>
      </c>
    </row>
    <row r="110" spans="2:5" ht="15" customHeight="1">
      <c r="B110" s="91"/>
      <c r="C110" s="24" t="s">
        <v>46</v>
      </c>
      <c r="D110" s="23">
        <v>113</v>
      </c>
      <c r="E110" s="22">
        <v>1.6982266305981365E-2</v>
      </c>
    </row>
    <row r="111" spans="2:5" ht="15" customHeight="1">
      <c r="B111" s="89" t="s">
        <v>90</v>
      </c>
      <c r="C111" s="27" t="s">
        <v>0</v>
      </c>
      <c r="D111" s="26">
        <v>246</v>
      </c>
      <c r="E111" s="25">
        <v>3.6970243462578899E-2</v>
      </c>
    </row>
    <row r="112" spans="2:5" ht="15" customHeight="1">
      <c r="B112" s="90"/>
      <c r="C112" s="27" t="s">
        <v>99</v>
      </c>
      <c r="D112" s="26">
        <v>34</v>
      </c>
      <c r="E112" s="25">
        <v>5.1097084460474899E-3</v>
      </c>
    </row>
    <row r="113" spans="2:5" ht="15" customHeight="1">
      <c r="B113" s="90"/>
      <c r="C113" s="27" t="s">
        <v>103</v>
      </c>
      <c r="D113" s="26">
        <v>12</v>
      </c>
      <c r="E113" s="25">
        <v>1.8034265103697023E-3</v>
      </c>
    </row>
    <row r="114" spans="2:5" ht="15" customHeight="1">
      <c r="B114" s="90"/>
      <c r="C114" s="27" t="s">
        <v>96</v>
      </c>
      <c r="D114" s="26">
        <v>1</v>
      </c>
      <c r="E114" s="25">
        <v>1.5028554253080853E-4</v>
      </c>
    </row>
    <row r="115" spans="2:5" ht="15" customHeight="1">
      <c r="B115" s="90"/>
      <c r="C115" s="27" t="s">
        <v>100</v>
      </c>
      <c r="D115" s="26">
        <v>23</v>
      </c>
      <c r="E115" s="25">
        <v>3.4565674782085962E-3</v>
      </c>
    </row>
    <row r="116" spans="2:5" ht="15" customHeight="1">
      <c r="B116" s="90"/>
      <c r="C116" s="27" t="s">
        <v>101</v>
      </c>
      <c r="D116" s="26">
        <v>51</v>
      </c>
      <c r="E116" s="25">
        <v>7.6645626690712357E-3</v>
      </c>
    </row>
    <row r="117" spans="2:5" ht="15" customHeight="1">
      <c r="B117" s="90"/>
      <c r="C117" s="27" t="s">
        <v>102</v>
      </c>
      <c r="D117" s="26">
        <v>40</v>
      </c>
      <c r="E117" s="25">
        <v>6.0114217012323416E-3</v>
      </c>
    </row>
    <row r="118" spans="2:5" ht="15" customHeight="1">
      <c r="B118" s="90"/>
      <c r="C118" s="27" t="s">
        <v>95</v>
      </c>
      <c r="D118" s="26">
        <v>27</v>
      </c>
      <c r="E118" s="25">
        <v>4.0577096483318306E-3</v>
      </c>
    </row>
    <row r="119" spans="2:5" ht="15" customHeight="1">
      <c r="B119" s="90"/>
      <c r="C119" s="27" t="s">
        <v>98</v>
      </c>
      <c r="D119" s="26">
        <v>4</v>
      </c>
      <c r="E119" s="25">
        <v>6.0114217012323412E-4</v>
      </c>
    </row>
    <row r="120" spans="2:5" ht="15" customHeight="1">
      <c r="B120" s="91"/>
      <c r="C120" s="24" t="s">
        <v>46</v>
      </c>
      <c r="D120" s="23">
        <v>438</v>
      </c>
      <c r="E120" s="22">
        <v>6.5825067628494133E-2</v>
      </c>
    </row>
    <row r="121" spans="2:5" ht="15" customHeight="1">
      <c r="B121" s="89" t="s">
        <v>74</v>
      </c>
      <c r="C121" s="27" t="s">
        <v>0</v>
      </c>
      <c r="D121" s="26">
        <v>69</v>
      </c>
      <c r="E121" s="25">
        <v>1.0369702434625788E-2</v>
      </c>
    </row>
    <row r="122" spans="2:5" ht="15" customHeight="1">
      <c r="B122" s="90"/>
      <c r="C122" s="27" t="s">
        <v>99</v>
      </c>
      <c r="D122" s="26">
        <v>1</v>
      </c>
      <c r="E122" s="25">
        <v>1.5028554253080853E-4</v>
      </c>
    </row>
    <row r="123" spans="2:5" ht="15" customHeight="1">
      <c r="B123" s="90"/>
      <c r="C123" s="27" t="s">
        <v>103</v>
      </c>
      <c r="D123" s="26">
        <v>1</v>
      </c>
      <c r="E123" s="25">
        <v>1.5028554253080853E-4</v>
      </c>
    </row>
    <row r="124" spans="2:5" ht="15" customHeight="1">
      <c r="B124" s="90"/>
      <c r="C124" s="27" t="s">
        <v>96</v>
      </c>
      <c r="D124" s="26">
        <v>1</v>
      </c>
      <c r="E124" s="25">
        <v>1.5028554253080853E-4</v>
      </c>
    </row>
    <row r="125" spans="2:5" ht="15" customHeight="1">
      <c r="B125" s="90"/>
      <c r="C125" s="27" t="s">
        <v>94</v>
      </c>
      <c r="D125" s="26">
        <v>1</v>
      </c>
      <c r="E125" s="25">
        <v>1.5028554253080853E-4</v>
      </c>
    </row>
    <row r="126" spans="2:5" ht="15" customHeight="1">
      <c r="B126" s="90"/>
      <c r="C126" s="27" t="s">
        <v>100</v>
      </c>
      <c r="D126" s="26">
        <v>11</v>
      </c>
      <c r="E126" s="25">
        <v>1.6531409678388939E-3</v>
      </c>
    </row>
    <row r="127" spans="2:5" ht="15" customHeight="1">
      <c r="B127" s="90"/>
      <c r="C127" s="27" t="s">
        <v>101</v>
      </c>
      <c r="D127" s="26">
        <v>14</v>
      </c>
      <c r="E127" s="25">
        <v>2.1039975954313195E-3</v>
      </c>
    </row>
    <row r="128" spans="2:5" ht="15" customHeight="1">
      <c r="B128" s="90"/>
      <c r="C128" s="27" t="s">
        <v>102</v>
      </c>
      <c r="D128" s="26">
        <v>14</v>
      </c>
      <c r="E128" s="25">
        <v>2.1039975954313195E-3</v>
      </c>
    </row>
    <row r="129" spans="2:5" ht="15" customHeight="1">
      <c r="B129" s="90"/>
      <c r="C129" s="27" t="s">
        <v>97</v>
      </c>
      <c r="D129" s="26">
        <v>19</v>
      </c>
      <c r="E129" s="25">
        <v>2.8554253080853623E-3</v>
      </c>
    </row>
    <row r="130" spans="2:5" ht="15" customHeight="1">
      <c r="B130" s="91"/>
      <c r="C130" s="24" t="s">
        <v>46</v>
      </c>
      <c r="D130" s="23">
        <v>131</v>
      </c>
      <c r="E130" s="22">
        <v>1.9687406071535917E-2</v>
      </c>
    </row>
    <row r="131" spans="2:5" ht="15" customHeight="1">
      <c r="B131" s="89" t="s">
        <v>69</v>
      </c>
      <c r="C131" s="27" t="s">
        <v>0</v>
      </c>
      <c r="D131" s="26">
        <v>56</v>
      </c>
      <c r="E131" s="25">
        <v>8.4159903817252781E-3</v>
      </c>
    </row>
    <row r="132" spans="2:5" ht="15" customHeight="1">
      <c r="B132" s="90"/>
      <c r="C132" s="27" t="s">
        <v>99</v>
      </c>
      <c r="D132" s="26">
        <v>3</v>
      </c>
      <c r="E132" s="25">
        <v>4.5085662759242559E-4</v>
      </c>
    </row>
    <row r="133" spans="2:5" ht="15" customHeight="1">
      <c r="B133" s="90"/>
      <c r="C133" s="27" t="s">
        <v>103</v>
      </c>
      <c r="D133" s="26">
        <v>18</v>
      </c>
      <c r="E133" s="25">
        <v>2.7051397655545538E-3</v>
      </c>
    </row>
    <row r="134" spans="2:5" ht="15" customHeight="1">
      <c r="B134" s="90"/>
      <c r="C134" s="27" t="s">
        <v>96</v>
      </c>
      <c r="D134" s="26">
        <v>1</v>
      </c>
      <c r="E134" s="25">
        <v>1.5028554253080853E-4</v>
      </c>
    </row>
    <row r="135" spans="2:5" ht="15" customHeight="1">
      <c r="B135" s="90"/>
      <c r="C135" s="27" t="s">
        <v>100</v>
      </c>
      <c r="D135" s="26">
        <v>3</v>
      </c>
      <c r="E135" s="25">
        <v>4.5085662759242559E-4</v>
      </c>
    </row>
    <row r="136" spans="2:5" ht="15" customHeight="1">
      <c r="B136" s="90"/>
      <c r="C136" s="27" t="s">
        <v>101</v>
      </c>
      <c r="D136" s="26">
        <v>8</v>
      </c>
      <c r="E136" s="25">
        <v>1.2022843402464682E-3</v>
      </c>
    </row>
    <row r="137" spans="2:5" ht="15" customHeight="1">
      <c r="B137" s="90"/>
      <c r="C137" s="27" t="s">
        <v>102</v>
      </c>
      <c r="D137" s="26">
        <v>10</v>
      </c>
      <c r="E137" s="25">
        <v>1.5028554253080854E-3</v>
      </c>
    </row>
    <row r="138" spans="2:5" ht="15" customHeight="1">
      <c r="B138" s="90"/>
      <c r="C138" s="27" t="s">
        <v>97</v>
      </c>
      <c r="D138" s="26">
        <v>2</v>
      </c>
      <c r="E138" s="25">
        <v>3.0057108506161706E-4</v>
      </c>
    </row>
    <row r="139" spans="2:5" ht="15" customHeight="1">
      <c r="B139" s="90"/>
      <c r="C139" s="27" t="s">
        <v>98</v>
      </c>
      <c r="D139" s="26">
        <v>1</v>
      </c>
      <c r="E139" s="25">
        <v>1.5028554253080853E-4</v>
      </c>
    </row>
    <row r="140" spans="2:5" ht="15" customHeight="1">
      <c r="B140" s="91"/>
      <c r="C140" s="24" t="s">
        <v>46</v>
      </c>
      <c r="D140" s="23">
        <v>102</v>
      </c>
      <c r="E140" s="22">
        <v>1.5329125338142471E-2</v>
      </c>
    </row>
    <row r="141" spans="2:5" ht="15" customHeight="1">
      <c r="B141" s="89" t="s">
        <v>53</v>
      </c>
      <c r="C141" s="27" t="s">
        <v>0</v>
      </c>
      <c r="D141" s="26">
        <v>8</v>
      </c>
      <c r="E141" s="25">
        <v>1.2022843402464682E-3</v>
      </c>
    </row>
    <row r="142" spans="2:5" ht="15" customHeight="1">
      <c r="B142" s="91"/>
      <c r="C142" s="24" t="s">
        <v>46</v>
      </c>
      <c r="D142" s="23">
        <v>8</v>
      </c>
      <c r="E142" s="22">
        <v>1.2022843402464682E-3</v>
      </c>
    </row>
    <row r="143" spans="2:5" ht="15" customHeight="1">
      <c r="B143" s="89" t="s">
        <v>76</v>
      </c>
      <c r="C143" s="27" t="s">
        <v>0</v>
      </c>
      <c r="D143" s="26">
        <v>79</v>
      </c>
      <c r="E143" s="25">
        <v>1.1872557859933875E-2</v>
      </c>
    </row>
    <row r="144" spans="2:5" ht="15" customHeight="1">
      <c r="B144" s="90"/>
      <c r="C144" s="27" t="s">
        <v>103</v>
      </c>
      <c r="D144" s="26">
        <v>12</v>
      </c>
      <c r="E144" s="25">
        <v>1.8034265103697023E-3</v>
      </c>
    </row>
    <row r="145" spans="2:5" ht="15" customHeight="1">
      <c r="B145" s="90"/>
      <c r="C145" s="27" t="s">
        <v>96</v>
      </c>
      <c r="D145" s="26">
        <v>23</v>
      </c>
      <c r="E145" s="25">
        <v>3.4565674782085962E-3</v>
      </c>
    </row>
    <row r="146" spans="2:5" ht="15" customHeight="1">
      <c r="B146" s="90"/>
      <c r="C146" s="27" t="s">
        <v>100</v>
      </c>
      <c r="D146" s="26">
        <v>4</v>
      </c>
      <c r="E146" s="25">
        <v>6.0114217012323412E-4</v>
      </c>
    </row>
    <row r="147" spans="2:5" ht="15" customHeight="1">
      <c r="B147" s="90"/>
      <c r="C147" s="27" t="s">
        <v>101</v>
      </c>
      <c r="D147" s="26">
        <v>10</v>
      </c>
      <c r="E147" s="25">
        <v>1.5028554253080854E-3</v>
      </c>
    </row>
    <row r="148" spans="2:5" ht="15" customHeight="1">
      <c r="B148" s="90"/>
      <c r="C148" s="27" t="s">
        <v>102</v>
      </c>
      <c r="D148" s="26">
        <v>25</v>
      </c>
      <c r="E148" s="25">
        <v>3.7571385632702136E-3</v>
      </c>
    </row>
    <row r="149" spans="2:5" ht="15" customHeight="1">
      <c r="B149" s="90"/>
      <c r="C149" s="27" t="s">
        <v>97</v>
      </c>
      <c r="D149" s="26">
        <v>1</v>
      </c>
      <c r="E149" s="25">
        <v>1.5028554253080853E-4</v>
      </c>
    </row>
    <row r="150" spans="2:5" ht="15" customHeight="1">
      <c r="B150" s="90"/>
      <c r="C150" s="27" t="s">
        <v>95</v>
      </c>
      <c r="D150" s="26">
        <v>2</v>
      </c>
      <c r="E150" s="25">
        <v>3.0057108506161706E-4</v>
      </c>
    </row>
    <row r="151" spans="2:5" ht="15" customHeight="1">
      <c r="B151" s="90"/>
      <c r="C151" s="27" t="s">
        <v>98</v>
      </c>
      <c r="D151" s="26">
        <v>1</v>
      </c>
      <c r="E151" s="25">
        <v>1.5028554253080853E-4</v>
      </c>
    </row>
    <row r="152" spans="2:5" ht="15" customHeight="1">
      <c r="B152" s="91"/>
      <c r="C152" s="24" t="s">
        <v>46</v>
      </c>
      <c r="D152" s="23">
        <v>157</v>
      </c>
      <c r="E152" s="22">
        <v>2.3594830177336941E-2</v>
      </c>
    </row>
    <row r="153" spans="2:5" ht="15" customHeight="1">
      <c r="B153" s="89" t="s">
        <v>80</v>
      </c>
      <c r="C153" s="27" t="s">
        <v>0</v>
      </c>
      <c r="D153" s="26">
        <v>164</v>
      </c>
      <c r="E153" s="25">
        <v>2.46468289750526E-2</v>
      </c>
    </row>
    <row r="154" spans="2:5" ht="15" customHeight="1">
      <c r="B154" s="90"/>
      <c r="C154" s="27" t="s">
        <v>99</v>
      </c>
      <c r="D154" s="26">
        <v>16</v>
      </c>
      <c r="E154" s="25">
        <v>2.4045686804929365E-3</v>
      </c>
    </row>
    <row r="155" spans="2:5" ht="15" customHeight="1">
      <c r="B155" s="90"/>
      <c r="C155" s="27" t="s">
        <v>103</v>
      </c>
      <c r="D155" s="26">
        <v>169</v>
      </c>
      <c r="E155" s="25">
        <v>2.5398256687706643E-2</v>
      </c>
    </row>
    <row r="156" spans="2:5" ht="15" customHeight="1">
      <c r="B156" s="90"/>
      <c r="C156" s="27" t="s">
        <v>96</v>
      </c>
      <c r="D156" s="26">
        <v>1</v>
      </c>
      <c r="E156" s="25">
        <v>1.5028554253080853E-4</v>
      </c>
    </row>
    <row r="157" spans="2:5" ht="15" customHeight="1">
      <c r="B157" s="90"/>
      <c r="C157" s="27" t="s">
        <v>94</v>
      </c>
      <c r="D157" s="26">
        <v>6</v>
      </c>
      <c r="E157" s="25">
        <v>9.0171325518485117E-4</v>
      </c>
    </row>
    <row r="158" spans="2:5" ht="15" customHeight="1">
      <c r="B158" s="90"/>
      <c r="C158" s="27" t="s">
        <v>100</v>
      </c>
      <c r="D158" s="26">
        <v>12</v>
      </c>
      <c r="E158" s="25">
        <v>1.8034265103697023E-3</v>
      </c>
    </row>
    <row r="159" spans="2:5" ht="15" customHeight="1">
      <c r="B159" s="90"/>
      <c r="C159" s="27" t="s">
        <v>101</v>
      </c>
      <c r="D159" s="26">
        <v>42</v>
      </c>
      <c r="E159" s="25">
        <v>6.3119927862939585E-3</v>
      </c>
    </row>
    <row r="160" spans="2:5" ht="15" customHeight="1">
      <c r="B160" s="90"/>
      <c r="C160" s="27" t="s">
        <v>102</v>
      </c>
      <c r="D160" s="26">
        <v>135</v>
      </c>
      <c r="E160" s="25">
        <v>2.0288548241659151E-2</v>
      </c>
    </row>
    <row r="161" spans="2:5" ht="15" customHeight="1">
      <c r="B161" s="90"/>
      <c r="C161" s="27" t="s">
        <v>97</v>
      </c>
      <c r="D161" s="26">
        <v>4</v>
      </c>
      <c r="E161" s="25">
        <v>6.0114217012323412E-4</v>
      </c>
    </row>
    <row r="162" spans="2:5" ht="15" customHeight="1">
      <c r="B162" s="90"/>
      <c r="C162" s="27" t="s">
        <v>95</v>
      </c>
      <c r="D162" s="26">
        <v>4</v>
      </c>
      <c r="E162" s="25">
        <v>6.0114217012323412E-4</v>
      </c>
    </row>
    <row r="163" spans="2:5" ht="15" customHeight="1">
      <c r="B163" s="90"/>
      <c r="C163" s="27" t="s">
        <v>98</v>
      </c>
      <c r="D163" s="26">
        <v>8</v>
      </c>
      <c r="E163" s="25">
        <v>1.2022843402464682E-3</v>
      </c>
    </row>
    <row r="164" spans="2:5" ht="15" customHeight="1">
      <c r="B164" s="91"/>
      <c r="C164" s="24" t="s">
        <v>46</v>
      </c>
      <c r="D164" s="23">
        <v>561</v>
      </c>
      <c r="E164" s="22">
        <v>8.4310189359783586E-2</v>
      </c>
    </row>
    <row r="165" spans="2:5" ht="15" customHeight="1">
      <c r="B165" s="89" t="s">
        <v>92</v>
      </c>
      <c r="C165" s="27" t="s">
        <v>0</v>
      </c>
      <c r="D165" s="26">
        <v>318</v>
      </c>
      <c r="E165" s="25">
        <v>4.7790802524797116E-2</v>
      </c>
    </row>
    <row r="166" spans="2:5" ht="15" customHeight="1">
      <c r="B166" s="90"/>
      <c r="C166" s="27" t="s">
        <v>99</v>
      </c>
      <c r="D166" s="26">
        <v>17</v>
      </c>
      <c r="E166" s="25">
        <v>2.5548542230237449E-3</v>
      </c>
    </row>
    <row r="167" spans="2:5" ht="15" customHeight="1">
      <c r="B167" s="90"/>
      <c r="C167" s="27" t="s">
        <v>103</v>
      </c>
      <c r="D167" s="26">
        <v>44</v>
      </c>
      <c r="E167" s="25">
        <v>6.6125638713555755E-3</v>
      </c>
    </row>
    <row r="168" spans="2:5" ht="15" customHeight="1">
      <c r="B168" s="90"/>
      <c r="C168" s="27" t="s">
        <v>94</v>
      </c>
      <c r="D168" s="26">
        <v>2</v>
      </c>
      <c r="E168" s="25">
        <v>3.0057108506161706E-4</v>
      </c>
    </row>
    <row r="169" spans="2:5" ht="15" customHeight="1">
      <c r="B169" s="90"/>
      <c r="C169" s="27" t="s">
        <v>100</v>
      </c>
      <c r="D169" s="26">
        <v>40</v>
      </c>
      <c r="E169" s="25">
        <v>6.0114217012323416E-3</v>
      </c>
    </row>
    <row r="170" spans="2:5" ht="15" customHeight="1">
      <c r="B170" s="90"/>
      <c r="C170" s="27" t="s">
        <v>101</v>
      </c>
      <c r="D170" s="26">
        <v>34</v>
      </c>
      <c r="E170" s="25">
        <v>5.1097084460474899E-3</v>
      </c>
    </row>
    <row r="171" spans="2:5" ht="15" customHeight="1">
      <c r="B171" s="90"/>
      <c r="C171" s="27" t="s">
        <v>102</v>
      </c>
      <c r="D171" s="26">
        <v>36</v>
      </c>
      <c r="E171" s="25">
        <v>5.4102795311091077E-3</v>
      </c>
    </row>
    <row r="172" spans="2:5" ht="15" customHeight="1">
      <c r="B172" s="90"/>
      <c r="C172" s="27" t="s">
        <v>97</v>
      </c>
      <c r="D172" s="26">
        <v>3</v>
      </c>
      <c r="E172" s="25">
        <v>4.5085662759242559E-4</v>
      </c>
    </row>
    <row r="173" spans="2:5" ht="15" customHeight="1">
      <c r="B173" s="90"/>
      <c r="C173" s="27" t="s">
        <v>95</v>
      </c>
      <c r="D173" s="26">
        <v>22</v>
      </c>
      <c r="E173" s="25">
        <v>3.3062819356777877E-3</v>
      </c>
    </row>
    <row r="174" spans="2:5" ht="15" customHeight="1">
      <c r="B174" s="90"/>
      <c r="C174" s="27" t="s">
        <v>98</v>
      </c>
      <c r="D174" s="26">
        <v>22</v>
      </c>
      <c r="E174" s="25">
        <v>3.3062819356777877E-3</v>
      </c>
    </row>
    <row r="175" spans="2:5" ht="15" customHeight="1">
      <c r="B175" s="91"/>
      <c r="C175" s="24" t="s">
        <v>46</v>
      </c>
      <c r="D175" s="23">
        <v>538</v>
      </c>
      <c r="E175" s="22">
        <v>8.0853621881574994E-2</v>
      </c>
    </row>
    <row r="176" spans="2:5" ht="15" customHeight="1">
      <c r="B176" s="89" t="s">
        <v>71</v>
      </c>
      <c r="C176" s="27" t="s">
        <v>0</v>
      </c>
      <c r="D176" s="26">
        <v>31</v>
      </c>
      <c r="E176" s="25">
        <v>4.6588518184550645E-3</v>
      </c>
    </row>
    <row r="177" spans="2:5" ht="15" customHeight="1">
      <c r="B177" s="90"/>
      <c r="C177" s="27" t="s">
        <v>99</v>
      </c>
      <c r="D177" s="26">
        <v>3</v>
      </c>
      <c r="E177" s="25">
        <v>4.5085662759242559E-4</v>
      </c>
    </row>
    <row r="178" spans="2:5" ht="15" customHeight="1">
      <c r="B178" s="90"/>
      <c r="C178" s="27" t="s">
        <v>103</v>
      </c>
      <c r="D178" s="26">
        <v>2</v>
      </c>
      <c r="E178" s="25">
        <v>3.0057108506161706E-4</v>
      </c>
    </row>
    <row r="179" spans="2:5" ht="15" customHeight="1">
      <c r="B179" s="90"/>
      <c r="C179" s="27" t="s">
        <v>94</v>
      </c>
      <c r="D179" s="26">
        <v>1</v>
      </c>
      <c r="E179" s="25">
        <v>1.5028554253080853E-4</v>
      </c>
    </row>
    <row r="180" spans="2:5" ht="15" customHeight="1">
      <c r="B180" s="90"/>
      <c r="C180" s="27" t="s">
        <v>101</v>
      </c>
      <c r="D180" s="26">
        <v>1</v>
      </c>
      <c r="E180" s="25">
        <v>1.5028554253080853E-4</v>
      </c>
    </row>
    <row r="181" spans="2:5" ht="15" customHeight="1">
      <c r="B181" s="90"/>
      <c r="C181" s="27" t="s">
        <v>102</v>
      </c>
      <c r="D181" s="26">
        <v>2</v>
      </c>
      <c r="E181" s="25">
        <v>3.0057108506161706E-4</v>
      </c>
    </row>
    <row r="182" spans="2:5" ht="15" customHeight="1">
      <c r="B182" s="91"/>
      <c r="C182" s="24" t="s">
        <v>46</v>
      </c>
      <c r="D182" s="23">
        <v>40</v>
      </c>
      <c r="E182" s="22">
        <v>6.0114217012323416E-3</v>
      </c>
    </row>
    <row r="183" spans="2:5" ht="15" customHeight="1">
      <c r="B183" s="89" t="s">
        <v>66</v>
      </c>
      <c r="C183" s="27" t="s">
        <v>0</v>
      </c>
      <c r="D183" s="26">
        <v>44</v>
      </c>
      <c r="E183" s="25">
        <v>6.6125638713555755E-3</v>
      </c>
    </row>
    <row r="184" spans="2:5" ht="15" customHeight="1">
      <c r="B184" s="90"/>
      <c r="C184" s="27" t="s">
        <v>99</v>
      </c>
      <c r="D184" s="26">
        <v>3</v>
      </c>
      <c r="E184" s="25">
        <v>4.5085662759242559E-4</v>
      </c>
    </row>
    <row r="185" spans="2:5" ht="15" customHeight="1">
      <c r="B185" s="90"/>
      <c r="C185" s="27" t="s">
        <v>103</v>
      </c>
      <c r="D185" s="26">
        <v>4</v>
      </c>
      <c r="E185" s="25">
        <v>6.0114217012323412E-4</v>
      </c>
    </row>
    <row r="186" spans="2:5" ht="15" customHeight="1">
      <c r="B186" s="90"/>
      <c r="C186" s="27" t="s">
        <v>96</v>
      </c>
      <c r="D186" s="26">
        <v>1</v>
      </c>
      <c r="E186" s="25">
        <v>1.5028554253080853E-4</v>
      </c>
    </row>
    <row r="187" spans="2:5" ht="15" customHeight="1">
      <c r="B187" s="90"/>
      <c r="C187" s="27" t="s">
        <v>94</v>
      </c>
      <c r="D187" s="26">
        <v>1</v>
      </c>
      <c r="E187" s="25">
        <v>1.5028554253080853E-4</v>
      </c>
    </row>
    <row r="188" spans="2:5" ht="15" customHeight="1">
      <c r="B188" s="90"/>
      <c r="C188" s="27" t="s">
        <v>100</v>
      </c>
      <c r="D188" s="26">
        <v>4</v>
      </c>
      <c r="E188" s="25">
        <v>6.0114217012323412E-4</v>
      </c>
    </row>
    <row r="189" spans="2:5" ht="15" customHeight="1">
      <c r="B189" s="90"/>
      <c r="C189" s="27" t="s">
        <v>101</v>
      </c>
      <c r="D189" s="26">
        <v>6</v>
      </c>
      <c r="E189" s="25">
        <v>9.0171325518485117E-4</v>
      </c>
    </row>
    <row r="190" spans="2:5" ht="15" customHeight="1">
      <c r="B190" s="90"/>
      <c r="C190" s="27" t="s">
        <v>102</v>
      </c>
      <c r="D190" s="26">
        <v>4</v>
      </c>
      <c r="E190" s="25">
        <v>6.0114217012323412E-4</v>
      </c>
    </row>
    <row r="191" spans="2:5" ht="15" customHeight="1">
      <c r="B191" s="90"/>
      <c r="C191" s="27" t="s">
        <v>98</v>
      </c>
      <c r="D191" s="26">
        <v>1</v>
      </c>
      <c r="E191" s="25">
        <v>1.5028554253080853E-4</v>
      </c>
    </row>
    <row r="192" spans="2:5" ht="15" customHeight="1">
      <c r="B192" s="91"/>
      <c r="C192" s="24" t="s">
        <v>46</v>
      </c>
      <c r="D192" s="23">
        <v>68</v>
      </c>
      <c r="E192" s="22">
        <v>1.021941689209498E-2</v>
      </c>
    </row>
    <row r="193" spans="2:5" ht="15" customHeight="1">
      <c r="B193" s="89" t="s">
        <v>65</v>
      </c>
      <c r="C193" s="27" t="s">
        <v>0</v>
      </c>
      <c r="D193" s="26">
        <v>35</v>
      </c>
      <c r="E193" s="25">
        <v>5.2599939885782983E-3</v>
      </c>
    </row>
    <row r="194" spans="2:5" ht="15" customHeight="1">
      <c r="B194" s="90"/>
      <c r="C194" s="27" t="s">
        <v>103</v>
      </c>
      <c r="D194" s="26">
        <v>2</v>
      </c>
      <c r="E194" s="25">
        <v>3.0057108506161706E-4</v>
      </c>
    </row>
    <row r="195" spans="2:5" ht="15" customHeight="1">
      <c r="B195" s="90"/>
      <c r="C195" s="27" t="s">
        <v>100</v>
      </c>
      <c r="D195" s="26">
        <v>1</v>
      </c>
      <c r="E195" s="25">
        <v>1.5028554253080853E-4</v>
      </c>
    </row>
    <row r="196" spans="2:5" ht="15" customHeight="1">
      <c r="B196" s="90"/>
      <c r="C196" s="27" t="s">
        <v>102</v>
      </c>
      <c r="D196" s="26">
        <v>2</v>
      </c>
      <c r="E196" s="25">
        <v>3.0057108506161706E-4</v>
      </c>
    </row>
    <row r="197" spans="2:5" ht="15" customHeight="1">
      <c r="B197" s="90"/>
      <c r="C197" s="27" t="s">
        <v>95</v>
      </c>
      <c r="D197" s="26">
        <v>1</v>
      </c>
      <c r="E197" s="25">
        <v>1.5028554253080853E-4</v>
      </c>
    </row>
    <row r="198" spans="2:5" ht="15" customHeight="1">
      <c r="B198" s="91"/>
      <c r="C198" s="24" t="s">
        <v>46</v>
      </c>
      <c r="D198" s="23">
        <v>41</v>
      </c>
      <c r="E198" s="22">
        <v>6.1617072437631501E-3</v>
      </c>
    </row>
    <row r="199" spans="2:5" ht="15" customHeight="1">
      <c r="B199" s="89" t="s">
        <v>58</v>
      </c>
      <c r="C199" s="27" t="s">
        <v>0</v>
      </c>
      <c r="D199" s="26">
        <v>12</v>
      </c>
      <c r="E199" s="25">
        <v>1.8034265103697023E-3</v>
      </c>
    </row>
    <row r="200" spans="2:5" ht="15" customHeight="1">
      <c r="B200" s="90"/>
      <c r="C200" s="27" t="s">
        <v>99</v>
      </c>
      <c r="D200" s="26">
        <v>1</v>
      </c>
      <c r="E200" s="25">
        <v>1.5028554253080853E-4</v>
      </c>
    </row>
    <row r="201" spans="2:5" ht="15" customHeight="1">
      <c r="B201" s="90"/>
      <c r="C201" s="27" t="s">
        <v>103</v>
      </c>
      <c r="D201" s="26">
        <v>6</v>
      </c>
      <c r="E201" s="25">
        <v>9.0171325518485117E-4</v>
      </c>
    </row>
    <row r="202" spans="2:5" ht="15" customHeight="1">
      <c r="B202" s="90"/>
      <c r="C202" s="27" t="s">
        <v>94</v>
      </c>
      <c r="D202" s="26">
        <v>1</v>
      </c>
      <c r="E202" s="25">
        <v>1.5028554253080853E-4</v>
      </c>
    </row>
    <row r="203" spans="2:5" ht="15" customHeight="1">
      <c r="B203" s="90"/>
      <c r="C203" s="27" t="s">
        <v>101</v>
      </c>
      <c r="D203" s="26">
        <v>2</v>
      </c>
      <c r="E203" s="25">
        <v>3.0057108506161706E-4</v>
      </c>
    </row>
    <row r="204" spans="2:5" ht="15" customHeight="1">
      <c r="B204" s="90"/>
      <c r="C204" s="27" t="s">
        <v>102</v>
      </c>
      <c r="D204" s="26">
        <v>3</v>
      </c>
      <c r="E204" s="25">
        <v>4.5085662759242559E-4</v>
      </c>
    </row>
    <row r="205" spans="2:5" ht="15" customHeight="1">
      <c r="B205" s="90"/>
      <c r="C205" s="27" t="s">
        <v>95</v>
      </c>
      <c r="D205" s="26">
        <v>1</v>
      </c>
      <c r="E205" s="25">
        <v>1.5028554253080853E-4</v>
      </c>
    </row>
    <row r="206" spans="2:5" ht="15" customHeight="1">
      <c r="B206" s="91"/>
      <c r="C206" s="24" t="s">
        <v>46</v>
      </c>
      <c r="D206" s="23">
        <v>26</v>
      </c>
      <c r="E206" s="22">
        <v>3.9074241058010221E-3</v>
      </c>
    </row>
    <row r="207" spans="2:5" ht="15" customHeight="1">
      <c r="B207" s="89" t="s">
        <v>87</v>
      </c>
      <c r="C207" s="27" t="s">
        <v>0</v>
      </c>
      <c r="D207" s="26">
        <v>32</v>
      </c>
      <c r="E207" s="25">
        <v>4.8091373609858729E-3</v>
      </c>
    </row>
    <row r="208" spans="2:5" ht="15" customHeight="1">
      <c r="B208" s="90"/>
      <c r="C208" s="27" t="s">
        <v>99</v>
      </c>
      <c r="D208" s="26">
        <v>3</v>
      </c>
      <c r="E208" s="25">
        <v>4.5085662759242559E-4</v>
      </c>
    </row>
    <row r="209" spans="2:5" ht="15" customHeight="1">
      <c r="B209" s="90"/>
      <c r="C209" s="27" t="s">
        <v>103</v>
      </c>
      <c r="D209" s="26">
        <v>1</v>
      </c>
      <c r="E209" s="25">
        <v>1.5028554253080853E-4</v>
      </c>
    </row>
    <row r="210" spans="2:5" ht="15" customHeight="1">
      <c r="B210" s="90"/>
      <c r="C210" s="27" t="s">
        <v>100</v>
      </c>
      <c r="D210" s="26">
        <v>1</v>
      </c>
      <c r="E210" s="25">
        <v>1.5028554253080853E-4</v>
      </c>
    </row>
    <row r="211" spans="2:5" ht="15" customHeight="1">
      <c r="B211" s="90"/>
      <c r="C211" s="27" t="s">
        <v>102</v>
      </c>
      <c r="D211" s="26">
        <v>2</v>
      </c>
      <c r="E211" s="25">
        <v>3.0057108506161706E-4</v>
      </c>
    </row>
    <row r="212" spans="2:5" ht="15" customHeight="1">
      <c r="B212" s="91"/>
      <c r="C212" s="24" t="s">
        <v>46</v>
      </c>
      <c r="D212" s="23">
        <v>39</v>
      </c>
      <c r="E212" s="22">
        <v>5.8611361587015331E-3</v>
      </c>
    </row>
    <row r="213" spans="2:5" ht="15" customHeight="1">
      <c r="B213" s="89" t="s">
        <v>60</v>
      </c>
      <c r="C213" s="27" t="s">
        <v>0</v>
      </c>
      <c r="D213" s="26">
        <v>73</v>
      </c>
      <c r="E213" s="25">
        <v>1.0970844604749024E-2</v>
      </c>
    </row>
    <row r="214" spans="2:5" ht="15" customHeight="1">
      <c r="B214" s="90"/>
      <c r="C214" s="27" t="s">
        <v>99</v>
      </c>
      <c r="D214" s="26">
        <v>3</v>
      </c>
      <c r="E214" s="25">
        <v>4.5085662759242559E-4</v>
      </c>
    </row>
    <row r="215" spans="2:5" ht="15" customHeight="1">
      <c r="B215" s="90"/>
      <c r="C215" s="27" t="s">
        <v>103</v>
      </c>
      <c r="D215" s="26">
        <v>2</v>
      </c>
      <c r="E215" s="25">
        <v>3.0057108506161706E-4</v>
      </c>
    </row>
    <row r="216" spans="2:5" ht="15" customHeight="1">
      <c r="B216" s="90"/>
      <c r="C216" s="27" t="s">
        <v>100</v>
      </c>
      <c r="D216" s="26">
        <v>5</v>
      </c>
      <c r="E216" s="25">
        <v>7.514277126540427E-4</v>
      </c>
    </row>
    <row r="217" spans="2:5" ht="15" customHeight="1">
      <c r="B217" s="90"/>
      <c r="C217" s="27" t="s">
        <v>101</v>
      </c>
      <c r="D217" s="26">
        <v>13</v>
      </c>
      <c r="E217" s="25">
        <v>1.953712052900511E-3</v>
      </c>
    </row>
    <row r="218" spans="2:5" ht="15" customHeight="1">
      <c r="B218" s="90"/>
      <c r="C218" s="27" t="s">
        <v>102</v>
      </c>
      <c r="D218" s="26">
        <v>46</v>
      </c>
      <c r="E218" s="25">
        <v>6.9131349564171924E-3</v>
      </c>
    </row>
    <row r="219" spans="2:5" ht="15" customHeight="1">
      <c r="B219" s="90"/>
      <c r="C219" s="27" t="s">
        <v>97</v>
      </c>
      <c r="D219" s="26">
        <v>4</v>
      </c>
      <c r="E219" s="25">
        <v>6.0114217012323412E-4</v>
      </c>
    </row>
    <row r="220" spans="2:5" ht="15" customHeight="1">
      <c r="B220" s="90"/>
      <c r="C220" s="27" t="s">
        <v>95</v>
      </c>
      <c r="D220" s="26">
        <v>3</v>
      </c>
      <c r="E220" s="25">
        <v>4.5085662759242559E-4</v>
      </c>
    </row>
    <row r="221" spans="2:5" ht="15" customHeight="1">
      <c r="B221" s="90"/>
      <c r="C221" s="27" t="s">
        <v>98</v>
      </c>
      <c r="D221" s="26">
        <v>2</v>
      </c>
      <c r="E221" s="25">
        <v>3.0057108506161706E-4</v>
      </c>
    </row>
    <row r="222" spans="2:5" ht="15" customHeight="1">
      <c r="B222" s="91"/>
      <c r="C222" s="24" t="s">
        <v>46</v>
      </c>
      <c r="D222" s="23">
        <v>151</v>
      </c>
      <c r="E222" s="22">
        <v>2.269311692215209E-2</v>
      </c>
    </row>
    <row r="223" spans="2:5" ht="15" customHeight="1">
      <c r="B223" s="89" t="s">
        <v>79</v>
      </c>
      <c r="C223" s="27" t="s">
        <v>0</v>
      </c>
      <c r="D223" s="26">
        <v>78</v>
      </c>
      <c r="E223" s="25">
        <v>1.1722272317403066E-2</v>
      </c>
    </row>
    <row r="224" spans="2:5" ht="15" customHeight="1">
      <c r="B224" s="90"/>
      <c r="C224" s="27" t="s">
        <v>99</v>
      </c>
      <c r="D224" s="26">
        <v>11</v>
      </c>
      <c r="E224" s="25">
        <v>1.6531409678388939E-3</v>
      </c>
    </row>
    <row r="225" spans="2:5" ht="15" customHeight="1">
      <c r="B225" s="90"/>
      <c r="C225" s="27" t="s">
        <v>103</v>
      </c>
      <c r="D225" s="26">
        <v>7</v>
      </c>
      <c r="E225" s="25">
        <v>1.0519987977156598E-3</v>
      </c>
    </row>
    <row r="226" spans="2:5" ht="15" customHeight="1">
      <c r="B226" s="90"/>
      <c r="C226" s="27" t="s">
        <v>94</v>
      </c>
      <c r="D226" s="26">
        <v>8</v>
      </c>
      <c r="E226" s="25">
        <v>1.2022843402464682E-3</v>
      </c>
    </row>
    <row r="227" spans="2:5" ht="15" customHeight="1">
      <c r="B227" s="90"/>
      <c r="C227" s="27" t="s">
        <v>100</v>
      </c>
      <c r="D227" s="26">
        <v>8</v>
      </c>
      <c r="E227" s="25">
        <v>1.2022843402464682E-3</v>
      </c>
    </row>
    <row r="228" spans="2:5" ht="15" customHeight="1">
      <c r="B228" s="90"/>
      <c r="C228" s="27" t="s">
        <v>101</v>
      </c>
      <c r="D228" s="26">
        <v>5</v>
      </c>
      <c r="E228" s="25">
        <v>7.514277126540427E-4</v>
      </c>
    </row>
    <row r="229" spans="2:5" ht="15" customHeight="1">
      <c r="B229" s="90"/>
      <c r="C229" s="27" t="s">
        <v>102</v>
      </c>
      <c r="D229" s="26">
        <v>5</v>
      </c>
      <c r="E229" s="25">
        <v>7.514277126540427E-4</v>
      </c>
    </row>
    <row r="230" spans="2:5" ht="15" customHeight="1">
      <c r="B230" s="90"/>
      <c r="C230" s="27" t="s">
        <v>95</v>
      </c>
      <c r="D230" s="26">
        <v>2</v>
      </c>
      <c r="E230" s="25">
        <v>3.0057108506161706E-4</v>
      </c>
    </row>
    <row r="231" spans="2:5" ht="15" customHeight="1">
      <c r="B231" s="90"/>
      <c r="C231" s="27" t="s">
        <v>98</v>
      </c>
      <c r="D231" s="26">
        <v>1</v>
      </c>
      <c r="E231" s="25">
        <v>1.5028554253080853E-4</v>
      </c>
    </row>
    <row r="232" spans="2:5" ht="15" customHeight="1">
      <c r="B232" s="91"/>
      <c r="C232" s="24" t="s">
        <v>46</v>
      </c>
      <c r="D232" s="23">
        <v>125</v>
      </c>
      <c r="E232" s="22">
        <v>1.8785692816351066E-2</v>
      </c>
    </row>
    <row r="233" spans="2:5" ht="15" customHeight="1">
      <c r="B233" s="89" t="s">
        <v>75</v>
      </c>
      <c r="C233" s="27" t="s">
        <v>0</v>
      </c>
      <c r="D233" s="26">
        <v>67</v>
      </c>
      <c r="E233" s="25">
        <v>1.0069131349564171E-2</v>
      </c>
    </row>
    <row r="234" spans="2:5" ht="15" customHeight="1">
      <c r="B234" s="90"/>
      <c r="C234" s="27" t="s">
        <v>103</v>
      </c>
      <c r="D234" s="26">
        <v>7</v>
      </c>
      <c r="E234" s="25">
        <v>1.0519987977156598E-3</v>
      </c>
    </row>
    <row r="235" spans="2:5" ht="15" customHeight="1">
      <c r="B235" s="90"/>
      <c r="C235" s="27" t="s">
        <v>96</v>
      </c>
      <c r="D235" s="26">
        <v>2</v>
      </c>
      <c r="E235" s="25">
        <v>3.0057108506161706E-4</v>
      </c>
    </row>
    <row r="236" spans="2:5" ht="15" customHeight="1">
      <c r="B236" s="90"/>
      <c r="C236" s="27" t="s">
        <v>94</v>
      </c>
      <c r="D236" s="26">
        <v>1</v>
      </c>
      <c r="E236" s="25">
        <v>1.5028554253080853E-4</v>
      </c>
    </row>
    <row r="237" spans="2:5" ht="15" customHeight="1">
      <c r="B237" s="90"/>
      <c r="C237" s="27" t="s">
        <v>100</v>
      </c>
      <c r="D237" s="26">
        <v>8</v>
      </c>
      <c r="E237" s="25">
        <v>1.2022843402464682E-3</v>
      </c>
    </row>
    <row r="238" spans="2:5" ht="15" customHeight="1">
      <c r="B238" s="90"/>
      <c r="C238" s="27" t="s">
        <v>101</v>
      </c>
      <c r="D238" s="26">
        <v>1</v>
      </c>
      <c r="E238" s="25">
        <v>1.5028554253080853E-4</v>
      </c>
    </row>
    <row r="239" spans="2:5" ht="15" customHeight="1">
      <c r="B239" s="90"/>
      <c r="C239" s="27" t="s">
        <v>102</v>
      </c>
      <c r="D239" s="26">
        <v>6</v>
      </c>
      <c r="E239" s="25">
        <v>9.0171325518485117E-4</v>
      </c>
    </row>
    <row r="240" spans="2:5" ht="15" customHeight="1">
      <c r="B240" s="90"/>
      <c r="C240" s="27" t="s">
        <v>97</v>
      </c>
      <c r="D240" s="26">
        <v>1</v>
      </c>
      <c r="E240" s="25">
        <v>1.5028554253080853E-4</v>
      </c>
    </row>
    <row r="241" spans="2:5" ht="15" customHeight="1">
      <c r="B241" s="90"/>
      <c r="C241" s="27" t="s">
        <v>98</v>
      </c>
      <c r="D241" s="26">
        <v>2</v>
      </c>
      <c r="E241" s="25">
        <v>3.0057108506161706E-4</v>
      </c>
    </row>
    <row r="242" spans="2:5" ht="15" customHeight="1">
      <c r="B242" s="91"/>
      <c r="C242" s="24" t="s">
        <v>46</v>
      </c>
      <c r="D242" s="23">
        <v>95</v>
      </c>
      <c r="E242" s="22">
        <v>1.427712654042681E-2</v>
      </c>
    </row>
    <row r="243" spans="2:5" ht="15" customHeight="1">
      <c r="B243" s="89" t="s">
        <v>63</v>
      </c>
      <c r="C243" s="27" t="s">
        <v>0</v>
      </c>
      <c r="D243" s="26">
        <v>53</v>
      </c>
      <c r="E243" s="25">
        <v>7.9651337541328526E-3</v>
      </c>
    </row>
    <row r="244" spans="2:5" ht="15" customHeight="1">
      <c r="B244" s="90"/>
      <c r="C244" s="27" t="s">
        <v>99</v>
      </c>
      <c r="D244" s="26">
        <v>1</v>
      </c>
      <c r="E244" s="25">
        <v>1.5028554253080853E-4</v>
      </c>
    </row>
    <row r="245" spans="2:5" ht="15" customHeight="1">
      <c r="B245" s="90"/>
      <c r="C245" s="27" t="s">
        <v>103</v>
      </c>
      <c r="D245" s="26">
        <v>4</v>
      </c>
      <c r="E245" s="25">
        <v>6.0114217012323412E-4</v>
      </c>
    </row>
    <row r="246" spans="2:5" ht="15" customHeight="1">
      <c r="B246" s="90"/>
      <c r="C246" s="27" t="s">
        <v>100</v>
      </c>
      <c r="D246" s="26">
        <v>9</v>
      </c>
      <c r="E246" s="25">
        <v>1.3525698827772769E-3</v>
      </c>
    </row>
    <row r="247" spans="2:5" ht="15" customHeight="1">
      <c r="B247" s="90"/>
      <c r="C247" s="27" t="s">
        <v>101</v>
      </c>
      <c r="D247" s="26">
        <v>8</v>
      </c>
      <c r="E247" s="25">
        <v>1.2022843402464682E-3</v>
      </c>
    </row>
    <row r="248" spans="2:5" ht="15" customHeight="1">
      <c r="B248" s="90"/>
      <c r="C248" s="27" t="s">
        <v>102</v>
      </c>
      <c r="D248" s="26">
        <v>4</v>
      </c>
      <c r="E248" s="25">
        <v>6.0114217012323412E-4</v>
      </c>
    </row>
    <row r="249" spans="2:5" ht="15" customHeight="1">
      <c r="B249" s="90"/>
      <c r="C249" s="27" t="s">
        <v>97</v>
      </c>
      <c r="D249" s="26">
        <v>3</v>
      </c>
      <c r="E249" s="25">
        <v>4.5085662759242559E-4</v>
      </c>
    </row>
    <row r="250" spans="2:5" ht="15" customHeight="1">
      <c r="B250" s="90"/>
      <c r="C250" s="27" t="s">
        <v>95</v>
      </c>
      <c r="D250" s="26">
        <v>1</v>
      </c>
      <c r="E250" s="25">
        <v>1.5028554253080853E-4</v>
      </c>
    </row>
    <row r="251" spans="2:5" ht="15" customHeight="1">
      <c r="B251" s="91"/>
      <c r="C251" s="24" t="s">
        <v>46</v>
      </c>
      <c r="D251" s="23">
        <v>83</v>
      </c>
      <c r="E251" s="22">
        <v>1.2473700030057109E-2</v>
      </c>
    </row>
    <row r="252" spans="2:5" ht="15" customHeight="1">
      <c r="B252" s="89" t="s">
        <v>67</v>
      </c>
      <c r="C252" s="27" t="s">
        <v>0</v>
      </c>
      <c r="D252" s="26">
        <v>7</v>
      </c>
      <c r="E252" s="25">
        <v>1.0519987977156598E-3</v>
      </c>
    </row>
    <row r="253" spans="2:5" ht="15" customHeight="1">
      <c r="B253" s="90"/>
      <c r="C253" s="27" t="s">
        <v>103</v>
      </c>
      <c r="D253" s="26">
        <v>3</v>
      </c>
      <c r="E253" s="25">
        <v>4.5085662759242559E-4</v>
      </c>
    </row>
    <row r="254" spans="2:5" ht="15" customHeight="1">
      <c r="B254" s="90"/>
      <c r="C254" s="27" t="s">
        <v>100</v>
      </c>
      <c r="D254" s="26">
        <v>2</v>
      </c>
      <c r="E254" s="25">
        <v>3.0057108506161706E-4</v>
      </c>
    </row>
    <row r="255" spans="2:5" ht="15" customHeight="1">
      <c r="B255" s="90"/>
      <c r="C255" s="27" t="s">
        <v>98</v>
      </c>
      <c r="D255" s="26">
        <v>1</v>
      </c>
      <c r="E255" s="25">
        <v>1.5028554253080853E-4</v>
      </c>
    </row>
    <row r="256" spans="2:5" ht="15" customHeight="1">
      <c r="B256" s="91"/>
      <c r="C256" s="24" t="s">
        <v>46</v>
      </c>
      <c r="D256" s="23">
        <v>13</v>
      </c>
      <c r="E256" s="22">
        <v>1.953712052900511E-3</v>
      </c>
    </row>
    <row r="257" spans="2:5" ht="15" customHeight="1">
      <c r="B257" s="89" t="s">
        <v>51</v>
      </c>
      <c r="C257" s="27" t="s">
        <v>0</v>
      </c>
      <c r="D257" s="26">
        <v>2</v>
      </c>
      <c r="E257" s="25">
        <v>3.0057108506161706E-4</v>
      </c>
    </row>
    <row r="258" spans="2:5" ht="15" customHeight="1">
      <c r="B258" s="91"/>
      <c r="C258" s="24" t="s">
        <v>46</v>
      </c>
      <c r="D258" s="23">
        <v>2</v>
      </c>
      <c r="E258" s="22">
        <v>3.0057108506161706E-4</v>
      </c>
    </row>
    <row r="259" spans="2:5" ht="15" customHeight="1">
      <c r="B259" s="89" t="s">
        <v>85</v>
      </c>
      <c r="C259" s="27" t="s">
        <v>0</v>
      </c>
      <c r="D259" s="26">
        <v>114</v>
      </c>
      <c r="E259" s="25">
        <v>1.7132551848512173E-2</v>
      </c>
    </row>
    <row r="260" spans="2:5" ht="15" customHeight="1">
      <c r="B260" s="90"/>
      <c r="C260" s="27" t="s">
        <v>99</v>
      </c>
      <c r="D260" s="26">
        <v>14</v>
      </c>
      <c r="E260" s="25">
        <v>2.1039975954313195E-3</v>
      </c>
    </row>
    <row r="261" spans="2:5" ht="15" customHeight="1">
      <c r="B261" s="90"/>
      <c r="C261" s="27" t="s">
        <v>103</v>
      </c>
      <c r="D261" s="26">
        <v>36</v>
      </c>
      <c r="E261" s="25">
        <v>5.4102795311091077E-3</v>
      </c>
    </row>
    <row r="262" spans="2:5" ht="15" customHeight="1">
      <c r="B262" s="90"/>
      <c r="C262" s="27" t="s">
        <v>94</v>
      </c>
      <c r="D262" s="26">
        <v>2</v>
      </c>
      <c r="E262" s="25">
        <v>3.0057108506161706E-4</v>
      </c>
    </row>
    <row r="263" spans="2:5" ht="15" customHeight="1">
      <c r="B263" s="90"/>
      <c r="C263" s="27" t="s">
        <v>100</v>
      </c>
      <c r="D263" s="26">
        <v>7</v>
      </c>
      <c r="E263" s="25">
        <v>1.0519987977156598E-3</v>
      </c>
    </row>
    <row r="264" spans="2:5" ht="15" customHeight="1">
      <c r="B264" s="90"/>
      <c r="C264" s="27" t="s">
        <v>101</v>
      </c>
      <c r="D264" s="26">
        <v>14</v>
      </c>
      <c r="E264" s="25">
        <v>2.1039975954313195E-3</v>
      </c>
    </row>
    <row r="265" spans="2:5" ht="15" customHeight="1">
      <c r="B265" s="90"/>
      <c r="C265" s="27" t="s">
        <v>102</v>
      </c>
      <c r="D265" s="26">
        <v>17</v>
      </c>
      <c r="E265" s="25">
        <v>2.5548542230237449E-3</v>
      </c>
    </row>
    <row r="266" spans="2:5" ht="15" customHeight="1">
      <c r="B266" s="90"/>
      <c r="C266" s="27" t="s">
        <v>98</v>
      </c>
      <c r="D266" s="26">
        <v>3</v>
      </c>
      <c r="E266" s="25">
        <v>4.5085662759242559E-4</v>
      </c>
    </row>
    <row r="267" spans="2:5" ht="15" customHeight="1">
      <c r="B267" s="91"/>
      <c r="C267" s="24" t="s">
        <v>46</v>
      </c>
      <c r="D267" s="23">
        <v>207</v>
      </c>
      <c r="E267" s="22">
        <v>3.1109107303877368E-2</v>
      </c>
    </row>
    <row r="268" spans="2:5" ht="15" customHeight="1">
      <c r="B268" s="89" t="s">
        <v>77</v>
      </c>
      <c r="C268" s="27" t="s">
        <v>0</v>
      </c>
      <c r="D268" s="26">
        <v>27</v>
      </c>
      <c r="E268" s="25">
        <v>4.0577096483318306E-3</v>
      </c>
    </row>
    <row r="269" spans="2:5" ht="15" customHeight="1">
      <c r="B269" s="90"/>
      <c r="C269" s="27" t="s">
        <v>103</v>
      </c>
      <c r="D269" s="26">
        <v>3</v>
      </c>
      <c r="E269" s="25">
        <v>4.5085662759242559E-4</v>
      </c>
    </row>
    <row r="270" spans="2:5" ht="15" customHeight="1">
      <c r="B270" s="90"/>
      <c r="C270" s="27" t="s">
        <v>96</v>
      </c>
      <c r="D270" s="26">
        <v>2</v>
      </c>
      <c r="E270" s="25">
        <v>3.0057108506161706E-4</v>
      </c>
    </row>
    <row r="271" spans="2:5" ht="15" customHeight="1">
      <c r="B271" s="90"/>
      <c r="C271" s="27" t="s">
        <v>100</v>
      </c>
      <c r="D271" s="26">
        <v>2</v>
      </c>
      <c r="E271" s="25">
        <v>3.0057108506161706E-4</v>
      </c>
    </row>
    <row r="272" spans="2:5" ht="15" customHeight="1">
      <c r="B272" s="90"/>
      <c r="C272" s="27" t="s">
        <v>101</v>
      </c>
      <c r="D272" s="26">
        <v>3</v>
      </c>
      <c r="E272" s="25">
        <v>4.5085662759242559E-4</v>
      </c>
    </row>
    <row r="273" spans="2:5" ht="15" customHeight="1">
      <c r="B273" s="90"/>
      <c r="C273" s="27" t="s">
        <v>102</v>
      </c>
      <c r="D273" s="26">
        <v>7</v>
      </c>
      <c r="E273" s="25">
        <v>1.0519987977156598E-3</v>
      </c>
    </row>
    <row r="274" spans="2:5" ht="15" customHeight="1">
      <c r="B274" s="90"/>
      <c r="C274" s="27" t="s">
        <v>98</v>
      </c>
      <c r="D274" s="26">
        <v>1</v>
      </c>
      <c r="E274" s="25">
        <v>1.5028554253080853E-4</v>
      </c>
    </row>
    <row r="275" spans="2:5" ht="15" customHeight="1">
      <c r="B275" s="91"/>
      <c r="C275" s="24" t="s">
        <v>46</v>
      </c>
      <c r="D275" s="23">
        <v>45</v>
      </c>
      <c r="E275" s="22">
        <v>6.762849413886384E-3</v>
      </c>
    </row>
    <row r="276" spans="2:5" ht="15" customHeight="1">
      <c r="B276" s="89" t="s">
        <v>62</v>
      </c>
      <c r="C276" s="27" t="s">
        <v>0</v>
      </c>
      <c r="D276" s="26">
        <v>25</v>
      </c>
      <c r="E276" s="25">
        <v>3.7571385632702136E-3</v>
      </c>
    </row>
    <row r="277" spans="2:5" ht="15" customHeight="1">
      <c r="B277" s="90"/>
      <c r="C277" s="27" t="s">
        <v>99</v>
      </c>
      <c r="D277" s="26">
        <v>2</v>
      </c>
      <c r="E277" s="25">
        <v>3.0057108506161706E-4</v>
      </c>
    </row>
    <row r="278" spans="2:5" ht="15" customHeight="1">
      <c r="B278" s="90"/>
      <c r="C278" s="27" t="s">
        <v>103</v>
      </c>
      <c r="D278" s="26">
        <v>14</v>
      </c>
      <c r="E278" s="25">
        <v>2.1039975954313195E-3</v>
      </c>
    </row>
    <row r="279" spans="2:5" ht="15" customHeight="1">
      <c r="B279" s="90"/>
      <c r="C279" s="27" t="s">
        <v>100</v>
      </c>
      <c r="D279" s="26">
        <v>12</v>
      </c>
      <c r="E279" s="25">
        <v>1.8034265103697023E-3</v>
      </c>
    </row>
    <row r="280" spans="2:5" ht="15" customHeight="1">
      <c r="B280" s="90"/>
      <c r="C280" s="27" t="s">
        <v>102</v>
      </c>
      <c r="D280" s="26">
        <v>1</v>
      </c>
      <c r="E280" s="25">
        <v>1.5028554253080853E-4</v>
      </c>
    </row>
    <row r="281" spans="2:5" ht="15" customHeight="1">
      <c r="B281" s="91"/>
      <c r="C281" s="24" t="s">
        <v>46</v>
      </c>
      <c r="D281" s="23">
        <v>54</v>
      </c>
      <c r="E281" s="22">
        <v>8.1154192966636611E-3</v>
      </c>
    </row>
    <row r="282" spans="2:5" ht="15" customHeight="1">
      <c r="B282" s="89" t="s">
        <v>64</v>
      </c>
      <c r="C282" s="27" t="s">
        <v>0</v>
      </c>
      <c r="D282" s="26">
        <v>53</v>
      </c>
      <c r="E282" s="25">
        <v>7.9651337541328526E-3</v>
      </c>
    </row>
    <row r="283" spans="2:5" ht="15" customHeight="1">
      <c r="B283" s="90"/>
      <c r="C283" s="27" t="s">
        <v>99</v>
      </c>
      <c r="D283" s="26">
        <v>5</v>
      </c>
      <c r="E283" s="25">
        <v>7.514277126540427E-4</v>
      </c>
    </row>
    <row r="284" spans="2:5" ht="15" customHeight="1">
      <c r="B284" s="90"/>
      <c r="C284" s="27" t="s">
        <v>103</v>
      </c>
      <c r="D284" s="26">
        <v>17</v>
      </c>
      <c r="E284" s="25">
        <v>2.5548542230237449E-3</v>
      </c>
    </row>
    <row r="285" spans="2:5" ht="15" customHeight="1">
      <c r="B285" s="90"/>
      <c r="C285" s="27" t="s">
        <v>96</v>
      </c>
      <c r="D285" s="26">
        <v>1</v>
      </c>
      <c r="E285" s="25">
        <v>1.5028554253080853E-4</v>
      </c>
    </row>
    <row r="286" spans="2:5" ht="15" customHeight="1">
      <c r="B286" s="90"/>
      <c r="C286" s="27" t="s">
        <v>94</v>
      </c>
      <c r="D286" s="26">
        <v>1</v>
      </c>
      <c r="E286" s="25">
        <v>1.5028554253080853E-4</v>
      </c>
    </row>
    <row r="287" spans="2:5" ht="15" customHeight="1">
      <c r="B287" s="90"/>
      <c r="C287" s="27" t="s">
        <v>100</v>
      </c>
      <c r="D287" s="26">
        <v>2</v>
      </c>
      <c r="E287" s="25">
        <v>3.0057108506161706E-4</v>
      </c>
    </row>
    <row r="288" spans="2:5" ht="15" customHeight="1">
      <c r="B288" s="90"/>
      <c r="C288" s="27" t="s">
        <v>101</v>
      </c>
      <c r="D288" s="26">
        <v>13</v>
      </c>
      <c r="E288" s="25">
        <v>1.953712052900511E-3</v>
      </c>
    </row>
    <row r="289" spans="2:5" ht="15" customHeight="1">
      <c r="B289" s="90"/>
      <c r="C289" s="27" t="s">
        <v>102</v>
      </c>
      <c r="D289" s="26">
        <v>27</v>
      </c>
      <c r="E289" s="25">
        <v>4.0577096483318306E-3</v>
      </c>
    </row>
    <row r="290" spans="2:5" ht="15" customHeight="1">
      <c r="B290" s="90"/>
      <c r="C290" s="27" t="s">
        <v>97</v>
      </c>
      <c r="D290" s="26">
        <v>3</v>
      </c>
      <c r="E290" s="25">
        <v>4.5085662759242559E-4</v>
      </c>
    </row>
    <row r="291" spans="2:5" ht="15" customHeight="1">
      <c r="B291" s="90"/>
      <c r="C291" s="27" t="s">
        <v>98</v>
      </c>
      <c r="D291" s="26">
        <v>8</v>
      </c>
      <c r="E291" s="25">
        <v>1.2022843402464682E-3</v>
      </c>
    </row>
    <row r="292" spans="2:5" ht="15" customHeight="1">
      <c r="B292" s="91"/>
      <c r="C292" s="24" t="s">
        <v>46</v>
      </c>
      <c r="D292" s="23">
        <v>130</v>
      </c>
      <c r="E292" s="22">
        <v>1.9537120529005109E-2</v>
      </c>
    </row>
    <row r="293" spans="2:5" ht="15" customHeight="1">
      <c r="B293" s="89" t="s">
        <v>72</v>
      </c>
      <c r="C293" s="27" t="s">
        <v>0</v>
      </c>
      <c r="D293" s="26">
        <v>62</v>
      </c>
      <c r="E293" s="25">
        <v>9.3177036369101289E-3</v>
      </c>
    </row>
    <row r="294" spans="2:5" ht="15" customHeight="1">
      <c r="B294" s="90"/>
      <c r="C294" s="27" t="s">
        <v>99</v>
      </c>
      <c r="D294" s="26">
        <v>7</v>
      </c>
      <c r="E294" s="25">
        <v>1.0519987977156598E-3</v>
      </c>
    </row>
    <row r="295" spans="2:5" ht="15" customHeight="1">
      <c r="B295" s="90"/>
      <c r="C295" s="27" t="s">
        <v>103</v>
      </c>
      <c r="D295" s="26">
        <v>5</v>
      </c>
      <c r="E295" s="25">
        <v>7.514277126540427E-4</v>
      </c>
    </row>
    <row r="296" spans="2:5" ht="15" customHeight="1">
      <c r="B296" s="90"/>
      <c r="C296" s="27" t="s">
        <v>94</v>
      </c>
      <c r="D296" s="26">
        <v>1</v>
      </c>
      <c r="E296" s="25">
        <v>1.5028554253080853E-4</v>
      </c>
    </row>
    <row r="297" spans="2:5" ht="15" customHeight="1">
      <c r="B297" s="90"/>
      <c r="C297" s="27" t="s">
        <v>100</v>
      </c>
      <c r="D297" s="26">
        <v>3</v>
      </c>
      <c r="E297" s="25">
        <v>4.5085662759242559E-4</v>
      </c>
    </row>
    <row r="298" spans="2:5" ht="15" customHeight="1">
      <c r="B298" s="90"/>
      <c r="C298" s="27" t="s">
        <v>102</v>
      </c>
      <c r="D298" s="26">
        <v>11</v>
      </c>
      <c r="E298" s="25">
        <v>1.6531409678388939E-3</v>
      </c>
    </row>
    <row r="299" spans="2:5" ht="15" customHeight="1">
      <c r="B299" s="90"/>
      <c r="C299" s="27" t="s">
        <v>97</v>
      </c>
      <c r="D299" s="26">
        <v>1</v>
      </c>
      <c r="E299" s="25">
        <v>1.5028554253080853E-4</v>
      </c>
    </row>
    <row r="300" spans="2:5" ht="15" customHeight="1">
      <c r="B300" s="90"/>
      <c r="C300" s="27" t="s">
        <v>98</v>
      </c>
      <c r="D300" s="26">
        <v>2</v>
      </c>
      <c r="E300" s="25">
        <v>3.0057108506161706E-4</v>
      </c>
    </row>
    <row r="301" spans="2:5" ht="15" customHeight="1">
      <c r="B301" s="91"/>
      <c r="C301" s="24" t="s">
        <v>46</v>
      </c>
      <c r="D301" s="23">
        <v>92</v>
      </c>
      <c r="E301" s="22">
        <v>1.3826269912834385E-2</v>
      </c>
    </row>
    <row r="302" spans="2:5" ht="15" customHeight="1">
      <c r="B302" s="89" t="s">
        <v>84</v>
      </c>
      <c r="C302" s="27" t="s">
        <v>0</v>
      </c>
      <c r="D302" s="26">
        <v>107</v>
      </c>
      <c r="E302" s="25">
        <v>1.6080553050796514E-2</v>
      </c>
    </row>
    <row r="303" spans="2:5" ht="15" customHeight="1">
      <c r="B303" s="90"/>
      <c r="C303" s="27" t="s">
        <v>99</v>
      </c>
      <c r="D303" s="26">
        <v>4</v>
      </c>
      <c r="E303" s="25">
        <v>6.0114217012323412E-4</v>
      </c>
    </row>
    <row r="304" spans="2:5" ht="15" customHeight="1">
      <c r="B304" s="90"/>
      <c r="C304" s="27" t="s">
        <v>103</v>
      </c>
      <c r="D304" s="26">
        <v>40</v>
      </c>
      <c r="E304" s="25">
        <v>6.0114217012323416E-3</v>
      </c>
    </row>
    <row r="305" spans="2:5" ht="15" customHeight="1">
      <c r="B305" s="90"/>
      <c r="C305" s="27" t="s">
        <v>96</v>
      </c>
      <c r="D305" s="26">
        <v>1</v>
      </c>
      <c r="E305" s="25">
        <v>1.5028554253080853E-4</v>
      </c>
    </row>
    <row r="306" spans="2:5" ht="15" customHeight="1">
      <c r="B306" s="90"/>
      <c r="C306" s="27" t="s">
        <v>100</v>
      </c>
      <c r="D306" s="26">
        <v>9</v>
      </c>
      <c r="E306" s="25">
        <v>1.3525698827772769E-3</v>
      </c>
    </row>
    <row r="307" spans="2:5" ht="15" customHeight="1">
      <c r="B307" s="90"/>
      <c r="C307" s="27" t="s">
        <v>101</v>
      </c>
      <c r="D307" s="26">
        <v>5</v>
      </c>
      <c r="E307" s="25">
        <v>7.514277126540427E-4</v>
      </c>
    </row>
    <row r="308" spans="2:5" ht="15" customHeight="1">
      <c r="B308" s="90"/>
      <c r="C308" s="27" t="s">
        <v>102</v>
      </c>
      <c r="D308" s="26">
        <v>11</v>
      </c>
      <c r="E308" s="25">
        <v>1.6531409678388939E-3</v>
      </c>
    </row>
    <row r="309" spans="2:5" ht="15" customHeight="1">
      <c r="B309" s="90"/>
      <c r="C309" s="27" t="s">
        <v>97</v>
      </c>
      <c r="D309" s="26">
        <v>2</v>
      </c>
      <c r="E309" s="25">
        <v>3.0057108506161706E-4</v>
      </c>
    </row>
    <row r="310" spans="2:5" ht="15" customHeight="1">
      <c r="B310" s="90"/>
      <c r="C310" s="27" t="s">
        <v>95</v>
      </c>
      <c r="D310" s="26">
        <v>4</v>
      </c>
      <c r="E310" s="25">
        <v>6.0114217012323412E-4</v>
      </c>
    </row>
    <row r="311" spans="2:5" ht="15" customHeight="1">
      <c r="B311" s="90"/>
      <c r="C311" s="27" t="s">
        <v>98</v>
      </c>
      <c r="D311" s="26">
        <v>3</v>
      </c>
      <c r="E311" s="25">
        <v>4.5085662759242559E-4</v>
      </c>
    </row>
    <row r="312" spans="2:5" ht="15" customHeight="1">
      <c r="B312" s="91"/>
      <c r="C312" s="24" t="s">
        <v>46</v>
      </c>
      <c r="D312" s="23">
        <v>186</v>
      </c>
      <c r="E312" s="22">
        <v>2.7953110910730387E-2</v>
      </c>
    </row>
    <row r="313" spans="2:5" ht="15" customHeight="1">
      <c r="B313" s="89" t="s">
        <v>68</v>
      </c>
      <c r="C313" s="27" t="s">
        <v>0</v>
      </c>
      <c r="D313" s="26">
        <v>25</v>
      </c>
      <c r="E313" s="25">
        <v>3.7571385632702136E-3</v>
      </c>
    </row>
    <row r="314" spans="2:5" ht="15" customHeight="1">
      <c r="B314" s="90"/>
      <c r="C314" s="27" t="s">
        <v>99</v>
      </c>
      <c r="D314" s="26">
        <v>2</v>
      </c>
      <c r="E314" s="25">
        <v>3.0057108506161706E-4</v>
      </c>
    </row>
    <row r="315" spans="2:5" ht="15" customHeight="1">
      <c r="B315" s="90"/>
      <c r="C315" s="27" t="s">
        <v>103</v>
      </c>
      <c r="D315" s="26">
        <v>2</v>
      </c>
      <c r="E315" s="25">
        <v>3.0057108506161706E-4</v>
      </c>
    </row>
    <row r="316" spans="2:5" ht="15" customHeight="1">
      <c r="B316" s="90"/>
      <c r="C316" s="27" t="s">
        <v>100</v>
      </c>
      <c r="D316" s="26">
        <v>2</v>
      </c>
      <c r="E316" s="25">
        <v>3.0057108506161706E-4</v>
      </c>
    </row>
    <row r="317" spans="2:5" ht="15" customHeight="1">
      <c r="B317" s="90"/>
      <c r="C317" s="27" t="s">
        <v>101</v>
      </c>
      <c r="D317" s="26">
        <v>2</v>
      </c>
      <c r="E317" s="25">
        <v>3.0057108506161706E-4</v>
      </c>
    </row>
    <row r="318" spans="2:5" ht="15" customHeight="1">
      <c r="B318" s="90"/>
      <c r="C318" s="27" t="s">
        <v>102</v>
      </c>
      <c r="D318" s="26">
        <v>1</v>
      </c>
      <c r="E318" s="25">
        <v>1.5028554253080853E-4</v>
      </c>
    </row>
    <row r="319" spans="2:5" ht="15" customHeight="1">
      <c r="B319" s="91"/>
      <c r="C319" s="24" t="s">
        <v>46</v>
      </c>
      <c r="D319" s="23">
        <v>34</v>
      </c>
      <c r="E319" s="22">
        <v>5.1097084460474899E-3</v>
      </c>
    </row>
    <row r="320" spans="2:5" ht="15" customHeight="1">
      <c r="B320" s="89" t="s">
        <v>81</v>
      </c>
      <c r="C320" s="27" t="s">
        <v>0</v>
      </c>
      <c r="D320" s="26">
        <v>51</v>
      </c>
      <c r="E320" s="25">
        <v>7.6645626690712357E-3</v>
      </c>
    </row>
    <row r="321" spans="2:5" ht="15" customHeight="1">
      <c r="B321" s="90"/>
      <c r="C321" s="27" t="s">
        <v>99</v>
      </c>
      <c r="D321" s="26">
        <v>4</v>
      </c>
      <c r="E321" s="25">
        <v>6.0114217012323412E-4</v>
      </c>
    </row>
    <row r="322" spans="2:5" ht="15" customHeight="1">
      <c r="B322" s="90"/>
      <c r="C322" s="27" t="s">
        <v>103</v>
      </c>
      <c r="D322" s="26">
        <v>4</v>
      </c>
      <c r="E322" s="25">
        <v>6.0114217012323412E-4</v>
      </c>
    </row>
    <row r="323" spans="2:5" ht="15" customHeight="1">
      <c r="B323" s="90"/>
      <c r="C323" s="27" t="s">
        <v>96</v>
      </c>
      <c r="D323" s="26">
        <v>2</v>
      </c>
      <c r="E323" s="25">
        <v>3.0057108506161706E-4</v>
      </c>
    </row>
    <row r="324" spans="2:5" ht="15" customHeight="1">
      <c r="B324" s="90"/>
      <c r="C324" s="27" t="s">
        <v>100</v>
      </c>
      <c r="D324" s="26">
        <v>3</v>
      </c>
      <c r="E324" s="25">
        <v>4.5085662759242559E-4</v>
      </c>
    </row>
    <row r="325" spans="2:5" ht="15" customHeight="1">
      <c r="B325" s="90"/>
      <c r="C325" s="27" t="s">
        <v>101</v>
      </c>
      <c r="D325" s="26">
        <v>3</v>
      </c>
      <c r="E325" s="25">
        <v>4.5085662759242559E-4</v>
      </c>
    </row>
    <row r="326" spans="2:5" ht="15" customHeight="1">
      <c r="B326" s="90"/>
      <c r="C326" s="27" t="s">
        <v>102</v>
      </c>
      <c r="D326" s="26">
        <v>3</v>
      </c>
      <c r="E326" s="25">
        <v>4.5085662759242559E-4</v>
      </c>
    </row>
    <row r="327" spans="2:5" ht="15" customHeight="1">
      <c r="B327" s="91"/>
      <c r="C327" s="24" t="s">
        <v>46</v>
      </c>
      <c r="D327" s="23">
        <v>70</v>
      </c>
      <c r="E327" s="22">
        <v>1.0519987977156597E-2</v>
      </c>
    </row>
    <row r="328" spans="2:5" ht="15" customHeight="1">
      <c r="B328" s="89" t="s">
        <v>82</v>
      </c>
      <c r="C328" s="27" t="s">
        <v>0</v>
      </c>
      <c r="D328" s="26">
        <v>36</v>
      </c>
      <c r="E328" s="25">
        <v>5.4102795311091077E-3</v>
      </c>
    </row>
    <row r="329" spans="2:5" ht="15" customHeight="1">
      <c r="B329" s="90"/>
      <c r="C329" s="27" t="s">
        <v>99</v>
      </c>
      <c r="D329" s="26">
        <v>3</v>
      </c>
      <c r="E329" s="25">
        <v>4.5085662759242559E-4</v>
      </c>
    </row>
    <row r="330" spans="2:5" ht="15" customHeight="1">
      <c r="B330" s="90"/>
      <c r="C330" s="27" t="s">
        <v>103</v>
      </c>
      <c r="D330" s="26">
        <v>9</v>
      </c>
      <c r="E330" s="25">
        <v>1.3525698827772769E-3</v>
      </c>
    </row>
    <row r="331" spans="2:5" ht="15" customHeight="1">
      <c r="B331" s="90"/>
      <c r="C331" s="27" t="s">
        <v>100</v>
      </c>
      <c r="D331" s="26">
        <v>2</v>
      </c>
      <c r="E331" s="25">
        <v>3.0057108506161706E-4</v>
      </c>
    </row>
    <row r="332" spans="2:5" ht="15" customHeight="1">
      <c r="B332" s="90"/>
      <c r="C332" s="27" t="s">
        <v>101</v>
      </c>
      <c r="D332" s="26">
        <v>2</v>
      </c>
      <c r="E332" s="25">
        <v>3.0057108506161706E-4</v>
      </c>
    </row>
    <row r="333" spans="2:5" ht="15" customHeight="1">
      <c r="B333" s="90"/>
      <c r="C333" s="27" t="s">
        <v>102</v>
      </c>
      <c r="D333" s="26">
        <v>3</v>
      </c>
      <c r="E333" s="25">
        <v>4.5085662759242559E-4</v>
      </c>
    </row>
    <row r="334" spans="2:5" ht="15" customHeight="1">
      <c r="B334" s="91"/>
      <c r="C334" s="24" t="s">
        <v>46</v>
      </c>
      <c r="D334" s="23">
        <v>55</v>
      </c>
      <c r="E334" s="22">
        <v>8.2657048391944696E-3</v>
      </c>
    </row>
    <row r="335" spans="2:5" ht="15" customHeight="1">
      <c r="B335" s="89" t="s">
        <v>83</v>
      </c>
      <c r="C335" s="27" t="s">
        <v>0</v>
      </c>
      <c r="D335" s="26">
        <v>75</v>
      </c>
      <c r="E335" s="25">
        <v>1.1271415689810641E-2</v>
      </c>
    </row>
    <row r="336" spans="2:5" ht="15" customHeight="1">
      <c r="B336" s="90"/>
      <c r="C336" s="27" t="s">
        <v>103</v>
      </c>
      <c r="D336" s="26">
        <v>13</v>
      </c>
      <c r="E336" s="25">
        <v>1.953712052900511E-3</v>
      </c>
    </row>
    <row r="337" spans="2:5" ht="15" customHeight="1">
      <c r="B337" s="90"/>
      <c r="C337" s="27" t="s">
        <v>96</v>
      </c>
      <c r="D337" s="26">
        <v>1</v>
      </c>
      <c r="E337" s="25">
        <v>1.5028554253080853E-4</v>
      </c>
    </row>
    <row r="338" spans="2:5" ht="15" customHeight="1">
      <c r="B338" s="90"/>
      <c r="C338" s="27" t="s">
        <v>94</v>
      </c>
      <c r="D338" s="26">
        <v>1</v>
      </c>
      <c r="E338" s="25">
        <v>1.5028554253080853E-4</v>
      </c>
    </row>
    <row r="339" spans="2:5" ht="15" customHeight="1">
      <c r="B339" s="90"/>
      <c r="C339" s="27" t="s">
        <v>100</v>
      </c>
      <c r="D339" s="26">
        <v>3</v>
      </c>
      <c r="E339" s="25">
        <v>4.5085662759242559E-4</v>
      </c>
    </row>
    <row r="340" spans="2:5" ht="15" customHeight="1">
      <c r="B340" s="90"/>
      <c r="C340" s="27" t="s">
        <v>101</v>
      </c>
      <c r="D340" s="26">
        <v>1</v>
      </c>
      <c r="E340" s="25">
        <v>1.5028554253080853E-4</v>
      </c>
    </row>
    <row r="341" spans="2:5" ht="15" customHeight="1">
      <c r="B341" s="90"/>
      <c r="C341" s="27" t="s">
        <v>102</v>
      </c>
      <c r="D341" s="26">
        <v>6</v>
      </c>
      <c r="E341" s="25">
        <v>9.0171325518485117E-4</v>
      </c>
    </row>
    <row r="342" spans="2:5" ht="15" customHeight="1">
      <c r="B342" s="90"/>
      <c r="C342" s="27" t="s">
        <v>98</v>
      </c>
      <c r="D342" s="26">
        <v>3</v>
      </c>
      <c r="E342" s="25">
        <v>4.5085662759242559E-4</v>
      </c>
    </row>
    <row r="343" spans="2:5" ht="15" customHeight="1">
      <c r="B343" s="91"/>
      <c r="C343" s="24" t="s">
        <v>46</v>
      </c>
      <c r="D343" s="23">
        <v>103</v>
      </c>
      <c r="E343" s="22">
        <v>1.547941088067328E-2</v>
      </c>
    </row>
    <row r="344" spans="2:5" ht="15" customHeight="1">
      <c r="B344" s="89" t="s">
        <v>61</v>
      </c>
      <c r="C344" s="27" t="s">
        <v>0</v>
      </c>
      <c r="D344" s="26">
        <v>38</v>
      </c>
      <c r="E344" s="25">
        <v>5.7108506161707246E-3</v>
      </c>
    </row>
    <row r="345" spans="2:5" ht="15" customHeight="1">
      <c r="B345" s="90"/>
      <c r="C345" s="27" t="s">
        <v>103</v>
      </c>
      <c r="D345" s="26">
        <v>7</v>
      </c>
      <c r="E345" s="25">
        <v>1.0519987977156598E-3</v>
      </c>
    </row>
    <row r="346" spans="2:5" ht="15" customHeight="1">
      <c r="B346" s="90"/>
      <c r="C346" s="27" t="s">
        <v>100</v>
      </c>
      <c r="D346" s="26">
        <v>3</v>
      </c>
      <c r="E346" s="25">
        <v>4.5085662759242559E-4</v>
      </c>
    </row>
    <row r="347" spans="2:5" ht="15" customHeight="1">
      <c r="B347" s="90"/>
      <c r="C347" s="27" t="s">
        <v>101</v>
      </c>
      <c r="D347" s="26">
        <v>4</v>
      </c>
      <c r="E347" s="25">
        <v>6.0114217012323412E-4</v>
      </c>
    </row>
    <row r="348" spans="2:5" ht="15" customHeight="1">
      <c r="B348" s="90"/>
      <c r="C348" s="27" t="s">
        <v>102</v>
      </c>
      <c r="D348" s="26">
        <v>3</v>
      </c>
      <c r="E348" s="25">
        <v>4.5085662759242559E-4</v>
      </c>
    </row>
    <row r="349" spans="2:5" ht="15" customHeight="1">
      <c r="B349" s="90"/>
      <c r="C349" s="27" t="s">
        <v>95</v>
      </c>
      <c r="D349" s="26">
        <v>2</v>
      </c>
      <c r="E349" s="25">
        <v>3.0057108506161706E-4</v>
      </c>
    </row>
    <row r="350" spans="2:5" ht="15" customHeight="1">
      <c r="B350" s="91"/>
      <c r="C350" s="24" t="s">
        <v>46</v>
      </c>
      <c r="D350" s="23">
        <v>57</v>
      </c>
      <c r="E350" s="22">
        <v>8.5662759242560865E-3</v>
      </c>
    </row>
    <row r="351" spans="2:5" ht="15" customHeight="1">
      <c r="B351" s="89" t="s">
        <v>52</v>
      </c>
      <c r="C351" s="27" t="s">
        <v>0</v>
      </c>
      <c r="D351" s="26">
        <v>4</v>
      </c>
      <c r="E351" s="25">
        <v>6.0114217012323412E-4</v>
      </c>
    </row>
    <row r="352" spans="2:5" ht="15" customHeight="1">
      <c r="B352" s="90"/>
      <c r="C352" s="27" t="s">
        <v>103</v>
      </c>
      <c r="D352" s="26">
        <v>1</v>
      </c>
      <c r="E352" s="25">
        <v>1.5028554253080853E-4</v>
      </c>
    </row>
    <row r="353" spans="2:5" ht="15" customHeight="1">
      <c r="B353" s="91"/>
      <c r="C353" s="24" t="s">
        <v>46</v>
      </c>
      <c r="D353" s="23">
        <v>5</v>
      </c>
      <c r="E353" s="22">
        <v>7.514277126540427E-4</v>
      </c>
    </row>
    <row r="354" spans="2:5" ht="15" customHeight="1">
      <c r="B354" s="89" t="s">
        <v>17</v>
      </c>
      <c r="C354" s="27" t="s">
        <v>0</v>
      </c>
      <c r="D354" s="26">
        <v>20</v>
      </c>
      <c r="E354" s="25">
        <v>3.0057108506161708E-3</v>
      </c>
    </row>
    <row r="355" spans="2:5" ht="15" customHeight="1">
      <c r="B355" s="90"/>
      <c r="C355" s="27" t="s">
        <v>99</v>
      </c>
      <c r="D355" s="26">
        <v>1</v>
      </c>
      <c r="E355" s="25">
        <v>1.5028554253080853E-4</v>
      </c>
    </row>
    <row r="356" spans="2:5" ht="15" customHeight="1">
      <c r="B356" s="90"/>
      <c r="C356" s="27" t="s">
        <v>103</v>
      </c>
      <c r="D356" s="26">
        <v>2</v>
      </c>
      <c r="E356" s="25">
        <v>3.0057108506161706E-4</v>
      </c>
    </row>
    <row r="357" spans="2:5" ht="15" customHeight="1">
      <c r="B357" s="90"/>
      <c r="C357" s="27" t="s">
        <v>96</v>
      </c>
      <c r="D357" s="26">
        <v>1</v>
      </c>
      <c r="E357" s="25">
        <v>1.5028554253080853E-4</v>
      </c>
    </row>
    <row r="358" spans="2:5" ht="15" customHeight="1">
      <c r="B358" s="90"/>
      <c r="C358" s="27" t="s">
        <v>100</v>
      </c>
      <c r="D358" s="26">
        <v>2</v>
      </c>
      <c r="E358" s="25">
        <v>3.0057108506161706E-4</v>
      </c>
    </row>
    <row r="359" spans="2:5" ht="15" customHeight="1">
      <c r="B359" s="90"/>
      <c r="C359" s="27" t="s">
        <v>101</v>
      </c>
      <c r="D359" s="26">
        <v>2</v>
      </c>
      <c r="E359" s="25">
        <v>3.0057108506161706E-4</v>
      </c>
    </row>
    <row r="360" spans="2:5" ht="15" customHeight="1">
      <c r="B360" s="90"/>
      <c r="C360" s="27" t="s">
        <v>102</v>
      </c>
      <c r="D360" s="26">
        <v>5</v>
      </c>
      <c r="E360" s="25">
        <v>7.514277126540427E-4</v>
      </c>
    </row>
    <row r="361" spans="2:5" ht="15" customHeight="1">
      <c r="B361" s="91"/>
      <c r="C361" s="24" t="s">
        <v>46</v>
      </c>
      <c r="D361" s="23">
        <v>33</v>
      </c>
      <c r="E361" s="22">
        <v>4.9594229035166814E-3</v>
      </c>
    </row>
    <row r="362" spans="2:5" ht="15" customHeight="1">
      <c r="B362" s="89" t="s">
        <v>202</v>
      </c>
      <c r="C362" s="27" t="s">
        <v>0</v>
      </c>
      <c r="D362" s="26">
        <v>1</v>
      </c>
      <c r="E362" s="25">
        <v>1.5028554253080853E-4</v>
      </c>
    </row>
    <row r="363" spans="2:5" ht="15" customHeight="1">
      <c r="B363" s="90"/>
      <c r="C363" s="27" t="s">
        <v>98</v>
      </c>
      <c r="D363" s="26">
        <v>1</v>
      </c>
      <c r="E363" s="25">
        <v>1.5028554253080853E-4</v>
      </c>
    </row>
    <row r="364" spans="2:5" ht="15" customHeight="1">
      <c r="B364" s="91"/>
      <c r="C364" s="24" t="s">
        <v>46</v>
      </c>
      <c r="D364" s="23">
        <v>2</v>
      </c>
      <c r="E364" s="22">
        <v>3.0057108506161706E-4</v>
      </c>
    </row>
    <row r="365" spans="2:5" ht="15" customHeight="1">
      <c r="B365" s="92" t="s">
        <v>139</v>
      </c>
      <c r="C365" s="93"/>
      <c r="D365" s="70">
        <v>6654</v>
      </c>
      <c r="E365" s="71">
        <v>1</v>
      </c>
    </row>
    <row r="367" spans="2:5" ht="15" customHeight="1">
      <c r="B367" s="17" t="s">
        <v>198</v>
      </c>
    </row>
    <row r="368" spans="2:5" ht="15" customHeight="1">
      <c r="B368" s="18" t="s">
        <v>47</v>
      </c>
    </row>
    <row r="369" spans="2:5" ht="15" customHeight="1">
      <c r="B369" s="19" t="s">
        <v>48</v>
      </c>
    </row>
    <row r="370" spans="2:5" ht="15" customHeight="1">
      <c r="B370" s="17" t="s">
        <v>49</v>
      </c>
    </row>
    <row r="371" spans="2:5" ht="15" customHeight="1">
      <c r="B371" s="17" t="s">
        <v>199</v>
      </c>
    </row>
    <row r="372" spans="2:5" ht="15" customHeight="1">
      <c r="B372" s="20"/>
      <c r="C372" s="20"/>
      <c r="D372" s="20"/>
      <c r="E372" s="20"/>
    </row>
    <row r="373" spans="2:5" ht="15" customHeight="1">
      <c r="B373" s="20"/>
      <c r="C373" s="20"/>
      <c r="D373" s="20"/>
      <c r="E373" s="20"/>
    </row>
    <row r="374" spans="2:5" ht="15" customHeight="1">
      <c r="B374" s="20"/>
      <c r="C374" s="20"/>
      <c r="D374" s="20"/>
      <c r="E374" s="20"/>
    </row>
    <row r="375" spans="2:5" ht="15" customHeight="1">
      <c r="B375" s="20"/>
      <c r="C375" s="20"/>
      <c r="D375" s="20"/>
      <c r="E375" s="20"/>
    </row>
    <row r="376" spans="2:5" ht="15" customHeight="1">
      <c r="B376" s="20"/>
      <c r="C376" s="20"/>
      <c r="D376" s="20"/>
      <c r="E376" s="20"/>
    </row>
  </sheetData>
  <mergeCells count="47">
    <mergeCell ref="B193:B198"/>
    <mergeCell ref="B268:B275"/>
    <mergeCell ref="B276:B281"/>
    <mergeCell ref="B282:B292"/>
    <mergeCell ref="B293:B301"/>
    <mergeCell ref="B223:B232"/>
    <mergeCell ref="B233:B242"/>
    <mergeCell ref="B243:B251"/>
    <mergeCell ref="B252:B256"/>
    <mergeCell ref="B257:B258"/>
    <mergeCell ref="B259:B267"/>
    <mergeCell ref="B143:B152"/>
    <mergeCell ref="B153:B164"/>
    <mergeCell ref="B165:B175"/>
    <mergeCell ref="B176:B182"/>
    <mergeCell ref="B183:B192"/>
    <mergeCell ref="B100:B110"/>
    <mergeCell ref="B111:B120"/>
    <mergeCell ref="B121:B130"/>
    <mergeCell ref="B131:B140"/>
    <mergeCell ref="B141:B142"/>
    <mergeCell ref="B7:E8"/>
    <mergeCell ref="B199:B206"/>
    <mergeCell ref="B207:B212"/>
    <mergeCell ref="B213:B222"/>
    <mergeCell ref="B38:B44"/>
    <mergeCell ref="B45:B47"/>
    <mergeCell ref="B48:B49"/>
    <mergeCell ref="B10:B16"/>
    <mergeCell ref="B17:B27"/>
    <mergeCell ref="B28:B37"/>
    <mergeCell ref="B50:B60"/>
    <mergeCell ref="B61:B72"/>
    <mergeCell ref="B73:B83"/>
    <mergeCell ref="B84:B89"/>
    <mergeCell ref="B90:B95"/>
    <mergeCell ref="B96:B99"/>
    <mergeCell ref="B351:B353"/>
    <mergeCell ref="B354:B361"/>
    <mergeCell ref="B362:B364"/>
    <mergeCell ref="B365:C365"/>
    <mergeCell ref="B302:B312"/>
    <mergeCell ref="B313:B319"/>
    <mergeCell ref="B320:B327"/>
    <mergeCell ref="B328:B334"/>
    <mergeCell ref="B335:B343"/>
    <mergeCell ref="B344:B35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D45"/>
  <sheetViews>
    <sheetView showGridLines="0" zoomScaleNormal="100" zoomScaleSheetLayoutView="115" workbookViewId="0">
      <selection activeCell="B27" sqref="B27"/>
    </sheetView>
  </sheetViews>
  <sheetFormatPr baseColWidth="10" defaultColWidth="11.42578125" defaultRowHeight="15"/>
  <cols>
    <col min="1" max="1" width="9.28515625" style="8" customWidth="1"/>
    <col min="2" max="2" width="2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8" t="s">
        <v>204</v>
      </c>
      <c r="C7" s="88"/>
      <c r="D7" s="88"/>
    </row>
    <row r="8" spans="1:4" s="1" customFormat="1" ht="15" customHeight="1">
      <c r="B8" s="88"/>
      <c r="C8" s="88"/>
      <c r="D8" s="88"/>
    </row>
    <row r="9" spans="1:4" s="1" customFormat="1" ht="33" customHeight="1">
      <c r="B9" s="88"/>
      <c r="C9" s="88"/>
      <c r="D9" s="88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132</v>
      </c>
      <c r="C11" s="6" t="s">
        <v>131</v>
      </c>
      <c r="D11" s="7" t="s">
        <v>3</v>
      </c>
    </row>
    <row r="12" spans="1:4">
      <c r="B12" s="9" t="s">
        <v>130</v>
      </c>
      <c r="C12" s="10">
        <v>45</v>
      </c>
      <c r="D12" s="11">
        <f t="shared" ref="D12:D36" si="0">C12/$C$36</f>
        <v>6.762849413886384E-3</v>
      </c>
    </row>
    <row r="13" spans="1:4">
      <c r="B13" s="9" t="s">
        <v>129</v>
      </c>
      <c r="C13" s="10">
        <v>20</v>
      </c>
      <c r="D13" s="11">
        <f t="shared" si="0"/>
        <v>3.0057108506161708E-3</v>
      </c>
    </row>
    <row r="14" spans="1:4">
      <c r="B14" s="9" t="s">
        <v>128</v>
      </c>
      <c r="C14" s="10">
        <v>37</v>
      </c>
      <c r="D14" s="11">
        <f t="shared" si="0"/>
        <v>5.5605650736399162E-3</v>
      </c>
    </row>
    <row r="15" spans="1:4">
      <c r="B15" s="9" t="s">
        <v>127</v>
      </c>
      <c r="C15" s="10">
        <v>62</v>
      </c>
      <c r="D15" s="11">
        <f t="shared" si="0"/>
        <v>9.3177036369101289E-3</v>
      </c>
    </row>
    <row r="16" spans="1:4">
      <c r="B16" s="9" t="s">
        <v>126</v>
      </c>
      <c r="C16" s="10">
        <v>55</v>
      </c>
      <c r="D16" s="11">
        <f t="shared" si="0"/>
        <v>8.2657048391944696E-3</v>
      </c>
    </row>
    <row r="17" spans="2:4">
      <c r="B17" s="9" t="s">
        <v>125</v>
      </c>
      <c r="C17" s="10">
        <v>92</v>
      </c>
      <c r="D17" s="11">
        <f t="shared" si="0"/>
        <v>1.3826269912834385E-2</v>
      </c>
    </row>
    <row r="18" spans="2:4">
      <c r="B18" s="9" t="s">
        <v>124</v>
      </c>
      <c r="C18" s="10">
        <v>470</v>
      </c>
      <c r="D18" s="11">
        <f t="shared" si="0"/>
        <v>7.0634204989480018E-2</v>
      </c>
    </row>
    <row r="19" spans="2:4" ht="15" customHeight="1">
      <c r="B19" s="9" t="s">
        <v>123</v>
      </c>
      <c r="C19" s="10">
        <v>906</v>
      </c>
      <c r="D19" s="11">
        <f t="shared" si="0"/>
        <v>0.13615870153291254</v>
      </c>
    </row>
    <row r="20" spans="2:4">
      <c r="B20" s="9" t="s">
        <v>122</v>
      </c>
      <c r="C20" s="10">
        <v>76</v>
      </c>
      <c r="D20" s="11">
        <f t="shared" si="0"/>
        <v>1.1421701232341449E-2</v>
      </c>
    </row>
    <row r="21" spans="2:4">
      <c r="B21" s="9" t="s">
        <v>121</v>
      </c>
      <c r="C21" s="10">
        <v>158</v>
      </c>
      <c r="D21" s="11">
        <f t="shared" si="0"/>
        <v>2.3745115719867749E-2</v>
      </c>
    </row>
    <row r="22" spans="2:4">
      <c r="B22" s="9" t="s">
        <v>120</v>
      </c>
      <c r="C22" s="10">
        <v>303</v>
      </c>
      <c r="D22" s="11">
        <f t="shared" si="0"/>
        <v>4.5536519386834985E-2</v>
      </c>
    </row>
    <row r="23" spans="2:4" ht="18" customHeight="1">
      <c r="B23" s="9" t="s">
        <v>119</v>
      </c>
      <c r="C23" s="10">
        <v>2400</v>
      </c>
      <c r="D23" s="11">
        <f t="shared" si="0"/>
        <v>0.36068530207394051</v>
      </c>
    </row>
    <row r="24" spans="2:4">
      <c r="B24" s="9" t="s">
        <v>118</v>
      </c>
      <c r="C24" s="10">
        <v>91</v>
      </c>
      <c r="D24" s="11">
        <f t="shared" si="0"/>
        <v>1.3675984370303576E-2</v>
      </c>
    </row>
    <row r="25" spans="2:4" ht="16.5" customHeight="1">
      <c r="B25" s="9" t="s">
        <v>117</v>
      </c>
      <c r="C25" s="10">
        <v>406</v>
      </c>
      <c r="D25" s="11">
        <f t="shared" si="0"/>
        <v>6.1015930267508268E-2</v>
      </c>
    </row>
    <row r="26" spans="2:4" ht="16.5" customHeight="1">
      <c r="B26" s="9" t="s">
        <v>116</v>
      </c>
      <c r="C26" s="10">
        <v>1215</v>
      </c>
      <c r="D26" s="11">
        <f t="shared" si="0"/>
        <v>0.18259693417493236</v>
      </c>
    </row>
    <row r="27" spans="2:4">
      <c r="B27" s="9" t="s">
        <v>115</v>
      </c>
      <c r="C27" s="10">
        <v>13</v>
      </c>
      <c r="D27" s="11">
        <f t="shared" si="0"/>
        <v>1.953712052900511E-3</v>
      </c>
    </row>
    <row r="28" spans="2:4">
      <c r="B28" s="9" t="s">
        <v>114</v>
      </c>
      <c r="C28" s="10">
        <v>14</v>
      </c>
      <c r="D28" s="11">
        <f t="shared" si="0"/>
        <v>2.1039975954313195E-3</v>
      </c>
    </row>
    <row r="29" spans="2:4">
      <c r="B29" s="9" t="s">
        <v>113</v>
      </c>
      <c r="C29" s="10">
        <v>7</v>
      </c>
      <c r="D29" s="11">
        <f t="shared" si="0"/>
        <v>1.0519987977156598E-3</v>
      </c>
    </row>
    <row r="30" spans="2:4">
      <c r="B30" s="9" t="s">
        <v>112</v>
      </c>
      <c r="C30" s="10">
        <v>9</v>
      </c>
      <c r="D30" s="11">
        <f t="shared" si="0"/>
        <v>1.3525698827772769E-3</v>
      </c>
    </row>
    <row r="31" spans="2:4">
      <c r="B31" s="9" t="s">
        <v>111</v>
      </c>
      <c r="C31" s="10">
        <v>92</v>
      </c>
      <c r="D31" s="11">
        <f t="shared" si="0"/>
        <v>1.3826269912834385E-2</v>
      </c>
    </row>
    <row r="32" spans="2:4">
      <c r="B32" s="9" t="s">
        <v>110</v>
      </c>
      <c r="C32" s="10">
        <v>165</v>
      </c>
      <c r="D32" s="11">
        <f t="shared" si="0"/>
        <v>2.4797114517583409E-2</v>
      </c>
    </row>
    <row r="33" spans="1:4">
      <c r="B33" s="9" t="s">
        <v>109</v>
      </c>
      <c r="C33" s="10">
        <v>9</v>
      </c>
      <c r="D33" s="11">
        <f t="shared" si="0"/>
        <v>1.3525698827772769E-3</v>
      </c>
    </row>
    <row r="34" spans="1:4">
      <c r="B34" s="9" t="s">
        <v>108</v>
      </c>
      <c r="C34" s="10">
        <v>8</v>
      </c>
      <c r="D34" s="11">
        <f t="shared" si="0"/>
        <v>1.2022843402464682E-3</v>
      </c>
    </row>
    <row r="35" spans="1:4">
      <c r="B35" s="9" t="s">
        <v>107</v>
      </c>
      <c r="C35" s="10">
        <v>1</v>
      </c>
      <c r="D35" s="11">
        <f t="shared" si="0"/>
        <v>1.5028554253080853E-4</v>
      </c>
    </row>
    <row r="36" spans="1:4">
      <c r="B36" s="13" t="s">
        <v>46</v>
      </c>
      <c r="C36" s="14">
        <v>6654</v>
      </c>
      <c r="D36" s="15">
        <f t="shared" si="0"/>
        <v>1</v>
      </c>
    </row>
    <row r="37" spans="1:4">
      <c r="C37" s="8"/>
    </row>
    <row r="38" spans="1:4">
      <c r="A38" s="40"/>
      <c r="B38" s="72" t="s">
        <v>198</v>
      </c>
      <c r="C38" s="8"/>
    </row>
    <row r="39" spans="1:4">
      <c r="A39" s="40"/>
      <c r="B39" s="72" t="s">
        <v>47</v>
      </c>
      <c r="C39" s="8"/>
    </row>
    <row r="40" spans="1:4">
      <c r="A40" s="40"/>
      <c r="B40" s="72" t="s">
        <v>48</v>
      </c>
      <c r="C40" s="8"/>
    </row>
    <row r="41" spans="1:4">
      <c r="A41" s="40"/>
      <c r="B41" s="72" t="s">
        <v>49</v>
      </c>
      <c r="C41" s="8"/>
    </row>
    <row r="42" spans="1:4">
      <c r="A42" s="40"/>
      <c r="B42" s="72" t="s">
        <v>199</v>
      </c>
      <c r="C42" s="8"/>
    </row>
    <row r="43" spans="1:4">
      <c r="C43" s="8"/>
    </row>
    <row r="44" spans="1:4">
      <c r="C44" s="8"/>
    </row>
    <row r="45" spans="1:4">
      <c r="C45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E511"/>
  <sheetViews>
    <sheetView showGridLines="0" topLeftCell="A7" zoomScale="110" zoomScaleNormal="110" zoomScaleSheetLayoutView="85" workbookViewId="0">
      <selection activeCell="B507" sqref="B507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94"/>
      <c r="C7" s="94"/>
      <c r="D7" s="94"/>
      <c r="E7" s="94"/>
    </row>
    <row r="8" spans="1:5" s="31" customFormat="1" ht="33" customHeight="1">
      <c r="A8" s="32"/>
      <c r="B8" s="94"/>
      <c r="C8" s="94"/>
      <c r="D8" s="94"/>
      <c r="E8" s="94"/>
    </row>
    <row r="9" spans="1:5" s="1" customFormat="1" ht="40.5" customHeight="1">
      <c r="B9" s="28" t="s">
        <v>133</v>
      </c>
      <c r="C9" s="30" t="s">
        <v>106</v>
      </c>
      <c r="D9" s="29" t="s">
        <v>2</v>
      </c>
      <c r="E9" s="28" t="s">
        <v>3</v>
      </c>
    </row>
    <row r="10" spans="1:5" ht="15" customHeight="1">
      <c r="B10" s="89" t="s">
        <v>130</v>
      </c>
      <c r="C10" s="27" t="s">
        <v>35</v>
      </c>
      <c r="D10" s="26">
        <v>1</v>
      </c>
      <c r="E10" s="25">
        <v>1.5028554253080853E-4</v>
      </c>
    </row>
    <row r="11" spans="1:5" ht="15" customHeight="1">
      <c r="B11" s="90"/>
      <c r="C11" s="27" t="s">
        <v>4</v>
      </c>
      <c r="D11" s="26">
        <v>13</v>
      </c>
      <c r="E11" s="25">
        <v>1.953712052900511E-3</v>
      </c>
    </row>
    <row r="12" spans="1:5" ht="15" customHeight="1">
      <c r="B12" s="90"/>
      <c r="C12" s="27" t="s">
        <v>8</v>
      </c>
      <c r="D12" s="26">
        <v>3</v>
      </c>
      <c r="E12" s="25">
        <v>4.5085662759242559E-4</v>
      </c>
    </row>
    <row r="13" spans="1:5" ht="15" customHeight="1">
      <c r="B13" s="90"/>
      <c r="C13" s="27" t="s">
        <v>10</v>
      </c>
      <c r="D13" s="26">
        <v>3</v>
      </c>
      <c r="E13" s="25">
        <v>4.5085662759242559E-4</v>
      </c>
    </row>
    <row r="14" spans="1:5" ht="15" customHeight="1">
      <c r="B14" s="90"/>
      <c r="C14" s="27" t="s">
        <v>26</v>
      </c>
      <c r="D14" s="26">
        <v>1</v>
      </c>
      <c r="E14" s="25">
        <v>1.5028554253080853E-4</v>
      </c>
    </row>
    <row r="15" spans="1:5" ht="15" customHeight="1">
      <c r="B15" s="90"/>
      <c r="C15" s="27" t="s">
        <v>6</v>
      </c>
      <c r="D15" s="26">
        <v>7</v>
      </c>
      <c r="E15" s="25">
        <v>1.0519987977156598E-3</v>
      </c>
    </row>
    <row r="16" spans="1:5" ht="15" customHeight="1">
      <c r="B16" s="90"/>
      <c r="C16" s="27" t="s">
        <v>9</v>
      </c>
      <c r="D16" s="26">
        <v>1</v>
      </c>
      <c r="E16" s="25">
        <v>1.5028554253080853E-4</v>
      </c>
    </row>
    <row r="17" spans="2:5" ht="15" customHeight="1">
      <c r="B17" s="90"/>
      <c r="C17" s="27" t="s">
        <v>19</v>
      </c>
      <c r="D17" s="26">
        <v>1</v>
      </c>
      <c r="E17" s="25">
        <v>1.5028554253080853E-4</v>
      </c>
    </row>
    <row r="18" spans="2:5" ht="15" customHeight="1">
      <c r="B18" s="90"/>
      <c r="C18" s="27" t="s">
        <v>25</v>
      </c>
      <c r="D18" s="26">
        <v>1</v>
      </c>
      <c r="E18" s="25">
        <v>1.5028554253080853E-4</v>
      </c>
    </row>
    <row r="19" spans="2:5" ht="15" customHeight="1">
      <c r="B19" s="90"/>
      <c r="C19" s="27" t="s">
        <v>11</v>
      </c>
      <c r="D19" s="26">
        <v>1</v>
      </c>
      <c r="E19" s="25">
        <v>1.5028554253080853E-4</v>
      </c>
    </row>
    <row r="20" spans="2:5" ht="15" customHeight="1">
      <c r="B20" s="90"/>
      <c r="C20" s="27" t="s">
        <v>18</v>
      </c>
      <c r="D20" s="26">
        <v>1</v>
      </c>
      <c r="E20" s="25">
        <v>1.5028554253080853E-4</v>
      </c>
    </row>
    <row r="21" spans="2:5" ht="15" customHeight="1">
      <c r="B21" s="90"/>
      <c r="C21" s="27" t="s">
        <v>7</v>
      </c>
      <c r="D21" s="26">
        <v>5</v>
      </c>
      <c r="E21" s="25">
        <v>7.514277126540427E-4</v>
      </c>
    </row>
    <row r="22" spans="2:5" ht="15" customHeight="1">
      <c r="B22" s="90"/>
      <c r="C22" s="27" t="s">
        <v>14</v>
      </c>
      <c r="D22" s="26">
        <v>1</v>
      </c>
      <c r="E22" s="25">
        <v>1.5028554253080853E-4</v>
      </c>
    </row>
    <row r="23" spans="2:5" ht="15" customHeight="1">
      <c r="B23" s="90"/>
      <c r="C23" s="27" t="s">
        <v>5</v>
      </c>
      <c r="D23" s="26">
        <v>6</v>
      </c>
      <c r="E23" s="25">
        <v>9.0171325518485117E-4</v>
      </c>
    </row>
    <row r="24" spans="2:5" ht="15" customHeight="1">
      <c r="B24" s="91"/>
      <c r="C24" s="24" t="s">
        <v>46</v>
      </c>
      <c r="D24" s="23">
        <v>45</v>
      </c>
      <c r="E24" s="22">
        <v>6.762849413886384E-3</v>
      </c>
    </row>
    <row r="25" spans="2:5" ht="15" customHeight="1">
      <c r="B25" s="89" t="s">
        <v>129</v>
      </c>
      <c r="C25" s="27" t="s">
        <v>4</v>
      </c>
      <c r="D25" s="26">
        <v>4</v>
      </c>
      <c r="E25" s="25">
        <v>6.0114217012323412E-4</v>
      </c>
    </row>
    <row r="26" spans="2:5" ht="15" customHeight="1">
      <c r="B26" s="90"/>
      <c r="C26" s="27" t="s">
        <v>10</v>
      </c>
      <c r="D26" s="26">
        <v>5</v>
      </c>
      <c r="E26" s="25">
        <v>7.514277126540427E-4</v>
      </c>
    </row>
    <row r="27" spans="2:5" ht="15" customHeight="1">
      <c r="B27" s="90"/>
      <c r="C27" s="27" t="s">
        <v>12</v>
      </c>
      <c r="D27" s="26">
        <v>1</v>
      </c>
      <c r="E27" s="25">
        <v>1.5028554253080853E-4</v>
      </c>
    </row>
    <row r="28" spans="2:5" ht="15" customHeight="1">
      <c r="B28" s="90"/>
      <c r="C28" s="27" t="s">
        <v>6</v>
      </c>
      <c r="D28" s="26">
        <v>2</v>
      </c>
      <c r="E28" s="25">
        <v>3.0057108506161706E-4</v>
      </c>
    </row>
    <row r="29" spans="2:5" ht="15" customHeight="1">
      <c r="B29" s="90"/>
      <c r="C29" s="27" t="s">
        <v>15</v>
      </c>
      <c r="D29" s="26">
        <v>1</v>
      </c>
      <c r="E29" s="25">
        <v>1.5028554253080853E-4</v>
      </c>
    </row>
    <row r="30" spans="2:5" ht="15" customHeight="1">
      <c r="B30" s="90"/>
      <c r="C30" s="27" t="s">
        <v>7</v>
      </c>
      <c r="D30" s="26">
        <v>2</v>
      </c>
      <c r="E30" s="25">
        <v>3.0057108506161706E-4</v>
      </c>
    </row>
    <row r="31" spans="2:5" ht="15" customHeight="1">
      <c r="B31" s="90"/>
      <c r="C31" s="27" t="s">
        <v>14</v>
      </c>
      <c r="D31" s="26">
        <v>1</v>
      </c>
      <c r="E31" s="25">
        <v>1.5028554253080853E-4</v>
      </c>
    </row>
    <row r="32" spans="2:5" ht="15" customHeight="1">
      <c r="B32" s="90"/>
      <c r="C32" s="27" t="s">
        <v>5</v>
      </c>
      <c r="D32" s="26">
        <v>4</v>
      </c>
      <c r="E32" s="25">
        <v>6.0114217012323412E-4</v>
      </c>
    </row>
    <row r="33" spans="2:5" ht="15" customHeight="1">
      <c r="B33" s="91"/>
      <c r="C33" s="24" t="s">
        <v>46</v>
      </c>
      <c r="D33" s="23">
        <v>20</v>
      </c>
      <c r="E33" s="22">
        <v>3.0057108506161708E-3</v>
      </c>
    </row>
    <row r="34" spans="2:5" ht="15" customHeight="1">
      <c r="B34" s="89" t="s">
        <v>128</v>
      </c>
      <c r="C34" s="27" t="s">
        <v>22</v>
      </c>
      <c r="D34" s="26">
        <v>1</v>
      </c>
      <c r="E34" s="25">
        <v>1.5028554253080853E-4</v>
      </c>
    </row>
    <row r="35" spans="2:5" ht="15" customHeight="1">
      <c r="B35" s="90"/>
      <c r="C35" s="27" t="s">
        <v>4</v>
      </c>
      <c r="D35" s="26">
        <v>9</v>
      </c>
      <c r="E35" s="25">
        <v>1.3525698827772769E-3</v>
      </c>
    </row>
    <row r="36" spans="2:5" ht="15" customHeight="1">
      <c r="B36" s="90"/>
      <c r="C36" s="27" t="s">
        <v>8</v>
      </c>
      <c r="D36" s="26">
        <v>3</v>
      </c>
      <c r="E36" s="25">
        <v>4.5085662759242559E-4</v>
      </c>
    </row>
    <row r="37" spans="2:5" ht="15" customHeight="1">
      <c r="B37" s="90"/>
      <c r="C37" s="27" t="s">
        <v>10</v>
      </c>
      <c r="D37" s="26">
        <v>1</v>
      </c>
      <c r="E37" s="25">
        <v>1.5028554253080853E-4</v>
      </c>
    </row>
    <row r="38" spans="2:5" ht="15" customHeight="1">
      <c r="B38" s="90"/>
      <c r="C38" s="27" t="s">
        <v>9</v>
      </c>
      <c r="D38" s="26">
        <v>4</v>
      </c>
      <c r="E38" s="25">
        <v>6.0114217012323412E-4</v>
      </c>
    </row>
    <row r="39" spans="2:5" ht="15" customHeight="1">
      <c r="B39" s="90"/>
      <c r="C39" s="27" t="s">
        <v>24</v>
      </c>
      <c r="D39" s="26">
        <v>1</v>
      </c>
      <c r="E39" s="25">
        <v>1.5028554253080853E-4</v>
      </c>
    </row>
    <row r="40" spans="2:5" ht="15" customHeight="1">
      <c r="B40" s="90"/>
      <c r="C40" s="27" t="s">
        <v>19</v>
      </c>
      <c r="D40" s="26">
        <v>2</v>
      </c>
      <c r="E40" s="25">
        <v>3.0057108506161706E-4</v>
      </c>
    </row>
    <row r="41" spans="2:5" ht="15" customHeight="1">
      <c r="B41" s="90"/>
      <c r="C41" s="27" t="s">
        <v>23</v>
      </c>
      <c r="D41" s="26">
        <v>1</v>
      </c>
      <c r="E41" s="25">
        <v>1.5028554253080853E-4</v>
      </c>
    </row>
    <row r="42" spans="2:5" ht="15" customHeight="1">
      <c r="B42" s="90"/>
      <c r="C42" s="27" t="s">
        <v>11</v>
      </c>
      <c r="D42" s="26">
        <v>1</v>
      </c>
      <c r="E42" s="25">
        <v>1.5028554253080853E-4</v>
      </c>
    </row>
    <row r="43" spans="2:5" ht="15" customHeight="1">
      <c r="B43" s="90"/>
      <c r="C43" s="27" t="s">
        <v>18</v>
      </c>
      <c r="D43" s="26">
        <v>2</v>
      </c>
      <c r="E43" s="25">
        <v>3.0057108506161706E-4</v>
      </c>
    </row>
    <row r="44" spans="2:5" ht="15" customHeight="1">
      <c r="B44" s="90"/>
      <c r="C44" s="27" t="s">
        <v>15</v>
      </c>
      <c r="D44" s="26">
        <v>3</v>
      </c>
      <c r="E44" s="25">
        <v>4.5085662759242559E-4</v>
      </c>
    </row>
    <row r="45" spans="2:5" ht="15" customHeight="1">
      <c r="B45" s="90"/>
      <c r="C45" s="27" t="s">
        <v>7</v>
      </c>
      <c r="D45" s="26">
        <v>2</v>
      </c>
      <c r="E45" s="25">
        <v>3.0057108506161706E-4</v>
      </c>
    </row>
    <row r="46" spans="2:5" ht="15" customHeight="1">
      <c r="B46" s="90"/>
      <c r="C46" s="27" t="s">
        <v>31</v>
      </c>
      <c r="D46" s="26">
        <v>1</v>
      </c>
      <c r="E46" s="25">
        <v>1.5028554253080853E-4</v>
      </c>
    </row>
    <row r="47" spans="2:5" ht="15" customHeight="1">
      <c r="B47" s="90"/>
      <c r="C47" s="27" t="s">
        <v>14</v>
      </c>
      <c r="D47" s="26">
        <v>1</v>
      </c>
      <c r="E47" s="25">
        <v>1.5028554253080853E-4</v>
      </c>
    </row>
    <row r="48" spans="2:5" ht="15" customHeight="1">
      <c r="B48" s="90"/>
      <c r="C48" s="27" t="s">
        <v>5</v>
      </c>
      <c r="D48" s="26">
        <v>5</v>
      </c>
      <c r="E48" s="25">
        <v>7.514277126540427E-4</v>
      </c>
    </row>
    <row r="49" spans="2:5" ht="15" customHeight="1">
      <c r="B49" s="91"/>
      <c r="C49" s="24" t="s">
        <v>46</v>
      </c>
      <c r="D49" s="23">
        <v>37</v>
      </c>
      <c r="E49" s="22">
        <v>5.5605650736399162E-3</v>
      </c>
    </row>
    <row r="50" spans="2:5" ht="15" customHeight="1">
      <c r="B50" s="89" t="s">
        <v>127</v>
      </c>
      <c r="C50" s="27" t="s">
        <v>22</v>
      </c>
      <c r="D50" s="26">
        <v>3</v>
      </c>
      <c r="E50" s="25">
        <v>4.5085662759242559E-4</v>
      </c>
    </row>
    <row r="51" spans="2:5" ht="15" customHeight="1">
      <c r="B51" s="90"/>
      <c r="C51" s="27" t="s">
        <v>4</v>
      </c>
      <c r="D51" s="26">
        <v>17</v>
      </c>
      <c r="E51" s="25">
        <v>2.5548542230237449E-3</v>
      </c>
    </row>
    <row r="52" spans="2:5" ht="15" customHeight="1">
      <c r="B52" s="90"/>
      <c r="C52" s="27" t="s">
        <v>8</v>
      </c>
      <c r="D52" s="26">
        <v>7</v>
      </c>
      <c r="E52" s="25">
        <v>1.0519987977156598E-3</v>
      </c>
    </row>
    <row r="53" spans="2:5" ht="15" customHeight="1">
      <c r="B53" s="90"/>
      <c r="C53" s="27" t="s">
        <v>10</v>
      </c>
      <c r="D53" s="26">
        <v>3</v>
      </c>
      <c r="E53" s="25">
        <v>4.5085662759242559E-4</v>
      </c>
    </row>
    <row r="54" spans="2:5" ht="15" customHeight="1">
      <c r="B54" s="90"/>
      <c r="C54" s="27" t="s">
        <v>26</v>
      </c>
      <c r="D54" s="26">
        <v>1</v>
      </c>
      <c r="E54" s="25">
        <v>1.5028554253080853E-4</v>
      </c>
    </row>
    <row r="55" spans="2:5" ht="15" customHeight="1">
      <c r="B55" s="90"/>
      <c r="C55" s="27" t="s">
        <v>6</v>
      </c>
      <c r="D55" s="26">
        <v>3</v>
      </c>
      <c r="E55" s="25">
        <v>4.5085662759242559E-4</v>
      </c>
    </row>
    <row r="56" spans="2:5" ht="15" customHeight="1">
      <c r="B56" s="90"/>
      <c r="C56" s="27" t="s">
        <v>9</v>
      </c>
      <c r="D56" s="26">
        <v>1</v>
      </c>
      <c r="E56" s="25">
        <v>1.5028554253080853E-4</v>
      </c>
    </row>
    <row r="57" spans="2:5" ht="15" customHeight="1">
      <c r="B57" s="90"/>
      <c r="C57" s="27" t="s">
        <v>16</v>
      </c>
      <c r="D57" s="26">
        <v>1</v>
      </c>
      <c r="E57" s="25">
        <v>1.5028554253080853E-4</v>
      </c>
    </row>
    <row r="58" spans="2:5" ht="15" customHeight="1">
      <c r="B58" s="90"/>
      <c r="C58" s="27" t="s">
        <v>36</v>
      </c>
      <c r="D58" s="26">
        <v>1</v>
      </c>
      <c r="E58" s="25">
        <v>1.5028554253080853E-4</v>
      </c>
    </row>
    <row r="59" spans="2:5" ht="15" customHeight="1">
      <c r="B59" s="90"/>
      <c r="C59" s="27" t="s">
        <v>25</v>
      </c>
      <c r="D59" s="26">
        <v>1</v>
      </c>
      <c r="E59" s="25">
        <v>1.5028554253080853E-4</v>
      </c>
    </row>
    <row r="60" spans="2:5" ht="15" customHeight="1">
      <c r="B60" s="90"/>
      <c r="C60" s="27" t="s">
        <v>23</v>
      </c>
      <c r="D60" s="26">
        <v>2</v>
      </c>
      <c r="E60" s="25">
        <v>3.0057108506161706E-4</v>
      </c>
    </row>
    <row r="61" spans="2:5" ht="15" customHeight="1">
      <c r="B61" s="90"/>
      <c r="C61" s="27" t="s">
        <v>11</v>
      </c>
      <c r="D61" s="26">
        <v>1</v>
      </c>
      <c r="E61" s="25">
        <v>1.5028554253080853E-4</v>
      </c>
    </row>
    <row r="62" spans="2:5" ht="15" customHeight="1">
      <c r="B62" s="90"/>
      <c r="C62" s="27" t="s">
        <v>15</v>
      </c>
      <c r="D62" s="26">
        <v>3</v>
      </c>
      <c r="E62" s="25">
        <v>4.5085662759242559E-4</v>
      </c>
    </row>
    <row r="63" spans="2:5" ht="15" customHeight="1">
      <c r="B63" s="90"/>
      <c r="C63" s="27" t="s">
        <v>7</v>
      </c>
      <c r="D63" s="26">
        <v>4</v>
      </c>
      <c r="E63" s="25">
        <v>6.0114217012323412E-4</v>
      </c>
    </row>
    <row r="64" spans="2:5" ht="15" customHeight="1">
      <c r="B64" s="90"/>
      <c r="C64" s="27" t="s">
        <v>37</v>
      </c>
      <c r="D64" s="26">
        <v>1</v>
      </c>
      <c r="E64" s="25">
        <v>1.5028554253080853E-4</v>
      </c>
    </row>
    <row r="65" spans="2:5" ht="15" customHeight="1">
      <c r="B65" s="90"/>
      <c r="C65" s="27" t="s">
        <v>5</v>
      </c>
      <c r="D65" s="26">
        <v>9</v>
      </c>
      <c r="E65" s="25">
        <v>1.3525698827772769E-3</v>
      </c>
    </row>
    <row r="66" spans="2:5" ht="15" customHeight="1">
      <c r="B66" s="90"/>
      <c r="C66" s="27" t="s">
        <v>20</v>
      </c>
      <c r="D66" s="26">
        <v>3</v>
      </c>
      <c r="E66" s="25">
        <v>4.5085662759242559E-4</v>
      </c>
    </row>
    <row r="67" spans="2:5" ht="15" customHeight="1">
      <c r="B67" s="90"/>
      <c r="C67" s="27" t="s">
        <v>27</v>
      </c>
      <c r="D67" s="26">
        <v>1</v>
      </c>
      <c r="E67" s="25">
        <v>1.5028554253080853E-4</v>
      </c>
    </row>
    <row r="68" spans="2:5" ht="15" customHeight="1">
      <c r="B68" s="91"/>
      <c r="C68" s="24" t="s">
        <v>46</v>
      </c>
      <c r="D68" s="23">
        <v>62</v>
      </c>
      <c r="E68" s="22">
        <v>9.3177036369101289E-3</v>
      </c>
    </row>
    <row r="69" spans="2:5" ht="15" customHeight="1">
      <c r="B69" s="89" t="s">
        <v>126</v>
      </c>
      <c r="C69" s="27" t="s">
        <v>22</v>
      </c>
      <c r="D69" s="26">
        <v>1</v>
      </c>
      <c r="E69" s="25">
        <v>1.5028554253080853E-4</v>
      </c>
    </row>
    <row r="70" spans="2:5" ht="15" customHeight="1">
      <c r="B70" s="90"/>
      <c r="C70" s="27" t="s">
        <v>4</v>
      </c>
      <c r="D70" s="26">
        <v>15</v>
      </c>
      <c r="E70" s="25">
        <v>2.254283137962128E-3</v>
      </c>
    </row>
    <row r="71" spans="2:5" ht="15" customHeight="1">
      <c r="B71" s="90"/>
      <c r="C71" s="27" t="s">
        <v>8</v>
      </c>
      <c r="D71" s="26">
        <v>8</v>
      </c>
      <c r="E71" s="25">
        <v>1.2022843402464682E-3</v>
      </c>
    </row>
    <row r="72" spans="2:5" ht="15" customHeight="1">
      <c r="B72" s="90"/>
      <c r="C72" s="27" t="s">
        <v>10</v>
      </c>
      <c r="D72" s="26">
        <v>1</v>
      </c>
      <c r="E72" s="25">
        <v>1.5028554253080853E-4</v>
      </c>
    </row>
    <row r="73" spans="2:5" ht="15" customHeight="1">
      <c r="B73" s="90"/>
      <c r="C73" s="27" t="s">
        <v>26</v>
      </c>
      <c r="D73" s="26">
        <v>1</v>
      </c>
      <c r="E73" s="25">
        <v>1.5028554253080853E-4</v>
      </c>
    </row>
    <row r="74" spans="2:5" ht="15" customHeight="1">
      <c r="B74" s="90"/>
      <c r="C74" s="27" t="s">
        <v>6</v>
      </c>
      <c r="D74" s="26">
        <v>2</v>
      </c>
      <c r="E74" s="25">
        <v>3.0057108506161706E-4</v>
      </c>
    </row>
    <row r="75" spans="2:5" ht="15" customHeight="1">
      <c r="B75" s="90"/>
      <c r="C75" s="27" t="s">
        <v>39</v>
      </c>
      <c r="D75" s="26">
        <v>1</v>
      </c>
      <c r="E75" s="25">
        <v>1.5028554253080853E-4</v>
      </c>
    </row>
    <row r="76" spans="2:5" ht="15" customHeight="1">
      <c r="B76" s="90"/>
      <c r="C76" s="27" t="s">
        <v>23</v>
      </c>
      <c r="D76" s="26">
        <v>1</v>
      </c>
      <c r="E76" s="25">
        <v>1.5028554253080853E-4</v>
      </c>
    </row>
    <row r="77" spans="2:5" ht="15" customHeight="1">
      <c r="B77" s="90"/>
      <c r="C77" s="27" t="s">
        <v>11</v>
      </c>
      <c r="D77" s="26">
        <v>1</v>
      </c>
      <c r="E77" s="25">
        <v>1.5028554253080853E-4</v>
      </c>
    </row>
    <row r="78" spans="2:5" ht="15" customHeight="1">
      <c r="B78" s="90"/>
      <c r="C78" s="27" t="s">
        <v>18</v>
      </c>
      <c r="D78" s="26">
        <v>3</v>
      </c>
      <c r="E78" s="25">
        <v>4.5085662759242559E-4</v>
      </c>
    </row>
    <row r="79" spans="2:5" ht="15" customHeight="1">
      <c r="B79" s="90"/>
      <c r="C79" s="27" t="s">
        <v>15</v>
      </c>
      <c r="D79" s="26">
        <v>2</v>
      </c>
      <c r="E79" s="25">
        <v>3.0057108506161706E-4</v>
      </c>
    </row>
    <row r="80" spans="2:5" ht="15" customHeight="1">
      <c r="B80" s="90"/>
      <c r="C80" s="27" t="s">
        <v>7</v>
      </c>
      <c r="D80" s="26">
        <v>5</v>
      </c>
      <c r="E80" s="25">
        <v>7.514277126540427E-4</v>
      </c>
    </row>
    <row r="81" spans="2:5" ht="15" customHeight="1">
      <c r="B81" s="90"/>
      <c r="C81" s="27" t="s">
        <v>32</v>
      </c>
      <c r="D81" s="26">
        <v>2</v>
      </c>
      <c r="E81" s="25">
        <v>3.0057108506161706E-4</v>
      </c>
    </row>
    <row r="82" spans="2:5" ht="15" customHeight="1">
      <c r="B82" s="90"/>
      <c r="C82" s="27" t="s">
        <v>14</v>
      </c>
      <c r="D82" s="26">
        <v>1</v>
      </c>
      <c r="E82" s="25">
        <v>1.5028554253080853E-4</v>
      </c>
    </row>
    <row r="83" spans="2:5" ht="15" customHeight="1">
      <c r="B83" s="90"/>
      <c r="C83" s="27" t="s">
        <v>5</v>
      </c>
      <c r="D83" s="26">
        <v>9</v>
      </c>
      <c r="E83" s="25">
        <v>1.3525698827772769E-3</v>
      </c>
    </row>
    <row r="84" spans="2:5" ht="15" customHeight="1">
      <c r="B84" s="90"/>
      <c r="C84" s="27" t="s">
        <v>20</v>
      </c>
      <c r="D84" s="26">
        <v>1</v>
      </c>
      <c r="E84" s="25">
        <v>1.5028554253080853E-4</v>
      </c>
    </row>
    <row r="85" spans="2:5" ht="15" customHeight="1">
      <c r="B85" s="90"/>
      <c r="C85" s="27" t="s">
        <v>17</v>
      </c>
      <c r="D85" s="26">
        <v>1</v>
      </c>
      <c r="E85" s="25">
        <v>1.5028554253080853E-4</v>
      </c>
    </row>
    <row r="86" spans="2:5" ht="15" customHeight="1">
      <c r="B86" s="91"/>
      <c r="C86" s="24" t="s">
        <v>46</v>
      </c>
      <c r="D86" s="23">
        <v>55</v>
      </c>
      <c r="E86" s="22">
        <v>8.2657048391944696E-3</v>
      </c>
    </row>
    <row r="87" spans="2:5" ht="15" customHeight="1">
      <c r="B87" s="89" t="s">
        <v>125</v>
      </c>
      <c r="C87" s="27" t="s">
        <v>22</v>
      </c>
      <c r="D87" s="26">
        <v>4</v>
      </c>
      <c r="E87" s="25">
        <v>6.0114217012323412E-4</v>
      </c>
    </row>
    <row r="88" spans="2:5" ht="15" customHeight="1">
      <c r="B88" s="90"/>
      <c r="C88" s="27" t="s">
        <v>13</v>
      </c>
      <c r="D88" s="26">
        <v>1</v>
      </c>
      <c r="E88" s="25">
        <v>1.5028554253080853E-4</v>
      </c>
    </row>
    <row r="89" spans="2:5" ht="15" customHeight="1">
      <c r="B89" s="90"/>
      <c r="C89" s="27" t="s">
        <v>4</v>
      </c>
      <c r="D89" s="26">
        <v>19</v>
      </c>
      <c r="E89" s="25">
        <v>2.8554253080853623E-3</v>
      </c>
    </row>
    <row r="90" spans="2:5" ht="15" customHeight="1">
      <c r="B90" s="90"/>
      <c r="C90" s="27" t="s">
        <v>8</v>
      </c>
      <c r="D90" s="26">
        <v>6</v>
      </c>
      <c r="E90" s="25">
        <v>9.0171325518485117E-4</v>
      </c>
    </row>
    <row r="91" spans="2:5" ht="15" customHeight="1">
      <c r="B91" s="90"/>
      <c r="C91" s="27" t="s">
        <v>10</v>
      </c>
      <c r="D91" s="26">
        <v>4</v>
      </c>
      <c r="E91" s="25">
        <v>6.0114217012323412E-4</v>
      </c>
    </row>
    <row r="92" spans="2:5" ht="15" customHeight="1">
      <c r="B92" s="90"/>
      <c r="C92" s="27" t="s">
        <v>12</v>
      </c>
      <c r="D92" s="26">
        <v>3</v>
      </c>
      <c r="E92" s="25">
        <v>4.5085662759242559E-4</v>
      </c>
    </row>
    <row r="93" spans="2:5" ht="15" customHeight="1">
      <c r="B93" s="90"/>
      <c r="C93" s="27" t="s">
        <v>26</v>
      </c>
      <c r="D93" s="26">
        <v>4</v>
      </c>
      <c r="E93" s="25">
        <v>6.0114217012323412E-4</v>
      </c>
    </row>
    <row r="94" spans="2:5" ht="15" customHeight="1">
      <c r="B94" s="90"/>
      <c r="C94" s="27" t="s">
        <v>6</v>
      </c>
      <c r="D94" s="26">
        <v>5</v>
      </c>
      <c r="E94" s="25">
        <v>7.514277126540427E-4</v>
      </c>
    </row>
    <row r="95" spans="2:5" ht="15" customHeight="1">
      <c r="B95" s="90"/>
      <c r="C95" s="27" t="s">
        <v>9</v>
      </c>
      <c r="D95" s="26">
        <v>7</v>
      </c>
      <c r="E95" s="25">
        <v>1.0519987977156598E-3</v>
      </c>
    </row>
    <row r="96" spans="2:5" ht="15" customHeight="1">
      <c r="B96" s="90"/>
      <c r="C96" s="27" t="s">
        <v>24</v>
      </c>
      <c r="D96" s="26">
        <v>1</v>
      </c>
      <c r="E96" s="25">
        <v>1.5028554253080853E-4</v>
      </c>
    </row>
    <row r="97" spans="2:5" ht="15" customHeight="1">
      <c r="B97" s="90"/>
      <c r="C97" s="27" t="s">
        <v>19</v>
      </c>
      <c r="D97" s="26">
        <v>2</v>
      </c>
      <c r="E97" s="25">
        <v>3.0057108506161706E-4</v>
      </c>
    </row>
    <row r="98" spans="2:5" ht="15" customHeight="1">
      <c r="B98" s="90"/>
      <c r="C98" s="27" t="s">
        <v>23</v>
      </c>
      <c r="D98" s="26">
        <v>2</v>
      </c>
      <c r="E98" s="25">
        <v>3.0057108506161706E-4</v>
      </c>
    </row>
    <row r="99" spans="2:5" ht="15" customHeight="1">
      <c r="B99" s="90"/>
      <c r="C99" s="27" t="s">
        <v>11</v>
      </c>
      <c r="D99" s="26">
        <v>4</v>
      </c>
      <c r="E99" s="25">
        <v>6.0114217012323412E-4</v>
      </c>
    </row>
    <row r="100" spans="2:5" ht="15" customHeight="1">
      <c r="B100" s="90"/>
      <c r="C100" s="27" t="s">
        <v>18</v>
      </c>
      <c r="D100" s="26">
        <v>1</v>
      </c>
      <c r="E100" s="25">
        <v>1.5028554253080853E-4</v>
      </c>
    </row>
    <row r="101" spans="2:5" ht="15" customHeight="1">
      <c r="B101" s="90"/>
      <c r="C101" s="27" t="s">
        <v>15</v>
      </c>
      <c r="D101" s="26">
        <v>3</v>
      </c>
      <c r="E101" s="25">
        <v>4.5085662759242559E-4</v>
      </c>
    </row>
    <row r="102" spans="2:5" ht="15" customHeight="1">
      <c r="B102" s="90"/>
      <c r="C102" s="27" t="s">
        <v>44</v>
      </c>
      <c r="D102" s="26">
        <v>1</v>
      </c>
      <c r="E102" s="25">
        <v>1.5028554253080853E-4</v>
      </c>
    </row>
    <row r="103" spans="2:5" ht="15" customHeight="1">
      <c r="B103" s="90"/>
      <c r="C103" s="27" t="s">
        <v>7</v>
      </c>
      <c r="D103" s="26">
        <v>5</v>
      </c>
      <c r="E103" s="25">
        <v>7.514277126540427E-4</v>
      </c>
    </row>
    <row r="104" spans="2:5" ht="15" customHeight="1">
      <c r="B104" s="90"/>
      <c r="C104" s="27" t="s">
        <v>31</v>
      </c>
      <c r="D104" s="26">
        <v>1</v>
      </c>
      <c r="E104" s="25">
        <v>1.5028554253080853E-4</v>
      </c>
    </row>
    <row r="105" spans="2:5" ht="15" customHeight="1">
      <c r="B105" s="90"/>
      <c r="C105" s="27" t="s">
        <v>14</v>
      </c>
      <c r="D105" s="26">
        <v>3</v>
      </c>
      <c r="E105" s="25">
        <v>4.5085662759242559E-4</v>
      </c>
    </row>
    <row r="106" spans="2:5" ht="15" customHeight="1">
      <c r="B106" s="90"/>
      <c r="C106" s="27" t="s">
        <v>5</v>
      </c>
      <c r="D106" s="26">
        <v>14</v>
      </c>
      <c r="E106" s="25">
        <v>2.1039975954313195E-3</v>
      </c>
    </row>
    <row r="107" spans="2:5" ht="15" customHeight="1">
      <c r="B107" s="90"/>
      <c r="C107" s="27" t="s">
        <v>20</v>
      </c>
      <c r="D107" s="26">
        <v>1</v>
      </c>
      <c r="E107" s="25">
        <v>1.5028554253080853E-4</v>
      </c>
    </row>
    <row r="108" spans="2:5" ht="15" customHeight="1">
      <c r="B108" s="90"/>
      <c r="C108" s="27" t="s">
        <v>17</v>
      </c>
      <c r="D108" s="26">
        <v>1</v>
      </c>
      <c r="E108" s="25">
        <v>1.5028554253080853E-4</v>
      </c>
    </row>
    <row r="109" spans="2:5" ht="15" customHeight="1">
      <c r="B109" s="91"/>
      <c r="C109" s="24" t="s">
        <v>46</v>
      </c>
      <c r="D109" s="23">
        <v>92</v>
      </c>
      <c r="E109" s="22">
        <v>1.3826269912834385E-2</v>
      </c>
    </row>
    <row r="110" spans="2:5" ht="15" customHeight="1">
      <c r="B110" s="89" t="s">
        <v>124</v>
      </c>
      <c r="C110" s="27" t="s">
        <v>35</v>
      </c>
      <c r="D110" s="26">
        <v>3</v>
      </c>
      <c r="E110" s="25">
        <v>4.5085662759242559E-4</v>
      </c>
    </row>
    <row r="111" spans="2:5" ht="15" customHeight="1">
      <c r="B111" s="90"/>
      <c r="C111" s="27" t="s">
        <v>22</v>
      </c>
      <c r="D111" s="26">
        <v>8</v>
      </c>
      <c r="E111" s="25">
        <v>1.2022843402464682E-3</v>
      </c>
    </row>
    <row r="112" spans="2:5" ht="15" customHeight="1">
      <c r="B112" s="90"/>
      <c r="C112" s="27" t="s">
        <v>4</v>
      </c>
      <c r="D112" s="26">
        <v>110</v>
      </c>
      <c r="E112" s="25">
        <v>1.6531409678388939E-2</v>
      </c>
    </row>
    <row r="113" spans="2:5" ht="15" customHeight="1">
      <c r="B113" s="90"/>
      <c r="C113" s="27" t="s">
        <v>8</v>
      </c>
      <c r="D113" s="26">
        <v>41</v>
      </c>
      <c r="E113" s="25">
        <v>6.1617072437631501E-3</v>
      </c>
    </row>
    <row r="114" spans="2:5" ht="15" customHeight="1">
      <c r="B114" s="90"/>
      <c r="C114" s="27" t="s">
        <v>38</v>
      </c>
      <c r="D114" s="26">
        <v>1</v>
      </c>
      <c r="E114" s="25">
        <v>1.5028554253080853E-4</v>
      </c>
    </row>
    <row r="115" spans="2:5" ht="15" customHeight="1">
      <c r="B115" s="90"/>
      <c r="C115" s="27" t="s">
        <v>41</v>
      </c>
      <c r="D115" s="26">
        <v>1</v>
      </c>
      <c r="E115" s="25">
        <v>1.5028554253080853E-4</v>
      </c>
    </row>
    <row r="116" spans="2:5" ht="15" customHeight="1">
      <c r="B116" s="90"/>
      <c r="C116" s="27" t="s">
        <v>10</v>
      </c>
      <c r="D116" s="26">
        <v>7</v>
      </c>
      <c r="E116" s="25">
        <v>1.0519987977156598E-3</v>
      </c>
    </row>
    <row r="117" spans="2:5" ht="15" customHeight="1">
      <c r="B117" s="90"/>
      <c r="C117" s="27" t="s">
        <v>12</v>
      </c>
      <c r="D117" s="26">
        <v>4</v>
      </c>
      <c r="E117" s="25">
        <v>6.0114217012323412E-4</v>
      </c>
    </row>
    <row r="118" spans="2:5" ht="15" customHeight="1">
      <c r="B118" s="90"/>
      <c r="C118" s="27" t="s">
        <v>26</v>
      </c>
      <c r="D118" s="26">
        <v>3</v>
      </c>
      <c r="E118" s="25">
        <v>4.5085662759242559E-4</v>
      </c>
    </row>
    <row r="119" spans="2:5" ht="15" customHeight="1">
      <c r="B119" s="90"/>
      <c r="C119" s="27" t="s">
        <v>6</v>
      </c>
      <c r="D119" s="26">
        <v>52</v>
      </c>
      <c r="E119" s="25">
        <v>7.8148482116020442E-3</v>
      </c>
    </row>
    <row r="120" spans="2:5" ht="15" customHeight="1">
      <c r="B120" s="90"/>
      <c r="C120" s="27" t="s">
        <v>9</v>
      </c>
      <c r="D120" s="26">
        <v>31</v>
      </c>
      <c r="E120" s="25">
        <v>4.6588518184550645E-3</v>
      </c>
    </row>
    <row r="121" spans="2:5" ht="15" customHeight="1">
      <c r="B121" s="90"/>
      <c r="C121" s="27" t="s">
        <v>24</v>
      </c>
      <c r="D121" s="26">
        <v>5</v>
      </c>
      <c r="E121" s="25">
        <v>7.514277126540427E-4</v>
      </c>
    </row>
    <row r="122" spans="2:5" ht="15" customHeight="1">
      <c r="B122" s="90"/>
      <c r="C122" s="27" t="s">
        <v>16</v>
      </c>
      <c r="D122" s="26">
        <v>2</v>
      </c>
      <c r="E122" s="25">
        <v>3.0057108506161706E-4</v>
      </c>
    </row>
    <row r="123" spans="2:5" ht="15" customHeight="1">
      <c r="B123" s="90"/>
      <c r="C123" s="27" t="s">
        <v>19</v>
      </c>
      <c r="D123" s="26">
        <v>12</v>
      </c>
      <c r="E123" s="25">
        <v>1.8034265103697023E-3</v>
      </c>
    </row>
    <row r="124" spans="2:5" ht="15" customHeight="1">
      <c r="B124" s="90"/>
      <c r="C124" s="27" t="s">
        <v>29</v>
      </c>
      <c r="D124" s="26">
        <v>1</v>
      </c>
      <c r="E124" s="25">
        <v>1.5028554253080853E-4</v>
      </c>
    </row>
    <row r="125" spans="2:5" ht="15" customHeight="1">
      <c r="B125" s="90"/>
      <c r="C125" s="27" t="s">
        <v>28</v>
      </c>
      <c r="D125" s="26">
        <v>3</v>
      </c>
      <c r="E125" s="25">
        <v>4.5085662759242559E-4</v>
      </c>
    </row>
    <row r="126" spans="2:5" ht="15" customHeight="1">
      <c r="B126" s="90"/>
      <c r="C126" s="27" t="s">
        <v>30</v>
      </c>
      <c r="D126" s="26">
        <v>3</v>
      </c>
      <c r="E126" s="25">
        <v>4.5085662759242559E-4</v>
      </c>
    </row>
    <row r="127" spans="2:5" ht="15" customHeight="1">
      <c r="B127" s="90"/>
      <c r="C127" s="27" t="s">
        <v>25</v>
      </c>
      <c r="D127" s="26">
        <v>1</v>
      </c>
      <c r="E127" s="25">
        <v>1.5028554253080853E-4</v>
      </c>
    </row>
    <row r="128" spans="2:5" ht="15" customHeight="1">
      <c r="B128" s="90"/>
      <c r="C128" s="27" t="s">
        <v>23</v>
      </c>
      <c r="D128" s="26">
        <v>3</v>
      </c>
      <c r="E128" s="25">
        <v>4.5085662759242559E-4</v>
      </c>
    </row>
    <row r="129" spans="2:5" ht="15" customHeight="1">
      <c r="B129" s="90"/>
      <c r="C129" s="27" t="s">
        <v>11</v>
      </c>
      <c r="D129" s="26">
        <v>10</v>
      </c>
      <c r="E129" s="25">
        <v>1.5028554253080854E-3</v>
      </c>
    </row>
    <row r="130" spans="2:5" ht="15" customHeight="1">
      <c r="B130" s="90"/>
      <c r="C130" s="27" t="s">
        <v>18</v>
      </c>
      <c r="D130" s="26">
        <v>3</v>
      </c>
      <c r="E130" s="25">
        <v>4.5085662759242559E-4</v>
      </c>
    </row>
    <row r="131" spans="2:5" ht="15" customHeight="1">
      <c r="B131" s="90"/>
      <c r="C131" s="27" t="s">
        <v>33</v>
      </c>
      <c r="D131" s="26">
        <v>1</v>
      </c>
      <c r="E131" s="25">
        <v>1.5028554253080853E-4</v>
      </c>
    </row>
    <row r="132" spans="2:5" ht="15" customHeight="1">
      <c r="B132" s="90"/>
      <c r="C132" s="27" t="s">
        <v>15</v>
      </c>
      <c r="D132" s="26">
        <v>9</v>
      </c>
      <c r="E132" s="25">
        <v>1.3525698827772769E-3</v>
      </c>
    </row>
    <row r="133" spans="2:5" ht="15" customHeight="1">
      <c r="B133" s="90"/>
      <c r="C133" s="27" t="s">
        <v>34</v>
      </c>
      <c r="D133" s="26">
        <v>2</v>
      </c>
      <c r="E133" s="25">
        <v>3.0057108506161706E-4</v>
      </c>
    </row>
    <row r="134" spans="2:5" ht="15" customHeight="1">
      <c r="B134" s="90"/>
      <c r="C134" s="27" t="s">
        <v>7</v>
      </c>
      <c r="D134" s="26">
        <v>32</v>
      </c>
      <c r="E134" s="25">
        <v>4.8091373609858729E-3</v>
      </c>
    </row>
    <row r="135" spans="2:5" ht="15" customHeight="1">
      <c r="B135" s="90"/>
      <c r="C135" s="27" t="s">
        <v>31</v>
      </c>
      <c r="D135" s="26">
        <v>3</v>
      </c>
      <c r="E135" s="25">
        <v>4.5085662759242559E-4</v>
      </c>
    </row>
    <row r="136" spans="2:5" ht="15" customHeight="1">
      <c r="B136" s="90"/>
      <c r="C136" s="27" t="s">
        <v>37</v>
      </c>
      <c r="D136" s="26">
        <v>1</v>
      </c>
      <c r="E136" s="25">
        <v>1.5028554253080853E-4</v>
      </c>
    </row>
    <row r="137" spans="2:5" ht="15" customHeight="1">
      <c r="B137" s="90"/>
      <c r="C137" s="27" t="s">
        <v>32</v>
      </c>
      <c r="D137" s="26">
        <v>2</v>
      </c>
      <c r="E137" s="25">
        <v>3.0057108506161706E-4</v>
      </c>
    </row>
    <row r="138" spans="2:5" ht="15" customHeight="1">
      <c r="B138" s="90"/>
      <c r="C138" s="27" t="s">
        <v>45</v>
      </c>
      <c r="D138" s="26">
        <v>1</v>
      </c>
      <c r="E138" s="25">
        <v>1.5028554253080853E-4</v>
      </c>
    </row>
    <row r="139" spans="2:5" ht="15" customHeight="1">
      <c r="B139" s="90"/>
      <c r="C139" s="27" t="s">
        <v>14</v>
      </c>
      <c r="D139" s="26">
        <v>7</v>
      </c>
      <c r="E139" s="25">
        <v>1.0519987977156598E-3</v>
      </c>
    </row>
    <row r="140" spans="2:5" ht="15" customHeight="1">
      <c r="B140" s="90"/>
      <c r="C140" s="27" t="s">
        <v>5</v>
      </c>
      <c r="D140" s="26">
        <v>94</v>
      </c>
      <c r="E140" s="25">
        <v>1.4126840997896002E-2</v>
      </c>
    </row>
    <row r="141" spans="2:5" ht="15" customHeight="1">
      <c r="B141" s="90"/>
      <c r="C141" s="27" t="s">
        <v>20</v>
      </c>
      <c r="D141" s="26">
        <v>9</v>
      </c>
      <c r="E141" s="25">
        <v>1.3525698827772769E-3</v>
      </c>
    </row>
    <row r="142" spans="2:5" ht="15" customHeight="1">
      <c r="B142" s="90"/>
      <c r="C142" s="27" t="s">
        <v>27</v>
      </c>
      <c r="D142" s="26">
        <v>1</v>
      </c>
      <c r="E142" s="25">
        <v>1.5028554253080853E-4</v>
      </c>
    </row>
    <row r="143" spans="2:5" ht="15" customHeight="1">
      <c r="B143" s="90"/>
      <c r="C143" s="27" t="s">
        <v>17</v>
      </c>
      <c r="D143" s="26">
        <v>1</v>
      </c>
      <c r="E143" s="25">
        <v>1.5028554253080853E-4</v>
      </c>
    </row>
    <row r="144" spans="2:5" ht="15" customHeight="1">
      <c r="B144" s="90"/>
      <c r="C144" s="27" t="s">
        <v>21</v>
      </c>
      <c r="D144" s="26">
        <v>2</v>
      </c>
      <c r="E144" s="25">
        <v>3.0057108506161706E-4</v>
      </c>
    </row>
    <row r="145" spans="2:5" ht="15" customHeight="1">
      <c r="B145" s="90"/>
      <c r="C145" s="27" t="s">
        <v>42</v>
      </c>
      <c r="D145" s="26">
        <v>1</v>
      </c>
      <c r="E145" s="25">
        <v>1.5028554253080853E-4</v>
      </c>
    </row>
    <row r="146" spans="2:5" ht="15" customHeight="1">
      <c r="B146" s="91"/>
      <c r="C146" s="24" t="s">
        <v>46</v>
      </c>
      <c r="D146" s="23">
        <v>470</v>
      </c>
      <c r="E146" s="22">
        <v>7.0634204989480018E-2</v>
      </c>
    </row>
    <row r="147" spans="2:5" ht="15" customHeight="1">
      <c r="B147" s="89" t="s">
        <v>123</v>
      </c>
      <c r="C147" s="27" t="s">
        <v>35</v>
      </c>
      <c r="D147" s="26">
        <v>4</v>
      </c>
      <c r="E147" s="25">
        <v>6.0114217012323412E-4</v>
      </c>
    </row>
    <row r="148" spans="2:5" ht="15" customHeight="1">
      <c r="B148" s="90"/>
      <c r="C148" s="27" t="s">
        <v>22</v>
      </c>
      <c r="D148" s="26">
        <v>12</v>
      </c>
      <c r="E148" s="25">
        <v>1.8034265103697023E-3</v>
      </c>
    </row>
    <row r="149" spans="2:5" ht="15" customHeight="1">
      <c r="B149" s="90"/>
      <c r="C149" s="27" t="s">
        <v>13</v>
      </c>
      <c r="D149" s="26">
        <v>5</v>
      </c>
      <c r="E149" s="25">
        <v>7.514277126540427E-4</v>
      </c>
    </row>
    <row r="150" spans="2:5" ht="15" customHeight="1">
      <c r="B150" s="90"/>
      <c r="C150" s="27" t="s">
        <v>4</v>
      </c>
      <c r="D150" s="26">
        <v>152</v>
      </c>
      <c r="E150" s="25">
        <v>2.2843402464682899E-2</v>
      </c>
    </row>
    <row r="151" spans="2:5" ht="15" customHeight="1">
      <c r="B151" s="90"/>
      <c r="C151" s="27" t="s">
        <v>8</v>
      </c>
      <c r="D151" s="26">
        <v>48</v>
      </c>
      <c r="E151" s="25">
        <v>7.2137060414788094E-3</v>
      </c>
    </row>
    <row r="152" spans="2:5" ht="15" customHeight="1">
      <c r="B152" s="90"/>
      <c r="C152" s="27" t="s">
        <v>38</v>
      </c>
      <c r="D152" s="26">
        <v>2</v>
      </c>
      <c r="E152" s="25">
        <v>3.0057108506161706E-4</v>
      </c>
    </row>
    <row r="153" spans="2:5" ht="15" customHeight="1">
      <c r="B153" s="90"/>
      <c r="C153" s="27" t="s">
        <v>41</v>
      </c>
      <c r="D153" s="26">
        <v>1</v>
      </c>
      <c r="E153" s="25">
        <v>1.5028554253080853E-4</v>
      </c>
    </row>
    <row r="154" spans="2:5" ht="15" customHeight="1">
      <c r="B154" s="90"/>
      <c r="C154" s="27" t="s">
        <v>10</v>
      </c>
      <c r="D154" s="26">
        <v>26</v>
      </c>
      <c r="E154" s="25">
        <v>3.9074241058010221E-3</v>
      </c>
    </row>
    <row r="155" spans="2:5" ht="15" customHeight="1">
      <c r="B155" s="90"/>
      <c r="C155" s="27" t="s">
        <v>12</v>
      </c>
      <c r="D155" s="26">
        <v>18</v>
      </c>
      <c r="E155" s="25">
        <v>2.7051397655545538E-3</v>
      </c>
    </row>
    <row r="156" spans="2:5" ht="15" customHeight="1">
      <c r="B156" s="90"/>
      <c r="C156" s="27" t="s">
        <v>26</v>
      </c>
      <c r="D156" s="26">
        <v>4</v>
      </c>
      <c r="E156" s="25">
        <v>6.0114217012323412E-4</v>
      </c>
    </row>
    <row r="157" spans="2:5" ht="15" customHeight="1">
      <c r="B157" s="90"/>
      <c r="C157" s="27" t="s">
        <v>6</v>
      </c>
      <c r="D157" s="26">
        <v>145</v>
      </c>
      <c r="E157" s="25">
        <v>2.1791403666967239E-2</v>
      </c>
    </row>
    <row r="158" spans="2:5" ht="15" customHeight="1">
      <c r="B158" s="90"/>
      <c r="C158" s="27" t="s">
        <v>9</v>
      </c>
      <c r="D158" s="26">
        <v>93</v>
      </c>
      <c r="E158" s="25">
        <v>1.3976555455365193E-2</v>
      </c>
    </row>
    <row r="159" spans="2:5" ht="15" customHeight="1">
      <c r="B159" s="90"/>
      <c r="C159" s="27" t="s">
        <v>24</v>
      </c>
      <c r="D159" s="26">
        <v>9</v>
      </c>
      <c r="E159" s="25">
        <v>1.3525698827772769E-3</v>
      </c>
    </row>
    <row r="160" spans="2:5" ht="15" customHeight="1">
      <c r="B160" s="90"/>
      <c r="C160" s="27" t="s">
        <v>16</v>
      </c>
      <c r="D160" s="26">
        <v>4</v>
      </c>
      <c r="E160" s="25">
        <v>6.0114217012323412E-4</v>
      </c>
    </row>
    <row r="161" spans="2:5" ht="15" customHeight="1">
      <c r="B161" s="90"/>
      <c r="C161" s="27" t="s">
        <v>19</v>
      </c>
      <c r="D161" s="26">
        <v>19</v>
      </c>
      <c r="E161" s="25">
        <v>2.8554253080853623E-3</v>
      </c>
    </row>
    <row r="162" spans="2:5" ht="15" customHeight="1">
      <c r="B162" s="90"/>
      <c r="C162" s="27" t="s">
        <v>29</v>
      </c>
      <c r="D162" s="26">
        <v>2</v>
      </c>
      <c r="E162" s="25">
        <v>3.0057108506161706E-4</v>
      </c>
    </row>
    <row r="163" spans="2:5" ht="15" customHeight="1">
      <c r="B163" s="90"/>
      <c r="C163" s="27" t="s">
        <v>39</v>
      </c>
      <c r="D163" s="26">
        <v>3</v>
      </c>
      <c r="E163" s="25">
        <v>4.5085662759242559E-4</v>
      </c>
    </row>
    <row r="164" spans="2:5" ht="15" customHeight="1">
      <c r="B164" s="90"/>
      <c r="C164" s="27" t="s">
        <v>28</v>
      </c>
      <c r="D164" s="26">
        <v>4</v>
      </c>
      <c r="E164" s="25">
        <v>6.0114217012323412E-4</v>
      </c>
    </row>
    <row r="165" spans="2:5" ht="15" customHeight="1">
      <c r="B165" s="90"/>
      <c r="C165" s="27" t="s">
        <v>30</v>
      </c>
      <c r="D165" s="26">
        <v>7</v>
      </c>
      <c r="E165" s="25">
        <v>1.0519987977156598E-3</v>
      </c>
    </row>
    <row r="166" spans="2:5" ht="15" customHeight="1">
      <c r="B166" s="90"/>
      <c r="C166" s="27" t="s">
        <v>36</v>
      </c>
      <c r="D166" s="26">
        <v>3</v>
      </c>
      <c r="E166" s="25">
        <v>4.5085662759242559E-4</v>
      </c>
    </row>
    <row r="167" spans="2:5" ht="15" customHeight="1">
      <c r="B167" s="90"/>
      <c r="C167" s="27" t="s">
        <v>25</v>
      </c>
      <c r="D167" s="26">
        <v>4</v>
      </c>
      <c r="E167" s="25">
        <v>6.0114217012323412E-4</v>
      </c>
    </row>
    <row r="168" spans="2:5" ht="15" customHeight="1">
      <c r="B168" s="90"/>
      <c r="C168" s="27" t="s">
        <v>23</v>
      </c>
      <c r="D168" s="26">
        <v>14</v>
      </c>
      <c r="E168" s="25">
        <v>2.1039975954313195E-3</v>
      </c>
    </row>
    <row r="169" spans="2:5" ht="15" customHeight="1">
      <c r="B169" s="90"/>
      <c r="C169" s="27" t="s">
        <v>11</v>
      </c>
      <c r="D169" s="26">
        <v>25</v>
      </c>
      <c r="E169" s="25">
        <v>3.7571385632702136E-3</v>
      </c>
    </row>
    <row r="170" spans="2:5" ht="15" customHeight="1">
      <c r="B170" s="90"/>
      <c r="C170" s="27" t="s">
        <v>40</v>
      </c>
      <c r="D170" s="26">
        <v>1</v>
      </c>
      <c r="E170" s="25">
        <v>1.5028554253080853E-4</v>
      </c>
    </row>
    <row r="171" spans="2:5" ht="15" customHeight="1">
      <c r="B171" s="90"/>
      <c r="C171" s="27" t="s">
        <v>18</v>
      </c>
      <c r="D171" s="26">
        <v>13</v>
      </c>
      <c r="E171" s="25">
        <v>1.953712052900511E-3</v>
      </c>
    </row>
    <row r="172" spans="2:5" ht="15" customHeight="1">
      <c r="B172" s="90"/>
      <c r="C172" s="27" t="s">
        <v>33</v>
      </c>
      <c r="D172" s="26">
        <v>4</v>
      </c>
      <c r="E172" s="25">
        <v>6.0114217012323412E-4</v>
      </c>
    </row>
    <row r="173" spans="2:5" ht="15" customHeight="1">
      <c r="B173" s="90"/>
      <c r="C173" s="27" t="s">
        <v>15</v>
      </c>
      <c r="D173" s="26">
        <v>33</v>
      </c>
      <c r="E173" s="25">
        <v>4.9594229035166814E-3</v>
      </c>
    </row>
    <row r="174" spans="2:5" ht="15" customHeight="1">
      <c r="B174" s="90"/>
      <c r="C174" s="27" t="s">
        <v>34</v>
      </c>
      <c r="D174" s="26">
        <v>2</v>
      </c>
      <c r="E174" s="25">
        <v>3.0057108506161706E-4</v>
      </c>
    </row>
    <row r="175" spans="2:5" ht="15" customHeight="1">
      <c r="B175" s="90"/>
      <c r="C175" s="27" t="s">
        <v>7</v>
      </c>
      <c r="D175" s="26">
        <v>66</v>
      </c>
      <c r="E175" s="25">
        <v>9.9188458070333628E-3</v>
      </c>
    </row>
    <row r="176" spans="2:5" ht="15" customHeight="1">
      <c r="B176" s="90"/>
      <c r="C176" s="27" t="s">
        <v>31</v>
      </c>
      <c r="D176" s="26">
        <v>2</v>
      </c>
      <c r="E176" s="25">
        <v>3.0057108506161706E-4</v>
      </c>
    </row>
    <row r="177" spans="2:5" ht="15" customHeight="1">
      <c r="B177" s="90"/>
      <c r="C177" s="27" t="s">
        <v>37</v>
      </c>
      <c r="D177" s="26">
        <v>2</v>
      </c>
      <c r="E177" s="25">
        <v>3.0057108506161706E-4</v>
      </c>
    </row>
    <row r="178" spans="2:5" ht="15" customHeight="1">
      <c r="B178" s="90"/>
      <c r="C178" s="27" t="s">
        <v>32</v>
      </c>
      <c r="D178" s="26">
        <v>7</v>
      </c>
      <c r="E178" s="25">
        <v>1.0519987977156598E-3</v>
      </c>
    </row>
    <row r="179" spans="2:5" ht="15" customHeight="1">
      <c r="B179" s="90"/>
      <c r="C179" s="27" t="s">
        <v>45</v>
      </c>
      <c r="D179" s="26">
        <v>3</v>
      </c>
      <c r="E179" s="25">
        <v>4.5085662759242559E-4</v>
      </c>
    </row>
    <row r="180" spans="2:5" ht="15" customHeight="1">
      <c r="B180" s="90"/>
      <c r="C180" s="27" t="s">
        <v>14</v>
      </c>
      <c r="D180" s="26">
        <v>12</v>
      </c>
      <c r="E180" s="25">
        <v>1.8034265103697023E-3</v>
      </c>
    </row>
    <row r="181" spans="2:5" ht="15" customHeight="1">
      <c r="B181" s="90"/>
      <c r="C181" s="27" t="s">
        <v>5</v>
      </c>
      <c r="D181" s="26">
        <v>131</v>
      </c>
      <c r="E181" s="25">
        <v>1.9687406071535917E-2</v>
      </c>
    </row>
    <row r="182" spans="2:5" ht="15" customHeight="1">
      <c r="B182" s="90"/>
      <c r="C182" s="27" t="s">
        <v>20</v>
      </c>
      <c r="D182" s="26">
        <v>15</v>
      </c>
      <c r="E182" s="25">
        <v>2.254283137962128E-3</v>
      </c>
    </row>
    <row r="183" spans="2:5" ht="15" customHeight="1">
      <c r="B183" s="90"/>
      <c r="C183" s="27" t="s">
        <v>27</v>
      </c>
      <c r="D183" s="26">
        <v>2</v>
      </c>
      <c r="E183" s="25">
        <v>3.0057108506161706E-4</v>
      </c>
    </row>
    <row r="184" spans="2:5" ht="15" customHeight="1">
      <c r="B184" s="90"/>
      <c r="C184" s="27" t="s">
        <v>17</v>
      </c>
      <c r="D184" s="26">
        <v>5</v>
      </c>
      <c r="E184" s="25">
        <v>7.514277126540427E-4</v>
      </c>
    </row>
    <row r="185" spans="2:5" ht="15" customHeight="1">
      <c r="B185" s="90"/>
      <c r="C185" s="27" t="s">
        <v>21</v>
      </c>
      <c r="D185" s="26">
        <v>4</v>
      </c>
      <c r="E185" s="25">
        <v>6.0114217012323412E-4</v>
      </c>
    </row>
    <row r="186" spans="2:5" ht="15" customHeight="1">
      <c r="B186" s="91"/>
      <c r="C186" s="24" t="s">
        <v>46</v>
      </c>
      <c r="D186" s="23">
        <v>906</v>
      </c>
      <c r="E186" s="22">
        <v>0.13615870153291254</v>
      </c>
    </row>
    <row r="187" spans="2:5" ht="15" customHeight="1">
      <c r="B187" s="89" t="s">
        <v>122</v>
      </c>
      <c r="C187" s="27" t="s">
        <v>22</v>
      </c>
      <c r="D187" s="26">
        <v>1</v>
      </c>
      <c r="E187" s="25">
        <v>1.5028554253080853E-4</v>
      </c>
    </row>
    <row r="188" spans="2:5" ht="15" customHeight="1">
      <c r="B188" s="90"/>
      <c r="C188" s="27" t="s">
        <v>13</v>
      </c>
      <c r="D188" s="26">
        <v>4</v>
      </c>
      <c r="E188" s="25">
        <v>6.0114217012323412E-4</v>
      </c>
    </row>
    <row r="189" spans="2:5" ht="15" customHeight="1">
      <c r="B189" s="90"/>
      <c r="C189" s="27" t="s">
        <v>4</v>
      </c>
      <c r="D189" s="26">
        <v>8</v>
      </c>
      <c r="E189" s="25">
        <v>1.2022843402464682E-3</v>
      </c>
    </row>
    <row r="190" spans="2:5" ht="15" customHeight="1">
      <c r="B190" s="90"/>
      <c r="C190" s="27" t="s">
        <v>8</v>
      </c>
      <c r="D190" s="26">
        <v>6</v>
      </c>
      <c r="E190" s="25">
        <v>9.0171325518485117E-4</v>
      </c>
    </row>
    <row r="191" spans="2:5" ht="15" customHeight="1">
      <c r="B191" s="90"/>
      <c r="C191" s="27" t="s">
        <v>10</v>
      </c>
      <c r="D191" s="26">
        <v>3</v>
      </c>
      <c r="E191" s="25">
        <v>4.5085662759242559E-4</v>
      </c>
    </row>
    <row r="192" spans="2:5" ht="15" customHeight="1">
      <c r="B192" s="90"/>
      <c r="C192" s="27" t="s">
        <v>12</v>
      </c>
      <c r="D192" s="26">
        <v>2</v>
      </c>
      <c r="E192" s="25">
        <v>3.0057108506161706E-4</v>
      </c>
    </row>
    <row r="193" spans="2:5" ht="15" customHeight="1">
      <c r="B193" s="90"/>
      <c r="C193" s="27" t="s">
        <v>26</v>
      </c>
      <c r="D193" s="26">
        <v>2</v>
      </c>
      <c r="E193" s="25">
        <v>3.0057108506161706E-4</v>
      </c>
    </row>
    <row r="194" spans="2:5" ht="15" customHeight="1">
      <c r="B194" s="90"/>
      <c r="C194" s="27" t="s">
        <v>6</v>
      </c>
      <c r="D194" s="26">
        <v>2</v>
      </c>
      <c r="E194" s="25">
        <v>3.0057108506161706E-4</v>
      </c>
    </row>
    <row r="195" spans="2:5" ht="15" customHeight="1">
      <c r="B195" s="90"/>
      <c r="C195" s="27" t="s">
        <v>9</v>
      </c>
      <c r="D195" s="26">
        <v>3</v>
      </c>
      <c r="E195" s="25">
        <v>4.5085662759242559E-4</v>
      </c>
    </row>
    <row r="196" spans="2:5" ht="15" customHeight="1">
      <c r="B196" s="90"/>
      <c r="C196" s="27" t="s">
        <v>24</v>
      </c>
      <c r="D196" s="26">
        <v>1</v>
      </c>
      <c r="E196" s="25">
        <v>1.5028554253080853E-4</v>
      </c>
    </row>
    <row r="197" spans="2:5" ht="15" customHeight="1">
      <c r="B197" s="90"/>
      <c r="C197" s="27" t="s">
        <v>16</v>
      </c>
      <c r="D197" s="26">
        <v>1</v>
      </c>
      <c r="E197" s="25">
        <v>1.5028554253080853E-4</v>
      </c>
    </row>
    <row r="198" spans="2:5" ht="15" customHeight="1">
      <c r="B198" s="90"/>
      <c r="C198" s="27" t="s">
        <v>19</v>
      </c>
      <c r="D198" s="26">
        <v>3</v>
      </c>
      <c r="E198" s="25">
        <v>4.5085662759242559E-4</v>
      </c>
    </row>
    <row r="199" spans="2:5" ht="15" customHeight="1">
      <c r="B199" s="90"/>
      <c r="C199" s="27" t="s">
        <v>25</v>
      </c>
      <c r="D199" s="26">
        <v>1</v>
      </c>
      <c r="E199" s="25">
        <v>1.5028554253080853E-4</v>
      </c>
    </row>
    <row r="200" spans="2:5" ht="15" customHeight="1">
      <c r="B200" s="90"/>
      <c r="C200" s="27" t="s">
        <v>194</v>
      </c>
      <c r="D200" s="26">
        <v>1</v>
      </c>
      <c r="E200" s="25">
        <v>1.5028554253080853E-4</v>
      </c>
    </row>
    <row r="201" spans="2:5" ht="15" customHeight="1">
      <c r="B201" s="90"/>
      <c r="C201" s="27" t="s">
        <v>11</v>
      </c>
      <c r="D201" s="26">
        <v>2</v>
      </c>
      <c r="E201" s="25">
        <v>3.0057108506161706E-4</v>
      </c>
    </row>
    <row r="202" spans="2:5" ht="15" customHeight="1">
      <c r="B202" s="90"/>
      <c r="C202" s="27" t="s">
        <v>40</v>
      </c>
      <c r="D202" s="26">
        <v>1</v>
      </c>
      <c r="E202" s="25">
        <v>1.5028554253080853E-4</v>
      </c>
    </row>
    <row r="203" spans="2:5" ht="15" customHeight="1">
      <c r="B203" s="90"/>
      <c r="C203" s="27" t="s">
        <v>15</v>
      </c>
      <c r="D203" s="26">
        <v>7</v>
      </c>
      <c r="E203" s="25">
        <v>1.0519987977156598E-3</v>
      </c>
    </row>
    <row r="204" spans="2:5" ht="15" customHeight="1">
      <c r="B204" s="90"/>
      <c r="C204" s="27" t="s">
        <v>34</v>
      </c>
      <c r="D204" s="26">
        <v>1</v>
      </c>
      <c r="E204" s="25">
        <v>1.5028554253080853E-4</v>
      </c>
    </row>
    <row r="205" spans="2:5" ht="15" customHeight="1">
      <c r="B205" s="90"/>
      <c r="C205" s="27" t="s">
        <v>7</v>
      </c>
      <c r="D205" s="26">
        <v>7</v>
      </c>
      <c r="E205" s="25">
        <v>1.0519987977156598E-3</v>
      </c>
    </row>
    <row r="206" spans="2:5" ht="15" customHeight="1">
      <c r="B206" s="90"/>
      <c r="C206" s="27" t="s">
        <v>32</v>
      </c>
      <c r="D206" s="26">
        <v>1</v>
      </c>
      <c r="E206" s="25">
        <v>1.5028554253080853E-4</v>
      </c>
    </row>
    <row r="207" spans="2:5" ht="15" customHeight="1">
      <c r="B207" s="90"/>
      <c r="C207" s="27" t="s">
        <v>14</v>
      </c>
      <c r="D207" s="26">
        <v>1</v>
      </c>
      <c r="E207" s="25">
        <v>1.5028554253080853E-4</v>
      </c>
    </row>
    <row r="208" spans="2:5" ht="15" customHeight="1">
      <c r="B208" s="90"/>
      <c r="C208" s="27" t="s">
        <v>5</v>
      </c>
      <c r="D208" s="26">
        <v>14</v>
      </c>
      <c r="E208" s="25">
        <v>2.1039975954313195E-3</v>
      </c>
    </row>
    <row r="209" spans="2:5" ht="15" customHeight="1">
      <c r="B209" s="90"/>
      <c r="C209" s="27" t="s">
        <v>20</v>
      </c>
      <c r="D209" s="26">
        <v>1</v>
      </c>
      <c r="E209" s="25">
        <v>1.5028554253080853E-4</v>
      </c>
    </row>
    <row r="210" spans="2:5" ht="15" customHeight="1">
      <c r="B210" s="90"/>
      <c r="C210" s="27" t="s">
        <v>21</v>
      </c>
      <c r="D210" s="26">
        <v>3</v>
      </c>
      <c r="E210" s="25">
        <v>4.5085662759242559E-4</v>
      </c>
    </row>
    <row r="211" spans="2:5" ht="15" customHeight="1">
      <c r="B211" s="91"/>
      <c r="C211" s="24" t="s">
        <v>46</v>
      </c>
      <c r="D211" s="23">
        <v>76</v>
      </c>
      <c r="E211" s="22">
        <v>1.1421701232341449E-2</v>
      </c>
    </row>
    <row r="212" spans="2:5" ht="15" customHeight="1">
      <c r="B212" s="89" t="s">
        <v>121</v>
      </c>
      <c r="C212" s="27" t="s">
        <v>35</v>
      </c>
      <c r="D212" s="26">
        <v>2</v>
      </c>
      <c r="E212" s="25">
        <v>3.0057108506161706E-4</v>
      </c>
    </row>
    <row r="213" spans="2:5" ht="15" customHeight="1">
      <c r="B213" s="90"/>
      <c r="C213" s="27" t="s">
        <v>22</v>
      </c>
      <c r="D213" s="26">
        <v>2</v>
      </c>
      <c r="E213" s="25">
        <v>3.0057108506161706E-4</v>
      </c>
    </row>
    <row r="214" spans="2:5" ht="15" customHeight="1">
      <c r="B214" s="90"/>
      <c r="C214" s="27" t="s">
        <v>13</v>
      </c>
      <c r="D214" s="26">
        <v>2</v>
      </c>
      <c r="E214" s="25">
        <v>3.0057108506161706E-4</v>
      </c>
    </row>
    <row r="215" spans="2:5" ht="15" customHeight="1">
      <c r="B215" s="90"/>
      <c r="C215" s="27" t="s">
        <v>4</v>
      </c>
      <c r="D215" s="26">
        <v>28</v>
      </c>
      <c r="E215" s="25">
        <v>4.207995190862639E-3</v>
      </c>
    </row>
    <row r="216" spans="2:5" ht="15" customHeight="1">
      <c r="B216" s="90"/>
      <c r="C216" s="27" t="s">
        <v>8</v>
      </c>
      <c r="D216" s="26">
        <v>12</v>
      </c>
      <c r="E216" s="25">
        <v>1.8034265103697023E-3</v>
      </c>
    </row>
    <row r="217" spans="2:5" ht="15" customHeight="1">
      <c r="B217" s="90"/>
      <c r="C217" s="27" t="s">
        <v>10</v>
      </c>
      <c r="D217" s="26">
        <v>4</v>
      </c>
      <c r="E217" s="25">
        <v>6.0114217012323412E-4</v>
      </c>
    </row>
    <row r="218" spans="2:5" ht="15" customHeight="1">
      <c r="B218" s="90"/>
      <c r="C218" s="27" t="s">
        <v>12</v>
      </c>
      <c r="D218" s="26">
        <v>3</v>
      </c>
      <c r="E218" s="25">
        <v>4.5085662759242559E-4</v>
      </c>
    </row>
    <row r="219" spans="2:5" ht="15" customHeight="1">
      <c r="B219" s="90"/>
      <c r="C219" s="27" t="s">
        <v>26</v>
      </c>
      <c r="D219" s="26">
        <v>1</v>
      </c>
      <c r="E219" s="25">
        <v>1.5028554253080853E-4</v>
      </c>
    </row>
    <row r="220" spans="2:5" ht="15" customHeight="1">
      <c r="B220" s="90"/>
      <c r="C220" s="27" t="s">
        <v>6</v>
      </c>
      <c r="D220" s="26">
        <v>14</v>
      </c>
      <c r="E220" s="25">
        <v>2.1039975954313195E-3</v>
      </c>
    </row>
    <row r="221" spans="2:5" ht="15" customHeight="1">
      <c r="B221" s="90"/>
      <c r="C221" s="27" t="s">
        <v>9</v>
      </c>
      <c r="D221" s="26">
        <v>7</v>
      </c>
      <c r="E221" s="25">
        <v>1.0519987977156598E-3</v>
      </c>
    </row>
    <row r="222" spans="2:5" ht="15" customHeight="1">
      <c r="B222" s="90"/>
      <c r="C222" s="27" t="s">
        <v>24</v>
      </c>
      <c r="D222" s="26">
        <v>3</v>
      </c>
      <c r="E222" s="25">
        <v>4.5085662759242559E-4</v>
      </c>
    </row>
    <row r="223" spans="2:5" ht="15" customHeight="1">
      <c r="B223" s="90"/>
      <c r="C223" s="27" t="s">
        <v>16</v>
      </c>
      <c r="D223" s="26">
        <v>6</v>
      </c>
      <c r="E223" s="25">
        <v>9.0171325518485117E-4</v>
      </c>
    </row>
    <row r="224" spans="2:5" ht="15" customHeight="1">
      <c r="B224" s="90"/>
      <c r="C224" s="27" t="s">
        <v>19</v>
      </c>
      <c r="D224" s="26">
        <v>3</v>
      </c>
      <c r="E224" s="25">
        <v>4.5085662759242559E-4</v>
      </c>
    </row>
    <row r="225" spans="2:5" ht="15" customHeight="1">
      <c r="B225" s="90"/>
      <c r="C225" s="27" t="s">
        <v>29</v>
      </c>
      <c r="D225" s="26">
        <v>2</v>
      </c>
      <c r="E225" s="25">
        <v>3.0057108506161706E-4</v>
      </c>
    </row>
    <row r="226" spans="2:5" ht="15" customHeight="1">
      <c r="B226" s="90"/>
      <c r="C226" s="27" t="s">
        <v>39</v>
      </c>
      <c r="D226" s="26">
        <v>2</v>
      </c>
      <c r="E226" s="25">
        <v>3.0057108506161706E-4</v>
      </c>
    </row>
    <row r="227" spans="2:5" ht="15" customHeight="1">
      <c r="B227" s="90"/>
      <c r="C227" s="27" t="s">
        <v>28</v>
      </c>
      <c r="D227" s="26">
        <v>1</v>
      </c>
      <c r="E227" s="25">
        <v>1.5028554253080853E-4</v>
      </c>
    </row>
    <row r="228" spans="2:5" ht="15" customHeight="1">
      <c r="B228" s="90"/>
      <c r="C228" s="27" t="s">
        <v>36</v>
      </c>
      <c r="D228" s="26">
        <v>1</v>
      </c>
      <c r="E228" s="25">
        <v>1.5028554253080853E-4</v>
      </c>
    </row>
    <row r="229" spans="2:5" ht="15" customHeight="1">
      <c r="B229" s="90"/>
      <c r="C229" s="27" t="s">
        <v>25</v>
      </c>
      <c r="D229" s="26">
        <v>1</v>
      </c>
      <c r="E229" s="25">
        <v>1.5028554253080853E-4</v>
      </c>
    </row>
    <row r="230" spans="2:5" ht="15" customHeight="1">
      <c r="B230" s="90"/>
      <c r="C230" s="27" t="s">
        <v>23</v>
      </c>
      <c r="D230" s="26">
        <v>3</v>
      </c>
      <c r="E230" s="25">
        <v>4.5085662759242559E-4</v>
      </c>
    </row>
    <row r="231" spans="2:5" ht="15" customHeight="1">
      <c r="B231" s="90"/>
      <c r="C231" s="27" t="s">
        <v>11</v>
      </c>
      <c r="D231" s="26">
        <v>3</v>
      </c>
      <c r="E231" s="25">
        <v>4.5085662759242559E-4</v>
      </c>
    </row>
    <row r="232" spans="2:5" ht="15" customHeight="1">
      <c r="B232" s="90"/>
      <c r="C232" s="27" t="s">
        <v>40</v>
      </c>
      <c r="D232" s="26">
        <v>1</v>
      </c>
      <c r="E232" s="25">
        <v>1.5028554253080853E-4</v>
      </c>
    </row>
    <row r="233" spans="2:5" ht="15" customHeight="1">
      <c r="B233" s="90"/>
      <c r="C233" s="27" t="s">
        <v>18</v>
      </c>
      <c r="D233" s="26">
        <v>2</v>
      </c>
      <c r="E233" s="25">
        <v>3.0057108506161706E-4</v>
      </c>
    </row>
    <row r="234" spans="2:5" ht="15" customHeight="1">
      <c r="B234" s="90"/>
      <c r="C234" s="27" t="s">
        <v>15</v>
      </c>
      <c r="D234" s="26">
        <v>9</v>
      </c>
      <c r="E234" s="25">
        <v>1.3525698827772769E-3</v>
      </c>
    </row>
    <row r="235" spans="2:5" ht="15" customHeight="1">
      <c r="B235" s="90"/>
      <c r="C235" s="27" t="s">
        <v>7</v>
      </c>
      <c r="D235" s="26">
        <v>18</v>
      </c>
      <c r="E235" s="25">
        <v>2.7051397655545538E-3</v>
      </c>
    </row>
    <row r="236" spans="2:5" ht="15" customHeight="1">
      <c r="B236" s="90"/>
      <c r="C236" s="27" t="s">
        <v>14</v>
      </c>
      <c r="D236" s="26">
        <v>3</v>
      </c>
      <c r="E236" s="25">
        <v>4.5085662759242559E-4</v>
      </c>
    </row>
    <row r="237" spans="2:5" ht="15" customHeight="1">
      <c r="B237" s="90"/>
      <c r="C237" s="27" t="s">
        <v>5</v>
      </c>
      <c r="D237" s="26">
        <v>22</v>
      </c>
      <c r="E237" s="25">
        <v>3.3062819356777877E-3</v>
      </c>
    </row>
    <row r="238" spans="2:5" ht="15" customHeight="1">
      <c r="B238" s="90"/>
      <c r="C238" s="27" t="s">
        <v>27</v>
      </c>
      <c r="D238" s="26">
        <v>1</v>
      </c>
      <c r="E238" s="25">
        <v>1.5028554253080853E-4</v>
      </c>
    </row>
    <row r="239" spans="2:5" ht="15" customHeight="1">
      <c r="B239" s="90"/>
      <c r="C239" s="27" t="s">
        <v>17</v>
      </c>
      <c r="D239" s="26">
        <v>1</v>
      </c>
      <c r="E239" s="25">
        <v>1.5028554253080853E-4</v>
      </c>
    </row>
    <row r="240" spans="2:5" ht="15" customHeight="1">
      <c r="B240" s="90"/>
      <c r="C240" s="27" t="s">
        <v>21</v>
      </c>
      <c r="D240" s="26">
        <v>1</v>
      </c>
      <c r="E240" s="25">
        <v>1.5028554253080853E-4</v>
      </c>
    </row>
    <row r="241" spans="2:5" ht="15" customHeight="1">
      <c r="B241" s="91"/>
      <c r="C241" s="24" t="s">
        <v>46</v>
      </c>
      <c r="D241" s="23">
        <v>158</v>
      </c>
      <c r="E241" s="22">
        <v>2.3745115719867749E-2</v>
      </c>
    </row>
    <row r="242" spans="2:5" ht="15" customHeight="1">
      <c r="B242" s="89" t="s">
        <v>120</v>
      </c>
      <c r="C242" s="27" t="s">
        <v>22</v>
      </c>
      <c r="D242" s="26">
        <v>2</v>
      </c>
      <c r="E242" s="25">
        <v>3.0057108506161706E-4</v>
      </c>
    </row>
    <row r="243" spans="2:5" ht="15" customHeight="1">
      <c r="B243" s="90"/>
      <c r="C243" s="27" t="s">
        <v>13</v>
      </c>
      <c r="D243" s="26">
        <v>6</v>
      </c>
      <c r="E243" s="25">
        <v>9.0171325518485117E-4</v>
      </c>
    </row>
    <row r="244" spans="2:5" ht="15" customHeight="1">
      <c r="B244" s="90"/>
      <c r="C244" s="27" t="s">
        <v>4</v>
      </c>
      <c r="D244" s="26">
        <v>48</v>
      </c>
      <c r="E244" s="25">
        <v>7.2137060414788094E-3</v>
      </c>
    </row>
    <row r="245" spans="2:5" ht="15" customHeight="1">
      <c r="B245" s="90"/>
      <c r="C245" s="27" t="s">
        <v>8</v>
      </c>
      <c r="D245" s="26">
        <v>23</v>
      </c>
      <c r="E245" s="25">
        <v>3.4565674782085962E-3</v>
      </c>
    </row>
    <row r="246" spans="2:5" ht="15" customHeight="1">
      <c r="B246" s="90"/>
      <c r="C246" s="27" t="s">
        <v>38</v>
      </c>
      <c r="D246" s="26">
        <v>1</v>
      </c>
      <c r="E246" s="25">
        <v>1.5028554253080853E-4</v>
      </c>
    </row>
    <row r="247" spans="2:5" ht="15" customHeight="1">
      <c r="B247" s="90"/>
      <c r="C247" s="27" t="s">
        <v>10</v>
      </c>
      <c r="D247" s="26">
        <v>9</v>
      </c>
      <c r="E247" s="25">
        <v>1.3525698827772769E-3</v>
      </c>
    </row>
    <row r="248" spans="2:5" ht="15" customHeight="1">
      <c r="B248" s="90"/>
      <c r="C248" s="27" t="s">
        <v>12</v>
      </c>
      <c r="D248" s="26">
        <v>3</v>
      </c>
      <c r="E248" s="25">
        <v>4.5085662759242559E-4</v>
      </c>
    </row>
    <row r="249" spans="2:5" ht="15" customHeight="1">
      <c r="B249" s="90"/>
      <c r="C249" s="27" t="s">
        <v>26</v>
      </c>
      <c r="D249" s="26">
        <v>5</v>
      </c>
      <c r="E249" s="25">
        <v>7.514277126540427E-4</v>
      </c>
    </row>
    <row r="250" spans="2:5" ht="15" customHeight="1">
      <c r="B250" s="90"/>
      <c r="C250" s="27" t="s">
        <v>6</v>
      </c>
      <c r="D250" s="26">
        <v>32</v>
      </c>
      <c r="E250" s="25">
        <v>4.8091373609858729E-3</v>
      </c>
    </row>
    <row r="251" spans="2:5" ht="15" customHeight="1">
      <c r="B251" s="90"/>
      <c r="C251" s="27" t="s">
        <v>9</v>
      </c>
      <c r="D251" s="26">
        <v>16</v>
      </c>
      <c r="E251" s="25">
        <v>2.4045686804929365E-3</v>
      </c>
    </row>
    <row r="252" spans="2:5" ht="15" customHeight="1">
      <c r="B252" s="90"/>
      <c r="C252" s="27" t="s">
        <v>24</v>
      </c>
      <c r="D252" s="26">
        <v>4</v>
      </c>
      <c r="E252" s="25">
        <v>6.0114217012323412E-4</v>
      </c>
    </row>
    <row r="253" spans="2:5" ht="15" customHeight="1">
      <c r="B253" s="90"/>
      <c r="C253" s="27" t="s">
        <v>16</v>
      </c>
      <c r="D253" s="26">
        <v>3</v>
      </c>
      <c r="E253" s="25">
        <v>4.5085662759242559E-4</v>
      </c>
    </row>
    <row r="254" spans="2:5" ht="15" customHeight="1">
      <c r="B254" s="90"/>
      <c r="C254" s="27" t="s">
        <v>19</v>
      </c>
      <c r="D254" s="26">
        <v>2</v>
      </c>
      <c r="E254" s="25">
        <v>3.0057108506161706E-4</v>
      </c>
    </row>
    <row r="255" spans="2:5" ht="15" customHeight="1">
      <c r="B255" s="90"/>
      <c r="C255" s="27" t="s">
        <v>196</v>
      </c>
      <c r="D255" s="26">
        <v>1</v>
      </c>
      <c r="E255" s="25">
        <v>1.5028554253080853E-4</v>
      </c>
    </row>
    <row r="256" spans="2:5" ht="15" customHeight="1">
      <c r="B256" s="90"/>
      <c r="C256" s="27" t="s">
        <v>28</v>
      </c>
      <c r="D256" s="26">
        <v>7</v>
      </c>
      <c r="E256" s="25">
        <v>1.0519987977156598E-3</v>
      </c>
    </row>
    <row r="257" spans="2:5" ht="15" customHeight="1">
      <c r="B257" s="90"/>
      <c r="C257" s="27" t="s">
        <v>30</v>
      </c>
      <c r="D257" s="26">
        <v>1</v>
      </c>
      <c r="E257" s="25">
        <v>1.5028554253080853E-4</v>
      </c>
    </row>
    <row r="258" spans="2:5" ht="15" customHeight="1">
      <c r="B258" s="90"/>
      <c r="C258" s="27" t="s">
        <v>36</v>
      </c>
      <c r="D258" s="26">
        <v>1</v>
      </c>
      <c r="E258" s="25">
        <v>1.5028554253080853E-4</v>
      </c>
    </row>
    <row r="259" spans="2:5" ht="15" customHeight="1">
      <c r="B259" s="90"/>
      <c r="C259" s="27" t="s">
        <v>25</v>
      </c>
      <c r="D259" s="26">
        <v>3</v>
      </c>
      <c r="E259" s="25">
        <v>4.5085662759242559E-4</v>
      </c>
    </row>
    <row r="260" spans="2:5" ht="15" customHeight="1">
      <c r="B260" s="90"/>
      <c r="C260" s="27" t="s">
        <v>194</v>
      </c>
      <c r="D260" s="26">
        <v>1</v>
      </c>
      <c r="E260" s="25">
        <v>1.5028554253080853E-4</v>
      </c>
    </row>
    <row r="261" spans="2:5" ht="15" customHeight="1">
      <c r="B261" s="90"/>
      <c r="C261" s="27" t="s">
        <v>23</v>
      </c>
      <c r="D261" s="26">
        <v>5</v>
      </c>
      <c r="E261" s="25">
        <v>7.514277126540427E-4</v>
      </c>
    </row>
    <row r="262" spans="2:5" ht="15" customHeight="1">
      <c r="B262" s="90"/>
      <c r="C262" s="27" t="s">
        <v>11</v>
      </c>
      <c r="D262" s="26">
        <v>5</v>
      </c>
      <c r="E262" s="25">
        <v>7.514277126540427E-4</v>
      </c>
    </row>
    <row r="263" spans="2:5" ht="15" customHeight="1">
      <c r="B263" s="90"/>
      <c r="C263" s="27" t="s">
        <v>18</v>
      </c>
      <c r="D263" s="26">
        <v>1</v>
      </c>
      <c r="E263" s="25">
        <v>1.5028554253080853E-4</v>
      </c>
    </row>
    <row r="264" spans="2:5" ht="15" customHeight="1">
      <c r="B264" s="90"/>
      <c r="C264" s="27" t="s">
        <v>15</v>
      </c>
      <c r="D264" s="26">
        <v>13</v>
      </c>
      <c r="E264" s="25">
        <v>1.953712052900511E-3</v>
      </c>
    </row>
    <row r="265" spans="2:5" ht="15" customHeight="1">
      <c r="B265" s="90"/>
      <c r="C265" s="27" t="s">
        <v>34</v>
      </c>
      <c r="D265" s="26">
        <v>2</v>
      </c>
      <c r="E265" s="25">
        <v>3.0057108506161706E-4</v>
      </c>
    </row>
    <row r="266" spans="2:5" ht="15" customHeight="1">
      <c r="B266" s="90"/>
      <c r="C266" s="27" t="s">
        <v>7</v>
      </c>
      <c r="D266" s="26">
        <v>21</v>
      </c>
      <c r="E266" s="25">
        <v>3.1559963931469793E-3</v>
      </c>
    </row>
    <row r="267" spans="2:5" ht="15" customHeight="1">
      <c r="B267" s="90"/>
      <c r="C267" s="27" t="s">
        <v>32</v>
      </c>
      <c r="D267" s="26">
        <v>4</v>
      </c>
      <c r="E267" s="25">
        <v>6.0114217012323412E-4</v>
      </c>
    </row>
    <row r="268" spans="2:5" ht="15" customHeight="1">
      <c r="B268" s="90"/>
      <c r="C268" s="27" t="s">
        <v>14</v>
      </c>
      <c r="D268" s="26">
        <v>5</v>
      </c>
      <c r="E268" s="25">
        <v>7.514277126540427E-4</v>
      </c>
    </row>
    <row r="269" spans="2:5" ht="15" customHeight="1">
      <c r="B269" s="90"/>
      <c r="C269" s="27" t="s">
        <v>5</v>
      </c>
      <c r="D269" s="26">
        <v>65</v>
      </c>
      <c r="E269" s="25">
        <v>9.7685602645025543E-3</v>
      </c>
    </row>
    <row r="270" spans="2:5" ht="15" customHeight="1">
      <c r="B270" s="90"/>
      <c r="C270" s="27" t="s">
        <v>20</v>
      </c>
      <c r="D270" s="26">
        <v>4</v>
      </c>
      <c r="E270" s="25">
        <v>6.0114217012323412E-4</v>
      </c>
    </row>
    <row r="271" spans="2:5" ht="15" customHeight="1">
      <c r="B271" s="90"/>
      <c r="C271" s="27" t="s">
        <v>27</v>
      </c>
      <c r="D271" s="26">
        <v>3</v>
      </c>
      <c r="E271" s="25">
        <v>4.5085662759242559E-4</v>
      </c>
    </row>
    <row r="272" spans="2:5" ht="15" customHeight="1">
      <c r="B272" s="90"/>
      <c r="C272" s="27" t="s">
        <v>17</v>
      </c>
      <c r="D272" s="26">
        <v>3</v>
      </c>
      <c r="E272" s="25">
        <v>4.5085662759242559E-4</v>
      </c>
    </row>
    <row r="273" spans="2:5" ht="15" customHeight="1">
      <c r="B273" s="90"/>
      <c r="C273" s="27" t="s">
        <v>21</v>
      </c>
      <c r="D273" s="26">
        <v>3</v>
      </c>
      <c r="E273" s="25">
        <v>4.5085662759242559E-4</v>
      </c>
    </row>
    <row r="274" spans="2:5" ht="15" customHeight="1">
      <c r="B274" s="90"/>
      <c r="C274" s="27" t="s">
        <v>42</v>
      </c>
      <c r="D274" s="26">
        <v>1</v>
      </c>
      <c r="E274" s="25">
        <v>1.5028554253080853E-4</v>
      </c>
    </row>
    <row r="275" spans="2:5" ht="15" customHeight="1">
      <c r="B275" s="91"/>
      <c r="C275" s="24" t="s">
        <v>46</v>
      </c>
      <c r="D275" s="23">
        <v>303</v>
      </c>
      <c r="E275" s="22">
        <v>4.5536519386834985E-2</v>
      </c>
    </row>
    <row r="276" spans="2:5" ht="15" customHeight="1">
      <c r="B276" s="89" t="s">
        <v>119</v>
      </c>
      <c r="C276" s="27" t="s">
        <v>35</v>
      </c>
      <c r="D276" s="26">
        <v>11</v>
      </c>
      <c r="E276" s="25">
        <v>1.6531409678388939E-3</v>
      </c>
    </row>
    <row r="277" spans="2:5" ht="15" customHeight="1">
      <c r="B277" s="90"/>
      <c r="C277" s="27" t="s">
        <v>195</v>
      </c>
      <c r="D277" s="26">
        <v>3</v>
      </c>
      <c r="E277" s="25">
        <v>4.5085662759242559E-4</v>
      </c>
    </row>
    <row r="278" spans="2:5" ht="15" customHeight="1">
      <c r="B278" s="90"/>
      <c r="C278" s="27" t="s">
        <v>22</v>
      </c>
      <c r="D278" s="26">
        <v>26</v>
      </c>
      <c r="E278" s="25">
        <v>3.9074241058010221E-3</v>
      </c>
    </row>
    <row r="279" spans="2:5" ht="15" customHeight="1">
      <c r="B279" s="90"/>
      <c r="C279" s="27" t="s">
        <v>13</v>
      </c>
      <c r="D279" s="26">
        <v>34</v>
      </c>
      <c r="E279" s="25">
        <v>5.1097084460474899E-3</v>
      </c>
    </row>
    <row r="280" spans="2:5" ht="15" customHeight="1">
      <c r="B280" s="90"/>
      <c r="C280" s="27" t="s">
        <v>4</v>
      </c>
      <c r="D280" s="26">
        <v>400</v>
      </c>
      <c r="E280" s="25">
        <v>6.0114217012323418E-2</v>
      </c>
    </row>
    <row r="281" spans="2:5" ht="15" customHeight="1">
      <c r="B281" s="90"/>
      <c r="C281" s="27" t="s">
        <v>8</v>
      </c>
      <c r="D281" s="26">
        <v>128</v>
      </c>
      <c r="E281" s="25">
        <v>1.9236549443943492E-2</v>
      </c>
    </row>
    <row r="282" spans="2:5" ht="15" customHeight="1">
      <c r="B282" s="90"/>
      <c r="C282" s="27" t="s">
        <v>38</v>
      </c>
      <c r="D282" s="26">
        <v>6</v>
      </c>
      <c r="E282" s="25">
        <v>9.0171325518485117E-4</v>
      </c>
    </row>
    <row r="283" spans="2:5" ht="15" customHeight="1">
      <c r="B283" s="90"/>
      <c r="C283" s="27" t="s">
        <v>41</v>
      </c>
      <c r="D283" s="26">
        <v>6</v>
      </c>
      <c r="E283" s="25">
        <v>9.0171325518485117E-4</v>
      </c>
    </row>
    <row r="284" spans="2:5" ht="15" customHeight="1">
      <c r="B284" s="90"/>
      <c r="C284" s="27" t="s">
        <v>10</v>
      </c>
      <c r="D284" s="26">
        <v>74</v>
      </c>
      <c r="E284" s="25">
        <v>1.1121130147279832E-2</v>
      </c>
    </row>
    <row r="285" spans="2:5" ht="15" customHeight="1">
      <c r="B285" s="90"/>
      <c r="C285" s="27" t="s">
        <v>12</v>
      </c>
      <c r="D285" s="26">
        <v>40</v>
      </c>
      <c r="E285" s="25">
        <v>6.0114217012323416E-3</v>
      </c>
    </row>
    <row r="286" spans="2:5" ht="15" customHeight="1">
      <c r="B286" s="90"/>
      <c r="C286" s="27" t="s">
        <v>26</v>
      </c>
      <c r="D286" s="26">
        <v>6</v>
      </c>
      <c r="E286" s="25">
        <v>9.0171325518485117E-4</v>
      </c>
    </row>
    <row r="287" spans="2:5" ht="15" customHeight="1">
      <c r="B287" s="90"/>
      <c r="C287" s="27" t="s">
        <v>6</v>
      </c>
      <c r="D287" s="26">
        <v>312</v>
      </c>
      <c r="E287" s="25">
        <v>4.6889089269612265E-2</v>
      </c>
    </row>
    <row r="288" spans="2:5" ht="15" customHeight="1">
      <c r="B288" s="90"/>
      <c r="C288" s="27" t="s">
        <v>9</v>
      </c>
      <c r="D288" s="26">
        <v>216</v>
      </c>
      <c r="E288" s="25">
        <v>3.2461677186654644E-2</v>
      </c>
    </row>
    <row r="289" spans="2:5" ht="15" customHeight="1">
      <c r="B289" s="90"/>
      <c r="C289" s="27" t="s">
        <v>24</v>
      </c>
      <c r="D289" s="26">
        <v>16</v>
      </c>
      <c r="E289" s="25">
        <v>2.4045686804929365E-3</v>
      </c>
    </row>
    <row r="290" spans="2:5" ht="15" customHeight="1">
      <c r="B290" s="90"/>
      <c r="C290" s="27" t="s">
        <v>16</v>
      </c>
      <c r="D290" s="26">
        <v>31</v>
      </c>
      <c r="E290" s="25">
        <v>4.6588518184550645E-3</v>
      </c>
    </row>
    <row r="291" spans="2:5" ht="15" customHeight="1">
      <c r="B291" s="90"/>
      <c r="C291" s="27" t="s">
        <v>19</v>
      </c>
      <c r="D291" s="26">
        <v>24</v>
      </c>
      <c r="E291" s="25">
        <v>3.6068530207394047E-3</v>
      </c>
    </row>
    <row r="292" spans="2:5" ht="15" customHeight="1">
      <c r="B292" s="90"/>
      <c r="C292" s="27" t="s">
        <v>29</v>
      </c>
      <c r="D292" s="26">
        <v>6</v>
      </c>
      <c r="E292" s="25">
        <v>9.0171325518485117E-4</v>
      </c>
    </row>
    <row r="293" spans="2:5" ht="15" customHeight="1">
      <c r="B293" s="90"/>
      <c r="C293" s="27" t="s">
        <v>39</v>
      </c>
      <c r="D293" s="26">
        <v>4</v>
      </c>
      <c r="E293" s="25">
        <v>6.0114217012323412E-4</v>
      </c>
    </row>
    <row r="294" spans="2:5" ht="15" customHeight="1">
      <c r="B294" s="90"/>
      <c r="C294" s="27" t="s">
        <v>43</v>
      </c>
      <c r="D294" s="26">
        <v>4</v>
      </c>
      <c r="E294" s="25">
        <v>6.0114217012323412E-4</v>
      </c>
    </row>
    <row r="295" spans="2:5" ht="15" customHeight="1">
      <c r="B295" s="90"/>
      <c r="C295" s="27" t="s">
        <v>28</v>
      </c>
      <c r="D295" s="26">
        <v>10</v>
      </c>
      <c r="E295" s="25">
        <v>1.5028554253080854E-3</v>
      </c>
    </row>
    <row r="296" spans="2:5" ht="15" customHeight="1">
      <c r="B296" s="90"/>
      <c r="C296" s="27" t="s">
        <v>30</v>
      </c>
      <c r="D296" s="26">
        <v>12</v>
      </c>
      <c r="E296" s="25">
        <v>1.8034265103697023E-3</v>
      </c>
    </row>
    <row r="297" spans="2:5" ht="15" customHeight="1">
      <c r="B297" s="90"/>
      <c r="C297" s="27" t="s">
        <v>36</v>
      </c>
      <c r="D297" s="26">
        <v>2</v>
      </c>
      <c r="E297" s="25">
        <v>3.0057108506161706E-4</v>
      </c>
    </row>
    <row r="298" spans="2:5" ht="15" customHeight="1">
      <c r="B298" s="90"/>
      <c r="C298" s="27" t="s">
        <v>25</v>
      </c>
      <c r="D298" s="26">
        <v>6</v>
      </c>
      <c r="E298" s="25">
        <v>9.0171325518485117E-4</v>
      </c>
    </row>
    <row r="299" spans="2:5" ht="15" customHeight="1">
      <c r="B299" s="90"/>
      <c r="C299" s="27" t="s">
        <v>194</v>
      </c>
      <c r="D299" s="26">
        <v>1</v>
      </c>
      <c r="E299" s="25">
        <v>1.5028554253080853E-4</v>
      </c>
    </row>
    <row r="300" spans="2:5" ht="15" customHeight="1">
      <c r="B300" s="90"/>
      <c r="C300" s="27" t="s">
        <v>23</v>
      </c>
      <c r="D300" s="26">
        <v>44</v>
      </c>
      <c r="E300" s="25">
        <v>6.6125638713555755E-3</v>
      </c>
    </row>
    <row r="301" spans="2:5" ht="15" customHeight="1">
      <c r="B301" s="90"/>
      <c r="C301" s="27" t="s">
        <v>11</v>
      </c>
      <c r="D301" s="26">
        <v>37</v>
      </c>
      <c r="E301" s="25">
        <v>5.5605650736399162E-3</v>
      </c>
    </row>
    <row r="302" spans="2:5" ht="15" customHeight="1">
      <c r="B302" s="90"/>
      <c r="C302" s="27" t="s">
        <v>40</v>
      </c>
      <c r="D302" s="26">
        <v>3</v>
      </c>
      <c r="E302" s="25">
        <v>4.5085662759242559E-4</v>
      </c>
    </row>
    <row r="303" spans="2:5" ht="15" customHeight="1">
      <c r="B303" s="90"/>
      <c r="C303" s="27" t="s">
        <v>18</v>
      </c>
      <c r="D303" s="26">
        <v>18</v>
      </c>
      <c r="E303" s="25">
        <v>2.7051397655545538E-3</v>
      </c>
    </row>
    <row r="304" spans="2:5" ht="15" customHeight="1">
      <c r="B304" s="90"/>
      <c r="C304" s="27" t="s">
        <v>33</v>
      </c>
      <c r="D304" s="26">
        <v>4</v>
      </c>
      <c r="E304" s="25">
        <v>6.0114217012323412E-4</v>
      </c>
    </row>
    <row r="305" spans="2:5" ht="15" customHeight="1">
      <c r="B305" s="90"/>
      <c r="C305" s="27" t="s">
        <v>15</v>
      </c>
      <c r="D305" s="26">
        <v>49</v>
      </c>
      <c r="E305" s="25">
        <v>7.3639915840096179E-3</v>
      </c>
    </row>
    <row r="306" spans="2:5" ht="15" customHeight="1">
      <c r="B306" s="90"/>
      <c r="C306" s="27" t="s">
        <v>44</v>
      </c>
      <c r="D306" s="26">
        <v>2</v>
      </c>
      <c r="E306" s="25">
        <v>3.0057108506161706E-4</v>
      </c>
    </row>
    <row r="307" spans="2:5" ht="15" customHeight="1">
      <c r="B307" s="90"/>
      <c r="C307" s="27" t="s">
        <v>34</v>
      </c>
      <c r="D307" s="26">
        <v>8</v>
      </c>
      <c r="E307" s="25">
        <v>1.2022843402464682E-3</v>
      </c>
    </row>
    <row r="308" spans="2:5" ht="15" customHeight="1">
      <c r="B308" s="90"/>
      <c r="C308" s="27" t="s">
        <v>7</v>
      </c>
      <c r="D308" s="26">
        <v>173</v>
      </c>
      <c r="E308" s="25">
        <v>2.5999398857829877E-2</v>
      </c>
    </row>
    <row r="309" spans="2:5" ht="15" customHeight="1">
      <c r="B309" s="90"/>
      <c r="C309" s="27" t="s">
        <v>31</v>
      </c>
      <c r="D309" s="26">
        <v>5</v>
      </c>
      <c r="E309" s="25">
        <v>7.514277126540427E-4</v>
      </c>
    </row>
    <row r="310" spans="2:5" ht="15" customHeight="1">
      <c r="B310" s="90"/>
      <c r="C310" s="27" t="s">
        <v>37</v>
      </c>
      <c r="D310" s="26">
        <v>2</v>
      </c>
      <c r="E310" s="25">
        <v>3.0057108506161706E-4</v>
      </c>
    </row>
    <row r="311" spans="2:5" ht="15" customHeight="1">
      <c r="B311" s="90"/>
      <c r="C311" s="27" t="s">
        <v>32</v>
      </c>
      <c r="D311" s="26">
        <v>18</v>
      </c>
      <c r="E311" s="25">
        <v>2.7051397655545538E-3</v>
      </c>
    </row>
    <row r="312" spans="2:5" ht="15" customHeight="1">
      <c r="B312" s="90"/>
      <c r="C312" s="27" t="s">
        <v>45</v>
      </c>
      <c r="D312" s="26">
        <v>6</v>
      </c>
      <c r="E312" s="25">
        <v>9.0171325518485117E-4</v>
      </c>
    </row>
    <row r="313" spans="2:5" ht="15" customHeight="1">
      <c r="B313" s="90"/>
      <c r="C313" s="27" t="s">
        <v>14</v>
      </c>
      <c r="D313" s="26">
        <v>46</v>
      </c>
      <c r="E313" s="25">
        <v>6.9131349564171924E-3</v>
      </c>
    </row>
    <row r="314" spans="2:5" ht="15" customHeight="1">
      <c r="B314" s="90"/>
      <c r="C314" s="27" t="s">
        <v>5</v>
      </c>
      <c r="D314" s="26">
        <v>505</v>
      </c>
      <c r="E314" s="25">
        <v>7.5894198978058311E-2</v>
      </c>
    </row>
    <row r="315" spans="2:5" ht="15" customHeight="1">
      <c r="B315" s="90"/>
      <c r="C315" s="27" t="s">
        <v>20</v>
      </c>
      <c r="D315" s="26">
        <v>45</v>
      </c>
      <c r="E315" s="25">
        <v>6.762849413886384E-3</v>
      </c>
    </row>
    <row r="316" spans="2:5" ht="15" customHeight="1">
      <c r="B316" s="90"/>
      <c r="C316" s="27" t="s">
        <v>27</v>
      </c>
      <c r="D316" s="26">
        <v>7</v>
      </c>
      <c r="E316" s="25">
        <v>1.0519987977156598E-3</v>
      </c>
    </row>
    <row r="317" spans="2:5" ht="15" customHeight="1">
      <c r="B317" s="90"/>
      <c r="C317" s="27" t="s">
        <v>17</v>
      </c>
      <c r="D317" s="26">
        <v>24</v>
      </c>
      <c r="E317" s="25">
        <v>3.6068530207394047E-3</v>
      </c>
    </row>
    <row r="318" spans="2:5" ht="15" customHeight="1">
      <c r="B318" s="90"/>
      <c r="C318" s="27" t="s">
        <v>21</v>
      </c>
      <c r="D318" s="26">
        <v>19</v>
      </c>
      <c r="E318" s="25">
        <v>2.8554253080853623E-3</v>
      </c>
    </row>
    <row r="319" spans="2:5" ht="15" customHeight="1">
      <c r="B319" s="90"/>
      <c r="C319" s="27" t="s">
        <v>42</v>
      </c>
      <c r="D319" s="26">
        <v>7</v>
      </c>
      <c r="E319" s="25">
        <v>1.0519987977156598E-3</v>
      </c>
    </row>
    <row r="320" spans="2:5" ht="15" customHeight="1">
      <c r="B320" s="91"/>
      <c r="C320" s="24" t="s">
        <v>46</v>
      </c>
      <c r="D320" s="23">
        <v>2400</v>
      </c>
      <c r="E320" s="22">
        <v>0.36068530207394051</v>
      </c>
    </row>
    <row r="321" spans="2:5" ht="15" customHeight="1">
      <c r="B321" s="89" t="s">
        <v>118</v>
      </c>
      <c r="C321" s="27" t="s">
        <v>22</v>
      </c>
      <c r="D321" s="26">
        <v>3</v>
      </c>
      <c r="E321" s="25">
        <v>4.5085662759242559E-4</v>
      </c>
    </row>
    <row r="322" spans="2:5" ht="15" customHeight="1">
      <c r="B322" s="90"/>
      <c r="C322" s="27" t="s">
        <v>13</v>
      </c>
      <c r="D322" s="26">
        <v>2</v>
      </c>
      <c r="E322" s="25">
        <v>3.0057108506161706E-4</v>
      </c>
    </row>
    <row r="323" spans="2:5" ht="15" customHeight="1">
      <c r="B323" s="90"/>
      <c r="C323" s="27" t="s">
        <v>4</v>
      </c>
      <c r="D323" s="26">
        <v>23</v>
      </c>
      <c r="E323" s="25">
        <v>3.4565674782085962E-3</v>
      </c>
    </row>
    <row r="324" spans="2:5" ht="15" customHeight="1">
      <c r="B324" s="90"/>
      <c r="C324" s="27" t="s">
        <v>8</v>
      </c>
      <c r="D324" s="26">
        <v>3</v>
      </c>
      <c r="E324" s="25">
        <v>4.5085662759242559E-4</v>
      </c>
    </row>
    <row r="325" spans="2:5" ht="15" customHeight="1">
      <c r="B325" s="90"/>
      <c r="C325" s="27" t="s">
        <v>12</v>
      </c>
      <c r="D325" s="26">
        <v>2</v>
      </c>
      <c r="E325" s="25">
        <v>3.0057108506161706E-4</v>
      </c>
    </row>
    <row r="326" spans="2:5" ht="15" customHeight="1">
      <c r="B326" s="90"/>
      <c r="C326" s="27" t="s">
        <v>6</v>
      </c>
      <c r="D326" s="26">
        <v>12</v>
      </c>
      <c r="E326" s="25">
        <v>1.8034265103697023E-3</v>
      </c>
    </row>
    <row r="327" spans="2:5" ht="15" customHeight="1">
      <c r="B327" s="90"/>
      <c r="C327" s="27" t="s">
        <v>9</v>
      </c>
      <c r="D327" s="26">
        <v>9</v>
      </c>
      <c r="E327" s="25">
        <v>1.3525698827772769E-3</v>
      </c>
    </row>
    <row r="328" spans="2:5" ht="15" customHeight="1">
      <c r="B328" s="90"/>
      <c r="C328" s="27" t="s">
        <v>24</v>
      </c>
      <c r="D328" s="26">
        <v>3</v>
      </c>
      <c r="E328" s="25">
        <v>4.5085662759242559E-4</v>
      </c>
    </row>
    <row r="329" spans="2:5" ht="15" customHeight="1">
      <c r="B329" s="90"/>
      <c r="C329" s="27" t="s">
        <v>16</v>
      </c>
      <c r="D329" s="26">
        <v>1</v>
      </c>
      <c r="E329" s="25">
        <v>1.5028554253080853E-4</v>
      </c>
    </row>
    <row r="330" spans="2:5" ht="15" customHeight="1">
      <c r="B330" s="90"/>
      <c r="C330" s="27" t="s">
        <v>23</v>
      </c>
      <c r="D330" s="26">
        <v>1</v>
      </c>
      <c r="E330" s="25">
        <v>1.5028554253080853E-4</v>
      </c>
    </row>
    <row r="331" spans="2:5" ht="15" customHeight="1">
      <c r="B331" s="90"/>
      <c r="C331" s="27" t="s">
        <v>11</v>
      </c>
      <c r="D331" s="26">
        <v>3</v>
      </c>
      <c r="E331" s="25">
        <v>4.5085662759242559E-4</v>
      </c>
    </row>
    <row r="332" spans="2:5" ht="15" customHeight="1">
      <c r="B332" s="90"/>
      <c r="C332" s="27" t="s">
        <v>18</v>
      </c>
      <c r="D332" s="26">
        <v>1</v>
      </c>
      <c r="E332" s="25">
        <v>1.5028554253080853E-4</v>
      </c>
    </row>
    <row r="333" spans="2:5" ht="15" customHeight="1">
      <c r="B333" s="90"/>
      <c r="C333" s="27" t="s">
        <v>7</v>
      </c>
      <c r="D333" s="26">
        <v>2</v>
      </c>
      <c r="E333" s="25">
        <v>3.0057108506161706E-4</v>
      </c>
    </row>
    <row r="334" spans="2:5" ht="15" customHeight="1">
      <c r="B334" s="90"/>
      <c r="C334" s="27" t="s">
        <v>37</v>
      </c>
      <c r="D334" s="26">
        <v>1</v>
      </c>
      <c r="E334" s="25">
        <v>1.5028554253080853E-4</v>
      </c>
    </row>
    <row r="335" spans="2:5" ht="15" customHeight="1">
      <c r="B335" s="90"/>
      <c r="C335" s="27" t="s">
        <v>32</v>
      </c>
      <c r="D335" s="26">
        <v>1</v>
      </c>
      <c r="E335" s="25">
        <v>1.5028554253080853E-4</v>
      </c>
    </row>
    <row r="336" spans="2:5" ht="15" customHeight="1">
      <c r="B336" s="90"/>
      <c r="C336" s="27" t="s">
        <v>14</v>
      </c>
      <c r="D336" s="26">
        <v>3</v>
      </c>
      <c r="E336" s="25">
        <v>4.5085662759242559E-4</v>
      </c>
    </row>
    <row r="337" spans="2:5" ht="15" customHeight="1">
      <c r="B337" s="90"/>
      <c r="C337" s="27" t="s">
        <v>5</v>
      </c>
      <c r="D337" s="26">
        <v>15</v>
      </c>
      <c r="E337" s="25">
        <v>2.254283137962128E-3</v>
      </c>
    </row>
    <row r="338" spans="2:5" ht="15" customHeight="1">
      <c r="B338" s="90"/>
      <c r="C338" s="27" t="s">
        <v>20</v>
      </c>
      <c r="D338" s="26">
        <v>4</v>
      </c>
      <c r="E338" s="25">
        <v>6.0114217012323412E-4</v>
      </c>
    </row>
    <row r="339" spans="2:5" ht="15" customHeight="1">
      <c r="B339" s="90"/>
      <c r="C339" s="27" t="s">
        <v>17</v>
      </c>
      <c r="D339" s="26">
        <v>2</v>
      </c>
      <c r="E339" s="25">
        <v>3.0057108506161706E-4</v>
      </c>
    </row>
    <row r="340" spans="2:5" ht="15" customHeight="1">
      <c r="B340" s="91"/>
      <c r="C340" s="24" t="s">
        <v>46</v>
      </c>
      <c r="D340" s="23">
        <v>91</v>
      </c>
      <c r="E340" s="22">
        <v>1.3675984370303576E-2</v>
      </c>
    </row>
    <row r="341" spans="2:5" ht="15" customHeight="1">
      <c r="B341" s="89" t="s">
        <v>117</v>
      </c>
      <c r="C341" s="27" t="s">
        <v>35</v>
      </c>
      <c r="D341" s="26">
        <v>2</v>
      </c>
      <c r="E341" s="25">
        <v>3.0057108506161706E-4</v>
      </c>
    </row>
    <row r="342" spans="2:5" ht="15" customHeight="1">
      <c r="B342" s="90"/>
      <c r="C342" s="27" t="s">
        <v>22</v>
      </c>
      <c r="D342" s="26">
        <v>4</v>
      </c>
      <c r="E342" s="25">
        <v>6.0114217012323412E-4</v>
      </c>
    </row>
    <row r="343" spans="2:5" ht="15" customHeight="1">
      <c r="B343" s="90"/>
      <c r="C343" s="27" t="s">
        <v>13</v>
      </c>
      <c r="D343" s="26">
        <v>9</v>
      </c>
      <c r="E343" s="25">
        <v>1.3525698827772769E-3</v>
      </c>
    </row>
    <row r="344" spans="2:5" ht="15" customHeight="1">
      <c r="B344" s="90"/>
      <c r="C344" s="27" t="s">
        <v>4</v>
      </c>
      <c r="D344" s="26">
        <v>75</v>
      </c>
      <c r="E344" s="25">
        <v>1.1271415689810641E-2</v>
      </c>
    </row>
    <row r="345" spans="2:5" ht="15" customHeight="1">
      <c r="B345" s="90"/>
      <c r="C345" s="27" t="s">
        <v>8</v>
      </c>
      <c r="D345" s="26">
        <v>31</v>
      </c>
      <c r="E345" s="25">
        <v>4.6588518184550645E-3</v>
      </c>
    </row>
    <row r="346" spans="2:5" ht="15" customHeight="1">
      <c r="B346" s="90"/>
      <c r="C346" s="27" t="s">
        <v>38</v>
      </c>
      <c r="D346" s="26">
        <v>2</v>
      </c>
      <c r="E346" s="25">
        <v>3.0057108506161706E-4</v>
      </c>
    </row>
    <row r="347" spans="2:5" ht="15" customHeight="1">
      <c r="B347" s="90"/>
      <c r="C347" s="27" t="s">
        <v>41</v>
      </c>
      <c r="D347" s="26">
        <v>1</v>
      </c>
      <c r="E347" s="25">
        <v>1.5028554253080853E-4</v>
      </c>
    </row>
    <row r="348" spans="2:5" ht="15" customHeight="1">
      <c r="B348" s="90"/>
      <c r="C348" s="27" t="s">
        <v>10</v>
      </c>
      <c r="D348" s="26">
        <v>6</v>
      </c>
      <c r="E348" s="25">
        <v>9.0171325518485117E-4</v>
      </c>
    </row>
    <row r="349" spans="2:5" ht="15" customHeight="1">
      <c r="B349" s="90"/>
      <c r="C349" s="27" t="s">
        <v>12</v>
      </c>
      <c r="D349" s="26">
        <v>5</v>
      </c>
      <c r="E349" s="25">
        <v>7.514277126540427E-4</v>
      </c>
    </row>
    <row r="350" spans="2:5" ht="15" customHeight="1">
      <c r="B350" s="90"/>
      <c r="C350" s="27" t="s">
        <v>26</v>
      </c>
      <c r="D350" s="26">
        <v>1</v>
      </c>
      <c r="E350" s="25">
        <v>1.5028554253080853E-4</v>
      </c>
    </row>
    <row r="351" spans="2:5" ht="15" customHeight="1">
      <c r="B351" s="90"/>
      <c r="C351" s="27" t="s">
        <v>6</v>
      </c>
      <c r="D351" s="26">
        <v>45</v>
      </c>
      <c r="E351" s="25">
        <v>6.762849413886384E-3</v>
      </c>
    </row>
    <row r="352" spans="2:5" ht="15" customHeight="1">
      <c r="B352" s="90"/>
      <c r="C352" s="27" t="s">
        <v>9</v>
      </c>
      <c r="D352" s="26">
        <v>20</v>
      </c>
      <c r="E352" s="25">
        <v>3.0057108506161708E-3</v>
      </c>
    </row>
    <row r="353" spans="2:5" ht="15" customHeight="1">
      <c r="B353" s="90"/>
      <c r="C353" s="27" t="s">
        <v>24</v>
      </c>
      <c r="D353" s="26">
        <v>2</v>
      </c>
      <c r="E353" s="25">
        <v>3.0057108506161706E-4</v>
      </c>
    </row>
    <row r="354" spans="2:5" ht="15" customHeight="1">
      <c r="B354" s="90"/>
      <c r="C354" s="27" t="s">
        <v>16</v>
      </c>
      <c r="D354" s="26">
        <v>6</v>
      </c>
      <c r="E354" s="25">
        <v>9.0171325518485117E-4</v>
      </c>
    </row>
    <row r="355" spans="2:5" ht="15" customHeight="1">
      <c r="B355" s="90"/>
      <c r="C355" s="27" t="s">
        <v>19</v>
      </c>
      <c r="D355" s="26">
        <v>8</v>
      </c>
      <c r="E355" s="25">
        <v>1.2022843402464682E-3</v>
      </c>
    </row>
    <row r="356" spans="2:5" ht="15" customHeight="1">
      <c r="B356" s="90"/>
      <c r="C356" s="27" t="s">
        <v>29</v>
      </c>
      <c r="D356" s="26">
        <v>3</v>
      </c>
      <c r="E356" s="25">
        <v>4.5085662759242559E-4</v>
      </c>
    </row>
    <row r="357" spans="2:5" ht="15" customHeight="1">
      <c r="B357" s="90"/>
      <c r="C357" s="27" t="s">
        <v>39</v>
      </c>
      <c r="D357" s="26">
        <v>1</v>
      </c>
      <c r="E357" s="25">
        <v>1.5028554253080853E-4</v>
      </c>
    </row>
    <row r="358" spans="2:5" ht="15" customHeight="1">
      <c r="B358" s="90"/>
      <c r="C358" s="27" t="s">
        <v>28</v>
      </c>
      <c r="D358" s="26">
        <v>1</v>
      </c>
      <c r="E358" s="25">
        <v>1.5028554253080853E-4</v>
      </c>
    </row>
    <row r="359" spans="2:5" ht="15" customHeight="1">
      <c r="B359" s="90"/>
      <c r="C359" s="27" t="s">
        <v>25</v>
      </c>
      <c r="D359" s="26">
        <v>4</v>
      </c>
      <c r="E359" s="25">
        <v>6.0114217012323412E-4</v>
      </c>
    </row>
    <row r="360" spans="2:5" ht="15" customHeight="1">
      <c r="B360" s="90"/>
      <c r="C360" s="27" t="s">
        <v>23</v>
      </c>
      <c r="D360" s="26">
        <v>5</v>
      </c>
      <c r="E360" s="25">
        <v>7.514277126540427E-4</v>
      </c>
    </row>
    <row r="361" spans="2:5" ht="15" customHeight="1">
      <c r="B361" s="90"/>
      <c r="C361" s="27" t="s">
        <v>11</v>
      </c>
      <c r="D361" s="26">
        <v>15</v>
      </c>
      <c r="E361" s="25">
        <v>2.254283137962128E-3</v>
      </c>
    </row>
    <row r="362" spans="2:5" ht="15" customHeight="1">
      <c r="B362" s="90"/>
      <c r="C362" s="27" t="s">
        <v>40</v>
      </c>
      <c r="D362" s="26">
        <v>1</v>
      </c>
      <c r="E362" s="25">
        <v>1.5028554253080853E-4</v>
      </c>
    </row>
    <row r="363" spans="2:5" ht="15" customHeight="1">
      <c r="B363" s="90"/>
      <c r="C363" s="27" t="s">
        <v>18</v>
      </c>
      <c r="D363" s="26">
        <v>6</v>
      </c>
      <c r="E363" s="25">
        <v>9.0171325518485117E-4</v>
      </c>
    </row>
    <row r="364" spans="2:5" ht="15" customHeight="1">
      <c r="B364" s="90"/>
      <c r="C364" s="27" t="s">
        <v>15</v>
      </c>
      <c r="D364" s="26">
        <v>14</v>
      </c>
      <c r="E364" s="25">
        <v>2.1039975954313195E-3</v>
      </c>
    </row>
    <row r="365" spans="2:5" ht="15" customHeight="1">
      <c r="B365" s="90"/>
      <c r="C365" s="27" t="s">
        <v>34</v>
      </c>
      <c r="D365" s="26">
        <v>2</v>
      </c>
      <c r="E365" s="25">
        <v>3.0057108506161706E-4</v>
      </c>
    </row>
    <row r="366" spans="2:5" ht="15" customHeight="1">
      <c r="B366" s="90"/>
      <c r="C366" s="27" t="s">
        <v>7</v>
      </c>
      <c r="D366" s="26">
        <v>35</v>
      </c>
      <c r="E366" s="25">
        <v>5.2599939885782983E-3</v>
      </c>
    </row>
    <row r="367" spans="2:5" ht="15" customHeight="1">
      <c r="B367" s="90"/>
      <c r="C367" s="27" t="s">
        <v>31</v>
      </c>
      <c r="D367" s="26">
        <v>1</v>
      </c>
      <c r="E367" s="25">
        <v>1.5028554253080853E-4</v>
      </c>
    </row>
    <row r="368" spans="2:5" ht="15" customHeight="1">
      <c r="B368" s="90"/>
      <c r="C368" s="27" t="s">
        <v>32</v>
      </c>
      <c r="D368" s="26">
        <v>1</v>
      </c>
      <c r="E368" s="25">
        <v>1.5028554253080853E-4</v>
      </c>
    </row>
    <row r="369" spans="2:5" ht="15" customHeight="1">
      <c r="B369" s="90"/>
      <c r="C369" s="27" t="s">
        <v>14</v>
      </c>
      <c r="D369" s="26">
        <v>9</v>
      </c>
      <c r="E369" s="25">
        <v>1.3525698827772769E-3</v>
      </c>
    </row>
    <row r="370" spans="2:5" ht="15" customHeight="1">
      <c r="B370" s="90"/>
      <c r="C370" s="27" t="s">
        <v>5</v>
      </c>
      <c r="D370" s="26">
        <v>79</v>
      </c>
      <c r="E370" s="25">
        <v>1.1872557859933875E-2</v>
      </c>
    </row>
    <row r="371" spans="2:5" ht="15" customHeight="1">
      <c r="B371" s="90"/>
      <c r="C371" s="27" t="s">
        <v>20</v>
      </c>
      <c r="D371" s="26">
        <v>7</v>
      </c>
      <c r="E371" s="25">
        <v>1.0519987977156598E-3</v>
      </c>
    </row>
    <row r="372" spans="2:5" ht="15" customHeight="1">
      <c r="B372" s="90"/>
      <c r="C372" s="27" t="s">
        <v>17</v>
      </c>
      <c r="D372" s="26">
        <v>1</v>
      </c>
      <c r="E372" s="25">
        <v>1.5028554253080853E-4</v>
      </c>
    </row>
    <row r="373" spans="2:5" ht="15" customHeight="1">
      <c r="B373" s="90"/>
      <c r="C373" s="27" t="s">
        <v>21</v>
      </c>
      <c r="D373" s="26">
        <v>4</v>
      </c>
      <c r="E373" s="25">
        <v>6.0114217012323412E-4</v>
      </c>
    </row>
    <row r="374" spans="2:5" ht="15" customHeight="1">
      <c r="B374" s="91"/>
      <c r="C374" s="24" t="s">
        <v>46</v>
      </c>
      <c r="D374" s="23">
        <v>406</v>
      </c>
      <c r="E374" s="22">
        <v>6.1015930267508268E-2</v>
      </c>
    </row>
    <row r="375" spans="2:5" ht="15" customHeight="1">
      <c r="B375" s="89" t="s">
        <v>116</v>
      </c>
      <c r="C375" s="27" t="s">
        <v>35</v>
      </c>
      <c r="D375" s="26">
        <v>3</v>
      </c>
      <c r="E375" s="25">
        <v>4.5085662759242559E-4</v>
      </c>
    </row>
    <row r="376" spans="2:5" ht="15" customHeight="1">
      <c r="B376" s="90"/>
      <c r="C376" s="27" t="s">
        <v>22</v>
      </c>
      <c r="D376" s="26">
        <v>19</v>
      </c>
      <c r="E376" s="25">
        <v>2.8554253080853623E-3</v>
      </c>
    </row>
    <row r="377" spans="2:5" ht="15" customHeight="1">
      <c r="B377" s="90"/>
      <c r="C377" s="27" t="s">
        <v>13</v>
      </c>
      <c r="D377" s="26">
        <v>14</v>
      </c>
      <c r="E377" s="25">
        <v>2.1039975954313195E-3</v>
      </c>
    </row>
    <row r="378" spans="2:5" ht="15" customHeight="1">
      <c r="B378" s="90"/>
      <c r="C378" s="27" t="s">
        <v>4</v>
      </c>
      <c r="D378" s="26">
        <v>248</v>
      </c>
      <c r="E378" s="25">
        <v>3.7270814547640516E-2</v>
      </c>
    </row>
    <row r="379" spans="2:5" ht="15" customHeight="1">
      <c r="B379" s="90"/>
      <c r="C379" s="27" t="s">
        <v>8</v>
      </c>
      <c r="D379" s="26">
        <v>64</v>
      </c>
      <c r="E379" s="25">
        <v>9.6182747219717458E-3</v>
      </c>
    </row>
    <row r="380" spans="2:5" ht="15" customHeight="1">
      <c r="B380" s="90"/>
      <c r="C380" s="27" t="s">
        <v>38</v>
      </c>
      <c r="D380" s="26">
        <v>1</v>
      </c>
      <c r="E380" s="25">
        <v>1.5028554253080853E-4</v>
      </c>
    </row>
    <row r="381" spans="2:5" ht="15" customHeight="1">
      <c r="B381" s="90"/>
      <c r="C381" s="27" t="s">
        <v>10</v>
      </c>
      <c r="D381" s="26">
        <v>31</v>
      </c>
      <c r="E381" s="25">
        <v>4.6588518184550645E-3</v>
      </c>
    </row>
    <row r="382" spans="2:5" ht="15" customHeight="1">
      <c r="B382" s="90"/>
      <c r="C382" s="27" t="s">
        <v>12</v>
      </c>
      <c r="D382" s="26">
        <v>17</v>
      </c>
      <c r="E382" s="25">
        <v>2.5548542230237449E-3</v>
      </c>
    </row>
    <row r="383" spans="2:5" ht="15" customHeight="1">
      <c r="B383" s="90"/>
      <c r="C383" s="27" t="s">
        <v>6</v>
      </c>
      <c r="D383" s="26">
        <v>142</v>
      </c>
      <c r="E383" s="25">
        <v>2.1340547039374814E-2</v>
      </c>
    </row>
    <row r="384" spans="2:5" ht="15" customHeight="1">
      <c r="B384" s="90"/>
      <c r="C384" s="27" t="s">
        <v>9</v>
      </c>
      <c r="D384" s="26">
        <v>75</v>
      </c>
      <c r="E384" s="25">
        <v>1.1271415689810641E-2</v>
      </c>
    </row>
    <row r="385" spans="2:5" ht="15" customHeight="1">
      <c r="B385" s="90"/>
      <c r="C385" s="27" t="s">
        <v>24</v>
      </c>
      <c r="D385" s="26">
        <v>6</v>
      </c>
      <c r="E385" s="25">
        <v>9.0171325518485117E-4</v>
      </c>
    </row>
    <row r="386" spans="2:5" ht="15" customHeight="1">
      <c r="B386" s="90"/>
      <c r="C386" s="27" t="s">
        <v>16</v>
      </c>
      <c r="D386" s="26">
        <v>14</v>
      </c>
      <c r="E386" s="25">
        <v>2.1039975954313195E-3</v>
      </c>
    </row>
    <row r="387" spans="2:5" ht="15" customHeight="1">
      <c r="B387" s="90"/>
      <c r="C387" s="27" t="s">
        <v>19</v>
      </c>
      <c r="D387" s="26">
        <v>13</v>
      </c>
      <c r="E387" s="25">
        <v>1.953712052900511E-3</v>
      </c>
    </row>
    <row r="388" spans="2:5" ht="15" customHeight="1">
      <c r="B388" s="90"/>
      <c r="C388" s="27" t="s">
        <v>29</v>
      </c>
      <c r="D388" s="26">
        <v>1</v>
      </c>
      <c r="E388" s="25">
        <v>1.5028554253080853E-4</v>
      </c>
    </row>
    <row r="389" spans="2:5" ht="15" customHeight="1">
      <c r="B389" s="90"/>
      <c r="C389" s="27" t="s">
        <v>39</v>
      </c>
      <c r="D389" s="26">
        <v>1</v>
      </c>
      <c r="E389" s="25">
        <v>1.5028554253080853E-4</v>
      </c>
    </row>
    <row r="390" spans="2:5" ht="15" customHeight="1">
      <c r="B390" s="90"/>
      <c r="C390" s="27" t="s">
        <v>28</v>
      </c>
      <c r="D390" s="26">
        <v>10</v>
      </c>
      <c r="E390" s="25">
        <v>1.5028554253080854E-3</v>
      </c>
    </row>
    <row r="391" spans="2:5" ht="15" customHeight="1">
      <c r="B391" s="90"/>
      <c r="C391" s="27" t="s">
        <v>30</v>
      </c>
      <c r="D391" s="26">
        <v>12</v>
      </c>
      <c r="E391" s="25">
        <v>1.8034265103697023E-3</v>
      </c>
    </row>
    <row r="392" spans="2:5" ht="15" customHeight="1">
      <c r="B392" s="90"/>
      <c r="C392" s="27" t="s">
        <v>36</v>
      </c>
      <c r="D392" s="26">
        <v>1</v>
      </c>
      <c r="E392" s="25">
        <v>1.5028554253080853E-4</v>
      </c>
    </row>
    <row r="393" spans="2:5" ht="15" customHeight="1">
      <c r="B393" s="90"/>
      <c r="C393" s="27" t="s">
        <v>25</v>
      </c>
      <c r="D393" s="26">
        <v>6</v>
      </c>
      <c r="E393" s="25">
        <v>9.0171325518485117E-4</v>
      </c>
    </row>
    <row r="394" spans="2:5" ht="15" customHeight="1">
      <c r="B394" s="90"/>
      <c r="C394" s="27" t="s">
        <v>194</v>
      </c>
      <c r="D394" s="26">
        <v>1</v>
      </c>
      <c r="E394" s="25">
        <v>1.5028554253080853E-4</v>
      </c>
    </row>
    <row r="395" spans="2:5" ht="15" customHeight="1">
      <c r="B395" s="90"/>
      <c r="C395" s="27" t="s">
        <v>23</v>
      </c>
      <c r="D395" s="26">
        <v>16</v>
      </c>
      <c r="E395" s="25">
        <v>2.4045686804929365E-3</v>
      </c>
    </row>
    <row r="396" spans="2:5" ht="15" customHeight="1">
      <c r="B396" s="90"/>
      <c r="C396" s="27" t="s">
        <v>11</v>
      </c>
      <c r="D396" s="26">
        <v>39</v>
      </c>
      <c r="E396" s="25">
        <v>5.8611361587015331E-3</v>
      </c>
    </row>
    <row r="397" spans="2:5" ht="15" customHeight="1">
      <c r="B397" s="90"/>
      <c r="C397" s="27" t="s">
        <v>40</v>
      </c>
      <c r="D397" s="26">
        <v>1</v>
      </c>
      <c r="E397" s="25">
        <v>1.5028554253080853E-4</v>
      </c>
    </row>
    <row r="398" spans="2:5" ht="15" customHeight="1">
      <c r="B398" s="90"/>
      <c r="C398" s="27" t="s">
        <v>18</v>
      </c>
      <c r="D398" s="26">
        <v>8</v>
      </c>
      <c r="E398" s="25">
        <v>1.2022843402464682E-3</v>
      </c>
    </row>
    <row r="399" spans="2:5" ht="15" customHeight="1">
      <c r="B399" s="90"/>
      <c r="C399" s="27" t="s">
        <v>33</v>
      </c>
      <c r="D399" s="26">
        <v>3</v>
      </c>
      <c r="E399" s="25">
        <v>4.5085662759242559E-4</v>
      </c>
    </row>
    <row r="400" spans="2:5" ht="15" customHeight="1">
      <c r="B400" s="90"/>
      <c r="C400" s="27" t="s">
        <v>15</v>
      </c>
      <c r="D400" s="26">
        <v>17</v>
      </c>
      <c r="E400" s="25">
        <v>2.5548542230237449E-3</v>
      </c>
    </row>
    <row r="401" spans="2:5" ht="15" customHeight="1">
      <c r="B401" s="90"/>
      <c r="C401" s="27" t="s">
        <v>34</v>
      </c>
      <c r="D401" s="26">
        <v>4</v>
      </c>
      <c r="E401" s="25">
        <v>6.0114217012323412E-4</v>
      </c>
    </row>
    <row r="402" spans="2:5" ht="15" customHeight="1">
      <c r="B402" s="90"/>
      <c r="C402" s="27" t="s">
        <v>7</v>
      </c>
      <c r="D402" s="26">
        <v>75</v>
      </c>
      <c r="E402" s="25">
        <v>1.1271415689810641E-2</v>
      </c>
    </row>
    <row r="403" spans="2:5" ht="15" customHeight="1">
      <c r="B403" s="90"/>
      <c r="C403" s="27" t="s">
        <v>31</v>
      </c>
      <c r="D403" s="26">
        <v>2</v>
      </c>
      <c r="E403" s="25">
        <v>3.0057108506161706E-4</v>
      </c>
    </row>
    <row r="404" spans="2:5" ht="15" customHeight="1">
      <c r="B404" s="90"/>
      <c r="C404" s="27" t="s">
        <v>37</v>
      </c>
      <c r="D404" s="26">
        <v>2</v>
      </c>
      <c r="E404" s="25">
        <v>3.0057108506161706E-4</v>
      </c>
    </row>
    <row r="405" spans="2:5" ht="15" customHeight="1">
      <c r="B405" s="90"/>
      <c r="C405" s="27" t="s">
        <v>32</v>
      </c>
      <c r="D405" s="26">
        <v>5</v>
      </c>
      <c r="E405" s="25">
        <v>7.514277126540427E-4</v>
      </c>
    </row>
    <row r="406" spans="2:5" ht="15" customHeight="1">
      <c r="B406" s="90"/>
      <c r="C406" s="27" t="s">
        <v>45</v>
      </c>
      <c r="D406" s="26">
        <v>1</v>
      </c>
      <c r="E406" s="25">
        <v>1.5028554253080853E-4</v>
      </c>
    </row>
    <row r="407" spans="2:5" ht="15" customHeight="1">
      <c r="B407" s="90"/>
      <c r="C407" s="27" t="s">
        <v>14</v>
      </c>
      <c r="D407" s="26">
        <v>16</v>
      </c>
      <c r="E407" s="25">
        <v>2.4045686804929365E-3</v>
      </c>
    </row>
    <row r="408" spans="2:5" ht="15" customHeight="1">
      <c r="B408" s="90"/>
      <c r="C408" s="27" t="s">
        <v>5</v>
      </c>
      <c r="D408" s="26">
        <v>296</v>
      </c>
      <c r="E408" s="25">
        <v>4.4484520589119329E-2</v>
      </c>
    </row>
    <row r="409" spans="2:5" ht="15" customHeight="1">
      <c r="B409" s="90"/>
      <c r="C409" s="27" t="s">
        <v>20</v>
      </c>
      <c r="D409" s="26">
        <v>25</v>
      </c>
      <c r="E409" s="25">
        <v>3.7571385632702136E-3</v>
      </c>
    </row>
    <row r="410" spans="2:5" ht="15" customHeight="1">
      <c r="B410" s="90"/>
      <c r="C410" s="27" t="s">
        <v>27</v>
      </c>
      <c r="D410" s="26">
        <v>4</v>
      </c>
      <c r="E410" s="25">
        <v>6.0114217012323412E-4</v>
      </c>
    </row>
    <row r="411" spans="2:5" ht="15" customHeight="1">
      <c r="B411" s="90"/>
      <c r="C411" s="27" t="s">
        <v>17</v>
      </c>
      <c r="D411" s="26">
        <v>10</v>
      </c>
      <c r="E411" s="25">
        <v>1.5028554253080854E-3</v>
      </c>
    </row>
    <row r="412" spans="2:5" ht="15" customHeight="1">
      <c r="B412" s="90"/>
      <c r="C412" s="27" t="s">
        <v>197</v>
      </c>
      <c r="D412" s="26">
        <v>1</v>
      </c>
      <c r="E412" s="25">
        <v>1.5028554253080853E-4</v>
      </c>
    </row>
    <row r="413" spans="2:5" ht="15" customHeight="1">
      <c r="B413" s="90"/>
      <c r="C413" s="27" t="s">
        <v>21</v>
      </c>
      <c r="D413" s="26">
        <v>9</v>
      </c>
      <c r="E413" s="25">
        <v>1.3525698827772769E-3</v>
      </c>
    </row>
    <row r="414" spans="2:5" ht="15" customHeight="1">
      <c r="B414" s="90"/>
      <c r="C414" s="27" t="s">
        <v>42</v>
      </c>
      <c r="D414" s="26">
        <v>2</v>
      </c>
      <c r="E414" s="25">
        <v>3.0057108506161706E-4</v>
      </c>
    </row>
    <row r="415" spans="2:5" ht="15" customHeight="1">
      <c r="B415" s="91"/>
      <c r="C415" s="24" t="s">
        <v>46</v>
      </c>
      <c r="D415" s="23">
        <v>1215</v>
      </c>
      <c r="E415" s="22">
        <v>0.18259693417493236</v>
      </c>
    </row>
    <row r="416" spans="2:5" ht="15" customHeight="1">
      <c r="B416" s="89" t="s">
        <v>115</v>
      </c>
      <c r="C416" s="27" t="s">
        <v>4</v>
      </c>
      <c r="D416" s="26">
        <v>4</v>
      </c>
      <c r="E416" s="25">
        <v>6.0114217012323412E-4</v>
      </c>
    </row>
    <row r="417" spans="2:5" ht="15" customHeight="1">
      <c r="B417" s="90"/>
      <c r="C417" s="27" t="s">
        <v>10</v>
      </c>
      <c r="D417" s="26">
        <v>1</v>
      </c>
      <c r="E417" s="25">
        <v>1.5028554253080853E-4</v>
      </c>
    </row>
    <row r="418" spans="2:5" ht="15" customHeight="1">
      <c r="B418" s="90"/>
      <c r="C418" s="27" t="s">
        <v>12</v>
      </c>
      <c r="D418" s="26">
        <v>1</v>
      </c>
      <c r="E418" s="25">
        <v>1.5028554253080853E-4</v>
      </c>
    </row>
    <row r="419" spans="2:5" ht="15" customHeight="1">
      <c r="B419" s="90"/>
      <c r="C419" s="27" t="s">
        <v>6</v>
      </c>
      <c r="D419" s="26">
        <v>1</v>
      </c>
      <c r="E419" s="25">
        <v>1.5028554253080853E-4</v>
      </c>
    </row>
    <row r="420" spans="2:5" ht="15" customHeight="1">
      <c r="B420" s="90"/>
      <c r="C420" s="27" t="s">
        <v>25</v>
      </c>
      <c r="D420" s="26">
        <v>1</v>
      </c>
      <c r="E420" s="25">
        <v>1.5028554253080853E-4</v>
      </c>
    </row>
    <row r="421" spans="2:5" ht="15" customHeight="1">
      <c r="B421" s="90"/>
      <c r="C421" s="27" t="s">
        <v>23</v>
      </c>
      <c r="D421" s="26">
        <v>2</v>
      </c>
      <c r="E421" s="25">
        <v>3.0057108506161706E-4</v>
      </c>
    </row>
    <row r="422" spans="2:5" ht="15" customHeight="1">
      <c r="B422" s="90"/>
      <c r="C422" s="27" t="s">
        <v>14</v>
      </c>
      <c r="D422" s="26">
        <v>1</v>
      </c>
      <c r="E422" s="25">
        <v>1.5028554253080853E-4</v>
      </c>
    </row>
    <row r="423" spans="2:5" ht="15" customHeight="1">
      <c r="B423" s="90"/>
      <c r="C423" s="27" t="s">
        <v>5</v>
      </c>
      <c r="D423" s="26">
        <v>2</v>
      </c>
      <c r="E423" s="25">
        <v>3.0057108506161706E-4</v>
      </c>
    </row>
    <row r="424" spans="2:5" ht="15" customHeight="1">
      <c r="B424" s="91"/>
      <c r="C424" s="24" t="s">
        <v>46</v>
      </c>
      <c r="D424" s="23">
        <v>13</v>
      </c>
      <c r="E424" s="22">
        <v>1.953712052900511E-3</v>
      </c>
    </row>
    <row r="425" spans="2:5" ht="15" customHeight="1">
      <c r="B425" s="89" t="s">
        <v>114</v>
      </c>
      <c r="C425" s="27" t="s">
        <v>35</v>
      </c>
      <c r="D425" s="26">
        <v>1</v>
      </c>
      <c r="E425" s="25">
        <v>1.5028554253080853E-4</v>
      </c>
    </row>
    <row r="426" spans="2:5" ht="15" customHeight="1">
      <c r="B426" s="90"/>
      <c r="C426" s="27" t="s">
        <v>4</v>
      </c>
      <c r="D426" s="26">
        <v>4</v>
      </c>
      <c r="E426" s="25">
        <v>6.0114217012323412E-4</v>
      </c>
    </row>
    <row r="427" spans="2:5" ht="15" customHeight="1">
      <c r="B427" s="90"/>
      <c r="C427" s="27" t="s">
        <v>12</v>
      </c>
      <c r="D427" s="26">
        <v>1</v>
      </c>
      <c r="E427" s="25">
        <v>1.5028554253080853E-4</v>
      </c>
    </row>
    <row r="428" spans="2:5" ht="15" customHeight="1">
      <c r="B428" s="90"/>
      <c r="C428" s="27" t="s">
        <v>9</v>
      </c>
      <c r="D428" s="26">
        <v>1</v>
      </c>
      <c r="E428" s="25">
        <v>1.5028554253080853E-4</v>
      </c>
    </row>
    <row r="429" spans="2:5" ht="15" customHeight="1">
      <c r="B429" s="90"/>
      <c r="C429" s="27" t="s">
        <v>11</v>
      </c>
      <c r="D429" s="26">
        <v>1</v>
      </c>
      <c r="E429" s="25">
        <v>1.5028554253080853E-4</v>
      </c>
    </row>
    <row r="430" spans="2:5" ht="15" customHeight="1">
      <c r="B430" s="90"/>
      <c r="C430" s="27" t="s">
        <v>7</v>
      </c>
      <c r="D430" s="26">
        <v>1</v>
      </c>
      <c r="E430" s="25">
        <v>1.5028554253080853E-4</v>
      </c>
    </row>
    <row r="431" spans="2:5" ht="15" customHeight="1">
      <c r="B431" s="90"/>
      <c r="C431" s="27" t="s">
        <v>5</v>
      </c>
      <c r="D431" s="26">
        <v>5</v>
      </c>
      <c r="E431" s="25">
        <v>7.514277126540427E-4</v>
      </c>
    </row>
    <row r="432" spans="2:5" ht="15" customHeight="1">
      <c r="B432" s="91"/>
      <c r="C432" s="24" t="s">
        <v>46</v>
      </c>
      <c r="D432" s="23">
        <v>14</v>
      </c>
      <c r="E432" s="22">
        <v>2.1039975954313195E-3</v>
      </c>
    </row>
    <row r="433" spans="2:5" ht="15" customHeight="1">
      <c r="B433" s="89" t="s">
        <v>113</v>
      </c>
      <c r="C433" s="27" t="s">
        <v>4</v>
      </c>
      <c r="D433" s="26">
        <v>3</v>
      </c>
      <c r="E433" s="25">
        <v>4.5085662759242559E-4</v>
      </c>
    </row>
    <row r="434" spans="2:5" ht="15" customHeight="1">
      <c r="B434" s="90"/>
      <c r="C434" s="27" t="s">
        <v>8</v>
      </c>
      <c r="D434" s="26">
        <v>1</v>
      </c>
      <c r="E434" s="25">
        <v>1.5028554253080853E-4</v>
      </c>
    </row>
    <row r="435" spans="2:5" ht="15" customHeight="1">
      <c r="B435" s="90"/>
      <c r="C435" s="27" t="s">
        <v>9</v>
      </c>
      <c r="D435" s="26">
        <v>2</v>
      </c>
      <c r="E435" s="25">
        <v>3.0057108506161706E-4</v>
      </c>
    </row>
    <row r="436" spans="2:5" ht="15" customHeight="1">
      <c r="B436" s="90"/>
      <c r="C436" s="27" t="s">
        <v>23</v>
      </c>
      <c r="D436" s="26">
        <v>1</v>
      </c>
      <c r="E436" s="25">
        <v>1.5028554253080853E-4</v>
      </c>
    </row>
    <row r="437" spans="2:5" ht="15" customHeight="1">
      <c r="B437" s="91"/>
      <c r="C437" s="24" t="s">
        <v>46</v>
      </c>
      <c r="D437" s="23">
        <v>7</v>
      </c>
      <c r="E437" s="22">
        <v>1.0519987977156598E-3</v>
      </c>
    </row>
    <row r="438" spans="2:5" ht="15" customHeight="1">
      <c r="B438" s="89" t="s">
        <v>112</v>
      </c>
      <c r="C438" s="27" t="s">
        <v>4</v>
      </c>
      <c r="D438" s="26">
        <v>3</v>
      </c>
      <c r="E438" s="25">
        <v>4.5085662759242559E-4</v>
      </c>
    </row>
    <row r="439" spans="2:5" ht="15" customHeight="1">
      <c r="B439" s="90"/>
      <c r="C439" s="27" t="s">
        <v>6</v>
      </c>
      <c r="D439" s="26">
        <v>4</v>
      </c>
      <c r="E439" s="25">
        <v>6.0114217012323412E-4</v>
      </c>
    </row>
    <row r="440" spans="2:5" ht="15" customHeight="1">
      <c r="B440" s="90"/>
      <c r="C440" s="27" t="s">
        <v>16</v>
      </c>
      <c r="D440" s="26">
        <v>1</v>
      </c>
      <c r="E440" s="25">
        <v>1.5028554253080853E-4</v>
      </c>
    </row>
    <row r="441" spans="2:5" ht="15" customHeight="1">
      <c r="B441" s="90"/>
      <c r="C441" s="27" t="s">
        <v>5</v>
      </c>
      <c r="D441" s="26">
        <v>1</v>
      </c>
      <c r="E441" s="25">
        <v>1.5028554253080853E-4</v>
      </c>
    </row>
    <row r="442" spans="2:5" ht="15" customHeight="1">
      <c r="B442" s="91"/>
      <c r="C442" s="24" t="s">
        <v>46</v>
      </c>
      <c r="D442" s="23">
        <v>9</v>
      </c>
      <c r="E442" s="22">
        <v>1.3525698827772769E-3</v>
      </c>
    </row>
    <row r="443" spans="2:5" ht="15" customHeight="1">
      <c r="B443" s="89" t="s">
        <v>111</v>
      </c>
      <c r="C443" s="27" t="s">
        <v>22</v>
      </c>
      <c r="D443" s="26">
        <v>1</v>
      </c>
      <c r="E443" s="25">
        <v>1.5028554253080853E-4</v>
      </c>
    </row>
    <row r="444" spans="2:5" ht="15" customHeight="1">
      <c r="B444" s="90"/>
      <c r="C444" s="27" t="s">
        <v>13</v>
      </c>
      <c r="D444" s="26">
        <v>1</v>
      </c>
      <c r="E444" s="25">
        <v>1.5028554253080853E-4</v>
      </c>
    </row>
    <row r="445" spans="2:5" ht="15" customHeight="1">
      <c r="B445" s="90"/>
      <c r="C445" s="27" t="s">
        <v>4</v>
      </c>
      <c r="D445" s="26">
        <v>25</v>
      </c>
      <c r="E445" s="25">
        <v>3.7571385632702136E-3</v>
      </c>
    </row>
    <row r="446" spans="2:5" ht="15" customHeight="1">
      <c r="B446" s="90"/>
      <c r="C446" s="27" t="s">
        <v>8</v>
      </c>
      <c r="D446" s="26">
        <v>3</v>
      </c>
      <c r="E446" s="25">
        <v>4.5085662759242559E-4</v>
      </c>
    </row>
    <row r="447" spans="2:5" ht="15" customHeight="1">
      <c r="B447" s="90"/>
      <c r="C447" s="27" t="s">
        <v>10</v>
      </c>
      <c r="D447" s="26">
        <v>3</v>
      </c>
      <c r="E447" s="25">
        <v>4.5085662759242559E-4</v>
      </c>
    </row>
    <row r="448" spans="2:5" ht="15" customHeight="1">
      <c r="B448" s="90"/>
      <c r="C448" s="27" t="s">
        <v>6</v>
      </c>
      <c r="D448" s="26">
        <v>13</v>
      </c>
      <c r="E448" s="25">
        <v>1.953712052900511E-3</v>
      </c>
    </row>
    <row r="449" spans="2:5" ht="15" customHeight="1">
      <c r="B449" s="90"/>
      <c r="C449" s="27" t="s">
        <v>9</v>
      </c>
      <c r="D449" s="26">
        <v>11</v>
      </c>
      <c r="E449" s="25">
        <v>1.6531409678388939E-3</v>
      </c>
    </row>
    <row r="450" spans="2:5" ht="15" customHeight="1">
      <c r="B450" s="90"/>
      <c r="C450" s="27" t="s">
        <v>19</v>
      </c>
      <c r="D450" s="26">
        <v>1</v>
      </c>
      <c r="E450" s="25">
        <v>1.5028554253080853E-4</v>
      </c>
    </row>
    <row r="451" spans="2:5" ht="15" customHeight="1">
      <c r="B451" s="90"/>
      <c r="C451" s="27" t="s">
        <v>29</v>
      </c>
      <c r="D451" s="26">
        <v>1</v>
      </c>
      <c r="E451" s="25">
        <v>1.5028554253080853E-4</v>
      </c>
    </row>
    <row r="452" spans="2:5" ht="15" customHeight="1">
      <c r="B452" s="90"/>
      <c r="C452" s="27" t="s">
        <v>30</v>
      </c>
      <c r="D452" s="26">
        <v>1</v>
      </c>
      <c r="E452" s="25">
        <v>1.5028554253080853E-4</v>
      </c>
    </row>
    <row r="453" spans="2:5" ht="15" customHeight="1">
      <c r="B453" s="90"/>
      <c r="C453" s="27" t="s">
        <v>11</v>
      </c>
      <c r="D453" s="26">
        <v>3</v>
      </c>
      <c r="E453" s="25">
        <v>4.5085662759242559E-4</v>
      </c>
    </row>
    <row r="454" spans="2:5" ht="15" customHeight="1">
      <c r="B454" s="90"/>
      <c r="C454" s="27" t="s">
        <v>18</v>
      </c>
      <c r="D454" s="26">
        <v>3</v>
      </c>
      <c r="E454" s="25">
        <v>4.5085662759242559E-4</v>
      </c>
    </row>
    <row r="455" spans="2:5" ht="15" customHeight="1">
      <c r="B455" s="90"/>
      <c r="C455" s="27" t="s">
        <v>33</v>
      </c>
      <c r="D455" s="26">
        <v>1</v>
      </c>
      <c r="E455" s="25">
        <v>1.5028554253080853E-4</v>
      </c>
    </row>
    <row r="456" spans="2:5" ht="15" customHeight="1">
      <c r="B456" s="90"/>
      <c r="C456" s="27" t="s">
        <v>15</v>
      </c>
      <c r="D456" s="26">
        <v>1</v>
      </c>
      <c r="E456" s="25">
        <v>1.5028554253080853E-4</v>
      </c>
    </row>
    <row r="457" spans="2:5" ht="15" customHeight="1">
      <c r="B457" s="90"/>
      <c r="C457" s="27" t="s">
        <v>44</v>
      </c>
      <c r="D457" s="26">
        <v>1</v>
      </c>
      <c r="E457" s="25">
        <v>1.5028554253080853E-4</v>
      </c>
    </row>
    <row r="458" spans="2:5" ht="15" customHeight="1">
      <c r="B458" s="90"/>
      <c r="C458" s="27" t="s">
        <v>7</v>
      </c>
      <c r="D458" s="26">
        <v>3</v>
      </c>
      <c r="E458" s="25">
        <v>4.5085662759242559E-4</v>
      </c>
    </row>
    <row r="459" spans="2:5" ht="15" customHeight="1">
      <c r="B459" s="90"/>
      <c r="C459" s="27" t="s">
        <v>37</v>
      </c>
      <c r="D459" s="26">
        <v>2</v>
      </c>
      <c r="E459" s="25">
        <v>3.0057108506161706E-4</v>
      </c>
    </row>
    <row r="460" spans="2:5" ht="15" customHeight="1">
      <c r="B460" s="90"/>
      <c r="C460" s="27" t="s">
        <v>5</v>
      </c>
      <c r="D460" s="26">
        <v>13</v>
      </c>
      <c r="E460" s="25">
        <v>1.953712052900511E-3</v>
      </c>
    </row>
    <row r="461" spans="2:5" ht="15" customHeight="1">
      <c r="B461" s="90"/>
      <c r="C461" s="27" t="s">
        <v>20</v>
      </c>
      <c r="D461" s="26">
        <v>2</v>
      </c>
      <c r="E461" s="25">
        <v>3.0057108506161706E-4</v>
      </c>
    </row>
    <row r="462" spans="2:5" ht="15" customHeight="1">
      <c r="B462" s="90"/>
      <c r="C462" s="27" t="s">
        <v>17</v>
      </c>
      <c r="D462" s="26">
        <v>3</v>
      </c>
      <c r="E462" s="25">
        <v>4.5085662759242559E-4</v>
      </c>
    </row>
    <row r="463" spans="2:5" ht="15" customHeight="1">
      <c r="B463" s="91"/>
      <c r="C463" s="24" t="s">
        <v>46</v>
      </c>
      <c r="D463" s="23">
        <v>92</v>
      </c>
      <c r="E463" s="22">
        <v>1.3826269912834385E-2</v>
      </c>
    </row>
    <row r="464" spans="2:5" ht="15" customHeight="1">
      <c r="B464" s="89" t="s">
        <v>110</v>
      </c>
      <c r="C464" s="27" t="s">
        <v>22</v>
      </c>
      <c r="D464" s="26">
        <v>2</v>
      </c>
      <c r="E464" s="25">
        <v>3.0057108506161706E-4</v>
      </c>
    </row>
    <row r="465" spans="2:5" ht="15" customHeight="1">
      <c r="B465" s="90"/>
      <c r="C465" s="27" t="s">
        <v>13</v>
      </c>
      <c r="D465" s="26">
        <v>1</v>
      </c>
      <c r="E465" s="25">
        <v>1.5028554253080853E-4</v>
      </c>
    </row>
    <row r="466" spans="2:5" ht="15" customHeight="1">
      <c r="B466" s="90"/>
      <c r="C466" s="27" t="s">
        <v>4</v>
      </c>
      <c r="D466" s="26">
        <v>25</v>
      </c>
      <c r="E466" s="25">
        <v>3.7571385632702136E-3</v>
      </c>
    </row>
    <row r="467" spans="2:5" ht="15" customHeight="1">
      <c r="B467" s="90"/>
      <c r="C467" s="27" t="s">
        <v>8</v>
      </c>
      <c r="D467" s="26">
        <v>6</v>
      </c>
      <c r="E467" s="25">
        <v>9.0171325518485117E-4</v>
      </c>
    </row>
    <row r="468" spans="2:5" ht="15" customHeight="1">
      <c r="B468" s="90"/>
      <c r="C468" s="27" t="s">
        <v>38</v>
      </c>
      <c r="D468" s="26">
        <v>2</v>
      </c>
      <c r="E468" s="25">
        <v>3.0057108506161706E-4</v>
      </c>
    </row>
    <row r="469" spans="2:5" ht="15" customHeight="1">
      <c r="B469" s="90"/>
      <c r="C469" s="27" t="s">
        <v>10</v>
      </c>
      <c r="D469" s="26">
        <v>7</v>
      </c>
      <c r="E469" s="25">
        <v>1.0519987977156598E-3</v>
      </c>
    </row>
    <row r="470" spans="2:5" ht="15" customHeight="1">
      <c r="B470" s="90"/>
      <c r="C470" s="27" t="s">
        <v>12</v>
      </c>
      <c r="D470" s="26">
        <v>1</v>
      </c>
      <c r="E470" s="25">
        <v>1.5028554253080853E-4</v>
      </c>
    </row>
    <row r="471" spans="2:5" ht="15" customHeight="1">
      <c r="B471" s="90"/>
      <c r="C471" s="27" t="s">
        <v>6</v>
      </c>
      <c r="D471" s="26">
        <v>24</v>
      </c>
      <c r="E471" s="25">
        <v>3.6068530207394047E-3</v>
      </c>
    </row>
    <row r="472" spans="2:5" ht="15" customHeight="1">
      <c r="B472" s="90"/>
      <c r="C472" s="27" t="s">
        <v>9</v>
      </c>
      <c r="D472" s="26">
        <v>3</v>
      </c>
      <c r="E472" s="25">
        <v>4.5085662759242559E-4</v>
      </c>
    </row>
    <row r="473" spans="2:5" ht="15" customHeight="1">
      <c r="B473" s="90"/>
      <c r="C473" s="27" t="s">
        <v>16</v>
      </c>
      <c r="D473" s="26">
        <v>2</v>
      </c>
      <c r="E473" s="25">
        <v>3.0057108506161706E-4</v>
      </c>
    </row>
    <row r="474" spans="2:5" ht="15" customHeight="1">
      <c r="B474" s="90"/>
      <c r="C474" s="27" t="s">
        <v>19</v>
      </c>
      <c r="D474" s="26">
        <v>2</v>
      </c>
      <c r="E474" s="25">
        <v>3.0057108506161706E-4</v>
      </c>
    </row>
    <row r="475" spans="2:5" ht="15" customHeight="1">
      <c r="B475" s="90"/>
      <c r="C475" s="27" t="s">
        <v>29</v>
      </c>
      <c r="D475" s="26">
        <v>3</v>
      </c>
      <c r="E475" s="25">
        <v>4.5085662759242559E-4</v>
      </c>
    </row>
    <row r="476" spans="2:5" ht="15" customHeight="1">
      <c r="B476" s="90"/>
      <c r="C476" s="27" t="s">
        <v>43</v>
      </c>
      <c r="D476" s="26">
        <v>1</v>
      </c>
      <c r="E476" s="25">
        <v>1.5028554253080853E-4</v>
      </c>
    </row>
    <row r="477" spans="2:5" ht="15" customHeight="1">
      <c r="B477" s="90"/>
      <c r="C477" s="27" t="s">
        <v>28</v>
      </c>
      <c r="D477" s="26">
        <v>2</v>
      </c>
      <c r="E477" s="25">
        <v>3.0057108506161706E-4</v>
      </c>
    </row>
    <row r="478" spans="2:5" ht="15" customHeight="1">
      <c r="B478" s="90"/>
      <c r="C478" s="27" t="s">
        <v>23</v>
      </c>
      <c r="D478" s="26">
        <v>1</v>
      </c>
      <c r="E478" s="25">
        <v>1.5028554253080853E-4</v>
      </c>
    </row>
    <row r="479" spans="2:5" ht="15" customHeight="1">
      <c r="B479" s="90"/>
      <c r="C479" s="27" t="s">
        <v>11</v>
      </c>
      <c r="D479" s="26">
        <v>6</v>
      </c>
      <c r="E479" s="25">
        <v>9.0171325518485117E-4</v>
      </c>
    </row>
    <row r="480" spans="2:5" ht="15" customHeight="1">
      <c r="B480" s="90"/>
      <c r="C480" s="27" t="s">
        <v>18</v>
      </c>
      <c r="D480" s="26">
        <v>1</v>
      </c>
      <c r="E480" s="25">
        <v>1.5028554253080853E-4</v>
      </c>
    </row>
    <row r="481" spans="2:5" ht="15" customHeight="1">
      <c r="B481" s="90"/>
      <c r="C481" s="27" t="s">
        <v>33</v>
      </c>
      <c r="D481" s="26">
        <v>3</v>
      </c>
      <c r="E481" s="25">
        <v>4.5085662759242559E-4</v>
      </c>
    </row>
    <row r="482" spans="2:5" ht="15" customHeight="1">
      <c r="B482" s="90"/>
      <c r="C482" s="27" t="s">
        <v>15</v>
      </c>
      <c r="D482" s="26">
        <v>2</v>
      </c>
      <c r="E482" s="25">
        <v>3.0057108506161706E-4</v>
      </c>
    </row>
    <row r="483" spans="2:5" ht="15" customHeight="1">
      <c r="B483" s="90"/>
      <c r="C483" s="27" t="s">
        <v>7</v>
      </c>
      <c r="D483" s="26">
        <v>10</v>
      </c>
      <c r="E483" s="25">
        <v>1.5028554253080854E-3</v>
      </c>
    </row>
    <row r="484" spans="2:5" ht="15" customHeight="1">
      <c r="B484" s="90"/>
      <c r="C484" s="27" t="s">
        <v>32</v>
      </c>
      <c r="D484" s="26">
        <v>1</v>
      </c>
      <c r="E484" s="25">
        <v>1.5028554253080853E-4</v>
      </c>
    </row>
    <row r="485" spans="2:5" ht="15" customHeight="1">
      <c r="B485" s="90"/>
      <c r="C485" s="27" t="s">
        <v>45</v>
      </c>
      <c r="D485" s="26">
        <v>1</v>
      </c>
      <c r="E485" s="25">
        <v>1.5028554253080853E-4</v>
      </c>
    </row>
    <row r="486" spans="2:5" ht="15" customHeight="1">
      <c r="B486" s="90"/>
      <c r="C486" s="27" t="s">
        <v>14</v>
      </c>
      <c r="D486" s="26">
        <v>2</v>
      </c>
      <c r="E486" s="25">
        <v>3.0057108506161706E-4</v>
      </c>
    </row>
    <row r="487" spans="2:5" ht="15" customHeight="1">
      <c r="B487" s="90"/>
      <c r="C487" s="27" t="s">
        <v>5</v>
      </c>
      <c r="D487" s="26">
        <v>49</v>
      </c>
      <c r="E487" s="25">
        <v>7.3639915840096179E-3</v>
      </c>
    </row>
    <row r="488" spans="2:5" ht="15" customHeight="1">
      <c r="B488" s="90"/>
      <c r="C488" s="27" t="s">
        <v>20</v>
      </c>
      <c r="D488" s="26">
        <v>4</v>
      </c>
      <c r="E488" s="25">
        <v>6.0114217012323412E-4</v>
      </c>
    </row>
    <row r="489" spans="2:5" ht="15" customHeight="1">
      <c r="B489" s="90"/>
      <c r="C489" s="27" t="s">
        <v>27</v>
      </c>
      <c r="D489" s="26">
        <v>1</v>
      </c>
      <c r="E489" s="25">
        <v>1.5028554253080853E-4</v>
      </c>
    </row>
    <row r="490" spans="2:5" ht="15" customHeight="1">
      <c r="B490" s="90"/>
      <c r="C490" s="27" t="s">
        <v>17</v>
      </c>
      <c r="D490" s="26">
        <v>3</v>
      </c>
      <c r="E490" s="25">
        <v>4.5085662759242559E-4</v>
      </c>
    </row>
    <row r="491" spans="2:5" ht="15" customHeight="1">
      <c r="B491" s="91"/>
      <c r="C491" s="24" t="s">
        <v>46</v>
      </c>
      <c r="D491" s="23">
        <v>165</v>
      </c>
      <c r="E491" s="22">
        <v>2.4797114517583409E-2</v>
      </c>
    </row>
    <row r="492" spans="2:5" ht="15" customHeight="1">
      <c r="B492" s="89" t="s">
        <v>109</v>
      </c>
      <c r="C492" s="27" t="s">
        <v>35</v>
      </c>
      <c r="D492" s="26">
        <v>1</v>
      </c>
      <c r="E492" s="25">
        <v>1.5028554253080853E-4</v>
      </c>
    </row>
    <row r="493" spans="2:5" ht="15" customHeight="1">
      <c r="B493" s="90"/>
      <c r="C493" s="27" t="s">
        <v>6</v>
      </c>
      <c r="D493" s="26">
        <v>4</v>
      </c>
      <c r="E493" s="25">
        <v>6.0114217012323412E-4</v>
      </c>
    </row>
    <row r="494" spans="2:5" ht="15" customHeight="1">
      <c r="B494" s="90"/>
      <c r="C494" s="27" t="s">
        <v>7</v>
      </c>
      <c r="D494" s="26">
        <v>1</v>
      </c>
      <c r="E494" s="25">
        <v>1.5028554253080853E-4</v>
      </c>
    </row>
    <row r="495" spans="2:5" ht="15" customHeight="1">
      <c r="B495" s="90"/>
      <c r="C495" s="27" t="s">
        <v>5</v>
      </c>
      <c r="D495" s="26">
        <v>1</v>
      </c>
      <c r="E495" s="25">
        <v>1.5028554253080853E-4</v>
      </c>
    </row>
    <row r="496" spans="2:5" ht="15" customHeight="1">
      <c r="B496" s="90"/>
      <c r="C496" s="27" t="s">
        <v>42</v>
      </c>
      <c r="D496" s="26">
        <v>2</v>
      </c>
      <c r="E496" s="25">
        <v>3.0057108506161706E-4</v>
      </c>
    </row>
    <row r="497" spans="2:5" ht="15" customHeight="1">
      <c r="B497" s="91"/>
      <c r="C497" s="24" t="s">
        <v>46</v>
      </c>
      <c r="D497" s="23">
        <v>9</v>
      </c>
      <c r="E497" s="22">
        <v>1.3525698827772769E-3</v>
      </c>
    </row>
    <row r="498" spans="2:5" ht="15" customHeight="1">
      <c r="B498" s="89" t="s">
        <v>108</v>
      </c>
      <c r="C498" s="27" t="s">
        <v>22</v>
      </c>
      <c r="D498" s="26">
        <v>1</v>
      </c>
      <c r="E498" s="25">
        <v>1.5028554253080853E-4</v>
      </c>
    </row>
    <row r="499" spans="2:5" ht="15" customHeight="1">
      <c r="B499" s="90"/>
      <c r="C499" s="27" t="s">
        <v>4</v>
      </c>
      <c r="D499" s="26">
        <v>5</v>
      </c>
      <c r="E499" s="25">
        <v>7.514277126540427E-4</v>
      </c>
    </row>
    <row r="500" spans="2:5" ht="15" customHeight="1">
      <c r="B500" s="90"/>
      <c r="C500" s="27" t="s">
        <v>6</v>
      </c>
      <c r="D500" s="26">
        <v>1</v>
      </c>
      <c r="E500" s="25">
        <v>1.5028554253080853E-4</v>
      </c>
    </row>
    <row r="501" spans="2:5" ht="15" customHeight="1">
      <c r="B501" s="90"/>
      <c r="C501" s="27" t="s">
        <v>5</v>
      </c>
      <c r="D501" s="26">
        <v>1</v>
      </c>
      <c r="E501" s="25">
        <v>1.5028554253080853E-4</v>
      </c>
    </row>
    <row r="502" spans="2:5" ht="15" customHeight="1">
      <c r="B502" s="91"/>
      <c r="C502" s="24" t="s">
        <v>46</v>
      </c>
      <c r="D502" s="23">
        <v>8</v>
      </c>
      <c r="E502" s="22">
        <v>1.2022843402464682E-3</v>
      </c>
    </row>
    <row r="503" spans="2:5" ht="15" customHeight="1">
      <c r="B503" s="89" t="s">
        <v>107</v>
      </c>
      <c r="C503" s="27" t="s">
        <v>5</v>
      </c>
      <c r="D503" s="26">
        <v>1</v>
      </c>
      <c r="E503" s="25">
        <v>1.5028554253080853E-4</v>
      </c>
    </row>
    <row r="504" spans="2:5" ht="15" customHeight="1">
      <c r="B504" s="91"/>
      <c r="C504" s="24" t="s">
        <v>46</v>
      </c>
      <c r="D504" s="23">
        <v>1</v>
      </c>
      <c r="E504" s="22">
        <v>1.5028554253080853E-4</v>
      </c>
    </row>
    <row r="505" spans="2:5" ht="15" customHeight="1">
      <c r="B505" s="92" t="s">
        <v>46</v>
      </c>
      <c r="C505" s="93"/>
      <c r="D505" s="70">
        <v>6654</v>
      </c>
      <c r="E505" s="71">
        <v>1</v>
      </c>
    </row>
    <row r="507" spans="2:5" ht="15" customHeight="1">
      <c r="B507" s="17" t="s">
        <v>198</v>
      </c>
    </row>
    <row r="508" spans="2:5" ht="15" customHeight="1">
      <c r="B508" s="18" t="s">
        <v>47</v>
      </c>
    </row>
    <row r="509" spans="2:5" ht="15" customHeight="1">
      <c r="B509" s="19" t="s">
        <v>48</v>
      </c>
    </row>
    <row r="510" spans="2:5" ht="15" customHeight="1">
      <c r="B510" s="17" t="s">
        <v>49</v>
      </c>
    </row>
    <row r="511" spans="2:5" ht="15" customHeight="1">
      <c r="B511" s="17" t="s">
        <v>199</v>
      </c>
    </row>
  </sheetData>
  <mergeCells count="26">
    <mergeCell ref="B87:B109"/>
    <mergeCell ref="B110:B146"/>
    <mergeCell ref="B147:B186"/>
    <mergeCell ref="B7:E8"/>
    <mergeCell ref="B10:B24"/>
    <mergeCell ref="B25:B33"/>
    <mergeCell ref="B34:B49"/>
    <mergeCell ref="B50:B68"/>
    <mergeCell ref="B69:B86"/>
    <mergeCell ref="B187:B211"/>
    <mergeCell ref="B212:B241"/>
    <mergeCell ref="B242:B275"/>
    <mergeCell ref="B276:B320"/>
    <mergeCell ref="B321:B340"/>
    <mergeCell ref="B341:B374"/>
    <mergeCell ref="B375:B415"/>
    <mergeCell ref="B416:B424"/>
    <mergeCell ref="B425:B432"/>
    <mergeCell ref="B433:B437"/>
    <mergeCell ref="B503:B504"/>
    <mergeCell ref="B505:C505"/>
    <mergeCell ref="B438:B442"/>
    <mergeCell ref="B443:B463"/>
    <mergeCell ref="B464:B491"/>
    <mergeCell ref="B492:B497"/>
    <mergeCell ref="B498:B50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618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94"/>
      <c r="C7" s="94"/>
      <c r="D7" s="94"/>
      <c r="E7" s="94"/>
    </row>
    <row r="8" spans="1:5" s="31" customFormat="1" ht="33" customHeight="1">
      <c r="A8" s="32"/>
      <c r="B8" s="94"/>
      <c r="C8" s="94"/>
      <c r="D8" s="94"/>
      <c r="E8" s="94"/>
    </row>
    <row r="9" spans="1:5" s="1" customFormat="1" ht="40.5" customHeight="1">
      <c r="B9" s="28" t="s">
        <v>93</v>
      </c>
      <c r="C9" s="30" t="s">
        <v>132</v>
      </c>
      <c r="D9" s="29" t="s">
        <v>2</v>
      </c>
      <c r="E9" s="28" t="s">
        <v>3</v>
      </c>
    </row>
    <row r="10" spans="1:5" ht="15" customHeight="1">
      <c r="B10" s="89" t="s">
        <v>56</v>
      </c>
      <c r="C10" s="27" t="s">
        <v>130</v>
      </c>
      <c r="D10" s="26">
        <v>1</v>
      </c>
      <c r="E10" s="25">
        <v>1.5028554253080853E-4</v>
      </c>
    </row>
    <row r="11" spans="1:5" ht="15" customHeight="1">
      <c r="B11" s="90"/>
      <c r="C11" s="27" t="s">
        <v>128</v>
      </c>
      <c r="D11" s="26">
        <v>2</v>
      </c>
      <c r="E11" s="25">
        <v>3.0057108506161706E-4</v>
      </c>
    </row>
    <row r="12" spans="1:5" ht="15" customHeight="1">
      <c r="B12" s="90"/>
      <c r="C12" s="27" t="s">
        <v>126</v>
      </c>
      <c r="D12" s="26">
        <v>1</v>
      </c>
      <c r="E12" s="25">
        <v>1.5028554253080853E-4</v>
      </c>
    </row>
    <row r="13" spans="1:5" ht="15" customHeight="1">
      <c r="B13" s="90"/>
      <c r="C13" s="27" t="s">
        <v>125</v>
      </c>
      <c r="D13" s="26">
        <v>1</v>
      </c>
      <c r="E13" s="25">
        <v>1.5028554253080853E-4</v>
      </c>
    </row>
    <row r="14" spans="1:5" ht="15" customHeight="1">
      <c r="B14" s="90"/>
      <c r="C14" s="27" t="s">
        <v>124</v>
      </c>
      <c r="D14" s="26">
        <v>3</v>
      </c>
      <c r="E14" s="25">
        <v>4.5085662759242559E-4</v>
      </c>
    </row>
    <row r="15" spans="1:5" ht="15" customHeight="1">
      <c r="B15" s="90"/>
      <c r="C15" s="27" t="s">
        <v>123</v>
      </c>
      <c r="D15" s="26">
        <v>13</v>
      </c>
      <c r="E15" s="25">
        <v>1.953712052900511E-3</v>
      </c>
    </row>
    <row r="16" spans="1:5" ht="15" customHeight="1">
      <c r="B16" s="90"/>
      <c r="C16" s="27" t="s">
        <v>121</v>
      </c>
      <c r="D16" s="26">
        <v>2</v>
      </c>
      <c r="E16" s="25">
        <v>3.0057108506161706E-4</v>
      </c>
    </row>
    <row r="17" spans="2:5" ht="15" customHeight="1">
      <c r="B17" s="90"/>
      <c r="C17" s="27" t="s">
        <v>120</v>
      </c>
      <c r="D17" s="26">
        <v>1</v>
      </c>
      <c r="E17" s="25">
        <v>1.5028554253080853E-4</v>
      </c>
    </row>
    <row r="18" spans="2:5" ht="15" customHeight="1">
      <c r="B18" s="90"/>
      <c r="C18" s="27" t="s">
        <v>119</v>
      </c>
      <c r="D18" s="26">
        <v>17</v>
      </c>
      <c r="E18" s="25">
        <v>2.5548542230237449E-3</v>
      </c>
    </row>
    <row r="19" spans="2:5" ht="15" customHeight="1">
      <c r="B19" s="90"/>
      <c r="C19" s="27" t="s">
        <v>118</v>
      </c>
      <c r="D19" s="26">
        <v>1</v>
      </c>
      <c r="E19" s="25">
        <v>1.5028554253080853E-4</v>
      </c>
    </row>
    <row r="20" spans="2:5" ht="15" customHeight="1">
      <c r="B20" s="90"/>
      <c r="C20" s="27" t="s">
        <v>117</v>
      </c>
      <c r="D20" s="26">
        <v>6</v>
      </c>
      <c r="E20" s="25">
        <v>9.0171325518485117E-4</v>
      </c>
    </row>
    <row r="21" spans="2:5" ht="15" customHeight="1">
      <c r="B21" s="90"/>
      <c r="C21" s="27" t="s">
        <v>116</v>
      </c>
      <c r="D21" s="26">
        <v>8</v>
      </c>
      <c r="E21" s="25">
        <v>1.2022843402464682E-3</v>
      </c>
    </row>
    <row r="22" spans="2:5" ht="15" customHeight="1">
      <c r="B22" s="90"/>
      <c r="C22" s="27" t="s">
        <v>111</v>
      </c>
      <c r="D22" s="26">
        <v>3</v>
      </c>
      <c r="E22" s="25">
        <v>4.5085662759242559E-4</v>
      </c>
    </row>
    <row r="23" spans="2:5" ht="15" customHeight="1">
      <c r="B23" s="90"/>
      <c r="C23" s="27" t="s">
        <v>110</v>
      </c>
      <c r="D23" s="26">
        <v>1</v>
      </c>
      <c r="E23" s="25">
        <v>1.5028554253080853E-4</v>
      </c>
    </row>
    <row r="24" spans="2:5" ht="15" customHeight="1">
      <c r="B24" s="91"/>
      <c r="C24" s="24" t="s">
        <v>46</v>
      </c>
      <c r="D24" s="23">
        <v>60</v>
      </c>
      <c r="E24" s="22">
        <v>9.017132551848512E-3</v>
      </c>
    </row>
    <row r="25" spans="2:5" ht="15" customHeight="1">
      <c r="B25" s="89" t="s">
        <v>88</v>
      </c>
      <c r="C25" s="27" t="s">
        <v>130</v>
      </c>
      <c r="D25" s="26">
        <v>1</v>
      </c>
      <c r="E25" s="25">
        <v>1.5028554253080853E-4</v>
      </c>
    </row>
    <row r="26" spans="2:5" ht="15" customHeight="1">
      <c r="B26" s="90"/>
      <c r="C26" s="27" t="s">
        <v>129</v>
      </c>
      <c r="D26" s="26">
        <v>2</v>
      </c>
      <c r="E26" s="25">
        <v>3.0057108506161706E-4</v>
      </c>
    </row>
    <row r="27" spans="2:5" ht="15" customHeight="1">
      <c r="B27" s="90"/>
      <c r="C27" s="27" t="s">
        <v>128</v>
      </c>
      <c r="D27" s="26">
        <v>1</v>
      </c>
      <c r="E27" s="25">
        <v>1.5028554253080853E-4</v>
      </c>
    </row>
    <row r="28" spans="2:5" ht="15" customHeight="1">
      <c r="B28" s="90"/>
      <c r="C28" s="27" t="s">
        <v>126</v>
      </c>
      <c r="D28" s="26">
        <v>1</v>
      </c>
      <c r="E28" s="25">
        <v>1.5028554253080853E-4</v>
      </c>
    </row>
    <row r="29" spans="2:5" ht="15" customHeight="1">
      <c r="B29" s="90"/>
      <c r="C29" s="27" t="s">
        <v>125</v>
      </c>
      <c r="D29" s="26">
        <v>5</v>
      </c>
      <c r="E29" s="25">
        <v>7.514277126540427E-4</v>
      </c>
    </row>
    <row r="30" spans="2:5" ht="15" customHeight="1">
      <c r="B30" s="90"/>
      <c r="C30" s="27" t="s">
        <v>124</v>
      </c>
      <c r="D30" s="26">
        <v>12</v>
      </c>
      <c r="E30" s="25">
        <v>1.8034265103697023E-3</v>
      </c>
    </row>
    <row r="31" spans="2:5" ht="15" customHeight="1">
      <c r="B31" s="90"/>
      <c r="C31" s="27" t="s">
        <v>123</v>
      </c>
      <c r="D31" s="26">
        <v>29</v>
      </c>
      <c r="E31" s="25">
        <v>4.3582807333934475E-3</v>
      </c>
    </row>
    <row r="32" spans="2:5" ht="15" customHeight="1">
      <c r="B32" s="90"/>
      <c r="C32" s="27" t="s">
        <v>122</v>
      </c>
      <c r="D32" s="26">
        <v>3</v>
      </c>
      <c r="E32" s="25">
        <v>4.5085662759242559E-4</v>
      </c>
    </row>
    <row r="33" spans="2:5" ht="15" customHeight="1">
      <c r="B33" s="90"/>
      <c r="C33" s="27" t="s">
        <v>121</v>
      </c>
      <c r="D33" s="26">
        <v>7</v>
      </c>
      <c r="E33" s="25">
        <v>1.0519987977156598E-3</v>
      </c>
    </row>
    <row r="34" spans="2:5" ht="15" customHeight="1">
      <c r="B34" s="90"/>
      <c r="C34" s="27" t="s">
        <v>120</v>
      </c>
      <c r="D34" s="26">
        <v>7</v>
      </c>
      <c r="E34" s="25">
        <v>1.0519987977156598E-3</v>
      </c>
    </row>
    <row r="35" spans="2:5" ht="15" customHeight="1">
      <c r="B35" s="90"/>
      <c r="C35" s="27" t="s">
        <v>119</v>
      </c>
      <c r="D35" s="26">
        <v>88</v>
      </c>
      <c r="E35" s="25">
        <v>1.3225127742711151E-2</v>
      </c>
    </row>
    <row r="36" spans="2:5" ht="15" customHeight="1">
      <c r="B36" s="90"/>
      <c r="C36" s="27" t="s">
        <v>118</v>
      </c>
      <c r="D36" s="26">
        <v>4</v>
      </c>
      <c r="E36" s="25">
        <v>6.0114217012323412E-4</v>
      </c>
    </row>
    <row r="37" spans="2:5" ht="15" customHeight="1">
      <c r="B37" s="90"/>
      <c r="C37" s="27" t="s">
        <v>117</v>
      </c>
      <c r="D37" s="26">
        <v>14</v>
      </c>
      <c r="E37" s="25">
        <v>2.1039975954313195E-3</v>
      </c>
    </row>
    <row r="38" spans="2:5" ht="15" customHeight="1">
      <c r="B38" s="90"/>
      <c r="C38" s="27" t="s">
        <v>116</v>
      </c>
      <c r="D38" s="26">
        <v>30</v>
      </c>
      <c r="E38" s="25">
        <v>4.508566275924256E-3</v>
      </c>
    </row>
    <row r="39" spans="2:5" ht="15" customHeight="1">
      <c r="B39" s="90"/>
      <c r="C39" s="27" t="s">
        <v>115</v>
      </c>
      <c r="D39" s="26">
        <v>2</v>
      </c>
      <c r="E39" s="25">
        <v>3.0057108506161706E-4</v>
      </c>
    </row>
    <row r="40" spans="2:5" ht="15" customHeight="1">
      <c r="B40" s="90"/>
      <c r="C40" s="27" t="s">
        <v>114</v>
      </c>
      <c r="D40" s="26">
        <v>1</v>
      </c>
      <c r="E40" s="25">
        <v>1.5028554253080853E-4</v>
      </c>
    </row>
    <row r="41" spans="2:5" ht="15" customHeight="1">
      <c r="B41" s="90"/>
      <c r="C41" s="27" t="s">
        <v>110</v>
      </c>
      <c r="D41" s="26">
        <v>3</v>
      </c>
      <c r="E41" s="25">
        <v>4.5085662759242559E-4</v>
      </c>
    </row>
    <row r="42" spans="2:5" ht="15" customHeight="1">
      <c r="B42" s="91"/>
      <c r="C42" s="24" t="s">
        <v>46</v>
      </c>
      <c r="D42" s="23">
        <v>210</v>
      </c>
      <c r="E42" s="22">
        <v>3.1559963931469794E-2</v>
      </c>
    </row>
    <row r="43" spans="2:5" ht="15" customHeight="1">
      <c r="B43" s="89" t="s">
        <v>78</v>
      </c>
      <c r="C43" s="27" t="s">
        <v>127</v>
      </c>
      <c r="D43" s="26">
        <v>1</v>
      </c>
      <c r="E43" s="25">
        <v>1.5028554253080853E-4</v>
      </c>
    </row>
    <row r="44" spans="2:5" ht="15" customHeight="1">
      <c r="B44" s="90"/>
      <c r="C44" s="27" t="s">
        <v>126</v>
      </c>
      <c r="D44" s="26">
        <v>1</v>
      </c>
      <c r="E44" s="25">
        <v>1.5028554253080853E-4</v>
      </c>
    </row>
    <row r="45" spans="2:5" ht="15" customHeight="1">
      <c r="B45" s="90"/>
      <c r="C45" s="27" t="s">
        <v>125</v>
      </c>
      <c r="D45" s="26">
        <v>2</v>
      </c>
      <c r="E45" s="25">
        <v>3.0057108506161706E-4</v>
      </c>
    </row>
    <row r="46" spans="2:5" ht="15" customHeight="1">
      <c r="B46" s="90"/>
      <c r="C46" s="27" t="s">
        <v>124</v>
      </c>
      <c r="D46" s="26">
        <v>11</v>
      </c>
      <c r="E46" s="25">
        <v>1.6531409678388939E-3</v>
      </c>
    </row>
    <row r="47" spans="2:5" ht="15" customHeight="1">
      <c r="B47" s="90"/>
      <c r="C47" s="27" t="s">
        <v>123</v>
      </c>
      <c r="D47" s="26">
        <v>12</v>
      </c>
      <c r="E47" s="25">
        <v>1.8034265103697023E-3</v>
      </c>
    </row>
    <row r="48" spans="2:5" ht="15" customHeight="1">
      <c r="B48" s="90"/>
      <c r="C48" s="27" t="s">
        <v>122</v>
      </c>
      <c r="D48" s="26">
        <v>2</v>
      </c>
      <c r="E48" s="25">
        <v>3.0057108506161706E-4</v>
      </c>
    </row>
    <row r="49" spans="2:5" ht="15" customHeight="1">
      <c r="B49" s="90"/>
      <c r="C49" s="27" t="s">
        <v>121</v>
      </c>
      <c r="D49" s="26">
        <v>3</v>
      </c>
      <c r="E49" s="25">
        <v>4.5085662759242559E-4</v>
      </c>
    </row>
    <row r="50" spans="2:5" ht="15" customHeight="1">
      <c r="B50" s="90"/>
      <c r="C50" s="27" t="s">
        <v>120</v>
      </c>
      <c r="D50" s="26">
        <v>4</v>
      </c>
      <c r="E50" s="25">
        <v>6.0114217012323412E-4</v>
      </c>
    </row>
    <row r="51" spans="2:5" ht="15" customHeight="1">
      <c r="B51" s="90"/>
      <c r="C51" s="27" t="s">
        <v>119</v>
      </c>
      <c r="D51" s="26">
        <v>32</v>
      </c>
      <c r="E51" s="25">
        <v>4.8091373609858729E-3</v>
      </c>
    </row>
    <row r="52" spans="2:5" ht="15" customHeight="1">
      <c r="B52" s="90"/>
      <c r="C52" s="27" t="s">
        <v>118</v>
      </c>
      <c r="D52" s="26">
        <v>1</v>
      </c>
      <c r="E52" s="25">
        <v>1.5028554253080853E-4</v>
      </c>
    </row>
    <row r="53" spans="2:5" ht="15" customHeight="1">
      <c r="B53" s="90"/>
      <c r="C53" s="27" t="s">
        <v>117</v>
      </c>
      <c r="D53" s="26">
        <v>3</v>
      </c>
      <c r="E53" s="25">
        <v>4.5085662759242559E-4</v>
      </c>
    </row>
    <row r="54" spans="2:5" ht="15" customHeight="1">
      <c r="B54" s="90"/>
      <c r="C54" s="27" t="s">
        <v>116</v>
      </c>
      <c r="D54" s="26">
        <v>18</v>
      </c>
      <c r="E54" s="25">
        <v>2.7051397655545538E-3</v>
      </c>
    </row>
    <row r="55" spans="2:5" ht="15" customHeight="1">
      <c r="B55" s="90"/>
      <c r="C55" s="27" t="s">
        <v>115</v>
      </c>
      <c r="D55" s="26">
        <v>1</v>
      </c>
      <c r="E55" s="25">
        <v>1.5028554253080853E-4</v>
      </c>
    </row>
    <row r="56" spans="2:5" ht="15" customHeight="1">
      <c r="B56" s="90"/>
      <c r="C56" s="27" t="s">
        <v>111</v>
      </c>
      <c r="D56" s="26">
        <v>1</v>
      </c>
      <c r="E56" s="25">
        <v>1.5028554253080853E-4</v>
      </c>
    </row>
    <row r="57" spans="2:5" ht="15" customHeight="1">
      <c r="B57" s="90"/>
      <c r="C57" s="27" t="s">
        <v>110</v>
      </c>
      <c r="D57" s="26">
        <v>7</v>
      </c>
      <c r="E57" s="25">
        <v>1.0519987977156598E-3</v>
      </c>
    </row>
    <row r="58" spans="2:5" ht="15" customHeight="1">
      <c r="B58" s="91"/>
      <c r="C58" s="24" t="s">
        <v>46</v>
      </c>
      <c r="D58" s="23">
        <v>99</v>
      </c>
      <c r="E58" s="22">
        <v>1.4878268710550046E-2</v>
      </c>
    </row>
    <row r="59" spans="2:5" ht="15" customHeight="1">
      <c r="B59" s="89" t="s">
        <v>54</v>
      </c>
      <c r="C59" s="27" t="s">
        <v>130</v>
      </c>
      <c r="D59" s="26">
        <v>1</v>
      </c>
      <c r="E59" s="25">
        <v>1.5028554253080853E-4</v>
      </c>
    </row>
    <row r="60" spans="2:5" ht="15" customHeight="1">
      <c r="B60" s="90"/>
      <c r="C60" s="27" t="s">
        <v>127</v>
      </c>
      <c r="D60" s="26">
        <v>1</v>
      </c>
      <c r="E60" s="25">
        <v>1.5028554253080853E-4</v>
      </c>
    </row>
    <row r="61" spans="2:5" ht="15" customHeight="1">
      <c r="B61" s="90"/>
      <c r="C61" s="27" t="s">
        <v>126</v>
      </c>
      <c r="D61" s="26">
        <v>1</v>
      </c>
      <c r="E61" s="25">
        <v>1.5028554253080853E-4</v>
      </c>
    </row>
    <row r="62" spans="2:5" ht="15" customHeight="1">
      <c r="B62" s="90"/>
      <c r="C62" s="27" t="s">
        <v>125</v>
      </c>
      <c r="D62" s="26">
        <v>4</v>
      </c>
      <c r="E62" s="25">
        <v>6.0114217012323412E-4</v>
      </c>
    </row>
    <row r="63" spans="2:5" ht="15" customHeight="1">
      <c r="B63" s="90"/>
      <c r="C63" s="27" t="s">
        <v>124</v>
      </c>
      <c r="D63" s="26">
        <v>4</v>
      </c>
      <c r="E63" s="25">
        <v>6.0114217012323412E-4</v>
      </c>
    </row>
    <row r="64" spans="2:5" ht="15" customHeight="1">
      <c r="B64" s="90"/>
      <c r="C64" s="27" t="s">
        <v>123</v>
      </c>
      <c r="D64" s="26">
        <v>4</v>
      </c>
      <c r="E64" s="25">
        <v>6.0114217012323412E-4</v>
      </c>
    </row>
    <row r="65" spans="2:5" ht="15" customHeight="1">
      <c r="B65" s="90"/>
      <c r="C65" s="27" t="s">
        <v>122</v>
      </c>
      <c r="D65" s="26">
        <v>3</v>
      </c>
      <c r="E65" s="25">
        <v>4.5085662759242559E-4</v>
      </c>
    </row>
    <row r="66" spans="2:5" ht="15" customHeight="1">
      <c r="B66" s="90"/>
      <c r="C66" s="27" t="s">
        <v>121</v>
      </c>
      <c r="D66" s="26">
        <v>1</v>
      </c>
      <c r="E66" s="25">
        <v>1.5028554253080853E-4</v>
      </c>
    </row>
    <row r="67" spans="2:5" ht="15" customHeight="1">
      <c r="B67" s="90"/>
      <c r="C67" s="27" t="s">
        <v>120</v>
      </c>
      <c r="D67" s="26">
        <v>6</v>
      </c>
      <c r="E67" s="25">
        <v>9.0171325518485117E-4</v>
      </c>
    </row>
    <row r="68" spans="2:5" ht="15" customHeight="1">
      <c r="B68" s="90"/>
      <c r="C68" s="27" t="s">
        <v>119</v>
      </c>
      <c r="D68" s="26">
        <v>9</v>
      </c>
      <c r="E68" s="25">
        <v>1.3525698827772769E-3</v>
      </c>
    </row>
    <row r="69" spans="2:5" ht="15" customHeight="1">
      <c r="B69" s="90"/>
      <c r="C69" s="27" t="s">
        <v>117</v>
      </c>
      <c r="D69" s="26">
        <v>1</v>
      </c>
      <c r="E69" s="25">
        <v>1.5028554253080853E-4</v>
      </c>
    </row>
    <row r="70" spans="2:5" ht="15" customHeight="1">
      <c r="B70" s="90"/>
      <c r="C70" s="27" t="s">
        <v>116</v>
      </c>
      <c r="D70" s="26">
        <v>1</v>
      </c>
      <c r="E70" s="25">
        <v>1.5028554253080853E-4</v>
      </c>
    </row>
    <row r="71" spans="2:5" ht="15" customHeight="1">
      <c r="B71" s="91"/>
      <c r="C71" s="24" t="s">
        <v>46</v>
      </c>
      <c r="D71" s="23">
        <v>36</v>
      </c>
      <c r="E71" s="22">
        <v>5.4102795311091077E-3</v>
      </c>
    </row>
    <row r="72" spans="2:5" ht="15" customHeight="1">
      <c r="B72" s="89" t="s">
        <v>50</v>
      </c>
      <c r="C72" s="27" t="s">
        <v>120</v>
      </c>
      <c r="D72" s="26">
        <v>1</v>
      </c>
      <c r="E72" s="25">
        <v>1.5028554253080853E-4</v>
      </c>
    </row>
    <row r="73" spans="2:5" ht="15" customHeight="1">
      <c r="B73" s="90"/>
      <c r="C73" s="27" t="s">
        <v>119</v>
      </c>
      <c r="D73" s="26">
        <v>3</v>
      </c>
      <c r="E73" s="25">
        <v>4.5085662759242559E-4</v>
      </c>
    </row>
    <row r="74" spans="2:5" ht="15" customHeight="1">
      <c r="B74" s="90"/>
      <c r="C74" s="27" t="s">
        <v>110</v>
      </c>
      <c r="D74" s="26">
        <v>1</v>
      </c>
      <c r="E74" s="25">
        <v>1.5028554253080853E-4</v>
      </c>
    </row>
    <row r="75" spans="2:5" ht="15" customHeight="1">
      <c r="B75" s="91"/>
      <c r="C75" s="24" t="s">
        <v>46</v>
      </c>
      <c r="D75" s="23">
        <v>5</v>
      </c>
      <c r="E75" s="22">
        <v>7.514277126540427E-4</v>
      </c>
    </row>
    <row r="76" spans="2:5" ht="15" customHeight="1">
      <c r="B76" s="89" t="s">
        <v>55</v>
      </c>
      <c r="C76" s="27" t="s">
        <v>116</v>
      </c>
      <c r="D76" s="26">
        <v>1</v>
      </c>
      <c r="E76" s="25">
        <v>1.5028554253080853E-4</v>
      </c>
    </row>
    <row r="77" spans="2:5" ht="15" customHeight="1">
      <c r="B77" s="91"/>
      <c r="C77" s="24" t="s">
        <v>46</v>
      </c>
      <c r="D77" s="23">
        <v>1</v>
      </c>
      <c r="E77" s="22">
        <v>1.5028554253080853E-4</v>
      </c>
    </row>
    <row r="78" spans="2:5" ht="15" customHeight="1">
      <c r="B78" s="89" t="s">
        <v>91</v>
      </c>
      <c r="C78" s="27" t="s">
        <v>130</v>
      </c>
      <c r="D78" s="26">
        <v>7</v>
      </c>
      <c r="E78" s="25">
        <v>1.0519987977156598E-3</v>
      </c>
    </row>
    <row r="79" spans="2:5" ht="15" customHeight="1">
      <c r="B79" s="90"/>
      <c r="C79" s="27" t="s">
        <v>129</v>
      </c>
      <c r="D79" s="26">
        <v>2</v>
      </c>
      <c r="E79" s="25">
        <v>3.0057108506161706E-4</v>
      </c>
    </row>
    <row r="80" spans="2:5" ht="15" customHeight="1">
      <c r="B80" s="90"/>
      <c r="C80" s="27" t="s">
        <v>128</v>
      </c>
      <c r="D80" s="26">
        <v>3</v>
      </c>
      <c r="E80" s="25">
        <v>4.5085662759242559E-4</v>
      </c>
    </row>
    <row r="81" spans="2:5" ht="15" customHeight="1">
      <c r="B81" s="90"/>
      <c r="C81" s="27" t="s">
        <v>127</v>
      </c>
      <c r="D81" s="26">
        <v>4</v>
      </c>
      <c r="E81" s="25">
        <v>6.0114217012323412E-4</v>
      </c>
    </row>
    <row r="82" spans="2:5" ht="15" customHeight="1">
      <c r="B82" s="90"/>
      <c r="C82" s="27" t="s">
        <v>126</v>
      </c>
      <c r="D82" s="26">
        <v>2</v>
      </c>
      <c r="E82" s="25">
        <v>3.0057108506161706E-4</v>
      </c>
    </row>
    <row r="83" spans="2:5" ht="15" customHeight="1">
      <c r="B83" s="90"/>
      <c r="C83" s="27" t="s">
        <v>125</v>
      </c>
      <c r="D83" s="26">
        <v>10</v>
      </c>
      <c r="E83" s="25">
        <v>1.5028554253080854E-3</v>
      </c>
    </row>
    <row r="84" spans="2:5" ht="15" customHeight="1">
      <c r="B84" s="90"/>
      <c r="C84" s="27" t="s">
        <v>124</v>
      </c>
      <c r="D84" s="26">
        <v>80</v>
      </c>
      <c r="E84" s="25">
        <v>1.2022843402464683E-2</v>
      </c>
    </row>
    <row r="85" spans="2:5" ht="15" customHeight="1">
      <c r="B85" s="90"/>
      <c r="C85" s="27" t="s">
        <v>123</v>
      </c>
      <c r="D85" s="26">
        <v>241</v>
      </c>
      <c r="E85" s="25">
        <v>3.621881574992486E-2</v>
      </c>
    </row>
    <row r="86" spans="2:5" ht="15" customHeight="1">
      <c r="B86" s="90"/>
      <c r="C86" s="27" t="s">
        <v>122</v>
      </c>
      <c r="D86" s="26">
        <v>5</v>
      </c>
      <c r="E86" s="25">
        <v>7.514277126540427E-4</v>
      </c>
    </row>
    <row r="87" spans="2:5" ht="15" customHeight="1">
      <c r="B87" s="90"/>
      <c r="C87" s="27" t="s">
        <v>121</v>
      </c>
      <c r="D87" s="26">
        <v>20</v>
      </c>
      <c r="E87" s="25">
        <v>3.0057108506161708E-3</v>
      </c>
    </row>
    <row r="88" spans="2:5" ht="15" customHeight="1">
      <c r="B88" s="90"/>
      <c r="C88" s="27" t="s">
        <v>120</v>
      </c>
      <c r="D88" s="26">
        <v>50</v>
      </c>
      <c r="E88" s="25">
        <v>7.5142771265404272E-3</v>
      </c>
    </row>
    <row r="89" spans="2:5" ht="15" customHeight="1">
      <c r="B89" s="90"/>
      <c r="C89" s="27" t="s">
        <v>119</v>
      </c>
      <c r="D89" s="26">
        <v>525</v>
      </c>
      <c r="E89" s="25">
        <v>7.889990982867448E-2</v>
      </c>
    </row>
    <row r="90" spans="2:5" ht="15" customHeight="1">
      <c r="B90" s="90"/>
      <c r="C90" s="27" t="s">
        <v>118</v>
      </c>
      <c r="D90" s="26">
        <v>21</v>
      </c>
      <c r="E90" s="25">
        <v>3.1559963931469793E-3</v>
      </c>
    </row>
    <row r="91" spans="2:5" ht="15" customHeight="1">
      <c r="B91" s="90"/>
      <c r="C91" s="27" t="s">
        <v>117</v>
      </c>
      <c r="D91" s="26">
        <v>65</v>
      </c>
      <c r="E91" s="25">
        <v>9.7685602645025543E-3</v>
      </c>
    </row>
    <row r="92" spans="2:5" ht="15" customHeight="1">
      <c r="B92" s="90"/>
      <c r="C92" s="27" t="s">
        <v>116</v>
      </c>
      <c r="D92" s="26">
        <v>211</v>
      </c>
      <c r="E92" s="25">
        <v>3.1710249474000599E-2</v>
      </c>
    </row>
    <row r="93" spans="2:5" ht="15" customHeight="1">
      <c r="B93" s="90"/>
      <c r="C93" s="27" t="s">
        <v>115</v>
      </c>
      <c r="D93" s="26">
        <v>1</v>
      </c>
      <c r="E93" s="25">
        <v>1.5028554253080853E-4</v>
      </c>
    </row>
    <row r="94" spans="2:5" ht="15" customHeight="1">
      <c r="B94" s="90"/>
      <c r="C94" s="27" t="s">
        <v>114</v>
      </c>
      <c r="D94" s="26">
        <v>1</v>
      </c>
      <c r="E94" s="25">
        <v>1.5028554253080853E-4</v>
      </c>
    </row>
    <row r="95" spans="2:5" ht="15" customHeight="1">
      <c r="B95" s="90"/>
      <c r="C95" s="27" t="s">
        <v>113</v>
      </c>
      <c r="D95" s="26">
        <v>2</v>
      </c>
      <c r="E95" s="25">
        <v>3.0057108506161706E-4</v>
      </c>
    </row>
    <row r="96" spans="2:5" ht="15" customHeight="1">
      <c r="B96" s="90"/>
      <c r="C96" s="27" t="s">
        <v>112</v>
      </c>
      <c r="D96" s="26">
        <v>4</v>
      </c>
      <c r="E96" s="25">
        <v>6.0114217012323412E-4</v>
      </c>
    </row>
    <row r="97" spans="2:5" ht="15" customHeight="1">
      <c r="B97" s="90"/>
      <c r="C97" s="27" t="s">
        <v>111</v>
      </c>
      <c r="D97" s="26">
        <v>23</v>
      </c>
      <c r="E97" s="25">
        <v>3.4565674782085962E-3</v>
      </c>
    </row>
    <row r="98" spans="2:5" ht="15" customHeight="1">
      <c r="B98" s="90"/>
      <c r="C98" s="27" t="s">
        <v>110</v>
      </c>
      <c r="D98" s="26">
        <v>27</v>
      </c>
      <c r="E98" s="25">
        <v>4.0577096483318306E-3</v>
      </c>
    </row>
    <row r="99" spans="2:5" ht="15" customHeight="1">
      <c r="B99" s="90"/>
      <c r="C99" s="27" t="s">
        <v>135</v>
      </c>
      <c r="D99" s="26">
        <v>4</v>
      </c>
      <c r="E99" s="25">
        <v>6.0114217012323412E-4</v>
      </c>
    </row>
    <row r="100" spans="2:5" ht="15" customHeight="1">
      <c r="B100" s="90"/>
      <c r="C100" s="27" t="s">
        <v>108</v>
      </c>
      <c r="D100" s="26">
        <v>1</v>
      </c>
      <c r="E100" s="25">
        <v>1.5028554253080853E-4</v>
      </c>
    </row>
    <row r="101" spans="2:5" ht="15" customHeight="1">
      <c r="B101" s="91"/>
      <c r="C101" s="24" t="s">
        <v>46</v>
      </c>
      <c r="D101" s="23">
        <v>1309</v>
      </c>
      <c r="E101" s="22">
        <v>0.19672377517282838</v>
      </c>
    </row>
    <row r="102" spans="2:5" ht="15" customHeight="1">
      <c r="B102" s="89" t="s">
        <v>89</v>
      </c>
      <c r="C102" s="27" t="s">
        <v>130</v>
      </c>
      <c r="D102" s="26">
        <v>2</v>
      </c>
      <c r="E102" s="25">
        <v>3.0057108506161706E-4</v>
      </c>
    </row>
    <row r="103" spans="2:5" ht="15" customHeight="1">
      <c r="B103" s="90"/>
      <c r="C103" s="27" t="s">
        <v>129</v>
      </c>
      <c r="D103" s="26">
        <v>1</v>
      </c>
      <c r="E103" s="25">
        <v>1.5028554253080853E-4</v>
      </c>
    </row>
    <row r="104" spans="2:5" ht="15" customHeight="1">
      <c r="B104" s="90"/>
      <c r="C104" s="27" t="s">
        <v>128</v>
      </c>
      <c r="D104" s="26">
        <v>4</v>
      </c>
      <c r="E104" s="25">
        <v>6.0114217012323412E-4</v>
      </c>
    </row>
    <row r="105" spans="2:5" ht="15" customHeight="1">
      <c r="B105" s="90"/>
      <c r="C105" s="27" t="s">
        <v>127</v>
      </c>
      <c r="D105" s="26">
        <v>2</v>
      </c>
      <c r="E105" s="25">
        <v>3.0057108506161706E-4</v>
      </c>
    </row>
    <row r="106" spans="2:5" ht="15" customHeight="1">
      <c r="B106" s="90"/>
      <c r="C106" s="27" t="s">
        <v>126</v>
      </c>
      <c r="D106" s="26">
        <v>2</v>
      </c>
      <c r="E106" s="25">
        <v>3.0057108506161706E-4</v>
      </c>
    </row>
    <row r="107" spans="2:5" ht="15" customHeight="1">
      <c r="B107" s="90"/>
      <c r="C107" s="27" t="s">
        <v>125</v>
      </c>
      <c r="D107" s="26">
        <v>4</v>
      </c>
      <c r="E107" s="25">
        <v>6.0114217012323412E-4</v>
      </c>
    </row>
    <row r="108" spans="2:5" ht="15" customHeight="1">
      <c r="B108" s="90"/>
      <c r="C108" s="27" t="s">
        <v>124</v>
      </c>
      <c r="D108" s="26">
        <v>34</v>
      </c>
      <c r="E108" s="25">
        <v>5.1097084460474899E-3</v>
      </c>
    </row>
    <row r="109" spans="2:5" ht="15" customHeight="1">
      <c r="B109" s="90"/>
      <c r="C109" s="27" t="s">
        <v>123</v>
      </c>
      <c r="D109" s="26">
        <v>56</v>
      </c>
      <c r="E109" s="25">
        <v>8.4159903817252781E-3</v>
      </c>
    </row>
    <row r="110" spans="2:5" ht="15" customHeight="1">
      <c r="B110" s="90"/>
      <c r="C110" s="27" t="s">
        <v>122</v>
      </c>
      <c r="D110" s="26">
        <v>4</v>
      </c>
      <c r="E110" s="25">
        <v>6.0114217012323412E-4</v>
      </c>
    </row>
    <row r="111" spans="2:5" ht="15" customHeight="1">
      <c r="B111" s="90"/>
      <c r="C111" s="27" t="s">
        <v>121</v>
      </c>
      <c r="D111" s="26">
        <v>9</v>
      </c>
      <c r="E111" s="25">
        <v>1.3525698827772769E-3</v>
      </c>
    </row>
    <row r="112" spans="2:5" ht="15" customHeight="1">
      <c r="B112" s="90"/>
      <c r="C112" s="27" t="s">
        <v>120</v>
      </c>
      <c r="D112" s="26">
        <v>24</v>
      </c>
      <c r="E112" s="25">
        <v>3.6068530207394047E-3</v>
      </c>
    </row>
    <row r="113" spans="2:5" ht="15" customHeight="1">
      <c r="B113" s="90"/>
      <c r="C113" s="27" t="s">
        <v>119</v>
      </c>
      <c r="D113" s="26">
        <v>297</v>
      </c>
      <c r="E113" s="25">
        <v>4.4634806131650134E-2</v>
      </c>
    </row>
    <row r="114" spans="2:5" ht="15" customHeight="1">
      <c r="B114" s="90"/>
      <c r="C114" s="27" t="s">
        <v>118</v>
      </c>
      <c r="D114" s="26">
        <v>8</v>
      </c>
      <c r="E114" s="25">
        <v>1.2022843402464682E-3</v>
      </c>
    </row>
    <row r="115" spans="2:5" ht="15" customHeight="1">
      <c r="B115" s="90"/>
      <c r="C115" s="27" t="s">
        <v>117</v>
      </c>
      <c r="D115" s="26">
        <v>30</v>
      </c>
      <c r="E115" s="25">
        <v>4.508566275924256E-3</v>
      </c>
    </row>
    <row r="116" spans="2:5" ht="15" customHeight="1">
      <c r="B116" s="90"/>
      <c r="C116" s="27" t="s">
        <v>116</v>
      </c>
      <c r="D116" s="26">
        <v>149</v>
      </c>
      <c r="E116" s="25">
        <v>2.2392545837090473E-2</v>
      </c>
    </row>
    <row r="117" spans="2:5" ht="15" customHeight="1">
      <c r="B117" s="90"/>
      <c r="C117" s="27" t="s">
        <v>115</v>
      </c>
      <c r="D117" s="26">
        <v>1</v>
      </c>
      <c r="E117" s="25">
        <v>1.5028554253080853E-4</v>
      </c>
    </row>
    <row r="118" spans="2:5" ht="15" customHeight="1">
      <c r="B118" s="90"/>
      <c r="C118" s="27" t="s">
        <v>114</v>
      </c>
      <c r="D118" s="26">
        <v>2</v>
      </c>
      <c r="E118" s="25">
        <v>3.0057108506161706E-4</v>
      </c>
    </row>
    <row r="119" spans="2:5" ht="15" customHeight="1">
      <c r="B119" s="90"/>
      <c r="C119" s="27" t="s">
        <v>111</v>
      </c>
      <c r="D119" s="26">
        <v>4</v>
      </c>
      <c r="E119" s="25">
        <v>6.0114217012323412E-4</v>
      </c>
    </row>
    <row r="120" spans="2:5" ht="15" customHeight="1">
      <c r="B120" s="90"/>
      <c r="C120" s="27" t="s">
        <v>110</v>
      </c>
      <c r="D120" s="26">
        <v>21</v>
      </c>
      <c r="E120" s="25">
        <v>3.1559963931469793E-3</v>
      </c>
    </row>
    <row r="121" spans="2:5" ht="15" customHeight="1">
      <c r="B121" s="90"/>
      <c r="C121" s="27" t="s">
        <v>135</v>
      </c>
      <c r="D121" s="26">
        <v>1</v>
      </c>
      <c r="E121" s="25">
        <v>1.5028554253080853E-4</v>
      </c>
    </row>
    <row r="122" spans="2:5" ht="15" customHeight="1">
      <c r="B122" s="91"/>
      <c r="C122" s="24" t="s">
        <v>46</v>
      </c>
      <c r="D122" s="23">
        <v>655</v>
      </c>
      <c r="E122" s="22">
        <v>9.8437030357679589E-2</v>
      </c>
    </row>
    <row r="123" spans="2:5" ht="15" customHeight="1">
      <c r="B123" s="89" t="s">
        <v>73</v>
      </c>
      <c r="C123" s="27" t="s">
        <v>130</v>
      </c>
      <c r="D123" s="26">
        <v>3</v>
      </c>
      <c r="E123" s="25">
        <v>4.5085662759242559E-4</v>
      </c>
    </row>
    <row r="124" spans="2:5" ht="15" customHeight="1">
      <c r="B124" s="90"/>
      <c r="C124" s="27" t="s">
        <v>128</v>
      </c>
      <c r="D124" s="26">
        <v>3</v>
      </c>
      <c r="E124" s="25">
        <v>4.5085662759242559E-4</v>
      </c>
    </row>
    <row r="125" spans="2:5" ht="15" customHeight="1">
      <c r="B125" s="90"/>
      <c r="C125" s="27" t="s">
        <v>127</v>
      </c>
      <c r="D125" s="26">
        <v>7</v>
      </c>
      <c r="E125" s="25">
        <v>1.0519987977156598E-3</v>
      </c>
    </row>
    <row r="126" spans="2:5" ht="15" customHeight="1">
      <c r="B126" s="90"/>
      <c r="C126" s="27" t="s">
        <v>126</v>
      </c>
      <c r="D126" s="26">
        <v>8</v>
      </c>
      <c r="E126" s="25">
        <v>1.2022843402464682E-3</v>
      </c>
    </row>
    <row r="127" spans="2:5" ht="15" customHeight="1">
      <c r="B127" s="90"/>
      <c r="C127" s="27" t="s">
        <v>125</v>
      </c>
      <c r="D127" s="26">
        <v>6</v>
      </c>
      <c r="E127" s="25">
        <v>9.0171325518485117E-4</v>
      </c>
    </row>
    <row r="128" spans="2:5" ht="15" customHeight="1">
      <c r="B128" s="90"/>
      <c r="C128" s="27" t="s">
        <v>124</v>
      </c>
      <c r="D128" s="26">
        <v>41</v>
      </c>
      <c r="E128" s="25">
        <v>6.1617072437631501E-3</v>
      </c>
    </row>
    <row r="129" spans="2:5" ht="15" customHeight="1">
      <c r="B129" s="90"/>
      <c r="C129" s="27" t="s">
        <v>123</v>
      </c>
      <c r="D129" s="26">
        <v>48</v>
      </c>
      <c r="E129" s="25">
        <v>7.2137060414788094E-3</v>
      </c>
    </row>
    <row r="130" spans="2:5" ht="15" customHeight="1">
      <c r="B130" s="90"/>
      <c r="C130" s="27" t="s">
        <v>122</v>
      </c>
      <c r="D130" s="26">
        <v>6</v>
      </c>
      <c r="E130" s="25">
        <v>9.0171325518485117E-4</v>
      </c>
    </row>
    <row r="131" spans="2:5" ht="15" customHeight="1">
      <c r="B131" s="90"/>
      <c r="C131" s="27" t="s">
        <v>121</v>
      </c>
      <c r="D131" s="26">
        <v>12</v>
      </c>
      <c r="E131" s="25">
        <v>1.8034265103697023E-3</v>
      </c>
    </row>
    <row r="132" spans="2:5" ht="15" customHeight="1">
      <c r="B132" s="90"/>
      <c r="C132" s="27" t="s">
        <v>120</v>
      </c>
      <c r="D132" s="26">
        <v>23</v>
      </c>
      <c r="E132" s="25">
        <v>3.4565674782085962E-3</v>
      </c>
    </row>
    <row r="133" spans="2:5" ht="15" customHeight="1">
      <c r="B133" s="90"/>
      <c r="C133" s="27" t="s">
        <v>119</v>
      </c>
      <c r="D133" s="26">
        <v>127</v>
      </c>
      <c r="E133" s="25">
        <v>1.9086263901412683E-2</v>
      </c>
    </row>
    <row r="134" spans="2:5" ht="15" customHeight="1">
      <c r="B134" s="90"/>
      <c r="C134" s="27" t="s">
        <v>118</v>
      </c>
      <c r="D134" s="26">
        <v>3</v>
      </c>
      <c r="E134" s="25">
        <v>4.5085662759242559E-4</v>
      </c>
    </row>
    <row r="135" spans="2:5" ht="15" customHeight="1">
      <c r="B135" s="90"/>
      <c r="C135" s="27" t="s">
        <v>117</v>
      </c>
      <c r="D135" s="26">
        <v>31</v>
      </c>
      <c r="E135" s="25">
        <v>4.6588518184550645E-3</v>
      </c>
    </row>
    <row r="136" spans="2:5" ht="15" customHeight="1">
      <c r="B136" s="90"/>
      <c r="C136" s="27" t="s">
        <v>116</v>
      </c>
      <c r="D136" s="26">
        <v>65</v>
      </c>
      <c r="E136" s="25">
        <v>9.7685602645025543E-3</v>
      </c>
    </row>
    <row r="137" spans="2:5" ht="15" customHeight="1">
      <c r="B137" s="90"/>
      <c r="C137" s="27" t="s">
        <v>113</v>
      </c>
      <c r="D137" s="26">
        <v>1</v>
      </c>
      <c r="E137" s="25">
        <v>1.5028554253080853E-4</v>
      </c>
    </row>
    <row r="138" spans="2:5" ht="15" customHeight="1">
      <c r="B138" s="90"/>
      <c r="C138" s="27" t="s">
        <v>111</v>
      </c>
      <c r="D138" s="26">
        <v>3</v>
      </c>
      <c r="E138" s="25">
        <v>4.5085662759242559E-4</v>
      </c>
    </row>
    <row r="139" spans="2:5" ht="15" customHeight="1">
      <c r="B139" s="90"/>
      <c r="C139" s="27" t="s">
        <v>110</v>
      </c>
      <c r="D139" s="26">
        <v>6</v>
      </c>
      <c r="E139" s="25">
        <v>9.0171325518485117E-4</v>
      </c>
    </row>
    <row r="140" spans="2:5" ht="15" customHeight="1">
      <c r="B140" s="90"/>
      <c r="C140" s="27" t="s">
        <v>135</v>
      </c>
      <c r="D140" s="26">
        <v>2</v>
      </c>
      <c r="E140" s="25">
        <v>3.0057108506161706E-4</v>
      </c>
    </row>
    <row r="141" spans="2:5" ht="15" customHeight="1">
      <c r="B141" s="91"/>
      <c r="C141" s="24" t="s">
        <v>46</v>
      </c>
      <c r="D141" s="23">
        <v>395</v>
      </c>
      <c r="E141" s="22">
        <v>5.9362789299669372E-2</v>
      </c>
    </row>
    <row r="142" spans="2:5" ht="15" customHeight="1">
      <c r="B142" s="89" t="s">
        <v>59</v>
      </c>
      <c r="C142" s="27" t="s">
        <v>124</v>
      </c>
      <c r="D142" s="26">
        <v>5</v>
      </c>
      <c r="E142" s="25">
        <v>7.514277126540427E-4</v>
      </c>
    </row>
    <row r="143" spans="2:5" ht="15" customHeight="1">
      <c r="B143" s="90"/>
      <c r="C143" s="27" t="s">
        <v>123</v>
      </c>
      <c r="D143" s="26">
        <v>5</v>
      </c>
      <c r="E143" s="25">
        <v>7.514277126540427E-4</v>
      </c>
    </row>
    <row r="144" spans="2:5" ht="15" customHeight="1">
      <c r="B144" s="90"/>
      <c r="C144" s="27" t="s">
        <v>122</v>
      </c>
      <c r="D144" s="26">
        <v>1</v>
      </c>
      <c r="E144" s="25">
        <v>1.5028554253080853E-4</v>
      </c>
    </row>
    <row r="145" spans="2:5" ht="15" customHeight="1">
      <c r="B145" s="90"/>
      <c r="C145" s="27" t="s">
        <v>121</v>
      </c>
      <c r="D145" s="26">
        <v>1</v>
      </c>
      <c r="E145" s="25">
        <v>1.5028554253080853E-4</v>
      </c>
    </row>
    <row r="146" spans="2:5" ht="15" customHeight="1">
      <c r="B146" s="90"/>
      <c r="C146" s="27" t="s">
        <v>120</v>
      </c>
      <c r="D146" s="26">
        <v>8</v>
      </c>
      <c r="E146" s="25">
        <v>1.2022843402464682E-3</v>
      </c>
    </row>
    <row r="147" spans="2:5" ht="15" customHeight="1">
      <c r="B147" s="90"/>
      <c r="C147" s="27" t="s">
        <v>119</v>
      </c>
      <c r="D147" s="26">
        <v>11</v>
      </c>
      <c r="E147" s="25">
        <v>1.6531409678388939E-3</v>
      </c>
    </row>
    <row r="148" spans="2:5" ht="15" customHeight="1">
      <c r="B148" s="90"/>
      <c r="C148" s="27" t="s">
        <v>117</v>
      </c>
      <c r="D148" s="26">
        <v>2</v>
      </c>
      <c r="E148" s="25">
        <v>3.0057108506161706E-4</v>
      </c>
    </row>
    <row r="149" spans="2:5" ht="15" customHeight="1">
      <c r="B149" s="90"/>
      <c r="C149" s="27" t="s">
        <v>116</v>
      </c>
      <c r="D149" s="26">
        <v>10</v>
      </c>
      <c r="E149" s="25">
        <v>1.5028554253080854E-3</v>
      </c>
    </row>
    <row r="150" spans="2:5" ht="15" customHeight="1">
      <c r="B150" s="90"/>
      <c r="C150" s="27" t="s">
        <v>110</v>
      </c>
      <c r="D150" s="26">
        <v>2</v>
      </c>
      <c r="E150" s="25">
        <v>3.0057108506161706E-4</v>
      </c>
    </row>
    <row r="151" spans="2:5" ht="15" customHeight="1">
      <c r="B151" s="91"/>
      <c r="C151" s="24" t="s">
        <v>46</v>
      </c>
      <c r="D151" s="23">
        <v>45</v>
      </c>
      <c r="E151" s="22">
        <v>6.762849413886384E-3</v>
      </c>
    </row>
    <row r="152" spans="2:5" ht="15" customHeight="1">
      <c r="B152" s="89" t="s">
        <v>57</v>
      </c>
      <c r="C152" s="27" t="s">
        <v>126</v>
      </c>
      <c r="D152" s="26">
        <v>2</v>
      </c>
      <c r="E152" s="25">
        <v>3.0057108506161706E-4</v>
      </c>
    </row>
    <row r="153" spans="2:5" ht="15" customHeight="1">
      <c r="B153" s="90"/>
      <c r="C153" s="27" t="s">
        <v>125</v>
      </c>
      <c r="D153" s="26">
        <v>1</v>
      </c>
      <c r="E153" s="25">
        <v>1.5028554253080853E-4</v>
      </c>
    </row>
    <row r="154" spans="2:5" ht="15" customHeight="1">
      <c r="B154" s="90"/>
      <c r="C154" s="27" t="s">
        <v>123</v>
      </c>
      <c r="D154" s="26">
        <v>1</v>
      </c>
      <c r="E154" s="25">
        <v>1.5028554253080853E-4</v>
      </c>
    </row>
    <row r="155" spans="2:5" ht="15" customHeight="1">
      <c r="B155" s="90"/>
      <c r="C155" s="27" t="s">
        <v>120</v>
      </c>
      <c r="D155" s="26">
        <v>1</v>
      </c>
      <c r="E155" s="25">
        <v>1.5028554253080853E-4</v>
      </c>
    </row>
    <row r="156" spans="2:5" ht="15" customHeight="1">
      <c r="B156" s="90"/>
      <c r="C156" s="27" t="s">
        <v>119</v>
      </c>
      <c r="D156" s="26">
        <v>4</v>
      </c>
      <c r="E156" s="25">
        <v>6.0114217012323412E-4</v>
      </c>
    </row>
    <row r="157" spans="2:5" ht="15" customHeight="1">
      <c r="B157" s="90"/>
      <c r="C157" s="27" t="s">
        <v>118</v>
      </c>
      <c r="D157" s="26">
        <v>1</v>
      </c>
      <c r="E157" s="25">
        <v>1.5028554253080853E-4</v>
      </c>
    </row>
    <row r="158" spans="2:5" ht="15" customHeight="1">
      <c r="B158" s="90"/>
      <c r="C158" s="27" t="s">
        <v>116</v>
      </c>
      <c r="D158" s="26">
        <v>3</v>
      </c>
      <c r="E158" s="25">
        <v>4.5085662759242559E-4</v>
      </c>
    </row>
    <row r="159" spans="2:5" ht="15" customHeight="1">
      <c r="B159" s="90"/>
      <c r="C159" s="27" t="s">
        <v>110</v>
      </c>
      <c r="D159" s="26">
        <v>1</v>
      </c>
      <c r="E159" s="25">
        <v>1.5028554253080853E-4</v>
      </c>
    </row>
    <row r="160" spans="2:5" ht="15" customHeight="1">
      <c r="B160" s="90"/>
      <c r="C160" s="27" t="s">
        <v>107</v>
      </c>
      <c r="D160" s="26">
        <v>1</v>
      </c>
      <c r="E160" s="25">
        <v>1.5028554253080853E-4</v>
      </c>
    </row>
    <row r="161" spans="2:5" ht="15" customHeight="1">
      <c r="B161" s="91"/>
      <c r="C161" s="24" t="s">
        <v>46</v>
      </c>
      <c r="D161" s="23">
        <v>15</v>
      </c>
      <c r="E161" s="22">
        <v>2.254283137962128E-3</v>
      </c>
    </row>
    <row r="162" spans="2:5" ht="15" customHeight="1">
      <c r="B162" s="89" t="s">
        <v>70</v>
      </c>
      <c r="C162" s="27" t="s">
        <v>127</v>
      </c>
      <c r="D162" s="26">
        <v>1</v>
      </c>
      <c r="E162" s="25">
        <v>1.5028554253080853E-4</v>
      </c>
    </row>
    <row r="163" spans="2:5" ht="15" customHeight="1">
      <c r="B163" s="90"/>
      <c r="C163" s="27" t="s">
        <v>124</v>
      </c>
      <c r="D163" s="26">
        <v>2</v>
      </c>
      <c r="E163" s="25">
        <v>3.0057108506161706E-4</v>
      </c>
    </row>
    <row r="164" spans="2:5" ht="15" customHeight="1">
      <c r="B164" s="90"/>
      <c r="C164" s="27" t="s">
        <v>123</v>
      </c>
      <c r="D164" s="26">
        <v>3</v>
      </c>
      <c r="E164" s="25">
        <v>4.5085662759242559E-4</v>
      </c>
    </row>
    <row r="165" spans="2:5" ht="15" customHeight="1">
      <c r="B165" s="90"/>
      <c r="C165" s="27" t="s">
        <v>119</v>
      </c>
      <c r="D165" s="26">
        <v>8</v>
      </c>
      <c r="E165" s="25">
        <v>1.2022843402464682E-3</v>
      </c>
    </row>
    <row r="166" spans="2:5" ht="15" customHeight="1">
      <c r="B166" s="90"/>
      <c r="C166" s="27" t="s">
        <v>118</v>
      </c>
      <c r="D166" s="26">
        <v>1</v>
      </c>
      <c r="E166" s="25">
        <v>1.5028554253080853E-4</v>
      </c>
    </row>
    <row r="167" spans="2:5" ht="15" customHeight="1">
      <c r="B167" s="90"/>
      <c r="C167" s="27" t="s">
        <v>117</v>
      </c>
      <c r="D167" s="26">
        <v>1</v>
      </c>
      <c r="E167" s="25">
        <v>1.5028554253080853E-4</v>
      </c>
    </row>
    <row r="168" spans="2:5" ht="15" customHeight="1">
      <c r="B168" s="90"/>
      <c r="C168" s="27" t="s">
        <v>116</v>
      </c>
      <c r="D168" s="26">
        <v>2</v>
      </c>
      <c r="E168" s="25">
        <v>3.0057108506161706E-4</v>
      </c>
    </row>
    <row r="169" spans="2:5" ht="15" customHeight="1">
      <c r="B169" s="90"/>
      <c r="C169" s="27" t="s">
        <v>111</v>
      </c>
      <c r="D169" s="26">
        <v>2</v>
      </c>
      <c r="E169" s="25">
        <v>3.0057108506161706E-4</v>
      </c>
    </row>
    <row r="170" spans="2:5" ht="15" customHeight="1">
      <c r="B170" s="91"/>
      <c r="C170" s="24" t="s">
        <v>46</v>
      </c>
      <c r="D170" s="23">
        <v>20</v>
      </c>
      <c r="E170" s="22">
        <v>3.0057108506161708E-3</v>
      </c>
    </row>
    <row r="171" spans="2:5" ht="15" customHeight="1">
      <c r="B171" s="89" t="s">
        <v>86</v>
      </c>
      <c r="C171" s="27" t="s">
        <v>130</v>
      </c>
      <c r="D171" s="26">
        <v>5</v>
      </c>
      <c r="E171" s="25">
        <v>7.514277126540427E-4</v>
      </c>
    </row>
    <row r="172" spans="2:5" ht="15" customHeight="1">
      <c r="B172" s="90"/>
      <c r="C172" s="27" t="s">
        <v>128</v>
      </c>
      <c r="D172" s="26">
        <v>2</v>
      </c>
      <c r="E172" s="25">
        <v>3.0057108506161706E-4</v>
      </c>
    </row>
    <row r="173" spans="2:5" ht="15" customHeight="1">
      <c r="B173" s="90"/>
      <c r="C173" s="27" t="s">
        <v>127</v>
      </c>
      <c r="D173" s="26">
        <v>1</v>
      </c>
      <c r="E173" s="25">
        <v>1.5028554253080853E-4</v>
      </c>
    </row>
    <row r="174" spans="2:5" ht="15" customHeight="1">
      <c r="B174" s="90"/>
      <c r="C174" s="27" t="s">
        <v>126</v>
      </c>
      <c r="D174" s="26">
        <v>1</v>
      </c>
      <c r="E174" s="25">
        <v>1.5028554253080853E-4</v>
      </c>
    </row>
    <row r="175" spans="2:5" ht="15" customHeight="1">
      <c r="B175" s="90"/>
      <c r="C175" s="27" t="s">
        <v>125</v>
      </c>
      <c r="D175" s="26">
        <v>3</v>
      </c>
      <c r="E175" s="25">
        <v>4.5085662759242559E-4</v>
      </c>
    </row>
    <row r="176" spans="2:5" ht="15" customHeight="1">
      <c r="B176" s="90"/>
      <c r="C176" s="27" t="s">
        <v>124</v>
      </c>
      <c r="D176" s="26">
        <v>13</v>
      </c>
      <c r="E176" s="25">
        <v>1.953712052900511E-3</v>
      </c>
    </row>
    <row r="177" spans="2:5" ht="15" customHeight="1">
      <c r="B177" s="90"/>
      <c r="C177" s="27" t="s">
        <v>123</v>
      </c>
      <c r="D177" s="26">
        <v>9</v>
      </c>
      <c r="E177" s="25">
        <v>1.3525698827772769E-3</v>
      </c>
    </row>
    <row r="178" spans="2:5" ht="15" customHeight="1">
      <c r="B178" s="90"/>
      <c r="C178" s="27" t="s">
        <v>122</v>
      </c>
      <c r="D178" s="26">
        <v>3</v>
      </c>
      <c r="E178" s="25">
        <v>4.5085662759242559E-4</v>
      </c>
    </row>
    <row r="179" spans="2:5" ht="15" customHeight="1">
      <c r="B179" s="90"/>
      <c r="C179" s="27" t="s">
        <v>121</v>
      </c>
      <c r="D179" s="26">
        <v>6</v>
      </c>
      <c r="E179" s="25">
        <v>9.0171325518485117E-4</v>
      </c>
    </row>
    <row r="180" spans="2:5" ht="15" customHeight="1">
      <c r="B180" s="90"/>
      <c r="C180" s="27" t="s">
        <v>120</v>
      </c>
      <c r="D180" s="26">
        <v>3</v>
      </c>
      <c r="E180" s="25">
        <v>4.5085662759242559E-4</v>
      </c>
    </row>
    <row r="181" spans="2:5" ht="15" customHeight="1">
      <c r="B181" s="90"/>
      <c r="C181" s="27" t="s">
        <v>119</v>
      </c>
      <c r="D181" s="26">
        <v>29</v>
      </c>
      <c r="E181" s="25">
        <v>4.3582807333934475E-3</v>
      </c>
    </row>
    <row r="182" spans="2:5" ht="15" customHeight="1">
      <c r="B182" s="90"/>
      <c r="C182" s="27" t="s">
        <v>118</v>
      </c>
      <c r="D182" s="26">
        <v>1</v>
      </c>
      <c r="E182" s="25">
        <v>1.5028554253080853E-4</v>
      </c>
    </row>
    <row r="183" spans="2:5" ht="15" customHeight="1">
      <c r="B183" s="90"/>
      <c r="C183" s="27" t="s">
        <v>117</v>
      </c>
      <c r="D183" s="26">
        <v>6</v>
      </c>
      <c r="E183" s="25">
        <v>9.0171325518485117E-4</v>
      </c>
    </row>
    <row r="184" spans="2:5" ht="15" customHeight="1">
      <c r="B184" s="90"/>
      <c r="C184" s="27" t="s">
        <v>116</v>
      </c>
      <c r="D184" s="26">
        <v>23</v>
      </c>
      <c r="E184" s="25">
        <v>3.4565674782085962E-3</v>
      </c>
    </row>
    <row r="185" spans="2:5" ht="15" customHeight="1">
      <c r="B185" s="90"/>
      <c r="C185" s="27" t="s">
        <v>115</v>
      </c>
      <c r="D185" s="26">
        <v>1</v>
      </c>
      <c r="E185" s="25">
        <v>1.5028554253080853E-4</v>
      </c>
    </row>
    <row r="186" spans="2:5" ht="15" customHeight="1">
      <c r="B186" s="90"/>
      <c r="C186" s="27" t="s">
        <v>111</v>
      </c>
      <c r="D186" s="26">
        <v>5</v>
      </c>
      <c r="E186" s="25">
        <v>7.514277126540427E-4</v>
      </c>
    </row>
    <row r="187" spans="2:5" ht="15" customHeight="1">
      <c r="B187" s="90"/>
      <c r="C187" s="27" t="s">
        <v>110</v>
      </c>
      <c r="D187" s="26">
        <v>2</v>
      </c>
      <c r="E187" s="25">
        <v>3.0057108506161706E-4</v>
      </c>
    </row>
    <row r="188" spans="2:5" ht="15" customHeight="1">
      <c r="B188" s="91"/>
      <c r="C188" s="24" t="s">
        <v>46</v>
      </c>
      <c r="D188" s="23">
        <v>113</v>
      </c>
      <c r="E188" s="22">
        <v>1.6982266305981365E-2</v>
      </c>
    </row>
    <row r="189" spans="2:5" ht="15" customHeight="1">
      <c r="B189" s="89" t="s">
        <v>90</v>
      </c>
      <c r="C189" s="27" t="s">
        <v>130</v>
      </c>
      <c r="D189" s="26">
        <v>4</v>
      </c>
      <c r="E189" s="25">
        <v>6.0114217012323412E-4</v>
      </c>
    </row>
    <row r="190" spans="2:5" ht="15" customHeight="1">
      <c r="B190" s="90"/>
      <c r="C190" s="27" t="s">
        <v>129</v>
      </c>
      <c r="D190" s="26">
        <v>2</v>
      </c>
      <c r="E190" s="25">
        <v>3.0057108506161706E-4</v>
      </c>
    </row>
    <row r="191" spans="2:5" ht="15" customHeight="1">
      <c r="B191" s="90"/>
      <c r="C191" s="27" t="s">
        <v>127</v>
      </c>
      <c r="D191" s="26">
        <v>5</v>
      </c>
      <c r="E191" s="25">
        <v>7.514277126540427E-4</v>
      </c>
    </row>
    <row r="192" spans="2:5" ht="15" customHeight="1">
      <c r="B192" s="90"/>
      <c r="C192" s="27" t="s">
        <v>126</v>
      </c>
      <c r="D192" s="26">
        <v>5</v>
      </c>
      <c r="E192" s="25">
        <v>7.514277126540427E-4</v>
      </c>
    </row>
    <row r="193" spans="2:5" ht="15" customHeight="1">
      <c r="B193" s="90"/>
      <c r="C193" s="27" t="s">
        <v>125</v>
      </c>
      <c r="D193" s="26">
        <v>5</v>
      </c>
      <c r="E193" s="25">
        <v>7.514277126540427E-4</v>
      </c>
    </row>
    <row r="194" spans="2:5" ht="15" customHeight="1">
      <c r="B194" s="90"/>
      <c r="C194" s="27" t="s">
        <v>124</v>
      </c>
      <c r="D194" s="26">
        <v>35</v>
      </c>
      <c r="E194" s="25">
        <v>5.2599939885782983E-3</v>
      </c>
    </row>
    <row r="195" spans="2:5" ht="15" customHeight="1">
      <c r="B195" s="90"/>
      <c r="C195" s="27" t="s">
        <v>123</v>
      </c>
      <c r="D195" s="26">
        <v>48</v>
      </c>
      <c r="E195" s="25">
        <v>7.2137060414788094E-3</v>
      </c>
    </row>
    <row r="196" spans="2:5" ht="15" customHeight="1">
      <c r="B196" s="90"/>
      <c r="C196" s="27" t="s">
        <v>122</v>
      </c>
      <c r="D196" s="26">
        <v>6</v>
      </c>
      <c r="E196" s="25">
        <v>9.0171325518485117E-4</v>
      </c>
    </row>
    <row r="197" spans="2:5" ht="15" customHeight="1">
      <c r="B197" s="90"/>
      <c r="C197" s="27" t="s">
        <v>121</v>
      </c>
      <c r="D197" s="26">
        <v>8</v>
      </c>
      <c r="E197" s="25">
        <v>1.2022843402464682E-3</v>
      </c>
    </row>
    <row r="198" spans="2:5" ht="15" customHeight="1">
      <c r="B198" s="90"/>
      <c r="C198" s="27" t="s">
        <v>120</v>
      </c>
      <c r="D198" s="26">
        <v>21</v>
      </c>
      <c r="E198" s="25">
        <v>3.1559963931469793E-3</v>
      </c>
    </row>
    <row r="199" spans="2:5" ht="15" customHeight="1">
      <c r="B199" s="90"/>
      <c r="C199" s="27" t="s">
        <v>119</v>
      </c>
      <c r="D199" s="26">
        <v>135</v>
      </c>
      <c r="E199" s="25">
        <v>2.0288548241659151E-2</v>
      </c>
    </row>
    <row r="200" spans="2:5" ht="15" customHeight="1">
      <c r="B200" s="90"/>
      <c r="C200" s="27" t="s">
        <v>118</v>
      </c>
      <c r="D200" s="26">
        <v>4</v>
      </c>
      <c r="E200" s="25">
        <v>6.0114217012323412E-4</v>
      </c>
    </row>
    <row r="201" spans="2:5" ht="15" customHeight="1">
      <c r="B201" s="90"/>
      <c r="C201" s="27" t="s">
        <v>117</v>
      </c>
      <c r="D201" s="26">
        <v>39</v>
      </c>
      <c r="E201" s="25">
        <v>5.8611361587015331E-3</v>
      </c>
    </row>
    <row r="202" spans="2:5" ht="15" customHeight="1">
      <c r="B202" s="90"/>
      <c r="C202" s="27" t="s">
        <v>116</v>
      </c>
      <c r="D202" s="26">
        <v>104</v>
      </c>
      <c r="E202" s="25">
        <v>1.5629696423204088E-2</v>
      </c>
    </row>
    <row r="203" spans="2:5" ht="15" customHeight="1">
      <c r="B203" s="90"/>
      <c r="C203" s="27" t="s">
        <v>114</v>
      </c>
      <c r="D203" s="26">
        <v>1</v>
      </c>
      <c r="E203" s="25">
        <v>1.5028554253080853E-4</v>
      </c>
    </row>
    <row r="204" spans="2:5" ht="15" customHeight="1">
      <c r="B204" s="90"/>
      <c r="C204" s="27" t="s">
        <v>111</v>
      </c>
      <c r="D204" s="26">
        <v>5</v>
      </c>
      <c r="E204" s="25">
        <v>7.514277126540427E-4</v>
      </c>
    </row>
    <row r="205" spans="2:5" ht="15" customHeight="1">
      <c r="B205" s="90"/>
      <c r="C205" s="27" t="s">
        <v>110</v>
      </c>
      <c r="D205" s="26">
        <v>10</v>
      </c>
      <c r="E205" s="25">
        <v>1.5028554253080854E-3</v>
      </c>
    </row>
    <row r="206" spans="2:5" ht="15" customHeight="1">
      <c r="B206" s="90"/>
      <c r="C206" s="27" t="s">
        <v>108</v>
      </c>
      <c r="D206" s="26">
        <v>1</v>
      </c>
      <c r="E206" s="25">
        <v>1.5028554253080853E-4</v>
      </c>
    </row>
    <row r="207" spans="2:5" ht="15" customHeight="1">
      <c r="B207" s="91"/>
      <c r="C207" s="24" t="s">
        <v>46</v>
      </c>
      <c r="D207" s="23">
        <v>438</v>
      </c>
      <c r="E207" s="22">
        <v>6.5825067628494133E-2</v>
      </c>
    </row>
    <row r="208" spans="2:5" ht="15" customHeight="1">
      <c r="B208" s="89" t="s">
        <v>138</v>
      </c>
      <c r="C208" s="27" t="s">
        <v>130</v>
      </c>
      <c r="D208" s="26">
        <v>1</v>
      </c>
      <c r="E208" s="25">
        <v>1.5028554253080853E-4</v>
      </c>
    </row>
    <row r="209" spans="2:5" ht="15" customHeight="1">
      <c r="B209" s="90"/>
      <c r="C209" s="27" t="s">
        <v>128</v>
      </c>
      <c r="D209" s="26">
        <v>3</v>
      </c>
      <c r="E209" s="25">
        <v>4.5085662759242559E-4</v>
      </c>
    </row>
    <row r="210" spans="2:5" ht="15" customHeight="1">
      <c r="B210" s="90"/>
      <c r="C210" s="27" t="s">
        <v>125</v>
      </c>
      <c r="D210" s="26">
        <v>4</v>
      </c>
      <c r="E210" s="25">
        <v>6.0114217012323412E-4</v>
      </c>
    </row>
    <row r="211" spans="2:5" ht="15" customHeight="1">
      <c r="B211" s="90"/>
      <c r="C211" s="27" t="s">
        <v>124</v>
      </c>
      <c r="D211" s="26">
        <v>16</v>
      </c>
      <c r="E211" s="25">
        <v>2.4045686804929365E-3</v>
      </c>
    </row>
    <row r="212" spans="2:5" ht="15" customHeight="1">
      <c r="B212" s="90"/>
      <c r="C212" s="27" t="s">
        <v>123</v>
      </c>
      <c r="D212" s="26">
        <v>21</v>
      </c>
      <c r="E212" s="25">
        <v>3.1559963931469793E-3</v>
      </c>
    </row>
    <row r="213" spans="2:5" ht="15" customHeight="1">
      <c r="B213" s="90"/>
      <c r="C213" s="27" t="s">
        <v>122</v>
      </c>
      <c r="D213" s="26">
        <v>3</v>
      </c>
      <c r="E213" s="25">
        <v>4.5085662759242559E-4</v>
      </c>
    </row>
    <row r="214" spans="2:5" ht="15" customHeight="1">
      <c r="B214" s="90"/>
      <c r="C214" s="27" t="s">
        <v>121</v>
      </c>
      <c r="D214" s="26">
        <v>4</v>
      </c>
      <c r="E214" s="25">
        <v>6.0114217012323412E-4</v>
      </c>
    </row>
    <row r="215" spans="2:5" ht="15" customHeight="1">
      <c r="B215" s="90"/>
      <c r="C215" s="27" t="s">
        <v>120</v>
      </c>
      <c r="D215" s="26">
        <v>1</v>
      </c>
      <c r="E215" s="25">
        <v>1.5028554253080853E-4</v>
      </c>
    </row>
    <row r="216" spans="2:5" ht="15" customHeight="1">
      <c r="B216" s="90"/>
      <c r="C216" s="27" t="s">
        <v>119</v>
      </c>
      <c r="D216" s="26">
        <v>41</v>
      </c>
      <c r="E216" s="25">
        <v>6.1617072437631501E-3</v>
      </c>
    </row>
    <row r="217" spans="2:5" ht="15" customHeight="1">
      <c r="B217" s="90"/>
      <c r="C217" s="27" t="s">
        <v>117</v>
      </c>
      <c r="D217" s="26">
        <v>9</v>
      </c>
      <c r="E217" s="25">
        <v>1.3525698827772769E-3</v>
      </c>
    </row>
    <row r="218" spans="2:5" ht="15" customHeight="1">
      <c r="B218" s="90"/>
      <c r="C218" s="27" t="s">
        <v>116</v>
      </c>
      <c r="D218" s="26">
        <v>24</v>
      </c>
      <c r="E218" s="25">
        <v>3.6068530207394047E-3</v>
      </c>
    </row>
    <row r="219" spans="2:5" ht="15" customHeight="1">
      <c r="B219" s="90"/>
      <c r="C219" s="27" t="s">
        <v>111</v>
      </c>
      <c r="D219" s="26">
        <v>2</v>
      </c>
      <c r="E219" s="25">
        <v>3.0057108506161706E-4</v>
      </c>
    </row>
    <row r="220" spans="2:5" ht="15" customHeight="1">
      <c r="B220" s="90"/>
      <c r="C220" s="27" t="s">
        <v>110</v>
      </c>
      <c r="D220" s="26">
        <v>2</v>
      </c>
      <c r="E220" s="25">
        <v>3.0057108506161706E-4</v>
      </c>
    </row>
    <row r="221" spans="2:5" ht="15" customHeight="1">
      <c r="B221" s="91"/>
      <c r="C221" s="24" t="s">
        <v>46</v>
      </c>
      <c r="D221" s="23">
        <v>131</v>
      </c>
      <c r="E221" s="22">
        <v>1.9687406071535917E-2</v>
      </c>
    </row>
    <row r="222" spans="2:5" ht="15" customHeight="1">
      <c r="B222" s="89" t="s">
        <v>69</v>
      </c>
      <c r="C222" s="27" t="s">
        <v>130</v>
      </c>
      <c r="D222" s="26">
        <v>1</v>
      </c>
      <c r="E222" s="25">
        <v>1.5028554253080853E-4</v>
      </c>
    </row>
    <row r="223" spans="2:5" ht="15" customHeight="1">
      <c r="B223" s="90"/>
      <c r="C223" s="27" t="s">
        <v>127</v>
      </c>
      <c r="D223" s="26">
        <v>2</v>
      </c>
      <c r="E223" s="25">
        <v>3.0057108506161706E-4</v>
      </c>
    </row>
    <row r="224" spans="2:5" ht="15" customHeight="1">
      <c r="B224" s="90"/>
      <c r="C224" s="27" t="s">
        <v>124</v>
      </c>
      <c r="D224" s="26">
        <v>3</v>
      </c>
      <c r="E224" s="25">
        <v>4.5085662759242559E-4</v>
      </c>
    </row>
    <row r="225" spans="2:5" ht="15" customHeight="1">
      <c r="B225" s="90"/>
      <c r="C225" s="27" t="s">
        <v>123</v>
      </c>
      <c r="D225" s="26">
        <v>8</v>
      </c>
      <c r="E225" s="25">
        <v>1.2022843402464682E-3</v>
      </c>
    </row>
    <row r="226" spans="2:5" ht="15" customHeight="1">
      <c r="B226" s="90"/>
      <c r="C226" s="27" t="s">
        <v>122</v>
      </c>
      <c r="D226" s="26">
        <v>2</v>
      </c>
      <c r="E226" s="25">
        <v>3.0057108506161706E-4</v>
      </c>
    </row>
    <row r="227" spans="2:5" ht="15" customHeight="1">
      <c r="B227" s="90"/>
      <c r="C227" s="27" t="s">
        <v>121</v>
      </c>
      <c r="D227" s="26">
        <v>7</v>
      </c>
      <c r="E227" s="25">
        <v>1.0519987977156598E-3</v>
      </c>
    </row>
    <row r="228" spans="2:5" ht="15" customHeight="1">
      <c r="B228" s="90"/>
      <c r="C228" s="27" t="s">
        <v>120</v>
      </c>
      <c r="D228" s="26">
        <v>6</v>
      </c>
      <c r="E228" s="25">
        <v>9.0171325518485117E-4</v>
      </c>
    </row>
    <row r="229" spans="2:5" ht="15" customHeight="1">
      <c r="B229" s="90"/>
      <c r="C229" s="27" t="s">
        <v>119</v>
      </c>
      <c r="D229" s="26">
        <v>36</v>
      </c>
      <c r="E229" s="25">
        <v>5.4102795311091077E-3</v>
      </c>
    </row>
    <row r="230" spans="2:5" ht="15" customHeight="1">
      <c r="B230" s="90"/>
      <c r="C230" s="27" t="s">
        <v>118</v>
      </c>
      <c r="D230" s="26">
        <v>1</v>
      </c>
      <c r="E230" s="25">
        <v>1.5028554253080853E-4</v>
      </c>
    </row>
    <row r="231" spans="2:5" ht="15" customHeight="1">
      <c r="B231" s="90"/>
      <c r="C231" s="27" t="s">
        <v>117</v>
      </c>
      <c r="D231" s="26">
        <v>10</v>
      </c>
      <c r="E231" s="25">
        <v>1.5028554253080854E-3</v>
      </c>
    </row>
    <row r="232" spans="2:5" ht="15" customHeight="1">
      <c r="B232" s="90"/>
      <c r="C232" s="27" t="s">
        <v>116</v>
      </c>
      <c r="D232" s="26">
        <v>22</v>
      </c>
      <c r="E232" s="25">
        <v>3.3062819356777877E-3</v>
      </c>
    </row>
    <row r="233" spans="2:5" ht="15" customHeight="1">
      <c r="B233" s="90"/>
      <c r="C233" s="27" t="s">
        <v>115</v>
      </c>
      <c r="D233" s="26">
        <v>1</v>
      </c>
      <c r="E233" s="25">
        <v>1.5028554253080853E-4</v>
      </c>
    </row>
    <row r="234" spans="2:5" ht="15" customHeight="1">
      <c r="B234" s="90"/>
      <c r="C234" s="27" t="s">
        <v>112</v>
      </c>
      <c r="D234" s="26">
        <v>1</v>
      </c>
      <c r="E234" s="25">
        <v>1.5028554253080853E-4</v>
      </c>
    </row>
    <row r="235" spans="2:5" ht="15" customHeight="1">
      <c r="B235" s="90"/>
      <c r="C235" s="27" t="s">
        <v>110</v>
      </c>
      <c r="D235" s="26">
        <v>2</v>
      </c>
      <c r="E235" s="25">
        <v>3.0057108506161706E-4</v>
      </c>
    </row>
    <row r="236" spans="2:5" ht="15" customHeight="1">
      <c r="B236" s="91"/>
      <c r="C236" s="24" t="s">
        <v>46</v>
      </c>
      <c r="D236" s="23">
        <v>102</v>
      </c>
      <c r="E236" s="22">
        <v>1.5329125338142471E-2</v>
      </c>
    </row>
    <row r="237" spans="2:5" ht="15" customHeight="1">
      <c r="B237" s="89" t="s">
        <v>53</v>
      </c>
      <c r="C237" s="27" t="s">
        <v>130</v>
      </c>
      <c r="D237" s="26">
        <v>1</v>
      </c>
      <c r="E237" s="25">
        <v>1.5028554253080853E-4</v>
      </c>
    </row>
    <row r="238" spans="2:5" ht="15" customHeight="1">
      <c r="B238" s="90"/>
      <c r="C238" s="27" t="s">
        <v>123</v>
      </c>
      <c r="D238" s="26">
        <v>2</v>
      </c>
      <c r="E238" s="25">
        <v>3.0057108506161706E-4</v>
      </c>
    </row>
    <row r="239" spans="2:5" ht="15" customHeight="1">
      <c r="B239" s="90"/>
      <c r="C239" s="27" t="s">
        <v>120</v>
      </c>
      <c r="D239" s="26">
        <v>1</v>
      </c>
      <c r="E239" s="25">
        <v>1.5028554253080853E-4</v>
      </c>
    </row>
    <row r="240" spans="2:5" ht="15" customHeight="1">
      <c r="B240" s="90"/>
      <c r="C240" s="27" t="s">
        <v>119</v>
      </c>
      <c r="D240" s="26">
        <v>1</v>
      </c>
      <c r="E240" s="25">
        <v>1.5028554253080853E-4</v>
      </c>
    </row>
    <row r="241" spans="2:5" ht="15" customHeight="1">
      <c r="B241" s="90"/>
      <c r="C241" s="27" t="s">
        <v>116</v>
      </c>
      <c r="D241" s="26">
        <v>2</v>
      </c>
      <c r="E241" s="25">
        <v>3.0057108506161706E-4</v>
      </c>
    </row>
    <row r="242" spans="2:5" ht="15" customHeight="1">
      <c r="B242" s="90"/>
      <c r="C242" s="27" t="s">
        <v>114</v>
      </c>
      <c r="D242" s="26">
        <v>1</v>
      </c>
      <c r="E242" s="25">
        <v>1.5028554253080853E-4</v>
      </c>
    </row>
    <row r="243" spans="2:5" ht="15" customHeight="1">
      <c r="B243" s="91"/>
      <c r="C243" s="24" t="s">
        <v>46</v>
      </c>
      <c r="D243" s="23">
        <v>8</v>
      </c>
      <c r="E243" s="22">
        <v>1.2022843402464682E-3</v>
      </c>
    </row>
    <row r="244" spans="2:5" ht="15" customHeight="1">
      <c r="B244" s="89" t="s">
        <v>76</v>
      </c>
      <c r="C244" s="27" t="s">
        <v>130</v>
      </c>
      <c r="D244" s="26">
        <v>1</v>
      </c>
      <c r="E244" s="25">
        <v>1.5028554253080853E-4</v>
      </c>
    </row>
    <row r="245" spans="2:5" ht="15" customHeight="1">
      <c r="B245" s="90"/>
      <c r="C245" s="27" t="s">
        <v>128</v>
      </c>
      <c r="D245" s="26">
        <v>1</v>
      </c>
      <c r="E245" s="25">
        <v>1.5028554253080853E-4</v>
      </c>
    </row>
    <row r="246" spans="2:5" ht="15" customHeight="1">
      <c r="B246" s="90"/>
      <c r="C246" s="27" t="s">
        <v>127</v>
      </c>
      <c r="D246" s="26">
        <v>1</v>
      </c>
      <c r="E246" s="25">
        <v>1.5028554253080853E-4</v>
      </c>
    </row>
    <row r="247" spans="2:5" ht="15" customHeight="1">
      <c r="B247" s="90"/>
      <c r="C247" s="27" t="s">
        <v>126</v>
      </c>
      <c r="D247" s="26">
        <v>1</v>
      </c>
      <c r="E247" s="25">
        <v>1.5028554253080853E-4</v>
      </c>
    </row>
    <row r="248" spans="2:5" ht="15" customHeight="1">
      <c r="B248" s="90"/>
      <c r="C248" s="27" t="s">
        <v>125</v>
      </c>
      <c r="D248" s="26">
        <v>4</v>
      </c>
      <c r="E248" s="25">
        <v>6.0114217012323412E-4</v>
      </c>
    </row>
    <row r="249" spans="2:5" ht="15" customHeight="1">
      <c r="B249" s="90"/>
      <c r="C249" s="27" t="s">
        <v>124</v>
      </c>
      <c r="D249" s="26">
        <v>10</v>
      </c>
      <c r="E249" s="25">
        <v>1.5028554253080854E-3</v>
      </c>
    </row>
    <row r="250" spans="2:5" ht="15" customHeight="1">
      <c r="B250" s="90"/>
      <c r="C250" s="27" t="s">
        <v>123</v>
      </c>
      <c r="D250" s="26">
        <v>25</v>
      </c>
      <c r="E250" s="25">
        <v>3.7571385632702136E-3</v>
      </c>
    </row>
    <row r="251" spans="2:5" ht="15" customHeight="1">
      <c r="B251" s="90"/>
      <c r="C251" s="27" t="s">
        <v>122</v>
      </c>
      <c r="D251" s="26">
        <v>2</v>
      </c>
      <c r="E251" s="25">
        <v>3.0057108506161706E-4</v>
      </c>
    </row>
    <row r="252" spans="2:5" ht="15" customHeight="1">
      <c r="B252" s="90"/>
      <c r="C252" s="27" t="s">
        <v>121</v>
      </c>
      <c r="D252" s="26">
        <v>3</v>
      </c>
      <c r="E252" s="25">
        <v>4.5085662759242559E-4</v>
      </c>
    </row>
    <row r="253" spans="2:5" ht="15" customHeight="1">
      <c r="B253" s="90"/>
      <c r="C253" s="27" t="s">
        <v>120</v>
      </c>
      <c r="D253" s="26">
        <v>5</v>
      </c>
      <c r="E253" s="25">
        <v>7.514277126540427E-4</v>
      </c>
    </row>
    <row r="254" spans="2:5" ht="15" customHeight="1">
      <c r="B254" s="90"/>
      <c r="C254" s="27" t="s">
        <v>119</v>
      </c>
      <c r="D254" s="26">
        <v>37</v>
      </c>
      <c r="E254" s="25">
        <v>5.5605650736399162E-3</v>
      </c>
    </row>
    <row r="255" spans="2:5" ht="15" customHeight="1">
      <c r="B255" s="90"/>
      <c r="C255" s="27" t="s">
        <v>118</v>
      </c>
      <c r="D255" s="26">
        <v>3</v>
      </c>
      <c r="E255" s="25">
        <v>4.5085662759242559E-4</v>
      </c>
    </row>
    <row r="256" spans="2:5" ht="15" customHeight="1">
      <c r="B256" s="90"/>
      <c r="C256" s="27" t="s">
        <v>117</v>
      </c>
      <c r="D256" s="26">
        <v>15</v>
      </c>
      <c r="E256" s="25">
        <v>2.254283137962128E-3</v>
      </c>
    </row>
    <row r="257" spans="2:5" ht="15" customHeight="1">
      <c r="B257" s="90"/>
      <c r="C257" s="27" t="s">
        <v>116</v>
      </c>
      <c r="D257" s="26">
        <v>39</v>
      </c>
      <c r="E257" s="25">
        <v>5.8611361587015331E-3</v>
      </c>
    </row>
    <row r="258" spans="2:5" ht="15" customHeight="1">
      <c r="B258" s="90"/>
      <c r="C258" s="27" t="s">
        <v>114</v>
      </c>
      <c r="D258" s="26">
        <v>1</v>
      </c>
      <c r="E258" s="25">
        <v>1.5028554253080853E-4</v>
      </c>
    </row>
    <row r="259" spans="2:5" ht="15" customHeight="1">
      <c r="B259" s="90"/>
      <c r="C259" s="27" t="s">
        <v>111</v>
      </c>
      <c r="D259" s="26">
        <v>3</v>
      </c>
      <c r="E259" s="25">
        <v>4.5085662759242559E-4</v>
      </c>
    </row>
    <row r="260" spans="2:5" ht="15" customHeight="1">
      <c r="B260" s="90"/>
      <c r="C260" s="27" t="s">
        <v>110</v>
      </c>
      <c r="D260" s="26">
        <v>6</v>
      </c>
      <c r="E260" s="25">
        <v>9.0171325518485117E-4</v>
      </c>
    </row>
    <row r="261" spans="2:5" ht="15" customHeight="1">
      <c r="B261" s="91"/>
      <c r="C261" s="24" t="s">
        <v>46</v>
      </c>
      <c r="D261" s="23">
        <v>157</v>
      </c>
      <c r="E261" s="22">
        <v>2.3594830177336941E-2</v>
      </c>
    </row>
    <row r="262" spans="2:5" ht="15" customHeight="1">
      <c r="B262" s="89" t="s">
        <v>80</v>
      </c>
      <c r="C262" s="27" t="s">
        <v>130</v>
      </c>
      <c r="D262" s="26">
        <v>5</v>
      </c>
      <c r="E262" s="25">
        <v>7.514277126540427E-4</v>
      </c>
    </row>
    <row r="263" spans="2:5" ht="15" customHeight="1">
      <c r="B263" s="90"/>
      <c r="C263" s="27" t="s">
        <v>129</v>
      </c>
      <c r="D263" s="26">
        <v>2</v>
      </c>
      <c r="E263" s="25">
        <v>3.0057108506161706E-4</v>
      </c>
    </row>
    <row r="264" spans="2:5" ht="15" customHeight="1">
      <c r="B264" s="90"/>
      <c r="C264" s="27" t="s">
        <v>128</v>
      </c>
      <c r="D264" s="26">
        <v>1</v>
      </c>
      <c r="E264" s="25">
        <v>1.5028554253080853E-4</v>
      </c>
    </row>
    <row r="265" spans="2:5" ht="15" customHeight="1">
      <c r="B265" s="90"/>
      <c r="C265" s="27" t="s">
        <v>127</v>
      </c>
      <c r="D265" s="26">
        <v>4</v>
      </c>
      <c r="E265" s="25">
        <v>6.0114217012323412E-4</v>
      </c>
    </row>
    <row r="266" spans="2:5" ht="15" customHeight="1">
      <c r="B266" s="90"/>
      <c r="C266" s="27" t="s">
        <v>126</v>
      </c>
      <c r="D266" s="26">
        <v>5</v>
      </c>
      <c r="E266" s="25">
        <v>7.514277126540427E-4</v>
      </c>
    </row>
    <row r="267" spans="2:5" ht="15" customHeight="1">
      <c r="B267" s="90"/>
      <c r="C267" s="27" t="s">
        <v>125</v>
      </c>
      <c r="D267" s="26">
        <v>7</v>
      </c>
      <c r="E267" s="25">
        <v>1.0519987977156598E-3</v>
      </c>
    </row>
    <row r="268" spans="2:5" ht="15" customHeight="1">
      <c r="B268" s="90"/>
      <c r="C268" s="27" t="s">
        <v>124</v>
      </c>
      <c r="D268" s="26">
        <v>33</v>
      </c>
      <c r="E268" s="25">
        <v>4.9594229035166814E-3</v>
      </c>
    </row>
    <row r="269" spans="2:5" ht="15" customHeight="1">
      <c r="B269" s="90"/>
      <c r="C269" s="27" t="s">
        <v>123</v>
      </c>
      <c r="D269" s="26">
        <v>73</v>
      </c>
      <c r="E269" s="25">
        <v>1.0970844604749024E-2</v>
      </c>
    </row>
    <row r="270" spans="2:5" ht="15" customHeight="1">
      <c r="B270" s="90"/>
      <c r="C270" s="27" t="s">
        <v>122</v>
      </c>
      <c r="D270" s="26">
        <v>11</v>
      </c>
      <c r="E270" s="25">
        <v>1.6531409678388939E-3</v>
      </c>
    </row>
    <row r="271" spans="2:5" ht="15" customHeight="1">
      <c r="B271" s="90"/>
      <c r="C271" s="27" t="s">
        <v>121</v>
      </c>
      <c r="D271" s="26">
        <v>21</v>
      </c>
      <c r="E271" s="25">
        <v>3.1559963931469793E-3</v>
      </c>
    </row>
    <row r="272" spans="2:5" ht="15" customHeight="1">
      <c r="B272" s="90"/>
      <c r="C272" s="27" t="s">
        <v>120</v>
      </c>
      <c r="D272" s="26">
        <v>28</v>
      </c>
      <c r="E272" s="25">
        <v>4.207995190862639E-3</v>
      </c>
    </row>
    <row r="273" spans="2:5" ht="15" customHeight="1">
      <c r="B273" s="90"/>
      <c r="C273" s="27" t="s">
        <v>119</v>
      </c>
      <c r="D273" s="26">
        <v>213</v>
      </c>
      <c r="E273" s="25">
        <v>3.2010820559062216E-2</v>
      </c>
    </row>
    <row r="274" spans="2:5" ht="15" customHeight="1">
      <c r="B274" s="90"/>
      <c r="C274" s="27" t="s">
        <v>118</v>
      </c>
      <c r="D274" s="26">
        <v>5</v>
      </c>
      <c r="E274" s="25">
        <v>7.514277126540427E-4</v>
      </c>
    </row>
    <row r="275" spans="2:5" ht="15" customHeight="1">
      <c r="B275" s="90"/>
      <c r="C275" s="27" t="s">
        <v>117</v>
      </c>
      <c r="D275" s="26">
        <v>46</v>
      </c>
      <c r="E275" s="25">
        <v>6.9131349564171924E-3</v>
      </c>
    </row>
    <row r="276" spans="2:5" ht="15" customHeight="1">
      <c r="B276" s="90"/>
      <c r="C276" s="27" t="s">
        <v>116</v>
      </c>
      <c r="D276" s="26">
        <v>90</v>
      </c>
      <c r="E276" s="25">
        <v>1.3525698827772768E-2</v>
      </c>
    </row>
    <row r="277" spans="2:5" ht="15" customHeight="1">
      <c r="B277" s="90"/>
      <c r="C277" s="27" t="s">
        <v>114</v>
      </c>
      <c r="D277" s="26">
        <v>1</v>
      </c>
      <c r="E277" s="25">
        <v>1.5028554253080853E-4</v>
      </c>
    </row>
    <row r="278" spans="2:5" ht="15" customHeight="1">
      <c r="B278" s="90"/>
      <c r="C278" s="27" t="s">
        <v>111</v>
      </c>
      <c r="D278" s="26">
        <v>4</v>
      </c>
      <c r="E278" s="25">
        <v>6.0114217012323412E-4</v>
      </c>
    </row>
    <row r="279" spans="2:5" ht="15" customHeight="1">
      <c r="B279" s="90"/>
      <c r="C279" s="27" t="s">
        <v>110</v>
      </c>
      <c r="D279" s="26">
        <v>11</v>
      </c>
      <c r="E279" s="25">
        <v>1.6531409678388939E-3</v>
      </c>
    </row>
    <row r="280" spans="2:5" ht="15" customHeight="1">
      <c r="B280" s="90"/>
      <c r="C280" s="27" t="s">
        <v>135</v>
      </c>
      <c r="D280" s="26">
        <v>1</v>
      </c>
      <c r="E280" s="25">
        <v>1.5028554253080853E-4</v>
      </c>
    </row>
    <row r="281" spans="2:5" ht="15" customHeight="1">
      <c r="B281" s="91"/>
      <c r="C281" s="24" t="s">
        <v>46</v>
      </c>
      <c r="D281" s="23">
        <v>561</v>
      </c>
      <c r="E281" s="22">
        <v>8.4310189359783586E-2</v>
      </c>
    </row>
    <row r="282" spans="2:5" ht="15" customHeight="1">
      <c r="B282" s="89" t="s">
        <v>137</v>
      </c>
      <c r="C282" s="27" t="s">
        <v>130</v>
      </c>
      <c r="D282" s="26">
        <v>4</v>
      </c>
      <c r="E282" s="25">
        <v>6.0114217012323412E-4</v>
      </c>
    </row>
    <row r="283" spans="2:5" ht="15" customHeight="1">
      <c r="B283" s="90"/>
      <c r="C283" s="27" t="s">
        <v>129</v>
      </c>
      <c r="D283" s="26">
        <v>3</v>
      </c>
      <c r="E283" s="25">
        <v>4.5085662759242559E-4</v>
      </c>
    </row>
    <row r="284" spans="2:5" ht="15" customHeight="1">
      <c r="B284" s="90"/>
      <c r="C284" s="27" t="s">
        <v>128</v>
      </c>
      <c r="D284" s="26">
        <v>3</v>
      </c>
      <c r="E284" s="25">
        <v>4.5085662759242559E-4</v>
      </c>
    </row>
    <row r="285" spans="2:5" ht="15" customHeight="1">
      <c r="B285" s="90"/>
      <c r="C285" s="27" t="s">
        <v>127</v>
      </c>
      <c r="D285" s="26">
        <v>3</v>
      </c>
      <c r="E285" s="25">
        <v>4.5085662759242559E-4</v>
      </c>
    </row>
    <row r="286" spans="2:5" ht="15" customHeight="1">
      <c r="B286" s="90"/>
      <c r="C286" s="27" t="s">
        <v>126</v>
      </c>
      <c r="D286" s="26">
        <v>7</v>
      </c>
      <c r="E286" s="25">
        <v>1.0519987977156598E-3</v>
      </c>
    </row>
    <row r="287" spans="2:5" ht="15" customHeight="1">
      <c r="B287" s="90"/>
      <c r="C287" s="27" t="s">
        <v>125</v>
      </c>
      <c r="D287" s="26">
        <v>8</v>
      </c>
      <c r="E287" s="25">
        <v>1.2022843402464682E-3</v>
      </c>
    </row>
    <row r="288" spans="2:5" ht="15" customHeight="1">
      <c r="B288" s="90"/>
      <c r="C288" s="27" t="s">
        <v>124</v>
      </c>
      <c r="D288" s="26">
        <v>32</v>
      </c>
      <c r="E288" s="25">
        <v>4.8091373609858729E-3</v>
      </c>
    </row>
    <row r="289" spans="2:5" ht="15" customHeight="1">
      <c r="B289" s="90"/>
      <c r="C289" s="27" t="s">
        <v>123</v>
      </c>
      <c r="D289" s="26">
        <v>81</v>
      </c>
      <c r="E289" s="25">
        <v>1.2173128944995492E-2</v>
      </c>
    </row>
    <row r="290" spans="2:5" ht="15" customHeight="1">
      <c r="B290" s="90"/>
      <c r="C290" s="27" t="s">
        <v>122</v>
      </c>
      <c r="D290" s="26">
        <v>1</v>
      </c>
      <c r="E290" s="25">
        <v>1.5028554253080853E-4</v>
      </c>
    </row>
    <row r="291" spans="2:5" ht="15" customHeight="1">
      <c r="B291" s="90"/>
      <c r="C291" s="27" t="s">
        <v>121</v>
      </c>
      <c r="D291" s="26">
        <v>6</v>
      </c>
      <c r="E291" s="25">
        <v>9.0171325518485117E-4</v>
      </c>
    </row>
    <row r="292" spans="2:5" ht="15" customHeight="1">
      <c r="B292" s="90"/>
      <c r="C292" s="27" t="s">
        <v>120</v>
      </c>
      <c r="D292" s="26">
        <v>21</v>
      </c>
      <c r="E292" s="25">
        <v>3.1559963931469793E-3</v>
      </c>
    </row>
    <row r="293" spans="2:5" ht="15" customHeight="1">
      <c r="B293" s="90"/>
      <c r="C293" s="27" t="s">
        <v>119</v>
      </c>
      <c r="D293" s="26">
        <v>182</v>
      </c>
      <c r="E293" s="25">
        <v>2.7351968740607153E-2</v>
      </c>
    </row>
    <row r="294" spans="2:5" ht="15" customHeight="1">
      <c r="B294" s="90"/>
      <c r="C294" s="27" t="s">
        <v>118</v>
      </c>
      <c r="D294" s="26">
        <v>10</v>
      </c>
      <c r="E294" s="25">
        <v>1.5028554253080854E-3</v>
      </c>
    </row>
    <row r="295" spans="2:5" ht="15" customHeight="1">
      <c r="B295" s="90"/>
      <c r="C295" s="27" t="s">
        <v>117</v>
      </c>
      <c r="D295" s="26">
        <v>35</v>
      </c>
      <c r="E295" s="25">
        <v>5.2599939885782983E-3</v>
      </c>
    </row>
    <row r="296" spans="2:5" ht="15" customHeight="1">
      <c r="B296" s="90"/>
      <c r="C296" s="27" t="s">
        <v>116</v>
      </c>
      <c r="D296" s="26">
        <v>114</v>
      </c>
      <c r="E296" s="25">
        <v>1.7132551848512173E-2</v>
      </c>
    </row>
    <row r="297" spans="2:5" ht="15" customHeight="1">
      <c r="B297" s="90"/>
      <c r="C297" s="27" t="s">
        <v>115</v>
      </c>
      <c r="D297" s="26">
        <v>3</v>
      </c>
      <c r="E297" s="25">
        <v>4.5085662759242559E-4</v>
      </c>
    </row>
    <row r="298" spans="2:5" ht="15" customHeight="1">
      <c r="B298" s="90"/>
      <c r="C298" s="27" t="s">
        <v>114</v>
      </c>
      <c r="D298" s="26">
        <v>1</v>
      </c>
      <c r="E298" s="25">
        <v>1.5028554253080853E-4</v>
      </c>
    </row>
    <row r="299" spans="2:5" ht="15" customHeight="1">
      <c r="B299" s="90"/>
      <c r="C299" s="27" t="s">
        <v>112</v>
      </c>
      <c r="D299" s="26">
        <v>2</v>
      </c>
      <c r="E299" s="25">
        <v>3.0057108506161706E-4</v>
      </c>
    </row>
    <row r="300" spans="2:5" ht="15" customHeight="1">
      <c r="B300" s="90"/>
      <c r="C300" s="27" t="s">
        <v>111</v>
      </c>
      <c r="D300" s="26">
        <v>9</v>
      </c>
      <c r="E300" s="25">
        <v>1.3525698827772769E-3</v>
      </c>
    </row>
    <row r="301" spans="2:5" ht="15" customHeight="1">
      <c r="B301" s="90"/>
      <c r="C301" s="27" t="s">
        <v>110</v>
      </c>
      <c r="D301" s="26">
        <v>10</v>
      </c>
      <c r="E301" s="25">
        <v>1.5028554253080854E-3</v>
      </c>
    </row>
    <row r="302" spans="2:5" ht="15" customHeight="1">
      <c r="B302" s="90"/>
      <c r="C302" s="27" t="s">
        <v>108</v>
      </c>
      <c r="D302" s="26">
        <v>3</v>
      </c>
      <c r="E302" s="25">
        <v>4.5085662759242559E-4</v>
      </c>
    </row>
    <row r="303" spans="2:5" ht="15" customHeight="1">
      <c r="B303" s="91"/>
      <c r="C303" s="24" t="s">
        <v>46</v>
      </c>
      <c r="D303" s="23">
        <v>538</v>
      </c>
      <c r="E303" s="22">
        <v>8.0853621881574994E-2</v>
      </c>
    </row>
    <row r="304" spans="2:5" ht="15" customHeight="1">
      <c r="B304" s="89" t="s">
        <v>136</v>
      </c>
      <c r="C304" s="27" t="s">
        <v>129</v>
      </c>
      <c r="D304" s="26">
        <v>1</v>
      </c>
      <c r="E304" s="25">
        <v>1.5028554253080853E-4</v>
      </c>
    </row>
    <row r="305" spans="2:5" ht="15" customHeight="1">
      <c r="B305" s="90"/>
      <c r="C305" s="27" t="s">
        <v>126</v>
      </c>
      <c r="D305" s="26">
        <v>1</v>
      </c>
      <c r="E305" s="25">
        <v>1.5028554253080853E-4</v>
      </c>
    </row>
    <row r="306" spans="2:5" ht="15" customHeight="1">
      <c r="B306" s="90"/>
      <c r="C306" s="27" t="s">
        <v>125</v>
      </c>
      <c r="D306" s="26">
        <v>1</v>
      </c>
      <c r="E306" s="25">
        <v>1.5028554253080853E-4</v>
      </c>
    </row>
    <row r="307" spans="2:5" ht="15" customHeight="1">
      <c r="B307" s="90"/>
      <c r="C307" s="27" t="s">
        <v>124</v>
      </c>
      <c r="D307" s="26">
        <v>3</v>
      </c>
      <c r="E307" s="25">
        <v>4.5085662759242559E-4</v>
      </c>
    </row>
    <row r="308" spans="2:5" ht="15" customHeight="1">
      <c r="B308" s="90"/>
      <c r="C308" s="27" t="s">
        <v>123</v>
      </c>
      <c r="D308" s="26">
        <v>2</v>
      </c>
      <c r="E308" s="25">
        <v>3.0057108506161706E-4</v>
      </c>
    </row>
    <row r="309" spans="2:5" ht="15" customHeight="1">
      <c r="B309" s="90"/>
      <c r="C309" s="27" t="s">
        <v>121</v>
      </c>
      <c r="D309" s="26">
        <v>1</v>
      </c>
      <c r="E309" s="25">
        <v>1.5028554253080853E-4</v>
      </c>
    </row>
    <row r="310" spans="2:5" ht="15" customHeight="1">
      <c r="B310" s="90"/>
      <c r="C310" s="27" t="s">
        <v>120</v>
      </c>
      <c r="D310" s="26">
        <v>5</v>
      </c>
      <c r="E310" s="25">
        <v>7.514277126540427E-4</v>
      </c>
    </row>
    <row r="311" spans="2:5" ht="15" customHeight="1">
      <c r="B311" s="90"/>
      <c r="C311" s="27" t="s">
        <v>119</v>
      </c>
      <c r="D311" s="26">
        <v>9</v>
      </c>
      <c r="E311" s="25">
        <v>1.3525698827772769E-3</v>
      </c>
    </row>
    <row r="312" spans="2:5" ht="15" customHeight="1">
      <c r="B312" s="90"/>
      <c r="C312" s="27" t="s">
        <v>118</v>
      </c>
      <c r="D312" s="26">
        <v>1</v>
      </c>
      <c r="E312" s="25">
        <v>1.5028554253080853E-4</v>
      </c>
    </row>
    <row r="313" spans="2:5" ht="15" customHeight="1">
      <c r="B313" s="90"/>
      <c r="C313" s="27" t="s">
        <v>117</v>
      </c>
      <c r="D313" s="26">
        <v>4</v>
      </c>
      <c r="E313" s="25">
        <v>6.0114217012323412E-4</v>
      </c>
    </row>
    <row r="314" spans="2:5" ht="15" customHeight="1">
      <c r="B314" s="90"/>
      <c r="C314" s="27" t="s">
        <v>116</v>
      </c>
      <c r="D314" s="26">
        <v>6</v>
      </c>
      <c r="E314" s="25">
        <v>9.0171325518485117E-4</v>
      </c>
    </row>
    <row r="315" spans="2:5" ht="15" customHeight="1">
      <c r="B315" s="90"/>
      <c r="C315" s="27" t="s">
        <v>112</v>
      </c>
      <c r="D315" s="26">
        <v>1</v>
      </c>
      <c r="E315" s="25">
        <v>1.5028554253080853E-4</v>
      </c>
    </row>
    <row r="316" spans="2:5" ht="15" customHeight="1">
      <c r="B316" s="90"/>
      <c r="C316" s="27" t="s">
        <v>111</v>
      </c>
      <c r="D316" s="26">
        <v>1</v>
      </c>
      <c r="E316" s="25">
        <v>1.5028554253080853E-4</v>
      </c>
    </row>
    <row r="317" spans="2:5" ht="15" customHeight="1">
      <c r="B317" s="90"/>
      <c r="C317" s="27" t="s">
        <v>110</v>
      </c>
      <c r="D317" s="26">
        <v>4</v>
      </c>
      <c r="E317" s="25">
        <v>6.0114217012323412E-4</v>
      </c>
    </row>
    <row r="318" spans="2:5" ht="15" customHeight="1">
      <c r="B318" s="91"/>
      <c r="C318" s="24" t="s">
        <v>46</v>
      </c>
      <c r="D318" s="23">
        <v>40</v>
      </c>
      <c r="E318" s="22">
        <v>6.0114217012323416E-3</v>
      </c>
    </row>
    <row r="319" spans="2:5" ht="15" customHeight="1">
      <c r="B319" s="89" t="s">
        <v>66</v>
      </c>
      <c r="C319" s="27" t="s">
        <v>129</v>
      </c>
      <c r="D319" s="26">
        <v>2</v>
      </c>
      <c r="E319" s="25">
        <v>3.0057108506161706E-4</v>
      </c>
    </row>
    <row r="320" spans="2:5" ht="15" customHeight="1">
      <c r="B320" s="90"/>
      <c r="C320" s="27" t="s">
        <v>128</v>
      </c>
      <c r="D320" s="26">
        <v>1</v>
      </c>
      <c r="E320" s="25">
        <v>1.5028554253080853E-4</v>
      </c>
    </row>
    <row r="321" spans="2:5" ht="15" customHeight="1">
      <c r="B321" s="90"/>
      <c r="C321" s="27" t="s">
        <v>125</v>
      </c>
      <c r="D321" s="26">
        <v>2</v>
      </c>
      <c r="E321" s="25">
        <v>3.0057108506161706E-4</v>
      </c>
    </row>
    <row r="322" spans="2:5" ht="15" customHeight="1">
      <c r="B322" s="90"/>
      <c r="C322" s="27" t="s">
        <v>124</v>
      </c>
      <c r="D322" s="26">
        <v>3</v>
      </c>
      <c r="E322" s="25">
        <v>4.5085662759242559E-4</v>
      </c>
    </row>
    <row r="323" spans="2:5" ht="15" customHeight="1">
      <c r="B323" s="90"/>
      <c r="C323" s="27" t="s">
        <v>123</v>
      </c>
      <c r="D323" s="26">
        <v>9</v>
      </c>
      <c r="E323" s="25">
        <v>1.3525698827772769E-3</v>
      </c>
    </row>
    <row r="324" spans="2:5" ht="15" customHeight="1">
      <c r="B324" s="90"/>
      <c r="C324" s="27" t="s">
        <v>121</v>
      </c>
      <c r="D324" s="26">
        <v>1</v>
      </c>
      <c r="E324" s="25">
        <v>1.5028554253080853E-4</v>
      </c>
    </row>
    <row r="325" spans="2:5" ht="15" customHeight="1">
      <c r="B325" s="90"/>
      <c r="C325" s="27" t="s">
        <v>120</v>
      </c>
      <c r="D325" s="26">
        <v>6</v>
      </c>
      <c r="E325" s="25">
        <v>9.0171325518485117E-4</v>
      </c>
    </row>
    <row r="326" spans="2:5" ht="15" customHeight="1">
      <c r="B326" s="90"/>
      <c r="C326" s="27" t="s">
        <v>119</v>
      </c>
      <c r="D326" s="26">
        <v>24</v>
      </c>
      <c r="E326" s="25">
        <v>3.6068530207394047E-3</v>
      </c>
    </row>
    <row r="327" spans="2:5" ht="15" customHeight="1">
      <c r="B327" s="90"/>
      <c r="C327" s="27" t="s">
        <v>117</v>
      </c>
      <c r="D327" s="26">
        <v>1</v>
      </c>
      <c r="E327" s="25">
        <v>1.5028554253080853E-4</v>
      </c>
    </row>
    <row r="328" spans="2:5" ht="15" customHeight="1">
      <c r="B328" s="90"/>
      <c r="C328" s="27" t="s">
        <v>116</v>
      </c>
      <c r="D328" s="26">
        <v>13</v>
      </c>
      <c r="E328" s="25">
        <v>1.953712052900511E-3</v>
      </c>
    </row>
    <row r="329" spans="2:5" ht="15" customHeight="1">
      <c r="B329" s="90"/>
      <c r="C329" s="27" t="s">
        <v>115</v>
      </c>
      <c r="D329" s="26">
        <v>1</v>
      </c>
      <c r="E329" s="25">
        <v>1.5028554253080853E-4</v>
      </c>
    </row>
    <row r="330" spans="2:5" ht="15" customHeight="1">
      <c r="B330" s="90"/>
      <c r="C330" s="27" t="s">
        <v>111</v>
      </c>
      <c r="D330" s="26">
        <v>2</v>
      </c>
      <c r="E330" s="25">
        <v>3.0057108506161706E-4</v>
      </c>
    </row>
    <row r="331" spans="2:5" ht="15" customHeight="1">
      <c r="B331" s="90"/>
      <c r="C331" s="27" t="s">
        <v>110</v>
      </c>
      <c r="D331" s="26">
        <v>3</v>
      </c>
      <c r="E331" s="25">
        <v>4.5085662759242559E-4</v>
      </c>
    </row>
    <row r="332" spans="2:5" ht="15" customHeight="1">
      <c r="B332" s="91"/>
      <c r="C332" s="24" t="s">
        <v>46</v>
      </c>
      <c r="D332" s="23">
        <v>68</v>
      </c>
      <c r="E332" s="22">
        <v>1.021941689209498E-2</v>
      </c>
    </row>
    <row r="333" spans="2:5" ht="15" customHeight="1">
      <c r="B333" s="89" t="s">
        <v>65</v>
      </c>
      <c r="C333" s="27" t="s">
        <v>124</v>
      </c>
      <c r="D333" s="26">
        <v>1</v>
      </c>
      <c r="E333" s="25">
        <v>1.5028554253080853E-4</v>
      </c>
    </row>
    <row r="334" spans="2:5" ht="15" customHeight="1">
      <c r="B334" s="90"/>
      <c r="C334" s="27" t="s">
        <v>123</v>
      </c>
      <c r="D334" s="26">
        <v>3</v>
      </c>
      <c r="E334" s="25">
        <v>4.5085662759242559E-4</v>
      </c>
    </row>
    <row r="335" spans="2:5" ht="15" customHeight="1">
      <c r="B335" s="90"/>
      <c r="C335" s="27" t="s">
        <v>122</v>
      </c>
      <c r="D335" s="26">
        <v>3</v>
      </c>
      <c r="E335" s="25">
        <v>4.5085662759242559E-4</v>
      </c>
    </row>
    <row r="336" spans="2:5" ht="15" customHeight="1">
      <c r="B336" s="90"/>
      <c r="C336" s="27" t="s">
        <v>121</v>
      </c>
      <c r="D336" s="26">
        <v>1</v>
      </c>
      <c r="E336" s="25">
        <v>1.5028554253080853E-4</v>
      </c>
    </row>
    <row r="337" spans="2:5" ht="15" customHeight="1">
      <c r="B337" s="90"/>
      <c r="C337" s="27" t="s">
        <v>120</v>
      </c>
      <c r="D337" s="26">
        <v>3</v>
      </c>
      <c r="E337" s="25">
        <v>4.5085662759242559E-4</v>
      </c>
    </row>
    <row r="338" spans="2:5" ht="15" customHeight="1">
      <c r="B338" s="90"/>
      <c r="C338" s="27" t="s">
        <v>119</v>
      </c>
      <c r="D338" s="26">
        <v>18</v>
      </c>
      <c r="E338" s="25">
        <v>2.7051397655545538E-3</v>
      </c>
    </row>
    <row r="339" spans="2:5" ht="15" customHeight="1">
      <c r="B339" s="90"/>
      <c r="C339" s="27" t="s">
        <v>117</v>
      </c>
      <c r="D339" s="26">
        <v>4</v>
      </c>
      <c r="E339" s="25">
        <v>6.0114217012323412E-4</v>
      </c>
    </row>
    <row r="340" spans="2:5" ht="15" customHeight="1">
      <c r="B340" s="90"/>
      <c r="C340" s="27" t="s">
        <v>116</v>
      </c>
      <c r="D340" s="26">
        <v>8</v>
      </c>
      <c r="E340" s="25">
        <v>1.2022843402464682E-3</v>
      </c>
    </row>
    <row r="341" spans="2:5" ht="15" customHeight="1">
      <c r="B341" s="91"/>
      <c r="C341" s="24" t="s">
        <v>46</v>
      </c>
      <c r="D341" s="23">
        <v>41</v>
      </c>
      <c r="E341" s="22">
        <v>6.1617072437631501E-3</v>
      </c>
    </row>
    <row r="342" spans="2:5" ht="15" customHeight="1">
      <c r="B342" s="89" t="s">
        <v>58</v>
      </c>
      <c r="C342" s="27" t="s">
        <v>127</v>
      </c>
      <c r="D342" s="26">
        <v>1</v>
      </c>
      <c r="E342" s="25">
        <v>1.5028554253080853E-4</v>
      </c>
    </row>
    <row r="343" spans="2:5" ht="15" customHeight="1">
      <c r="B343" s="90"/>
      <c r="C343" s="27" t="s">
        <v>124</v>
      </c>
      <c r="D343" s="26">
        <v>1</v>
      </c>
      <c r="E343" s="25">
        <v>1.5028554253080853E-4</v>
      </c>
    </row>
    <row r="344" spans="2:5" ht="15" customHeight="1">
      <c r="B344" s="90"/>
      <c r="C344" s="27" t="s">
        <v>123</v>
      </c>
      <c r="D344" s="26">
        <v>5</v>
      </c>
      <c r="E344" s="25">
        <v>7.514277126540427E-4</v>
      </c>
    </row>
    <row r="345" spans="2:5" ht="15" customHeight="1">
      <c r="B345" s="90"/>
      <c r="C345" s="27" t="s">
        <v>121</v>
      </c>
      <c r="D345" s="26">
        <v>3</v>
      </c>
      <c r="E345" s="25">
        <v>4.5085662759242559E-4</v>
      </c>
    </row>
    <row r="346" spans="2:5" ht="15" customHeight="1">
      <c r="B346" s="90"/>
      <c r="C346" s="27" t="s">
        <v>120</v>
      </c>
      <c r="D346" s="26">
        <v>1</v>
      </c>
      <c r="E346" s="25">
        <v>1.5028554253080853E-4</v>
      </c>
    </row>
    <row r="347" spans="2:5" ht="15" customHeight="1">
      <c r="B347" s="90"/>
      <c r="C347" s="27" t="s">
        <v>119</v>
      </c>
      <c r="D347" s="26">
        <v>9</v>
      </c>
      <c r="E347" s="25">
        <v>1.3525698827772769E-3</v>
      </c>
    </row>
    <row r="348" spans="2:5" ht="15" customHeight="1">
      <c r="B348" s="90"/>
      <c r="C348" s="27" t="s">
        <v>117</v>
      </c>
      <c r="D348" s="26">
        <v>1</v>
      </c>
      <c r="E348" s="25">
        <v>1.5028554253080853E-4</v>
      </c>
    </row>
    <row r="349" spans="2:5" ht="15" customHeight="1">
      <c r="B349" s="90"/>
      <c r="C349" s="27" t="s">
        <v>116</v>
      </c>
      <c r="D349" s="26">
        <v>2</v>
      </c>
      <c r="E349" s="25">
        <v>3.0057108506161706E-4</v>
      </c>
    </row>
    <row r="350" spans="2:5" ht="15" customHeight="1">
      <c r="B350" s="90"/>
      <c r="C350" s="27" t="s">
        <v>111</v>
      </c>
      <c r="D350" s="26">
        <v>1</v>
      </c>
      <c r="E350" s="25">
        <v>1.5028554253080853E-4</v>
      </c>
    </row>
    <row r="351" spans="2:5" ht="15" customHeight="1">
      <c r="B351" s="90"/>
      <c r="C351" s="27" t="s">
        <v>110</v>
      </c>
      <c r="D351" s="26">
        <v>2</v>
      </c>
      <c r="E351" s="25">
        <v>3.0057108506161706E-4</v>
      </c>
    </row>
    <row r="352" spans="2:5" ht="15" customHeight="1">
      <c r="B352" s="91"/>
      <c r="C352" s="24" t="s">
        <v>46</v>
      </c>
      <c r="D352" s="23">
        <v>26</v>
      </c>
      <c r="E352" s="22">
        <v>3.9074241058010221E-3</v>
      </c>
    </row>
    <row r="353" spans="2:5" ht="15" customHeight="1">
      <c r="B353" s="89" t="s">
        <v>87</v>
      </c>
      <c r="C353" s="27" t="s">
        <v>124</v>
      </c>
      <c r="D353" s="26">
        <v>2</v>
      </c>
      <c r="E353" s="25">
        <v>3.0057108506161706E-4</v>
      </c>
    </row>
    <row r="354" spans="2:5" ht="15" customHeight="1">
      <c r="B354" s="90"/>
      <c r="C354" s="27" t="s">
        <v>123</v>
      </c>
      <c r="D354" s="26">
        <v>7</v>
      </c>
      <c r="E354" s="25">
        <v>1.0519987977156598E-3</v>
      </c>
    </row>
    <row r="355" spans="2:5" ht="15" customHeight="1">
      <c r="B355" s="90"/>
      <c r="C355" s="27" t="s">
        <v>122</v>
      </c>
      <c r="D355" s="26">
        <v>1</v>
      </c>
      <c r="E355" s="25">
        <v>1.5028554253080853E-4</v>
      </c>
    </row>
    <row r="356" spans="2:5" ht="15" customHeight="1">
      <c r="B356" s="90"/>
      <c r="C356" s="27" t="s">
        <v>121</v>
      </c>
      <c r="D356" s="26">
        <v>1</v>
      </c>
      <c r="E356" s="25">
        <v>1.5028554253080853E-4</v>
      </c>
    </row>
    <row r="357" spans="2:5" ht="15" customHeight="1">
      <c r="B357" s="90"/>
      <c r="C357" s="27" t="s">
        <v>120</v>
      </c>
      <c r="D357" s="26">
        <v>1</v>
      </c>
      <c r="E357" s="25">
        <v>1.5028554253080853E-4</v>
      </c>
    </row>
    <row r="358" spans="2:5" ht="15" customHeight="1">
      <c r="B358" s="90"/>
      <c r="C358" s="27" t="s">
        <v>119</v>
      </c>
      <c r="D358" s="26">
        <v>13</v>
      </c>
      <c r="E358" s="25">
        <v>1.953712052900511E-3</v>
      </c>
    </row>
    <row r="359" spans="2:5" ht="15" customHeight="1">
      <c r="B359" s="90"/>
      <c r="C359" s="27" t="s">
        <v>117</v>
      </c>
      <c r="D359" s="26">
        <v>3</v>
      </c>
      <c r="E359" s="25">
        <v>4.5085662759242559E-4</v>
      </c>
    </row>
    <row r="360" spans="2:5" ht="15" customHeight="1">
      <c r="B360" s="90"/>
      <c r="C360" s="27" t="s">
        <v>116</v>
      </c>
      <c r="D360" s="26">
        <v>5</v>
      </c>
      <c r="E360" s="25">
        <v>7.514277126540427E-4</v>
      </c>
    </row>
    <row r="361" spans="2:5" ht="15" customHeight="1">
      <c r="B361" s="90"/>
      <c r="C361" s="27" t="s">
        <v>111</v>
      </c>
      <c r="D361" s="26">
        <v>1</v>
      </c>
      <c r="E361" s="25">
        <v>1.5028554253080853E-4</v>
      </c>
    </row>
    <row r="362" spans="2:5" ht="15" customHeight="1">
      <c r="B362" s="90"/>
      <c r="C362" s="27" t="s">
        <v>110</v>
      </c>
      <c r="D362" s="26">
        <v>5</v>
      </c>
      <c r="E362" s="25">
        <v>7.514277126540427E-4</v>
      </c>
    </row>
    <row r="363" spans="2:5" ht="15" customHeight="1">
      <c r="B363" s="91"/>
      <c r="C363" s="24" t="s">
        <v>46</v>
      </c>
      <c r="D363" s="23">
        <v>39</v>
      </c>
      <c r="E363" s="22">
        <v>5.8611361587015331E-3</v>
      </c>
    </row>
    <row r="364" spans="2:5" ht="15" customHeight="1">
      <c r="B364" s="89" t="s">
        <v>60</v>
      </c>
      <c r="C364" s="27" t="s">
        <v>128</v>
      </c>
      <c r="D364" s="26">
        <v>2</v>
      </c>
      <c r="E364" s="25">
        <v>3.0057108506161706E-4</v>
      </c>
    </row>
    <row r="365" spans="2:5" ht="15" customHeight="1">
      <c r="B365" s="90"/>
      <c r="C365" s="27" t="s">
        <v>127</v>
      </c>
      <c r="D365" s="26">
        <v>2</v>
      </c>
      <c r="E365" s="25">
        <v>3.0057108506161706E-4</v>
      </c>
    </row>
    <row r="366" spans="2:5" ht="15" customHeight="1">
      <c r="B366" s="90"/>
      <c r="C366" s="27" t="s">
        <v>126</v>
      </c>
      <c r="D366" s="26">
        <v>1</v>
      </c>
      <c r="E366" s="25">
        <v>1.5028554253080853E-4</v>
      </c>
    </row>
    <row r="367" spans="2:5" ht="15" customHeight="1">
      <c r="B367" s="90"/>
      <c r="C367" s="27" t="s">
        <v>125</v>
      </c>
      <c r="D367" s="26">
        <v>3</v>
      </c>
      <c r="E367" s="25">
        <v>4.5085662759242559E-4</v>
      </c>
    </row>
    <row r="368" spans="2:5" ht="15" customHeight="1">
      <c r="B368" s="90"/>
      <c r="C368" s="27" t="s">
        <v>124</v>
      </c>
      <c r="D368" s="26">
        <v>8</v>
      </c>
      <c r="E368" s="25">
        <v>1.2022843402464682E-3</v>
      </c>
    </row>
    <row r="369" spans="2:5" ht="15" customHeight="1">
      <c r="B369" s="90"/>
      <c r="C369" s="27" t="s">
        <v>123</v>
      </c>
      <c r="D369" s="26">
        <v>23</v>
      </c>
      <c r="E369" s="25">
        <v>3.4565674782085962E-3</v>
      </c>
    </row>
    <row r="370" spans="2:5" ht="15" customHeight="1">
      <c r="B370" s="90"/>
      <c r="C370" s="27" t="s">
        <v>121</v>
      </c>
      <c r="D370" s="26">
        <v>6</v>
      </c>
      <c r="E370" s="25">
        <v>9.0171325518485117E-4</v>
      </c>
    </row>
    <row r="371" spans="2:5" ht="15" customHeight="1">
      <c r="B371" s="90"/>
      <c r="C371" s="27" t="s">
        <v>120</v>
      </c>
      <c r="D371" s="26">
        <v>9</v>
      </c>
      <c r="E371" s="25">
        <v>1.3525698827772769E-3</v>
      </c>
    </row>
    <row r="372" spans="2:5" ht="15" customHeight="1">
      <c r="B372" s="90"/>
      <c r="C372" s="27" t="s">
        <v>119</v>
      </c>
      <c r="D372" s="26">
        <v>60</v>
      </c>
      <c r="E372" s="25">
        <v>9.017132551848512E-3</v>
      </c>
    </row>
    <row r="373" spans="2:5" ht="15" customHeight="1">
      <c r="B373" s="90"/>
      <c r="C373" s="27" t="s">
        <v>118</v>
      </c>
      <c r="D373" s="26">
        <v>4</v>
      </c>
      <c r="E373" s="25">
        <v>6.0114217012323412E-4</v>
      </c>
    </row>
    <row r="374" spans="2:5" ht="15" customHeight="1">
      <c r="B374" s="90"/>
      <c r="C374" s="27" t="s">
        <v>117</v>
      </c>
      <c r="D374" s="26">
        <v>7</v>
      </c>
      <c r="E374" s="25">
        <v>1.0519987977156598E-3</v>
      </c>
    </row>
    <row r="375" spans="2:5" ht="15" customHeight="1">
      <c r="B375" s="90"/>
      <c r="C375" s="27" t="s">
        <v>116</v>
      </c>
      <c r="D375" s="26">
        <v>22</v>
      </c>
      <c r="E375" s="25">
        <v>3.3062819356777877E-3</v>
      </c>
    </row>
    <row r="376" spans="2:5" ht="15" customHeight="1">
      <c r="B376" s="90"/>
      <c r="C376" s="27" t="s">
        <v>115</v>
      </c>
      <c r="D376" s="26">
        <v>2</v>
      </c>
      <c r="E376" s="25">
        <v>3.0057108506161706E-4</v>
      </c>
    </row>
    <row r="377" spans="2:5" ht="15" customHeight="1">
      <c r="B377" s="90"/>
      <c r="C377" s="27" t="s">
        <v>113</v>
      </c>
      <c r="D377" s="26">
        <v>1</v>
      </c>
      <c r="E377" s="25">
        <v>1.5028554253080853E-4</v>
      </c>
    </row>
    <row r="378" spans="2:5" ht="15" customHeight="1">
      <c r="B378" s="90"/>
      <c r="C378" s="27" t="s">
        <v>110</v>
      </c>
      <c r="D378" s="26">
        <v>1</v>
      </c>
      <c r="E378" s="25">
        <v>1.5028554253080853E-4</v>
      </c>
    </row>
    <row r="379" spans="2:5" ht="15" customHeight="1">
      <c r="B379" s="91"/>
      <c r="C379" s="24" t="s">
        <v>46</v>
      </c>
      <c r="D379" s="23">
        <v>151</v>
      </c>
      <c r="E379" s="22">
        <v>2.269311692215209E-2</v>
      </c>
    </row>
    <row r="380" spans="2:5" ht="15" customHeight="1">
      <c r="B380" s="89" t="s">
        <v>79</v>
      </c>
      <c r="C380" s="27" t="s">
        <v>130</v>
      </c>
      <c r="D380" s="26">
        <v>4</v>
      </c>
      <c r="E380" s="25">
        <v>6.0114217012323412E-4</v>
      </c>
    </row>
    <row r="381" spans="2:5" ht="15" customHeight="1">
      <c r="B381" s="90"/>
      <c r="C381" s="27" t="s">
        <v>129</v>
      </c>
      <c r="D381" s="26">
        <v>3</v>
      </c>
      <c r="E381" s="25">
        <v>4.5085662759242559E-4</v>
      </c>
    </row>
    <row r="382" spans="2:5" ht="15" customHeight="1">
      <c r="B382" s="90"/>
      <c r="C382" s="27" t="s">
        <v>127</v>
      </c>
      <c r="D382" s="26">
        <v>3</v>
      </c>
      <c r="E382" s="25">
        <v>4.5085662759242559E-4</v>
      </c>
    </row>
    <row r="383" spans="2:5" ht="15" customHeight="1">
      <c r="B383" s="90"/>
      <c r="C383" s="27" t="s">
        <v>126</v>
      </c>
      <c r="D383" s="26">
        <v>1</v>
      </c>
      <c r="E383" s="25">
        <v>1.5028554253080853E-4</v>
      </c>
    </row>
    <row r="384" spans="2:5" ht="15" customHeight="1">
      <c r="B384" s="90"/>
      <c r="C384" s="27" t="s">
        <v>125</v>
      </c>
      <c r="D384" s="26">
        <v>2</v>
      </c>
      <c r="E384" s="25">
        <v>3.0057108506161706E-4</v>
      </c>
    </row>
    <row r="385" spans="2:5" ht="15" customHeight="1">
      <c r="B385" s="90"/>
      <c r="C385" s="27" t="s">
        <v>124</v>
      </c>
      <c r="D385" s="26">
        <v>4</v>
      </c>
      <c r="E385" s="25">
        <v>6.0114217012323412E-4</v>
      </c>
    </row>
    <row r="386" spans="2:5" ht="15" customHeight="1">
      <c r="B386" s="90"/>
      <c r="C386" s="27" t="s">
        <v>123</v>
      </c>
      <c r="D386" s="26">
        <v>17</v>
      </c>
      <c r="E386" s="25">
        <v>2.5548542230237449E-3</v>
      </c>
    </row>
    <row r="387" spans="2:5" ht="15" customHeight="1">
      <c r="B387" s="90"/>
      <c r="C387" s="27" t="s">
        <v>122</v>
      </c>
      <c r="D387" s="26">
        <v>4</v>
      </c>
      <c r="E387" s="25">
        <v>6.0114217012323412E-4</v>
      </c>
    </row>
    <row r="388" spans="2:5" ht="15" customHeight="1">
      <c r="B388" s="90"/>
      <c r="C388" s="27" t="s">
        <v>121</v>
      </c>
      <c r="D388" s="26">
        <v>3</v>
      </c>
      <c r="E388" s="25">
        <v>4.5085662759242559E-4</v>
      </c>
    </row>
    <row r="389" spans="2:5" ht="15" customHeight="1">
      <c r="B389" s="90"/>
      <c r="C389" s="27" t="s">
        <v>120</v>
      </c>
      <c r="D389" s="26">
        <v>3</v>
      </c>
      <c r="E389" s="25">
        <v>4.5085662759242559E-4</v>
      </c>
    </row>
    <row r="390" spans="2:5" ht="15" customHeight="1">
      <c r="B390" s="90"/>
      <c r="C390" s="27" t="s">
        <v>119</v>
      </c>
      <c r="D390" s="26">
        <v>52</v>
      </c>
      <c r="E390" s="25">
        <v>7.8148482116020442E-3</v>
      </c>
    </row>
    <row r="391" spans="2:5" ht="15" customHeight="1">
      <c r="B391" s="90"/>
      <c r="C391" s="27" t="s">
        <v>117</v>
      </c>
      <c r="D391" s="26">
        <v>5</v>
      </c>
      <c r="E391" s="25">
        <v>7.514277126540427E-4</v>
      </c>
    </row>
    <row r="392" spans="2:5" ht="15" customHeight="1">
      <c r="B392" s="90"/>
      <c r="C392" s="27" t="s">
        <v>116</v>
      </c>
      <c r="D392" s="26">
        <v>18</v>
      </c>
      <c r="E392" s="25">
        <v>2.7051397655545538E-3</v>
      </c>
    </row>
    <row r="393" spans="2:5" ht="15" customHeight="1">
      <c r="B393" s="90"/>
      <c r="C393" s="27" t="s">
        <v>114</v>
      </c>
      <c r="D393" s="26">
        <v>1</v>
      </c>
      <c r="E393" s="25">
        <v>1.5028554253080853E-4</v>
      </c>
    </row>
    <row r="394" spans="2:5" ht="15" customHeight="1">
      <c r="B394" s="90"/>
      <c r="C394" s="27" t="s">
        <v>111</v>
      </c>
      <c r="D394" s="26">
        <v>1</v>
      </c>
      <c r="E394" s="25">
        <v>1.5028554253080853E-4</v>
      </c>
    </row>
    <row r="395" spans="2:5" ht="15" customHeight="1">
      <c r="B395" s="90"/>
      <c r="C395" s="27" t="s">
        <v>110</v>
      </c>
      <c r="D395" s="26">
        <v>4</v>
      </c>
      <c r="E395" s="25">
        <v>6.0114217012323412E-4</v>
      </c>
    </row>
    <row r="396" spans="2:5" ht="15" customHeight="1">
      <c r="B396" s="91"/>
      <c r="C396" s="24" t="s">
        <v>46</v>
      </c>
      <c r="D396" s="23">
        <v>125</v>
      </c>
      <c r="E396" s="22">
        <v>1.8785692816351066E-2</v>
      </c>
    </row>
    <row r="397" spans="2:5" ht="15" customHeight="1">
      <c r="B397" s="89" t="s">
        <v>75</v>
      </c>
      <c r="C397" s="27" t="s">
        <v>130</v>
      </c>
      <c r="D397" s="26">
        <v>1</v>
      </c>
      <c r="E397" s="25">
        <v>1.5028554253080853E-4</v>
      </c>
    </row>
    <row r="398" spans="2:5" ht="15" customHeight="1">
      <c r="B398" s="90"/>
      <c r="C398" s="27" t="s">
        <v>128</v>
      </c>
      <c r="D398" s="26">
        <v>1</v>
      </c>
      <c r="E398" s="25">
        <v>1.5028554253080853E-4</v>
      </c>
    </row>
    <row r="399" spans="2:5" ht="15" customHeight="1">
      <c r="B399" s="90"/>
      <c r="C399" s="27" t="s">
        <v>127</v>
      </c>
      <c r="D399" s="26">
        <v>3</v>
      </c>
      <c r="E399" s="25">
        <v>4.5085662759242559E-4</v>
      </c>
    </row>
    <row r="400" spans="2:5" ht="15" customHeight="1">
      <c r="B400" s="90"/>
      <c r="C400" s="27" t="s">
        <v>126</v>
      </c>
      <c r="D400" s="26">
        <v>2</v>
      </c>
      <c r="E400" s="25">
        <v>3.0057108506161706E-4</v>
      </c>
    </row>
    <row r="401" spans="2:5" ht="15" customHeight="1">
      <c r="B401" s="90"/>
      <c r="C401" s="27" t="s">
        <v>125</v>
      </c>
      <c r="D401" s="26">
        <v>1</v>
      </c>
      <c r="E401" s="25">
        <v>1.5028554253080853E-4</v>
      </c>
    </row>
    <row r="402" spans="2:5" ht="15" customHeight="1">
      <c r="B402" s="90"/>
      <c r="C402" s="27" t="s">
        <v>124</v>
      </c>
      <c r="D402" s="26">
        <v>14</v>
      </c>
      <c r="E402" s="25">
        <v>2.1039975954313195E-3</v>
      </c>
    </row>
    <row r="403" spans="2:5" ht="15" customHeight="1">
      <c r="B403" s="90"/>
      <c r="C403" s="27" t="s">
        <v>123</v>
      </c>
      <c r="D403" s="26">
        <v>9</v>
      </c>
      <c r="E403" s="25">
        <v>1.3525698827772769E-3</v>
      </c>
    </row>
    <row r="404" spans="2:5" ht="15" customHeight="1">
      <c r="B404" s="90"/>
      <c r="C404" s="27" t="s">
        <v>121</v>
      </c>
      <c r="D404" s="26">
        <v>3</v>
      </c>
      <c r="E404" s="25">
        <v>4.5085662759242559E-4</v>
      </c>
    </row>
    <row r="405" spans="2:5" ht="15" customHeight="1">
      <c r="B405" s="90"/>
      <c r="C405" s="27" t="s">
        <v>120</v>
      </c>
      <c r="D405" s="26">
        <v>4</v>
      </c>
      <c r="E405" s="25">
        <v>6.0114217012323412E-4</v>
      </c>
    </row>
    <row r="406" spans="2:5" ht="15" customHeight="1">
      <c r="B406" s="90"/>
      <c r="C406" s="27" t="s">
        <v>119</v>
      </c>
      <c r="D406" s="26">
        <v>34</v>
      </c>
      <c r="E406" s="25">
        <v>5.1097084460474899E-3</v>
      </c>
    </row>
    <row r="407" spans="2:5" ht="15" customHeight="1">
      <c r="B407" s="90"/>
      <c r="C407" s="27" t="s">
        <v>117</v>
      </c>
      <c r="D407" s="26">
        <v>5</v>
      </c>
      <c r="E407" s="25">
        <v>7.514277126540427E-4</v>
      </c>
    </row>
    <row r="408" spans="2:5" ht="15" customHeight="1">
      <c r="B408" s="90"/>
      <c r="C408" s="27" t="s">
        <v>116</v>
      </c>
      <c r="D408" s="26">
        <v>13</v>
      </c>
      <c r="E408" s="25">
        <v>1.953712052900511E-3</v>
      </c>
    </row>
    <row r="409" spans="2:5" ht="15" customHeight="1">
      <c r="B409" s="90"/>
      <c r="C409" s="27" t="s">
        <v>112</v>
      </c>
      <c r="D409" s="26">
        <v>1</v>
      </c>
      <c r="E409" s="25">
        <v>1.5028554253080853E-4</v>
      </c>
    </row>
    <row r="410" spans="2:5" ht="15" customHeight="1">
      <c r="B410" s="90"/>
      <c r="C410" s="27" t="s">
        <v>111</v>
      </c>
      <c r="D410" s="26">
        <v>1</v>
      </c>
      <c r="E410" s="25">
        <v>1.5028554253080853E-4</v>
      </c>
    </row>
    <row r="411" spans="2:5" ht="15" customHeight="1">
      <c r="B411" s="90"/>
      <c r="C411" s="27" t="s">
        <v>110</v>
      </c>
      <c r="D411" s="26">
        <v>3</v>
      </c>
      <c r="E411" s="25">
        <v>4.5085662759242559E-4</v>
      </c>
    </row>
    <row r="412" spans="2:5" ht="15" customHeight="1">
      <c r="B412" s="91"/>
      <c r="C412" s="24" t="s">
        <v>46</v>
      </c>
      <c r="D412" s="23">
        <v>95</v>
      </c>
      <c r="E412" s="22">
        <v>1.427712654042681E-2</v>
      </c>
    </row>
    <row r="413" spans="2:5" ht="15" customHeight="1">
      <c r="B413" s="89" t="s">
        <v>63</v>
      </c>
      <c r="C413" s="27" t="s">
        <v>127</v>
      </c>
      <c r="D413" s="26">
        <v>3</v>
      </c>
      <c r="E413" s="25">
        <v>4.5085662759242559E-4</v>
      </c>
    </row>
    <row r="414" spans="2:5" ht="15" customHeight="1">
      <c r="B414" s="90"/>
      <c r="C414" s="27" t="s">
        <v>126</v>
      </c>
      <c r="D414" s="26">
        <v>1</v>
      </c>
      <c r="E414" s="25">
        <v>1.5028554253080853E-4</v>
      </c>
    </row>
    <row r="415" spans="2:5" ht="15" customHeight="1">
      <c r="B415" s="90"/>
      <c r="C415" s="27" t="s">
        <v>125</v>
      </c>
      <c r="D415" s="26">
        <v>4</v>
      </c>
      <c r="E415" s="25">
        <v>6.0114217012323412E-4</v>
      </c>
    </row>
    <row r="416" spans="2:5" ht="15" customHeight="1">
      <c r="B416" s="90"/>
      <c r="C416" s="27" t="s">
        <v>124</v>
      </c>
      <c r="D416" s="26">
        <v>8</v>
      </c>
      <c r="E416" s="25">
        <v>1.2022843402464682E-3</v>
      </c>
    </row>
    <row r="417" spans="2:5" ht="15" customHeight="1">
      <c r="B417" s="90"/>
      <c r="C417" s="27" t="s">
        <v>123</v>
      </c>
      <c r="D417" s="26">
        <v>11</v>
      </c>
      <c r="E417" s="25">
        <v>1.6531409678388939E-3</v>
      </c>
    </row>
    <row r="418" spans="2:5" ht="15" customHeight="1">
      <c r="B418" s="90"/>
      <c r="C418" s="27" t="s">
        <v>122</v>
      </c>
      <c r="D418" s="26">
        <v>1</v>
      </c>
      <c r="E418" s="25">
        <v>1.5028554253080853E-4</v>
      </c>
    </row>
    <row r="419" spans="2:5" ht="15" customHeight="1">
      <c r="B419" s="90"/>
      <c r="C419" s="27" t="s">
        <v>121</v>
      </c>
      <c r="D419" s="26">
        <v>2</v>
      </c>
      <c r="E419" s="25">
        <v>3.0057108506161706E-4</v>
      </c>
    </row>
    <row r="420" spans="2:5" ht="15" customHeight="1">
      <c r="B420" s="90"/>
      <c r="C420" s="27" t="s">
        <v>120</v>
      </c>
      <c r="D420" s="26">
        <v>2</v>
      </c>
      <c r="E420" s="25">
        <v>3.0057108506161706E-4</v>
      </c>
    </row>
    <row r="421" spans="2:5" ht="15" customHeight="1">
      <c r="B421" s="90"/>
      <c r="C421" s="27" t="s">
        <v>119</v>
      </c>
      <c r="D421" s="26">
        <v>24</v>
      </c>
      <c r="E421" s="25">
        <v>3.6068530207394047E-3</v>
      </c>
    </row>
    <row r="422" spans="2:5" ht="15" customHeight="1">
      <c r="B422" s="90"/>
      <c r="C422" s="27" t="s">
        <v>118</v>
      </c>
      <c r="D422" s="26">
        <v>3</v>
      </c>
      <c r="E422" s="25">
        <v>4.5085662759242559E-4</v>
      </c>
    </row>
    <row r="423" spans="2:5" ht="15" customHeight="1">
      <c r="B423" s="90"/>
      <c r="C423" s="27" t="s">
        <v>117</v>
      </c>
      <c r="D423" s="26">
        <v>3</v>
      </c>
      <c r="E423" s="25">
        <v>4.5085662759242559E-4</v>
      </c>
    </row>
    <row r="424" spans="2:5" ht="15" customHeight="1">
      <c r="B424" s="90"/>
      <c r="C424" s="27" t="s">
        <v>116</v>
      </c>
      <c r="D424" s="26">
        <v>17</v>
      </c>
      <c r="E424" s="25">
        <v>2.5548542230237449E-3</v>
      </c>
    </row>
    <row r="425" spans="2:5" ht="15" customHeight="1">
      <c r="B425" s="90"/>
      <c r="C425" s="27" t="s">
        <v>111</v>
      </c>
      <c r="D425" s="26">
        <v>1</v>
      </c>
      <c r="E425" s="25">
        <v>1.5028554253080853E-4</v>
      </c>
    </row>
    <row r="426" spans="2:5" ht="15" customHeight="1">
      <c r="B426" s="90"/>
      <c r="C426" s="27" t="s">
        <v>110</v>
      </c>
      <c r="D426" s="26">
        <v>2</v>
      </c>
      <c r="E426" s="25">
        <v>3.0057108506161706E-4</v>
      </c>
    </row>
    <row r="427" spans="2:5" ht="15" customHeight="1">
      <c r="B427" s="90"/>
      <c r="C427" s="27" t="s">
        <v>108</v>
      </c>
      <c r="D427" s="26">
        <v>1</v>
      </c>
      <c r="E427" s="25">
        <v>1.5028554253080853E-4</v>
      </c>
    </row>
    <row r="428" spans="2:5" ht="15" customHeight="1">
      <c r="B428" s="91"/>
      <c r="C428" s="24" t="s">
        <v>46</v>
      </c>
      <c r="D428" s="23">
        <v>83</v>
      </c>
      <c r="E428" s="22">
        <v>1.2473700030057109E-2</v>
      </c>
    </row>
    <row r="429" spans="2:5" ht="15" customHeight="1">
      <c r="B429" s="89" t="s">
        <v>67</v>
      </c>
      <c r="C429" s="27" t="s">
        <v>128</v>
      </c>
      <c r="D429" s="26">
        <v>1</v>
      </c>
      <c r="E429" s="25">
        <v>1.5028554253080853E-4</v>
      </c>
    </row>
    <row r="430" spans="2:5" ht="15" customHeight="1">
      <c r="B430" s="90"/>
      <c r="C430" s="27" t="s">
        <v>125</v>
      </c>
      <c r="D430" s="26">
        <v>1</v>
      </c>
      <c r="E430" s="25">
        <v>1.5028554253080853E-4</v>
      </c>
    </row>
    <row r="431" spans="2:5" ht="15" customHeight="1">
      <c r="B431" s="90"/>
      <c r="C431" s="27" t="s">
        <v>124</v>
      </c>
      <c r="D431" s="26">
        <v>2</v>
      </c>
      <c r="E431" s="25">
        <v>3.0057108506161706E-4</v>
      </c>
    </row>
    <row r="432" spans="2:5" ht="15" customHeight="1">
      <c r="B432" s="90"/>
      <c r="C432" s="27" t="s">
        <v>123</v>
      </c>
      <c r="D432" s="26">
        <v>3</v>
      </c>
      <c r="E432" s="25">
        <v>4.5085662759242559E-4</v>
      </c>
    </row>
    <row r="433" spans="2:5" ht="15" customHeight="1">
      <c r="B433" s="90"/>
      <c r="C433" s="27" t="s">
        <v>119</v>
      </c>
      <c r="D433" s="26">
        <v>3</v>
      </c>
      <c r="E433" s="25">
        <v>4.5085662759242559E-4</v>
      </c>
    </row>
    <row r="434" spans="2:5" ht="15" customHeight="1">
      <c r="B434" s="90"/>
      <c r="C434" s="27" t="s">
        <v>117</v>
      </c>
      <c r="D434" s="26">
        <v>1</v>
      </c>
      <c r="E434" s="25">
        <v>1.5028554253080853E-4</v>
      </c>
    </row>
    <row r="435" spans="2:5" ht="15" customHeight="1">
      <c r="B435" s="90"/>
      <c r="C435" s="27" t="s">
        <v>116</v>
      </c>
      <c r="D435" s="26">
        <v>2</v>
      </c>
      <c r="E435" s="25">
        <v>3.0057108506161706E-4</v>
      </c>
    </row>
    <row r="436" spans="2:5" ht="15" customHeight="1">
      <c r="B436" s="91"/>
      <c r="C436" s="24" t="s">
        <v>46</v>
      </c>
      <c r="D436" s="23">
        <v>13</v>
      </c>
      <c r="E436" s="22">
        <v>1.953712052900511E-3</v>
      </c>
    </row>
    <row r="437" spans="2:5" ht="15" customHeight="1">
      <c r="B437" s="89" t="s">
        <v>51</v>
      </c>
      <c r="C437" s="27" t="s">
        <v>119</v>
      </c>
      <c r="D437" s="26">
        <v>1</v>
      </c>
      <c r="E437" s="25">
        <v>1.5028554253080853E-4</v>
      </c>
    </row>
    <row r="438" spans="2:5" ht="15" customHeight="1">
      <c r="B438" s="90"/>
      <c r="C438" s="27" t="s">
        <v>116</v>
      </c>
      <c r="D438" s="26">
        <v>1</v>
      </c>
      <c r="E438" s="25">
        <v>1.5028554253080853E-4</v>
      </c>
    </row>
    <row r="439" spans="2:5" ht="15" customHeight="1">
      <c r="B439" s="91"/>
      <c r="C439" s="24" t="s">
        <v>46</v>
      </c>
      <c r="D439" s="23">
        <v>2</v>
      </c>
      <c r="E439" s="22">
        <v>3.0057108506161706E-4</v>
      </c>
    </row>
    <row r="440" spans="2:5" ht="15" customHeight="1">
      <c r="B440" s="89" t="s">
        <v>85</v>
      </c>
      <c r="C440" s="27" t="s">
        <v>129</v>
      </c>
      <c r="D440" s="26">
        <v>1</v>
      </c>
      <c r="E440" s="25">
        <v>1.5028554253080853E-4</v>
      </c>
    </row>
    <row r="441" spans="2:5" ht="15" customHeight="1">
      <c r="B441" s="90"/>
      <c r="C441" s="27" t="s">
        <v>128</v>
      </c>
      <c r="D441" s="26">
        <v>3</v>
      </c>
      <c r="E441" s="25">
        <v>4.5085662759242559E-4</v>
      </c>
    </row>
    <row r="442" spans="2:5" ht="15" customHeight="1">
      <c r="B442" s="90"/>
      <c r="C442" s="27" t="s">
        <v>127</v>
      </c>
      <c r="D442" s="26">
        <v>3</v>
      </c>
      <c r="E442" s="25">
        <v>4.5085662759242559E-4</v>
      </c>
    </row>
    <row r="443" spans="2:5" ht="15" customHeight="1">
      <c r="B443" s="90"/>
      <c r="C443" s="27" t="s">
        <v>126</v>
      </c>
      <c r="D443" s="26">
        <v>4</v>
      </c>
      <c r="E443" s="25">
        <v>6.0114217012323412E-4</v>
      </c>
    </row>
    <row r="444" spans="2:5" ht="15" customHeight="1">
      <c r="B444" s="90"/>
      <c r="C444" s="27" t="s">
        <v>125</v>
      </c>
      <c r="D444" s="26">
        <v>3</v>
      </c>
      <c r="E444" s="25">
        <v>4.5085662759242559E-4</v>
      </c>
    </row>
    <row r="445" spans="2:5" ht="15" customHeight="1">
      <c r="B445" s="90"/>
      <c r="C445" s="27" t="s">
        <v>124</v>
      </c>
      <c r="D445" s="26">
        <v>11</v>
      </c>
      <c r="E445" s="25">
        <v>1.6531409678388939E-3</v>
      </c>
    </row>
    <row r="446" spans="2:5" ht="15" customHeight="1">
      <c r="B446" s="90"/>
      <c r="C446" s="27" t="s">
        <v>123</v>
      </c>
      <c r="D446" s="26">
        <v>40</v>
      </c>
      <c r="E446" s="25">
        <v>6.0114217012323416E-3</v>
      </c>
    </row>
    <row r="447" spans="2:5" ht="15" customHeight="1">
      <c r="B447" s="90"/>
      <c r="C447" s="27" t="s">
        <v>122</v>
      </c>
      <c r="D447" s="26">
        <v>8</v>
      </c>
      <c r="E447" s="25">
        <v>1.2022843402464682E-3</v>
      </c>
    </row>
    <row r="448" spans="2:5" ht="15" customHeight="1">
      <c r="B448" s="90"/>
      <c r="C448" s="27" t="s">
        <v>121</v>
      </c>
      <c r="D448" s="26">
        <v>9</v>
      </c>
      <c r="E448" s="25">
        <v>1.3525698827772769E-3</v>
      </c>
    </row>
    <row r="449" spans="2:5" ht="15" customHeight="1">
      <c r="B449" s="90"/>
      <c r="C449" s="27" t="s">
        <v>120</v>
      </c>
      <c r="D449" s="26">
        <v>17</v>
      </c>
      <c r="E449" s="25">
        <v>2.5548542230237449E-3</v>
      </c>
    </row>
    <row r="450" spans="2:5" ht="15" customHeight="1">
      <c r="B450" s="90"/>
      <c r="C450" s="27" t="s">
        <v>119</v>
      </c>
      <c r="D450" s="26">
        <v>66</v>
      </c>
      <c r="E450" s="25">
        <v>9.9188458070333628E-3</v>
      </c>
    </row>
    <row r="451" spans="2:5" ht="15" customHeight="1">
      <c r="B451" s="90"/>
      <c r="C451" s="27" t="s">
        <v>118</v>
      </c>
      <c r="D451" s="26">
        <v>1</v>
      </c>
      <c r="E451" s="25">
        <v>1.5028554253080853E-4</v>
      </c>
    </row>
    <row r="452" spans="2:5" ht="15" customHeight="1">
      <c r="B452" s="90"/>
      <c r="C452" s="27" t="s">
        <v>117</v>
      </c>
      <c r="D452" s="26">
        <v>15</v>
      </c>
      <c r="E452" s="25">
        <v>2.254283137962128E-3</v>
      </c>
    </row>
    <row r="453" spans="2:5" ht="15" customHeight="1">
      <c r="B453" s="90"/>
      <c r="C453" s="27" t="s">
        <v>116</v>
      </c>
      <c r="D453" s="26">
        <v>22</v>
      </c>
      <c r="E453" s="25">
        <v>3.3062819356777877E-3</v>
      </c>
    </row>
    <row r="454" spans="2:5" ht="15" customHeight="1">
      <c r="B454" s="90"/>
      <c r="C454" s="27" t="s">
        <v>111</v>
      </c>
      <c r="D454" s="26">
        <v>1</v>
      </c>
      <c r="E454" s="25">
        <v>1.5028554253080853E-4</v>
      </c>
    </row>
    <row r="455" spans="2:5" ht="15" customHeight="1">
      <c r="B455" s="90"/>
      <c r="C455" s="27" t="s">
        <v>110</v>
      </c>
      <c r="D455" s="26">
        <v>3</v>
      </c>
      <c r="E455" s="25">
        <v>4.5085662759242559E-4</v>
      </c>
    </row>
    <row r="456" spans="2:5" ht="15" customHeight="1">
      <c r="B456" s="91"/>
      <c r="C456" s="24" t="s">
        <v>46</v>
      </c>
      <c r="D456" s="23">
        <v>207</v>
      </c>
      <c r="E456" s="22">
        <v>3.1109107303877368E-2</v>
      </c>
    </row>
    <row r="457" spans="2:5" ht="15" customHeight="1">
      <c r="B457" s="89" t="s">
        <v>77</v>
      </c>
      <c r="C457" s="27" t="s">
        <v>128</v>
      </c>
      <c r="D457" s="26">
        <v>1</v>
      </c>
      <c r="E457" s="25">
        <v>1.5028554253080853E-4</v>
      </c>
    </row>
    <row r="458" spans="2:5" ht="15" customHeight="1">
      <c r="B458" s="90"/>
      <c r="C458" s="27" t="s">
        <v>124</v>
      </c>
      <c r="D458" s="26">
        <v>4</v>
      </c>
      <c r="E458" s="25">
        <v>6.0114217012323412E-4</v>
      </c>
    </row>
    <row r="459" spans="2:5" ht="15" customHeight="1">
      <c r="B459" s="90"/>
      <c r="C459" s="27" t="s">
        <v>123</v>
      </c>
      <c r="D459" s="26">
        <v>3</v>
      </c>
      <c r="E459" s="25">
        <v>4.5085662759242559E-4</v>
      </c>
    </row>
    <row r="460" spans="2:5" ht="15" customHeight="1">
      <c r="B460" s="90"/>
      <c r="C460" s="27" t="s">
        <v>121</v>
      </c>
      <c r="D460" s="26">
        <v>2</v>
      </c>
      <c r="E460" s="25">
        <v>3.0057108506161706E-4</v>
      </c>
    </row>
    <row r="461" spans="2:5" ht="15" customHeight="1">
      <c r="B461" s="90"/>
      <c r="C461" s="27" t="s">
        <v>120</v>
      </c>
      <c r="D461" s="26">
        <v>1</v>
      </c>
      <c r="E461" s="25">
        <v>1.5028554253080853E-4</v>
      </c>
    </row>
    <row r="462" spans="2:5" ht="15" customHeight="1">
      <c r="B462" s="90"/>
      <c r="C462" s="27" t="s">
        <v>119</v>
      </c>
      <c r="D462" s="26">
        <v>12</v>
      </c>
      <c r="E462" s="25">
        <v>1.8034265103697023E-3</v>
      </c>
    </row>
    <row r="463" spans="2:5" ht="15" customHeight="1">
      <c r="B463" s="90"/>
      <c r="C463" s="27" t="s">
        <v>118</v>
      </c>
      <c r="D463" s="26">
        <v>4</v>
      </c>
      <c r="E463" s="25">
        <v>6.0114217012323412E-4</v>
      </c>
    </row>
    <row r="464" spans="2:5" ht="15" customHeight="1">
      <c r="B464" s="90"/>
      <c r="C464" s="27" t="s">
        <v>116</v>
      </c>
      <c r="D464" s="26">
        <v>13</v>
      </c>
      <c r="E464" s="25">
        <v>1.953712052900511E-3</v>
      </c>
    </row>
    <row r="465" spans="2:5" ht="15" customHeight="1">
      <c r="B465" s="90"/>
      <c r="C465" s="27" t="s">
        <v>114</v>
      </c>
      <c r="D465" s="26">
        <v>1</v>
      </c>
      <c r="E465" s="25">
        <v>1.5028554253080853E-4</v>
      </c>
    </row>
    <row r="466" spans="2:5" ht="15" customHeight="1">
      <c r="B466" s="90"/>
      <c r="C466" s="27" t="s">
        <v>111</v>
      </c>
      <c r="D466" s="26">
        <v>3</v>
      </c>
      <c r="E466" s="25">
        <v>4.5085662759242559E-4</v>
      </c>
    </row>
    <row r="467" spans="2:5" ht="15" customHeight="1">
      <c r="B467" s="90"/>
      <c r="C467" s="27" t="s">
        <v>110</v>
      </c>
      <c r="D467" s="26">
        <v>1</v>
      </c>
      <c r="E467" s="25">
        <v>1.5028554253080853E-4</v>
      </c>
    </row>
    <row r="468" spans="2:5" ht="15" customHeight="1">
      <c r="B468" s="91"/>
      <c r="C468" s="24" t="s">
        <v>46</v>
      </c>
      <c r="D468" s="23">
        <v>45</v>
      </c>
      <c r="E468" s="22">
        <v>6.762849413886384E-3</v>
      </c>
    </row>
    <row r="469" spans="2:5" ht="15" customHeight="1">
      <c r="B469" s="89" t="s">
        <v>62</v>
      </c>
      <c r="C469" s="27" t="s">
        <v>125</v>
      </c>
      <c r="D469" s="26">
        <v>1</v>
      </c>
      <c r="E469" s="25">
        <v>1.5028554253080853E-4</v>
      </c>
    </row>
    <row r="470" spans="2:5" ht="15" customHeight="1">
      <c r="B470" s="90"/>
      <c r="C470" s="27" t="s">
        <v>124</v>
      </c>
      <c r="D470" s="26">
        <v>5</v>
      </c>
      <c r="E470" s="25">
        <v>7.514277126540427E-4</v>
      </c>
    </row>
    <row r="471" spans="2:5" ht="15" customHeight="1">
      <c r="B471" s="90"/>
      <c r="C471" s="27" t="s">
        <v>123</v>
      </c>
      <c r="D471" s="26">
        <v>10</v>
      </c>
      <c r="E471" s="25">
        <v>1.5028554253080854E-3</v>
      </c>
    </row>
    <row r="472" spans="2:5" ht="15" customHeight="1">
      <c r="B472" s="90"/>
      <c r="C472" s="27" t="s">
        <v>120</v>
      </c>
      <c r="D472" s="26">
        <v>1</v>
      </c>
      <c r="E472" s="25">
        <v>1.5028554253080853E-4</v>
      </c>
    </row>
    <row r="473" spans="2:5" ht="15" customHeight="1">
      <c r="B473" s="90"/>
      <c r="C473" s="27" t="s">
        <v>119</v>
      </c>
      <c r="D473" s="26">
        <v>20</v>
      </c>
      <c r="E473" s="25">
        <v>3.0057108506161708E-3</v>
      </c>
    </row>
    <row r="474" spans="2:5" ht="15" customHeight="1">
      <c r="B474" s="90"/>
      <c r="C474" s="27" t="s">
        <v>116</v>
      </c>
      <c r="D474" s="26">
        <v>14</v>
      </c>
      <c r="E474" s="25">
        <v>2.1039975954313195E-3</v>
      </c>
    </row>
    <row r="475" spans="2:5" ht="15" customHeight="1">
      <c r="B475" s="90"/>
      <c r="C475" s="27" t="s">
        <v>111</v>
      </c>
      <c r="D475" s="26">
        <v>2</v>
      </c>
      <c r="E475" s="25">
        <v>3.0057108506161706E-4</v>
      </c>
    </row>
    <row r="476" spans="2:5" ht="15" customHeight="1">
      <c r="B476" s="90"/>
      <c r="C476" s="27" t="s">
        <v>110</v>
      </c>
      <c r="D476" s="26">
        <v>1</v>
      </c>
      <c r="E476" s="25">
        <v>1.5028554253080853E-4</v>
      </c>
    </row>
    <row r="477" spans="2:5" ht="15" customHeight="1">
      <c r="B477" s="91"/>
      <c r="C477" s="24" t="s">
        <v>46</v>
      </c>
      <c r="D477" s="23">
        <v>54</v>
      </c>
      <c r="E477" s="22">
        <v>8.1154192966636611E-3</v>
      </c>
    </row>
    <row r="478" spans="2:5" ht="15" customHeight="1">
      <c r="B478" s="89" t="s">
        <v>64</v>
      </c>
      <c r="C478" s="27" t="s">
        <v>127</v>
      </c>
      <c r="D478" s="26">
        <v>3</v>
      </c>
      <c r="E478" s="25">
        <v>4.5085662759242559E-4</v>
      </c>
    </row>
    <row r="479" spans="2:5" ht="15" customHeight="1">
      <c r="B479" s="90"/>
      <c r="C479" s="27" t="s">
        <v>126</v>
      </c>
      <c r="D479" s="26">
        <v>1</v>
      </c>
      <c r="E479" s="25">
        <v>1.5028554253080853E-4</v>
      </c>
    </row>
    <row r="480" spans="2:5" ht="15" customHeight="1">
      <c r="B480" s="90"/>
      <c r="C480" s="27" t="s">
        <v>125</v>
      </c>
      <c r="D480" s="26">
        <v>1</v>
      </c>
      <c r="E480" s="25">
        <v>1.5028554253080853E-4</v>
      </c>
    </row>
    <row r="481" spans="2:5" ht="15" customHeight="1">
      <c r="B481" s="90"/>
      <c r="C481" s="27" t="s">
        <v>124</v>
      </c>
      <c r="D481" s="26">
        <v>10</v>
      </c>
      <c r="E481" s="25">
        <v>1.5028554253080854E-3</v>
      </c>
    </row>
    <row r="482" spans="2:5" ht="15" customHeight="1">
      <c r="B482" s="90"/>
      <c r="C482" s="27" t="s">
        <v>123</v>
      </c>
      <c r="D482" s="26">
        <v>15</v>
      </c>
      <c r="E482" s="25">
        <v>2.254283137962128E-3</v>
      </c>
    </row>
    <row r="483" spans="2:5" ht="15" customHeight="1">
      <c r="B483" s="90"/>
      <c r="C483" s="27" t="s">
        <v>122</v>
      </c>
      <c r="D483" s="26">
        <v>1</v>
      </c>
      <c r="E483" s="25">
        <v>1.5028554253080853E-4</v>
      </c>
    </row>
    <row r="484" spans="2:5" ht="15" customHeight="1">
      <c r="B484" s="90"/>
      <c r="C484" s="27" t="s">
        <v>120</v>
      </c>
      <c r="D484" s="26">
        <v>5</v>
      </c>
      <c r="E484" s="25">
        <v>7.514277126540427E-4</v>
      </c>
    </row>
    <row r="485" spans="2:5" ht="15" customHeight="1">
      <c r="B485" s="90"/>
      <c r="C485" s="27" t="s">
        <v>119</v>
      </c>
      <c r="D485" s="26">
        <v>51</v>
      </c>
      <c r="E485" s="25">
        <v>7.6645626690712357E-3</v>
      </c>
    </row>
    <row r="486" spans="2:5" ht="15" customHeight="1">
      <c r="B486" s="90"/>
      <c r="C486" s="27" t="s">
        <v>118</v>
      </c>
      <c r="D486" s="26">
        <v>4</v>
      </c>
      <c r="E486" s="25">
        <v>6.0114217012323412E-4</v>
      </c>
    </row>
    <row r="487" spans="2:5" ht="15" customHeight="1">
      <c r="B487" s="90"/>
      <c r="C487" s="27" t="s">
        <v>117</v>
      </c>
      <c r="D487" s="26">
        <v>7</v>
      </c>
      <c r="E487" s="25">
        <v>1.0519987977156598E-3</v>
      </c>
    </row>
    <row r="488" spans="2:5" ht="15" customHeight="1">
      <c r="B488" s="90"/>
      <c r="C488" s="27" t="s">
        <v>116</v>
      </c>
      <c r="D488" s="26">
        <v>26</v>
      </c>
      <c r="E488" s="25">
        <v>3.9074241058010221E-3</v>
      </c>
    </row>
    <row r="489" spans="2:5" ht="15" customHeight="1">
      <c r="B489" s="90"/>
      <c r="C489" s="27" t="s">
        <v>111</v>
      </c>
      <c r="D489" s="26">
        <v>2</v>
      </c>
      <c r="E489" s="25">
        <v>3.0057108506161706E-4</v>
      </c>
    </row>
    <row r="490" spans="2:5" ht="15" customHeight="1">
      <c r="B490" s="90"/>
      <c r="C490" s="27" t="s">
        <v>110</v>
      </c>
      <c r="D490" s="26">
        <v>4</v>
      </c>
      <c r="E490" s="25">
        <v>6.0114217012323412E-4</v>
      </c>
    </row>
    <row r="491" spans="2:5" ht="15" customHeight="1">
      <c r="B491" s="91"/>
      <c r="C491" s="24" t="s">
        <v>46</v>
      </c>
      <c r="D491" s="23">
        <v>130</v>
      </c>
      <c r="E491" s="22">
        <v>1.9537120529005109E-2</v>
      </c>
    </row>
    <row r="492" spans="2:5" ht="15" customHeight="1">
      <c r="B492" s="89" t="s">
        <v>72</v>
      </c>
      <c r="C492" s="27" t="s">
        <v>128</v>
      </c>
      <c r="D492" s="26">
        <v>2</v>
      </c>
      <c r="E492" s="25">
        <v>3.0057108506161706E-4</v>
      </c>
    </row>
    <row r="493" spans="2:5" ht="15" customHeight="1">
      <c r="B493" s="90"/>
      <c r="C493" s="27" t="s">
        <v>127</v>
      </c>
      <c r="D493" s="26">
        <v>1</v>
      </c>
      <c r="E493" s="25">
        <v>1.5028554253080853E-4</v>
      </c>
    </row>
    <row r="494" spans="2:5" ht="15" customHeight="1">
      <c r="B494" s="90"/>
      <c r="C494" s="27" t="s">
        <v>125</v>
      </c>
      <c r="D494" s="26">
        <v>1</v>
      </c>
      <c r="E494" s="25">
        <v>1.5028554253080853E-4</v>
      </c>
    </row>
    <row r="495" spans="2:5" ht="15" customHeight="1">
      <c r="B495" s="90"/>
      <c r="C495" s="27" t="s">
        <v>124</v>
      </c>
      <c r="D495" s="26">
        <v>11</v>
      </c>
      <c r="E495" s="25">
        <v>1.6531409678388939E-3</v>
      </c>
    </row>
    <row r="496" spans="2:5" ht="15" customHeight="1">
      <c r="B496" s="90"/>
      <c r="C496" s="27" t="s">
        <v>123</v>
      </c>
      <c r="D496" s="26">
        <v>10</v>
      </c>
      <c r="E496" s="25">
        <v>1.5028554253080854E-3</v>
      </c>
    </row>
    <row r="497" spans="2:5" ht="15" customHeight="1">
      <c r="B497" s="90"/>
      <c r="C497" s="27" t="s">
        <v>122</v>
      </c>
      <c r="D497" s="26">
        <v>2</v>
      </c>
      <c r="E497" s="25">
        <v>3.0057108506161706E-4</v>
      </c>
    </row>
    <row r="498" spans="2:5" ht="15" customHeight="1">
      <c r="B498" s="90"/>
      <c r="C498" s="27" t="s">
        <v>121</v>
      </c>
      <c r="D498" s="26">
        <v>1</v>
      </c>
      <c r="E498" s="25">
        <v>1.5028554253080853E-4</v>
      </c>
    </row>
    <row r="499" spans="2:5" ht="15" customHeight="1">
      <c r="B499" s="90"/>
      <c r="C499" s="27" t="s">
        <v>120</v>
      </c>
      <c r="D499" s="26">
        <v>9</v>
      </c>
      <c r="E499" s="25">
        <v>1.3525698827772769E-3</v>
      </c>
    </row>
    <row r="500" spans="2:5" ht="15" customHeight="1">
      <c r="B500" s="90"/>
      <c r="C500" s="27" t="s">
        <v>119</v>
      </c>
      <c r="D500" s="26">
        <v>26</v>
      </c>
      <c r="E500" s="25">
        <v>3.9074241058010221E-3</v>
      </c>
    </row>
    <row r="501" spans="2:5" ht="15" customHeight="1">
      <c r="B501" s="90"/>
      <c r="C501" s="27" t="s">
        <v>117</v>
      </c>
      <c r="D501" s="26">
        <v>5</v>
      </c>
      <c r="E501" s="25">
        <v>7.514277126540427E-4</v>
      </c>
    </row>
    <row r="502" spans="2:5" ht="15" customHeight="1">
      <c r="B502" s="90"/>
      <c r="C502" s="27" t="s">
        <v>116</v>
      </c>
      <c r="D502" s="26">
        <v>14</v>
      </c>
      <c r="E502" s="25">
        <v>2.1039975954313195E-3</v>
      </c>
    </row>
    <row r="503" spans="2:5" ht="15" customHeight="1">
      <c r="B503" s="90"/>
      <c r="C503" s="27" t="s">
        <v>114</v>
      </c>
      <c r="D503" s="26">
        <v>1</v>
      </c>
      <c r="E503" s="25">
        <v>1.5028554253080853E-4</v>
      </c>
    </row>
    <row r="504" spans="2:5" ht="15" customHeight="1">
      <c r="B504" s="90"/>
      <c r="C504" s="27" t="s">
        <v>111</v>
      </c>
      <c r="D504" s="26">
        <v>2</v>
      </c>
      <c r="E504" s="25">
        <v>3.0057108506161706E-4</v>
      </c>
    </row>
    <row r="505" spans="2:5" ht="15" customHeight="1">
      <c r="B505" s="90"/>
      <c r="C505" s="27" t="s">
        <v>110</v>
      </c>
      <c r="D505" s="26">
        <v>7</v>
      </c>
      <c r="E505" s="25">
        <v>1.0519987977156598E-3</v>
      </c>
    </row>
    <row r="506" spans="2:5" ht="15" customHeight="1">
      <c r="B506" s="91"/>
      <c r="C506" s="24" t="s">
        <v>46</v>
      </c>
      <c r="D506" s="23">
        <v>92</v>
      </c>
      <c r="E506" s="22">
        <v>1.3826269912834385E-2</v>
      </c>
    </row>
    <row r="507" spans="2:5" ht="15" customHeight="1">
      <c r="B507" s="89" t="s">
        <v>84</v>
      </c>
      <c r="C507" s="27" t="s">
        <v>130</v>
      </c>
      <c r="D507" s="26">
        <v>1</v>
      </c>
      <c r="E507" s="25">
        <v>1.5028554253080853E-4</v>
      </c>
    </row>
    <row r="508" spans="2:5" ht="15" customHeight="1">
      <c r="B508" s="90"/>
      <c r="C508" s="27" t="s">
        <v>129</v>
      </c>
      <c r="D508" s="26">
        <v>1</v>
      </c>
      <c r="E508" s="25">
        <v>1.5028554253080853E-4</v>
      </c>
    </row>
    <row r="509" spans="2:5" ht="15" customHeight="1">
      <c r="B509" s="90"/>
      <c r="C509" s="27" t="s">
        <v>128</v>
      </c>
      <c r="D509" s="26">
        <v>1</v>
      </c>
      <c r="E509" s="25">
        <v>1.5028554253080853E-4</v>
      </c>
    </row>
    <row r="510" spans="2:5" ht="15" customHeight="1">
      <c r="B510" s="90"/>
      <c r="C510" s="27" t="s">
        <v>127</v>
      </c>
      <c r="D510" s="26">
        <v>4</v>
      </c>
      <c r="E510" s="25">
        <v>6.0114217012323412E-4</v>
      </c>
    </row>
    <row r="511" spans="2:5" ht="15" customHeight="1">
      <c r="B511" s="90"/>
      <c r="C511" s="27" t="s">
        <v>126</v>
      </c>
      <c r="D511" s="26">
        <v>2</v>
      </c>
      <c r="E511" s="25">
        <v>3.0057108506161706E-4</v>
      </c>
    </row>
    <row r="512" spans="2:5" ht="15" customHeight="1">
      <c r="B512" s="90"/>
      <c r="C512" s="27" t="s">
        <v>125</v>
      </c>
      <c r="D512" s="26">
        <v>3</v>
      </c>
      <c r="E512" s="25">
        <v>4.5085662759242559E-4</v>
      </c>
    </row>
    <row r="513" spans="2:5" ht="15" customHeight="1">
      <c r="B513" s="90"/>
      <c r="C513" s="27" t="s">
        <v>124</v>
      </c>
      <c r="D513" s="26">
        <v>27</v>
      </c>
      <c r="E513" s="25">
        <v>4.0577096483318306E-3</v>
      </c>
    </row>
    <row r="514" spans="2:5" ht="15" customHeight="1">
      <c r="B514" s="90"/>
      <c r="C514" s="27" t="s">
        <v>123</v>
      </c>
      <c r="D514" s="26">
        <v>17</v>
      </c>
      <c r="E514" s="25">
        <v>2.5548542230237449E-3</v>
      </c>
    </row>
    <row r="515" spans="2:5" ht="15" customHeight="1">
      <c r="B515" s="90"/>
      <c r="C515" s="27" t="s">
        <v>121</v>
      </c>
      <c r="D515" s="26">
        <v>5</v>
      </c>
      <c r="E515" s="25">
        <v>7.514277126540427E-4</v>
      </c>
    </row>
    <row r="516" spans="2:5" ht="15" customHeight="1">
      <c r="B516" s="90"/>
      <c r="C516" s="27" t="s">
        <v>120</v>
      </c>
      <c r="D516" s="26">
        <v>8</v>
      </c>
      <c r="E516" s="25">
        <v>1.2022843402464682E-3</v>
      </c>
    </row>
    <row r="517" spans="2:5" ht="15" customHeight="1">
      <c r="B517" s="90"/>
      <c r="C517" s="27" t="s">
        <v>119</v>
      </c>
      <c r="D517" s="26">
        <v>52</v>
      </c>
      <c r="E517" s="25">
        <v>7.8148482116020442E-3</v>
      </c>
    </row>
    <row r="518" spans="2:5" ht="15" customHeight="1">
      <c r="B518" s="90"/>
      <c r="C518" s="27" t="s">
        <v>118</v>
      </c>
      <c r="D518" s="26">
        <v>4</v>
      </c>
      <c r="E518" s="25">
        <v>6.0114217012323412E-4</v>
      </c>
    </row>
    <row r="519" spans="2:5" ht="15" customHeight="1">
      <c r="B519" s="90"/>
      <c r="C519" s="27" t="s">
        <v>117</v>
      </c>
      <c r="D519" s="26">
        <v>11</v>
      </c>
      <c r="E519" s="25">
        <v>1.6531409678388939E-3</v>
      </c>
    </row>
    <row r="520" spans="2:5" ht="15" customHeight="1">
      <c r="B520" s="90"/>
      <c r="C520" s="27" t="s">
        <v>116</v>
      </c>
      <c r="D520" s="26">
        <v>38</v>
      </c>
      <c r="E520" s="25">
        <v>5.7108506161707246E-3</v>
      </c>
    </row>
    <row r="521" spans="2:5" ht="15" customHeight="1">
      <c r="B521" s="90"/>
      <c r="C521" s="27" t="s">
        <v>114</v>
      </c>
      <c r="D521" s="26">
        <v>1</v>
      </c>
      <c r="E521" s="25">
        <v>1.5028554253080853E-4</v>
      </c>
    </row>
    <row r="522" spans="2:5" ht="15" customHeight="1">
      <c r="B522" s="90"/>
      <c r="C522" s="27" t="s">
        <v>113</v>
      </c>
      <c r="D522" s="26">
        <v>1</v>
      </c>
      <c r="E522" s="25">
        <v>1.5028554253080853E-4</v>
      </c>
    </row>
    <row r="523" spans="2:5" ht="15" customHeight="1">
      <c r="B523" s="90"/>
      <c r="C523" s="27" t="s">
        <v>111</v>
      </c>
      <c r="D523" s="26">
        <v>5</v>
      </c>
      <c r="E523" s="25">
        <v>7.514277126540427E-4</v>
      </c>
    </row>
    <row r="524" spans="2:5" ht="15" customHeight="1">
      <c r="B524" s="90"/>
      <c r="C524" s="27" t="s">
        <v>110</v>
      </c>
      <c r="D524" s="26">
        <v>4</v>
      </c>
      <c r="E524" s="25">
        <v>6.0114217012323412E-4</v>
      </c>
    </row>
    <row r="525" spans="2:5" ht="15" customHeight="1">
      <c r="B525" s="90"/>
      <c r="C525" s="27" t="s">
        <v>108</v>
      </c>
      <c r="D525" s="26">
        <v>1</v>
      </c>
      <c r="E525" s="25">
        <v>1.5028554253080853E-4</v>
      </c>
    </row>
    <row r="526" spans="2:5" ht="15" customHeight="1">
      <c r="B526" s="91"/>
      <c r="C526" s="24" t="s">
        <v>46</v>
      </c>
      <c r="D526" s="23">
        <v>186</v>
      </c>
      <c r="E526" s="22">
        <v>2.7953110910730387E-2</v>
      </c>
    </row>
    <row r="527" spans="2:5" ht="15" customHeight="1">
      <c r="B527" s="89" t="s">
        <v>68</v>
      </c>
      <c r="C527" s="27" t="s">
        <v>127</v>
      </c>
      <c r="D527" s="26">
        <v>1</v>
      </c>
      <c r="E527" s="25">
        <v>1.5028554253080853E-4</v>
      </c>
    </row>
    <row r="528" spans="2:5" ht="15" customHeight="1">
      <c r="B528" s="90"/>
      <c r="C528" s="27" t="s">
        <v>126</v>
      </c>
      <c r="D528" s="26">
        <v>1</v>
      </c>
      <c r="E528" s="25">
        <v>1.5028554253080853E-4</v>
      </c>
    </row>
    <row r="529" spans="2:5" ht="15" customHeight="1">
      <c r="B529" s="90"/>
      <c r="C529" s="27" t="s">
        <v>123</v>
      </c>
      <c r="D529" s="26">
        <v>5</v>
      </c>
      <c r="E529" s="25">
        <v>7.514277126540427E-4</v>
      </c>
    </row>
    <row r="530" spans="2:5" ht="15" customHeight="1">
      <c r="B530" s="90"/>
      <c r="C530" s="27" t="s">
        <v>122</v>
      </c>
      <c r="D530" s="26">
        <v>1</v>
      </c>
      <c r="E530" s="25">
        <v>1.5028554253080853E-4</v>
      </c>
    </row>
    <row r="531" spans="2:5" ht="15" customHeight="1">
      <c r="B531" s="90"/>
      <c r="C531" s="27" t="s">
        <v>121</v>
      </c>
      <c r="D531" s="26">
        <v>1</v>
      </c>
      <c r="E531" s="25">
        <v>1.5028554253080853E-4</v>
      </c>
    </row>
    <row r="532" spans="2:5" ht="15" customHeight="1">
      <c r="B532" s="90"/>
      <c r="C532" s="27" t="s">
        <v>119</v>
      </c>
      <c r="D532" s="26">
        <v>17</v>
      </c>
      <c r="E532" s="25">
        <v>2.5548542230237449E-3</v>
      </c>
    </row>
    <row r="533" spans="2:5" ht="15" customHeight="1">
      <c r="B533" s="90"/>
      <c r="C533" s="27" t="s">
        <v>117</v>
      </c>
      <c r="D533" s="26">
        <v>4</v>
      </c>
      <c r="E533" s="25">
        <v>6.0114217012323412E-4</v>
      </c>
    </row>
    <row r="534" spans="2:5" ht="15" customHeight="1">
      <c r="B534" s="90"/>
      <c r="C534" s="27" t="s">
        <v>116</v>
      </c>
      <c r="D534" s="26">
        <v>4</v>
      </c>
      <c r="E534" s="25">
        <v>6.0114217012323412E-4</v>
      </c>
    </row>
    <row r="535" spans="2:5" ht="15" customHeight="1">
      <c r="B535" s="91"/>
      <c r="C535" s="24" t="s">
        <v>46</v>
      </c>
      <c r="D535" s="23">
        <v>34</v>
      </c>
      <c r="E535" s="22">
        <v>5.1097084460474899E-3</v>
      </c>
    </row>
    <row r="536" spans="2:5" ht="15" customHeight="1">
      <c r="B536" s="89" t="s">
        <v>81</v>
      </c>
      <c r="C536" s="27" t="s">
        <v>124</v>
      </c>
      <c r="D536" s="26">
        <v>7</v>
      </c>
      <c r="E536" s="25">
        <v>1.0519987977156598E-3</v>
      </c>
    </row>
    <row r="537" spans="2:5" ht="15" customHeight="1">
      <c r="B537" s="90"/>
      <c r="C537" s="27" t="s">
        <v>123</v>
      </c>
      <c r="D537" s="26">
        <v>8</v>
      </c>
      <c r="E537" s="25">
        <v>1.2022843402464682E-3</v>
      </c>
    </row>
    <row r="538" spans="2:5" ht="15" customHeight="1">
      <c r="B538" s="90"/>
      <c r="C538" s="27" t="s">
        <v>122</v>
      </c>
      <c r="D538" s="26">
        <v>1</v>
      </c>
      <c r="E538" s="25">
        <v>1.5028554253080853E-4</v>
      </c>
    </row>
    <row r="539" spans="2:5" ht="15" customHeight="1">
      <c r="B539" s="90"/>
      <c r="C539" s="27" t="s">
        <v>121</v>
      </c>
      <c r="D539" s="26">
        <v>2</v>
      </c>
      <c r="E539" s="25">
        <v>3.0057108506161706E-4</v>
      </c>
    </row>
    <row r="540" spans="2:5" ht="15" customHeight="1">
      <c r="B540" s="90"/>
      <c r="C540" s="27" t="s">
        <v>120</v>
      </c>
      <c r="D540" s="26">
        <v>7</v>
      </c>
      <c r="E540" s="25">
        <v>1.0519987977156598E-3</v>
      </c>
    </row>
    <row r="541" spans="2:5" ht="15" customHeight="1">
      <c r="B541" s="90"/>
      <c r="C541" s="27" t="s">
        <v>119</v>
      </c>
      <c r="D541" s="26">
        <v>24</v>
      </c>
      <c r="E541" s="25">
        <v>3.6068530207394047E-3</v>
      </c>
    </row>
    <row r="542" spans="2:5" ht="15" customHeight="1">
      <c r="B542" s="90"/>
      <c r="C542" s="27" t="s">
        <v>118</v>
      </c>
      <c r="D542" s="26">
        <v>1</v>
      </c>
      <c r="E542" s="25">
        <v>1.5028554253080853E-4</v>
      </c>
    </row>
    <row r="543" spans="2:5" ht="15" customHeight="1">
      <c r="B543" s="90"/>
      <c r="C543" s="27" t="s">
        <v>117</v>
      </c>
      <c r="D543" s="26">
        <v>1</v>
      </c>
      <c r="E543" s="25">
        <v>1.5028554253080853E-4</v>
      </c>
    </row>
    <row r="544" spans="2:5" ht="15" customHeight="1">
      <c r="B544" s="90"/>
      <c r="C544" s="27" t="s">
        <v>116</v>
      </c>
      <c r="D544" s="26">
        <v>13</v>
      </c>
      <c r="E544" s="25">
        <v>1.953712052900511E-3</v>
      </c>
    </row>
    <row r="545" spans="2:5" ht="15" customHeight="1">
      <c r="B545" s="90"/>
      <c r="C545" s="27" t="s">
        <v>111</v>
      </c>
      <c r="D545" s="26">
        <v>2</v>
      </c>
      <c r="E545" s="25">
        <v>3.0057108506161706E-4</v>
      </c>
    </row>
    <row r="546" spans="2:5" ht="15" customHeight="1">
      <c r="B546" s="90"/>
      <c r="C546" s="27" t="s">
        <v>110</v>
      </c>
      <c r="D546" s="26">
        <v>3</v>
      </c>
      <c r="E546" s="25">
        <v>4.5085662759242559E-4</v>
      </c>
    </row>
    <row r="547" spans="2:5" ht="15" customHeight="1">
      <c r="B547" s="90"/>
      <c r="C547" s="27" t="s">
        <v>135</v>
      </c>
      <c r="D547" s="26">
        <v>1</v>
      </c>
      <c r="E547" s="25">
        <v>1.5028554253080853E-4</v>
      </c>
    </row>
    <row r="548" spans="2:5" ht="15" customHeight="1">
      <c r="B548" s="91"/>
      <c r="C548" s="24" t="s">
        <v>46</v>
      </c>
      <c r="D548" s="23">
        <v>70</v>
      </c>
      <c r="E548" s="22">
        <v>1.0519987977156597E-2</v>
      </c>
    </row>
    <row r="549" spans="2:5" ht="15" customHeight="1">
      <c r="B549" s="89" t="s">
        <v>134</v>
      </c>
      <c r="C549" s="27" t="s">
        <v>130</v>
      </c>
      <c r="D549" s="26">
        <v>1</v>
      </c>
      <c r="E549" s="25">
        <v>1.5028554253080853E-4</v>
      </c>
    </row>
    <row r="550" spans="2:5" ht="15" customHeight="1">
      <c r="B550" s="90"/>
      <c r="C550" s="27" t="s">
        <v>126</v>
      </c>
      <c r="D550" s="26">
        <v>1</v>
      </c>
      <c r="E550" s="25">
        <v>1.5028554253080853E-4</v>
      </c>
    </row>
    <row r="551" spans="2:5" ht="15" customHeight="1">
      <c r="B551" s="90"/>
      <c r="C551" s="27" t="s">
        <v>125</v>
      </c>
      <c r="D551" s="26">
        <v>2</v>
      </c>
      <c r="E551" s="25">
        <v>3.0057108506161706E-4</v>
      </c>
    </row>
    <row r="552" spans="2:5" ht="15" customHeight="1">
      <c r="B552" s="90"/>
      <c r="C552" s="27" t="s">
        <v>124</v>
      </c>
      <c r="D552" s="26">
        <v>7</v>
      </c>
      <c r="E552" s="25">
        <v>1.0519987977156598E-3</v>
      </c>
    </row>
    <row r="553" spans="2:5" ht="15" customHeight="1">
      <c r="B553" s="90"/>
      <c r="C553" s="27" t="s">
        <v>123</v>
      </c>
      <c r="D553" s="26">
        <v>5</v>
      </c>
      <c r="E553" s="25">
        <v>7.514277126540427E-4</v>
      </c>
    </row>
    <row r="554" spans="2:5" ht="15" customHeight="1">
      <c r="B554" s="90"/>
      <c r="C554" s="27" t="s">
        <v>122</v>
      </c>
      <c r="D554" s="26">
        <v>1</v>
      </c>
      <c r="E554" s="25">
        <v>1.5028554253080853E-4</v>
      </c>
    </row>
    <row r="555" spans="2:5" ht="15" customHeight="1">
      <c r="B555" s="90"/>
      <c r="C555" s="27" t="s">
        <v>121</v>
      </c>
      <c r="D555" s="26">
        <v>2</v>
      </c>
      <c r="E555" s="25">
        <v>3.0057108506161706E-4</v>
      </c>
    </row>
    <row r="556" spans="2:5" ht="15" customHeight="1">
      <c r="B556" s="90"/>
      <c r="C556" s="27" t="s">
        <v>120</v>
      </c>
      <c r="D556" s="26">
        <v>1</v>
      </c>
      <c r="E556" s="25">
        <v>1.5028554253080853E-4</v>
      </c>
    </row>
    <row r="557" spans="2:5" ht="15" customHeight="1">
      <c r="B557" s="90"/>
      <c r="C557" s="27" t="s">
        <v>119</v>
      </c>
      <c r="D557" s="26">
        <v>15</v>
      </c>
      <c r="E557" s="25">
        <v>2.254283137962128E-3</v>
      </c>
    </row>
    <row r="558" spans="2:5" ht="15" customHeight="1">
      <c r="B558" s="90"/>
      <c r="C558" s="27" t="s">
        <v>118</v>
      </c>
      <c r="D558" s="26">
        <v>3</v>
      </c>
      <c r="E558" s="25">
        <v>4.5085662759242559E-4</v>
      </c>
    </row>
    <row r="559" spans="2:5" ht="15" customHeight="1">
      <c r="B559" s="90"/>
      <c r="C559" s="27" t="s">
        <v>117</v>
      </c>
      <c r="D559" s="26">
        <v>3</v>
      </c>
      <c r="E559" s="25">
        <v>4.5085662759242559E-4</v>
      </c>
    </row>
    <row r="560" spans="2:5" ht="15" customHeight="1">
      <c r="B560" s="90"/>
      <c r="C560" s="27" t="s">
        <v>116</v>
      </c>
      <c r="D560" s="26">
        <v>13</v>
      </c>
      <c r="E560" s="25">
        <v>1.953712052900511E-3</v>
      </c>
    </row>
    <row r="561" spans="2:5" ht="15" customHeight="1">
      <c r="B561" s="90"/>
      <c r="C561" s="27" t="s">
        <v>108</v>
      </c>
      <c r="D561" s="26">
        <v>1</v>
      </c>
      <c r="E561" s="25">
        <v>1.5028554253080853E-4</v>
      </c>
    </row>
    <row r="562" spans="2:5" ht="15" customHeight="1">
      <c r="B562" s="91"/>
      <c r="C562" s="24" t="s">
        <v>46</v>
      </c>
      <c r="D562" s="23">
        <v>55</v>
      </c>
      <c r="E562" s="22">
        <v>8.2657048391944696E-3</v>
      </c>
    </row>
    <row r="563" spans="2:5" ht="15" customHeight="1">
      <c r="B563" s="89" t="s">
        <v>83</v>
      </c>
      <c r="C563" s="27" t="s">
        <v>130</v>
      </c>
      <c r="D563" s="26">
        <v>1</v>
      </c>
      <c r="E563" s="25">
        <v>1.5028554253080853E-4</v>
      </c>
    </row>
    <row r="564" spans="2:5" ht="15" customHeight="1">
      <c r="B564" s="90"/>
      <c r="C564" s="27" t="s">
        <v>128</v>
      </c>
      <c r="D564" s="26">
        <v>1</v>
      </c>
      <c r="E564" s="25">
        <v>1.5028554253080853E-4</v>
      </c>
    </row>
    <row r="565" spans="2:5" ht="15" customHeight="1">
      <c r="B565" s="90"/>
      <c r="C565" s="27" t="s">
        <v>127</v>
      </c>
      <c r="D565" s="26">
        <v>5</v>
      </c>
      <c r="E565" s="25">
        <v>7.514277126540427E-4</v>
      </c>
    </row>
    <row r="566" spans="2:5" ht="15" customHeight="1">
      <c r="B566" s="90"/>
      <c r="C566" s="27" t="s">
        <v>126</v>
      </c>
      <c r="D566" s="26">
        <v>1</v>
      </c>
      <c r="E566" s="25">
        <v>1.5028554253080853E-4</v>
      </c>
    </row>
    <row r="567" spans="2:5" ht="15" customHeight="1">
      <c r="B567" s="90"/>
      <c r="C567" s="27" t="s">
        <v>125</v>
      </c>
      <c r="D567" s="26">
        <v>2</v>
      </c>
      <c r="E567" s="25">
        <v>3.0057108506161706E-4</v>
      </c>
    </row>
    <row r="568" spans="2:5" ht="15" customHeight="1">
      <c r="B568" s="90"/>
      <c r="C568" s="27" t="s">
        <v>124</v>
      </c>
      <c r="D568" s="26">
        <v>6</v>
      </c>
      <c r="E568" s="25">
        <v>9.0171325518485117E-4</v>
      </c>
    </row>
    <row r="569" spans="2:5" ht="15" customHeight="1">
      <c r="B569" s="90"/>
      <c r="C569" s="27" t="s">
        <v>123</v>
      </c>
      <c r="D569" s="26">
        <v>15</v>
      </c>
      <c r="E569" s="25">
        <v>2.254283137962128E-3</v>
      </c>
    </row>
    <row r="570" spans="2:5" ht="15" customHeight="1">
      <c r="B570" s="90"/>
      <c r="C570" s="27" t="s">
        <v>122</v>
      </c>
      <c r="D570" s="26">
        <v>1</v>
      </c>
      <c r="E570" s="25">
        <v>1.5028554253080853E-4</v>
      </c>
    </row>
    <row r="571" spans="2:5" ht="15" customHeight="1">
      <c r="B571" s="90"/>
      <c r="C571" s="27" t="s">
        <v>121</v>
      </c>
      <c r="D571" s="26">
        <v>1</v>
      </c>
      <c r="E571" s="25">
        <v>1.5028554253080853E-4</v>
      </c>
    </row>
    <row r="572" spans="2:5" ht="15" customHeight="1">
      <c r="B572" s="90"/>
      <c r="C572" s="27" t="s">
        <v>120</v>
      </c>
      <c r="D572" s="26">
        <v>3</v>
      </c>
      <c r="E572" s="25">
        <v>4.5085662759242559E-4</v>
      </c>
    </row>
    <row r="573" spans="2:5" ht="15" customHeight="1">
      <c r="B573" s="90"/>
      <c r="C573" s="27" t="s">
        <v>119</v>
      </c>
      <c r="D573" s="26">
        <v>35</v>
      </c>
      <c r="E573" s="25">
        <v>5.2599939885782983E-3</v>
      </c>
    </row>
    <row r="574" spans="2:5" ht="15" customHeight="1">
      <c r="B574" s="90"/>
      <c r="C574" s="27" t="s">
        <v>117</v>
      </c>
      <c r="D574" s="26">
        <v>10</v>
      </c>
      <c r="E574" s="25">
        <v>1.5028554253080854E-3</v>
      </c>
    </row>
    <row r="575" spans="2:5" ht="15" customHeight="1">
      <c r="B575" s="90"/>
      <c r="C575" s="27" t="s">
        <v>116</v>
      </c>
      <c r="D575" s="26">
        <v>17</v>
      </c>
      <c r="E575" s="25">
        <v>2.5548542230237449E-3</v>
      </c>
    </row>
    <row r="576" spans="2:5" ht="15" customHeight="1">
      <c r="B576" s="90"/>
      <c r="C576" s="27" t="s">
        <v>114</v>
      </c>
      <c r="D576" s="26">
        <v>1</v>
      </c>
      <c r="E576" s="25">
        <v>1.5028554253080853E-4</v>
      </c>
    </row>
    <row r="577" spans="2:5" ht="15" customHeight="1">
      <c r="B577" s="90"/>
      <c r="C577" s="27" t="s">
        <v>113</v>
      </c>
      <c r="D577" s="26">
        <v>2</v>
      </c>
      <c r="E577" s="25">
        <v>3.0057108506161706E-4</v>
      </c>
    </row>
    <row r="578" spans="2:5" ht="15" customHeight="1">
      <c r="B578" s="90"/>
      <c r="C578" s="27" t="s">
        <v>110</v>
      </c>
      <c r="D578" s="26">
        <v>2</v>
      </c>
      <c r="E578" s="25">
        <v>3.0057108506161706E-4</v>
      </c>
    </row>
    <row r="579" spans="2:5" ht="15" customHeight="1">
      <c r="B579" s="91"/>
      <c r="C579" s="24" t="s">
        <v>46</v>
      </c>
      <c r="D579" s="23">
        <v>103</v>
      </c>
      <c r="E579" s="22">
        <v>1.547941088067328E-2</v>
      </c>
    </row>
    <row r="580" spans="2:5" ht="15" customHeight="1">
      <c r="B580" s="89" t="s">
        <v>61</v>
      </c>
      <c r="C580" s="27" t="s">
        <v>126</v>
      </c>
      <c r="D580" s="26">
        <v>1</v>
      </c>
      <c r="E580" s="25">
        <v>1.5028554253080853E-4</v>
      </c>
    </row>
    <row r="581" spans="2:5" ht="15" customHeight="1">
      <c r="B581" s="90"/>
      <c r="C581" s="27" t="s">
        <v>125</v>
      </c>
      <c r="D581" s="26">
        <v>1</v>
      </c>
      <c r="E581" s="25">
        <v>1.5028554253080853E-4</v>
      </c>
    </row>
    <row r="582" spans="2:5" ht="15" customHeight="1">
      <c r="B582" s="90"/>
      <c r="C582" s="27" t="s">
        <v>124</v>
      </c>
      <c r="D582" s="26">
        <v>1</v>
      </c>
      <c r="E582" s="25">
        <v>1.5028554253080853E-4</v>
      </c>
    </row>
    <row r="583" spans="2:5" ht="15" customHeight="1">
      <c r="B583" s="90"/>
      <c r="C583" s="27" t="s">
        <v>123</v>
      </c>
      <c r="D583" s="26">
        <v>4</v>
      </c>
      <c r="E583" s="25">
        <v>6.0114217012323412E-4</v>
      </c>
    </row>
    <row r="584" spans="2:5" ht="15" customHeight="1">
      <c r="B584" s="90"/>
      <c r="C584" s="27" t="s">
        <v>121</v>
      </c>
      <c r="D584" s="26">
        <v>1</v>
      </c>
      <c r="E584" s="25">
        <v>1.5028554253080853E-4</v>
      </c>
    </row>
    <row r="585" spans="2:5" ht="15" customHeight="1">
      <c r="B585" s="90"/>
      <c r="C585" s="27" t="s">
        <v>120</v>
      </c>
      <c r="D585" s="26">
        <v>3</v>
      </c>
      <c r="E585" s="25">
        <v>4.5085662759242559E-4</v>
      </c>
    </row>
    <row r="586" spans="2:5" ht="15" customHeight="1">
      <c r="B586" s="90"/>
      <c r="C586" s="27" t="s">
        <v>119</v>
      </c>
      <c r="D586" s="26">
        <v>27</v>
      </c>
      <c r="E586" s="25">
        <v>4.0577096483318306E-3</v>
      </c>
    </row>
    <row r="587" spans="2:5" ht="15" customHeight="1">
      <c r="B587" s="90"/>
      <c r="C587" s="27" t="s">
        <v>118</v>
      </c>
      <c r="D587" s="26">
        <v>2</v>
      </c>
      <c r="E587" s="25">
        <v>3.0057108506161706E-4</v>
      </c>
    </row>
    <row r="588" spans="2:5" ht="15" customHeight="1">
      <c r="B588" s="90"/>
      <c r="C588" s="27" t="s">
        <v>117</v>
      </c>
      <c r="D588" s="26">
        <v>1</v>
      </c>
      <c r="E588" s="25">
        <v>1.5028554253080853E-4</v>
      </c>
    </row>
    <row r="589" spans="2:5" ht="15" customHeight="1">
      <c r="B589" s="90"/>
      <c r="C589" s="27" t="s">
        <v>116</v>
      </c>
      <c r="D589" s="26">
        <v>10</v>
      </c>
      <c r="E589" s="25">
        <v>1.5028554253080854E-3</v>
      </c>
    </row>
    <row r="590" spans="2:5" ht="15" customHeight="1">
      <c r="B590" s="90"/>
      <c r="C590" s="27" t="s">
        <v>111</v>
      </c>
      <c r="D590" s="26">
        <v>3</v>
      </c>
      <c r="E590" s="25">
        <v>4.5085662759242559E-4</v>
      </c>
    </row>
    <row r="591" spans="2:5" ht="15" customHeight="1">
      <c r="B591" s="90"/>
      <c r="C591" s="27" t="s">
        <v>110</v>
      </c>
      <c r="D591" s="26">
        <v>3</v>
      </c>
      <c r="E591" s="25">
        <v>4.5085662759242559E-4</v>
      </c>
    </row>
    <row r="592" spans="2:5" ht="15" customHeight="1">
      <c r="B592" s="91"/>
      <c r="C592" s="24" t="s">
        <v>46</v>
      </c>
      <c r="D592" s="23">
        <v>57</v>
      </c>
      <c r="E592" s="22">
        <v>8.5662759242560865E-3</v>
      </c>
    </row>
    <row r="593" spans="2:5" ht="15" customHeight="1">
      <c r="B593" s="89" t="s">
        <v>52</v>
      </c>
      <c r="C593" s="27" t="s">
        <v>128</v>
      </c>
      <c r="D593" s="26">
        <v>1</v>
      </c>
      <c r="E593" s="25">
        <v>1.5028554253080853E-4</v>
      </c>
    </row>
    <row r="594" spans="2:5" ht="15" customHeight="1">
      <c r="B594" s="90"/>
      <c r="C594" s="27" t="s">
        <v>119</v>
      </c>
      <c r="D594" s="26">
        <v>1</v>
      </c>
      <c r="E594" s="25">
        <v>1.5028554253080853E-4</v>
      </c>
    </row>
    <row r="595" spans="2:5" ht="15" customHeight="1">
      <c r="B595" s="90"/>
      <c r="C595" s="27" t="s">
        <v>117</v>
      </c>
      <c r="D595" s="26">
        <v>1</v>
      </c>
      <c r="E595" s="25">
        <v>1.5028554253080853E-4</v>
      </c>
    </row>
    <row r="596" spans="2:5" ht="15" customHeight="1">
      <c r="B596" s="90"/>
      <c r="C596" s="27" t="s">
        <v>116</v>
      </c>
      <c r="D596" s="26">
        <v>2</v>
      </c>
      <c r="E596" s="25">
        <v>3.0057108506161706E-4</v>
      </c>
    </row>
    <row r="597" spans="2:5" ht="15" customHeight="1">
      <c r="B597" s="91"/>
      <c r="C597" s="24" t="s">
        <v>46</v>
      </c>
      <c r="D597" s="23">
        <v>5</v>
      </c>
      <c r="E597" s="22">
        <v>7.514277126540427E-4</v>
      </c>
    </row>
    <row r="598" spans="2:5" ht="15" customHeight="1">
      <c r="B598" s="89" t="s">
        <v>17</v>
      </c>
      <c r="C598" s="27" t="s">
        <v>127</v>
      </c>
      <c r="D598" s="26">
        <v>1</v>
      </c>
      <c r="E598" s="25">
        <v>1.5028554253080853E-4</v>
      </c>
    </row>
    <row r="599" spans="2:5" ht="15" customHeight="1">
      <c r="B599" s="90"/>
      <c r="C599" s="27" t="s">
        <v>126</v>
      </c>
      <c r="D599" s="26">
        <v>1</v>
      </c>
      <c r="E599" s="25">
        <v>1.5028554253080853E-4</v>
      </c>
    </row>
    <row r="600" spans="2:5" ht="15" customHeight="1">
      <c r="B600" s="90"/>
      <c r="C600" s="27" t="s">
        <v>124</v>
      </c>
      <c r="D600" s="26">
        <v>1</v>
      </c>
      <c r="E600" s="25">
        <v>1.5028554253080853E-4</v>
      </c>
    </row>
    <row r="601" spans="2:5" ht="15" customHeight="1">
      <c r="B601" s="90"/>
      <c r="C601" s="27" t="s">
        <v>123</v>
      </c>
      <c r="D601" s="26">
        <v>5</v>
      </c>
      <c r="E601" s="25">
        <v>7.514277126540427E-4</v>
      </c>
    </row>
    <row r="602" spans="2:5" ht="15" customHeight="1">
      <c r="B602" s="90"/>
      <c r="C602" s="27" t="s">
        <v>121</v>
      </c>
      <c r="D602" s="26">
        <v>3</v>
      </c>
      <c r="E602" s="25">
        <v>4.5085662759242559E-4</v>
      </c>
    </row>
    <row r="603" spans="2:5" ht="15" customHeight="1">
      <c r="B603" s="90"/>
      <c r="C603" s="27" t="s">
        <v>120</v>
      </c>
      <c r="D603" s="26">
        <v>3</v>
      </c>
      <c r="E603" s="25">
        <v>4.5085662759242559E-4</v>
      </c>
    </row>
    <row r="604" spans="2:5" ht="15" customHeight="1">
      <c r="B604" s="90"/>
      <c r="C604" s="27" t="s">
        <v>119</v>
      </c>
      <c r="D604" s="26">
        <v>11</v>
      </c>
      <c r="E604" s="25">
        <v>1.6531409678388939E-3</v>
      </c>
    </row>
    <row r="605" spans="2:5" ht="15" customHeight="1">
      <c r="B605" s="90"/>
      <c r="C605" s="27" t="s">
        <v>117</v>
      </c>
      <c r="D605" s="26">
        <v>1</v>
      </c>
      <c r="E605" s="25">
        <v>1.5028554253080853E-4</v>
      </c>
    </row>
    <row r="606" spans="2:5" ht="15" customHeight="1">
      <c r="B606" s="90"/>
      <c r="C606" s="27" t="s">
        <v>116</v>
      </c>
      <c r="D606" s="26">
        <v>6</v>
      </c>
      <c r="E606" s="25">
        <v>9.0171325518485117E-4</v>
      </c>
    </row>
    <row r="607" spans="2:5" ht="15" customHeight="1">
      <c r="B607" s="90"/>
      <c r="C607" s="27" t="s">
        <v>110</v>
      </c>
      <c r="D607" s="26">
        <v>1</v>
      </c>
      <c r="E607" s="25">
        <v>1.5028554253080853E-4</v>
      </c>
    </row>
    <row r="608" spans="2:5" ht="15" customHeight="1">
      <c r="B608" s="91"/>
      <c r="C608" s="24" t="s">
        <v>46</v>
      </c>
      <c r="D608" s="23">
        <v>33</v>
      </c>
      <c r="E608" s="22">
        <v>4.9594229035166814E-3</v>
      </c>
    </row>
    <row r="609" spans="2:5" ht="15" customHeight="1">
      <c r="B609" s="89" t="s">
        <v>202</v>
      </c>
      <c r="C609" s="27" t="s">
        <v>123</v>
      </c>
      <c r="D609" s="26">
        <v>1</v>
      </c>
      <c r="E609" s="25">
        <v>1.5028554253080853E-4</v>
      </c>
    </row>
    <row r="610" spans="2:5" ht="15" customHeight="1">
      <c r="B610" s="90"/>
      <c r="C610" s="27" t="s">
        <v>119</v>
      </c>
      <c r="D610" s="26">
        <v>1</v>
      </c>
      <c r="E610" s="25">
        <v>1.5028554253080853E-4</v>
      </c>
    </row>
    <row r="611" spans="2:5" ht="15" customHeight="1">
      <c r="B611" s="91"/>
      <c r="C611" s="24" t="s">
        <v>46</v>
      </c>
      <c r="D611" s="23">
        <v>2</v>
      </c>
      <c r="E611" s="22">
        <v>3.0057108506161706E-4</v>
      </c>
    </row>
    <row r="612" spans="2:5" ht="15" customHeight="1">
      <c r="B612" s="92" t="s">
        <v>46</v>
      </c>
      <c r="C612" s="93"/>
      <c r="D612" s="70">
        <v>6654</v>
      </c>
      <c r="E612" s="71">
        <v>1</v>
      </c>
    </row>
    <row r="614" spans="2:5" ht="15" customHeight="1">
      <c r="B614" s="17" t="s">
        <v>198</v>
      </c>
    </row>
    <row r="615" spans="2:5" ht="15" customHeight="1">
      <c r="B615" s="18" t="s">
        <v>47</v>
      </c>
    </row>
    <row r="616" spans="2:5" ht="15" customHeight="1">
      <c r="B616" s="19" t="s">
        <v>48</v>
      </c>
    </row>
    <row r="617" spans="2:5" ht="15" customHeight="1">
      <c r="B617" s="17" t="s">
        <v>49</v>
      </c>
    </row>
    <row r="618" spans="2:5" ht="15" customHeight="1">
      <c r="B618" s="17" t="s">
        <v>199</v>
      </c>
    </row>
  </sheetData>
  <mergeCells count="47">
    <mergeCell ref="B7:E8"/>
    <mergeCell ref="B536:B548"/>
    <mergeCell ref="B549:B562"/>
    <mergeCell ref="B563:B579"/>
    <mergeCell ref="B380:B396"/>
    <mergeCell ref="B397:B412"/>
    <mergeCell ref="B413:B428"/>
    <mergeCell ref="B429:B436"/>
    <mergeCell ref="B437:B439"/>
    <mergeCell ref="B440:B456"/>
    <mergeCell ref="B457:B468"/>
    <mergeCell ref="B469:B477"/>
    <mergeCell ref="B478:B491"/>
    <mergeCell ref="B492:B506"/>
    <mergeCell ref="B507:B526"/>
    <mergeCell ref="B102:B122"/>
    <mergeCell ref="B123:B141"/>
    <mergeCell ref="B10:B24"/>
    <mergeCell ref="B25:B42"/>
    <mergeCell ref="B527:B535"/>
    <mergeCell ref="B282:B303"/>
    <mergeCell ref="B304:B318"/>
    <mergeCell ref="B319:B332"/>
    <mergeCell ref="B333:B341"/>
    <mergeCell ref="B342:B352"/>
    <mergeCell ref="B353:B363"/>
    <mergeCell ref="B364:B379"/>
    <mergeCell ref="B43:B58"/>
    <mergeCell ref="B59:B71"/>
    <mergeCell ref="B72:B75"/>
    <mergeCell ref="B76:B77"/>
    <mergeCell ref="B78:B101"/>
    <mergeCell ref="B142:B151"/>
    <mergeCell ref="B152:B161"/>
    <mergeCell ref="B162:B170"/>
    <mergeCell ref="B171:B188"/>
    <mergeCell ref="B189:B207"/>
    <mergeCell ref="B208:B221"/>
    <mergeCell ref="B222:B236"/>
    <mergeCell ref="B237:B243"/>
    <mergeCell ref="B244:B261"/>
    <mergeCell ref="B262:B281"/>
    <mergeCell ref="B580:B592"/>
    <mergeCell ref="B593:B597"/>
    <mergeCell ref="B598:B608"/>
    <mergeCell ref="B609:B611"/>
    <mergeCell ref="B612:C61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D20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8" t="s">
        <v>210</v>
      </c>
      <c r="C7" s="88"/>
      <c r="D7" s="88"/>
    </row>
    <row r="8" spans="1:4" s="1" customFormat="1" ht="15" customHeight="1">
      <c r="B8" s="88"/>
      <c r="C8" s="88"/>
      <c r="D8" s="88"/>
    </row>
    <row r="9" spans="1:4" s="1" customFormat="1" ht="33" customHeight="1">
      <c r="B9" s="88"/>
      <c r="C9" s="88"/>
      <c r="D9" s="88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142</v>
      </c>
      <c r="C11" s="6" t="s">
        <v>2</v>
      </c>
      <c r="D11" s="7" t="s">
        <v>3</v>
      </c>
    </row>
    <row r="12" spans="1:4" ht="15" customHeight="1">
      <c r="B12" s="9" t="s">
        <v>141</v>
      </c>
      <c r="C12" s="10">
        <v>4206</v>
      </c>
      <c r="D12" s="11">
        <v>0.63210099188458069</v>
      </c>
    </row>
    <row r="13" spans="1:4" ht="15" customHeight="1">
      <c r="B13" s="9" t="s">
        <v>140</v>
      </c>
      <c r="C13" s="10">
        <v>2448</v>
      </c>
      <c r="D13" s="11">
        <v>0.36789900811541931</v>
      </c>
    </row>
    <row r="14" spans="1:4">
      <c r="B14" s="13" t="s">
        <v>139</v>
      </c>
      <c r="C14" s="14">
        <v>6654</v>
      </c>
      <c r="D14" s="15">
        <v>1</v>
      </c>
    </row>
    <row r="15" spans="1:4" s="12" customFormat="1">
      <c r="A15" s="8"/>
      <c r="C15" s="43"/>
      <c r="D15" s="43"/>
    </row>
    <row r="16" spans="1:4" s="12" customFormat="1">
      <c r="A16" s="8"/>
      <c r="B16" s="17" t="s">
        <v>198</v>
      </c>
      <c r="C16" s="43"/>
      <c r="D16" s="43"/>
    </row>
    <row r="17" spans="2:4">
      <c r="B17" s="18" t="s">
        <v>47</v>
      </c>
      <c r="C17" s="42"/>
      <c r="D17" s="42"/>
    </row>
    <row r="18" spans="2:4">
      <c r="B18" s="19" t="s">
        <v>48</v>
      </c>
      <c r="C18" s="41"/>
      <c r="D18" s="41"/>
    </row>
    <row r="19" spans="2:4">
      <c r="B19" s="17" t="s">
        <v>49</v>
      </c>
    </row>
    <row r="20" spans="2:4">
      <c r="B20" s="17" t="s">
        <v>199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F153"/>
  <sheetViews>
    <sheetView showGridLines="0" topLeftCell="A120" zoomScaleNormal="100" zoomScaleSheetLayoutView="100" workbookViewId="0">
      <selection activeCell="H25" sqref="H25"/>
    </sheetView>
  </sheetViews>
  <sheetFormatPr baseColWidth="10" defaultColWidth="11.42578125" defaultRowHeight="11.25"/>
  <cols>
    <col min="1" max="1" width="5.7109375" style="1" customWidth="1"/>
    <col min="2" max="2" width="19" style="31" customWidth="1"/>
    <col min="3" max="3" width="14.7109375" style="31" customWidth="1"/>
    <col min="4" max="4" width="23.5703125" style="44" customWidth="1"/>
    <col min="5" max="5" width="15.140625" style="31" bestFit="1" customWidth="1"/>
    <col min="6" max="6" width="5.7109375" style="1" customWidth="1"/>
    <col min="7" max="16384" width="11.42578125" style="1"/>
  </cols>
  <sheetData>
    <row r="1" spans="1:6" s="46" customFormat="1" ht="15">
      <c r="B1" s="35"/>
      <c r="C1" s="31"/>
    </row>
    <row r="2" spans="1:6" s="31" customFormat="1">
      <c r="B2" s="50"/>
    </row>
    <row r="3" spans="1:6" ht="15" customHeight="1">
      <c r="B3" s="51"/>
      <c r="C3" s="2"/>
      <c r="D3" s="1"/>
      <c r="F3" s="31"/>
    </row>
    <row r="4" spans="1:6" ht="30" customHeight="1">
      <c r="B4" s="51"/>
      <c r="C4" s="2"/>
      <c r="D4" s="1"/>
      <c r="F4" s="31"/>
    </row>
    <row r="5" spans="1:6" ht="15" customHeight="1">
      <c r="B5" s="51"/>
      <c r="C5" s="2"/>
      <c r="D5" s="1"/>
      <c r="F5" s="31"/>
    </row>
    <row r="6" spans="1:6" s="31" customFormat="1">
      <c r="B6" s="39"/>
      <c r="C6" s="33"/>
    </row>
    <row r="7" spans="1:6" s="31" customFormat="1">
      <c r="A7" s="35"/>
      <c r="B7" s="50"/>
      <c r="C7" s="35"/>
    </row>
    <row r="8" spans="1:6" s="46" customFormat="1" ht="15" customHeight="1">
      <c r="B8" s="88" t="s">
        <v>205</v>
      </c>
      <c r="C8" s="88"/>
      <c r="D8" s="88"/>
      <c r="E8" s="88"/>
    </row>
    <row r="9" spans="1:6" s="46" customFormat="1" ht="15" customHeight="1">
      <c r="A9" s="48"/>
      <c r="B9" s="88"/>
      <c r="C9" s="88"/>
      <c r="D9" s="88"/>
      <c r="E9" s="88"/>
      <c r="F9" s="49"/>
    </row>
    <row r="10" spans="1:6" s="46" customFormat="1" ht="15" customHeight="1">
      <c r="A10" s="48"/>
      <c r="B10" s="88"/>
      <c r="C10" s="88"/>
      <c r="D10" s="88"/>
      <c r="E10" s="88"/>
      <c r="F10" s="48"/>
    </row>
    <row r="11" spans="1:6" s="46" customFormat="1" ht="15" customHeight="1">
      <c r="A11" s="48"/>
      <c r="B11" s="68"/>
      <c r="C11" s="68"/>
      <c r="D11" s="68"/>
      <c r="E11" s="68"/>
      <c r="F11" s="48"/>
    </row>
    <row r="12" spans="1:6" s="46" customFormat="1" ht="36.950000000000003" customHeight="1">
      <c r="B12" s="47" t="s">
        <v>93</v>
      </c>
      <c r="C12" s="47" t="s">
        <v>142</v>
      </c>
      <c r="D12" s="47" t="s">
        <v>2</v>
      </c>
      <c r="E12" s="47" t="s">
        <v>3</v>
      </c>
    </row>
    <row r="13" spans="1:6" ht="15" customHeight="1">
      <c r="B13" s="95" t="s">
        <v>56</v>
      </c>
      <c r="C13" s="45" t="s">
        <v>144</v>
      </c>
      <c r="D13" s="10">
        <v>38</v>
      </c>
      <c r="E13" s="11">
        <v>5.7108506161707246E-3</v>
      </c>
    </row>
    <row r="14" spans="1:6" ht="15" customHeight="1">
      <c r="B14" s="96"/>
      <c r="C14" s="45" t="s">
        <v>143</v>
      </c>
      <c r="D14" s="10">
        <v>22</v>
      </c>
      <c r="E14" s="11">
        <v>3.3062819356777877E-3</v>
      </c>
    </row>
    <row r="15" spans="1:6" ht="15" customHeight="1">
      <c r="B15" s="97"/>
      <c r="C15" s="73" t="s">
        <v>46</v>
      </c>
      <c r="D15" s="74">
        <v>60</v>
      </c>
      <c r="E15" s="75">
        <v>9.017132551848512E-3</v>
      </c>
    </row>
    <row r="16" spans="1:6" ht="15" customHeight="1">
      <c r="B16" s="95" t="s">
        <v>88</v>
      </c>
      <c r="C16" s="45" t="s">
        <v>144</v>
      </c>
      <c r="D16" s="10">
        <v>136</v>
      </c>
      <c r="E16" s="11">
        <v>2.0438833784189959E-2</v>
      </c>
    </row>
    <row r="17" spans="1:5" ht="15" customHeight="1">
      <c r="B17" s="96"/>
      <c r="C17" s="45" t="s">
        <v>143</v>
      </c>
      <c r="D17" s="10">
        <v>74</v>
      </c>
      <c r="E17" s="11">
        <v>1.1121130147279832E-2</v>
      </c>
    </row>
    <row r="18" spans="1:5" s="31" customFormat="1" ht="15" customHeight="1">
      <c r="A18" s="1"/>
      <c r="B18" s="97"/>
      <c r="C18" s="73" t="s">
        <v>46</v>
      </c>
      <c r="D18" s="74">
        <v>210</v>
      </c>
      <c r="E18" s="75">
        <v>3.1559963931469794E-2</v>
      </c>
    </row>
    <row r="19" spans="1:5" s="31" customFormat="1" ht="15" customHeight="1">
      <c r="A19" s="1"/>
      <c r="B19" s="95" t="s">
        <v>78</v>
      </c>
      <c r="C19" s="45" t="s">
        <v>144</v>
      </c>
      <c r="D19" s="10">
        <v>63</v>
      </c>
      <c r="E19" s="11">
        <v>9.4679891794409374E-3</v>
      </c>
    </row>
    <row r="20" spans="1:5" s="31" customFormat="1" ht="15" customHeight="1">
      <c r="A20" s="1"/>
      <c r="B20" s="96"/>
      <c r="C20" s="45" t="s">
        <v>143</v>
      </c>
      <c r="D20" s="10">
        <v>36</v>
      </c>
      <c r="E20" s="11">
        <v>5.4102795311091077E-3</v>
      </c>
    </row>
    <row r="21" spans="1:5" s="31" customFormat="1" ht="15" customHeight="1">
      <c r="A21" s="1"/>
      <c r="B21" s="97"/>
      <c r="C21" s="73" t="s">
        <v>46</v>
      </c>
      <c r="D21" s="74">
        <v>99</v>
      </c>
      <c r="E21" s="75">
        <v>1.4878268710550046E-2</v>
      </c>
    </row>
    <row r="22" spans="1:5" s="31" customFormat="1" ht="15" customHeight="1">
      <c r="A22" s="1"/>
      <c r="B22" s="95" t="s">
        <v>54</v>
      </c>
      <c r="C22" s="45" t="s">
        <v>144</v>
      </c>
      <c r="D22" s="10">
        <v>24</v>
      </c>
      <c r="E22" s="11">
        <v>3.6068530207394047E-3</v>
      </c>
    </row>
    <row r="23" spans="1:5" ht="13.5">
      <c r="B23" s="96"/>
      <c r="C23" s="45" t="s">
        <v>143</v>
      </c>
      <c r="D23" s="10">
        <v>12</v>
      </c>
      <c r="E23" s="11">
        <v>1.8034265103697023E-3</v>
      </c>
    </row>
    <row r="24" spans="1:5" ht="13.5">
      <c r="B24" s="97"/>
      <c r="C24" s="73" t="s">
        <v>46</v>
      </c>
      <c r="D24" s="74">
        <v>36</v>
      </c>
      <c r="E24" s="75">
        <v>5.4102795311091077E-3</v>
      </c>
    </row>
    <row r="25" spans="1:5" ht="13.5">
      <c r="B25" s="95" t="s">
        <v>50</v>
      </c>
      <c r="C25" s="45" t="s">
        <v>144</v>
      </c>
      <c r="D25" s="10">
        <v>4</v>
      </c>
      <c r="E25" s="11">
        <v>6.0114217012323412E-4</v>
      </c>
    </row>
    <row r="26" spans="1:5" ht="13.5">
      <c r="B26" s="96"/>
      <c r="C26" s="45" t="s">
        <v>143</v>
      </c>
      <c r="D26" s="10">
        <v>1</v>
      </c>
      <c r="E26" s="11">
        <v>1.5028554253080853E-4</v>
      </c>
    </row>
    <row r="27" spans="1:5" ht="13.5">
      <c r="B27" s="97"/>
      <c r="C27" s="73" t="s">
        <v>46</v>
      </c>
      <c r="D27" s="74">
        <v>5</v>
      </c>
      <c r="E27" s="75">
        <v>7.514277126540427E-4</v>
      </c>
    </row>
    <row r="28" spans="1:5" ht="13.5">
      <c r="B28" s="95" t="s">
        <v>55</v>
      </c>
      <c r="C28" s="45" t="s">
        <v>143</v>
      </c>
      <c r="D28" s="10">
        <v>1</v>
      </c>
      <c r="E28" s="11">
        <v>1.5028554253080853E-4</v>
      </c>
    </row>
    <row r="29" spans="1:5" ht="13.5">
      <c r="B29" s="97"/>
      <c r="C29" s="73" t="s">
        <v>46</v>
      </c>
      <c r="D29" s="74">
        <v>1</v>
      </c>
      <c r="E29" s="75">
        <v>1.5028554253080853E-4</v>
      </c>
    </row>
    <row r="30" spans="1:5" ht="13.5">
      <c r="B30" s="95" t="s">
        <v>91</v>
      </c>
      <c r="C30" s="45" t="s">
        <v>144</v>
      </c>
      <c r="D30" s="10">
        <v>825</v>
      </c>
      <c r="E30" s="11">
        <v>0.12398557258791704</v>
      </c>
    </row>
    <row r="31" spans="1:5" ht="13.5">
      <c r="B31" s="96"/>
      <c r="C31" s="45" t="s">
        <v>143</v>
      </c>
      <c r="D31" s="10">
        <v>484</v>
      </c>
      <c r="E31" s="11">
        <v>7.273820258491133E-2</v>
      </c>
    </row>
    <row r="32" spans="1:5" ht="13.5">
      <c r="B32" s="97"/>
      <c r="C32" s="73" t="s">
        <v>46</v>
      </c>
      <c r="D32" s="74">
        <v>1309</v>
      </c>
      <c r="E32" s="75">
        <v>0.19672377517282838</v>
      </c>
    </row>
    <row r="33" spans="2:5" ht="13.5">
      <c r="B33" s="95" t="s">
        <v>89</v>
      </c>
      <c r="C33" s="45" t="s">
        <v>144</v>
      </c>
      <c r="D33" s="10">
        <v>455</v>
      </c>
      <c r="E33" s="11">
        <v>6.837992185151788E-2</v>
      </c>
    </row>
    <row r="34" spans="2:5" ht="13.5">
      <c r="B34" s="96"/>
      <c r="C34" s="45" t="s">
        <v>143</v>
      </c>
      <c r="D34" s="10">
        <v>200</v>
      </c>
      <c r="E34" s="11">
        <v>3.0057108506161709E-2</v>
      </c>
    </row>
    <row r="35" spans="2:5" ht="13.5">
      <c r="B35" s="97"/>
      <c r="C35" s="73" t="s">
        <v>46</v>
      </c>
      <c r="D35" s="74">
        <v>655</v>
      </c>
      <c r="E35" s="75">
        <v>9.8437030357679589E-2</v>
      </c>
    </row>
    <row r="36" spans="2:5" ht="13.5">
      <c r="B36" s="95" t="s">
        <v>73</v>
      </c>
      <c r="C36" s="45" t="s">
        <v>144</v>
      </c>
      <c r="D36" s="10">
        <v>247</v>
      </c>
      <c r="E36" s="11">
        <v>3.7120529005109711E-2</v>
      </c>
    </row>
    <row r="37" spans="2:5" ht="13.5">
      <c r="B37" s="96"/>
      <c r="C37" s="45" t="s">
        <v>143</v>
      </c>
      <c r="D37" s="10">
        <v>148</v>
      </c>
      <c r="E37" s="11">
        <v>2.2242260294559665E-2</v>
      </c>
    </row>
    <row r="38" spans="2:5" ht="13.5">
      <c r="B38" s="97"/>
      <c r="C38" s="73" t="s">
        <v>46</v>
      </c>
      <c r="D38" s="74">
        <v>395</v>
      </c>
      <c r="E38" s="75">
        <v>5.9362789299669372E-2</v>
      </c>
    </row>
    <row r="39" spans="2:5" ht="13.5">
      <c r="B39" s="95" t="s">
        <v>59</v>
      </c>
      <c r="C39" s="45" t="s">
        <v>144</v>
      </c>
      <c r="D39" s="10">
        <v>27</v>
      </c>
      <c r="E39" s="11">
        <v>4.0577096483318306E-3</v>
      </c>
    </row>
    <row r="40" spans="2:5" ht="13.5">
      <c r="B40" s="96"/>
      <c r="C40" s="45" t="s">
        <v>143</v>
      </c>
      <c r="D40" s="10">
        <v>18</v>
      </c>
      <c r="E40" s="11">
        <v>2.7051397655545538E-3</v>
      </c>
    </row>
    <row r="41" spans="2:5" ht="13.5">
      <c r="B41" s="97"/>
      <c r="C41" s="73" t="s">
        <v>46</v>
      </c>
      <c r="D41" s="74">
        <v>45</v>
      </c>
      <c r="E41" s="75">
        <v>6.762849413886384E-3</v>
      </c>
    </row>
    <row r="42" spans="2:5" ht="13.5">
      <c r="B42" s="95" t="s">
        <v>57</v>
      </c>
      <c r="C42" s="45" t="s">
        <v>144</v>
      </c>
      <c r="D42" s="10">
        <v>8</v>
      </c>
      <c r="E42" s="11">
        <v>1.2022843402464682E-3</v>
      </c>
    </row>
    <row r="43" spans="2:5" ht="13.5">
      <c r="B43" s="96"/>
      <c r="C43" s="45" t="s">
        <v>143</v>
      </c>
      <c r="D43" s="10">
        <v>7</v>
      </c>
      <c r="E43" s="11">
        <v>1.0519987977156598E-3</v>
      </c>
    </row>
    <row r="44" spans="2:5" ht="13.5">
      <c r="B44" s="97"/>
      <c r="C44" s="73" t="s">
        <v>46</v>
      </c>
      <c r="D44" s="74">
        <v>15</v>
      </c>
      <c r="E44" s="75">
        <v>2.254283137962128E-3</v>
      </c>
    </row>
    <row r="45" spans="2:5" ht="13.5">
      <c r="B45" s="95" t="s">
        <v>70</v>
      </c>
      <c r="C45" s="45" t="s">
        <v>144</v>
      </c>
      <c r="D45" s="10">
        <v>11</v>
      </c>
      <c r="E45" s="11">
        <v>1.6531409678388939E-3</v>
      </c>
    </row>
    <row r="46" spans="2:5" ht="13.5">
      <c r="B46" s="96"/>
      <c r="C46" s="45" t="s">
        <v>143</v>
      </c>
      <c r="D46" s="10">
        <v>9</v>
      </c>
      <c r="E46" s="11">
        <v>1.3525698827772769E-3</v>
      </c>
    </row>
    <row r="47" spans="2:5" ht="13.5">
      <c r="B47" s="97"/>
      <c r="C47" s="73" t="s">
        <v>46</v>
      </c>
      <c r="D47" s="74">
        <v>20</v>
      </c>
      <c r="E47" s="75">
        <v>3.0057108506161708E-3</v>
      </c>
    </row>
    <row r="48" spans="2:5" ht="13.5">
      <c r="B48" s="95" t="s">
        <v>86</v>
      </c>
      <c r="C48" s="45" t="s">
        <v>144</v>
      </c>
      <c r="D48" s="10">
        <v>73</v>
      </c>
      <c r="E48" s="11">
        <v>1.0970844604749024E-2</v>
      </c>
    </row>
    <row r="49" spans="2:5" ht="13.5">
      <c r="B49" s="96"/>
      <c r="C49" s="45" t="s">
        <v>143</v>
      </c>
      <c r="D49" s="10">
        <v>40</v>
      </c>
      <c r="E49" s="11">
        <v>6.0114217012323416E-3</v>
      </c>
    </row>
    <row r="50" spans="2:5" ht="13.5">
      <c r="B50" s="97"/>
      <c r="C50" s="73" t="s">
        <v>46</v>
      </c>
      <c r="D50" s="74">
        <v>113</v>
      </c>
      <c r="E50" s="75">
        <v>1.6982266305981365E-2</v>
      </c>
    </row>
    <row r="51" spans="2:5" ht="13.5">
      <c r="B51" s="95" t="s">
        <v>90</v>
      </c>
      <c r="C51" s="45" t="s">
        <v>144</v>
      </c>
      <c r="D51" s="10">
        <v>282</v>
      </c>
      <c r="E51" s="11">
        <v>4.2380522993688011E-2</v>
      </c>
    </row>
    <row r="52" spans="2:5" ht="13.5">
      <c r="B52" s="96"/>
      <c r="C52" s="45" t="s">
        <v>143</v>
      </c>
      <c r="D52" s="10">
        <v>156</v>
      </c>
      <c r="E52" s="11">
        <v>2.3444544634806132E-2</v>
      </c>
    </row>
    <row r="53" spans="2:5" ht="13.5">
      <c r="B53" s="97"/>
      <c r="C53" s="73" t="s">
        <v>46</v>
      </c>
      <c r="D53" s="74">
        <v>438</v>
      </c>
      <c r="E53" s="75">
        <v>6.5825067628494133E-2</v>
      </c>
    </row>
    <row r="54" spans="2:5" ht="13.5">
      <c r="B54" s="95" t="s">
        <v>74</v>
      </c>
      <c r="C54" s="45" t="s">
        <v>144</v>
      </c>
      <c r="D54" s="10">
        <v>70</v>
      </c>
      <c r="E54" s="11">
        <v>1.0519987977156597E-2</v>
      </c>
    </row>
    <row r="55" spans="2:5" ht="13.5">
      <c r="B55" s="96"/>
      <c r="C55" s="45" t="s">
        <v>143</v>
      </c>
      <c r="D55" s="10">
        <v>61</v>
      </c>
      <c r="E55" s="11">
        <v>9.1674180943793204E-3</v>
      </c>
    </row>
    <row r="56" spans="2:5" ht="13.5">
      <c r="B56" s="97"/>
      <c r="C56" s="73" t="s">
        <v>46</v>
      </c>
      <c r="D56" s="74">
        <v>131</v>
      </c>
      <c r="E56" s="75">
        <v>1.9687406071535917E-2</v>
      </c>
    </row>
    <row r="57" spans="2:5" ht="13.5">
      <c r="B57" s="95" t="s">
        <v>69</v>
      </c>
      <c r="C57" s="45" t="s">
        <v>144</v>
      </c>
      <c r="D57" s="10">
        <v>67</v>
      </c>
      <c r="E57" s="11">
        <v>1.0069131349564171E-2</v>
      </c>
    </row>
    <row r="58" spans="2:5" ht="13.5">
      <c r="B58" s="96"/>
      <c r="C58" s="45" t="s">
        <v>143</v>
      </c>
      <c r="D58" s="10">
        <v>35</v>
      </c>
      <c r="E58" s="11">
        <v>5.2599939885782983E-3</v>
      </c>
    </row>
    <row r="59" spans="2:5" ht="13.5">
      <c r="B59" s="97"/>
      <c r="C59" s="73" t="s">
        <v>46</v>
      </c>
      <c r="D59" s="74">
        <v>102</v>
      </c>
      <c r="E59" s="75">
        <v>1.5329125338142471E-2</v>
      </c>
    </row>
    <row r="60" spans="2:5" ht="13.5">
      <c r="B60" s="95" t="s">
        <v>53</v>
      </c>
      <c r="C60" s="45" t="s">
        <v>144</v>
      </c>
      <c r="D60" s="10">
        <v>7</v>
      </c>
      <c r="E60" s="11">
        <v>1.0519987977156598E-3</v>
      </c>
    </row>
    <row r="61" spans="2:5" ht="13.5">
      <c r="B61" s="96"/>
      <c r="C61" s="45" t="s">
        <v>143</v>
      </c>
      <c r="D61" s="10">
        <v>1</v>
      </c>
      <c r="E61" s="11">
        <v>1.5028554253080853E-4</v>
      </c>
    </row>
    <row r="62" spans="2:5" ht="13.5">
      <c r="B62" s="97"/>
      <c r="C62" s="73" t="s">
        <v>46</v>
      </c>
      <c r="D62" s="74">
        <v>8</v>
      </c>
      <c r="E62" s="75">
        <v>1.2022843402464682E-3</v>
      </c>
    </row>
    <row r="63" spans="2:5" ht="13.5">
      <c r="B63" s="95" t="s">
        <v>76</v>
      </c>
      <c r="C63" s="45" t="s">
        <v>144</v>
      </c>
      <c r="D63" s="10">
        <v>79</v>
      </c>
      <c r="E63" s="11">
        <v>1.1872557859933875E-2</v>
      </c>
    </row>
    <row r="64" spans="2:5" ht="13.5">
      <c r="B64" s="96"/>
      <c r="C64" s="45" t="s">
        <v>143</v>
      </c>
      <c r="D64" s="10">
        <v>78</v>
      </c>
      <c r="E64" s="11">
        <v>1.1722272317403066E-2</v>
      </c>
    </row>
    <row r="65" spans="2:5" ht="13.5">
      <c r="B65" s="97"/>
      <c r="C65" s="73" t="s">
        <v>46</v>
      </c>
      <c r="D65" s="74">
        <v>157</v>
      </c>
      <c r="E65" s="75">
        <v>2.3594830177336941E-2</v>
      </c>
    </row>
    <row r="66" spans="2:5" ht="13.5">
      <c r="B66" s="95" t="s">
        <v>80</v>
      </c>
      <c r="C66" s="45" t="s">
        <v>144</v>
      </c>
      <c r="D66" s="10">
        <v>341</v>
      </c>
      <c r="E66" s="11">
        <v>5.1247370003005714E-2</v>
      </c>
    </row>
    <row r="67" spans="2:5" ht="13.5">
      <c r="B67" s="96"/>
      <c r="C67" s="45" t="s">
        <v>143</v>
      </c>
      <c r="D67" s="10">
        <v>220</v>
      </c>
      <c r="E67" s="11">
        <v>3.3062819356777878E-2</v>
      </c>
    </row>
    <row r="68" spans="2:5" ht="13.5">
      <c r="B68" s="97"/>
      <c r="C68" s="73" t="s">
        <v>46</v>
      </c>
      <c r="D68" s="74">
        <v>561</v>
      </c>
      <c r="E68" s="75">
        <v>8.4310189359783586E-2</v>
      </c>
    </row>
    <row r="69" spans="2:5" ht="13.5">
      <c r="B69" s="95" t="s">
        <v>92</v>
      </c>
      <c r="C69" s="45" t="s">
        <v>144</v>
      </c>
      <c r="D69" s="10">
        <v>303</v>
      </c>
      <c r="E69" s="11">
        <v>4.5536519386834985E-2</v>
      </c>
    </row>
    <row r="70" spans="2:5" ht="13.5">
      <c r="B70" s="96"/>
      <c r="C70" s="45" t="s">
        <v>143</v>
      </c>
      <c r="D70" s="10">
        <v>235</v>
      </c>
      <c r="E70" s="11">
        <v>3.5317102494740009E-2</v>
      </c>
    </row>
    <row r="71" spans="2:5" ht="13.5">
      <c r="B71" s="97"/>
      <c r="C71" s="73" t="s">
        <v>46</v>
      </c>
      <c r="D71" s="74">
        <v>538</v>
      </c>
      <c r="E71" s="75">
        <v>8.0853621881574994E-2</v>
      </c>
    </row>
    <row r="72" spans="2:5" ht="13.5">
      <c r="B72" s="95" t="s">
        <v>71</v>
      </c>
      <c r="C72" s="45" t="s">
        <v>144</v>
      </c>
      <c r="D72" s="10">
        <v>20</v>
      </c>
      <c r="E72" s="11">
        <v>3.0057108506161708E-3</v>
      </c>
    </row>
    <row r="73" spans="2:5" ht="13.5">
      <c r="B73" s="96"/>
      <c r="C73" s="45" t="s">
        <v>143</v>
      </c>
      <c r="D73" s="10">
        <v>20</v>
      </c>
      <c r="E73" s="11">
        <v>3.0057108506161708E-3</v>
      </c>
    </row>
    <row r="74" spans="2:5" ht="13.5">
      <c r="B74" s="97"/>
      <c r="C74" s="73" t="s">
        <v>46</v>
      </c>
      <c r="D74" s="74">
        <v>40</v>
      </c>
      <c r="E74" s="75">
        <v>6.0114217012323416E-3</v>
      </c>
    </row>
    <row r="75" spans="2:5" ht="13.5">
      <c r="B75" s="95" t="s">
        <v>66</v>
      </c>
      <c r="C75" s="45" t="s">
        <v>144</v>
      </c>
      <c r="D75" s="10">
        <v>42</v>
      </c>
      <c r="E75" s="11">
        <v>6.3119927862939585E-3</v>
      </c>
    </row>
    <row r="76" spans="2:5" ht="13.5">
      <c r="B76" s="96"/>
      <c r="C76" s="45" t="s">
        <v>143</v>
      </c>
      <c r="D76" s="10">
        <v>26</v>
      </c>
      <c r="E76" s="11">
        <v>3.9074241058010221E-3</v>
      </c>
    </row>
    <row r="77" spans="2:5" ht="13.5">
      <c r="B77" s="97"/>
      <c r="C77" s="73" t="s">
        <v>46</v>
      </c>
      <c r="D77" s="74">
        <v>68</v>
      </c>
      <c r="E77" s="75">
        <v>1.021941689209498E-2</v>
      </c>
    </row>
    <row r="78" spans="2:5" ht="13.5">
      <c r="B78" s="95" t="s">
        <v>65</v>
      </c>
      <c r="C78" s="45" t="s">
        <v>144</v>
      </c>
      <c r="D78" s="10">
        <v>25</v>
      </c>
      <c r="E78" s="11">
        <v>3.7571385632702136E-3</v>
      </c>
    </row>
    <row r="79" spans="2:5" ht="13.5">
      <c r="B79" s="96"/>
      <c r="C79" s="45" t="s">
        <v>143</v>
      </c>
      <c r="D79" s="10">
        <v>16</v>
      </c>
      <c r="E79" s="11">
        <v>2.4045686804929365E-3</v>
      </c>
    </row>
    <row r="80" spans="2:5" ht="13.5">
      <c r="B80" s="97"/>
      <c r="C80" s="73" t="s">
        <v>46</v>
      </c>
      <c r="D80" s="74">
        <v>41</v>
      </c>
      <c r="E80" s="75">
        <v>6.1617072437631501E-3</v>
      </c>
    </row>
    <row r="81" spans="2:5" ht="13.5">
      <c r="B81" s="95" t="s">
        <v>58</v>
      </c>
      <c r="C81" s="45" t="s">
        <v>144</v>
      </c>
      <c r="D81" s="10">
        <v>20</v>
      </c>
      <c r="E81" s="11">
        <v>3.0057108506161708E-3</v>
      </c>
    </row>
    <row r="82" spans="2:5" ht="13.5">
      <c r="B82" s="96"/>
      <c r="C82" s="45" t="s">
        <v>143</v>
      </c>
      <c r="D82" s="10">
        <v>6</v>
      </c>
      <c r="E82" s="11">
        <v>9.0171325518485117E-4</v>
      </c>
    </row>
    <row r="83" spans="2:5" ht="13.5">
      <c r="B83" s="97"/>
      <c r="C83" s="73" t="s">
        <v>46</v>
      </c>
      <c r="D83" s="74">
        <v>26</v>
      </c>
      <c r="E83" s="75">
        <v>3.9074241058010221E-3</v>
      </c>
    </row>
    <row r="84" spans="2:5" ht="13.5">
      <c r="B84" s="95" t="s">
        <v>87</v>
      </c>
      <c r="C84" s="45" t="s">
        <v>144</v>
      </c>
      <c r="D84" s="10">
        <v>23</v>
      </c>
      <c r="E84" s="11">
        <v>3.4565674782085962E-3</v>
      </c>
    </row>
    <row r="85" spans="2:5" ht="13.5">
      <c r="B85" s="96"/>
      <c r="C85" s="45" t="s">
        <v>143</v>
      </c>
      <c r="D85" s="10">
        <v>16</v>
      </c>
      <c r="E85" s="11">
        <v>2.4045686804929365E-3</v>
      </c>
    </row>
    <row r="86" spans="2:5" ht="13.5">
      <c r="B86" s="97"/>
      <c r="C86" s="73" t="s">
        <v>46</v>
      </c>
      <c r="D86" s="74">
        <v>39</v>
      </c>
      <c r="E86" s="75">
        <v>5.8611361587015331E-3</v>
      </c>
    </row>
    <row r="87" spans="2:5" ht="13.5">
      <c r="B87" s="95" t="s">
        <v>60</v>
      </c>
      <c r="C87" s="45" t="s">
        <v>144</v>
      </c>
      <c r="D87" s="10">
        <v>101</v>
      </c>
      <c r="E87" s="11">
        <v>1.5178839795611663E-2</v>
      </c>
    </row>
    <row r="88" spans="2:5" ht="13.5">
      <c r="B88" s="96"/>
      <c r="C88" s="45" t="s">
        <v>143</v>
      </c>
      <c r="D88" s="10">
        <v>50</v>
      </c>
      <c r="E88" s="11">
        <v>7.5142771265404272E-3</v>
      </c>
    </row>
    <row r="89" spans="2:5" ht="13.5">
      <c r="B89" s="97"/>
      <c r="C89" s="73" t="s">
        <v>46</v>
      </c>
      <c r="D89" s="74">
        <v>151</v>
      </c>
      <c r="E89" s="75">
        <v>2.269311692215209E-2</v>
      </c>
    </row>
    <row r="90" spans="2:5" ht="13.5">
      <c r="B90" s="95" t="s">
        <v>79</v>
      </c>
      <c r="C90" s="45" t="s">
        <v>144</v>
      </c>
      <c r="D90" s="10">
        <v>98</v>
      </c>
      <c r="E90" s="11">
        <v>1.4727983168019236E-2</v>
      </c>
    </row>
    <row r="91" spans="2:5" ht="13.5">
      <c r="B91" s="96"/>
      <c r="C91" s="45" t="s">
        <v>143</v>
      </c>
      <c r="D91" s="10">
        <v>27</v>
      </c>
      <c r="E91" s="11">
        <v>4.0577096483318306E-3</v>
      </c>
    </row>
    <row r="92" spans="2:5" ht="13.5">
      <c r="B92" s="97"/>
      <c r="C92" s="73" t="s">
        <v>46</v>
      </c>
      <c r="D92" s="74">
        <v>125</v>
      </c>
      <c r="E92" s="75">
        <v>1.8785692816351066E-2</v>
      </c>
    </row>
    <row r="93" spans="2:5" ht="13.5">
      <c r="B93" s="95" t="s">
        <v>75</v>
      </c>
      <c r="C93" s="45" t="s">
        <v>144</v>
      </c>
      <c r="D93" s="10">
        <v>63</v>
      </c>
      <c r="E93" s="11">
        <v>9.4679891794409374E-3</v>
      </c>
    </row>
    <row r="94" spans="2:5" ht="13.5">
      <c r="B94" s="96"/>
      <c r="C94" s="45" t="s">
        <v>143</v>
      </c>
      <c r="D94" s="10">
        <v>32</v>
      </c>
      <c r="E94" s="11">
        <v>4.8091373609858729E-3</v>
      </c>
    </row>
    <row r="95" spans="2:5" ht="13.5">
      <c r="B95" s="97"/>
      <c r="C95" s="73" t="s">
        <v>46</v>
      </c>
      <c r="D95" s="74">
        <v>95</v>
      </c>
      <c r="E95" s="75">
        <v>1.427712654042681E-2</v>
      </c>
    </row>
    <row r="96" spans="2:5" ht="13.5">
      <c r="B96" s="95" t="s">
        <v>63</v>
      </c>
      <c r="C96" s="45" t="s">
        <v>144</v>
      </c>
      <c r="D96" s="10">
        <v>57</v>
      </c>
      <c r="E96" s="11">
        <v>8.5662759242560865E-3</v>
      </c>
    </row>
    <row r="97" spans="2:5" ht="13.5">
      <c r="B97" s="96"/>
      <c r="C97" s="45" t="s">
        <v>143</v>
      </c>
      <c r="D97" s="10">
        <v>26</v>
      </c>
      <c r="E97" s="11">
        <v>3.9074241058010221E-3</v>
      </c>
    </row>
    <row r="98" spans="2:5" ht="13.5">
      <c r="B98" s="97"/>
      <c r="C98" s="73" t="s">
        <v>46</v>
      </c>
      <c r="D98" s="74">
        <v>83</v>
      </c>
      <c r="E98" s="75">
        <v>1.2473700030057109E-2</v>
      </c>
    </row>
    <row r="99" spans="2:5" ht="13.5">
      <c r="B99" s="95" t="s">
        <v>67</v>
      </c>
      <c r="C99" s="45" t="s">
        <v>144</v>
      </c>
      <c r="D99" s="10">
        <v>6</v>
      </c>
      <c r="E99" s="11">
        <v>9.0171325518485117E-4</v>
      </c>
    </row>
    <row r="100" spans="2:5" ht="13.5">
      <c r="B100" s="96"/>
      <c r="C100" s="45" t="s">
        <v>143</v>
      </c>
      <c r="D100" s="10">
        <v>7</v>
      </c>
      <c r="E100" s="11">
        <v>1.0519987977156598E-3</v>
      </c>
    </row>
    <row r="101" spans="2:5" ht="13.5">
      <c r="B101" s="97"/>
      <c r="C101" s="73" t="s">
        <v>46</v>
      </c>
      <c r="D101" s="74">
        <v>13</v>
      </c>
      <c r="E101" s="75">
        <v>1.953712052900511E-3</v>
      </c>
    </row>
    <row r="102" spans="2:5" ht="13.5">
      <c r="B102" s="95" t="s">
        <v>51</v>
      </c>
      <c r="C102" s="45" t="s">
        <v>144</v>
      </c>
      <c r="D102" s="10">
        <v>1</v>
      </c>
      <c r="E102" s="11">
        <v>1.5028554253080853E-4</v>
      </c>
    </row>
    <row r="103" spans="2:5" ht="13.5">
      <c r="B103" s="96"/>
      <c r="C103" s="45" t="s">
        <v>143</v>
      </c>
      <c r="D103" s="10">
        <v>1</v>
      </c>
      <c r="E103" s="11">
        <v>1.5028554253080853E-4</v>
      </c>
    </row>
    <row r="104" spans="2:5" ht="13.5">
      <c r="B104" s="97"/>
      <c r="C104" s="73" t="s">
        <v>46</v>
      </c>
      <c r="D104" s="74">
        <v>2</v>
      </c>
      <c r="E104" s="75">
        <v>3.0057108506161706E-4</v>
      </c>
    </row>
    <row r="105" spans="2:5" ht="13.5">
      <c r="B105" s="95" t="s">
        <v>85</v>
      </c>
      <c r="C105" s="45" t="s">
        <v>144</v>
      </c>
      <c r="D105" s="10">
        <v>137</v>
      </c>
      <c r="E105" s="11">
        <v>2.0589119326720768E-2</v>
      </c>
    </row>
    <row r="106" spans="2:5" ht="13.5">
      <c r="B106" s="96"/>
      <c r="C106" s="45" t="s">
        <v>143</v>
      </c>
      <c r="D106" s="10">
        <v>70</v>
      </c>
      <c r="E106" s="11">
        <v>1.0519987977156597E-2</v>
      </c>
    </row>
    <row r="107" spans="2:5" ht="13.5">
      <c r="B107" s="97"/>
      <c r="C107" s="73" t="s">
        <v>46</v>
      </c>
      <c r="D107" s="74">
        <v>207</v>
      </c>
      <c r="E107" s="75">
        <v>3.1109107303877368E-2</v>
      </c>
    </row>
    <row r="108" spans="2:5" ht="13.5">
      <c r="B108" s="95" t="s">
        <v>77</v>
      </c>
      <c r="C108" s="45" t="s">
        <v>144</v>
      </c>
      <c r="D108" s="10">
        <v>26</v>
      </c>
      <c r="E108" s="11">
        <v>3.9074241058010221E-3</v>
      </c>
    </row>
    <row r="109" spans="2:5" ht="13.5">
      <c r="B109" s="96"/>
      <c r="C109" s="45" t="s">
        <v>143</v>
      </c>
      <c r="D109" s="10">
        <v>19</v>
      </c>
      <c r="E109" s="11">
        <v>2.8554253080853623E-3</v>
      </c>
    </row>
    <row r="110" spans="2:5" ht="13.5">
      <c r="B110" s="97"/>
      <c r="C110" s="73" t="s">
        <v>46</v>
      </c>
      <c r="D110" s="74">
        <v>45</v>
      </c>
      <c r="E110" s="75">
        <v>6.762849413886384E-3</v>
      </c>
    </row>
    <row r="111" spans="2:5" ht="13.5">
      <c r="B111" s="95" t="s">
        <v>62</v>
      </c>
      <c r="C111" s="45" t="s">
        <v>144</v>
      </c>
      <c r="D111" s="10">
        <v>45</v>
      </c>
      <c r="E111" s="11">
        <v>6.762849413886384E-3</v>
      </c>
    </row>
    <row r="112" spans="2:5" ht="13.5">
      <c r="B112" s="96"/>
      <c r="C112" s="45" t="s">
        <v>143</v>
      </c>
      <c r="D112" s="10">
        <v>9</v>
      </c>
      <c r="E112" s="11">
        <v>1.3525698827772769E-3</v>
      </c>
    </row>
    <row r="113" spans="2:5" ht="13.5">
      <c r="B113" s="97"/>
      <c r="C113" s="73" t="s">
        <v>46</v>
      </c>
      <c r="D113" s="74">
        <v>54</v>
      </c>
      <c r="E113" s="75">
        <v>8.1154192966636611E-3</v>
      </c>
    </row>
    <row r="114" spans="2:5" ht="13.5">
      <c r="B114" s="95" t="s">
        <v>64</v>
      </c>
      <c r="C114" s="45" t="s">
        <v>144</v>
      </c>
      <c r="D114" s="10">
        <v>78</v>
      </c>
      <c r="E114" s="11">
        <v>1.1722272317403066E-2</v>
      </c>
    </row>
    <row r="115" spans="2:5" ht="13.5">
      <c r="B115" s="96"/>
      <c r="C115" s="45" t="s">
        <v>143</v>
      </c>
      <c r="D115" s="10">
        <v>52</v>
      </c>
      <c r="E115" s="11">
        <v>7.8148482116020442E-3</v>
      </c>
    </row>
    <row r="116" spans="2:5" ht="13.5">
      <c r="B116" s="97"/>
      <c r="C116" s="73" t="s">
        <v>46</v>
      </c>
      <c r="D116" s="74">
        <v>130</v>
      </c>
      <c r="E116" s="75">
        <v>1.9537120529005109E-2</v>
      </c>
    </row>
    <row r="117" spans="2:5" ht="13.5">
      <c r="B117" s="95" t="s">
        <v>72</v>
      </c>
      <c r="C117" s="45" t="s">
        <v>144</v>
      </c>
      <c r="D117" s="10">
        <v>62</v>
      </c>
      <c r="E117" s="11">
        <v>9.3177036369101289E-3</v>
      </c>
    </row>
    <row r="118" spans="2:5" ht="13.5">
      <c r="B118" s="96"/>
      <c r="C118" s="45" t="s">
        <v>143</v>
      </c>
      <c r="D118" s="10">
        <v>30</v>
      </c>
      <c r="E118" s="11">
        <v>4.508566275924256E-3</v>
      </c>
    </row>
    <row r="119" spans="2:5" ht="13.5">
      <c r="B119" s="97"/>
      <c r="C119" s="73" t="s">
        <v>46</v>
      </c>
      <c r="D119" s="74">
        <v>92</v>
      </c>
      <c r="E119" s="75">
        <v>1.3826269912834385E-2</v>
      </c>
    </row>
    <row r="120" spans="2:5" ht="13.5">
      <c r="B120" s="95" t="s">
        <v>84</v>
      </c>
      <c r="C120" s="45" t="s">
        <v>144</v>
      </c>
      <c r="D120" s="10">
        <v>113</v>
      </c>
      <c r="E120" s="11">
        <v>1.6982266305981365E-2</v>
      </c>
    </row>
    <row r="121" spans="2:5" ht="13.5">
      <c r="B121" s="96"/>
      <c r="C121" s="45" t="s">
        <v>143</v>
      </c>
      <c r="D121" s="10">
        <v>73</v>
      </c>
      <c r="E121" s="11">
        <v>1.0970844604749024E-2</v>
      </c>
    </row>
    <row r="122" spans="2:5" ht="13.5">
      <c r="B122" s="97"/>
      <c r="C122" s="73" t="s">
        <v>46</v>
      </c>
      <c r="D122" s="74">
        <v>186</v>
      </c>
      <c r="E122" s="75">
        <v>2.7953110910730387E-2</v>
      </c>
    </row>
    <row r="123" spans="2:5" ht="13.5">
      <c r="B123" s="95" t="s">
        <v>68</v>
      </c>
      <c r="C123" s="45" t="s">
        <v>144</v>
      </c>
      <c r="D123" s="10">
        <v>21</v>
      </c>
      <c r="E123" s="11">
        <v>3.1559963931469793E-3</v>
      </c>
    </row>
    <row r="124" spans="2:5" ht="13.5">
      <c r="B124" s="96"/>
      <c r="C124" s="45" t="s">
        <v>143</v>
      </c>
      <c r="D124" s="10">
        <v>13</v>
      </c>
      <c r="E124" s="11">
        <v>1.953712052900511E-3</v>
      </c>
    </row>
    <row r="125" spans="2:5" ht="13.5">
      <c r="B125" s="97"/>
      <c r="C125" s="73" t="s">
        <v>46</v>
      </c>
      <c r="D125" s="74">
        <v>34</v>
      </c>
      <c r="E125" s="75">
        <v>5.1097084460474899E-3</v>
      </c>
    </row>
    <row r="126" spans="2:5" ht="13.5">
      <c r="B126" s="95" t="s">
        <v>81</v>
      </c>
      <c r="C126" s="45" t="s">
        <v>144</v>
      </c>
      <c r="D126" s="10">
        <v>49</v>
      </c>
      <c r="E126" s="11">
        <v>7.3639915840096179E-3</v>
      </c>
    </row>
    <row r="127" spans="2:5" ht="13.5">
      <c r="B127" s="96"/>
      <c r="C127" s="45" t="s">
        <v>143</v>
      </c>
      <c r="D127" s="10">
        <v>21</v>
      </c>
      <c r="E127" s="11">
        <v>3.1559963931469793E-3</v>
      </c>
    </row>
    <row r="128" spans="2:5" ht="13.5">
      <c r="B128" s="97"/>
      <c r="C128" s="73" t="s">
        <v>46</v>
      </c>
      <c r="D128" s="74">
        <v>70</v>
      </c>
      <c r="E128" s="75">
        <v>1.0519987977156597E-2</v>
      </c>
    </row>
    <row r="129" spans="2:5" ht="13.5">
      <c r="B129" s="95" t="s">
        <v>82</v>
      </c>
      <c r="C129" s="45" t="s">
        <v>144</v>
      </c>
      <c r="D129" s="10">
        <v>27</v>
      </c>
      <c r="E129" s="11">
        <v>4.0577096483318306E-3</v>
      </c>
    </row>
    <row r="130" spans="2:5" ht="13.5">
      <c r="B130" s="96"/>
      <c r="C130" s="45" t="s">
        <v>143</v>
      </c>
      <c r="D130" s="10">
        <v>28</v>
      </c>
      <c r="E130" s="11">
        <v>4.207995190862639E-3</v>
      </c>
    </row>
    <row r="131" spans="2:5" ht="13.5">
      <c r="B131" s="97"/>
      <c r="C131" s="73" t="s">
        <v>46</v>
      </c>
      <c r="D131" s="74">
        <v>55</v>
      </c>
      <c r="E131" s="75">
        <v>8.2657048391944696E-3</v>
      </c>
    </row>
    <row r="132" spans="2:5" ht="13.5">
      <c r="B132" s="95" t="s">
        <v>83</v>
      </c>
      <c r="C132" s="45" t="s">
        <v>144</v>
      </c>
      <c r="D132" s="10">
        <v>54</v>
      </c>
      <c r="E132" s="11">
        <v>8.1154192966636611E-3</v>
      </c>
    </row>
    <row r="133" spans="2:5" ht="13.5">
      <c r="B133" s="96"/>
      <c r="C133" s="45" t="s">
        <v>143</v>
      </c>
      <c r="D133" s="10">
        <v>49</v>
      </c>
      <c r="E133" s="11">
        <v>7.3639915840096179E-3</v>
      </c>
    </row>
    <row r="134" spans="2:5" ht="13.5">
      <c r="B134" s="97"/>
      <c r="C134" s="73" t="s">
        <v>46</v>
      </c>
      <c r="D134" s="74">
        <v>103</v>
      </c>
      <c r="E134" s="75">
        <v>1.547941088067328E-2</v>
      </c>
    </row>
    <row r="135" spans="2:5" ht="13.5">
      <c r="B135" s="95" t="s">
        <v>61</v>
      </c>
      <c r="C135" s="45" t="s">
        <v>144</v>
      </c>
      <c r="D135" s="10">
        <v>45</v>
      </c>
      <c r="E135" s="11">
        <v>6.762849413886384E-3</v>
      </c>
    </row>
    <row r="136" spans="2:5" ht="13.5">
      <c r="B136" s="96"/>
      <c r="C136" s="45" t="s">
        <v>143</v>
      </c>
      <c r="D136" s="10">
        <v>12</v>
      </c>
      <c r="E136" s="11">
        <v>1.8034265103697023E-3</v>
      </c>
    </row>
    <row r="137" spans="2:5" ht="13.5">
      <c r="B137" s="97"/>
      <c r="C137" s="73" t="s">
        <v>46</v>
      </c>
      <c r="D137" s="74">
        <v>57</v>
      </c>
      <c r="E137" s="75">
        <v>8.5662759242560865E-3</v>
      </c>
    </row>
    <row r="138" spans="2:5" ht="13.5">
      <c r="B138" s="95" t="s">
        <v>52</v>
      </c>
      <c r="C138" s="45" t="s">
        <v>144</v>
      </c>
      <c r="D138" s="10">
        <v>3</v>
      </c>
      <c r="E138" s="11">
        <v>4.5085662759242559E-4</v>
      </c>
    </row>
    <row r="139" spans="2:5" ht="13.5">
      <c r="B139" s="96"/>
      <c r="C139" s="45" t="s">
        <v>143</v>
      </c>
      <c r="D139" s="10">
        <v>2</v>
      </c>
      <c r="E139" s="11">
        <v>3.0057108506161706E-4</v>
      </c>
    </row>
    <row r="140" spans="2:5" ht="13.5">
      <c r="B140" s="97"/>
      <c r="C140" s="73" t="s">
        <v>46</v>
      </c>
      <c r="D140" s="74">
        <v>5</v>
      </c>
      <c r="E140" s="75">
        <v>7.514277126540427E-4</v>
      </c>
    </row>
    <row r="141" spans="2:5" ht="13.5">
      <c r="B141" s="95" t="s">
        <v>17</v>
      </c>
      <c r="C141" s="45" t="s">
        <v>144</v>
      </c>
      <c r="D141" s="10">
        <v>29</v>
      </c>
      <c r="E141" s="11">
        <v>4.3582807333934475E-3</v>
      </c>
    </row>
    <row r="142" spans="2:5" ht="13.5">
      <c r="B142" s="96"/>
      <c r="C142" s="45" t="s">
        <v>143</v>
      </c>
      <c r="D142" s="10">
        <v>4</v>
      </c>
      <c r="E142" s="11">
        <v>6.0114217012323412E-4</v>
      </c>
    </row>
    <row r="143" spans="2:5" ht="13.5">
      <c r="B143" s="97"/>
      <c r="C143" s="73" t="s">
        <v>46</v>
      </c>
      <c r="D143" s="74">
        <v>33</v>
      </c>
      <c r="E143" s="75">
        <v>4.9594229035166814E-3</v>
      </c>
    </row>
    <row r="144" spans="2:5" ht="13.5">
      <c r="B144" s="95" t="s">
        <v>202</v>
      </c>
      <c r="C144" s="45" t="s">
        <v>144</v>
      </c>
      <c r="D144" s="10">
        <v>1</v>
      </c>
      <c r="E144" s="11">
        <v>1.5028554253080853E-4</v>
      </c>
    </row>
    <row r="145" spans="2:5" ht="13.5">
      <c r="B145" s="96"/>
      <c r="C145" s="45" t="s">
        <v>143</v>
      </c>
      <c r="D145" s="10">
        <v>1</v>
      </c>
      <c r="E145" s="11">
        <v>1.5028554253080853E-4</v>
      </c>
    </row>
    <row r="146" spans="2:5" ht="13.5">
      <c r="B146" s="97"/>
      <c r="C146" s="73" t="s">
        <v>46</v>
      </c>
      <c r="D146" s="74">
        <v>2</v>
      </c>
      <c r="E146" s="75">
        <v>3.0057108506161706E-4</v>
      </c>
    </row>
    <row r="147" spans="2:5" ht="13.5">
      <c r="B147" s="92" t="s">
        <v>139</v>
      </c>
      <c r="C147" s="93"/>
      <c r="D147" s="14">
        <v>6654</v>
      </c>
      <c r="E147" s="15">
        <v>1</v>
      </c>
    </row>
    <row r="149" spans="2:5">
      <c r="B149" s="17" t="s">
        <v>198</v>
      </c>
    </row>
    <row r="150" spans="2:5">
      <c r="B150" s="18" t="s">
        <v>47</v>
      </c>
    </row>
    <row r="151" spans="2:5">
      <c r="B151" s="19" t="s">
        <v>48</v>
      </c>
    </row>
    <row r="152" spans="2:5">
      <c r="B152" s="17" t="s">
        <v>49</v>
      </c>
    </row>
    <row r="153" spans="2:5">
      <c r="B153" s="17" t="s">
        <v>199</v>
      </c>
    </row>
  </sheetData>
  <mergeCells count="47">
    <mergeCell ref="B8:E10"/>
    <mergeCell ref="B28:B29"/>
    <mergeCell ref="B30:B32"/>
    <mergeCell ref="B33:B35"/>
    <mergeCell ref="B48:B50"/>
    <mergeCell ref="B45:B47"/>
    <mergeCell ref="B36:B38"/>
    <mergeCell ref="B39:B41"/>
    <mergeCell ref="B42:B44"/>
    <mergeCell ref="B99:B101"/>
    <mergeCell ref="B102:B104"/>
    <mergeCell ref="B105:B107"/>
    <mergeCell ref="B51:B53"/>
    <mergeCell ref="B54:B56"/>
    <mergeCell ref="B57:B59"/>
    <mergeCell ref="B60:B62"/>
    <mergeCell ref="B78:B80"/>
    <mergeCell ref="B81:B83"/>
    <mergeCell ref="B84:B86"/>
    <mergeCell ref="B87:B89"/>
    <mergeCell ref="B90:B92"/>
    <mergeCell ref="B63:B65"/>
    <mergeCell ref="B66:B68"/>
    <mergeCell ref="B69:B71"/>
    <mergeCell ref="B72:B74"/>
    <mergeCell ref="B75:B77"/>
    <mergeCell ref="B13:B15"/>
    <mergeCell ref="B16:B18"/>
    <mergeCell ref="B19:B21"/>
    <mergeCell ref="B22:B24"/>
    <mergeCell ref="B25:B27"/>
    <mergeCell ref="B93:B95"/>
    <mergeCell ref="B96:B98"/>
    <mergeCell ref="B108:B110"/>
    <mergeCell ref="B111:B113"/>
    <mergeCell ref="B147:C147"/>
    <mergeCell ref="B123:B125"/>
    <mergeCell ref="B126:B128"/>
    <mergeCell ref="B129:B131"/>
    <mergeCell ref="B132:B134"/>
    <mergeCell ref="B135:B137"/>
    <mergeCell ref="B138:B140"/>
    <mergeCell ref="B141:B143"/>
    <mergeCell ref="B144:B146"/>
    <mergeCell ref="B114:B116"/>
    <mergeCell ref="B117:B119"/>
    <mergeCell ref="B120:B12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60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G34"/>
  <sheetViews>
    <sheetView showGridLines="0" topLeftCell="A7" zoomScaleNormal="100" zoomScaleSheetLayoutView="100" workbookViewId="0">
      <selection activeCell="G21" sqref="G21"/>
    </sheetView>
  </sheetViews>
  <sheetFormatPr baseColWidth="10" defaultColWidth="11.42578125" defaultRowHeight="11.25"/>
  <cols>
    <col min="1" max="1" width="5.7109375" style="1" customWidth="1"/>
    <col min="2" max="2" width="19" style="31" customWidth="1"/>
    <col min="3" max="3" width="17.140625" style="31" customWidth="1"/>
    <col min="4" max="4" width="17.140625" style="44" customWidth="1"/>
    <col min="5" max="5" width="16.5703125" style="44" customWidth="1"/>
    <col min="6" max="6" width="16.5703125" style="31" customWidth="1"/>
    <col min="7" max="7" width="5.7109375" style="1" customWidth="1"/>
    <col min="8" max="16384" width="11.42578125" style="1"/>
  </cols>
  <sheetData>
    <row r="1" spans="1:7" s="46" customFormat="1" ht="15">
      <c r="B1" s="35"/>
      <c r="C1" s="31"/>
    </row>
    <row r="2" spans="1:7" s="31" customFormat="1">
      <c r="B2" s="50"/>
    </row>
    <row r="3" spans="1:7" ht="15" customHeight="1">
      <c r="B3" s="51"/>
      <c r="C3" s="2"/>
      <c r="D3" s="1"/>
      <c r="E3" s="1"/>
      <c r="G3" s="31"/>
    </row>
    <row r="4" spans="1:7" ht="30" customHeight="1">
      <c r="B4" s="51"/>
      <c r="C4" s="2"/>
      <c r="D4" s="1"/>
      <c r="E4" s="1"/>
      <c r="G4" s="31"/>
    </row>
    <row r="5" spans="1:7" ht="15" customHeight="1">
      <c r="B5" s="51"/>
      <c r="C5" s="2"/>
      <c r="D5" s="1"/>
      <c r="E5" s="1"/>
      <c r="G5" s="31"/>
    </row>
    <row r="6" spans="1:7" s="31" customFormat="1">
      <c r="B6" s="39"/>
      <c r="C6" s="33"/>
    </row>
    <row r="7" spans="1:7" s="31" customFormat="1">
      <c r="A7" s="35"/>
      <c r="B7" s="50"/>
      <c r="C7" s="35"/>
    </row>
    <row r="8" spans="1:7" s="46" customFormat="1" ht="15" customHeight="1">
      <c r="B8" s="98" t="s">
        <v>156</v>
      </c>
      <c r="C8" s="98"/>
      <c r="D8" s="98"/>
      <c r="E8" s="98"/>
      <c r="F8" s="98"/>
    </row>
    <row r="9" spans="1:7" s="46" customFormat="1" ht="15" customHeight="1">
      <c r="A9" s="48"/>
      <c r="B9" s="98"/>
      <c r="C9" s="98"/>
      <c r="D9" s="98"/>
      <c r="E9" s="98"/>
      <c r="F9" s="98"/>
      <c r="G9" s="49"/>
    </row>
    <row r="10" spans="1:7" s="46" customFormat="1" ht="15" customHeight="1">
      <c r="A10" s="48"/>
      <c r="B10" s="99"/>
      <c r="C10" s="99"/>
      <c r="D10" s="99"/>
      <c r="E10" s="99"/>
      <c r="F10" s="99"/>
      <c r="G10" s="48"/>
    </row>
    <row r="11" spans="1:7" s="46" customFormat="1" ht="36.950000000000003" customHeight="1">
      <c r="B11" s="47" t="s">
        <v>142</v>
      </c>
      <c r="C11" s="47" t="s">
        <v>155</v>
      </c>
      <c r="D11" s="47" t="s">
        <v>2</v>
      </c>
      <c r="E11" s="47" t="s">
        <v>154</v>
      </c>
      <c r="F11" s="47" t="s">
        <v>153</v>
      </c>
    </row>
    <row r="12" spans="1:7" ht="13.5">
      <c r="B12" s="100" t="s">
        <v>144</v>
      </c>
      <c r="C12" s="76" t="s">
        <v>152</v>
      </c>
      <c r="D12" s="77">
        <v>4</v>
      </c>
      <c r="E12" s="78">
        <v>9.5102234902520212E-4</v>
      </c>
      <c r="F12" s="78">
        <f t="shared" ref="F12:F28" si="0">D12/$D$28</f>
        <v>6.0114217012323412E-4</v>
      </c>
    </row>
    <row r="13" spans="1:7" ht="13.5">
      <c r="B13" s="101"/>
      <c r="C13" s="76" t="s">
        <v>151</v>
      </c>
      <c r="D13" s="77">
        <v>50</v>
      </c>
      <c r="E13" s="78">
        <v>1.1887779362815026E-2</v>
      </c>
      <c r="F13" s="78">
        <f t="shared" si="0"/>
        <v>7.5142771265404272E-3</v>
      </c>
    </row>
    <row r="14" spans="1:7" ht="13.5">
      <c r="B14" s="101"/>
      <c r="C14" s="76" t="s">
        <v>150</v>
      </c>
      <c r="D14" s="77">
        <v>873</v>
      </c>
      <c r="E14" s="78">
        <v>0.20756062767475036</v>
      </c>
      <c r="F14" s="78">
        <f t="shared" si="0"/>
        <v>0.13119927862939584</v>
      </c>
    </row>
    <row r="15" spans="1:7" ht="13.5">
      <c r="B15" s="101"/>
      <c r="C15" s="76" t="s">
        <v>149</v>
      </c>
      <c r="D15" s="77">
        <v>1555</v>
      </c>
      <c r="E15" s="78">
        <v>0.3697099381835473</v>
      </c>
      <c r="F15" s="78">
        <f t="shared" si="0"/>
        <v>0.23369401863540729</v>
      </c>
    </row>
    <row r="16" spans="1:7" ht="27">
      <c r="B16" s="101"/>
      <c r="C16" s="76" t="s">
        <v>148</v>
      </c>
      <c r="D16" s="77">
        <v>1194</v>
      </c>
      <c r="E16" s="78">
        <v>0.28388017118402281</v>
      </c>
      <c r="F16" s="78">
        <f t="shared" si="0"/>
        <v>0.17944093778178538</v>
      </c>
    </row>
    <row r="17" spans="2:6" ht="13.5">
      <c r="B17" s="101"/>
      <c r="C17" s="76" t="s">
        <v>147</v>
      </c>
      <c r="D17" s="77">
        <v>491</v>
      </c>
      <c r="E17" s="78">
        <v>0.11673799334284356</v>
      </c>
      <c r="F17" s="78">
        <f t="shared" si="0"/>
        <v>7.3790201382626985E-2</v>
      </c>
    </row>
    <row r="18" spans="2:6" ht="13.5">
      <c r="B18" s="101"/>
      <c r="C18" s="76" t="s">
        <v>146</v>
      </c>
      <c r="D18" s="77">
        <v>36</v>
      </c>
      <c r="E18" s="78">
        <v>8.5592011412268191E-3</v>
      </c>
      <c r="F18" s="78">
        <f t="shared" si="0"/>
        <v>5.4102795311091077E-3</v>
      </c>
    </row>
    <row r="19" spans="2:6" ht="13.5">
      <c r="B19" s="102"/>
      <c r="C19" s="76" t="s">
        <v>145</v>
      </c>
      <c r="D19" s="77">
        <v>3</v>
      </c>
      <c r="E19" s="78">
        <v>7.1326676176890159E-4</v>
      </c>
      <c r="F19" s="78">
        <f t="shared" si="0"/>
        <v>4.5085662759242559E-4</v>
      </c>
    </row>
    <row r="20" spans="2:6" ht="13.5">
      <c r="B20" s="95" t="s">
        <v>143</v>
      </c>
      <c r="C20" s="45" t="s">
        <v>152</v>
      </c>
      <c r="D20" s="10">
        <v>3</v>
      </c>
      <c r="E20" s="11">
        <v>1.2254901960784314E-3</v>
      </c>
      <c r="F20" s="11">
        <f t="shared" si="0"/>
        <v>4.5085662759242559E-4</v>
      </c>
    </row>
    <row r="21" spans="2:6" ht="13.5">
      <c r="B21" s="96"/>
      <c r="C21" s="45" t="s">
        <v>151</v>
      </c>
      <c r="D21" s="10">
        <v>49</v>
      </c>
      <c r="E21" s="11">
        <v>2.0016339869281044E-2</v>
      </c>
      <c r="F21" s="11">
        <f t="shared" si="0"/>
        <v>7.3639915840096179E-3</v>
      </c>
    </row>
    <row r="22" spans="2:6" ht="13.5">
      <c r="B22" s="96"/>
      <c r="C22" s="45" t="s">
        <v>150</v>
      </c>
      <c r="D22" s="10">
        <v>361</v>
      </c>
      <c r="E22" s="11">
        <v>0.14746732026143791</v>
      </c>
      <c r="F22" s="11">
        <f t="shared" si="0"/>
        <v>5.4253080853621884E-2</v>
      </c>
    </row>
    <row r="23" spans="2:6" ht="13.5">
      <c r="B23" s="96"/>
      <c r="C23" s="45" t="s">
        <v>149</v>
      </c>
      <c r="D23" s="10">
        <v>762</v>
      </c>
      <c r="E23" s="11">
        <v>0.31127450980392157</v>
      </c>
      <c r="F23" s="11">
        <f t="shared" si="0"/>
        <v>0.11451758340847611</v>
      </c>
    </row>
    <row r="24" spans="2:6" ht="27">
      <c r="B24" s="96"/>
      <c r="C24" s="45" t="s">
        <v>148</v>
      </c>
      <c r="D24" s="10">
        <v>772</v>
      </c>
      <c r="E24" s="11">
        <v>0.315359477124183</v>
      </c>
      <c r="F24" s="11">
        <f t="shared" si="0"/>
        <v>0.11602043883378418</v>
      </c>
    </row>
    <row r="25" spans="2:6" ht="13.5">
      <c r="B25" s="96"/>
      <c r="C25" s="45" t="s">
        <v>147</v>
      </c>
      <c r="D25" s="10">
        <v>450</v>
      </c>
      <c r="E25" s="11">
        <v>0.18382352941176472</v>
      </c>
      <c r="F25" s="11">
        <f t="shared" si="0"/>
        <v>6.7628494138863834E-2</v>
      </c>
    </row>
    <row r="26" spans="2:6" ht="13.5">
      <c r="B26" s="96"/>
      <c r="C26" s="45" t="s">
        <v>146</v>
      </c>
      <c r="D26" s="10">
        <v>43</v>
      </c>
      <c r="E26" s="11">
        <v>1.7565359477124183E-2</v>
      </c>
      <c r="F26" s="11">
        <f t="shared" si="0"/>
        <v>6.462278328824767E-3</v>
      </c>
    </row>
    <row r="27" spans="2:6" ht="13.5">
      <c r="B27" s="97"/>
      <c r="C27" s="45" t="s">
        <v>145</v>
      </c>
      <c r="D27" s="10">
        <v>8</v>
      </c>
      <c r="E27" s="11">
        <v>3.2679738562091504E-3</v>
      </c>
      <c r="F27" s="11">
        <f t="shared" si="0"/>
        <v>1.2022843402464682E-3</v>
      </c>
    </row>
    <row r="28" spans="2:6" ht="13.5">
      <c r="B28" s="13" t="s">
        <v>46</v>
      </c>
      <c r="C28" s="13"/>
      <c r="D28" s="14">
        <v>6654</v>
      </c>
      <c r="E28" s="15"/>
      <c r="F28" s="15">
        <f t="shared" si="0"/>
        <v>1</v>
      </c>
    </row>
    <row r="30" spans="2:6">
      <c r="B30" s="17" t="s">
        <v>198</v>
      </c>
    </row>
    <row r="31" spans="2:6">
      <c r="B31" s="18" t="s">
        <v>47</v>
      </c>
    </row>
    <row r="32" spans="2:6">
      <c r="B32" s="19" t="s">
        <v>48</v>
      </c>
    </row>
    <row r="33" spans="2:2">
      <c r="B33" s="17" t="s">
        <v>49</v>
      </c>
    </row>
    <row r="34" spans="2:2">
      <c r="B34" s="17" t="s">
        <v>199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D40"/>
  <sheetViews>
    <sheetView showGridLines="0" tabSelected="1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8" t="s">
        <v>206</v>
      </c>
      <c r="C7" s="88"/>
      <c r="D7" s="88"/>
    </row>
    <row r="8" spans="1:4" s="1" customFormat="1" ht="15" customHeight="1">
      <c r="B8" s="88"/>
      <c r="C8" s="88"/>
      <c r="D8" s="88"/>
    </row>
    <row r="9" spans="1:4" s="1" customFormat="1" ht="33" customHeight="1">
      <c r="B9" s="88"/>
      <c r="C9" s="88"/>
      <c r="D9" s="88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176</v>
      </c>
      <c r="C11" s="6" t="s">
        <v>2</v>
      </c>
      <c r="D11" s="7" t="s">
        <v>3</v>
      </c>
    </row>
    <row r="12" spans="1:4">
      <c r="B12" s="9" t="s">
        <v>175</v>
      </c>
      <c r="C12" s="10">
        <v>3851</v>
      </c>
      <c r="D12" s="11">
        <f t="shared" ref="D12:D33" si="0">C12/$C$33</f>
        <v>0.57874962428614363</v>
      </c>
    </row>
    <row r="13" spans="1:4">
      <c r="B13" s="9" t="s">
        <v>174</v>
      </c>
      <c r="C13" s="10">
        <v>1375</v>
      </c>
      <c r="D13" s="11">
        <f t="shared" si="0"/>
        <v>0.20664262097986175</v>
      </c>
    </row>
    <row r="14" spans="1:4">
      <c r="B14" s="9" t="s">
        <v>173</v>
      </c>
      <c r="C14" s="10">
        <v>387</v>
      </c>
      <c r="D14" s="11">
        <f t="shared" si="0"/>
        <v>5.8160504959422904E-2</v>
      </c>
    </row>
    <row r="15" spans="1:4">
      <c r="B15" s="9" t="s">
        <v>172</v>
      </c>
      <c r="C15" s="10">
        <v>337</v>
      </c>
      <c r="D15" s="11">
        <f t="shared" si="0"/>
        <v>5.0646227832882473E-2</v>
      </c>
    </row>
    <row r="16" spans="1:4">
      <c r="B16" s="9" t="s">
        <v>171</v>
      </c>
      <c r="C16" s="10">
        <v>176</v>
      </c>
      <c r="D16" s="11">
        <f t="shared" si="0"/>
        <v>2.6450255485422302E-2</v>
      </c>
    </row>
    <row r="17" spans="2:4">
      <c r="B17" s="9" t="s">
        <v>170</v>
      </c>
      <c r="C17" s="10">
        <v>129</v>
      </c>
      <c r="D17" s="11">
        <f t="shared" si="0"/>
        <v>1.93868349864743E-2</v>
      </c>
    </row>
    <row r="18" spans="2:4">
      <c r="B18" s="9" t="s">
        <v>169</v>
      </c>
      <c r="C18" s="10">
        <v>100</v>
      </c>
      <c r="D18" s="11">
        <f t="shared" si="0"/>
        <v>1.5028554253080854E-2</v>
      </c>
    </row>
    <row r="19" spans="2:4">
      <c r="B19" s="9" t="s">
        <v>168</v>
      </c>
      <c r="C19" s="10">
        <v>66</v>
      </c>
      <c r="D19" s="11">
        <f t="shared" si="0"/>
        <v>9.9188458070333628E-3</v>
      </c>
    </row>
    <row r="20" spans="2:4">
      <c r="B20" s="9" t="s">
        <v>167</v>
      </c>
      <c r="C20" s="10">
        <v>58</v>
      </c>
      <c r="D20" s="11">
        <f t="shared" si="0"/>
        <v>8.716561466786895E-3</v>
      </c>
    </row>
    <row r="21" spans="2:4">
      <c r="B21" s="9" t="s">
        <v>166</v>
      </c>
      <c r="C21" s="10">
        <v>51</v>
      </c>
      <c r="D21" s="11">
        <f t="shared" si="0"/>
        <v>7.6645626690712357E-3</v>
      </c>
    </row>
    <row r="22" spans="2:4">
      <c r="B22" s="9" t="s">
        <v>165</v>
      </c>
      <c r="C22" s="10">
        <v>28</v>
      </c>
      <c r="D22" s="11">
        <f t="shared" si="0"/>
        <v>4.207995190862639E-3</v>
      </c>
    </row>
    <row r="23" spans="2:4">
      <c r="B23" s="9" t="s">
        <v>161</v>
      </c>
      <c r="C23" s="10">
        <v>21</v>
      </c>
      <c r="D23" s="11">
        <f t="shared" si="0"/>
        <v>3.1559963931469793E-3</v>
      </c>
    </row>
    <row r="24" spans="2:4">
      <c r="B24" s="9" t="s">
        <v>160</v>
      </c>
      <c r="C24" s="10">
        <v>21</v>
      </c>
      <c r="D24" s="11">
        <f t="shared" si="0"/>
        <v>3.1559963931469793E-3</v>
      </c>
    </row>
    <row r="25" spans="2:4">
      <c r="B25" s="9" t="s">
        <v>163</v>
      </c>
      <c r="C25" s="10">
        <v>17</v>
      </c>
      <c r="D25" s="11">
        <f t="shared" si="0"/>
        <v>2.5548542230237449E-3</v>
      </c>
    </row>
    <row r="26" spans="2:4">
      <c r="B26" s="9" t="s">
        <v>164</v>
      </c>
      <c r="C26" s="10">
        <v>10</v>
      </c>
      <c r="D26" s="11">
        <f t="shared" si="0"/>
        <v>1.5028554253080854E-3</v>
      </c>
    </row>
    <row r="27" spans="2:4">
      <c r="B27" s="9" t="s">
        <v>162</v>
      </c>
      <c r="C27" s="10">
        <v>9</v>
      </c>
      <c r="D27" s="11">
        <f t="shared" si="0"/>
        <v>1.3525698827772769E-3</v>
      </c>
    </row>
    <row r="28" spans="2:4">
      <c r="B28" s="9" t="s">
        <v>159</v>
      </c>
      <c r="C28" s="10">
        <v>6</v>
      </c>
      <c r="D28" s="11">
        <f t="shared" si="0"/>
        <v>9.0171325518485117E-4</v>
      </c>
    </row>
    <row r="29" spans="2:4">
      <c r="B29" s="9" t="s">
        <v>158</v>
      </c>
      <c r="C29" s="10">
        <v>6</v>
      </c>
      <c r="D29" s="11">
        <f t="shared" si="0"/>
        <v>9.0171325518485117E-4</v>
      </c>
    </row>
    <row r="30" spans="2:4">
      <c r="B30" s="9" t="s">
        <v>157</v>
      </c>
      <c r="C30" s="10">
        <v>4</v>
      </c>
      <c r="D30" s="11">
        <f t="shared" si="0"/>
        <v>6.0114217012323412E-4</v>
      </c>
    </row>
    <row r="31" spans="2:4">
      <c r="B31" s="9" t="s">
        <v>207</v>
      </c>
      <c r="C31" s="10">
        <v>1</v>
      </c>
      <c r="D31" s="11">
        <f t="shared" si="0"/>
        <v>1.5028554253080853E-4</v>
      </c>
    </row>
    <row r="32" spans="2:4">
      <c r="B32" s="9" t="s">
        <v>208</v>
      </c>
      <c r="C32" s="10">
        <v>1</v>
      </c>
      <c r="D32" s="11">
        <f t="shared" si="0"/>
        <v>1.5028554253080853E-4</v>
      </c>
    </row>
    <row r="33" spans="2:4">
      <c r="B33" s="13" t="s">
        <v>46</v>
      </c>
      <c r="C33" s="14">
        <v>6654</v>
      </c>
      <c r="D33" s="15">
        <f t="shared" si="0"/>
        <v>1</v>
      </c>
    </row>
    <row r="34" spans="2:4">
      <c r="C34" s="8"/>
    </row>
    <row r="35" spans="2:4">
      <c r="B35" s="72" t="s">
        <v>198</v>
      </c>
      <c r="C35" s="8"/>
    </row>
    <row r="36" spans="2:4">
      <c r="B36" s="72" t="s">
        <v>47</v>
      </c>
      <c r="C36" s="8"/>
    </row>
    <row r="37" spans="2:4">
      <c r="B37" s="72" t="s">
        <v>48</v>
      </c>
      <c r="C37" s="8"/>
    </row>
    <row r="38" spans="2:4">
      <c r="B38" s="72" t="s">
        <v>49</v>
      </c>
      <c r="C38" s="8"/>
    </row>
    <row r="39" spans="2:4">
      <c r="B39" s="72" t="s">
        <v>199</v>
      </c>
      <c r="C39" s="8"/>
    </row>
    <row r="40" spans="2:4">
      <c r="B40" s="16"/>
      <c r="C40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Aguascalientes_EdoUsa</vt:lpstr>
      <vt:lpstr>Aguascalientes_Cons</vt:lpstr>
      <vt:lpstr>AguascalientesXCons</vt:lpstr>
      <vt:lpstr>Aguascalientes_EdoMun</vt:lpstr>
      <vt:lpstr>Aguascalientes_USAMuni</vt:lpstr>
      <vt:lpstr>Aguascalientes_MUNICIPIO</vt:lpstr>
      <vt:lpstr>Aguascalientes_educ_gral</vt:lpstr>
      <vt:lpstr>Aguascalientes_NivelE_Cons</vt:lpstr>
      <vt:lpstr>Aguascalientes_EducCons</vt:lpstr>
      <vt:lpstr>Aguascalientes_GenGral</vt:lpstr>
      <vt:lpstr>Aguascalientes_GENERO</vt:lpstr>
      <vt:lpstr>Aguascalientes_Gen_Edad</vt:lpstr>
      <vt:lpstr>Aguascalientes_ocup_gral</vt:lpstr>
      <vt:lpstr>Aguascalientes_EducCons!Área_de_impresión</vt:lpstr>
      <vt:lpstr>Aguascalientes_MUNICIPIO!Área_de_impresión</vt:lpstr>
      <vt:lpstr>Aguascalientes_NivelE_Cons!Área_de_impresión</vt:lpstr>
      <vt:lpstr>Aguascalientes_USAMuni!Área_de_impresión</vt:lpstr>
      <vt:lpstr>Aguascalientes_Cons!Títulos_a_imprimir</vt:lpstr>
      <vt:lpstr>Aguascalientes_EdoMun!Títulos_a_imprimir</vt:lpstr>
      <vt:lpstr>Aguascalientes_EdoUsa!Títulos_a_imprimir</vt:lpstr>
      <vt:lpstr>Aguascalientes_educ_gral!Títulos_a_imprimir</vt:lpstr>
      <vt:lpstr>Aguascalientes_EducCons!Títulos_a_imprimir</vt:lpstr>
      <vt:lpstr>Aguascalientes_Gen_Edad!Títulos_a_imprimir</vt:lpstr>
      <vt:lpstr>Aguascalientes_GENERO!Títulos_a_imprimir</vt:lpstr>
      <vt:lpstr>Aguascalientes_GenGral!Títulos_a_imprimir</vt:lpstr>
      <vt:lpstr>Aguascalientes_MUNICIPIO!Títulos_a_imprimir</vt:lpstr>
      <vt:lpstr>Aguascalientes_NivelE_Cons!Títulos_a_imprimir</vt:lpstr>
      <vt:lpstr>Aguascalientes_ocup_gral!Títulos_a_imprimir</vt:lpstr>
      <vt:lpstr>Aguascalientes_USAMuni!Títulos_a_imprimir</vt:lpstr>
      <vt:lpstr>AguascalientesXCons!Títulos_a_imprimir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2022-07-25T18:58:55Z</dcterms:modified>
</cp:coreProperties>
</file>