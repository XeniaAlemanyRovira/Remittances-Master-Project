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728"/>
  </bookViews>
  <sheets>
    <sheet name="Índice" sheetId="1" r:id="rId1"/>
    <sheet name="Quintana Roo_EdoUsa" sheetId="2" r:id="rId2"/>
    <sheet name="Quintana Roo_Cons" sheetId="15" r:id="rId3"/>
    <sheet name="Quintana RooXCons" sheetId="16" r:id="rId4"/>
    <sheet name="Quintana Roo_EdoMun" sheetId="5" r:id="rId5"/>
    <sheet name="Quintana Roo_USAMuni" sheetId="6" r:id="rId6"/>
    <sheet name="Quintana Roo_MUNICIPIO" sheetId="7" r:id="rId7"/>
    <sheet name="Quintana Roo_educ_gral" sheetId="8" r:id="rId8"/>
    <sheet name="Quintana Roo_NivelE_Cons" sheetId="9" r:id="rId9"/>
    <sheet name="Quintana Roo_EducCons" sheetId="10" r:id="rId10"/>
    <sheet name="Quintana Roo_GenGral" sheetId="11" r:id="rId11"/>
    <sheet name="Quintana Roo_GENERO" sheetId="12" r:id="rId12"/>
    <sheet name="Quintana Roo_Gen_Edad" sheetId="13" r:id="rId13"/>
    <sheet name="Quintana Roo_ocup_gral" sheetId="14" r:id="rId14"/>
  </sheets>
  <definedNames>
    <definedName name="_xlnm._FilterDatabase" localSheetId="2" hidden="1">'Quintana Roo_Cons'!$B$11:$D$11</definedName>
    <definedName name="_xlnm._FilterDatabase" localSheetId="4" hidden="1">'Quintana Roo_EdoMun'!$B$11:$D$11</definedName>
    <definedName name="_xlnm._FilterDatabase" localSheetId="1" hidden="1">'Quintana Roo_EdoUsa'!$B$11:$D$11</definedName>
    <definedName name="_xlnm._FilterDatabase" localSheetId="7" hidden="1">'Quintana Roo_educ_gral'!$B$11:$D$11</definedName>
    <definedName name="_xlnm._FilterDatabase" localSheetId="9" hidden="1">'Quintana Roo_EducCons'!$B$9:$E$9</definedName>
    <definedName name="_xlnm._FilterDatabase" localSheetId="11" hidden="1">'Quintana Roo_GENERO'!$B$12:$E$128</definedName>
    <definedName name="_xlnm._FilterDatabase" localSheetId="10" hidden="1">'Quintana Roo_GenGral'!$B$11:$D$11</definedName>
    <definedName name="_xlnm._FilterDatabase" localSheetId="6" hidden="1">'Quintana Roo_MUNICIPIO'!$B$9:$E$9</definedName>
    <definedName name="_xlnm._FilterDatabase" localSheetId="8" hidden="1">'Quintana Roo_NivelE_Cons'!$B$9:$E$9</definedName>
    <definedName name="_xlnm._FilterDatabase" localSheetId="13" hidden="1">'Quintana Roo_ocup_gral'!$B$11:$D$11</definedName>
    <definedName name="_xlnm._FilterDatabase" localSheetId="5" hidden="1">'Quintana Roo_USAMuni'!$B$9:$E$9</definedName>
    <definedName name="_xlnm._FilterDatabase" localSheetId="3" hidden="1">'Quintana RooXCons'!$B$11:$D$11</definedName>
    <definedName name="_xlnm.Print_Area" localSheetId="9">'Quintana Roo_EducCons'!$A$1:$E$9</definedName>
    <definedName name="_xlnm.Print_Area" localSheetId="6">'Quintana Roo_MUNICIPIO'!$A$1:$E$9</definedName>
    <definedName name="_xlnm.Print_Area" localSheetId="8">'Quintana Roo_NivelE_Cons'!$A$1:$E$9</definedName>
    <definedName name="_xlnm.Print_Area" localSheetId="5">'Quintana Roo_USAMuni'!$A$1:$E$9</definedName>
    <definedName name="_xlnm.Print_Titles" localSheetId="2">'Quintana Roo_Cons'!$1:$11</definedName>
    <definedName name="_xlnm.Print_Titles" localSheetId="4">'Quintana Roo_EdoMun'!$1:$11</definedName>
    <definedName name="_xlnm.Print_Titles" localSheetId="1">'Quintana Roo_EdoUsa'!$1:$11</definedName>
    <definedName name="_xlnm.Print_Titles" localSheetId="7">'Quintana Roo_educ_gral'!$1:$11</definedName>
    <definedName name="_xlnm.Print_Titles" localSheetId="9">'Quintana Roo_EducCons'!$1:$9</definedName>
    <definedName name="_xlnm.Print_Titles" localSheetId="12">'Quintana Roo_Gen_Edad'!$1:$12</definedName>
    <definedName name="_xlnm.Print_Titles" localSheetId="11">'Quintana Roo_GENERO'!$1:$12</definedName>
    <definedName name="_xlnm.Print_Titles" localSheetId="10">'Quintana Roo_GenGral'!$1:$11</definedName>
    <definedName name="_xlnm.Print_Titles" localSheetId="6">'Quintana Roo_MUNICIPIO'!$1:$9</definedName>
    <definedName name="_xlnm.Print_Titles" localSheetId="8">'Quintana Roo_NivelE_Cons'!$1:$9</definedName>
    <definedName name="_xlnm.Print_Titles" localSheetId="13">'Quintana Roo_ocup_gral'!$1:$11</definedName>
    <definedName name="_xlnm.Print_Titles" localSheetId="5">'Quintana Roo_USAMuni'!$1:$9</definedName>
    <definedName name="_xlnm.Print_Titles" localSheetId="3">'Quintana RooXCons'!$1:$11</definedName>
  </definedNames>
  <calcPr calcId="152511"/>
</workbook>
</file>

<file path=xl/calcChain.xml><?xml version="1.0" encoding="utf-8"?>
<calcChain xmlns="http://schemas.openxmlformats.org/spreadsheetml/2006/main">
  <c r="D27" i="14" l="1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6" i="13" l="1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5" i="8" l="1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1" i="16" l="1"/>
  <c r="D20" i="16"/>
  <c r="D19" i="16"/>
  <c r="D18" i="16"/>
  <c r="D17" i="16"/>
  <c r="D16" i="16"/>
  <c r="D15" i="16"/>
  <c r="D14" i="16"/>
  <c r="D13" i="16"/>
  <c r="D12" i="16"/>
  <c r="C22" i="16" l="1"/>
  <c r="D22" i="16" s="1"/>
</calcChain>
</file>

<file path=xl/sharedStrings.xml><?xml version="1.0" encoding="utf-8"?>
<sst xmlns="http://schemas.openxmlformats.org/spreadsheetml/2006/main" count="1366" uniqueCount="186">
  <si>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</si>
  <si>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</si>
  <si>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</si>
  <si>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</si>
  <si>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</si>
  <si>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</si>
  <si>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</si>
  <si>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</si>
  <si>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</si>
  <si>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</si>
  <si>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</si>
  <si>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</si>
  <si>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</si>
  <si>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</si>
  <si>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</si>
  <si>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</si>
  <si>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</si>
  <si>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</si>
  <si>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</si>
  <si>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</si>
  <si>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</si>
  <si>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Nebraska</t>
  </si>
  <si>
    <t>Ohio</t>
  </si>
  <si>
    <t>New Mexico</t>
  </si>
  <si>
    <t>Kentucky</t>
  </si>
  <si>
    <t>Connecticut</t>
  </si>
  <si>
    <t>Louisiana</t>
  </si>
  <si>
    <t>Oklahoma</t>
  </si>
  <si>
    <t>Arkansas</t>
  </si>
  <si>
    <t>Nevada</t>
  </si>
  <si>
    <t>Kansas</t>
  </si>
  <si>
    <t>Arizona</t>
  </si>
  <si>
    <t>New York</t>
  </si>
  <si>
    <t>Washington</t>
  </si>
  <si>
    <t>Utah</t>
  </si>
  <si>
    <t>South Carolina</t>
  </si>
  <si>
    <t>Michigan</t>
  </si>
  <si>
    <t>New Jersey</t>
  </si>
  <si>
    <t>Wisconsin</t>
  </si>
  <si>
    <t>Indiana</t>
  </si>
  <si>
    <t>Tennessee</t>
  </si>
  <si>
    <t>Colorado</t>
  </si>
  <si>
    <t>Oregon</t>
  </si>
  <si>
    <t>Minnesota</t>
  </si>
  <si>
    <t>North Carolina</t>
  </si>
  <si>
    <t>Illinois</t>
  </si>
  <si>
    <t>Virginia</t>
  </si>
  <si>
    <t>Georgia</t>
  </si>
  <si>
    <t>Florida</t>
  </si>
  <si>
    <t>Alabama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</si>
  <si>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</si>
  <si>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</si>
  <si>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</si>
  <si>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</si>
  <si>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</si>
  <si>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</si>
  <si>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Brownsville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</si>
  <si>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</si>
  <si>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</si>
  <si>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</si>
  <si>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</si>
  <si>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</si>
  <si>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</si>
  <si>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</si>
  <si>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</si>
  <si>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</si>
  <si>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</si>
  <si>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</si>
  <si>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</si>
  <si>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</si>
  <si>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</si>
  <si>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</si>
  <si>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</si>
  <si>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</si>
  <si>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</si>
  <si>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</si>
  <si>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</si>
  <si>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</si>
  <si>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</si>
  <si>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</si>
  <si>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</si>
  <si>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</si>
  <si>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</si>
  <si>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</si>
  <si>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</si>
  <si>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</si>
  <si>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</si>
  <si>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</si>
  <si>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</si>
  <si>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</si>
  <si>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</si>
  <si>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</si>
  <si>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</si>
  <si>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</si>
  <si>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Solidaridad</t>
  </si>
  <si>
    <t>Lázaro Cárdenas</t>
  </si>
  <si>
    <t>Isla Mujeres</t>
  </si>
  <si>
    <t>Cozumel</t>
  </si>
  <si>
    <t>Felipe Carrillo Puerto</t>
  </si>
  <si>
    <t>José María Morelos</t>
  </si>
  <si>
    <t>Benito Juárez</t>
  </si>
  <si>
    <t>Othón P. Blanco</t>
  </si>
  <si>
    <t>Municipio de origen</t>
  </si>
  <si>
    <t>Municipio de Origen</t>
  </si>
  <si>
    <t>Estado</t>
  </si>
  <si>
    <t>Menores De Edad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</si>
  <si>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</si>
  <si>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</si>
  <si>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</si>
  <si>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</si>
  <si>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</si>
  <si>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</si>
  <si>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</si>
  <si>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</si>
  <si>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</si>
  <si>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</si>
  <si>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</si>
  <si>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</si>
  <si>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</si>
  <si>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</si>
  <si>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</si>
  <si>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</si>
  <si>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</si>
  <si>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</si>
  <si>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</si>
  <si>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</si>
  <si>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</si>
  <si>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</si>
  <si>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</si>
  <si>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</si>
  <si>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</si>
  <si>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</si>
  <si>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</si>
  <si>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Menores de edad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</si>
  <si>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</si>
  <si>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</si>
  <si>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</si>
  <si>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</si>
  <si>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</si>
  <si>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</si>
  <si>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</si>
  <si>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</si>
  <si>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</si>
  <si>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</si>
  <si>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</si>
  <si>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</si>
  <si>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</si>
  <si>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</si>
  <si>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</si>
  <si>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QUINTANA ROO POR GÉNERO Y EDAD EN EE.UU.</t>
  </si>
  <si>
    <t>Profesionista</t>
  </si>
  <si>
    <t>Campesino(a)</t>
  </si>
  <si>
    <t>Albañil</t>
  </si>
  <si>
    <t>Pintor(a)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</si>
  <si>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</si>
  <si>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</si>
  <si>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</si>
  <si>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</si>
  <si>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</si>
  <si>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</si>
  <si>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</si>
  <si>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</si>
  <si>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Mesero(a)</t>
  </si>
  <si>
    <t>Comerciante</t>
  </si>
  <si>
    <t xml:space="preserve">  Matrículas consulares expedidas a originarios de Quintana Roo en el 2021</t>
  </si>
  <si>
    <t>MATRÍCULAS CONSULARES DE ALTA SEGURIDAD EXPEDIDAS A ORIGINARIOS DE QUINTANA ROO POR ESTADO DE LA UNIÓN AMERICANA. DURANTE EL 2021</t>
  </si>
  <si>
    <t>Mississippi</t>
  </si>
  <si>
    <t>Iowa</t>
  </si>
  <si>
    <t>Pennsylvania</t>
  </si>
  <si>
    <t>Vermont</t>
  </si>
  <si>
    <t>Tamaño de la muestra: 701,861</t>
  </si>
  <si>
    <t>Mayo de 2022</t>
  </si>
  <si>
    <t>MATRÍCULAS CONSULARES DE ALTA SEGURIDAD EXPEDIDAS DURANTE EL 2021 A ORIGINARIOS DE QUINTANA ROO EN LOS CONSULADOS DE MÉXICO EN EE.UU.</t>
  </si>
  <si>
    <t>Boston</t>
  </si>
  <si>
    <t>Yuma</t>
  </si>
  <si>
    <t>MATRÍCULAS CONSULARES DE ALTA SEGURIDAD EXPEDIDAS POR MUNICIPIO A ORIGINARIOS DEL ESTADO DE QUINTANA ROO EN LOS CONSULADOS DE MÉXICO EN EE.UU. 2021</t>
  </si>
  <si>
    <t>MATRÍCULAS CONSULARES EXPEDIDAS EN EE.UU. A ORIGINARIOS DE QUINTANA ROO POR NIVEL DE EDUCACIÓN, 2021</t>
  </si>
  <si>
    <t>4° Año de profesional</t>
  </si>
  <si>
    <t>Posgrado [Doctorado]</t>
  </si>
  <si>
    <t>MATRÍCULAS CONSULARES EXPEDIDAS A ORIGINARIOS DE QUINTANA ROO POR GÉNERO EN EE.UU DURANTE EL 2021</t>
  </si>
  <si>
    <t>MATRÍCULAS CONSULARES EXPEDIDAS A ORIGINARIOS DE QUINTANA ROO POR GÉNERO Y CONSULADO DE MÉXICO 2021</t>
  </si>
  <si>
    <t>Hasta 10 Años</t>
  </si>
  <si>
    <t>Chofer</t>
  </si>
  <si>
    <t>Operario(a)</t>
  </si>
  <si>
    <t>MATRÍCULAS CONSULARES EXPEDIDAS EN EE.UU. A ORIGINARIOS DE QUINTANA ROO POR PERFIL OCUPACIONAL, 2021</t>
  </si>
  <si>
    <t xml:space="preserve">LOS 10 CONSULADOS DE MÉXICO EN EE.UU. CON MAYOR NÚMERO DE EXPEDICIÓN DE MATRÍCULAS CONSULARES DURANTE EL 2021 A ORIGINARIOS DE QUINTANA ROO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</si>
</sst>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3" fillId="0" borderId="4" xfId="0" applyFont="1" applyBorder="1"/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648416</xdr:colOff>
      <xdr:row>1</xdr:row>
      <xdr:rowOff>193367</xdr:rowOff>
    </xdr:from>
    <xdr:to>
      <xdr:col>3</xdr:col>
      <xdr:colOff>1160513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726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114300</xdr:rowOff>
    </xdr:from>
    <xdr:to>
      <xdr:col>5</xdr:col>
      <xdr:colOff>83472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QUINTANA ROO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76637</xdr:rowOff>
    </xdr:from>
    <xdr:to>
      <xdr:col>4</xdr:col>
      <xdr:colOff>1037614</xdr:colOff>
      <xdr:row>7</xdr:row>
      <xdr:rowOff>262757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06465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QUINTANA ROO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116632</xdr:rowOff>
    </xdr:from>
    <xdr:to>
      <xdr:col>4</xdr:col>
      <xdr:colOff>1114699</xdr:colOff>
      <xdr:row>7</xdr:row>
      <xdr:rowOff>311020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469" y="1866122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66675</xdr:rowOff>
    </xdr:from>
    <xdr:to>
      <xdr:col>5</xdr:col>
      <xdr:colOff>35847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QUINTANA ROO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419920</xdr:colOff>
      <xdr:row>7</xdr:row>
      <xdr:rowOff>133145</xdr:rowOff>
    </xdr:from>
    <xdr:to>
      <xdr:col>4</xdr:col>
      <xdr:colOff>932017</xdr:colOff>
      <xdr:row>7</xdr:row>
      <xdr:rowOff>327742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69759" y="1894758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QUINTANA ROO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535781</xdr:colOff>
      <xdr:row>7</xdr:row>
      <xdr:rowOff>89297</xdr:rowOff>
    </xdr:from>
    <xdr:to>
      <xdr:col>4</xdr:col>
      <xdr:colOff>1047878</xdr:colOff>
      <xdr:row>7</xdr:row>
      <xdr:rowOff>277812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9219" y="1825625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47625</xdr:rowOff>
    </xdr:from>
    <xdr:to>
      <xdr:col>5</xdr:col>
      <xdr:colOff>121572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119064</xdr:colOff>
      <xdr:row>7</xdr:row>
      <xdr:rowOff>168672</xdr:rowOff>
    </xdr:from>
    <xdr:to>
      <xdr:col>6</xdr:col>
      <xdr:colOff>254129</xdr:colOff>
      <xdr:row>8</xdr:row>
      <xdr:rowOff>168672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28048" y="1527969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7</xdr:col>
      <xdr:colOff>126816</xdr:colOff>
      <xdr:row>8</xdr:row>
      <xdr:rowOff>192640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3090" y="1573230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171450</xdr:rowOff>
    </xdr:from>
    <xdr:to>
      <xdr:col>5</xdr:col>
      <xdr:colOff>121572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164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7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7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71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71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71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14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15</v>
      </c>
      <c r="B25" s="80"/>
      <c r="C25" s="80"/>
      <c r="D25" s="87"/>
    </row>
    <row r="26" spans="1:4">
      <c r="A26" s="11"/>
      <c r="B26" s="12"/>
      <c r="C26" s="12"/>
      <c r="D26" s="13"/>
    </row>
    <row r="27" spans="1:4" ht="18.75">
      <c r="A27" s="79" t="s">
        <v>16</v>
      </c>
      <c r="B27" s="80"/>
      <c r="C27" s="80"/>
      <c r="D27" s="87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Quintana Roo_USAMuni'!A1" display="3.2 Por Estado de USA"/>
    <hyperlink ref="A8:D8" location="'Quintana Roo_Cons'!A1" display="2. Por Circunscripción Consular"/>
    <hyperlink ref="B9:D9" location="'Quintana RooXCons'!A1" display="2.1 Top ten por circunscripción consular"/>
    <hyperlink ref="A6:D6" location="'Quintana Roo_EdoUsa'!A1" display="1. Por Estados de USA"/>
    <hyperlink ref="B12:D12" location="'Quintana Roo_EdoMun'!A1" display="3.1 Municipio general"/>
    <hyperlink ref="B14:D14" location="'Quintana Roo_MUNICIPIO'!A1" display="3.3 Por Circunscripción Consular"/>
    <hyperlink ref="B17:D17" location="'Quintana Roo_educ_gral'!A1" display="4.1 Educación general"/>
    <hyperlink ref="B18:D18" location="'Quintana Roo_NivelE_Cons'!A1" display="4.2 Por Estado de USA"/>
    <hyperlink ref="B19:D19" location="'Quintana Roo_EducCons'!A1" display="4.3 Por Circunscripción Consular"/>
    <hyperlink ref="B22:D22" location="'Quintana Roo_GenGral'!A1" display="5.1 Género General"/>
    <hyperlink ref="B23:D23" location="'Quintana Roo_GENERO'!A1" display="5.2 Por Circunscripción Consular"/>
    <hyperlink ref="A25:D25" location="'Quintana Roo_Gen_Edad'!A1" display="6. Por estructura de Edad"/>
    <hyperlink ref="A27:D27" location="'Quintana Ro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53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165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54</v>
      </c>
      <c r="C11" s="31" t="s">
        <v>53</v>
      </c>
      <c r="D11" s="30" t="s">
        <v>52</v>
      </c>
    </row>
    <row r="12" spans="1:5">
      <c r="B12" s="27" t="s">
        <v>51</v>
      </c>
      <c r="C12" s="26">
        <v>189</v>
      </c>
      <c r="D12" s="25">
        <v>0.28810975609756095</v>
      </c>
    </row>
    <row r="13" spans="1:5">
      <c r="B13" s="27" t="s">
        <v>50</v>
      </c>
      <c r="C13" s="26">
        <v>90</v>
      </c>
      <c r="D13" s="25">
        <v>0.13719512195121952</v>
      </c>
      <c r="E13" s="28"/>
    </row>
    <row r="14" spans="1:5">
      <c r="B14" s="27" t="s">
        <v>49</v>
      </c>
      <c r="C14" s="26">
        <v>52</v>
      </c>
      <c r="D14" s="25">
        <v>7.926829268292683E-2</v>
      </c>
      <c r="E14" s="28"/>
    </row>
    <row r="15" spans="1:5">
      <c r="B15" s="27" t="s">
        <v>48</v>
      </c>
      <c r="C15" s="26">
        <v>47</v>
      </c>
      <c r="D15" s="25">
        <v>7.1646341463414628E-2</v>
      </c>
    </row>
    <row r="16" spans="1:5">
      <c r="B16" s="27" t="s">
        <v>44</v>
      </c>
      <c r="C16" s="26">
        <v>39</v>
      </c>
      <c r="D16" s="25">
        <v>5.9451219512195119E-2</v>
      </c>
    </row>
    <row r="17" spans="2:4">
      <c r="B17" s="27" t="s">
        <v>45</v>
      </c>
      <c r="C17" s="26">
        <v>30</v>
      </c>
      <c r="D17" s="25">
        <v>4.573170731707317E-2</v>
      </c>
    </row>
    <row r="18" spans="2:4">
      <c r="B18" s="27" t="s">
        <v>47</v>
      </c>
      <c r="C18" s="26">
        <v>20</v>
      </c>
      <c r="D18" s="25">
        <v>3.048780487804878E-2</v>
      </c>
    </row>
    <row r="19" spans="2:4">
      <c r="B19" s="27" t="s">
        <v>46</v>
      </c>
      <c r="C19" s="26">
        <v>20</v>
      </c>
      <c r="D19" s="25">
        <v>3.048780487804878E-2</v>
      </c>
    </row>
    <row r="20" spans="2:4">
      <c r="B20" s="27" t="s">
        <v>35</v>
      </c>
      <c r="C20" s="26">
        <v>16</v>
      </c>
      <c r="D20" s="25">
        <v>2.4390243902439025E-2</v>
      </c>
    </row>
    <row r="21" spans="2:4">
      <c r="B21" s="27" t="s">
        <v>43</v>
      </c>
      <c r="C21" s="26">
        <v>15</v>
      </c>
      <c r="D21" s="25">
        <v>2.2865853658536585E-2</v>
      </c>
    </row>
    <row r="22" spans="2:4">
      <c r="B22" s="27" t="s">
        <v>32</v>
      </c>
      <c r="C22" s="26">
        <v>12</v>
      </c>
      <c r="D22" s="25">
        <v>1.8292682926829267E-2</v>
      </c>
    </row>
    <row r="23" spans="2:4">
      <c r="B23" s="27" t="s">
        <v>31</v>
      </c>
      <c r="C23" s="26">
        <v>11</v>
      </c>
      <c r="D23" s="25">
        <v>1.676829268292683E-2</v>
      </c>
    </row>
    <row r="24" spans="2:4">
      <c r="B24" s="27" t="s">
        <v>26</v>
      </c>
      <c r="C24" s="26">
        <v>11</v>
      </c>
      <c r="D24" s="25">
        <v>1.676829268292683E-2</v>
      </c>
    </row>
    <row r="25" spans="2:4">
      <c r="B25" s="27" t="s">
        <v>39</v>
      </c>
      <c r="C25" s="26">
        <v>10</v>
      </c>
      <c r="D25" s="25">
        <v>1.524390243902439E-2</v>
      </c>
    </row>
    <row r="26" spans="2:4">
      <c r="B26" s="27" t="s">
        <v>37</v>
      </c>
      <c r="C26" s="26">
        <v>10</v>
      </c>
      <c r="D26" s="25">
        <v>1.524390243902439E-2</v>
      </c>
    </row>
    <row r="27" spans="2:4">
      <c r="B27" s="27" t="s">
        <v>40</v>
      </c>
      <c r="C27" s="26">
        <v>10</v>
      </c>
      <c r="D27" s="25">
        <v>1.524390243902439E-2</v>
      </c>
    </row>
    <row r="28" spans="2:4">
      <c r="B28" s="27" t="s">
        <v>38</v>
      </c>
      <c r="C28" s="26">
        <v>8</v>
      </c>
      <c r="D28" s="25">
        <v>1.2195121951219513E-2</v>
      </c>
    </row>
    <row r="29" spans="2:4">
      <c r="B29" s="27" t="s">
        <v>41</v>
      </c>
      <c r="C29" s="26">
        <v>7</v>
      </c>
      <c r="D29" s="25">
        <v>1.0670731707317074E-2</v>
      </c>
    </row>
    <row r="30" spans="2:4">
      <c r="B30" s="27" t="s">
        <v>29</v>
      </c>
      <c r="C30" s="26">
        <v>6</v>
      </c>
      <c r="D30" s="25">
        <v>9.1463414634146336E-3</v>
      </c>
    </row>
    <row r="31" spans="2:4">
      <c r="B31" s="27" t="s">
        <v>27</v>
      </c>
      <c r="C31" s="26">
        <v>6</v>
      </c>
      <c r="D31" s="25">
        <v>9.1463414634146336E-3</v>
      </c>
    </row>
    <row r="32" spans="2:4">
      <c r="B32" s="27" t="s">
        <v>42</v>
      </c>
      <c r="C32" s="26">
        <v>6</v>
      </c>
      <c r="D32" s="25">
        <v>9.1463414634146336E-3</v>
      </c>
    </row>
    <row r="33" spans="2:4">
      <c r="B33" s="27" t="s">
        <v>21</v>
      </c>
      <c r="C33" s="26">
        <v>5</v>
      </c>
      <c r="D33" s="25">
        <v>7.621951219512195E-3</v>
      </c>
    </row>
    <row r="34" spans="2:4">
      <c r="B34" s="27" t="s">
        <v>34</v>
      </c>
      <c r="C34" s="26">
        <v>5</v>
      </c>
      <c r="D34" s="25">
        <v>7.621951219512195E-3</v>
      </c>
    </row>
    <row r="35" spans="2:4">
      <c r="B35" s="27" t="s">
        <v>30</v>
      </c>
      <c r="C35" s="26">
        <v>4</v>
      </c>
      <c r="D35" s="25">
        <v>6.0975609756097563E-3</v>
      </c>
    </row>
    <row r="36" spans="2:4">
      <c r="B36" s="27" t="s">
        <v>24</v>
      </c>
      <c r="C36" s="26">
        <v>4</v>
      </c>
      <c r="D36" s="25">
        <v>6.0975609756097563E-3</v>
      </c>
    </row>
    <row r="37" spans="2:4">
      <c r="B37" s="27" t="s">
        <v>36</v>
      </c>
      <c r="C37" s="26">
        <v>4</v>
      </c>
      <c r="D37" s="25">
        <v>6.0975609756097563E-3</v>
      </c>
    </row>
    <row r="38" spans="2:4">
      <c r="B38" s="27" t="s">
        <v>166</v>
      </c>
      <c r="C38" s="26">
        <v>4</v>
      </c>
      <c r="D38" s="25">
        <v>6.0975609756097563E-3</v>
      </c>
    </row>
    <row r="39" spans="2:4">
      <c r="B39" s="27" t="s">
        <v>33</v>
      </c>
      <c r="C39" s="26">
        <v>4</v>
      </c>
      <c r="D39" s="25">
        <v>6.0975609756097563E-3</v>
      </c>
    </row>
    <row r="40" spans="2:4">
      <c r="B40" s="27" t="s">
        <v>22</v>
      </c>
      <c r="C40" s="26">
        <v>3</v>
      </c>
      <c r="D40" s="25">
        <v>4.5731707317073168E-3</v>
      </c>
    </row>
    <row r="41" spans="2:4">
      <c r="B41" s="27" t="s">
        <v>28</v>
      </c>
      <c r="C41" s="26">
        <v>2</v>
      </c>
      <c r="D41" s="25">
        <v>3.0487804878048782E-3</v>
      </c>
    </row>
    <row r="42" spans="2:4">
      <c r="B42" s="27" t="s">
        <v>167</v>
      </c>
      <c r="C42" s="26">
        <v>2</v>
      </c>
      <c r="D42" s="25">
        <v>3.0487804878048782E-3</v>
      </c>
    </row>
    <row r="43" spans="2:4">
      <c r="B43" s="27" t="s">
        <v>25</v>
      </c>
      <c r="C43" s="26">
        <v>1</v>
      </c>
      <c r="D43" s="25">
        <v>1.5243902439024391E-3</v>
      </c>
    </row>
    <row r="44" spans="2:4">
      <c r="B44" s="27" t="s">
        <v>23</v>
      </c>
      <c r="C44" s="26">
        <v>1</v>
      </c>
      <c r="D44" s="25">
        <v>1.5243902439024391E-3</v>
      </c>
    </row>
    <row r="45" spans="2:4">
      <c r="B45" s="27" t="s">
        <v>168</v>
      </c>
      <c r="C45" s="26">
        <v>1</v>
      </c>
      <c r="D45" s="25">
        <v>1.5243902439024391E-3</v>
      </c>
    </row>
    <row r="46" spans="2:4">
      <c r="B46" s="27" t="s">
        <v>169</v>
      </c>
      <c r="C46" s="26">
        <v>1</v>
      </c>
      <c r="D46" s="25">
        <v>1.5243902439024391E-3</v>
      </c>
    </row>
    <row r="47" spans="2:4">
      <c r="B47" s="24" t="s">
        <v>20</v>
      </c>
      <c r="C47" s="23">
        <v>656</v>
      </c>
      <c r="D47" s="22">
        <v>1</v>
      </c>
    </row>
    <row r="49" spans="2:2">
      <c r="B49" s="19" t="s">
        <v>170</v>
      </c>
    </row>
    <row r="50" spans="2:2">
      <c r="B50" s="21" t="s">
        <v>19</v>
      </c>
    </row>
    <row r="51" spans="2:2">
      <c r="B51" s="20" t="s">
        <v>18</v>
      </c>
    </row>
    <row r="52" spans="2:2">
      <c r="B52" s="19" t="s">
        <v>17</v>
      </c>
    </row>
    <row r="53" spans="2:2">
      <c r="B53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58"/>
  <sheetViews>
    <sheetView showGridLines="0" topLeftCell="A22" zoomScaleNormal="100" zoomScaleSheetLayoutView="115" workbookViewId="0">
      <selection activeCell="C52" sqref="C5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172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93</v>
      </c>
      <c r="C11" s="31" t="s">
        <v>53</v>
      </c>
      <c r="D11" s="30" t="s">
        <v>52</v>
      </c>
    </row>
    <row r="12" spans="1:5">
      <c r="B12" s="27" t="s">
        <v>81</v>
      </c>
      <c r="C12" s="26">
        <v>97</v>
      </c>
      <c r="D12" s="25">
        <v>0.14786585365853658</v>
      </c>
    </row>
    <row r="13" spans="1:5">
      <c r="B13" s="27" t="s">
        <v>88</v>
      </c>
      <c r="C13" s="26">
        <v>79</v>
      </c>
      <c r="D13" s="25">
        <v>0.12042682926829268</v>
      </c>
    </row>
    <row r="14" spans="1:5">
      <c r="B14" s="27" t="s">
        <v>85</v>
      </c>
      <c r="C14" s="26">
        <v>56</v>
      </c>
      <c r="D14" s="25">
        <v>8.5365853658536592E-2</v>
      </c>
      <c r="E14" s="28"/>
    </row>
    <row r="15" spans="1:5">
      <c r="B15" s="27" t="s">
        <v>91</v>
      </c>
      <c r="C15" s="26">
        <v>39</v>
      </c>
      <c r="D15" s="25">
        <v>5.9451219512195119E-2</v>
      </c>
    </row>
    <row r="16" spans="1:5">
      <c r="B16" s="27" t="s">
        <v>92</v>
      </c>
      <c r="C16" s="26">
        <v>38</v>
      </c>
      <c r="D16" s="25">
        <v>5.7926829268292686E-2</v>
      </c>
    </row>
    <row r="17" spans="2:4">
      <c r="B17" s="27" t="s">
        <v>90</v>
      </c>
      <c r="C17" s="26">
        <v>36</v>
      </c>
      <c r="D17" s="25">
        <v>5.4878048780487805E-2</v>
      </c>
    </row>
    <row r="18" spans="2:4">
      <c r="B18" s="27" t="s">
        <v>89</v>
      </c>
      <c r="C18" s="26">
        <v>31</v>
      </c>
      <c r="D18" s="25">
        <v>4.725609756097561E-2</v>
      </c>
    </row>
    <row r="19" spans="2:4">
      <c r="B19" s="27" t="s">
        <v>79</v>
      </c>
      <c r="C19" s="26">
        <v>26</v>
      </c>
      <c r="D19" s="25">
        <v>3.9634146341463415E-2</v>
      </c>
    </row>
    <row r="20" spans="2:4">
      <c r="B20" s="27" t="s">
        <v>66</v>
      </c>
      <c r="C20" s="26">
        <v>21</v>
      </c>
      <c r="D20" s="25">
        <v>3.201219512195122E-2</v>
      </c>
    </row>
    <row r="21" spans="2:4">
      <c r="B21" s="27" t="s">
        <v>33</v>
      </c>
      <c r="C21" s="26">
        <v>20</v>
      </c>
      <c r="D21" s="25">
        <v>3.048780487804878E-2</v>
      </c>
    </row>
    <row r="22" spans="2:4">
      <c r="B22" s="27" t="s">
        <v>87</v>
      </c>
      <c r="C22" s="26">
        <v>18</v>
      </c>
      <c r="D22" s="25">
        <v>2.7439024390243903E-2</v>
      </c>
    </row>
    <row r="23" spans="2:4">
      <c r="B23" s="27" t="s">
        <v>58</v>
      </c>
      <c r="C23" s="26">
        <v>15</v>
      </c>
      <c r="D23" s="25">
        <v>2.2865853658536585E-2</v>
      </c>
    </row>
    <row r="24" spans="2:4">
      <c r="B24" s="27" t="s">
        <v>62</v>
      </c>
      <c r="C24" s="26">
        <v>15</v>
      </c>
      <c r="D24" s="25">
        <v>2.2865853658536585E-2</v>
      </c>
    </row>
    <row r="25" spans="2:4">
      <c r="B25" s="27" t="s">
        <v>84</v>
      </c>
      <c r="C25" s="26">
        <v>14</v>
      </c>
      <c r="D25" s="25">
        <v>2.1341463414634148E-2</v>
      </c>
    </row>
    <row r="26" spans="2:4">
      <c r="B26" s="27" t="s">
        <v>83</v>
      </c>
      <c r="C26" s="26">
        <v>11</v>
      </c>
      <c r="D26" s="25">
        <v>1.676829268292683E-2</v>
      </c>
    </row>
    <row r="27" spans="2:4">
      <c r="B27" s="27" t="s">
        <v>74</v>
      </c>
      <c r="C27" s="26">
        <v>10</v>
      </c>
      <c r="D27" s="25">
        <v>1.524390243902439E-2</v>
      </c>
    </row>
    <row r="28" spans="2:4">
      <c r="B28" s="27" t="s">
        <v>63</v>
      </c>
      <c r="C28" s="26">
        <v>10</v>
      </c>
      <c r="D28" s="25">
        <v>1.524390243902439E-2</v>
      </c>
    </row>
    <row r="29" spans="2:4">
      <c r="B29" s="27" t="s">
        <v>78</v>
      </c>
      <c r="C29" s="26">
        <v>9</v>
      </c>
      <c r="D29" s="25">
        <v>1.3719512195121951E-2</v>
      </c>
    </row>
    <row r="30" spans="2:4">
      <c r="B30" s="27" t="s">
        <v>80</v>
      </c>
      <c r="C30" s="26">
        <v>9</v>
      </c>
      <c r="D30" s="25">
        <v>1.3719512195121951E-2</v>
      </c>
    </row>
    <row r="31" spans="2:4">
      <c r="B31" s="27" t="s">
        <v>77</v>
      </c>
      <c r="C31" s="26">
        <v>9</v>
      </c>
      <c r="D31" s="25">
        <v>1.3719512195121951E-2</v>
      </c>
    </row>
    <row r="32" spans="2:4">
      <c r="B32" s="27" t="s">
        <v>65</v>
      </c>
      <c r="C32" s="26">
        <v>8</v>
      </c>
      <c r="D32" s="25">
        <v>1.2195121951219513E-2</v>
      </c>
    </row>
    <row r="33" spans="2:4">
      <c r="B33" s="27" t="s">
        <v>73</v>
      </c>
      <c r="C33" s="26">
        <v>7</v>
      </c>
      <c r="D33" s="25">
        <v>1.0670731707317074E-2</v>
      </c>
    </row>
    <row r="34" spans="2:4">
      <c r="B34" s="27" t="s">
        <v>60</v>
      </c>
      <c r="C34" s="26">
        <v>7</v>
      </c>
      <c r="D34" s="25">
        <v>1.0670731707317074E-2</v>
      </c>
    </row>
    <row r="35" spans="2:4">
      <c r="B35" s="27" t="s">
        <v>67</v>
      </c>
      <c r="C35" s="26">
        <v>7</v>
      </c>
      <c r="D35" s="25">
        <v>1.0670731707317074E-2</v>
      </c>
    </row>
    <row r="36" spans="2:4">
      <c r="B36" s="27" t="s">
        <v>82</v>
      </c>
      <c r="C36" s="26">
        <v>7</v>
      </c>
      <c r="D36" s="25">
        <v>1.0670731707317074E-2</v>
      </c>
    </row>
    <row r="37" spans="2:4">
      <c r="B37" s="27" t="s">
        <v>70</v>
      </c>
      <c r="C37" s="26">
        <v>6</v>
      </c>
      <c r="D37" s="25">
        <v>9.1463414634146336E-3</v>
      </c>
    </row>
    <row r="38" spans="2:4">
      <c r="B38" s="27" t="s">
        <v>86</v>
      </c>
      <c r="C38" s="26">
        <v>6</v>
      </c>
      <c r="D38" s="25">
        <v>9.1463414634146336E-3</v>
      </c>
    </row>
    <row r="39" spans="2:4">
      <c r="B39" s="27" t="s">
        <v>76</v>
      </c>
      <c r="C39" s="26">
        <v>6</v>
      </c>
      <c r="D39" s="25">
        <v>9.1463414634146336E-3</v>
      </c>
    </row>
    <row r="40" spans="2:4">
      <c r="B40" s="27" t="s">
        <v>72</v>
      </c>
      <c r="C40" s="26">
        <v>6</v>
      </c>
      <c r="D40" s="25">
        <v>9.1463414634146336E-3</v>
      </c>
    </row>
    <row r="41" spans="2:4">
      <c r="B41" s="27" t="s">
        <v>75</v>
      </c>
      <c r="C41" s="26">
        <v>5</v>
      </c>
      <c r="D41" s="25">
        <v>7.621951219512195E-3</v>
      </c>
    </row>
    <row r="42" spans="2:4">
      <c r="B42" s="27" t="s">
        <v>64</v>
      </c>
      <c r="C42" s="26">
        <v>5</v>
      </c>
      <c r="D42" s="25">
        <v>7.621951219512195E-3</v>
      </c>
    </row>
    <row r="43" spans="2:4">
      <c r="B43" s="27" t="s">
        <v>56</v>
      </c>
      <c r="C43" s="26">
        <v>4</v>
      </c>
      <c r="D43" s="25">
        <v>6.0975609756097563E-3</v>
      </c>
    </row>
    <row r="44" spans="2:4">
      <c r="B44" s="27" t="s">
        <v>69</v>
      </c>
      <c r="C44" s="26">
        <v>4</v>
      </c>
      <c r="D44" s="25">
        <v>6.0975609756097563E-3</v>
      </c>
    </row>
    <row r="45" spans="2:4">
      <c r="B45" s="27" t="s">
        <v>59</v>
      </c>
      <c r="C45" s="26">
        <v>3</v>
      </c>
      <c r="D45" s="25">
        <v>4.5731707317073168E-3</v>
      </c>
    </row>
    <row r="46" spans="2:4">
      <c r="B46" s="27" t="s">
        <v>71</v>
      </c>
      <c r="C46" s="26">
        <v>3</v>
      </c>
      <c r="D46" s="25">
        <v>4.5731707317073168E-3</v>
      </c>
    </row>
    <row r="47" spans="2:4">
      <c r="B47" s="27" t="s">
        <v>61</v>
      </c>
      <c r="C47" s="26">
        <v>3</v>
      </c>
      <c r="D47" s="25">
        <v>4.5731707317073168E-3</v>
      </c>
    </row>
    <row r="48" spans="2:4">
      <c r="B48" s="27" t="s">
        <v>57</v>
      </c>
      <c r="C48" s="26">
        <v>2</v>
      </c>
      <c r="D48" s="25">
        <v>3.0487804878048782E-3</v>
      </c>
    </row>
    <row r="49" spans="2:4">
      <c r="B49" s="27" t="s">
        <v>68</v>
      </c>
      <c r="C49" s="26">
        <v>2</v>
      </c>
      <c r="D49" s="25">
        <v>3.0487804878048782E-3</v>
      </c>
    </row>
    <row r="50" spans="2:4">
      <c r="B50" s="27" t="s">
        <v>173</v>
      </c>
      <c r="C50" s="26">
        <v>1</v>
      </c>
      <c r="D50" s="25">
        <v>1.5243902439024391E-3</v>
      </c>
    </row>
    <row r="51" spans="2:4">
      <c r="B51" s="27" t="s">
        <v>174</v>
      </c>
      <c r="C51" s="26">
        <v>1</v>
      </c>
      <c r="D51" s="25">
        <v>1.5243902439024391E-3</v>
      </c>
    </row>
    <row r="52" spans="2:4">
      <c r="B52" s="24" t="s">
        <v>20</v>
      </c>
      <c r="C52" s="23">
        <v>656</v>
      </c>
      <c r="D52" s="22">
        <v>1</v>
      </c>
    </row>
    <row r="54" spans="2:4">
      <c r="B54" s="19" t="s">
        <v>170</v>
      </c>
    </row>
    <row r="55" spans="2:4">
      <c r="B55" s="21" t="s">
        <v>19</v>
      </c>
    </row>
    <row r="56" spans="2:4">
      <c r="B56" s="20" t="s">
        <v>18</v>
      </c>
    </row>
    <row r="57" spans="2:4">
      <c r="B57" s="19" t="s">
        <v>17</v>
      </c>
    </row>
    <row r="58" spans="2:4">
      <c r="B58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4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185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93</v>
      </c>
      <c r="C11" s="31" t="s">
        <v>53</v>
      </c>
      <c r="D11" s="30" t="s">
        <v>52</v>
      </c>
    </row>
    <row r="12" spans="1:5">
      <c r="B12" s="27" t="s">
        <v>81</v>
      </c>
      <c r="C12" s="26">
        <v>97</v>
      </c>
      <c r="D12" s="25">
        <f>C12/$C$22</f>
        <v>0.21896162528216703</v>
      </c>
    </row>
    <row r="13" spans="1:5">
      <c r="B13" s="27" t="s">
        <v>88</v>
      </c>
      <c r="C13" s="26">
        <v>79</v>
      </c>
      <c r="D13" s="25">
        <f t="shared" ref="D13:D20" si="0">C13/$C$22</f>
        <v>0.17832957110609482</v>
      </c>
    </row>
    <row r="14" spans="1:5">
      <c r="B14" s="27" t="s">
        <v>85</v>
      </c>
      <c r="C14" s="26">
        <v>56</v>
      </c>
      <c r="D14" s="25">
        <f t="shared" si="0"/>
        <v>0.12641083521444696</v>
      </c>
      <c r="E14" s="28"/>
    </row>
    <row r="15" spans="1:5">
      <c r="B15" s="27" t="s">
        <v>91</v>
      </c>
      <c r="C15" s="26">
        <v>39</v>
      </c>
      <c r="D15" s="25">
        <f t="shared" si="0"/>
        <v>8.8036117381489837E-2</v>
      </c>
      <c r="E15" s="28"/>
    </row>
    <row r="16" spans="1:5">
      <c r="B16" s="27" t="s">
        <v>92</v>
      </c>
      <c r="C16" s="26">
        <v>38</v>
      </c>
      <c r="D16" s="25">
        <f t="shared" si="0"/>
        <v>8.5778781038374718E-2</v>
      </c>
    </row>
    <row r="17" spans="2:4">
      <c r="B17" s="27" t="s">
        <v>90</v>
      </c>
      <c r="C17" s="26">
        <v>36</v>
      </c>
      <c r="D17" s="25">
        <f t="shared" si="0"/>
        <v>8.1264108352144468E-2</v>
      </c>
    </row>
    <row r="18" spans="2:4">
      <c r="B18" s="27" t="s">
        <v>89</v>
      </c>
      <c r="C18" s="26">
        <v>31</v>
      </c>
      <c r="D18" s="25">
        <f t="shared" si="0"/>
        <v>6.9977426636568849E-2</v>
      </c>
    </row>
    <row r="19" spans="2:4">
      <c r="B19" s="27" t="s">
        <v>79</v>
      </c>
      <c r="C19" s="26">
        <v>26</v>
      </c>
      <c r="D19" s="25">
        <f t="shared" si="0"/>
        <v>5.8690744920993229E-2</v>
      </c>
    </row>
    <row r="20" spans="2:4">
      <c r="B20" s="27" t="s">
        <v>66</v>
      </c>
      <c r="C20" s="26">
        <v>21</v>
      </c>
      <c r="D20" s="25">
        <f t="shared" si="0"/>
        <v>4.740406320541761E-2</v>
      </c>
    </row>
    <row r="21" spans="2:4">
      <c r="B21" s="27" t="s">
        <v>33</v>
      </c>
      <c r="C21" s="26">
        <v>20</v>
      </c>
      <c r="D21" s="25">
        <f>C21/$C$22</f>
        <v>4.5146726862302484E-2</v>
      </c>
    </row>
    <row r="22" spans="2:4">
      <c r="B22" s="24" t="s">
        <v>134</v>
      </c>
      <c r="C22" s="23">
        <f>SUM(C12:C21)</f>
        <v>443</v>
      </c>
      <c r="D22" s="22">
        <f t="shared" ref="D22" si="1">C22/$C$22</f>
        <v>1</v>
      </c>
    </row>
    <row r="24" spans="2:4">
      <c r="B24" s="19" t="s">
        <v>170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"/>
  <sheetViews>
    <sheetView showGridLines="0" zoomScaleNormal="100" zoomScaleSheetLayoutView="115" workbookViewId="0">
      <selection activeCell="C18" sqref="C1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175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102</v>
      </c>
      <c r="C11" s="31" t="s">
        <v>53</v>
      </c>
      <c r="D11" s="30" t="s">
        <v>52</v>
      </c>
    </row>
    <row r="12" spans="1:5">
      <c r="B12" s="27" t="s">
        <v>101</v>
      </c>
      <c r="C12" s="26">
        <v>405</v>
      </c>
      <c r="D12" s="25">
        <v>0.61737804878048785</v>
      </c>
    </row>
    <row r="13" spans="1:5">
      <c r="B13" s="27" t="s">
        <v>100</v>
      </c>
      <c r="C13" s="26">
        <v>137</v>
      </c>
      <c r="D13" s="25">
        <v>0.20884146341463414</v>
      </c>
    </row>
    <row r="14" spans="1:5">
      <c r="B14" s="27" t="s">
        <v>99</v>
      </c>
      <c r="C14" s="26">
        <v>50</v>
      </c>
      <c r="D14" s="25">
        <v>7.621951219512195E-2</v>
      </c>
      <c r="E14" s="28"/>
    </row>
    <row r="15" spans="1:5">
      <c r="B15" s="27" t="s">
        <v>98</v>
      </c>
      <c r="C15" s="26">
        <v>32</v>
      </c>
      <c r="D15" s="25">
        <v>4.878048780487805E-2</v>
      </c>
      <c r="E15" s="28"/>
    </row>
    <row r="16" spans="1:5">
      <c r="B16" s="27" t="s">
        <v>97</v>
      </c>
      <c r="C16" s="26">
        <v>17</v>
      </c>
      <c r="D16" s="25">
        <v>2.5914634146341462E-2</v>
      </c>
    </row>
    <row r="17" spans="2:4">
      <c r="B17" s="27" t="s">
        <v>96</v>
      </c>
      <c r="C17" s="26">
        <v>5</v>
      </c>
      <c r="D17" s="25">
        <v>7.621951219512195E-3</v>
      </c>
    </row>
    <row r="18" spans="2:4">
      <c r="B18" s="27" t="s">
        <v>95</v>
      </c>
      <c r="C18" s="26">
        <v>5</v>
      </c>
      <c r="D18" s="25">
        <v>7.621951219512195E-3</v>
      </c>
    </row>
    <row r="19" spans="2:4">
      <c r="B19" s="27" t="s">
        <v>94</v>
      </c>
      <c r="C19" s="26">
        <v>5</v>
      </c>
      <c r="D19" s="25">
        <v>7.621951219512195E-3</v>
      </c>
    </row>
    <row r="20" spans="2:4">
      <c r="B20" s="24" t="s">
        <v>20</v>
      </c>
      <c r="C20" s="23">
        <v>656</v>
      </c>
      <c r="D20" s="22">
        <v>1</v>
      </c>
    </row>
    <row r="22" spans="2:4">
      <c r="B22" s="19" t="s">
        <v>170</v>
      </c>
    </row>
    <row r="23" spans="2:4">
      <c r="B23" s="21" t="s">
        <v>19</v>
      </c>
    </row>
    <row r="24" spans="2:4">
      <c r="B24" s="20" t="s">
        <v>18</v>
      </c>
    </row>
    <row r="25" spans="2:4">
      <c r="B25" s="19" t="s">
        <v>17</v>
      </c>
    </row>
    <row r="26" spans="2:4">
      <c r="B26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47"/>
  <sheetViews>
    <sheetView showGridLines="0" topLeftCell="A116" zoomScaleNormal="100" zoomScaleSheetLayoutView="85" workbookViewId="0">
      <selection activeCell="B10" sqref="B10:B1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104</v>
      </c>
      <c r="C9" s="47" t="s">
        <v>103</v>
      </c>
      <c r="D9" s="46" t="s">
        <v>53</v>
      </c>
      <c r="E9" s="45" t="s">
        <v>52</v>
      </c>
    </row>
    <row r="10" spans="1:5" ht="15" customHeight="1">
      <c r="B10" s="89" t="s">
        <v>49</v>
      </c>
      <c r="C10" s="43" t="s">
        <v>100</v>
      </c>
      <c r="D10" s="42">
        <v>3</v>
      </c>
      <c r="E10" s="41">
        <v>4.5731707317073168E-3</v>
      </c>
    </row>
    <row r="11" spans="1:5" ht="15" customHeight="1">
      <c r="B11" s="91"/>
      <c r="C11" s="43" t="s">
        <v>101</v>
      </c>
      <c r="D11" s="42">
        <v>49</v>
      </c>
      <c r="E11" s="41">
        <v>7.4695121951219509E-2</v>
      </c>
    </row>
    <row r="12" spans="1:5" ht="15" customHeight="1">
      <c r="B12" s="90"/>
      <c r="C12" s="40" t="s">
        <v>20</v>
      </c>
      <c r="D12" s="39">
        <v>52</v>
      </c>
      <c r="E12" s="38">
        <v>7.926829268292683E-2</v>
      </c>
    </row>
    <row r="13" spans="1:5" ht="15" customHeight="1">
      <c r="B13" s="89" t="s">
        <v>31</v>
      </c>
      <c r="C13" s="43" t="s">
        <v>101</v>
      </c>
      <c r="D13" s="42">
        <v>11</v>
      </c>
      <c r="E13" s="41">
        <v>1.676829268292683E-2</v>
      </c>
    </row>
    <row r="14" spans="1:5" ht="15" customHeight="1">
      <c r="B14" s="90"/>
      <c r="C14" s="40" t="s">
        <v>20</v>
      </c>
      <c r="D14" s="39">
        <v>11</v>
      </c>
      <c r="E14" s="38">
        <v>1.676829268292683E-2</v>
      </c>
    </row>
    <row r="15" spans="1:5" ht="15" customHeight="1">
      <c r="B15" s="89" t="s">
        <v>28</v>
      </c>
      <c r="C15" s="43" t="s">
        <v>100</v>
      </c>
      <c r="D15" s="42">
        <v>1</v>
      </c>
      <c r="E15" s="41">
        <v>1.5243902439024391E-3</v>
      </c>
    </row>
    <row r="16" spans="1:5" ht="15" customHeight="1">
      <c r="B16" s="91"/>
      <c r="C16" s="43" t="s">
        <v>101</v>
      </c>
      <c r="D16" s="42">
        <v>1</v>
      </c>
      <c r="E16" s="41">
        <v>1.5243902439024391E-3</v>
      </c>
    </row>
    <row r="17" spans="2:5" ht="15" customHeight="1">
      <c r="B17" s="90"/>
      <c r="C17" s="40" t="s">
        <v>20</v>
      </c>
      <c r="D17" s="39">
        <v>2</v>
      </c>
      <c r="E17" s="38">
        <v>3.0487804878048782E-3</v>
      </c>
    </row>
    <row r="18" spans="2:5" ht="15" customHeight="1">
      <c r="B18" s="89" t="s">
        <v>51</v>
      </c>
      <c r="C18" s="43" t="s">
        <v>100</v>
      </c>
      <c r="D18" s="42">
        <v>44</v>
      </c>
      <c r="E18" s="41">
        <v>6.7073170731707321E-2</v>
      </c>
    </row>
    <row r="19" spans="2:5" ht="15" customHeight="1">
      <c r="B19" s="91"/>
      <c r="C19" s="43" t="s">
        <v>97</v>
      </c>
      <c r="D19" s="42">
        <v>8</v>
      </c>
      <c r="E19" s="41">
        <v>1.2195121951219513E-2</v>
      </c>
    </row>
    <row r="20" spans="2:5" ht="15" customHeight="1">
      <c r="B20" s="91"/>
      <c r="C20" s="43" t="s">
        <v>98</v>
      </c>
      <c r="D20" s="42">
        <v>18</v>
      </c>
      <c r="E20" s="41">
        <v>2.7439024390243903E-2</v>
      </c>
    </row>
    <row r="21" spans="2:5" ht="15" customHeight="1">
      <c r="B21" s="91"/>
      <c r="C21" s="43" t="s">
        <v>96</v>
      </c>
      <c r="D21" s="42">
        <v>1</v>
      </c>
      <c r="E21" s="41">
        <v>1.5243902439024391E-3</v>
      </c>
    </row>
    <row r="22" spans="2:5" ht="15" customHeight="1">
      <c r="B22" s="91"/>
      <c r="C22" s="43" t="s">
        <v>99</v>
      </c>
      <c r="D22" s="42">
        <v>40</v>
      </c>
      <c r="E22" s="41">
        <v>6.097560975609756E-2</v>
      </c>
    </row>
    <row r="23" spans="2:5" ht="15" customHeight="1">
      <c r="B23" s="91"/>
      <c r="C23" s="43" t="s">
        <v>95</v>
      </c>
      <c r="D23" s="42">
        <v>1</v>
      </c>
      <c r="E23" s="41">
        <v>1.5243902439024391E-3</v>
      </c>
    </row>
    <row r="24" spans="2:5" ht="15" customHeight="1">
      <c r="B24" s="91"/>
      <c r="C24" s="43" t="s">
        <v>101</v>
      </c>
      <c r="D24" s="42">
        <v>76</v>
      </c>
      <c r="E24" s="41">
        <v>0.11585365853658537</v>
      </c>
    </row>
    <row r="25" spans="2:5" ht="15" customHeight="1">
      <c r="B25" s="91"/>
      <c r="C25" s="43" t="s">
        <v>94</v>
      </c>
      <c r="D25" s="42">
        <v>1</v>
      </c>
      <c r="E25" s="41">
        <v>1.5243902439024391E-3</v>
      </c>
    </row>
    <row r="26" spans="2:5" ht="15" customHeight="1">
      <c r="B26" s="90"/>
      <c r="C26" s="40" t="s">
        <v>20</v>
      </c>
      <c r="D26" s="39">
        <v>189</v>
      </c>
      <c r="E26" s="38">
        <v>0.28810975609756095</v>
      </c>
    </row>
    <row r="27" spans="2:5" ht="15" customHeight="1">
      <c r="B27" s="89" t="s">
        <v>41</v>
      </c>
      <c r="C27" s="43" t="s">
        <v>100</v>
      </c>
      <c r="D27" s="42">
        <v>4</v>
      </c>
      <c r="E27" s="41">
        <v>6.0975609756097563E-3</v>
      </c>
    </row>
    <row r="28" spans="2:5" ht="15" customHeight="1">
      <c r="B28" s="91"/>
      <c r="C28" s="43" t="s">
        <v>95</v>
      </c>
      <c r="D28" s="42">
        <v>1</v>
      </c>
      <c r="E28" s="41">
        <v>1.5243902439024391E-3</v>
      </c>
    </row>
    <row r="29" spans="2:5" ht="15" customHeight="1">
      <c r="B29" s="91"/>
      <c r="C29" s="43" t="s">
        <v>101</v>
      </c>
      <c r="D29" s="42">
        <v>2</v>
      </c>
      <c r="E29" s="41">
        <v>3.0487804878048782E-3</v>
      </c>
    </row>
    <row r="30" spans="2:5" ht="15" customHeight="1">
      <c r="B30" s="90"/>
      <c r="C30" s="40" t="s">
        <v>20</v>
      </c>
      <c r="D30" s="39">
        <v>7</v>
      </c>
      <c r="E30" s="38">
        <v>1.0670731707317074E-2</v>
      </c>
    </row>
    <row r="31" spans="2:5" ht="15" customHeight="1">
      <c r="B31" s="89" t="s">
        <v>25</v>
      </c>
      <c r="C31" s="43" t="s">
        <v>101</v>
      </c>
      <c r="D31" s="42">
        <v>1</v>
      </c>
      <c r="E31" s="41">
        <v>1.5243902439024391E-3</v>
      </c>
    </row>
    <row r="32" spans="2:5" ht="15" customHeight="1">
      <c r="B32" s="90"/>
      <c r="C32" s="40" t="s">
        <v>20</v>
      </c>
      <c r="D32" s="39">
        <v>1</v>
      </c>
      <c r="E32" s="38">
        <v>1.5243902439024391E-3</v>
      </c>
    </row>
    <row r="33" spans="2:5" ht="15" customHeight="1">
      <c r="B33" s="89" t="s">
        <v>48</v>
      </c>
      <c r="C33" s="43" t="s">
        <v>100</v>
      </c>
      <c r="D33" s="42">
        <v>10</v>
      </c>
      <c r="E33" s="41">
        <v>1.524390243902439E-2</v>
      </c>
    </row>
    <row r="34" spans="2:5" ht="15" customHeight="1">
      <c r="B34" s="91"/>
      <c r="C34" s="43" t="s">
        <v>98</v>
      </c>
      <c r="D34" s="42">
        <v>4</v>
      </c>
      <c r="E34" s="41">
        <v>6.0975609756097563E-3</v>
      </c>
    </row>
    <row r="35" spans="2:5" ht="15" customHeight="1">
      <c r="B35" s="91"/>
      <c r="C35" s="43" t="s">
        <v>101</v>
      </c>
      <c r="D35" s="42">
        <v>33</v>
      </c>
      <c r="E35" s="41">
        <v>5.0304878048780491E-2</v>
      </c>
    </row>
    <row r="36" spans="2:5" ht="15" customHeight="1">
      <c r="B36" s="90"/>
      <c r="C36" s="40" t="s">
        <v>20</v>
      </c>
      <c r="D36" s="39">
        <v>47</v>
      </c>
      <c r="E36" s="38">
        <v>7.1646341463414628E-2</v>
      </c>
    </row>
    <row r="37" spans="2:5" ht="15" customHeight="1">
      <c r="B37" s="89" t="s">
        <v>47</v>
      </c>
      <c r="C37" s="43" t="s">
        <v>100</v>
      </c>
      <c r="D37" s="42">
        <v>2</v>
      </c>
      <c r="E37" s="41">
        <v>3.0487804878048782E-3</v>
      </c>
    </row>
    <row r="38" spans="2:5" ht="15" customHeight="1">
      <c r="B38" s="91"/>
      <c r="C38" s="43" t="s">
        <v>99</v>
      </c>
      <c r="D38" s="42">
        <v>1</v>
      </c>
      <c r="E38" s="41">
        <v>1.5243902439024391E-3</v>
      </c>
    </row>
    <row r="39" spans="2:5" ht="15" customHeight="1">
      <c r="B39" s="91"/>
      <c r="C39" s="43" t="s">
        <v>101</v>
      </c>
      <c r="D39" s="42">
        <v>16</v>
      </c>
      <c r="E39" s="41">
        <v>2.4390243902439025E-2</v>
      </c>
    </row>
    <row r="40" spans="2:5" ht="15" customHeight="1">
      <c r="B40" s="91"/>
      <c r="C40" s="43" t="s">
        <v>94</v>
      </c>
      <c r="D40" s="42">
        <v>1</v>
      </c>
      <c r="E40" s="41">
        <v>1.5243902439024391E-3</v>
      </c>
    </row>
    <row r="41" spans="2:5" ht="15" customHeight="1">
      <c r="B41" s="90"/>
      <c r="C41" s="40" t="s">
        <v>20</v>
      </c>
      <c r="D41" s="39">
        <v>20</v>
      </c>
      <c r="E41" s="38">
        <v>3.048780487804878E-2</v>
      </c>
    </row>
    <row r="42" spans="2:5" ht="15" customHeight="1">
      <c r="B42" s="89" t="s">
        <v>45</v>
      </c>
      <c r="C42" s="43" t="s">
        <v>100</v>
      </c>
      <c r="D42" s="42">
        <v>15</v>
      </c>
      <c r="E42" s="41">
        <v>2.2865853658536585E-2</v>
      </c>
    </row>
    <row r="43" spans="2:5" ht="15" customHeight="1">
      <c r="B43" s="91"/>
      <c r="C43" s="43" t="s">
        <v>98</v>
      </c>
      <c r="D43" s="42">
        <v>1</v>
      </c>
      <c r="E43" s="41">
        <v>1.5243902439024391E-3</v>
      </c>
    </row>
    <row r="44" spans="2:5" ht="15" customHeight="1">
      <c r="B44" s="91"/>
      <c r="C44" s="43" t="s">
        <v>96</v>
      </c>
      <c r="D44" s="42">
        <v>1</v>
      </c>
      <c r="E44" s="41">
        <v>1.5243902439024391E-3</v>
      </c>
    </row>
    <row r="45" spans="2:5" ht="15" customHeight="1">
      <c r="B45" s="91"/>
      <c r="C45" s="43" t="s">
        <v>101</v>
      </c>
      <c r="D45" s="42">
        <v>13</v>
      </c>
      <c r="E45" s="41">
        <v>1.9817073170731708E-2</v>
      </c>
    </row>
    <row r="46" spans="2:5" ht="15" customHeight="1">
      <c r="B46" s="90"/>
      <c r="C46" s="40" t="s">
        <v>20</v>
      </c>
      <c r="D46" s="39">
        <v>30</v>
      </c>
      <c r="E46" s="38">
        <v>4.573170731707317E-2</v>
      </c>
    </row>
    <row r="47" spans="2:5" ht="15" customHeight="1">
      <c r="B47" s="89" t="s">
        <v>39</v>
      </c>
      <c r="C47" s="43" t="s">
        <v>100</v>
      </c>
      <c r="D47" s="42">
        <v>3</v>
      </c>
      <c r="E47" s="41">
        <v>4.5731707317073168E-3</v>
      </c>
    </row>
    <row r="48" spans="2:5" ht="15" customHeight="1">
      <c r="B48" s="91"/>
      <c r="C48" s="43" t="s">
        <v>101</v>
      </c>
      <c r="D48" s="42">
        <v>7</v>
      </c>
      <c r="E48" s="41">
        <v>1.0670731707317074E-2</v>
      </c>
    </row>
    <row r="49" spans="2:5" ht="15" customHeight="1">
      <c r="B49" s="90"/>
      <c r="C49" s="40" t="s">
        <v>20</v>
      </c>
      <c r="D49" s="39">
        <v>10</v>
      </c>
      <c r="E49" s="38">
        <v>1.524390243902439E-2</v>
      </c>
    </row>
    <row r="50" spans="2:5" ht="15" customHeight="1">
      <c r="B50" s="89" t="s">
        <v>167</v>
      </c>
      <c r="C50" s="43" t="s">
        <v>101</v>
      </c>
      <c r="D50" s="42">
        <v>2</v>
      </c>
      <c r="E50" s="41">
        <v>3.0487804878048782E-3</v>
      </c>
    </row>
    <row r="51" spans="2:5" ht="15" customHeight="1">
      <c r="B51" s="90"/>
      <c r="C51" s="40" t="s">
        <v>20</v>
      </c>
      <c r="D51" s="39">
        <v>2</v>
      </c>
      <c r="E51" s="38">
        <v>3.0487804878048782E-3</v>
      </c>
    </row>
    <row r="52" spans="2:5" ht="15" customHeight="1">
      <c r="B52" s="89" t="s">
        <v>30</v>
      </c>
      <c r="C52" s="43" t="s">
        <v>99</v>
      </c>
      <c r="D52" s="42">
        <v>1</v>
      </c>
      <c r="E52" s="41">
        <v>1.5243902439024391E-3</v>
      </c>
    </row>
    <row r="53" spans="2:5" ht="15" customHeight="1">
      <c r="B53" s="91"/>
      <c r="C53" s="43" t="s">
        <v>101</v>
      </c>
      <c r="D53" s="42">
        <v>3</v>
      </c>
      <c r="E53" s="41">
        <v>4.5731707317073168E-3</v>
      </c>
    </row>
    <row r="54" spans="2:5" ht="15" customHeight="1">
      <c r="B54" s="90"/>
      <c r="C54" s="40" t="s">
        <v>20</v>
      </c>
      <c r="D54" s="39">
        <v>4</v>
      </c>
      <c r="E54" s="38">
        <v>6.0975609756097563E-3</v>
      </c>
    </row>
    <row r="55" spans="2:5" ht="15" customHeight="1">
      <c r="B55" s="89" t="s">
        <v>24</v>
      </c>
      <c r="C55" s="43" t="s">
        <v>100</v>
      </c>
      <c r="D55" s="42">
        <v>1</v>
      </c>
      <c r="E55" s="41">
        <v>1.5243902439024391E-3</v>
      </c>
    </row>
    <row r="56" spans="2:5" ht="15" customHeight="1">
      <c r="B56" s="91"/>
      <c r="C56" s="43" t="s">
        <v>98</v>
      </c>
      <c r="D56" s="42">
        <v>1</v>
      </c>
      <c r="E56" s="41">
        <v>1.5243902439024391E-3</v>
      </c>
    </row>
    <row r="57" spans="2:5" ht="15" customHeight="1">
      <c r="B57" s="91"/>
      <c r="C57" s="43" t="s">
        <v>101</v>
      </c>
      <c r="D57" s="42">
        <v>2</v>
      </c>
      <c r="E57" s="41">
        <v>3.0487804878048782E-3</v>
      </c>
    </row>
    <row r="58" spans="2:5" ht="15" customHeight="1">
      <c r="B58" s="90"/>
      <c r="C58" s="40" t="s">
        <v>20</v>
      </c>
      <c r="D58" s="39">
        <v>4</v>
      </c>
      <c r="E58" s="38">
        <v>6.0975609756097563E-3</v>
      </c>
    </row>
    <row r="59" spans="2:5" ht="15" customHeight="1">
      <c r="B59" s="89" t="s">
        <v>26</v>
      </c>
      <c r="C59" s="43" t="s">
        <v>100</v>
      </c>
      <c r="D59" s="42">
        <v>3</v>
      </c>
      <c r="E59" s="41">
        <v>4.5731707317073168E-3</v>
      </c>
    </row>
    <row r="60" spans="2:5" ht="15" customHeight="1">
      <c r="B60" s="91"/>
      <c r="C60" s="43" t="s">
        <v>98</v>
      </c>
      <c r="D60" s="42">
        <v>1</v>
      </c>
      <c r="E60" s="41">
        <v>1.5243902439024391E-3</v>
      </c>
    </row>
    <row r="61" spans="2:5" ht="15" customHeight="1">
      <c r="B61" s="91"/>
      <c r="C61" s="43" t="s">
        <v>101</v>
      </c>
      <c r="D61" s="42">
        <v>7</v>
      </c>
      <c r="E61" s="41">
        <v>1.0670731707317074E-2</v>
      </c>
    </row>
    <row r="62" spans="2:5" ht="15" customHeight="1">
      <c r="B62" s="90"/>
      <c r="C62" s="40" t="s">
        <v>20</v>
      </c>
      <c r="D62" s="39">
        <v>11</v>
      </c>
      <c r="E62" s="38">
        <v>1.676829268292683E-2</v>
      </c>
    </row>
    <row r="63" spans="2:5" ht="15" customHeight="1">
      <c r="B63" s="89" t="s">
        <v>36</v>
      </c>
      <c r="C63" s="43" t="s">
        <v>100</v>
      </c>
      <c r="D63" s="42">
        <v>1</v>
      </c>
      <c r="E63" s="41">
        <v>1.5243902439024391E-3</v>
      </c>
    </row>
    <row r="64" spans="2:5" ht="15" customHeight="1">
      <c r="B64" s="91"/>
      <c r="C64" s="43" t="s">
        <v>97</v>
      </c>
      <c r="D64" s="42">
        <v>1</v>
      </c>
      <c r="E64" s="41">
        <v>1.5243902439024391E-3</v>
      </c>
    </row>
    <row r="65" spans="2:5" ht="15" customHeight="1">
      <c r="B65" s="91"/>
      <c r="C65" s="43" t="s">
        <v>101</v>
      </c>
      <c r="D65" s="42">
        <v>2</v>
      </c>
      <c r="E65" s="41">
        <v>3.0487804878048782E-3</v>
      </c>
    </row>
    <row r="66" spans="2:5" ht="15" customHeight="1">
      <c r="B66" s="90"/>
      <c r="C66" s="40" t="s">
        <v>20</v>
      </c>
      <c r="D66" s="39">
        <v>4</v>
      </c>
      <c r="E66" s="38">
        <v>6.0975609756097563E-3</v>
      </c>
    </row>
    <row r="67" spans="2:5" ht="15" customHeight="1">
      <c r="B67" s="89" t="s">
        <v>43</v>
      </c>
      <c r="C67" s="43" t="s">
        <v>100</v>
      </c>
      <c r="D67" s="42">
        <v>2</v>
      </c>
      <c r="E67" s="41">
        <v>3.0487804878048782E-3</v>
      </c>
    </row>
    <row r="68" spans="2:5" ht="15" customHeight="1">
      <c r="B68" s="91"/>
      <c r="C68" s="43" t="s">
        <v>99</v>
      </c>
      <c r="D68" s="42">
        <v>1</v>
      </c>
      <c r="E68" s="41">
        <v>1.5243902439024391E-3</v>
      </c>
    </row>
    <row r="69" spans="2:5" ht="15" customHeight="1">
      <c r="B69" s="91"/>
      <c r="C69" s="43" t="s">
        <v>101</v>
      </c>
      <c r="D69" s="42">
        <v>11</v>
      </c>
      <c r="E69" s="41">
        <v>1.676829268292683E-2</v>
      </c>
    </row>
    <row r="70" spans="2:5" ht="15" customHeight="1">
      <c r="B70" s="91"/>
      <c r="C70" s="43" t="s">
        <v>94</v>
      </c>
      <c r="D70" s="42">
        <v>1</v>
      </c>
      <c r="E70" s="41">
        <v>1.5243902439024391E-3</v>
      </c>
    </row>
    <row r="71" spans="2:5" ht="15" customHeight="1">
      <c r="B71" s="90"/>
      <c r="C71" s="40" t="s">
        <v>20</v>
      </c>
      <c r="D71" s="39">
        <v>15</v>
      </c>
      <c r="E71" s="38">
        <v>2.2865853658536585E-2</v>
      </c>
    </row>
    <row r="72" spans="2:5" ht="15" customHeight="1">
      <c r="B72" s="89" t="s">
        <v>166</v>
      </c>
      <c r="C72" s="43" t="s">
        <v>99</v>
      </c>
      <c r="D72" s="42">
        <v>1</v>
      </c>
      <c r="E72" s="41">
        <v>1.5243902439024391E-3</v>
      </c>
    </row>
    <row r="73" spans="2:5" ht="15" customHeight="1">
      <c r="B73" s="91"/>
      <c r="C73" s="43" t="s">
        <v>101</v>
      </c>
      <c r="D73" s="42">
        <v>3</v>
      </c>
      <c r="E73" s="41">
        <v>4.5731707317073168E-3</v>
      </c>
    </row>
    <row r="74" spans="2:5" ht="15" customHeight="1">
      <c r="B74" s="90"/>
      <c r="C74" s="40" t="s">
        <v>20</v>
      </c>
      <c r="D74" s="39">
        <v>4</v>
      </c>
      <c r="E74" s="38">
        <v>6.0975609756097563E-3</v>
      </c>
    </row>
    <row r="75" spans="2:5" ht="15" customHeight="1">
      <c r="B75" s="89" t="s">
        <v>21</v>
      </c>
      <c r="C75" s="43" t="s">
        <v>100</v>
      </c>
      <c r="D75" s="42">
        <v>1</v>
      </c>
      <c r="E75" s="41">
        <v>1.5243902439024391E-3</v>
      </c>
    </row>
    <row r="76" spans="2:5" ht="15" customHeight="1">
      <c r="B76" s="91"/>
      <c r="C76" s="43" t="s">
        <v>101</v>
      </c>
      <c r="D76" s="42">
        <v>4</v>
      </c>
      <c r="E76" s="41">
        <v>6.0975609756097563E-3</v>
      </c>
    </row>
    <row r="77" spans="2:5" ht="15" customHeight="1">
      <c r="B77" s="90"/>
      <c r="C77" s="40" t="s">
        <v>20</v>
      </c>
      <c r="D77" s="39">
        <v>5</v>
      </c>
      <c r="E77" s="38">
        <v>7.621951219512195E-3</v>
      </c>
    </row>
    <row r="78" spans="2:5" ht="15" customHeight="1">
      <c r="B78" s="89" t="s">
        <v>29</v>
      </c>
      <c r="C78" s="43" t="s">
        <v>100</v>
      </c>
      <c r="D78" s="42">
        <v>2</v>
      </c>
      <c r="E78" s="41">
        <v>3.0487804878048782E-3</v>
      </c>
    </row>
    <row r="79" spans="2:5" ht="15" customHeight="1">
      <c r="B79" s="91"/>
      <c r="C79" s="43" t="s">
        <v>98</v>
      </c>
      <c r="D79" s="42">
        <v>1</v>
      </c>
      <c r="E79" s="41">
        <v>1.5243902439024391E-3</v>
      </c>
    </row>
    <row r="80" spans="2:5" ht="15" customHeight="1">
      <c r="B80" s="91"/>
      <c r="C80" s="43" t="s">
        <v>101</v>
      </c>
      <c r="D80" s="42">
        <v>3</v>
      </c>
      <c r="E80" s="41">
        <v>4.5731707317073168E-3</v>
      </c>
    </row>
    <row r="81" spans="2:5" ht="15" customHeight="1">
      <c r="B81" s="90"/>
      <c r="C81" s="40" t="s">
        <v>20</v>
      </c>
      <c r="D81" s="39">
        <v>6</v>
      </c>
      <c r="E81" s="38">
        <v>9.1463414634146336E-3</v>
      </c>
    </row>
    <row r="82" spans="2:5" ht="15" customHeight="1">
      <c r="B82" s="89" t="s">
        <v>37</v>
      </c>
      <c r="C82" s="43" t="s">
        <v>96</v>
      </c>
      <c r="D82" s="42">
        <v>1</v>
      </c>
      <c r="E82" s="41">
        <v>1.5243902439024391E-3</v>
      </c>
    </row>
    <row r="83" spans="2:5" ht="15" customHeight="1">
      <c r="B83" s="91"/>
      <c r="C83" s="43" t="s">
        <v>101</v>
      </c>
      <c r="D83" s="42">
        <v>9</v>
      </c>
      <c r="E83" s="41">
        <v>1.3719512195121951E-2</v>
      </c>
    </row>
    <row r="84" spans="2:5" ht="15" customHeight="1">
      <c r="B84" s="90"/>
      <c r="C84" s="40" t="s">
        <v>20</v>
      </c>
      <c r="D84" s="39">
        <v>10</v>
      </c>
      <c r="E84" s="38">
        <v>1.524390243902439E-2</v>
      </c>
    </row>
    <row r="85" spans="2:5" ht="15" customHeight="1">
      <c r="B85" s="89" t="s">
        <v>23</v>
      </c>
      <c r="C85" s="43" t="s">
        <v>100</v>
      </c>
      <c r="D85" s="42">
        <v>1</v>
      </c>
      <c r="E85" s="41">
        <v>1.5243902439024391E-3</v>
      </c>
    </row>
    <row r="86" spans="2:5" ht="15" customHeight="1">
      <c r="B86" s="90"/>
      <c r="C86" s="40" t="s">
        <v>20</v>
      </c>
      <c r="D86" s="39">
        <v>1</v>
      </c>
      <c r="E86" s="38">
        <v>1.5243902439024391E-3</v>
      </c>
    </row>
    <row r="87" spans="2:5" ht="15" customHeight="1">
      <c r="B87" s="89" t="s">
        <v>32</v>
      </c>
      <c r="C87" s="43" t="s">
        <v>100</v>
      </c>
      <c r="D87" s="42">
        <v>3</v>
      </c>
      <c r="E87" s="41">
        <v>4.5731707317073168E-3</v>
      </c>
    </row>
    <row r="88" spans="2:5" ht="15" customHeight="1">
      <c r="B88" s="91"/>
      <c r="C88" s="43" t="s">
        <v>97</v>
      </c>
      <c r="D88" s="42">
        <v>1</v>
      </c>
      <c r="E88" s="41">
        <v>1.5243902439024391E-3</v>
      </c>
    </row>
    <row r="89" spans="2:5" ht="15" customHeight="1">
      <c r="B89" s="91"/>
      <c r="C89" s="43" t="s">
        <v>99</v>
      </c>
      <c r="D89" s="42">
        <v>2</v>
      </c>
      <c r="E89" s="41">
        <v>3.0487804878048782E-3</v>
      </c>
    </row>
    <row r="90" spans="2:5" ht="15" customHeight="1">
      <c r="B90" s="91"/>
      <c r="C90" s="43" t="s">
        <v>101</v>
      </c>
      <c r="D90" s="42">
        <v>6</v>
      </c>
      <c r="E90" s="41">
        <v>9.1463414634146336E-3</v>
      </c>
    </row>
    <row r="91" spans="2:5" ht="15" customHeight="1">
      <c r="B91" s="90"/>
      <c r="C91" s="40" t="s">
        <v>20</v>
      </c>
      <c r="D91" s="39">
        <v>12</v>
      </c>
      <c r="E91" s="38">
        <v>1.8292682926829267E-2</v>
      </c>
    </row>
    <row r="92" spans="2:5" ht="15" customHeight="1">
      <c r="B92" s="89" t="s">
        <v>44</v>
      </c>
      <c r="C92" s="43" t="s">
        <v>100</v>
      </c>
      <c r="D92" s="42">
        <v>8</v>
      </c>
      <c r="E92" s="41">
        <v>1.2195121951219513E-2</v>
      </c>
    </row>
    <row r="93" spans="2:5" ht="15" customHeight="1">
      <c r="B93" s="91"/>
      <c r="C93" s="43" t="s">
        <v>98</v>
      </c>
      <c r="D93" s="42">
        <v>2</v>
      </c>
      <c r="E93" s="41">
        <v>3.0487804878048782E-3</v>
      </c>
    </row>
    <row r="94" spans="2:5" ht="15" customHeight="1">
      <c r="B94" s="91"/>
      <c r="C94" s="43" t="s">
        <v>95</v>
      </c>
      <c r="D94" s="42">
        <v>1</v>
      </c>
      <c r="E94" s="41">
        <v>1.5243902439024391E-3</v>
      </c>
    </row>
    <row r="95" spans="2:5" ht="15" customHeight="1">
      <c r="B95" s="91"/>
      <c r="C95" s="43" t="s">
        <v>101</v>
      </c>
      <c r="D95" s="42">
        <v>27</v>
      </c>
      <c r="E95" s="41">
        <v>4.1158536585365856E-2</v>
      </c>
    </row>
    <row r="96" spans="2:5" ht="15" customHeight="1">
      <c r="B96" s="91"/>
      <c r="C96" s="43" t="s">
        <v>94</v>
      </c>
      <c r="D96" s="42">
        <v>1</v>
      </c>
      <c r="E96" s="41">
        <v>1.5243902439024391E-3</v>
      </c>
    </row>
    <row r="97" spans="2:5" ht="15" customHeight="1">
      <c r="B97" s="90"/>
      <c r="C97" s="40" t="s">
        <v>20</v>
      </c>
      <c r="D97" s="39">
        <v>39</v>
      </c>
      <c r="E97" s="38">
        <v>5.9451219512195119E-2</v>
      </c>
    </row>
    <row r="98" spans="2:5" ht="15" customHeight="1">
      <c r="B98" s="89" t="s">
        <v>22</v>
      </c>
      <c r="C98" s="43" t="s">
        <v>101</v>
      </c>
      <c r="D98" s="42">
        <v>3</v>
      </c>
      <c r="E98" s="41">
        <v>4.5731707317073168E-3</v>
      </c>
    </row>
    <row r="99" spans="2:5" ht="15" customHeight="1">
      <c r="B99" s="90"/>
      <c r="C99" s="40" t="s">
        <v>20</v>
      </c>
      <c r="D99" s="39">
        <v>3</v>
      </c>
      <c r="E99" s="38">
        <v>4.5731707317073168E-3</v>
      </c>
    </row>
    <row r="100" spans="2:5" ht="15" customHeight="1">
      <c r="B100" s="89" t="s">
        <v>27</v>
      </c>
      <c r="C100" s="43" t="s">
        <v>101</v>
      </c>
      <c r="D100" s="42">
        <v>6</v>
      </c>
      <c r="E100" s="41">
        <v>9.1463414634146336E-3</v>
      </c>
    </row>
    <row r="101" spans="2:5" ht="15" customHeight="1">
      <c r="B101" s="90"/>
      <c r="C101" s="40" t="s">
        <v>20</v>
      </c>
      <c r="D101" s="39">
        <v>6</v>
      </c>
      <c r="E101" s="38">
        <v>9.1463414634146336E-3</v>
      </c>
    </row>
    <row r="102" spans="2:5" ht="15" customHeight="1">
      <c r="B102" s="89" t="s">
        <v>42</v>
      </c>
      <c r="C102" s="43" t="s">
        <v>100</v>
      </c>
      <c r="D102" s="42">
        <v>1</v>
      </c>
      <c r="E102" s="41">
        <v>1.5243902439024391E-3</v>
      </c>
    </row>
    <row r="103" spans="2:5" ht="15" customHeight="1">
      <c r="B103" s="91"/>
      <c r="C103" s="43" t="s">
        <v>99</v>
      </c>
      <c r="D103" s="42">
        <v>2</v>
      </c>
      <c r="E103" s="41">
        <v>3.0487804878048782E-3</v>
      </c>
    </row>
    <row r="104" spans="2:5" ht="15" customHeight="1">
      <c r="B104" s="91"/>
      <c r="C104" s="43" t="s">
        <v>101</v>
      </c>
      <c r="D104" s="42">
        <v>3</v>
      </c>
      <c r="E104" s="41">
        <v>4.5731707317073168E-3</v>
      </c>
    </row>
    <row r="105" spans="2:5" ht="15" customHeight="1">
      <c r="B105" s="90"/>
      <c r="C105" s="40" t="s">
        <v>20</v>
      </c>
      <c r="D105" s="39">
        <v>6</v>
      </c>
      <c r="E105" s="38">
        <v>9.1463414634146336E-3</v>
      </c>
    </row>
    <row r="106" spans="2:5" ht="15" customHeight="1">
      <c r="B106" s="89" t="s">
        <v>168</v>
      </c>
      <c r="C106" s="43" t="s">
        <v>101</v>
      </c>
      <c r="D106" s="42">
        <v>1</v>
      </c>
      <c r="E106" s="41">
        <v>1.5243902439024391E-3</v>
      </c>
    </row>
    <row r="107" spans="2:5" ht="15" customHeight="1">
      <c r="B107" s="90"/>
      <c r="C107" s="40" t="s">
        <v>20</v>
      </c>
      <c r="D107" s="39">
        <v>1</v>
      </c>
      <c r="E107" s="38">
        <v>1.5243902439024391E-3</v>
      </c>
    </row>
    <row r="108" spans="2:5" ht="15" customHeight="1">
      <c r="B108" s="89" t="s">
        <v>35</v>
      </c>
      <c r="C108" s="43" t="s">
        <v>100</v>
      </c>
      <c r="D108" s="42">
        <v>4</v>
      </c>
      <c r="E108" s="41">
        <v>6.0975609756097563E-3</v>
      </c>
    </row>
    <row r="109" spans="2:5" ht="15" customHeight="1">
      <c r="B109" s="91"/>
      <c r="C109" s="43" t="s">
        <v>97</v>
      </c>
      <c r="D109" s="42">
        <v>2</v>
      </c>
      <c r="E109" s="41">
        <v>3.0487804878048782E-3</v>
      </c>
    </row>
    <row r="110" spans="2:5" ht="15" customHeight="1">
      <c r="B110" s="91"/>
      <c r="C110" s="43" t="s">
        <v>95</v>
      </c>
      <c r="D110" s="42">
        <v>1</v>
      </c>
      <c r="E110" s="41">
        <v>1.5243902439024391E-3</v>
      </c>
    </row>
    <row r="111" spans="2:5" ht="15" customHeight="1">
      <c r="B111" s="91"/>
      <c r="C111" s="43" t="s">
        <v>101</v>
      </c>
      <c r="D111" s="42">
        <v>9</v>
      </c>
      <c r="E111" s="41">
        <v>1.3719512195121951E-2</v>
      </c>
    </row>
    <row r="112" spans="2:5" ht="15" customHeight="1">
      <c r="B112" s="90"/>
      <c r="C112" s="40" t="s">
        <v>20</v>
      </c>
      <c r="D112" s="39">
        <v>16</v>
      </c>
      <c r="E112" s="38">
        <v>2.4390243902439025E-2</v>
      </c>
    </row>
    <row r="113" spans="2:5" ht="15" customHeight="1">
      <c r="B113" s="89" t="s">
        <v>40</v>
      </c>
      <c r="C113" s="43" t="s">
        <v>100</v>
      </c>
      <c r="D113" s="42">
        <v>4</v>
      </c>
      <c r="E113" s="41">
        <v>6.0975609756097563E-3</v>
      </c>
    </row>
    <row r="114" spans="2:5" ht="15" customHeight="1">
      <c r="B114" s="91"/>
      <c r="C114" s="43" t="s">
        <v>95</v>
      </c>
      <c r="D114" s="42">
        <v>1</v>
      </c>
      <c r="E114" s="41">
        <v>1.5243902439024391E-3</v>
      </c>
    </row>
    <row r="115" spans="2:5" ht="15" customHeight="1">
      <c r="B115" s="91"/>
      <c r="C115" s="43" t="s">
        <v>101</v>
      </c>
      <c r="D115" s="42">
        <v>5</v>
      </c>
      <c r="E115" s="41">
        <v>7.621951219512195E-3</v>
      </c>
    </row>
    <row r="116" spans="2:5" ht="15" customHeight="1">
      <c r="B116" s="90"/>
      <c r="C116" s="40" t="s">
        <v>20</v>
      </c>
      <c r="D116" s="39">
        <v>10</v>
      </c>
      <c r="E116" s="38">
        <v>1.524390243902439E-2</v>
      </c>
    </row>
    <row r="117" spans="2:5" ht="15" customHeight="1">
      <c r="B117" s="89" t="s">
        <v>50</v>
      </c>
      <c r="C117" s="43" t="s">
        <v>100</v>
      </c>
      <c r="D117" s="42">
        <v>17</v>
      </c>
      <c r="E117" s="41">
        <v>2.5914634146341462E-2</v>
      </c>
    </row>
    <row r="118" spans="2:5" ht="15" customHeight="1">
      <c r="B118" s="91"/>
      <c r="C118" s="43" t="s">
        <v>97</v>
      </c>
      <c r="D118" s="42">
        <v>4</v>
      </c>
      <c r="E118" s="41">
        <v>6.0975609756097563E-3</v>
      </c>
    </row>
    <row r="119" spans="2:5" ht="15" customHeight="1">
      <c r="B119" s="91"/>
      <c r="C119" s="43" t="s">
        <v>98</v>
      </c>
      <c r="D119" s="42">
        <v>3</v>
      </c>
      <c r="E119" s="41">
        <v>4.5731707317073168E-3</v>
      </c>
    </row>
    <row r="120" spans="2:5" ht="15" customHeight="1">
      <c r="B120" s="91"/>
      <c r="C120" s="43" t="s">
        <v>96</v>
      </c>
      <c r="D120" s="42">
        <v>2</v>
      </c>
      <c r="E120" s="41">
        <v>3.0487804878048782E-3</v>
      </c>
    </row>
    <row r="121" spans="2:5" ht="15" customHeight="1">
      <c r="B121" s="91"/>
      <c r="C121" s="43" t="s">
        <v>99</v>
      </c>
      <c r="D121" s="42">
        <v>2</v>
      </c>
      <c r="E121" s="41">
        <v>3.0487804878048782E-3</v>
      </c>
    </row>
    <row r="122" spans="2:5" ht="15" customHeight="1">
      <c r="B122" s="91"/>
      <c r="C122" s="43" t="s">
        <v>101</v>
      </c>
      <c r="D122" s="42">
        <v>62</v>
      </c>
      <c r="E122" s="41">
        <v>9.451219512195122E-2</v>
      </c>
    </row>
    <row r="123" spans="2:5" ht="15" customHeight="1">
      <c r="B123" s="90"/>
      <c r="C123" s="40" t="s">
        <v>20</v>
      </c>
      <c r="D123" s="39">
        <v>90</v>
      </c>
      <c r="E123" s="38">
        <v>0.13719512195121952</v>
      </c>
    </row>
    <row r="124" spans="2:5" ht="15" customHeight="1">
      <c r="B124" s="89" t="s">
        <v>34</v>
      </c>
      <c r="C124" s="43" t="s">
        <v>100</v>
      </c>
      <c r="D124" s="42">
        <v>3</v>
      </c>
      <c r="E124" s="41">
        <v>4.5731707317073168E-3</v>
      </c>
    </row>
    <row r="125" spans="2:5" ht="15" customHeight="1">
      <c r="B125" s="91"/>
      <c r="C125" s="43" t="s">
        <v>101</v>
      </c>
      <c r="D125" s="42">
        <v>2</v>
      </c>
      <c r="E125" s="41">
        <v>3.0487804878048782E-3</v>
      </c>
    </row>
    <row r="126" spans="2:5" ht="15" customHeight="1">
      <c r="B126" s="90"/>
      <c r="C126" s="40" t="s">
        <v>20</v>
      </c>
      <c r="D126" s="39">
        <v>5</v>
      </c>
      <c r="E126" s="38">
        <v>7.621951219512195E-3</v>
      </c>
    </row>
    <row r="127" spans="2:5" ht="15" customHeight="1">
      <c r="B127" s="89" t="s">
        <v>169</v>
      </c>
      <c r="C127" s="43" t="s">
        <v>101</v>
      </c>
      <c r="D127" s="42">
        <v>1</v>
      </c>
      <c r="E127" s="41">
        <v>1.5243902439024391E-3</v>
      </c>
    </row>
    <row r="128" spans="2:5" ht="15" customHeight="1">
      <c r="B128" s="90"/>
      <c r="C128" s="40" t="s">
        <v>20</v>
      </c>
      <c r="D128" s="39">
        <v>1</v>
      </c>
      <c r="E128" s="38">
        <v>1.5243902439024391E-3</v>
      </c>
    </row>
    <row r="129" spans="2:5" ht="15" customHeight="1">
      <c r="B129" s="89" t="s">
        <v>46</v>
      </c>
      <c r="C129" s="43" t="s">
        <v>100</v>
      </c>
      <c r="D129" s="42">
        <v>1</v>
      </c>
      <c r="E129" s="41">
        <v>1.5243902439024391E-3</v>
      </c>
    </row>
    <row r="130" spans="2:5" ht="15" customHeight="1">
      <c r="B130" s="91"/>
      <c r="C130" s="43" t="s">
        <v>101</v>
      </c>
      <c r="D130" s="42">
        <v>18</v>
      </c>
      <c r="E130" s="41">
        <v>2.7439024390243903E-2</v>
      </c>
    </row>
    <row r="131" spans="2:5" ht="15" customHeight="1">
      <c r="B131" s="91"/>
      <c r="C131" s="43" t="s">
        <v>94</v>
      </c>
      <c r="D131" s="42">
        <v>1</v>
      </c>
      <c r="E131" s="41">
        <v>1.5243902439024391E-3</v>
      </c>
    </row>
    <row r="132" spans="2:5" ht="15" customHeight="1">
      <c r="B132" s="90"/>
      <c r="C132" s="40" t="s">
        <v>20</v>
      </c>
      <c r="D132" s="39">
        <v>20</v>
      </c>
      <c r="E132" s="38">
        <v>3.048780487804878E-2</v>
      </c>
    </row>
    <row r="133" spans="2:5" ht="15" customHeight="1">
      <c r="B133" s="89" t="s">
        <v>33</v>
      </c>
      <c r="C133" s="43" t="s">
        <v>100</v>
      </c>
      <c r="D133" s="42">
        <v>1</v>
      </c>
      <c r="E133" s="41">
        <v>1.5243902439024391E-3</v>
      </c>
    </row>
    <row r="134" spans="2:5" ht="15" customHeight="1">
      <c r="B134" s="91"/>
      <c r="C134" s="43" t="s">
        <v>101</v>
      </c>
      <c r="D134" s="42">
        <v>3</v>
      </c>
      <c r="E134" s="41">
        <v>4.5731707317073168E-3</v>
      </c>
    </row>
    <row r="135" spans="2:5" ht="15" customHeight="1">
      <c r="B135" s="90"/>
      <c r="C135" s="40" t="s">
        <v>20</v>
      </c>
      <c r="D135" s="39">
        <v>4</v>
      </c>
      <c r="E135" s="38">
        <v>6.0975609756097563E-3</v>
      </c>
    </row>
    <row r="136" spans="2:5" ht="15" customHeight="1">
      <c r="B136" s="89" t="s">
        <v>38</v>
      </c>
      <c r="C136" s="43" t="s">
        <v>100</v>
      </c>
      <c r="D136" s="42">
        <v>2</v>
      </c>
      <c r="E136" s="41">
        <v>3.0487804878048782E-3</v>
      </c>
    </row>
    <row r="137" spans="2:5" ht="15" customHeight="1">
      <c r="B137" s="91"/>
      <c r="C137" s="43" t="s">
        <v>97</v>
      </c>
      <c r="D137" s="42">
        <v>1</v>
      </c>
      <c r="E137" s="41">
        <v>1.5243902439024391E-3</v>
      </c>
    </row>
    <row r="138" spans="2:5" ht="15" customHeight="1">
      <c r="B138" s="91"/>
      <c r="C138" s="43" t="s">
        <v>98</v>
      </c>
      <c r="D138" s="42">
        <v>1</v>
      </c>
      <c r="E138" s="41">
        <v>1.5243902439024391E-3</v>
      </c>
    </row>
    <row r="139" spans="2:5" ht="15" customHeight="1">
      <c r="B139" s="91"/>
      <c r="C139" s="43" t="s">
        <v>101</v>
      </c>
      <c r="D139" s="42">
        <v>4</v>
      </c>
      <c r="E139" s="41">
        <v>6.0975609756097563E-3</v>
      </c>
    </row>
    <row r="140" spans="2:5" ht="15" customHeight="1">
      <c r="B140" s="90"/>
      <c r="C140" s="40" t="s">
        <v>20</v>
      </c>
      <c r="D140" s="39">
        <v>8</v>
      </c>
      <c r="E140" s="38">
        <v>1.2195121951219513E-2</v>
      </c>
    </row>
    <row r="141" spans="2:5" ht="15" customHeight="1">
      <c r="B141" s="92" t="s">
        <v>20</v>
      </c>
      <c r="C141" s="93"/>
      <c r="D141" s="69">
        <v>656</v>
      </c>
      <c r="E141" s="70">
        <v>1</v>
      </c>
    </row>
    <row r="143" spans="2:5" ht="15" customHeight="1">
      <c r="B143" s="19" t="s">
        <v>170</v>
      </c>
    </row>
    <row r="144" spans="2:5" ht="15" customHeight="1">
      <c r="B144" s="21" t="s">
        <v>19</v>
      </c>
    </row>
    <row r="145" spans="2:2" ht="15" customHeight="1">
      <c r="B145" s="20" t="s">
        <v>18</v>
      </c>
    </row>
    <row r="146" spans="2:2" ht="15" customHeight="1">
      <c r="B146" s="19" t="s">
        <v>17</v>
      </c>
    </row>
    <row r="147" spans="2:2" ht="15" customHeight="1">
      <c r="B147" s="19" t="s">
        <v>171</v>
      </c>
    </row>
  </sheetData>
  <mergeCells count="37">
    <mergeCell ref="B7:E8"/>
    <mergeCell ref="B55:B58"/>
    <mergeCell ref="B10:B12"/>
    <mergeCell ref="B13:B14"/>
    <mergeCell ref="B15:B17"/>
    <mergeCell ref="B18:B26"/>
    <mergeCell ref="B27:B30"/>
    <mergeCell ref="B85:B86"/>
    <mergeCell ref="B31:B32"/>
    <mergeCell ref="B33:B36"/>
    <mergeCell ref="B37:B41"/>
    <mergeCell ref="B42:B46"/>
    <mergeCell ref="B47:B49"/>
    <mergeCell ref="B50:B51"/>
    <mergeCell ref="B52:B54"/>
    <mergeCell ref="B59:B62"/>
    <mergeCell ref="B63:B66"/>
    <mergeCell ref="B67:B71"/>
    <mergeCell ref="B72:B74"/>
    <mergeCell ref="B75:B77"/>
    <mergeCell ref="B78:B81"/>
    <mergeCell ref="B82:B84"/>
    <mergeCell ref="B106:B107"/>
    <mergeCell ref="B108:B112"/>
    <mergeCell ref="B113:B116"/>
    <mergeCell ref="B117:B123"/>
    <mergeCell ref="B124:B126"/>
    <mergeCell ref="B87:B91"/>
    <mergeCell ref="B92:B97"/>
    <mergeCell ref="B98:B99"/>
    <mergeCell ref="B100:B101"/>
    <mergeCell ref="B102:B105"/>
    <mergeCell ref="B127:B128"/>
    <mergeCell ref="B129:B132"/>
    <mergeCell ref="B133:B135"/>
    <mergeCell ref="B136:B140"/>
    <mergeCell ref="B141:C1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8"/>
  <sheetViews>
    <sheetView showGridLines="0" topLeftCell="A148" zoomScaleNormal="100" zoomScaleSheetLayoutView="85" workbookViewId="0">
      <selection activeCell="B10" sqref="B10:B1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93</v>
      </c>
      <c r="C9" s="47" t="s">
        <v>103</v>
      </c>
      <c r="D9" s="46" t="s">
        <v>53</v>
      </c>
      <c r="E9" s="45" t="s">
        <v>52</v>
      </c>
    </row>
    <row r="10" spans="1:5" ht="15" customHeight="1">
      <c r="B10" s="89" t="s">
        <v>88</v>
      </c>
      <c r="C10" s="43" t="s">
        <v>100</v>
      </c>
      <c r="D10" s="42">
        <v>9</v>
      </c>
      <c r="E10" s="41">
        <v>1.3719512195121951E-2</v>
      </c>
    </row>
    <row r="11" spans="1:5" ht="15" customHeight="1">
      <c r="B11" s="91"/>
      <c r="C11" s="43" t="s">
        <v>99</v>
      </c>
      <c r="D11" s="42">
        <v>1</v>
      </c>
      <c r="E11" s="41">
        <v>1.5243902439024391E-3</v>
      </c>
    </row>
    <row r="12" spans="1:5" ht="15" customHeight="1">
      <c r="B12" s="91"/>
      <c r="C12" s="43" t="s">
        <v>95</v>
      </c>
      <c r="D12" s="42">
        <v>1</v>
      </c>
      <c r="E12" s="41">
        <v>1.5243902439024391E-3</v>
      </c>
    </row>
    <row r="13" spans="1:5" ht="15" customHeight="1">
      <c r="B13" s="91"/>
      <c r="C13" s="43" t="s">
        <v>101</v>
      </c>
      <c r="D13" s="42">
        <v>67</v>
      </c>
      <c r="E13" s="41">
        <v>0.10213414634146341</v>
      </c>
    </row>
    <row r="14" spans="1:5" ht="15" customHeight="1">
      <c r="B14" s="91"/>
      <c r="C14" s="43" t="s">
        <v>94</v>
      </c>
      <c r="D14" s="42">
        <v>1</v>
      </c>
      <c r="E14" s="41">
        <v>1.5243902439024391E-3</v>
      </c>
    </row>
    <row r="15" spans="1:5" ht="15" customHeight="1">
      <c r="B15" s="90"/>
      <c r="C15" s="40" t="s">
        <v>20</v>
      </c>
      <c r="D15" s="39">
        <v>79</v>
      </c>
      <c r="E15" s="38">
        <v>0.12042682926829268</v>
      </c>
    </row>
    <row r="16" spans="1:5" ht="15" customHeight="1">
      <c r="B16" s="89" t="s">
        <v>78</v>
      </c>
      <c r="C16" s="43" t="s">
        <v>100</v>
      </c>
      <c r="D16" s="42">
        <v>3</v>
      </c>
      <c r="E16" s="41">
        <v>4.5731707317073168E-3</v>
      </c>
    </row>
    <row r="17" spans="2:5" ht="15" customHeight="1">
      <c r="B17" s="91"/>
      <c r="C17" s="43" t="s">
        <v>97</v>
      </c>
      <c r="D17" s="42">
        <v>1</v>
      </c>
      <c r="E17" s="41">
        <v>1.5243902439024391E-3</v>
      </c>
    </row>
    <row r="18" spans="2:5" ht="15" customHeight="1">
      <c r="B18" s="91"/>
      <c r="C18" s="43" t="s">
        <v>98</v>
      </c>
      <c r="D18" s="42">
        <v>1</v>
      </c>
      <c r="E18" s="41">
        <v>1.5243902439024391E-3</v>
      </c>
    </row>
    <row r="19" spans="2:5" ht="15" customHeight="1">
      <c r="B19" s="91"/>
      <c r="C19" s="43" t="s">
        <v>99</v>
      </c>
      <c r="D19" s="42">
        <v>1</v>
      </c>
      <c r="E19" s="41">
        <v>1.5243902439024391E-3</v>
      </c>
    </row>
    <row r="20" spans="2:5" ht="15" customHeight="1">
      <c r="B20" s="91"/>
      <c r="C20" s="43" t="s">
        <v>101</v>
      </c>
      <c r="D20" s="42">
        <v>3</v>
      </c>
      <c r="E20" s="41">
        <v>4.5731707317073168E-3</v>
      </c>
    </row>
    <row r="21" spans="2:5" ht="15" customHeight="1">
      <c r="B21" s="90"/>
      <c r="C21" s="40" t="s">
        <v>20</v>
      </c>
      <c r="D21" s="39">
        <v>9</v>
      </c>
      <c r="E21" s="38">
        <v>1.3719512195121951E-2</v>
      </c>
    </row>
    <row r="22" spans="2:5" ht="15" customHeight="1">
      <c r="B22" s="89" t="s">
        <v>173</v>
      </c>
      <c r="C22" s="43" t="s">
        <v>101</v>
      </c>
      <c r="D22" s="42">
        <v>1</v>
      </c>
      <c r="E22" s="41">
        <v>1.5243902439024391E-3</v>
      </c>
    </row>
    <row r="23" spans="2:5" ht="15" customHeight="1">
      <c r="B23" s="90"/>
      <c r="C23" s="40" t="s">
        <v>20</v>
      </c>
      <c r="D23" s="39">
        <v>1</v>
      </c>
      <c r="E23" s="38">
        <v>1.5243902439024391E-3</v>
      </c>
    </row>
    <row r="24" spans="2:5" ht="15" customHeight="1">
      <c r="B24" s="89" t="s">
        <v>56</v>
      </c>
      <c r="C24" s="43" t="s">
        <v>97</v>
      </c>
      <c r="D24" s="42">
        <v>1</v>
      </c>
      <c r="E24" s="41">
        <v>1.5243902439024391E-3</v>
      </c>
    </row>
    <row r="25" spans="2:5" ht="15" customHeight="1">
      <c r="B25" s="91"/>
      <c r="C25" s="43" t="s">
        <v>101</v>
      </c>
      <c r="D25" s="42">
        <v>3</v>
      </c>
      <c r="E25" s="41">
        <v>4.5731707317073168E-3</v>
      </c>
    </row>
    <row r="26" spans="2:5" ht="15" customHeight="1">
      <c r="B26" s="90"/>
      <c r="C26" s="40" t="s">
        <v>20</v>
      </c>
      <c r="D26" s="39">
        <v>4</v>
      </c>
      <c r="E26" s="38">
        <v>6.0975609756097563E-3</v>
      </c>
    </row>
    <row r="27" spans="2:5" ht="15" customHeight="1">
      <c r="B27" s="89" t="s">
        <v>91</v>
      </c>
      <c r="C27" s="43" t="s">
        <v>100</v>
      </c>
      <c r="D27" s="42">
        <v>17</v>
      </c>
      <c r="E27" s="41">
        <v>2.5914634146341462E-2</v>
      </c>
    </row>
    <row r="28" spans="2:5" ht="15" customHeight="1">
      <c r="B28" s="91"/>
      <c r="C28" s="43" t="s">
        <v>98</v>
      </c>
      <c r="D28" s="42">
        <v>1</v>
      </c>
      <c r="E28" s="41">
        <v>1.5243902439024391E-3</v>
      </c>
    </row>
    <row r="29" spans="2:5" ht="15" customHeight="1">
      <c r="B29" s="91"/>
      <c r="C29" s="43" t="s">
        <v>96</v>
      </c>
      <c r="D29" s="42">
        <v>1</v>
      </c>
      <c r="E29" s="41">
        <v>1.5243902439024391E-3</v>
      </c>
    </row>
    <row r="30" spans="2:5" ht="15" customHeight="1">
      <c r="B30" s="91"/>
      <c r="C30" s="43" t="s">
        <v>101</v>
      </c>
      <c r="D30" s="42">
        <v>20</v>
      </c>
      <c r="E30" s="41">
        <v>3.048780487804878E-2</v>
      </c>
    </row>
    <row r="31" spans="2:5" ht="15" customHeight="1">
      <c r="B31" s="90"/>
      <c r="C31" s="40" t="s">
        <v>20</v>
      </c>
      <c r="D31" s="39">
        <v>39</v>
      </c>
      <c r="E31" s="38">
        <v>5.9451219512195119E-2</v>
      </c>
    </row>
    <row r="32" spans="2:5" ht="15" customHeight="1">
      <c r="B32" s="89" t="s">
        <v>89</v>
      </c>
      <c r="C32" s="43" t="s">
        <v>100</v>
      </c>
      <c r="D32" s="42">
        <v>4</v>
      </c>
      <c r="E32" s="41">
        <v>6.0975609756097563E-3</v>
      </c>
    </row>
    <row r="33" spans="2:5" ht="15" customHeight="1">
      <c r="B33" s="91"/>
      <c r="C33" s="43" t="s">
        <v>96</v>
      </c>
      <c r="D33" s="42">
        <v>1</v>
      </c>
      <c r="E33" s="41">
        <v>1.5243902439024391E-3</v>
      </c>
    </row>
    <row r="34" spans="2:5" ht="15" customHeight="1">
      <c r="B34" s="91"/>
      <c r="C34" s="43" t="s">
        <v>99</v>
      </c>
      <c r="D34" s="42">
        <v>1</v>
      </c>
      <c r="E34" s="41">
        <v>1.5243902439024391E-3</v>
      </c>
    </row>
    <row r="35" spans="2:5" ht="15" customHeight="1">
      <c r="B35" s="91"/>
      <c r="C35" s="43" t="s">
        <v>101</v>
      </c>
      <c r="D35" s="42">
        <v>25</v>
      </c>
      <c r="E35" s="41">
        <v>3.8109756097560975E-2</v>
      </c>
    </row>
    <row r="36" spans="2:5" ht="15" customHeight="1">
      <c r="B36" s="90"/>
      <c r="C36" s="40" t="s">
        <v>20</v>
      </c>
      <c r="D36" s="39">
        <v>31</v>
      </c>
      <c r="E36" s="38">
        <v>4.725609756097561E-2</v>
      </c>
    </row>
    <row r="37" spans="2:5" ht="15" customHeight="1">
      <c r="B37" s="89" t="s">
        <v>73</v>
      </c>
      <c r="C37" s="43" t="s">
        <v>100</v>
      </c>
      <c r="D37" s="42">
        <v>4</v>
      </c>
      <c r="E37" s="41">
        <v>6.0975609756097563E-3</v>
      </c>
    </row>
    <row r="38" spans="2:5" ht="15" customHeight="1">
      <c r="B38" s="91"/>
      <c r="C38" s="43" t="s">
        <v>95</v>
      </c>
      <c r="D38" s="42">
        <v>1</v>
      </c>
      <c r="E38" s="41">
        <v>1.5243902439024391E-3</v>
      </c>
    </row>
    <row r="39" spans="2:5" ht="15" customHeight="1">
      <c r="B39" s="91"/>
      <c r="C39" s="43" t="s">
        <v>101</v>
      </c>
      <c r="D39" s="42">
        <v>2</v>
      </c>
      <c r="E39" s="41">
        <v>3.0487804878048782E-3</v>
      </c>
    </row>
    <row r="40" spans="2:5" ht="15" customHeight="1">
      <c r="B40" s="90"/>
      <c r="C40" s="40" t="s">
        <v>20</v>
      </c>
      <c r="D40" s="39">
        <v>7</v>
      </c>
      <c r="E40" s="38">
        <v>1.0670731707317074E-2</v>
      </c>
    </row>
    <row r="41" spans="2:5" ht="15" customHeight="1">
      <c r="B41" s="89" t="s">
        <v>59</v>
      </c>
      <c r="C41" s="43" t="s">
        <v>97</v>
      </c>
      <c r="D41" s="42">
        <v>1</v>
      </c>
      <c r="E41" s="41">
        <v>1.5243902439024391E-3</v>
      </c>
    </row>
    <row r="42" spans="2:5" ht="15" customHeight="1">
      <c r="B42" s="91"/>
      <c r="C42" s="43" t="s">
        <v>101</v>
      </c>
      <c r="D42" s="42">
        <v>2</v>
      </c>
      <c r="E42" s="41">
        <v>3.0487804878048782E-3</v>
      </c>
    </row>
    <row r="43" spans="2:5" ht="15" customHeight="1">
      <c r="B43" s="90"/>
      <c r="C43" s="40" t="s">
        <v>20</v>
      </c>
      <c r="D43" s="39">
        <v>3</v>
      </c>
      <c r="E43" s="38">
        <v>4.5731707317073168E-3</v>
      </c>
    </row>
    <row r="44" spans="2:5" ht="15" customHeight="1">
      <c r="B44" s="89" t="s">
        <v>57</v>
      </c>
      <c r="C44" s="43" t="s">
        <v>100</v>
      </c>
      <c r="D44" s="42">
        <v>1</v>
      </c>
      <c r="E44" s="41">
        <v>1.5243902439024391E-3</v>
      </c>
    </row>
    <row r="45" spans="2:5" ht="15" customHeight="1">
      <c r="B45" s="91"/>
      <c r="C45" s="43" t="s">
        <v>101</v>
      </c>
      <c r="D45" s="42">
        <v>1</v>
      </c>
      <c r="E45" s="41">
        <v>1.5243902439024391E-3</v>
      </c>
    </row>
    <row r="46" spans="2:5" ht="15" customHeight="1">
      <c r="B46" s="90"/>
      <c r="C46" s="40" t="s">
        <v>20</v>
      </c>
      <c r="D46" s="39">
        <v>2</v>
      </c>
      <c r="E46" s="38">
        <v>3.0487804878048782E-3</v>
      </c>
    </row>
    <row r="47" spans="2:5" ht="15" customHeight="1">
      <c r="B47" s="89" t="s">
        <v>70</v>
      </c>
      <c r="C47" s="43" t="s">
        <v>101</v>
      </c>
      <c r="D47" s="42">
        <v>6</v>
      </c>
      <c r="E47" s="41">
        <v>9.1463414634146336E-3</v>
      </c>
    </row>
    <row r="48" spans="2:5" ht="15" customHeight="1">
      <c r="B48" s="90"/>
      <c r="C48" s="40" t="s">
        <v>20</v>
      </c>
      <c r="D48" s="39">
        <v>6</v>
      </c>
      <c r="E48" s="38">
        <v>9.1463414634146336E-3</v>
      </c>
    </row>
    <row r="49" spans="2:5" ht="15" customHeight="1">
      <c r="B49" s="89" t="s">
        <v>86</v>
      </c>
      <c r="C49" s="43" t="s">
        <v>100</v>
      </c>
      <c r="D49" s="42">
        <v>1</v>
      </c>
      <c r="E49" s="41">
        <v>1.5243902439024391E-3</v>
      </c>
    </row>
    <row r="50" spans="2:5" ht="15" customHeight="1">
      <c r="B50" s="91"/>
      <c r="C50" s="43" t="s">
        <v>101</v>
      </c>
      <c r="D50" s="42">
        <v>5</v>
      </c>
      <c r="E50" s="41">
        <v>7.621951219512195E-3</v>
      </c>
    </row>
    <row r="51" spans="2:5" ht="15" customHeight="1">
      <c r="B51" s="90"/>
      <c r="C51" s="40" t="s">
        <v>20</v>
      </c>
      <c r="D51" s="39">
        <v>6</v>
      </c>
      <c r="E51" s="38">
        <v>9.1463414634146336E-3</v>
      </c>
    </row>
    <row r="52" spans="2:5" ht="15" customHeight="1">
      <c r="B52" s="89" t="s">
        <v>90</v>
      </c>
      <c r="C52" s="43" t="s">
        <v>100</v>
      </c>
      <c r="D52" s="42">
        <v>8</v>
      </c>
      <c r="E52" s="41">
        <v>1.2195121951219513E-2</v>
      </c>
    </row>
    <row r="53" spans="2:5" ht="15" customHeight="1">
      <c r="B53" s="91"/>
      <c r="C53" s="43" t="s">
        <v>97</v>
      </c>
      <c r="D53" s="42">
        <v>2</v>
      </c>
      <c r="E53" s="41">
        <v>3.0487804878048782E-3</v>
      </c>
    </row>
    <row r="54" spans="2:5" ht="15" customHeight="1">
      <c r="B54" s="91"/>
      <c r="C54" s="43" t="s">
        <v>98</v>
      </c>
      <c r="D54" s="42">
        <v>2</v>
      </c>
      <c r="E54" s="41">
        <v>3.0487804878048782E-3</v>
      </c>
    </row>
    <row r="55" spans="2:5" ht="15" customHeight="1">
      <c r="B55" s="91"/>
      <c r="C55" s="43" t="s">
        <v>96</v>
      </c>
      <c r="D55" s="42">
        <v>1</v>
      </c>
      <c r="E55" s="41">
        <v>1.5243902439024391E-3</v>
      </c>
    </row>
    <row r="56" spans="2:5" ht="15" customHeight="1">
      <c r="B56" s="91"/>
      <c r="C56" s="43" t="s">
        <v>101</v>
      </c>
      <c r="D56" s="42">
        <v>23</v>
      </c>
      <c r="E56" s="41">
        <v>3.5060975609756101E-2</v>
      </c>
    </row>
    <row r="57" spans="2:5" ht="15" customHeight="1">
      <c r="B57" s="90"/>
      <c r="C57" s="40" t="s">
        <v>20</v>
      </c>
      <c r="D57" s="39">
        <v>36</v>
      </c>
      <c r="E57" s="38">
        <v>5.4878048780487805E-2</v>
      </c>
    </row>
    <row r="58" spans="2:5" ht="15" customHeight="1">
      <c r="B58" s="89" t="s">
        <v>74</v>
      </c>
      <c r="C58" s="43" t="s">
        <v>100</v>
      </c>
      <c r="D58" s="42">
        <v>3</v>
      </c>
      <c r="E58" s="41">
        <v>4.5731707317073168E-3</v>
      </c>
    </row>
    <row r="59" spans="2:5" ht="15" customHeight="1">
      <c r="B59" s="91"/>
      <c r="C59" s="43" t="s">
        <v>98</v>
      </c>
      <c r="D59" s="42">
        <v>1</v>
      </c>
      <c r="E59" s="41">
        <v>1.5243902439024391E-3</v>
      </c>
    </row>
    <row r="60" spans="2:5" ht="15" customHeight="1">
      <c r="B60" s="91"/>
      <c r="C60" s="43" t="s">
        <v>101</v>
      </c>
      <c r="D60" s="42">
        <v>6</v>
      </c>
      <c r="E60" s="41">
        <v>9.1463414634146336E-3</v>
      </c>
    </row>
    <row r="61" spans="2:5" ht="15" customHeight="1">
      <c r="B61" s="90"/>
      <c r="C61" s="40" t="s">
        <v>20</v>
      </c>
      <c r="D61" s="39">
        <v>10</v>
      </c>
      <c r="E61" s="38">
        <v>1.524390243902439E-2</v>
      </c>
    </row>
    <row r="62" spans="2:5" ht="15" customHeight="1">
      <c r="B62" s="89" t="s">
        <v>69</v>
      </c>
      <c r="C62" s="43" t="s">
        <v>99</v>
      </c>
      <c r="D62" s="42">
        <v>1</v>
      </c>
      <c r="E62" s="41">
        <v>1.5243902439024391E-3</v>
      </c>
    </row>
    <row r="63" spans="2:5" ht="15" customHeight="1">
      <c r="B63" s="91"/>
      <c r="C63" s="43" t="s">
        <v>101</v>
      </c>
      <c r="D63" s="42">
        <v>3</v>
      </c>
      <c r="E63" s="41">
        <v>4.5731707317073168E-3</v>
      </c>
    </row>
    <row r="64" spans="2:5" ht="15" customHeight="1">
      <c r="B64" s="90"/>
      <c r="C64" s="40" t="s">
        <v>20</v>
      </c>
      <c r="D64" s="39">
        <v>4</v>
      </c>
      <c r="E64" s="38">
        <v>6.0975609756097563E-3</v>
      </c>
    </row>
    <row r="65" spans="2:5" ht="15" customHeight="1">
      <c r="B65" s="89" t="s">
        <v>76</v>
      </c>
      <c r="C65" s="43" t="s">
        <v>100</v>
      </c>
      <c r="D65" s="42">
        <v>2</v>
      </c>
      <c r="E65" s="41">
        <v>3.0487804878048782E-3</v>
      </c>
    </row>
    <row r="66" spans="2:5" ht="15" customHeight="1">
      <c r="B66" s="91"/>
      <c r="C66" s="43" t="s">
        <v>98</v>
      </c>
      <c r="D66" s="42">
        <v>1</v>
      </c>
      <c r="E66" s="41">
        <v>1.5243902439024391E-3</v>
      </c>
    </row>
    <row r="67" spans="2:5" ht="15" customHeight="1">
      <c r="B67" s="91"/>
      <c r="C67" s="43" t="s">
        <v>101</v>
      </c>
      <c r="D67" s="42">
        <v>3</v>
      </c>
      <c r="E67" s="41">
        <v>4.5731707317073168E-3</v>
      </c>
    </row>
    <row r="68" spans="2:5" ht="15" customHeight="1">
      <c r="B68" s="90"/>
      <c r="C68" s="40" t="s">
        <v>20</v>
      </c>
      <c r="D68" s="39">
        <v>6</v>
      </c>
      <c r="E68" s="38">
        <v>9.1463414634146336E-3</v>
      </c>
    </row>
    <row r="69" spans="2:5" ht="15" customHeight="1">
      <c r="B69" s="89" t="s">
        <v>80</v>
      </c>
      <c r="C69" s="43" t="s">
        <v>100</v>
      </c>
      <c r="D69" s="42">
        <v>1</v>
      </c>
      <c r="E69" s="41">
        <v>1.5243902439024391E-3</v>
      </c>
    </row>
    <row r="70" spans="2:5" ht="15" customHeight="1">
      <c r="B70" s="91"/>
      <c r="C70" s="43" t="s">
        <v>101</v>
      </c>
      <c r="D70" s="42">
        <v>8</v>
      </c>
      <c r="E70" s="41">
        <v>1.2195121951219513E-2</v>
      </c>
    </row>
    <row r="71" spans="2:5" ht="15" customHeight="1">
      <c r="B71" s="90"/>
      <c r="C71" s="40" t="s">
        <v>20</v>
      </c>
      <c r="D71" s="39">
        <v>9</v>
      </c>
      <c r="E71" s="38">
        <v>1.3719512195121951E-2</v>
      </c>
    </row>
    <row r="72" spans="2:5" ht="15" customHeight="1">
      <c r="B72" s="89" t="s">
        <v>92</v>
      </c>
      <c r="C72" s="43" t="s">
        <v>100</v>
      </c>
      <c r="D72" s="42">
        <v>16</v>
      </c>
      <c r="E72" s="41">
        <v>2.4390243902439025E-2</v>
      </c>
    </row>
    <row r="73" spans="2:5" ht="15" customHeight="1">
      <c r="B73" s="91"/>
      <c r="C73" s="43" t="s">
        <v>97</v>
      </c>
      <c r="D73" s="42">
        <v>3</v>
      </c>
      <c r="E73" s="41">
        <v>4.5731707317073168E-3</v>
      </c>
    </row>
    <row r="74" spans="2:5" ht="15" customHeight="1">
      <c r="B74" s="91"/>
      <c r="C74" s="43" t="s">
        <v>98</v>
      </c>
      <c r="D74" s="42">
        <v>2</v>
      </c>
      <c r="E74" s="41">
        <v>3.0487804878048782E-3</v>
      </c>
    </row>
    <row r="75" spans="2:5" ht="15" customHeight="1">
      <c r="B75" s="91"/>
      <c r="C75" s="43" t="s">
        <v>96</v>
      </c>
      <c r="D75" s="42">
        <v>1</v>
      </c>
      <c r="E75" s="41">
        <v>1.5243902439024391E-3</v>
      </c>
    </row>
    <row r="76" spans="2:5" ht="15" customHeight="1">
      <c r="B76" s="91"/>
      <c r="C76" s="43" t="s">
        <v>101</v>
      </c>
      <c r="D76" s="42">
        <v>16</v>
      </c>
      <c r="E76" s="41">
        <v>2.4390243902439025E-2</v>
      </c>
    </row>
    <row r="77" spans="2:5" ht="15" customHeight="1">
      <c r="B77" s="90"/>
      <c r="C77" s="40" t="s">
        <v>20</v>
      </c>
      <c r="D77" s="39">
        <v>38</v>
      </c>
      <c r="E77" s="38">
        <v>5.7926829268292686E-2</v>
      </c>
    </row>
    <row r="78" spans="2:5" ht="15" customHeight="1">
      <c r="B78" s="89" t="s">
        <v>71</v>
      </c>
      <c r="C78" s="43" t="s">
        <v>100</v>
      </c>
      <c r="D78" s="42">
        <v>1</v>
      </c>
      <c r="E78" s="41">
        <v>1.5243902439024391E-3</v>
      </c>
    </row>
    <row r="79" spans="2:5" ht="15" customHeight="1">
      <c r="B79" s="91"/>
      <c r="C79" s="43" t="s">
        <v>101</v>
      </c>
      <c r="D79" s="42">
        <v>2</v>
      </c>
      <c r="E79" s="41">
        <v>3.0487804878048782E-3</v>
      </c>
    </row>
    <row r="80" spans="2:5" ht="15" customHeight="1">
      <c r="B80" s="90"/>
      <c r="C80" s="40" t="s">
        <v>20</v>
      </c>
      <c r="D80" s="39">
        <v>3</v>
      </c>
      <c r="E80" s="38">
        <v>4.5731707317073168E-3</v>
      </c>
    </row>
    <row r="81" spans="2:5" ht="15" customHeight="1">
      <c r="B81" s="89" t="s">
        <v>66</v>
      </c>
      <c r="C81" s="43" t="s">
        <v>100</v>
      </c>
      <c r="D81" s="42">
        <v>5</v>
      </c>
      <c r="E81" s="41">
        <v>7.621951219512195E-3</v>
      </c>
    </row>
    <row r="82" spans="2:5" ht="15" customHeight="1">
      <c r="B82" s="91"/>
      <c r="C82" s="43" t="s">
        <v>98</v>
      </c>
      <c r="D82" s="42">
        <v>2</v>
      </c>
      <c r="E82" s="41">
        <v>3.0487804878048782E-3</v>
      </c>
    </row>
    <row r="83" spans="2:5" ht="15" customHeight="1">
      <c r="B83" s="91"/>
      <c r="C83" s="43" t="s">
        <v>101</v>
      </c>
      <c r="D83" s="42">
        <v>14</v>
      </c>
      <c r="E83" s="41">
        <v>2.1341463414634148E-2</v>
      </c>
    </row>
    <row r="84" spans="2:5" ht="15" customHeight="1">
      <c r="B84" s="90"/>
      <c r="C84" s="40" t="s">
        <v>20</v>
      </c>
      <c r="D84" s="39">
        <v>21</v>
      </c>
      <c r="E84" s="38">
        <v>3.201219512195122E-2</v>
      </c>
    </row>
    <row r="85" spans="2:5" ht="15" customHeight="1">
      <c r="B85" s="89" t="s">
        <v>65</v>
      </c>
      <c r="C85" s="43" t="s">
        <v>100</v>
      </c>
      <c r="D85" s="42">
        <v>2</v>
      </c>
      <c r="E85" s="41">
        <v>3.0487804878048782E-3</v>
      </c>
    </row>
    <row r="86" spans="2:5" ht="15" customHeight="1">
      <c r="B86" s="91"/>
      <c r="C86" s="43" t="s">
        <v>97</v>
      </c>
      <c r="D86" s="42">
        <v>1</v>
      </c>
      <c r="E86" s="41">
        <v>1.5243902439024391E-3</v>
      </c>
    </row>
    <row r="87" spans="2:5" ht="15" customHeight="1">
      <c r="B87" s="91"/>
      <c r="C87" s="43" t="s">
        <v>98</v>
      </c>
      <c r="D87" s="42">
        <v>1</v>
      </c>
      <c r="E87" s="41">
        <v>1.5243902439024391E-3</v>
      </c>
    </row>
    <row r="88" spans="2:5" ht="15" customHeight="1">
      <c r="B88" s="91"/>
      <c r="C88" s="43" t="s">
        <v>101</v>
      </c>
      <c r="D88" s="42">
        <v>4</v>
      </c>
      <c r="E88" s="41">
        <v>6.0975609756097563E-3</v>
      </c>
    </row>
    <row r="89" spans="2:5" ht="15" customHeight="1">
      <c r="B89" s="90"/>
      <c r="C89" s="40" t="s">
        <v>20</v>
      </c>
      <c r="D89" s="39">
        <v>8</v>
      </c>
      <c r="E89" s="38">
        <v>1.2195121951219513E-2</v>
      </c>
    </row>
    <row r="90" spans="2:5" ht="15" customHeight="1">
      <c r="B90" s="89" t="s">
        <v>58</v>
      </c>
      <c r="C90" s="43" t="s">
        <v>100</v>
      </c>
      <c r="D90" s="42">
        <v>3</v>
      </c>
      <c r="E90" s="41">
        <v>4.5731707317073168E-3</v>
      </c>
    </row>
    <row r="91" spans="2:5" ht="15" customHeight="1">
      <c r="B91" s="91"/>
      <c r="C91" s="43" t="s">
        <v>98</v>
      </c>
      <c r="D91" s="42">
        <v>1</v>
      </c>
      <c r="E91" s="41">
        <v>1.5243902439024391E-3</v>
      </c>
    </row>
    <row r="92" spans="2:5" ht="15" customHeight="1">
      <c r="B92" s="91"/>
      <c r="C92" s="43" t="s">
        <v>99</v>
      </c>
      <c r="D92" s="42">
        <v>1</v>
      </c>
      <c r="E92" s="41">
        <v>1.5243902439024391E-3</v>
      </c>
    </row>
    <row r="93" spans="2:5" ht="15" customHeight="1">
      <c r="B93" s="91"/>
      <c r="C93" s="43" t="s">
        <v>101</v>
      </c>
      <c r="D93" s="42">
        <v>10</v>
      </c>
      <c r="E93" s="41">
        <v>1.524390243902439E-2</v>
      </c>
    </row>
    <row r="94" spans="2:5" ht="15" customHeight="1">
      <c r="B94" s="90"/>
      <c r="C94" s="40" t="s">
        <v>20</v>
      </c>
      <c r="D94" s="39">
        <v>15</v>
      </c>
      <c r="E94" s="38">
        <v>2.2865853658536585E-2</v>
      </c>
    </row>
    <row r="95" spans="2:5" ht="15" customHeight="1">
      <c r="B95" s="89" t="s">
        <v>87</v>
      </c>
      <c r="C95" s="43" t="s">
        <v>100</v>
      </c>
      <c r="D95" s="42">
        <v>3</v>
      </c>
      <c r="E95" s="41">
        <v>4.5731707317073168E-3</v>
      </c>
    </row>
    <row r="96" spans="2:5" ht="15" customHeight="1">
      <c r="B96" s="91"/>
      <c r="C96" s="43" t="s">
        <v>97</v>
      </c>
      <c r="D96" s="42">
        <v>1</v>
      </c>
      <c r="E96" s="41">
        <v>1.5243902439024391E-3</v>
      </c>
    </row>
    <row r="97" spans="2:5" ht="15" customHeight="1">
      <c r="B97" s="91"/>
      <c r="C97" s="43" t="s">
        <v>96</v>
      </c>
      <c r="D97" s="42">
        <v>1</v>
      </c>
      <c r="E97" s="41">
        <v>1.5243902439024391E-3</v>
      </c>
    </row>
    <row r="98" spans="2:5" ht="15" customHeight="1">
      <c r="B98" s="91"/>
      <c r="C98" s="43" t="s">
        <v>99</v>
      </c>
      <c r="D98" s="42">
        <v>2</v>
      </c>
      <c r="E98" s="41">
        <v>3.0487804878048782E-3</v>
      </c>
    </row>
    <row r="99" spans="2:5" ht="15" customHeight="1">
      <c r="B99" s="91"/>
      <c r="C99" s="43" t="s">
        <v>101</v>
      </c>
      <c r="D99" s="42">
        <v>11</v>
      </c>
      <c r="E99" s="41">
        <v>1.676829268292683E-2</v>
      </c>
    </row>
    <row r="100" spans="2:5" ht="15" customHeight="1">
      <c r="B100" s="90"/>
      <c r="C100" s="40" t="s">
        <v>20</v>
      </c>
      <c r="D100" s="39">
        <v>18</v>
      </c>
      <c r="E100" s="38">
        <v>2.7439024390243903E-2</v>
      </c>
    </row>
    <row r="101" spans="2:5" ht="15" customHeight="1">
      <c r="B101" s="89" t="s">
        <v>60</v>
      </c>
      <c r="C101" s="43" t="s">
        <v>100</v>
      </c>
      <c r="D101" s="42">
        <v>1</v>
      </c>
      <c r="E101" s="41">
        <v>1.5243902439024391E-3</v>
      </c>
    </row>
    <row r="102" spans="2:5" ht="15" customHeight="1">
      <c r="B102" s="91"/>
      <c r="C102" s="43" t="s">
        <v>101</v>
      </c>
      <c r="D102" s="42">
        <v>6</v>
      </c>
      <c r="E102" s="41">
        <v>9.1463414634146336E-3</v>
      </c>
    </row>
    <row r="103" spans="2:5" ht="15" customHeight="1">
      <c r="B103" s="90"/>
      <c r="C103" s="40" t="s">
        <v>20</v>
      </c>
      <c r="D103" s="39">
        <v>7</v>
      </c>
      <c r="E103" s="38">
        <v>1.0670731707317074E-2</v>
      </c>
    </row>
    <row r="104" spans="2:5" ht="15" customHeight="1">
      <c r="B104" s="89" t="s">
        <v>79</v>
      </c>
      <c r="C104" s="43" t="s">
        <v>100</v>
      </c>
      <c r="D104" s="42">
        <v>5</v>
      </c>
      <c r="E104" s="41">
        <v>7.621951219512195E-3</v>
      </c>
    </row>
    <row r="105" spans="2:5" ht="15" customHeight="1">
      <c r="B105" s="91"/>
      <c r="C105" s="43" t="s">
        <v>98</v>
      </c>
      <c r="D105" s="42">
        <v>2</v>
      </c>
      <c r="E105" s="41">
        <v>3.0487804878048782E-3</v>
      </c>
    </row>
    <row r="106" spans="2:5" ht="15" customHeight="1">
      <c r="B106" s="91"/>
      <c r="C106" s="43" t="s">
        <v>101</v>
      </c>
      <c r="D106" s="42">
        <v>19</v>
      </c>
      <c r="E106" s="41">
        <v>2.8963414634146343E-2</v>
      </c>
    </row>
    <row r="107" spans="2:5" ht="15" customHeight="1">
      <c r="B107" s="90"/>
      <c r="C107" s="40" t="s">
        <v>20</v>
      </c>
      <c r="D107" s="39">
        <v>26</v>
      </c>
      <c r="E107" s="38">
        <v>3.9634146341463415E-2</v>
      </c>
    </row>
    <row r="108" spans="2:5" ht="15" customHeight="1">
      <c r="B108" s="89" t="s">
        <v>75</v>
      </c>
      <c r="C108" s="43" t="s">
        <v>100</v>
      </c>
      <c r="D108" s="42">
        <v>1</v>
      </c>
      <c r="E108" s="41">
        <v>1.5243902439024391E-3</v>
      </c>
    </row>
    <row r="109" spans="2:5" ht="15" customHeight="1">
      <c r="B109" s="91"/>
      <c r="C109" s="43" t="s">
        <v>98</v>
      </c>
      <c r="D109" s="42">
        <v>1</v>
      </c>
      <c r="E109" s="41">
        <v>1.5243902439024391E-3</v>
      </c>
    </row>
    <row r="110" spans="2:5" ht="15" customHeight="1">
      <c r="B110" s="91"/>
      <c r="C110" s="43" t="s">
        <v>101</v>
      </c>
      <c r="D110" s="42">
        <v>3</v>
      </c>
      <c r="E110" s="41">
        <v>4.5731707317073168E-3</v>
      </c>
    </row>
    <row r="111" spans="2:5" ht="15" customHeight="1">
      <c r="B111" s="90"/>
      <c r="C111" s="40" t="s">
        <v>20</v>
      </c>
      <c r="D111" s="39">
        <v>5</v>
      </c>
      <c r="E111" s="38">
        <v>7.621951219512195E-3</v>
      </c>
    </row>
    <row r="112" spans="2:5" ht="15" customHeight="1">
      <c r="B112" s="89" t="s">
        <v>63</v>
      </c>
      <c r="C112" s="43" t="s">
        <v>101</v>
      </c>
      <c r="D112" s="42">
        <v>10</v>
      </c>
      <c r="E112" s="41">
        <v>1.524390243902439E-2</v>
      </c>
    </row>
    <row r="113" spans="2:5" ht="15" customHeight="1">
      <c r="B113" s="90"/>
      <c r="C113" s="40" t="s">
        <v>20</v>
      </c>
      <c r="D113" s="39">
        <v>10</v>
      </c>
      <c r="E113" s="38">
        <v>1.524390243902439E-2</v>
      </c>
    </row>
    <row r="114" spans="2:5" ht="15" customHeight="1">
      <c r="B114" s="89" t="s">
        <v>67</v>
      </c>
      <c r="C114" s="43" t="s">
        <v>100</v>
      </c>
      <c r="D114" s="42">
        <v>1</v>
      </c>
      <c r="E114" s="41">
        <v>1.5243902439024391E-3</v>
      </c>
    </row>
    <row r="115" spans="2:5" ht="15" customHeight="1">
      <c r="B115" s="91"/>
      <c r="C115" s="43" t="s">
        <v>99</v>
      </c>
      <c r="D115" s="42">
        <v>2</v>
      </c>
      <c r="E115" s="41">
        <v>3.0487804878048782E-3</v>
      </c>
    </row>
    <row r="116" spans="2:5" ht="15" customHeight="1">
      <c r="B116" s="91"/>
      <c r="C116" s="43" t="s">
        <v>101</v>
      </c>
      <c r="D116" s="42">
        <v>4</v>
      </c>
      <c r="E116" s="41">
        <v>6.0975609756097563E-3</v>
      </c>
    </row>
    <row r="117" spans="2:5" ht="15" customHeight="1">
      <c r="B117" s="90"/>
      <c r="C117" s="40" t="s">
        <v>20</v>
      </c>
      <c r="D117" s="39">
        <v>7</v>
      </c>
      <c r="E117" s="38">
        <v>1.0670731707317074E-2</v>
      </c>
    </row>
    <row r="118" spans="2:5" ht="15" customHeight="1">
      <c r="B118" s="89" t="s">
        <v>85</v>
      </c>
      <c r="C118" s="43" t="s">
        <v>100</v>
      </c>
      <c r="D118" s="42">
        <v>12</v>
      </c>
      <c r="E118" s="41">
        <v>1.8292682926829267E-2</v>
      </c>
    </row>
    <row r="119" spans="2:5" ht="15" customHeight="1">
      <c r="B119" s="91"/>
      <c r="C119" s="43" t="s">
        <v>97</v>
      </c>
      <c r="D119" s="42">
        <v>2</v>
      </c>
      <c r="E119" s="41">
        <v>3.0487804878048782E-3</v>
      </c>
    </row>
    <row r="120" spans="2:5" ht="15" customHeight="1">
      <c r="B120" s="91"/>
      <c r="C120" s="43" t="s">
        <v>98</v>
      </c>
      <c r="D120" s="42">
        <v>2</v>
      </c>
      <c r="E120" s="41">
        <v>3.0487804878048782E-3</v>
      </c>
    </row>
    <row r="121" spans="2:5" ht="15" customHeight="1">
      <c r="B121" s="91"/>
      <c r="C121" s="43" t="s">
        <v>95</v>
      </c>
      <c r="D121" s="42">
        <v>2</v>
      </c>
      <c r="E121" s="41">
        <v>3.0487804878048782E-3</v>
      </c>
    </row>
    <row r="122" spans="2:5" ht="15" customHeight="1">
      <c r="B122" s="91"/>
      <c r="C122" s="43" t="s">
        <v>101</v>
      </c>
      <c r="D122" s="42">
        <v>37</v>
      </c>
      <c r="E122" s="41">
        <v>5.6402439024390245E-2</v>
      </c>
    </row>
    <row r="123" spans="2:5" ht="15" customHeight="1">
      <c r="B123" s="91"/>
      <c r="C123" s="43" t="s">
        <v>94</v>
      </c>
      <c r="D123" s="42">
        <v>1</v>
      </c>
      <c r="E123" s="41">
        <v>1.5243902439024391E-3</v>
      </c>
    </row>
    <row r="124" spans="2:5" ht="15" customHeight="1">
      <c r="B124" s="90"/>
      <c r="C124" s="40" t="s">
        <v>20</v>
      </c>
      <c r="D124" s="39">
        <v>56</v>
      </c>
      <c r="E124" s="38">
        <v>8.5365853658536592E-2</v>
      </c>
    </row>
    <row r="125" spans="2:5" ht="15" customHeight="1">
      <c r="B125" s="89" t="s">
        <v>77</v>
      </c>
      <c r="C125" s="43" t="s">
        <v>100</v>
      </c>
      <c r="D125" s="42">
        <v>2</v>
      </c>
      <c r="E125" s="41">
        <v>3.0487804878048782E-3</v>
      </c>
    </row>
    <row r="126" spans="2:5" ht="15" customHeight="1">
      <c r="B126" s="91"/>
      <c r="C126" s="43" t="s">
        <v>99</v>
      </c>
      <c r="D126" s="42">
        <v>1</v>
      </c>
      <c r="E126" s="41">
        <v>1.5243902439024391E-3</v>
      </c>
    </row>
    <row r="127" spans="2:5" ht="15" customHeight="1">
      <c r="B127" s="91"/>
      <c r="C127" s="43" t="s">
        <v>101</v>
      </c>
      <c r="D127" s="42">
        <v>5</v>
      </c>
      <c r="E127" s="41">
        <v>7.621951219512195E-3</v>
      </c>
    </row>
    <row r="128" spans="2:5" ht="15" customHeight="1">
      <c r="B128" s="91"/>
      <c r="C128" s="43" t="s">
        <v>94</v>
      </c>
      <c r="D128" s="42">
        <v>1</v>
      </c>
      <c r="E128" s="41">
        <v>1.5243902439024391E-3</v>
      </c>
    </row>
    <row r="129" spans="2:5" ht="15" customHeight="1">
      <c r="B129" s="90"/>
      <c r="C129" s="40" t="s">
        <v>20</v>
      </c>
      <c r="D129" s="39">
        <v>9</v>
      </c>
      <c r="E129" s="38">
        <v>1.3719512195121951E-2</v>
      </c>
    </row>
    <row r="130" spans="2:5" ht="15" customHeight="1">
      <c r="B130" s="89" t="s">
        <v>62</v>
      </c>
      <c r="C130" s="43" t="s">
        <v>100</v>
      </c>
      <c r="D130" s="42">
        <v>2</v>
      </c>
      <c r="E130" s="41">
        <v>3.0487804878048782E-3</v>
      </c>
    </row>
    <row r="131" spans="2:5" ht="15" customHeight="1">
      <c r="B131" s="91"/>
      <c r="C131" s="43" t="s">
        <v>99</v>
      </c>
      <c r="D131" s="42">
        <v>1</v>
      </c>
      <c r="E131" s="41">
        <v>1.5243902439024391E-3</v>
      </c>
    </row>
    <row r="132" spans="2:5" ht="15" customHeight="1">
      <c r="B132" s="91"/>
      <c r="C132" s="43" t="s">
        <v>101</v>
      </c>
      <c r="D132" s="42">
        <v>11</v>
      </c>
      <c r="E132" s="41">
        <v>1.676829268292683E-2</v>
      </c>
    </row>
    <row r="133" spans="2:5" ht="15" customHeight="1">
      <c r="B133" s="91"/>
      <c r="C133" s="43" t="s">
        <v>94</v>
      </c>
      <c r="D133" s="42">
        <v>1</v>
      </c>
      <c r="E133" s="41">
        <v>1.5243902439024391E-3</v>
      </c>
    </row>
    <row r="134" spans="2:5" ht="15" customHeight="1">
      <c r="B134" s="90"/>
      <c r="C134" s="40" t="s">
        <v>20</v>
      </c>
      <c r="D134" s="39">
        <v>15</v>
      </c>
      <c r="E134" s="38">
        <v>2.2865853658536585E-2</v>
      </c>
    </row>
    <row r="135" spans="2:5" ht="15" customHeight="1">
      <c r="B135" s="89" t="s">
        <v>64</v>
      </c>
      <c r="C135" s="43" t="s">
        <v>100</v>
      </c>
      <c r="D135" s="42">
        <v>3</v>
      </c>
      <c r="E135" s="41">
        <v>4.5731707317073168E-3</v>
      </c>
    </row>
    <row r="136" spans="2:5" ht="15" customHeight="1">
      <c r="B136" s="91"/>
      <c r="C136" s="43" t="s">
        <v>101</v>
      </c>
      <c r="D136" s="42">
        <v>2</v>
      </c>
      <c r="E136" s="41">
        <v>3.0487804878048782E-3</v>
      </c>
    </row>
    <row r="137" spans="2:5" ht="15" customHeight="1">
      <c r="B137" s="90"/>
      <c r="C137" s="40" t="s">
        <v>20</v>
      </c>
      <c r="D137" s="39">
        <v>5</v>
      </c>
      <c r="E137" s="38">
        <v>7.621951219512195E-3</v>
      </c>
    </row>
    <row r="138" spans="2:5" ht="15" customHeight="1">
      <c r="B138" s="89" t="s">
        <v>72</v>
      </c>
      <c r="C138" s="43" t="s">
        <v>100</v>
      </c>
      <c r="D138" s="42">
        <v>1</v>
      </c>
      <c r="E138" s="41">
        <v>1.5243902439024391E-3</v>
      </c>
    </row>
    <row r="139" spans="2:5" ht="15" customHeight="1">
      <c r="B139" s="91"/>
      <c r="C139" s="43" t="s">
        <v>101</v>
      </c>
      <c r="D139" s="42">
        <v>5</v>
      </c>
      <c r="E139" s="41">
        <v>7.621951219512195E-3</v>
      </c>
    </row>
    <row r="140" spans="2:5" ht="15" customHeight="1">
      <c r="B140" s="90"/>
      <c r="C140" s="40" t="s">
        <v>20</v>
      </c>
      <c r="D140" s="39">
        <v>6</v>
      </c>
      <c r="E140" s="38">
        <v>9.1463414634146336E-3</v>
      </c>
    </row>
    <row r="141" spans="2:5" ht="15" customHeight="1">
      <c r="B141" s="89" t="s">
        <v>84</v>
      </c>
      <c r="C141" s="43" t="s">
        <v>100</v>
      </c>
      <c r="D141" s="42">
        <v>6</v>
      </c>
      <c r="E141" s="41">
        <v>9.1463414634146336E-3</v>
      </c>
    </row>
    <row r="142" spans="2:5" ht="15" customHeight="1">
      <c r="B142" s="91"/>
      <c r="C142" s="43" t="s">
        <v>97</v>
      </c>
      <c r="D142" s="42">
        <v>2</v>
      </c>
      <c r="E142" s="41">
        <v>3.0487804878048782E-3</v>
      </c>
    </row>
    <row r="143" spans="2:5" ht="15" customHeight="1">
      <c r="B143" s="91"/>
      <c r="C143" s="43" t="s">
        <v>101</v>
      </c>
      <c r="D143" s="42">
        <v>6</v>
      </c>
      <c r="E143" s="41">
        <v>9.1463414634146336E-3</v>
      </c>
    </row>
    <row r="144" spans="2:5" ht="15" customHeight="1">
      <c r="B144" s="90"/>
      <c r="C144" s="40" t="s">
        <v>20</v>
      </c>
      <c r="D144" s="39">
        <v>14</v>
      </c>
      <c r="E144" s="38">
        <v>2.1341463414634148E-2</v>
      </c>
    </row>
    <row r="145" spans="2:5" ht="15" customHeight="1">
      <c r="B145" s="89" t="s">
        <v>68</v>
      </c>
      <c r="C145" s="43" t="s">
        <v>101</v>
      </c>
      <c r="D145" s="42">
        <v>2</v>
      </c>
      <c r="E145" s="41">
        <v>3.0487804878048782E-3</v>
      </c>
    </row>
    <row r="146" spans="2:5" ht="15" customHeight="1">
      <c r="B146" s="90"/>
      <c r="C146" s="40" t="s">
        <v>20</v>
      </c>
      <c r="D146" s="39">
        <v>2</v>
      </c>
      <c r="E146" s="38">
        <v>3.0487804878048782E-3</v>
      </c>
    </row>
    <row r="147" spans="2:5" ht="15" customHeight="1">
      <c r="B147" s="89" t="s">
        <v>81</v>
      </c>
      <c r="C147" s="43" t="s">
        <v>100</v>
      </c>
      <c r="D147" s="42">
        <v>10</v>
      </c>
      <c r="E147" s="41">
        <v>1.524390243902439E-2</v>
      </c>
    </row>
    <row r="148" spans="2:5" ht="15" customHeight="1">
      <c r="B148" s="91"/>
      <c r="C148" s="43" t="s">
        <v>97</v>
      </c>
      <c r="D148" s="42">
        <v>2</v>
      </c>
      <c r="E148" s="41">
        <v>3.0487804878048782E-3</v>
      </c>
    </row>
    <row r="149" spans="2:5" ht="15" customHeight="1">
      <c r="B149" s="91"/>
      <c r="C149" s="43" t="s">
        <v>98</v>
      </c>
      <c r="D149" s="42">
        <v>15</v>
      </c>
      <c r="E149" s="41">
        <v>2.2865853658536585E-2</v>
      </c>
    </row>
    <row r="150" spans="2:5" ht="15" customHeight="1">
      <c r="B150" s="91"/>
      <c r="C150" s="43" t="s">
        <v>99</v>
      </c>
      <c r="D150" s="42">
        <v>36</v>
      </c>
      <c r="E150" s="41">
        <v>5.4878048780487805E-2</v>
      </c>
    </row>
    <row r="151" spans="2:5" ht="15" customHeight="1">
      <c r="B151" s="91"/>
      <c r="C151" s="43" t="s">
        <v>95</v>
      </c>
      <c r="D151" s="42">
        <v>1</v>
      </c>
      <c r="E151" s="41">
        <v>1.5243902439024391E-3</v>
      </c>
    </row>
    <row r="152" spans="2:5" ht="15" customHeight="1">
      <c r="B152" s="91"/>
      <c r="C152" s="43" t="s">
        <v>101</v>
      </c>
      <c r="D152" s="42">
        <v>33</v>
      </c>
      <c r="E152" s="41">
        <v>5.0304878048780491E-2</v>
      </c>
    </row>
    <row r="153" spans="2:5" ht="15" customHeight="1">
      <c r="B153" s="90"/>
      <c r="C153" s="40" t="s">
        <v>20</v>
      </c>
      <c r="D153" s="39">
        <v>97</v>
      </c>
      <c r="E153" s="38">
        <v>0.14786585365853658</v>
      </c>
    </row>
    <row r="154" spans="2:5" ht="15" customHeight="1">
      <c r="B154" s="89" t="s">
        <v>82</v>
      </c>
      <c r="C154" s="43" t="s">
        <v>100</v>
      </c>
      <c r="D154" s="42">
        <v>2</v>
      </c>
      <c r="E154" s="41">
        <v>3.0487804878048782E-3</v>
      </c>
    </row>
    <row r="155" spans="2:5" ht="15" customHeight="1">
      <c r="B155" s="91"/>
      <c r="C155" s="43" t="s">
        <v>99</v>
      </c>
      <c r="D155" s="42">
        <v>2</v>
      </c>
      <c r="E155" s="41">
        <v>3.0487804878048782E-3</v>
      </c>
    </row>
    <row r="156" spans="2:5" ht="15" customHeight="1">
      <c r="B156" s="91"/>
      <c r="C156" s="43" t="s">
        <v>101</v>
      </c>
      <c r="D156" s="42">
        <v>3</v>
      </c>
      <c r="E156" s="41">
        <v>4.5731707317073168E-3</v>
      </c>
    </row>
    <row r="157" spans="2:5" ht="15" customHeight="1">
      <c r="B157" s="90"/>
      <c r="C157" s="40" t="s">
        <v>20</v>
      </c>
      <c r="D157" s="39">
        <v>7</v>
      </c>
      <c r="E157" s="38">
        <v>1.0670731707317074E-2</v>
      </c>
    </row>
    <row r="158" spans="2:5" ht="15" customHeight="1">
      <c r="B158" s="89" t="s">
        <v>83</v>
      </c>
      <c r="C158" s="43" t="s">
        <v>100</v>
      </c>
      <c r="D158" s="42">
        <v>6</v>
      </c>
      <c r="E158" s="41">
        <v>9.1463414634146336E-3</v>
      </c>
    </row>
    <row r="159" spans="2:5" ht="15" customHeight="1">
      <c r="B159" s="91"/>
      <c r="C159" s="43" t="s">
        <v>97</v>
      </c>
      <c r="D159" s="42">
        <v>1</v>
      </c>
      <c r="E159" s="41">
        <v>1.5243902439024391E-3</v>
      </c>
    </row>
    <row r="160" spans="2:5" ht="15" customHeight="1">
      <c r="B160" s="91"/>
      <c r="C160" s="43" t="s">
        <v>99</v>
      </c>
      <c r="D160" s="42">
        <v>1</v>
      </c>
      <c r="E160" s="41">
        <v>1.5243902439024391E-3</v>
      </c>
    </row>
    <row r="161" spans="2:5" ht="15" customHeight="1">
      <c r="B161" s="91"/>
      <c r="C161" s="43" t="s">
        <v>101</v>
      </c>
      <c r="D161" s="42">
        <v>3</v>
      </c>
      <c r="E161" s="41">
        <v>4.5731707317073168E-3</v>
      </c>
    </row>
    <row r="162" spans="2:5" ht="15" customHeight="1">
      <c r="B162" s="90"/>
      <c r="C162" s="40" t="s">
        <v>20</v>
      </c>
      <c r="D162" s="39">
        <v>11</v>
      </c>
      <c r="E162" s="38">
        <v>1.676829268292683E-2</v>
      </c>
    </row>
    <row r="163" spans="2:5" ht="15" customHeight="1">
      <c r="B163" s="89" t="s">
        <v>61</v>
      </c>
      <c r="C163" s="43" t="s">
        <v>100</v>
      </c>
      <c r="D163" s="42">
        <v>1</v>
      </c>
      <c r="E163" s="41">
        <v>1.5243902439024391E-3</v>
      </c>
    </row>
    <row r="164" spans="2:5" ht="15" customHeight="1">
      <c r="B164" s="91"/>
      <c r="C164" s="43" t="s">
        <v>101</v>
      </c>
      <c r="D164" s="42">
        <v>2</v>
      </c>
      <c r="E164" s="41">
        <v>3.0487804878048782E-3</v>
      </c>
    </row>
    <row r="165" spans="2:5" ht="15" customHeight="1">
      <c r="B165" s="90"/>
      <c r="C165" s="40" t="s">
        <v>20</v>
      </c>
      <c r="D165" s="39">
        <v>3</v>
      </c>
      <c r="E165" s="38">
        <v>4.5731707317073168E-3</v>
      </c>
    </row>
    <row r="166" spans="2:5" ht="15" customHeight="1">
      <c r="B166" s="89" t="s">
        <v>33</v>
      </c>
      <c r="C166" s="43" t="s">
        <v>100</v>
      </c>
      <c r="D166" s="42">
        <v>1</v>
      </c>
      <c r="E166" s="41">
        <v>1.5243902439024391E-3</v>
      </c>
    </row>
    <row r="167" spans="2:5" ht="15" customHeight="1">
      <c r="B167" s="91"/>
      <c r="C167" s="43" t="s">
        <v>101</v>
      </c>
      <c r="D167" s="42">
        <v>18</v>
      </c>
      <c r="E167" s="41">
        <v>2.7439024390243903E-2</v>
      </c>
    </row>
    <row r="168" spans="2:5" ht="15" customHeight="1">
      <c r="B168" s="91"/>
      <c r="C168" s="43" t="s">
        <v>94</v>
      </c>
      <c r="D168" s="42">
        <v>1</v>
      </c>
      <c r="E168" s="41">
        <v>1.5243902439024391E-3</v>
      </c>
    </row>
    <row r="169" spans="2:5" ht="15" customHeight="1">
      <c r="B169" s="90"/>
      <c r="C169" s="40" t="s">
        <v>20</v>
      </c>
      <c r="D169" s="39">
        <v>20</v>
      </c>
      <c r="E169" s="38">
        <v>3.048780487804878E-2</v>
      </c>
    </row>
    <row r="170" spans="2:5" ht="15" customHeight="1">
      <c r="B170" s="89" t="s">
        <v>174</v>
      </c>
      <c r="C170" s="43" t="s">
        <v>101</v>
      </c>
      <c r="D170" s="42">
        <v>1</v>
      </c>
      <c r="E170" s="41">
        <v>1.5243902439024391E-3</v>
      </c>
    </row>
    <row r="171" spans="2:5" ht="15" customHeight="1">
      <c r="B171" s="90"/>
      <c r="C171" s="40" t="s">
        <v>20</v>
      </c>
      <c r="D171" s="39">
        <v>1</v>
      </c>
      <c r="E171" s="38">
        <v>1.5243902439024391E-3</v>
      </c>
    </row>
    <row r="172" spans="2:5" ht="15" customHeight="1">
      <c r="B172" s="92" t="s">
        <v>134</v>
      </c>
      <c r="C172" s="93"/>
      <c r="D172" s="69">
        <v>656</v>
      </c>
      <c r="E172" s="70">
        <v>1</v>
      </c>
    </row>
    <row r="174" spans="2:5" ht="15" customHeight="1">
      <c r="B174" s="19" t="s">
        <v>170</v>
      </c>
    </row>
    <row r="175" spans="2:5" ht="15" customHeight="1">
      <c r="B175" s="21" t="s">
        <v>19</v>
      </c>
    </row>
    <row r="176" spans="2:5" ht="15" customHeight="1">
      <c r="B176" s="20" t="s">
        <v>18</v>
      </c>
    </row>
    <row r="177" spans="2:2" ht="15" customHeight="1">
      <c r="B177" s="19" t="s">
        <v>17</v>
      </c>
    </row>
    <row r="178" spans="2:2" ht="15" customHeight="1">
      <c r="B178" s="19" t="s">
        <v>171</v>
      </c>
    </row>
  </sheetData>
  <mergeCells count="42">
    <mergeCell ref="B108:B111"/>
    <mergeCell ref="B52:B57"/>
    <mergeCell ref="B58:B61"/>
    <mergeCell ref="B81:B84"/>
    <mergeCell ref="B85:B89"/>
    <mergeCell ref="B90:B94"/>
    <mergeCell ref="B62:B64"/>
    <mergeCell ref="B65:B68"/>
    <mergeCell ref="B69:B71"/>
    <mergeCell ref="B72:B77"/>
    <mergeCell ref="B95:B100"/>
    <mergeCell ref="B78:B80"/>
    <mergeCell ref="B135:B137"/>
    <mergeCell ref="B138:B140"/>
    <mergeCell ref="B7:E8"/>
    <mergeCell ref="B10:B15"/>
    <mergeCell ref="B16:B21"/>
    <mergeCell ref="B22:B23"/>
    <mergeCell ref="B24:B26"/>
    <mergeCell ref="B27:B31"/>
    <mergeCell ref="B32:B36"/>
    <mergeCell ref="B37:B40"/>
    <mergeCell ref="B41:B43"/>
    <mergeCell ref="B44:B46"/>
    <mergeCell ref="B47:B48"/>
    <mergeCell ref="B49:B51"/>
    <mergeCell ref="B104:B107"/>
    <mergeCell ref="B101:B103"/>
    <mergeCell ref="B112:B113"/>
    <mergeCell ref="B114:B117"/>
    <mergeCell ref="B118:B124"/>
    <mergeCell ref="B125:B129"/>
    <mergeCell ref="B130:B134"/>
    <mergeCell ref="B172:C172"/>
    <mergeCell ref="B141:B144"/>
    <mergeCell ref="B145:B146"/>
    <mergeCell ref="B147:B153"/>
    <mergeCell ref="B154:B157"/>
    <mergeCell ref="B158:B162"/>
    <mergeCell ref="B163:B165"/>
    <mergeCell ref="B166:B169"/>
    <mergeCell ref="B170:B17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16" zoomScaleNormal="100" zoomScaleSheetLayoutView="115" workbookViewId="0">
      <selection activeCell="B43" sqref="B4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176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127</v>
      </c>
      <c r="C11" s="31" t="s">
        <v>126</v>
      </c>
      <c r="D11" s="30" t="s">
        <v>52</v>
      </c>
    </row>
    <row r="12" spans="1:5">
      <c r="B12" s="27" t="s">
        <v>125</v>
      </c>
      <c r="C12" s="26">
        <v>8</v>
      </c>
      <c r="D12" s="25">
        <f t="shared" ref="D12:D35" si="0">C12/$C$35</f>
        <v>1.2195121951219513E-2</v>
      </c>
    </row>
    <row r="13" spans="1:5">
      <c r="B13" s="27" t="s">
        <v>124</v>
      </c>
      <c r="C13" s="26">
        <v>1</v>
      </c>
      <c r="D13" s="25">
        <f t="shared" si="0"/>
        <v>1.5243902439024391E-3</v>
      </c>
    </row>
    <row r="14" spans="1:5">
      <c r="B14" s="27" t="s">
        <v>123</v>
      </c>
      <c r="C14" s="26">
        <v>8</v>
      </c>
      <c r="D14" s="25">
        <f t="shared" si="0"/>
        <v>1.2195121951219513E-2</v>
      </c>
      <c r="E14" s="28"/>
    </row>
    <row r="15" spans="1:5">
      <c r="B15" s="27" t="s">
        <v>122</v>
      </c>
      <c r="C15" s="26">
        <v>5</v>
      </c>
      <c r="D15" s="25">
        <f t="shared" si="0"/>
        <v>7.621951219512195E-3</v>
      </c>
      <c r="E15" s="28"/>
    </row>
    <row r="16" spans="1:5">
      <c r="B16" s="27" t="s">
        <v>121</v>
      </c>
      <c r="C16" s="26">
        <v>7</v>
      </c>
      <c r="D16" s="25">
        <f t="shared" si="0"/>
        <v>1.0670731707317074E-2</v>
      </c>
    </row>
    <row r="17" spans="2:4">
      <c r="B17" s="27" t="s">
        <v>120</v>
      </c>
      <c r="C17" s="26">
        <v>6</v>
      </c>
      <c r="D17" s="25">
        <f t="shared" si="0"/>
        <v>9.1463414634146336E-3</v>
      </c>
    </row>
    <row r="18" spans="2:4">
      <c r="B18" s="27" t="s">
        <v>119</v>
      </c>
      <c r="C18" s="26">
        <v>23</v>
      </c>
      <c r="D18" s="25">
        <f t="shared" si="0"/>
        <v>3.5060975609756101E-2</v>
      </c>
    </row>
    <row r="19" spans="2:4" ht="15" customHeight="1">
      <c r="B19" s="27" t="s">
        <v>118</v>
      </c>
      <c r="C19" s="26">
        <v>56</v>
      </c>
      <c r="D19" s="25">
        <f t="shared" si="0"/>
        <v>8.5365853658536592E-2</v>
      </c>
    </row>
    <row r="20" spans="2:4">
      <c r="B20" s="27" t="s">
        <v>117</v>
      </c>
      <c r="C20" s="26">
        <v>9</v>
      </c>
      <c r="D20" s="25">
        <f t="shared" si="0"/>
        <v>1.3719512195121951E-2</v>
      </c>
    </row>
    <row r="21" spans="2:4">
      <c r="B21" s="27" t="s">
        <v>116</v>
      </c>
      <c r="C21" s="26">
        <v>11</v>
      </c>
      <c r="D21" s="25">
        <f t="shared" si="0"/>
        <v>1.676829268292683E-2</v>
      </c>
    </row>
    <row r="22" spans="2:4">
      <c r="B22" s="27" t="s">
        <v>115</v>
      </c>
      <c r="C22" s="26">
        <v>34</v>
      </c>
      <c r="D22" s="25">
        <f t="shared" si="0"/>
        <v>5.1829268292682924E-2</v>
      </c>
    </row>
    <row r="23" spans="2:4" ht="27">
      <c r="B23" s="27" t="s">
        <v>114</v>
      </c>
      <c r="C23" s="26">
        <v>214</v>
      </c>
      <c r="D23" s="25">
        <f t="shared" si="0"/>
        <v>0.32621951219512196</v>
      </c>
    </row>
    <row r="24" spans="2:4">
      <c r="B24" s="27" t="s">
        <v>113</v>
      </c>
      <c r="C24" s="26">
        <v>12</v>
      </c>
      <c r="D24" s="25">
        <f t="shared" si="0"/>
        <v>1.8292682926829267E-2</v>
      </c>
    </row>
    <row r="25" spans="2:4" ht="27">
      <c r="B25" s="27" t="s">
        <v>112</v>
      </c>
      <c r="C25" s="26">
        <v>45</v>
      </c>
      <c r="D25" s="25">
        <f t="shared" si="0"/>
        <v>6.8597560975609762E-2</v>
      </c>
    </row>
    <row r="26" spans="2:4" ht="27">
      <c r="B26" s="27" t="s">
        <v>111</v>
      </c>
      <c r="C26" s="26">
        <v>168</v>
      </c>
      <c r="D26" s="25">
        <f t="shared" si="0"/>
        <v>0.25609756097560976</v>
      </c>
    </row>
    <row r="27" spans="2:4">
      <c r="B27" s="27" t="s">
        <v>110</v>
      </c>
      <c r="C27" s="26">
        <v>3</v>
      </c>
      <c r="D27" s="25">
        <f t="shared" si="0"/>
        <v>4.5731707317073168E-3</v>
      </c>
    </row>
    <row r="28" spans="2:4">
      <c r="B28" s="27" t="s">
        <v>109</v>
      </c>
      <c r="C28" s="26">
        <v>1</v>
      </c>
      <c r="D28" s="25">
        <f t="shared" si="0"/>
        <v>1.5243902439024391E-3</v>
      </c>
    </row>
    <row r="29" spans="2:4">
      <c r="B29" s="27" t="s">
        <v>108</v>
      </c>
      <c r="C29" s="26">
        <v>2</v>
      </c>
      <c r="D29" s="25">
        <f t="shared" si="0"/>
        <v>3.0487804878048782E-3</v>
      </c>
    </row>
    <row r="30" spans="2:4">
      <c r="B30" s="27" t="s">
        <v>177</v>
      </c>
      <c r="C30" s="26">
        <v>1</v>
      </c>
      <c r="D30" s="25">
        <f t="shared" si="0"/>
        <v>1.5243902439024391E-3</v>
      </c>
    </row>
    <row r="31" spans="2:4">
      <c r="B31" s="27" t="s">
        <v>107</v>
      </c>
      <c r="C31" s="26">
        <v>14</v>
      </c>
      <c r="D31" s="25">
        <f t="shared" si="0"/>
        <v>2.1341463414634148E-2</v>
      </c>
    </row>
    <row r="32" spans="2:4">
      <c r="B32" s="27" t="s">
        <v>106</v>
      </c>
      <c r="C32" s="26">
        <v>26</v>
      </c>
      <c r="D32" s="25">
        <f t="shared" si="0"/>
        <v>3.9634146341463415E-2</v>
      </c>
    </row>
    <row r="33" spans="1:4">
      <c r="B33" s="27" t="s">
        <v>105</v>
      </c>
      <c r="C33" s="26">
        <v>1</v>
      </c>
      <c r="D33" s="25">
        <f t="shared" si="0"/>
        <v>1.5243902439024391E-3</v>
      </c>
    </row>
    <row r="34" spans="1:4">
      <c r="B34" s="27" t="s">
        <v>178</v>
      </c>
      <c r="C34" s="26">
        <v>1</v>
      </c>
      <c r="D34" s="25">
        <f t="shared" si="0"/>
        <v>1.5243902439024391E-3</v>
      </c>
    </row>
    <row r="35" spans="1:4">
      <c r="B35" s="24" t="s">
        <v>20</v>
      </c>
      <c r="C35" s="23">
        <v>656</v>
      </c>
      <c r="D35" s="22">
        <f t="shared" si="0"/>
        <v>1</v>
      </c>
    </row>
    <row r="37" spans="1:4">
      <c r="B37" s="72" t="s">
        <v>170</v>
      </c>
    </row>
    <row r="38" spans="1:4">
      <c r="B38" s="72" t="s">
        <v>19</v>
      </c>
    </row>
    <row r="39" spans="1:4">
      <c r="B39" s="72" t="s">
        <v>18</v>
      </c>
    </row>
    <row r="40" spans="1:4">
      <c r="B40" s="72" t="s">
        <v>17</v>
      </c>
    </row>
    <row r="41" spans="1:4">
      <c r="B41" s="72" t="s">
        <v>171</v>
      </c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24"/>
  <sheetViews>
    <sheetView showGridLines="0" topLeftCell="A194" zoomScaleNormal="100" zoomScaleSheetLayoutView="85" workbookViewId="0">
      <selection activeCell="B10" sqref="B10:B1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128</v>
      </c>
      <c r="C9" s="47" t="s">
        <v>104</v>
      </c>
      <c r="D9" s="46" t="s">
        <v>53</v>
      </c>
      <c r="E9" s="45" t="s">
        <v>52</v>
      </c>
    </row>
    <row r="10" spans="1:5" ht="15" customHeight="1">
      <c r="B10" s="89" t="s">
        <v>125</v>
      </c>
      <c r="C10" s="43" t="s">
        <v>49</v>
      </c>
      <c r="D10" s="42">
        <v>1</v>
      </c>
      <c r="E10" s="41">
        <v>1.5243902439024391E-3</v>
      </c>
    </row>
    <row r="11" spans="1:5" ht="15" customHeight="1">
      <c r="B11" s="91"/>
      <c r="C11" s="43" t="s">
        <v>51</v>
      </c>
      <c r="D11" s="42">
        <v>2</v>
      </c>
      <c r="E11" s="41">
        <v>3.0487804878048782E-3</v>
      </c>
    </row>
    <row r="12" spans="1:5" ht="15" customHeight="1">
      <c r="B12" s="91"/>
      <c r="C12" s="43" t="s">
        <v>48</v>
      </c>
      <c r="D12" s="42">
        <v>1</v>
      </c>
      <c r="E12" s="41">
        <v>1.5243902439024391E-3</v>
      </c>
    </row>
    <row r="13" spans="1:5" ht="15" customHeight="1">
      <c r="B13" s="91"/>
      <c r="C13" s="43" t="s">
        <v>47</v>
      </c>
      <c r="D13" s="42">
        <v>1</v>
      </c>
      <c r="E13" s="41">
        <v>1.5243902439024391E-3</v>
      </c>
    </row>
    <row r="14" spans="1:5" ht="15" customHeight="1">
      <c r="B14" s="91"/>
      <c r="C14" s="43" t="s">
        <v>26</v>
      </c>
      <c r="D14" s="42">
        <v>1</v>
      </c>
      <c r="E14" s="41">
        <v>1.5243902439024391E-3</v>
      </c>
    </row>
    <row r="15" spans="1:5" ht="15" customHeight="1">
      <c r="B15" s="91"/>
      <c r="C15" s="43" t="s">
        <v>44</v>
      </c>
      <c r="D15" s="42">
        <v>2</v>
      </c>
      <c r="E15" s="41">
        <v>3.0487804878048782E-3</v>
      </c>
    </row>
    <row r="16" spans="1:5" ht="15" customHeight="1">
      <c r="B16" s="90"/>
      <c r="C16" s="40" t="s">
        <v>20</v>
      </c>
      <c r="D16" s="39">
        <v>8</v>
      </c>
      <c r="E16" s="38">
        <v>1.2195121951219513E-2</v>
      </c>
    </row>
    <row r="17" spans="2:5" ht="15" customHeight="1">
      <c r="B17" s="89" t="s">
        <v>124</v>
      </c>
      <c r="C17" s="43" t="s">
        <v>50</v>
      </c>
      <c r="D17" s="42">
        <v>1</v>
      </c>
      <c r="E17" s="41">
        <v>1.5243902439024391E-3</v>
      </c>
    </row>
    <row r="18" spans="2:5" ht="15" customHeight="1">
      <c r="B18" s="90"/>
      <c r="C18" s="40" t="s">
        <v>20</v>
      </c>
      <c r="D18" s="39">
        <v>1</v>
      </c>
      <c r="E18" s="38">
        <v>1.5243902439024391E-3</v>
      </c>
    </row>
    <row r="19" spans="2:5" ht="15" customHeight="1">
      <c r="B19" s="89" t="s">
        <v>123</v>
      </c>
      <c r="C19" s="43" t="s">
        <v>49</v>
      </c>
      <c r="D19" s="42">
        <v>1</v>
      </c>
      <c r="E19" s="41">
        <v>1.5243902439024391E-3</v>
      </c>
    </row>
    <row r="20" spans="2:5" ht="15" customHeight="1">
      <c r="B20" s="91"/>
      <c r="C20" s="43" t="s">
        <v>51</v>
      </c>
      <c r="D20" s="42">
        <v>3</v>
      </c>
      <c r="E20" s="41">
        <v>4.5731707317073168E-3</v>
      </c>
    </row>
    <row r="21" spans="2:5" ht="15" customHeight="1">
      <c r="B21" s="91"/>
      <c r="C21" s="43" t="s">
        <v>48</v>
      </c>
      <c r="D21" s="42">
        <v>1</v>
      </c>
      <c r="E21" s="41">
        <v>1.5243902439024391E-3</v>
      </c>
    </row>
    <row r="22" spans="2:5" ht="15" customHeight="1">
      <c r="B22" s="91"/>
      <c r="C22" s="43" t="s">
        <v>32</v>
      </c>
      <c r="D22" s="42">
        <v>1</v>
      </c>
      <c r="E22" s="41">
        <v>1.5243902439024391E-3</v>
      </c>
    </row>
    <row r="23" spans="2:5" ht="15" customHeight="1">
      <c r="B23" s="91"/>
      <c r="C23" s="43" t="s">
        <v>50</v>
      </c>
      <c r="D23" s="42">
        <v>1</v>
      </c>
      <c r="E23" s="41">
        <v>1.5243902439024391E-3</v>
      </c>
    </row>
    <row r="24" spans="2:5" ht="15" customHeight="1">
      <c r="B24" s="91"/>
      <c r="C24" s="43" t="s">
        <v>169</v>
      </c>
      <c r="D24" s="42">
        <v>1</v>
      </c>
      <c r="E24" s="41">
        <v>1.5243902439024391E-3</v>
      </c>
    </row>
    <row r="25" spans="2:5" ht="15" customHeight="1">
      <c r="B25" s="90"/>
      <c r="C25" s="40" t="s">
        <v>20</v>
      </c>
      <c r="D25" s="39">
        <v>8</v>
      </c>
      <c r="E25" s="38">
        <v>1.2195121951219513E-2</v>
      </c>
    </row>
    <row r="26" spans="2:5" ht="15" customHeight="1">
      <c r="B26" s="89" t="s">
        <v>122</v>
      </c>
      <c r="C26" s="43" t="s">
        <v>51</v>
      </c>
      <c r="D26" s="42">
        <v>1</v>
      </c>
      <c r="E26" s="41">
        <v>1.5243902439024391E-3</v>
      </c>
    </row>
    <row r="27" spans="2:5" ht="15" customHeight="1">
      <c r="B27" s="91"/>
      <c r="C27" s="43" t="s">
        <v>48</v>
      </c>
      <c r="D27" s="42">
        <v>1</v>
      </c>
      <c r="E27" s="41">
        <v>1.5243902439024391E-3</v>
      </c>
    </row>
    <row r="28" spans="2:5" ht="15" customHeight="1">
      <c r="B28" s="91"/>
      <c r="C28" s="43" t="s">
        <v>166</v>
      </c>
      <c r="D28" s="42">
        <v>1</v>
      </c>
      <c r="E28" s="41">
        <v>1.5243902439024391E-3</v>
      </c>
    </row>
    <row r="29" spans="2:5" ht="15" customHeight="1">
      <c r="B29" s="91"/>
      <c r="C29" s="43" t="s">
        <v>29</v>
      </c>
      <c r="D29" s="42">
        <v>1</v>
      </c>
      <c r="E29" s="41">
        <v>1.5243902439024391E-3</v>
      </c>
    </row>
    <row r="30" spans="2:5" ht="15" customHeight="1">
      <c r="B30" s="91"/>
      <c r="C30" s="43" t="s">
        <v>50</v>
      </c>
      <c r="D30" s="42">
        <v>1</v>
      </c>
      <c r="E30" s="41">
        <v>1.5243902439024391E-3</v>
      </c>
    </row>
    <row r="31" spans="2:5" ht="15" customHeight="1">
      <c r="B31" s="90"/>
      <c r="C31" s="40" t="s">
        <v>20</v>
      </c>
      <c r="D31" s="39">
        <v>5</v>
      </c>
      <c r="E31" s="38">
        <v>7.621951219512195E-3</v>
      </c>
    </row>
    <row r="32" spans="2:5" ht="15" customHeight="1">
      <c r="B32" s="89" t="s">
        <v>121</v>
      </c>
      <c r="C32" s="43" t="s">
        <v>49</v>
      </c>
      <c r="D32" s="42">
        <v>1</v>
      </c>
      <c r="E32" s="41">
        <v>1.5243902439024391E-3</v>
      </c>
    </row>
    <row r="33" spans="2:5" ht="15" customHeight="1">
      <c r="B33" s="91"/>
      <c r="C33" s="43" t="s">
        <v>51</v>
      </c>
      <c r="D33" s="42">
        <v>2</v>
      </c>
      <c r="E33" s="41">
        <v>3.0487804878048782E-3</v>
      </c>
    </row>
    <row r="34" spans="2:5" ht="15" customHeight="1">
      <c r="B34" s="91"/>
      <c r="C34" s="43" t="s">
        <v>48</v>
      </c>
      <c r="D34" s="42">
        <v>2</v>
      </c>
      <c r="E34" s="41">
        <v>3.0487804878048782E-3</v>
      </c>
    </row>
    <row r="35" spans="2:5" ht="15" customHeight="1">
      <c r="B35" s="91"/>
      <c r="C35" s="43" t="s">
        <v>32</v>
      </c>
      <c r="D35" s="42">
        <v>1</v>
      </c>
      <c r="E35" s="41">
        <v>1.5243902439024391E-3</v>
      </c>
    </row>
    <row r="36" spans="2:5" ht="15" customHeight="1">
      <c r="B36" s="91"/>
      <c r="C36" s="43" t="s">
        <v>44</v>
      </c>
      <c r="D36" s="42">
        <v>1</v>
      </c>
      <c r="E36" s="41">
        <v>1.5243902439024391E-3</v>
      </c>
    </row>
    <row r="37" spans="2:5" ht="15" customHeight="1">
      <c r="B37" s="90"/>
      <c r="C37" s="40" t="s">
        <v>20</v>
      </c>
      <c r="D37" s="39">
        <v>7</v>
      </c>
      <c r="E37" s="38">
        <v>1.0670731707317074E-2</v>
      </c>
    </row>
    <row r="38" spans="2:5" ht="15" customHeight="1">
      <c r="B38" s="89" t="s">
        <v>120</v>
      </c>
      <c r="C38" s="43" t="s">
        <v>31</v>
      </c>
      <c r="D38" s="42">
        <v>1</v>
      </c>
      <c r="E38" s="41">
        <v>1.5243902439024391E-3</v>
      </c>
    </row>
    <row r="39" spans="2:5" ht="15" customHeight="1">
      <c r="B39" s="91"/>
      <c r="C39" s="43" t="s">
        <v>51</v>
      </c>
      <c r="D39" s="42">
        <v>3</v>
      </c>
      <c r="E39" s="41">
        <v>4.5731707317073168E-3</v>
      </c>
    </row>
    <row r="40" spans="2:5" ht="15" customHeight="1">
      <c r="B40" s="91"/>
      <c r="C40" s="43" t="s">
        <v>23</v>
      </c>
      <c r="D40" s="42">
        <v>1</v>
      </c>
      <c r="E40" s="41">
        <v>1.5243902439024391E-3</v>
      </c>
    </row>
    <row r="41" spans="2:5" ht="15" customHeight="1">
      <c r="B41" s="91"/>
      <c r="C41" s="43" t="s">
        <v>50</v>
      </c>
      <c r="D41" s="42">
        <v>1</v>
      </c>
      <c r="E41" s="41">
        <v>1.5243902439024391E-3</v>
      </c>
    </row>
    <row r="42" spans="2:5" ht="15" customHeight="1">
      <c r="B42" s="90"/>
      <c r="C42" s="40" t="s">
        <v>20</v>
      </c>
      <c r="D42" s="39">
        <v>6</v>
      </c>
      <c r="E42" s="38">
        <v>9.1463414634146336E-3</v>
      </c>
    </row>
    <row r="43" spans="2:5" ht="15" customHeight="1">
      <c r="B43" s="89" t="s">
        <v>119</v>
      </c>
      <c r="C43" s="43" t="s">
        <v>49</v>
      </c>
      <c r="D43" s="42">
        <v>1</v>
      </c>
      <c r="E43" s="41">
        <v>1.5243902439024391E-3</v>
      </c>
    </row>
    <row r="44" spans="2:5" ht="15" customHeight="1">
      <c r="B44" s="91"/>
      <c r="C44" s="43" t="s">
        <v>51</v>
      </c>
      <c r="D44" s="42">
        <v>10</v>
      </c>
      <c r="E44" s="41">
        <v>1.524390243902439E-2</v>
      </c>
    </row>
    <row r="45" spans="2:5" ht="15" customHeight="1">
      <c r="B45" s="91"/>
      <c r="C45" s="43" t="s">
        <v>48</v>
      </c>
      <c r="D45" s="42">
        <v>1</v>
      </c>
      <c r="E45" s="41">
        <v>1.5243902439024391E-3</v>
      </c>
    </row>
    <row r="46" spans="2:5" ht="15" customHeight="1">
      <c r="B46" s="91"/>
      <c r="C46" s="43" t="s">
        <v>47</v>
      </c>
      <c r="D46" s="42">
        <v>1</v>
      </c>
      <c r="E46" s="41">
        <v>1.5243902439024391E-3</v>
      </c>
    </row>
    <row r="47" spans="2:5" ht="15" customHeight="1">
      <c r="B47" s="91"/>
      <c r="C47" s="43" t="s">
        <v>37</v>
      </c>
      <c r="D47" s="42">
        <v>2</v>
      </c>
      <c r="E47" s="41">
        <v>3.0487804878048782E-3</v>
      </c>
    </row>
    <row r="48" spans="2:5" ht="15" customHeight="1">
      <c r="B48" s="91"/>
      <c r="C48" s="43" t="s">
        <v>32</v>
      </c>
      <c r="D48" s="42">
        <v>1</v>
      </c>
      <c r="E48" s="41">
        <v>1.5243902439024391E-3</v>
      </c>
    </row>
    <row r="49" spans="2:5" ht="15" customHeight="1">
      <c r="B49" s="91"/>
      <c r="C49" s="43" t="s">
        <v>42</v>
      </c>
      <c r="D49" s="42">
        <v>1</v>
      </c>
      <c r="E49" s="41">
        <v>1.5243902439024391E-3</v>
      </c>
    </row>
    <row r="50" spans="2:5" ht="15" customHeight="1">
      <c r="B50" s="91"/>
      <c r="C50" s="43" t="s">
        <v>50</v>
      </c>
      <c r="D50" s="42">
        <v>4</v>
      </c>
      <c r="E50" s="41">
        <v>6.0975609756097563E-3</v>
      </c>
    </row>
    <row r="51" spans="2:5" ht="15" customHeight="1">
      <c r="B51" s="91"/>
      <c r="C51" s="43" t="s">
        <v>46</v>
      </c>
      <c r="D51" s="42">
        <v>1</v>
      </c>
      <c r="E51" s="41">
        <v>1.5243902439024391E-3</v>
      </c>
    </row>
    <row r="52" spans="2:5" ht="15" customHeight="1">
      <c r="B52" s="91"/>
      <c r="C52" s="43" t="s">
        <v>33</v>
      </c>
      <c r="D52" s="42">
        <v>1</v>
      </c>
      <c r="E52" s="41">
        <v>1.5243902439024391E-3</v>
      </c>
    </row>
    <row r="53" spans="2:5" ht="15" customHeight="1">
      <c r="B53" s="90"/>
      <c r="C53" s="40" t="s">
        <v>20</v>
      </c>
      <c r="D53" s="39">
        <v>23</v>
      </c>
      <c r="E53" s="38">
        <v>3.5060975609756101E-2</v>
      </c>
    </row>
    <row r="54" spans="2:5" ht="15" customHeight="1">
      <c r="B54" s="89" t="s">
        <v>118</v>
      </c>
      <c r="C54" s="43" t="s">
        <v>49</v>
      </c>
      <c r="D54" s="42">
        <v>6</v>
      </c>
      <c r="E54" s="41">
        <v>9.1463414634146336E-3</v>
      </c>
    </row>
    <row r="55" spans="2:5" ht="15" customHeight="1">
      <c r="B55" s="91"/>
      <c r="C55" s="43" t="s">
        <v>51</v>
      </c>
      <c r="D55" s="42">
        <v>15</v>
      </c>
      <c r="E55" s="41">
        <v>2.2865853658536585E-2</v>
      </c>
    </row>
    <row r="56" spans="2:5" ht="15" customHeight="1">
      <c r="B56" s="91"/>
      <c r="C56" s="43" t="s">
        <v>48</v>
      </c>
      <c r="D56" s="42">
        <v>4</v>
      </c>
      <c r="E56" s="41">
        <v>6.0975609756097563E-3</v>
      </c>
    </row>
    <row r="57" spans="2:5" ht="15" customHeight="1">
      <c r="B57" s="91"/>
      <c r="C57" s="43" t="s">
        <v>47</v>
      </c>
      <c r="D57" s="42">
        <v>2</v>
      </c>
      <c r="E57" s="41">
        <v>3.0487804878048782E-3</v>
      </c>
    </row>
    <row r="58" spans="2:5" ht="15" customHeight="1">
      <c r="B58" s="91"/>
      <c r="C58" s="43" t="s">
        <v>45</v>
      </c>
      <c r="D58" s="42">
        <v>3</v>
      </c>
      <c r="E58" s="41">
        <v>4.5731707317073168E-3</v>
      </c>
    </row>
    <row r="59" spans="2:5" ht="15" customHeight="1">
      <c r="B59" s="91"/>
      <c r="C59" s="43" t="s">
        <v>39</v>
      </c>
      <c r="D59" s="42">
        <v>1</v>
      </c>
      <c r="E59" s="41">
        <v>1.5243902439024391E-3</v>
      </c>
    </row>
    <row r="60" spans="2:5" ht="15" customHeight="1">
      <c r="B60" s="91"/>
      <c r="C60" s="43" t="s">
        <v>43</v>
      </c>
      <c r="D60" s="42">
        <v>2</v>
      </c>
      <c r="E60" s="41">
        <v>3.0487804878048782E-3</v>
      </c>
    </row>
    <row r="61" spans="2:5" ht="15" customHeight="1">
      <c r="B61" s="91"/>
      <c r="C61" s="43" t="s">
        <v>21</v>
      </c>
      <c r="D61" s="42">
        <v>1</v>
      </c>
      <c r="E61" s="41">
        <v>1.5243902439024391E-3</v>
      </c>
    </row>
    <row r="62" spans="2:5" ht="15" customHeight="1">
      <c r="B62" s="91"/>
      <c r="C62" s="43" t="s">
        <v>29</v>
      </c>
      <c r="D62" s="42">
        <v>1</v>
      </c>
      <c r="E62" s="41">
        <v>1.5243902439024391E-3</v>
      </c>
    </row>
    <row r="63" spans="2:5" ht="15" customHeight="1">
      <c r="B63" s="91"/>
      <c r="C63" s="43" t="s">
        <v>32</v>
      </c>
      <c r="D63" s="42">
        <v>1</v>
      </c>
      <c r="E63" s="41">
        <v>1.5243902439024391E-3</v>
      </c>
    </row>
    <row r="64" spans="2:5" ht="15" customHeight="1">
      <c r="B64" s="91"/>
      <c r="C64" s="43" t="s">
        <v>44</v>
      </c>
      <c r="D64" s="42">
        <v>7</v>
      </c>
      <c r="E64" s="41">
        <v>1.0670731707317074E-2</v>
      </c>
    </row>
    <row r="65" spans="2:5" ht="15" customHeight="1">
      <c r="B65" s="91"/>
      <c r="C65" s="43" t="s">
        <v>27</v>
      </c>
      <c r="D65" s="42">
        <v>1</v>
      </c>
      <c r="E65" s="41">
        <v>1.5243902439024391E-3</v>
      </c>
    </row>
    <row r="66" spans="2:5" ht="15" customHeight="1">
      <c r="B66" s="91"/>
      <c r="C66" s="43" t="s">
        <v>35</v>
      </c>
      <c r="D66" s="42">
        <v>2</v>
      </c>
      <c r="E66" s="41">
        <v>3.0487804878048782E-3</v>
      </c>
    </row>
    <row r="67" spans="2:5" ht="15" customHeight="1">
      <c r="B67" s="91"/>
      <c r="C67" s="43" t="s">
        <v>50</v>
      </c>
      <c r="D67" s="42">
        <v>9</v>
      </c>
      <c r="E67" s="41">
        <v>1.3719512195121951E-2</v>
      </c>
    </row>
    <row r="68" spans="2:5" ht="15" customHeight="1">
      <c r="B68" s="91"/>
      <c r="C68" s="43" t="s">
        <v>46</v>
      </c>
      <c r="D68" s="42">
        <v>1</v>
      </c>
      <c r="E68" s="41">
        <v>1.5243902439024391E-3</v>
      </c>
    </row>
    <row r="69" spans="2:5" ht="15" customHeight="1">
      <c r="B69" s="90"/>
      <c r="C69" s="40" t="s">
        <v>20</v>
      </c>
      <c r="D69" s="39">
        <v>56</v>
      </c>
      <c r="E69" s="38">
        <v>8.5365853658536592E-2</v>
      </c>
    </row>
    <row r="70" spans="2:5" ht="15" customHeight="1">
      <c r="B70" s="89" t="s">
        <v>117</v>
      </c>
      <c r="C70" s="43" t="s">
        <v>49</v>
      </c>
      <c r="D70" s="42">
        <v>1</v>
      </c>
      <c r="E70" s="41">
        <v>1.5243902439024391E-3</v>
      </c>
    </row>
    <row r="71" spans="2:5" ht="15" customHeight="1">
      <c r="B71" s="91"/>
      <c r="C71" s="43" t="s">
        <v>51</v>
      </c>
      <c r="D71" s="42">
        <v>1</v>
      </c>
      <c r="E71" s="41">
        <v>1.5243902439024391E-3</v>
      </c>
    </row>
    <row r="72" spans="2:5" ht="15" customHeight="1">
      <c r="B72" s="91"/>
      <c r="C72" s="43" t="s">
        <v>48</v>
      </c>
      <c r="D72" s="42">
        <v>2</v>
      </c>
      <c r="E72" s="41">
        <v>3.0487804878048782E-3</v>
      </c>
    </row>
    <row r="73" spans="2:5" ht="15" customHeight="1">
      <c r="B73" s="91"/>
      <c r="C73" s="43" t="s">
        <v>45</v>
      </c>
      <c r="D73" s="42">
        <v>1</v>
      </c>
      <c r="E73" s="41">
        <v>1.5243902439024391E-3</v>
      </c>
    </row>
    <row r="74" spans="2:5" ht="15" customHeight="1">
      <c r="B74" s="91"/>
      <c r="C74" s="43" t="s">
        <v>44</v>
      </c>
      <c r="D74" s="42">
        <v>1</v>
      </c>
      <c r="E74" s="41">
        <v>1.5243902439024391E-3</v>
      </c>
    </row>
    <row r="75" spans="2:5" ht="15" customHeight="1">
      <c r="B75" s="91"/>
      <c r="C75" s="43" t="s">
        <v>50</v>
      </c>
      <c r="D75" s="42">
        <v>2</v>
      </c>
      <c r="E75" s="41">
        <v>3.0487804878048782E-3</v>
      </c>
    </row>
    <row r="76" spans="2:5" ht="15" customHeight="1">
      <c r="B76" s="91"/>
      <c r="C76" s="43" t="s">
        <v>38</v>
      </c>
      <c r="D76" s="42">
        <v>1</v>
      </c>
      <c r="E76" s="41">
        <v>1.5243902439024391E-3</v>
      </c>
    </row>
    <row r="77" spans="2:5" ht="15" customHeight="1">
      <c r="B77" s="90"/>
      <c r="C77" s="40" t="s">
        <v>20</v>
      </c>
      <c r="D77" s="39">
        <v>9</v>
      </c>
      <c r="E77" s="38">
        <v>1.3719512195121951E-2</v>
      </c>
    </row>
    <row r="78" spans="2:5" ht="15" customHeight="1">
      <c r="B78" s="89" t="s">
        <v>116</v>
      </c>
      <c r="C78" s="43" t="s">
        <v>51</v>
      </c>
      <c r="D78" s="42">
        <v>2</v>
      </c>
      <c r="E78" s="41">
        <v>3.0487804878048782E-3</v>
      </c>
    </row>
    <row r="79" spans="2:5" ht="15" customHeight="1">
      <c r="B79" s="91"/>
      <c r="C79" s="43" t="s">
        <v>48</v>
      </c>
      <c r="D79" s="42">
        <v>1</v>
      </c>
      <c r="E79" s="41">
        <v>1.5243902439024391E-3</v>
      </c>
    </row>
    <row r="80" spans="2:5" ht="15" customHeight="1">
      <c r="B80" s="91"/>
      <c r="C80" s="43" t="s">
        <v>47</v>
      </c>
      <c r="D80" s="42">
        <v>3</v>
      </c>
      <c r="E80" s="41">
        <v>4.5731707317073168E-3</v>
      </c>
    </row>
    <row r="81" spans="2:5" ht="15" customHeight="1">
      <c r="B81" s="91"/>
      <c r="C81" s="43" t="s">
        <v>166</v>
      </c>
      <c r="D81" s="42">
        <v>1</v>
      </c>
      <c r="E81" s="41">
        <v>1.5243902439024391E-3</v>
      </c>
    </row>
    <row r="82" spans="2:5" ht="15" customHeight="1">
      <c r="B82" s="91"/>
      <c r="C82" s="43" t="s">
        <v>35</v>
      </c>
      <c r="D82" s="42">
        <v>1</v>
      </c>
      <c r="E82" s="41">
        <v>1.5243902439024391E-3</v>
      </c>
    </row>
    <row r="83" spans="2:5" ht="15" customHeight="1">
      <c r="B83" s="91"/>
      <c r="C83" s="43" t="s">
        <v>40</v>
      </c>
      <c r="D83" s="42">
        <v>2</v>
      </c>
      <c r="E83" s="41">
        <v>3.0487804878048782E-3</v>
      </c>
    </row>
    <row r="84" spans="2:5" ht="15" customHeight="1">
      <c r="B84" s="91"/>
      <c r="C84" s="43" t="s">
        <v>50</v>
      </c>
      <c r="D84" s="42">
        <v>1</v>
      </c>
      <c r="E84" s="41">
        <v>1.5243902439024391E-3</v>
      </c>
    </row>
    <row r="85" spans="2:5" ht="15" customHeight="1">
      <c r="B85" s="90"/>
      <c r="C85" s="40" t="s">
        <v>20</v>
      </c>
      <c r="D85" s="39">
        <v>11</v>
      </c>
      <c r="E85" s="38">
        <v>1.676829268292683E-2</v>
      </c>
    </row>
    <row r="86" spans="2:5" ht="15" customHeight="1">
      <c r="B86" s="89" t="s">
        <v>115</v>
      </c>
      <c r="C86" s="43" t="s">
        <v>49</v>
      </c>
      <c r="D86" s="42">
        <v>1</v>
      </c>
      <c r="E86" s="41">
        <v>1.5243902439024391E-3</v>
      </c>
    </row>
    <row r="87" spans="2:5" ht="15" customHeight="1">
      <c r="B87" s="91"/>
      <c r="C87" s="43" t="s">
        <v>31</v>
      </c>
      <c r="D87" s="42">
        <v>1</v>
      </c>
      <c r="E87" s="41">
        <v>1.5243902439024391E-3</v>
      </c>
    </row>
    <row r="88" spans="2:5" ht="15" customHeight="1">
      <c r="B88" s="91"/>
      <c r="C88" s="43" t="s">
        <v>51</v>
      </c>
      <c r="D88" s="42">
        <v>6</v>
      </c>
      <c r="E88" s="41">
        <v>9.1463414634146336E-3</v>
      </c>
    </row>
    <row r="89" spans="2:5" ht="15" customHeight="1">
      <c r="B89" s="91"/>
      <c r="C89" s="43" t="s">
        <v>48</v>
      </c>
      <c r="D89" s="42">
        <v>3</v>
      </c>
      <c r="E89" s="41">
        <v>4.5731707317073168E-3</v>
      </c>
    </row>
    <row r="90" spans="2:5" ht="15" customHeight="1">
      <c r="B90" s="91"/>
      <c r="C90" s="43" t="s">
        <v>45</v>
      </c>
      <c r="D90" s="42">
        <v>1</v>
      </c>
      <c r="E90" s="41">
        <v>1.5243902439024391E-3</v>
      </c>
    </row>
    <row r="91" spans="2:5" ht="15" customHeight="1">
      <c r="B91" s="91"/>
      <c r="C91" s="43" t="s">
        <v>39</v>
      </c>
      <c r="D91" s="42">
        <v>1</v>
      </c>
      <c r="E91" s="41">
        <v>1.5243902439024391E-3</v>
      </c>
    </row>
    <row r="92" spans="2:5" ht="15" customHeight="1">
      <c r="B92" s="91"/>
      <c r="C92" s="43" t="s">
        <v>36</v>
      </c>
      <c r="D92" s="42">
        <v>2</v>
      </c>
      <c r="E92" s="41">
        <v>3.0487804878048782E-3</v>
      </c>
    </row>
    <row r="93" spans="2:5" ht="15" customHeight="1">
      <c r="B93" s="91"/>
      <c r="C93" s="43" t="s">
        <v>37</v>
      </c>
      <c r="D93" s="42">
        <v>1</v>
      </c>
      <c r="E93" s="41">
        <v>1.5243902439024391E-3</v>
      </c>
    </row>
    <row r="94" spans="2:5" ht="15" customHeight="1">
      <c r="B94" s="91"/>
      <c r="C94" s="43" t="s">
        <v>44</v>
      </c>
      <c r="D94" s="42">
        <v>4</v>
      </c>
      <c r="E94" s="41">
        <v>6.0975609756097563E-3</v>
      </c>
    </row>
    <row r="95" spans="2:5" ht="15" customHeight="1">
      <c r="B95" s="91"/>
      <c r="C95" s="43" t="s">
        <v>42</v>
      </c>
      <c r="D95" s="42">
        <v>2</v>
      </c>
      <c r="E95" s="41">
        <v>3.0487804878048782E-3</v>
      </c>
    </row>
    <row r="96" spans="2:5" ht="15" customHeight="1">
      <c r="B96" s="91"/>
      <c r="C96" s="43" t="s">
        <v>35</v>
      </c>
      <c r="D96" s="42">
        <v>2</v>
      </c>
      <c r="E96" s="41">
        <v>3.0487804878048782E-3</v>
      </c>
    </row>
    <row r="97" spans="2:5" ht="15" customHeight="1">
      <c r="B97" s="91"/>
      <c r="C97" s="43" t="s">
        <v>50</v>
      </c>
      <c r="D97" s="42">
        <v>3</v>
      </c>
      <c r="E97" s="41">
        <v>4.5731707317073168E-3</v>
      </c>
    </row>
    <row r="98" spans="2:5" ht="15" customHeight="1">
      <c r="B98" s="91"/>
      <c r="C98" s="43" t="s">
        <v>34</v>
      </c>
      <c r="D98" s="42">
        <v>1</v>
      </c>
      <c r="E98" s="41">
        <v>1.5243902439024391E-3</v>
      </c>
    </row>
    <row r="99" spans="2:5" ht="15" customHeight="1">
      <c r="B99" s="91"/>
      <c r="C99" s="43" t="s">
        <v>46</v>
      </c>
      <c r="D99" s="42">
        <v>5</v>
      </c>
      <c r="E99" s="41">
        <v>7.621951219512195E-3</v>
      </c>
    </row>
    <row r="100" spans="2:5" ht="15" customHeight="1">
      <c r="B100" s="91"/>
      <c r="C100" s="43" t="s">
        <v>38</v>
      </c>
      <c r="D100" s="42">
        <v>1</v>
      </c>
      <c r="E100" s="41">
        <v>1.5243902439024391E-3</v>
      </c>
    </row>
    <row r="101" spans="2:5" ht="15" customHeight="1">
      <c r="B101" s="90"/>
      <c r="C101" s="40" t="s">
        <v>20</v>
      </c>
      <c r="D101" s="39">
        <v>34</v>
      </c>
      <c r="E101" s="38">
        <v>5.1829268292682924E-2</v>
      </c>
    </row>
    <row r="102" spans="2:5" ht="15" customHeight="1">
      <c r="B102" s="89" t="s">
        <v>114</v>
      </c>
      <c r="C102" s="43" t="s">
        <v>49</v>
      </c>
      <c r="D102" s="42">
        <v>18</v>
      </c>
      <c r="E102" s="41">
        <v>2.7439024390243903E-2</v>
      </c>
    </row>
    <row r="103" spans="2:5" ht="15" customHeight="1">
      <c r="B103" s="91"/>
      <c r="C103" s="43" t="s">
        <v>31</v>
      </c>
      <c r="D103" s="42">
        <v>6</v>
      </c>
      <c r="E103" s="41">
        <v>9.1463414634146336E-3</v>
      </c>
    </row>
    <row r="104" spans="2:5" ht="15" customHeight="1">
      <c r="B104" s="91"/>
      <c r="C104" s="43" t="s">
        <v>28</v>
      </c>
      <c r="D104" s="42">
        <v>1</v>
      </c>
      <c r="E104" s="41">
        <v>1.5243902439024391E-3</v>
      </c>
    </row>
    <row r="105" spans="2:5" ht="15" customHeight="1">
      <c r="B105" s="91"/>
      <c r="C105" s="43" t="s">
        <v>51</v>
      </c>
      <c r="D105" s="42">
        <v>60</v>
      </c>
      <c r="E105" s="41">
        <v>9.1463414634146339E-2</v>
      </c>
    </row>
    <row r="106" spans="2:5" ht="15" customHeight="1">
      <c r="B106" s="91"/>
      <c r="C106" s="43" t="s">
        <v>41</v>
      </c>
      <c r="D106" s="42">
        <v>1</v>
      </c>
      <c r="E106" s="41">
        <v>1.5243902439024391E-3</v>
      </c>
    </row>
    <row r="107" spans="2:5" ht="15" customHeight="1">
      <c r="B107" s="91"/>
      <c r="C107" s="43" t="s">
        <v>25</v>
      </c>
      <c r="D107" s="42">
        <v>1</v>
      </c>
      <c r="E107" s="41">
        <v>1.5243902439024391E-3</v>
      </c>
    </row>
    <row r="108" spans="2:5" ht="15" customHeight="1">
      <c r="B108" s="91"/>
      <c r="C108" s="43" t="s">
        <v>48</v>
      </c>
      <c r="D108" s="42">
        <v>14</v>
      </c>
      <c r="E108" s="41">
        <v>2.1341463414634148E-2</v>
      </c>
    </row>
    <row r="109" spans="2:5" ht="15" customHeight="1">
      <c r="B109" s="91"/>
      <c r="C109" s="43" t="s">
        <v>47</v>
      </c>
      <c r="D109" s="42">
        <v>8</v>
      </c>
      <c r="E109" s="41">
        <v>1.2195121951219513E-2</v>
      </c>
    </row>
    <row r="110" spans="2:5" ht="15" customHeight="1">
      <c r="B110" s="91"/>
      <c r="C110" s="43" t="s">
        <v>45</v>
      </c>
      <c r="D110" s="42">
        <v>11</v>
      </c>
      <c r="E110" s="41">
        <v>1.676829268292683E-2</v>
      </c>
    </row>
    <row r="111" spans="2:5" ht="15" customHeight="1">
      <c r="B111" s="91"/>
      <c r="C111" s="43" t="s">
        <v>39</v>
      </c>
      <c r="D111" s="42">
        <v>5</v>
      </c>
      <c r="E111" s="41">
        <v>7.621951219512195E-3</v>
      </c>
    </row>
    <row r="112" spans="2:5" ht="15" customHeight="1">
      <c r="B112" s="91"/>
      <c r="C112" s="43" t="s">
        <v>167</v>
      </c>
      <c r="D112" s="42">
        <v>1</v>
      </c>
      <c r="E112" s="41">
        <v>1.5243902439024391E-3</v>
      </c>
    </row>
    <row r="113" spans="2:5" ht="15" customHeight="1">
      <c r="B113" s="91"/>
      <c r="C113" s="43" t="s">
        <v>30</v>
      </c>
      <c r="D113" s="42">
        <v>2</v>
      </c>
      <c r="E113" s="41">
        <v>3.0487804878048782E-3</v>
      </c>
    </row>
    <row r="114" spans="2:5" ht="15" customHeight="1">
      <c r="B114" s="91"/>
      <c r="C114" s="43" t="s">
        <v>24</v>
      </c>
      <c r="D114" s="42">
        <v>2</v>
      </c>
      <c r="E114" s="41">
        <v>3.0487804878048782E-3</v>
      </c>
    </row>
    <row r="115" spans="2:5" ht="15" customHeight="1">
      <c r="B115" s="91"/>
      <c r="C115" s="43" t="s">
        <v>26</v>
      </c>
      <c r="D115" s="42">
        <v>2</v>
      </c>
      <c r="E115" s="41">
        <v>3.0487804878048782E-3</v>
      </c>
    </row>
    <row r="116" spans="2:5" ht="15" customHeight="1">
      <c r="B116" s="91"/>
      <c r="C116" s="43" t="s">
        <v>36</v>
      </c>
      <c r="D116" s="42">
        <v>1</v>
      </c>
      <c r="E116" s="41">
        <v>1.5243902439024391E-3</v>
      </c>
    </row>
    <row r="117" spans="2:5" ht="15" customHeight="1">
      <c r="B117" s="91"/>
      <c r="C117" s="43" t="s">
        <v>43</v>
      </c>
      <c r="D117" s="42">
        <v>5</v>
      </c>
      <c r="E117" s="41">
        <v>7.621951219512195E-3</v>
      </c>
    </row>
    <row r="118" spans="2:5" ht="15" customHeight="1">
      <c r="B118" s="91"/>
      <c r="C118" s="43" t="s">
        <v>166</v>
      </c>
      <c r="D118" s="42">
        <v>1</v>
      </c>
      <c r="E118" s="41">
        <v>1.5243902439024391E-3</v>
      </c>
    </row>
    <row r="119" spans="2:5" ht="15" customHeight="1">
      <c r="B119" s="91"/>
      <c r="C119" s="43" t="s">
        <v>21</v>
      </c>
      <c r="D119" s="42">
        <v>2</v>
      </c>
      <c r="E119" s="41">
        <v>3.0487804878048782E-3</v>
      </c>
    </row>
    <row r="120" spans="2:5" ht="15" customHeight="1">
      <c r="B120" s="91"/>
      <c r="C120" s="43" t="s">
        <v>29</v>
      </c>
      <c r="D120" s="42">
        <v>1</v>
      </c>
      <c r="E120" s="41">
        <v>1.5243902439024391E-3</v>
      </c>
    </row>
    <row r="121" spans="2:5" ht="15" customHeight="1">
      <c r="B121" s="91"/>
      <c r="C121" s="43" t="s">
        <v>37</v>
      </c>
      <c r="D121" s="42">
        <v>6</v>
      </c>
      <c r="E121" s="41">
        <v>9.1463414634146336E-3</v>
      </c>
    </row>
    <row r="122" spans="2:5" ht="15" customHeight="1">
      <c r="B122" s="91"/>
      <c r="C122" s="43" t="s">
        <v>32</v>
      </c>
      <c r="D122" s="42">
        <v>4</v>
      </c>
      <c r="E122" s="41">
        <v>6.0975609756097563E-3</v>
      </c>
    </row>
    <row r="123" spans="2:5" ht="15" customHeight="1">
      <c r="B123" s="91"/>
      <c r="C123" s="43" t="s">
        <v>44</v>
      </c>
      <c r="D123" s="42">
        <v>11</v>
      </c>
      <c r="E123" s="41">
        <v>1.676829268292683E-2</v>
      </c>
    </row>
    <row r="124" spans="2:5" ht="15" customHeight="1">
      <c r="B124" s="91"/>
      <c r="C124" s="43" t="s">
        <v>22</v>
      </c>
      <c r="D124" s="42">
        <v>3</v>
      </c>
      <c r="E124" s="41">
        <v>4.5731707317073168E-3</v>
      </c>
    </row>
    <row r="125" spans="2:5" ht="15" customHeight="1">
      <c r="B125" s="91"/>
      <c r="C125" s="43" t="s">
        <v>27</v>
      </c>
      <c r="D125" s="42">
        <v>4</v>
      </c>
      <c r="E125" s="41">
        <v>6.0975609756097563E-3</v>
      </c>
    </row>
    <row r="126" spans="2:5" ht="15" customHeight="1">
      <c r="B126" s="91"/>
      <c r="C126" s="43" t="s">
        <v>42</v>
      </c>
      <c r="D126" s="42">
        <v>1</v>
      </c>
      <c r="E126" s="41">
        <v>1.5243902439024391E-3</v>
      </c>
    </row>
    <row r="127" spans="2:5" ht="15" customHeight="1">
      <c r="B127" s="91"/>
      <c r="C127" s="43" t="s">
        <v>35</v>
      </c>
      <c r="D127" s="42">
        <v>4</v>
      </c>
      <c r="E127" s="41">
        <v>6.0975609756097563E-3</v>
      </c>
    </row>
    <row r="128" spans="2:5" ht="15" customHeight="1">
      <c r="B128" s="91"/>
      <c r="C128" s="43" t="s">
        <v>40</v>
      </c>
      <c r="D128" s="42">
        <v>1</v>
      </c>
      <c r="E128" s="41">
        <v>1.5243902439024391E-3</v>
      </c>
    </row>
    <row r="129" spans="2:5" ht="15" customHeight="1">
      <c r="B129" s="91"/>
      <c r="C129" s="43" t="s">
        <v>50</v>
      </c>
      <c r="D129" s="42">
        <v>29</v>
      </c>
      <c r="E129" s="41">
        <v>4.4207317073170729E-2</v>
      </c>
    </row>
    <row r="130" spans="2:5" ht="15" customHeight="1">
      <c r="B130" s="91"/>
      <c r="C130" s="43" t="s">
        <v>46</v>
      </c>
      <c r="D130" s="42">
        <v>5</v>
      </c>
      <c r="E130" s="41">
        <v>7.621951219512195E-3</v>
      </c>
    </row>
    <row r="131" spans="2:5" ht="15" customHeight="1">
      <c r="B131" s="91"/>
      <c r="C131" s="43" t="s">
        <v>38</v>
      </c>
      <c r="D131" s="42">
        <v>4</v>
      </c>
      <c r="E131" s="41">
        <v>6.0975609756097563E-3</v>
      </c>
    </row>
    <row r="132" spans="2:5" ht="15" customHeight="1">
      <c r="B132" s="90"/>
      <c r="C132" s="40" t="s">
        <v>20</v>
      </c>
      <c r="D132" s="39">
        <v>214</v>
      </c>
      <c r="E132" s="38">
        <v>0.32621951219512196</v>
      </c>
    </row>
    <row r="133" spans="2:5" ht="15" customHeight="1">
      <c r="B133" s="89" t="s">
        <v>113</v>
      </c>
      <c r="C133" s="43" t="s">
        <v>51</v>
      </c>
      <c r="D133" s="42">
        <v>6</v>
      </c>
      <c r="E133" s="41">
        <v>9.1463414634146336E-3</v>
      </c>
    </row>
    <row r="134" spans="2:5" ht="15" customHeight="1">
      <c r="B134" s="91"/>
      <c r="C134" s="43" t="s">
        <v>48</v>
      </c>
      <c r="D134" s="42">
        <v>1</v>
      </c>
      <c r="E134" s="41">
        <v>1.5243902439024391E-3</v>
      </c>
    </row>
    <row r="135" spans="2:5" ht="15" customHeight="1">
      <c r="B135" s="91"/>
      <c r="C135" s="43" t="s">
        <v>45</v>
      </c>
      <c r="D135" s="42">
        <v>2</v>
      </c>
      <c r="E135" s="41">
        <v>3.0487804878048782E-3</v>
      </c>
    </row>
    <row r="136" spans="2:5" ht="15" customHeight="1">
      <c r="B136" s="91"/>
      <c r="C136" s="43" t="s">
        <v>50</v>
      </c>
      <c r="D136" s="42">
        <v>3</v>
      </c>
      <c r="E136" s="41">
        <v>4.5731707317073168E-3</v>
      </c>
    </row>
    <row r="137" spans="2:5" ht="15" customHeight="1">
      <c r="B137" s="90"/>
      <c r="C137" s="40" t="s">
        <v>20</v>
      </c>
      <c r="D137" s="39">
        <v>12</v>
      </c>
      <c r="E137" s="38">
        <v>1.8292682926829267E-2</v>
      </c>
    </row>
    <row r="138" spans="2:5" ht="15" customHeight="1">
      <c r="B138" s="89" t="s">
        <v>112</v>
      </c>
      <c r="C138" s="43" t="s">
        <v>49</v>
      </c>
      <c r="D138" s="42">
        <v>5</v>
      </c>
      <c r="E138" s="41">
        <v>7.621951219512195E-3</v>
      </c>
    </row>
    <row r="139" spans="2:5" ht="15" customHeight="1">
      <c r="B139" s="91"/>
      <c r="C139" s="43" t="s">
        <v>51</v>
      </c>
      <c r="D139" s="42">
        <v>16</v>
      </c>
      <c r="E139" s="41">
        <v>2.4390243902439025E-2</v>
      </c>
    </row>
    <row r="140" spans="2:5" ht="15" customHeight="1">
      <c r="B140" s="91"/>
      <c r="C140" s="43" t="s">
        <v>41</v>
      </c>
      <c r="D140" s="42">
        <v>2</v>
      </c>
      <c r="E140" s="41">
        <v>3.0487804878048782E-3</v>
      </c>
    </row>
    <row r="141" spans="2:5" ht="15" customHeight="1">
      <c r="B141" s="91"/>
      <c r="C141" s="43" t="s">
        <v>48</v>
      </c>
      <c r="D141" s="42">
        <v>4</v>
      </c>
      <c r="E141" s="41">
        <v>6.0975609756097563E-3</v>
      </c>
    </row>
    <row r="142" spans="2:5" ht="15" customHeight="1">
      <c r="B142" s="91"/>
      <c r="C142" s="43" t="s">
        <v>47</v>
      </c>
      <c r="D142" s="42">
        <v>1</v>
      </c>
      <c r="E142" s="41">
        <v>1.5243902439024391E-3</v>
      </c>
    </row>
    <row r="143" spans="2:5" ht="15" customHeight="1">
      <c r="B143" s="91"/>
      <c r="C143" s="43" t="s">
        <v>45</v>
      </c>
      <c r="D143" s="42">
        <v>1</v>
      </c>
      <c r="E143" s="41">
        <v>1.5243902439024391E-3</v>
      </c>
    </row>
    <row r="144" spans="2:5" ht="15" customHeight="1">
      <c r="B144" s="91"/>
      <c r="C144" s="43" t="s">
        <v>24</v>
      </c>
      <c r="D144" s="42">
        <v>1</v>
      </c>
      <c r="E144" s="41">
        <v>1.5243902439024391E-3</v>
      </c>
    </row>
    <row r="145" spans="2:5" ht="15" customHeight="1">
      <c r="B145" s="91"/>
      <c r="C145" s="43" t="s">
        <v>26</v>
      </c>
      <c r="D145" s="42">
        <v>1</v>
      </c>
      <c r="E145" s="41">
        <v>1.5243902439024391E-3</v>
      </c>
    </row>
    <row r="146" spans="2:5" ht="15" customHeight="1">
      <c r="B146" s="91"/>
      <c r="C146" s="43" t="s">
        <v>32</v>
      </c>
      <c r="D146" s="42">
        <v>1</v>
      </c>
      <c r="E146" s="41">
        <v>1.5243902439024391E-3</v>
      </c>
    </row>
    <row r="147" spans="2:5" ht="15" customHeight="1">
      <c r="B147" s="91"/>
      <c r="C147" s="43" t="s">
        <v>44</v>
      </c>
      <c r="D147" s="42">
        <v>1</v>
      </c>
      <c r="E147" s="41">
        <v>1.5243902439024391E-3</v>
      </c>
    </row>
    <row r="148" spans="2:5" ht="15" customHeight="1">
      <c r="B148" s="91"/>
      <c r="C148" s="43" t="s">
        <v>35</v>
      </c>
      <c r="D148" s="42">
        <v>2</v>
      </c>
      <c r="E148" s="41">
        <v>3.0487804878048782E-3</v>
      </c>
    </row>
    <row r="149" spans="2:5" ht="15" customHeight="1">
      <c r="B149" s="91"/>
      <c r="C149" s="43" t="s">
        <v>40</v>
      </c>
      <c r="D149" s="42">
        <v>1</v>
      </c>
      <c r="E149" s="41">
        <v>1.5243902439024391E-3</v>
      </c>
    </row>
    <row r="150" spans="2:5" ht="15" customHeight="1">
      <c r="B150" s="91"/>
      <c r="C150" s="43" t="s">
        <v>50</v>
      </c>
      <c r="D150" s="42">
        <v>6</v>
      </c>
      <c r="E150" s="41">
        <v>9.1463414634146336E-3</v>
      </c>
    </row>
    <row r="151" spans="2:5" ht="15" customHeight="1">
      <c r="B151" s="91"/>
      <c r="C151" s="43" t="s">
        <v>46</v>
      </c>
      <c r="D151" s="42">
        <v>2</v>
      </c>
      <c r="E151" s="41">
        <v>3.0487804878048782E-3</v>
      </c>
    </row>
    <row r="152" spans="2:5" ht="15" customHeight="1">
      <c r="B152" s="91"/>
      <c r="C152" s="43" t="s">
        <v>33</v>
      </c>
      <c r="D152" s="42">
        <v>1</v>
      </c>
      <c r="E152" s="41">
        <v>1.5243902439024391E-3</v>
      </c>
    </row>
    <row r="153" spans="2:5" ht="15" customHeight="1">
      <c r="B153" s="90"/>
      <c r="C153" s="40" t="s">
        <v>20</v>
      </c>
      <c r="D153" s="39">
        <v>45</v>
      </c>
      <c r="E153" s="38">
        <v>6.8597560975609762E-2</v>
      </c>
    </row>
    <row r="154" spans="2:5" ht="15" customHeight="1">
      <c r="B154" s="89" t="s">
        <v>111</v>
      </c>
      <c r="C154" s="43" t="s">
        <v>49</v>
      </c>
      <c r="D154" s="42">
        <v>15</v>
      </c>
      <c r="E154" s="41">
        <v>2.2865853658536585E-2</v>
      </c>
    </row>
    <row r="155" spans="2:5" ht="15" customHeight="1">
      <c r="B155" s="91"/>
      <c r="C155" s="43" t="s">
        <v>31</v>
      </c>
      <c r="D155" s="42">
        <v>3</v>
      </c>
      <c r="E155" s="41">
        <v>4.5731707317073168E-3</v>
      </c>
    </row>
    <row r="156" spans="2:5" ht="15" customHeight="1">
      <c r="B156" s="91"/>
      <c r="C156" s="43" t="s">
        <v>51</v>
      </c>
      <c r="D156" s="42">
        <v>44</v>
      </c>
      <c r="E156" s="41">
        <v>6.7073170731707321E-2</v>
      </c>
    </row>
    <row r="157" spans="2:5" ht="15" customHeight="1">
      <c r="B157" s="91"/>
      <c r="C157" s="43" t="s">
        <v>41</v>
      </c>
      <c r="D157" s="42">
        <v>4</v>
      </c>
      <c r="E157" s="41">
        <v>6.0975609756097563E-3</v>
      </c>
    </row>
    <row r="158" spans="2:5" ht="15" customHeight="1">
      <c r="B158" s="91"/>
      <c r="C158" s="43" t="s">
        <v>48</v>
      </c>
      <c r="D158" s="42">
        <v>9</v>
      </c>
      <c r="E158" s="41">
        <v>1.3719512195121951E-2</v>
      </c>
    </row>
    <row r="159" spans="2:5" ht="15" customHeight="1">
      <c r="B159" s="91"/>
      <c r="C159" s="43" t="s">
        <v>47</v>
      </c>
      <c r="D159" s="42">
        <v>4</v>
      </c>
      <c r="E159" s="41">
        <v>6.0975609756097563E-3</v>
      </c>
    </row>
    <row r="160" spans="2:5" ht="15" customHeight="1">
      <c r="B160" s="91"/>
      <c r="C160" s="43" t="s">
        <v>45</v>
      </c>
      <c r="D160" s="42">
        <v>9</v>
      </c>
      <c r="E160" s="41">
        <v>1.3719512195121951E-2</v>
      </c>
    </row>
    <row r="161" spans="2:5" ht="15" customHeight="1">
      <c r="B161" s="91"/>
      <c r="C161" s="43" t="s">
        <v>39</v>
      </c>
      <c r="D161" s="42">
        <v>2</v>
      </c>
      <c r="E161" s="41">
        <v>3.0487804878048782E-3</v>
      </c>
    </row>
    <row r="162" spans="2:5" ht="15" customHeight="1">
      <c r="B162" s="91"/>
      <c r="C162" s="43" t="s">
        <v>167</v>
      </c>
      <c r="D162" s="42">
        <v>1</v>
      </c>
      <c r="E162" s="41">
        <v>1.5243902439024391E-3</v>
      </c>
    </row>
    <row r="163" spans="2:5" ht="15" customHeight="1">
      <c r="B163" s="91"/>
      <c r="C163" s="43" t="s">
        <v>30</v>
      </c>
      <c r="D163" s="42">
        <v>2</v>
      </c>
      <c r="E163" s="41">
        <v>3.0487804878048782E-3</v>
      </c>
    </row>
    <row r="164" spans="2:5" ht="15" customHeight="1">
      <c r="B164" s="91"/>
      <c r="C164" s="43" t="s">
        <v>24</v>
      </c>
      <c r="D164" s="42">
        <v>1</v>
      </c>
      <c r="E164" s="41">
        <v>1.5243902439024391E-3</v>
      </c>
    </row>
    <row r="165" spans="2:5" ht="15" customHeight="1">
      <c r="B165" s="91"/>
      <c r="C165" s="43" t="s">
        <v>26</v>
      </c>
      <c r="D165" s="42">
        <v>6</v>
      </c>
      <c r="E165" s="41">
        <v>9.1463414634146336E-3</v>
      </c>
    </row>
    <row r="166" spans="2:5" ht="15" customHeight="1">
      <c r="B166" s="91"/>
      <c r="C166" s="43" t="s">
        <v>36</v>
      </c>
      <c r="D166" s="42">
        <v>1</v>
      </c>
      <c r="E166" s="41">
        <v>1.5243902439024391E-3</v>
      </c>
    </row>
    <row r="167" spans="2:5" ht="15" customHeight="1">
      <c r="B167" s="91"/>
      <c r="C167" s="43" t="s">
        <v>43</v>
      </c>
      <c r="D167" s="42">
        <v>4</v>
      </c>
      <c r="E167" s="41">
        <v>6.0975609756097563E-3</v>
      </c>
    </row>
    <row r="168" spans="2:5" ht="15" customHeight="1">
      <c r="B168" s="91"/>
      <c r="C168" s="43" t="s">
        <v>166</v>
      </c>
      <c r="D168" s="42">
        <v>1</v>
      </c>
      <c r="E168" s="41">
        <v>1.5243902439024391E-3</v>
      </c>
    </row>
    <row r="169" spans="2:5" ht="15" customHeight="1">
      <c r="B169" s="91"/>
      <c r="C169" s="43" t="s">
        <v>21</v>
      </c>
      <c r="D169" s="42">
        <v>2</v>
      </c>
      <c r="E169" s="41">
        <v>3.0487804878048782E-3</v>
      </c>
    </row>
    <row r="170" spans="2:5" ht="15" customHeight="1">
      <c r="B170" s="91"/>
      <c r="C170" s="43" t="s">
        <v>29</v>
      </c>
      <c r="D170" s="42">
        <v>3</v>
      </c>
      <c r="E170" s="41">
        <v>4.5731707317073168E-3</v>
      </c>
    </row>
    <row r="171" spans="2:5" ht="15" customHeight="1">
      <c r="B171" s="91"/>
      <c r="C171" s="43" t="s">
        <v>37</v>
      </c>
      <c r="D171" s="42">
        <v>1</v>
      </c>
      <c r="E171" s="41">
        <v>1.5243902439024391E-3</v>
      </c>
    </row>
    <row r="172" spans="2:5" ht="15" customHeight="1">
      <c r="B172" s="91"/>
      <c r="C172" s="43" t="s">
        <v>32</v>
      </c>
      <c r="D172" s="42">
        <v>3</v>
      </c>
      <c r="E172" s="41">
        <v>4.5731707317073168E-3</v>
      </c>
    </row>
    <row r="173" spans="2:5" ht="15" customHeight="1">
      <c r="B173" s="91"/>
      <c r="C173" s="43" t="s">
        <v>44</v>
      </c>
      <c r="D173" s="42">
        <v>10</v>
      </c>
      <c r="E173" s="41">
        <v>1.524390243902439E-2</v>
      </c>
    </row>
    <row r="174" spans="2:5" ht="15" customHeight="1">
      <c r="B174" s="91"/>
      <c r="C174" s="43" t="s">
        <v>27</v>
      </c>
      <c r="D174" s="42">
        <v>1</v>
      </c>
      <c r="E174" s="41">
        <v>1.5243902439024391E-3</v>
      </c>
    </row>
    <row r="175" spans="2:5" ht="15" customHeight="1">
      <c r="B175" s="91"/>
      <c r="C175" s="43" t="s">
        <v>42</v>
      </c>
      <c r="D175" s="42">
        <v>1</v>
      </c>
      <c r="E175" s="41">
        <v>1.5243902439024391E-3</v>
      </c>
    </row>
    <row r="176" spans="2:5" ht="15" customHeight="1">
      <c r="B176" s="91"/>
      <c r="C176" s="43" t="s">
        <v>35</v>
      </c>
      <c r="D176" s="42">
        <v>3</v>
      </c>
      <c r="E176" s="41">
        <v>4.5731707317073168E-3</v>
      </c>
    </row>
    <row r="177" spans="2:5" ht="15" customHeight="1">
      <c r="B177" s="91"/>
      <c r="C177" s="43" t="s">
        <v>40</v>
      </c>
      <c r="D177" s="42">
        <v>5</v>
      </c>
      <c r="E177" s="41">
        <v>7.621951219512195E-3</v>
      </c>
    </row>
    <row r="178" spans="2:5" ht="15" customHeight="1">
      <c r="B178" s="91"/>
      <c r="C178" s="43" t="s">
        <v>50</v>
      </c>
      <c r="D178" s="42">
        <v>22</v>
      </c>
      <c r="E178" s="41">
        <v>3.3536585365853661E-2</v>
      </c>
    </row>
    <row r="179" spans="2:5" ht="15" customHeight="1">
      <c r="B179" s="91"/>
      <c r="C179" s="43" t="s">
        <v>34</v>
      </c>
      <c r="D179" s="42">
        <v>4</v>
      </c>
      <c r="E179" s="41">
        <v>6.0975609756097563E-3</v>
      </c>
    </row>
    <row r="180" spans="2:5" ht="15" customHeight="1">
      <c r="B180" s="91"/>
      <c r="C180" s="43" t="s">
        <v>46</v>
      </c>
      <c r="D180" s="42">
        <v>5</v>
      </c>
      <c r="E180" s="41">
        <v>7.621951219512195E-3</v>
      </c>
    </row>
    <row r="181" spans="2:5" ht="15" customHeight="1">
      <c r="B181" s="91"/>
      <c r="C181" s="43" t="s">
        <v>33</v>
      </c>
      <c r="D181" s="42">
        <v>1</v>
      </c>
      <c r="E181" s="41">
        <v>1.5243902439024391E-3</v>
      </c>
    </row>
    <row r="182" spans="2:5" ht="15" customHeight="1">
      <c r="B182" s="91"/>
      <c r="C182" s="43" t="s">
        <v>38</v>
      </c>
      <c r="D182" s="42">
        <v>1</v>
      </c>
      <c r="E182" s="41">
        <v>1.5243902439024391E-3</v>
      </c>
    </row>
    <row r="183" spans="2:5" ht="15" customHeight="1">
      <c r="B183" s="90"/>
      <c r="C183" s="40" t="s">
        <v>20</v>
      </c>
      <c r="D183" s="39">
        <v>168</v>
      </c>
      <c r="E183" s="38">
        <v>0.25609756097560976</v>
      </c>
    </row>
    <row r="184" spans="2:5" ht="15" customHeight="1">
      <c r="B184" s="89" t="s">
        <v>110</v>
      </c>
      <c r="C184" s="43" t="s">
        <v>49</v>
      </c>
      <c r="D184" s="42">
        <v>1</v>
      </c>
      <c r="E184" s="41">
        <v>1.5243902439024391E-3</v>
      </c>
    </row>
    <row r="185" spans="2:5" ht="15" customHeight="1">
      <c r="B185" s="91"/>
      <c r="C185" s="43" t="s">
        <v>44</v>
      </c>
      <c r="D185" s="42">
        <v>2</v>
      </c>
      <c r="E185" s="41">
        <v>3.0487804878048782E-3</v>
      </c>
    </row>
    <row r="186" spans="2:5" ht="15" customHeight="1">
      <c r="B186" s="90"/>
      <c r="C186" s="40" t="s">
        <v>20</v>
      </c>
      <c r="D186" s="39">
        <v>3</v>
      </c>
      <c r="E186" s="38">
        <v>4.5731707317073168E-3</v>
      </c>
    </row>
    <row r="187" spans="2:5" ht="15" customHeight="1">
      <c r="B187" s="89" t="s">
        <v>109</v>
      </c>
      <c r="C187" s="43" t="s">
        <v>50</v>
      </c>
      <c r="D187" s="42">
        <v>1</v>
      </c>
      <c r="E187" s="41">
        <v>1.5243902439024391E-3</v>
      </c>
    </row>
    <row r="188" spans="2:5" ht="15" customHeight="1">
      <c r="B188" s="90"/>
      <c r="C188" s="40" t="s">
        <v>20</v>
      </c>
      <c r="D188" s="39">
        <v>1</v>
      </c>
      <c r="E188" s="38">
        <v>1.5243902439024391E-3</v>
      </c>
    </row>
    <row r="189" spans="2:5" ht="15" customHeight="1">
      <c r="B189" s="89" t="s">
        <v>108</v>
      </c>
      <c r="C189" s="43" t="s">
        <v>49</v>
      </c>
      <c r="D189" s="42">
        <v>1</v>
      </c>
      <c r="E189" s="41">
        <v>1.5243902439024391E-3</v>
      </c>
    </row>
    <row r="190" spans="2:5" ht="15" customHeight="1">
      <c r="B190" s="91"/>
      <c r="C190" s="43" t="s">
        <v>50</v>
      </c>
      <c r="D190" s="42">
        <v>1</v>
      </c>
      <c r="E190" s="41">
        <v>1.5243902439024391E-3</v>
      </c>
    </row>
    <row r="191" spans="2:5" ht="15" customHeight="1">
      <c r="B191" s="90"/>
      <c r="C191" s="40" t="s">
        <v>20</v>
      </c>
      <c r="D191" s="39">
        <v>2</v>
      </c>
      <c r="E191" s="38">
        <v>3.0487804878048782E-3</v>
      </c>
    </row>
    <row r="192" spans="2:5" ht="15" customHeight="1">
      <c r="B192" s="89" t="s">
        <v>177</v>
      </c>
      <c r="C192" s="43" t="s">
        <v>50</v>
      </c>
      <c r="D192" s="42">
        <v>1</v>
      </c>
      <c r="E192" s="41">
        <v>1.5243902439024391E-3</v>
      </c>
    </row>
    <row r="193" spans="2:5" ht="15" customHeight="1">
      <c r="B193" s="90"/>
      <c r="C193" s="40" t="s">
        <v>20</v>
      </c>
      <c r="D193" s="39">
        <v>1</v>
      </c>
      <c r="E193" s="38">
        <v>1.5243902439024391E-3</v>
      </c>
    </row>
    <row r="194" spans="2:5" ht="15" customHeight="1">
      <c r="B194" s="89" t="s">
        <v>107</v>
      </c>
      <c r="C194" s="43" t="s">
        <v>51</v>
      </c>
      <c r="D194" s="42">
        <v>9</v>
      </c>
      <c r="E194" s="41">
        <v>1.3719512195121951E-2</v>
      </c>
    </row>
    <row r="195" spans="2:5" ht="15" customHeight="1">
      <c r="B195" s="91"/>
      <c r="C195" s="43" t="s">
        <v>45</v>
      </c>
      <c r="D195" s="42">
        <v>1</v>
      </c>
      <c r="E195" s="41">
        <v>1.5243902439024391E-3</v>
      </c>
    </row>
    <row r="196" spans="2:5" ht="15" customHeight="1">
      <c r="B196" s="91"/>
      <c r="C196" s="43" t="s">
        <v>43</v>
      </c>
      <c r="D196" s="42">
        <v>1</v>
      </c>
      <c r="E196" s="41">
        <v>1.5243902439024391E-3</v>
      </c>
    </row>
    <row r="197" spans="2:5" ht="15" customHeight="1">
      <c r="B197" s="91"/>
      <c r="C197" s="43" t="s">
        <v>35</v>
      </c>
      <c r="D197" s="42">
        <v>1</v>
      </c>
      <c r="E197" s="41">
        <v>1.5243902439024391E-3</v>
      </c>
    </row>
    <row r="198" spans="2:5" ht="15" customHeight="1">
      <c r="B198" s="91"/>
      <c r="C198" s="43" t="s">
        <v>50</v>
      </c>
      <c r="D198" s="42">
        <v>1</v>
      </c>
      <c r="E198" s="41">
        <v>1.5243902439024391E-3</v>
      </c>
    </row>
    <row r="199" spans="2:5" ht="15" customHeight="1">
      <c r="B199" s="91"/>
      <c r="C199" s="43" t="s">
        <v>46</v>
      </c>
      <c r="D199" s="42">
        <v>1</v>
      </c>
      <c r="E199" s="41">
        <v>1.5243902439024391E-3</v>
      </c>
    </row>
    <row r="200" spans="2:5" ht="15" customHeight="1">
      <c r="B200" s="90"/>
      <c r="C200" s="40" t="s">
        <v>20</v>
      </c>
      <c r="D200" s="39">
        <v>14</v>
      </c>
      <c r="E200" s="38">
        <v>2.1341463414634148E-2</v>
      </c>
    </row>
    <row r="201" spans="2:5" ht="15" customHeight="1">
      <c r="B201" s="89" t="s">
        <v>106</v>
      </c>
      <c r="C201" s="43" t="s">
        <v>28</v>
      </c>
      <c r="D201" s="42">
        <v>1</v>
      </c>
      <c r="E201" s="41">
        <v>1.5243902439024391E-3</v>
      </c>
    </row>
    <row r="202" spans="2:5" ht="15" customHeight="1">
      <c r="B202" s="91"/>
      <c r="C202" s="43" t="s">
        <v>51</v>
      </c>
      <c r="D202" s="42">
        <v>9</v>
      </c>
      <c r="E202" s="41">
        <v>1.3719512195121951E-2</v>
      </c>
    </row>
    <row r="203" spans="2:5" ht="15" customHeight="1">
      <c r="B203" s="91"/>
      <c r="C203" s="43" t="s">
        <v>48</v>
      </c>
      <c r="D203" s="42">
        <v>3</v>
      </c>
      <c r="E203" s="41">
        <v>4.5731707317073168E-3</v>
      </c>
    </row>
    <row r="204" spans="2:5" ht="15" customHeight="1">
      <c r="B204" s="91"/>
      <c r="C204" s="43" t="s">
        <v>45</v>
      </c>
      <c r="D204" s="42">
        <v>1</v>
      </c>
      <c r="E204" s="41">
        <v>1.5243902439024391E-3</v>
      </c>
    </row>
    <row r="205" spans="2:5" ht="15" customHeight="1">
      <c r="B205" s="91"/>
      <c r="C205" s="43" t="s">
        <v>39</v>
      </c>
      <c r="D205" s="42">
        <v>1</v>
      </c>
      <c r="E205" s="41">
        <v>1.5243902439024391E-3</v>
      </c>
    </row>
    <row r="206" spans="2:5" ht="15" customHeight="1">
      <c r="B206" s="91"/>
      <c r="C206" s="43" t="s">
        <v>26</v>
      </c>
      <c r="D206" s="42">
        <v>1</v>
      </c>
      <c r="E206" s="41">
        <v>1.5243902439024391E-3</v>
      </c>
    </row>
    <row r="207" spans="2:5" ht="15" customHeight="1">
      <c r="B207" s="91"/>
      <c r="C207" s="43" t="s">
        <v>43</v>
      </c>
      <c r="D207" s="42">
        <v>3</v>
      </c>
      <c r="E207" s="41">
        <v>4.5731707317073168E-3</v>
      </c>
    </row>
    <row r="208" spans="2:5" ht="15" customHeight="1">
      <c r="B208" s="91"/>
      <c r="C208" s="43" t="s">
        <v>42</v>
      </c>
      <c r="D208" s="42">
        <v>1</v>
      </c>
      <c r="E208" s="41">
        <v>1.5243902439024391E-3</v>
      </c>
    </row>
    <row r="209" spans="2:5" ht="15" customHeight="1">
      <c r="B209" s="91"/>
      <c r="C209" s="43" t="s">
        <v>168</v>
      </c>
      <c r="D209" s="42">
        <v>1</v>
      </c>
      <c r="E209" s="41">
        <v>1.5243902439024391E-3</v>
      </c>
    </row>
    <row r="210" spans="2:5" ht="15" customHeight="1">
      <c r="B210" s="91"/>
      <c r="C210" s="43" t="s">
        <v>35</v>
      </c>
      <c r="D210" s="42">
        <v>1</v>
      </c>
      <c r="E210" s="41">
        <v>1.5243902439024391E-3</v>
      </c>
    </row>
    <row r="211" spans="2:5" ht="15" customHeight="1">
      <c r="B211" s="91"/>
      <c r="C211" s="43" t="s">
        <v>40</v>
      </c>
      <c r="D211" s="42">
        <v>1</v>
      </c>
      <c r="E211" s="41">
        <v>1.5243902439024391E-3</v>
      </c>
    </row>
    <row r="212" spans="2:5" ht="15" customHeight="1">
      <c r="B212" s="91"/>
      <c r="C212" s="43" t="s">
        <v>50</v>
      </c>
      <c r="D212" s="42">
        <v>3</v>
      </c>
      <c r="E212" s="41">
        <v>4.5731707317073168E-3</v>
      </c>
    </row>
    <row r="213" spans="2:5" ht="15" customHeight="1">
      <c r="B213" s="90"/>
      <c r="C213" s="40" t="s">
        <v>20</v>
      </c>
      <c r="D213" s="39">
        <v>26</v>
      </c>
      <c r="E213" s="38">
        <v>3.9634146341463415E-2</v>
      </c>
    </row>
    <row r="214" spans="2:5" ht="15" customHeight="1">
      <c r="B214" s="89" t="s">
        <v>105</v>
      </c>
      <c r="C214" s="43" t="s">
        <v>38</v>
      </c>
      <c r="D214" s="42">
        <v>1</v>
      </c>
      <c r="E214" s="41">
        <v>1.5243902439024391E-3</v>
      </c>
    </row>
    <row r="215" spans="2:5" ht="15" customHeight="1">
      <c r="B215" s="90"/>
      <c r="C215" s="40" t="s">
        <v>20</v>
      </c>
      <c r="D215" s="39">
        <v>1</v>
      </c>
      <c r="E215" s="38">
        <v>1.5243902439024391E-3</v>
      </c>
    </row>
    <row r="216" spans="2:5" ht="15" customHeight="1">
      <c r="B216" s="89" t="s">
        <v>178</v>
      </c>
      <c r="C216" s="43" t="s">
        <v>33</v>
      </c>
      <c r="D216" s="42">
        <v>1</v>
      </c>
      <c r="E216" s="41">
        <v>1.5243902439024391E-3</v>
      </c>
    </row>
    <row r="217" spans="2:5" ht="15" customHeight="1">
      <c r="B217" s="90"/>
      <c r="C217" s="40" t="s">
        <v>20</v>
      </c>
      <c r="D217" s="39">
        <v>1</v>
      </c>
      <c r="E217" s="38">
        <v>1.5243902439024391E-3</v>
      </c>
    </row>
    <row r="218" spans="2:5" ht="15" customHeight="1">
      <c r="B218" s="92" t="s">
        <v>20</v>
      </c>
      <c r="C218" s="93"/>
      <c r="D218" s="69">
        <v>656</v>
      </c>
      <c r="E218" s="70">
        <v>1</v>
      </c>
    </row>
    <row r="220" spans="2:5" ht="15" customHeight="1">
      <c r="B220" s="19" t="s">
        <v>170</v>
      </c>
    </row>
    <row r="221" spans="2:5" ht="15" customHeight="1">
      <c r="B221" s="21" t="s">
        <v>19</v>
      </c>
    </row>
    <row r="222" spans="2:5" ht="15" customHeight="1">
      <c r="B222" s="20" t="s">
        <v>18</v>
      </c>
    </row>
    <row r="223" spans="2:5" ht="15" customHeight="1">
      <c r="B223" s="19" t="s">
        <v>17</v>
      </c>
    </row>
    <row r="224" spans="2:5" ht="15" customHeight="1">
      <c r="B224" s="19" t="s">
        <v>171</v>
      </c>
    </row>
  </sheetData>
  <mergeCells count="25">
    <mergeCell ref="B102:B132"/>
    <mergeCell ref="B133:B137"/>
    <mergeCell ref="B138:B153"/>
    <mergeCell ref="B154:B183"/>
    <mergeCell ref="B7:E8"/>
    <mergeCell ref="B17:B18"/>
    <mergeCell ref="B43:B53"/>
    <mergeCell ref="B54:B69"/>
    <mergeCell ref="B70:B77"/>
    <mergeCell ref="B78:B85"/>
    <mergeCell ref="B86:B101"/>
    <mergeCell ref="B10:B16"/>
    <mergeCell ref="B19:B25"/>
    <mergeCell ref="B26:B31"/>
    <mergeCell ref="B32:B37"/>
    <mergeCell ref="B38:B42"/>
    <mergeCell ref="B201:B213"/>
    <mergeCell ref="B214:B215"/>
    <mergeCell ref="B216:B217"/>
    <mergeCell ref="B218:C218"/>
    <mergeCell ref="B184:B186"/>
    <mergeCell ref="B187:B188"/>
    <mergeCell ref="B189:B191"/>
    <mergeCell ref="B192:B193"/>
    <mergeCell ref="B194:B20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82"/>
  <sheetViews>
    <sheetView showGridLines="0" topLeftCell="A252" zoomScaleNormal="100" zoomScaleSheetLayoutView="85" workbookViewId="0">
      <selection activeCell="E11" sqref="E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93</v>
      </c>
      <c r="C9" s="47" t="s">
        <v>127</v>
      </c>
      <c r="D9" s="46" t="s">
        <v>53</v>
      </c>
      <c r="E9" s="45" t="s">
        <v>52</v>
      </c>
    </row>
    <row r="10" spans="1:5" ht="15" customHeight="1">
      <c r="B10" s="89" t="s">
        <v>88</v>
      </c>
      <c r="C10" s="43" t="s">
        <v>125</v>
      </c>
      <c r="D10" s="42">
        <v>2</v>
      </c>
      <c r="E10" s="41">
        <v>3.0487804878048782E-3</v>
      </c>
    </row>
    <row r="11" spans="1:5" ht="15" customHeight="1">
      <c r="B11" s="91"/>
      <c r="C11" s="43" t="s">
        <v>121</v>
      </c>
      <c r="D11" s="42">
        <v>1</v>
      </c>
      <c r="E11" s="41">
        <v>1.5243902439024391E-3</v>
      </c>
    </row>
    <row r="12" spans="1:5" ht="15" customHeight="1">
      <c r="B12" s="91"/>
      <c r="C12" s="43" t="s">
        <v>119</v>
      </c>
      <c r="D12" s="42">
        <v>2</v>
      </c>
      <c r="E12" s="41">
        <v>3.0487804878048782E-3</v>
      </c>
    </row>
    <row r="13" spans="1:5" ht="15" customHeight="1">
      <c r="B13" s="91"/>
      <c r="C13" s="43" t="s">
        <v>118</v>
      </c>
      <c r="D13" s="42">
        <v>7</v>
      </c>
      <c r="E13" s="41">
        <v>1.0670731707317074E-2</v>
      </c>
    </row>
    <row r="14" spans="1:5" ht="15" customHeight="1">
      <c r="B14" s="91"/>
      <c r="C14" s="43" t="s">
        <v>117</v>
      </c>
      <c r="D14" s="42">
        <v>1</v>
      </c>
      <c r="E14" s="41">
        <v>1.5243902439024391E-3</v>
      </c>
    </row>
    <row r="15" spans="1:5" ht="15" customHeight="1">
      <c r="B15" s="91"/>
      <c r="C15" s="43" t="s">
        <v>116</v>
      </c>
      <c r="D15" s="42">
        <v>5</v>
      </c>
      <c r="E15" s="41">
        <v>7.621951219512195E-3</v>
      </c>
    </row>
    <row r="16" spans="1:5" ht="15" customHeight="1">
      <c r="B16" s="91"/>
      <c r="C16" s="43" t="s">
        <v>115</v>
      </c>
      <c r="D16" s="42">
        <v>1</v>
      </c>
      <c r="E16" s="41">
        <v>1.5243902439024391E-3</v>
      </c>
    </row>
    <row r="17" spans="2:5" ht="15" customHeight="1">
      <c r="B17" s="91"/>
      <c r="C17" s="43" t="s">
        <v>114</v>
      </c>
      <c r="D17" s="42">
        <v>27</v>
      </c>
      <c r="E17" s="41">
        <v>4.1158536585365856E-2</v>
      </c>
    </row>
    <row r="18" spans="2:5" ht="15" customHeight="1">
      <c r="B18" s="91"/>
      <c r="C18" s="43" t="s">
        <v>112</v>
      </c>
      <c r="D18" s="42">
        <v>7</v>
      </c>
      <c r="E18" s="41">
        <v>1.0670731707317074E-2</v>
      </c>
    </row>
    <row r="19" spans="2:5" ht="15" customHeight="1">
      <c r="B19" s="91"/>
      <c r="C19" s="43" t="s">
        <v>111</v>
      </c>
      <c r="D19" s="42">
        <v>23</v>
      </c>
      <c r="E19" s="41">
        <v>3.5060975609756101E-2</v>
      </c>
    </row>
    <row r="20" spans="2:5" ht="15" customHeight="1">
      <c r="B20" s="91"/>
      <c r="C20" s="43" t="s">
        <v>110</v>
      </c>
      <c r="D20" s="42">
        <v>1</v>
      </c>
      <c r="E20" s="41">
        <v>1.5243902439024391E-3</v>
      </c>
    </row>
    <row r="21" spans="2:5" ht="15" customHeight="1">
      <c r="B21" s="91"/>
      <c r="C21" s="43" t="s">
        <v>108</v>
      </c>
      <c r="D21" s="42">
        <v>1</v>
      </c>
      <c r="E21" s="41">
        <v>1.5243902439024391E-3</v>
      </c>
    </row>
    <row r="22" spans="2:5" ht="15" customHeight="1">
      <c r="B22" s="91"/>
      <c r="C22" s="43" t="s">
        <v>106</v>
      </c>
      <c r="D22" s="42">
        <v>1</v>
      </c>
      <c r="E22" s="41">
        <v>1.5243902439024391E-3</v>
      </c>
    </row>
    <row r="23" spans="2:5" ht="15" customHeight="1">
      <c r="B23" s="90"/>
      <c r="C23" s="40" t="s">
        <v>20</v>
      </c>
      <c r="D23" s="39">
        <v>79</v>
      </c>
      <c r="E23" s="38">
        <v>0.12042682926829268</v>
      </c>
    </row>
    <row r="24" spans="2:5" ht="15" customHeight="1">
      <c r="B24" s="89" t="s">
        <v>78</v>
      </c>
      <c r="C24" s="43" t="s">
        <v>118</v>
      </c>
      <c r="D24" s="42">
        <v>1</v>
      </c>
      <c r="E24" s="41">
        <v>1.5243902439024391E-3</v>
      </c>
    </row>
    <row r="25" spans="2:5" ht="15" customHeight="1">
      <c r="B25" s="91"/>
      <c r="C25" s="43" t="s">
        <v>114</v>
      </c>
      <c r="D25" s="42">
        <v>2</v>
      </c>
      <c r="E25" s="41">
        <v>3.0487804878048782E-3</v>
      </c>
    </row>
    <row r="26" spans="2:5" ht="15" customHeight="1">
      <c r="B26" s="91"/>
      <c r="C26" s="43" t="s">
        <v>112</v>
      </c>
      <c r="D26" s="42">
        <v>3</v>
      </c>
      <c r="E26" s="41">
        <v>4.5731707317073168E-3</v>
      </c>
    </row>
    <row r="27" spans="2:5" ht="15" customHeight="1">
      <c r="B27" s="91"/>
      <c r="C27" s="43" t="s">
        <v>111</v>
      </c>
      <c r="D27" s="42">
        <v>2</v>
      </c>
      <c r="E27" s="41">
        <v>3.0487804878048782E-3</v>
      </c>
    </row>
    <row r="28" spans="2:5" ht="15" customHeight="1">
      <c r="B28" s="91"/>
      <c r="C28" s="43" t="s">
        <v>106</v>
      </c>
      <c r="D28" s="42">
        <v>1</v>
      </c>
      <c r="E28" s="41">
        <v>1.5243902439024391E-3</v>
      </c>
    </row>
    <row r="29" spans="2:5" ht="15" customHeight="1">
      <c r="B29" s="90"/>
      <c r="C29" s="40" t="s">
        <v>20</v>
      </c>
      <c r="D29" s="39">
        <v>9</v>
      </c>
      <c r="E29" s="38">
        <v>1.3719512195121951E-2</v>
      </c>
    </row>
    <row r="30" spans="2:5" ht="15" customHeight="1">
      <c r="B30" s="89" t="s">
        <v>173</v>
      </c>
      <c r="C30" s="43" t="s">
        <v>123</v>
      </c>
      <c r="D30" s="42">
        <v>1</v>
      </c>
      <c r="E30" s="41">
        <v>1.5243902439024391E-3</v>
      </c>
    </row>
    <row r="31" spans="2:5" ht="15" customHeight="1">
      <c r="B31" s="90"/>
      <c r="C31" s="40" t="s">
        <v>20</v>
      </c>
      <c r="D31" s="39">
        <v>1</v>
      </c>
      <c r="E31" s="38">
        <v>1.5243902439024391E-3</v>
      </c>
    </row>
    <row r="32" spans="2:5" ht="15" customHeight="1">
      <c r="B32" s="89" t="s">
        <v>56</v>
      </c>
      <c r="C32" s="43" t="s">
        <v>123</v>
      </c>
      <c r="D32" s="42">
        <v>1</v>
      </c>
      <c r="E32" s="41">
        <v>1.5243902439024391E-3</v>
      </c>
    </row>
    <row r="33" spans="2:5" ht="15" customHeight="1">
      <c r="B33" s="91"/>
      <c r="C33" s="43" t="s">
        <v>118</v>
      </c>
      <c r="D33" s="42">
        <v>1</v>
      </c>
      <c r="E33" s="41">
        <v>1.5243902439024391E-3</v>
      </c>
    </row>
    <row r="34" spans="2:5" ht="15" customHeight="1">
      <c r="B34" s="91"/>
      <c r="C34" s="43" t="s">
        <v>114</v>
      </c>
      <c r="D34" s="42">
        <v>2</v>
      </c>
      <c r="E34" s="41">
        <v>3.0487804878048782E-3</v>
      </c>
    </row>
    <row r="35" spans="2:5" ht="15" customHeight="1">
      <c r="B35" s="90"/>
      <c r="C35" s="40" t="s">
        <v>20</v>
      </c>
      <c r="D35" s="39">
        <v>4</v>
      </c>
      <c r="E35" s="38">
        <v>6.0975609756097563E-3</v>
      </c>
    </row>
    <row r="36" spans="2:5" ht="15" customHeight="1">
      <c r="B36" s="89" t="s">
        <v>91</v>
      </c>
      <c r="C36" s="43" t="s">
        <v>118</v>
      </c>
      <c r="D36" s="42">
        <v>5</v>
      </c>
      <c r="E36" s="41">
        <v>7.621951219512195E-3</v>
      </c>
    </row>
    <row r="37" spans="2:5" ht="15" customHeight="1">
      <c r="B37" s="91"/>
      <c r="C37" s="43" t="s">
        <v>117</v>
      </c>
      <c r="D37" s="42">
        <v>1</v>
      </c>
      <c r="E37" s="41">
        <v>1.5243902439024391E-3</v>
      </c>
    </row>
    <row r="38" spans="2:5" ht="15" customHeight="1">
      <c r="B38" s="91"/>
      <c r="C38" s="43" t="s">
        <v>115</v>
      </c>
      <c r="D38" s="42">
        <v>1</v>
      </c>
      <c r="E38" s="41">
        <v>1.5243902439024391E-3</v>
      </c>
    </row>
    <row r="39" spans="2:5" ht="15" customHeight="1">
      <c r="B39" s="91"/>
      <c r="C39" s="43" t="s">
        <v>114</v>
      </c>
      <c r="D39" s="42">
        <v>17</v>
      </c>
      <c r="E39" s="41">
        <v>2.5914634146341462E-2</v>
      </c>
    </row>
    <row r="40" spans="2:5" ht="15" customHeight="1">
      <c r="B40" s="91"/>
      <c r="C40" s="43" t="s">
        <v>113</v>
      </c>
      <c r="D40" s="42">
        <v>2</v>
      </c>
      <c r="E40" s="41">
        <v>3.0487804878048782E-3</v>
      </c>
    </row>
    <row r="41" spans="2:5" ht="15" customHeight="1">
      <c r="B41" s="91"/>
      <c r="C41" s="43" t="s">
        <v>112</v>
      </c>
      <c r="D41" s="42">
        <v>1</v>
      </c>
      <c r="E41" s="41">
        <v>1.5243902439024391E-3</v>
      </c>
    </row>
    <row r="42" spans="2:5" ht="15" customHeight="1">
      <c r="B42" s="91"/>
      <c r="C42" s="43" t="s">
        <v>111</v>
      </c>
      <c r="D42" s="42">
        <v>10</v>
      </c>
      <c r="E42" s="41">
        <v>1.524390243902439E-2</v>
      </c>
    </row>
    <row r="43" spans="2:5" ht="15" customHeight="1">
      <c r="B43" s="91"/>
      <c r="C43" s="43" t="s">
        <v>107</v>
      </c>
      <c r="D43" s="42">
        <v>1</v>
      </c>
      <c r="E43" s="41">
        <v>1.5243902439024391E-3</v>
      </c>
    </row>
    <row r="44" spans="2:5" ht="15" customHeight="1">
      <c r="B44" s="91"/>
      <c r="C44" s="43" t="s">
        <v>106</v>
      </c>
      <c r="D44" s="42">
        <v>1</v>
      </c>
      <c r="E44" s="41">
        <v>1.5243902439024391E-3</v>
      </c>
    </row>
    <row r="45" spans="2:5" ht="15" customHeight="1">
      <c r="B45" s="90"/>
      <c r="C45" s="40" t="s">
        <v>20</v>
      </c>
      <c r="D45" s="39">
        <v>39</v>
      </c>
      <c r="E45" s="38">
        <v>5.9451219512195119E-2</v>
      </c>
    </row>
    <row r="46" spans="2:5" ht="15" customHeight="1">
      <c r="B46" s="89" t="s">
        <v>89</v>
      </c>
      <c r="C46" s="43" t="s">
        <v>124</v>
      </c>
      <c r="D46" s="42">
        <v>1</v>
      </c>
      <c r="E46" s="41">
        <v>1.5243902439024391E-3</v>
      </c>
    </row>
    <row r="47" spans="2:5" ht="15" customHeight="1">
      <c r="B47" s="91"/>
      <c r="C47" s="43" t="s">
        <v>119</v>
      </c>
      <c r="D47" s="42">
        <v>2</v>
      </c>
      <c r="E47" s="41">
        <v>3.0487804878048782E-3</v>
      </c>
    </row>
    <row r="48" spans="2:5" ht="15" customHeight="1">
      <c r="B48" s="91"/>
      <c r="C48" s="43" t="s">
        <v>118</v>
      </c>
      <c r="D48" s="42">
        <v>1</v>
      </c>
      <c r="E48" s="41">
        <v>1.5243902439024391E-3</v>
      </c>
    </row>
    <row r="49" spans="2:5" ht="15" customHeight="1">
      <c r="B49" s="91"/>
      <c r="C49" s="43" t="s">
        <v>117</v>
      </c>
      <c r="D49" s="42">
        <v>1</v>
      </c>
      <c r="E49" s="41">
        <v>1.5243902439024391E-3</v>
      </c>
    </row>
    <row r="50" spans="2:5" ht="15" customHeight="1">
      <c r="B50" s="91"/>
      <c r="C50" s="43" t="s">
        <v>116</v>
      </c>
      <c r="D50" s="42">
        <v>1</v>
      </c>
      <c r="E50" s="41">
        <v>1.5243902439024391E-3</v>
      </c>
    </row>
    <row r="51" spans="2:5" ht="15" customHeight="1">
      <c r="B51" s="91"/>
      <c r="C51" s="43" t="s">
        <v>115</v>
      </c>
      <c r="D51" s="42">
        <v>1</v>
      </c>
      <c r="E51" s="41">
        <v>1.5243902439024391E-3</v>
      </c>
    </row>
    <row r="52" spans="2:5" ht="15" customHeight="1">
      <c r="B52" s="91"/>
      <c r="C52" s="43" t="s">
        <v>114</v>
      </c>
      <c r="D52" s="42">
        <v>16</v>
      </c>
      <c r="E52" s="41">
        <v>2.4390243902439025E-2</v>
      </c>
    </row>
    <row r="53" spans="2:5" ht="15" customHeight="1">
      <c r="B53" s="91"/>
      <c r="C53" s="43" t="s">
        <v>113</v>
      </c>
      <c r="D53" s="42">
        <v>1</v>
      </c>
      <c r="E53" s="41">
        <v>1.5243902439024391E-3</v>
      </c>
    </row>
    <row r="54" spans="2:5" ht="15" customHeight="1">
      <c r="B54" s="91"/>
      <c r="C54" s="43" t="s">
        <v>112</v>
      </c>
      <c r="D54" s="42">
        <v>1</v>
      </c>
      <c r="E54" s="41">
        <v>1.5243902439024391E-3</v>
      </c>
    </row>
    <row r="55" spans="2:5" ht="15" customHeight="1">
      <c r="B55" s="91"/>
      <c r="C55" s="43" t="s">
        <v>111</v>
      </c>
      <c r="D55" s="42">
        <v>6</v>
      </c>
      <c r="E55" s="41">
        <v>9.1463414634146336E-3</v>
      </c>
    </row>
    <row r="56" spans="2:5" ht="15" customHeight="1">
      <c r="B56" s="90"/>
      <c r="C56" s="40" t="s">
        <v>20</v>
      </c>
      <c r="D56" s="39">
        <v>31</v>
      </c>
      <c r="E56" s="38">
        <v>4.725609756097561E-2</v>
      </c>
    </row>
    <row r="57" spans="2:5" ht="15" customHeight="1">
      <c r="B57" s="89" t="s">
        <v>73</v>
      </c>
      <c r="C57" s="43" t="s">
        <v>114</v>
      </c>
      <c r="D57" s="42">
        <v>1</v>
      </c>
      <c r="E57" s="41">
        <v>1.5243902439024391E-3</v>
      </c>
    </row>
    <row r="58" spans="2:5" ht="15" customHeight="1">
      <c r="B58" s="91"/>
      <c r="C58" s="43" t="s">
        <v>112</v>
      </c>
      <c r="D58" s="42">
        <v>2</v>
      </c>
      <c r="E58" s="41">
        <v>3.0487804878048782E-3</v>
      </c>
    </row>
    <row r="59" spans="2:5" ht="15" customHeight="1">
      <c r="B59" s="91"/>
      <c r="C59" s="43" t="s">
        <v>111</v>
      </c>
      <c r="D59" s="42">
        <v>4</v>
      </c>
      <c r="E59" s="41">
        <v>6.0975609756097563E-3</v>
      </c>
    </row>
    <row r="60" spans="2:5" ht="15" customHeight="1">
      <c r="B60" s="90"/>
      <c r="C60" s="40" t="s">
        <v>20</v>
      </c>
      <c r="D60" s="39">
        <v>7</v>
      </c>
      <c r="E60" s="38">
        <v>1.0670731707317074E-2</v>
      </c>
    </row>
    <row r="61" spans="2:5" ht="15" customHeight="1">
      <c r="B61" s="89" t="s">
        <v>59</v>
      </c>
      <c r="C61" s="43" t="s">
        <v>115</v>
      </c>
      <c r="D61" s="42">
        <v>2</v>
      </c>
      <c r="E61" s="41">
        <v>3.0487804878048782E-3</v>
      </c>
    </row>
    <row r="62" spans="2:5" ht="15" customHeight="1">
      <c r="B62" s="91"/>
      <c r="C62" s="43" t="s">
        <v>111</v>
      </c>
      <c r="D62" s="42">
        <v>1</v>
      </c>
      <c r="E62" s="41">
        <v>1.5243902439024391E-3</v>
      </c>
    </row>
    <row r="63" spans="2:5" ht="15" customHeight="1">
      <c r="B63" s="90"/>
      <c r="C63" s="40" t="s">
        <v>20</v>
      </c>
      <c r="D63" s="39">
        <v>3</v>
      </c>
      <c r="E63" s="38">
        <v>4.5731707317073168E-3</v>
      </c>
    </row>
    <row r="64" spans="2:5" ht="15" customHeight="1">
      <c r="B64" s="89" t="s">
        <v>57</v>
      </c>
      <c r="C64" s="43" t="s">
        <v>120</v>
      </c>
      <c r="D64" s="42">
        <v>1</v>
      </c>
      <c r="E64" s="41">
        <v>1.5243902439024391E-3</v>
      </c>
    </row>
    <row r="65" spans="2:5" ht="15" customHeight="1">
      <c r="B65" s="91"/>
      <c r="C65" s="43" t="s">
        <v>111</v>
      </c>
      <c r="D65" s="42">
        <v>1</v>
      </c>
      <c r="E65" s="41">
        <v>1.5243902439024391E-3</v>
      </c>
    </row>
    <row r="66" spans="2:5" ht="15" customHeight="1">
      <c r="B66" s="90"/>
      <c r="C66" s="40" t="s">
        <v>20</v>
      </c>
      <c r="D66" s="39">
        <v>2</v>
      </c>
      <c r="E66" s="38">
        <v>3.0487804878048782E-3</v>
      </c>
    </row>
    <row r="67" spans="2:5" ht="15" customHeight="1">
      <c r="B67" s="89" t="s">
        <v>70</v>
      </c>
      <c r="C67" s="43" t="s">
        <v>119</v>
      </c>
      <c r="D67" s="42">
        <v>2</v>
      </c>
      <c r="E67" s="41">
        <v>3.0487804878048782E-3</v>
      </c>
    </row>
    <row r="68" spans="2:5" ht="15" customHeight="1">
      <c r="B68" s="91"/>
      <c r="C68" s="43" t="s">
        <v>115</v>
      </c>
      <c r="D68" s="42">
        <v>1</v>
      </c>
      <c r="E68" s="41">
        <v>1.5243902439024391E-3</v>
      </c>
    </row>
    <row r="69" spans="2:5" ht="15" customHeight="1">
      <c r="B69" s="91"/>
      <c r="C69" s="43" t="s">
        <v>114</v>
      </c>
      <c r="D69" s="42">
        <v>2</v>
      </c>
      <c r="E69" s="41">
        <v>3.0487804878048782E-3</v>
      </c>
    </row>
    <row r="70" spans="2:5" ht="15" customHeight="1">
      <c r="B70" s="91"/>
      <c r="C70" s="43" t="s">
        <v>106</v>
      </c>
      <c r="D70" s="42">
        <v>1</v>
      </c>
      <c r="E70" s="41">
        <v>1.5243902439024391E-3</v>
      </c>
    </row>
    <row r="71" spans="2:5" ht="15" customHeight="1">
      <c r="B71" s="90"/>
      <c r="C71" s="40" t="s">
        <v>20</v>
      </c>
      <c r="D71" s="39">
        <v>6</v>
      </c>
      <c r="E71" s="38">
        <v>9.1463414634146336E-3</v>
      </c>
    </row>
    <row r="72" spans="2:5" ht="15" customHeight="1">
      <c r="B72" s="89" t="s">
        <v>86</v>
      </c>
      <c r="C72" s="43" t="s">
        <v>115</v>
      </c>
      <c r="D72" s="42">
        <v>1</v>
      </c>
      <c r="E72" s="41">
        <v>1.5243902439024391E-3</v>
      </c>
    </row>
    <row r="73" spans="2:5" ht="15" customHeight="1">
      <c r="B73" s="91"/>
      <c r="C73" s="43" t="s">
        <v>114</v>
      </c>
      <c r="D73" s="42">
        <v>1</v>
      </c>
      <c r="E73" s="41">
        <v>1.5243902439024391E-3</v>
      </c>
    </row>
    <row r="74" spans="2:5" ht="15" customHeight="1">
      <c r="B74" s="91"/>
      <c r="C74" s="43" t="s">
        <v>112</v>
      </c>
      <c r="D74" s="42">
        <v>1</v>
      </c>
      <c r="E74" s="41">
        <v>1.5243902439024391E-3</v>
      </c>
    </row>
    <row r="75" spans="2:5" ht="15" customHeight="1">
      <c r="B75" s="91"/>
      <c r="C75" s="43" t="s">
        <v>111</v>
      </c>
      <c r="D75" s="42">
        <v>1</v>
      </c>
      <c r="E75" s="41">
        <v>1.5243902439024391E-3</v>
      </c>
    </row>
    <row r="76" spans="2:5" ht="15" customHeight="1">
      <c r="B76" s="91"/>
      <c r="C76" s="43" t="s">
        <v>107</v>
      </c>
      <c r="D76" s="42">
        <v>1</v>
      </c>
      <c r="E76" s="41">
        <v>1.5243902439024391E-3</v>
      </c>
    </row>
    <row r="77" spans="2:5" ht="15" customHeight="1">
      <c r="B77" s="91"/>
      <c r="C77" s="43" t="s">
        <v>106</v>
      </c>
      <c r="D77" s="42">
        <v>1</v>
      </c>
      <c r="E77" s="41">
        <v>1.5243902439024391E-3</v>
      </c>
    </row>
    <row r="78" spans="2:5" ht="15" customHeight="1">
      <c r="B78" s="90"/>
      <c r="C78" s="40" t="s">
        <v>20</v>
      </c>
      <c r="D78" s="39">
        <v>6</v>
      </c>
      <c r="E78" s="38">
        <v>9.1463414634146336E-3</v>
      </c>
    </row>
    <row r="79" spans="2:5" ht="15" customHeight="1">
      <c r="B79" s="89" t="s">
        <v>90</v>
      </c>
      <c r="C79" s="43" t="s">
        <v>120</v>
      </c>
      <c r="D79" s="42">
        <v>1</v>
      </c>
      <c r="E79" s="41">
        <v>1.5243902439024391E-3</v>
      </c>
    </row>
    <row r="80" spans="2:5" ht="15" customHeight="1">
      <c r="B80" s="91"/>
      <c r="C80" s="43" t="s">
        <v>119</v>
      </c>
      <c r="D80" s="42">
        <v>1</v>
      </c>
      <c r="E80" s="41">
        <v>1.5243902439024391E-3</v>
      </c>
    </row>
    <row r="81" spans="2:5" ht="15" customHeight="1">
      <c r="B81" s="91"/>
      <c r="C81" s="43" t="s">
        <v>118</v>
      </c>
      <c r="D81" s="42">
        <v>5</v>
      </c>
      <c r="E81" s="41">
        <v>7.621951219512195E-3</v>
      </c>
    </row>
    <row r="82" spans="2:5" ht="15" customHeight="1">
      <c r="B82" s="91"/>
      <c r="C82" s="43" t="s">
        <v>117</v>
      </c>
      <c r="D82" s="42">
        <v>1</v>
      </c>
      <c r="E82" s="41">
        <v>1.5243902439024391E-3</v>
      </c>
    </row>
    <row r="83" spans="2:5" ht="15" customHeight="1">
      <c r="B83" s="91"/>
      <c r="C83" s="43" t="s">
        <v>115</v>
      </c>
      <c r="D83" s="42">
        <v>1</v>
      </c>
      <c r="E83" s="41">
        <v>1.5243902439024391E-3</v>
      </c>
    </row>
    <row r="84" spans="2:5" ht="15" customHeight="1">
      <c r="B84" s="91"/>
      <c r="C84" s="43" t="s">
        <v>114</v>
      </c>
      <c r="D84" s="42">
        <v>8</v>
      </c>
      <c r="E84" s="41">
        <v>1.2195121951219513E-2</v>
      </c>
    </row>
    <row r="85" spans="2:5" ht="15" customHeight="1">
      <c r="B85" s="91"/>
      <c r="C85" s="43" t="s">
        <v>113</v>
      </c>
      <c r="D85" s="42">
        <v>2</v>
      </c>
      <c r="E85" s="41">
        <v>3.0487804878048782E-3</v>
      </c>
    </row>
    <row r="86" spans="2:5" ht="15" customHeight="1">
      <c r="B86" s="91"/>
      <c r="C86" s="43" t="s">
        <v>112</v>
      </c>
      <c r="D86" s="42">
        <v>2</v>
      </c>
      <c r="E86" s="41">
        <v>3.0487804878048782E-3</v>
      </c>
    </row>
    <row r="87" spans="2:5" ht="15" customHeight="1">
      <c r="B87" s="91"/>
      <c r="C87" s="43" t="s">
        <v>111</v>
      </c>
      <c r="D87" s="42">
        <v>10</v>
      </c>
      <c r="E87" s="41">
        <v>1.524390243902439E-2</v>
      </c>
    </row>
    <row r="88" spans="2:5" ht="15" customHeight="1">
      <c r="B88" s="91"/>
      <c r="C88" s="43" t="s">
        <v>108</v>
      </c>
      <c r="D88" s="42">
        <v>1</v>
      </c>
      <c r="E88" s="41">
        <v>1.5243902439024391E-3</v>
      </c>
    </row>
    <row r="89" spans="2:5" ht="15" customHeight="1">
      <c r="B89" s="91"/>
      <c r="C89" s="43" t="s">
        <v>177</v>
      </c>
      <c r="D89" s="42">
        <v>1</v>
      </c>
      <c r="E89" s="41">
        <v>1.5243902439024391E-3</v>
      </c>
    </row>
    <row r="90" spans="2:5" ht="15" customHeight="1">
      <c r="B90" s="91"/>
      <c r="C90" s="43" t="s">
        <v>107</v>
      </c>
      <c r="D90" s="42">
        <v>1</v>
      </c>
      <c r="E90" s="41">
        <v>1.5243902439024391E-3</v>
      </c>
    </row>
    <row r="91" spans="2:5" ht="15" customHeight="1">
      <c r="B91" s="91"/>
      <c r="C91" s="43" t="s">
        <v>106</v>
      </c>
      <c r="D91" s="42">
        <v>2</v>
      </c>
      <c r="E91" s="41">
        <v>3.0487804878048782E-3</v>
      </c>
    </row>
    <row r="92" spans="2:5" ht="15" customHeight="1">
      <c r="B92" s="90"/>
      <c r="C92" s="40" t="s">
        <v>20</v>
      </c>
      <c r="D92" s="39">
        <v>36</v>
      </c>
      <c r="E92" s="38">
        <v>5.4878048780487805E-2</v>
      </c>
    </row>
    <row r="93" spans="2:5" ht="15" customHeight="1">
      <c r="B93" s="89" t="s">
        <v>132</v>
      </c>
      <c r="C93" s="43" t="s">
        <v>115</v>
      </c>
      <c r="D93" s="42">
        <v>1</v>
      </c>
      <c r="E93" s="41">
        <v>1.5243902439024391E-3</v>
      </c>
    </row>
    <row r="94" spans="2:5" ht="15" customHeight="1">
      <c r="B94" s="91"/>
      <c r="C94" s="43" t="s">
        <v>114</v>
      </c>
      <c r="D94" s="42">
        <v>5</v>
      </c>
      <c r="E94" s="41">
        <v>7.621951219512195E-3</v>
      </c>
    </row>
    <row r="95" spans="2:5" ht="15" customHeight="1">
      <c r="B95" s="91"/>
      <c r="C95" s="43" t="s">
        <v>112</v>
      </c>
      <c r="D95" s="42">
        <v>1</v>
      </c>
      <c r="E95" s="41">
        <v>1.5243902439024391E-3</v>
      </c>
    </row>
    <row r="96" spans="2:5" ht="15" customHeight="1">
      <c r="B96" s="91"/>
      <c r="C96" s="43" t="s">
        <v>111</v>
      </c>
      <c r="D96" s="42">
        <v>2</v>
      </c>
      <c r="E96" s="41">
        <v>3.0487804878048782E-3</v>
      </c>
    </row>
    <row r="97" spans="2:5" ht="15" customHeight="1">
      <c r="B97" s="91"/>
      <c r="C97" s="43" t="s">
        <v>106</v>
      </c>
      <c r="D97" s="42">
        <v>1</v>
      </c>
      <c r="E97" s="41">
        <v>1.5243902439024391E-3</v>
      </c>
    </row>
    <row r="98" spans="2:5" ht="15" customHeight="1">
      <c r="B98" s="90"/>
      <c r="C98" s="40" t="s">
        <v>20</v>
      </c>
      <c r="D98" s="39">
        <v>10</v>
      </c>
      <c r="E98" s="38">
        <v>1.524390243902439E-2</v>
      </c>
    </row>
    <row r="99" spans="2:5" ht="15" customHeight="1">
      <c r="B99" s="89" t="s">
        <v>69</v>
      </c>
      <c r="C99" s="43" t="s">
        <v>114</v>
      </c>
      <c r="D99" s="42">
        <v>2</v>
      </c>
      <c r="E99" s="41">
        <v>3.0487804878048782E-3</v>
      </c>
    </row>
    <row r="100" spans="2:5" ht="15" customHeight="1">
      <c r="B100" s="91"/>
      <c r="C100" s="43" t="s">
        <v>111</v>
      </c>
      <c r="D100" s="42">
        <v>2</v>
      </c>
      <c r="E100" s="41">
        <v>3.0487804878048782E-3</v>
      </c>
    </row>
    <row r="101" spans="2:5" ht="15" customHeight="1">
      <c r="B101" s="90"/>
      <c r="C101" s="40" t="s">
        <v>20</v>
      </c>
      <c r="D101" s="39">
        <v>4</v>
      </c>
      <c r="E101" s="38">
        <v>6.0975609756097563E-3</v>
      </c>
    </row>
    <row r="102" spans="2:5" ht="15" customHeight="1">
      <c r="B102" s="89" t="s">
        <v>76</v>
      </c>
      <c r="C102" s="43" t="s">
        <v>122</v>
      </c>
      <c r="D102" s="42">
        <v>1</v>
      </c>
      <c r="E102" s="41">
        <v>1.5243902439024391E-3</v>
      </c>
    </row>
    <row r="103" spans="2:5" ht="15" customHeight="1">
      <c r="B103" s="91"/>
      <c r="C103" s="43" t="s">
        <v>118</v>
      </c>
      <c r="D103" s="42">
        <v>1</v>
      </c>
      <c r="E103" s="41">
        <v>1.5243902439024391E-3</v>
      </c>
    </row>
    <row r="104" spans="2:5" ht="15" customHeight="1">
      <c r="B104" s="91"/>
      <c r="C104" s="43" t="s">
        <v>114</v>
      </c>
      <c r="D104" s="42">
        <v>1</v>
      </c>
      <c r="E104" s="41">
        <v>1.5243902439024391E-3</v>
      </c>
    </row>
    <row r="105" spans="2:5" ht="15" customHeight="1">
      <c r="B105" s="91"/>
      <c r="C105" s="43" t="s">
        <v>111</v>
      </c>
      <c r="D105" s="42">
        <v>3</v>
      </c>
      <c r="E105" s="41">
        <v>4.5731707317073168E-3</v>
      </c>
    </row>
    <row r="106" spans="2:5" ht="15" customHeight="1">
      <c r="B106" s="90"/>
      <c r="C106" s="40" t="s">
        <v>20</v>
      </c>
      <c r="D106" s="39">
        <v>6</v>
      </c>
      <c r="E106" s="38">
        <v>9.1463414634146336E-3</v>
      </c>
    </row>
    <row r="107" spans="2:5" ht="15" customHeight="1">
      <c r="B107" s="89" t="s">
        <v>80</v>
      </c>
      <c r="C107" s="43" t="s">
        <v>118</v>
      </c>
      <c r="D107" s="42">
        <v>1</v>
      </c>
      <c r="E107" s="41">
        <v>1.5243902439024391E-3</v>
      </c>
    </row>
    <row r="108" spans="2:5" ht="15" customHeight="1">
      <c r="B108" s="91"/>
      <c r="C108" s="43" t="s">
        <v>114</v>
      </c>
      <c r="D108" s="42">
        <v>5</v>
      </c>
      <c r="E108" s="41">
        <v>7.621951219512195E-3</v>
      </c>
    </row>
    <row r="109" spans="2:5" ht="15" customHeight="1">
      <c r="B109" s="91"/>
      <c r="C109" s="43" t="s">
        <v>111</v>
      </c>
      <c r="D109" s="42">
        <v>2</v>
      </c>
      <c r="E109" s="41">
        <v>3.0487804878048782E-3</v>
      </c>
    </row>
    <row r="110" spans="2:5" ht="15" customHeight="1">
      <c r="B110" s="91"/>
      <c r="C110" s="43" t="s">
        <v>106</v>
      </c>
      <c r="D110" s="42">
        <v>1</v>
      </c>
      <c r="E110" s="41">
        <v>1.5243902439024391E-3</v>
      </c>
    </row>
    <row r="111" spans="2:5" ht="15" customHeight="1">
      <c r="B111" s="90"/>
      <c r="C111" s="40" t="s">
        <v>20</v>
      </c>
      <c r="D111" s="39">
        <v>9</v>
      </c>
      <c r="E111" s="38">
        <v>1.3719512195121951E-2</v>
      </c>
    </row>
    <row r="112" spans="2:5" ht="15" customHeight="1">
      <c r="B112" s="89" t="s">
        <v>131</v>
      </c>
      <c r="C112" s="43" t="s">
        <v>123</v>
      </c>
      <c r="D112" s="42">
        <v>1</v>
      </c>
      <c r="E112" s="41">
        <v>1.5243902439024391E-3</v>
      </c>
    </row>
    <row r="113" spans="2:5" ht="15" customHeight="1">
      <c r="B113" s="91"/>
      <c r="C113" s="43" t="s">
        <v>119</v>
      </c>
      <c r="D113" s="42">
        <v>1</v>
      </c>
      <c r="E113" s="41">
        <v>1.5243902439024391E-3</v>
      </c>
    </row>
    <row r="114" spans="2:5" ht="15" customHeight="1">
      <c r="B114" s="91"/>
      <c r="C114" s="43" t="s">
        <v>118</v>
      </c>
      <c r="D114" s="42">
        <v>1</v>
      </c>
      <c r="E114" s="41">
        <v>1.5243902439024391E-3</v>
      </c>
    </row>
    <row r="115" spans="2:5" ht="15" customHeight="1">
      <c r="B115" s="91"/>
      <c r="C115" s="43" t="s">
        <v>114</v>
      </c>
      <c r="D115" s="42">
        <v>8</v>
      </c>
      <c r="E115" s="41">
        <v>1.2195121951219513E-2</v>
      </c>
    </row>
    <row r="116" spans="2:5" ht="15" customHeight="1">
      <c r="B116" s="91"/>
      <c r="C116" s="43" t="s">
        <v>112</v>
      </c>
      <c r="D116" s="42">
        <v>2</v>
      </c>
      <c r="E116" s="41">
        <v>3.0487804878048782E-3</v>
      </c>
    </row>
    <row r="117" spans="2:5" ht="15" customHeight="1">
      <c r="B117" s="91"/>
      <c r="C117" s="43" t="s">
        <v>111</v>
      </c>
      <c r="D117" s="42">
        <v>19</v>
      </c>
      <c r="E117" s="41">
        <v>2.8963414634146343E-2</v>
      </c>
    </row>
    <row r="118" spans="2:5" ht="15" customHeight="1">
      <c r="B118" s="91"/>
      <c r="C118" s="43" t="s">
        <v>107</v>
      </c>
      <c r="D118" s="42">
        <v>4</v>
      </c>
      <c r="E118" s="41">
        <v>6.0975609756097563E-3</v>
      </c>
    </row>
    <row r="119" spans="2:5" ht="15" customHeight="1">
      <c r="B119" s="91"/>
      <c r="C119" s="43" t="s">
        <v>106</v>
      </c>
      <c r="D119" s="42">
        <v>2</v>
      </c>
      <c r="E119" s="41">
        <v>3.0487804878048782E-3</v>
      </c>
    </row>
    <row r="120" spans="2:5" ht="15" customHeight="1">
      <c r="B120" s="90"/>
      <c r="C120" s="40" t="s">
        <v>20</v>
      </c>
      <c r="D120" s="39">
        <v>38</v>
      </c>
      <c r="E120" s="38">
        <v>5.7926829268292686E-2</v>
      </c>
    </row>
    <row r="121" spans="2:5" ht="15" customHeight="1">
      <c r="B121" s="89" t="s">
        <v>130</v>
      </c>
      <c r="C121" s="43" t="s">
        <v>111</v>
      </c>
      <c r="D121" s="42">
        <v>2</v>
      </c>
      <c r="E121" s="41">
        <v>3.0487804878048782E-3</v>
      </c>
    </row>
    <row r="122" spans="2:5" ht="15" customHeight="1">
      <c r="B122" s="91"/>
      <c r="C122" s="43" t="s">
        <v>109</v>
      </c>
      <c r="D122" s="42">
        <v>1</v>
      </c>
      <c r="E122" s="41">
        <v>1.5243902439024391E-3</v>
      </c>
    </row>
    <row r="123" spans="2:5" ht="15" customHeight="1">
      <c r="B123" s="90"/>
      <c r="C123" s="40" t="s">
        <v>20</v>
      </c>
      <c r="D123" s="39">
        <v>3</v>
      </c>
      <c r="E123" s="38">
        <v>4.5731707317073168E-3</v>
      </c>
    </row>
    <row r="124" spans="2:5" ht="15" customHeight="1">
      <c r="B124" s="89" t="s">
        <v>66</v>
      </c>
      <c r="C124" s="43" t="s">
        <v>125</v>
      </c>
      <c r="D124" s="42">
        <v>1</v>
      </c>
      <c r="E124" s="41">
        <v>1.5243902439024391E-3</v>
      </c>
    </row>
    <row r="125" spans="2:5" ht="15" customHeight="1">
      <c r="B125" s="91"/>
      <c r="C125" s="43" t="s">
        <v>122</v>
      </c>
      <c r="D125" s="42">
        <v>1</v>
      </c>
      <c r="E125" s="41">
        <v>1.5243902439024391E-3</v>
      </c>
    </row>
    <row r="126" spans="2:5" ht="15" customHeight="1">
      <c r="B126" s="91"/>
      <c r="C126" s="43" t="s">
        <v>118</v>
      </c>
      <c r="D126" s="42">
        <v>2</v>
      </c>
      <c r="E126" s="41">
        <v>3.0487804878048782E-3</v>
      </c>
    </row>
    <row r="127" spans="2:5" ht="15" customHeight="1">
      <c r="B127" s="91"/>
      <c r="C127" s="43" t="s">
        <v>117</v>
      </c>
      <c r="D127" s="42">
        <v>1</v>
      </c>
      <c r="E127" s="41">
        <v>1.5243902439024391E-3</v>
      </c>
    </row>
    <row r="128" spans="2:5" ht="15" customHeight="1">
      <c r="B128" s="91"/>
      <c r="C128" s="43" t="s">
        <v>116</v>
      </c>
      <c r="D128" s="42">
        <v>1</v>
      </c>
      <c r="E128" s="41">
        <v>1.5243902439024391E-3</v>
      </c>
    </row>
    <row r="129" spans="2:5" ht="15" customHeight="1">
      <c r="B129" s="91"/>
      <c r="C129" s="43" t="s">
        <v>114</v>
      </c>
      <c r="D129" s="42">
        <v>4</v>
      </c>
      <c r="E129" s="41">
        <v>6.0975609756097563E-3</v>
      </c>
    </row>
    <row r="130" spans="2:5" ht="15" customHeight="1">
      <c r="B130" s="91"/>
      <c r="C130" s="43" t="s">
        <v>112</v>
      </c>
      <c r="D130" s="42">
        <v>3</v>
      </c>
      <c r="E130" s="41">
        <v>4.5731707317073168E-3</v>
      </c>
    </row>
    <row r="131" spans="2:5" ht="15" customHeight="1">
      <c r="B131" s="91"/>
      <c r="C131" s="43" t="s">
        <v>111</v>
      </c>
      <c r="D131" s="42">
        <v>5</v>
      </c>
      <c r="E131" s="41">
        <v>7.621951219512195E-3</v>
      </c>
    </row>
    <row r="132" spans="2:5" ht="15" customHeight="1">
      <c r="B132" s="91"/>
      <c r="C132" s="43" t="s">
        <v>106</v>
      </c>
      <c r="D132" s="42">
        <v>3</v>
      </c>
      <c r="E132" s="41">
        <v>4.5731707317073168E-3</v>
      </c>
    </row>
    <row r="133" spans="2:5" ht="15" customHeight="1">
      <c r="B133" s="90"/>
      <c r="C133" s="40" t="s">
        <v>20</v>
      </c>
      <c r="D133" s="39">
        <v>21</v>
      </c>
      <c r="E133" s="38">
        <v>3.201219512195122E-2</v>
      </c>
    </row>
    <row r="134" spans="2:5" ht="15" customHeight="1">
      <c r="B134" s="89" t="s">
        <v>65</v>
      </c>
      <c r="C134" s="43" t="s">
        <v>117</v>
      </c>
      <c r="D134" s="42">
        <v>1</v>
      </c>
      <c r="E134" s="41">
        <v>1.5243902439024391E-3</v>
      </c>
    </row>
    <row r="135" spans="2:5" ht="15" customHeight="1">
      <c r="B135" s="91"/>
      <c r="C135" s="43" t="s">
        <v>115</v>
      </c>
      <c r="D135" s="42">
        <v>1</v>
      </c>
      <c r="E135" s="41">
        <v>1.5243902439024391E-3</v>
      </c>
    </row>
    <row r="136" spans="2:5" ht="15" customHeight="1">
      <c r="B136" s="91"/>
      <c r="C136" s="43" t="s">
        <v>114</v>
      </c>
      <c r="D136" s="42">
        <v>4</v>
      </c>
      <c r="E136" s="41">
        <v>6.0975609756097563E-3</v>
      </c>
    </row>
    <row r="137" spans="2:5" ht="15" customHeight="1">
      <c r="B137" s="91"/>
      <c r="C137" s="43" t="s">
        <v>111</v>
      </c>
      <c r="D137" s="42">
        <v>1</v>
      </c>
      <c r="E137" s="41">
        <v>1.5243902439024391E-3</v>
      </c>
    </row>
    <row r="138" spans="2:5" ht="15" customHeight="1">
      <c r="B138" s="91"/>
      <c r="C138" s="43" t="s">
        <v>133</v>
      </c>
      <c r="D138" s="42">
        <v>1</v>
      </c>
      <c r="E138" s="41">
        <v>1.5243902439024391E-3</v>
      </c>
    </row>
    <row r="139" spans="2:5" ht="15" customHeight="1">
      <c r="B139" s="90"/>
      <c r="C139" s="40" t="s">
        <v>20</v>
      </c>
      <c r="D139" s="39">
        <v>8</v>
      </c>
      <c r="E139" s="38">
        <v>1.2195121951219513E-2</v>
      </c>
    </row>
    <row r="140" spans="2:5" ht="15" customHeight="1">
      <c r="B140" s="89" t="s">
        <v>58</v>
      </c>
      <c r="C140" s="43" t="s">
        <v>125</v>
      </c>
      <c r="D140" s="42">
        <v>1</v>
      </c>
      <c r="E140" s="41">
        <v>1.5243902439024391E-3</v>
      </c>
    </row>
    <row r="141" spans="2:5" ht="15" customHeight="1">
      <c r="B141" s="91"/>
      <c r="C141" s="43" t="s">
        <v>122</v>
      </c>
      <c r="D141" s="42">
        <v>1</v>
      </c>
      <c r="E141" s="41">
        <v>1.5243902439024391E-3</v>
      </c>
    </row>
    <row r="142" spans="2:5" ht="15" customHeight="1">
      <c r="B142" s="91"/>
      <c r="C142" s="43" t="s">
        <v>116</v>
      </c>
      <c r="D142" s="42">
        <v>1</v>
      </c>
      <c r="E142" s="41">
        <v>1.5243902439024391E-3</v>
      </c>
    </row>
    <row r="143" spans="2:5" ht="15" customHeight="1">
      <c r="B143" s="91"/>
      <c r="C143" s="43" t="s">
        <v>114</v>
      </c>
      <c r="D143" s="42">
        <v>3</v>
      </c>
      <c r="E143" s="41">
        <v>4.5731707317073168E-3</v>
      </c>
    </row>
    <row r="144" spans="2:5" ht="15" customHeight="1">
      <c r="B144" s="91"/>
      <c r="C144" s="43" t="s">
        <v>112</v>
      </c>
      <c r="D144" s="42">
        <v>1</v>
      </c>
      <c r="E144" s="41">
        <v>1.5243902439024391E-3</v>
      </c>
    </row>
    <row r="145" spans="2:5" ht="15" customHeight="1">
      <c r="B145" s="91"/>
      <c r="C145" s="43" t="s">
        <v>111</v>
      </c>
      <c r="D145" s="42">
        <v>7</v>
      </c>
      <c r="E145" s="41">
        <v>1.0670731707317074E-2</v>
      </c>
    </row>
    <row r="146" spans="2:5" ht="15" customHeight="1">
      <c r="B146" s="91"/>
      <c r="C146" s="43" t="s">
        <v>106</v>
      </c>
      <c r="D146" s="42">
        <v>1</v>
      </c>
      <c r="E146" s="41">
        <v>1.5243902439024391E-3</v>
      </c>
    </row>
    <row r="147" spans="2:5" ht="15" customHeight="1">
      <c r="B147" s="90"/>
      <c r="C147" s="40" t="s">
        <v>20</v>
      </c>
      <c r="D147" s="39">
        <v>15</v>
      </c>
      <c r="E147" s="38">
        <v>2.2865853658536585E-2</v>
      </c>
    </row>
    <row r="148" spans="2:5" ht="15" customHeight="1">
      <c r="B148" s="89" t="s">
        <v>87</v>
      </c>
      <c r="C148" s="43" t="s">
        <v>123</v>
      </c>
      <c r="D148" s="42">
        <v>1</v>
      </c>
      <c r="E148" s="41">
        <v>1.5243902439024391E-3</v>
      </c>
    </row>
    <row r="149" spans="2:5" ht="15" customHeight="1">
      <c r="B149" s="91"/>
      <c r="C149" s="43" t="s">
        <v>121</v>
      </c>
      <c r="D149" s="42">
        <v>1</v>
      </c>
      <c r="E149" s="41">
        <v>1.5243902439024391E-3</v>
      </c>
    </row>
    <row r="150" spans="2:5" ht="15" customHeight="1">
      <c r="B150" s="91"/>
      <c r="C150" s="43" t="s">
        <v>119</v>
      </c>
      <c r="D150" s="42">
        <v>1</v>
      </c>
      <c r="E150" s="41">
        <v>1.5243902439024391E-3</v>
      </c>
    </row>
    <row r="151" spans="2:5" ht="15" customHeight="1">
      <c r="B151" s="91"/>
      <c r="C151" s="43" t="s">
        <v>118</v>
      </c>
      <c r="D151" s="42">
        <v>1</v>
      </c>
      <c r="E151" s="41">
        <v>1.5243902439024391E-3</v>
      </c>
    </row>
    <row r="152" spans="2:5" ht="15" customHeight="1">
      <c r="B152" s="91"/>
      <c r="C152" s="43" t="s">
        <v>114</v>
      </c>
      <c r="D152" s="42">
        <v>9</v>
      </c>
      <c r="E152" s="41">
        <v>1.3719512195121951E-2</v>
      </c>
    </row>
    <row r="153" spans="2:5" ht="15" customHeight="1">
      <c r="B153" s="91"/>
      <c r="C153" s="43" t="s">
        <v>112</v>
      </c>
      <c r="D153" s="42">
        <v>1</v>
      </c>
      <c r="E153" s="41">
        <v>1.5243902439024391E-3</v>
      </c>
    </row>
    <row r="154" spans="2:5" ht="15" customHeight="1">
      <c r="B154" s="91"/>
      <c r="C154" s="43" t="s">
        <v>111</v>
      </c>
      <c r="D154" s="42">
        <v>4</v>
      </c>
      <c r="E154" s="41">
        <v>6.0975609756097563E-3</v>
      </c>
    </row>
    <row r="155" spans="2:5" ht="15" customHeight="1">
      <c r="B155" s="90"/>
      <c r="C155" s="40" t="s">
        <v>20</v>
      </c>
      <c r="D155" s="39">
        <v>18</v>
      </c>
      <c r="E155" s="38">
        <v>2.7439024390243903E-2</v>
      </c>
    </row>
    <row r="156" spans="2:5" ht="15" customHeight="1">
      <c r="B156" s="89" t="s">
        <v>60</v>
      </c>
      <c r="C156" s="43" t="s">
        <v>118</v>
      </c>
      <c r="D156" s="42">
        <v>1</v>
      </c>
      <c r="E156" s="41">
        <v>1.5243902439024391E-3</v>
      </c>
    </row>
    <row r="157" spans="2:5" ht="15" customHeight="1">
      <c r="B157" s="91"/>
      <c r="C157" s="43" t="s">
        <v>114</v>
      </c>
      <c r="D157" s="42">
        <v>3</v>
      </c>
      <c r="E157" s="41">
        <v>4.5731707317073168E-3</v>
      </c>
    </row>
    <row r="158" spans="2:5" ht="15" customHeight="1">
      <c r="B158" s="91"/>
      <c r="C158" s="43" t="s">
        <v>111</v>
      </c>
      <c r="D158" s="42">
        <v>3</v>
      </c>
      <c r="E158" s="41">
        <v>4.5731707317073168E-3</v>
      </c>
    </row>
    <row r="159" spans="2:5" ht="15" customHeight="1">
      <c r="B159" s="90"/>
      <c r="C159" s="40" t="s">
        <v>20</v>
      </c>
      <c r="D159" s="39">
        <v>7</v>
      </c>
      <c r="E159" s="38">
        <v>1.0670731707317074E-2</v>
      </c>
    </row>
    <row r="160" spans="2:5" ht="15" customHeight="1">
      <c r="B160" s="89" t="s">
        <v>79</v>
      </c>
      <c r="C160" s="43" t="s">
        <v>123</v>
      </c>
      <c r="D160" s="42">
        <v>1</v>
      </c>
      <c r="E160" s="41">
        <v>1.5243902439024391E-3</v>
      </c>
    </row>
    <row r="161" spans="2:5" ht="15" customHeight="1">
      <c r="B161" s="91"/>
      <c r="C161" s="43" t="s">
        <v>121</v>
      </c>
      <c r="D161" s="42">
        <v>2</v>
      </c>
      <c r="E161" s="41">
        <v>3.0487804878048782E-3</v>
      </c>
    </row>
    <row r="162" spans="2:5" ht="15" customHeight="1">
      <c r="B162" s="91"/>
      <c r="C162" s="43" t="s">
        <v>119</v>
      </c>
      <c r="D162" s="42">
        <v>1</v>
      </c>
      <c r="E162" s="41">
        <v>1.5243902439024391E-3</v>
      </c>
    </row>
    <row r="163" spans="2:5" ht="15" customHeight="1">
      <c r="B163" s="91"/>
      <c r="C163" s="43" t="s">
        <v>118</v>
      </c>
      <c r="D163" s="42">
        <v>2</v>
      </c>
      <c r="E163" s="41">
        <v>3.0487804878048782E-3</v>
      </c>
    </row>
    <row r="164" spans="2:5" ht="15" customHeight="1">
      <c r="B164" s="91"/>
      <c r="C164" s="43" t="s">
        <v>117</v>
      </c>
      <c r="D164" s="42">
        <v>1</v>
      </c>
      <c r="E164" s="41">
        <v>1.5243902439024391E-3</v>
      </c>
    </row>
    <row r="165" spans="2:5" ht="15" customHeight="1">
      <c r="B165" s="91"/>
      <c r="C165" s="43" t="s">
        <v>115</v>
      </c>
      <c r="D165" s="42">
        <v>3</v>
      </c>
      <c r="E165" s="41">
        <v>4.5731707317073168E-3</v>
      </c>
    </row>
    <row r="166" spans="2:5" ht="15" customHeight="1">
      <c r="B166" s="91"/>
      <c r="C166" s="43" t="s">
        <v>114</v>
      </c>
      <c r="D166" s="42">
        <v>10</v>
      </c>
      <c r="E166" s="41">
        <v>1.524390243902439E-2</v>
      </c>
    </row>
    <row r="167" spans="2:5" ht="15" customHeight="1">
      <c r="B167" s="91"/>
      <c r="C167" s="43" t="s">
        <v>113</v>
      </c>
      <c r="D167" s="42">
        <v>1</v>
      </c>
      <c r="E167" s="41">
        <v>1.5243902439024391E-3</v>
      </c>
    </row>
    <row r="168" spans="2:5" ht="15" customHeight="1">
      <c r="B168" s="91"/>
      <c r="C168" s="43" t="s">
        <v>112</v>
      </c>
      <c r="D168" s="42">
        <v>1</v>
      </c>
      <c r="E168" s="41">
        <v>1.5243902439024391E-3</v>
      </c>
    </row>
    <row r="169" spans="2:5" ht="15" customHeight="1">
      <c r="B169" s="91"/>
      <c r="C169" s="43" t="s">
        <v>111</v>
      </c>
      <c r="D169" s="42">
        <v>4</v>
      </c>
      <c r="E169" s="41">
        <v>6.0975609756097563E-3</v>
      </c>
    </row>
    <row r="170" spans="2:5" ht="15" customHeight="1">
      <c r="B170" s="90"/>
      <c r="C170" s="40" t="s">
        <v>20</v>
      </c>
      <c r="D170" s="39">
        <v>26</v>
      </c>
      <c r="E170" s="38">
        <v>3.9634146341463415E-2</v>
      </c>
    </row>
    <row r="171" spans="2:5" ht="15" customHeight="1">
      <c r="B171" s="89" t="s">
        <v>75</v>
      </c>
      <c r="C171" s="43" t="s">
        <v>125</v>
      </c>
      <c r="D171" s="42">
        <v>1</v>
      </c>
      <c r="E171" s="41">
        <v>1.5243902439024391E-3</v>
      </c>
    </row>
    <row r="172" spans="2:5" ht="15" customHeight="1">
      <c r="B172" s="91"/>
      <c r="C172" s="43" t="s">
        <v>123</v>
      </c>
      <c r="D172" s="42">
        <v>1</v>
      </c>
      <c r="E172" s="41">
        <v>1.5243902439024391E-3</v>
      </c>
    </row>
    <row r="173" spans="2:5" ht="15" customHeight="1">
      <c r="B173" s="91"/>
      <c r="C173" s="43" t="s">
        <v>120</v>
      </c>
      <c r="D173" s="42">
        <v>1</v>
      </c>
      <c r="E173" s="41">
        <v>1.5243902439024391E-3</v>
      </c>
    </row>
    <row r="174" spans="2:5" ht="15" customHeight="1">
      <c r="B174" s="91"/>
      <c r="C174" s="43" t="s">
        <v>119</v>
      </c>
      <c r="D174" s="42">
        <v>1</v>
      </c>
      <c r="E174" s="41">
        <v>1.5243902439024391E-3</v>
      </c>
    </row>
    <row r="175" spans="2:5" ht="15" customHeight="1">
      <c r="B175" s="91"/>
      <c r="C175" s="43" t="s">
        <v>112</v>
      </c>
      <c r="D175" s="42">
        <v>1</v>
      </c>
      <c r="E175" s="41">
        <v>1.5243902439024391E-3</v>
      </c>
    </row>
    <row r="176" spans="2:5" ht="15" customHeight="1">
      <c r="B176" s="90"/>
      <c r="C176" s="40" t="s">
        <v>20</v>
      </c>
      <c r="D176" s="39">
        <v>5</v>
      </c>
      <c r="E176" s="38">
        <v>7.621951219512195E-3</v>
      </c>
    </row>
    <row r="177" spans="2:5" ht="15" customHeight="1">
      <c r="B177" s="89" t="s">
        <v>63</v>
      </c>
      <c r="C177" s="43" t="s">
        <v>120</v>
      </c>
      <c r="D177" s="42">
        <v>1</v>
      </c>
      <c r="E177" s="41">
        <v>1.5243902439024391E-3</v>
      </c>
    </row>
    <row r="178" spans="2:5" ht="15" customHeight="1">
      <c r="B178" s="91"/>
      <c r="C178" s="43" t="s">
        <v>115</v>
      </c>
      <c r="D178" s="42">
        <v>1</v>
      </c>
      <c r="E178" s="41">
        <v>1.5243902439024391E-3</v>
      </c>
    </row>
    <row r="179" spans="2:5" ht="15" customHeight="1">
      <c r="B179" s="91"/>
      <c r="C179" s="43" t="s">
        <v>114</v>
      </c>
      <c r="D179" s="42">
        <v>6</v>
      </c>
      <c r="E179" s="41">
        <v>9.1463414634146336E-3</v>
      </c>
    </row>
    <row r="180" spans="2:5" ht="15" customHeight="1">
      <c r="B180" s="91"/>
      <c r="C180" s="43" t="s">
        <v>111</v>
      </c>
      <c r="D180" s="42">
        <v>2</v>
      </c>
      <c r="E180" s="41">
        <v>3.0487804878048782E-3</v>
      </c>
    </row>
    <row r="181" spans="2:5" ht="15" customHeight="1">
      <c r="B181" s="90"/>
      <c r="C181" s="40" t="s">
        <v>20</v>
      </c>
      <c r="D181" s="39">
        <v>10</v>
      </c>
      <c r="E181" s="38">
        <v>1.524390243902439E-2</v>
      </c>
    </row>
    <row r="182" spans="2:5" ht="15" customHeight="1">
      <c r="B182" s="89" t="s">
        <v>67</v>
      </c>
      <c r="C182" s="43" t="s">
        <v>119</v>
      </c>
      <c r="D182" s="42">
        <v>1</v>
      </c>
      <c r="E182" s="41">
        <v>1.5243902439024391E-3</v>
      </c>
    </row>
    <row r="183" spans="2:5" ht="15" customHeight="1">
      <c r="B183" s="91"/>
      <c r="C183" s="43" t="s">
        <v>115</v>
      </c>
      <c r="D183" s="42">
        <v>2</v>
      </c>
      <c r="E183" s="41">
        <v>3.0487804878048782E-3</v>
      </c>
    </row>
    <row r="184" spans="2:5" ht="15" customHeight="1">
      <c r="B184" s="91"/>
      <c r="C184" s="43" t="s">
        <v>114</v>
      </c>
      <c r="D184" s="42">
        <v>1</v>
      </c>
      <c r="E184" s="41">
        <v>1.5243902439024391E-3</v>
      </c>
    </row>
    <row r="185" spans="2:5" ht="15" customHeight="1">
      <c r="B185" s="91"/>
      <c r="C185" s="43" t="s">
        <v>111</v>
      </c>
      <c r="D185" s="42">
        <v>2</v>
      </c>
      <c r="E185" s="41">
        <v>3.0487804878048782E-3</v>
      </c>
    </row>
    <row r="186" spans="2:5" ht="15" customHeight="1">
      <c r="B186" s="91"/>
      <c r="C186" s="43" t="s">
        <v>106</v>
      </c>
      <c r="D186" s="42">
        <v>1</v>
      </c>
      <c r="E186" s="41">
        <v>1.5243902439024391E-3</v>
      </c>
    </row>
    <row r="187" spans="2:5" ht="15" customHeight="1">
      <c r="B187" s="90"/>
      <c r="C187" s="40" t="s">
        <v>20</v>
      </c>
      <c r="D187" s="39">
        <v>7</v>
      </c>
      <c r="E187" s="38">
        <v>1.0670731707317074E-2</v>
      </c>
    </row>
    <row r="188" spans="2:5" ht="15" customHeight="1">
      <c r="B188" s="89" t="s">
        <v>85</v>
      </c>
      <c r="C188" s="43" t="s">
        <v>125</v>
      </c>
      <c r="D188" s="42">
        <v>2</v>
      </c>
      <c r="E188" s="41">
        <v>3.0487804878048782E-3</v>
      </c>
    </row>
    <row r="189" spans="2:5" ht="15" customHeight="1">
      <c r="B189" s="91"/>
      <c r="C189" s="43" t="s">
        <v>123</v>
      </c>
      <c r="D189" s="42">
        <v>1</v>
      </c>
      <c r="E189" s="41">
        <v>1.5243902439024391E-3</v>
      </c>
    </row>
    <row r="190" spans="2:5" ht="15" customHeight="1">
      <c r="B190" s="91"/>
      <c r="C190" s="43" t="s">
        <v>121</v>
      </c>
      <c r="D190" s="42">
        <v>1</v>
      </c>
      <c r="E190" s="41">
        <v>1.5243902439024391E-3</v>
      </c>
    </row>
    <row r="191" spans="2:5" ht="15" customHeight="1">
      <c r="B191" s="91"/>
      <c r="C191" s="43" t="s">
        <v>118</v>
      </c>
      <c r="D191" s="42">
        <v>9</v>
      </c>
      <c r="E191" s="41">
        <v>1.3719512195121951E-2</v>
      </c>
    </row>
    <row r="192" spans="2:5" ht="15" customHeight="1">
      <c r="B192" s="91"/>
      <c r="C192" s="43" t="s">
        <v>117</v>
      </c>
      <c r="D192" s="42">
        <v>1</v>
      </c>
      <c r="E192" s="41">
        <v>1.5243902439024391E-3</v>
      </c>
    </row>
    <row r="193" spans="2:5" ht="15" customHeight="1">
      <c r="B193" s="91"/>
      <c r="C193" s="43" t="s">
        <v>116</v>
      </c>
      <c r="D193" s="42">
        <v>1</v>
      </c>
      <c r="E193" s="41">
        <v>1.5243902439024391E-3</v>
      </c>
    </row>
    <row r="194" spans="2:5" ht="15" customHeight="1">
      <c r="B194" s="91"/>
      <c r="C194" s="43" t="s">
        <v>115</v>
      </c>
      <c r="D194" s="42">
        <v>6</v>
      </c>
      <c r="E194" s="41">
        <v>9.1463414634146336E-3</v>
      </c>
    </row>
    <row r="195" spans="2:5" ht="15" customHeight="1">
      <c r="B195" s="91"/>
      <c r="C195" s="43" t="s">
        <v>114</v>
      </c>
      <c r="D195" s="42">
        <v>15</v>
      </c>
      <c r="E195" s="41">
        <v>2.2865853658536585E-2</v>
      </c>
    </row>
    <row r="196" spans="2:5" ht="15" customHeight="1">
      <c r="B196" s="91"/>
      <c r="C196" s="43" t="s">
        <v>112</v>
      </c>
      <c r="D196" s="42">
        <v>3</v>
      </c>
      <c r="E196" s="41">
        <v>4.5731707317073168E-3</v>
      </c>
    </row>
    <row r="197" spans="2:5" ht="15" customHeight="1">
      <c r="B197" s="91"/>
      <c r="C197" s="43" t="s">
        <v>111</v>
      </c>
      <c r="D197" s="42">
        <v>13</v>
      </c>
      <c r="E197" s="41">
        <v>1.9817073170731708E-2</v>
      </c>
    </row>
    <row r="198" spans="2:5" ht="15" customHeight="1">
      <c r="B198" s="91"/>
      <c r="C198" s="43" t="s">
        <v>110</v>
      </c>
      <c r="D198" s="42">
        <v>2</v>
      </c>
      <c r="E198" s="41">
        <v>3.0487804878048782E-3</v>
      </c>
    </row>
    <row r="199" spans="2:5" ht="15" customHeight="1">
      <c r="B199" s="91"/>
      <c r="C199" s="43" t="s">
        <v>107</v>
      </c>
      <c r="D199" s="42">
        <v>1</v>
      </c>
      <c r="E199" s="41">
        <v>1.5243902439024391E-3</v>
      </c>
    </row>
    <row r="200" spans="2:5" ht="15" customHeight="1">
      <c r="B200" s="91"/>
      <c r="C200" s="43" t="s">
        <v>106</v>
      </c>
      <c r="D200" s="42">
        <v>1</v>
      </c>
      <c r="E200" s="41">
        <v>1.5243902439024391E-3</v>
      </c>
    </row>
    <row r="201" spans="2:5" ht="15" customHeight="1">
      <c r="B201" s="90"/>
      <c r="C201" s="40" t="s">
        <v>20</v>
      </c>
      <c r="D201" s="39">
        <v>56</v>
      </c>
      <c r="E201" s="38">
        <v>8.5365853658536592E-2</v>
      </c>
    </row>
    <row r="202" spans="2:5" ht="15" customHeight="1">
      <c r="B202" s="89" t="s">
        <v>77</v>
      </c>
      <c r="C202" s="43" t="s">
        <v>115</v>
      </c>
      <c r="D202" s="42">
        <v>1</v>
      </c>
      <c r="E202" s="41">
        <v>1.5243902439024391E-3</v>
      </c>
    </row>
    <row r="203" spans="2:5" ht="15" customHeight="1">
      <c r="B203" s="91"/>
      <c r="C203" s="43" t="s">
        <v>114</v>
      </c>
      <c r="D203" s="42">
        <v>2</v>
      </c>
      <c r="E203" s="41">
        <v>3.0487804878048782E-3</v>
      </c>
    </row>
    <row r="204" spans="2:5" ht="15" customHeight="1">
      <c r="B204" s="91"/>
      <c r="C204" s="43" t="s">
        <v>112</v>
      </c>
      <c r="D204" s="42">
        <v>2</v>
      </c>
      <c r="E204" s="41">
        <v>3.0487804878048782E-3</v>
      </c>
    </row>
    <row r="205" spans="2:5" ht="15" customHeight="1">
      <c r="B205" s="91"/>
      <c r="C205" s="43" t="s">
        <v>111</v>
      </c>
      <c r="D205" s="42">
        <v>4</v>
      </c>
      <c r="E205" s="41">
        <v>6.0975609756097563E-3</v>
      </c>
    </row>
    <row r="206" spans="2:5" ht="15" customHeight="1">
      <c r="B206" s="90"/>
      <c r="C206" s="40" t="s">
        <v>20</v>
      </c>
      <c r="D206" s="39">
        <v>9</v>
      </c>
      <c r="E206" s="38">
        <v>1.3719512195121951E-2</v>
      </c>
    </row>
    <row r="207" spans="2:5" ht="15" customHeight="1">
      <c r="B207" s="89" t="s">
        <v>62</v>
      </c>
      <c r="C207" s="43" t="s">
        <v>118</v>
      </c>
      <c r="D207" s="42">
        <v>2</v>
      </c>
      <c r="E207" s="41">
        <v>3.0487804878048782E-3</v>
      </c>
    </row>
    <row r="208" spans="2:5" ht="15" customHeight="1">
      <c r="B208" s="91"/>
      <c r="C208" s="43" t="s">
        <v>114</v>
      </c>
      <c r="D208" s="42">
        <v>5</v>
      </c>
      <c r="E208" s="41">
        <v>7.621951219512195E-3</v>
      </c>
    </row>
    <row r="209" spans="2:5" ht="15" customHeight="1">
      <c r="B209" s="91"/>
      <c r="C209" s="43" t="s">
        <v>111</v>
      </c>
      <c r="D209" s="42">
        <v>4</v>
      </c>
      <c r="E209" s="41">
        <v>6.0975609756097563E-3</v>
      </c>
    </row>
    <row r="210" spans="2:5" ht="15" customHeight="1">
      <c r="B210" s="91"/>
      <c r="C210" s="43" t="s">
        <v>107</v>
      </c>
      <c r="D210" s="42">
        <v>1</v>
      </c>
      <c r="E210" s="41">
        <v>1.5243902439024391E-3</v>
      </c>
    </row>
    <row r="211" spans="2:5" ht="15" customHeight="1">
      <c r="B211" s="91"/>
      <c r="C211" s="43" t="s">
        <v>106</v>
      </c>
      <c r="D211" s="42">
        <v>3</v>
      </c>
      <c r="E211" s="41">
        <v>4.5731707317073168E-3</v>
      </c>
    </row>
    <row r="212" spans="2:5" ht="15" customHeight="1">
      <c r="B212" s="90"/>
      <c r="C212" s="40" t="s">
        <v>20</v>
      </c>
      <c r="D212" s="39">
        <v>15</v>
      </c>
      <c r="E212" s="38">
        <v>2.2865853658536585E-2</v>
      </c>
    </row>
    <row r="213" spans="2:5" ht="15" customHeight="1">
      <c r="B213" s="89" t="s">
        <v>64</v>
      </c>
      <c r="C213" s="43" t="s">
        <v>115</v>
      </c>
      <c r="D213" s="42">
        <v>1</v>
      </c>
      <c r="E213" s="41">
        <v>1.5243902439024391E-3</v>
      </c>
    </row>
    <row r="214" spans="2:5" ht="15" customHeight="1">
      <c r="B214" s="91"/>
      <c r="C214" s="43" t="s">
        <v>111</v>
      </c>
      <c r="D214" s="42">
        <v>4</v>
      </c>
      <c r="E214" s="41">
        <v>6.0975609756097563E-3</v>
      </c>
    </row>
    <row r="215" spans="2:5" ht="15" customHeight="1">
      <c r="B215" s="90"/>
      <c r="C215" s="40" t="s">
        <v>20</v>
      </c>
      <c r="D215" s="39">
        <v>5</v>
      </c>
      <c r="E215" s="38">
        <v>7.621951219512195E-3</v>
      </c>
    </row>
    <row r="216" spans="2:5" ht="15" customHeight="1">
      <c r="B216" s="89" t="s">
        <v>72</v>
      </c>
      <c r="C216" s="43" t="s">
        <v>122</v>
      </c>
      <c r="D216" s="42">
        <v>1</v>
      </c>
      <c r="E216" s="41">
        <v>1.5243902439024391E-3</v>
      </c>
    </row>
    <row r="217" spans="2:5" ht="15" customHeight="1">
      <c r="B217" s="91"/>
      <c r="C217" s="43" t="s">
        <v>119</v>
      </c>
      <c r="D217" s="42">
        <v>1</v>
      </c>
      <c r="E217" s="41">
        <v>1.5243902439024391E-3</v>
      </c>
    </row>
    <row r="218" spans="2:5" ht="15" customHeight="1">
      <c r="B218" s="91"/>
      <c r="C218" s="43" t="s">
        <v>118</v>
      </c>
      <c r="D218" s="42">
        <v>1</v>
      </c>
      <c r="E218" s="41">
        <v>1.5243902439024391E-3</v>
      </c>
    </row>
    <row r="219" spans="2:5" ht="15" customHeight="1">
      <c r="B219" s="91"/>
      <c r="C219" s="43" t="s">
        <v>115</v>
      </c>
      <c r="D219" s="42">
        <v>1</v>
      </c>
      <c r="E219" s="41">
        <v>1.5243902439024391E-3</v>
      </c>
    </row>
    <row r="220" spans="2:5" ht="15" customHeight="1">
      <c r="B220" s="91"/>
      <c r="C220" s="43" t="s">
        <v>114</v>
      </c>
      <c r="D220" s="42">
        <v>1</v>
      </c>
      <c r="E220" s="41">
        <v>1.5243902439024391E-3</v>
      </c>
    </row>
    <row r="221" spans="2:5" ht="15" customHeight="1">
      <c r="B221" s="91"/>
      <c r="C221" s="43" t="s">
        <v>111</v>
      </c>
      <c r="D221" s="42">
        <v>1</v>
      </c>
      <c r="E221" s="41">
        <v>1.5243902439024391E-3</v>
      </c>
    </row>
    <row r="222" spans="2:5" ht="15" customHeight="1">
      <c r="B222" s="90"/>
      <c r="C222" s="40" t="s">
        <v>20</v>
      </c>
      <c r="D222" s="39">
        <v>6</v>
      </c>
      <c r="E222" s="38">
        <v>9.1463414634146336E-3</v>
      </c>
    </row>
    <row r="223" spans="2:5" ht="15" customHeight="1">
      <c r="B223" s="89" t="s">
        <v>84</v>
      </c>
      <c r="C223" s="43" t="s">
        <v>118</v>
      </c>
      <c r="D223" s="42">
        <v>1</v>
      </c>
      <c r="E223" s="41">
        <v>1.5243902439024391E-3</v>
      </c>
    </row>
    <row r="224" spans="2:5" ht="15" customHeight="1">
      <c r="B224" s="91"/>
      <c r="C224" s="43" t="s">
        <v>114</v>
      </c>
      <c r="D224" s="42">
        <v>2</v>
      </c>
      <c r="E224" s="41">
        <v>3.0487804878048782E-3</v>
      </c>
    </row>
    <row r="225" spans="2:5" ht="15" customHeight="1">
      <c r="B225" s="91"/>
      <c r="C225" s="43" t="s">
        <v>113</v>
      </c>
      <c r="D225" s="42">
        <v>1</v>
      </c>
      <c r="E225" s="41">
        <v>1.5243902439024391E-3</v>
      </c>
    </row>
    <row r="226" spans="2:5" ht="15" customHeight="1">
      <c r="B226" s="91"/>
      <c r="C226" s="43" t="s">
        <v>111</v>
      </c>
      <c r="D226" s="42">
        <v>7</v>
      </c>
      <c r="E226" s="41">
        <v>1.0670731707317074E-2</v>
      </c>
    </row>
    <row r="227" spans="2:5" ht="15" customHeight="1">
      <c r="B227" s="91"/>
      <c r="C227" s="43" t="s">
        <v>107</v>
      </c>
      <c r="D227" s="42">
        <v>2</v>
      </c>
      <c r="E227" s="41">
        <v>3.0487804878048782E-3</v>
      </c>
    </row>
    <row r="228" spans="2:5" ht="15" customHeight="1">
      <c r="B228" s="91"/>
      <c r="C228" s="43" t="s">
        <v>106</v>
      </c>
      <c r="D228" s="42">
        <v>1</v>
      </c>
      <c r="E228" s="41">
        <v>1.5243902439024391E-3</v>
      </c>
    </row>
    <row r="229" spans="2:5" ht="15" customHeight="1">
      <c r="B229" s="90"/>
      <c r="C229" s="40" t="s">
        <v>20</v>
      </c>
      <c r="D229" s="39">
        <v>14</v>
      </c>
      <c r="E229" s="38">
        <v>2.1341463414634148E-2</v>
      </c>
    </row>
    <row r="230" spans="2:5" ht="15" customHeight="1">
      <c r="B230" s="89" t="s">
        <v>68</v>
      </c>
      <c r="C230" s="43" t="s">
        <v>111</v>
      </c>
      <c r="D230" s="42">
        <v>1</v>
      </c>
      <c r="E230" s="41">
        <v>1.5243902439024391E-3</v>
      </c>
    </row>
    <row r="231" spans="2:5" ht="15" customHeight="1">
      <c r="B231" s="91"/>
      <c r="C231" s="43" t="s">
        <v>106</v>
      </c>
      <c r="D231" s="42">
        <v>1</v>
      </c>
      <c r="E231" s="41">
        <v>1.5243902439024391E-3</v>
      </c>
    </row>
    <row r="232" spans="2:5" ht="15" customHeight="1">
      <c r="B232" s="90"/>
      <c r="C232" s="40" t="s">
        <v>20</v>
      </c>
      <c r="D232" s="39">
        <v>2</v>
      </c>
      <c r="E232" s="38">
        <v>3.0487804878048782E-3</v>
      </c>
    </row>
    <row r="233" spans="2:5" ht="15" customHeight="1">
      <c r="B233" s="89" t="s">
        <v>81</v>
      </c>
      <c r="C233" s="43" t="s">
        <v>125</v>
      </c>
      <c r="D233" s="42">
        <v>1</v>
      </c>
      <c r="E233" s="41">
        <v>1.5243902439024391E-3</v>
      </c>
    </row>
    <row r="234" spans="2:5" ht="15" customHeight="1">
      <c r="B234" s="91"/>
      <c r="C234" s="43" t="s">
        <v>123</v>
      </c>
      <c r="D234" s="42">
        <v>1</v>
      </c>
      <c r="E234" s="41">
        <v>1.5243902439024391E-3</v>
      </c>
    </row>
    <row r="235" spans="2:5" ht="15" customHeight="1">
      <c r="B235" s="91"/>
      <c r="C235" s="43" t="s">
        <v>122</v>
      </c>
      <c r="D235" s="42">
        <v>1</v>
      </c>
      <c r="E235" s="41">
        <v>1.5243902439024391E-3</v>
      </c>
    </row>
    <row r="236" spans="2:5" ht="15" customHeight="1">
      <c r="B236" s="91"/>
      <c r="C236" s="43" t="s">
        <v>121</v>
      </c>
      <c r="D236" s="42">
        <v>2</v>
      </c>
      <c r="E236" s="41">
        <v>3.0487804878048782E-3</v>
      </c>
    </row>
    <row r="237" spans="2:5" ht="15" customHeight="1">
      <c r="B237" s="91"/>
      <c r="C237" s="43" t="s">
        <v>120</v>
      </c>
      <c r="D237" s="42">
        <v>1</v>
      </c>
      <c r="E237" s="41">
        <v>1.5243902439024391E-3</v>
      </c>
    </row>
    <row r="238" spans="2:5" ht="15" customHeight="1">
      <c r="B238" s="91"/>
      <c r="C238" s="43" t="s">
        <v>119</v>
      </c>
      <c r="D238" s="42">
        <v>7</v>
      </c>
      <c r="E238" s="41">
        <v>1.0670731707317074E-2</v>
      </c>
    </row>
    <row r="239" spans="2:5" ht="15" customHeight="1">
      <c r="B239" s="91"/>
      <c r="C239" s="43" t="s">
        <v>118</v>
      </c>
      <c r="D239" s="42">
        <v>13</v>
      </c>
      <c r="E239" s="41">
        <v>1.9817073170731708E-2</v>
      </c>
    </row>
    <row r="240" spans="2:5" ht="15" customHeight="1">
      <c r="B240" s="91"/>
      <c r="C240" s="43" t="s">
        <v>117</v>
      </c>
      <c r="D240" s="42">
        <v>1</v>
      </c>
      <c r="E240" s="41">
        <v>1.5243902439024391E-3</v>
      </c>
    </row>
    <row r="241" spans="2:5" ht="15" customHeight="1">
      <c r="B241" s="91"/>
      <c r="C241" s="43" t="s">
        <v>116</v>
      </c>
      <c r="D241" s="42">
        <v>2</v>
      </c>
      <c r="E241" s="41">
        <v>3.0487804878048782E-3</v>
      </c>
    </row>
    <row r="242" spans="2:5" ht="15" customHeight="1">
      <c r="B242" s="91"/>
      <c r="C242" s="43" t="s">
        <v>115</v>
      </c>
      <c r="D242" s="42">
        <v>3</v>
      </c>
      <c r="E242" s="41">
        <v>4.5731707317073168E-3</v>
      </c>
    </row>
    <row r="243" spans="2:5" ht="15" customHeight="1">
      <c r="B243" s="91"/>
      <c r="C243" s="43" t="s">
        <v>114</v>
      </c>
      <c r="D243" s="42">
        <v>40</v>
      </c>
      <c r="E243" s="41">
        <v>6.097560975609756E-2</v>
      </c>
    </row>
    <row r="244" spans="2:5" ht="15" customHeight="1">
      <c r="B244" s="91"/>
      <c r="C244" s="43" t="s">
        <v>113</v>
      </c>
      <c r="D244" s="42">
        <v>4</v>
      </c>
      <c r="E244" s="41">
        <v>6.0975609756097563E-3</v>
      </c>
    </row>
    <row r="245" spans="2:5" ht="15" customHeight="1">
      <c r="B245" s="91"/>
      <c r="C245" s="43" t="s">
        <v>112</v>
      </c>
      <c r="D245" s="42">
        <v>7</v>
      </c>
      <c r="E245" s="41">
        <v>1.0670731707317074E-2</v>
      </c>
    </row>
    <row r="246" spans="2:5" ht="15" customHeight="1">
      <c r="B246" s="91"/>
      <c r="C246" s="43" t="s">
        <v>111</v>
      </c>
      <c r="D246" s="42">
        <v>10</v>
      </c>
      <c r="E246" s="41">
        <v>1.524390243902439E-2</v>
      </c>
    </row>
    <row r="247" spans="2:5" ht="15" customHeight="1">
      <c r="B247" s="91"/>
      <c r="C247" s="43" t="s">
        <v>107</v>
      </c>
      <c r="D247" s="42">
        <v>2</v>
      </c>
      <c r="E247" s="41">
        <v>3.0487804878048782E-3</v>
      </c>
    </row>
    <row r="248" spans="2:5" ht="15" customHeight="1">
      <c r="B248" s="91"/>
      <c r="C248" s="43" t="s">
        <v>106</v>
      </c>
      <c r="D248" s="42">
        <v>2</v>
      </c>
      <c r="E248" s="41">
        <v>3.0487804878048782E-3</v>
      </c>
    </row>
    <row r="249" spans="2:5" ht="15" customHeight="1">
      <c r="B249" s="90"/>
      <c r="C249" s="40" t="s">
        <v>20</v>
      </c>
      <c r="D249" s="39">
        <v>97</v>
      </c>
      <c r="E249" s="38">
        <v>0.14786585365853658</v>
      </c>
    </row>
    <row r="250" spans="2:5" ht="15" customHeight="1">
      <c r="B250" s="89" t="s">
        <v>129</v>
      </c>
      <c r="C250" s="43" t="s">
        <v>120</v>
      </c>
      <c r="D250" s="42">
        <v>1</v>
      </c>
      <c r="E250" s="41">
        <v>1.5243902439024391E-3</v>
      </c>
    </row>
    <row r="251" spans="2:5" ht="15" customHeight="1">
      <c r="B251" s="91"/>
      <c r="C251" s="43" t="s">
        <v>119</v>
      </c>
      <c r="D251" s="42">
        <v>1</v>
      </c>
      <c r="E251" s="41">
        <v>1.5243902439024391E-3</v>
      </c>
    </row>
    <row r="252" spans="2:5" ht="15" customHeight="1">
      <c r="B252" s="91"/>
      <c r="C252" s="43" t="s">
        <v>115</v>
      </c>
      <c r="D252" s="42">
        <v>1</v>
      </c>
      <c r="E252" s="41">
        <v>1.5243902439024391E-3</v>
      </c>
    </row>
    <row r="253" spans="2:5" ht="15" customHeight="1">
      <c r="B253" s="91"/>
      <c r="C253" s="43" t="s">
        <v>114</v>
      </c>
      <c r="D253" s="42">
        <v>2</v>
      </c>
      <c r="E253" s="41">
        <v>3.0487804878048782E-3</v>
      </c>
    </row>
    <row r="254" spans="2:5" ht="15" customHeight="1">
      <c r="B254" s="91"/>
      <c r="C254" s="43" t="s">
        <v>112</v>
      </c>
      <c r="D254" s="42">
        <v>2</v>
      </c>
      <c r="E254" s="41">
        <v>3.0487804878048782E-3</v>
      </c>
    </row>
    <row r="255" spans="2:5" ht="15" customHeight="1">
      <c r="B255" s="90"/>
      <c r="C255" s="40" t="s">
        <v>20</v>
      </c>
      <c r="D255" s="39">
        <v>7</v>
      </c>
      <c r="E255" s="38">
        <v>1.0670731707317074E-2</v>
      </c>
    </row>
    <row r="256" spans="2:5" ht="15" customHeight="1">
      <c r="B256" s="89" t="s">
        <v>83</v>
      </c>
      <c r="C256" s="43" t="s">
        <v>114</v>
      </c>
      <c r="D256" s="42">
        <v>5</v>
      </c>
      <c r="E256" s="41">
        <v>7.621951219512195E-3</v>
      </c>
    </row>
    <row r="257" spans="2:5" ht="15" customHeight="1">
      <c r="B257" s="91"/>
      <c r="C257" s="43" t="s">
        <v>113</v>
      </c>
      <c r="D257" s="42">
        <v>1</v>
      </c>
      <c r="E257" s="41">
        <v>1.5243902439024391E-3</v>
      </c>
    </row>
    <row r="258" spans="2:5" ht="15" customHeight="1">
      <c r="B258" s="91"/>
      <c r="C258" s="43" t="s">
        <v>112</v>
      </c>
      <c r="D258" s="42">
        <v>1</v>
      </c>
      <c r="E258" s="41">
        <v>1.5243902439024391E-3</v>
      </c>
    </row>
    <row r="259" spans="2:5" ht="15" customHeight="1">
      <c r="B259" s="91"/>
      <c r="C259" s="43" t="s">
        <v>111</v>
      </c>
      <c r="D259" s="42">
        <v>2</v>
      </c>
      <c r="E259" s="41">
        <v>3.0487804878048782E-3</v>
      </c>
    </row>
    <row r="260" spans="2:5" ht="15" customHeight="1">
      <c r="B260" s="91"/>
      <c r="C260" s="43" t="s">
        <v>106</v>
      </c>
      <c r="D260" s="42">
        <v>2</v>
      </c>
      <c r="E260" s="41">
        <v>3.0487804878048782E-3</v>
      </c>
    </row>
    <row r="261" spans="2:5" ht="15" customHeight="1">
      <c r="B261" s="90"/>
      <c r="C261" s="40" t="s">
        <v>20</v>
      </c>
      <c r="D261" s="39">
        <v>11</v>
      </c>
      <c r="E261" s="38">
        <v>1.676829268292683E-2</v>
      </c>
    </row>
    <row r="262" spans="2:5" ht="15" customHeight="1">
      <c r="B262" s="89" t="s">
        <v>61</v>
      </c>
      <c r="C262" s="43" t="s">
        <v>119</v>
      </c>
      <c r="D262" s="42">
        <v>1</v>
      </c>
      <c r="E262" s="41">
        <v>1.5243902439024391E-3</v>
      </c>
    </row>
    <row r="263" spans="2:5" ht="15" customHeight="1">
      <c r="B263" s="91"/>
      <c r="C263" s="43" t="s">
        <v>112</v>
      </c>
      <c r="D263" s="42">
        <v>1</v>
      </c>
      <c r="E263" s="41">
        <v>1.5243902439024391E-3</v>
      </c>
    </row>
    <row r="264" spans="2:5" ht="15" customHeight="1">
      <c r="B264" s="91"/>
      <c r="C264" s="43" t="s">
        <v>178</v>
      </c>
      <c r="D264" s="42">
        <v>1</v>
      </c>
      <c r="E264" s="41">
        <v>1.5243902439024391E-3</v>
      </c>
    </row>
    <row r="265" spans="2:5" ht="15" customHeight="1">
      <c r="B265" s="90"/>
      <c r="C265" s="40" t="s">
        <v>20</v>
      </c>
      <c r="D265" s="39">
        <v>3</v>
      </c>
      <c r="E265" s="38">
        <v>4.5731707317073168E-3</v>
      </c>
    </row>
    <row r="266" spans="2:5" ht="15" customHeight="1">
      <c r="B266" s="89" t="s">
        <v>33</v>
      </c>
      <c r="C266" s="43" t="s">
        <v>119</v>
      </c>
      <c r="D266" s="42">
        <v>1</v>
      </c>
      <c r="E266" s="41">
        <v>1.5243902439024391E-3</v>
      </c>
    </row>
    <row r="267" spans="2:5" ht="15" customHeight="1">
      <c r="B267" s="91"/>
      <c r="C267" s="43" t="s">
        <v>118</v>
      </c>
      <c r="D267" s="42">
        <v>1</v>
      </c>
      <c r="E267" s="41">
        <v>1.5243902439024391E-3</v>
      </c>
    </row>
    <row r="268" spans="2:5" ht="15" customHeight="1">
      <c r="B268" s="91"/>
      <c r="C268" s="43" t="s">
        <v>115</v>
      </c>
      <c r="D268" s="42">
        <v>5</v>
      </c>
      <c r="E268" s="41">
        <v>7.621951219512195E-3</v>
      </c>
    </row>
    <row r="269" spans="2:5" ht="15" customHeight="1">
      <c r="B269" s="91"/>
      <c r="C269" s="43" t="s">
        <v>114</v>
      </c>
      <c r="D269" s="42">
        <v>5</v>
      </c>
      <c r="E269" s="41">
        <v>7.621951219512195E-3</v>
      </c>
    </row>
    <row r="270" spans="2:5" ht="15" customHeight="1">
      <c r="B270" s="91"/>
      <c r="C270" s="43" t="s">
        <v>112</v>
      </c>
      <c r="D270" s="42">
        <v>2</v>
      </c>
      <c r="E270" s="41">
        <v>3.0487804878048782E-3</v>
      </c>
    </row>
    <row r="271" spans="2:5" ht="15" customHeight="1">
      <c r="B271" s="91"/>
      <c r="C271" s="43" t="s">
        <v>111</v>
      </c>
      <c r="D271" s="42">
        <v>5</v>
      </c>
      <c r="E271" s="41">
        <v>7.621951219512195E-3</v>
      </c>
    </row>
    <row r="272" spans="2:5" ht="15" customHeight="1">
      <c r="B272" s="91"/>
      <c r="C272" s="43" t="s">
        <v>107</v>
      </c>
      <c r="D272" s="42">
        <v>1</v>
      </c>
      <c r="E272" s="41">
        <v>1.5243902439024391E-3</v>
      </c>
    </row>
    <row r="273" spans="2:5" ht="15" customHeight="1">
      <c r="B273" s="90"/>
      <c r="C273" s="40" t="s">
        <v>20</v>
      </c>
      <c r="D273" s="39">
        <v>20</v>
      </c>
      <c r="E273" s="38">
        <v>3.048780487804878E-2</v>
      </c>
    </row>
    <row r="274" spans="2:5" ht="15" customHeight="1">
      <c r="B274" s="89" t="s">
        <v>174</v>
      </c>
      <c r="C274" s="43" t="s">
        <v>111</v>
      </c>
      <c r="D274" s="42">
        <v>1</v>
      </c>
      <c r="E274" s="41">
        <v>1.5243902439024391E-3</v>
      </c>
    </row>
    <row r="275" spans="2:5" ht="15" customHeight="1">
      <c r="B275" s="90"/>
      <c r="C275" s="40" t="s">
        <v>20</v>
      </c>
      <c r="D275" s="39">
        <v>1</v>
      </c>
      <c r="E275" s="38">
        <v>1.5243902439024391E-3</v>
      </c>
    </row>
    <row r="276" spans="2:5" ht="15" customHeight="1">
      <c r="B276" s="92" t="s">
        <v>20</v>
      </c>
      <c r="C276" s="93"/>
      <c r="D276" s="69">
        <v>656</v>
      </c>
      <c r="E276" s="70">
        <v>1</v>
      </c>
    </row>
    <row r="278" spans="2:5" ht="15" customHeight="1">
      <c r="B278" s="19" t="s">
        <v>170</v>
      </c>
    </row>
    <row r="279" spans="2:5" ht="15" customHeight="1">
      <c r="B279" s="21" t="s">
        <v>19</v>
      </c>
    </row>
    <row r="280" spans="2:5" ht="15" customHeight="1">
      <c r="B280" s="20" t="s">
        <v>18</v>
      </c>
    </row>
    <row r="281" spans="2:5" ht="15" customHeight="1">
      <c r="B281" s="19" t="s">
        <v>17</v>
      </c>
    </row>
    <row r="282" spans="2:5" ht="15" customHeight="1">
      <c r="B282" s="19" t="s">
        <v>171</v>
      </c>
    </row>
  </sheetData>
  <mergeCells count="42">
    <mergeCell ref="B223:B229"/>
    <mergeCell ref="B182:B187"/>
    <mergeCell ref="B188:B201"/>
    <mergeCell ref="B202:B206"/>
    <mergeCell ref="B207:B212"/>
    <mergeCell ref="B213:B215"/>
    <mergeCell ref="B160:B170"/>
    <mergeCell ref="B171:B176"/>
    <mergeCell ref="B177:B181"/>
    <mergeCell ref="B148:B155"/>
    <mergeCell ref="B216:B222"/>
    <mergeCell ref="B67:B71"/>
    <mergeCell ref="B72:B78"/>
    <mergeCell ref="B79:B92"/>
    <mergeCell ref="B112:B120"/>
    <mergeCell ref="B156:B159"/>
    <mergeCell ref="B93:B98"/>
    <mergeCell ref="B121:B123"/>
    <mergeCell ref="B124:B133"/>
    <mergeCell ref="B134:B139"/>
    <mergeCell ref="B140:B147"/>
    <mergeCell ref="B99:B101"/>
    <mergeCell ref="B102:B106"/>
    <mergeCell ref="B107:B111"/>
    <mergeCell ref="B36:B45"/>
    <mergeCell ref="B46:B56"/>
    <mergeCell ref="B57:B60"/>
    <mergeCell ref="B61:B63"/>
    <mergeCell ref="B64:B66"/>
    <mergeCell ref="B7:E8"/>
    <mergeCell ref="B10:B23"/>
    <mergeCell ref="B24:B29"/>
    <mergeCell ref="B30:B31"/>
    <mergeCell ref="B32:B35"/>
    <mergeCell ref="B266:B273"/>
    <mergeCell ref="B274:B275"/>
    <mergeCell ref="B276:C276"/>
    <mergeCell ref="B230:B232"/>
    <mergeCell ref="B233:B249"/>
    <mergeCell ref="B250:B255"/>
    <mergeCell ref="B256:B261"/>
    <mergeCell ref="B262:B26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F17" sqref="F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179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137</v>
      </c>
      <c r="C11" s="31" t="s">
        <v>53</v>
      </c>
      <c r="D11" s="30" t="s">
        <v>52</v>
      </c>
    </row>
    <row r="12" spans="1:5">
      <c r="B12" s="27" t="s">
        <v>136</v>
      </c>
      <c r="C12" s="26">
        <v>422</v>
      </c>
      <c r="D12" s="25">
        <v>0.64329268292682928</v>
      </c>
    </row>
    <row r="13" spans="1:5">
      <c r="B13" s="27" t="s">
        <v>135</v>
      </c>
      <c r="C13" s="26">
        <v>234</v>
      </c>
      <c r="D13" s="25">
        <v>0.35670731707317072</v>
      </c>
    </row>
    <row r="14" spans="1:5">
      <c r="B14" s="24" t="s">
        <v>134</v>
      </c>
      <c r="C14" s="23">
        <v>656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170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4"/>
  <sheetViews>
    <sheetView showGridLines="0" topLeftCell="A98" zoomScale="96" zoomScaleNormal="96" zoomScaleSheetLayoutView="100" workbookViewId="0">
      <selection activeCell="H16" sqref="H1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180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8"/>
      <c r="C10" s="88"/>
      <c r="D10" s="88"/>
      <c r="E10" s="88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6.950000000000003" customHeight="1">
      <c r="B12" s="63" t="s">
        <v>93</v>
      </c>
      <c r="C12" s="63" t="s">
        <v>137</v>
      </c>
      <c r="D12" s="63" t="s">
        <v>53</v>
      </c>
      <c r="E12" s="63" t="s">
        <v>52</v>
      </c>
    </row>
    <row r="13" spans="1:6" ht="13.5">
      <c r="B13" s="95" t="s">
        <v>88</v>
      </c>
      <c r="C13" s="61" t="s">
        <v>139</v>
      </c>
      <c r="D13" s="26">
        <v>53</v>
      </c>
      <c r="E13" s="25">
        <v>8.0792682926829271E-2</v>
      </c>
    </row>
    <row r="14" spans="1:6" ht="13.5">
      <c r="B14" s="96"/>
      <c r="C14" s="61" t="s">
        <v>138</v>
      </c>
      <c r="D14" s="26">
        <v>26</v>
      </c>
      <c r="E14" s="25">
        <v>3.9634146341463415E-2</v>
      </c>
    </row>
    <row r="15" spans="1:6" ht="13.5">
      <c r="B15" s="97"/>
      <c r="C15" s="73" t="s">
        <v>20</v>
      </c>
      <c r="D15" s="74">
        <v>79</v>
      </c>
      <c r="E15" s="75">
        <v>0.12042682926829268</v>
      </c>
    </row>
    <row r="16" spans="1:6" ht="13.5">
      <c r="B16" s="95" t="s">
        <v>78</v>
      </c>
      <c r="C16" s="61" t="s">
        <v>139</v>
      </c>
      <c r="D16" s="26">
        <v>6</v>
      </c>
      <c r="E16" s="25">
        <v>9.1463414634146336E-3</v>
      </c>
    </row>
    <row r="17" spans="2:5" ht="13.5">
      <c r="B17" s="96"/>
      <c r="C17" s="61" t="s">
        <v>138</v>
      </c>
      <c r="D17" s="26">
        <v>3</v>
      </c>
      <c r="E17" s="25">
        <v>4.5731707317073168E-3</v>
      </c>
    </row>
    <row r="18" spans="2:5" ht="13.5">
      <c r="B18" s="97"/>
      <c r="C18" s="73" t="s">
        <v>20</v>
      </c>
      <c r="D18" s="74">
        <v>9</v>
      </c>
      <c r="E18" s="75">
        <v>1.3719512195121951E-2</v>
      </c>
    </row>
    <row r="19" spans="2:5" ht="13.5">
      <c r="B19" s="95" t="s">
        <v>173</v>
      </c>
      <c r="C19" s="61" t="s">
        <v>139</v>
      </c>
      <c r="D19" s="26">
        <v>1</v>
      </c>
      <c r="E19" s="25">
        <v>1.5243902439024391E-3</v>
      </c>
    </row>
    <row r="20" spans="2:5" ht="13.5">
      <c r="B20" s="97"/>
      <c r="C20" s="73" t="s">
        <v>20</v>
      </c>
      <c r="D20" s="74">
        <v>1</v>
      </c>
      <c r="E20" s="75">
        <v>1.5243902439024391E-3</v>
      </c>
    </row>
    <row r="21" spans="2:5" ht="13.5">
      <c r="B21" s="95" t="s">
        <v>56</v>
      </c>
      <c r="C21" s="61" t="s">
        <v>139</v>
      </c>
      <c r="D21" s="26">
        <v>4</v>
      </c>
      <c r="E21" s="25">
        <v>6.0975609756097563E-3</v>
      </c>
    </row>
    <row r="22" spans="2:5" ht="13.5">
      <c r="B22" s="97"/>
      <c r="C22" s="73" t="s">
        <v>20</v>
      </c>
      <c r="D22" s="74">
        <v>4</v>
      </c>
      <c r="E22" s="75">
        <v>6.0975609756097563E-3</v>
      </c>
    </row>
    <row r="23" spans="2:5" ht="13.5">
      <c r="B23" s="95" t="s">
        <v>91</v>
      </c>
      <c r="C23" s="61" t="s">
        <v>139</v>
      </c>
      <c r="D23" s="26">
        <v>18</v>
      </c>
      <c r="E23" s="25">
        <v>2.7439024390243903E-2</v>
      </c>
    </row>
    <row r="24" spans="2:5" ht="13.5">
      <c r="B24" s="96"/>
      <c r="C24" s="61" t="s">
        <v>138</v>
      </c>
      <c r="D24" s="26">
        <v>21</v>
      </c>
      <c r="E24" s="25">
        <v>3.201219512195122E-2</v>
      </c>
    </row>
    <row r="25" spans="2:5" ht="13.5">
      <c r="B25" s="97"/>
      <c r="C25" s="73" t="s">
        <v>20</v>
      </c>
      <c r="D25" s="74">
        <v>39</v>
      </c>
      <c r="E25" s="75">
        <v>5.9451219512195119E-2</v>
      </c>
    </row>
    <row r="26" spans="2:5" ht="13.5">
      <c r="B26" s="95" t="s">
        <v>89</v>
      </c>
      <c r="C26" s="61" t="s">
        <v>139</v>
      </c>
      <c r="D26" s="26">
        <v>19</v>
      </c>
      <c r="E26" s="25">
        <v>2.8963414634146343E-2</v>
      </c>
    </row>
    <row r="27" spans="2:5" ht="13.5">
      <c r="B27" s="96"/>
      <c r="C27" s="61" t="s">
        <v>138</v>
      </c>
      <c r="D27" s="26">
        <v>12</v>
      </c>
      <c r="E27" s="25">
        <v>1.8292682926829267E-2</v>
      </c>
    </row>
    <row r="28" spans="2:5" ht="13.5">
      <c r="B28" s="97"/>
      <c r="C28" s="73" t="s">
        <v>20</v>
      </c>
      <c r="D28" s="74">
        <v>31</v>
      </c>
      <c r="E28" s="75">
        <v>4.725609756097561E-2</v>
      </c>
    </row>
    <row r="29" spans="2:5" ht="13.5">
      <c r="B29" s="95" t="s">
        <v>73</v>
      </c>
      <c r="C29" s="61" t="s">
        <v>139</v>
      </c>
      <c r="D29" s="26">
        <v>5</v>
      </c>
      <c r="E29" s="25">
        <v>7.621951219512195E-3</v>
      </c>
    </row>
    <row r="30" spans="2:5" ht="13.5">
      <c r="B30" s="96"/>
      <c r="C30" s="61" t="s">
        <v>138</v>
      </c>
      <c r="D30" s="26">
        <v>2</v>
      </c>
      <c r="E30" s="25">
        <v>3.0487804878048782E-3</v>
      </c>
    </row>
    <row r="31" spans="2:5" ht="13.5">
      <c r="B31" s="97"/>
      <c r="C31" s="73" t="s">
        <v>20</v>
      </c>
      <c r="D31" s="74">
        <v>7</v>
      </c>
      <c r="E31" s="75">
        <v>1.0670731707317074E-2</v>
      </c>
    </row>
    <row r="32" spans="2:5" ht="13.5">
      <c r="B32" s="95" t="s">
        <v>59</v>
      </c>
      <c r="C32" s="61" t="s">
        <v>139</v>
      </c>
      <c r="D32" s="26">
        <v>1</v>
      </c>
      <c r="E32" s="25">
        <v>1.5243902439024391E-3</v>
      </c>
    </row>
    <row r="33" spans="2:5" ht="13.5">
      <c r="B33" s="96"/>
      <c r="C33" s="61" t="s">
        <v>138</v>
      </c>
      <c r="D33" s="26">
        <v>2</v>
      </c>
      <c r="E33" s="25">
        <v>3.0487804878048782E-3</v>
      </c>
    </row>
    <row r="34" spans="2:5" ht="13.5">
      <c r="B34" s="97"/>
      <c r="C34" s="73" t="s">
        <v>20</v>
      </c>
      <c r="D34" s="74">
        <v>3</v>
      </c>
      <c r="E34" s="75">
        <v>4.5731707317073168E-3</v>
      </c>
    </row>
    <row r="35" spans="2:5" ht="13.5">
      <c r="B35" s="95" t="s">
        <v>57</v>
      </c>
      <c r="C35" s="61" t="s">
        <v>139</v>
      </c>
      <c r="D35" s="26">
        <v>2</v>
      </c>
      <c r="E35" s="25">
        <v>3.0487804878048782E-3</v>
      </c>
    </row>
    <row r="36" spans="2:5" ht="13.5">
      <c r="B36" s="97"/>
      <c r="C36" s="73" t="s">
        <v>20</v>
      </c>
      <c r="D36" s="74">
        <v>2</v>
      </c>
      <c r="E36" s="75">
        <v>3.0487804878048782E-3</v>
      </c>
    </row>
    <row r="37" spans="2:5" ht="13.5">
      <c r="B37" s="95" t="s">
        <v>70</v>
      </c>
      <c r="C37" s="61" t="s">
        <v>139</v>
      </c>
      <c r="D37" s="26">
        <v>5</v>
      </c>
      <c r="E37" s="25">
        <v>7.621951219512195E-3</v>
      </c>
    </row>
    <row r="38" spans="2:5" ht="13.5">
      <c r="B38" s="96"/>
      <c r="C38" s="61" t="s">
        <v>138</v>
      </c>
      <c r="D38" s="26">
        <v>1</v>
      </c>
      <c r="E38" s="25">
        <v>1.5243902439024391E-3</v>
      </c>
    </row>
    <row r="39" spans="2:5" ht="13.5">
      <c r="B39" s="97"/>
      <c r="C39" s="73" t="s">
        <v>20</v>
      </c>
      <c r="D39" s="74">
        <v>6</v>
      </c>
      <c r="E39" s="75">
        <v>9.1463414634146336E-3</v>
      </c>
    </row>
    <row r="40" spans="2:5" ht="13.5">
      <c r="B40" s="95" t="s">
        <v>86</v>
      </c>
      <c r="C40" s="61" t="s">
        <v>139</v>
      </c>
      <c r="D40" s="26">
        <v>4</v>
      </c>
      <c r="E40" s="25">
        <v>6.0975609756097563E-3</v>
      </c>
    </row>
    <row r="41" spans="2:5" ht="13.5">
      <c r="B41" s="96"/>
      <c r="C41" s="61" t="s">
        <v>138</v>
      </c>
      <c r="D41" s="26">
        <v>2</v>
      </c>
      <c r="E41" s="25">
        <v>3.0487804878048782E-3</v>
      </c>
    </row>
    <row r="42" spans="2:5" ht="13.5">
      <c r="B42" s="97"/>
      <c r="C42" s="73" t="s">
        <v>20</v>
      </c>
      <c r="D42" s="74">
        <v>6</v>
      </c>
      <c r="E42" s="75">
        <v>9.1463414634146336E-3</v>
      </c>
    </row>
    <row r="43" spans="2:5" ht="13.5">
      <c r="B43" s="95" t="s">
        <v>90</v>
      </c>
      <c r="C43" s="61" t="s">
        <v>139</v>
      </c>
      <c r="D43" s="26">
        <v>22</v>
      </c>
      <c r="E43" s="25">
        <v>3.3536585365853661E-2</v>
      </c>
    </row>
    <row r="44" spans="2:5" ht="13.5">
      <c r="B44" s="96"/>
      <c r="C44" s="61" t="s">
        <v>138</v>
      </c>
      <c r="D44" s="26">
        <v>14</v>
      </c>
      <c r="E44" s="25">
        <v>2.1341463414634148E-2</v>
      </c>
    </row>
    <row r="45" spans="2:5" ht="13.5">
      <c r="B45" s="97"/>
      <c r="C45" s="73" t="s">
        <v>20</v>
      </c>
      <c r="D45" s="74">
        <v>36</v>
      </c>
      <c r="E45" s="75">
        <v>5.4878048780487805E-2</v>
      </c>
    </row>
    <row r="46" spans="2:5" ht="13.5">
      <c r="B46" s="95" t="s">
        <v>74</v>
      </c>
      <c r="C46" s="61" t="s">
        <v>139</v>
      </c>
      <c r="D46" s="26">
        <v>5</v>
      </c>
      <c r="E46" s="25">
        <v>7.621951219512195E-3</v>
      </c>
    </row>
    <row r="47" spans="2:5" ht="13.5">
      <c r="B47" s="96"/>
      <c r="C47" s="61" t="s">
        <v>138</v>
      </c>
      <c r="D47" s="26">
        <v>5</v>
      </c>
      <c r="E47" s="25">
        <v>7.621951219512195E-3</v>
      </c>
    </row>
    <row r="48" spans="2:5" ht="13.5">
      <c r="B48" s="97"/>
      <c r="C48" s="73" t="s">
        <v>20</v>
      </c>
      <c r="D48" s="74">
        <v>10</v>
      </c>
      <c r="E48" s="75">
        <v>1.524390243902439E-2</v>
      </c>
    </row>
    <row r="49" spans="2:5" ht="13.5">
      <c r="B49" s="95" t="s">
        <v>69</v>
      </c>
      <c r="C49" s="61" t="s">
        <v>139</v>
      </c>
      <c r="D49" s="26">
        <v>3</v>
      </c>
      <c r="E49" s="25">
        <v>4.5731707317073168E-3</v>
      </c>
    </row>
    <row r="50" spans="2:5" ht="13.5">
      <c r="B50" s="96"/>
      <c r="C50" s="61" t="s">
        <v>138</v>
      </c>
      <c r="D50" s="26">
        <v>1</v>
      </c>
      <c r="E50" s="25">
        <v>1.5243902439024391E-3</v>
      </c>
    </row>
    <row r="51" spans="2:5" ht="13.5">
      <c r="B51" s="97"/>
      <c r="C51" s="73" t="s">
        <v>20</v>
      </c>
      <c r="D51" s="74">
        <v>4</v>
      </c>
      <c r="E51" s="75">
        <v>6.0975609756097563E-3</v>
      </c>
    </row>
    <row r="52" spans="2:5" ht="13.5">
      <c r="B52" s="95" t="s">
        <v>76</v>
      </c>
      <c r="C52" s="61" t="s">
        <v>139</v>
      </c>
      <c r="D52" s="26">
        <v>1</v>
      </c>
      <c r="E52" s="25">
        <v>1.5243902439024391E-3</v>
      </c>
    </row>
    <row r="53" spans="2:5" ht="13.5">
      <c r="B53" s="96"/>
      <c r="C53" s="61" t="s">
        <v>138</v>
      </c>
      <c r="D53" s="26">
        <v>5</v>
      </c>
      <c r="E53" s="25">
        <v>7.621951219512195E-3</v>
      </c>
    </row>
    <row r="54" spans="2:5" ht="13.5">
      <c r="B54" s="97"/>
      <c r="C54" s="73" t="s">
        <v>20</v>
      </c>
      <c r="D54" s="74">
        <v>6</v>
      </c>
      <c r="E54" s="75">
        <v>9.1463414634146336E-3</v>
      </c>
    </row>
    <row r="55" spans="2:5" ht="13.5">
      <c r="B55" s="95" t="s">
        <v>80</v>
      </c>
      <c r="C55" s="61" t="s">
        <v>139</v>
      </c>
      <c r="D55" s="26">
        <v>6</v>
      </c>
      <c r="E55" s="25">
        <v>9.1463414634146336E-3</v>
      </c>
    </row>
    <row r="56" spans="2:5" ht="13.5">
      <c r="B56" s="96"/>
      <c r="C56" s="61" t="s">
        <v>138</v>
      </c>
      <c r="D56" s="26">
        <v>3</v>
      </c>
      <c r="E56" s="25">
        <v>4.5731707317073168E-3</v>
      </c>
    </row>
    <row r="57" spans="2:5" ht="13.5">
      <c r="B57" s="97"/>
      <c r="C57" s="73" t="s">
        <v>20</v>
      </c>
      <c r="D57" s="74">
        <v>9</v>
      </c>
      <c r="E57" s="75">
        <v>1.3719512195121951E-2</v>
      </c>
    </row>
    <row r="58" spans="2:5" ht="13.5">
      <c r="B58" s="95" t="s">
        <v>92</v>
      </c>
      <c r="C58" s="61" t="s">
        <v>139</v>
      </c>
      <c r="D58" s="26">
        <v>20</v>
      </c>
      <c r="E58" s="25">
        <v>3.048780487804878E-2</v>
      </c>
    </row>
    <row r="59" spans="2:5" ht="13.5">
      <c r="B59" s="96"/>
      <c r="C59" s="61" t="s">
        <v>138</v>
      </c>
      <c r="D59" s="26">
        <v>18</v>
      </c>
      <c r="E59" s="25">
        <v>2.7439024390243903E-2</v>
      </c>
    </row>
    <row r="60" spans="2:5" ht="13.5">
      <c r="B60" s="97"/>
      <c r="C60" s="73" t="s">
        <v>20</v>
      </c>
      <c r="D60" s="74">
        <v>38</v>
      </c>
      <c r="E60" s="75">
        <v>5.7926829268292686E-2</v>
      </c>
    </row>
    <row r="61" spans="2:5" ht="13.5">
      <c r="B61" s="95" t="s">
        <v>71</v>
      </c>
      <c r="C61" s="61" t="s">
        <v>139</v>
      </c>
      <c r="D61" s="26">
        <v>2</v>
      </c>
      <c r="E61" s="25">
        <v>3.0487804878048782E-3</v>
      </c>
    </row>
    <row r="62" spans="2:5" ht="13.5">
      <c r="B62" s="96"/>
      <c r="C62" s="61" t="s">
        <v>138</v>
      </c>
      <c r="D62" s="26">
        <v>1</v>
      </c>
      <c r="E62" s="25">
        <v>1.5243902439024391E-3</v>
      </c>
    </row>
    <row r="63" spans="2:5" ht="13.5">
      <c r="B63" s="97"/>
      <c r="C63" s="73" t="s">
        <v>20</v>
      </c>
      <c r="D63" s="74">
        <v>3</v>
      </c>
      <c r="E63" s="75">
        <v>4.5731707317073168E-3</v>
      </c>
    </row>
    <row r="64" spans="2:5" ht="13.5">
      <c r="B64" s="95" t="s">
        <v>66</v>
      </c>
      <c r="C64" s="61" t="s">
        <v>139</v>
      </c>
      <c r="D64" s="26">
        <v>13</v>
      </c>
      <c r="E64" s="25">
        <v>1.9817073170731708E-2</v>
      </c>
    </row>
    <row r="65" spans="2:5" ht="13.5">
      <c r="B65" s="96"/>
      <c r="C65" s="61" t="s">
        <v>138</v>
      </c>
      <c r="D65" s="26">
        <v>8</v>
      </c>
      <c r="E65" s="25">
        <v>1.2195121951219513E-2</v>
      </c>
    </row>
    <row r="66" spans="2:5" ht="13.5">
      <c r="B66" s="97"/>
      <c r="C66" s="73" t="s">
        <v>20</v>
      </c>
      <c r="D66" s="74">
        <v>21</v>
      </c>
      <c r="E66" s="75">
        <v>3.201219512195122E-2</v>
      </c>
    </row>
    <row r="67" spans="2:5" ht="13.5">
      <c r="B67" s="95" t="s">
        <v>65</v>
      </c>
      <c r="C67" s="61" t="s">
        <v>139</v>
      </c>
      <c r="D67" s="26">
        <v>6</v>
      </c>
      <c r="E67" s="25">
        <v>9.1463414634146336E-3</v>
      </c>
    </row>
    <row r="68" spans="2:5" ht="13.5">
      <c r="B68" s="96"/>
      <c r="C68" s="61" t="s">
        <v>138</v>
      </c>
      <c r="D68" s="26">
        <v>2</v>
      </c>
      <c r="E68" s="25">
        <v>3.0487804878048782E-3</v>
      </c>
    </row>
    <row r="69" spans="2:5" ht="13.5">
      <c r="B69" s="97"/>
      <c r="C69" s="73" t="s">
        <v>20</v>
      </c>
      <c r="D69" s="74">
        <v>8</v>
      </c>
      <c r="E69" s="75">
        <v>1.2195121951219513E-2</v>
      </c>
    </row>
    <row r="70" spans="2:5" ht="13.5">
      <c r="B70" s="95" t="s">
        <v>58</v>
      </c>
      <c r="C70" s="61" t="s">
        <v>139</v>
      </c>
      <c r="D70" s="26">
        <v>11</v>
      </c>
      <c r="E70" s="25">
        <v>1.676829268292683E-2</v>
      </c>
    </row>
    <row r="71" spans="2:5" ht="13.5">
      <c r="B71" s="96"/>
      <c r="C71" s="61" t="s">
        <v>138</v>
      </c>
      <c r="D71" s="26">
        <v>4</v>
      </c>
      <c r="E71" s="25">
        <v>6.0975609756097563E-3</v>
      </c>
    </row>
    <row r="72" spans="2:5" ht="13.5">
      <c r="B72" s="97"/>
      <c r="C72" s="73" t="s">
        <v>20</v>
      </c>
      <c r="D72" s="74">
        <v>15</v>
      </c>
      <c r="E72" s="75">
        <v>2.2865853658536585E-2</v>
      </c>
    </row>
    <row r="73" spans="2:5" ht="13.5">
      <c r="B73" s="95" t="s">
        <v>87</v>
      </c>
      <c r="C73" s="61" t="s">
        <v>139</v>
      </c>
      <c r="D73" s="26">
        <v>11</v>
      </c>
      <c r="E73" s="25">
        <v>1.676829268292683E-2</v>
      </c>
    </row>
    <row r="74" spans="2:5" ht="13.5">
      <c r="B74" s="96"/>
      <c r="C74" s="61" t="s">
        <v>138</v>
      </c>
      <c r="D74" s="26">
        <v>7</v>
      </c>
      <c r="E74" s="25">
        <v>1.0670731707317074E-2</v>
      </c>
    </row>
    <row r="75" spans="2:5" ht="13.5">
      <c r="B75" s="97"/>
      <c r="C75" s="73" t="s">
        <v>20</v>
      </c>
      <c r="D75" s="74">
        <v>18</v>
      </c>
      <c r="E75" s="75">
        <v>2.7439024390243903E-2</v>
      </c>
    </row>
    <row r="76" spans="2:5" ht="13.5">
      <c r="B76" s="95" t="s">
        <v>60</v>
      </c>
      <c r="C76" s="61" t="s">
        <v>139</v>
      </c>
      <c r="D76" s="26">
        <v>5</v>
      </c>
      <c r="E76" s="25">
        <v>7.621951219512195E-3</v>
      </c>
    </row>
    <row r="77" spans="2:5" ht="13.5">
      <c r="B77" s="96"/>
      <c r="C77" s="61" t="s">
        <v>138</v>
      </c>
      <c r="D77" s="26">
        <v>2</v>
      </c>
      <c r="E77" s="25">
        <v>3.0487804878048782E-3</v>
      </c>
    </row>
    <row r="78" spans="2:5" ht="13.5">
      <c r="B78" s="97"/>
      <c r="C78" s="73" t="s">
        <v>20</v>
      </c>
      <c r="D78" s="74">
        <v>7</v>
      </c>
      <c r="E78" s="75">
        <v>1.0670731707317074E-2</v>
      </c>
    </row>
    <row r="79" spans="2:5" ht="13.5">
      <c r="B79" s="95" t="s">
        <v>79</v>
      </c>
      <c r="C79" s="61" t="s">
        <v>139</v>
      </c>
      <c r="D79" s="26">
        <v>15</v>
      </c>
      <c r="E79" s="25">
        <v>2.2865853658536585E-2</v>
      </c>
    </row>
    <row r="80" spans="2:5" ht="13.5">
      <c r="B80" s="96"/>
      <c r="C80" s="61" t="s">
        <v>138</v>
      </c>
      <c r="D80" s="26">
        <v>11</v>
      </c>
      <c r="E80" s="25">
        <v>1.676829268292683E-2</v>
      </c>
    </row>
    <row r="81" spans="2:5" ht="13.5">
      <c r="B81" s="97"/>
      <c r="C81" s="73" t="s">
        <v>20</v>
      </c>
      <c r="D81" s="74">
        <v>26</v>
      </c>
      <c r="E81" s="75">
        <v>3.9634146341463415E-2</v>
      </c>
    </row>
    <row r="82" spans="2:5" ht="13.5">
      <c r="B82" s="95" t="s">
        <v>75</v>
      </c>
      <c r="C82" s="61" t="s">
        <v>139</v>
      </c>
      <c r="D82" s="26">
        <v>3</v>
      </c>
      <c r="E82" s="25">
        <v>4.5731707317073168E-3</v>
      </c>
    </row>
    <row r="83" spans="2:5" ht="13.5">
      <c r="B83" s="96"/>
      <c r="C83" s="61" t="s">
        <v>138</v>
      </c>
      <c r="D83" s="26">
        <v>2</v>
      </c>
      <c r="E83" s="25">
        <v>3.0487804878048782E-3</v>
      </c>
    </row>
    <row r="84" spans="2:5" ht="13.5">
      <c r="B84" s="97"/>
      <c r="C84" s="73" t="s">
        <v>20</v>
      </c>
      <c r="D84" s="74">
        <v>5</v>
      </c>
      <c r="E84" s="75">
        <v>7.621951219512195E-3</v>
      </c>
    </row>
    <row r="85" spans="2:5" ht="13.5">
      <c r="B85" s="95" t="s">
        <v>63</v>
      </c>
      <c r="C85" s="61" t="s">
        <v>139</v>
      </c>
      <c r="D85" s="26">
        <v>9</v>
      </c>
      <c r="E85" s="25">
        <v>1.3719512195121951E-2</v>
      </c>
    </row>
    <row r="86" spans="2:5" ht="13.5">
      <c r="B86" s="96"/>
      <c r="C86" s="61" t="s">
        <v>138</v>
      </c>
      <c r="D86" s="26">
        <v>1</v>
      </c>
      <c r="E86" s="25">
        <v>1.5243902439024391E-3</v>
      </c>
    </row>
    <row r="87" spans="2:5" ht="13.5">
      <c r="B87" s="97"/>
      <c r="C87" s="73" t="s">
        <v>20</v>
      </c>
      <c r="D87" s="74">
        <v>10</v>
      </c>
      <c r="E87" s="75">
        <v>1.524390243902439E-2</v>
      </c>
    </row>
    <row r="88" spans="2:5" ht="13.5">
      <c r="B88" s="95" t="s">
        <v>67</v>
      </c>
      <c r="C88" s="61" t="s">
        <v>139</v>
      </c>
      <c r="D88" s="26">
        <v>5</v>
      </c>
      <c r="E88" s="25">
        <v>7.621951219512195E-3</v>
      </c>
    </row>
    <row r="89" spans="2:5" ht="13.5">
      <c r="B89" s="96"/>
      <c r="C89" s="61" t="s">
        <v>138</v>
      </c>
      <c r="D89" s="26">
        <v>2</v>
      </c>
      <c r="E89" s="25">
        <v>3.0487804878048782E-3</v>
      </c>
    </row>
    <row r="90" spans="2:5" ht="13.5">
      <c r="B90" s="97"/>
      <c r="C90" s="73" t="s">
        <v>20</v>
      </c>
      <c r="D90" s="74">
        <v>7</v>
      </c>
      <c r="E90" s="75">
        <v>1.0670731707317074E-2</v>
      </c>
    </row>
    <row r="91" spans="2:5" ht="13.5">
      <c r="B91" s="95" t="s">
        <v>85</v>
      </c>
      <c r="C91" s="61" t="s">
        <v>139</v>
      </c>
      <c r="D91" s="26">
        <v>35</v>
      </c>
      <c r="E91" s="25">
        <v>5.3353658536585365E-2</v>
      </c>
    </row>
    <row r="92" spans="2:5" ht="13.5">
      <c r="B92" s="96"/>
      <c r="C92" s="61" t="s">
        <v>138</v>
      </c>
      <c r="D92" s="26">
        <v>21</v>
      </c>
      <c r="E92" s="25">
        <v>3.201219512195122E-2</v>
      </c>
    </row>
    <row r="93" spans="2:5" ht="13.5">
      <c r="B93" s="97"/>
      <c r="C93" s="73" t="s">
        <v>20</v>
      </c>
      <c r="D93" s="74">
        <v>56</v>
      </c>
      <c r="E93" s="75">
        <v>8.5365853658536592E-2</v>
      </c>
    </row>
    <row r="94" spans="2:5" ht="13.5">
      <c r="B94" s="95" t="s">
        <v>77</v>
      </c>
      <c r="C94" s="61" t="s">
        <v>139</v>
      </c>
      <c r="D94" s="26">
        <v>7</v>
      </c>
      <c r="E94" s="25">
        <v>1.0670731707317074E-2</v>
      </c>
    </row>
    <row r="95" spans="2:5" ht="13.5">
      <c r="B95" s="96"/>
      <c r="C95" s="61" t="s">
        <v>138</v>
      </c>
      <c r="D95" s="26">
        <v>2</v>
      </c>
      <c r="E95" s="25">
        <v>3.0487804878048782E-3</v>
      </c>
    </row>
    <row r="96" spans="2:5" ht="13.5">
      <c r="B96" s="97"/>
      <c r="C96" s="73" t="s">
        <v>20</v>
      </c>
      <c r="D96" s="74">
        <v>9</v>
      </c>
      <c r="E96" s="75">
        <v>1.3719512195121951E-2</v>
      </c>
    </row>
    <row r="97" spans="2:5" ht="13.5">
      <c r="B97" s="95" t="s">
        <v>62</v>
      </c>
      <c r="C97" s="61" t="s">
        <v>139</v>
      </c>
      <c r="D97" s="26">
        <v>11</v>
      </c>
      <c r="E97" s="25">
        <v>1.676829268292683E-2</v>
      </c>
    </row>
    <row r="98" spans="2:5" ht="13.5">
      <c r="B98" s="96"/>
      <c r="C98" s="61" t="s">
        <v>138</v>
      </c>
      <c r="D98" s="26">
        <v>4</v>
      </c>
      <c r="E98" s="25">
        <v>6.0975609756097563E-3</v>
      </c>
    </row>
    <row r="99" spans="2:5" ht="13.5">
      <c r="B99" s="97"/>
      <c r="C99" s="73" t="s">
        <v>20</v>
      </c>
      <c r="D99" s="74">
        <v>15</v>
      </c>
      <c r="E99" s="75">
        <v>2.2865853658536585E-2</v>
      </c>
    </row>
    <row r="100" spans="2:5" ht="13.5">
      <c r="B100" s="95" t="s">
        <v>64</v>
      </c>
      <c r="C100" s="61" t="s">
        <v>139</v>
      </c>
      <c r="D100" s="26">
        <v>2</v>
      </c>
      <c r="E100" s="25">
        <v>3.0487804878048782E-3</v>
      </c>
    </row>
    <row r="101" spans="2:5" ht="13.5">
      <c r="B101" s="96"/>
      <c r="C101" s="61" t="s">
        <v>138</v>
      </c>
      <c r="D101" s="26">
        <v>3</v>
      </c>
      <c r="E101" s="25">
        <v>4.5731707317073168E-3</v>
      </c>
    </row>
    <row r="102" spans="2:5" ht="13.5">
      <c r="B102" s="97"/>
      <c r="C102" s="73" t="s">
        <v>20</v>
      </c>
      <c r="D102" s="74">
        <v>5</v>
      </c>
      <c r="E102" s="75">
        <v>7.621951219512195E-3</v>
      </c>
    </row>
    <row r="103" spans="2:5" ht="13.5">
      <c r="B103" s="95" t="s">
        <v>72</v>
      </c>
      <c r="C103" s="61" t="s">
        <v>139</v>
      </c>
      <c r="D103" s="26">
        <v>2</v>
      </c>
      <c r="E103" s="25">
        <v>3.0487804878048782E-3</v>
      </c>
    </row>
    <row r="104" spans="2:5" ht="13.5">
      <c r="B104" s="96"/>
      <c r="C104" s="61" t="s">
        <v>138</v>
      </c>
      <c r="D104" s="26">
        <v>4</v>
      </c>
      <c r="E104" s="25">
        <v>6.0975609756097563E-3</v>
      </c>
    </row>
    <row r="105" spans="2:5" ht="13.5">
      <c r="B105" s="97"/>
      <c r="C105" s="73" t="s">
        <v>20</v>
      </c>
      <c r="D105" s="74">
        <v>6</v>
      </c>
      <c r="E105" s="75">
        <v>9.1463414634146336E-3</v>
      </c>
    </row>
    <row r="106" spans="2:5" ht="13.5">
      <c r="B106" s="95" t="s">
        <v>84</v>
      </c>
      <c r="C106" s="61" t="s">
        <v>139</v>
      </c>
      <c r="D106" s="26">
        <v>6</v>
      </c>
      <c r="E106" s="25">
        <v>9.1463414634146336E-3</v>
      </c>
    </row>
    <row r="107" spans="2:5" ht="13.5">
      <c r="B107" s="96"/>
      <c r="C107" s="61" t="s">
        <v>138</v>
      </c>
      <c r="D107" s="26">
        <v>8</v>
      </c>
      <c r="E107" s="25">
        <v>1.2195121951219513E-2</v>
      </c>
    </row>
    <row r="108" spans="2:5" ht="13.5">
      <c r="B108" s="97"/>
      <c r="C108" s="73" t="s">
        <v>20</v>
      </c>
      <c r="D108" s="74">
        <v>14</v>
      </c>
      <c r="E108" s="75">
        <v>2.1341463414634148E-2</v>
      </c>
    </row>
    <row r="109" spans="2:5" ht="13.5">
      <c r="B109" s="95" t="s">
        <v>68</v>
      </c>
      <c r="C109" s="61" t="s">
        <v>139</v>
      </c>
      <c r="D109" s="26">
        <v>1</v>
      </c>
      <c r="E109" s="25">
        <v>1.5243902439024391E-3</v>
      </c>
    </row>
    <row r="110" spans="2:5" ht="13.5">
      <c r="B110" s="96"/>
      <c r="C110" s="61" t="s">
        <v>138</v>
      </c>
      <c r="D110" s="26">
        <v>1</v>
      </c>
      <c r="E110" s="25">
        <v>1.5243902439024391E-3</v>
      </c>
    </row>
    <row r="111" spans="2:5" ht="13.5">
      <c r="B111" s="97"/>
      <c r="C111" s="73" t="s">
        <v>20</v>
      </c>
      <c r="D111" s="74">
        <v>2</v>
      </c>
      <c r="E111" s="75">
        <v>3.0487804878048782E-3</v>
      </c>
    </row>
    <row r="112" spans="2:5" ht="13.5">
      <c r="B112" s="95" t="s">
        <v>81</v>
      </c>
      <c r="C112" s="61" t="s">
        <v>139</v>
      </c>
      <c r="D112" s="26">
        <v>79</v>
      </c>
      <c r="E112" s="25">
        <v>0.12042682926829268</v>
      </c>
    </row>
    <row r="113" spans="2:5" ht="13.5">
      <c r="B113" s="96"/>
      <c r="C113" s="61" t="s">
        <v>138</v>
      </c>
      <c r="D113" s="26">
        <v>18</v>
      </c>
      <c r="E113" s="25">
        <v>2.7439024390243903E-2</v>
      </c>
    </row>
    <row r="114" spans="2:5" ht="13.5">
      <c r="B114" s="97"/>
      <c r="C114" s="73" t="s">
        <v>20</v>
      </c>
      <c r="D114" s="74">
        <v>97</v>
      </c>
      <c r="E114" s="75">
        <v>0.14786585365853658</v>
      </c>
    </row>
    <row r="115" spans="2:5" ht="13.5">
      <c r="B115" s="95" t="s">
        <v>82</v>
      </c>
      <c r="C115" s="61" t="s">
        <v>139</v>
      </c>
      <c r="D115" s="26">
        <v>5</v>
      </c>
      <c r="E115" s="25">
        <v>7.621951219512195E-3</v>
      </c>
    </row>
    <row r="116" spans="2:5" ht="13.5">
      <c r="B116" s="96"/>
      <c r="C116" s="61" t="s">
        <v>138</v>
      </c>
      <c r="D116" s="26">
        <v>2</v>
      </c>
      <c r="E116" s="25">
        <v>3.0487804878048782E-3</v>
      </c>
    </row>
    <row r="117" spans="2:5" ht="13.5">
      <c r="B117" s="97"/>
      <c r="C117" s="73" t="s">
        <v>20</v>
      </c>
      <c r="D117" s="74">
        <v>7</v>
      </c>
      <c r="E117" s="75">
        <v>1.0670731707317074E-2</v>
      </c>
    </row>
    <row r="118" spans="2:5" ht="13.5">
      <c r="B118" s="95" t="s">
        <v>83</v>
      </c>
      <c r="C118" s="61" t="s">
        <v>139</v>
      </c>
      <c r="D118" s="26">
        <v>4</v>
      </c>
      <c r="E118" s="25">
        <v>6.0975609756097563E-3</v>
      </c>
    </row>
    <row r="119" spans="2:5" ht="13.5">
      <c r="B119" s="96"/>
      <c r="C119" s="61" t="s">
        <v>138</v>
      </c>
      <c r="D119" s="26">
        <v>7</v>
      </c>
      <c r="E119" s="25">
        <v>1.0670731707317074E-2</v>
      </c>
    </row>
    <row r="120" spans="2:5" ht="13.5">
      <c r="B120" s="97"/>
      <c r="C120" s="73" t="s">
        <v>20</v>
      </c>
      <c r="D120" s="74">
        <v>11</v>
      </c>
      <c r="E120" s="75">
        <v>1.676829268292683E-2</v>
      </c>
    </row>
    <row r="121" spans="2:5" ht="13.5">
      <c r="B121" s="95" t="s">
        <v>61</v>
      </c>
      <c r="C121" s="61" t="s">
        <v>139</v>
      </c>
      <c r="D121" s="26">
        <v>3</v>
      </c>
      <c r="E121" s="25">
        <v>4.5731707317073168E-3</v>
      </c>
    </row>
    <row r="122" spans="2:5" ht="13.5">
      <c r="B122" s="97"/>
      <c r="C122" s="73" t="s">
        <v>20</v>
      </c>
      <c r="D122" s="74">
        <v>3</v>
      </c>
      <c r="E122" s="75">
        <v>4.5731707317073168E-3</v>
      </c>
    </row>
    <row r="123" spans="2:5" ht="13.5">
      <c r="B123" s="95" t="s">
        <v>33</v>
      </c>
      <c r="C123" s="61" t="s">
        <v>139</v>
      </c>
      <c r="D123" s="26">
        <v>12</v>
      </c>
      <c r="E123" s="25">
        <v>1.8292682926829267E-2</v>
      </c>
    </row>
    <row r="124" spans="2:5" ht="13.5">
      <c r="B124" s="96"/>
      <c r="C124" s="61" t="s">
        <v>138</v>
      </c>
      <c r="D124" s="26">
        <v>8</v>
      </c>
      <c r="E124" s="25">
        <v>1.2195121951219513E-2</v>
      </c>
    </row>
    <row r="125" spans="2:5" ht="13.5">
      <c r="B125" s="97"/>
      <c r="C125" s="73" t="s">
        <v>20</v>
      </c>
      <c r="D125" s="74">
        <v>20</v>
      </c>
      <c r="E125" s="75">
        <v>3.048780487804878E-2</v>
      </c>
    </row>
    <row r="126" spans="2:5" ht="13.5">
      <c r="B126" s="95" t="s">
        <v>174</v>
      </c>
      <c r="C126" s="61" t="s">
        <v>138</v>
      </c>
      <c r="D126" s="26">
        <v>1</v>
      </c>
      <c r="E126" s="25">
        <v>1.5243902439024391E-3</v>
      </c>
    </row>
    <row r="127" spans="2:5" ht="13.5">
      <c r="B127" s="97"/>
      <c r="C127" s="73" t="s">
        <v>20</v>
      </c>
      <c r="D127" s="74">
        <v>1</v>
      </c>
      <c r="E127" s="75">
        <v>1.5243902439024391E-3</v>
      </c>
    </row>
    <row r="128" spans="2:5" ht="13.5">
      <c r="B128" s="92" t="s">
        <v>134</v>
      </c>
      <c r="C128" s="93"/>
      <c r="D128" s="23">
        <v>656</v>
      </c>
      <c r="E128" s="22">
        <v>1</v>
      </c>
    </row>
    <row r="130" spans="2:2">
      <c r="B130" s="19" t="s">
        <v>170</v>
      </c>
    </row>
    <row r="131" spans="2:2">
      <c r="B131" s="21" t="s">
        <v>19</v>
      </c>
    </row>
    <row r="132" spans="2:2">
      <c r="B132" s="20" t="s">
        <v>18</v>
      </c>
    </row>
    <row r="133" spans="2:2">
      <c r="B133" s="19" t="s">
        <v>17</v>
      </c>
    </row>
    <row r="134" spans="2:2">
      <c r="B134" s="19" t="s">
        <v>171</v>
      </c>
    </row>
  </sheetData>
  <mergeCells count="42">
    <mergeCell ref="B23:B25"/>
    <mergeCell ref="B26:B28"/>
    <mergeCell ref="B91:B93"/>
    <mergeCell ref="B94:B96"/>
    <mergeCell ref="B8:E10"/>
    <mergeCell ref="B13:B15"/>
    <mergeCell ref="B16:B18"/>
    <mergeCell ref="B19:B20"/>
    <mergeCell ref="B21:B22"/>
    <mergeCell ref="B64:B66"/>
    <mergeCell ref="B67:B69"/>
    <mergeCell ref="B70:B72"/>
    <mergeCell ref="B73:B75"/>
    <mergeCell ref="B58:B60"/>
    <mergeCell ref="B61:B63"/>
    <mergeCell ref="B29:B31"/>
    <mergeCell ref="B32:B34"/>
    <mergeCell ref="B35:B36"/>
    <mergeCell ref="B37:B39"/>
    <mergeCell ref="B40:B42"/>
    <mergeCell ref="B43:B45"/>
    <mergeCell ref="B46:B48"/>
    <mergeCell ref="B49:B51"/>
    <mergeCell ref="B52:B54"/>
    <mergeCell ref="B55:B57"/>
    <mergeCell ref="B76:B78"/>
    <mergeCell ref="B79:B81"/>
    <mergeCell ref="B82:B84"/>
    <mergeCell ref="B85:B87"/>
    <mergeCell ref="B88:B90"/>
    <mergeCell ref="B126:B127"/>
    <mergeCell ref="B128:C128"/>
    <mergeCell ref="B97:B99"/>
    <mergeCell ref="B100:B102"/>
    <mergeCell ref="B106:B108"/>
    <mergeCell ref="B109:B111"/>
    <mergeCell ref="B112:B114"/>
    <mergeCell ref="B115:B117"/>
    <mergeCell ref="B118:B120"/>
    <mergeCell ref="B121:B122"/>
    <mergeCell ref="B123:B125"/>
    <mergeCell ref="B103:B105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2"/>
  <sheetViews>
    <sheetView showGridLines="0" zoomScaleNormal="100" zoomScaleSheetLayoutView="100" workbookViewId="0">
      <selection activeCell="F33" sqref="F3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149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8"/>
      <c r="C10" s="88"/>
      <c r="D10" s="88"/>
      <c r="E10" s="88"/>
      <c r="F10" s="88"/>
      <c r="G10" s="64"/>
    </row>
    <row r="11" spans="1:7" s="62" customFormat="1" ht="15" customHeight="1">
      <c r="A11" s="64"/>
      <c r="B11" s="68"/>
      <c r="C11" s="68"/>
      <c r="D11" s="68"/>
      <c r="E11" s="68"/>
      <c r="F11" s="68"/>
      <c r="G11" s="64"/>
    </row>
    <row r="12" spans="1:7" s="62" customFormat="1" ht="36.950000000000003" customHeight="1">
      <c r="B12" s="63" t="s">
        <v>137</v>
      </c>
      <c r="C12" s="63" t="s">
        <v>148</v>
      </c>
      <c r="D12" s="63" t="s">
        <v>53</v>
      </c>
      <c r="E12" s="63" t="s">
        <v>147</v>
      </c>
      <c r="F12" s="63" t="s">
        <v>146</v>
      </c>
    </row>
    <row r="13" spans="1:7" ht="13.5">
      <c r="B13" s="98" t="s">
        <v>139</v>
      </c>
      <c r="C13" s="76" t="s">
        <v>181</v>
      </c>
      <c r="D13" s="77">
        <v>1</v>
      </c>
      <c r="E13" s="78">
        <v>2.3696682464454978E-3</v>
      </c>
      <c r="F13" s="78">
        <f t="shared" ref="F13:F26" si="0">D13/$D$26</f>
        <v>1.5243902439024391E-3</v>
      </c>
    </row>
    <row r="14" spans="1:7" ht="13.5">
      <c r="B14" s="99"/>
      <c r="C14" s="76" t="s">
        <v>145</v>
      </c>
      <c r="D14" s="77">
        <v>5</v>
      </c>
      <c r="E14" s="78">
        <v>1.1848341232227487E-2</v>
      </c>
      <c r="F14" s="78">
        <f t="shared" si="0"/>
        <v>7.621951219512195E-3</v>
      </c>
    </row>
    <row r="15" spans="1:7" ht="13.5">
      <c r="B15" s="99"/>
      <c r="C15" s="76" t="s">
        <v>144</v>
      </c>
      <c r="D15" s="77">
        <v>114</v>
      </c>
      <c r="E15" s="78">
        <v>0.27014218009478674</v>
      </c>
      <c r="F15" s="78">
        <f t="shared" si="0"/>
        <v>0.17378048780487804</v>
      </c>
    </row>
    <row r="16" spans="1:7" ht="13.5">
      <c r="B16" s="99"/>
      <c r="C16" s="76" t="s">
        <v>143</v>
      </c>
      <c r="D16" s="77">
        <v>202</v>
      </c>
      <c r="E16" s="78">
        <v>0.47867298578199052</v>
      </c>
      <c r="F16" s="78">
        <f t="shared" si="0"/>
        <v>0.30792682926829268</v>
      </c>
    </row>
    <row r="17" spans="2:6" ht="27">
      <c r="B17" s="99"/>
      <c r="C17" s="76" t="s">
        <v>142</v>
      </c>
      <c r="D17" s="77">
        <v>87</v>
      </c>
      <c r="E17" s="78">
        <v>0.20616113744075829</v>
      </c>
      <c r="F17" s="78">
        <f t="shared" si="0"/>
        <v>0.1326219512195122</v>
      </c>
    </row>
    <row r="18" spans="2:6" ht="13.5">
      <c r="B18" s="100"/>
      <c r="C18" s="76" t="s">
        <v>141</v>
      </c>
      <c r="D18" s="77">
        <v>13</v>
      </c>
      <c r="E18" s="78">
        <v>3.0805687203791468E-2</v>
      </c>
      <c r="F18" s="78">
        <f t="shared" si="0"/>
        <v>1.9817073170731708E-2</v>
      </c>
    </row>
    <row r="19" spans="2:6" ht="13.5">
      <c r="B19" s="95" t="s">
        <v>138</v>
      </c>
      <c r="C19" s="61" t="s">
        <v>181</v>
      </c>
      <c r="D19" s="26">
        <v>2</v>
      </c>
      <c r="E19" s="25">
        <v>8.5470085470085479E-3</v>
      </c>
      <c r="F19" s="25">
        <f t="shared" si="0"/>
        <v>3.0487804878048782E-3</v>
      </c>
    </row>
    <row r="20" spans="2:6" ht="13.5">
      <c r="B20" s="96"/>
      <c r="C20" s="61" t="s">
        <v>145</v>
      </c>
      <c r="D20" s="26">
        <v>9</v>
      </c>
      <c r="E20" s="25">
        <v>3.8461538461538464E-2</v>
      </c>
      <c r="F20" s="25">
        <f t="shared" si="0"/>
        <v>1.3719512195121951E-2</v>
      </c>
    </row>
    <row r="21" spans="2:6" ht="13.5">
      <c r="B21" s="96"/>
      <c r="C21" s="61" t="s">
        <v>144</v>
      </c>
      <c r="D21" s="26">
        <v>56</v>
      </c>
      <c r="E21" s="25">
        <v>0.23931623931623933</v>
      </c>
      <c r="F21" s="25">
        <f t="shared" si="0"/>
        <v>8.5365853658536592E-2</v>
      </c>
    </row>
    <row r="22" spans="2:6" ht="13.5">
      <c r="B22" s="96"/>
      <c r="C22" s="61" t="s">
        <v>143</v>
      </c>
      <c r="D22" s="26">
        <v>107</v>
      </c>
      <c r="E22" s="25">
        <v>0.45726495726495725</v>
      </c>
      <c r="F22" s="25">
        <f t="shared" si="0"/>
        <v>0.16310975609756098</v>
      </c>
    </row>
    <row r="23" spans="2:6" ht="27">
      <c r="B23" s="96"/>
      <c r="C23" s="61" t="s">
        <v>142</v>
      </c>
      <c r="D23" s="26">
        <v>47</v>
      </c>
      <c r="E23" s="25">
        <v>0.20085470085470086</v>
      </c>
      <c r="F23" s="25">
        <f t="shared" si="0"/>
        <v>7.1646341463414628E-2</v>
      </c>
    </row>
    <row r="24" spans="2:6" ht="13.5">
      <c r="B24" s="96"/>
      <c r="C24" s="61" t="s">
        <v>141</v>
      </c>
      <c r="D24" s="26">
        <v>12</v>
      </c>
      <c r="E24" s="25">
        <v>5.128205128205128E-2</v>
      </c>
      <c r="F24" s="25">
        <f t="shared" si="0"/>
        <v>1.8292682926829267E-2</v>
      </c>
    </row>
    <row r="25" spans="2:6" ht="13.5">
      <c r="B25" s="97"/>
      <c r="C25" s="61" t="s">
        <v>140</v>
      </c>
      <c r="D25" s="26">
        <v>1</v>
      </c>
      <c r="E25" s="25">
        <v>4.2735042735042739E-3</v>
      </c>
      <c r="F25" s="25">
        <f t="shared" si="0"/>
        <v>1.5243902439024391E-3</v>
      </c>
    </row>
    <row r="26" spans="2:6" ht="13.5">
      <c r="B26" s="24" t="s">
        <v>20</v>
      </c>
      <c r="C26" s="24"/>
      <c r="D26" s="23">
        <v>656</v>
      </c>
      <c r="E26" s="22"/>
      <c r="F26" s="22">
        <f t="shared" si="0"/>
        <v>1</v>
      </c>
    </row>
    <row r="28" spans="2:6">
      <c r="B28" s="19" t="s">
        <v>170</v>
      </c>
    </row>
    <row r="29" spans="2:6">
      <c r="B29" s="21" t="s">
        <v>19</v>
      </c>
    </row>
    <row r="30" spans="2:6">
      <c r="B30" s="20" t="s">
        <v>18</v>
      </c>
    </row>
    <row r="31" spans="2:6">
      <c r="B31" s="19" t="s">
        <v>17</v>
      </c>
    </row>
    <row r="32" spans="2:6">
      <c r="B32" s="19" t="s">
        <v>171</v>
      </c>
    </row>
  </sheetData>
  <mergeCells count="3">
    <mergeCell ref="B8:F10"/>
    <mergeCell ref="B13:B18"/>
    <mergeCell ref="B19:B2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4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55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8" t="s">
        <v>184</v>
      </c>
      <c r="C7" s="88"/>
      <c r="D7" s="88"/>
    </row>
    <row r="8" spans="1:5" s="29" customFormat="1" ht="15" customHeight="1">
      <c r="B8" s="88"/>
      <c r="C8" s="88"/>
      <c r="D8" s="88"/>
    </row>
    <row r="9" spans="1:5" s="29" customFormat="1" ht="33" customHeight="1">
      <c r="B9" s="88"/>
      <c r="C9" s="88"/>
      <c r="D9" s="88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161</v>
      </c>
      <c r="C11" s="31" t="s">
        <v>53</v>
      </c>
      <c r="D11" s="30" t="s">
        <v>52</v>
      </c>
    </row>
    <row r="12" spans="1:5">
      <c r="B12" s="27" t="s">
        <v>160</v>
      </c>
      <c r="C12" s="26">
        <v>377</v>
      </c>
      <c r="D12" s="25">
        <f t="shared" ref="D12:D27" si="0">C12/$C$27</f>
        <v>0.57469512195121952</v>
      </c>
    </row>
    <row r="13" spans="1:5">
      <c r="B13" s="27" t="s">
        <v>159</v>
      </c>
      <c r="C13" s="26">
        <v>105</v>
      </c>
      <c r="D13" s="25">
        <f t="shared" si="0"/>
        <v>0.1600609756097561</v>
      </c>
    </row>
    <row r="14" spans="1:5">
      <c r="B14" s="27" t="s">
        <v>158</v>
      </c>
      <c r="C14" s="26">
        <v>58</v>
      </c>
      <c r="D14" s="25">
        <f t="shared" si="0"/>
        <v>8.8414634146341459E-2</v>
      </c>
      <c r="E14" s="28"/>
    </row>
    <row r="15" spans="1:5">
      <c r="B15" s="27" t="s">
        <v>157</v>
      </c>
      <c r="C15" s="26">
        <v>35</v>
      </c>
      <c r="D15" s="25">
        <f t="shared" si="0"/>
        <v>5.3353658536585365E-2</v>
      </c>
      <c r="E15" s="28"/>
    </row>
    <row r="16" spans="1:5">
      <c r="B16" s="27" t="s">
        <v>155</v>
      </c>
      <c r="C16" s="26">
        <v>23</v>
      </c>
      <c r="D16" s="25">
        <f t="shared" si="0"/>
        <v>3.5060975609756101E-2</v>
      </c>
    </row>
    <row r="17" spans="2:4">
      <c r="B17" s="27" t="s">
        <v>156</v>
      </c>
      <c r="C17" s="26">
        <v>22</v>
      </c>
      <c r="D17" s="25">
        <f t="shared" si="0"/>
        <v>3.3536585365853661E-2</v>
      </c>
    </row>
    <row r="18" spans="2:4">
      <c r="B18" s="27" t="s">
        <v>152</v>
      </c>
      <c r="C18" s="26">
        <v>8</v>
      </c>
      <c r="D18" s="25">
        <f t="shared" si="0"/>
        <v>1.2195121951219513E-2</v>
      </c>
    </row>
    <row r="19" spans="2:4">
      <c r="B19" s="27" t="s">
        <v>151</v>
      </c>
      <c r="C19" s="26">
        <v>7</v>
      </c>
      <c r="D19" s="25">
        <f t="shared" si="0"/>
        <v>1.0670731707317074E-2</v>
      </c>
    </row>
    <row r="20" spans="2:4">
      <c r="B20" s="27" t="s">
        <v>154</v>
      </c>
      <c r="C20" s="26">
        <v>5</v>
      </c>
      <c r="D20" s="25">
        <f t="shared" si="0"/>
        <v>7.621951219512195E-3</v>
      </c>
    </row>
    <row r="21" spans="2:4">
      <c r="B21" s="27" t="s">
        <v>162</v>
      </c>
      <c r="C21" s="26">
        <v>5</v>
      </c>
      <c r="D21" s="25">
        <f t="shared" si="0"/>
        <v>7.621951219512195E-3</v>
      </c>
    </row>
    <row r="22" spans="2:4">
      <c r="B22" s="27" t="s">
        <v>153</v>
      </c>
      <c r="C22" s="26">
        <v>5</v>
      </c>
      <c r="D22" s="25">
        <f t="shared" si="0"/>
        <v>7.621951219512195E-3</v>
      </c>
    </row>
    <row r="23" spans="2:4">
      <c r="B23" s="27" t="s">
        <v>150</v>
      </c>
      <c r="C23" s="26">
        <v>3</v>
      </c>
      <c r="D23" s="25">
        <f t="shared" si="0"/>
        <v>4.5731707317073168E-3</v>
      </c>
    </row>
    <row r="24" spans="2:4">
      <c r="B24" s="27" t="s">
        <v>182</v>
      </c>
      <c r="C24" s="26">
        <v>1</v>
      </c>
      <c r="D24" s="25">
        <f t="shared" si="0"/>
        <v>1.5243902439024391E-3</v>
      </c>
    </row>
    <row r="25" spans="2:4">
      <c r="B25" s="27" t="s">
        <v>163</v>
      </c>
      <c r="C25" s="26">
        <v>1</v>
      </c>
      <c r="D25" s="25">
        <f t="shared" si="0"/>
        <v>1.5243902439024391E-3</v>
      </c>
    </row>
    <row r="26" spans="2:4">
      <c r="B26" s="27" t="s">
        <v>183</v>
      </c>
      <c r="C26" s="26">
        <v>1</v>
      </c>
      <c r="D26" s="25">
        <f t="shared" si="0"/>
        <v>1.5243902439024391E-3</v>
      </c>
    </row>
    <row r="27" spans="2:4">
      <c r="B27" s="24" t="s">
        <v>20</v>
      </c>
      <c r="C27" s="23">
        <v>656</v>
      </c>
      <c r="D27" s="22">
        <f t="shared" si="0"/>
        <v>1</v>
      </c>
    </row>
    <row r="29" spans="2:4">
      <c r="B29" s="72" t="s">
        <v>170</v>
      </c>
    </row>
    <row r="30" spans="2:4">
      <c r="B30" s="72" t="s">
        <v>19</v>
      </c>
    </row>
    <row r="31" spans="2:4">
      <c r="B31" s="72" t="s">
        <v>18</v>
      </c>
    </row>
    <row r="32" spans="2:4">
      <c r="B32" s="72" t="s">
        <v>17</v>
      </c>
    </row>
    <row r="33" spans="2:2">
      <c r="B33" s="72" t="s">
        <v>171</v>
      </c>
    </row>
    <row r="34" spans="2:2">
      <c r="B34" s="7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Quintana Roo_EdoUsa</vt:lpstr>
      <vt:lpstr>Quintana Roo_Cons</vt:lpstr>
      <vt:lpstr>Quintana RooXCons</vt:lpstr>
      <vt:lpstr>Quintana Roo_EdoMun</vt:lpstr>
      <vt:lpstr>Quintana Roo_USAMuni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Roo_Gen_Edad</vt:lpstr>
      <vt:lpstr>Quintana Roo_ocup_gral</vt:lpstr>
      <vt:lpstr>'Quintana Roo_EducCons'!Área_de_impresión</vt:lpstr>
      <vt:lpstr>'Quintana Roo_MUNICIPIO'!Área_de_impresión</vt:lpstr>
      <vt:lpstr>'Quintana Roo_NivelE_Cons'!Área_de_impresión</vt:lpstr>
      <vt:lpstr>'Quintana Roo_USAMuni'!Área_de_impresión</vt:lpstr>
      <vt:lpstr>'Quintana Roo_Cons'!Títulos_a_imprimir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Roo_USAMuni'!Títulos_a_imprimir</vt:lpstr>
      <vt:lpstr>'Quintana RooXCons'!Títulos_a_imprimir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2020-06-03T23:03:53Z</dcterms:created>
  <dcterms:modified xsi:type="dcterms:W3CDTF">2022-07-26T22:25:29Z</dcterms:modified>
</cp:coreProperties>
</file>