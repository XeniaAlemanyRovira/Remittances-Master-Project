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828"/>
  </bookViews>
  <sheets>
    <sheet name="Índice" sheetId="1" r:id="rId1"/>
    <sheet name="Tabasco_EdoUsa" sheetId="2" r:id="rId2"/>
    <sheet name="Tabasco_Cons" sheetId="15" r:id="rId3"/>
    <sheet name="TabascoXCons" sheetId="16" r:id="rId4"/>
    <sheet name="Tabasco_EdoMun" sheetId="5" r:id="rId5"/>
    <sheet name="Tabasco_USAMuni" sheetId="6" r:id="rId6"/>
    <sheet name="Tabasco_MUNICIPIO" sheetId="7" r:id="rId7"/>
    <sheet name="Tabasco_educ_gral" sheetId="8" r:id="rId8"/>
    <sheet name="Tabasco_NivelE_Cons" sheetId="9" r:id="rId9"/>
    <sheet name="Tabasco_EducCons" sheetId="10" r:id="rId10"/>
    <sheet name="Tabasco_GenGral" sheetId="11" r:id="rId11"/>
    <sheet name="Tabasco_GENERO" sheetId="12" r:id="rId12"/>
    <sheet name="Tabasco_Gen_Edad" sheetId="13" r:id="rId13"/>
    <sheet name="Tabasco_ocup_gral" sheetId="14" r:id="rId14"/>
  </sheets>
  <definedNames>
    <definedName name="_xlnm._FilterDatabase" localSheetId="2" hidden="1">Tabasco_Cons!$B$11:$D$11</definedName>
    <definedName name="_xlnm._FilterDatabase" localSheetId="4" hidden="1">Tabasco_EdoMun!$B$11:$D$11</definedName>
    <definedName name="_xlnm._FilterDatabase" localSheetId="1" hidden="1">Tabasco_EdoUsa!$B$11:$D$11</definedName>
    <definedName name="_xlnm._FilterDatabase" localSheetId="7" hidden="1">Tabasco_educ_gral!$B$11:$D$11</definedName>
    <definedName name="_xlnm._FilterDatabase" localSheetId="9" hidden="1">Tabasco_EducCons!$B$9:$E$9</definedName>
    <definedName name="_xlnm._FilterDatabase" localSheetId="11" hidden="1">Tabasco_GENERO!$B$12:$E$147</definedName>
    <definedName name="_xlnm._FilterDatabase" localSheetId="10" hidden="1">Tabasco_GenGral!$B$11:$D$11</definedName>
    <definedName name="_xlnm._FilterDatabase" localSheetId="6" hidden="1">Tabasco_MUNICIPIO!$B$9:$E$9</definedName>
    <definedName name="_xlnm._FilterDatabase" localSheetId="8" hidden="1">Tabasco_NivelE_Cons!$B$9:$E$9</definedName>
    <definedName name="_xlnm._FilterDatabase" localSheetId="13" hidden="1">Tabasco_ocup_gral!$B$11:$D$11</definedName>
    <definedName name="_xlnm._FilterDatabase" localSheetId="5" hidden="1">Tabasco_USAMuni!$B$9:$E$9</definedName>
    <definedName name="_xlnm._FilterDatabase" localSheetId="3" hidden="1">TabascoXCons!$B$11:$D$11</definedName>
    <definedName name="_xlnm.Print_Area" localSheetId="9">Tabasco_EducCons!$A$1:$E$9</definedName>
    <definedName name="_xlnm.Print_Area" localSheetId="6">Tabasco_MUNICIPIO!$A$1:$E$9</definedName>
    <definedName name="_xlnm.Print_Area" localSheetId="8">Tabasco_NivelE_Cons!$A$1:$E$9</definedName>
    <definedName name="_xlnm.Print_Area" localSheetId="5">Tabasco_USAMuni!$A$1:$E$9</definedName>
    <definedName name="_xlnm.Print_Titles" localSheetId="2">Tabasco_Cons!$1:$11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2">Tabasco_Gen_Edad!$1:$12</definedName>
    <definedName name="_xlnm.Print_Titles" localSheetId="11">Tabasco_GENERO!$1:$12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3">Tabasco_ocup_gral!$1:$11</definedName>
    <definedName name="_xlnm.Print_Titles" localSheetId="5">Tabasco_USAMuni!$1:$9</definedName>
    <definedName name="_xlnm.Print_Titles" localSheetId="3">TabascoXCons!$1:$11</definedName>
  </definedNames>
  <calcPr calcId="152511"/>
</workbook>
</file>

<file path=xl/calcChain.xml><?xml version="1.0" encoding="utf-8"?>
<calcChain xmlns="http://schemas.openxmlformats.org/spreadsheetml/2006/main">
  <c r="D30" i="14" l="1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9" i="5" l="1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C29" i="5"/>
  <c r="D21" i="16"/>
  <c r="D12" i="16"/>
  <c r="D13" i="16"/>
  <c r="D14" i="16"/>
  <c r="D15" i="16"/>
  <c r="D16" i="16"/>
  <c r="D17" i="16"/>
  <c r="D18" i="16"/>
  <c r="D19" i="16"/>
  <c r="D20" i="16"/>
  <c r="C22" i="16" l="1"/>
  <c r="D22" i="16" s="1"/>
</calcChain>
</file>

<file path=xl/sharedStrings.xml><?xml version="1.0" encoding="utf-8"?>
<sst xmlns="http://schemas.openxmlformats.org/spreadsheetml/2006/main" count="2555" uniqueCount="216">
  <si>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</si>
  <si>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</si>
  <si>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</si>
  <si>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</si>
  <si>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</si>
  <si>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</si>
  <si>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</si>
  <si>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</si>
  <si>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</si>
  <si>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</si>
  <si>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</si>
  <si>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</si>
  <si>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</si>
  <si>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</si>
  <si>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</si>
  <si>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</si>
  <si>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</si>
  <si>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</si>
  <si>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</si>
  <si>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</si>
  <si>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</si>
  <si>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Wyoming</t>
  </si>
  <si>
    <t>Massachusetts</t>
  </si>
  <si>
    <t>South Dakota</t>
  </si>
  <si>
    <t>Idaho</t>
  </si>
  <si>
    <t>Delaware</t>
  </si>
  <si>
    <t>Pennsylvania</t>
  </si>
  <si>
    <t>Kansas</t>
  </si>
  <si>
    <t>New Mexico</t>
  </si>
  <si>
    <t>Iowa</t>
  </si>
  <si>
    <t>Connecticut</t>
  </si>
  <si>
    <t>Oregon</t>
  </si>
  <si>
    <t>Nebraska</t>
  </si>
  <si>
    <t>Washington</t>
  </si>
  <si>
    <t>Minnesota</t>
  </si>
  <si>
    <t>Maryland</t>
  </si>
  <si>
    <t>Ohio</t>
  </si>
  <si>
    <t>New Jersey</t>
  </si>
  <si>
    <t>Arizona</t>
  </si>
  <si>
    <t>Arkansas</t>
  </si>
  <si>
    <t>Utah</t>
  </si>
  <si>
    <t>Kentucky</t>
  </si>
  <si>
    <t>Missouri</t>
  </si>
  <si>
    <t>Michigan</t>
  </si>
  <si>
    <t>Nevada</t>
  </si>
  <si>
    <t>Mississippi</t>
  </si>
  <si>
    <t>Vermont</t>
  </si>
  <si>
    <t>Wisconsin</t>
  </si>
  <si>
    <t>Oklahoma</t>
  </si>
  <si>
    <t>New York</t>
  </si>
  <si>
    <t>Tennessee</t>
  </si>
  <si>
    <t>South Carolina</t>
  </si>
  <si>
    <t>Colorado</t>
  </si>
  <si>
    <t>Louisiana</t>
  </si>
  <si>
    <t>Illinois</t>
  </si>
  <si>
    <t>Indiana</t>
  </si>
  <si>
    <t>Alabama</t>
  </si>
  <si>
    <t>Virginia</t>
  </si>
  <si>
    <t>Georgia</t>
  </si>
  <si>
    <t>Florida</t>
  </si>
  <si>
    <t>North Carolina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</si>
  <si>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</si>
  <si>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</si>
  <si>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</si>
  <si>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</si>
  <si>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</si>
  <si>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</si>
  <si>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Boston</t>
  </si>
  <si>
    <t>Presidio</t>
  </si>
  <si>
    <t>Tucson</t>
  </si>
  <si>
    <t>Laredo</t>
  </si>
  <si>
    <t>Boise</t>
  </si>
  <si>
    <t>Brownsville</t>
  </si>
  <si>
    <t>Albuquerque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</si>
  <si>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</si>
  <si>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</si>
  <si>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</si>
  <si>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</si>
  <si>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</si>
  <si>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</si>
  <si>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</si>
  <si>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</si>
  <si>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</si>
  <si>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</si>
  <si>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</si>
  <si>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</si>
  <si>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</si>
  <si>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</si>
  <si>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</si>
  <si>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</si>
  <si>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</si>
  <si>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</si>
  <si>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</si>
  <si>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</si>
  <si>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</si>
  <si>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</si>
  <si>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</si>
  <si>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</si>
  <si>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</si>
  <si>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</si>
  <si>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</si>
  <si>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</si>
  <si>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</si>
  <si>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</si>
  <si>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</si>
  <si>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</si>
  <si>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</si>
  <si>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</si>
  <si>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</si>
  <si>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</si>
  <si>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Nacajuca</t>
  </si>
  <si>
    <t>Jonuta</t>
  </si>
  <si>
    <t>Emiliano Zapata</t>
  </si>
  <si>
    <t>Centla</t>
  </si>
  <si>
    <t>Teapa</t>
  </si>
  <si>
    <t>Jalapa</t>
  </si>
  <si>
    <t>Tacotalpa</t>
  </si>
  <si>
    <t>Paraíso</t>
  </si>
  <si>
    <t>Jalpa de Méndez</t>
  </si>
  <si>
    <t>Macuspana</t>
  </si>
  <si>
    <t>Cunduacán</t>
  </si>
  <si>
    <t>Tenosique</t>
  </si>
  <si>
    <t>Comalcalco</t>
  </si>
  <si>
    <t>Balancán</t>
  </si>
  <si>
    <t>Centro</t>
  </si>
  <si>
    <t>Cárdenas</t>
  </si>
  <si>
    <t>Huimanguillo</t>
  </si>
  <si>
    <t>Municipio de origen</t>
  </si>
  <si>
    <t>Municipio de Origen</t>
  </si>
  <si>
    <t>Estado</t>
  </si>
  <si>
    <t>Posgrado [Doctorado]</t>
  </si>
  <si>
    <t>Posgrado [Maestría]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</si>
  <si>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</si>
  <si>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</si>
  <si>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</si>
  <si>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</si>
  <si>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</si>
  <si>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</si>
  <si>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</si>
  <si>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</si>
  <si>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</si>
  <si>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</si>
  <si>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</si>
  <si>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</si>
  <si>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</si>
  <si>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</si>
  <si>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</si>
  <si>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</si>
  <si>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</si>
  <si>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</si>
  <si>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</si>
  <si>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</si>
  <si>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</si>
  <si>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</si>
  <si>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</si>
  <si>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</si>
  <si>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</si>
  <si>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</si>
  <si>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</si>
  <si>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</si>
  <si>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</si>
  <si>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</si>
  <si>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</si>
  <si>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</si>
  <si>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</si>
  <si>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</si>
  <si>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</si>
  <si>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</si>
  <si>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</si>
  <si>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</si>
  <si>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</si>
  <si>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</si>
  <si>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Más de 75 Años</t>
  </si>
  <si>
    <t>Porcentaje con respecto al total de Matrículas</t>
  </si>
  <si>
    <t>Porcentaje con respecto al Género</t>
  </si>
  <si>
    <t>Edad Cumplida</t>
  </si>
  <si>
    <t>MATRÍCULAS CONSULARES EXPEDIDAS A ORIGINARIOS DE TABASCO POR GÉNERO Y EDAD EN EE.UU.</t>
  </si>
  <si>
    <t>Panadero(a)</t>
  </si>
  <si>
    <t>Carnicero</t>
  </si>
  <si>
    <t>Cajero(a)</t>
  </si>
  <si>
    <t>Chofer</t>
  </si>
  <si>
    <t>Profesionista</t>
  </si>
  <si>
    <t>Mesero(a)</t>
  </si>
  <si>
    <t>Operario(a)</t>
  </si>
  <si>
    <t>Comerciante</t>
  </si>
  <si>
    <t>Pintor(a)</t>
  </si>
  <si>
    <t>Albañil</t>
  </si>
  <si>
    <t>Jardinero(a)</t>
  </si>
  <si>
    <t>Cocinero(a)</t>
  </si>
  <si>
    <t>Campesino(a)</t>
  </si>
  <si>
    <t>Estudiante</t>
  </si>
  <si>
    <t>Otro</t>
  </si>
  <si>
    <t>Obrero(a)</t>
  </si>
  <si>
    <t>Hogar</t>
  </si>
  <si>
    <t>Empleado(a)</t>
  </si>
  <si>
    <t>Ocupación</t>
  </si>
  <si>
    <t>District of Columbia</t>
  </si>
  <si>
    <t>New Hampshire</t>
  </si>
  <si>
    <t>Menores De Edad</t>
  </si>
  <si>
    <t>Menores de edad</t>
  </si>
  <si>
    <t xml:space="preserve">  Matrículas consulares expedidas a originarios de Tabasco en el 2021</t>
  </si>
  <si>
    <t>MATRÍCULAS CONSULARES DE ALTA SEGURIDAD EXPEDIDAS A ORIGINARIOS DE TABASCO POR ESTADO DE LA UNIÓN AMERICANA. DURANTE EL 2021</t>
  </si>
  <si>
    <t>Rhode Island</t>
  </si>
  <si>
    <t>Montana</t>
  </si>
  <si>
    <t>Tamaño de la muestra: 701,861</t>
  </si>
  <si>
    <t>Mayo de 2022</t>
  </si>
  <si>
    <t>MATRÍCULAS CONSULARES DE ALTA SEGURIDAD EXPEDIDAS DURANTE EL 2021 A ORIGINARIOS DE TABASCO EN LOS CONSULADOS DE MÉXICO EN EE.UU.</t>
  </si>
  <si>
    <t>El Paso</t>
  </si>
  <si>
    <t>Nogales</t>
  </si>
  <si>
    <t>MATRÍCULAS CONSULARES DE ALTA SEGURIDAD EXPEDIDAS POR MUNICIPIO A ORIGINARIOS DEL ESTADO DE TABASCO EN LOS CONSULADOS DE MÉXICO EN EE.UU. 2021</t>
  </si>
  <si>
    <t>4° Año de profesional</t>
  </si>
  <si>
    <t>MATRÍCULAS CONSULARES EXPEDIDAS EN EE.UU. A ORIGINARIOS DE TABASCO POR NIVEL DE EDUCACIÓN, 2021</t>
  </si>
  <si>
    <t>MATRÍCULAS CONSULARES EXPEDIDAS A ORIGINARIOS DE TABASCO POR GÉNERO EN EE.UU DURANTE EL 2021</t>
  </si>
  <si>
    <t>MATRÍCULAS CONSULARES EXPEDIDAS A ORIGINARIOS DE TABASCO POR GÉNERO Y CONSULADO DE MÉXICO 2021</t>
  </si>
  <si>
    <t>MATRÍCULAS CONSULARES EXPEDIDAS EN EE.UU. A ORIGINARIOS DE TABASCO POR PERFIL OCUPACIONAL, 2021</t>
  </si>
  <si>
    <t>LOS 10 CONSULADOS DE MÉXICO EN EE.UU. CON MAYOR NÚMERO DE EXPEDICIÓN DE MATRÍCULAS CONSULARES DURANTE EL 2021 A ORIGINARIOS DE TABASCO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</si>
</sst>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7"/>
      <color theme="1"/>
      <name val="Montserrat"/>
    </font>
    <font>
      <b/>
      <sz val="10"/>
      <color theme="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9" fontId="6" fillId="4" borderId="9" xfId="0" applyNumberFormat="1" applyFont="1" applyFill="1" applyBorder="1" applyAlignment="1">
      <alignment horizontal="right" vertical="center" wrapText="1"/>
    </xf>
    <xf numFmtId="0" fontId="21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2" fillId="0" borderId="4" xfId="0" applyFont="1" applyBorder="1"/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164" fontId="26" fillId="4" borderId="9" xfId="0" applyNumberFormat="1" applyFont="1" applyFill="1" applyBorder="1" applyAlignment="1">
      <alignment horizontal="right" wrapText="1"/>
    </xf>
    <xf numFmtId="3" fontId="26" fillId="4" borderId="9" xfId="0" applyNumberFormat="1" applyFont="1" applyFill="1" applyBorder="1" applyAlignment="1">
      <alignment horizontal="right" vertical="top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26" fillId="4" borderId="13" xfId="0" applyNumberFormat="1" applyFont="1" applyFill="1" applyBorder="1" applyAlignment="1">
      <alignment horizontal="center" vertical="center" wrapText="1"/>
    </xf>
    <xf numFmtId="49" fontId="26" fillId="4" borderId="12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193367</xdr:rowOff>
    </xdr:from>
    <xdr:to>
      <xdr:col>3</xdr:col>
      <xdr:colOff>1084313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171450</xdr:rowOff>
    </xdr:from>
    <xdr:to>
      <xdr:col>5</xdr:col>
      <xdr:colOff>102522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133350</xdr:rowOff>
    </xdr:from>
    <xdr:to>
      <xdr:col>5</xdr:col>
      <xdr:colOff>54897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TABASCO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4609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TABASCO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TABASCO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352425</xdr:colOff>
      <xdr:row>7</xdr:row>
      <xdr:rowOff>38100</xdr:rowOff>
    </xdr:from>
    <xdr:to>
      <xdr:col>5</xdr:col>
      <xdr:colOff>864522</xdr:colOff>
      <xdr:row>7</xdr:row>
      <xdr:rowOff>222455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115050" y="17811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TABASCO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551448</xdr:colOff>
      <xdr:row>7</xdr:row>
      <xdr:rowOff>140368</xdr:rowOff>
    </xdr:from>
    <xdr:to>
      <xdr:col>4</xdr:col>
      <xdr:colOff>1063545</xdr:colOff>
      <xdr:row>7</xdr:row>
      <xdr:rowOff>324723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5948" y="147386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165230</xdr:colOff>
      <xdr:row>7</xdr:row>
      <xdr:rowOff>77756</xdr:rowOff>
    </xdr:from>
    <xdr:to>
      <xdr:col>6</xdr:col>
      <xdr:colOff>677327</xdr:colOff>
      <xdr:row>8</xdr:row>
      <xdr:rowOff>67722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753878" y="1477348"/>
          <a:ext cx="512097" cy="1843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1073581</xdr:colOff>
      <xdr:row>7</xdr:row>
      <xdr:rowOff>177584</xdr:rowOff>
    </xdr:from>
    <xdr:to>
      <xdr:col>7</xdr:col>
      <xdr:colOff>100424</xdr:colOff>
      <xdr:row>8</xdr:row>
      <xdr:rowOff>168211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9256" y="1511084"/>
          <a:ext cx="865168" cy="1811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123825</xdr:rowOff>
    </xdr:from>
    <xdr:to>
      <xdr:col>5</xdr:col>
      <xdr:colOff>92997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200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2" t="s">
        <v>1</v>
      </c>
      <c r="B6" s="83"/>
      <c r="C6" s="83"/>
      <c r="D6" s="84"/>
    </row>
    <row r="7" spans="1:4">
      <c r="A7" s="8"/>
      <c r="B7" s="9"/>
      <c r="C7" s="9"/>
      <c r="D7" s="10"/>
    </row>
    <row r="8" spans="1:4" ht="18.75">
      <c r="A8" s="82" t="s">
        <v>2</v>
      </c>
      <c r="B8" s="83"/>
      <c r="C8" s="83"/>
      <c r="D8" s="84"/>
    </row>
    <row r="9" spans="1:4" ht="18.75">
      <c r="A9" s="11"/>
      <c r="B9" s="82" t="s">
        <v>3</v>
      </c>
      <c r="C9" s="83"/>
      <c r="D9" s="83"/>
    </row>
    <row r="10" spans="1:4">
      <c r="A10" s="11"/>
      <c r="B10" s="12"/>
      <c r="C10" s="12"/>
      <c r="D10" s="13"/>
    </row>
    <row r="11" spans="1:4" ht="18.75">
      <c r="A11" s="72" t="s">
        <v>4</v>
      </c>
      <c r="B11" s="12"/>
      <c r="C11" s="12"/>
      <c r="D11" s="13"/>
    </row>
    <row r="12" spans="1:4" ht="18.75">
      <c r="A12" s="11"/>
      <c r="B12" s="82" t="s">
        <v>5</v>
      </c>
      <c r="C12" s="83"/>
      <c r="D12" s="83"/>
    </row>
    <row r="13" spans="1:4" ht="18.75">
      <c r="A13" s="11"/>
      <c r="B13" s="82" t="s">
        <v>6</v>
      </c>
      <c r="C13" s="83"/>
      <c r="D13" s="83"/>
    </row>
    <row r="14" spans="1:4" ht="18.75">
      <c r="A14" s="11"/>
      <c r="B14" s="82" t="s">
        <v>7</v>
      </c>
      <c r="C14" s="83"/>
      <c r="D14" s="83"/>
    </row>
    <row r="15" spans="1:4">
      <c r="A15" s="11"/>
      <c r="B15" s="12"/>
      <c r="C15" s="12"/>
      <c r="D15" s="13"/>
    </row>
    <row r="16" spans="1:4" ht="18.75">
      <c r="A16" s="72" t="s">
        <v>8</v>
      </c>
      <c r="B16" s="12"/>
      <c r="C16" s="12"/>
      <c r="D16" s="13"/>
    </row>
    <row r="17" spans="1:4" ht="18.75">
      <c r="A17" s="11"/>
      <c r="B17" s="82" t="s">
        <v>9</v>
      </c>
      <c r="C17" s="83"/>
      <c r="D17" s="83"/>
    </row>
    <row r="18" spans="1:4" ht="18.75">
      <c r="A18" s="11"/>
      <c r="B18" s="82" t="s">
        <v>10</v>
      </c>
      <c r="C18" s="83"/>
      <c r="D18" s="83"/>
    </row>
    <row r="19" spans="1:4" ht="18.75">
      <c r="A19" s="11"/>
      <c r="B19" s="82" t="s">
        <v>11</v>
      </c>
      <c r="C19" s="83"/>
      <c r="D19" s="83"/>
    </row>
    <row r="20" spans="1:4">
      <c r="A20" s="11"/>
      <c r="B20" s="12"/>
      <c r="C20" s="12"/>
      <c r="D20" s="13"/>
    </row>
    <row r="21" spans="1:4" ht="18.75">
      <c r="A21" s="72" t="s">
        <v>12</v>
      </c>
      <c r="B21" s="12"/>
      <c r="C21" s="12"/>
      <c r="D21" s="13"/>
    </row>
    <row r="22" spans="1:4" ht="18.75">
      <c r="A22" s="11"/>
      <c r="B22" s="82" t="s">
        <v>13</v>
      </c>
      <c r="C22" s="83"/>
      <c r="D22" s="83"/>
    </row>
    <row r="23" spans="1:4" ht="18.75">
      <c r="A23" s="11"/>
      <c r="B23" s="82" t="s">
        <v>14</v>
      </c>
      <c r="C23" s="83"/>
      <c r="D23" s="83"/>
    </row>
    <row r="24" spans="1:4">
      <c r="A24" s="11"/>
      <c r="B24" s="12"/>
      <c r="C24" s="12"/>
      <c r="D24" s="13"/>
    </row>
    <row r="25" spans="1:4" ht="18.75">
      <c r="A25" s="82" t="s">
        <v>15</v>
      </c>
      <c r="B25" s="83"/>
      <c r="C25" s="83"/>
      <c r="D25" s="84"/>
    </row>
    <row r="26" spans="1:4">
      <c r="A26" s="11"/>
      <c r="B26" s="12"/>
      <c r="C26" s="12"/>
      <c r="D26" s="13"/>
    </row>
    <row r="27" spans="1:4" ht="18.75">
      <c r="A27" s="82" t="s">
        <v>16</v>
      </c>
      <c r="B27" s="83"/>
      <c r="C27" s="83"/>
      <c r="D27" s="8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abasco_USAMuni!A1" display="3.2 Por Estado de USA"/>
    <hyperlink ref="A8:D8" location="Tabasco_Cons!A1" display="2. Por Circunscripción Consular"/>
    <hyperlink ref="B9:D9" location="TabascoXCons!A1" display="2.1 Top ten por circunscripción consular"/>
    <hyperlink ref="A6:D6" location="Tabasco_EdoUsa!A1" display="1. Por Estados de USA"/>
    <hyperlink ref="B12:D12" location="Tabasco_EdoMun!A1" display="3.1 Municipio general"/>
    <hyperlink ref="B14:D14" location="Tabasco_MUNICIPIO!A1" display="3.3 Por Circunscripción Consular"/>
    <hyperlink ref="B17:D17" location="Tabasco_educ_gral!A1" display="4.1 Educación general"/>
    <hyperlink ref="B18:D18" location="Tabasco_EducCons!A1" display="4.2 Por Estado de USA"/>
    <hyperlink ref="B19:D19" location="Tabasco_EducCons!A1" display="4.3 Por Circunscripción Consular"/>
    <hyperlink ref="B22:D22" location="Tabasco_GenGral!A1" display="5.1 Género General"/>
    <hyperlink ref="B23:D23" location="Tabasco_GENERO!A1" display="5.2 Por Circunscripción Consular"/>
    <hyperlink ref="A25:D25" location="Tabasco_Gen_Edad!A1" display="6. Por estructura de Edad"/>
    <hyperlink ref="A27:D27" location="Taba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201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65</v>
      </c>
      <c r="C11" s="31" t="s">
        <v>64</v>
      </c>
      <c r="D11" s="30" t="s">
        <v>63</v>
      </c>
    </row>
    <row r="12" spans="1:5">
      <c r="B12" s="27" t="s">
        <v>62</v>
      </c>
      <c r="C12" s="26">
        <v>781</v>
      </c>
      <c r="D12" s="25">
        <v>0.24598425196850393</v>
      </c>
    </row>
    <row r="13" spans="1:5">
      <c r="B13" s="27" t="s">
        <v>60</v>
      </c>
      <c r="C13" s="26">
        <v>328</v>
      </c>
      <c r="D13" s="25">
        <v>0.10330708661417323</v>
      </c>
      <c r="E13" s="28"/>
    </row>
    <row r="14" spans="1:5">
      <c r="B14" s="27" t="s">
        <v>61</v>
      </c>
      <c r="C14" s="26">
        <v>290</v>
      </c>
      <c r="D14" s="25">
        <v>9.1338582677165353E-2</v>
      </c>
      <c r="E14" s="28"/>
    </row>
    <row r="15" spans="1:5">
      <c r="B15" s="27" t="s">
        <v>59</v>
      </c>
      <c r="C15" s="26">
        <v>236</v>
      </c>
      <c r="D15" s="25">
        <v>7.4330708661417319E-2</v>
      </c>
    </row>
    <row r="16" spans="1:5">
      <c r="B16" s="27" t="s">
        <v>51</v>
      </c>
      <c r="C16" s="26">
        <v>130</v>
      </c>
      <c r="D16" s="25">
        <v>4.0944881889763779E-2</v>
      </c>
    </row>
    <row r="17" spans="2:4">
      <c r="B17" s="27" t="s">
        <v>54</v>
      </c>
      <c r="C17" s="26">
        <v>115</v>
      </c>
      <c r="D17" s="25">
        <v>3.6220472440944881E-2</v>
      </c>
    </row>
    <row r="18" spans="2:4">
      <c r="B18" s="27" t="s">
        <v>55</v>
      </c>
      <c r="C18" s="26">
        <v>112</v>
      </c>
      <c r="D18" s="25">
        <v>3.5275590551181103E-2</v>
      </c>
    </row>
    <row r="19" spans="2:4">
      <c r="B19" s="27" t="s">
        <v>57</v>
      </c>
      <c r="C19" s="26">
        <v>112</v>
      </c>
      <c r="D19" s="25">
        <v>3.5275590551181103E-2</v>
      </c>
    </row>
    <row r="20" spans="2:4">
      <c r="B20" s="27" t="s">
        <v>58</v>
      </c>
      <c r="C20" s="26">
        <v>111</v>
      </c>
      <c r="D20" s="25">
        <v>3.4960629921259839E-2</v>
      </c>
    </row>
    <row r="21" spans="2:4">
      <c r="B21" s="27" t="s">
        <v>56</v>
      </c>
      <c r="C21" s="26">
        <v>76</v>
      </c>
      <c r="D21" s="25">
        <v>2.3937007874015748E-2</v>
      </c>
    </row>
    <row r="22" spans="2:4">
      <c r="B22" s="27" t="s">
        <v>53</v>
      </c>
      <c r="C22" s="26">
        <v>70</v>
      </c>
      <c r="D22" s="25">
        <v>2.2047244094488189E-2</v>
      </c>
    </row>
    <row r="23" spans="2:4">
      <c r="B23" s="27" t="s">
        <v>49</v>
      </c>
      <c r="C23" s="26">
        <v>67</v>
      </c>
      <c r="D23" s="25">
        <v>2.1102362204724411E-2</v>
      </c>
    </row>
    <row r="24" spans="2:4">
      <c r="B24" s="27" t="s">
        <v>50</v>
      </c>
      <c r="C24" s="26">
        <v>63</v>
      </c>
      <c r="D24" s="25">
        <v>1.9842519685039368E-2</v>
      </c>
    </row>
    <row r="25" spans="2:4">
      <c r="B25" s="27" t="s">
        <v>38</v>
      </c>
      <c r="C25" s="26">
        <v>57</v>
      </c>
      <c r="D25" s="25">
        <v>1.7952755905511812E-2</v>
      </c>
    </row>
    <row r="26" spans="2:4">
      <c r="B26" s="27" t="s">
        <v>47</v>
      </c>
      <c r="C26" s="26">
        <v>55</v>
      </c>
      <c r="D26" s="25">
        <v>1.7322834645669291E-2</v>
      </c>
    </row>
    <row r="27" spans="2:4">
      <c r="B27" s="27" t="s">
        <v>48</v>
      </c>
      <c r="C27" s="26">
        <v>52</v>
      </c>
      <c r="D27" s="25">
        <v>1.6377952755905513E-2</v>
      </c>
    </row>
    <row r="28" spans="2:4">
      <c r="B28" s="27" t="s">
        <v>52</v>
      </c>
      <c r="C28" s="26">
        <v>47</v>
      </c>
      <c r="D28" s="25">
        <v>1.4803149606299212E-2</v>
      </c>
    </row>
    <row r="29" spans="2:4">
      <c r="B29" s="27" t="s">
        <v>37</v>
      </c>
      <c r="C29" s="26">
        <v>44</v>
      </c>
      <c r="D29" s="25">
        <v>1.3858267716535434E-2</v>
      </c>
    </row>
    <row r="30" spans="2:4">
      <c r="B30" s="27" t="s">
        <v>46</v>
      </c>
      <c r="C30" s="26">
        <v>35</v>
      </c>
      <c r="D30" s="25">
        <v>1.1023622047244094E-2</v>
      </c>
    </row>
    <row r="31" spans="2:4">
      <c r="B31" s="27" t="s">
        <v>45</v>
      </c>
      <c r="C31" s="26">
        <v>34</v>
      </c>
      <c r="D31" s="25">
        <v>1.0708661417322834E-2</v>
      </c>
    </row>
    <row r="32" spans="2:4">
      <c r="B32" s="27" t="s">
        <v>40</v>
      </c>
      <c r="C32" s="26">
        <v>33</v>
      </c>
      <c r="D32" s="25">
        <v>1.0393700787401575E-2</v>
      </c>
    </row>
    <row r="33" spans="2:4">
      <c r="B33" s="27" t="s">
        <v>44</v>
      </c>
      <c r="C33" s="26">
        <v>29</v>
      </c>
      <c r="D33" s="25">
        <v>9.1338582677165346E-3</v>
      </c>
    </row>
    <row r="34" spans="2:4">
      <c r="B34" s="27" t="s">
        <v>34</v>
      </c>
      <c r="C34" s="26">
        <v>27</v>
      </c>
      <c r="D34" s="25">
        <v>8.5039370078740153E-3</v>
      </c>
    </row>
    <row r="35" spans="2:4">
      <c r="B35" s="27" t="s">
        <v>39</v>
      </c>
      <c r="C35" s="26">
        <v>26</v>
      </c>
      <c r="D35" s="25">
        <v>8.1889763779527565E-3</v>
      </c>
    </row>
    <row r="36" spans="2:4">
      <c r="B36" s="27" t="s">
        <v>42</v>
      </c>
      <c r="C36" s="26">
        <v>26</v>
      </c>
      <c r="D36" s="25">
        <v>8.1889763779527565E-3</v>
      </c>
    </row>
    <row r="37" spans="2:4">
      <c r="B37" s="27" t="s">
        <v>36</v>
      </c>
      <c r="C37" s="26">
        <v>24</v>
      </c>
      <c r="D37" s="25">
        <v>7.5590551181102363E-3</v>
      </c>
    </row>
    <row r="38" spans="2:4">
      <c r="B38" s="27" t="s">
        <v>41</v>
      </c>
      <c r="C38" s="26">
        <v>22</v>
      </c>
      <c r="D38" s="25">
        <v>6.929133858267717E-3</v>
      </c>
    </row>
    <row r="39" spans="2:4">
      <c r="B39" s="27" t="s">
        <v>43</v>
      </c>
      <c r="C39" s="26">
        <v>22</v>
      </c>
      <c r="D39" s="25">
        <v>6.929133858267717E-3</v>
      </c>
    </row>
    <row r="40" spans="2:4">
      <c r="B40" s="27" t="s">
        <v>32</v>
      </c>
      <c r="C40" s="26">
        <v>19</v>
      </c>
      <c r="D40" s="25">
        <v>5.9842519685039371E-3</v>
      </c>
    </row>
    <row r="41" spans="2:4">
      <c r="B41" s="27" t="s">
        <v>26</v>
      </c>
      <c r="C41" s="26">
        <v>18</v>
      </c>
      <c r="D41" s="25">
        <v>5.6692913385826774E-3</v>
      </c>
    </row>
    <row r="42" spans="2:4">
      <c r="B42" s="27" t="s">
        <v>35</v>
      </c>
      <c r="C42" s="26">
        <v>17</v>
      </c>
      <c r="D42" s="25">
        <v>5.3543307086614169E-3</v>
      </c>
    </row>
    <row r="43" spans="2:4">
      <c r="B43" s="27" t="s">
        <v>24</v>
      </c>
      <c r="C43" s="26">
        <v>16</v>
      </c>
      <c r="D43" s="25">
        <v>5.0393700787401572E-3</v>
      </c>
    </row>
    <row r="44" spans="2:4">
      <c r="B44" s="27" t="s">
        <v>33</v>
      </c>
      <c r="C44" s="26">
        <v>16</v>
      </c>
      <c r="D44" s="25">
        <v>5.0393700787401572E-3</v>
      </c>
    </row>
    <row r="45" spans="2:4">
      <c r="B45" s="27" t="s">
        <v>30</v>
      </c>
      <c r="C45" s="26">
        <v>13</v>
      </c>
      <c r="D45" s="25">
        <v>4.0944881889763782E-3</v>
      </c>
    </row>
    <row r="46" spans="2:4">
      <c r="B46" s="27" t="s">
        <v>27</v>
      </c>
      <c r="C46" s="26">
        <v>10</v>
      </c>
      <c r="D46" s="25">
        <v>3.1496062992125984E-3</v>
      </c>
    </row>
    <row r="47" spans="2:4">
      <c r="B47" s="27" t="s">
        <v>29</v>
      </c>
      <c r="C47" s="26">
        <v>9</v>
      </c>
      <c r="D47" s="25">
        <v>2.8346456692913387E-3</v>
      </c>
    </row>
    <row r="48" spans="2:4">
      <c r="B48" s="27" t="s">
        <v>31</v>
      </c>
      <c r="C48" s="26">
        <v>8</v>
      </c>
      <c r="D48" s="25">
        <v>2.5196850393700786E-3</v>
      </c>
    </row>
    <row r="49" spans="2:4">
      <c r="B49" s="27" t="s">
        <v>22</v>
      </c>
      <c r="C49" s="26">
        <v>7</v>
      </c>
      <c r="D49" s="25">
        <v>2.204724409448819E-3</v>
      </c>
    </row>
    <row r="50" spans="2:4">
      <c r="B50" s="27" t="s">
        <v>28</v>
      </c>
      <c r="C50" s="26">
        <v>5</v>
      </c>
      <c r="D50" s="25">
        <v>1.5748031496062992E-3</v>
      </c>
    </row>
    <row r="51" spans="2:4">
      <c r="B51" s="27" t="s">
        <v>21</v>
      </c>
      <c r="C51" s="26">
        <v>4</v>
      </c>
      <c r="D51" s="25">
        <v>1.2598425196850393E-3</v>
      </c>
    </row>
    <row r="52" spans="2:4">
      <c r="B52" s="27" t="s">
        <v>25</v>
      </c>
      <c r="C52" s="26">
        <v>3</v>
      </c>
      <c r="D52" s="25">
        <v>9.4488188976377954E-4</v>
      </c>
    </row>
    <row r="53" spans="2:4">
      <c r="B53" s="27" t="s">
        <v>202</v>
      </c>
      <c r="C53" s="26">
        <v>2</v>
      </c>
      <c r="D53" s="25">
        <v>6.2992125984251965E-4</v>
      </c>
    </row>
    <row r="54" spans="2:4">
      <c r="B54" s="27" t="s">
        <v>196</v>
      </c>
      <c r="C54" s="26">
        <v>1</v>
      </c>
      <c r="D54" s="25">
        <v>3.1496062992125983E-4</v>
      </c>
    </row>
    <row r="55" spans="2:4">
      <c r="B55" s="27" t="s">
        <v>203</v>
      </c>
      <c r="C55" s="26">
        <v>1</v>
      </c>
      <c r="D55" s="25">
        <v>3.1496062992125983E-4</v>
      </c>
    </row>
    <row r="56" spans="2:4">
      <c r="B56" s="27" t="s">
        <v>197</v>
      </c>
      <c r="C56" s="26">
        <v>1</v>
      </c>
      <c r="D56" s="25">
        <v>3.1496062992125983E-4</v>
      </c>
    </row>
    <row r="57" spans="2:4">
      <c r="B57" s="27" t="s">
        <v>23</v>
      </c>
      <c r="C57" s="26">
        <v>1</v>
      </c>
      <c r="D57" s="25">
        <v>3.1496062992125983E-4</v>
      </c>
    </row>
    <row r="58" spans="2:4">
      <c r="B58" s="24" t="s">
        <v>20</v>
      </c>
      <c r="C58" s="23">
        <v>3175</v>
      </c>
      <c r="D58" s="22">
        <v>1</v>
      </c>
    </row>
    <row r="60" spans="2:4">
      <c r="B60" s="19" t="s">
        <v>204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205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3"/>
  <sheetViews>
    <sheetView showGridLines="0" topLeftCell="A46" zoomScaleNormal="100" zoomScaleSheetLayoutView="115" workbookViewId="0">
      <selection activeCell="C67" sqref="C6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206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109</v>
      </c>
      <c r="C11" s="31" t="s">
        <v>64</v>
      </c>
      <c r="D11" s="30" t="s">
        <v>63</v>
      </c>
    </row>
    <row r="12" spans="1:5">
      <c r="B12" s="27" t="s">
        <v>101</v>
      </c>
      <c r="C12" s="26">
        <v>458</v>
      </c>
      <c r="D12" s="25">
        <v>0.14425196850393701</v>
      </c>
    </row>
    <row r="13" spans="1:5">
      <c r="B13" s="27" t="s">
        <v>105</v>
      </c>
      <c r="C13" s="26">
        <v>277</v>
      </c>
      <c r="D13" s="25">
        <v>8.724409448818897E-2</v>
      </c>
    </row>
    <row r="14" spans="1:5">
      <c r="B14" s="27" t="s">
        <v>104</v>
      </c>
      <c r="C14" s="26">
        <v>237</v>
      </c>
      <c r="D14" s="25">
        <v>7.4645669291338576E-2</v>
      </c>
      <c r="E14" s="28"/>
    </row>
    <row r="15" spans="1:5">
      <c r="B15" s="27" t="s">
        <v>106</v>
      </c>
      <c r="C15" s="26">
        <v>205</v>
      </c>
      <c r="D15" s="25">
        <v>6.4566929133858267E-2</v>
      </c>
    </row>
    <row r="16" spans="1:5">
      <c r="B16" s="27" t="s">
        <v>95</v>
      </c>
      <c r="C16" s="26">
        <v>180</v>
      </c>
      <c r="D16" s="25">
        <v>5.6692913385826771E-2</v>
      </c>
    </row>
    <row r="17" spans="2:4">
      <c r="B17" s="27" t="s">
        <v>107</v>
      </c>
      <c r="C17" s="26">
        <v>141</v>
      </c>
      <c r="D17" s="25">
        <v>4.4409448818897634E-2</v>
      </c>
    </row>
    <row r="18" spans="2:4">
      <c r="B18" s="27" t="s">
        <v>90</v>
      </c>
      <c r="C18" s="26">
        <v>131</v>
      </c>
      <c r="D18" s="25">
        <v>4.1259842519685036E-2</v>
      </c>
    </row>
    <row r="19" spans="2:4">
      <c r="B19" s="27" t="s">
        <v>33</v>
      </c>
      <c r="C19" s="26">
        <v>130</v>
      </c>
      <c r="D19" s="25">
        <v>4.0944881889763779E-2</v>
      </c>
    </row>
    <row r="20" spans="2:4">
      <c r="B20" s="27" t="s">
        <v>94</v>
      </c>
      <c r="C20" s="26">
        <v>121</v>
      </c>
      <c r="D20" s="25">
        <v>3.8110236220472438E-2</v>
      </c>
    </row>
    <row r="21" spans="2:4">
      <c r="B21" s="27" t="s">
        <v>87</v>
      </c>
      <c r="C21" s="26">
        <v>111</v>
      </c>
      <c r="D21" s="25">
        <v>3.4960629921259839E-2</v>
      </c>
    </row>
    <row r="22" spans="2:4">
      <c r="B22" s="27" t="s">
        <v>103</v>
      </c>
      <c r="C22" s="26">
        <v>108</v>
      </c>
      <c r="D22" s="25">
        <v>3.4015748031496061E-2</v>
      </c>
    </row>
    <row r="23" spans="2:4">
      <c r="B23" s="27" t="s">
        <v>74</v>
      </c>
      <c r="C23" s="26">
        <v>103</v>
      </c>
      <c r="D23" s="25">
        <v>3.2440944881889762E-2</v>
      </c>
    </row>
    <row r="24" spans="2:4">
      <c r="B24" s="27" t="s">
        <v>96</v>
      </c>
      <c r="C24" s="26">
        <v>88</v>
      </c>
      <c r="D24" s="25">
        <v>2.7716535433070868E-2</v>
      </c>
    </row>
    <row r="25" spans="2:4">
      <c r="B25" s="27" t="s">
        <v>108</v>
      </c>
      <c r="C25" s="26">
        <v>79</v>
      </c>
      <c r="D25" s="25">
        <v>2.4881889763779527E-2</v>
      </c>
    </row>
    <row r="26" spans="2:4">
      <c r="B26" s="27" t="s">
        <v>82</v>
      </c>
      <c r="C26" s="26">
        <v>55</v>
      </c>
      <c r="D26" s="25">
        <v>1.7322834645669291E-2</v>
      </c>
    </row>
    <row r="27" spans="2:4">
      <c r="B27" s="27" t="s">
        <v>79</v>
      </c>
      <c r="C27" s="26">
        <v>54</v>
      </c>
      <c r="D27" s="25">
        <v>1.7007874015748031E-2</v>
      </c>
    </row>
    <row r="28" spans="2:4">
      <c r="B28" s="27" t="s">
        <v>81</v>
      </c>
      <c r="C28" s="26">
        <v>52</v>
      </c>
      <c r="D28" s="25">
        <v>1.6377952755905513E-2</v>
      </c>
    </row>
    <row r="29" spans="2:4">
      <c r="B29" s="27" t="s">
        <v>89</v>
      </c>
      <c r="C29" s="26">
        <v>48</v>
      </c>
      <c r="D29" s="25">
        <v>1.5118110236220473E-2</v>
      </c>
    </row>
    <row r="30" spans="2:4">
      <c r="B30" s="27" t="s">
        <v>97</v>
      </c>
      <c r="C30" s="26">
        <v>48</v>
      </c>
      <c r="D30" s="25">
        <v>1.5118110236220473E-2</v>
      </c>
    </row>
    <row r="31" spans="2:4">
      <c r="B31" s="27" t="s">
        <v>67</v>
      </c>
      <c r="C31" s="26">
        <v>45</v>
      </c>
      <c r="D31" s="25">
        <v>1.4173228346456693E-2</v>
      </c>
    </row>
    <row r="32" spans="2:4">
      <c r="B32" s="27" t="s">
        <v>86</v>
      </c>
      <c r="C32" s="26">
        <v>38</v>
      </c>
      <c r="D32" s="25">
        <v>1.1968503937007874E-2</v>
      </c>
    </row>
    <row r="33" spans="2:4">
      <c r="B33" s="27" t="s">
        <v>99</v>
      </c>
      <c r="C33" s="26">
        <v>37</v>
      </c>
      <c r="D33" s="25">
        <v>1.1653543307086614E-2</v>
      </c>
    </row>
    <row r="34" spans="2:4">
      <c r="B34" s="27" t="s">
        <v>80</v>
      </c>
      <c r="C34" s="26">
        <v>36</v>
      </c>
      <c r="D34" s="25">
        <v>1.1338582677165355E-2</v>
      </c>
    </row>
    <row r="35" spans="2:4">
      <c r="B35" s="27" t="s">
        <v>85</v>
      </c>
      <c r="C35" s="26">
        <v>35</v>
      </c>
      <c r="D35" s="25">
        <v>1.1023622047244094E-2</v>
      </c>
    </row>
    <row r="36" spans="2:4">
      <c r="B36" s="27" t="s">
        <v>100</v>
      </c>
      <c r="C36" s="26">
        <v>31</v>
      </c>
      <c r="D36" s="25">
        <v>9.7637795275590557E-3</v>
      </c>
    </row>
    <row r="37" spans="2:4">
      <c r="B37" s="27" t="s">
        <v>78</v>
      </c>
      <c r="C37" s="26">
        <v>30</v>
      </c>
      <c r="D37" s="25">
        <v>9.4488188976377951E-3</v>
      </c>
    </row>
    <row r="38" spans="2:4">
      <c r="B38" s="27" t="s">
        <v>88</v>
      </c>
      <c r="C38" s="26">
        <v>30</v>
      </c>
      <c r="D38" s="25">
        <v>9.4488188976377951E-3</v>
      </c>
    </row>
    <row r="39" spans="2:4">
      <c r="B39" s="27" t="s">
        <v>92</v>
      </c>
      <c r="C39" s="26">
        <v>28</v>
      </c>
      <c r="D39" s="25">
        <v>8.8188976377952758E-3</v>
      </c>
    </row>
    <row r="40" spans="2:4">
      <c r="B40" s="27" t="s">
        <v>76</v>
      </c>
      <c r="C40" s="26">
        <v>28</v>
      </c>
      <c r="D40" s="25">
        <v>8.8188976377952758E-3</v>
      </c>
    </row>
    <row r="41" spans="2:4">
      <c r="B41" s="27" t="s">
        <v>75</v>
      </c>
      <c r="C41" s="26">
        <v>27</v>
      </c>
      <c r="D41" s="25">
        <v>8.5039370078740153E-3</v>
      </c>
    </row>
    <row r="42" spans="2:4">
      <c r="B42" s="27" t="s">
        <v>102</v>
      </c>
      <c r="C42" s="26">
        <v>27</v>
      </c>
      <c r="D42" s="25">
        <v>8.5039370078740153E-3</v>
      </c>
    </row>
    <row r="43" spans="2:4">
      <c r="B43" s="27" t="s">
        <v>98</v>
      </c>
      <c r="C43" s="26">
        <v>24</v>
      </c>
      <c r="D43" s="25">
        <v>7.5590551181102363E-3</v>
      </c>
    </row>
    <row r="44" spans="2:4">
      <c r="B44" s="27" t="s">
        <v>72</v>
      </c>
      <c r="C44" s="26">
        <v>18</v>
      </c>
      <c r="D44" s="25">
        <v>5.6692913385826774E-3</v>
      </c>
    </row>
    <row r="45" spans="2:4">
      <c r="B45" s="27" t="s">
        <v>91</v>
      </c>
      <c r="C45" s="26">
        <v>16</v>
      </c>
      <c r="D45" s="25">
        <v>5.0393700787401572E-3</v>
      </c>
    </row>
    <row r="46" spans="2:4">
      <c r="B46" s="27" t="s">
        <v>84</v>
      </c>
      <c r="C46" s="26">
        <v>16</v>
      </c>
      <c r="D46" s="25">
        <v>5.0393700787401572E-3</v>
      </c>
    </row>
    <row r="47" spans="2:4">
      <c r="B47" s="27" t="s">
        <v>77</v>
      </c>
      <c r="C47" s="26">
        <v>16</v>
      </c>
      <c r="D47" s="25">
        <v>5.0393700787401572E-3</v>
      </c>
    </row>
    <row r="48" spans="2:4">
      <c r="B48" s="27" t="s">
        <v>71</v>
      </c>
      <c r="C48" s="26">
        <v>15</v>
      </c>
      <c r="D48" s="25">
        <v>4.7244094488188976E-3</v>
      </c>
    </row>
    <row r="49" spans="2:4">
      <c r="B49" s="27" t="s">
        <v>93</v>
      </c>
      <c r="C49" s="26">
        <v>12</v>
      </c>
      <c r="D49" s="25">
        <v>3.7795275590551181E-3</v>
      </c>
    </row>
    <row r="50" spans="2:4">
      <c r="B50" s="27" t="s">
        <v>70</v>
      </c>
      <c r="C50" s="26">
        <v>11</v>
      </c>
      <c r="D50" s="25">
        <v>3.4645669291338585E-3</v>
      </c>
    </row>
    <row r="51" spans="2:4">
      <c r="B51" s="27" t="s">
        <v>83</v>
      </c>
      <c r="C51" s="26">
        <v>11</v>
      </c>
      <c r="D51" s="25">
        <v>3.4645669291338585E-3</v>
      </c>
    </row>
    <row r="52" spans="2:4">
      <c r="B52" s="27" t="s">
        <v>207</v>
      </c>
      <c r="C52" s="26">
        <v>6</v>
      </c>
      <c r="D52" s="25">
        <v>1.8897637795275591E-3</v>
      </c>
    </row>
    <row r="53" spans="2:4">
      <c r="B53" s="27" t="s">
        <v>68</v>
      </c>
      <c r="C53" s="26">
        <v>6</v>
      </c>
      <c r="D53" s="25">
        <v>1.8897637795275591E-3</v>
      </c>
    </row>
    <row r="54" spans="2:4">
      <c r="B54" s="27" t="s">
        <v>73</v>
      </c>
      <c r="C54" s="26">
        <v>3</v>
      </c>
      <c r="D54" s="25">
        <v>9.4488188976377954E-4</v>
      </c>
    </row>
    <row r="55" spans="2:4">
      <c r="B55" s="27" t="s">
        <v>69</v>
      </c>
      <c r="C55" s="26">
        <v>2</v>
      </c>
      <c r="D55" s="25">
        <v>6.2992125984251965E-4</v>
      </c>
    </row>
    <row r="56" spans="2:4">
      <c r="B56" s="27" t="s">
        <v>208</v>
      </c>
      <c r="C56" s="26">
        <v>1</v>
      </c>
      <c r="D56" s="25">
        <v>3.1496062992125983E-4</v>
      </c>
    </row>
    <row r="57" spans="2:4">
      <c r="B57" s="24" t="s">
        <v>20</v>
      </c>
      <c r="C57" s="23">
        <v>3175</v>
      </c>
      <c r="D57" s="22">
        <v>1</v>
      </c>
    </row>
    <row r="59" spans="2:4">
      <c r="B59" s="19" t="s">
        <v>204</v>
      </c>
    </row>
    <row r="60" spans="2:4">
      <c r="B60" s="21" t="s">
        <v>19</v>
      </c>
    </row>
    <row r="61" spans="2:4">
      <c r="B61" s="20" t="s">
        <v>18</v>
      </c>
    </row>
    <row r="62" spans="2:4">
      <c r="B62" s="19" t="s">
        <v>17</v>
      </c>
    </row>
    <row r="63" spans="2:4">
      <c r="B63" s="19" t="s">
        <v>205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4" zoomScaleNormal="100" zoomScaleSheetLayoutView="115" workbookViewId="0">
      <selection activeCell="D27" sqref="D2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215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109</v>
      </c>
      <c r="C11" s="31" t="s">
        <v>64</v>
      </c>
      <c r="D11" s="30" t="s">
        <v>63</v>
      </c>
    </row>
    <row r="12" spans="1:5">
      <c r="B12" s="27" t="s">
        <v>101</v>
      </c>
      <c r="C12" s="26">
        <v>458</v>
      </c>
      <c r="D12" s="25">
        <f>C12/$C$22</f>
        <v>0.23003515821195381</v>
      </c>
    </row>
    <row r="13" spans="1:5">
      <c r="B13" s="27" t="s">
        <v>105</v>
      </c>
      <c r="C13" s="26">
        <v>277</v>
      </c>
      <c r="D13" s="25">
        <f t="shared" ref="D13:D20" si="0">C13/$C$22</f>
        <v>0.13912606730286289</v>
      </c>
    </row>
    <row r="14" spans="1:5">
      <c r="B14" s="27" t="s">
        <v>104</v>
      </c>
      <c r="C14" s="26">
        <v>237</v>
      </c>
      <c r="D14" s="25">
        <f t="shared" si="0"/>
        <v>0.11903566047212456</v>
      </c>
      <c r="E14" s="28"/>
    </row>
    <row r="15" spans="1:5">
      <c r="B15" s="27" t="s">
        <v>106</v>
      </c>
      <c r="C15" s="26">
        <v>205</v>
      </c>
      <c r="D15" s="25">
        <f t="shared" si="0"/>
        <v>0.10296333500753391</v>
      </c>
      <c r="E15" s="28"/>
    </row>
    <row r="16" spans="1:5">
      <c r="B16" s="27" t="s">
        <v>95</v>
      </c>
      <c r="C16" s="26">
        <v>180</v>
      </c>
      <c r="D16" s="25">
        <f t="shared" si="0"/>
        <v>9.0406830738322452E-2</v>
      </c>
    </row>
    <row r="17" spans="2:4">
      <c r="B17" s="27" t="s">
        <v>107</v>
      </c>
      <c r="C17" s="26">
        <v>141</v>
      </c>
      <c r="D17" s="25">
        <f t="shared" si="0"/>
        <v>7.0818684078352581E-2</v>
      </c>
    </row>
    <row r="18" spans="2:4">
      <c r="B18" s="27" t="s">
        <v>90</v>
      </c>
      <c r="C18" s="26">
        <v>131</v>
      </c>
      <c r="D18" s="25">
        <f t="shared" si="0"/>
        <v>6.5796082370668002E-2</v>
      </c>
    </row>
    <row r="19" spans="2:4">
      <c r="B19" s="27" t="s">
        <v>33</v>
      </c>
      <c r="C19" s="26">
        <v>130</v>
      </c>
      <c r="D19" s="25">
        <f t="shared" si="0"/>
        <v>6.5293822199899543E-2</v>
      </c>
    </row>
    <row r="20" spans="2:4">
      <c r="B20" s="27" t="s">
        <v>94</v>
      </c>
      <c r="C20" s="26">
        <v>121</v>
      </c>
      <c r="D20" s="25">
        <f t="shared" si="0"/>
        <v>6.0773480662983423E-2</v>
      </c>
    </row>
    <row r="21" spans="2:4">
      <c r="B21" s="27" t="s">
        <v>87</v>
      </c>
      <c r="C21" s="26">
        <v>111</v>
      </c>
      <c r="D21" s="25">
        <f>C21/$C$22</f>
        <v>5.5750878955298844E-2</v>
      </c>
    </row>
    <row r="22" spans="2:4">
      <c r="B22" s="24" t="s">
        <v>159</v>
      </c>
      <c r="C22" s="23">
        <f>SUM(C12:C21)</f>
        <v>1991</v>
      </c>
      <c r="D22" s="22">
        <f t="shared" ref="D22" si="1">C22/$C$22</f>
        <v>1</v>
      </c>
    </row>
    <row r="24" spans="2:4">
      <c r="B24" s="19" t="s">
        <v>204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205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"/>
  <sheetViews>
    <sheetView showGridLines="0" topLeftCell="A7" zoomScaleNormal="100" zoomScaleSheetLayoutView="115" workbookViewId="0">
      <selection activeCell="D29" sqref="D2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209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127</v>
      </c>
      <c r="C11" s="31" t="s">
        <v>64</v>
      </c>
      <c r="D11" s="30" t="s">
        <v>63</v>
      </c>
    </row>
    <row r="12" spans="1:5">
      <c r="B12" s="27" t="s">
        <v>125</v>
      </c>
      <c r="C12" s="26">
        <v>726</v>
      </c>
      <c r="D12" s="25">
        <f>C12/$C$29</f>
        <v>0.22866141732283465</v>
      </c>
    </row>
    <row r="13" spans="1:5">
      <c r="B13" s="27" t="s">
        <v>126</v>
      </c>
      <c r="C13" s="26">
        <v>716</v>
      </c>
      <c r="D13" s="25">
        <f t="shared" ref="D13:D28" si="0">C13/$C$29</f>
        <v>0.22551181102362206</v>
      </c>
    </row>
    <row r="14" spans="1:5">
      <c r="B14" s="27" t="s">
        <v>124</v>
      </c>
      <c r="C14" s="26">
        <v>292</v>
      </c>
      <c r="D14" s="25">
        <f t="shared" si="0"/>
        <v>9.1968503937007867E-2</v>
      </c>
      <c r="E14" s="28"/>
    </row>
    <row r="15" spans="1:5">
      <c r="B15" s="27" t="s">
        <v>122</v>
      </c>
      <c r="C15" s="26">
        <v>274</v>
      </c>
      <c r="D15" s="25">
        <f t="shared" si="0"/>
        <v>8.6299212598425198E-2</v>
      </c>
      <c r="E15" s="28"/>
    </row>
    <row r="16" spans="1:5">
      <c r="B16" s="27" t="s">
        <v>123</v>
      </c>
      <c r="C16" s="26">
        <v>262</v>
      </c>
      <c r="D16" s="25">
        <f t="shared" si="0"/>
        <v>8.2519685039370072E-2</v>
      </c>
    </row>
    <row r="17" spans="2:4">
      <c r="B17" s="27" t="s">
        <v>121</v>
      </c>
      <c r="C17" s="26">
        <v>190</v>
      </c>
      <c r="D17" s="25">
        <f t="shared" si="0"/>
        <v>5.9842519685039369E-2</v>
      </c>
    </row>
    <row r="18" spans="2:4">
      <c r="B18" s="27" t="s">
        <v>120</v>
      </c>
      <c r="C18" s="26">
        <v>148</v>
      </c>
      <c r="D18" s="25">
        <f t="shared" si="0"/>
        <v>4.6614173228346455E-2</v>
      </c>
    </row>
    <row r="19" spans="2:4">
      <c r="B19" s="27" t="s">
        <v>118</v>
      </c>
      <c r="C19" s="26">
        <v>118</v>
      </c>
      <c r="D19" s="25">
        <f t="shared" si="0"/>
        <v>3.716535433070866E-2</v>
      </c>
    </row>
    <row r="20" spans="2:4">
      <c r="B20" s="27" t="s">
        <v>119</v>
      </c>
      <c r="C20" s="26">
        <v>117</v>
      </c>
      <c r="D20" s="25">
        <f t="shared" si="0"/>
        <v>3.6850393700787402E-2</v>
      </c>
    </row>
    <row r="21" spans="2:4">
      <c r="B21" s="27" t="s">
        <v>117</v>
      </c>
      <c r="C21" s="26">
        <v>78</v>
      </c>
      <c r="D21" s="25">
        <f t="shared" si="0"/>
        <v>2.4566929133858266E-2</v>
      </c>
    </row>
    <row r="22" spans="2:4">
      <c r="B22" s="27" t="s">
        <v>115</v>
      </c>
      <c r="C22" s="26">
        <v>57</v>
      </c>
      <c r="D22" s="25">
        <f t="shared" si="0"/>
        <v>1.7952755905511812E-2</v>
      </c>
    </row>
    <row r="23" spans="2:4">
      <c r="B23" s="27" t="s">
        <v>116</v>
      </c>
      <c r="C23" s="26">
        <v>54</v>
      </c>
      <c r="D23" s="25">
        <f t="shared" si="0"/>
        <v>1.7007874015748031E-2</v>
      </c>
    </row>
    <row r="24" spans="2:4">
      <c r="B24" s="27" t="s">
        <v>113</v>
      </c>
      <c r="C24" s="26">
        <v>46</v>
      </c>
      <c r="D24" s="25">
        <f t="shared" si="0"/>
        <v>1.4488188976377953E-2</v>
      </c>
    </row>
    <row r="25" spans="2:4">
      <c r="B25" s="27" t="s">
        <v>112</v>
      </c>
      <c r="C25" s="26">
        <v>34</v>
      </c>
      <c r="D25" s="25">
        <f t="shared" si="0"/>
        <v>1.0708661417322834E-2</v>
      </c>
    </row>
    <row r="26" spans="2:4">
      <c r="B26" s="27" t="s">
        <v>114</v>
      </c>
      <c r="C26" s="26">
        <v>32</v>
      </c>
      <c r="D26" s="25">
        <f t="shared" si="0"/>
        <v>1.0078740157480314E-2</v>
      </c>
    </row>
    <row r="27" spans="2:4">
      <c r="B27" s="27" t="s">
        <v>111</v>
      </c>
      <c r="C27" s="26">
        <v>21</v>
      </c>
      <c r="D27" s="25">
        <f t="shared" si="0"/>
        <v>6.6141732283464564E-3</v>
      </c>
    </row>
    <row r="28" spans="2:4">
      <c r="B28" s="27" t="s">
        <v>110</v>
      </c>
      <c r="C28" s="26">
        <v>10</v>
      </c>
      <c r="D28" s="25">
        <f t="shared" si="0"/>
        <v>3.1496062992125984E-3</v>
      </c>
    </row>
    <row r="29" spans="2:4">
      <c r="B29" s="24" t="s">
        <v>20</v>
      </c>
      <c r="C29" s="23">
        <f>SUM(C12:C28)</f>
        <v>3175</v>
      </c>
      <c r="D29" s="68">
        <f>SUM(D12:D28)</f>
        <v>1</v>
      </c>
    </row>
    <row r="31" spans="2:4">
      <c r="B31" s="19" t="s">
        <v>204</v>
      </c>
    </row>
    <row r="32" spans="2:4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205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52"/>
  <sheetViews>
    <sheetView showGridLines="0" topLeftCell="A420" zoomScale="96" zoomScaleNormal="96" zoomScaleSheetLayoutView="85" workbookViewId="0">
      <selection activeCell="G36" sqref="G3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129</v>
      </c>
      <c r="C9" s="47" t="s">
        <v>128</v>
      </c>
      <c r="D9" s="46" t="s">
        <v>64</v>
      </c>
      <c r="E9" s="45" t="s">
        <v>63</v>
      </c>
    </row>
    <row r="10" spans="1:5" ht="15" customHeight="1">
      <c r="B10" s="92" t="s">
        <v>56</v>
      </c>
      <c r="C10" s="43" t="s">
        <v>123</v>
      </c>
      <c r="D10" s="42">
        <v>17</v>
      </c>
      <c r="E10" s="41">
        <v>5.3543307086614169E-3</v>
      </c>
    </row>
    <row r="11" spans="1:5" ht="15" customHeight="1">
      <c r="B11" s="93"/>
      <c r="C11" s="43" t="s">
        <v>125</v>
      </c>
      <c r="D11" s="42">
        <v>8</v>
      </c>
      <c r="E11" s="41">
        <v>2.5196850393700786E-3</v>
      </c>
    </row>
    <row r="12" spans="1:5" ht="15" customHeight="1">
      <c r="B12" s="93"/>
      <c r="C12" s="43" t="s">
        <v>124</v>
      </c>
      <c r="D12" s="42">
        <v>2</v>
      </c>
      <c r="E12" s="41">
        <v>6.2992125984251965E-4</v>
      </c>
    </row>
    <row r="13" spans="1:5" ht="15" customHeight="1">
      <c r="B13" s="93"/>
      <c r="C13" s="43" t="s">
        <v>122</v>
      </c>
      <c r="D13" s="42">
        <v>3</v>
      </c>
      <c r="E13" s="41">
        <v>9.4488188976377954E-4</v>
      </c>
    </row>
    <row r="14" spans="1:5" ht="15" customHeight="1">
      <c r="B14" s="93"/>
      <c r="C14" s="43" t="s">
        <v>120</v>
      </c>
      <c r="D14" s="42">
        <v>2</v>
      </c>
      <c r="E14" s="41">
        <v>6.2992125984251965E-4</v>
      </c>
    </row>
    <row r="15" spans="1:5" ht="15" customHeight="1">
      <c r="B15" s="93"/>
      <c r="C15" s="43" t="s">
        <v>126</v>
      </c>
      <c r="D15" s="42">
        <v>11</v>
      </c>
      <c r="E15" s="41">
        <v>3.4645669291338585E-3</v>
      </c>
    </row>
    <row r="16" spans="1:5" ht="15" customHeight="1">
      <c r="B16" s="93"/>
      <c r="C16" s="43" t="s">
        <v>115</v>
      </c>
      <c r="D16" s="42">
        <v>9</v>
      </c>
      <c r="E16" s="41">
        <v>2.8346456692913387E-3</v>
      </c>
    </row>
    <row r="17" spans="2:5" ht="15" customHeight="1">
      <c r="B17" s="93"/>
      <c r="C17" s="43" t="s">
        <v>118</v>
      </c>
      <c r="D17" s="42">
        <v>1</v>
      </c>
      <c r="E17" s="41">
        <v>3.1496062992125983E-4</v>
      </c>
    </row>
    <row r="18" spans="2:5" ht="15" customHeight="1">
      <c r="B18" s="93"/>
      <c r="C18" s="43" t="s">
        <v>119</v>
      </c>
      <c r="D18" s="42">
        <v>11</v>
      </c>
      <c r="E18" s="41">
        <v>3.4645669291338585E-3</v>
      </c>
    </row>
    <row r="19" spans="2:5" ht="15" customHeight="1">
      <c r="B19" s="93"/>
      <c r="C19" s="43" t="s">
        <v>116</v>
      </c>
      <c r="D19" s="42">
        <v>6</v>
      </c>
      <c r="E19" s="41">
        <v>1.8897637795275591E-3</v>
      </c>
    </row>
    <row r="20" spans="2:5" ht="15" customHeight="1">
      <c r="B20" s="93"/>
      <c r="C20" s="43" t="s">
        <v>121</v>
      </c>
      <c r="D20" s="42">
        <v>6</v>
      </c>
      <c r="E20" s="41">
        <v>1.8897637795275591E-3</v>
      </c>
    </row>
    <row r="21" spans="2:5" ht="15" customHeight="1">
      <c r="B21" s="94"/>
      <c r="C21" s="40" t="s">
        <v>20</v>
      </c>
      <c r="D21" s="39">
        <v>76</v>
      </c>
      <c r="E21" s="38">
        <v>2.3937007874015748E-2</v>
      </c>
    </row>
    <row r="22" spans="2:5" ht="15" customHeight="1">
      <c r="B22" s="92" t="s">
        <v>38</v>
      </c>
      <c r="C22" s="43" t="s">
        <v>123</v>
      </c>
      <c r="D22" s="42">
        <v>7</v>
      </c>
      <c r="E22" s="41">
        <v>2.204724409448819E-3</v>
      </c>
    </row>
    <row r="23" spans="2:5" ht="15" customHeight="1">
      <c r="B23" s="93"/>
      <c r="C23" s="43" t="s">
        <v>125</v>
      </c>
      <c r="D23" s="42">
        <v>11</v>
      </c>
      <c r="E23" s="41">
        <v>3.4645669291338585E-3</v>
      </c>
    </row>
    <row r="24" spans="2:5" ht="15" customHeight="1">
      <c r="B24" s="93"/>
      <c r="C24" s="43" t="s">
        <v>113</v>
      </c>
      <c r="D24" s="42">
        <v>4</v>
      </c>
      <c r="E24" s="41">
        <v>1.2598425196850393E-3</v>
      </c>
    </row>
    <row r="25" spans="2:5" ht="15" customHeight="1">
      <c r="B25" s="93"/>
      <c r="C25" s="43" t="s">
        <v>124</v>
      </c>
      <c r="D25" s="42">
        <v>5</v>
      </c>
      <c r="E25" s="41">
        <v>1.5748031496062992E-3</v>
      </c>
    </row>
    <row r="26" spans="2:5" ht="15" customHeight="1">
      <c r="B26" s="93"/>
      <c r="C26" s="43" t="s">
        <v>122</v>
      </c>
      <c r="D26" s="42">
        <v>4</v>
      </c>
      <c r="E26" s="41">
        <v>1.2598425196850393E-3</v>
      </c>
    </row>
    <row r="27" spans="2:5" ht="15" customHeight="1">
      <c r="B27" s="93"/>
      <c r="C27" s="43" t="s">
        <v>112</v>
      </c>
      <c r="D27" s="42">
        <v>1</v>
      </c>
      <c r="E27" s="41">
        <v>3.1496062992125983E-4</v>
      </c>
    </row>
    <row r="28" spans="2:5" ht="15" customHeight="1">
      <c r="B28" s="93"/>
      <c r="C28" s="43" t="s">
        <v>126</v>
      </c>
      <c r="D28" s="42">
        <v>8</v>
      </c>
      <c r="E28" s="41">
        <v>2.5196850393700786E-3</v>
      </c>
    </row>
    <row r="29" spans="2:5" ht="15" customHeight="1">
      <c r="B29" s="93"/>
      <c r="C29" s="43" t="s">
        <v>115</v>
      </c>
      <c r="D29" s="42">
        <v>1</v>
      </c>
      <c r="E29" s="41">
        <v>3.1496062992125983E-4</v>
      </c>
    </row>
    <row r="30" spans="2:5" ht="15" customHeight="1">
      <c r="B30" s="93"/>
      <c r="C30" s="43" t="s">
        <v>118</v>
      </c>
      <c r="D30" s="42">
        <v>1</v>
      </c>
      <c r="E30" s="41">
        <v>3.1496062992125983E-4</v>
      </c>
    </row>
    <row r="31" spans="2:5" ht="15" customHeight="1">
      <c r="B31" s="93"/>
      <c r="C31" s="43" t="s">
        <v>119</v>
      </c>
      <c r="D31" s="42">
        <v>2</v>
      </c>
      <c r="E31" s="41">
        <v>6.2992125984251965E-4</v>
      </c>
    </row>
    <row r="32" spans="2:5" ht="15" customHeight="1">
      <c r="B32" s="93"/>
      <c r="C32" s="43" t="s">
        <v>117</v>
      </c>
      <c r="D32" s="42">
        <v>1</v>
      </c>
      <c r="E32" s="41">
        <v>3.1496062992125983E-4</v>
      </c>
    </row>
    <row r="33" spans="2:5" ht="15" customHeight="1">
      <c r="B33" s="93"/>
      <c r="C33" s="43" t="s">
        <v>116</v>
      </c>
      <c r="D33" s="42">
        <v>4</v>
      </c>
      <c r="E33" s="41">
        <v>1.2598425196850393E-3</v>
      </c>
    </row>
    <row r="34" spans="2:5" ht="15" customHeight="1">
      <c r="B34" s="93"/>
      <c r="C34" s="43" t="s">
        <v>114</v>
      </c>
      <c r="D34" s="42">
        <v>2</v>
      </c>
      <c r="E34" s="41">
        <v>6.2992125984251965E-4</v>
      </c>
    </row>
    <row r="35" spans="2:5" ht="15" customHeight="1">
      <c r="B35" s="93"/>
      <c r="C35" s="43" t="s">
        <v>121</v>
      </c>
      <c r="D35" s="42">
        <v>6</v>
      </c>
      <c r="E35" s="41">
        <v>1.8897637795275591E-3</v>
      </c>
    </row>
    <row r="36" spans="2:5" ht="15" customHeight="1">
      <c r="B36" s="94"/>
      <c r="C36" s="40" t="s">
        <v>20</v>
      </c>
      <c r="D36" s="39">
        <v>57</v>
      </c>
      <c r="E36" s="38">
        <v>1.7952755905511812E-2</v>
      </c>
    </row>
    <row r="37" spans="2:5" ht="15" customHeight="1">
      <c r="B37" s="92" t="s">
        <v>39</v>
      </c>
      <c r="C37" s="43" t="s">
        <v>123</v>
      </c>
      <c r="D37" s="42">
        <v>1</v>
      </c>
      <c r="E37" s="41">
        <v>3.1496062992125983E-4</v>
      </c>
    </row>
    <row r="38" spans="2:5" ht="15" customHeight="1">
      <c r="B38" s="93"/>
      <c r="C38" s="43" t="s">
        <v>125</v>
      </c>
      <c r="D38" s="42">
        <v>7</v>
      </c>
      <c r="E38" s="41">
        <v>2.204724409448819E-3</v>
      </c>
    </row>
    <row r="39" spans="2:5" ht="15" customHeight="1">
      <c r="B39" s="93"/>
      <c r="C39" s="43" t="s">
        <v>124</v>
      </c>
      <c r="D39" s="42">
        <v>3</v>
      </c>
      <c r="E39" s="41">
        <v>9.4488188976377954E-4</v>
      </c>
    </row>
    <row r="40" spans="2:5" ht="15" customHeight="1">
      <c r="B40" s="93"/>
      <c r="C40" s="43" t="s">
        <v>122</v>
      </c>
      <c r="D40" s="42">
        <v>2</v>
      </c>
      <c r="E40" s="41">
        <v>6.2992125984251965E-4</v>
      </c>
    </row>
    <row r="41" spans="2:5" ht="15" customHeight="1">
      <c r="B41" s="93"/>
      <c r="C41" s="43" t="s">
        <v>120</v>
      </c>
      <c r="D41" s="42">
        <v>2</v>
      </c>
      <c r="E41" s="41">
        <v>6.2992125984251965E-4</v>
      </c>
    </row>
    <row r="42" spans="2:5" ht="15" customHeight="1">
      <c r="B42" s="93"/>
      <c r="C42" s="43" t="s">
        <v>112</v>
      </c>
      <c r="D42" s="42">
        <v>1</v>
      </c>
      <c r="E42" s="41">
        <v>3.1496062992125983E-4</v>
      </c>
    </row>
    <row r="43" spans="2:5" ht="15" customHeight="1">
      <c r="B43" s="93"/>
      <c r="C43" s="43" t="s">
        <v>126</v>
      </c>
      <c r="D43" s="42">
        <v>4</v>
      </c>
      <c r="E43" s="41">
        <v>1.2598425196850393E-3</v>
      </c>
    </row>
    <row r="44" spans="2:5" ht="15" customHeight="1">
      <c r="B44" s="93"/>
      <c r="C44" s="43" t="s">
        <v>115</v>
      </c>
      <c r="D44" s="42">
        <v>1</v>
      </c>
      <c r="E44" s="41">
        <v>3.1496062992125983E-4</v>
      </c>
    </row>
    <row r="45" spans="2:5" ht="15" customHeight="1">
      <c r="B45" s="93"/>
      <c r="C45" s="43" t="s">
        <v>119</v>
      </c>
      <c r="D45" s="42">
        <v>4</v>
      </c>
      <c r="E45" s="41">
        <v>1.2598425196850393E-3</v>
      </c>
    </row>
    <row r="46" spans="2:5" ht="15" customHeight="1">
      <c r="B46" s="93"/>
      <c r="C46" s="43" t="s">
        <v>121</v>
      </c>
      <c r="D46" s="42">
        <v>1</v>
      </c>
      <c r="E46" s="41">
        <v>3.1496062992125983E-4</v>
      </c>
    </row>
    <row r="47" spans="2:5" ht="15" customHeight="1">
      <c r="B47" s="94"/>
      <c r="C47" s="40" t="s">
        <v>20</v>
      </c>
      <c r="D47" s="39">
        <v>26</v>
      </c>
      <c r="E47" s="38">
        <v>8.1889763779527565E-3</v>
      </c>
    </row>
    <row r="48" spans="2:5" ht="15" customHeight="1">
      <c r="B48" s="92" t="s">
        <v>61</v>
      </c>
      <c r="C48" s="43" t="s">
        <v>123</v>
      </c>
      <c r="D48" s="42">
        <v>39</v>
      </c>
      <c r="E48" s="41">
        <v>1.2283464566929133E-2</v>
      </c>
    </row>
    <row r="49" spans="2:5" ht="15" customHeight="1">
      <c r="B49" s="93"/>
      <c r="C49" s="43" t="s">
        <v>125</v>
      </c>
      <c r="D49" s="42">
        <v>52</v>
      </c>
      <c r="E49" s="41">
        <v>1.6377952755905513E-2</v>
      </c>
    </row>
    <row r="50" spans="2:5" ht="15" customHeight="1">
      <c r="B50" s="93"/>
      <c r="C50" s="43" t="s">
        <v>113</v>
      </c>
      <c r="D50" s="42">
        <v>10</v>
      </c>
      <c r="E50" s="41">
        <v>3.1496062992125984E-3</v>
      </c>
    </row>
    <row r="51" spans="2:5" ht="15" customHeight="1">
      <c r="B51" s="93"/>
      <c r="C51" s="43" t="s">
        <v>124</v>
      </c>
      <c r="D51" s="42">
        <v>31</v>
      </c>
      <c r="E51" s="41">
        <v>9.7637795275590557E-3</v>
      </c>
    </row>
    <row r="52" spans="2:5" ht="15" customHeight="1">
      <c r="B52" s="93"/>
      <c r="C52" s="43" t="s">
        <v>122</v>
      </c>
      <c r="D52" s="42">
        <v>41</v>
      </c>
      <c r="E52" s="41">
        <v>1.2913385826771654E-2</v>
      </c>
    </row>
    <row r="53" spans="2:5" ht="15" customHeight="1">
      <c r="B53" s="93"/>
      <c r="C53" s="43" t="s">
        <v>120</v>
      </c>
      <c r="D53" s="42">
        <v>8</v>
      </c>
      <c r="E53" s="41">
        <v>2.5196850393700786E-3</v>
      </c>
    </row>
    <row r="54" spans="2:5" ht="15" customHeight="1">
      <c r="B54" s="93"/>
      <c r="C54" s="43" t="s">
        <v>112</v>
      </c>
      <c r="D54" s="42">
        <v>4</v>
      </c>
      <c r="E54" s="41">
        <v>1.2598425196850393E-3</v>
      </c>
    </row>
    <row r="55" spans="2:5" ht="15" customHeight="1">
      <c r="B55" s="93"/>
      <c r="C55" s="43" t="s">
        <v>126</v>
      </c>
      <c r="D55" s="42">
        <v>39</v>
      </c>
      <c r="E55" s="41">
        <v>1.2283464566929133E-2</v>
      </c>
    </row>
    <row r="56" spans="2:5" ht="15" customHeight="1">
      <c r="B56" s="93"/>
      <c r="C56" s="43" t="s">
        <v>115</v>
      </c>
      <c r="D56" s="42">
        <v>5</v>
      </c>
      <c r="E56" s="41">
        <v>1.5748031496062992E-3</v>
      </c>
    </row>
    <row r="57" spans="2:5" ht="15" customHeight="1">
      <c r="B57" s="93"/>
      <c r="C57" s="43" t="s">
        <v>118</v>
      </c>
      <c r="D57" s="42">
        <v>4</v>
      </c>
      <c r="E57" s="41">
        <v>1.2598425196850393E-3</v>
      </c>
    </row>
    <row r="58" spans="2:5" ht="15" customHeight="1">
      <c r="B58" s="93"/>
      <c r="C58" s="43" t="s">
        <v>111</v>
      </c>
      <c r="D58" s="42">
        <v>3</v>
      </c>
      <c r="E58" s="41">
        <v>9.4488188976377954E-4</v>
      </c>
    </row>
    <row r="59" spans="2:5" ht="15" customHeight="1">
      <c r="B59" s="93"/>
      <c r="C59" s="43" t="s">
        <v>119</v>
      </c>
      <c r="D59" s="42">
        <v>18</v>
      </c>
      <c r="E59" s="41">
        <v>5.6692913385826774E-3</v>
      </c>
    </row>
    <row r="60" spans="2:5" ht="15" customHeight="1">
      <c r="B60" s="93"/>
      <c r="C60" s="43" t="s">
        <v>110</v>
      </c>
      <c r="D60" s="42">
        <v>1</v>
      </c>
      <c r="E60" s="41">
        <v>3.1496062992125983E-4</v>
      </c>
    </row>
    <row r="61" spans="2:5" ht="15" customHeight="1">
      <c r="B61" s="93"/>
      <c r="C61" s="43" t="s">
        <v>117</v>
      </c>
      <c r="D61" s="42">
        <v>7</v>
      </c>
      <c r="E61" s="41">
        <v>2.204724409448819E-3</v>
      </c>
    </row>
    <row r="62" spans="2:5" ht="15" customHeight="1">
      <c r="B62" s="93"/>
      <c r="C62" s="43" t="s">
        <v>116</v>
      </c>
      <c r="D62" s="42">
        <v>3</v>
      </c>
      <c r="E62" s="41">
        <v>9.4488188976377954E-4</v>
      </c>
    </row>
    <row r="63" spans="2:5" ht="15" customHeight="1">
      <c r="B63" s="93"/>
      <c r="C63" s="43" t="s">
        <v>114</v>
      </c>
      <c r="D63" s="42">
        <v>3</v>
      </c>
      <c r="E63" s="41">
        <v>9.4488188976377954E-4</v>
      </c>
    </row>
    <row r="64" spans="2:5" ht="15" customHeight="1">
      <c r="B64" s="93"/>
      <c r="C64" s="43" t="s">
        <v>121</v>
      </c>
      <c r="D64" s="42">
        <v>22</v>
      </c>
      <c r="E64" s="41">
        <v>6.929133858267717E-3</v>
      </c>
    </row>
    <row r="65" spans="2:5" ht="15" customHeight="1">
      <c r="B65" s="94"/>
      <c r="C65" s="40" t="s">
        <v>20</v>
      </c>
      <c r="D65" s="39">
        <v>290</v>
      </c>
      <c r="E65" s="38">
        <v>9.1338582677165353E-2</v>
      </c>
    </row>
    <row r="66" spans="2:5" ht="15" customHeight="1">
      <c r="B66" s="92" t="s">
        <v>52</v>
      </c>
      <c r="C66" s="43" t="s">
        <v>123</v>
      </c>
      <c r="D66" s="42">
        <v>7</v>
      </c>
      <c r="E66" s="41">
        <v>2.204724409448819E-3</v>
      </c>
    </row>
    <row r="67" spans="2:5" ht="15" customHeight="1">
      <c r="B67" s="93"/>
      <c r="C67" s="43" t="s">
        <v>125</v>
      </c>
      <c r="D67" s="42">
        <v>12</v>
      </c>
      <c r="E67" s="41">
        <v>3.7795275590551181E-3</v>
      </c>
    </row>
    <row r="68" spans="2:5" ht="15" customHeight="1">
      <c r="B68" s="93"/>
      <c r="C68" s="43" t="s">
        <v>124</v>
      </c>
      <c r="D68" s="42">
        <v>6</v>
      </c>
      <c r="E68" s="41">
        <v>1.8897637795275591E-3</v>
      </c>
    </row>
    <row r="69" spans="2:5" ht="15" customHeight="1">
      <c r="B69" s="93"/>
      <c r="C69" s="43" t="s">
        <v>122</v>
      </c>
      <c r="D69" s="42">
        <v>7</v>
      </c>
      <c r="E69" s="41">
        <v>2.204724409448819E-3</v>
      </c>
    </row>
    <row r="70" spans="2:5" ht="15" customHeight="1">
      <c r="B70" s="93"/>
      <c r="C70" s="43" t="s">
        <v>120</v>
      </c>
      <c r="D70" s="42">
        <v>1</v>
      </c>
      <c r="E70" s="41">
        <v>3.1496062992125983E-4</v>
      </c>
    </row>
    <row r="71" spans="2:5" ht="15" customHeight="1">
      <c r="B71" s="93"/>
      <c r="C71" s="43" t="s">
        <v>126</v>
      </c>
      <c r="D71" s="42">
        <v>5</v>
      </c>
      <c r="E71" s="41">
        <v>1.5748031496062992E-3</v>
      </c>
    </row>
    <row r="72" spans="2:5" ht="15" customHeight="1">
      <c r="B72" s="93"/>
      <c r="C72" s="43" t="s">
        <v>115</v>
      </c>
      <c r="D72" s="42">
        <v>1</v>
      </c>
      <c r="E72" s="41">
        <v>3.1496062992125983E-4</v>
      </c>
    </row>
    <row r="73" spans="2:5" ht="15" customHeight="1">
      <c r="B73" s="93"/>
      <c r="C73" s="43" t="s">
        <v>118</v>
      </c>
      <c r="D73" s="42">
        <v>1</v>
      </c>
      <c r="E73" s="41">
        <v>3.1496062992125983E-4</v>
      </c>
    </row>
    <row r="74" spans="2:5" ht="15" customHeight="1">
      <c r="B74" s="93"/>
      <c r="C74" s="43" t="s">
        <v>110</v>
      </c>
      <c r="D74" s="42">
        <v>1</v>
      </c>
      <c r="E74" s="41">
        <v>3.1496062992125983E-4</v>
      </c>
    </row>
    <row r="75" spans="2:5" ht="15" customHeight="1">
      <c r="B75" s="93"/>
      <c r="C75" s="43" t="s">
        <v>116</v>
      </c>
      <c r="D75" s="42">
        <v>4</v>
      </c>
      <c r="E75" s="41">
        <v>1.2598425196850393E-3</v>
      </c>
    </row>
    <row r="76" spans="2:5" ht="15" customHeight="1">
      <c r="B76" s="93"/>
      <c r="C76" s="43" t="s">
        <v>121</v>
      </c>
      <c r="D76" s="42">
        <v>2</v>
      </c>
      <c r="E76" s="41">
        <v>6.2992125984251965E-4</v>
      </c>
    </row>
    <row r="77" spans="2:5" ht="15" customHeight="1">
      <c r="B77" s="94"/>
      <c r="C77" s="40" t="s">
        <v>20</v>
      </c>
      <c r="D77" s="39">
        <v>47</v>
      </c>
      <c r="E77" s="38">
        <v>1.4803149606299212E-2</v>
      </c>
    </row>
    <row r="78" spans="2:5" ht="15" customHeight="1">
      <c r="B78" s="92" t="s">
        <v>30</v>
      </c>
      <c r="C78" s="43" t="s">
        <v>125</v>
      </c>
      <c r="D78" s="42">
        <v>9</v>
      </c>
      <c r="E78" s="41">
        <v>2.8346456692913387E-3</v>
      </c>
    </row>
    <row r="79" spans="2:5" ht="15" customHeight="1">
      <c r="B79" s="93"/>
      <c r="C79" s="43" t="s">
        <v>124</v>
      </c>
      <c r="D79" s="42">
        <v>1</v>
      </c>
      <c r="E79" s="41">
        <v>3.1496062992125983E-4</v>
      </c>
    </row>
    <row r="80" spans="2:5" ht="15" customHeight="1">
      <c r="B80" s="93"/>
      <c r="C80" s="43" t="s">
        <v>126</v>
      </c>
      <c r="D80" s="42">
        <v>2</v>
      </c>
      <c r="E80" s="41">
        <v>6.2992125984251965E-4</v>
      </c>
    </row>
    <row r="81" spans="2:5" ht="15" customHeight="1">
      <c r="B81" s="93"/>
      <c r="C81" s="43" t="s">
        <v>119</v>
      </c>
      <c r="D81" s="42">
        <v>1</v>
      </c>
      <c r="E81" s="41">
        <v>3.1496062992125983E-4</v>
      </c>
    </row>
    <row r="82" spans="2:5" ht="15" customHeight="1">
      <c r="B82" s="94"/>
      <c r="C82" s="40" t="s">
        <v>20</v>
      </c>
      <c r="D82" s="39">
        <v>13</v>
      </c>
      <c r="E82" s="38">
        <v>4.0944881889763782E-3</v>
      </c>
    </row>
    <row r="83" spans="2:5" ht="15" customHeight="1">
      <c r="B83" s="92" t="s">
        <v>25</v>
      </c>
      <c r="C83" s="43" t="s">
        <v>125</v>
      </c>
      <c r="D83" s="42">
        <v>1</v>
      </c>
      <c r="E83" s="41">
        <v>3.1496062992125983E-4</v>
      </c>
    </row>
    <row r="84" spans="2:5" ht="15" customHeight="1">
      <c r="B84" s="93"/>
      <c r="C84" s="43" t="s">
        <v>119</v>
      </c>
      <c r="D84" s="42">
        <v>1</v>
      </c>
      <c r="E84" s="41">
        <v>3.1496062992125983E-4</v>
      </c>
    </row>
    <row r="85" spans="2:5" ht="15" customHeight="1">
      <c r="B85" s="93"/>
      <c r="C85" s="43" t="s">
        <v>114</v>
      </c>
      <c r="D85" s="42">
        <v>1</v>
      </c>
      <c r="E85" s="41">
        <v>3.1496062992125983E-4</v>
      </c>
    </row>
    <row r="86" spans="2:5" ht="15" customHeight="1">
      <c r="B86" s="94"/>
      <c r="C86" s="40" t="s">
        <v>20</v>
      </c>
      <c r="D86" s="39">
        <v>3</v>
      </c>
      <c r="E86" s="38">
        <v>9.4488188976377954E-4</v>
      </c>
    </row>
    <row r="87" spans="2:5" ht="15" customHeight="1">
      <c r="B87" s="92" t="s">
        <v>196</v>
      </c>
      <c r="C87" s="43" t="s">
        <v>122</v>
      </c>
      <c r="D87" s="42">
        <v>1</v>
      </c>
      <c r="E87" s="41">
        <v>3.1496062992125983E-4</v>
      </c>
    </row>
    <row r="88" spans="2:5" ht="15" customHeight="1">
      <c r="B88" s="94"/>
      <c r="C88" s="40" t="s">
        <v>20</v>
      </c>
      <c r="D88" s="39">
        <v>1</v>
      </c>
      <c r="E88" s="38">
        <v>3.1496062992125983E-4</v>
      </c>
    </row>
    <row r="89" spans="2:5" ht="15" customHeight="1">
      <c r="B89" s="92" t="s">
        <v>59</v>
      </c>
      <c r="C89" s="43" t="s">
        <v>123</v>
      </c>
      <c r="D89" s="42">
        <v>16</v>
      </c>
      <c r="E89" s="41">
        <v>5.0393700787401572E-3</v>
      </c>
    </row>
    <row r="90" spans="2:5" ht="15" customHeight="1">
      <c r="B90" s="93"/>
      <c r="C90" s="43" t="s">
        <v>125</v>
      </c>
      <c r="D90" s="42">
        <v>71</v>
      </c>
      <c r="E90" s="41">
        <v>2.2362204724409449E-2</v>
      </c>
    </row>
    <row r="91" spans="2:5" ht="15" customHeight="1">
      <c r="B91" s="93"/>
      <c r="C91" s="43" t="s">
        <v>113</v>
      </c>
      <c r="D91" s="42">
        <v>2</v>
      </c>
      <c r="E91" s="41">
        <v>6.2992125984251965E-4</v>
      </c>
    </row>
    <row r="92" spans="2:5" ht="15" customHeight="1">
      <c r="B92" s="93"/>
      <c r="C92" s="43" t="s">
        <v>124</v>
      </c>
      <c r="D92" s="42">
        <v>25</v>
      </c>
      <c r="E92" s="41">
        <v>7.874015748031496E-3</v>
      </c>
    </row>
    <row r="93" spans="2:5" ht="15" customHeight="1">
      <c r="B93" s="93"/>
      <c r="C93" s="43" t="s">
        <v>122</v>
      </c>
      <c r="D93" s="42">
        <v>16</v>
      </c>
      <c r="E93" s="41">
        <v>5.0393700787401572E-3</v>
      </c>
    </row>
    <row r="94" spans="2:5" ht="15" customHeight="1">
      <c r="B94" s="93"/>
      <c r="C94" s="43" t="s">
        <v>120</v>
      </c>
      <c r="D94" s="42">
        <v>5</v>
      </c>
      <c r="E94" s="41">
        <v>1.5748031496062992E-3</v>
      </c>
    </row>
    <row r="95" spans="2:5" ht="15" customHeight="1">
      <c r="B95" s="93"/>
      <c r="C95" s="43" t="s">
        <v>112</v>
      </c>
      <c r="D95" s="42">
        <v>1</v>
      </c>
      <c r="E95" s="41">
        <v>3.1496062992125983E-4</v>
      </c>
    </row>
    <row r="96" spans="2:5" ht="15" customHeight="1">
      <c r="B96" s="93"/>
      <c r="C96" s="43" t="s">
        <v>126</v>
      </c>
      <c r="D96" s="42">
        <v>64</v>
      </c>
      <c r="E96" s="41">
        <v>2.0157480314960629E-2</v>
      </c>
    </row>
    <row r="97" spans="2:5" ht="15" customHeight="1">
      <c r="B97" s="93"/>
      <c r="C97" s="43" t="s">
        <v>115</v>
      </c>
      <c r="D97" s="42">
        <v>4</v>
      </c>
      <c r="E97" s="41">
        <v>1.2598425196850393E-3</v>
      </c>
    </row>
    <row r="98" spans="2:5" ht="15" customHeight="1">
      <c r="B98" s="93"/>
      <c r="C98" s="43" t="s">
        <v>118</v>
      </c>
      <c r="D98" s="42">
        <v>7</v>
      </c>
      <c r="E98" s="41">
        <v>2.204724409448819E-3</v>
      </c>
    </row>
    <row r="99" spans="2:5" ht="15" customHeight="1">
      <c r="B99" s="93"/>
      <c r="C99" s="43" t="s">
        <v>111</v>
      </c>
      <c r="D99" s="42">
        <v>2</v>
      </c>
      <c r="E99" s="41">
        <v>6.2992125984251965E-4</v>
      </c>
    </row>
    <row r="100" spans="2:5" ht="15" customHeight="1">
      <c r="B100" s="93"/>
      <c r="C100" s="43" t="s">
        <v>119</v>
      </c>
      <c r="D100" s="42">
        <v>10</v>
      </c>
      <c r="E100" s="41">
        <v>3.1496062992125984E-3</v>
      </c>
    </row>
    <row r="101" spans="2:5" ht="15" customHeight="1">
      <c r="B101" s="93"/>
      <c r="C101" s="43" t="s">
        <v>117</v>
      </c>
      <c r="D101" s="42">
        <v>2</v>
      </c>
      <c r="E101" s="41">
        <v>6.2992125984251965E-4</v>
      </c>
    </row>
    <row r="102" spans="2:5" ht="15" customHeight="1">
      <c r="B102" s="93"/>
      <c r="C102" s="43" t="s">
        <v>116</v>
      </c>
      <c r="D102" s="42">
        <v>2</v>
      </c>
      <c r="E102" s="41">
        <v>6.2992125984251965E-4</v>
      </c>
    </row>
    <row r="103" spans="2:5" ht="15" customHeight="1">
      <c r="B103" s="93"/>
      <c r="C103" s="43" t="s">
        <v>114</v>
      </c>
      <c r="D103" s="42">
        <v>1</v>
      </c>
      <c r="E103" s="41">
        <v>3.1496062992125983E-4</v>
      </c>
    </row>
    <row r="104" spans="2:5" ht="15" customHeight="1">
      <c r="B104" s="93"/>
      <c r="C104" s="43" t="s">
        <v>121</v>
      </c>
      <c r="D104" s="42">
        <v>8</v>
      </c>
      <c r="E104" s="41">
        <v>2.5196850393700786E-3</v>
      </c>
    </row>
    <row r="105" spans="2:5" ht="15" customHeight="1">
      <c r="B105" s="94"/>
      <c r="C105" s="40" t="s">
        <v>20</v>
      </c>
      <c r="D105" s="39">
        <v>236</v>
      </c>
      <c r="E105" s="38">
        <v>7.4330708661417319E-2</v>
      </c>
    </row>
    <row r="106" spans="2:5" ht="15" customHeight="1">
      <c r="B106" s="92" t="s">
        <v>58</v>
      </c>
      <c r="C106" s="43" t="s">
        <v>123</v>
      </c>
      <c r="D106" s="42">
        <v>4</v>
      </c>
      <c r="E106" s="41">
        <v>1.2598425196850393E-3</v>
      </c>
    </row>
    <row r="107" spans="2:5" ht="15" customHeight="1">
      <c r="B107" s="93"/>
      <c r="C107" s="43" t="s">
        <v>125</v>
      </c>
      <c r="D107" s="42">
        <v>26</v>
      </c>
      <c r="E107" s="41">
        <v>8.1889763779527565E-3</v>
      </c>
    </row>
    <row r="108" spans="2:5" ht="15" customHeight="1">
      <c r="B108" s="93"/>
      <c r="C108" s="43" t="s">
        <v>124</v>
      </c>
      <c r="D108" s="42">
        <v>5</v>
      </c>
      <c r="E108" s="41">
        <v>1.5748031496062992E-3</v>
      </c>
    </row>
    <row r="109" spans="2:5" ht="15" customHeight="1">
      <c r="B109" s="93"/>
      <c r="C109" s="43" t="s">
        <v>122</v>
      </c>
      <c r="D109" s="42">
        <v>7</v>
      </c>
      <c r="E109" s="41">
        <v>2.204724409448819E-3</v>
      </c>
    </row>
    <row r="110" spans="2:5" ht="15" customHeight="1">
      <c r="B110" s="93"/>
      <c r="C110" s="43" t="s">
        <v>120</v>
      </c>
      <c r="D110" s="42">
        <v>11</v>
      </c>
      <c r="E110" s="41">
        <v>3.4645669291338585E-3</v>
      </c>
    </row>
    <row r="111" spans="2:5" ht="15" customHeight="1">
      <c r="B111" s="93"/>
      <c r="C111" s="43" t="s">
        <v>112</v>
      </c>
      <c r="D111" s="42">
        <v>2</v>
      </c>
      <c r="E111" s="41">
        <v>6.2992125984251965E-4</v>
      </c>
    </row>
    <row r="112" spans="2:5" ht="15" customHeight="1">
      <c r="B112" s="93"/>
      <c r="C112" s="43" t="s">
        <v>126</v>
      </c>
      <c r="D112" s="42">
        <v>36</v>
      </c>
      <c r="E112" s="41">
        <v>1.1338582677165355E-2</v>
      </c>
    </row>
    <row r="113" spans="2:5" ht="15" customHeight="1">
      <c r="B113" s="93"/>
      <c r="C113" s="43" t="s">
        <v>115</v>
      </c>
      <c r="D113" s="42">
        <v>2</v>
      </c>
      <c r="E113" s="41">
        <v>6.2992125984251965E-4</v>
      </c>
    </row>
    <row r="114" spans="2:5" ht="15" customHeight="1">
      <c r="B114" s="93"/>
      <c r="C114" s="43" t="s">
        <v>118</v>
      </c>
      <c r="D114" s="42">
        <v>4</v>
      </c>
      <c r="E114" s="41">
        <v>1.2598425196850393E-3</v>
      </c>
    </row>
    <row r="115" spans="2:5" ht="15" customHeight="1">
      <c r="B115" s="93"/>
      <c r="C115" s="43" t="s">
        <v>119</v>
      </c>
      <c r="D115" s="42">
        <v>3</v>
      </c>
      <c r="E115" s="41">
        <v>9.4488188976377954E-4</v>
      </c>
    </row>
    <row r="116" spans="2:5" ht="15" customHeight="1">
      <c r="B116" s="93"/>
      <c r="C116" s="43" t="s">
        <v>117</v>
      </c>
      <c r="D116" s="42">
        <v>2</v>
      </c>
      <c r="E116" s="41">
        <v>6.2992125984251965E-4</v>
      </c>
    </row>
    <row r="117" spans="2:5" ht="15" customHeight="1">
      <c r="B117" s="93"/>
      <c r="C117" s="43" t="s">
        <v>116</v>
      </c>
      <c r="D117" s="42">
        <v>2</v>
      </c>
      <c r="E117" s="41">
        <v>6.2992125984251965E-4</v>
      </c>
    </row>
    <row r="118" spans="2:5" ht="15" customHeight="1">
      <c r="B118" s="93"/>
      <c r="C118" s="43" t="s">
        <v>121</v>
      </c>
      <c r="D118" s="42">
        <v>7</v>
      </c>
      <c r="E118" s="41">
        <v>2.204724409448819E-3</v>
      </c>
    </row>
    <row r="119" spans="2:5" ht="15" customHeight="1">
      <c r="B119" s="94"/>
      <c r="C119" s="40" t="s">
        <v>20</v>
      </c>
      <c r="D119" s="39">
        <v>111</v>
      </c>
      <c r="E119" s="38">
        <v>3.4960629921259839E-2</v>
      </c>
    </row>
    <row r="120" spans="2:5" ht="15" customHeight="1">
      <c r="B120" s="92" t="s">
        <v>24</v>
      </c>
      <c r="C120" s="43" t="s">
        <v>123</v>
      </c>
      <c r="D120" s="42">
        <v>6</v>
      </c>
      <c r="E120" s="41">
        <v>1.8897637795275591E-3</v>
      </c>
    </row>
    <row r="121" spans="2:5" ht="15" customHeight="1">
      <c r="B121" s="93"/>
      <c r="C121" s="43" t="s">
        <v>125</v>
      </c>
      <c r="D121" s="42">
        <v>3</v>
      </c>
      <c r="E121" s="41">
        <v>9.4488188976377954E-4</v>
      </c>
    </row>
    <row r="122" spans="2:5" ht="15" customHeight="1">
      <c r="B122" s="93"/>
      <c r="C122" s="43" t="s">
        <v>126</v>
      </c>
      <c r="D122" s="42">
        <v>3</v>
      </c>
      <c r="E122" s="41">
        <v>9.4488188976377954E-4</v>
      </c>
    </row>
    <row r="123" spans="2:5" ht="15" customHeight="1">
      <c r="B123" s="93"/>
      <c r="C123" s="43" t="s">
        <v>119</v>
      </c>
      <c r="D123" s="42">
        <v>4</v>
      </c>
      <c r="E123" s="41">
        <v>1.2598425196850393E-3</v>
      </c>
    </row>
    <row r="124" spans="2:5" ht="15" customHeight="1">
      <c r="B124" s="94"/>
      <c r="C124" s="40" t="s">
        <v>20</v>
      </c>
      <c r="D124" s="39">
        <v>16</v>
      </c>
      <c r="E124" s="38">
        <v>5.0393700787401572E-3</v>
      </c>
    </row>
    <row r="125" spans="2:5" ht="15" customHeight="1">
      <c r="B125" s="92" t="s">
        <v>54</v>
      </c>
      <c r="C125" s="43" t="s">
        <v>123</v>
      </c>
      <c r="D125" s="42">
        <v>12</v>
      </c>
      <c r="E125" s="41">
        <v>3.7795275590551181E-3</v>
      </c>
    </row>
    <row r="126" spans="2:5" ht="15" customHeight="1">
      <c r="B126" s="93"/>
      <c r="C126" s="43" t="s">
        <v>125</v>
      </c>
      <c r="D126" s="42">
        <v>38</v>
      </c>
      <c r="E126" s="41">
        <v>1.1968503937007874E-2</v>
      </c>
    </row>
    <row r="127" spans="2:5" ht="15" customHeight="1">
      <c r="B127" s="93"/>
      <c r="C127" s="43" t="s">
        <v>113</v>
      </c>
      <c r="D127" s="42">
        <v>1</v>
      </c>
      <c r="E127" s="41">
        <v>3.1496062992125983E-4</v>
      </c>
    </row>
    <row r="128" spans="2:5" ht="15" customHeight="1">
      <c r="B128" s="93"/>
      <c r="C128" s="43" t="s">
        <v>124</v>
      </c>
      <c r="D128" s="42">
        <v>12</v>
      </c>
      <c r="E128" s="41">
        <v>3.7795275590551181E-3</v>
      </c>
    </row>
    <row r="129" spans="2:5" ht="15" customHeight="1">
      <c r="B129" s="93"/>
      <c r="C129" s="43" t="s">
        <v>122</v>
      </c>
      <c r="D129" s="42">
        <v>13</v>
      </c>
      <c r="E129" s="41">
        <v>4.0944881889763782E-3</v>
      </c>
    </row>
    <row r="130" spans="2:5" ht="15" customHeight="1">
      <c r="B130" s="93"/>
      <c r="C130" s="43" t="s">
        <v>120</v>
      </c>
      <c r="D130" s="42">
        <v>5</v>
      </c>
      <c r="E130" s="41">
        <v>1.5748031496062992E-3</v>
      </c>
    </row>
    <row r="131" spans="2:5" ht="15" customHeight="1">
      <c r="B131" s="93"/>
      <c r="C131" s="43" t="s">
        <v>112</v>
      </c>
      <c r="D131" s="42">
        <v>1</v>
      </c>
      <c r="E131" s="41">
        <v>3.1496062992125983E-4</v>
      </c>
    </row>
    <row r="132" spans="2:5" ht="15" customHeight="1">
      <c r="B132" s="93"/>
      <c r="C132" s="43" t="s">
        <v>126</v>
      </c>
      <c r="D132" s="42">
        <v>28</v>
      </c>
      <c r="E132" s="41">
        <v>8.8188976377952758E-3</v>
      </c>
    </row>
    <row r="133" spans="2:5" ht="15" customHeight="1">
      <c r="B133" s="93"/>
      <c r="C133" s="43" t="s">
        <v>115</v>
      </c>
      <c r="D133" s="42">
        <v>1</v>
      </c>
      <c r="E133" s="41">
        <v>3.1496062992125983E-4</v>
      </c>
    </row>
    <row r="134" spans="2:5" ht="15" customHeight="1">
      <c r="B134" s="93"/>
      <c r="C134" s="43" t="s">
        <v>117</v>
      </c>
      <c r="D134" s="42">
        <v>2</v>
      </c>
      <c r="E134" s="41">
        <v>6.2992125984251965E-4</v>
      </c>
    </row>
    <row r="135" spans="2:5" ht="15" customHeight="1">
      <c r="B135" s="93"/>
      <c r="C135" s="43" t="s">
        <v>121</v>
      </c>
      <c r="D135" s="42">
        <v>2</v>
      </c>
      <c r="E135" s="41">
        <v>6.2992125984251965E-4</v>
      </c>
    </row>
    <row r="136" spans="2:5" ht="15" customHeight="1">
      <c r="B136" s="94"/>
      <c r="C136" s="40" t="s">
        <v>20</v>
      </c>
      <c r="D136" s="39">
        <v>115</v>
      </c>
      <c r="E136" s="38">
        <v>3.6220472440944881E-2</v>
      </c>
    </row>
    <row r="137" spans="2:5" ht="15" customHeight="1">
      <c r="B137" s="92" t="s">
        <v>55</v>
      </c>
      <c r="C137" s="43" t="s">
        <v>123</v>
      </c>
      <c r="D137" s="42">
        <v>9</v>
      </c>
      <c r="E137" s="41">
        <v>2.8346456692913387E-3</v>
      </c>
    </row>
    <row r="138" spans="2:5" ht="15" customHeight="1">
      <c r="B138" s="93"/>
      <c r="C138" s="43" t="s">
        <v>125</v>
      </c>
      <c r="D138" s="42">
        <v>23</v>
      </c>
      <c r="E138" s="41">
        <v>7.2440944881889766E-3</v>
      </c>
    </row>
    <row r="139" spans="2:5" ht="15" customHeight="1">
      <c r="B139" s="93"/>
      <c r="C139" s="43" t="s">
        <v>113</v>
      </c>
      <c r="D139" s="42">
        <v>1</v>
      </c>
      <c r="E139" s="41">
        <v>3.1496062992125983E-4</v>
      </c>
    </row>
    <row r="140" spans="2:5" ht="15" customHeight="1">
      <c r="B140" s="93"/>
      <c r="C140" s="43" t="s">
        <v>124</v>
      </c>
      <c r="D140" s="42">
        <v>12</v>
      </c>
      <c r="E140" s="41">
        <v>3.7795275590551181E-3</v>
      </c>
    </row>
    <row r="141" spans="2:5" ht="15" customHeight="1">
      <c r="B141" s="93"/>
      <c r="C141" s="43" t="s">
        <v>122</v>
      </c>
      <c r="D141" s="42">
        <v>7</v>
      </c>
      <c r="E141" s="41">
        <v>2.204724409448819E-3</v>
      </c>
    </row>
    <row r="142" spans="2:5" ht="15" customHeight="1">
      <c r="B142" s="93"/>
      <c r="C142" s="43" t="s">
        <v>120</v>
      </c>
      <c r="D142" s="42">
        <v>8</v>
      </c>
      <c r="E142" s="41">
        <v>2.5196850393700786E-3</v>
      </c>
    </row>
    <row r="143" spans="2:5" ht="15" customHeight="1">
      <c r="B143" s="93"/>
      <c r="C143" s="43" t="s">
        <v>112</v>
      </c>
      <c r="D143" s="42">
        <v>2</v>
      </c>
      <c r="E143" s="41">
        <v>6.2992125984251965E-4</v>
      </c>
    </row>
    <row r="144" spans="2:5" ht="15" customHeight="1">
      <c r="B144" s="93"/>
      <c r="C144" s="43" t="s">
        <v>126</v>
      </c>
      <c r="D144" s="42">
        <v>31</v>
      </c>
      <c r="E144" s="41">
        <v>9.7637795275590557E-3</v>
      </c>
    </row>
    <row r="145" spans="2:5" ht="15" customHeight="1">
      <c r="B145" s="93"/>
      <c r="C145" s="43" t="s">
        <v>115</v>
      </c>
      <c r="D145" s="42">
        <v>3</v>
      </c>
      <c r="E145" s="41">
        <v>9.4488188976377954E-4</v>
      </c>
    </row>
    <row r="146" spans="2:5" ht="15" customHeight="1">
      <c r="B146" s="93"/>
      <c r="C146" s="43" t="s">
        <v>118</v>
      </c>
      <c r="D146" s="42">
        <v>10</v>
      </c>
      <c r="E146" s="41">
        <v>3.1496062992125984E-3</v>
      </c>
    </row>
    <row r="147" spans="2:5" ht="15" customHeight="1">
      <c r="B147" s="93"/>
      <c r="C147" s="43" t="s">
        <v>111</v>
      </c>
      <c r="D147" s="42">
        <v>2</v>
      </c>
      <c r="E147" s="41">
        <v>6.2992125984251965E-4</v>
      </c>
    </row>
    <row r="148" spans="2:5" ht="15" customHeight="1">
      <c r="B148" s="93"/>
      <c r="C148" s="43" t="s">
        <v>119</v>
      </c>
      <c r="D148" s="42">
        <v>1</v>
      </c>
      <c r="E148" s="41">
        <v>3.1496062992125983E-4</v>
      </c>
    </row>
    <row r="149" spans="2:5" ht="15" customHeight="1">
      <c r="B149" s="93"/>
      <c r="C149" s="43" t="s">
        <v>110</v>
      </c>
      <c r="D149" s="42">
        <v>1</v>
      </c>
      <c r="E149" s="41">
        <v>3.1496062992125983E-4</v>
      </c>
    </row>
    <row r="150" spans="2:5" ht="15" customHeight="1">
      <c r="B150" s="93"/>
      <c r="C150" s="43" t="s">
        <v>117</v>
      </c>
      <c r="D150" s="42">
        <v>2</v>
      </c>
      <c r="E150" s="41">
        <v>6.2992125984251965E-4</v>
      </c>
    </row>
    <row r="151" spans="2:5" ht="15" customHeight="1">
      <c r="B151" s="94"/>
      <c r="C151" s="40" t="s">
        <v>20</v>
      </c>
      <c r="D151" s="39">
        <v>112</v>
      </c>
      <c r="E151" s="38">
        <v>3.5275590551181103E-2</v>
      </c>
    </row>
    <row r="152" spans="2:5" ht="15" customHeight="1">
      <c r="B152" s="92" t="s">
        <v>29</v>
      </c>
      <c r="C152" s="43" t="s">
        <v>125</v>
      </c>
      <c r="D152" s="42">
        <v>4</v>
      </c>
      <c r="E152" s="41">
        <v>1.2598425196850393E-3</v>
      </c>
    </row>
    <row r="153" spans="2:5" ht="15" customHeight="1">
      <c r="B153" s="93"/>
      <c r="C153" s="43" t="s">
        <v>120</v>
      </c>
      <c r="D153" s="42">
        <v>1</v>
      </c>
      <c r="E153" s="41">
        <v>3.1496062992125983E-4</v>
      </c>
    </row>
    <row r="154" spans="2:5" ht="15" customHeight="1">
      <c r="B154" s="93"/>
      <c r="C154" s="43" t="s">
        <v>126</v>
      </c>
      <c r="D154" s="42">
        <v>3</v>
      </c>
      <c r="E154" s="41">
        <v>9.4488188976377954E-4</v>
      </c>
    </row>
    <row r="155" spans="2:5" ht="15" customHeight="1">
      <c r="B155" s="93"/>
      <c r="C155" s="43" t="s">
        <v>121</v>
      </c>
      <c r="D155" s="42">
        <v>1</v>
      </c>
      <c r="E155" s="41">
        <v>3.1496062992125983E-4</v>
      </c>
    </row>
    <row r="156" spans="2:5" ht="15" customHeight="1">
      <c r="B156" s="94"/>
      <c r="C156" s="40" t="s">
        <v>20</v>
      </c>
      <c r="D156" s="39">
        <v>9</v>
      </c>
      <c r="E156" s="38">
        <v>2.8346456692913387E-3</v>
      </c>
    </row>
    <row r="157" spans="2:5" ht="15" customHeight="1">
      <c r="B157" s="92" t="s">
        <v>27</v>
      </c>
      <c r="C157" s="43" t="s">
        <v>125</v>
      </c>
      <c r="D157" s="42">
        <v>2</v>
      </c>
      <c r="E157" s="41">
        <v>6.2992125984251965E-4</v>
      </c>
    </row>
    <row r="158" spans="2:5" ht="15" customHeight="1">
      <c r="B158" s="93"/>
      <c r="C158" s="43" t="s">
        <v>124</v>
      </c>
      <c r="D158" s="42">
        <v>3</v>
      </c>
      <c r="E158" s="41">
        <v>9.4488188976377954E-4</v>
      </c>
    </row>
    <row r="159" spans="2:5" ht="15" customHeight="1">
      <c r="B159" s="93"/>
      <c r="C159" s="43" t="s">
        <v>120</v>
      </c>
      <c r="D159" s="42">
        <v>1</v>
      </c>
      <c r="E159" s="41">
        <v>3.1496062992125983E-4</v>
      </c>
    </row>
    <row r="160" spans="2:5" ht="15" customHeight="1">
      <c r="B160" s="93"/>
      <c r="C160" s="43" t="s">
        <v>126</v>
      </c>
      <c r="D160" s="42">
        <v>1</v>
      </c>
      <c r="E160" s="41">
        <v>3.1496062992125983E-4</v>
      </c>
    </row>
    <row r="161" spans="2:5" ht="15" customHeight="1">
      <c r="B161" s="93"/>
      <c r="C161" s="43" t="s">
        <v>114</v>
      </c>
      <c r="D161" s="42">
        <v>2</v>
      </c>
      <c r="E161" s="41">
        <v>6.2992125984251965E-4</v>
      </c>
    </row>
    <row r="162" spans="2:5" ht="15" customHeight="1">
      <c r="B162" s="93"/>
      <c r="C162" s="43" t="s">
        <v>121</v>
      </c>
      <c r="D162" s="42">
        <v>1</v>
      </c>
      <c r="E162" s="41">
        <v>3.1496062992125983E-4</v>
      </c>
    </row>
    <row r="163" spans="2:5" ht="15" customHeight="1">
      <c r="B163" s="94"/>
      <c r="C163" s="40" t="s">
        <v>20</v>
      </c>
      <c r="D163" s="39">
        <v>10</v>
      </c>
      <c r="E163" s="38">
        <v>3.1496062992125984E-3</v>
      </c>
    </row>
    <row r="164" spans="2:5" ht="15" customHeight="1">
      <c r="B164" s="92" t="s">
        <v>41</v>
      </c>
      <c r="C164" s="43" t="s">
        <v>123</v>
      </c>
      <c r="D164" s="42">
        <v>2</v>
      </c>
      <c r="E164" s="41">
        <v>6.2992125984251965E-4</v>
      </c>
    </row>
    <row r="165" spans="2:5" ht="15" customHeight="1">
      <c r="B165" s="93"/>
      <c r="C165" s="43" t="s">
        <v>125</v>
      </c>
      <c r="D165" s="42">
        <v>4</v>
      </c>
      <c r="E165" s="41">
        <v>1.2598425196850393E-3</v>
      </c>
    </row>
    <row r="166" spans="2:5" ht="15" customHeight="1">
      <c r="B166" s="93"/>
      <c r="C166" s="43" t="s">
        <v>124</v>
      </c>
      <c r="D166" s="42">
        <v>2</v>
      </c>
      <c r="E166" s="41">
        <v>6.2992125984251965E-4</v>
      </c>
    </row>
    <row r="167" spans="2:5" ht="15" customHeight="1">
      <c r="B167" s="93"/>
      <c r="C167" s="43" t="s">
        <v>122</v>
      </c>
      <c r="D167" s="42">
        <v>5</v>
      </c>
      <c r="E167" s="41">
        <v>1.5748031496062992E-3</v>
      </c>
    </row>
    <row r="168" spans="2:5" ht="15" customHeight="1">
      <c r="B168" s="93"/>
      <c r="C168" s="43" t="s">
        <v>120</v>
      </c>
      <c r="D168" s="42">
        <v>1</v>
      </c>
      <c r="E168" s="41">
        <v>3.1496062992125983E-4</v>
      </c>
    </row>
    <row r="169" spans="2:5" ht="15" customHeight="1">
      <c r="B169" s="93"/>
      <c r="C169" s="43" t="s">
        <v>126</v>
      </c>
      <c r="D169" s="42">
        <v>4</v>
      </c>
      <c r="E169" s="41">
        <v>1.2598425196850393E-3</v>
      </c>
    </row>
    <row r="170" spans="2:5" ht="15" customHeight="1">
      <c r="B170" s="93"/>
      <c r="C170" s="43" t="s">
        <v>118</v>
      </c>
      <c r="D170" s="42">
        <v>2</v>
      </c>
      <c r="E170" s="41">
        <v>6.2992125984251965E-4</v>
      </c>
    </row>
    <row r="171" spans="2:5" ht="15" customHeight="1">
      <c r="B171" s="93"/>
      <c r="C171" s="43" t="s">
        <v>119</v>
      </c>
      <c r="D171" s="42">
        <v>1</v>
      </c>
      <c r="E171" s="41">
        <v>3.1496062992125983E-4</v>
      </c>
    </row>
    <row r="172" spans="2:5" ht="15" customHeight="1">
      <c r="B172" s="93"/>
      <c r="C172" s="43" t="s">
        <v>121</v>
      </c>
      <c r="D172" s="42">
        <v>1</v>
      </c>
      <c r="E172" s="41">
        <v>3.1496062992125983E-4</v>
      </c>
    </row>
    <row r="173" spans="2:5" ht="15" customHeight="1">
      <c r="B173" s="94"/>
      <c r="C173" s="40" t="s">
        <v>20</v>
      </c>
      <c r="D173" s="39">
        <v>22</v>
      </c>
      <c r="E173" s="38">
        <v>6.929133858267717E-3</v>
      </c>
    </row>
    <row r="174" spans="2:5" ht="15" customHeight="1">
      <c r="B174" s="92" t="s">
        <v>53</v>
      </c>
      <c r="C174" s="43" t="s">
        <v>123</v>
      </c>
      <c r="D174" s="42">
        <v>9</v>
      </c>
      <c r="E174" s="41">
        <v>2.8346456692913387E-3</v>
      </c>
    </row>
    <row r="175" spans="2:5" ht="15" customHeight="1">
      <c r="B175" s="93"/>
      <c r="C175" s="43" t="s">
        <v>125</v>
      </c>
      <c r="D175" s="42">
        <v>12</v>
      </c>
      <c r="E175" s="41">
        <v>3.7795275590551181E-3</v>
      </c>
    </row>
    <row r="176" spans="2:5" ht="15" customHeight="1">
      <c r="B176" s="93"/>
      <c r="C176" s="43" t="s">
        <v>113</v>
      </c>
      <c r="D176" s="42">
        <v>4</v>
      </c>
      <c r="E176" s="41">
        <v>1.2598425196850393E-3</v>
      </c>
    </row>
    <row r="177" spans="2:5" ht="15" customHeight="1">
      <c r="B177" s="93"/>
      <c r="C177" s="43" t="s">
        <v>124</v>
      </c>
      <c r="D177" s="42">
        <v>5</v>
      </c>
      <c r="E177" s="41">
        <v>1.5748031496062992E-3</v>
      </c>
    </row>
    <row r="178" spans="2:5" ht="15" customHeight="1">
      <c r="B178" s="93"/>
      <c r="C178" s="43" t="s">
        <v>122</v>
      </c>
      <c r="D178" s="42">
        <v>3</v>
      </c>
      <c r="E178" s="41">
        <v>9.4488188976377954E-4</v>
      </c>
    </row>
    <row r="179" spans="2:5" ht="15" customHeight="1">
      <c r="B179" s="93"/>
      <c r="C179" s="43" t="s">
        <v>120</v>
      </c>
      <c r="D179" s="42">
        <v>1</v>
      </c>
      <c r="E179" s="41">
        <v>3.1496062992125983E-4</v>
      </c>
    </row>
    <row r="180" spans="2:5" ht="15" customHeight="1">
      <c r="B180" s="93"/>
      <c r="C180" s="43" t="s">
        <v>112</v>
      </c>
      <c r="D180" s="42">
        <v>1</v>
      </c>
      <c r="E180" s="41">
        <v>3.1496062992125983E-4</v>
      </c>
    </row>
    <row r="181" spans="2:5" ht="15" customHeight="1">
      <c r="B181" s="93"/>
      <c r="C181" s="43" t="s">
        <v>126</v>
      </c>
      <c r="D181" s="42">
        <v>9</v>
      </c>
      <c r="E181" s="41">
        <v>2.8346456692913387E-3</v>
      </c>
    </row>
    <row r="182" spans="2:5" ht="15" customHeight="1">
      <c r="B182" s="93"/>
      <c r="C182" s="43" t="s">
        <v>115</v>
      </c>
      <c r="D182" s="42">
        <v>1</v>
      </c>
      <c r="E182" s="41">
        <v>3.1496062992125983E-4</v>
      </c>
    </row>
    <row r="183" spans="2:5" ht="15" customHeight="1">
      <c r="B183" s="93"/>
      <c r="C183" s="43" t="s">
        <v>118</v>
      </c>
      <c r="D183" s="42">
        <v>1</v>
      </c>
      <c r="E183" s="41">
        <v>3.1496062992125983E-4</v>
      </c>
    </row>
    <row r="184" spans="2:5" ht="15" customHeight="1">
      <c r="B184" s="93"/>
      <c r="C184" s="43" t="s">
        <v>111</v>
      </c>
      <c r="D184" s="42">
        <v>2</v>
      </c>
      <c r="E184" s="41">
        <v>6.2992125984251965E-4</v>
      </c>
    </row>
    <row r="185" spans="2:5" ht="15" customHeight="1">
      <c r="B185" s="93"/>
      <c r="C185" s="43" t="s">
        <v>119</v>
      </c>
      <c r="D185" s="42">
        <v>8</v>
      </c>
      <c r="E185" s="41">
        <v>2.5196850393700786E-3</v>
      </c>
    </row>
    <row r="186" spans="2:5" ht="15" customHeight="1">
      <c r="B186" s="93"/>
      <c r="C186" s="43" t="s">
        <v>117</v>
      </c>
      <c r="D186" s="42">
        <v>3</v>
      </c>
      <c r="E186" s="41">
        <v>9.4488188976377954E-4</v>
      </c>
    </row>
    <row r="187" spans="2:5" ht="15" customHeight="1">
      <c r="B187" s="93"/>
      <c r="C187" s="43" t="s">
        <v>121</v>
      </c>
      <c r="D187" s="42">
        <v>11</v>
      </c>
      <c r="E187" s="41">
        <v>3.4645669291338585E-3</v>
      </c>
    </row>
    <row r="188" spans="2:5" ht="15" customHeight="1">
      <c r="B188" s="94"/>
      <c r="C188" s="40" t="s">
        <v>20</v>
      </c>
      <c r="D188" s="39">
        <v>70</v>
      </c>
      <c r="E188" s="38">
        <v>2.2047244094488189E-2</v>
      </c>
    </row>
    <row r="189" spans="2:5" ht="15" customHeight="1">
      <c r="B189" s="92" t="s">
        <v>35</v>
      </c>
      <c r="C189" s="43" t="s">
        <v>125</v>
      </c>
      <c r="D189" s="42">
        <v>7</v>
      </c>
      <c r="E189" s="41">
        <v>2.204724409448819E-3</v>
      </c>
    </row>
    <row r="190" spans="2:5" ht="15" customHeight="1">
      <c r="B190" s="93"/>
      <c r="C190" s="43" t="s">
        <v>124</v>
      </c>
      <c r="D190" s="42">
        <v>1</v>
      </c>
      <c r="E190" s="41">
        <v>3.1496062992125983E-4</v>
      </c>
    </row>
    <row r="191" spans="2:5" ht="15" customHeight="1">
      <c r="B191" s="93"/>
      <c r="C191" s="43" t="s">
        <v>122</v>
      </c>
      <c r="D191" s="42">
        <v>2</v>
      </c>
      <c r="E191" s="41">
        <v>6.2992125984251965E-4</v>
      </c>
    </row>
    <row r="192" spans="2:5" ht="15" customHeight="1">
      <c r="B192" s="93"/>
      <c r="C192" s="43" t="s">
        <v>126</v>
      </c>
      <c r="D192" s="42">
        <v>7</v>
      </c>
      <c r="E192" s="41">
        <v>2.204724409448819E-3</v>
      </c>
    </row>
    <row r="193" spans="2:5" ht="15" customHeight="1">
      <c r="B193" s="94"/>
      <c r="C193" s="40" t="s">
        <v>20</v>
      </c>
      <c r="D193" s="39">
        <v>17</v>
      </c>
      <c r="E193" s="38">
        <v>5.3543307086614169E-3</v>
      </c>
    </row>
    <row r="194" spans="2:5" ht="15" customHeight="1">
      <c r="B194" s="92" t="s">
        <v>22</v>
      </c>
      <c r="C194" s="43" t="s">
        <v>123</v>
      </c>
      <c r="D194" s="42">
        <v>2</v>
      </c>
      <c r="E194" s="41">
        <v>6.2992125984251965E-4</v>
      </c>
    </row>
    <row r="195" spans="2:5" ht="15" customHeight="1">
      <c r="B195" s="93"/>
      <c r="C195" s="43" t="s">
        <v>125</v>
      </c>
      <c r="D195" s="42">
        <v>2</v>
      </c>
      <c r="E195" s="41">
        <v>6.2992125984251965E-4</v>
      </c>
    </row>
    <row r="196" spans="2:5" ht="15" customHeight="1">
      <c r="B196" s="93"/>
      <c r="C196" s="43" t="s">
        <v>120</v>
      </c>
      <c r="D196" s="42">
        <v>1</v>
      </c>
      <c r="E196" s="41">
        <v>3.1496062992125983E-4</v>
      </c>
    </row>
    <row r="197" spans="2:5" ht="15" customHeight="1">
      <c r="B197" s="93"/>
      <c r="C197" s="43" t="s">
        <v>112</v>
      </c>
      <c r="D197" s="42">
        <v>1</v>
      </c>
      <c r="E197" s="41">
        <v>3.1496062992125983E-4</v>
      </c>
    </row>
    <row r="198" spans="2:5" ht="15" customHeight="1">
      <c r="B198" s="93"/>
      <c r="C198" s="43" t="s">
        <v>121</v>
      </c>
      <c r="D198" s="42">
        <v>1</v>
      </c>
      <c r="E198" s="41">
        <v>3.1496062992125983E-4</v>
      </c>
    </row>
    <row r="199" spans="2:5" ht="15" customHeight="1">
      <c r="B199" s="94"/>
      <c r="C199" s="40" t="s">
        <v>20</v>
      </c>
      <c r="D199" s="39">
        <v>7</v>
      </c>
      <c r="E199" s="38">
        <v>2.204724409448819E-3</v>
      </c>
    </row>
    <row r="200" spans="2:5" ht="15" customHeight="1">
      <c r="B200" s="92" t="s">
        <v>43</v>
      </c>
      <c r="C200" s="43" t="s">
        <v>125</v>
      </c>
      <c r="D200" s="42">
        <v>5</v>
      </c>
      <c r="E200" s="41">
        <v>1.5748031496062992E-3</v>
      </c>
    </row>
    <row r="201" spans="2:5" ht="15" customHeight="1">
      <c r="B201" s="93"/>
      <c r="C201" s="43" t="s">
        <v>124</v>
      </c>
      <c r="D201" s="42">
        <v>2</v>
      </c>
      <c r="E201" s="41">
        <v>6.2992125984251965E-4</v>
      </c>
    </row>
    <row r="202" spans="2:5" ht="15" customHeight="1">
      <c r="B202" s="93"/>
      <c r="C202" s="43" t="s">
        <v>120</v>
      </c>
      <c r="D202" s="42">
        <v>6</v>
      </c>
      <c r="E202" s="41">
        <v>1.8897637795275591E-3</v>
      </c>
    </row>
    <row r="203" spans="2:5" ht="15" customHeight="1">
      <c r="B203" s="93"/>
      <c r="C203" s="43" t="s">
        <v>126</v>
      </c>
      <c r="D203" s="42">
        <v>5</v>
      </c>
      <c r="E203" s="41">
        <v>1.5748031496062992E-3</v>
      </c>
    </row>
    <row r="204" spans="2:5" ht="15" customHeight="1">
      <c r="B204" s="93"/>
      <c r="C204" s="43" t="s">
        <v>111</v>
      </c>
      <c r="D204" s="42">
        <v>1</v>
      </c>
      <c r="E204" s="41">
        <v>3.1496062992125983E-4</v>
      </c>
    </row>
    <row r="205" spans="2:5" ht="15" customHeight="1">
      <c r="B205" s="93"/>
      <c r="C205" s="43" t="s">
        <v>119</v>
      </c>
      <c r="D205" s="42">
        <v>1</v>
      </c>
      <c r="E205" s="41">
        <v>3.1496062992125983E-4</v>
      </c>
    </row>
    <row r="206" spans="2:5" ht="15" customHeight="1">
      <c r="B206" s="93"/>
      <c r="C206" s="43" t="s">
        <v>121</v>
      </c>
      <c r="D206" s="42">
        <v>2</v>
      </c>
      <c r="E206" s="41">
        <v>6.2992125984251965E-4</v>
      </c>
    </row>
    <row r="207" spans="2:5" ht="15" customHeight="1">
      <c r="B207" s="94"/>
      <c r="C207" s="40" t="s">
        <v>20</v>
      </c>
      <c r="D207" s="39">
        <v>22</v>
      </c>
      <c r="E207" s="38">
        <v>6.929133858267717E-3</v>
      </c>
    </row>
    <row r="208" spans="2:5" ht="15" customHeight="1">
      <c r="B208" s="92" t="s">
        <v>34</v>
      </c>
      <c r="C208" s="43" t="s">
        <v>123</v>
      </c>
      <c r="D208" s="42">
        <v>2</v>
      </c>
      <c r="E208" s="41">
        <v>6.2992125984251965E-4</v>
      </c>
    </row>
    <row r="209" spans="2:5" ht="15" customHeight="1">
      <c r="B209" s="93"/>
      <c r="C209" s="43" t="s">
        <v>125</v>
      </c>
      <c r="D209" s="42">
        <v>6</v>
      </c>
      <c r="E209" s="41">
        <v>1.8897637795275591E-3</v>
      </c>
    </row>
    <row r="210" spans="2:5" ht="15" customHeight="1">
      <c r="B210" s="93"/>
      <c r="C210" s="43" t="s">
        <v>122</v>
      </c>
      <c r="D210" s="42">
        <v>2</v>
      </c>
      <c r="E210" s="41">
        <v>6.2992125984251965E-4</v>
      </c>
    </row>
    <row r="211" spans="2:5" ht="15" customHeight="1">
      <c r="B211" s="93"/>
      <c r="C211" s="43" t="s">
        <v>120</v>
      </c>
      <c r="D211" s="42">
        <v>3</v>
      </c>
      <c r="E211" s="41">
        <v>9.4488188976377954E-4</v>
      </c>
    </row>
    <row r="212" spans="2:5" ht="15" customHeight="1">
      <c r="B212" s="93"/>
      <c r="C212" s="43" t="s">
        <v>126</v>
      </c>
      <c r="D212" s="42">
        <v>9</v>
      </c>
      <c r="E212" s="41">
        <v>2.8346456692913387E-3</v>
      </c>
    </row>
    <row r="213" spans="2:5" ht="15" customHeight="1">
      <c r="B213" s="93"/>
      <c r="C213" s="43" t="s">
        <v>115</v>
      </c>
      <c r="D213" s="42">
        <v>1</v>
      </c>
      <c r="E213" s="41">
        <v>3.1496062992125983E-4</v>
      </c>
    </row>
    <row r="214" spans="2:5" ht="15" customHeight="1">
      <c r="B214" s="93"/>
      <c r="C214" s="43" t="s">
        <v>119</v>
      </c>
      <c r="D214" s="42">
        <v>2</v>
      </c>
      <c r="E214" s="41">
        <v>6.2992125984251965E-4</v>
      </c>
    </row>
    <row r="215" spans="2:5" ht="15" customHeight="1">
      <c r="B215" s="93"/>
      <c r="C215" s="43" t="s">
        <v>121</v>
      </c>
      <c r="D215" s="42">
        <v>2</v>
      </c>
      <c r="E215" s="41">
        <v>6.2992125984251965E-4</v>
      </c>
    </row>
    <row r="216" spans="2:5" ht="15" customHeight="1">
      <c r="B216" s="94"/>
      <c r="C216" s="40" t="s">
        <v>20</v>
      </c>
      <c r="D216" s="39">
        <v>27</v>
      </c>
      <c r="E216" s="38">
        <v>8.5039370078740153E-3</v>
      </c>
    </row>
    <row r="217" spans="2:5" ht="15" customHeight="1">
      <c r="B217" s="92" t="s">
        <v>45</v>
      </c>
      <c r="C217" s="43" t="s">
        <v>123</v>
      </c>
      <c r="D217" s="42">
        <v>2</v>
      </c>
      <c r="E217" s="41">
        <v>6.2992125984251965E-4</v>
      </c>
    </row>
    <row r="218" spans="2:5" ht="15" customHeight="1">
      <c r="B218" s="93"/>
      <c r="C218" s="43" t="s">
        <v>125</v>
      </c>
      <c r="D218" s="42">
        <v>6</v>
      </c>
      <c r="E218" s="41">
        <v>1.8897637795275591E-3</v>
      </c>
    </row>
    <row r="219" spans="2:5" ht="15" customHeight="1">
      <c r="B219" s="93"/>
      <c r="C219" s="43" t="s">
        <v>124</v>
      </c>
      <c r="D219" s="42">
        <v>1</v>
      </c>
      <c r="E219" s="41">
        <v>3.1496062992125983E-4</v>
      </c>
    </row>
    <row r="220" spans="2:5" ht="15" customHeight="1">
      <c r="B220" s="93"/>
      <c r="C220" s="43" t="s">
        <v>122</v>
      </c>
      <c r="D220" s="42">
        <v>1</v>
      </c>
      <c r="E220" s="41">
        <v>3.1496062992125983E-4</v>
      </c>
    </row>
    <row r="221" spans="2:5" ht="15" customHeight="1">
      <c r="B221" s="93"/>
      <c r="C221" s="43" t="s">
        <v>120</v>
      </c>
      <c r="D221" s="42">
        <v>6</v>
      </c>
      <c r="E221" s="41">
        <v>1.8897637795275591E-3</v>
      </c>
    </row>
    <row r="222" spans="2:5" ht="15" customHeight="1">
      <c r="B222" s="93"/>
      <c r="C222" s="43" t="s">
        <v>126</v>
      </c>
      <c r="D222" s="42">
        <v>8</v>
      </c>
      <c r="E222" s="41">
        <v>2.5196850393700786E-3</v>
      </c>
    </row>
    <row r="223" spans="2:5" ht="15" customHeight="1">
      <c r="B223" s="93"/>
      <c r="C223" s="43" t="s">
        <v>119</v>
      </c>
      <c r="D223" s="42">
        <v>1</v>
      </c>
      <c r="E223" s="41">
        <v>3.1496062992125983E-4</v>
      </c>
    </row>
    <row r="224" spans="2:5" ht="15" customHeight="1">
      <c r="B224" s="93"/>
      <c r="C224" s="43" t="s">
        <v>117</v>
      </c>
      <c r="D224" s="42">
        <v>1</v>
      </c>
      <c r="E224" s="41">
        <v>3.1496062992125983E-4</v>
      </c>
    </row>
    <row r="225" spans="2:5" ht="15" customHeight="1">
      <c r="B225" s="93"/>
      <c r="C225" s="43" t="s">
        <v>116</v>
      </c>
      <c r="D225" s="42">
        <v>6</v>
      </c>
      <c r="E225" s="41">
        <v>1.8897637795275591E-3</v>
      </c>
    </row>
    <row r="226" spans="2:5" ht="15" customHeight="1">
      <c r="B226" s="93"/>
      <c r="C226" s="43" t="s">
        <v>121</v>
      </c>
      <c r="D226" s="42">
        <v>2</v>
      </c>
      <c r="E226" s="41">
        <v>6.2992125984251965E-4</v>
      </c>
    </row>
    <row r="227" spans="2:5" ht="15" customHeight="1">
      <c r="B227" s="94"/>
      <c r="C227" s="40" t="s">
        <v>20</v>
      </c>
      <c r="D227" s="39">
        <v>34</v>
      </c>
      <c r="E227" s="38">
        <v>1.0708661417322834E-2</v>
      </c>
    </row>
    <row r="228" spans="2:5" ht="15" customHeight="1">
      <c r="B228" s="92" t="s">
        <v>42</v>
      </c>
      <c r="C228" s="43" t="s">
        <v>123</v>
      </c>
      <c r="D228" s="42">
        <v>3</v>
      </c>
      <c r="E228" s="41">
        <v>9.4488188976377954E-4</v>
      </c>
    </row>
    <row r="229" spans="2:5" ht="15" customHeight="1">
      <c r="B229" s="93"/>
      <c r="C229" s="43" t="s">
        <v>125</v>
      </c>
      <c r="D229" s="42">
        <v>5</v>
      </c>
      <c r="E229" s="41">
        <v>1.5748031496062992E-3</v>
      </c>
    </row>
    <row r="230" spans="2:5" ht="15" customHeight="1">
      <c r="B230" s="93"/>
      <c r="C230" s="43" t="s">
        <v>124</v>
      </c>
      <c r="D230" s="42">
        <v>2</v>
      </c>
      <c r="E230" s="41">
        <v>6.2992125984251965E-4</v>
      </c>
    </row>
    <row r="231" spans="2:5" ht="15" customHeight="1">
      <c r="B231" s="93"/>
      <c r="C231" s="43" t="s">
        <v>120</v>
      </c>
      <c r="D231" s="42">
        <v>5</v>
      </c>
      <c r="E231" s="41">
        <v>1.5748031496062992E-3</v>
      </c>
    </row>
    <row r="232" spans="2:5" ht="15" customHeight="1">
      <c r="B232" s="93"/>
      <c r="C232" s="43" t="s">
        <v>126</v>
      </c>
      <c r="D232" s="42">
        <v>5</v>
      </c>
      <c r="E232" s="41">
        <v>1.5748031496062992E-3</v>
      </c>
    </row>
    <row r="233" spans="2:5" ht="15" customHeight="1">
      <c r="B233" s="93"/>
      <c r="C233" s="43" t="s">
        <v>115</v>
      </c>
      <c r="D233" s="42">
        <v>2</v>
      </c>
      <c r="E233" s="41">
        <v>6.2992125984251965E-4</v>
      </c>
    </row>
    <row r="234" spans="2:5" ht="15" customHeight="1">
      <c r="B234" s="93"/>
      <c r="C234" s="43" t="s">
        <v>119</v>
      </c>
      <c r="D234" s="42">
        <v>1</v>
      </c>
      <c r="E234" s="41">
        <v>3.1496062992125983E-4</v>
      </c>
    </row>
    <row r="235" spans="2:5" ht="15" customHeight="1">
      <c r="B235" s="93"/>
      <c r="C235" s="43" t="s">
        <v>121</v>
      </c>
      <c r="D235" s="42">
        <v>3</v>
      </c>
      <c r="E235" s="41">
        <v>9.4488188976377954E-4</v>
      </c>
    </row>
    <row r="236" spans="2:5" ht="15" customHeight="1">
      <c r="B236" s="94"/>
      <c r="C236" s="40" t="s">
        <v>20</v>
      </c>
      <c r="D236" s="39">
        <v>26</v>
      </c>
      <c r="E236" s="38">
        <v>8.1889763779527565E-3</v>
      </c>
    </row>
    <row r="237" spans="2:5" ht="15" customHeight="1">
      <c r="B237" s="92" t="s">
        <v>203</v>
      </c>
      <c r="C237" s="43" t="s">
        <v>123</v>
      </c>
      <c r="D237" s="42">
        <v>1</v>
      </c>
      <c r="E237" s="41">
        <v>3.1496062992125983E-4</v>
      </c>
    </row>
    <row r="238" spans="2:5" ht="15" customHeight="1">
      <c r="B238" s="94"/>
      <c r="C238" s="40" t="s">
        <v>20</v>
      </c>
      <c r="D238" s="39">
        <v>1</v>
      </c>
      <c r="E238" s="38">
        <v>3.1496062992125983E-4</v>
      </c>
    </row>
    <row r="239" spans="2:5" ht="15" customHeight="1">
      <c r="B239" s="92" t="s">
        <v>32</v>
      </c>
      <c r="C239" s="43" t="s">
        <v>123</v>
      </c>
      <c r="D239" s="42">
        <v>2</v>
      </c>
      <c r="E239" s="41">
        <v>6.2992125984251965E-4</v>
      </c>
    </row>
    <row r="240" spans="2:5" ht="15" customHeight="1">
      <c r="B240" s="93"/>
      <c r="C240" s="43" t="s">
        <v>125</v>
      </c>
      <c r="D240" s="42">
        <v>3</v>
      </c>
      <c r="E240" s="41">
        <v>9.4488188976377954E-4</v>
      </c>
    </row>
    <row r="241" spans="2:5" ht="15" customHeight="1">
      <c r="B241" s="93"/>
      <c r="C241" s="43" t="s">
        <v>124</v>
      </c>
      <c r="D241" s="42">
        <v>3</v>
      </c>
      <c r="E241" s="41">
        <v>9.4488188976377954E-4</v>
      </c>
    </row>
    <row r="242" spans="2:5" ht="15" customHeight="1">
      <c r="B242" s="93"/>
      <c r="C242" s="43" t="s">
        <v>122</v>
      </c>
      <c r="D242" s="42">
        <v>2</v>
      </c>
      <c r="E242" s="41">
        <v>6.2992125984251965E-4</v>
      </c>
    </row>
    <row r="243" spans="2:5" ht="15" customHeight="1">
      <c r="B243" s="93"/>
      <c r="C243" s="43" t="s">
        <v>126</v>
      </c>
      <c r="D243" s="42">
        <v>2</v>
      </c>
      <c r="E243" s="41">
        <v>6.2992125984251965E-4</v>
      </c>
    </row>
    <row r="244" spans="2:5" ht="15" customHeight="1">
      <c r="B244" s="93"/>
      <c r="C244" s="43" t="s">
        <v>116</v>
      </c>
      <c r="D244" s="42">
        <v>1</v>
      </c>
      <c r="E244" s="41">
        <v>3.1496062992125983E-4</v>
      </c>
    </row>
    <row r="245" spans="2:5" ht="15" customHeight="1">
      <c r="B245" s="93"/>
      <c r="C245" s="43" t="s">
        <v>121</v>
      </c>
      <c r="D245" s="42">
        <v>6</v>
      </c>
      <c r="E245" s="41">
        <v>1.8897637795275591E-3</v>
      </c>
    </row>
    <row r="246" spans="2:5" ht="15" customHeight="1">
      <c r="B246" s="94"/>
      <c r="C246" s="40" t="s">
        <v>20</v>
      </c>
      <c r="D246" s="39">
        <v>19</v>
      </c>
      <c r="E246" s="38">
        <v>5.9842519685039371E-3</v>
      </c>
    </row>
    <row r="247" spans="2:5" ht="15" customHeight="1">
      <c r="B247" s="92" t="s">
        <v>44</v>
      </c>
      <c r="C247" s="43" t="s">
        <v>123</v>
      </c>
      <c r="D247" s="42">
        <v>3</v>
      </c>
      <c r="E247" s="41">
        <v>9.4488188976377954E-4</v>
      </c>
    </row>
    <row r="248" spans="2:5" ht="15" customHeight="1">
      <c r="B248" s="93"/>
      <c r="C248" s="43" t="s">
        <v>125</v>
      </c>
      <c r="D248" s="42">
        <v>2</v>
      </c>
      <c r="E248" s="41">
        <v>6.2992125984251965E-4</v>
      </c>
    </row>
    <row r="249" spans="2:5" ht="15" customHeight="1">
      <c r="B249" s="93"/>
      <c r="C249" s="43" t="s">
        <v>113</v>
      </c>
      <c r="D249" s="42">
        <v>2</v>
      </c>
      <c r="E249" s="41">
        <v>6.2992125984251965E-4</v>
      </c>
    </row>
    <row r="250" spans="2:5" ht="15" customHeight="1">
      <c r="B250" s="93"/>
      <c r="C250" s="43" t="s">
        <v>124</v>
      </c>
      <c r="D250" s="42">
        <v>3</v>
      </c>
      <c r="E250" s="41">
        <v>9.4488188976377954E-4</v>
      </c>
    </row>
    <row r="251" spans="2:5" ht="15" customHeight="1">
      <c r="B251" s="93"/>
      <c r="C251" s="43" t="s">
        <v>120</v>
      </c>
      <c r="D251" s="42">
        <v>3</v>
      </c>
      <c r="E251" s="41">
        <v>9.4488188976377954E-4</v>
      </c>
    </row>
    <row r="252" spans="2:5" ht="15" customHeight="1">
      <c r="B252" s="93"/>
      <c r="C252" s="43" t="s">
        <v>126</v>
      </c>
      <c r="D252" s="42">
        <v>10</v>
      </c>
      <c r="E252" s="41">
        <v>3.1496062992125984E-3</v>
      </c>
    </row>
    <row r="253" spans="2:5" ht="15" customHeight="1">
      <c r="B253" s="93"/>
      <c r="C253" s="43" t="s">
        <v>118</v>
      </c>
      <c r="D253" s="42">
        <v>1</v>
      </c>
      <c r="E253" s="41">
        <v>3.1496062992125983E-4</v>
      </c>
    </row>
    <row r="254" spans="2:5" ht="15" customHeight="1">
      <c r="B254" s="93"/>
      <c r="C254" s="43" t="s">
        <v>111</v>
      </c>
      <c r="D254" s="42">
        <v>1</v>
      </c>
      <c r="E254" s="41">
        <v>3.1496062992125983E-4</v>
      </c>
    </row>
    <row r="255" spans="2:5" ht="15" customHeight="1">
      <c r="B255" s="93"/>
      <c r="C255" s="43" t="s">
        <v>119</v>
      </c>
      <c r="D255" s="42">
        <v>1</v>
      </c>
      <c r="E255" s="41">
        <v>3.1496062992125983E-4</v>
      </c>
    </row>
    <row r="256" spans="2:5" ht="15" customHeight="1">
      <c r="B256" s="93"/>
      <c r="C256" s="43" t="s">
        <v>117</v>
      </c>
      <c r="D256" s="42">
        <v>1</v>
      </c>
      <c r="E256" s="41">
        <v>3.1496062992125983E-4</v>
      </c>
    </row>
    <row r="257" spans="2:5" ht="15" customHeight="1">
      <c r="B257" s="93"/>
      <c r="C257" s="43" t="s">
        <v>121</v>
      </c>
      <c r="D257" s="42">
        <v>2</v>
      </c>
      <c r="E257" s="41">
        <v>6.2992125984251965E-4</v>
      </c>
    </row>
    <row r="258" spans="2:5" ht="15" customHeight="1">
      <c r="B258" s="94"/>
      <c r="C258" s="40" t="s">
        <v>20</v>
      </c>
      <c r="D258" s="39">
        <v>29</v>
      </c>
      <c r="E258" s="38">
        <v>9.1338582677165346E-3</v>
      </c>
    </row>
    <row r="259" spans="2:5" ht="15" customHeight="1">
      <c r="B259" s="92" t="s">
        <v>197</v>
      </c>
      <c r="C259" s="43" t="s">
        <v>112</v>
      </c>
      <c r="D259" s="42">
        <v>1</v>
      </c>
      <c r="E259" s="41">
        <v>3.1496062992125983E-4</v>
      </c>
    </row>
    <row r="260" spans="2:5" ht="15" customHeight="1">
      <c r="B260" s="94"/>
      <c r="C260" s="40" t="s">
        <v>20</v>
      </c>
      <c r="D260" s="39">
        <v>1</v>
      </c>
      <c r="E260" s="38">
        <v>3.1496062992125983E-4</v>
      </c>
    </row>
    <row r="261" spans="2:5" ht="15" customHeight="1">
      <c r="B261" s="92" t="s">
        <v>37</v>
      </c>
      <c r="C261" s="43" t="s">
        <v>125</v>
      </c>
      <c r="D261" s="42">
        <v>11</v>
      </c>
      <c r="E261" s="41">
        <v>3.4645669291338585E-3</v>
      </c>
    </row>
    <row r="262" spans="2:5" ht="15" customHeight="1">
      <c r="B262" s="93"/>
      <c r="C262" s="43" t="s">
        <v>124</v>
      </c>
      <c r="D262" s="42">
        <v>3</v>
      </c>
      <c r="E262" s="41">
        <v>9.4488188976377954E-4</v>
      </c>
    </row>
    <row r="263" spans="2:5" ht="15" customHeight="1">
      <c r="B263" s="93"/>
      <c r="C263" s="43" t="s">
        <v>122</v>
      </c>
      <c r="D263" s="42">
        <v>2</v>
      </c>
      <c r="E263" s="41">
        <v>6.2992125984251965E-4</v>
      </c>
    </row>
    <row r="264" spans="2:5" ht="15" customHeight="1">
      <c r="B264" s="93"/>
      <c r="C264" s="43" t="s">
        <v>120</v>
      </c>
      <c r="D264" s="42">
        <v>2</v>
      </c>
      <c r="E264" s="41">
        <v>6.2992125984251965E-4</v>
      </c>
    </row>
    <row r="265" spans="2:5" ht="15" customHeight="1">
      <c r="B265" s="93"/>
      <c r="C265" s="43" t="s">
        <v>126</v>
      </c>
      <c r="D265" s="42">
        <v>19</v>
      </c>
      <c r="E265" s="41">
        <v>5.9842519685039371E-3</v>
      </c>
    </row>
    <row r="266" spans="2:5" ht="15" customHeight="1">
      <c r="B266" s="93"/>
      <c r="C266" s="43" t="s">
        <v>119</v>
      </c>
      <c r="D266" s="42">
        <v>1</v>
      </c>
      <c r="E266" s="41">
        <v>3.1496062992125983E-4</v>
      </c>
    </row>
    <row r="267" spans="2:5" ht="15" customHeight="1">
      <c r="B267" s="93"/>
      <c r="C267" s="43" t="s">
        <v>117</v>
      </c>
      <c r="D267" s="42">
        <v>1</v>
      </c>
      <c r="E267" s="41">
        <v>3.1496062992125983E-4</v>
      </c>
    </row>
    <row r="268" spans="2:5" ht="15" customHeight="1">
      <c r="B268" s="93"/>
      <c r="C268" s="43" t="s">
        <v>116</v>
      </c>
      <c r="D268" s="42">
        <v>1</v>
      </c>
      <c r="E268" s="41">
        <v>3.1496062992125983E-4</v>
      </c>
    </row>
    <row r="269" spans="2:5" ht="15" customHeight="1">
      <c r="B269" s="93"/>
      <c r="C269" s="43" t="s">
        <v>121</v>
      </c>
      <c r="D269" s="42">
        <v>4</v>
      </c>
      <c r="E269" s="41">
        <v>1.2598425196850393E-3</v>
      </c>
    </row>
    <row r="270" spans="2:5" ht="15" customHeight="1">
      <c r="B270" s="94"/>
      <c r="C270" s="40" t="s">
        <v>20</v>
      </c>
      <c r="D270" s="39">
        <v>44</v>
      </c>
      <c r="E270" s="38">
        <v>1.3858267716535434E-2</v>
      </c>
    </row>
    <row r="271" spans="2:5" ht="15" customHeight="1">
      <c r="B271" s="92" t="s">
        <v>28</v>
      </c>
      <c r="C271" s="43" t="s">
        <v>125</v>
      </c>
      <c r="D271" s="42">
        <v>2</v>
      </c>
      <c r="E271" s="41">
        <v>6.2992125984251965E-4</v>
      </c>
    </row>
    <row r="272" spans="2:5" ht="15" customHeight="1">
      <c r="B272" s="93"/>
      <c r="C272" s="43" t="s">
        <v>124</v>
      </c>
      <c r="D272" s="42">
        <v>2</v>
      </c>
      <c r="E272" s="41">
        <v>6.2992125984251965E-4</v>
      </c>
    </row>
    <row r="273" spans="2:5" ht="15" customHeight="1">
      <c r="B273" s="93"/>
      <c r="C273" s="43" t="s">
        <v>119</v>
      </c>
      <c r="D273" s="42">
        <v>1</v>
      </c>
      <c r="E273" s="41">
        <v>3.1496062992125983E-4</v>
      </c>
    </row>
    <row r="274" spans="2:5" ht="15" customHeight="1">
      <c r="B274" s="94"/>
      <c r="C274" s="40" t="s">
        <v>20</v>
      </c>
      <c r="D274" s="39">
        <v>5</v>
      </c>
      <c r="E274" s="38">
        <v>1.5748031496062992E-3</v>
      </c>
    </row>
    <row r="275" spans="2:5" ht="15" customHeight="1">
      <c r="B275" s="92" t="s">
        <v>49</v>
      </c>
      <c r="C275" s="43" t="s">
        <v>123</v>
      </c>
      <c r="D275" s="42">
        <v>3</v>
      </c>
      <c r="E275" s="41">
        <v>9.4488188976377954E-4</v>
      </c>
    </row>
    <row r="276" spans="2:5" ht="15" customHeight="1">
      <c r="B276" s="93"/>
      <c r="C276" s="43" t="s">
        <v>125</v>
      </c>
      <c r="D276" s="42">
        <v>20</v>
      </c>
      <c r="E276" s="41">
        <v>6.2992125984251968E-3</v>
      </c>
    </row>
    <row r="277" spans="2:5" ht="15" customHeight="1">
      <c r="B277" s="93"/>
      <c r="C277" s="43" t="s">
        <v>113</v>
      </c>
      <c r="D277" s="42">
        <v>3</v>
      </c>
      <c r="E277" s="41">
        <v>9.4488188976377954E-4</v>
      </c>
    </row>
    <row r="278" spans="2:5" ht="15" customHeight="1">
      <c r="B278" s="93"/>
      <c r="C278" s="43" t="s">
        <v>124</v>
      </c>
      <c r="D278" s="42">
        <v>3</v>
      </c>
      <c r="E278" s="41">
        <v>9.4488188976377954E-4</v>
      </c>
    </row>
    <row r="279" spans="2:5" ht="15" customHeight="1">
      <c r="B279" s="93"/>
      <c r="C279" s="43" t="s">
        <v>122</v>
      </c>
      <c r="D279" s="42">
        <v>4</v>
      </c>
      <c r="E279" s="41">
        <v>1.2598425196850393E-3</v>
      </c>
    </row>
    <row r="280" spans="2:5" ht="15" customHeight="1">
      <c r="B280" s="93"/>
      <c r="C280" s="43" t="s">
        <v>120</v>
      </c>
      <c r="D280" s="42">
        <v>4</v>
      </c>
      <c r="E280" s="41">
        <v>1.2598425196850393E-3</v>
      </c>
    </row>
    <row r="281" spans="2:5" ht="15" customHeight="1">
      <c r="B281" s="93"/>
      <c r="C281" s="43" t="s">
        <v>126</v>
      </c>
      <c r="D281" s="42">
        <v>17</v>
      </c>
      <c r="E281" s="41">
        <v>5.3543307086614169E-3</v>
      </c>
    </row>
    <row r="282" spans="2:5" ht="15" customHeight="1">
      <c r="B282" s="93"/>
      <c r="C282" s="43" t="s">
        <v>118</v>
      </c>
      <c r="D282" s="42">
        <v>1</v>
      </c>
      <c r="E282" s="41">
        <v>3.1496062992125983E-4</v>
      </c>
    </row>
    <row r="283" spans="2:5" ht="15" customHeight="1">
      <c r="B283" s="93"/>
      <c r="C283" s="43" t="s">
        <v>119</v>
      </c>
      <c r="D283" s="42">
        <v>1</v>
      </c>
      <c r="E283" s="41">
        <v>3.1496062992125983E-4</v>
      </c>
    </row>
    <row r="284" spans="2:5" ht="15" customHeight="1">
      <c r="B284" s="93"/>
      <c r="C284" s="43" t="s">
        <v>117</v>
      </c>
      <c r="D284" s="42">
        <v>2</v>
      </c>
      <c r="E284" s="41">
        <v>6.2992125984251965E-4</v>
      </c>
    </row>
    <row r="285" spans="2:5" ht="15" customHeight="1">
      <c r="B285" s="93"/>
      <c r="C285" s="43" t="s">
        <v>116</v>
      </c>
      <c r="D285" s="42">
        <v>3</v>
      </c>
      <c r="E285" s="41">
        <v>9.4488188976377954E-4</v>
      </c>
    </row>
    <row r="286" spans="2:5" ht="15" customHeight="1">
      <c r="B286" s="93"/>
      <c r="C286" s="43" t="s">
        <v>114</v>
      </c>
      <c r="D286" s="42">
        <v>3</v>
      </c>
      <c r="E286" s="41">
        <v>9.4488188976377954E-4</v>
      </c>
    </row>
    <row r="287" spans="2:5" ht="15" customHeight="1">
      <c r="B287" s="93"/>
      <c r="C287" s="43" t="s">
        <v>121</v>
      </c>
      <c r="D287" s="42">
        <v>3</v>
      </c>
      <c r="E287" s="41">
        <v>9.4488188976377954E-4</v>
      </c>
    </row>
    <row r="288" spans="2:5" ht="15" customHeight="1">
      <c r="B288" s="94"/>
      <c r="C288" s="40" t="s">
        <v>20</v>
      </c>
      <c r="D288" s="39">
        <v>67</v>
      </c>
      <c r="E288" s="38">
        <v>2.1102362204724411E-2</v>
      </c>
    </row>
    <row r="289" spans="2:5" ht="15" customHeight="1">
      <c r="B289" s="92" t="s">
        <v>60</v>
      </c>
      <c r="C289" s="43" t="s">
        <v>123</v>
      </c>
      <c r="D289" s="42">
        <v>3</v>
      </c>
      <c r="E289" s="41">
        <v>9.4488188976377954E-4</v>
      </c>
    </row>
    <row r="290" spans="2:5" ht="15" customHeight="1">
      <c r="B290" s="93"/>
      <c r="C290" s="43" t="s">
        <v>125</v>
      </c>
      <c r="D290" s="42">
        <v>36</v>
      </c>
      <c r="E290" s="41">
        <v>1.1338582677165355E-2</v>
      </c>
    </row>
    <row r="291" spans="2:5" ht="15" customHeight="1">
      <c r="B291" s="93"/>
      <c r="C291" s="43" t="s">
        <v>113</v>
      </c>
      <c r="D291" s="42">
        <v>5</v>
      </c>
      <c r="E291" s="41">
        <v>1.5748031496062992E-3</v>
      </c>
    </row>
    <row r="292" spans="2:5" ht="15" customHeight="1">
      <c r="B292" s="93"/>
      <c r="C292" s="43" t="s">
        <v>124</v>
      </c>
      <c r="D292" s="42">
        <v>26</v>
      </c>
      <c r="E292" s="41">
        <v>8.1889763779527565E-3</v>
      </c>
    </row>
    <row r="293" spans="2:5" ht="15" customHeight="1">
      <c r="B293" s="93"/>
      <c r="C293" s="43" t="s">
        <v>122</v>
      </c>
      <c r="D293" s="42">
        <v>30</v>
      </c>
      <c r="E293" s="41">
        <v>9.4488188976377951E-3</v>
      </c>
    </row>
    <row r="294" spans="2:5" ht="15" customHeight="1">
      <c r="B294" s="93"/>
      <c r="C294" s="43" t="s">
        <v>120</v>
      </c>
      <c r="D294" s="42">
        <v>18</v>
      </c>
      <c r="E294" s="41">
        <v>5.6692913385826774E-3</v>
      </c>
    </row>
    <row r="295" spans="2:5" ht="15" customHeight="1">
      <c r="B295" s="93"/>
      <c r="C295" s="43" t="s">
        <v>126</v>
      </c>
      <c r="D295" s="42">
        <v>70</v>
      </c>
      <c r="E295" s="41">
        <v>2.2047244094488189E-2</v>
      </c>
    </row>
    <row r="296" spans="2:5" ht="15" customHeight="1">
      <c r="B296" s="93"/>
      <c r="C296" s="43" t="s">
        <v>115</v>
      </c>
      <c r="D296" s="42">
        <v>3</v>
      </c>
      <c r="E296" s="41">
        <v>9.4488188976377954E-4</v>
      </c>
    </row>
    <row r="297" spans="2:5" ht="15" customHeight="1">
      <c r="B297" s="93"/>
      <c r="C297" s="43" t="s">
        <v>118</v>
      </c>
      <c r="D297" s="42">
        <v>72</v>
      </c>
      <c r="E297" s="41">
        <v>2.267716535433071E-2</v>
      </c>
    </row>
    <row r="298" spans="2:5" ht="15" customHeight="1">
      <c r="B298" s="93"/>
      <c r="C298" s="43" t="s">
        <v>111</v>
      </c>
      <c r="D298" s="42">
        <v>3</v>
      </c>
      <c r="E298" s="41">
        <v>9.4488188976377954E-4</v>
      </c>
    </row>
    <row r="299" spans="2:5" ht="15" customHeight="1">
      <c r="B299" s="93"/>
      <c r="C299" s="43" t="s">
        <v>119</v>
      </c>
      <c r="D299" s="42">
        <v>3</v>
      </c>
      <c r="E299" s="41">
        <v>9.4488188976377954E-4</v>
      </c>
    </row>
    <row r="300" spans="2:5" ht="15" customHeight="1">
      <c r="B300" s="93"/>
      <c r="C300" s="43" t="s">
        <v>110</v>
      </c>
      <c r="D300" s="42">
        <v>3</v>
      </c>
      <c r="E300" s="41">
        <v>9.4488188976377954E-4</v>
      </c>
    </row>
    <row r="301" spans="2:5" ht="15" customHeight="1">
      <c r="B301" s="93"/>
      <c r="C301" s="43" t="s">
        <v>117</v>
      </c>
      <c r="D301" s="42">
        <v>35</v>
      </c>
      <c r="E301" s="41">
        <v>1.1023622047244094E-2</v>
      </c>
    </row>
    <row r="302" spans="2:5" ht="15" customHeight="1">
      <c r="B302" s="93"/>
      <c r="C302" s="43" t="s">
        <v>116</v>
      </c>
      <c r="D302" s="42">
        <v>5</v>
      </c>
      <c r="E302" s="41">
        <v>1.5748031496062992E-3</v>
      </c>
    </row>
    <row r="303" spans="2:5" ht="15" customHeight="1">
      <c r="B303" s="93"/>
      <c r="C303" s="43" t="s">
        <v>114</v>
      </c>
      <c r="D303" s="42">
        <v>3</v>
      </c>
      <c r="E303" s="41">
        <v>9.4488188976377954E-4</v>
      </c>
    </row>
    <row r="304" spans="2:5" ht="15" customHeight="1">
      <c r="B304" s="93"/>
      <c r="C304" s="43" t="s">
        <v>121</v>
      </c>
      <c r="D304" s="42">
        <v>13</v>
      </c>
      <c r="E304" s="41">
        <v>4.0944881889763782E-3</v>
      </c>
    </row>
    <row r="305" spans="2:5" ht="15" customHeight="1">
      <c r="B305" s="94"/>
      <c r="C305" s="40" t="s">
        <v>20</v>
      </c>
      <c r="D305" s="39">
        <v>328</v>
      </c>
      <c r="E305" s="38">
        <v>0.10330708661417323</v>
      </c>
    </row>
    <row r="306" spans="2:5" ht="15" customHeight="1">
      <c r="B306" s="92" t="s">
        <v>36</v>
      </c>
      <c r="C306" s="43" t="s">
        <v>123</v>
      </c>
      <c r="D306" s="42">
        <v>3</v>
      </c>
      <c r="E306" s="41">
        <v>9.4488188976377954E-4</v>
      </c>
    </row>
    <row r="307" spans="2:5" ht="15" customHeight="1">
      <c r="B307" s="93"/>
      <c r="C307" s="43" t="s">
        <v>125</v>
      </c>
      <c r="D307" s="42">
        <v>4</v>
      </c>
      <c r="E307" s="41">
        <v>1.2598425196850393E-3</v>
      </c>
    </row>
    <row r="308" spans="2:5" ht="15" customHeight="1">
      <c r="B308" s="93"/>
      <c r="C308" s="43" t="s">
        <v>124</v>
      </c>
      <c r="D308" s="42">
        <v>1</v>
      </c>
      <c r="E308" s="41">
        <v>3.1496062992125983E-4</v>
      </c>
    </row>
    <row r="309" spans="2:5" ht="15" customHeight="1">
      <c r="B309" s="93"/>
      <c r="C309" s="43" t="s">
        <v>112</v>
      </c>
      <c r="D309" s="42">
        <v>2</v>
      </c>
      <c r="E309" s="41">
        <v>6.2992125984251965E-4</v>
      </c>
    </row>
    <row r="310" spans="2:5" ht="15" customHeight="1">
      <c r="B310" s="93"/>
      <c r="C310" s="43" t="s">
        <v>126</v>
      </c>
      <c r="D310" s="42">
        <v>4</v>
      </c>
      <c r="E310" s="41">
        <v>1.2598425196850393E-3</v>
      </c>
    </row>
    <row r="311" spans="2:5" ht="15" customHeight="1">
      <c r="B311" s="93"/>
      <c r="C311" s="43" t="s">
        <v>119</v>
      </c>
      <c r="D311" s="42">
        <v>1</v>
      </c>
      <c r="E311" s="41">
        <v>3.1496062992125983E-4</v>
      </c>
    </row>
    <row r="312" spans="2:5" ht="15" customHeight="1">
      <c r="B312" s="93"/>
      <c r="C312" s="43" t="s">
        <v>117</v>
      </c>
      <c r="D312" s="42">
        <v>1</v>
      </c>
      <c r="E312" s="41">
        <v>3.1496062992125983E-4</v>
      </c>
    </row>
    <row r="313" spans="2:5" ht="15" customHeight="1">
      <c r="B313" s="93"/>
      <c r="C313" s="43" t="s">
        <v>114</v>
      </c>
      <c r="D313" s="42">
        <v>3</v>
      </c>
      <c r="E313" s="41">
        <v>9.4488188976377954E-4</v>
      </c>
    </row>
    <row r="314" spans="2:5" ht="15" customHeight="1">
      <c r="B314" s="93"/>
      <c r="C314" s="43" t="s">
        <v>121</v>
      </c>
      <c r="D314" s="42">
        <v>5</v>
      </c>
      <c r="E314" s="41">
        <v>1.5748031496062992E-3</v>
      </c>
    </row>
    <row r="315" spans="2:5" ht="15" customHeight="1">
      <c r="B315" s="94"/>
      <c r="C315" s="40" t="s">
        <v>20</v>
      </c>
      <c r="D315" s="39">
        <v>24</v>
      </c>
      <c r="E315" s="38">
        <v>7.5590551181102363E-3</v>
      </c>
    </row>
    <row r="316" spans="2:5" ht="15" customHeight="1">
      <c r="B316" s="92" t="s">
        <v>48</v>
      </c>
      <c r="C316" s="43" t="s">
        <v>123</v>
      </c>
      <c r="D316" s="42">
        <v>11</v>
      </c>
      <c r="E316" s="41">
        <v>3.4645669291338585E-3</v>
      </c>
    </row>
    <row r="317" spans="2:5" ht="15" customHeight="1">
      <c r="B317" s="93"/>
      <c r="C317" s="43" t="s">
        <v>125</v>
      </c>
      <c r="D317" s="42">
        <v>19</v>
      </c>
      <c r="E317" s="41">
        <v>5.9842519685039371E-3</v>
      </c>
    </row>
    <row r="318" spans="2:5" ht="15" customHeight="1">
      <c r="B318" s="93"/>
      <c r="C318" s="43" t="s">
        <v>124</v>
      </c>
      <c r="D318" s="42">
        <v>1</v>
      </c>
      <c r="E318" s="41">
        <v>3.1496062992125983E-4</v>
      </c>
    </row>
    <row r="319" spans="2:5" ht="15" customHeight="1">
      <c r="B319" s="93"/>
      <c r="C319" s="43" t="s">
        <v>122</v>
      </c>
      <c r="D319" s="42">
        <v>4</v>
      </c>
      <c r="E319" s="41">
        <v>1.2598425196850393E-3</v>
      </c>
    </row>
    <row r="320" spans="2:5" ht="15" customHeight="1">
      <c r="B320" s="93"/>
      <c r="C320" s="43" t="s">
        <v>120</v>
      </c>
      <c r="D320" s="42">
        <v>2</v>
      </c>
      <c r="E320" s="41">
        <v>6.2992125984251965E-4</v>
      </c>
    </row>
    <row r="321" spans="2:5" ht="15" customHeight="1">
      <c r="B321" s="93"/>
      <c r="C321" s="43" t="s">
        <v>112</v>
      </c>
      <c r="D321" s="42">
        <v>1</v>
      </c>
      <c r="E321" s="41">
        <v>3.1496062992125983E-4</v>
      </c>
    </row>
    <row r="322" spans="2:5" ht="15" customHeight="1">
      <c r="B322" s="93"/>
      <c r="C322" s="43" t="s">
        <v>126</v>
      </c>
      <c r="D322" s="42">
        <v>7</v>
      </c>
      <c r="E322" s="41">
        <v>2.204724409448819E-3</v>
      </c>
    </row>
    <row r="323" spans="2:5" ht="15" customHeight="1">
      <c r="B323" s="93"/>
      <c r="C323" s="43" t="s">
        <v>119</v>
      </c>
      <c r="D323" s="42">
        <v>3</v>
      </c>
      <c r="E323" s="41">
        <v>9.4488188976377954E-4</v>
      </c>
    </row>
    <row r="324" spans="2:5" ht="15" customHeight="1">
      <c r="B324" s="93"/>
      <c r="C324" s="43" t="s">
        <v>116</v>
      </c>
      <c r="D324" s="42">
        <v>4</v>
      </c>
      <c r="E324" s="41">
        <v>1.2598425196850393E-3</v>
      </c>
    </row>
    <row r="325" spans="2:5" ht="15" customHeight="1">
      <c r="B325" s="94"/>
      <c r="C325" s="40" t="s">
        <v>20</v>
      </c>
      <c r="D325" s="39">
        <v>52</v>
      </c>
      <c r="E325" s="38">
        <v>1.6377952755905513E-2</v>
      </c>
    </row>
    <row r="326" spans="2:5" ht="15" customHeight="1">
      <c r="B326" s="92" t="s">
        <v>31</v>
      </c>
      <c r="C326" s="43" t="s">
        <v>123</v>
      </c>
      <c r="D326" s="42">
        <v>1</v>
      </c>
      <c r="E326" s="41">
        <v>3.1496062992125983E-4</v>
      </c>
    </row>
    <row r="327" spans="2:5" ht="15" customHeight="1">
      <c r="B327" s="93"/>
      <c r="C327" s="43" t="s">
        <v>125</v>
      </c>
      <c r="D327" s="42">
        <v>1</v>
      </c>
      <c r="E327" s="41">
        <v>3.1496062992125983E-4</v>
      </c>
    </row>
    <row r="328" spans="2:5" ht="15" customHeight="1">
      <c r="B328" s="93"/>
      <c r="C328" s="43" t="s">
        <v>124</v>
      </c>
      <c r="D328" s="42">
        <v>3</v>
      </c>
      <c r="E328" s="41">
        <v>9.4488188976377954E-4</v>
      </c>
    </row>
    <row r="329" spans="2:5" ht="15" customHeight="1">
      <c r="B329" s="93"/>
      <c r="C329" s="43" t="s">
        <v>126</v>
      </c>
      <c r="D329" s="42">
        <v>1</v>
      </c>
      <c r="E329" s="41">
        <v>3.1496062992125983E-4</v>
      </c>
    </row>
    <row r="330" spans="2:5" ht="15" customHeight="1">
      <c r="B330" s="93"/>
      <c r="C330" s="43" t="s">
        <v>111</v>
      </c>
      <c r="D330" s="42">
        <v>1</v>
      </c>
      <c r="E330" s="41">
        <v>3.1496062992125983E-4</v>
      </c>
    </row>
    <row r="331" spans="2:5" ht="15" customHeight="1">
      <c r="B331" s="93"/>
      <c r="C331" s="43" t="s">
        <v>121</v>
      </c>
      <c r="D331" s="42">
        <v>1</v>
      </c>
      <c r="E331" s="41">
        <v>3.1496062992125983E-4</v>
      </c>
    </row>
    <row r="332" spans="2:5" ht="15" customHeight="1">
      <c r="B332" s="94"/>
      <c r="C332" s="40" t="s">
        <v>20</v>
      </c>
      <c r="D332" s="39">
        <v>8</v>
      </c>
      <c r="E332" s="38">
        <v>2.5196850393700786E-3</v>
      </c>
    </row>
    <row r="333" spans="2:5" ht="15" customHeight="1">
      <c r="B333" s="92" t="s">
        <v>26</v>
      </c>
      <c r="C333" s="43" t="s">
        <v>123</v>
      </c>
      <c r="D333" s="42">
        <v>5</v>
      </c>
      <c r="E333" s="41">
        <v>1.5748031496062992E-3</v>
      </c>
    </row>
    <row r="334" spans="2:5" ht="15" customHeight="1">
      <c r="B334" s="93"/>
      <c r="C334" s="43" t="s">
        <v>125</v>
      </c>
      <c r="D334" s="42">
        <v>2</v>
      </c>
      <c r="E334" s="41">
        <v>6.2992125984251965E-4</v>
      </c>
    </row>
    <row r="335" spans="2:5" ht="15" customHeight="1">
      <c r="B335" s="93"/>
      <c r="C335" s="43" t="s">
        <v>122</v>
      </c>
      <c r="D335" s="42">
        <v>2</v>
      </c>
      <c r="E335" s="41">
        <v>6.2992125984251965E-4</v>
      </c>
    </row>
    <row r="336" spans="2:5" ht="15" customHeight="1">
      <c r="B336" s="93"/>
      <c r="C336" s="43" t="s">
        <v>120</v>
      </c>
      <c r="D336" s="42">
        <v>1</v>
      </c>
      <c r="E336" s="41">
        <v>3.1496062992125983E-4</v>
      </c>
    </row>
    <row r="337" spans="2:5" ht="15" customHeight="1">
      <c r="B337" s="93"/>
      <c r="C337" s="43" t="s">
        <v>112</v>
      </c>
      <c r="D337" s="42">
        <v>1</v>
      </c>
      <c r="E337" s="41">
        <v>3.1496062992125983E-4</v>
      </c>
    </row>
    <row r="338" spans="2:5" ht="15" customHeight="1">
      <c r="B338" s="93"/>
      <c r="C338" s="43" t="s">
        <v>126</v>
      </c>
      <c r="D338" s="42">
        <v>4</v>
      </c>
      <c r="E338" s="41">
        <v>1.2598425196850393E-3</v>
      </c>
    </row>
    <row r="339" spans="2:5" ht="15" customHeight="1">
      <c r="B339" s="93"/>
      <c r="C339" s="43" t="s">
        <v>119</v>
      </c>
      <c r="D339" s="42">
        <v>2</v>
      </c>
      <c r="E339" s="41">
        <v>6.2992125984251965E-4</v>
      </c>
    </row>
    <row r="340" spans="2:5" ht="15" customHeight="1">
      <c r="B340" s="93"/>
      <c r="C340" s="43" t="s">
        <v>114</v>
      </c>
      <c r="D340" s="42">
        <v>1</v>
      </c>
      <c r="E340" s="41">
        <v>3.1496062992125983E-4</v>
      </c>
    </row>
    <row r="341" spans="2:5" ht="15" customHeight="1">
      <c r="B341" s="94"/>
      <c r="C341" s="40" t="s">
        <v>20</v>
      </c>
      <c r="D341" s="39">
        <v>18</v>
      </c>
      <c r="E341" s="38">
        <v>5.6692913385826774E-3</v>
      </c>
    </row>
    <row r="342" spans="2:5" ht="15" customHeight="1">
      <c r="B342" s="92" t="s">
        <v>202</v>
      </c>
      <c r="C342" s="43" t="s">
        <v>125</v>
      </c>
      <c r="D342" s="42">
        <v>1</v>
      </c>
      <c r="E342" s="41">
        <v>3.1496062992125983E-4</v>
      </c>
    </row>
    <row r="343" spans="2:5" ht="15" customHeight="1">
      <c r="B343" s="93"/>
      <c r="C343" s="43" t="s">
        <v>124</v>
      </c>
      <c r="D343" s="42">
        <v>1</v>
      </c>
      <c r="E343" s="41">
        <v>3.1496062992125983E-4</v>
      </c>
    </row>
    <row r="344" spans="2:5" ht="15" customHeight="1">
      <c r="B344" s="94"/>
      <c r="C344" s="40" t="s">
        <v>20</v>
      </c>
      <c r="D344" s="39">
        <v>2</v>
      </c>
      <c r="E344" s="38">
        <v>6.2992125984251965E-4</v>
      </c>
    </row>
    <row r="345" spans="2:5" ht="15" customHeight="1">
      <c r="B345" s="92" t="s">
        <v>51</v>
      </c>
      <c r="C345" s="43" t="s">
        <v>123</v>
      </c>
      <c r="D345" s="42">
        <v>8</v>
      </c>
      <c r="E345" s="41">
        <v>2.5196850393700786E-3</v>
      </c>
    </row>
    <row r="346" spans="2:5" ht="15" customHeight="1">
      <c r="B346" s="93"/>
      <c r="C346" s="43" t="s">
        <v>125</v>
      </c>
      <c r="D346" s="42">
        <v>29</v>
      </c>
      <c r="E346" s="41">
        <v>9.1338582677165346E-3</v>
      </c>
    </row>
    <row r="347" spans="2:5" ht="15" customHeight="1">
      <c r="B347" s="93"/>
      <c r="C347" s="43" t="s">
        <v>124</v>
      </c>
      <c r="D347" s="42">
        <v>17</v>
      </c>
      <c r="E347" s="41">
        <v>5.3543307086614169E-3</v>
      </c>
    </row>
    <row r="348" spans="2:5" ht="15" customHeight="1">
      <c r="B348" s="93"/>
      <c r="C348" s="43" t="s">
        <v>122</v>
      </c>
      <c r="D348" s="42">
        <v>15</v>
      </c>
      <c r="E348" s="41">
        <v>4.7244094488188976E-3</v>
      </c>
    </row>
    <row r="349" spans="2:5" ht="15" customHeight="1">
      <c r="B349" s="93"/>
      <c r="C349" s="43" t="s">
        <v>120</v>
      </c>
      <c r="D349" s="42">
        <v>1</v>
      </c>
      <c r="E349" s="41">
        <v>3.1496062992125983E-4</v>
      </c>
    </row>
    <row r="350" spans="2:5" ht="15" customHeight="1">
      <c r="B350" s="93"/>
      <c r="C350" s="43" t="s">
        <v>112</v>
      </c>
      <c r="D350" s="42">
        <v>2</v>
      </c>
      <c r="E350" s="41">
        <v>6.2992125984251965E-4</v>
      </c>
    </row>
    <row r="351" spans="2:5" ht="15" customHeight="1">
      <c r="B351" s="93"/>
      <c r="C351" s="43" t="s">
        <v>126</v>
      </c>
      <c r="D351" s="42">
        <v>30</v>
      </c>
      <c r="E351" s="41">
        <v>9.4488188976377951E-3</v>
      </c>
    </row>
    <row r="352" spans="2:5" ht="15" customHeight="1">
      <c r="B352" s="93"/>
      <c r="C352" s="43" t="s">
        <v>115</v>
      </c>
      <c r="D352" s="42">
        <v>6</v>
      </c>
      <c r="E352" s="41">
        <v>1.8897637795275591E-3</v>
      </c>
    </row>
    <row r="353" spans="2:5" ht="15" customHeight="1">
      <c r="B353" s="93"/>
      <c r="C353" s="43" t="s">
        <v>118</v>
      </c>
      <c r="D353" s="42">
        <v>3</v>
      </c>
      <c r="E353" s="41">
        <v>9.4488188976377954E-4</v>
      </c>
    </row>
    <row r="354" spans="2:5" ht="15" customHeight="1">
      <c r="B354" s="93"/>
      <c r="C354" s="43" t="s">
        <v>111</v>
      </c>
      <c r="D354" s="42">
        <v>1</v>
      </c>
      <c r="E354" s="41">
        <v>3.1496062992125983E-4</v>
      </c>
    </row>
    <row r="355" spans="2:5" ht="15" customHeight="1">
      <c r="B355" s="93"/>
      <c r="C355" s="43" t="s">
        <v>119</v>
      </c>
      <c r="D355" s="42">
        <v>4</v>
      </c>
      <c r="E355" s="41">
        <v>1.2598425196850393E-3</v>
      </c>
    </row>
    <row r="356" spans="2:5" ht="15" customHeight="1">
      <c r="B356" s="93"/>
      <c r="C356" s="43" t="s">
        <v>117</v>
      </c>
      <c r="D356" s="42">
        <v>1</v>
      </c>
      <c r="E356" s="41">
        <v>3.1496062992125983E-4</v>
      </c>
    </row>
    <row r="357" spans="2:5" ht="15" customHeight="1">
      <c r="B357" s="93"/>
      <c r="C357" s="43" t="s">
        <v>116</v>
      </c>
      <c r="D357" s="42">
        <v>1</v>
      </c>
      <c r="E357" s="41">
        <v>3.1496062992125983E-4</v>
      </c>
    </row>
    <row r="358" spans="2:5" ht="15" customHeight="1">
      <c r="B358" s="93"/>
      <c r="C358" s="43" t="s">
        <v>114</v>
      </c>
      <c r="D358" s="42">
        <v>1</v>
      </c>
      <c r="E358" s="41">
        <v>3.1496062992125983E-4</v>
      </c>
    </row>
    <row r="359" spans="2:5" ht="15" customHeight="1">
      <c r="B359" s="93"/>
      <c r="C359" s="43" t="s">
        <v>121</v>
      </c>
      <c r="D359" s="42">
        <v>11</v>
      </c>
      <c r="E359" s="41">
        <v>3.4645669291338585E-3</v>
      </c>
    </row>
    <row r="360" spans="2:5" ht="15" customHeight="1">
      <c r="B360" s="94"/>
      <c r="C360" s="40" t="s">
        <v>20</v>
      </c>
      <c r="D360" s="39">
        <v>130</v>
      </c>
      <c r="E360" s="38">
        <v>4.0944881889763779E-2</v>
      </c>
    </row>
    <row r="361" spans="2:5" ht="15" customHeight="1">
      <c r="B361" s="92" t="s">
        <v>23</v>
      </c>
      <c r="C361" s="43" t="s">
        <v>126</v>
      </c>
      <c r="D361" s="42">
        <v>1</v>
      </c>
      <c r="E361" s="41">
        <v>3.1496062992125983E-4</v>
      </c>
    </row>
    <row r="362" spans="2:5" ht="15" customHeight="1">
      <c r="B362" s="94"/>
      <c r="C362" s="40" t="s">
        <v>20</v>
      </c>
      <c r="D362" s="39">
        <v>1</v>
      </c>
      <c r="E362" s="38">
        <v>3.1496062992125983E-4</v>
      </c>
    </row>
    <row r="363" spans="2:5" ht="15" customHeight="1">
      <c r="B363" s="92" t="s">
        <v>50</v>
      </c>
      <c r="C363" s="43" t="s">
        <v>123</v>
      </c>
      <c r="D363" s="42">
        <v>5</v>
      </c>
      <c r="E363" s="41">
        <v>1.5748031496062992E-3</v>
      </c>
    </row>
    <row r="364" spans="2:5" ht="15" customHeight="1">
      <c r="B364" s="93"/>
      <c r="C364" s="43" t="s">
        <v>125</v>
      </c>
      <c r="D364" s="42">
        <v>2</v>
      </c>
      <c r="E364" s="41">
        <v>6.2992125984251965E-4</v>
      </c>
    </row>
    <row r="365" spans="2:5" ht="15" customHeight="1">
      <c r="B365" s="93"/>
      <c r="C365" s="43" t="s">
        <v>113</v>
      </c>
      <c r="D365" s="42">
        <v>1</v>
      </c>
      <c r="E365" s="41">
        <v>3.1496062992125983E-4</v>
      </c>
    </row>
    <row r="366" spans="2:5" ht="15" customHeight="1">
      <c r="B366" s="93"/>
      <c r="C366" s="43" t="s">
        <v>124</v>
      </c>
      <c r="D366" s="42">
        <v>7</v>
      </c>
      <c r="E366" s="41">
        <v>2.204724409448819E-3</v>
      </c>
    </row>
    <row r="367" spans="2:5" ht="15" customHeight="1">
      <c r="B367" s="93"/>
      <c r="C367" s="43" t="s">
        <v>122</v>
      </c>
      <c r="D367" s="42">
        <v>7</v>
      </c>
      <c r="E367" s="41">
        <v>2.204724409448819E-3</v>
      </c>
    </row>
    <row r="368" spans="2:5" ht="15" customHeight="1">
      <c r="B368" s="93"/>
      <c r="C368" s="43" t="s">
        <v>120</v>
      </c>
      <c r="D368" s="42">
        <v>1</v>
      </c>
      <c r="E368" s="41">
        <v>3.1496062992125983E-4</v>
      </c>
    </row>
    <row r="369" spans="2:5" ht="15" customHeight="1">
      <c r="B369" s="93"/>
      <c r="C369" s="43" t="s">
        <v>126</v>
      </c>
      <c r="D369" s="42">
        <v>23</v>
      </c>
      <c r="E369" s="41">
        <v>7.2440944881889766E-3</v>
      </c>
    </row>
    <row r="370" spans="2:5" ht="15" customHeight="1">
      <c r="B370" s="93"/>
      <c r="C370" s="43" t="s">
        <v>115</v>
      </c>
      <c r="D370" s="42">
        <v>4</v>
      </c>
      <c r="E370" s="41">
        <v>1.2598425196850393E-3</v>
      </c>
    </row>
    <row r="371" spans="2:5" ht="15" customHeight="1">
      <c r="B371" s="93"/>
      <c r="C371" s="43" t="s">
        <v>118</v>
      </c>
      <c r="D371" s="42">
        <v>1</v>
      </c>
      <c r="E371" s="41">
        <v>3.1496062992125983E-4</v>
      </c>
    </row>
    <row r="372" spans="2:5" ht="15" customHeight="1">
      <c r="B372" s="93"/>
      <c r="C372" s="43" t="s">
        <v>119</v>
      </c>
      <c r="D372" s="42">
        <v>6</v>
      </c>
      <c r="E372" s="41">
        <v>1.8897637795275591E-3</v>
      </c>
    </row>
    <row r="373" spans="2:5" ht="15" customHeight="1">
      <c r="B373" s="93"/>
      <c r="C373" s="43" t="s">
        <v>116</v>
      </c>
      <c r="D373" s="42">
        <v>2</v>
      </c>
      <c r="E373" s="41">
        <v>6.2992125984251965E-4</v>
      </c>
    </row>
    <row r="374" spans="2:5" ht="15" customHeight="1">
      <c r="B374" s="93"/>
      <c r="C374" s="43" t="s">
        <v>114</v>
      </c>
      <c r="D374" s="42">
        <v>1</v>
      </c>
      <c r="E374" s="41">
        <v>3.1496062992125983E-4</v>
      </c>
    </row>
    <row r="375" spans="2:5" ht="15" customHeight="1">
      <c r="B375" s="93"/>
      <c r="C375" s="43" t="s">
        <v>121</v>
      </c>
      <c r="D375" s="42">
        <v>3</v>
      </c>
      <c r="E375" s="41">
        <v>9.4488188976377954E-4</v>
      </c>
    </row>
    <row r="376" spans="2:5" ht="15" customHeight="1">
      <c r="B376" s="94"/>
      <c r="C376" s="40" t="s">
        <v>20</v>
      </c>
      <c r="D376" s="39">
        <v>63</v>
      </c>
      <c r="E376" s="38">
        <v>1.9842519685039368E-2</v>
      </c>
    </row>
    <row r="377" spans="2:5" ht="15" customHeight="1">
      <c r="B377" s="92" t="s">
        <v>62</v>
      </c>
      <c r="C377" s="43" t="s">
        <v>123</v>
      </c>
      <c r="D377" s="42">
        <v>70</v>
      </c>
      <c r="E377" s="41">
        <v>2.2047244094488189E-2</v>
      </c>
    </row>
    <row r="378" spans="2:5" ht="15" customHeight="1">
      <c r="B378" s="93"/>
      <c r="C378" s="43" t="s">
        <v>125</v>
      </c>
      <c r="D378" s="42">
        <v>194</v>
      </c>
      <c r="E378" s="41">
        <v>6.1102362204724411E-2</v>
      </c>
    </row>
    <row r="379" spans="2:5" ht="15" customHeight="1">
      <c r="B379" s="93"/>
      <c r="C379" s="43" t="s">
        <v>113</v>
      </c>
      <c r="D379" s="42">
        <v>11</v>
      </c>
      <c r="E379" s="41">
        <v>3.4645669291338585E-3</v>
      </c>
    </row>
    <row r="380" spans="2:5" ht="15" customHeight="1">
      <c r="B380" s="93"/>
      <c r="C380" s="43" t="s">
        <v>124</v>
      </c>
      <c r="D380" s="42">
        <v>81</v>
      </c>
      <c r="E380" s="41">
        <v>2.5511811023622048E-2</v>
      </c>
    </row>
    <row r="381" spans="2:5" ht="15" customHeight="1">
      <c r="B381" s="93"/>
      <c r="C381" s="43" t="s">
        <v>122</v>
      </c>
      <c r="D381" s="42">
        <v>53</v>
      </c>
      <c r="E381" s="41">
        <v>1.669291338582677E-2</v>
      </c>
    </row>
    <row r="382" spans="2:5" ht="15" customHeight="1">
      <c r="B382" s="93"/>
      <c r="C382" s="43" t="s">
        <v>120</v>
      </c>
      <c r="D382" s="42">
        <v>44</v>
      </c>
      <c r="E382" s="41">
        <v>1.3858267716535434E-2</v>
      </c>
    </row>
    <row r="383" spans="2:5" ht="15" customHeight="1">
      <c r="B383" s="93"/>
      <c r="C383" s="43" t="s">
        <v>112</v>
      </c>
      <c r="D383" s="42">
        <v>11</v>
      </c>
      <c r="E383" s="41">
        <v>3.4645669291338585E-3</v>
      </c>
    </row>
    <row r="384" spans="2:5" ht="15" customHeight="1">
      <c r="B384" s="93"/>
      <c r="C384" s="43" t="s">
        <v>126</v>
      </c>
      <c r="D384" s="42">
        <v>194</v>
      </c>
      <c r="E384" s="41">
        <v>6.1102362204724411E-2</v>
      </c>
    </row>
    <row r="385" spans="2:5" ht="15" customHeight="1">
      <c r="B385" s="93"/>
      <c r="C385" s="43" t="s">
        <v>115</v>
      </c>
      <c r="D385" s="42">
        <v>13</v>
      </c>
      <c r="E385" s="41">
        <v>4.0944881889763782E-3</v>
      </c>
    </row>
    <row r="386" spans="2:5" ht="15" customHeight="1">
      <c r="B386" s="93"/>
      <c r="C386" s="43" t="s">
        <v>118</v>
      </c>
      <c r="D386" s="42">
        <v>7</v>
      </c>
      <c r="E386" s="41">
        <v>2.204724409448819E-3</v>
      </c>
    </row>
    <row r="387" spans="2:5" ht="15" customHeight="1">
      <c r="B387" s="93"/>
      <c r="C387" s="43" t="s">
        <v>111</v>
      </c>
      <c r="D387" s="42">
        <v>5</v>
      </c>
      <c r="E387" s="41">
        <v>1.5748031496062992E-3</v>
      </c>
    </row>
    <row r="388" spans="2:5" ht="15" customHeight="1">
      <c r="B388" s="93"/>
      <c r="C388" s="43" t="s">
        <v>119</v>
      </c>
      <c r="D388" s="42">
        <v>21</v>
      </c>
      <c r="E388" s="41">
        <v>6.6141732283464564E-3</v>
      </c>
    </row>
    <row r="389" spans="2:5" ht="15" customHeight="1">
      <c r="B389" s="93"/>
      <c r="C389" s="43" t="s">
        <v>110</v>
      </c>
      <c r="D389" s="42">
        <v>3</v>
      </c>
      <c r="E389" s="41">
        <v>9.4488188976377954E-4</v>
      </c>
    </row>
    <row r="390" spans="2:5" ht="15" customHeight="1">
      <c r="B390" s="93"/>
      <c r="C390" s="43" t="s">
        <v>117</v>
      </c>
      <c r="D390" s="42">
        <v>10</v>
      </c>
      <c r="E390" s="41">
        <v>3.1496062992125984E-3</v>
      </c>
    </row>
    <row r="391" spans="2:5" ht="15" customHeight="1">
      <c r="B391" s="93"/>
      <c r="C391" s="43" t="s">
        <v>116</v>
      </c>
      <c r="D391" s="42">
        <v>7</v>
      </c>
      <c r="E391" s="41">
        <v>2.204724409448819E-3</v>
      </c>
    </row>
    <row r="392" spans="2:5" ht="15" customHeight="1">
      <c r="B392" s="93"/>
      <c r="C392" s="43" t="s">
        <v>114</v>
      </c>
      <c r="D392" s="42">
        <v>10</v>
      </c>
      <c r="E392" s="41">
        <v>3.1496062992125984E-3</v>
      </c>
    </row>
    <row r="393" spans="2:5" ht="15" customHeight="1">
      <c r="B393" s="93"/>
      <c r="C393" s="43" t="s">
        <v>121</v>
      </c>
      <c r="D393" s="42">
        <v>47</v>
      </c>
      <c r="E393" s="41">
        <v>1.4803149606299212E-2</v>
      </c>
    </row>
    <row r="394" spans="2:5" ht="15" customHeight="1">
      <c r="B394" s="94"/>
      <c r="C394" s="40" t="s">
        <v>20</v>
      </c>
      <c r="D394" s="39">
        <v>781</v>
      </c>
      <c r="E394" s="38">
        <v>0.24598425196850393</v>
      </c>
    </row>
    <row r="395" spans="2:5" ht="15" customHeight="1">
      <c r="B395" s="92" t="s">
        <v>40</v>
      </c>
      <c r="C395" s="43" t="s">
        <v>125</v>
      </c>
      <c r="D395" s="42">
        <v>9</v>
      </c>
      <c r="E395" s="41">
        <v>2.8346456692913387E-3</v>
      </c>
    </row>
    <row r="396" spans="2:5" ht="15" customHeight="1">
      <c r="B396" s="93"/>
      <c r="C396" s="43" t="s">
        <v>124</v>
      </c>
      <c r="D396" s="42">
        <v>6</v>
      </c>
      <c r="E396" s="41">
        <v>1.8897637795275591E-3</v>
      </c>
    </row>
    <row r="397" spans="2:5" ht="15" customHeight="1">
      <c r="B397" s="93"/>
      <c r="C397" s="43" t="s">
        <v>122</v>
      </c>
      <c r="D397" s="42">
        <v>5</v>
      </c>
      <c r="E397" s="41">
        <v>1.5748031496062992E-3</v>
      </c>
    </row>
    <row r="398" spans="2:5" ht="15" customHeight="1">
      <c r="B398" s="93"/>
      <c r="C398" s="43" t="s">
        <v>120</v>
      </c>
      <c r="D398" s="42">
        <v>1</v>
      </c>
      <c r="E398" s="41">
        <v>3.1496062992125983E-4</v>
      </c>
    </row>
    <row r="399" spans="2:5" ht="15" customHeight="1">
      <c r="B399" s="93"/>
      <c r="C399" s="43" t="s">
        <v>126</v>
      </c>
      <c r="D399" s="42">
        <v>10</v>
      </c>
      <c r="E399" s="41">
        <v>3.1496062992125984E-3</v>
      </c>
    </row>
    <row r="400" spans="2:5" ht="15" customHeight="1">
      <c r="B400" s="93"/>
      <c r="C400" s="43" t="s">
        <v>119</v>
      </c>
      <c r="D400" s="42">
        <v>1</v>
      </c>
      <c r="E400" s="41">
        <v>3.1496062992125983E-4</v>
      </c>
    </row>
    <row r="401" spans="2:5" ht="15" customHeight="1">
      <c r="B401" s="93"/>
      <c r="C401" s="43" t="s">
        <v>116</v>
      </c>
      <c r="D401" s="42">
        <v>1</v>
      </c>
      <c r="E401" s="41">
        <v>3.1496062992125983E-4</v>
      </c>
    </row>
    <row r="402" spans="2:5" ht="15" customHeight="1">
      <c r="B402" s="94"/>
      <c r="C402" s="40" t="s">
        <v>20</v>
      </c>
      <c r="D402" s="39">
        <v>33</v>
      </c>
      <c r="E402" s="38">
        <v>1.0393700787401575E-2</v>
      </c>
    </row>
    <row r="403" spans="2:5" ht="15" customHeight="1">
      <c r="B403" s="92" t="s">
        <v>46</v>
      </c>
      <c r="C403" s="43" t="s">
        <v>123</v>
      </c>
      <c r="D403" s="42">
        <v>1</v>
      </c>
      <c r="E403" s="41">
        <v>3.1496062992125983E-4</v>
      </c>
    </row>
    <row r="404" spans="2:5" ht="15" customHeight="1">
      <c r="B404" s="93"/>
      <c r="C404" s="43" t="s">
        <v>125</v>
      </c>
      <c r="D404" s="42">
        <v>25</v>
      </c>
      <c r="E404" s="41">
        <v>7.874015748031496E-3</v>
      </c>
    </row>
    <row r="405" spans="2:5" ht="15" customHeight="1">
      <c r="B405" s="93"/>
      <c r="C405" s="43" t="s">
        <v>122</v>
      </c>
      <c r="D405" s="42">
        <v>3</v>
      </c>
      <c r="E405" s="41">
        <v>9.4488188976377954E-4</v>
      </c>
    </row>
    <row r="406" spans="2:5" ht="15" customHeight="1">
      <c r="B406" s="93"/>
      <c r="C406" s="43" t="s">
        <v>112</v>
      </c>
      <c r="D406" s="42">
        <v>1</v>
      </c>
      <c r="E406" s="41">
        <v>3.1496062992125983E-4</v>
      </c>
    </row>
    <row r="407" spans="2:5" ht="15" customHeight="1">
      <c r="B407" s="93"/>
      <c r="C407" s="43" t="s">
        <v>126</v>
      </c>
      <c r="D407" s="42">
        <v>4</v>
      </c>
      <c r="E407" s="41">
        <v>1.2598425196850393E-3</v>
      </c>
    </row>
    <row r="408" spans="2:5" ht="15" customHeight="1">
      <c r="B408" s="93"/>
      <c r="C408" s="43" t="s">
        <v>117</v>
      </c>
      <c r="D408" s="42">
        <v>1</v>
      </c>
      <c r="E408" s="41">
        <v>3.1496062992125983E-4</v>
      </c>
    </row>
    <row r="409" spans="2:5" ht="15" customHeight="1">
      <c r="B409" s="94"/>
      <c r="C409" s="40" t="s">
        <v>20</v>
      </c>
      <c r="D409" s="39">
        <v>35</v>
      </c>
      <c r="E409" s="38">
        <v>1.1023622047244094E-2</v>
      </c>
    </row>
    <row r="410" spans="2:5" ht="15" customHeight="1">
      <c r="B410" s="92" t="s">
        <v>57</v>
      </c>
      <c r="C410" s="43" t="s">
        <v>123</v>
      </c>
      <c r="D410" s="42">
        <v>6</v>
      </c>
      <c r="E410" s="41">
        <v>1.8897637795275591E-3</v>
      </c>
    </row>
    <row r="411" spans="2:5" ht="15" customHeight="1">
      <c r="B411" s="93"/>
      <c r="C411" s="43" t="s">
        <v>125</v>
      </c>
      <c r="D411" s="42">
        <v>36</v>
      </c>
      <c r="E411" s="41">
        <v>1.1338582677165355E-2</v>
      </c>
    </row>
    <row r="412" spans="2:5" ht="15" customHeight="1">
      <c r="B412" s="93"/>
      <c r="C412" s="43" t="s">
        <v>124</v>
      </c>
      <c r="D412" s="42">
        <v>7</v>
      </c>
      <c r="E412" s="41">
        <v>2.204724409448819E-3</v>
      </c>
    </row>
    <row r="413" spans="2:5" ht="15" customHeight="1">
      <c r="B413" s="93"/>
      <c r="C413" s="43" t="s">
        <v>122</v>
      </c>
      <c r="D413" s="42">
        <v>28</v>
      </c>
      <c r="E413" s="41">
        <v>8.8188976377952758E-3</v>
      </c>
    </row>
    <row r="414" spans="2:5" ht="15" customHeight="1">
      <c r="B414" s="93"/>
      <c r="C414" s="43" t="s">
        <v>120</v>
      </c>
      <c r="D414" s="42">
        <v>2</v>
      </c>
      <c r="E414" s="41">
        <v>6.2992125984251965E-4</v>
      </c>
    </row>
    <row r="415" spans="2:5" ht="15" customHeight="1">
      <c r="B415" s="93"/>
      <c r="C415" s="43" t="s">
        <v>126</v>
      </c>
      <c r="D415" s="42">
        <v>15</v>
      </c>
      <c r="E415" s="41">
        <v>4.7244094488188976E-3</v>
      </c>
    </row>
    <row r="416" spans="2:5" ht="15" customHeight="1">
      <c r="B416" s="93"/>
      <c r="C416" s="43" t="s">
        <v>118</v>
      </c>
      <c r="D416" s="42">
        <v>2</v>
      </c>
      <c r="E416" s="41">
        <v>6.2992125984251965E-4</v>
      </c>
    </row>
    <row r="417" spans="2:5" ht="15" customHeight="1">
      <c r="B417" s="93"/>
      <c r="C417" s="43" t="s">
        <v>119</v>
      </c>
      <c r="D417" s="42">
        <v>2</v>
      </c>
      <c r="E417" s="41">
        <v>6.2992125984251965E-4</v>
      </c>
    </row>
    <row r="418" spans="2:5" ht="15" customHeight="1">
      <c r="B418" s="93"/>
      <c r="C418" s="43" t="s">
        <v>117</v>
      </c>
      <c r="D418" s="42">
        <v>4</v>
      </c>
      <c r="E418" s="41">
        <v>1.2598425196850393E-3</v>
      </c>
    </row>
    <row r="419" spans="2:5" ht="15" customHeight="1">
      <c r="B419" s="93"/>
      <c r="C419" s="43" t="s">
        <v>116</v>
      </c>
      <c r="D419" s="42">
        <v>2</v>
      </c>
      <c r="E419" s="41">
        <v>6.2992125984251965E-4</v>
      </c>
    </row>
    <row r="420" spans="2:5" ht="15" customHeight="1">
      <c r="B420" s="93"/>
      <c r="C420" s="43" t="s">
        <v>121</v>
      </c>
      <c r="D420" s="42">
        <v>8</v>
      </c>
      <c r="E420" s="41">
        <v>2.5196850393700786E-3</v>
      </c>
    </row>
    <row r="421" spans="2:5" ht="15" customHeight="1">
      <c r="B421" s="94"/>
      <c r="C421" s="40" t="s">
        <v>20</v>
      </c>
      <c r="D421" s="39">
        <v>112</v>
      </c>
      <c r="E421" s="38">
        <v>3.5275590551181103E-2</v>
      </c>
    </row>
    <row r="422" spans="2:5" ht="15" customHeight="1">
      <c r="B422" s="92" t="s">
        <v>33</v>
      </c>
      <c r="C422" s="43" t="s">
        <v>123</v>
      </c>
      <c r="D422" s="42">
        <v>2</v>
      </c>
      <c r="E422" s="41">
        <v>6.2992125984251965E-4</v>
      </c>
    </row>
    <row r="423" spans="2:5" ht="15" customHeight="1">
      <c r="B423" s="93"/>
      <c r="C423" s="43" t="s">
        <v>125</v>
      </c>
      <c r="D423" s="42">
        <v>5</v>
      </c>
      <c r="E423" s="41">
        <v>1.5748031496062992E-3</v>
      </c>
    </row>
    <row r="424" spans="2:5" ht="15" customHeight="1">
      <c r="B424" s="93"/>
      <c r="C424" s="43" t="s">
        <v>124</v>
      </c>
      <c r="D424" s="42">
        <v>2</v>
      </c>
      <c r="E424" s="41">
        <v>6.2992125984251965E-4</v>
      </c>
    </row>
    <row r="425" spans="2:5" ht="15" customHeight="1">
      <c r="B425" s="93"/>
      <c r="C425" s="43" t="s">
        <v>122</v>
      </c>
      <c r="D425" s="42">
        <v>1</v>
      </c>
      <c r="E425" s="41">
        <v>3.1496062992125983E-4</v>
      </c>
    </row>
    <row r="426" spans="2:5" ht="15" customHeight="1">
      <c r="B426" s="93"/>
      <c r="C426" s="43" t="s">
        <v>120</v>
      </c>
      <c r="D426" s="42">
        <v>2</v>
      </c>
      <c r="E426" s="41">
        <v>6.2992125984251965E-4</v>
      </c>
    </row>
    <row r="427" spans="2:5" ht="15" customHeight="1">
      <c r="B427" s="93"/>
      <c r="C427" s="43" t="s">
        <v>112</v>
      </c>
      <c r="D427" s="42">
        <v>1</v>
      </c>
      <c r="E427" s="41">
        <v>3.1496062992125983E-4</v>
      </c>
    </row>
    <row r="428" spans="2:5" ht="15" customHeight="1">
      <c r="B428" s="93"/>
      <c r="C428" s="43" t="s">
        <v>117</v>
      </c>
      <c r="D428" s="42">
        <v>1</v>
      </c>
      <c r="E428" s="41">
        <v>3.1496062992125983E-4</v>
      </c>
    </row>
    <row r="429" spans="2:5" ht="15" customHeight="1">
      <c r="B429" s="93"/>
      <c r="C429" s="43" t="s">
        <v>114</v>
      </c>
      <c r="D429" s="42">
        <v>1</v>
      </c>
      <c r="E429" s="41">
        <v>3.1496062992125983E-4</v>
      </c>
    </row>
    <row r="430" spans="2:5" ht="15" customHeight="1">
      <c r="B430" s="93"/>
      <c r="C430" s="43" t="s">
        <v>121</v>
      </c>
      <c r="D430" s="42">
        <v>1</v>
      </c>
      <c r="E430" s="41">
        <v>3.1496062992125983E-4</v>
      </c>
    </row>
    <row r="431" spans="2:5" ht="15" customHeight="1">
      <c r="B431" s="94"/>
      <c r="C431" s="40" t="s">
        <v>20</v>
      </c>
      <c r="D431" s="39">
        <v>16</v>
      </c>
      <c r="E431" s="38">
        <v>5.0393700787401572E-3</v>
      </c>
    </row>
    <row r="432" spans="2:5" ht="15" customHeight="1">
      <c r="B432" s="92" t="s">
        <v>47</v>
      </c>
      <c r="C432" s="43" t="s">
        <v>125</v>
      </c>
      <c r="D432" s="42">
        <v>11</v>
      </c>
      <c r="E432" s="41">
        <v>3.4645669291338585E-3</v>
      </c>
    </row>
    <row r="433" spans="2:5" ht="15" customHeight="1">
      <c r="B433" s="93"/>
      <c r="C433" s="43" t="s">
        <v>113</v>
      </c>
      <c r="D433" s="42">
        <v>1</v>
      </c>
      <c r="E433" s="41">
        <v>3.1496062992125983E-4</v>
      </c>
    </row>
    <row r="434" spans="2:5" ht="15" customHeight="1">
      <c r="B434" s="93"/>
      <c r="C434" s="43" t="s">
        <v>124</v>
      </c>
      <c r="D434" s="42">
        <v>7</v>
      </c>
      <c r="E434" s="41">
        <v>2.204724409448819E-3</v>
      </c>
    </row>
    <row r="435" spans="2:5" ht="15" customHeight="1">
      <c r="B435" s="93"/>
      <c r="C435" s="43" t="s">
        <v>122</v>
      </c>
      <c r="D435" s="42">
        <v>4</v>
      </c>
      <c r="E435" s="41">
        <v>1.2598425196850393E-3</v>
      </c>
    </row>
    <row r="436" spans="2:5" ht="15" customHeight="1">
      <c r="B436" s="93"/>
      <c r="C436" s="43" t="s">
        <v>126</v>
      </c>
      <c r="D436" s="42">
        <v>21</v>
      </c>
      <c r="E436" s="41">
        <v>6.6141732283464564E-3</v>
      </c>
    </row>
    <row r="437" spans="2:5" ht="15" customHeight="1">
      <c r="B437" s="93"/>
      <c r="C437" s="43" t="s">
        <v>119</v>
      </c>
      <c r="D437" s="42">
        <v>1</v>
      </c>
      <c r="E437" s="41">
        <v>3.1496062992125983E-4</v>
      </c>
    </row>
    <row r="438" spans="2:5" ht="15" customHeight="1">
      <c r="B438" s="93"/>
      <c r="C438" s="43" t="s">
        <v>110</v>
      </c>
      <c r="D438" s="42">
        <v>1</v>
      </c>
      <c r="E438" s="41">
        <v>3.1496062992125983E-4</v>
      </c>
    </row>
    <row r="439" spans="2:5" ht="15" customHeight="1">
      <c r="B439" s="93"/>
      <c r="C439" s="43" t="s">
        <v>117</v>
      </c>
      <c r="D439" s="42">
        <v>1</v>
      </c>
      <c r="E439" s="41">
        <v>3.1496062992125983E-4</v>
      </c>
    </row>
    <row r="440" spans="2:5" ht="15" customHeight="1">
      <c r="B440" s="93"/>
      <c r="C440" s="43" t="s">
        <v>121</v>
      </c>
      <c r="D440" s="42">
        <v>8</v>
      </c>
      <c r="E440" s="41">
        <v>2.5196850393700786E-3</v>
      </c>
    </row>
    <row r="441" spans="2:5" ht="15" customHeight="1">
      <c r="B441" s="94"/>
      <c r="C441" s="40" t="s">
        <v>20</v>
      </c>
      <c r="D441" s="39">
        <v>55</v>
      </c>
      <c r="E441" s="38">
        <v>1.7322834645669291E-2</v>
      </c>
    </row>
    <row r="442" spans="2:5" ht="15" customHeight="1">
      <c r="B442" s="92" t="s">
        <v>21</v>
      </c>
      <c r="C442" s="43" t="s">
        <v>113</v>
      </c>
      <c r="D442" s="42">
        <v>1</v>
      </c>
      <c r="E442" s="41">
        <v>3.1496062992125983E-4</v>
      </c>
    </row>
    <row r="443" spans="2:5" ht="15" customHeight="1">
      <c r="B443" s="93"/>
      <c r="C443" s="43" t="s">
        <v>124</v>
      </c>
      <c r="D443" s="42">
        <v>1</v>
      </c>
      <c r="E443" s="41">
        <v>3.1496062992125983E-4</v>
      </c>
    </row>
    <row r="444" spans="2:5" ht="15" customHeight="1">
      <c r="B444" s="93"/>
      <c r="C444" s="43" t="s">
        <v>126</v>
      </c>
      <c r="D444" s="42">
        <v>2</v>
      </c>
      <c r="E444" s="41">
        <v>6.2992125984251965E-4</v>
      </c>
    </row>
    <row r="445" spans="2:5" ht="15" customHeight="1">
      <c r="B445" s="94"/>
      <c r="C445" s="40" t="s">
        <v>20</v>
      </c>
      <c r="D445" s="39">
        <v>4</v>
      </c>
      <c r="E445" s="38">
        <v>1.2598425196850393E-3</v>
      </c>
    </row>
    <row r="446" spans="2:5" ht="15" customHeight="1">
      <c r="B446" s="95" t="s">
        <v>20</v>
      </c>
      <c r="C446" s="96"/>
      <c r="D446" s="70">
        <v>3175</v>
      </c>
      <c r="E446" s="71">
        <v>1</v>
      </c>
    </row>
    <row r="448" spans="2:5" ht="15" customHeight="1">
      <c r="B448" s="19" t="s">
        <v>204</v>
      </c>
    </row>
    <row r="449" spans="2:2" ht="15" customHeight="1">
      <c r="B449" s="21" t="s">
        <v>19</v>
      </c>
    </row>
    <row r="450" spans="2:2" ht="15" customHeight="1">
      <c r="B450" s="20" t="s">
        <v>18</v>
      </c>
    </row>
    <row r="451" spans="2:2" ht="15" customHeight="1">
      <c r="B451" s="19" t="s">
        <v>17</v>
      </c>
    </row>
    <row r="452" spans="2:2" ht="15" customHeight="1">
      <c r="B452" s="19" t="s">
        <v>205</v>
      </c>
    </row>
  </sheetData>
  <mergeCells count="48">
    <mergeCell ref="B333:B341"/>
    <mergeCell ref="B342:B344"/>
    <mergeCell ref="B345:B360"/>
    <mergeCell ref="B361:B362"/>
    <mergeCell ref="B66:B77"/>
    <mergeCell ref="B208:B216"/>
    <mergeCell ref="B217:B227"/>
    <mergeCell ref="B78:B82"/>
    <mergeCell ref="B83:B86"/>
    <mergeCell ref="B87:B88"/>
    <mergeCell ref="B89:B105"/>
    <mergeCell ref="B106:B119"/>
    <mergeCell ref="B120:B124"/>
    <mergeCell ref="B125:B136"/>
    <mergeCell ref="B137:B151"/>
    <mergeCell ref="B152:B156"/>
    <mergeCell ref="B157:B163"/>
    <mergeCell ref="B164:B173"/>
    <mergeCell ref="B174:B188"/>
    <mergeCell ref="B189:B193"/>
    <mergeCell ref="B7:E8"/>
    <mergeCell ref="B10:B21"/>
    <mergeCell ref="B22:B36"/>
    <mergeCell ref="B37:B47"/>
    <mergeCell ref="B48:B65"/>
    <mergeCell ref="B194:B199"/>
    <mergeCell ref="B200:B207"/>
    <mergeCell ref="B432:B441"/>
    <mergeCell ref="B228:B236"/>
    <mergeCell ref="B237:B238"/>
    <mergeCell ref="B239:B246"/>
    <mergeCell ref="B247:B258"/>
    <mergeCell ref="B259:B260"/>
    <mergeCell ref="B261:B270"/>
    <mergeCell ref="B271:B274"/>
    <mergeCell ref="B275:B288"/>
    <mergeCell ref="B289:B305"/>
    <mergeCell ref="B306:B315"/>
    <mergeCell ref="B316:B325"/>
    <mergeCell ref="B363:B376"/>
    <mergeCell ref="B326:B332"/>
    <mergeCell ref="B442:B445"/>
    <mergeCell ref="B446:C446"/>
    <mergeCell ref="B377:B394"/>
    <mergeCell ref="B395:B402"/>
    <mergeCell ref="B403:B409"/>
    <mergeCell ref="B410:B421"/>
    <mergeCell ref="B422:B4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97"/>
  <sheetViews>
    <sheetView showGridLines="0" topLeftCell="A466" zoomScaleNormal="100" zoomScaleSheetLayoutView="85" workbookViewId="0">
      <selection activeCell="C18" sqref="C1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109</v>
      </c>
      <c r="C9" s="47" t="s">
        <v>128</v>
      </c>
      <c r="D9" s="46" t="s">
        <v>64</v>
      </c>
      <c r="E9" s="45" t="s">
        <v>63</v>
      </c>
    </row>
    <row r="10" spans="1:5" ht="15" customHeight="1">
      <c r="B10" s="92" t="s">
        <v>73</v>
      </c>
      <c r="C10" s="43" t="s">
        <v>125</v>
      </c>
      <c r="D10" s="42">
        <v>2</v>
      </c>
      <c r="E10" s="41">
        <v>6.2992125984251965E-4</v>
      </c>
    </row>
    <row r="11" spans="1:5" ht="15" customHeight="1">
      <c r="B11" s="93"/>
      <c r="C11" s="43" t="s">
        <v>124</v>
      </c>
      <c r="D11" s="42">
        <v>1</v>
      </c>
      <c r="E11" s="41">
        <v>3.1496062992125983E-4</v>
      </c>
    </row>
    <row r="12" spans="1:5" ht="15" customHeight="1">
      <c r="B12" s="94"/>
      <c r="C12" s="40" t="s">
        <v>20</v>
      </c>
      <c r="D12" s="39">
        <v>3</v>
      </c>
      <c r="E12" s="38">
        <v>9.4488188976377954E-4</v>
      </c>
    </row>
    <row r="13" spans="1:5" ht="15" customHeight="1">
      <c r="B13" s="92" t="s">
        <v>104</v>
      </c>
      <c r="C13" s="43" t="s">
        <v>123</v>
      </c>
      <c r="D13" s="42">
        <v>24</v>
      </c>
      <c r="E13" s="41">
        <v>7.5590551181102363E-3</v>
      </c>
    </row>
    <row r="14" spans="1:5" ht="15" customHeight="1">
      <c r="B14" s="93"/>
      <c r="C14" s="43" t="s">
        <v>125</v>
      </c>
      <c r="D14" s="42">
        <v>36</v>
      </c>
      <c r="E14" s="41">
        <v>1.1338582677165355E-2</v>
      </c>
    </row>
    <row r="15" spans="1:5" ht="15" customHeight="1">
      <c r="B15" s="93"/>
      <c r="C15" s="43" t="s">
        <v>113</v>
      </c>
      <c r="D15" s="42">
        <v>1</v>
      </c>
      <c r="E15" s="41">
        <v>3.1496062992125983E-4</v>
      </c>
    </row>
    <row r="16" spans="1:5" ht="15" customHeight="1">
      <c r="B16" s="93"/>
      <c r="C16" s="43" t="s">
        <v>124</v>
      </c>
      <c r="D16" s="42">
        <v>12</v>
      </c>
      <c r="E16" s="41">
        <v>3.7795275590551181E-3</v>
      </c>
    </row>
    <row r="17" spans="2:5" ht="15" customHeight="1">
      <c r="B17" s="93"/>
      <c r="C17" s="43" t="s">
        <v>122</v>
      </c>
      <c r="D17" s="42">
        <v>16</v>
      </c>
      <c r="E17" s="41">
        <v>5.0393700787401572E-3</v>
      </c>
    </row>
    <row r="18" spans="2:5" ht="15" customHeight="1">
      <c r="B18" s="93"/>
      <c r="C18" s="43" t="s">
        <v>120</v>
      </c>
      <c r="D18" s="42">
        <v>13</v>
      </c>
      <c r="E18" s="41">
        <v>4.0944881889763782E-3</v>
      </c>
    </row>
    <row r="19" spans="2:5" ht="15" customHeight="1">
      <c r="B19" s="93"/>
      <c r="C19" s="43" t="s">
        <v>112</v>
      </c>
      <c r="D19" s="42">
        <v>2</v>
      </c>
      <c r="E19" s="41">
        <v>6.2992125984251965E-4</v>
      </c>
    </row>
    <row r="20" spans="2:5" ht="15" customHeight="1">
      <c r="B20" s="93"/>
      <c r="C20" s="43" t="s">
        <v>126</v>
      </c>
      <c r="D20" s="42">
        <v>66</v>
      </c>
      <c r="E20" s="41">
        <v>2.078740157480315E-2</v>
      </c>
    </row>
    <row r="21" spans="2:5" ht="15" customHeight="1">
      <c r="B21" s="93"/>
      <c r="C21" s="43" t="s">
        <v>115</v>
      </c>
      <c r="D21" s="42">
        <v>15</v>
      </c>
      <c r="E21" s="41">
        <v>4.7244094488188976E-3</v>
      </c>
    </row>
    <row r="22" spans="2:5" ht="15" customHeight="1">
      <c r="B22" s="93"/>
      <c r="C22" s="43" t="s">
        <v>118</v>
      </c>
      <c r="D22" s="42">
        <v>6</v>
      </c>
      <c r="E22" s="41">
        <v>1.8897637795275591E-3</v>
      </c>
    </row>
    <row r="23" spans="2:5" ht="15" customHeight="1">
      <c r="B23" s="93"/>
      <c r="C23" s="43" t="s">
        <v>119</v>
      </c>
      <c r="D23" s="42">
        <v>20</v>
      </c>
      <c r="E23" s="41">
        <v>6.2992125984251968E-3</v>
      </c>
    </row>
    <row r="24" spans="2:5" ht="15" customHeight="1">
      <c r="B24" s="93"/>
      <c r="C24" s="43" t="s">
        <v>117</v>
      </c>
      <c r="D24" s="42">
        <v>2</v>
      </c>
      <c r="E24" s="41">
        <v>6.2992125984251965E-4</v>
      </c>
    </row>
    <row r="25" spans="2:5" ht="15" customHeight="1">
      <c r="B25" s="93"/>
      <c r="C25" s="43" t="s">
        <v>116</v>
      </c>
      <c r="D25" s="42">
        <v>10</v>
      </c>
      <c r="E25" s="41">
        <v>3.1496062992125984E-3</v>
      </c>
    </row>
    <row r="26" spans="2:5" ht="15" customHeight="1">
      <c r="B26" s="93"/>
      <c r="C26" s="43" t="s">
        <v>121</v>
      </c>
      <c r="D26" s="42">
        <v>14</v>
      </c>
      <c r="E26" s="41">
        <v>4.4094488188976379E-3</v>
      </c>
    </row>
    <row r="27" spans="2:5" ht="15" customHeight="1">
      <c r="B27" s="94"/>
      <c r="C27" s="40" t="s">
        <v>20</v>
      </c>
      <c r="D27" s="39">
        <v>237</v>
      </c>
      <c r="E27" s="38">
        <v>7.4645669291338576E-2</v>
      </c>
    </row>
    <row r="28" spans="2:5" ht="15" customHeight="1">
      <c r="B28" s="92" t="s">
        <v>94</v>
      </c>
      <c r="C28" s="43" t="s">
        <v>123</v>
      </c>
      <c r="D28" s="42">
        <v>1</v>
      </c>
      <c r="E28" s="41">
        <v>3.1496062992125983E-4</v>
      </c>
    </row>
    <row r="29" spans="2:5" ht="15" customHeight="1">
      <c r="B29" s="93"/>
      <c r="C29" s="43" t="s">
        <v>125</v>
      </c>
      <c r="D29" s="42">
        <v>29</v>
      </c>
      <c r="E29" s="41">
        <v>9.1338582677165346E-3</v>
      </c>
    </row>
    <row r="30" spans="2:5" ht="15" customHeight="1">
      <c r="B30" s="93"/>
      <c r="C30" s="43" t="s">
        <v>124</v>
      </c>
      <c r="D30" s="42">
        <v>5</v>
      </c>
      <c r="E30" s="41">
        <v>1.5748031496062992E-3</v>
      </c>
    </row>
    <row r="31" spans="2:5" ht="15" customHeight="1">
      <c r="B31" s="93"/>
      <c r="C31" s="43" t="s">
        <v>122</v>
      </c>
      <c r="D31" s="42">
        <v>12</v>
      </c>
      <c r="E31" s="41">
        <v>3.7795275590551181E-3</v>
      </c>
    </row>
    <row r="32" spans="2:5" ht="15" customHeight="1">
      <c r="B32" s="93"/>
      <c r="C32" s="43" t="s">
        <v>120</v>
      </c>
      <c r="D32" s="42">
        <v>3</v>
      </c>
      <c r="E32" s="41">
        <v>9.4488188976377954E-4</v>
      </c>
    </row>
    <row r="33" spans="2:5" ht="15" customHeight="1">
      <c r="B33" s="93"/>
      <c r="C33" s="43" t="s">
        <v>126</v>
      </c>
      <c r="D33" s="42">
        <v>49</v>
      </c>
      <c r="E33" s="41">
        <v>1.5433070866141733E-2</v>
      </c>
    </row>
    <row r="34" spans="2:5" ht="15" customHeight="1">
      <c r="B34" s="93"/>
      <c r="C34" s="43" t="s">
        <v>115</v>
      </c>
      <c r="D34" s="42">
        <v>1</v>
      </c>
      <c r="E34" s="41">
        <v>3.1496062992125983E-4</v>
      </c>
    </row>
    <row r="35" spans="2:5" ht="15" customHeight="1">
      <c r="B35" s="93"/>
      <c r="C35" s="43" t="s">
        <v>111</v>
      </c>
      <c r="D35" s="42">
        <v>2</v>
      </c>
      <c r="E35" s="41">
        <v>6.2992125984251965E-4</v>
      </c>
    </row>
    <row r="36" spans="2:5" ht="15" customHeight="1">
      <c r="B36" s="93"/>
      <c r="C36" s="43" t="s">
        <v>119</v>
      </c>
      <c r="D36" s="42">
        <v>8</v>
      </c>
      <c r="E36" s="41">
        <v>2.5196850393700786E-3</v>
      </c>
    </row>
    <row r="37" spans="2:5" ht="15" customHeight="1">
      <c r="B37" s="93"/>
      <c r="C37" s="43" t="s">
        <v>114</v>
      </c>
      <c r="D37" s="42">
        <v>2</v>
      </c>
      <c r="E37" s="41">
        <v>6.2992125984251965E-4</v>
      </c>
    </row>
    <row r="38" spans="2:5" ht="15" customHeight="1">
      <c r="B38" s="93"/>
      <c r="C38" s="43" t="s">
        <v>121</v>
      </c>
      <c r="D38" s="42">
        <v>9</v>
      </c>
      <c r="E38" s="41">
        <v>2.8346456692913387E-3</v>
      </c>
    </row>
    <row r="39" spans="2:5" ht="15" customHeight="1">
      <c r="B39" s="94"/>
      <c r="C39" s="40" t="s">
        <v>20</v>
      </c>
      <c r="D39" s="39">
        <v>121</v>
      </c>
      <c r="E39" s="38">
        <v>3.8110236220472438E-2</v>
      </c>
    </row>
    <row r="40" spans="2:5" ht="15" customHeight="1">
      <c r="B40" s="92" t="s">
        <v>71</v>
      </c>
      <c r="C40" s="43" t="s">
        <v>123</v>
      </c>
      <c r="D40" s="42">
        <v>7</v>
      </c>
      <c r="E40" s="41">
        <v>2.204724409448819E-3</v>
      </c>
    </row>
    <row r="41" spans="2:5" ht="15" customHeight="1">
      <c r="B41" s="93"/>
      <c r="C41" s="43" t="s">
        <v>124</v>
      </c>
      <c r="D41" s="42">
        <v>1</v>
      </c>
      <c r="E41" s="41">
        <v>3.1496062992125983E-4</v>
      </c>
    </row>
    <row r="42" spans="2:5" ht="15" customHeight="1">
      <c r="B42" s="93"/>
      <c r="C42" s="43" t="s">
        <v>126</v>
      </c>
      <c r="D42" s="42">
        <v>3</v>
      </c>
      <c r="E42" s="41">
        <v>9.4488188976377954E-4</v>
      </c>
    </row>
    <row r="43" spans="2:5" ht="15" customHeight="1">
      <c r="B43" s="93"/>
      <c r="C43" s="43" t="s">
        <v>119</v>
      </c>
      <c r="D43" s="42">
        <v>4</v>
      </c>
      <c r="E43" s="41">
        <v>1.2598425196850393E-3</v>
      </c>
    </row>
    <row r="44" spans="2:5" ht="15" customHeight="1">
      <c r="B44" s="94"/>
      <c r="C44" s="40" t="s">
        <v>20</v>
      </c>
      <c r="D44" s="39">
        <v>15</v>
      </c>
      <c r="E44" s="38">
        <v>4.7244094488188976E-3</v>
      </c>
    </row>
    <row r="45" spans="2:5" ht="15" customHeight="1">
      <c r="B45" s="92" t="s">
        <v>67</v>
      </c>
      <c r="C45" s="43" t="s">
        <v>123</v>
      </c>
      <c r="D45" s="42">
        <v>3</v>
      </c>
      <c r="E45" s="41">
        <v>9.4488188976377954E-4</v>
      </c>
    </row>
    <row r="46" spans="2:5" ht="15" customHeight="1">
      <c r="B46" s="93"/>
      <c r="C46" s="43" t="s">
        <v>125</v>
      </c>
      <c r="D46" s="42">
        <v>28</v>
      </c>
      <c r="E46" s="41">
        <v>8.8188976377952758E-3</v>
      </c>
    </row>
    <row r="47" spans="2:5" ht="15" customHeight="1">
      <c r="B47" s="93"/>
      <c r="C47" s="43" t="s">
        <v>124</v>
      </c>
      <c r="D47" s="42">
        <v>1</v>
      </c>
      <c r="E47" s="41">
        <v>3.1496062992125983E-4</v>
      </c>
    </row>
    <row r="48" spans="2:5" ht="15" customHeight="1">
      <c r="B48" s="93"/>
      <c r="C48" s="43" t="s">
        <v>122</v>
      </c>
      <c r="D48" s="42">
        <v>3</v>
      </c>
      <c r="E48" s="41">
        <v>9.4488188976377954E-4</v>
      </c>
    </row>
    <row r="49" spans="2:5" ht="15" customHeight="1">
      <c r="B49" s="93"/>
      <c r="C49" s="43" t="s">
        <v>120</v>
      </c>
      <c r="D49" s="42">
        <v>1</v>
      </c>
      <c r="E49" s="41">
        <v>3.1496062992125983E-4</v>
      </c>
    </row>
    <row r="50" spans="2:5" ht="15" customHeight="1">
      <c r="B50" s="93"/>
      <c r="C50" s="43" t="s">
        <v>112</v>
      </c>
      <c r="D50" s="42">
        <v>3</v>
      </c>
      <c r="E50" s="41">
        <v>9.4488188976377954E-4</v>
      </c>
    </row>
    <row r="51" spans="2:5" ht="15" customHeight="1">
      <c r="B51" s="93"/>
      <c r="C51" s="43" t="s">
        <v>126</v>
      </c>
      <c r="D51" s="42">
        <v>4</v>
      </c>
      <c r="E51" s="41">
        <v>1.2598425196850393E-3</v>
      </c>
    </row>
    <row r="52" spans="2:5" ht="15" customHeight="1">
      <c r="B52" s="93"/>
      <c r="C52" s="43" t="s">
        <v>117</v>
      </c>
      <c r="D52" s="42">
        <v>1</v>
      </c>
      <c r="E52" s="41">
        <v>3.1496062992125983E-4</v>
      </c>
    </row>
    <row r="53" spans="2:5" ht="15" customHeight="1">
      <c r="B53" s="93"/>
      <c r="C53" s="43" t="s">
        <v>121</v>
      </c>
      <c r="D53" s="42">
        <v>1</v>
      </c>
      <c r="E53" s="41">
        <v>3.1496062992125983E-4</v>
      </c>
    </row>
    <row r="54" spans="2:5" ht="15" customHeight="1">
      <c r="B54" s="94"/>
      <c r="C54" s="40" t="s">
        <v>20</v>
      </c>
      <c r="D54" s="39">
        <v>45</v>
      </c>
      <c r="E54" s="38">
        <v>1.4173228346456693E-2</v>
      </c>
    </row>
    <row r="55" spans="2:5" ht="15" customHeight="1">
      <c r="B55" s="92" t="s">
        <v>72</v>
      </c>
      <c r="C55" s="43" t="s">
        <v>123</v>
      </c>
      <c r="D55" s="42">
        <v>4</v>
      </c>
      <c r="E55" s="41">
        <v>1.2598425196850393E-3</v>
      </c>
    </row>
    <row r="56" spans="2:5" ht="15" customHeight="1">
      <c r="B56" s="93"/>
      <c r="C56" s="43" t="s">
        <v>125</v>
      </c>
      <c r="D56" s="42">
        <v>1</v>
      </c>
      <c r="E56" s="41">
        <v>3.1496062992125983E-4</v>
      </c>
    </row>
    <row r="57" spans="2:5" ht="15" customHeight="1">
      <c r="B57" s="93"/>
      <c r="C57" s="43" t="s">
        <v>124</v>
      </c>
      <c r="D57" s="42">
        <v>1</v>
      </c>
      <c r="E57" s="41">
        <v>3.1496062992125983E-4</v>
      </c>
    </row>
    <row r="58" spans="2:5" ht="15" customHeight="1">
      <c r="B58" s="93"/>
      <c r="C58" s="43" t="s">
        <v>120</v>
      </c>
      <c r="D58" s="42">
        <v>1</v>
      </c>
      <c r="E58" s="41">
        <v>3.1496062992125983E-4</v>
      </c>
    </row>
    <row r="59" spans="2:5" ht="15" customHeight="1">
      <c r="B59" s="93"/>
      <c r="C59" s="43" t="s">
        <v>126</v>
      </c>
      <c r="D59" s="42">
        <v>6</v>
      </c>
      <c r="E59" s="41">
        <v>1.8897637795275591E-3</v>
      </c>
    </row>
    <row r="60" spans="2:5" ht="15" customHeight="1">
      <c r="B60" s="93"/>
      <c r="C60" s="43" t="s">
        <v>111</v>
      </c>
      <c r="D60" s="42">
        <v>1</v>
      </c>
      <c r="E60" s="41">
        <v>3.1496062992125983E-4</v>
      </c>
    </row>
    <row r="61" spans="2:5" ht="15" customHeight="1">
      <c r="B61" s="93"/>
      <c r="C61" s="43" t="s">
        <v>119</v>
      </c>
      <c r="D61" s="42">
        <v>1</v>
      </c>
      <c r="E61" s="41">
        <v>3.1496062992125983E-4</v>
      </c>
    </row>
    <row r="62" spans="2:5" ht="15" customHeight="1">
      <c r="B62" s="93"/>
      <c r="C62" s="43" t="s">
        <v>121</v>
      </c>
      <c r="D62" s="42">
        <v>3</v>
      </c>
      <c r="E62" s="41">
        <v>9.4488188976377954E-4</v>
      </c>
    </row>
    <row r="63" spans="2:5" ht="15" customHeight="1">
      <c r="B63" s="94"/>
      <c r="C63" s="40" t="s">
        <v>20</v>
      </c>
      <c r="D63" s="39">
        <v>18</v>
      </c>
      <c r="E63" s="38">
        <v>5.6692913385826774E-3</v>
      </c>
    </row>
    <row r="64" spans="2:5" ht="15" customHeight="1">
      <c r="B64" s="92" t="s">
        <v>107</v>
      </c>
      <c r="C64" s="43" t="s">
        <v>123</v>
      </c>
      <c r="D64" s="42">
        <v>17</v>
      </c>
      <c r="E64" s="41">
        <v>5.3543307086614169E-3</v>
      </c>
    </row>
    <row r="65" spans="2:5" ht="15" customHeight="1">
      <c r="B65" s="93"/>
      <c r="C65" s="43" t="s">
        <v>125</v>
      </c>
      <c r="D65" s="42">
        <v>44</v>
      </c>
      <c r="E65" s="41">
        <v>1.3858267716535434E-2</v>
      </c>
    </row>
    <row r="66" spans="2:5" ht="15" customHeight="1">
      <c r="B66" s="93"/>
      <c r="C66" s="43" t="s">
        <v>113</v>
      </c>
      <c r="D66" s="42">
        <v>2</v>
      </c>
      <c r="E66" s="41">
        <v>6.2992125984251965E-4</v>
      </c>
    </row>
    <row r="67" spans="2:5" ht="15" customHeight="1">
      <c r="B67" s="93"/>
      <c r="C67" s="43" t="s">
        <v>124</v>
      </c>
      <c r="D67" s="42">
        <v>13</v>
      </c>
      <c r="E67" s="41">
        <v>4.0944881889763782E-3</v>
      </c>
    </row>
    <row r="68" spans="2:5" ht="15" customHeight="1">
      <c r="B68" s="93"/>
      <c r="C68" s="43" t="s">
        <v>122</v>
      </c>
      <c r="D68" s="42">
        <v>14</v>
      </c>
      <c r="E68" s="41">
        <v>4.4094488188976379E-3</v>
      </c>
    </row>
    <row r="69" spans="2:5" ht="15" customHeight="1">
      <c r="B69" s="93"/>
      <c r="C69" s="43" t="s">
        <v>120</v>
      </c>
      <c r="D69" s="42">
        <v>7</v>
      </c>
      <c r="E69" s="41">
        <v>2.204724409448819E-3</v>
      </c>
    </row>
    <row r="70" spans="2:5" ht="15" customHeight="1">
      <c r="B70" s="93"/>
      <c r="C70" s="43" t="s">
        <v>112</v>
      </c>
      <c r="D70" s="42">
        <v>2</v>
      </c>
      <c r="E70" s="41">
        <v>6.2992125984251965E-4</v>
      </c>
    </row>
    <row r="71" spans="2:5" ht="15" customHeight="1">
      <c r="B71" s="93"/>
      <c r="C71" s="43" t="s">
        <v>126</v>
      </c>
      <c r="D71" s="42">
        <v>32</v>
      </c>
      <c r="E71" s="41">
        <v>1.0078740157480314E-2</v>
      </c>
    </row>
    <row r="72" spans="2:5" ht="15" customHeight="1">
      <c r="B72" s="93"/>
      <c r="C72" s="43" t="s">
        <v>115</v>
      </c>
      <c r="D72" s="42">
        <v>2</v>
      </c>
      <c r="E72" s="41">
        <v>6.2992125984251965E-4</v>
      </c>
    </row>
    <row r="73" spans="2:5" ht="15" customHeight="1">
      <c r="B73" s="93"/>
      <c r="C73" s="43" t="s">
        <v>118</v>
      </c>
      <c r="D73" s="42">
        <v>2</v>
      </c>
      <c r="E73" s="41">
        <v>6.2992125984251965E-4</v>
      </c>
    </row>
    <row r="74" spans="2:5" ht="15" customHeight="1">
      <c r="B74" s="93"/>
      <c r="C74" s="43" t="s">
        <v>117</v>
      </c>
      <c r="D74" s="42">
        <v>3</v>
      </c>
      <c r="E74" s="41">
        <v>9.4488188976377954E-4</v>
      </c>
    </row>
    <row r="75" spans="2:5" ht="15" customHeight="1">
      <c r="B75" s="93"/>
      <c r="C75" s="43" t="s">
        <v>114</v>
      </c>
      <c r="D75" s="42">
        <v>1</v>
      </c>
      <c r="E75" s="41">
        <v>3.1496062992125983E-4</v>
      </c>
    </row>
    <row r="76" spans="2:5" ht="15" customHeight="1">
      <c r="B76" s="93"/>
      <c r="C76" s="43" t="s">
        <v>121</v>
      </c>
      <c r="D76" s="42">
        <v>2</v>
      </c>
      <c r="E76" s="41">
        <v>6.2992125984251965E-4</v>
      </c>
    </row>
    <row r="77" spans="2:5" ht="15" customHeight="1">
      <c r="B77" s="94"/>
      <c r="C77" s="40" t="s">
        <v>20</v>
      </c>
      <c r="D77" s="39">
        <v>141</v>
      </c>
      <c r="E77" s="38">
        <v>4.4409448818897634E-2</v>
      </c>
    </row>
    <row r="78" spans="2:5" ht="15" customHeight="1">
      <c r="B78" s="92" t="s">
        <v>105</v>
      </c>
      <c r="C78" s="43" t="s">
        <v>123</v>
      </c>
      <c r="D78" s="42">
        <v>21</v>
      </c>
      <c r="E78" s="41">
        <v>6.6141732283464564E-3</v>
      </c>
    </row>
    <row r="79" spans="2:5" ht="15" customHeight="1">
      <c r="B79" s="93"/>
      <c r="C79" s="43" t="s">
        <v>125</v>
      </c>
      <c r="D79" s="42">
        <v>89</v>
      </c>
      <c r="E79" s="41">
        <v>2.8031496062992125E-2</v>
      </c>
    </row>
    <row r="80" spans="2:5" ht="15" customHeight="1">
      <c r="B80" s="93"/>
      <c r="C80" s="43" t="s">
        <v>113</v>
      </c>
      <c r="D80" s="42">
        <v>4</v>
      </c>
      <c r="E80" s="41">
        <v>1.2598425196850393E-3</v>
      </c>
    </row>
    <row r="81" spans="2:5" ht="15" customHeight="1">
      <c r="B81" s="93"/>
      <c r="C81" s="43" t="s">
        <v>124</v>
      </c>
      <c r="D81" s="42">
        <v>31</v>
      </c>
      <c r="E81" s="41">
        <v>9.7637795275590557E-3</v>
      </c>
    </row>
    <row r="82" spans="2:5" ht="15" customHeight="1">
      <c r="B82" s="93"/>
      <c r="C82" s="43" t="s">
        <v>122</v>
      </c>
      <c r="D82" s="42">
        <v>13</v>
      </c>
      <c r="E82" s="41">
        <v>4.0944881889763782E-3</v>
      </c>
    </row>
    <row r="83" spans="2:5" ht="15" customHeight="1">
      <c r="B83" s="93"/>
      <c r="C83" s="43" t="s">
        <v>120</v>
      </c>
      <c r="D83" s="42">
        <v>8</v>
      </c>
      <c r="E83" s="41">
        <v>2.5196850393700786E-3</v>
      </c>
    </row>
    <row r="84" spans="2:5" ht="15" customHeight="1">
      <c r="B84" s="93"/>
      <c r="C84" s="43" t="s">
        <v>112</v>
      </c>
      <c r="D84" s="42">
        <v>5</v>
      </c>
      <c r="E84" s="41">
        <v>1.5748031496062992E-3</v>
      </c>
    </row>
    <row r="85" spans="2:5" ht="15" customHeight="1">
      <c r="B85" s="93"/>
      <c r="C85" s="43" t="s">
        <v>126</v>
      </c>
      <c r="D85" s="42">
        <v>69</v>
      </c>
      <c r="E85" s="41">
        <v>2.1732283464566928E-2</v>
      </c>
    </row>
    <row r="86" spans="2:5" ht="15" customHeight="1">
      <c r="B86" s="93"/>
      <c r="C86" s="43" t="s">
        <v>115</v>
      </c>
      <c r="D86" s="42">
        <v>7</v>
      </c>
      <c r="E86" s="41">
        <v>2.204724409448819E-3</v>
      </c>
    </row>
    <row r="87" spans="2:5" ht="15" customHeight="1">
      <c r="B87" s="93"/>
      <c r="C87" s="43" t="s">
        <v>118</v>
      </c>
      <c r="D87" s="42">
        <v>2</v>
      </c>
      <c r="E87" s="41">
        <v>6.2992125984251965E-4</v>
      </c>
    </row>
    <row r="88" spans="2:5" ht="15" customHeight="1">
      <c r="B88" s="93"/>
      <c r="C88" s="43" t="s">
        <v>111</v>
      </c>
      <c r="D88" s="42">
        <v>1</v>
      </c>
      <c r="E88" s="41">
        <v>3.1496062992125983E-4</v>
      </c>
    </row>
    <row r="89" spans="2:5" ht="15" customHeight="1">
      <c r="B89" s="93"/>
      <c r="C89" s="43" t="s">
        <v>119</v>
      </c>
      <c r="D89" s="42">
        <v>8</v>
      </c>
      <c r="E89" s="41">
        <v>2.5196850393700786E-3</v>
      </c>
    </row>
    <row r="90" spans="2:5" ht="15" customHeight="1">
      <c r="B90" s="93"/>
      <c r="C90" s="43" t="s">
        <v>117</v>
      </c>
      <c r="D90" s="42">
        <v>3</v>
      </c>
      <c r="E90" s="41">
        <v>9.4488188976377954E-4</v>
      </c>
    </row>
    <row r="91" spans="2:5" ht="15" customHeight="1">
      <c r="B91" s="93"/>
      <c r="C91" s="43" t="s">
        <v>116</v>
      </c>
      <c r="D91" s="42">
        <v>4</v>
      </c>
      <c r="E91" s="41">
        <v>1.2598425196850393E-3</v>
      </c>
    </row>
    <row r="92" spans="2:5" ht="15" customHeight="1">
      <c r="B92" s="93"/>
      <c r="C92" s="43" t="s">
        <v>114</v>
      </c>
      <c r="D92" s="42">
        <v>3</v>
      </c>
      <c r="E92" s="41">
        <v>9.4488188976377954E-4</v>
      </c>
    </row>
    <row r="93" spans="2:5" ht="15" customHeight="1">
      <c r="B93" s="93"/>
      <c r="C93" s="43" t="s">
        <v>121</v>
      </c>
      <c r="D93" s="42">
        <v>9</v>
      </c>
      <c r="E93" s="41">
        <v>2.8346456692913387E-3</v>
      </c>
    </row>
    <row r="94" spans="2:5" ht="15" customHeight="1">
      <c r="B94" s="94"/>
      <c r="C94" s="40" t="s">
        <v>20</v>
      </c>
      <c r="D94" s="39">
        <v>277</v>
      </c>
      <c r="E94" s="38">
        <v>8.724409448818897E-2</v>
      </c>
    </row>
    <row r="95" spans="2:5" ht="15" customHeight="1">
      <c r="B95" s="92" t="s">
        <v>89</v>
      </c>
      <c r="C95" s="43" t="s">
        <v>123</v>
      </c>
      <c r="D95" s="42">
        <v>7</v>
      </c>
      <c r="E95" s="41">
        <v>2.204724409448819E-3</v>
      </c>
    </row>
    <row r="96" spans="2:5" ht="15" customHeight="1">
      <c r="B96" s="93"/>
      <c r="C96" s="43" t="s">
        <v>125</v>
      </c>
      <c r="D96" s="42">
        <v>12</v>
      </c>
      <c r="E96" s="41">
        <v>3.7795275590551181E-3</v>
      </c>
    </row>
    <row r="97" spans="2:5" ht="15" customHeight="1">
      <c r="B97" s="93"/>
      <c r="C97" s="43" t="s">
        <v>124</v>
      </c>
      <c r="D97" s="42">
        <v>7</v>
      </c>
      <c r="E97" s="41">
        <v>2.204724409448819E-3</v>
      </c>
    </row>
    <row r="98" spans="2:5" ht="15" customHeight="1">
      <c r="B98" s="93"/>
      <c r="C98" s="43" t="s">
        <v>122</v>
      </c>
      <c r="D98" s="42">
        <v>7</v>
      </c>
      <c r="E98" s="41">
        <v>2.204724409448819E-3</v>
      </c>
    </row>
    <row r="99" spans="2:5" ht="15" customHeight="1">
      <c r="B99" s="93"/>
      <c r="C99" s="43" t="s">
        <v>120</v>
      </c>
      <c r="D99" s="42">
        <v>1</v>
      </c>
      <c r="E99" s="41">
        <v>3.1496062992125983E-4</v>
      </c>
    </row>
    <row r="100" spans="2:5" ht="15" customHeight="1">
      <c r="B100" s="93"/>
      <c r="C100" s="43" t="s">
        <v>126</v>
      </c>
      <c r="D100" s="42">
        <v>5</v>
      </c>
      <c r="E100" s="41">
        <v>1.5748031496062992E-3</v>
      </c>
    </row>
    <row r="101" spans="2:5" ht="15" customHeight="1">
      <c r="B101" s="93"/>
      <c r="C101" s="43" t="s">
        <v>115</v>
      </c>
      <c r="D101" s="42">
        <v>1</v>
      </c>
      <c r="E101" s="41">
        <v>3.1496062992125983E-4</v>
      </c>
    </row>
    <row r="102" spans="2:5" ht="15" customHeight="1">
      <c r="B102" s="93"/>
      <c r="C102" s="43" t="s">
        <v>118</v>
      </c>
      <c r="D102" s="42">
        <v>1</v>
      </c>
      <c r="E102" s="41">
        <v>3.1496062992125983E-4</v>
      </c>
    </row>
    <row r="103" spans="2:5" ht="15" customHeight="1">
      <c r="B103" s="93"/>
      <c r="C103" s="43" t="s">
        <v>110</v>
      </c>
      <c r="D103" s="42">
        <v>1</v>
      </c>
      <c r="E103" s="41">
        <v>3.1496062992125983E-4</v>
      </c>
    </row>
    <row r="104" spans="2:5" ht="15" customHeight="1">
      <c r="B104" s="93"/>
      <c r="C104" s="43" t="s">
        <v>116</v>
      </c>
      <c r="D104" s="42">
        <v>4</v>
      </c>
      <c r="E104" s="41">
        <v>1.2598425196850393E-3</v>
      </c>
    </row>
    <row r="105" spans="2:5" ht="15" customHeight="1">
      <c r="B105" s="93"/>
      <c r="C105" s="43" t="s">
        <v>121</v>
      </c>
      <c r="D105" s="42">
        <v>2</v>
      </c>
      <c r="E105" s="41">
        <v>6.2992125984251965E-4</v>
      </c>
    </row>
    <row r="106" spans="2:5" ht="15" customHeight="1">
      <c r="B106" s="94"/>
      <c r="C106" s="40" t="s">
        <v>20</v>
      </c>
      <c r="D106" s="39">
        <v>48</v>
      </c>
      <c r="E106" s="38">
        <v>1.5118110236220473E-2</v>
      </c>
    </row>
    <row r="107" spans="2:5" ht="15" customHeight="1">
      <c r="B107" s="92" t="s">
        <v>75</v>
      </c>
      <c r="C107" s="43" t="s">
        <v>125</v>
      </c>
      <c r="D107" s="42">
        <v>5</v>
      </c>
      <c r="E107" s="41">
        <v>1.5748031496062992E-3</v>
      </c>
    </row>
    <row r="108" spans="2:5" ht="15" customHeight="1">
      <c r="B108" s="93"/>
      <c r="C108" s="43" t="s">
        <v>124</v>
      </c>
      <c r="D108" s="42">
        <v>2</v>
      </c>
      <c r="E108" s="41">
        <v>6.2992125984251965E-4</v>
      </c>
    </row>
    <row r="109" spans="2:5" ht="15" customHeight="1">
      <c r="B109" s="93"/>
      <c r="C109" s="43" t="s">
        <v>120</v>
      </c>
      <c r="D109" s="42">
        <v>6</v>
      </c>
      <c r="E109" s="41">
        <v>1.8897637795275591E-3</v>
      </c>
    </row>
    <row r="110" spans="2:5" ht="15" customHeight="1">
      <c r="B110" s="93"/>
      <c r="C110" s="43" t="s">
        <v>126</v>
      </c>
      <c r="D110" s="42">
        <v>5</v>
      </c>
      <c r="E110" s="41">
        <v>1.5748031496062992E-3</v>
      </c>
    </row>
    <row r="111" spans="2:5" ht="15" customHeight="1">
      <c r="B111" s="93"/>
      <c r="C111" s="43" t="s">
        <v>111</v>
      </c>
      <c r="D111" s="42">
        <v>1</v>
      </c>
      <c r="E111" s="41">
        <v>3.1496062992125983E-4</v>
      </c>
    </row>
    <row r="112" spans="2:5" ht="15" customHeight="1">
      <c r="B112" s="93"/>
      <c r="C112" s="43" t="s">
        <v>119</v>
      </c>
      <c r="D112" s="42">
        <v>2</v>
      </c>
      <c r="E112" s="41">
        <v>6.2992125984251965E-4</v>
      </c>
    </row>
    <row r="113" spans="2:5" ht="15" customHeight="1">
      <c r="B113" s="93"/>
      <c r="C113" s="43" t="s">
        <v>117</v>
      </c>
      <c r="D113" s="42">
        <v>1</v>
      </c>
      <c r="E113" s="41">
        <v>3.1496062992125983E-4</v>
      </c>
    </row>
    <row r="114" spans="2:5" ht="15" customHeight="1">
      <c r="B114" s="93"/>
      <c r="C114" s="43" t="s">
        <v>121</v>
      </c>
      <c r="D114" s="42">
        <v>5</v>
      </c>
      <c r="E114" s="41">
        <v>1.5748031496062992E-3</v>
      </c>
    </row>
    <row r="115" spans="2:5" ht="15" customHeight="1">
      <c r="B115" s="94"/>
      <c r="C115" s="40" t="s">
        <v>20</v>
      </c>
      <c r="D115" s="39">
        <v>27</v>
      </c>
      <c r="E115" s="38">
        <v>8.5039370078740153E-3</v>
      </c>
    </row>
    <row r="116" spans="2:5" ht="15" customHeight="1">
      <c r="B116" s="92" t="s">
        <v>207</v>
      </c>
      <c r="C116" s="43" t="s">
        <v>123</v>
      </c>
      <c r="D116" s="42">
        <v>1</v>
      </c>
      <c r="E116" s="41">
        <v>3.1496062992125983E-4</v>
      </c>
    </row>
    <row r="117" spans="2:5" ht="15" customHeight="1">
      <c r="B117" s="93"/>
      <c r="C117" s="43" t="s">
        <v>125</v>
      </c>
      <c r="D117" s="42">
        <v>1</v>
      </c>
      <c r="E117" s="41">
        <v>3.1496062992125983E-4</v>
      </c>
    </row>
    <row r="118" spans="2:5" ht="15" customHeight="1">
      <c r="B118" s="93"/>
      <c r="C118" s="43" t="s">
        <v>113</v>
      </c>
      <c r="D118" s="42">
        <v>1</v>
      </c>
      <c r="E118" s="41">
        <v>3.1496062992125983E-4</v>
      </c>
    </row>
    <row r="119" spans="2:5" ht="15" customHeight="1">
      <c r="B119" s="93"/>
      <c r="C119" s="43" t="s">
        <v>124</v>
      </c>
      <c r="D119" s="42">
        <v>1</v>
      </c>
      <c r="E119" s="41">
        <v>3.1496062992125983E-4</v>
      </c>
    </row>
    <row r="120" spans="2:5" ht="15" customHeight="1">
      <c r="B120" s="93"/>
      <c r="C120" s="43" t="s">
        <v>118</v>
      </c>
      <c r="D120" s="42">
        <v>1</v>
      </c>
      <c r="E120" s="41">
        <v>3.1496062992125983E-4</v>
      </c>
    </row>
    <row r="121" spans="2:5" ht="15" customHeight="1">
      <c r="B121" s="93"/>
      <c r="C121" s="43" t="s">
        <v>119</v>
      </c>
      <c r="D121" s="42">
        <v>1</v>
      </c>
      <c r="E121" s="41">
        <v>3.1496062992125983E-4</v>
      </c>
    </row>
    <row r="122" spans="2:5" ht="15" customHeight="1">
      <c r="B122" s="94"/>
      <c r="C122" s="40" t="s">
        <v>20</v>
      </c>
      <c r="D122" s="39">
        <v>6</v>
      </c>
      <c r="E122" s="38">
        <v>1.8897637795275591E-3</v>
      </c>
    </row>
    <row r="123" spans="2:5" ht="15" customHeight="1">
      <c r="B123" s="92" t="s">
        <v>86</v>
      </c>
      <c r="C123" s="43" t="s">
        <v>123</v>
      </c>
      <c r="D123" s="42">
        <v>5</v>
      </c>
      <c r="E123" s="41">
        <v>1.5748031496062992E-3</v>
      </c>
    </row>
    <row r="124" spans="2:5" ht="15" customHeight="1">
      <c r="B124" s="93"/>
      <c r="C124" s="43" t="s">
        <v>125</v>
      </c>
      <c r="D124" s="42">
        <v>9</v>
      </c>
      <c r="E124" s="41">
        <v>2.8346456692913387E-3</v>
      </c>
    </row>
    <row r="125" spans="2:5" ht="15" customHeight="1">
      <c r="B125" s="93"/>
      <c r="C125" s="43" t="s">
        <v>122</v>
      </c>
      <c r="D125" s="42">
        <v>3</v>
      </c>
      <c r="E125" s="41">
        <v>9.4488188976377954E-4</v>
      </c>
    </row>
    <row r="126" spans="2:5" ht="15" customHeight="1">
      <c r="B126" s="93"/>
      <c r="C126" s="43" t="s">
        <v>120</v>
      </c>
      <c r="D126" s="42">
        <v>1</v>
      </c>
      <c r="E126" s="41">
        <v>3.1496062992125983E-4</v>
      </c>
    </row>
    <row r="127" spans="2:5" ht="15" customHeight="1">
      <c r="B127" s="93"/>
      <c r="C127" s="43" t="s">
        <v>112</v>
      </c>
      <c r="D127" s="42">
        <v>1</v>
      </c>
      <c r="E127" s="41">
        <v>3.1496062992125983E-4</v>
      </c>
    </row>
    <row r="128" spans="2:5" ht="15" customHeight="1">
      <c r="B128" s="93"/>
      <c r="C128" s="43" t="s">
        <v>126</v>
      </c>
      <c r="D128" s="42">
        <v>14</v>
      </c>
      <c r="E128" s="41">
        <v>4.4094488188976379E-3</v>
      </c>
    </row>
    <row r="129" spans="2:5" ht="15" customHeight="1">
      <c r="B129" s="93"/>
      <c r="C129" s="43" t="s">
        <v>119</v>
      </c>
      <c r="D129" s="42">
        <v>3</v>
      </c>
      <c r="E129" s="41">
        <v>9.4488188976377954E-4</v>
      </c>
    </row>
    <row r="130" spans="2:5" ht="15" customHeight="1">
      <c r="B130" s="93"/>
      <c r="C130" s="43" t="s">
        <v>114</v>
      </c>
      <c r="D130" s="42">
        <v>2</v>
      </c>
      <c r="E130" s="41">
        <v>6.2992125984251965E-4</v>
      </c>
    </row>
    <row r="131" spans="2:5" ht="15" customHeight="1">
      <c r="B131" s="94"/>
      <c r="C131" s="40" t="s">
        <v>20</v>
      </c>
      <c r="D131" s="39">
        <v>38</v>
      </c>
      <c r="E131" s="38">
        <v>1.1968503937007874E-2</v>
      </c>
    </row>
    <row r="132" spans="2:5" ht="15" customHeight="1">
      <c r="B132" s="92" t="s">
        <v>102</v>
      </c>
      <c r="C132" s="43" t="s">
        <v>123</v>
      </c>
      <c r="D132" s="42">
        <v>6</v>
      </c>
      <c r="E132" s="41">
        <v>1.8897637795275591E-3</v>
      </c>
    </row>
    <row r="133" spans="2:5" ht="15" customHeight="1">
      <c r="B133" s="93"/>
      <c r="C133" s="43" t="s">
        <v>125</v>
      </c>
      <c r="D133" s="42">
        <v>9</v>
      </c>
      <c r="E133" s="41">
        <v>2.8346456692913387E-3</v>
      </c>
    </row>
    <row r="134" spans="2:5" ht="15" customHeight="1">
      <c r="B134" s="93"/>
      <c r="C134" s="43" t="s">
        <v>124</v>
      </c>
      <c r="D134" s="42">
        <v>1</v>
      </c>
      <c r="E134" s="41">
        <v>3.1496062992125983E-4</v>
      </c>
    </row>
    <row r="135" spans="2:5" ht="15" customHeight="1">
      <c r="B135" s="93"/>
      <c r="C135" s="43" t="s">
        <v>122</v>
      </c>
      <c r="D135" s="42">
        <v>2</v>
      </c>
      <c r="E135" s="41">
        <v>6.2992125984251965E-4</v>
      </c>
    </row>
    <row r="136" spans="2:5" ht="15" customHeight="1">
      <c r="B136" s="93"/>
      <c r="C136" s="43" t="s">
        <v>126</v>
      </c>
      <c r="D136" s="42">
        <v>5</v>
      </c>
      <c r="E136" s="41">
        <v>1.5748031496062992E-3</v>
      </c>
    </row>
    <row r="137" spans="2:5" ht="15" customHeight="1">
      <c r="B137" s="93"/>
      <c r="C137" s="43" t="s">
        <v>115</v>
      </c>
      <c r="D137" s="42">
        <v>1</v>
      </c>
      <c r="E137" s="41">
        <v>3.1496062992125983E-4</v>
      </c>
    </row>
    <row r="138" spans="2:5" ht="15" customHeight="1">
      <c r="B138" s="93"/>
      <c r="C138" s="43" t="s">
        <v>111</v>
      </c>
      <c r="D138" s="42">
        <v>1</v>
      </c>
      <c r="E138" s="41">
        <v>3.1496062992125983E-4</v>
      </c>
    </row>
    <row r="139" spans="2:5" ht="15" customHeight="1">
      <c r="B139" s="93"/>
      <c r="C139" s="43" t="s">
        <v>121</v>
      </c>
      <c r="D139" s="42">
        <v>2</v>
      </c>
      <c r="E139" s="41">
        <v>6.2992125984251965E-4</v>
      </c>
    </row>
    <row r="140" spans="2:5" ht="15" customHeight="1">
      <c r="B140" s="94"/>
      <c r="C140" s="40" t="s">
        <v>20</v>
      </c>
      <c r="D140" s="39">
        <v>27</v>
      </c>
      <c r="E140" s="38">
        <v>8.5039370078740153E-3</v>
      </c>
    </row>
    <row r="141" spans="2:5" ht="15" customHeight="1">
      <c r="B141" s="92" t="s">
        <v>106</v>
      </c>
      <c r="C141" s="43" t="s">
        <v>123</v>
      </c>
      <c r="D141" s="42">
        <v>21</v>
      </c>
      <c r="E141" s="41">
        <v>6.6141732283464564E-3</v>
      </c>
    </row>
    <row r="142" spans="2:5" ht="15" customHeight="1">
      <c r="B142" s="93"/>
      <c r="C142" s="43" t="s">
        <v>125</v>
      </c>
      <c r="D142" s="42">
        <v>52</v>
      </c>
      <c r="E142" s="41">
        <v>1.6377952755905513E-2</v>
      </c>
    </row>
    <row r="143" spans="2:5" ht="15" customHeight="1">
      <c r="B143" s="93"/>
      <c r="C143" s="43" t="s">
        <v>113</v>
      </c>
      <c r="D143" s="42">
        <v>4</v>
      </c>
      <c r="E143" s="41">
        <v>1.2598425196850393E-3</v>
      </c>
    </row>
    <row r="144" spans="2:5" ht="15" customHeight="1">
      <c r="B144" s="93"/>
      <c r="C144" s="43" t="s">
        <v>124</v>
      </c>
      <c r="D144" s="42">
        <v>23</v>
      </c>
      <c r="E144" s="41">
        <v>7.2440944881889766E-3</v>
      </c>
    </row>
    <row r="145" spans="2:5" ht="15" customHeight="1">
      <c r="B145" s="93"/>
      <c r="C145" s="43" t="s">
        <v>122</v>
      </c>
      <c r="D145" s="42">
        <v>14</v>
      </c>
      <c r="E145" s="41">
        <v>4.4094488188976379E-3</v>
      </c>
    </row>
    <row r="146" spans="2:5" ht="15" customHeight="1">
      <c r="B146" s="93"/>
      <c r="C146" s="43" t="s">
        <v>120</v>
      </c>
      <c r="D146" s="42">
        <v>7</v>
      </c>
      <c r="E146" s="41">
        <v>2.204724409448819E-3</v>
      </c>
    </row>
    <row r="147" spans="2:5" ht="15" customHeight="1">
      <c r="B147" s="93"/>
      <c r="C147" s="43" t="s">
        <v>112</v>
      </c>
      <c r="D147" s="42">
        <v>5</v>
      </c>
      <c r="E147" s="41">
        <v>1.5748031496062992E-3</v>
      </c>
    </row>
    <row r="148" spans="2:5" ht="15" customHeight="1">
      <c r="B148" s="93"/>
      <c r="C148" s="43" t="s">
        <v>126</v>
      </c>
      <c r="D148" s="42">
        <v>38</v>
      </c>
      <c r="E148" s="41">
        <v>1.1968503937007874E-2</v>
      </c>
    </row>
    <row r="149" spans="2:5" ht="15" customHeight="1">
      <c r="B149" s="93"/>
      <c r="C149" s="43" t="s">
        <v>115</v>
      </c>
      <c r="D149" s="42">
        <v>3</v>
      </c>
      <c r="E149" s="41">
        <v>9.4488188976377954E-4</v>
      </c>
    </row>
    <row r="150" spans="2:5" ht="15" customHeight="1">
      <c r="B150" s="93"/>
      <c r="C150" s="43" t="s">
        <v>118</v>
      </c>
      <c r="D150" s="42">
        <v>2</v>
      </c>
      <c r="E150" s="41">
        <v>6.2992125984251965E-4</v>
      </c>
    </row>
    <row r="151" spans="2:5" ht="15" customHeight="1">
      <c r="B151" s="93"/>
      <c r="C151" s="43" t="s">
        <v>111</v>
      </c>
      <c r="D151" s="42">
        <v>2</v>
      </c>
      <c r="E151" s="41">
        <v>6.2992125984251965E-4</v>
      </c>
    </row>
    <row r="152" spans="2:5" ht="15" customHeight="1">
      <c r="B152" s="93"/>
      <c r="C152" s="43" t="s">
        <v>119</v>
      </c>
      <c r="D152" s="42">
        <v>3</v>
      </c>
      <c r="E152" s="41">
        <v>9.4488188976377954E-4</v>
      </c>
    </row>
    <row r="153" spans="2:5" ht="15" customHeight="1">
      <c r="B153" s="93"/>
      <c r="C153" s="43" t="s">
        <v>110</v>
      </c>
      <c r="D153" s="42">
        <v>2</v>
      </c>
      <c r="E153" s="41">
        <v>6.2992125984251965E-4</v>
      </c>
    </row>
    <row r="154" spans="2:5" ht="15" customHeight="1">
      <c r="B154" s="93"/>
      <c r="C154" s="43" t="s">
        <v>117</v>
      </c>
      <c r="D154" s="42">
        <v>6</v>
      </c>
      <c r="E154" s="41">
        <v>1.8897637795275591E-3</v>
      </c>
    </row>
    <row r="155" spans="2:5" ht="15" customHeight="1">
      <c r="B155" s="93"/>
      <c r="C155" s="43" t="s">
        <v>116</v>
      </c>
      <c r="D155" s="42">
        <v>1</v>
      </c>
      <c r="E155" s="41">
        <v>3.1496062992125983E-4</v>
      </c>
    </row>
    <row r="156" spans="2:5" ht="15" customHeight="1">
      <c r="B156" s="93"/>
      <c r="C156" s="43" t="s">
        <v>114</v>
      </c>
      <c r="D156" s="42">
        <v>3</v>
      </c>
      <c r="E156" s="41">
        <v>9.4488188976377954E-4</v>
      </c>
    </row>
    <row r="157" spans="2:5" ht="15" customHeight="1">
      <c r="B157" s="93"/>
      <c r="C157" s="43" t="s">
        <v>121</v>
      </c>
      <c r="D157" s="42">
        <v>19</v>
      </c>
      <c r="E157" s="41">
        <v>5.9842519685039371E-3</v>
      </c>
    </row>
    <row r="158" spans="2:5" ht="15" customHeight="1">
      <c r="B158" s="94"/>
      <c r="C158" s="40" t="s">
        <v>20</v>
      </c>
      <c r="D158" s="39">
        <v>205</v>
      </c>
      <c r="E158" s="38">
        <v>6.4566929133858267E-2</v>
      </c>
    </row>
    <row r="159" spans="2:5" ht="15" customHeight="1">
      <c r="B159" s="92" t="s">
        <v>90</v>
      </c>
      <c r="C159" s="43" t="s">
        <v>123</v>
      </c>
      <c r="D159" s="42">
        <v>11</v>
      </c>
      <c r="E159" s="41">
        <v>3.4645669291338585E-3</v>
      </c>
    </row>
    <row r="160" spans="2:5" ht="15" customHeight="1">
      <c r="B160" s="93"/>
      <c r="C160" s="43" t="s">
        <v>125</v>
      </c>
      <c r="D160" s="42">
        <v>26</v>
      </c>
      <c r="E160" s="41">
        <v>8.1889763779527565E-3</v>
      </c>
    </row>
    <row r="161" spans="2:5" ht="15" customHeight="1">
      <c r="B161" s="93"/>
      <c r="C161" s="43" t="s">
        <v>124</v>
      </c>
      <c r="D161" s="42">
        <v>14</v>
      </c>
      <c r="E161" s="41">
        <v>4.4094488188976379E-3</v>
      </c>
    </row>
    <row r="162" spans="2:5" ht="15" customHeight="1">
      <c r="B162" s="93"/>
      <c r="C162" s="43" t="s">
        <v>122</v>
      </c>
      <c r="D162" s="42">
        <v>11</v>
      </c>
      <c r="E162" s="41">
        <v>3.4645669291338585E-3</v>
      </c>
    </row>
    <row r="163" spans="2:5" ht="15" customHeight="1">
      <c r="B163" s="93"/>
      <c r="C163" s="43" t="s">
        <v>120</v>
      </c>
      <c r="D163" s="42">
        <v>7</v>
      </c>
      <c r="E163" s="41">
        <v>2.204724409448819E-3</v>
      </c>
    </row>
    <row r="164" spans="2:5" ht="15" customHeight="1">
      <c r="B164" s="93"/>
      <c r="C164" s="43" t="s">
        <v>112</v>
      </c>
      <c r="D164" s="42">
        <v>3</v>
      </c>
      <c r="E164" s="41">
        <v>9.4488188976377954E-4</v>
      </c>
    </row>
    <row r="165" spans="2:5" ht="15" customHeight="1">
      <c r="B165" s="93"/>
      <c r="C165" s="43" t="s">
        <v>126</v>
      </c>
      <c r="D165" s="42">
        <v>35</v>
      </c>
      <c r="E165" s="41">
        <v>1.1023622047244094E-2</v>
      </c>
    </row>
    <row r="166" spans="2:5" ht="15" customHeight="1">
      <c r="B166" s="93"/>
      <c r="C166" s="43" t="s">
        <v>115</v>
      </c>
      <c r="D166" s="42">
        <v>2</v>
      </c>
      <c r="E166" s="41">
        <v>6.2992125984251965E-4</v>
      </c>
    </row>
    <row r="167" spans="2:5" ht="15" customHeight="1">
      <c r="B167" s="93"/>
      <c r="C167" s="43" t="s">
        <v>118</v>
      </c>
      <c r="D167" s="42">
        <v>10</v>
      </c>
      <c r="E167" s="41">
        <v>3.1496062992125984E-3</v>
      </c>
    </row>
    <row r="168" spans="2:5" ht="15" customHeight="1">
      <c r="B168" s="93"/>
      <c r="C168" s="43" t="s">
        <v>111</v>
      </c>
      <c r="D168" s="42">
        <v>2</v>
      </c>
      <c r="E168" s="41">
        <v>6.2992125984251965E-4</v>
      </c>
    </row>
    <row r="169" spans="2:5" ht="15" customHeight="1">
      <c r="B169" s="93"/>
      <c r="C169" s="43" t="s">
        <v>119</v>
      </c>
      <c r="D169" s="42">
        <v>2</v>
      </c>
      <c r="E169" s="41">
        <v>6.2992125984251965E-4</v>
      </c>
    </row>
    <row r="170" spans="2:5" ht="15" customHeight="1">
      <c r="B170" s="93"/>
      <c r="C170" s="43" t="s">
        <v>110</v>
      </c>
      <c r="D170" s="42">
        <v>1</v>
      </c>
      <c r="E170" s="41">
        <v>3.1496062992125983E-4</v>
      </c>
    </row>
    <row r="171" spans="2:5" ht="15" customHeight="1">
      <c r="B171" s="93"/>
      <c r="C171" s="43" t="s">
        <v>117</v>
      </c>
      <c r="D171" s="42">
        <v>1</v>
      </c>
      <c r="E171" s="41">
        <v>3.1496062992125983E-4</v>
      </c>
    </row>
    <row r="172" spans="2:5" ht="15" customHeight="1">
      <c r="B172" s="93"/>
      <c r="C172" s="43" t="s">
        <v>114</v>
      </c>
      <c r="D172" s="42">
        <v>3</v>
      </c>
      <c r="E172" s="41">
        <v>9.4488188976377954E-4</v>
      </c>
    </row>
    <row r="173" spans="2:5" ht="15" customHeight="1">
      <c r="B173" s="93"/>
      <c r="C173" s="43" t="s">
        <v>121</v>
      </c>
      <c r="D173" s="42">
        <v>3</v>
      </c>
      <c r="E173" s="41">
        <v>9.4488188976377954E-4</v>
      </c>
    </row>
    <row r="174" spans="2:5" ht="15" customHeight="1">
      <c r="B174" s="94"/>
      <c r="C174" s="40" t="s">
        <v>20</v>
      </c>
      <c r="D174" s="39">
        <v>131</v>
      </c>
      <c r="E174" s="38">
        <v>4.1259842519685036E-2</v>
      </c>
    </row>
    <row r="175" spans="2:5" ht="15" customHeight="1">
      <c r="B175" s="92" t="s">
        <v>85</v>
      </c>
      <c r="C175" s="43" t="s">
        <v>123</v>
      </c>
      <c r="D175" s="42">
        <v>3</v>
      </c>
      <c r="E175" s="41">
        <v>9.4488188976377954E-4</v>
      </c>
    </row>
    <row r="176" spans="2:5" ht="15" customHeight="1">
      <c r="B176" s="93"/>
      <c r="C176" s="43" t="s">
        <v>125</v>
      </c>
      <c r="D176" s="42">
        <v>6</v>
      </c>
      <c r="E176" s="41">
        <v>1.8897637795275591E-3</v>
      </c>
    </row>
    <row r="177" spans="2:5" ht="15" customHeight="1">
      <c r="B177" s="93"/>
      <c r="C177" s="43" t="s">
        <v>124</v>
      </c>
      <c r="D177" s="42">
        <v>5</v>
      </c>
      <c r="E177" s="41">
        <v>1.5748031496062992E-3</v>
      </c>
    </row>
    <row r="178" spans="2:5" ht="15" customHeight="1">
      <c r="B178" s="93"/>
      <c r="C178" s="43" t="s">
        <v>120</v>
      </c>
      <c r="D178" s="42">
        <v>6</v>
      </c>
      <c r="E178" s="41">
        <v>1.8897637795275591E-3</v>
      </c>
    </row>
    <row r="179" spans="2:5" ht="15" customHeight="1">
      <c r="B179" s="93"/>
      <c r="C179" s="43" t="s">
        <v>126</v>
      </c>
      <c r="D179" s="42">
        <v>6</v>
      </c>
      <c r="E179" s="41">
        <v>1.8897637795275591E-3</v>
      </c>
    </row>
    <row r="180" spans="2:5" ht="15" customHeight="1">
      <c r="B180" s="93"/>
      <c r="C180" s="43" t="s">
        <v>115</v>
      </c>
      <c r="D180" s="42">
        <v>2</v>
      </c>
      <c r="E180" s="41">
        <v>6.2992125984251965E-4</v>
      </c>
    </row>
    <row r="181" spans="2:5" ht="15" customHeight="1">
      <c r="B181" s="93"/>
      <c r="C181" s="43" t="s">
        <v>119</v>
      </c>
      <c r="D181" s="42">
        <v>1</v>
      </c>
      <c r="E181" s="41">
        <v>3.1496062992125983E-4</v>
      </c>
    </row>
    <row r="182" spans="2:5" ht="15" customHeight="1">
      <c r="B182" s="93"/>
      <c r="C182" s="43" t="s">
        <v>114</v>
      </c>
      <c r="D182" s="42">
        <v>2</v>
      </c>
      <c r="E182" s="41">
        <v>6.2992125984251965E-4</v>
      </c>
    </row>
    <row r="183" spans="2:5" ht="15" customHeight="1">
      <c r="B183" s="93"/>
      <c r="C183" s="43" t="s">
        <v>121</v>
      </c>
      <c r="D183" s="42">
        <v>4</v>
      </c>
      <c r="E183" s="41">
        <v>1.2598425196850393E-3</v>
      </c>
    </row>
    <row r="184" spans="2:5" ht="15" customHeight="1">
      <c r="B184" s="94"/>
      <c r="C184" s="40" t="s">
        <v>20</v>
      </c>
      <c r="D184" s="39">
        <v>35</v>
      </c>
      <c r="E184" s="38">
        <v>1.1023622047244094E-2</v>
      </c>
    </row>
    <row r="185" spans="2:5" ht="15" customHeight="1">
      <c r="B185" s="92" t="s">
        <v>70</v>
      </c>
      <c r="C185" s="43" t="s">
        <v>113</v>
      </c>
      <c r="D185" s="42">
        <v>1</v>
      </c>
      <c r="E185" s="41">
        <v>3.1496062992125983E-4</v>
      </c>
    </row>
    <row r="186" spans="2:5" ht="15" customHeight="1">
      <c r="B186" s="93"/>
      <c r="C186" s="43" t="s">
        <v>124</v>
      </c>
      <c r="D186" s="42">
        <v>2</v>
      </c>
      <c r="E186" s="41">
        <v>6.2992125984251965E-4</v>
      </c>
    </row>
    <row r="187" spans="2:5" ht="15" customHeight="1">
      <c r="B187" s="93"/>
      <c r="C187" s="43" t="s">
        <v>122</v>
      </c>
      <c r="D187" s="42">
        <v>1</v>
      </c>
      <c r="E187" s="41">
        <v>3.1496062992125983E-4</v>
      </c>
    </row>
    <row r="188" spans="2:5" ht="15" customHeight="1">
      <c r="B188" s="93"/>
      <c r="C188" s="43" t="s">
        <v>120</v>
      </c>
      <c r="D188" s="42">
        <v>1</v>
      </c>
      <c r="E188" s="41">
        <v>3.1496062992125983E-4</v>
      </c>
    </row>
    <row r="189" spans="2:5" ht="15" customHeight="1">
      <c r="B189" s="93"/>
      <c r="C189" s="43" t="s">
        <v>126</v>
      </c>
      <c r="D189" s="42">
        <v>4</v>
      </c>
      <c r="E189" s="41">
        <v>1.2598425196850393E-3</v>
      </c>
    </row>
    <row r="190" spans="2:5" ht="15" customHeight="1">
      <c r="B190" s="93"/>
      <c r="C190" s="43" t="s">
        <v>121</v>
      </c>
      <c r="D190" s="42">
        <v>2</v>
      </c>
      <c r="E190" s="41">
        <v>6.2992125984251965E-4</v>
      </c>
    </row>
    <row r="191" spans="2:5" ht="15" customHeight="1">
      <c r="B191" s="94"/>
      <c r="C191" s="40" t="s">
        <v>20</v>
      </c>
      <c r="D191" s="39">
        <v>11</v>
      </c>
      <c r="E191" s="38">
        <v>3.4645669291338585E-3</v>
      </c>
    </row>
    <row r="192" spans="2:5" ht="15" customHeight="1">
      <c r="B192" s="92" t="s">
        <v>92</v>
      </c>
      <c r="C192" s="43" t="s">
        <v>123</v>
      </c>
      <c r="D192" s="42">
        <v>3</v>
      </c>
      <c r="E192" s="41">
        <v>9.4488188976377954E-4</v>
      </c>
    </row>
    <row r="193" spans="2:5" ht="15" customHeight="1">
      <c r="B193" s="93"/>
      <c r="C193" s="43" t="s">
        <v>125</v>
      </c>
      <c r="D193" s="42">
        <v>2</v>
      </c>
      <c r="E193" s="41">
        <v>6.2992125984251965E-4</v>
      </c>
    </row>
    <row r="194" spans="2:5" ht="15" customHeight="1">
      <c r="B194" s="93"/>
      <c r="C194" s="43" t="s">
        <v>113</v>
      </c>
      <c r="D194" s="42">
        <v>2</v>
      </c>
      <c r="E194" s="41">
        <v>6.2992125984251965E-4</v>
      </c>
    </row>
    <row r="195" spans="2:5" ht="15" customHeight="1">
      <c r="B195" s="93"/>
      <c r="C195" s="43" t="s">
        <v>124</v>
      </c>
      <c r="D195" s="42">
        <v>2</v>
      </c>
      <c r="E195" s="41">
        <v>6.2992125984251965E-4</v>
      </c>
    </row>
    <row r="196" spans="2:5" ht="15" customHeight="1">
      <c r="B196" s="93"/>
      <c r="C196" s="43" t="s">
        <v>120</v>
      </c>
      <c r="D196" s="42">
        <v>3</v>
      </c>
      <c r="E196" s="41">
        <v>9.4488188976377954E-4</v>
      </c>
    </row>
    <row r="197" spans="2:5" ht="15" customHeight="1">
      <c r="B197" s="93"/>
      <c r="C197" s="43" t="s">
        <v>126</v>
      </c>
      <c r="D197" s="42">
        <v>10</v>
      </c>
      <c r="E197" s="41">
        <v>3.1496062992125984E-3</v>
      </c>
    </row>
    <row r="198" spans="2:5" ht="15" customHeight="1">
      <c r="B198" s="93"/>
      <c r="C198" s="43" t="s">
        <v>118</v>
      </c>
      <c r="D198" s="42">
        <v>1</v>
      </c>
      <c r="E198" s="41">
        <v>3.1496062992125983E-4</v>
      </c>
    </row>
    <row r="199" spans="2:5" ht="15" customHeight="1">
      <c r="B199" s="93"/>
      <c r="C199" s="43" t="s">
        <v>111</v>
      </c>
      <c r="D199" s="42">
        <v>1</v>
      </c>
      <c r="E199" s="41">
        <v>3.1496062992125983E-4</v>
      </c>
    </row>
    <row r="200" spans="2:5" ht="15" customHeight="1">
      <c r="B200" s="93"/>
      <c r="C200" s="43" t="s">
        <v>119</v>
      </c>
      <c r="D200" s="42">
        <v>1</v>
      </c>
      <c r="E200" s="41">
        <v>3.1496062992125983E-4</v>
      </c>
    </row>
    <row r="201" spans="2:5" ht="15" customHeight="1">
      <c r="B201" s="93"/>
      <c r="C201" s="43" t="s">
        <v>117</v>
      </c>
      <c r="D201" s="42">
        <v>1</v>
      </c>
      <c r="E201" s="41">
        <v>3.1496062992125983E-4</v>
      </c>
    </row>
    <row r="202" spans="2:5" ht="15" customHeight="1">
      <c r="B202" s="93"/>
      <c r="C202" s="43" t="s">
        <v>121</v>
      </c>
      <c r="D202" s="42">
        <v>2</v>
      </c>
      <c r="E202" s="41">
        <v>6.2992125984251965E-4</v>
      </c>
    </row>
    <row r="203" spans="2:5" ht="15" customHeight="1">
      <c r="B203" s="94"/>
      <c r="C203" s="40" t="s">
        <v>20</v>
      </c>
      <c r="D203" s="39">
        <v>28</v>
      </c>
      <c r="E203" s="38">
        <v>8.8188976377952758E-3</v>
      </c>
    </row>
    <row r="204" spans="2:5" ht="15" customHeight="1">
      <c r="B204" s="92" t="s">
        <v>96</v>
      </c>
      <c r="C204" s="43" t="s">
        <v>123</v>
      </c>
      <c r="D204" s="42">
        <v>12</v>
      </c>
      <c r="E204" s="41">
        <v>3.7795275590551181E-3</v>
      </c>
    </row>
    <row r="205" spans="2:5" ht="15" customHeight="1">
      <c r="B205" s="93"/>
      <c r="C205" s="43" t="s">
        <v>125</v>
      </c>
      <c r="D205" s="42">
        <v>26</v>
      </c>
      <c r="E205" s="41">
        <v>8.1889763779527565E-3</v>
      </c>
    </row>
    <row r="206" spans="2:5" ht="15" customHeight="1">
      <c r="B206" s="93"/>
      <c r="C206" s="43" t="s">
        <v>124</v>
      </c>
      <c r="D206" s="42">
        <v>6</v>
      </c>
      <c r="E206" s="41">
        <v>1.8897637795275591E-3</v>
      </c>
    </row>
    <row r="207" spans="2:5" ht="15" customHeight="1">
      <c r="B207" s="93"/>
      <c r="C207" s="43" t="s">
        <v>122</v>
      </c>
      <c r="D207" s="42">
        <v>7</v>
      </c>
      <c r="E207" s="41">
        <v>2.204724409448819E-3</v>
      </c>
    </row>
    <row r="208" spans="2:5" ht="15" customHeight="1">
      <c r="B208" s="93"/>
      <c r="C208" s="43" t="s">
        <v>120</v>
      </c>
      <c r="D208" s="42">
        <v>5</v>
      </c>
      <c r="E208" s="41">
        <v>1.5748031496062992E-3</v>
      </c>
    </row>
    <row r="209" spans="2:5" ht="15" customHeight="1">
      <c r="B209" s="93"/>
      <c r="C209" s="43" t="s">
        <v>112</v>
      </c>
      <c r="D209" s="42">
        <v>2</v>
      </c>
      <c r="E209" s="41">
        <v>6.2992125984251965E-4</v>
      </c>
    </row>
    <row r="210" spans="2:5" ht="15" customHeight="1">
      <c r="B210" s="93"/>
      <c r="C210" s="43" t="s">
        <v>126</v>
      </c>
      <c r="D210" s="42">
        <v>16</v>
      </c>
      <c r="E210" s="41">
        <v>5.0393700787401572E-3</v>
      </c>
    </row>
    <row r="211" spans="2:5" ht="15" customHeight="1">
      <c r="B211" s="93"/>
      <c r="C211" s="43" t="s">
        <v>115</v>
      </c>
      <c r="D211" s="42">
        <v>1</v>
      </c>
      <c r="E211" s="41">
        <v>3.1496062992125983E-4</v>
      </c>
    </row>
    <row r="212" spans="2:5" ht="15" customHeight="1">
      <c r="B212" s="93"/>
      <c r="C212" s="43" t="s">
        <v>119</v>
      </c>
      <c r="D212" s="42">
        <v>7</v>
      </c>
      <c r="E212" s="41">
        <v>2.204724409448819E-3</v>
      </c>
    </row>
    <row r="213" spans="2:5" ht="15" customHeight="1">
      <c r="B213" s="93"/>
      <c r="C213" s="43" t="s">
        <v>116</v>
      </c>
      <c r="D213" s="42">
        <v>4</v>
      </c>
      <c r="E213" s="41">
        <v>1.2598425196850393E-3</v>
      </c>
    </row>
    <row r="214" spans="2:5" ht="15" customHeight="1">
      <c r="B214" s="93"/>
      <c r="C214" s="43" t="s">
        <v>121</v>
      </c>
      <c r="D214" s="42">
        <v>2</v>
      </c>
      <c r="E214" s="41">
        <v>6.2992125984251965E-4</v>
      </c>
    </row>
    <row r="215" spans="2:5" ht="15" customHeight="1">
      <c r="B215" s="94"/>
      <c r="C215" s="40" t="s">
        <v>20</v>
      </c>
      <c r="D215" s="39">
        <v>88</v>
      </c>
      <c r="E215" s="38">
        <v>2.7716535433070868E-2</v>
      </c>
    </row>
    <row r="216" spans="2:5" ht="15" customHeight="1">
      <c r="B216" s="92" t="s">
        <v>108</v>
      </c>
      <c r="C216" s="43" t="s">
        <v>123</v>
      </c>
      <c r="D216" s="42">
        <v>8</v>
      </c>
      <c r="E216" s="41">
        <v>2.5196850393700786E-3</v>
      </c>
    </row>
    <row r="217" spans="2:5" ht="15" customHeight="1">
      <c r="B217" s="93"/>
      <c r="C217" s="43" t="s">
        <v>125</v>
      </c>
      <c r="D217" s="42">
        <v>14</v>
      </c>
      <c r="E217" s="41">
        <v>4.4094488188976379E-3</v>
      </c>
    </row>
    <row r="218" spans="2:5" ht="15" customHeight="1">
      <c r="B218" s="93"/>
      <c r="C218" s="43" t="s">
        <v>113</v>
      </c>
      <c r="D218" s="42">
        <v>2</v>
      </c>
      <c r="E218" s="41">
        <v>6.2992125984251965E-4</v>
      </c>
    </row>
    <row r="219" spans="2:5" ht="15" customHeight="1">
      <c r="B219" s="93"/>
      <c r="C219" s="43" t="s">
        <v>124</v>
      </c>
      <c r="D219" s="42">
        <v>12</v>
      </c>
      <c r="E219" s="41">
        <v>3.7795275590551181E-3</v>
      </c>
    </row>
    <row r="220" spans="2:5" ht="15" customHeight="1">
      <c r="B220" s="93"/>
      <c r="C220" s="43" t="s">
        <v>122</v>
      </c>
      <c r="D220" s="42">
        <v>9</v>
      </c>
      <c r="E220" s="41">
        <v>2.8346456692913387E-3</v>
      </c>
    </row>
    <row r="221" spans="2:5" ht="15" customHeight="1">
      <c r="B221" s="93"/>
      <c r="C221" s="43" t="s">
        <v>120</v>
      </c>
      <c r="D221" s="42">
        <v>2</v>
      </c>
      <c r="E221" s="41">
        <v>6.2992125984251965E-4</v>
      </c>
    </row>
    <row r="222" spans="2:5" ht="15" customHeight="1">
      <c r="B222" s="93"/>
      <c r="C222" s="43" t="s">
        <v>126</v>
      </c>
      <c r="D222" s="42">
        <v>13</v>
      </c>
      <c r="E222" s="41">
        <v>4.0944881889763782E-3</v>
      </c>
    </row>
    <row r="223" spans="2:5" ht="15" customHeight="1">
      <c r="B223" s="93"/>
      <c r="C223" s="43" t="s">
        <v>115</v>
      </c>
      <c r="D223" s="42">
        <v>1</v>
      </c>
      <c r="E223" s="41">
        <v>3.1496062992125983E-4</v>
      </c>
    </row>
    <row r="224" spans="2:5" ht="15" customHeight="1">
      <c r="B224" s="93"/>
      <c r="C224" s="43" t="s">
        <v>118</v>
      </c>
      <c r="D224" s="42">
        <v>2</v>
      </c>
      <c r="E224" s="41">
        <v>6.2992125984251965E-4</v>
      </c>
    </row>
    <row r="225" spans="2:5" ht="15" customHeight="1">
      <c r="B225" s="93"/>
      <c r="C225" s="43" t="s">
        <v>119</v>
      </c>
      <c r="D225" s="42">
        <v>7</v>
      </c>
      <c r="E225" s="41">
        <v>2.204724409448819E-3</v>
      </c>
    </row>
    <row r="226" spans="2:5" ht="15" customHeight="1">
      <c r="B226" s="93"/>
      <c r="C226" s="43" t="s">
        <v>117</v>
      </c>
      <c r="D226" s="42">
        <v>2</v>
      </c>
      <c r="E226" s="41">
        <v>6.2992125984251965E-4</v>
      </c>
    </row>
    <row r="227" spans="2:5" ht="15" customHeight="1">
      <c r="B227" s="93"/>
      <c r="C227" s="43" t="s">
        <v>116</v>
      </c>
      <c r="D227" s="42">
        <v>1</v>
      </c>
      <c r="E227" s="41">
        <v>3.1496062992125983E-4</v>
      </c>
    </row>
    <row r="228" spans="2:5" ht="15" customHeight="1">
      <c r="B228" s="93"/>
      <c r="C228" s="43" t="s">
        <v>121</v>
      </c>
      <c r="D228" s="42">
        <v>6</v>
      </c>
      <c r="E228" s="41">
        <v>1.8897637795275591E-3</v>
      </c>
    </row>
    <row r="229" spans="2:5" ht="15" customHeight="1">
      <c r="B229" s="94"/>
      <c r="C229" s="40" t="s">
        <v>20</v>
      </c>
      <c r="D229" s="39">
        <v>79</v>
      </c>
      <c r="E229" s="38">
        <v>2.4881889763779527E-2</v>
      </c>
    </row>
    <row r="230" spans="2:5" ht="15" customHeight="1">
      <c r="B230" s="92" t="s">
        <v>87</v>
      </c>
      <c r="C230" s="43" t="s">
        <v>123</v>
      </c>
      <c r="D230" s="42">
        <v>19</v>
      </c>
      <c r="E230" s="41">
        <v>5.9842519685039371E-3</v>
      </c>
    </row>
    <row r="231" spans="2:5" ht="15" customHeight="1">
      <c r="B231" s="93"/>
      <c r="C231" s="43" t="s">
        <v>125</v>
      </c>
      <c r="D231" s="42">
        <v>14</v>
      </c>
      <c r="E231" s="41">
        <v>4.4094488188976379E-3</v>
      </c>
    </row>
    <row r="232" spans="2:5" ht="15" customHeight="1">
      <c r="B232" s="93"/>
      <c r="C232" s="43" t="s">
        <v>124</v>
      </c>
      <c r="D232" s="42">
        <v>14</v>
      </c>
      <c r="E232" s="41">
        <v>4.4094488188976379E-3</v>
      </c>
    </row>
    <row r="233" spans="2:5" ht="15" customHeight="1">
      <c r="B233" s="93"/>
      <c r="C233" s="43" t="s">
        <v>122</v>
      </c>
      <c r="D233" s="42">
        <v>12</v>
      </c>
      <c r="E233" s="41">
        <v>3.7795275590551181E-3</v>
      </c>
    </row>
    <row r="234" spans="2:5" ht="15" customHeight="1">
      <c r="B234" s="93"/>
      <c r="C234" s="43" t="s">
        <v>120</v>
      </c>
      <c r="D234" s="42">
        <v>20</v>
      </c>
      <c r="E234" s="41">
        <v>6.2992125984251968E-3</v>
      </c>
    </row>
    <row r="235" spans="2:5" ht="15" customHeight="1">
      <c r="B235" s="93"/>
      <c r="C235" s="43" t="s">
        <v>112</v>
      </c>
      <c r="D235" s="42">
        <v>1</v>
      </c>
      <c r="E235" s="41">
        <v>3.1496062992125983E-4</v>
      </c>
    </row>
    <row r="236" spans="2:5" ht="15" customHeight="1">
      <c r="B236" s="93"/>
      <c r="C236" s="43" t="s">
        <v>126</v>
      </c>
      <c r="D236" s="42">
        <v>18</v>
      </c>
      <c r="E236" s="41">
        <v>5.6692913385826774E-3</v>
      </c>
    </row>
    <row r="237" spans="2:5" ht="15" customHeight="1">
      <c r="B237" s="93"/>
      <c r="C237" s="43" t="s">
        <v>115</v>
      </c>
      <c r="D237" s="42">
        <v>2</v>
      </c>
      <c r="E237" s="41">
        <v>6.2992125984251965E-4</v>
      </c>
    </row>
    <row r="238" spans="2:5" ht="15" customHeight="1">
      <c r="B238" s="93"/>
      <c r="C238" s="43" t="s">
        <v>118</v>
      </c>
      <c r="D238" s="42">
        <v>1</v>
      </c>
      <c r="E238" s="41">
        <v>3.1496062992125983E-4</v>
      </c>
    </row>
    <row r="239" spans="2:5" ht="15" customHeight="1">
      <c r="B239" s="93"/>
      <c r="C239" s="43" t="s">
        <v>119</v>
      </c>
      <c r="D239" s="42">
        <v>1</v>
      </c>
      <c r="E239" s="41">
        <v>3.1496062992125983E-4</v>
      </c>
    </row>
    <row r="240" spans="2:5" ht="15" customHeight="1">
      <c r="B240" s="93"/>
      <c r="C240" s="43" t="s">
        <v>110</v>
      </c>
      <c r="D240" s="42">
        <v>1</v>
      </c>
      <c r="E240" s="41">
        <v>3.1496062992125983E-4</v>
      </c>
    </row>
    <row r="241" spans="2:5" ht="15" customHeight="1">
      <c r="B241" s="93"/>
      <c r="C241" s="43" t="s">
        <v>117</v>
      </c>
      <c r="D241" s="42">
        <v>1</v>
      </c>
      <c r="E241" s="41">
        <v>3.1496062992125983E-4</v>
      </c>
    </row>
    <row r="242" spans="2:5" ht="15" customHeight="1">
      <c r="B242" s="93"/>
      <c r="C242" s="43" t="s">
        <v>116</v>
      </c>
      <c r="D242" s="42">
        <v>2</v>
      </c>
      <c r="E242" s="41">
        <v>6.2992125984251965E-4</v>
      </c>
    </row>
    <row r="243" spans="2:5" ht="15" customHeight="1">
      <c r="B243" s="93"/>
      <c r="C243" s="43" t="s">
        <v>121</v>
      </c>
      <c r="D243" s="42">
        <v>5</v>
      </c>
      <c r="E243" s="41">
        <v>1.5748031496062992E-3</v>
      </c>
    </row>
    <row r="244" spans="2:5" ht="15" customHeight="1">
      <c r="B244" s="94"/>
      <c r="C244" s="40" t="s">
        <v>20</v>
      </c>
      <c r="D244" s="39">
        <v>111</v>
      </c>
      <c r="E244" s="38">
        <v>3.4960629921259839E-2</v>
      </c>
    </row>
    <row r="245" spans="2:5" ht="15" customHeight="1">
      <c r="B245" s="92" t="s">
        <v>82</v>
      </c>
      <c r="C245" s="43" t="s">
        <v>123</v>
      </c>
      <c r="D245" s="42">
        <v>3</v>
      </c>
      <c r="E245" s="41">
        <v>9.4488188976377954E-4</v>
      </c>
    </row>
    <row r="246" spans="2:5" ht="15" customHeight="1">
      <c r="B246" s="93"/>
      <c r="C246" s="43" t="s">
        <v>125</v>
      </c>
      <c r="D246" s="42">
        <v>16</v>
      </c>
      <c r="E246" s="41">
        <v>5.0393700787401572E-3</v>
      </c>
    </row>
    <row r="247" spans="2:5" ht="15" customHeight="1">
      <c r="B247" s="93"/>
      <c r="C247" s="43" t="s">
        <v>124</v>
      </c>
      <c r="D247" s="42">
        <v>6</v>
      </c>
      <c r="E247" s="41">
        <v>1.8897637795275591E-3</v>
      </c>
    </row>
    <row r="248" spans="2:5" ht="15" customHeight="1">
      <c r="B248" s="93"/>
      <c r="C248" s="43" t="s">
        <v>122</v>
      </c>
      <c r="D248" s="42">
        <v>6</v>
      </c>
      <c r="E248" s="41">
        <v>1.8897637795275591E-3</v>
      </c>
    </row>
    <row r="249" spans="2:5" ht="15" customHeight="1">
      <c r="B249" s="93"/>
      <c r="C249" s="43" t="s">
        <v>120</v>
      </c>
      <c r="D249" s="42">
        <v>3</v>
      </c>
      <c r="E249" s="41">
        <v>9.4488188976377954E-4</v>
      </c>
    </row>
    <row r="250" spans="2:5" ht="15" customHeight="1">
      <c r="B250" s="93"/>
      <c r="C250" s="43" t="s">
        <v>126</v>
      </c>
      <c r="D250" s="42">
        <v>15</v>
      </c>
      <c r="E250" s="41">
        <v>4.7244094488188976E-3</v>
      </c>
    </row>
    <row r="251" spans="2:5" ht="15" customHeight="1">
      <c r="B251" s="93"/>
      <c r="C251" s="43" t="s">
        <v>119</v>
      </c>
      <c r="D251" s="42">
        <v>1</v>
      </c>
      <c r="E251" s="41">
        <v>3.1496062992125983E-4</v>
      </c>
    </row>
    <row r="252" spans="2:5" ht="15" customHeight="1">
      <c r="B252" s="93"/>
      <c r="C252" s="43" t="s">
        <v>117</v>
      </c>
      <c r="D252" s="42">
        <v>1</v>
      </c>
      <c r="E252" s="41">
        <v>3.1496062992125983E-4</v>
      </c>
    </row>
    <row r="253" spans="2:5" ht="15" customHeight="1">
      <c r="B253" s="93"/>
      <c r="C253" s="43" t="s">
        <v>114</v>
      </c>
      <c r="D253" s="42">
        <v>1</v>
      </c>
      <c r="E253" s="41">
        <v>3.1496062992125983E-4</v>
      </c>
    </row>
    <row r="254" spans="2:5" ht="15" customHeight="1">
      <c r="B254" s="93"/>
      <c r="C254" s="43" t="s">
        <v>121</v>
      </c>
      <c r="D254" s="42">
        <v>3</v>
      </c>
      <c r="E254" s="41">
        <v>9.4488188976377954E-4</v>
      </c>
    </row>
    <row r="255" spans="2:5" ht="15" customHeight="1">
      <c r="B255" s="94"/>
      <c r="C255" s="40" t="s">
        <v>20</v>
      </c>
      <c r="D255" s="39">
        <v>55</v>
      </c>
      <c r="E255" s="38">
        <v>1.7322834645669291E-2</v>
      </c>
    </row>
    <row r="256" spans="2:5" ht="15" customHeight="1">
      <c r="B256" s="92" t="s">
        <v>81</v>
      </c>
      <c r="C256" s="43" t="s">
        <v>125</v>
      </c>
      <c r="D256" s="42">
        <v>11</v>
      </c>
      <c r="E256" s="41">
        <v>3.4645669291338585E-3</v>
      </c>
    </row>
    <row r="257" spans="2:5" ht="15" customHeight="1">
      <c r="B257" s="93"/>
      <c r="C257" s="43" t="s">
        <v>113</v>
      </c>
      <c r="D257" s="42">
        <v>1</v>
      </c>
      <c r="E257" s="41">
        <v>3.1496062992125983E-4</v>
      </c>
    </row>
    <row r="258" spans="2:5" ht="15" customHeight="1">
      <c r="B258" s="93"/>
      <c r="C258" s="43" t="s">
        <v>124</v>
      </c>
      <c r="D258" s="42">
        <v>6</v>
      </c>
      <c r="E258" s="41">
        <v>1.8897637795275591E-3</v>
      </c>
    </row>
    <row r="259" spans="2:5" ht="15" customHeight="1">
      <c r="B259" s="93"/>
      <c r="C259" s="43" t="s">
        <v>122</v>
      </c>
      <c r="D259" s="42">
        <v>4</v>
      </c>
      <c r="E259" s="41">
        <v>1.2598425196850393E-3</v>
      </c>
    </row>
    <row r="260" spans="2:5" ht="15" customHeight="1">
      <c r="B260" s="93"/>
      <c r="C260" s="43" t="s">
        <v>126</v>
      </c>
      <c r="D260" s="42">
        <v>19</v>
      </c>
      <c r="E260" s="41">
        <v>5.9842519685039371E-3</v>
      </c>
    </row>
    <row r="261" spans="2:5" ht="15" customHeight="1">
      <c r="B261" s="93"/>
      <c r="C261" s="43" t="s">
        <v>119</v>
      </c>
      <c r="D261" s="42">
        <v>1</v>
      </c>
      <c r="E261" s="41">
        <v>3.1496062992125983E-4</v>
      </c>
    </row>
    <row r="262" spans="2:5" ht="15" customHeight="1">
      <c r="B262" s="93"/>
      <c r="C262" s="43" t="s">
        <v>110</v>
      </c>
      <c r="D262" s="42">
        <v>1</v>
      </c>
      <c r="E262" s="41">
        <v>3.1496062992125983E-4</v>
      </c>
    </row>
    <row r="263" spans="2:5" ht="15" customHeight="1">
      <c r="B263" s="93"/>
      <c r="C263" s="43" t="s">
        <v>117</v>
      </c>
      <c r="D263" s="42">
        <v>1</v>
      </c>
      <c r="E263" s="41">
        <v>3.1496062992125983E-4</v>
      </c>
    </row>
    <row r="264" spans="2:5" ht="15" customHeight="1">
      <c r="B264" s="93"/>
      <c r="C264" s="43" t="s">
        <v>121</v>
      </c>
      <c r="D264" s="42">
        <v>8</v>
      </c>
      <c r="E264" s="41">
        <v>2.5196850393700786E-3</v>
      </c>
    </row>
    <row r="265" spans="2:5" ht="15" customHeight="1">
      <c r="B265" s="94"/>
      <c r="C265" s="40" t="s">
        <v>20</v>
      </c>
      <c r="D265" s="39">
        <v>52</v>
      </c>
      <c r="E265" s="38">
        <v>1.6377952755905513E-2</v>
      </c>
    </row>
    <row r="266" spans="2:5" ht="15" customHeight="1">
      <c r="B266" s="92" t="s">
        <v>208</v>
      </c>
      <c r="C266" s="43" t="s">
        <v>122</v>
      </c>
      <c r="D266" s="42">
        <v>1</v>
      </c>
      <c r="E266" s="41">
        <v>3.1496062992125983E-4</v>
      </c>
    </row>
    <row r="267" spans="2:5" ht="15" customHeight="1">
      <c r="B267" s="94"/>
      <c r="C267" s="40" t="s">
        <v>20</v>
      </c>
      <c r="D267" s="39">
        <v>1</v>
      </c>
      <c r="E267" s="38">
        <v>3.1496062992125983E-4</v>
      </c>
    </row>
    <row r="268" spans="2:5" ht="15" customHeight="1">
      <c r="B268" s="92" t="s">
        <v>74</v>
      </c>
      <c r="C268" s="43" t="s">
        <v>123</v>
      </c>
      <c r="D268" s="42">
        <v>11</v>
      </c>
      <c r="E268" s="41">
        <v>3.4645669291338585E-3</v>
      </c>
    </row>
    <row r="269" spans="2:5" ht="15" customHeight="1">
      <c r="B269" s="93"/>
      <c r="C269" s="43" t="s">
        <v>125</v>
      </c>
      <c r="D269" s="42">
        <v>18</v>
      </c>
      <c r="E269" s="41">
        <v>5.6692913385826774E-3</v>
      </c>
    </row>
    <row r="270" spans="2:5" ht="15" customHeight="1">
      <c r="B270" s="93"/>
      <c r="C270" s="43" t="s">
        <v>113</v>
      </c>
      <c r="D270" s="42">
        <v>4</v>
      </c>
      <c r="E270" s="41">
        <v>1.2598425196850393E-3</v>
      </c>
    </row>
    <row r="271" spans="2:5" ht="15" customHeight="1">
      <c r="B271" s="93"/>
      <c r="C271" s="43" t="s">
        <v>124</v>
      </c>
      <c r="D271" s="42">
        <v>6</v>
      </c>
      <c r="E271" s="41">
        <v>1.8897637795275591E-3</v>
      </c>
    </row>
    <row r="272" spans="2:5" ht="15" customHeight="1">
      <c r="B272" s="93"/>
      <c r="C272" s="43" t="s">
        <v>122</v>
      </c>
      <c r="D272" s="42">
        <v>4</v>
      </c>
      <c r="E272" s="41">
        <v>1.2598425196850393E-3</v>
      </c>
    </row>
    <row r="273" spans="2:5" ht="15" customHeight="1">
      <c r="B273" s="93"/>
      <c r="C273" s="43" t="s">
        <v>120</v>
      </c>
      <c r="D273" s="42">
        <v>7</v>
      </c>
      <c r="E273" s="41">
        <v>2.204724409448819E-3</v>
      </c>
    </row>
    <row r="274" spans="2:5" ht="15" customHeight="1">
      <c r="B274" s="93"/>
      <c r="C274" s="43" t="s">
        <v>112</v>
      </c>
      <c r="D274" s="42">
        <v>1</v>
      </c>
      <c r="E274" s="41">
        <v>3.1496062992125983E-4</v>
      </c>
    </row>
    <row r="275" spans="2:5" ht="15" customHeight="1">
      <c r="B275" s="93"/>
      <c r="C275" s="43" t="s">
        <v>126</v>
      </c>
      <c r="D275" s="42">
        <v>17</v>
      </c>
      <c r="E275" s="41">
        <v>5.3543307086614169E-3</v>
      </c>
    </row>
    <row r="276" spans="2:5" ht="15" customHeight="1">
      <c r="B276" s="93"/>
      <c r="C276" s="43" t="s">
        <v>115</v>
      </c>
      <c r="D276" s="42">
        <v>1</v>
      </c>
      <c r="E276" s="41">
        <v>3.1496062992125983E-4</v>
      </c>
    </row>
    <row r="277" spans="2:5" ht="15" customHeight="1">
      <c r="B277" s="93"/>
      <c r="C277" s="43" t="s">
        <v>118</v>
      </c>
      <c r="D277" s="42">
        <v>1</v>
      </c>
      <c r="E277" s="41">
        <v>3.1496062992125983E-4</v>
      </c>
    </row>
    <row r="278" spans="2:5" ht="15" customHeight="1">
      <c r="B278" s="93"/>
      <c r="C278" s="43" t="s">
        <v>111</v>
      </c>
      <c r="D278" s="42">
        <v>1</v>
      </c>
      <c r="E278" s="41">
        <v>3.1496062992125983E-4</v>
      </c>
    </row>
    <row r="279" spans="2:5" ht="15" customHeight="1">
      <c r="B279" s="93"/>
      <c r="C279" s="43" t="s">
        <v>119</v>
      </c>
      <c r="D279" s="42">
        <v>9</v>
      </c>
      <c r="E279" s="41">
        <v>2.8346456692913387E-3</v>
      </c>
    </row>
    <row r="280" spans="2:5" ht="15" customHeight="1">
      <c r="B280" s="93"/>
      <c r="C280" s="43" t="s">
        <v>117</v>
      </c>
      <c r="D280" s="42">
        <v>4</v>
      </c>
      <c r="E280" s="41">
        <v>1.2598425196850393E-3</v>
      </c>
    </row>
    <row r="281" spans="2:5" ht="15" customHeight="1">
      <c r="B281" s="93"/>
      <c r="C281" s="43" t="s">
        <v>116</v>
      </c>
      <c r="D281" s="42">
        <v>6</v>
      </c>
      <c r="E281" s="41">
        <v>1.8897637795275591E-3</v>
      </c>
    </row>
    <row r="282" spans="2:5" ht="15" customHeight="1">
      <c r="B282" s="93"/>
      <c r="C282" s="43" t="s">
        <v>121</v>
      </c>
      <c r="D282" s="42">
        <v>13</v>
      </c>
      <c r="E282" s="41">
        <v>4.0944881889763782E-3</v>
      </c>
    </row>
    <row r="283" spans="2:5" ht="15" customHeight="1">
      <c r="B283" s="94"/>
      <c r="C283" s="40" t="s">
        <v>20</v>
      </c>
      <c r="D283" s="39">
        <v>103</v>
      </c>
      <c r="E283" s="38">
        <v>3.2440944881889762E-2</v>
      </c>
    </row>
    <row r="284" spans="2:5" ht="15" customHeight="1">
      <c r="B284" s="92" t="s">
        <v>103</v>
      </c>
      <c r="C284" s="43" t="s">
        <v>123</v>
      </c>
      <c r="D284" s="42">
        <v>3</v>
      </c>
      <c r="E284" s="41">
        <v>9.4488188976377954E-4</v>
      </c>
    </row>
    <row r="285" spans="2:5" ht="15" customHeight="1">
      <c r="B285" s="93"/>
      <c r="C285" s="43" t="s">
        <v>125</v>
      </c>
      <c r="D285" s="42">
        <v>35</v>
      </c>
      <c r="E285" s="41">
        <v>1.1023622047244094E-2</v>
      </c>
    </row>
    <row r="286" spans="2:5" ht="15" customHeight="1">
      <c r="B286" s="93"/>
      <c r="C286" s="43" t="s">
        <v>113</v>
      </c>
      <c r="D286" s="42">
        <v>3</v>
      </c>
      <c r="E286" s="41">
        <v>9.4488188976377954E-4</v>
      </c>
    </row>
    <row r="287" spans="2:5" ht="15" customHeight="1">
      <c r="B287" s="93"/>
      <c r="C287" s="43" t="s">
        <v>124</v>
      </c>
      <c r="D287" s="42">
        <v>7</v>
      </c>
      <c r="E287" s="41">
        <v>2.204724409448819E-3</v>
      </c>
    </row>
    <row r="288" spans="2:5" ht="15" customHeight="1">
      <c r="B288" s="93"/>
      <c r="C288" s="43" t="s">
        <v>122</v>
      </c>
      <c r="D288" s="42">
        <v>5</v>
      </c>
      <c r="E288" s="41">
        <v>1.5748031496062992E-3</v>
      </c>
    </row>
    <row r="289" spans="2:5" ht="15" customHeight="1">
      <c r="B289" s="93"/>
      <c r="C289" s="43" t="s">
        <v>120</v>
      </c>
      <c r="D289" s="42">
        <v>6</v>
      </c>
      <c r="E289" s="41">
        <v>1.8897637795275591E-3</v>
      </c>
    </row>
    <row r="290" spans="2:5" ht="15" customHeight="1">
      <c r="B290" s="93"/>
      <c r="C290" s="43" t="s">
        <v>126</v>
      </c>
      <c r="D290" s="42">
        <v>28</v>
      </c>
      <c r="E290" s="41">
        <v>8.8188976377952758E-3</v>
      </c>
    </row>
    <row r="291" spans="2:5" ht="15" customHeight="1">
      <c r="B291" s="93"/>
      <c r="C291" s="43" t="s">
        <v>118</v>
      </c>
      <c r="D291" s="42">
        <v>1</v>
      </c>
      <c r="E291" s="41">
        <v>3.1496062992125983E-4</v>
      </c>
    </row>
    <row r="292" spans="2:5" ht="15" customHeight="1">
      <c r="B292" s="93"/>
      <c r="C292" s="43" t="s">
        <v>119</v>
      </c>
      <c r="D292" s="42">
        <v>3</v>
      </c>
      <c r="E292" s="41">
        <v>9.4488188976377954E-4</v>
      </c>
    </row>
    <row r="293" spans="2:5" ht="15" customHeight="1">
      <c r="B293" s="93"/>
      <c r="C293" s="43" t="s">
        <v>117</v>
      </c>
      <c r="D293" s="42">
        <v>3</v>
      </c>
      <c r="E293" s="41">
        <v>9.4488188976377954E-4</v>
      </c>
    </row>
    <row r="294" spans="2:5" ht="15" customHeight="1">
      <c r="B294" s="93"/>
      <c r="C294" s="43" t="s">
        <v>116</v>
      </c>
      <c r="D294" s="42">
        <v>4</v>
      </c>
      <c r="E294" s="41">
        <v>1.2598425196850393E-3</v>
      </c>
    </row>
    <row r="295" spans="2:5" ht="15" customHeight="1">
      <c r="B295" s="93"/>
      <c r="C295" s="43" t="s">
        <v>114</v>
      </c>
      <c r="D295" s="42">
        <v>3</v>
      </c>
      <c r="E295" s="41">
        <v>9.4488188976377954E-4</v>
      </c>
    </row>
    <row r="296" spans="2:5" ht="15" customHeight="1">
      <c r="B296" s="93"/>
      <c r="C296" s="43" t="s">
        <v>121</v>
      </c>
      <c r="D296" s="42">
        <v>7</v>
      </c>
      <c r="E296" s="41">
        <v>2.204724409448819E-3</v>
      </c>
    </row>
    <row r="297" spans="2:5" ht="15" customHeight="1">
      <c r="B297" s="94"/>
      <c r="C297" s="40" t="s">
        <v>20</v>
      </c>
      <c r="D297" s="39">
        <v>108</v>
      </c>
      <c r="E297" s="38">
        <v>3.4015748031496061E-2</v>
      </c>
    </row>
    <row r="298" spans="2:5" ht="15" customHeight="1">
      <c r="B298" s="92" t="s">
        <v>76</v>
      </c>
      <c r="C298" s="43" t="s">
        <v>123</v>
      </c>
      <c r="D298" s="42">
        <v>2</v>
      </c>
      <c r="E298" s="41">
        <v>6.2992125984251965E-4</v>
      </c>
    </row>
    <row r="299" spans="2:5" ht="15" customHeight="1">
      <c r="B299" s="93"/>
      <c r="C299" s="43" t="s">
        <v>125</v>
      </c>
      <c r="D299" s="42">
        <v>7</v>
      </c>
      <c r="E299" s="41">
        <v>2.204724409448819E-3</v>
      </c>
    </row>
    <row r="300" spans="2:5" ht="15" customHeight="1">
      <c r="B300" s="93"/>
      <c r="C300" s="43" t="s">
        <v>124</v>
      </c>
      <c r="D300" s="42">
        <v>3</v>
      </c>
      <c r="E300" s="41">
        <v>9.4488188976377954E-4</v>
      </c>
    </row>
    <row r="301" spans="2:5" ht="15" customHeight="1">
      <c r="B301" s="93"/>
      <c r="C301" s="43" t="s">
        <v>122</v>
      </c>
      <c r="D301" s="42">
        <v>2</v>
      </c>
      <c r="E301" s="41">
        <v>6.2992125984251965E-4</v>
      </c>
    </row>
    <row r="302" spans="2:5" ht="15" customHeight="1">
      <c r="B302" s="93"/>
      <c r="C302" s="43" t="s">
        <v>120</v>
      </c>
      <c r="D302" s="42">
        <v>1</v>
      </c>
      <c r="E302" s="41">
        <v>3.1496062992125983E-4</v>
      </c>
    </row>
    <row r="303" spans="2:5" ht="15" customHeight="1">
      <c r="B303" s="93"/>
      <c r="C303" s="43" t="s">
        <v>126</v>
      </c>
      <c r="D303" s="42">
        <v>5</v>
      </c>
      <c r="E303" s="41">
        <v>1.5748031496062992E-3</v>
      </c>
    </row>
    <row r="304" spans="2:5" ht="15" customHeight="1">
      <c r="B304" s="93"/>
      <c r="C304" s="43" t="s">
        <v>116</v>
      </c>
      <c r="D304" s="42">
        <v>1</v>
      </c>
      <c r="E304" s="41">
        <v>3.1496062992125983E-4</v>
      </c>
    </row>
    <row r="305" spans="2:5" ht="15" customHeight="1">
      <c r="B305" s="93"/>
      <c r="C305" s="43" t="s">
        <v>121</v>
      </c>
      <c r="D305" s="42">
        <v>7</v>
      </c>
      <c r="E305" s="41">
        <v>2.204724409448819E-3</v>
      </c>
    </row>
    <row r="306" spans="2:5" ht="15" customHeight="1">
      <c r="B306" s="94"/>
      <c r="C306" s="40" t="s">
        <v>20</v>
      </c>
      <c r="D306" s="39">
        <v>28</v>
      </c>
      <c r="E306" s="38">
        <v>8.8188976377952758E-3</v>
      </c>
    </row>
    <row r="307" spans="2:5" ht="15" customHeight="1">
      <c r="B307" s="92" t="s">
        <v>95</v>
      </c>
      <c r="C307" s="43" t="s">
        <v>123</v>
      </c>
      <c r="D307" s="42">
        <v>13</v>
      </c>
      <c r="E307" s="41">
        <v>4.0944881889763782E-3</v>
      </c>
    </row>
    <row r="308" spans="2:5" ht="15" customHeight="1">
      <c r="B308" s="93"/>
      <c r="C308" s="43" t="s">
        <v>125</v>
      </c>
      <c r="D308" s="42">
        <v>55</v>
      </c>
      <c r="E308" s="41">
        <v>1.7322834645669291E-2</v>
      </c>
    </row>
    <row r="309" spans="2:5" ht="15" customHeight="1">
      <c r="B309" s="93"/>
      <c r="C309" s="43" t="s">
        <v>113</v>
      </c>
      <c r="D309" s="42">
        <v>2</v>
      </c>
      <c r="E309" s="41">
        <v>6.2992125984251965E-4</v>
      </c>
    </row>
    <row r="310" spans="2:5" ht="15" customHeight="1">
      <c r="B310" s="93"/>
      <c r="C310" s="43" t="s">
        <v>124</v>
      </c>
      <c r="D310" s="42">
        <v>19</v>
      </c>
      <c r="E310" s="41">
        <v>5.9842519685039371E-3</v>
      </c>
    </row>
    <row r="311" spans="2:5" ht="15" customHeight="1">
      <c r="B311" s="93"/>
      <c r="C311" s="43" t="s">
        <v>122</v>
      </c>
      <c r="D311" s="42">
        <v>10</v>
      </c>
      <c r="E311" s="41">
        <v>3.1496062992125984E-3</v>
      </c>
    </row>
    <row r="312" spans="2:5" ht="15" customHeight="1">
      <c r="B312" s="93"/>
      <c r="C312" s="43" t="s">
        <v>120</v>
      </c>
      <c r="D312" s="42">
        <v>2</v>
      </c>
      <c r="E312" s="41">
        <v>6.2992125984251965E-4</v>
      </c>
    </row>
    <row r="313" spans="2:5" ht="15" customHeight="1">
      <c r="B313" s="93"/>
      <c r="C313" s="43" t="s">
        <v>112</v>
      </c>
      <c r="D313" s="42">
        <v>1</v>
      </c>
      <c r="E313" s="41">
        <v>3.1496062992125983E-4</v>
      </c>
    </row>
    <row r="314" spans="2:5" ht="15" customHeight="1">
      <c r="B314" s="93"/>
      <c r="C314" s="43" t="s">
        <v>126</v>
      </c>
      <c r="D314" s="42">
        <v>48</v>
      </c>
      <c r="E314" s="41">
        <v>1.5118110236220473E-2</v>
      </c>
    </row>
    <row r="315" spans="2:5" ht="15" customHeight="1">
      <c r="B315" s="93"/>
      <c r="C315" s="43" t="s">
        <v>115</v>
      </c>
      <c r="D315" s="42">
        <v>4</v>
      </c>
      <c r="E315" s="41">
        <v>1.2598425196850393E-3</v>
      </c>
    </row>
    <row r="316" spans="2:5" ht="15" customHeight="1">
      <c r="B316" s="93"/>
      <c r="C316" s="43" t="s">
        <v>118</v>
      </c>
      <c r="D316" s="42">
        <v>7</v>
      </c>
      <c r="E316" s="41">
        <v>2.204724409448819E-3</v>
      </c>
    </row>
    <row r="317" spans="2:5" ht="15" customHeight="1">
      <c r="B317" s="93"/>
      <c r="C317" s="43" t="s">
        <v>111</v>
      </c>
      <c r="D317" s="42">
        <v>2</v>
      </c>
      <c r="E317" s="41">
        <v>6.2992125984251965E-4</v>
      </c>
    </row>
    <row r="318" spans="2:5" ht="15" customHeight="1">
      <c r="B318" s="93"/>
      <c r="C318" s="43" t="s">
        <v>119</v>
      </c>
      <c r="D318" s="42">
        <v>9</v>
      </c>
      <c r="E318" s="41">
        <v>2.8346456692913387E-3</v>
      </c>
    </row>
    <row r="319" spans="2:5" ht="15" customHeight="1">
      <c r="B319" s="93"/>
      <c r="C319" s="43" t="s">
        <v>117</v>
      </c>
      <c r="D319" s="42">
        <v>1</v>
      </c>
      <c r="E319" s="41">
        <v>3.1496062992125983E-4</v>
      </c>
    </row>
    <row r="320" spans="2:5" ht="15" customHeight="1">
      <c r="B320" s="93"/>
      <c r="C320" s="43" t="s">
        <v>116</v>
      </c>
      <c r="D320" s="42">
        <v>2</v>
      </c>
      <c r="E320" s="41">
        <v>6.2992125984251965E-4</v>
      </c>
    </row>
    <row r="321" spans="2:5" ht="15" customHeight="1">
      <c r="B321" s="93"/>
      <c r="C321" s="43" t="s">
        <v>121</v>
      </c>
      <c r="D321" s="42">
        <v>5</v>
      </c>
      <c r="E321" s="41">
        <v>1.5748031496062992E-3</v>
      </c>
    </row>
    <row r="322" spans="2:5" ht="15" customHeight="1">
      <c r="B322" s="94"/>
      <c r="C322" s="40" t="s">
        <v>20</v>
      </c>
      <c r="D322" s="39">
        <v>180</v>
      </c>
      <c r="E322" s="38">
        <v>5.6692913385826771E-2</v>
      </c>
    </row>
    <row r="323" spans="2:5" ht="15" customHeight="1">
      <c r="B323" s="92" t="s">
        <v>91</v>
      </c>
      <c r="C323" s="43" t="s">
        <v>123</v>
      </c>
      <c r="D323" s="42">
        <v>7</v>
      </c>
      <c r="E323" s="41">
        <v>2.204724409448819E-3</v>
      </c>
    </row>
    <row r="324" spans="2:5" ht="15" customHeight="1">
      <c r="B324" s="93"/>
      <c r="C324" s="43" t="s">
        <v>125</v>
      </c>
      <c r="D324" s="42">
        <v>4</v>
      </c>
      <c r="E324" s="41">
        <v>1.2598425196850393E-3</v>
      </c>
    </row>
    <row r="325" spans="2:5" ht="15" customHeight="1">
      <c r="B325" s="93"/>
      <c r="C325" s="43" t="s">
        <v>124</v>
      </c>
      <c r="D325" s="42">
        <v>1</v>
      </c>
      <c r="E325" s="41">
        <v>3.1496062992125983E-4</v>
      </c>
    </row>
    <row r="326" spans="2:5" ht="15" customHeight="1">
      <c r="B326" s="93"/>
      <c r="C326" s="43" t="s">
        <v>112</v>
      </c>
      <c r="D326" s="42">
        <v>1</v>
      </c>
      <c r="E326" s="41">
        <v>3.1496062992125983E-4</v>
      </c>
    </row>
    <row r="327" spans="2:5" ht="15" customHeight="1">
      <c r="B327" s="93"/>
      <c r="C327" s="43" t="s">
        <v>111</v>
      </c>
      <c r="D327" s="42">
        <v>1</v>
      </c>
      <c r="E327" s="41">
        <v>3.1496062992125983E-4</v>
      </c>
    </row>
    <row r="328" spans="2:5" ht="15" customHeight="1">
      <c r="B328" s="93"/>
      <c r="C328" s="43" t="s">
        <v>117</v>
      </c>
      <c r="D328" s="42">
        <v>1</v>
      </c>
      <c r="E328" s="41">
        <v>3.1496062992125983E-4</v>
      </c>
    </row>
    <row r="329" spans="2:5" ht="15" customHeight="1">
      <c r="B329" s="93"/>
      <c r="C329" s="43" t="s">
        <v>121</v>
      </c>
      <c r="D329" s="42">
        <v>1</v>
      </c>
      <c r="E329" s="41">
        <v>3.1496062992125983E-4</v>
      </c>
    </row>
    <row r="330" spans="2:5" ht="15" customHeight="1">
      <c r="B330" s="94"/>
      <c r="C330" s="40" t="s">
        <v>20</v>
      </c>
      <c r="D330" s="39">
        <v>16</v>
      </c>
      <c r="E330" s="38">
        <v>5.0393700787401572E-3</v>
      </c>
    </row>
    <row r="331" spans="2:5" ht="15" customHeight="1">
      <c r="B331" s="92" t="s">
        <v>79</v>
      </c>
      <c r="C331" s="43" t="s">
        <v>123</v>
      </c>
      <c r="D331" s="42">
        <v>7</v>
      </c>
      <c r="E331" s="41">
        <v>2.204724409448819E-3</v>
      </c>
    </row>
    <row r="332" spans="2:5" ht="15" customHeight="1">
      <c r="B332" s="93"/>
      <c r="C332" s="43" t="s">
        <v>125</v>
      </c>
      <c r="D332" s="42">
        <v>10</v>
      </c>
      <c r="E332" s="41">
        <v>3.1496062992125984E-3</v>
      </c>
    </row>
    <row r="333" spans="2:5" ht="15" customHeight="1">
      <c r="B333" s="93"/>
      <c r="C333" s="43" t="s">
        <v>113</v>
      </c>
      <c r="D333" s="42">
        <v>4</v>
      </c>
      <c r="E333" s="41">
        <v>1.2598425196850393E-3</v>
      </c>
    </row>
    <row r="334" spans="2:5" ht="15" customHeight="1">
      <c r="B334" s="93"/>
      <c r="C334" s="43" t="s">
        <v>124</v>
      </c>
      <c r="D334" s="42">
        <v>5</v>
      </c>
      <c r="E334" s="41">
        <v>1.5748031496062992E-3</v>
      </c>
    </row>
    <row r="335" spans="2:5" ht="15" customHeight="1">
      <c r="B335" s="93"/>
      <c r="C335" s="43" t="s">
        <v>122</v>
      </c>
      <c r="D335" s="42">
        <v>3</v>
      </c>
      <c r="E335" s="41">
        <v>9.4488188976377954E-4</v>
      </c>
    </row>
    <row r="336" spans="2:5" ht="15" customHeight="1">
      <c r="B336" s="93"/>
      <c r="C336" s="43" t="s">
        <v>112</v>
      </c>
      <c r="D336" s="42">
        <v>1</v>
      </c>
      <c r="E336" s="41">
        <v>3.1496062992125983E-4</v>
      </c>
    </row>
    <row r="337" spans="2:5" ht="15" customHeight="1">
      <c r="B337" s="93"/>
      <c r="C337" s="43" t="s">
        <v>126</v>
      </c>
      <c r="D337" s="42">
        <v>8</v>
      </c>
      <c r="E337" s="41">
        <v>2.5196850393700786E-3</v>
      </c>
    </row>
    <row r="338" spans="2:5" ht="15" customHeight="1">
      <c r="B338" s="93"/>
      <c r="C338" s="43" t="s">
        <v>115</v>
      </c>
      <c r="D338" s="42">
        <v>1</v>
      </c>
      <c r="E338" s="41">
        <v>3.1496062992125983E-4</v>
      </c>
    </row>
    <row r="339" spans="2:5" ht="15" customHeight="1">
      <c r="B339" s="93"/>
      <c r="C339" s="43" t="s">
        <v>119</v>
      </c>
      <c r="D339" s="42">
        <v>2</v>
      </c>
      <c r="E339" s="41">
        <v>6.2992125984251965E-4</v>
      </c>
    </row>
    <row r="340" spans="2:5" ht="15" customHeight="1">
      <c r="B340" s="93"/>
      <c r="C340" s="43" t="s">
        <v>117</v>
      </c>
      <c r="D340" s="42">
        <v>1</v>
      </c>
      <c r="E340" s="41">
        <v>3.1496062992125983E-4</v>
      </c>
    </row>
    <row r="341" spans="2:5" ht="15" customHeight="1">
      <c r="B341" s="93"/>
      <c r="C341" s="43" t="s">
        <v>116</v>
      </c>
      <c r="D341" s="42">
        <v>4</v>
      </c>
      <c r="E341" s="41">
        <v>1.2598425196850393E-3</v>
      </c>
    </row>
    <row r="342" spans="2:5" ht="15" customHeight="1">
      <c r="B342" s="93"/>
      <c r="C342" s="43" t="s">
        <v>114</v>
      </c>
      <c r="D342" s="42">
        <v>2</v>
      </c>
      <c r="E342" s="41">
        <v>6.2992125984251965E-4</v>
      </c>
    </row>
    <row r="343" spans="2:5" ht="15" customHeight="1">
      <c r="B343" s="93"/>
      <c r="C343" s="43" t="s">
        <v>121</v>
      </c>
      <c r="D343" s="42">
        <v>6</v>
      </c>
      <c r="E343" s="41">
        <v>1.8897637795275591E-3</v>
      </c>
    </row>
    <row r="344" spans="2:5" ht="15" customHeight="1">
      <c r="B344" s="94"/>
      <c r="C344" s="40" t="s">
        <v>20</v>
      </c>
      <c r="D344" s="39">
        <v>54</v>
      </c>
      <c r="E344" s="38">
        <v>1.7007874015748031E-2</v>
      </c>
    </row>
    <row r="345" spans="2:5" ht="15" customHeight="1">
      <c r="B345" s="92" t="s">
        <v>83</v>
      </c>
      <c r="C345" s="43" t="s">
        <v>123</v>
      </c>
      <c r="D345" s="42">
        <v>1</v>
      </c>
      <c r="E345" s="41">
        <v>3.1496062992125983E-4</v>
      </c>
    </row>
    <row r="346" spans="2:5" ht="15" customHeight="1">
      <c r="B346" s="93"/>
      <c r="C346" s="43" t="s">
        <v>125</v>
      </c>
      <c r="D346" s="42">
        <v>2</v>
      </c>
      <c r="E346" s="41">
        <v>6.2992125984251965E-4</v>
      </c>
    </row>
    <row r="347" spans="2:5" ht="15" customHeight="1">
      <c r="B347" s="93"/>
      <c r="C347" s="43" t="s">
        <v>124</v>
      </c>
      <c r="D347" s="42">
        <v>4</v>
      </c>
      <c r="E347" s="41">
        <v>1.2598425196850393E-3</v>
      </c>
    </row>
    <row r="348" spans="2:5" ht="15" customHeight="1">
      <c r="B348" s="93"/>
      <c r="C348" s="43" t="s">
        <v>126</v>
      </c>
      <c r="D348" s="42">
        <v>1</v>
      </c>
      <c r="E348" s="41">
        <v>3.1496062992125983E-4</v>
      </c>
    </row>
    <row r="349" spans="2:5" ht="15" customHeight="1">
      <c r="B349" s="93"/>
      <c r="C349" s="43" t="s">
        <v>111</v>
      </c>
      <c r="D349" s="42">
        <v>1</v>
      </c>
      <c r="E349" s="41">
        <v>3.1496062992125983E-4</v>
      </c>
    </row>
    <row r="350" spans="2:5" ht="15" customHeight="1">
      <c r="B350" s="93"/>
      <c r="C350" s="43" t="s">
        <v>121</v>
      </c>
      <c r="D350" s="42">
        <v>2</v>
      </c>
      <c r="E350" s="41">
        <v>6.2992125984251965E-4</v>
      </c>
    </row>
    <row r="351" spans="2:5" ht="15" customHeight="1">
      <c r="B351" s="94"/>
      <c r="C351" s="40" t="s">
        <v>20</v>
      </c>
      <c r="D351" s="39">
        <v>11</v>
      </c>
      <c r="E351" s="38">
        <v>3.4645669291338585E-3</v>
      </c>
    </row>
    <row r="352" spans="2:5" ht="15" customHeight="1">
      <c r="B352" s="92" t="s">
        <v>68</v>
      </c>
      <c r="C352" s="43" t="s">
        <v>125</v>
      </c>
      <c r="D352" s="42">
        <v>2</v>
      </c>
      <c r="E352" s="41">
        <v>6.2992125984251965E-4</v>
      </c>
    </row>
    <row r="353" spans="2:5" ht="15" customHeight="1">
      <c r="B353" s="93"/>
      <c r="C353" s="43" t="s">
        <v>120</v>
      </c>
      <c r="D353" s="42">
        <v>1</v>
      </c>
      <c r="E353" s="41">
        <v>3.1496062992125983E-4</v>
      </c>
    </row>
    <row r="354" spans="2:5" ht="15" customHeight="1">
      <c r="B354" s="93"/>
      <c r="C354" s="43" t="s">
        <v>126</v>
      </c>
      <c r="D354" s="42">
        <v>3</v>
      </c>
      <c r="E354" s="41">
        <v>9.4488188976377954E-4</v>
      </c>
    </row>
    <row r="355" spans="2:5" ht="15" customHeight="1">
      <c r="B355" s="94"/>
      <c r="C355" s="40" t="s">
        <v>20</v>
      </c>
      <c r="D355" s="39">
        <v>6</v>
      </c>
      <c r="E355" s="38">
        <v>1.8897637795275591E-3</v>
      </c>
    </row>
    <row r="356" spans="2:5" ht="15" customHeight="1">
      <c r="B356" s="92" t="s">
        <v>101</v>
      </c>
      <c r="C356" s="43" t="s">
        <v>123</v>
      </c>
      <c r="D356" s="42">
        <v>11</v>
      </c>
      <c r="E356" s="41">
        <v>3.4645669291338585E-3</v>
      </c>
    </row>
    <row r="357" spans="2:5" ht="15" customHeight="1">
      <c r="B357" s="93"/>
      <c r="C357" s="43" t="s">
        <v>125</v>
      </c>
      <c r="D357" s="42">
        <v>65</v>
      </c>
      <c r="E357" s="41">
        <v>2.0472440944881889E-2</v>
      </c>
    </row>
    <row r="358" spans="2:5" ht="15" customHeight="1">
      <c r="B358" s="93"/>
      <c r="C358" s="43" t="s">
        <v>113</v>
      </c>
      <c r="D358" s="42">
        <v>5</v>
      </c>
      <c r="E358" s="41">
        <v>1.5748031496062992E-3</v>
      </c>
    </row>
    <row r="359" spans="2:5" ht="15" customHeight="1">
      <c r="B359" s="93"/>
      <c r="C359" s="43" t="s">
        <v>124</v>
      </c>
      <c r="D359" s="42">
        <v>43</v>
      </c>
      <c r="E359" s="41">
        <v>1.3543307086614173E-2</v>
      </c>
    </row>
    <row r="360" spans="2:5" ht="15" customHeight="1">
      <c r="B360" s="93"/>
      <c r="C360" s="43" t="s">
        <v>122</v>
      </c>
      <c r="D360" s="42">
        <v>45</v>
      </c>
      <c r="E360" s="41">
        <v>1.4173228346456693E-2</v>
      </c>
    </row>
    <row r="361" spans="2:5" ht="15" customHeight="1">
      <c r="B361" s="93"/>
      <c r="C361" s="43" t="s">
        <v>120</v>
      </c>
      <c r="D361" s="42">
        <v>19</v>
      </c>
      <c r="E361" s="41">
        <v>5.9842519685039371E-3</v>
      </c>
    </row>
    <row r="362" spans="2:5" ht="15" customHeight="1">
      <c r="B362" s="93"/>
      <c r="C362" s="43" t="s">
        <v>112</v>
      </c>
      <c r="D362" s="42">
        <v>2</v>
      </c>
      <c r="E362" s="41">
        <v>6.2992125984251965E-4</v>
      </c>
    </row>
    <row r="363" spans="2:5" ht="15" customHeight="1">
      <c r="B363" s="93"/>
      <c r="C363" s="43" t="s">
        <v>126</v>
      </c>
      <c r="D363" s="42">
        <v>100</v>
      </c>
      <c r="E363" s="41">
        <v>3.1496062992125984E-2</v>
      </c>
    </row>
    <row r="364" spans="2:5" ht="15" customHeight="1">
      <c r="B364" s="93"/>
      <c r="C364" s="43" t="s">
        <v>115</v>
      </c>
      <c r="D364" s="42">
        <v>9</v>
      </c>
      <c r="E364" s="41">
        <v>2.8346456692913387E-3</v>
      </c>
    </row>
    <row r="365" spans="2:5" ht="15" customHeight="1">
      <c r="B365" s="93"/>
      <c r="C365" s="43" t="s">
        <v>118</v>
      </c>
      <c r="D365" s="42">
        <v>75</v>
      </c>
      <c r="E365" s="41">
        <v>2.3622047244094488E-2</v>
      </c>
    </row>
    <row r="366" spans="2:5" ht="15" customHeight="1">
      <c r="B366" s="93"/>
      <c r="C366" s="43" t="s">
        <v>111</v>
      </c>
      <c r="D366" s="42">
        <v>4</v>
      </c>
      <c r="E366" s="41">
        <v>1.2598425196850393E-3</v>
      </c>
    </row>
    <row r="367" spans="2:5" ht="15" customHeight="1">
      <c r="B367" s="93"/>
      <c r="C367" s="43" t="s">
        <v>119</v>
      </c>
      <c r="D367" s="42">
        <v>7</v>
      </c>
      <c r="E367" s="41">
        <v>2.204724409448819E-3</v>
      </c>
    </row>
    <row r="368" spans="2:5" ht="15" customHeight="1">
      <c r="B368" s="93"/>
      <c r="C368" s="43" t="s">
        <v>110</v>
      </c>
      <c r="D368" s="42">
        <v>3</v>
      </c>
      <c r="E368" s="41">
        <v>9.4488188976377954E-4</v>
      </c>
    </row>
    <row r="369" spans="2:5" ht="15" customHeight="1">
      <c r="B369" s="93"/>
      <c r="C369" s="43" t="s">
        <v>117</v>
      </c>
      <c r="D369" s="42">
        <v>36</v>
      </c>
      <c r="E369" s="41">
        <v>1.1338582677165355E-2</v>
      </c>
    </row>
    <row r="370" spans="2:5" ht="15" customHeight="1">
      <c r="B370" s="93"/>
      <c r="C370" s="43" t="s">
        <v>116</v>
      </c>
      <c r="D370" s="42">
        <v>6</v>
      </c>
      <c r="E370" s="41">
        <v>1.8897637795275591E-3</v>
      </c>
    </row>
    <row r="371" spans="2:5" ht="15" customHeight="1">
      <c r="B371" s="93"/>
      <c r="C371" s="43" t="s">
        <v>114</v>
      </c>
      <c r="D371" s="42">
        <v>4</v>
      </c>
      <c r="E371" s="41">
        <v>1.2598425196850393E-3</v>
      </c>
    </row>
    <row r="372" spans="2:5" ht="15" customHeight="1">
      <c r="B372" s="93"/>
      <c r="C372" s="43" t="s">
        <v>121</v>
      </c>
      <c r="D372" s="42">
        <v>24</v>
      </c>
      <c r="E372" s="41">
        <v>7.5590551181102363E-3</v>
      </c>
    </row>
    <row r="373" spans="2:5" ht="15" customHeight="1">
      <c r="B373" s="94"/>
      <c r="C373" s="40" t="s">
        <v>20</v>
      </c>
      <c r="D373" s="39">
        <v>458</v>
      </c>
      <c r="E373" s="38">
        <v>0.14425196850393701</v>
      </c>
    </row>
    <row r="374" spans="2:5" ht="15" customHeight="1">
      <c r="B374" s="92" t="s">
        <v>93</v>
      </c>
      <c r="C374" s="43" t="s">
        <v>125</v>
      </c>
      <c r="D374" s="42">
        <v>2</v>
      </c>
      <c r="E374" s="41">
        <v>6.2992125984251965E-4</v>
      </c>
    </row>
    <row r="375" spans="2:5" ht="15" customHeight="1">
      <c r="B375" s="93"/>
      <c r="C375" s="43" t="s">
        <v>124</v>
      </c>
      <c r="D375" s="42">
        <v>1</v>
      </c>
      <c r="E375" s="41">
        <v>3.1496062992125983E-4</v>
      </c>
    </row>
    <row r="376" spans="2:5" ht="15" customHeight="1">
      <c r="B376" s="93"/>
      <c r="C376" s="43" t="s">
        <v>126</v>
      </c>
      <c r="D376" s="42">
        <v>2</v>
      </c>
      <c r="E376" s="41">
        <v>6.2992125984251965E-4</v>
      </c>
    </row>
    <row r="377" spans="2:5" ht="15" customHeight="1">
      <c r="B377" s="93"/>
      <c r="C377" s="43" t="s">
        <v>119</v>
      </c>
      <c r="D377" s="42">
        <v>1</v>
      </c>
      <c r="E377" s="41">
        <v>3.1496062992125983E-4</v>
      </c>
    </row>
    <row r="378" spans="2:5" ht="15" customHeight="1">
      <c r="B378" s="93"/>
      <c r="C378" s="43" t="s">
        <v>117</v>
      </c>
      <c r="D378" s="42">
        <v>2</v>
      </c>
      <c r="E378" s="41">
        <v>6.2992125984251965E-4</v>
      </c>
    </row>
    <row r="379" spans="2:5" ht="15" customHeight="1">
      <c r="B379" s="93"/>
      <c r="C379" s="43" t="s">
        <v>114</v>
      </c>
      <c r="D379" s="42">
        <v>1</v>
      </c>
      <c r="E379" s="41">
        <v>3.1496062992125983E-4</v>
      </c>
    </row>
    <row r="380" spans="2:5" ht="15" customHeight="1">
      <c r="B380" s="93"/>
      <c r="C380" s="43" t="s">
        <v>121</v>
      </c>
      <c r="D380" s="42">
        <v>3</v>
      </c>
      <c r="E380" s="41">
        <v>9.4488188976377954E-4</v>
      </c>
    </row>
    <row r="381" spans="2:5" ht="15" customHeight="1">
      <c r="B381" s="94"/>
      <c r="C381" s="40" t="s">
        <v>20</v>
      </c>
      <c r="D381" s="39">
        <v>12</v>
      </c>
      <c r="E381" s="38">
        <v>3.7795275590551181E-3</v>
      </c>
    </row>
    <row r="382" spans="2:5" ht="15" customHeight="1">
      <c r="B382" s="92" t="s">
        <v>78</v>
      </c>
      <c r="C382" s="43" t="s">
        <v>123</v>
      </c>
      <c r="D382" s="42">
        <v>2</v>
      </c>
      <c r="E382" s="41">
        <v>6.2992125984251965E-4</v>
      </c>
    </row>
    <row r="383" spans="2:5" ht="15" customHeight="1">
      <c r="B383" s="93"/>
      <c r="C383" s="43" t="s">
        <v>125</v>
      </c>
      <c r="D383" s="42">
        <v>5</v>
      </c>
      <c r="E383" s="41">
        <v>1.5748031496062992E-3</v>
      </c>
    </row>
    <row r="384" spans="2:5" ht="15" customHeight="1">
      <c r="B384" s="93"/>
      <c r="C384" s="43" t="s">
        <v>124</v>
      </c>
      <c r="D384" s="42">
        <v>1</v>
      </c>
      <c r="E384" s="41">
        <v>3.1496062992125983E-4</v>
      </c>
    </row>
    <row r="385" spans="2:5" ht="15" customHeight="1">
      <c r="B385" s="93"/>
      <c r="C385" s="43" t="s">
        <v>122</v>
      </c>
      <c r="D385" s="42">
        <v>2</v>
      </c>
      <c r="E385" s="41">
        <v>6.2992125984251965E-4</v>
      </c>
    </row>
    <row r="386" spans="2:5" ht="15" customHeight="1">
      <c r="B386" s="93"/>
      <c r="C386" s="43" t="s">
        <v>120</v>
      </c>
      <c r="D386" s="42">
        <v>3</v>
      </c>
      <c r="E386" s="41">
        <v>9.4488188976377954E-4</v>
      </c>
    </row>
    <row r="387" spans="2:5" ht="15" customHeight="1">
      <c r="B387" s="93"/>
      <c r="C387" s="43" t="s">
        <v>126</v>
      </c>
      <c r="D387" s="42">
        <v>12</v>
      </c>
      <c r="E387" s="41">
        <v>3.7795275590551181E-3</v>
      </c>
    </row>
    <row r="388" spans="2:5" ht="15" customHeight="1">
      <c r="B388" s="93"/>
      <c r="C388" s="43" t="s">
        <v>115</v>
      </c>
      <c r="D388" s="42">
        <v>1</v>
      </c>
      <c r="E388" s="41">
        <v>3.1496062992125983E-4</v>
      </c>
    </row>
    <row r="389" spans="2:5" ht="15" customHeight="1">
      <c r="B389" s="93"/>
      <c r="C389" s="43" t="s">
        <v>119</v>
      </c>
      <c r="D389" s="42">
        <v>2</v>
      </c>
      <c r="E389" s="41">
        <v>6.2992125984251965E-4</v>
      </c>
    </row>
    <row r="390" spans="2:5" ht="15" customHeight="1">
      <c r="B390" s="93"/>
      <c r="C390" s="43" t="s">
        <v>121</v>
      </c>
      <c r="D390" s="42">
        <v>2</v>
      </c>
      <c r="E390" s="41">
        <v>6.2992125984251965E-4</v>
      </c>
    </row>
    <row r="391" spans="2:5" ht="15" customHeight="1">
      <c r="B391" s="94"/>
      <c r="C391" s="40" t="s">
        <v>20</v>
      </c>
      <c r="D391" s="39">
        <v>30</v>
      </c>
      <c r="E391" s="38">
        <v>9.4488188976377951E-3</v>
      </c>
    </row>
    <row r="392" spans="2:5" ht="15" customHeight="1">
      <c r="B392" s="92" t="s">
        <v>80</v>
      </c>
      <c r="C392" s="43" t="s">
        <v>125</v>
      </c>
      <c r="D392" s="42">
        <v>9</v>
      </c>
      <c r="E392" s="41">
        <v>2.8346456692913387E-3</v>
      </c>
    </row>
    <row r="393" spans="2:5" ht="15" customHeight="1">
      <c r="B393" s="93"/>
      <c r="C393" s="43" t="s">
        <v>113</v>
      </c>
      <c r="D393" s="42">
        <v>1</v>
      </c>
      <c r="E393" s="41">
        <v>3.1496062992125983E-4</v>
      </c>
    </row>
    <row r="394" spans="2:5" ht="15" customHeight="1">
      <c r="B394" s="93"/>
      <c r="C394" s="43" t="s">
        <v>124</v>
      </c>
      <c r="D394" s="42">
        <v>6</v>
      </c>
      <c r="E394" s="41">
        <v>1.8897637795275591E-3</v>
      </c>
    </row>
    <row r="395" spans="2:5" ht="15" customHeight="1">
      <c r="B395" s="93"/>
      <c r="C395" s="43" t="s">
        <v>122</v>
      </c>
      <c r="D395" s="42">
        <v>5</v>
      </c>
      <c r="E395" s="41">
        <v>1.5748031496062992E-3</v>
      </c>
    </row>
    <row r="396" spans="2:5" ht="15" customHeight="1">
      <c r="B396" s="93"/>
      <c r="C396" s="43" t="s">
        <v>120</v>
      </c>
      <c r="D396" s="42">
        <v>1</v>
      </c>
      <c r="E396" s="41">
        <v>3.1496062992125983E-4</v>
      </c>
    </row>
    <row r="397" spans="2:5" ht="15" customHeight="1">
      <c r="B397" s="93"/>
      <c r="C397" s="43" t="s">
        <v>126</v>
      </c>
      <c r="D397" s="42">
        <v>12</v>
      </c>
      <c r="E397" s="41">
        <v>3.7795275590551181E-3</v>
      </c>
    </row>
    <row r="398" spans="2:5" ht="15" customHeight="1">
      <c r="B398" s="93"/>
      <c r="C398" s="43" t="s">
        <v>119</v>
      </c>
      <c r="D398" s="42">
        <v>1</v>
      </c>
      <c r="E398" s="41">
        <v>3.1496062992125983E-4</v>
      </c>
    </row>
    <row r="399" spans="2:5" ht="15" customHeight="1">
      <c r="B399" s="93"/>
      <c r="C399" s="43" t="s">
        <v>116</v>
      </c>
      <c r="D399" s="42">
        <v>1</v>
      </c>
      <c r="E399" s="41">
        <v>3.1496062992125983E-4</v>
      </c>
    </row>
    <row r="400" spans="2:5" ht="15" customHeight="1">
      <c r="B400" s="94"/>
      <c r="C400" s="40" t="s">
        <v>20</v>
      </c>
      <c r="D400" s="39">
        <v>36</v>
      </c>
      <c r="E400" s="38">
        <v>1.1338582677165355E-2</v>
      </c>
    </row>
    <row r="401" spans="2:5" ht="15" customHeight="1">
      <c r="B401" s="92" t="s">
        <v>88</v>
      </c>
      <c r="C401" s="43" t="s">
        <v>123</v>
      </c>
      <c r="D401" s="42">
        <v>3</v>
      </c>
      <c r="E401" s="41">
        <v>9.4488188976377954E-4</v>
      </c>
    </row>
    <row r="402" spans="2:5" ht="15" customHeight="1">
      <c r="B402" s="93"/>
      <c r="C402" s="43" t="s">
        <v>125</v>
      </c>
      <c r="D402" s="42">
        <v>6</v>
      </c>
      <c r="E402" s="41">
        <v>1.8897637795275591E-3</v>
      </c>
    </row>
    <row r="403" spans="2:5" ht="15" customHeight="1">
      <c r="B403" s="93"/>
      <c r="C403" s="43" t="s">
        <v>113</v>
      </c>
      <c r="D403" s="42">
        <v>1</v>
      </c>
      <c r="E403" s="41">
        <v>3.1496062992125983E-4</v>
      </c>
    </row>
    <row r="404" spans="2:5" ht="15" customHeight="1">
      <c r="B404" s="93"/>
      <c r="C404" s="43" t="s">
        <v>124</v>
      </c>
      <c r="D404" s="42">
        <v>5</v>
      </c>
      <c r="E404" s="41">
        <v>1.5748031496062992E-3</v>
      </c>
    </row>
    <row r="405" spans="2:5" ht="15" customHeight="1">
      <c r="B405" s="93"/>
      <c r="C405" s="43" t="s">
        <v>122</v>
      </c>
      <c r="D405" s="42">
        <v>1</v>
      </c>
      <c r="E405" s="41">
        <v>3.1496062992125983E-4</v>
      </c>
    </row>
    <row r="406" spans="2:5" ht="15" customHeight="1">
      <c r="B406" s="93"/>
      <c r="C406" s="43" t="s">
        <v>120</v>
      </c>
      <c r="D406" s="42">
        <v>3</v>
      </c>
      <c r="E406" s="41">
        <v>9.4488188976377954E-4</v>
      </c>
    </row>
    <row r="407" spans="2:5" ht="15" customHeight="1">
      <c r="B407" s="93"/>
      <c r="C407" s="43" t="s">
        <v>126</v>
      </c>
      <c r="D407" s="42">
        <v>7</v>
      </c>
      <c r="E407" s="41">
        <v>2.204724409448819E-3</v>
      </c>
    </row>
    <row r="408" spans="2:5" ht="15" customHeight="1">
      <c r="B408" s="93"/>
      <c r="C408" s="43" t="s">
        <v>118</v>
      </c>
      <c r="D408" s="42">
        <v>1</v>
      </c>
      <c r="E408" s="41">
        <v>3.1496062992125983E-4</v>
      </c>
    </row>
    <row r="409" spans="2:5" ht="15" customHeight="1">
      <c r="B409" s="93"/>
      <c r="C409" s="43" t="s">
        <v>114</v>
      </c>
      <c r="D409" s="42">
        <v>2</v>
      </c>
      <c r="E409" s="41">
        <v>6.2992125984251965E-4</v>
      </c>
    </row>
    <row r="410" spans="2:5" ht="15" customHeight="1">
      <c r="B410" s="93"/>
      <c r="C410" s="43" t="s">
        <v>121</v>
      </c>
      <c r="D410" s="42">
        <v>1</v>
      </c>
      <c r="E410" s="41">
        <v>3.1496062992125983E-4</v>
      </c>
    </row>
    <row r="411" spans="2:5" ht="15" customHeight="1">
      <c r="B411" s="94"/>
      <c r="C411" s="40" t="s">
        <v>20</v>
      </c>
      <c r="D411" s="39">
        <v>30</v>
      </c>
      <c r="E411" s="38">
        <v>9.4488188976377951E-3</v>
      </c>
    </row>
    <row r="412" spans="2:5" ht="15" customHeight="1">
      <c r="B412" s="92" t="s">
        <v>100</v>
      </c>
      <c r="C412" s="43" t="s">
        <v>123</v>
      </c>
      <c r="D412" s="42">
        <v>1</v>
      </c>
      <c r="E412" s="41">
        <v>3.1496062992125983E-4</v>
      </c>
    </row>
    <row r="413" spans="2:5" ht="15" customHeight="1">
      <c r="B413" s="93"/>
      <c r="C413" s="43" t="s">
        <v>125</v>
      </c>
      <c r="D413" s="42">
        <v>4</v>
      </c>
      <c r="E413" s="41">
        <v>1.2598425196850393E-3</v>
      </c>
    </row>
    <row r="414" spans="2:5" ht="15" customHeight="1">
      <c r="B414" s="93"/>
      <c r="C414" s="43" t="s">
        <v>113</v>
      </c>
      <c r="D414" s="42">
        <v>3</v>
      </c>
      <c r="E414" s="41">
        <v>9.4488188976377954E-4</v>
      </c>
    </row>
    <row r="415" spans="2:5" ht="15" customHeight="1">
      <c r="B415" s="93"/>
      <c r="C415" s="43" t="s">
        <v>124</v>
      </c>
      <c r="D415" s="42">
        <v>5</v>
      </c>
      <c r="E415" s="41">
        <v>1.5748031496062992E-3</v>
      </c>
    </row>
    <row r="416" spans="2:5" ht="15" customHeight="1">
      <c r="B416" s="93"/>
      <c r="C416" s="43" t="s">
        <v>122</v>
      </c>
      <c r="D416" s="42">
        <v>4</v>
      </c>
      <c r="E416" s="41">
        <v>1.2598425196850393E-3</v>
      </c>
    </row>
    <row r="417" spans="2:5" ht="15" customHeight="1">
      <c r="B417" s="93"/>
      <c r="C417" s="43" t="s">
        <v>120</v>
      </c>
      <c r="D417" s="42">
        <v>3</v>
      </c>
      <c r="E417" s="41">
        <v>9.4488188976377954E-4</v>
      </c>
    </row>
    <row r="418" spans="2:5" ht="15" customHeight="1">
      <c r="B418" s="93"/>
      <c r="C418" s="43" t="s">
        <v>126</v>
      </c>
      <c r="D418" s="42">
        <v>4</v>
      </c>
      <c r="E418" s="41">
        <v>1.2598425196850393E-3</v>
      </c>
    </row>
    <row r="419" spans="2:5" ht="15" customHeight="1">
      <c r="B419" s="93"/>
      <c r="C419" s="43" t="s">
        <v>115</v>
      </c>
      <c r="D419" s="42">
        <v>2</v>
      </c>
      <c r="E419" s="41">
        <v>6.2992125984251965E-4</v>
      </c>
    </row>
    <row r="420" spans="2:5" ht="15" customHeight="1">
      <c r="B420" s="93"/>
      <c r="C420" s="43" t="s">
        <v>119</v>
      </c>
      <c r="D420" s="42">
        <v>2</v>
      </c>
      <c r="E420" s="41">
        <v>6.2992125984251965E-4</v>
      </c>
    </row>
    <row r="421" spans="2:5" ht="15" customHeight="1">
      <c r="B421" s="93"/>
      <c r="C421" s="43" t="s">
        <v>117</v>
      </c>
      <c r="D421" s="42">
        <v>1</v>
      </c>
      <c r="E421" s="41">
        <v>3.1496062992125983E-4</v>
      </c>
    </row>
    <row r="422" spans="2:5" ht="15" customHeight="1">
      <c r="B422" s="93"/>
      <c r="C422" s="43" t="s">
        <v>114</v>
      </c>
      <c r="D422" s="42">
        <v>1</v>
      </c>
      <c r="E422" s="41">
        <v>3.1496062992125983E-4</v>
      </c>
    </row>
    <row r="423" spans="2:5" ht="15" customHeight="1">
      <c r="B423" s="93"/>
      <c r="C423" s="43" t="s">
        <v>121</v>
      </c>
      <c r="D423" s="42">
        <v>1</v>
      </c>
      <c r="E423" s="41">
        <v>3.1496062992125983E-4</v>
      </c>
    </row>
    <row r="424" spans="2:5" ht="15" customHeight="1">
      <c r="B424" s="94"/>
      <c r="C424" s="40" t="s">
        <v>20</v>
      </c>
      <c r="D424" s="39">
        <v>31</v>
      </c>
      <c r="E424" s="38">
        <v>9.7637795275590557E-3</v>
      </c>
    </row>
    <row r="425" spans="2:5" ht="15" customHeight="1">
      <c r="B425" s="92" t="s">
        <v>84</v>
      </c>
      <c r="C425" s="43" t="s">
        <v>123</v>
      </c>
      <c r="D425" s="42">
        <v>4</v>
      </c>
      <c r="E425" s="41">
        <v>1.2598425196850393E-3</v>
      </c>
    </row>
    <row r="426" spans="2:5" ht="15" customHeight="1">
      <c r="B426" s="93"/>
      <c r="C426" s="43" t="s">
        <v>113</v>
      </c>
      <c r="D426" s="42">
        <v>3</v>
      </c>
      <c r="E426" s="41">
        <v>9.4488188976377954E-4</v>
      </c>
    </row>
    <row r="427" spans="2:5" ht="15" customHeight="1">
      <c r="B427" s="93"/>
      <c r="C427" s="43" t="s">
        <v>124</v>
      </c>
      <c r="D427" s="42">
        <v>2</v>
      </c>
      <c r="E427" s="41">
        <v>6.2992125984251965E-4</v>
      </c>
    </row>
    <row r="428" spans="2:5" ht="15" customHeight="1">
      <c r="B428" s="93"/>
      <c r="C428" s="43" t="s">
        <v>122</v>
      </c>
      <c r="D428" s="42">
        <v>2</v>
      </c>
      <c r="E428" s="41">
        <v>6.2992125984251965E-4</v>
      </c>
    </row>
    <row r="429" spans="2:5" ht="15" customHeight="1">
      <c r="B429" s="93"/>
      <c r="C429" s="43" t="s">
        <v>120</v>
      </c>
      <c r="D429" s="42">
        <v>2</v>
      </c>
      <c r="E429" s="41">
        <v>6.2992125984251965E-4</v>
      </c>
    </row>
    <row r="430" spans="2:5" ht="15" customHeight="1">
      <c r="B430" s="93"/>
      <c r="C430" s="43" t="s">
        <v>126</v>
      </c>
      <c r="D430" s="42">
        <v>1</v>
      </c>
      <c r="E430" s="41">
        <v>3.1496062992125983E-4</v>
      </c>
    </row>
    <row r="431" spans="2:5" ht="15" customHeight="1">
      <c r="B431" s="93"/>
      <c r="C431" s="43" t="s">
        <v>119</v>
      </c>
      <c r="D431" s="42">
        <v>2</v>
      </c>
      <c r="E431" s="41">
        <v>6.2992125984251965E-4</v>
      </c>
    </row>
    <row r="432" spans="2:5" ht="15" customHeight="1">
      <c r="B432" s="94"/>
      <c r="C432" s="40" t="s">
        <v>20</v>
      </c>
      <c r="D432" s="39">
        <v>16</v>
      </c>
      <c r="E432" s="38">
        <v>5.0393700787401572E-3</v>
      </c>
    </row>
    <row r="433" spans="2:5" ht="15" customHeight="1">
      <c r="B433" s="92" t="s">
        <v>97</v>
      </c>
      <c r="C433" s="43" t="s">
        <v>125</v>
      </c>
      <c r="D433" s="42">
        <v>10</v>
      </c>
      <c r="E433" s="41">
        <v>3.1496062992125984E-3</v>
      </c>
    </row>
    <row r="434" spans="2:5" ht="15" customHeight="1">
      <c r="B434" s="93"/>
      <c r="C434" s="43" t="s">
        <v>124</v>
      </c>
      <c r="D434" s="42">
        <v>2</v>
      </c>
      <c r="E434" s="41">
        <v>6.2992125984251965E-4</v>
      </c>
    </row>
    <row r="435" spans="2:5" ht="15" customHeight="1">
      <c r="B435" s="93"/>
      <c r="C435" s="43" t="s">
        <v>122</v>
      </c>
      <c r="D435" s="42">
        <v>21</v>
      </c>
      <c r="E435" s="41">
        <v>6.6141732283464564E-3</v>
      </c>
    </row>
    <row r="436" spans="2:5" ht="15" customHeight="1">
      <c r="B436" s="93"/>
      <c r="C436" s="43" t="s">
        <v>112</v>
      </c>
      <c r="D436" s="42">
        <v>2</v>
      </c>
      <c r="E436" s="41">
        <v>6.2992125984251965E-4</v>
      </c>
    </row>
    <row r="437" spans="2:5" ht="15" customHeight="1">
      <c r="B437" s="93"/>
      <c r="C437" s="43" t="s">
        <v>126</v>
      </c>
      <c r="D437" s="42">
        <v>7</v>
      </c>
      <c r="E437" s="41">
        <v>2.204724409448819E-3</v>
      </c>
    </row>
    <row r="438" spans="2:5" ht="15" customHeight="1">
      <c r="B438" s="93"/>
      <c r="C438" s="43" t="s">
        <v>115</v>
      </c>
      <c r="D438" s="42">
        <v>1</v>
      </c>
      <c r="E438" s="41">
        <v>3.1496062992125983E-4</v>
      </c>
    </row>
    <row r="439" spans="2:5" ht="15" customHeight="1">
      <c r="B439" s="93"/>
      <c r="C439" s="43" t="s">
        <v>111</v>
      </c>
      <c r="D439" s="42">
        <v>1</v>
      </c>
      <c r="E439" s="41">
        <v>3.1496062992125983E-4</v>
      </c>
    </row>
    <row r="440" spans="2:5" ht="15" customHeight="1">
      <c r="B440" s="93"/>
      <c r="C440" s="43" t="s">
        <v>119</v>
      </c>
      <c r="D440" s="42">
        <v>1</v>
      </c>
      <c r="E440" s="41">
        <v>3.1496062992125983E-4</v>
      </c>
    </row>
    <row r="441" spans="2:5" ht="15" customHeight="1">
      <c r="B441" s="93"/>
      <c r="C441" s="43" t="s">
        <v>117</v>
      </c>
      <c r="D441" s="42">
        <v>1</v>
      </c>
      <c r="E441" s="41">
        <v>3.1496062992125983E-4</v>
      </c>
    </row>
    <row r="442" spans="2:5" ht="15" customHeight="1">
      <c r="B442" s="93"/>
      <c r="C442" s="43" t="s">
        <v>114</v>
      </c>
      <c r="D442" s="42">
        <v>1</v>
      </c>
      <c r="E442" s="41">
        <v>3.1496062992125983E-4</v>
      </c>
    </row>
    <row r="443" spans="2:5" ht="15" customHeight="1">
      <c r="B443" s="93"/>
      <c r="C443" s="43" t="s">
        <v>121</v>
      </c>
      <c r="D443" s="42">
        <v>1</v>
      </c>
      <c r="E443" s="41">
        <v>3.1496062992125983E-4</v>
      </c>
    </row>
    <row r="444" spans="2:5" ht="15" customHeight="1">
      <c r="B444" s="94"/>
      <c r="C444" s="40" t="s">
        <v>20</v>
      </c>
      <c r="D444" s="39">
        <v>48</v>
      </c>
      <c r="E444" s="38">
        <v>1.5118110236220473E-2</v>
      </c>
    </row>
    <row r="445" spans="2:5" ht="15" customHeight="1">
      <c r="B445" s="92" t="s">
        <v>98</v>
      </c>
      <c r="C445" s="43" t="s">
        <v>123</v>
      </c>
      <c r="D445" s="42">
        <v>3</v>
      </c>
      <c r="E445" s="41">
        <v>9.4488188976377954E-4</v>
      </c>
    </row>
    <row r="446" spans="2:5" ht="15" customHeight="1">
      <c r="B446" s="93"/>
      <c r="C446" s="43" t="s">
        <v>125</v>
      </c>
      <c r="D446" s="42">
        <v>4</v>
      </c>
      <c r="E446" s="41">
        <v>1.2598425196850393E-3</v>
      </c>
    </row>
    <row r="447" spans="2:5" ht="15" customHeight="1">
      <c r="B447" s="93"/>
      <c r="C447" s="43" t="s">
        <v>124</v>
      </c>
      <c r="D447" s="42">
        <v>1</v>
      </c>
      <c r="E447" s="41">
        <v>3.1496062992125983E-4</v>
      </c>
    </row>
    <row r="448" spans="2:5" ht="15" customHeight="1">
      <c r="B448" s="93"/>
      <c r="C448" s="43" t="s">
        <v>122</v>
      </c>
      <c r="D448" s="42">
        <v>1</v>
      </c>
      <c r="E448" s="41">
        <v>3.1496062992125983E-4</v>
      </c>
    </row>
    <row r="449" spans="2:5" ht="15" customHeight="1">
      <c r="B449" s="93"/>
      <c r="C449" s="43" t="s">
        <v>126</v>
      </c>
      <c r="D449" s="42">
        <v>3</v>
      </c>
      <c r="E449" s="41">
        <v>9.4488188976377954E-4</v>
      </c>
    </row>
    <row r="450" spans="2:5" ht="15" customHeight="1">
      <c r="B450" s="93"/>
      <c r="C450" s="43" t="s">
        <v>119</v>
      </c>
      <c r="D450" s="42">
        <v>4</v>
      </c>
      <c r="E450" s="41">
        <v>1.2598425196850393E-3</v>
      </c>
    </row>
    <row r="451" spans="2:5" ht="15" customHeight="1">
      <c r="B451" s="93"/>
      <c r="C451" s="43" t="s">
        <v>116</v>
      </c>
      <c r="D451" s="42">
        <v>2</v>
      </c>
      <c r="E451" s="41">
        <v>6.2992125984251965E-4</v>
      </c>
    </row>
    <row r="452" spans="2:5" ht="15" customHeight="1">
      <c r="B452" s="93"/>
      <c r="C452" s="43" t="s">
        <v>121</v>
      </c>
      <c r="D452" s="42">
        <v>6</v>
      </c>
      <c r="E452" s="41">
        <v>1.8897637795275591E-3</v>
      </c>
    </row>
    <row r="453" spans="2:5" ht="15" customHeight="1">
      <c r="B453" s="94"/>
      <c r="C453" s="40" t="s">
        <v>20</v>
      </c>
      <c r="D453" s="39">
        <v>24</v>
      </c>
      <c r="E453" s="38">
        <v>7.5590551181102363E-3</v>
      </c>
    </row>
    <row r="454" spans="2:5" ht="15" customHeight="1">
      <c r="B454" s="92" t="s">
        <v>99</v>
      </c>
      <c r="C454" s="43" t="s">
        <v>123</v>
      </c>
      <c r="D454" s="42">
        <v>10</v>
      </c>
      <c r="E454" s="41">
        <v>3.1496062992125984E-3</v>
      </c>
    </row>
    <row r="455" spans="2:5" ht="15" customHeight="1">
      <c r="B455" s="93"/>
      <c r="C455" s="43" t="s">
        <v>125</v>
      </c>
      <c r="D455" s="42">
        <v>5</v>
      </c>
      <c r="E455" s="41">
        <v>1.5748031496062992E-3</v>
      </c>
    </row>
    <row r="456" spans="2:5" ht="15" customHeight="1">
      <c r="B456" s="93"/>
      <c r="C456" s="43" t="s">
        <v>113</v>
      </c>
      <c r="D456" s="42">
        <v>2</v>
      </c>
      <c r="E456" s="41">
        <v>6.2992125984251965E-4</v>
      </c>
    </row>
    <row r="457" spans="2:5" ht="15" customHeight="1">
      <c r="B457" s="93"/>
      <c r="C457" s="43" t="s">
        <v>124</v>
      </c>
      <c r="D457" s="42">
        <v>6</v>
      </c>
      <c r="E457" s="41">
        <v>1.8897637795275591E-3</v>
      </c>
    </row>
    <row r="458" spans="2:5" ht="15" customHeight="1">
      <c r="B458" s="93"/>
      <c r="C458" s="43" t="s">
        <v>122</v>
      </c>
      <c r="D458" s="42">
        <v>2</v>
      </c>
      <c r="E458" s="41">
        <v>6.2992125984251965E-4</v>
      </c>
    </row>
    <row r="459" spans="2:5" ht="15" customHeight="1">
      <c r="B459" s="93"/>
      <c r="C459" s="43" t="s">
        <v>120</v>
      </c>
      <c r="D459" s="42">
        <v>1</v>
      </c>
      <c r="E459" s="41">
        <v>3.1496062992125983E-4</v>
      </c>
    </row>
    <row r="460" spans="2:5" ht="15" customHeight="1">
      <c r="B460" s="93"/>
      <c r="C460" s="43" t="s">
        <v>112</v>
      </c>
      <c r="D460" s="42">
        <v>1</v>
      </c>
      <c r="E460" s="41">
        <v>3.1496062992125983E-4</v>
      </c>
    </row>
    <row r="461" spans="2:5" ht="15" customHeight="1">
      <c r="B461" s="93"/>
      <c r="C461" s="43" t="s">
        <v>126</v>
      </c>
      <c r="D461" s="42">
        <v>4</v>
      </c>
      <c r="E461" s="41">
        <v>1.2598425196850393E-3</v>
      </c>
    </row>
    <row r="462" spans="2:5" ht="15" customHeight="1">
      <c r="B462" s="93"/>
      <c r="C462" s="43" t="s">
        <v>118</v>
      </c>
      <c r="D462" s="42">
        <v>2</v>
      </c>
      <c r="E462" s="41">
        <v>6.2992125984251965E-4</v>
      </c>
    </row>
    <row r="463" spans="2:5" ht="15" customHeight="1">
      <c r="B463" s="93"/>
      <c r="C463" s="43" t="s">
        <v>119</v>
      </c>
      <c r="D463" s="42">
        <v>1</v>
      </c>
      <c r="E463" s="41">
        <v>3.1496062992125983E-4</v>
      </c>
    </row>
    <row r="464" spans="2:5" ht="15" customHeight="1">
      <c r="B464" s="93"/>
      <c r="C464" s="43" t="s">
        <v>110</v>
      </c>
      <c r="D464" s="42">
        <v>1</v>
      </c>
      <c r="E464" s="41">
        <v>3.1496062992125983E-4</v>
      </c>
    </row>
    <row r="465" spans="2:5" ht="15" customHeight="1">
      <c r="B465" s="93"/>
      <c r="C465" s="43" t="s">
        <v>121</v>
      </c>
      <c r="D465" s="42">
        <v>2</v>
      </c>
      <c r="E465" s="41">
        <v>6.2992125984251965E-4</v>
      </c>
    </row>
    <row r="466" spans="2:5" ht="15" customHeight="1">
      <c r="B466" s="94"/>
      <c r="C466" s="40" t="s">
        <v>20</v>
      </c>
      <c r="D466" s="39">
        <v>37</v>
      </c>
      <c r="E466" s="38">
        <v>1.1653543307086614E-2</v>
      </c>
    </row>
    <row r="467" spans="2:5" ht="15" customHeight="1">
      <c r="B467" s="92" t="s">
        <v>77</v>
      </c>
      <c r="C467" s="43" t="s">
        <v>123</v>
      </c>
      <c r="D467" s="42">
        <v>2</v>
      </c>
      <c r="E467" s="41">
        <v>6.2992125984251965E-4</v>
      </c>
    </row>
    <row r="468" spans="2:5" ht="15" customHeight="1">
      <c r="B468" s="93"/>
      <c r="C468" s="43" t="s">
        <v>125</v>
      </c>
      <c r="D468" s="42">
        <v>7</v>
      </c>
      <c r="E468" s="41">
        <v>2.204724409448819E-3</v>
      </c>
    </row>
    <row r="469" spans="2:5" ht="15" customHeight="1">
      <c r="B469" s="93"/>
      <c r="C469" s="43" t="s">
        <v>124</v>
      </c>
      <c r="D469" s="42">
        <v>1</v>
      </c>
      <c r="E469" s="41">
        <v>3.1496062992125983E-4</v>
      </c>
    </row>
    <row r="470" spans="2:5" ht="15" customHeight="1">
      <c r="B470" s="93"/>
      <c r="C470" s="43" t="s">
        <v>122</v>
      </c>
      <c r="D470" s="42">
        <v>1</v>
      </c>
      <c r="E470" s="41">
        <v>3.1496062992125983E-4</v>
      </c>
    </row>
    <row r="471" spans="2:5" ht="15" customHeight="1">
      <c r="B471" s="93"/>
      <c r="C471" s="43" t="s">
        <v>120</v>
      </c>
      <c r="D471" s="42">
        <v>2</v>
      </c>
      <c r="E471" s="41">
        <v>6.2992125984251965E-4</v>
      </c>
    </row>
    <row r="472" spans="2:5" ht="15" customHeight="1">
      <c r="B472" s="93"/>
      <c r="C472" s="43" t="s">
        <v>112</v>
      </c>
      <c r="D472" s="42">
        <v>1</v>
      </c>
      <c r="E472" s="41">
        <v>3.1496062992125983E-4</v>
      </c>
    </row>
    <row r="473" spans="2:5" ht="15" customHeight="1">
      <c r="B473" s="93"/>
      <c r="C473" s="43" t="s">
        <v>117</v>
      </c>
      <c r="D473" s="42">
        <v>1</v>
      </c>
      <c r="E473" s="41">
        <v>3.1496062992125983E-4</v>
      </c>
    </row>
    <row r="474" spans="2:5" ht="15" customHeight="1">
      <c r="B474" s="93"/>
      <c r="C474" s="43" t="s">
        <v>114</v>
      </c>
      <c r="D474" s="42">
        <v>1</v>
      </c>
      <c r="E474" s="41">
        <v>3.1496062992125983E-4</v>
      </c>
    </row>
    <row r="475" spans="2:5" ht="15" customHeight="1">
      <c r="B475" s="94"/>
      <c r="C475" s="40" t="s">
        <v>20</v>
      </c>
      <c r="D475" s="39">
        <v>16</v>
      </c>
      <c r="E475" s="38">
        <v>5.0393700787401572E-3</v>
      </c>
    </row>
    <row r="476" spans="2:5" ht="15" customHeight="1">
      <c r="B476" s="92" t="s">
        <v>69</v>
      </c>
      <c r="C476" s="43" t="s">
        <v>125</v>
      </c>
      <c r="D476" s="42">
        <v>1</v>
      </c>
      <c r="E476" s="41">
        <v>3.1496062992125983E-4</v>
      </c>
    </row>
    <row r="477" spans="2:5" ht="15" customHeight="1">
      <c r="B477" s="93"/>
      <c r="C477" s="43" t="s">
        <v>118</v>
      </c>
      <c r="D477" s="42">
        <v>1</v>
      </c>
      <c r="E477" s="41">
        <v>3.1496062992125983E-4</v>
      </c>
    </row>
    <row r="478" spans="2:5" ht="15" customHeight="1">
      <c r="B478" s="94"/>
      <c r="C478" s="40" t="s">
        <v>20</v>
      </c>
      <c r="D478" s="39">
        <v>2</v>
      </c>
      <c r="E478" s="38">
        <v>6.2992125984251965E-4</v>
      </c>
    </row>
    <row r="479" spans="2:5" ht="15" customHeight="1">
      <c r="B479" s="92" t="s">
        <v>33</v>
      </c>
      <c r="C479" s="43" t="s">
        <v>123</v>
      </c>
      <c r="D479" s="42">
        <v>6</v>
      </c>
      <c r="E479" s="41">
        <v>1.8897637795275591E-3</v>
      </c>
    </row>
    <row r="480" spans="2:5" ht="15" customHeight="1">
      <c r="B480" s="93"/>
      <c r="C480" s="43" t="s">
        <v>125</v>
      </c>
      <c r="D480" s="42">
        <v>43</v>
      </c>
      <c r="E480" s="41">
        <v>1.3543307086614173E-2</v>
      </c>
    </row>
    <row r="481" spans="2:5" ht="15" customHeight="1">
      <c r="B481" s="93"/>
      <c r="C481" s="43" t="s">
        <v>124</v>
      </c>
      <c r="D481" s="42">
        <v>8</v>
      </c>
      <c r="E481" s="41">
        <v>2.5196850393700786E-3</v>
      </c>
    </row>
    <row r="482" spans="2:5" ht="15" customHeight="1">
      <c r="B482" s="93"/>
      <c r="C482" s="43" t="s">
        <v>122</v>
      </c>
      <c r="D482" s="42">
        <v>31</v>
      </c>
      <c r="E482" s="41">
        <v>9.7637795275590557E-3</v>
      </c>
    </row>
    <row r="483" spans="2:5" ht="15" customHeight="1">
      <c r="B483" s="93"/>
      <c r="C483" s="43" t="s">
        <v>120</v>
      </c>
      <c r="D483" s="42">
        <v>2</v>
      </c>
      <c r="E483" s="41">
        <v>6.2992125984251965E-4</v>
      </c>
    </row>
    <row r="484" spans="2:5" ht="15" customHeight="1">
      <c r="B484" s="93"/>
      <c r="C484" s="43" t="s">
        <v>126</v>
      </c>
      <c r="D484" s="42">
        <v>22</v>
      </c>
      <c r="E484" s="41">
        <v>6.929133858267717E-3</v>
      </c>
    </row>
    <row r="485" spans="2:5" ht="15" customHeight="1">
      <c r="B485" s="93"/>
      <c r="C485" s="43" t="s">
        <v>118</v>
      </c>
      <c r="D485" s="42">
        <v>2</v>
      </c>
      <c r="E485" s="41">
        <v>6.2992125984251965E-4</v>
      </c>
    </row>
    <row r="486" spans="2:5" ht="15" customHeight="1">
      <c r="B486" s="93"/>
      <c r="C486" s="43" t="s">
        <v>119</v>
      </c>
      <c r="D486" s="42">
        <v>2</v>
      </c>
      <c r="E486" s="41">
        <v>6.2992125984251965E-4</v>
      </c>
    </row>
    <row r="487" spans="2:5" ht="15" customHeight="1">
      <c r="B487" s="93"/>
      <c r="C487" s="43" t="s">
        <v>117</v>
      </c>
      <c r="D487" s="42">
        <v>4</v>
      </c>
      <c r="E487" s="41">
        <v>1.2598425196850393E-3</v>
      </c>
    </row>
    <row r="488" spans="2:5" ht="15" customHeight="1">
      <c r="B488" s="93"/>
      <c r="C488" s="43" t="s">
        <v>116</v>
      </c>
      <c r="D488" s="42">
        <v>2</v>
      </c>
      <c r="E488" s="41">
        <v>6.2992125984251965E-4</v>
      </c>
    </row>
    <row r="489" spans="2:5" ht="15" customHeight="1">
      <c r="B489" s="93"/>
      <c r="C489" s="43" t="s">
        <v>121</v>
      </c>
      <c r="D489" s="42">
        <v>8</v>
      </c>
      <c r="E489" s="41">
        <v>2.5196850393700786E-3</v>
      </c>
    </row>
    <row r="490" spans="2:5" ht="15" customHeight="1">
      <c r="B490" s="94"/>
      <c r="C490" s="40" t="s">
        <v>20</v>
      </c>
      <c r="D490" s="39">
        <v>130</v>
      </c>
      <c r="E490" s="38">
        <v>4.0944881889763779E-2</v>
      </c>
    </row>
    <row r="491" spans="2:5" ht="15" customHeight="1">
      <c r="B491" s="95" t="s">
        <v>159</v>
      </c>
      <c r="C491" s="96"/>
      <c r="D491" s="70">
        <v>3175</v>
      </c>
      <c r="E491" s="71">
        <v>1</v>
      </c>
    </row>
    <row r="493" spans="2:5" ht="15" customHeight="1">
      <c r="B493" s="19" t="s">
        <v>204</v>
      </c>
    </row>
    <row r="494" spans="2:5" ht="15" customHeight="1">
      <c r="B494" s="21" t="s">
        <v>19</v>
      </c>
    </row>
    <row r="495" spans="2:5" ht="15" customHeight="1">
      <c r="B495" s="20" t="s">
        <v>18</v>
      </c>
    </row>
    <row r="496" spans="2:5" ht="15" customHeight="1">
      <c r="B496" s="19" t="s">
        <v>17</v>
      </c>
    </row>
    <row r="497" spans="2:2" ht="15" customHeight="1">
      <c r="B497" s="19" t="s">
        <v>205</v>
      </c>
    </row>
  </sheetData>
  <mergeCells count="47">
    <mergeCell ref="B268:B283"/>
    <mergeCell ref="B284:B297"/>
    <mergeCell ref="B298:B306"/>
    <mergeCell ref="B307:B322"/>
    <mergeCell ref="B216:B229"/>
    <mergeCell ref="B230:B244"/>
    <mergeCell ref="B245:B255"/>
    <mergeCell ref="B256:B265"/>
    <mergeCell ref="B266:B267"/>
    <mergeCell ref="B159:B174"/>
    <mergeCell ref="B175:B184"/>
    <mergeCell ref="B185:B191"/>
    <mergeCell ref="B192:B203"/>
    <mergeCell ref="B204:B215"/>
    <mergeCell ref="B7:E8"/>
    <mergeCell ref="B10:B12"/>
    <mergeCell ref="B123:B131"/>
    <mergeCell ref="B132:B140"/>
    <mergeCell ref="B141:B158"/>
    <mergeCell ref="B13:B27"/>
    <mergeCell ref="B28:B39"/>
    <mergeCell ref="B40:B44"/>
    <mergeCell ref="B45:B54"/>
    <mergeCell ref="B55:B63"/>
    <mergeCell ref="B64:B77"/>
    <mergeCell ref="B78:B94"/>
    <mergeCell ref="B95:B106"/>
    <mergeCell ref="B107:B115"/>
    <mergeCell ref="B116:B122"/>
    <mergeCell ref="B323:B330"/>
    <mergeCell ref="B331:B344"/>
    <mergeCell ref="B345:B351"/>
    <mergeCell ref="B352:B355"/>
    <mergeCell ref="B356:B373"/>
    <mergeCell ref="B374:B381"/>
    <mergeCell ref="B382:B391"/>
    <mergeCell ref="B401:B411"/>
    <mergeCell ref="B412:B424"/>
    <mergeCell ref="B425:B432"/>
    <mergeCell ref="B392:B400"/>
    <mergeCell ref="B479:B490"/>
    <mergeCell ref="B491:C491"/>
    <mergeCell ref="B433:B444"/>
    <mergeCell ref="B445:B453"/>
    <mergeCell ref="B454:B466"/>
    <mergeCell ref="B467:B475"/>
    <mergeCell ref="B476:B4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4"/>
  <sheetViews>
    <sheetView showGridLines="0" topLeftCell="A1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211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153</v>
      </c>
      <c r="C11" s="31" t="s">
        <v>152</v>
      </c>
      <c r="D11" s="30" t="s">
        <v>63</v>
      </c>
    </row>
    <row r="12" spans="1:5">
      <c r="B12" s="27" t="s">
        <v>151</v>
      </c>
      <c r="C12" s="26">
        <v>33</v>
      </c>
      <c r="D12" s="25">
        <f t="shared" ref="D12:D36" si="0">C12/$C$36</f>
        <v>1.0393700787401575E-2</v>
      </c>
    </row>
    <row r="13" spans="1:5">
      <c r="B13" s="27" t="s">
        <v>150</v>
      </c>
      <c r="C13" s="26">
        <v>20</v>
      </c>
      <c r="D13" s="25">
        <f t="shared" si="0"/>
        <v>6.2992125984251968E-3</v>
      </c>
    </row>
    <row r="14" spans="1:5">
      <c r="B14" s="27" t="s">
        <v>149</v>
      </c>
      <c r="C14" s="26">
        <v>29</v>
      </c>
      <c r="D14" s="25">
        <f t="shared" si="0"/>
        <v>9.1338582677165346E-3</v>
      </c>
      <c r="E14" s="28"/>
    </row>
    <row r="15" spans="1:5">
      <c r="B15" s="27" t="s">
        <v>148</v>
      </c>
      <c r="C15" s="26">
        <v>51</v>
      </c>
      <c r="D15" s="25">
        <f t="shared" si="0"/>
        <v>1.6062992125984252E-2</v>
      </c>
      <c r="E15" s="28"/>
    </row>
    <row r="16" spans="1:5">
      <c r="B16" s="27" t="s">
        <v>147</v>
      </c>
      <c r="C16" s="26">
        <v>29</v>
      </c>
      <c r="D16" s="25">
        <f t="shared" si="0"/>
        <v>9.1338582677165346E-3</v>
      </c>
    </row>
    <row r="17" spans="2:4">
      <c r="B17" s="27" t="s">
        <v>146</v>
      </c>
      <c r="C17" s="26">
        <v>48</v>
      </c>
      <c r="D17" s="25">
        <f t="shared" si="0"/>
        <v>1.5118110236220473E-2</v>
      </c>
    </row>
    <row r="18" spans="2:4">
      <c r="B18" s="27" t="s">
        <v>145</v>
      </c>
      <c r="C18" s="26">
        <v>138</v>
      </c>
      <c r="D18" s="25">
        <f t="shared" si="0"/>
        <v>4.3464566929133856E-2</v>
      </c>
    </row>
    <row r="19" spans="2:4" ht="15" customHeight="1">
      <c r="B19" s="27" t="s">
        <v>144</v>
      </c>
      <c r="C19" s="26">
        <v>336</v>
      </c>
      <c r="D19" s="25">
        <f t="shared" si="0"/>
        <v>0.1058267716535433</v>
      </c>
    </row>
    <row r="20" spans="2:4">
      <c r="B20" s="27" t="s">
        <v>143</v>
      </c>
      <c r="C20" s="26">
        <v>33</v>
      </c>
      <c r="D20" s="25">
        <f t="shared" si="0"/>
        <v>1.0393700787401575E-2</v>
      </c>
    </row>
    <row r="21" spans="2:4">
      <c r="B21" s="27" t="s">
        <v>142</v>
      </c>
      <c r="C21" s="26">
        <v>64</v>
      </c>
      <c r="D21" s="25">
        <f t="shared" si="0"/>
        <v>2.0157480314960629E-2</v>
      </c>
    </row>
    <row r="22" spans="2:4">
      <c r="B22" s="27" t="s">
        <v>141</v>
      </c>
      <c r="C22" s="26">
        <v>158</v>
      </c>
      <c r="D22" s="25">
        <f t="shared" si="0"/>
        <v>4.9763779527559053E-2</v>
      </c>
    </row>
    <row r="23" spans="2:4" ht="27">
      <c r="B23" s="27" t="s">
        <v>140</v>
      </c>
      <c r="C23" s="26">
        <v>1040</v>
      </c>
      <c r="D23" s="25">
        <f t="shared" si="0"/>
        <v>0.32755905511811023</v>
      </c>
    </row>
    <row r="24" spans="2:4">
      <c r="B24" s="27" t="s">
        <v>139</v>
      </c>
      <c r="C24" s="26">
        <v>28</v>
      </c>
      <c r="D24" s="25">
        <f t="shared" si="0"/>
        <v>8.8188976377952758E-3</v>
      </c>
    </row>
    <row r="25" spans="2:4" ht="27">
      <c r="B25" s="27" t="s">
        <v>138</v>
      </c>
      <c r="C25" s="26">
        <v>177</v>
      </c>
      <c r="D25" s="25">
        <f t="shared" si="0"/>
        <v>5.5748031496062993E-2</v>
      </c>
    </row>
    <row r="26" spans="2:4" ht="27">
      <c r="B26" s="27" t="s">
        <v>137</v>
      </c>
      <c r="C26" s="26">
        <v>798</v>
      </c>
      <c r="D26" s="25">
        <f t="shared" si="0"/>
        <v>0.25133858267716536</v>
      </c>
    </row>
    <row r="27" spans="2:4">
      <c r="B27" s="27" t="s">
        <v>136</v>
      </c>
      <c r="C27" s="26">
        <v>9</v>
      </c>
      <c r="D27" s="25">
        <f t="shared" si="0"/>
        <v>2.8346456692913387E-3</v>
      </c>
    </row>
    <row r="28" spans="2:4">
      <c r="B28" s="27" t="s">
        <v>135</v>
      </c>
      <c r="C28" s="26">
        <v>6</v>
      </c>
      <c r="D28" s="25">
        <f t="shared" si="0"/>
        <v>1.8897637795275591E-3</v>
      </c>
    </row>
    <row r="29" spans="2:4">
      <c r="B29" s="27" t="s">
        <v>134</v>
      </c>
      <c r="C29" s="26">
        <v>8</v>
      </c>
      <c r="D29" s="25">
        <f t="shared" si="0"/>
        <v>2.5196850393700786E-3</v>
      </c>
    </row>
    <row r="30" spans="2:4">
      <c r="B30" s="27" t="s">
        <v>210</v>
      </c>
      <c r="C30" s="26">
        <v>2</v>
      </c>
      <c r="D30" s="25">
        <f t="shared" si="0"/>
        <v>6.2992125984251965E-4</v>
      </c>
    </row>
    <row r="31" spans="2:4">
      <c r="B31" s="27" t="s">
        <v>133</v>
      </c>
      <c r="C31" s="26">
        <v>39</v>
      </c>
      <c r="D31" s="25">
        <f t="shared" si="0"/>
        <v>1.2283464566929133E-2</v>
      </c>
    </row>
    <row r="32" spans="2:4">
      <c r="B32" s="27" t="s">
        <v>132</v>
      </c>
      <c r="C32" s="26">
        <v>118</v>
      </c>
      <c r="D32" s="25">
        <f t="shared" si="0"/>
        <v>3.716535433070866E-2</v>
      </c>
    </row>
    <row r="33" spans="1:4">
      <c r="B33" s="27" t="s">
        <v>198</v>
      </c>
      <c r="C33" s="26">
        <v>2</v>
      </c>
      <c r="D33" s="25">
        <f t="shared" si="0"/>
        <v>6.2992125984251965E-4</v>
      </c>
    </row>
    <row r="34" spans="1:4">
      <c r="B34" s="27" t="s">
        <v>131</v>
      </c>
      <c r="C34" s="26">
        <v>8</v>
      </c>
      <c r="D34" s="25">
        <f t="shared" si="0"/>
        <v>2.5196850393700786E-3</v>
      </c>
    </row>
    <row r="35" spans="1:4">
      <c r="B35" s="27" t="s">
        <v>130</v>
      </c>
      <c r="C35" s="26">
        <v>1</v>
      </c>
      <c r="D35" s="25">
        <f t="shared" si="0"/>
        <v>3.1496062992125983E-4</v>
      </c>
    </row>
    <row r="36" spans="1:4">
      <c r="B36" s="24" t="s">
        <v>20</v>
      </c>
      <c r="C36" s="23">
        <v>3175</v>
      </c>
      <c r="D36" s="22">
        <f t="shared" si="0"/>
        <v>1</v>
      </c>
    </row>
    <row r="38" spans="1:4">
      <c r="B38" s="73" t="s">
        <v>204</v>
      </c>
    </row>
    <row r="39" spans="1:4">
      <c r="B39" s="73" t="s">
        <v>19</v>
      </c>
    </row>
    <row r="40" spans="1:4">
      <c r="B40" s="73" t="s">
        <v>18</v>
      </c>
    </row>
    <row r="41" spans="1:4">
      <c r="B41" s="73" t="s">
        <v>17</v>
      </c>
    </row>
    <row r="42" spans="1:4">
      <c r="B42" s="73" t="s">
        <v>205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62"/>
  <sheetViews>
    <sheetView showGridLines="0" topLeftCell="A432" zoomScaleNormal="100" zoomScaleSheetLayoutView="85" workbookViewId="0">
      <selection activeCell="F34" sqref="F3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154</v>
      </c>
      <c r="C9" s="47" t="s">
        <v>129</v>
      </c>
      <c r="D9" s="46" t="s">
        <v>64</v>
      </c>
      <c r="E9" s="45" t="s">
        <v>63</v>
      </c>
    </row>
    <row r="10" spans="1:5" ht="15" customHeight="1">
      <c r="B10" s="92" t="s">
        <v>151</v>
      </c>
      <c r="C10" s="43" t="s">
        <v>38</v>
      </c>
      <c r="D10" s="42">
        <v>1</v>
      </c>
      <c r="E10" s="41">
        <v>3.1496062992125983E-4</v>
      </c>
    </row>
    <row r="11" spans="1:5" ht="15" customHeight="1">
      <c r="B11" s="93"/>
      <c r="C11" s="43" t="s">
        <v>61</v>
      </c>
      <c r="D11" s="42">
        <v>2</v>
      </c>
      <c r="E11" s="41">
        <v>6.2992125984251965E-4</v>
      </c>
    </row>
    <row r="12" spans="1:5" ht="15" customHeight="1">
      <c r="B12" s="93"/>
      <c r="C12" s="43" t="s">
        <v>52</v>
      </c>
      <c r="D12" s="42">
        <v>1</v>
      </c>
      <c r="E12" s="41">
        <v>3.1496062992125983E-4</v>
      </c>
    </row>
    <row r="13" spans="1:5" ht="15" customHeight="1">
      <c r="B13" s="93"/>
      <c r="C13" s="43" t="s">
        <v>59</v>
      </c>
      <c r="D13" s="42">
        <v>4</v>
      </c>
      <c r="E13" s="41">
        <v>1.2598425196850393E-3</v>
      </c>
    </row>
    <row r="14" spans="1:5" ht="15" customHeight="1">
      <c r="B14" s="93"/>
      <c r="C14" s="43" t="s">
        <v>53</v>
      </c>
      <c r="D14" s="42">
        <v>2</v>
      </c>
      <c r="E14" s="41">
        <v>6.2992125984251965E-4</v>
      </c>
    </row>
    <row r="15" spans="1:5" ht="15" customHeight="1">
      <c r="B15" s="93"/>
      <c r="C15" s="43" t="s">
        <v>32</v>
      </c>
      <c r="D15" s="42">
        <v>1</v>
      </c>
      <c r="E15" s="41">
        <v>3.1496062992125983E-4</v>
      </c>
    </row>
    <row r="16" spans="1:5" ht="15" customHeight="1">
      <c r="B16" s="93"/>
      <c r="C16" s="43" t="s">
        <v>37</v>
      </c>
      <c r="D16" s="42">
        <v>2</v>
      </c>
      <c r="E16" s="41">
        <v>6.2992125984251965E-4</v>
      </c>
    </row>
    <row r="17" spans="2:5" ht="15" customHeight="1">
      <c r="B17" s="93"/>
      <c r="C17" s="43" t="s">
        <v>60</v>
      </c>
      <c r="D17" s="42">
        <v>1</v>
      </c>
      <c r="E17" s="41">
        <v>3.1496062992125983E-4</v>
      </c>
    </row>
    <row r="18" spans="2:5" ht="15" customHeight="1">
      <c r="B18" s="93"/>
      <c r="C18" s="43" t="s">
        <v>51</v>
      </c>
      <c r="D18" s="42">
        <v>2</v>
      </c>
      <c r="E18" s="41">
        <v>6.2992125984251965E-4</v>
      </c>
    </row>
    <row r="19" spans="2:5" ht="15" customHeight="1">
      <c r="B19" s="93"/>
      <c r="C19" s="43" t="s">
        <v>50</v>
      </c>
      <c r="D19" s="42">
        <v>1</v>
      </c>
      <c r="E19" s="41">
        <v>3.1496062992125983E-4</v>
      </c>
    </row>
    <row r="20" spans="2:5" ht="15" customHeight="1">
      <c r="B20" s="93"/>
      <c r="C20" s="43" t="s">
        <v>62</v>
      </c>
      <c r="D20" s="42">
        <v>13</v>
      </c>
      <c r="E20" s="41">
        <v>4.0944881889763782E-3</v>
      </c>
    </row>
    <row r="21" spans="2:5" ht="15" customHeight="1">
      <c r="B21" s="93"/>
      <c r="C21" s="43" t="s">
        <v>57</v>
      </c>
      <c r="D21" s="42">
        <v>2</v>
      </c>
      <c r="E21" s="41">
        <v>6.2992125984251965E-4</v>
      </c>
    </row>
    <row r="22" spans="2:5" ht="15" customHeight="1">
      <c r="B22" s="93"/>
      <c r="C22" s="43" t="s">
        <v>47</v>
      </c>
      <c r="D22" s="42">
        <v>1</v>
      </c>
      <c r="E22" s="41">
        <v>3.1496062992125983E-4</v>
      </c>
    </row>
    <row r="23" spans="2:5" ht="15" customHeight="1">
      <c r="B23" s="94"/>
      <c r="C23" s="40" t="s">
        <v>20</v>
      </c>
      <c r="D23" s="39">
        <v>33</v>
      </c>
      <c r="E23" s="38">
        <v>1.0393700787401575E-2</v>
      </c>
    </row>
    <row r="24" spans="2:5" ht="15" customHeight="1">
      <c r="B24" s="92" t="s">
        <v>150</v>
      </c>
      <c r="C24" s="43" t="s">
        <v>38</v>
      </c>
      <c r="D24" s="42">
        <v>1</v>
      </c>
      <c r="E24" s="41">
        <v>3.1496062992125983E-4</v>
      </c>
    </row>
    <row r="25" spans="2:5" ht="15" customHeight="1">
      <c r="B25" s="93"/>
      <c r="C25" s="43" t="s">
        <v>61</v>
      </c>
      <c r="D25" s="42">
        <v>2</v>
      </c>
      <c r="E25" s="41">
        <v>6.2992125984251965E-4</v>
      </c>
    </row>
    <row r="26" spans="2:5" ht="15" customHeight="1">
      <c r="B26" s="93"/>
      <c r="C26" s="43" t="s">
        <v>59</v>
      </c>
      <c r="D26" s="42">
        <v>3</v>
      </c>
      <c r="E26" s="41">
        <v>9.4488188976377954E-4</v>
      </c>
    </row>
    <row r="27" spans="2:5" ht="15" customHeight="1">
      <c r="B27" s="93"/>
      <c r="C27" s="43" t="s">
        <v>44</v>
      </c>
      <c r="D27" s="42">
        <v>1</v>
      </c>
      <c r="E27" s="41">
        <v>3.1496062992125983E-4</v>
      </c>
    </row>
    <row r="28" spans="2:5" ht="15" customHeight="1">
      <c r="B28" s="93"/>
      <c r="C28" s="43" t="s">
        <v>60</v>
      </c>
      <c r="D28" s="42">
        <v>6</v>
      </c>
      <c r="E28" s="41">
        <v>1.8897637795275591E-3</v>
      </c>
    </row>
    <row r="29" spans="2:5" ht="15" customHeight="1">
      <c r="B29" s="93"/>
      <c r="C29" s="43" t="s">
        <v>48</v>
      </c>
      <c r="D29" s="42">
        <v>1</v>
      </c>
      <c r="E29" s="41">
        <v>3.1496062992125983E-4</v>
      </c>
    </row>
    <row r="30" spans="2:5" ht="15" customHeight="1">
      <c r="B30" s="93"/>
      <c r="C30" s="43" t="s">
        <v>62</v>
      </c>
      <c r="D30" s="42">
        <v>6</v>
      </c>
      <c r="E30" s="41">
        <v>1.8897637795275591E-3</v>
      </c>
    </row>
    <row r="31" spans="2:5" ht="15" customHeight="1">
      <c r="B31" s="94"/>
      <c r="C31" s="40" t="s">
        <v>20</v>
      </c>
      <c r="D31" s="39">
        <v>20</v>
      </c>
      <c r="E31" s="38">
        <v>6.2992125984251968E-3</v>
      </c>
    </row>
    <row r="32" spans="2:5" ht="15" customHeight="1">
      <c r="B32" s="92" t="s">
        <v>149</v>
      </c>
      <c r="C32" s="43" t="s">
        <v>38</v>
      </c>
      <c r="D32" s="42">
        <v>1</v>
      </c>
      <c r="E32" s="41">
        <v>3.1496062992125983E-4</v>
      </c>
    </row>
    <row r="33" spans="2:5" ht="15" customHeight="1">
      <c r="B33" s="93"/>
      <c r="C33" s="43" t="s">
        <v>39</v>
      </c>
      <c r="D33" s="42">
        <v>2</v>
      </c>
      <c r="E33" s="41">
        <v>6.2992125984251965E-4</v>
      </c>
    </row>
    <row r="34" spans="2:5" ht="15" customHeight="1">
      <c r="B34" s="93"/>
      <c r="C34" s="43" t="s">
        <v>61</v>
      </c>
      <c r="D34" s="42">
        <v>3</v>
      </c>
      <c r="E34" s="41">
        <v>9.4488188976377954E-4</v>
      </c>
    </row>
    <row r="35" spans="2:5" ht="15" customHeight="1">
      <c r="B35" s="93"/>
      <c r="C35" s="43" t="s">
        <v>59</v>
      </c>
      <c r="D35" s="42">
        <v>3</v>
      </c>
      <c r="E35" s="41">
        <v>9.4488188976377954E-4</v>
      </c>
    </row>
    <row r="36" spans="2:5" ht="15" customHeight="1">
      <c r="B36" s="93"/>
      <c r="C36" s="43" t="s">
        <v>58</v>
      </c>
      <c r="D36" s="42">
        <v>1</v>
      </c>
      <c r="E36" s="41">
        <v>3.1496062992125983E-4</v>
      </c>
    </row>
    <row r="37" spans="2:5" ht="15" customHeight="1">
      <c r="B37" s="93"/>
      <c r="C37" s="43" t="s">
        <v>54</v>
      </c>
      <c r="D37" s="42">
        <v>1</v>
      </c>
      <c r="E37" s="41">
        <v>3.1496062992125983E-4</v>
      </c>
    </row>
    <row r="38" spans="2:5" ht="15" customHeight="1">
      <c r="B38" s="93"/>
      <c r="C38" s="43" t="s">
        <v>55</v>
      </c>
      <c r="D38" s="42">
        <v>2</v>
      </c>
      <c r="E38" s="41">
        <v>6.2992125984251965E-4</v>
      </c>
    </row>
    <row r="39" spans="2:5" ht="15" customHeight="1">
      <c r="B39" s="93"/>
      <c r="C39" s="43" t="s">
        <v>41</v>
      </c>
      <c r="D39" s="42">
        <v>1</v>
      </c>
      <c r="E39" s="41">
        <v>3.1496062992125983E-4</v>
      </c>
    </row>
    <row r="40" spans="2:5" ht="15" customHeight="1">
      <c r="B40" s="93"/>
      <c r="C40" s="43" t="s">
        <v>37</v>
      </c>
      <c r="D40" s="42">
        <v>2</v>
      </c>
      <c r="E40" s="41">
        <v>6.2992125984251965E-4</v>
      </c>
    </row>
    <row r="41" spans="2:5" ht="15" customHeight="1">
      <c r="B41" s="93"/>
      <c r="C41" s="43" t="s">
        <v>49</v>
      </c>
      <c r="D41" s="42">
        <v>1</v>
      </c>
      <c r="E41" s="41">
        <v>3.1496062992125983E-4</v>
      </c>
    </row>
    <row r="42" spans="2:5" ht="15" customHeight="1">
      <c r="B42" s="93"/>
      <c r="C42" s="43" t="s">
        <v>60</v>
      </c>
      <c r="D42" s="42">
        <v>5</v>
      </c>
      <c r="E42" s="41">
        <v>1.5748031496062992E-3</v>
      </c>
    </row>
    <row r="43" spans="2:5" ht="15" customHeight="1">
      <c r="B43" s="93"/>
      <c r="C43" s="43" t="s">
        <v>48</v>
      </c>
      <c r="D43" s="42">
        <v>1</v>
      </c>
      <c r="E43" s="41">
        <v>3.1496062992125983E-4</v>
      </c>
    </row>
    <row r="44" spans="2:5" ht="15" customHeight="1">
      <c r="B44" s="93"/>
      <c r="C44" s="43" t="s">
        <v>26</v>
      </c>
      <c r="D44" s="42">
        <v>1</v>
      </c>
      <c r="E44" s="41">
        <v>3.1496062992125983E-4</v>
      </c>
    </row>
    <row r="45" spans="2:5" ht="15" customHeight="1">
      <c r="B45" s="93"/>
      <c r="C45" s="43" t="s">
        <v>51</v>
      </c>
      <c r="D45" s="42">
        <v>1</v>
      </c>
      <c r="E45" s="41">
        <v>3.1496062992125983E-4</v>
      </c>
    </row>
    <row r="46" spans="2:5" ht="15" customHeight="1">
      <c r="B46" s="93"/>
      <c r="C46" s="43" t="s">
        <v>62</v>
      </c>
      <c r="D46" s="42">
        <v>4</v>
      </c>
      <c r="E46" s="41">
        <v>1.2598425196850393E-3</v>
      </c>
    </row>
    <row r="47" spans="2:5" ht="15" customHeight="1">
      <c r="B47" s="94"/>
      <c r="C47" s="40" t="s">
        <v>20</v>
      </c>
      <c r="D47" s="39">
        <v>29</v>
      </c>
      <c r="E47" s="38">
        <v>9.1338582677165346E-3</v>
      </c>
    </row>
    <row r="48" spans="2:5" ht="15" customHeight="1">
      <c r="B48" s="92" t="s">
        <v>148</v>
      </c>
      <c r="C48" s="43" t="s">
        <v>56</v>
      </c>
      <c r="D48" s="42">
        <v>2</v>
      </c>
      <c r="E48" s="41">
        <v>6.2992125984251965E-4</v>
      </c>
    </row>
    <row r="49" spans="2:5" ht="15" customHeight="1">
      <c r="B49" s="93"/>
      <c r="C49" s="43" t="s">
        <v>38</v>
      </c>
      <c r="D49" s="42">
        <v>1</v>
      </c>
      <c r="E49" s="41">
        <v>3.1496062992125983E-4</v>
      </c>
    </row>
    <row r="50" spans="2:5" ht="15" customHeight="1">
      <c r="B50" s="93"/>
      <c r="C50" s="43" t="s">
        <v>39</v>
      </c>
      <c r="D50" s="42">
        <v>1</v>
      </c>
      <c r="E50" s="41">
        <v>3.1496062992125983E-4</v>
      </c>
    </row>
    <row r="51" spans="2:5" ht="15" customHeight="1">
      <c r="B51" s="93"/>
      <c r="C51" s="43" t="s">
        <v>61</v>
      </c>
      <c r="D51" s="42">
        <v>4</v>
      </c>
      <c r="E51" s="41">
        <v>1.2598425196850393E-3</v>
      </c>
    </row>
    <row r="52" spans="2:5" ht="15" customHeight="1">
      <c r="B52" s="93"/>
      <c r="C52" s="43" t="s">
        <v>59</v>
      </c>
      <c r="D52" s="42">
        <v>7</v>
      </c>
      <c r="E52" s="41">
        <v>2.204724409448819E-3</v>
      </c>
    </row>
    <row r="53" spans="2:5" ht="15" customHeight="1">
      <c r="B53" s="93"/>
      <c r="C53" s="43" t="s">
        <v>58</v>
      </c>
      <c r="D53" s="42">
        <v>1</v>
      </c>
      <c r="E53" s="41">
        <v>3.1496062992125983E-4</v>
      </c>
    </row>
    <row r="54" spans="2:5" ht="15" customHeight="1">
      <c r="B54" s="93"/>
      <c r="C54" s="43" t="s">
        <v>54</v>
      </c>
      <c r="D54" s="42">
        <v>1</v>
      </c>
      <c r="E54" s="41">
        <v>3.1496062992125983E-4</v>
      </c>
    </row>
    <row r="55" spans="2:5" ht="15" customHeight="1">
      <c r="B55" s="93"/>
      <c r="C55" s="43" t="s">
        <v>55</v>
      </c>
      <c r="D55" s="42">
        <v>1</v>
      </c>
      <c r="E55" s="41">
        <v>3.1496062992125983E-4</v>
      </c>
    </row>
    <row r="56" spans="2:5" ht="15" customHeight="1">
      <c r="B56" s="93"/>
      <c r="C56" s="43" t="s">
        <v>41</v>
      </c>
      <c r="D56" s="42">
        <v>1</v>
      </c>
      <c r="E56" s="41">
        <v>3.1496062992125983E-4</v>
      </c>
    </row>
    <row r="57" spans="2:5" ht="15" customHeight="1">
      <c r="B57" s="93"/>
      <c r="C57" s="43" t="s">
        <v>53</v>
      </c>
      <c r="D57" s="42">
        <v>2</v>
      </c>
      <c r="E57" s="41">
        <v>6.2992125984251965E-4</v>
      </c>
    </row>
    <row r="58" spans="2:5" ht="15" customHeight="1">
      <c r="B58" s="93"/>
      <c r="C58" s="43" t="s">
        <v>43</v>
      </c>
      <c r="D58" s="42">
        <v>1</v>
      </c>
      <c r="E58" s="41">
        <v>3.1496062992125983E-4</v>
      </c>
    </row>
    <row r="59" spans="2:5" ht="15" customHeight="1">
      <c r="B59" s="93"/>
      <c r="C59" s="43" t="s">
        <v>45</v>
      </c>
      <c r="D59" s="42">
        <v>2</v>
      </c>
      <c r="E59" s="41">
        <v>6.2992125984251965E-4</v>
      </c>
    </row>
    <row r="60" spans="2:5" ht="15" customHeight="1">
      <c r="B60" s="93"/>
      <c r="C60" s="43" t="s">
        <v>32</v>
      </c>
      <c r="D60" s="42">
        <v>1</v>
      </c>
      <c r="E60" s="41">
        <v>3.1496062992125983E-4</v>
      </c>
    </row>
    <row r="61" spans="2:5" ht="15" customHeight="1">
      <c r="B61" s="93"/>
      <c r="C61" s="43" t="s">
        <v>44</v>
      </c>
      <c r="D61" s="42">
        <v>2</v>
      </c>
      <c r="E61" s="41">
        <v>6.2992125984251965E-4</v>
      </c>
    </row>
    <row r="62" spans="2:5" ht="15" customHeight="1">
      <c r="B62" s="93"/>
      <c r="C62" s="43" t="s">
        <v>37</v>
      </c>
      <c r="D62" s="42">
        <v>2</v>
      </c>
      <c r="E62" s="41">
        <v>6.2992125984251965E-4</v>
      </c>
    </row>
    <row r="63" spans="2:5" ht="15" customHeight="1">
      <c r="B63" s="93"/>
      <c r="C63" s="43" t="s">
        <v>60</v>
      </c>
      <c r="D63" s="42">
        <v>4</v>
      </c>
      <c r="E63" s="41">
        <v>1.2598425196850393E-3</v>
      </c>
    </row>
    <row r="64" spans="2:5" ht="15" customHeight="1">
      <c r="B64" s="93"/>
      <c r="C64" s="43" t="s">
        <v>26</v>
      </c>
      <c r="D64" s="42">
        <v>1</v>
      </c>
      <c r="E64" s="41">
        <v>3.1496062992125983E-4</v>
      </c>
    </row>
    <row r="65" spans="2:5" ht="15" customHeight="1">
      <c r="B65" s="93"/>
      <c r="C65" s="43" t="s">
        <v>51</v>
      </c>
      <c r="D65" s="42">
        <v>4</v>
      </c>
      <c r="E65" s="41">
        <v>1.2598425196850393E-3</v>
      </c>
    </row>
    <row r="66" spans="2:5" ht="15" customHeight="1">
      <c r="B66" s="93"/>
      <c r="C66" s="43" t="s">
        <v>50</v>
      </c>
      <c r="D66" s="42">
        <v>2</v>
      </c>
      <c r="E66" s="41">
        <v>6.2992125984251965E-4</v>
      </c>
    </row>
    <row r="67" spans="2:5" ht="15" customHeight="1">
      <c r="B67" s="93"/>
      <c r="C67" s="43" t="s">
        <v>62</v>
      </c>
      <c r="D67" s="42">
        <v>11</v>
      </c>
      <c r="E67" s="41">
        <v>3.4645669291338585E-3</v>
      </c>
    </row>
    <row r="68" spans="2:5" ht="15" customHeight="1">
      <c r="B68" s="94"/>
      <c r="C68" s="40" t="s">
        <v>20</v>
      </c>
      <c r="D68" s="39">
        <v>51</v>
      </c>
      <c r="E68" s="38">
        <v>1.6062992125984252E-2</v>
      </c>
    </row>
    <row r="69" spans="2:5" ht="15" customHeight="1">
      <c r="B69" s="92" t="s">
        <v>147</v>
      </c>
      <c r="C69" s="43" t="s">
        <v>38</v>
      </c>
      <c r="D69" s="42">
        <v>2</v>
      </c>
      <c r="E69" s="41">
        <v>6.2992125984251965E-4</v>
      </c>
    </row>
    <row r="70" spans="2:5" ht="15" customHeight="1">
      <c r="B70" s="93"/>
      <c r="C70" s="43" t="s">
        <v>39</v>
      </c>
      <c r="D70" s="42">
        <v>1</v>
      </c>
      <c r="E70" s="41">
        <v>3.1496062992125983E-4</v>
      </c>
    </row>
    <row r="71" spans="2:5" ht="15" customHeight="1">
      <c r="B71" s="93"/>
      <c r="C71" s="43" t="s">
        <v>61</v>
      </c>
      <c r="D71" s="42">
        <v>1</v>
      </c>
      <c r="E71" s="41">
        <v>3.1496062992125983E-4</v>
      </c>
    </row>
    <row r="72" spans="2:5" ht="15" customHeight="1">
      <c r="B72" s="93"/>
      <c r="C72" s="43" t="s">
        <v>52</v>
      </c>
      <c r="D72" s="42">
        <v>2</v>
      </c>
      <c r="E72" s="41">
        <v>6.2992125984251965E-4</v>
      </c>
    </row>
    <row r="73" spans="2:5" ht="15" customHeight="1">
      <c r="B73" s="93"/>
      <c r="C73" s="43" t="s">
        <v>59</v>
      </c>
      <c r="D73" s="42">
        <v>5</v>
      </c>
      <c r="E73" s="41">
        <v>1.5748031496062992E-3</v>
      </c>
    </row>
    <row r="74" spans="2:5" ht="15" customHeight="1">
      <c r="B74" s="93"/>
      <c r="C74" s="43" t="s">
        <v>54</v>
      </c>
      <c r="D74" s="42">
        <v>1</v>
      </c>
      <c r="E74" s="41">
        <v>3.1496062992125983E-4</v>
      </c>
    </row>
    <row r="75" spans="2:5" ht="15" customHeight="1">
      <c r="B75" s="93"/>
      <c r="C75" s="43" t="s">
        <v>53</v>
      </c>
      <c r="D75" s="42">
        <v>2</v>
      </c>
      <c r="E75" s="41">
        <v>6.2992125984251965E-4</v>
      </c>
    </row>
    <row r="76" spans="2:5" ht="15" customHeight="1">
      <c r="B76" s="93"/>
      <c r="C76" s="43" t="s">
        <v>44</v>
      </c>
      <c r="D76" s="42">
        <v>1</v>
      </c>
      <c r="E76" s="41">
        <v>3.1496062992125983E-4</v>
      </c>
    </row>
    <row r="77" spans="2:5" ht="15" customHeight="1">
      <c r="B77" s="93"/>
      <c r="C77" s="43" t="s">
        <v>49</v>
      </c>
      <c r="D77" s="42">
        <v>1</v>
      </c>
      <c r="E77" s="41">
        <v>3.1496062992125983E-4</v>
      </c>
    </row>
    <row r="78" spans="2:5" ht="15" customHeight="1">
      <c r="B78" s="93"/>
      <c r="C78" s="43" t="s">
        <v>60</v>
      </c>
      <c r="D78" s="42">
        <v>3</v>
      </c>
      <c r="E78" s="41">
        <v>9.4488188976377954E-4</v>
      </c>
    </row>
    <row r="79" spans="2:5" ht="15" customHeight="1">
      <c r="B79" s="93"/>
      <c r="C79" s="43" t="s">
        <v>51</v>
      </c>
      <c r="D79" s="42">
        <v>1</v>
      </c>
      <c r="E79" s="41">
        <v>3.1496062992125983E-4</v>
      </c>
    </row>
    <row r="80" spans="2:5" ht="15" customHeight="1">
      <c r="B80" s="93"/>
      <c r="C80" s="43" t="s">
        <v>62</v>
      </c>
      <c r="D80" s="42">
        <v>9</v>
      </c>
      <c r="E80" s="41">
        <v>2.8346456692913387E-3</v>
      </c>
    </row>
    <row r="81" spans="2:5" ht="15" customHeight="1">
      <c r="B81" s="94"/>
      <c r="C81" s="40" t="s">
        <v>20</v>
      </c>
      <c r="D81" s="39">
        <v>29</v>
      </c>
      <c r="E81" s="38">
        <v>9.1338582677165346E-3</v>
      </c>
    </row>
    <row r="82" spans="2:5" ht="15" customHeight="1">
      <c r="B82" s="92" t="s">
        <v>146</v>
      </c>
      <c r="C82" s="43" t="s">
        <v>56</v>
      </c>
      <c r="D82" s="42">
        <v>1</v>
      </c>
      <c r="E82" s="41">
        <v>3.1496062992125983E-4</v>
      </c>
    </row>
    <row r="83" spans="2:5" ht="15" customHeight="1">
      <c r="B83" s="93"/>
      <c r="C83" s="43" t="s">
        <v>38</v>
      </c>
      <c r="D83" s="42">
        <v>2</v>
      </c>
      <c r="E83" s="41">
        <v>6.2992125984251965E-4</v>
      </c>
    </row>
    <row r="84" spans="2:5" ht="15" customHeight="1">
      <c r="B84" s="93"/>
      <c r="C84" s="43" t="s">
        <v>61</v>
      </c>
      <c r="D84" s="42">
        <v>4</v>
      </c>
      <c r="E84" s="41">
        <v>1.2598425196850393E-3</v>
      </c>
    </row>
    <row r="85" spans="2:5" ht="15" customHeight="1">
      <c r="B85" s="93"/>
      <c r="C85" s="43" t="s">
        <v>30</v>
      </c>
      <c r="D85" s="42">
        <v>1</v>
      </c>
      <c r="E85" s="41">
        <v>3.1496062992125983E-4</v>
      </c>
    </row>
    <row r="86" spans="2:5" ht="15" customHeight="1">
      <c r="B86" s="93"/>
      <c r="C86" s="43" t="s">
        <v>59</v>
      </c>
      <c r="D86" s="42">
        <v>17</v>
      </c>
      <c r="E86" s="41">
        <v>5.3543307086614169E-3</v>
      </c>
    </row>
    <row r="87" spans="2:5" ht="15" customHeight="1">
      <c r="B87" s="93"/>
      <c r="C87" s="43" t="s">
        <v>54</v>
      </c>
      <c r="D87" s="42">
        <v>1</v>
      </c>
      <c r="E87" s="41">
        <v>3.1496062992125983E-4</v>
      </c>
    </row>
    <row r="88" spans="2:5" ht="15" customHeight="1">
      <c r="B88" s="93"/>
      <c r="C88" s="43" t="s">
        <v>55</v>
      </c>
      <c r="D88" s="42">
        <v>2</v>
      </c>
      <c r="E88" s="41">
        <v>6.2992125984251965E-4</v>
      </c>
    </row>
    <row r="89" spans="2:5" ht="15" customHeight="1">
      <c r="B89" s="93"/>
      <c r="C89" s="43" t="s">
        <v>53</v>
      </c>
      <c r="D89" s="42">
        <v>1</v>
      </c>
      <c r="E89" s="41">
        <v>3.1496062992125983E-4</v>
      </c>
    </row>
    <row r="90" spans="2:5" ht="15" customHeight="1">
      <c r="B90" s="93"/>
      <c r="C90" s="43" t="s">
        <v>35</v>
      </c>
      <c r="D90" s="42">
        <v>1</v>
      </c>
      <c r="E90" s="41">
        <v>3.1496062992125983E-4</v>
      </c>
    </row>
    <row r="91" spans="2:5" ht="15" customHeight="1">
      <c r="B91" s="93"/>
      <c r="C91" s="43" t="s">
        <v>42</v>
      </c>
      <c r="D91" s="42">
        <v>1</v>
      </c>
      <c r="E91" s="41">
        <v>3.1496062992125983E-4</v>
      </c>
    </row>
    <row r="92" spans="2:5" ht="15" customHeight="1">
      <c r="B92" s="93"/>
      <c r="C92" s="43" t="s">
        <v>37</v>
      </c>
      <c r="D92" s="42">
        <v>1</v>
      </c>
      <c r="E92" s="41">
        <v>3.1496062992125983E-4</v>
      </c>
    </row>
    <row r="93" spans="2:5" ht="15" customHeight="1">
      <c r="B93" s="93"/>
      <c r="C93" s="43" t="s">
        <v>60</v>
      </c>
      <c r="D93" s="42">
        <v>6</v>
      </c>
      <c r="E93" s="41">
        <v>1.8897637795275591E-3</v>
      </c>
    </row>
    <row r="94" spans="2:5" ht="15" customHeight="1">
      <c r="B94" s="93"/>
      <c r="C94" s="43" t="s">
        <v>51</v>
      </c>
      <c r="D94" s="42">
        <v>3</v>
      </c>
      <c r="E94" s="41">
        <v>9.4488188976377954E-4</v>
      </c>
    </row>
    <row r="95" spans="2:5" ht="15" customHeight="1">
      <c r="B95" s="93"/>
      <c r="C95" s="43" t="s">
        <v>50</v>
      </c>
      <c r="D95" s="42">
        <v>1</v>
      </c>
      <c r="E95" s="41">
        <v>3.1496062992125983E-4</v>
      </c>
    </row>
    <row r="96" spans="2:5" ht="15" customHeight="1">
      <c r="B96" s="93"/>
      <c r="C96" s="43" t="s">
        <v>62</v>
      </c>
      <c r="D96" s="42">
        <v>4</v>
      </c>
      <c r="E96" s="41">
        <v>1.2598425196850393E-3</v>
      </c>
    </row>
    <row r="97" spans="2:5" ht="15" customHeight="1">
      <c r="B97" s="93"/>
      <c r="C97" s="43" t="s">
        <v>57</v>
      </c>
      <c r="D97" s="42">
        <v>2</v>
      </c>
      <c r="E97" s="41">
        <v>6.2992125984251965E-4</v>
      </c>
    </row>
    <row r="98" spans="2:5" ht="15" customHeight="1">
      <c r="B98" s="94"/>
      <c r="C98" s="40" t="s">
        <v>20</v>
      </c>
      <c r="D98" s="39">
        <v>48</v>
      </c>
      <c r="E98" s="38">
        <v>1.5118110236220473E-2</v>
      </c>
    </row>
    <row r="99" spans="2:5" ht="15" customHeight="1">
      <c r="B99" s="92" t="s">
        <v>145</v>
      </c>
      <c r="C99" s="43" t="s">
        <v>56</v>
      </c>
      <c r="D99" s="42">
        <v>2</v>
      </c>
      <c r="E99" s="41">
        <v>6.2992125984251965E-4</v>
      </c>
    </row>
    <row r="100" spans="2:5" ht="15" customHeight="1">
      <c r="B100" s="93"/>
      <c r="C100" s="43" t="s">
        <v>38</v>
      </c>
      <c r="D100" s="42">
        <v>1</v>
      </c>
      <c r="E100" s="41">
        <v>3.1496062992125983E-4</v>
      </c>
    </row>
    <row r="101" spans="2:5" ht="15" customHeight="1">
      <c r="B101" s="93"/>
      <c r="C101" s="43" t="s">
        <v>61</v>
      </c>
      <c r="D101" s="42">
        <v>17</v>
      </c>
      <c r="E101" s="41">
        <v>5.3543307086614169E-3</v>
      </c>
    </row>
    <row r="102" spans="2:5" ht="15" customHeight="1">
      <c r="B102" s="93"/>
      <c r="C102" s="43" t="s">
        <v>30</v>
      </c>
      <c r="D102" s="42">
        <v>1</v>
      </c>
      <c r="E102" s="41">
        <v>3.1496062992125983E-4</v>
      </c>
    </row>
    <row r="103" spans="2:5" ht="15" customHeight="1">
      <c r="B103" s="93"/>
      <c r="C103" s="43" t="s">
        <v>59</v>
      </c>
      <c r="D103" s="42">
        <v>8</v>
      </c>
      <c r="E103" s="41">
        <v>2.5196850393700786E-3</v>
      </c>
    </row>
    <row r="104" spans="2:5" ht="15" customHeight="1">
      <c r="B104" s="93"/>
      <c r="C104" s="43" t="s">
        <v>58</v>
      </c>
      <c r="D104" s="42">
        <v>3</v>
      </c>
      <c r="E104" s="41">
        <v>9.4488188976377954E-4</v>
      </c>
    </row>
    <row r="105" spans="2:5" ht="15" customHeight="1">
      <c r="B105" s="93"/>
      <c r="C105" s="43" t="s">
        <v>54</v>
      </c>
      <c r="D105" s="42">
        <v>7</v>
      </c>
      <c r="E105" s="41">
        <v>2.204724409448819E-3</v>
      </c>
    </row>
    <row r="106" spans="2:5" ht="15" customHeight="1">
      <c r="B106" s="93"/>
      <c r="C106" s="43" t="s">
        <v>55</v>
      </c>
      <c r="D106" s="42">
        <v>6</v>
      </c>
      <c r="E106" s="41">
        <v>1.8897637795275591E-3</v>
      </c>
    </row>
    <row r="107" spans="2:5" ht="15" customHeight="1">
      <c r="B107" s="93"/>
      <c r="C107" s="43" t="s">
        <v>41</v>
      </c>
      <c r="D107" s="42">
        <v>2</v>
      </c>
      <c r="E107" s="41">
        <v>6.2992125984251965E-4</v>
      </c>
    </row>
    <row r="108" spans="2:5" ht="15" customHeight="1">
      <c r="B108" s="93"/>
      <c r="C108" s="43" t="s">
        <v>53</v>
      </c>
      <c r="D108" s="42">
        <v>1</v>
      </c>
      <c r="E108" s="41">
        <v>3.1496062992125983E-4</v>
      </c>
    </row>
    <row r="109" spans="2:5" ht="15" customHeight="1">
      <c r="B109" s="93"/>
      <c r="C109" s="43" t="s">
        <v>35</v>
      </c>
      <c r="D109" s="42">
        <v>2</v>
      </c>
      <c r="E109" s="41">
        <v>6.2992125984251965E-4</v>
      </c>
    </row>
    <row r="110" spans="2:5" ht="15" customHeight="1">
      <c r="B110" s="93"/>
      <c r="C110" s="43" t="s">
        <v>43</v>
      </c>
      <c r="D110" s="42">
        <v>1</v>
      </c>
      <c r="E110" s="41">
        <v>3.1496062992125983E-4</v>
      </c>
    </row>
    <row r="111" spans="2:5" ht="15" customHeight="1">
      <c r="B111" s="93"/>
      <c r="C111" s="43" t="s">
        <v>42</v>
      </c>
      <c r="D111" s="42">
        <v>1</v>
      </c>
      <c r="E111" s="41">
        <v>3.1496062992125983E-4</v>
      </c>
    </row>
    <row r="112" spans="2:5" ht="15" customHeight="1">
      <c r="B112" s="93"/>
      <c r="C112" s="43" t="s">
        <v>203</v>
      </c>
      <c r="D112" s="42">
        <v>1</v>
      </c>
      <c r="E112" s="41">
        <v>3.1496062992125983E-4</v>
      </c>
    </row>
    <row r="113" spans="2:5" ht="15" customHeight="1">
      <c r="B113" s="93"/>
      <c r="C113" s="43" t="s">
        <v>32</v>
      </c>
      <c r="D113" s="42">
        <v>1</v>
      </c>
      <c r="E113" s="41">
        <v>3.1496062992125983E-4</v>
      </c>
    </row>
    <row r="114" spans="2:5" ht="15" customHeight="1">
      <c r="B114" s="93"/>
      <c r="C114" s="43" t="s">
        <v>44</v>
      </c>
      <c r="D114" s="42">
        <v>2</v>
      </c>
      <c r="E114" s="41">
        <v>6.2992125984251965E-4</v>
      </c>
    </row>
    <row r="115" spans="2:5" ht="15" customHeight="1">
      <c r="B115" s="93"/>
      <c r="C115" s="43" t="s">
        <v>37</v>
      </c>
      <c r="D115" s="42">
        <v>3</v>
      </c>
      <c r="E115" s="41">
        <v>9.4488188976377954E-4</v>
      </c>
    </row>
    <row r="116" spans="2:5" ht="15" customHeight="1">
      <c r="B116" s="93"/>
      <c r="C116" s="43" t="s">
        <v>49</v>
      </c>
      <c r="D116" s="42">
        <v>3</v>
      </c>
      <c r="E116" s="41">
        <v>9.4488188976377954E-4</v>
      </c>
    </row>
    <row r="117" spans="2:5" ht="15" customHeight="1">
      <c r="B117" s="93"/>
      <c r="C117" s="43" t="s">
        <v>60</v>
      </c>
      <c r="D117" s="42">
        <v>20</v>
      </c>
      <c r="E117" s="41">
        <v>6.2992125984251968E-3</v>
      </c>
    </row>
    <row r="118" spans="2:5" ht="15" customHeight="1">
      <c r="B118" s="93"/>
      <c r="C118" s="43" t="s">
        <v>36</v>
      </c>
      <c r="D118" s="42">
        <v>4</v>
      </c>
      <c r="E118" s="41">
        <v>1.2598425196850393E-3</v>
      </c>
    </row>
    <row r="119" spans="2:5" ht="15" customHeight="1">
      <c r="B119" s="93"/>
      <c r="C119" s="43" t="s">
        <v>48</v>
      </c>
      <c r="D119" s="42">
        <v>1</v>
      </c>
      <c r="E119" s="41">
        <v>3.1496062992125983E-4</v>
      </c>
    </row>
    <row r="120" spans="2:5" ht="15" customHeight="1">
      <c r="B120" s="93"/>
      <c r="C120" s="43" t="s">
        <v>31</v>
      </c>
      <c r="D120" s="42">
        <v>1</v>
      </c>
      <c r="E120" s="41">
        <v>3.1496062992125983E-4</v>
      </c>
    </row>
    <row r="121" spans="2:5" ht="15" customHeight="1">
      <c r="B121" s="93"/>
      <c r="C121" s="43" t="s">
        <v>51</v>
      </c>
      <c r="D121" s="42">
        <v>3</v>
      </c>
      <c r="E121" s="41">
        <v>9.4488188976377954E-4</v>
      </c>
    </row>
    <row r="122" spans="2:5" ht="15" customHeight="1">
      <c r="B122" s="93"/>
      <c r="C122" s="43" t="s">
        <v>50</v>
      </c>
      <c r="D122" s="42">
        <v>4</v>
      </c>
      <c r="E122" s="41">
        <v>1.2598425196850393E-3</v>
      </c>
    </row>
    <row r="123" spans="2:5" ht="15" customHeight="1">
      <c r="B123" s="93"/>
      <c r="C123" s="43" t="s">
        <v>62</v>
      </c>
      <c r="D123" s="42">
        <v>36</v>
      </c>
      <c r="E123" s="41">
        <v>1.1338582677165355E-2</v>
      </c>
    </row>
    <row r="124" spans="2:5" ht="15" customHeight="1">
      <c r="B124" s="93"/>
      <c r="C124" s="43" t="s">
        <v>57</v>
      </c>
      <c r="D124" s="42">
        <v>4</v>
      </c>
      <c r="E124" s="41">
        <v>1.2598425196850393E-3</v>
      </c>
    </row>
    <row r="125" spans="2:5" ht="15" customHeight="1">
      <c r="B125" s="93"/>
      <c r="C125" s="43" t="s">
        <v>33</v>
      </c>
      <c r="D125" s="42">
        <v>1</v>
      </c>
      <c r="E125" s="41">
        <v>3.1496062992125983E-4</v>
      </c>
    </row>
    <row r="126" spans="2:5" ht="15" customHeight="1">
      <c r="B126" s="93"/>
      <c r="C126" s="43" t="s">
        <v>47</v>
      </c>
      <c r="D126" s="42">
        <v>2</v>
      </c>
      <c r="E126" s="41">
        <v>6.2992125984251965E-4</v>
      </c>
    </row>
    <row r="127" spans="2:5" ht="15" customHeight="1">
      <c r="B127" s="94"/>
      <c r="C127" s="40" t="s">
        <v>20</v>
      </c>
      <c r="D127" s="39">
        <v>138</v>
      </c>
      <c r="E127" s="38">
        <v>4.3464566929133856E-2</v>
      </c>
    </row>
    <row r="128" spans="2:5" ht="15" customHeight="1">
      <c r="B128" s="92" t="s">
        <v>144</v>
      </c>
      <c r="C128" s="43" t="s">
        <v>56</v>
      </c>
      <c r="D128" s="42">
        <v>8</v>
      </c>
      <c r="E128" s="41">
        <v>2.5196850393700786E-3</v>
      </c>
    </row>
    <row r="129" spans="2:5" ht="15" customHeight="1">
      <c r="B129" s="93"/>
      <c r="C129" s="43" t="s">
        <v>38</v>
      </c>
      <c r="D129" s="42">
        <v>7</v>
      </c>
      <c r="E129" s="41">
        <v>2.204724409448819E-3</v>
      </c>
    </row>
    <row r="130" spans="2:5" ht="15" customHeight="1">
      <c r="B130" s="93"/>
      <c r="C130" s="43" t="s">
        <v>39</v>
      </c>
      <c r="D130" s="42">
        <v>1</v>
      </c>
      <c r="E130" s="41">
        <v>3.1496062992125983E-4</v>
      </c>
    </row>
    <row r="131" spans="2:5" ht="15" customHeight="1">
      <c r="B131" s="93"/>
      <c r="C131" s="43" t="s">
        <v>61</v>
      </c>
      <c r="D131" s="42">
        <v>34</v>
      </c>
      <c r="E131" s="41">
        <v>1.0708661417322834E-2</v>
      </c>
    </row>
    <row r="132" spans="2:5" ht="15" customHeight="1">
      <c r="B132" s="93"/>
      <c r="C132" s="43" t="s">
        <v>52</v>
      </c>
      <c r="D132" s="42">
        <v>4</v>
      </c>
      <c r="E132" s="41">
        <v>1.2598425196850393E-3</v>
      </c>
    </row>
    <row r="133" spans="2:5" ht="15" customHeight="1">
      <c r="B133" s="93"/>
      <c r="C133" s="43" t="s">
        <v>30</v>
      </c>
      <c r="D133" s="42">
        <v>1</v>
      </c>
      <c r="E133" s="41">
        <v>3.1496062992125983E-4</v>
      </c>
    </row>
    <row r="134" spans="2:5" ht="15" customHeight="1">
      <c r="B134" s="93"/>
      <c r="C134" s="43" t="s">
        <v>25</v>
      </c>
      <c r="D134" s="42">
        <v>1</v>
      </c>
      <c r="E134" s="41">
        <v>3.1496062992125983E-4</v>
      </c>
    </row>
    <row r="135" spans="2:5" ht="15" customHeight="1">
      <c r="B135" s="93"/>
      <c r="C135" s="43" t="s">
        <v>196</v>
      </c>
      <c r="D135" s="42">
        <v>1</v>
      </c>
      <c r="E135" s="41">
        <v>3.1496062992125983E-4</v>
      </c>
    </row>
    <row r="136" spans="2:5" ht="15" customHeight="1">
      <c r="B136" s="93"/>
      <c r="C136" s="43" t="s">
        <v>59</v>
      </c>
      <c r="D136" s="42">
        <v>29</v>
      </c>
      <c r="E136" s="41">
        <v>9.1338582677165346E-3</v>
      </c>
    </row>
    <row r="137" spans="2:5" ht="15" customHeight="1">
      <c r="B137" s="93"/>
      <c r="C137" s="43" t="s">
        <v>58</v>
      </c>
      <c r="D137" s="42">
        <v>15</v>
      </c>
      <c r="E137" s="41">
        <v>4.7244094488188976E-3</v>
      </c>
    </row>
    <row r="138" spans="2:5" ht="15" customHeight="1">
      <c r="B138" s="93"/>
      <c r="C138" s="43" t="s">
        <v>24</v>
      </c>
      <c r="D138" s="42">
        <v>2</v>
      </c>
      <c r="E138" s="41">
        <v>6.2992125984251965E-4</v>
      </c>
    </row>
    <row r="139" spans="2:5" ht="15" customHeight="1">
      <c r="B139" s="93"/>
      <c r="C139" s="43" t="s">
        <v>54</v>
      </c>
      <c r="D139" s="42">
        <v>13</v>
      </c>
      <c r="E139" s="41">
        <v>4.0944881889763782E-3</v>
      </c>
    </row>
    <row r="140" spans="2:5" ht="15" customHeight="1">
      <c r="B140" s="93"/>
      <c r="C140" s="43" t="s">
        <v>55</v>
      </c>
      <c r="D140" s="42">
        <v>8</v>
      </c>
      <c r="E140" s="41">
        <v>2.5196850393700786E-3</v>
      </c>
    </row>
    <row r="141" spans="2:5" ht="15" customHeight="1">
      <c r="B141" s="93"/>
      <c r="C141" s="43" t="s">
        <v>29</v>
      </c>
      <c r="D141" s="42">
        <v>1</v>
      </c>
      <c r="E141" s="41">
        <v>3.1496062992125983E-4</v>
      </c>
    </row>
    <row r="142" spans="2:5" ht="15" customHeight="1">
      <c r="B142" s="93"/>
      <c r="C142" s="43" t="s">
        <v>27</v>
      </c>
      <c r="D142" s="42">
        <v>1</v>
      </c>
      <c r="E142" s="41">
        <v>3.1496062992125983E-4</v>
      </c>
    </row>
    <row r="143" spans="2:5" ht="15" customHeight="1">
      <c r="B143" s="93"/>
      <c r="C143" s="43" t="s">
        <v>41</v>
      </c>
      <c r="D143" s="42">
        <v>1</v>
      </c>
      <c r="E143" s="41">
        <v>3.1496062992125983E-4</v>
      </c>
    </row>
    <row r="144" spans="2:5" ht="15" customHeight="1">
      <c r="B144" s="93"/>
      <c r="C144" s="43" t="s">
        <v>53</v>
      </c>
      <c r="D144" s="42">
        <v>9</v>
      </c>
      <c r="E144" s="41">
        <v>2.8346456692913387E-3</v>
      </c>
    </row>
    <row r="145" spans="2:5" ht="15" customHeight="1">
      <c r="B145" s="93"/>
      <c r="C145" s="43" t="s">
        <v>22</v>
      </c>
      <c r="D145" s="42">
        <v>1</v>
      </c>
      <c r="E145" s="41">
        <v>3.1496062992125983E-4</v>
      </c>
    </row>
    <row r="146" spans="2:5" ht="15" customHeight="1">
      <c r="B146" s="93"/>
      <c r="C146" s="43" t="s">
        <v>43</v>
      </c>
      <c r="D146" s="42">
        <v>1</v>
      </c>
      <c r="E146" s="41">
        <v>3.1496062992125983E-4</v>
      </c>
    </row>
    <row r="147" spans="2:5" ht="15" customHeight="1">
      <c r="B147" s="93"/>
      <c r="C147" s="43" t="s">
        <v>34</v>
      </c>
      <c r="D147" s="42">
        <v>4</v>
      </c>
      <c r="E147" s="41">
        <v>1.2598425196850393E-3</v>
      </c>
    </row>
    <row r="148" spans="2:5" ht="15" customHeight="1">
      <c r="B148" s="93"/>
      <c r="C148" s="43" t="s">
        <v>45</v>
      </c>
      <c r="D148" s="42">
        <v>3</v>
      </c>
      <c r="E148" s="41">
        <v>9.4488188976377954E-4</v>
      </c>
    </row>
    <row r="149" spans="2:5" ht="15" customHeight="1">
      <c r="B149" s="93"/>
      <c r="C149" s="43" t="s">
        <v>32</v>
      </c>
      <c r="D149" s="42">
        <v>3</v>
      </c>
      <c r="E149" s="41">
        <v>9.4488188976377954E-4</v>
      </c>
    </row>
    <row r="150" spans="2:5" ht="15" customHeight="1">
      <c r="B150" s="93"/>
      <c r="C150" s="43" t="s">
        <v>44</v>
      </c>
      <c r="D150" s="42">
        <v>1</v>
      </c>
      <c r="E150" s="41">
        <v>3.1496062992125983E-4</v>
      </c>
    </row>
    <row r="151" spans="2:5" ht="15" customHeight="1">
      <c r="B151" s="93"/>
      <c r="C151" s="43" t="s">
        <v>37</v>
      </c>
      <c r="D151" s="42">
        <v>6</v>
      </c>
      <c r="E151" s="41">
        <v>1.8897637795275591E-3</v>
      </c>
    </row>
    <row r="152" spans="2:5" ht="15" customHeight="1">
      <c r="B152" s="93"/>
      <c r="C152" s="43" t="s">
        <v>49</v>
      </c>
      <c r="D152" s="42">
        <v>5</v>
      </c>
      <c r="E152" s="41">
        <v>1.5748031496062992E-3</v>
      </c>
    </row>
    <row r="153" spans="2:5" ht="15" customHeight="1">
      <c r="B153" s="93"/>
      <c r="C153" s="43" t="s">
        <v>60</v>
      </c>
      <c r="D153" s="42">
        <v>54</v>
      </c>
      <c r="E153" s="41">
        <v>1.7007874015748031E-2</v>
      </c>
    </row>
    <row r="154" spans="2:5" ht="15" customHeight="1">
      <c r="B154" s="93"/>
      <c r="C154" s="43" t="s">
        <v>36</v>
      </c>
      <c r="D154" s="42">
        <v>3</v>
      </c>
      <c r="E154" s="41">
        <v>9.4488188976377954E-4</v>
      </c>
    </row>
    <row r="155" spans="2:5" ht="15" customHeight="1">
      <c r="B155" s="93"/>
      <c r="C155" s="43" t="s">
        <v>48</v>
      </c>
      <c r="D155" s="42">
        <v>8</v>
      </c>
      <c r="E155" s="41">
        <v>2.5196850393700786E-3</v>
      </c>
    </row>
    <row r="156" spans="2:5" ht="15" customHeight="1">
      <c r="B156" s="93"/>
      <c r="C156" s="43" t="s">
        <v>31</v>
      </c>
      <c r="D156" s="42">
        <v>1</v>
      </c>
      <c r="E156" s="41">
        <v>3.1496062992125983E-4</v>
      </c>
    </row>
    <row r="157" spans="2:5" ht="15" customHeight="1">
      <c r="B157" s="93"/>
      <c r="C157" s="43" t="s">
        <v>26</v>
      </c>
      <c r="D157" s="42">
        <v>1</v>
      </c>
      <c r="E157" s="41">
        <v>3.1496062992125983E-4</v>
      </c>
    </row>
    <row r="158" spans="2:5" ht="15" customHeight="1">
      <c r="B158" s="93"/>
      <c r="C158" s="43" t="s">
        <v>51</v>
      </c>
      <c r="D158" s="42">
        <v>11</v>
      </c>
      <c r="E158" s="41">
        <v>3.4645669291338585E-3</v>
      </c>
    </row>
    <row r="159" spans="2:5" ht="15" customHeight="1">
      <c r="B159" s="93"/>
      <c r="C159" s="43" t="s">
        <v>50</v>
      </c>
      <c r="D159" s="42">
        <v>6</v>
      </c>
      <c r="E159" s="41">
        <v>1.8897637795275591E-3</v>
      </c>
    </row>
    <row r="160" spans="2:5" ht="15" customHeight="1">
      <c r="B160" s="93"/>
      <c r="C160" s="43" t="s">
        <v>62</v>
      </c>
      <c r="D160" s="42">
        <v>73</v>
      </c>
      <c r="E160" s="41">
        <v>2.2992125984251967E-2</v>
      </c>
    </row>
    <row r="161" spans="2:5" ht="15" customHeight="1">
      <c r="B161" s="93"/>
      <c r="C161" s="43" t="s">
        <v>40</v>
      </c>
      <c r="D161" s="42">
        <v>1</v>
      </c>
      <c r="E161" s="41">
        <v>3.1496062992125983E-4</v>
      </c>
    </row>
    <row r="162" spans="2:5" ht="15" customHeight="1">
      <c r="B162" s="93"/>
      <c r="C162" s="43" t="s">
        <v>46</v>
      </c>
      <c r="D162" s="42">
        <v>3</v>
      </c>
      <c r="E162" s="41">
        <v>9.4488188976377954E-4</v>
      </c>
    </row>
    <row r="163" spans="2:5" ht="15" customHeight="1">
      <c r="B163" s="93"/>
      <c r="C163" s="43" t="s">
        <v>57</v>
      </c>
      <c r="D163" s="42">
        <v>8</v>
      </c>
      <c r="E163" s="41">
        <v>2.5196850393700786E-3</v>
      </c>
    </row>
    <row r="164" spans="2:5" ht="15" customHeight="1">
      <c r="B164" s="93"/>
      <c r="C164" s="43" t="s">
        <v>33</v>
      </c>
      <c r="D164" s="42">
        <v>2</v>
      </c>
      <c r="E164" s="41">
        <v>6.2992125984251965E-4</v>
      </c>
    </row>
    <row r="165" spans="2:5" ht="15" customHeight="1">
      <c r="B165" s="93"/>
      <c r="C165" s="43" t="s">
        <v>47</v>
      </c>
      <c r="D165" s="42">
        <v>5</v>
      </c>
      <c r="E165" s="41">
        <v>1.5748031496062992E-3</v>
      </c>
    </row>
    <row r="166" spans="2:5" ht="15" customHeight="1">
      <c r="B166" s="94"/>
      <c r="C166" s="40" t="s">
        <v>20</v>
      </c>
      <c r="D166" s="39">
        <v>336</v>
      </c>
      <c r="E166" s="38">
        <v>0.1058267716535433</v>
      </c>
    </row>
    <row r="167" spans="2:5" ht="15" customHeight="1">
      <c r="B167" s="92" t="s">
        <v>143</v>
      </c>
      <c r="C167" s="43" t="s">
        <v>38</v>
      </c>
      <c r="D167" s="42">
        <v>1</v>
      </c>
      <c r="E167" s="41">
        <v>3.1496062992125983E-4</v>
      </c>
    </row>
    <row r="168" spans="2:5" ht="15" customHeight="1">
      <c r="B168" s="93"/>
      <c r="C168" s="43" t="s">
        <v>61</v>
      </c>
      <c r="D168" s="42">
        <v>5</v>
      </c>
      <c r="E168" s="41">
        <v>1.5748031496062992E-3</v>
      </c>
    </row>
    <row r="169" spans="2:5" ht="15" customHeight="1">
      <c r="B169" s="93"/>
      <c r="C169" s="43" t="s">
        <v>59</v>
      </c>
      <c r="D169" s="42">
        <v>7</v>
      </c>
      <c r="E169" s="41">
        <v>2.204724409448819E-3</v>
      </c>
    </row>
    <row r="170" spans="2:5" ht="15" customHeight="1">
      <c r="B170" s="93"/>
      <c r="C170" s="43" t="s">
        <v>58</v>
      </c>
      <c r="D170" s="42">
        <v>1</v>
      </c>
      <c r="E170" s="41">
        <v>3.1496062992125983E-4</v>
      </c>
    </row>
    <row r="171" spans="2:5" ht="15" customHeight="1">
      <c r="B171" s="93"/>
      <c r="C171" s="43" t="s">
        <v>24</v>
      </c>
      <c r="D171" s="42">
        <v>1</v>
      </c>
      <c r="E171" s="41">
        <v>3.1496062992125983E-4</v>
      </c>
    </row>
    <row r="172" spans="2:5" ht="15" customHeight="1">
      <c r="B172" s="93"/>
      <c r="C172" s="43" t="s">
        <v>43</v>
      </c>
      <c r="D172" s="42">
        <v>1</v>
      </c>
      <c r="E172" s="41">
        <v>3.1496062992125983E-4</v>
      </c>
    </row>
    <row r="173" spans="2:5" ht="15" customHeight="1">
      <c r="B173" s="93"/>
      <c r="C173" s="43" t="s">
        <v>44</v>
      </c>
      <c r="D173" s="42">
        <v>1</v>
      </c>
      <c r="E173" s="41">
        <v>3.1496062992125983E-4</v>
      </c>
    </row>
    <row r="174" spans="2:5" ht="15" customHeight="1">
      <c r="B174" s="93"/>
      <c r="C174" s="43" t="s">
        <v>37</v>
      </c>
      <c r="D174" s="42">
        <v>1</v>
      </c>
      <c r="E174" s="41">
        <v>3.1496062992125983E-4</v>
      </c>
    </row>
    <row r="175" spans="2:5" ht="15" customHeight="1">
      <c r="B175" s="93"/>
      <c r="C175" s="43" t="s">
        <v>60</v>
      </c>
      <c r="D175" s="42">
        <v>3</v>
      </c>
      <c r="E175" s="41">
        <v>9.4488188976377954E-4</v>
      </c>
    </row>
    <row r="176" spans="2:5" ht="15" customHeight="1">
      <c r="B176" s="93"/>
      <c r="C176" s="43" t="s">
        <v>51</v>
      </c>
      <c r="D176" s="42">
        <v>2</v>
      </c>
      <c r="E176" s="41">
        <v>6.2992125984251965E-4</v>
      </c>
    </row>
    <row r="177" spans="2:5" ht="15" customHeight="1">
      <c r="B177" s="93"/>
      <c r="C177" s="43" t="s">
        <v>62</v>
      </c>
      <c r="D177" s="42">
        <v>7</v>
      </c>
      <c r="E177" s="41">
        <v>2.204724409448819E-3</v>
      </c>
    </row>
    <row r="178" spans="2:5" ht="15" customHeight="1">
      <c r="B178" s="93"/>
      <c r="C178" s="43" t="s">
        <v>57</v>
      </c>
      <c r="D178" s="42">
        <v>3</v>
      </c>
      <c r="E178" s="41">
        <v>9.4488188976377954E-4</v>
      </c>
    </row>
    <row r="179" spans="2:5" ht="15" customHeight="1">
      <c r="B179" s="94"/>
      <c r="C179" s="40" t="s">
        <v>20</v>
      </c>
      <c r="D179" s="39">
        <v>33</v>
      </c>
      <c r="E179" s="38">
        <v>1.0393700787401575E-2</v>
      </c>
    </row>
    <row r="180" spans="2:5" ht="15" customHeight="1">
      <c r="B180" s="92" t="s">
        <v>142</v>
      </c>
      <c r="C180" s="43" t="s">
        <v>56</v>
      </c>
      <c r="D180" s="42">
        <v>2</v>
      </c>
      <c r="E180" s="41">
        <v>6.2992125984251965E-4</v>
      </c>
    </row>
    <row r="181" spans="2:5" ht="15" customHeight="1">
      <c r="B181" s="93"/>
      <c r="C181" s="43" t="s">
        <v>38</v>
      </c>
      <c r="D181" s="42">
        <v>1</v>
      </c>
      <c r="E181" s="41">
        <v>3.1496062992125983E-4</v>
      </c>
    </row>
    <row r="182" spans="2:5" ht="15" customHeight="1">
      <c r="B182" s="93"/>
      <c r="C182" s="43" t="s">
        <v>39</v>
      </c>
      <c r="D182" s="42">
        <v>1</v>
      </c>
      <c r="E182" s="41">
        <v>3.1496062992125983E-4</v>
      </c>
    </row>
    <row r="183" spans="2:5" ht="15" customHeight="1">
      <c r="B183" s="93"/>
      <c r="C183" s="43" t="s">
        <v>61</v>
      </c>
      <c r="D183" s="42">
        <v>4</v>
      </c>
      <c r="E183" s="41">
        <v>1.2598425196850393E-3</v>
      </c>
    </row>
    <row r="184" spans="2:5" ht="15" customHeight="1">
      <c r="B184" s="93"/>
      <c r="C184" s="43" t="s">
        <v>52</v>
      </c>
      <c r="D184" s="42">
        <v>2</v>
      </c>
      <c r="E184" s="41">
        <v>6.2992125984251965E-4</v>
      </c>
    </row>
    <row r="185" spans="2:5" ht="15" customHeight="1">
      <c r="B185" s="93"/>
      <c r="C185" s="43" t="s">
        <v>59</v>
      </c>
      <c r="D185" s="42">
        <v>11</v>
      </c>
      <c r="E185" s="41">
        <v>3.4645669291338585E-3</v>
      </c>
    </row>
    <row r="186" spans="2:5" ht="15" customHeight="1">
      <c r="B186" s="93"/>
      <c r="C186" s="43" t="s">
        <v>58</v>
      </c>
      <c r="D186" s="42">
        <v>3</v>
      </c>
      <c r="E186" s="41">
        <v>9.4488188976377954E-4</v>
      </c>
    </row>
    <row r="187" spans="2:5" ht="15" customHeight="1">
      <c r="B187" s="93"/>
      <c r="C187" s="43" t="s">
        <v>24</v>
      </c>
      <c r="D187" s="42">
        <v>1</v>
      </c>
      <c r="E187" s="41">
        <v>3.1496062992125983E-4</v>
      </c>
    </row>
    <row r="188" spans="2:5" ht="15" customHeight="1">
      <c r="B188" s="93"/>
      <c r="C188" s="43" t="s">
        <v>54</v>
      </c>
      <c r="D188" s="42">
        <v>2</v>
      </c>
      <c r="E188" s="41">
        <v>6.2992125984251965E-4</v>
      </c>
    </row>
    <row r="189" spans="2:5" ht="15" customHeight="1">
      <c r="B189" s="93"/>
      <c r="C189" s="43" t="s">
        <v>55</v>
      </c>
      <c r="D189" s="42">
        <v>1</v>
      </c>
      <c r="E189" s="41">
        <v>3.1496062992125983E-4</v>
      </c>
    </row>
    <row r="190" spans="2:5" ht="15" customHeight="1">
      <c r="B190" s="93"/>
      <c r="C190" s="43" t="s">
        <v>53</v>
      </c>
      <c r="D190" s="42">
        <v>1</v>
      </c>
      <c r="E190" s="41">
        <v>3.1496062992125983E-4</v>
      </c>
    </row>
    <row r="191" spans="2:5" ht="15" customHeight="1">
      <c r="B191" s="93"/>
      <c r="C191" s="43" t="s">
        <v>45</v>
      </c>
      <c r="D191" s="42">
        <v>1</v>
      </c>
      <c r="E191" s="41">
        <v>3.1496062992125983E-4</v>
      </c>
    </row>
    <row r="192" spans="2:5" ht="15" customHeight="1">
      <c r="B192" s="93"/>
      <c r="C192" s="43" t="s">
        <v>37</v>
      </c>
      <c r="D192" s="42">
        <v>2</v>
      </c>
      <c r="E192" s="41">
        <v>6.2992125984251965E-4</v>
      </c>
    </row>
    <row r="193" spans="2:5" ht="15" customHeight="1">
      <c r="B193" s="93"/>
      <c r="C193" s="43" t="s">
        <v>60</v>
      </c>
      <c r="D193" s="42">
        <v>5</v>
      </c>
      <c r="E193" s="41">
        <v>1.5748031496062992E-3</v>
      </c>
    </row>
    <row r="194" spans="2:5" ht="15" customHeight="1">
      <c r="B194" s="93"/>
      <c r="C194" s="43" t="s">
        <v>36</v>
      </c>
      <c r="D194" s="42">
        <v>2</v>
      </c>
      <c r="E194" s="41">
        <v>6.2992125984251965E-4</v>
      </c>
    </row>
    <row r="195" spans="2:5" ht="15" customHeight="1">
      <c r="B195" s="93"/>
      <c r="C195" s="43" t="s">
        <v>48</v>
      </c>
      <c r="D195" s="42">
        <v>1</v>
      </c>
      <c r="E195" s="41">
        <v>3.1496062992125983E-4</v>
      </c>
    </row>
    <row r="196" spans="2:5" ht="15" customHeight="1">
      <c r="B196" s="93"/>
      <c r="C196" s="43" t="s">
        <v>51</v>
      </c>
      <c r="D196" s="42">
        <v>2</v>
      </c>
      <c r="E196" s="41">
        <v>6.2992125984251965E-4</v>
      </c>
    </row>
    <row r="197" spans="2:5" ht="15" customHeight="1">
      <c r="B197" s="93"/>
      <c r="C197" s="43" t="s">
        <v>50</v>
      </c>
      <c r="D197" s="42">
        <v>1</v>
      </c>
      <c r="E197" s="41">
        <v>3.1496062992125983E-4</v>
      </c>
    </row>
    <row r="198" spans="2:5" ht="15" customHeight="1">
      <c r="B198" s="93"/>
      <c r="C198" s="43" t="s">
        <v>62</v>
      </c>
      <c r="D198" s="42">
        <v>14</v>
      </c>
      <c r="E198" s="41">
        <v>4.4094488188976379E-3</v>
      </c>
    </row>
    <row r="199" spans="2:5" ht="15" customHeight="1">
      <c r="B199" s="93"/>
      <c r="C199" s="43" t="s">
        <v>40</v>
      </c>
      <c r="D199" s="42">
        <v>2</v>
      </c>
      <c r="E199" s="41">
        <v>6.2992125984251965E-4</v>
      </c>
    </row>
    <row r="200" spans="2:5" ht="15" customHeight="1">
      <c r="B200" s="93"/>
      <c r="C200" s="43" t="s">
        <v>46</v>
      </c>
      <c r="D200" s="42">
        <v>1</v>
      </c>
      <c r="E200" s="41">
        <v>3.1496062992125983E-4</v>
      </c>
    </row>
    <row r="201" spans="2:5" ht="15" customHeight="1">
      <c r="B201" s="93"/>
      <c r="C201" s="43" t="s">
        <v>57</v>
      </c>
      <c r="D201" s="42">
        <v>3</v>
      </c>
      <c r="E201" s="41">
        <v>9.4488188976377954E-4</v>
      </c>
    </row>
    <row r="202" spans="2:5" ht="15" customHeight="1">
      <c r="B202" s="93"/>
      <c r="C202" s="43" t="s">
        <v>47</v>
      </c>
      <c r="D202" s="42">
        <v>1</v>
      </c>
      <c r="E202" s="41">
        <v>3.1496062992125983E-4</v>
      </c>
    </row>
    <row r="203" spans="2:5" ht="15" customHeight="1">
      <c r="B203" s="94"/>
      <c r="C203" s="40" t="s">
        <v>20</v>
      </c>
      <c r="D203" s="39">
        <v>64</v>
      </c>
      <c r="E203" s="38">
        <v>2.0157480314960629E-2</v>
      </c>
    </row>
    <row r="204" spans="2:5" ht="15" customHeight="1">
      <c r="B204" s="92" t="s">
        <v>141</v>
      </c>
      <c r="C204" s="43" t="s">
        <v>56</v>
      </c>
      <c r="D204" s="42">
        <v>4</v>
      </c>
      <c r="E204" s="41">
        <v>1.2598425196850393E-3</v>
      </c>
    </row>
    <row r="205" spans="2:5" ht="15" customHeight="1">
      <c r="B205" s="93"/>
      <c r="C205" s="43" t="s">
        <v>39</v>
      </c>
      <c r="D205" s="42">
        <v>2</v>
      </c>
      <c r="E205" s="41">
        <v>6.2992125984251965E-4</v>
      </c>
    </row>
    <row r="206" spans="2:5" ht="15" customHeight="1">
      <c r="B206" s="93"/>
      <c r="C206" s="43" t="s">
        <v>61</v>
      </c>
      <c r="D206" s="42">
        <v>10</v>
      </c>
      <c r="E206" s="41">
        <v>3.1496062992125984E-3</v>
      </c>
    </row>
    <row r="207" spans="2:5" ht="15" customHeight="1">
      <c r="B207" s="93"/>
      <c r="C207" s="43" t="s">
        <v>52</v>
      </c>
      <c r="D207" s="42">
        <v>1</v>
      </c>
      <c r="E207" s="41">
        <v>3.1496062992125983E-4</v>
      </c>
    </row>
    <row r="208" spans="2:5" ht="15" customHeight="1">
      <c r="B208" s="93"/>
      <c r="C208" s="43" t="s">
        <v>59</v>
      </c>
      <c r="D208" s="42">
        <v>12</v>
      </c>
      <c r="E208" s="41">
        <v>3.7795275590551181E-3</v>
      </c>
    </row>
    <row r="209" spans="2:5" ht="15" customHeight="1">
      <c r="B209" s="93"/>
      <c r="C209" s="43" t="s">
        <v>58</v>
      </c>
      <c r="D209" s="42">
        <v>2</v>
      </c>
      <c r="E209" s="41">
        <v>6.2992125984251965E-4</v>
      </c>
    </row>
    <row r="210" spans="2:5" ht="15" customHeight="1">
      <c r="B210" s="93"/>
      <c r="C210" s="43" t="s">
        <v>24</v>
      </c>
      <c r="D210" s="42">
        <v>3</v>
      </c>
      <c r="E210" s="41">
        <v>9.4488188976377954E-4</v>
      </c>
    </row>
    <row r="211" spans="2:5" ht="15" customHeight="1">
      <c r="B211" s="93"/>
      <c r="C211" s="43" t="s">
        <v>54</v>
      </c>
      <c r="D211" s="42">
        <v>9</v>
      </c>
      <c r="E211" s="41">
        <v>2.8346456692913387E-3</v>
      </c>
    </row>
    <row r="212" spans="2:5" ht="15" customHeight="1">
      <c r="B212" s="93"/>
      <c r="C212" s="43" t="s">
        <v>55</v>
      </c>
      <c r="D212" s="42">
        <v>3</v>
      </c>
      <c r="E212" s="41">
        <v>9.4488188976377954E-4</v>
      </c>
    </row>
    <row r="213" spans="2:5" ht="15" customHeight="1">
      <c r="B213" s="93"/>
      <c r="C213" s="43" t="s">
        <v>27</v>
      </c>
      <c r="D213" s="42">
        <v>1</v>
      </c>
      <c r="E213" s="41">
        <v>3.1496062992125983E-4</v>
      </c>
    </row>
    <row r="214" spans="2:5" ht="15" customHeight="1">
      <c r="B214" s="93"/>
      <c r="C214" s="43" t="s">
        <v>41</v>
      </c>
      <c r="D214" s="42">
        <v>1</v>
      </c>
      <c r="E214" s="41">
        <v>3.1496062992125983E-4</v>
      </c>
    </row>
    <row r="215" spans="2:5" ht="15" customHeight="1">
      <c r="B215" s="93"/>
      <c r="C215" s="43" t="s">
        <v>53</v>
      </c>
      <c r="D215" s="42">
        <v>2</v>
      </c>
      <c r="E215" s="41">
        <v>6.2992125984251965E-4</v>
      </c>
    </row>
    <row r="216" spans="2:5" ht="15" customHeight="1">
      <c r="B216" s="93"/>
      <c r="C216" s="43" t="s">
        <v>35</v>
      </c>
      <c r="D216" s="42">
        <v>1</v>
      </c>
      <c r="E216" s="41">
        <v>3.1496062992125983E-4</v>
      </c>
    </row>
    <row r="217" spans="2:5" ht="15" customHeight="1">
      <c r="B217" s="93"/>
      <c r="C217" s="43" t="s">
        <v>43</v>
      </c>
      <c r="D217" s="42">
        <v>2</v>
      </c>
      <c r="E217" s="41">
        <v>6.2992125984251965E-4</v>
      </c>
    </row>
    <row r="218" spans="2:5" ht="15" customHeight="1">
      <c r="B218" s="93"/>
      <c r="C218" s="43" t="s">
        <v>34</v>
      </c>
      <c r="D218" s="42">
        <v>1</v>
      </c>
      <c r="E218" s="41">
        <v>3.1496062992125983E-4</v>
      </c>
    </row>
    <row r="219" spans="2:5" ht="15" customHeight="1">
      <c r="B219" s="93"/>
      <c r="C219" s="43" t="s">
        <v>45</v>
      </c>
      <c r="D219" s="42">
        <v>2</v>
      </c>
      <c r="E219" s="41">
        <v>6.2992125984251965E-4</v>
      </c>
    </row>
    <row r="220" spans="2:5" ht="15" customHeight="1">
      <c r="B220" s="93"/>
      <c r="C220" s="43" t="s">
        <v>42</v>
      </c>
      <c r="D220" s="42">
        <v>5</v>
      </c>
      <c r="E220" s="41">
        <v>1.5748031496062992E-3</v>
      </c>
    </row>
    <row r="221" spans="2:5" ht="15" customHeight="1">
      <c r="B221" s="93"/>
      <c r="C221" s="43" t="s">
        <v>49</v>
      </c>
      <c r="D221" s="42">
        <v>2</v>
      </c>
      <c r="E221" s="41">
        <v>6.2992125984251965E-4</v>
      </c>
    </row>
    <row r="222" spans="2:5" ht="15" customHeight="1">
      <c r="B222" s="93"/>
      <c r="C222" s="43" t="s">
        <v>60</v>
      </c>
      <c r="D222" s="42">
        <v>21</v>
      </c>
      <c r="E222" s="41">
        <v>6.6141732283464564E-3</v>
      </c>
    </row>
    <row r="223" spans="2:5" ht="15" customHeight="1">
      <c r="B223" s="93"/>
      <c r="C223" s="43" t="s">
        <v>48</v>
      </c>
      <c r="D223" s="42">
        <v>2</v>
      </c>
      <c r="E223" s="41">
        <v>6.2992125984251965E-4</v>
      </c>
    </row>
    <row r="224" spans="2:5" ht="15" customHeight="1">
      <c r="B224" s="93"/>
      <c r="C224" s="43" t="s">
        <v>31</v>
      </c>
      <c r="D224" s="42">
        <v>1</v>
      </c>
      <c r="E224" s="41">
        <v>3.1496062992125983E-4</v>
      </c>
    </row>
    <row r="225" spans="2:5" ht="15" customHeight="1">
      <c r="B225" s="93"/>
      <c r="C225" s="43" t="s">
        <v>51</v>
      </c>
      <c r="D225" s="42">
        <v>7</v>
      </c>
      <c r="E225" s="41">
        <v>2.204724409448819E-3</v>
      </c>
    </row>
    <row r="226" spans="2:5" ht="15" customHeight="1">
      <c r="B226" s="93"/>
      <c r="C226" s="43" t="s">
        <v>50</v>
      </c>
      <c r="D226" s="42">
        <v>3</v>
      </c>
      <c r="E226" s="41">
        <v>9.4488188976377954E-4</v>
      </c>
    </row>
    <row r="227" spans="2:5" ht="15" customHeight="1">
      <c r="B227" s="93"/>
      <c r="C227" s="43" t="s">
        <v>62</v>
      </c>
      <c r="D227" s="42">
        <v>47</v>
      </c>
      <c r="E227" s="41">
        <v>1.4803149606299212E-2</v>
      </c>
    </row>
    <row r="228" spans="2:5" ht="15" customHeight="1">
      <c r="B228" s="93"/>
      <c r="C228" s="43" t="s">
        <v>40</v>
      </c>
      <c r="D228" s="42">
        <v>1</v>
      </c>
      <c r="E228" s="41">
        <v>3.1496062992125983E-4</v>
      </c>
    </row>
    <row r="229" spans="2:5" ht="15" customHeight="1">
      <c r="B229" s="93"/>
      <c r="C229" s="43" t="s">
        <v>46</v>
      </c>
      <c r="D229" s="42">
        <v>5</v>
      </c>
      <c r="E229" s="41">
        <v>1.5748031496062992E-3</v>
      </c>
    </row>
    <row r="230" spans="2:5" ht="15" customHeight="1">
      <c r="B230" s="93"/>
      <c r="C230" s="43" t="s">
        <v>57</v>
      </c>
      <c r="D230" s="42">
        <v>4</v>
      </c>
      <c r="E230" s="41">
        <v>1.2598425196850393E-3</v>
      </c>
    </row>
    <row r="231" spans="2:5" ht="15" customHeight="1">
      <c r="B231" s="93"/>
      <c r="C231" s="43" t="s">
        <v>47</v>
      </c>
      <c r="D231" s="42">
        <v>3</v>
      </c>
      <c r="E231" s="41">
        <v>9.4488188976377954E-4</v>
      </c>
    </row>
    <row r="232" spans="2:5" ht="15" customHeight="1">
      <c r="B232" s="93"/>
      <c r="C232" s="43" t="s">
        <v>21</v>
      </c>
      <c r="D232" s="42">
        <v>1</v>
      </c>
      <c r="E232" s="41">
        <v>3.1496062992125983E-4</v>
      </c>
    </row>
    <row r="233" spans="2:5" ht="15" customHeight="1">
      <c r="B233" s="94"/>
      <c r="C233" s="40" t="s">
        <v>20</v>
      </c>
      <c r="D233" s="39">
        <v>158</v>
      </c>
      <c r="E233" s="38">
        <v>4.9763779527559053E-2</v>
      </c>
    </row>
    <row r="234" spans="2:5" ht="15" customHeight="1">
      <c r="B234" s="92" t="s">
        <v>140</v>
      </c>
      <c r="C234" s="43" t="s">
        <v>56</v>
      </c>
      <c r="D234" s="42">
        <v>32</v>
      </c>
      <c r="E234" s="41">
        <v>1.0078740157480314E-2</v>
      </c>
    </row>
    <row r="235" spans="2:5" ht="15" customHeight="1">
      <c r="B235" s="93"/>
      <c r="C235" s="43" t="s">
        <v>38</v>
      </c>
      <c r="D235" s="42">
        <v>19</v>
      </c>
      <c r="E235" s="41">
        <v>5.9842519685039371E-3</v>
      </c>
    </row>
    <row r="236" spans="2:5" ht="15" customHeight="1">
      <c r="B236" s="93"/>
      <c r="C236" s="43" t="s">
        <v>39</v>
      </c>
      <c r="D236" s="42">
        <v>6</v>
      </c>
      <c r="E236" s="41">
        <v>1.8897637795275591E-3</v>
      </c>
    </row>
    <row r="237" spans="2:5" ht="15" customHeight="1">
      <c r="B237" s="93"/>
      <c r="C237" s="43" t="s">
        <v>61</v>
      </c>
      <c r="D237" s="42">
        <v>83</v>
      </c>
      <c r="E237" s="41">
        <v>2.6141732283464569E-2</v>
      </c>
    </row>
    <row r="238" spans="2:5" ht="15" customHeight="1">
      <c r="B238" s="93"/>
      <c r="C238" s="43" t="s">
        <v>52</v>
      </c>
      <c r="D238" s="42">
        <v>13</v>
      </c>
      <c r="E238" s="41">
        <v>4.0944881889763782E-3</v>
      </c>
    </row>
    <row r="239" spans="2:5" ht="15" customHeight="1">
      <c r="B239" s="93"/>
      <c r="C239" s="43" t="s">
        <v>30</v>
      </c>
      <c r="D239" s="42">
        <v>4</v>
      </c>
      <c r="E239" s="41">
        <v>1.2598425196850393E-3</v>
      </c>
    </row>
    <row r="240" spans="2:5" ht="15" customHeight="1">
      <c r="B240" s="93"/>
      <c r="C240" s="43" t="s">
        <v>25</v>
      </c>
      <c r="D240" s="42">
        <v>1</v>
      </c>
      <c r="E240" s="41">
        <v>3.1496062992125983E-4</v>
      </c>
    </row>
    <row r="241" spans="2:5" ht="15" customHeight="1">
      <c r="B241" s="93"/>
      <c r="C241" s="43" t="s">
        <v>59</v>
      </c>
      <c r="D241" s="42">
        <v>70</v>
      </c>
      <c r="E241" s="41">
        <v>2.2047244094488189E-2</v>
      </c>
    </row>
    <row r="242" spans="2:5" ht="15" customHeight="1">
      <c r="B242" s="93"/>
      <c r="C242" s="43" t="s">
        <v>58</v>
      </c>
      <c r="D242" s="42">
        <v>40</v>
      </c>
      <c r="E242" s="41">
        <v>1.2598425196850394E-2</v>
      </c>
    </row>
    <row r="243" spans="2:5" ht="15" customHeight="1">
      <c r="B243" s="93"/>
      <c r="C243" s="43" t="s">
        <v>24</v>
      </c>
      <c r="D243" s="42">
        <v>5</v>
      </c>
      <c r="E243" s="41">
        <v>1.5748031496062992E-3</v>
      </c>
    </row>
    <row r="244" spans="2:5" ht="15" customHeight="1">
      <c r="B244" s="93"/>
      <c r="C244" s="43" t="s">
        <v>54</v>
      </c>
      <c r="D244" s="42">
        <v>37</v>
      </c>
      <c r="E244" s="41">
        <v>1.1653543307086614E-2</v>
      </c>
    </row>
    <row r="245" spans="2:5" ht="15" customHeight="1">
      <c r="B245" s="93"/>
      <c r="C245" s="43" t="s">
        <v>55</v>
      </c>
      <c r="D245" s="42">
        <v>41</v>
      </c>
      <c r="E245" s="41">
        <v>1.2913385826771654E-2</v>
      </c>
    </row>
    <row r="246" spans="2:5" ht="15" customHeight="1">
      <c r="B246" s="93"/>
      <c r="C246" s="43" t="s">
        <v>29</v>
      </c>
      <c r="D246" s="42">
        <v>5</v>
      </c>
      <c r="E246" s="41">
        <v>1.5748031496062992E-3</v>
      </c>
    </row>
    <row r="247" spans="2:5" ht="15" customHeight="1">
      <c r="B247" s="93"/>
      <c r="C247" s="43" t="s">
        <v>27</v>
      </c>
      <c r="D247" s="42">
        <v>2</v>
      </c>
      <c r="E247" s="41">
        <v>6.2992125984251965E-4</v>
      </c>
    </row>
    <row r="248" spans="2:5" ht="15" customHeight="1">
      <c r="B248" s="93"/>
      <c r="C248" s="43" t="s">
        <v>41</v>
      </c>
      <c r="D248" s="42">
        <v>5</v>
      </c>
      <c r="E248" s="41">
        <v>1.5748031496062992E-3</v>
      </c>
    </row>
    <row r="249" spans="2:5" ht="15" customHeight="1">
      <c r="B249" s="93"/>
      <c r="C249" s="43" t="s">
        <v>53</v>
      </c>
      <c r="D249" s="42">
        <v>19</v>
      </c>
      <c r="E249" s="41">
        <v>5.9842519685039371E-3</v>
      </c>
    </row>
    <row r="250" spans="2:5" ht="15" customHeight="1">
      <c r="B250" s="93"/>
      <c r="C250" s="43" t="s">
        <v>35</v>
      </c>
      <c r="D250" s="42">
        <v>8</v>
      </c>
      <c r="E250" s="41">
        <v>2.5196850393700786E-3</v>
      </c>
    </row>
    <row r="251" spans="2:5" ht="15" customHeight="1">
      <c r="B251" s="93"/>
      <c r="C251" s="43" t="s">
        <v>22</v>
      </c>
      <c r="D251" s="42">
        <v>3</v>
      </c>
      <c r="E251" s="41">
        <v>9.4488188976377954E-4</v>
      </c>
    </row>
    <row r="252" spans="2:5" ht="15" customHeight="1">
      <c r="B252" s="93"/>
      <c r="C252" s="43" t="s">
        <v>43</v>
      </c>
      <c r="D252" s="42">
        <v>8</v>
      </c>
      <c r="E252" s="41">
        <v>2.5196850393700786E-3</v>
      </c>
    </row>
    <row r="253" spans="2:5" ht="15" customHeight="1">
      <c r="B253" s="93"/>
      <c r="C253" s="43" t="s">
        <v>34</v>
      </c>
      <c r="D253" s="42">
        <v>11</v>
      </c>
      <c r="E253" s="41">
        <v>3.4645669291338585E-3</v>
      </c>
    </row>
    <row r="254" spans="2:5" ht="15" customHeight="1">
      <c r="B254" s="93"/>
      <c r="C254" s="43" t="s">
        <v>45</v>
      </c>
      <c r="D254" s="42">
        <v>10</v>
      </c>
      <c r="E254" s="41">
        <v>3.1496062992125984E-3</v>
      </c>
    </row>
    <row r="255" spans="2:5" ht="15" customHeight="1">
      <c r="B255" s="93"/>
      <c r="C255" s="43" t="s">
        <v>42</v>
      </c>
      <c r="D255" s="42">
        <v>6</v>
      </c>
      <c r="E255" s="41">
        <v>1.8897637795275591E-3</v>
      </c>
    </row>
    <row r="256" spans="2:5" ht="15" customHeight="1">
      <c r="B256" s="93"/>
      <c r="C256" s="43" t="s">
        <v>32</v>
      </c>
      <c r="D256" s="42">
        <v>7</v>
      </c>
      <c r="E256" s="41">
        <v>2.204724409448819E-3</v>
      </c>
    </row>
    <row r="257" spans="2:5" ht="15" customHeight="1">
      <c r="B257" s="93"/>
      <c r="C257" s="43" t="s">
        <v>44</v>
      </c>
      <c r="D257" s="42">
        <v>12</v>
      </c>
      <c r="E257" s="41">
        <v>3.7795275590551181E-3</v>
      </c>
    </row>
    <row r="258" spans="2:5" ht="15" customHeight="1">
      <c r="B258" s="93"/>
      <c r="C258" s="43" t="s">
        <v>197</v>
      </c>
      <c r="D258" s="42">
        <v>1</v>
      </c>
      <c r="E258" s="41">
        <v>3.1496062992125983E-4</v>
      </c>
    </row>
    <row r="259" spans="2:5" ht="15" customHeight="1">
      <c r="B259" s="93"/>
      <c r="C259" s="43" t="s">
        <v>37</v>
      </c>
      <c r="D259" s="42">
        <v>10</v>
      </c>
      <c r="E259" s="41">
        <v>3.1496062992125984E-3</v>
      </c>
    </row>
    <row r="260" spans="2:5" ht="15" customHeight="1">
      <c r="B260" s="93"/>
      <c r="C260" s="43" t="s">
        <v>28</v>
      </c>
      <c r="D260" s="42">
        <v>2</v>
      </c>
      <c r="E260" s="41">
        <v>6.2992125984251965E-4</v>
      </c>
    </row>
    <row r="261" spans="2:5" ht="15" customHeight="1">
      <c r="B261" s="93"/>
      <c r="C261" s="43" t="s">
        <v>49</v>
      </c>
      <c r="D261" s="42">
        <v>28</v>
      </c>
      <c r="E261" s="41">
        <v>8.8188976377952758E-3</v>
      </c>
    </row>
    <row r="262" spans="2:5" ht="15" customHeight="1">
      <c r="B262" s="93"/>
      <c r="C262" s="43" t="s">
        <v>60</v>
      </c>
      <c r="D262" s="42">
        <v>107</v>
      </c>
      <c r="E262" s="41">
        <v>3.3700787401574804E-2</v>
      </c>
    </row>
    <row r="263" spans="2:5" ht="15" customHeight="1">
      <c r="B263" s="93"/>
      <c r="C263" s="43" t="s">
        <v>36</v>
      </c>
      <c r="D263" s="42">
        <v>9</v>
      </c>
      <c r="E263" s="41">
        <v>2.8346456692913387E-3</v>
      </c>
    </row>
    <row r="264" spans="2:5" ht="15" customHeight="1">
      <c r="B264" s="93"/>
      <c r="C264" s="43" t="s">
        <v>48</v>
      </c>
      <c r="D264" s="42">
        <v>20</v>
      </c>
      <c r="E264" s="41">
        <v>6.2992125984251968E-3</v>
      </c>
    </row>
    <row r="265" spans="2:5" ht="15" customHeight="1">
      <c r="B265" s="93"/>
      <c r="C265" s="43" t="s">
        <v>31</v>
      </c>
      <c r="D265" s="42">
        <v>1</v>
      </c>
      <c r="E265" s="41">
        <v>3.1496062992125983E-4</v>
      </c>
    </row>
    <row r="266" spans="2:5" ht="15" customHeight="1">
      <c r="B266" s="93"/>
      <c r="C266" s="43" t="s">
        <v>26</v>
      </c>
      <c r="D266" s="42">
        <v>6</v>
      </c>
      <c r="E266" s="41">
        <v>1.8897637795275591E-3</v>
      </c>
    </row>
    <row r="267" spans="2:5" ht="15" customHeight="1">
      <c r="B267" s="93"/>
      <c r="C267" s="43" t="s">
        <v>202</v>
      </c>
      <c r="D267" s="42">
        <v>1</v>
      </c>
      <c r="E267" s="41">
        <v>3.1496062992125983E-4</v>
      </c>
    </row>
    <row r="268" spans="2:5" ht="15" customHeight="1">
      <c r="B268" s="93"/>
      <c r="C268" s="43" t="s">
        <v>51</v>
      </c>
      <c r="D268" s="42">
        <v>45</v>
      </c>
      <c r="E268" s="41">
        <v>1.4173228346456693E-2</v>
      </c>
    </row>
    <row r="269" spans="2:5" ht="15" customHeight="1">
      <c r="B269" s="93"/>
      <c r="C269" s="43" t="s">
        <v>50</v>
      </c>
      <c r="D269" s="42">
        <v>20</v>
      </c>
      <c r="E269" s="41">
        <v>6.2992125984251968E-3</v>
      </c>
    </row>
    <row r="270" spans="2:5" ht="15" customHeight="1">
      <c r="B270" s="93"/>
      <c r="C270" s="43" t="s">
        <v>62</v>
      </c>
      <c r="D270" s="42">
        <v>249</v>
      </c>
      <c r="E270" s="41">
        <v>7.8425196850393702E-2</v>
      </c>
    </row>
    <row r="271" spans="2:5" ht="15" customHeight="1">
      <c r="B271" s="93"/>
      <c r="C271" s="43" t="s">
        <v>40</v>
      </c>
      <c r="D271" s="42">
        <v>13</v>
      </c>
      <c r="E271" s="41">
        <v>4.0944881889763782E-3</v>
      </c>
    </row>
    <row r="272" spans="2:5" ht="15" customHeight="1">
      <c r="B272" s="93"/>
      <c r="C272" s="43" t="s">
        <v>46</v>
      </c>
      <c r="D272" s="42">
        <v>15</v>
      </c>
      <c r="E272" s="41">
        <v>4.7244094488188976E-3</v>
      </c>
    </row>
    <row r="273" spans="2:5" ht="15" customHeight="1">
      <c r="B273" s="93"/>
      <c r="C273" s="43" t="s">
        <v>57</v>
      </c>
      <c r="D273" s="42">
        <v>44</v>
      </c>
      <c r="E273" s="41">
        <v>1.3858267716535434E-2</v>
      </c>
    </row>
    <row r="274" spans="2:5" ht="15" customHeight="1">
      <c r="B274" s="93"/>
      <c r="C274" s="43" t="s">
        <v>33</v>
      </c>
      <c r="D274" s="42">
        <v>4</v>
      </c>
      <c r="E274" s="41">
        <v>1.2598425196850393E-3</v>
      </c>
    </row>
    <row r="275" spans="2:5" ht="15" customHeight="1">
      <c r="B275" s="93"/>
      <c r="C275" s="43" t="s">
        <v>47</v>
      </c>
      <c r="D275" s="42">
        <v>17</v>
      </c>
      <c r="E275" s="41">
        <v>5.3543307086614169E-3</v>
      </c>
    </row>
    <row r="276" spans="2:5" ht="15" customHeight="1">
      <c r="B276" s="93"/>
      <c r="C276" s="43" t="s">
        <v>21</v>
      </c>
      <c r="D276" s="42">
        <v>1</v>
      </c>
      <c r="E276" s="41">
        <v>3.1496062992125983E-4</v>
      </c>
    </row>
    <row r="277" spans="2:5" ht="15" customHeight="1">
      <c r="B277" s="94"/>
      <c r="C277" s="40" t="s">
        <v>20</v>
      </c>
      <c r="D277" s="39">
        <v>1040</v>
      </c>
      <c r="E277" s="38">
        <v>0.32755905511811023</v>
      </c>
    </row>
    <row r="278" spans="2:5" ht="15" customHeight="1">
      <c r="B278" s="92" t="s">
        <v>139</v>
      </c>
      <c r="C278" s="43" t="s">
        <v>61</v>
      </c>
      <c r="D278" s="42">
        <v>5</v>
      </c>
      <c r="E278" s="41">
        <v>1.5748031496062992E-3</v>
      </c>
    </row>
    <row r="279" spans="2:5" ht="15" customHeight="1">
      <c r="B279" s="93"/>
      <c r="C279" s="43" t="s">
        <v>59</v>
      </c>
      <c r="D279" s="42">
        <v>2</v>
      </c>
      <c r="E279" s="41">
        <v>6.2992125984251965E-4</v>
      </c>
    </row>
    <row r="280" spans="2:5" ht="15" customHeight="1">
      <c r="B280" s="93"/>
      <c r="C280" s="43" t="s">
        <v>54</v>
      </c>
      <c r="D280" s="42">
        <v>2</v>
      </c>
      <c r="E280" s="41">
        <v>6.2992125984251965E-4</v>
      </c>
    </row>
    <row r="281" spans="2:5" ht="15" customHeight="1">
      <c r="B281" s="93"/>
      <c r="C281" s="43" t="s">
        <v>55</v>
      </c>
      <c r="D281" s="42">
        <v>2</v>
      </c>
      <c r="E281" s="41">
        <v>6.2992125984251965E-4</v>
      </c>
    </row>
    <row r="282" spans="2:5" ht="15" customHeight="1">
      <c r="B282" s="93"/>
      <c r="C282" s="43" t="s">
        <v>43</v>
      </c>
      <c r="D282" s="42">
        <v>1</v>
      </c>
      <c r="E282" s="41">
        <v>3.1496062992125983E-4</v>
      </c>
    </row>
    <row r="283" spans="2:5" ht="15" customHeight="1">
      <c r="B283" s="93"/>
      <c r="C283" s="43" t="s">
        <v>45</v>
      </c>
      <c r="D283" s="42">
        <v>1</v>
      </c>
      <c r="E283" s="41">
        <v>3.1496062992125983E-4</v>
      </c>
    </row>
    <row r="284" spans="2:5" ht="15" customHeight="1">
      <c r="B284" s="93"/>
      <c r="C284" s="43" t="s">
        <v>49</v>
      </c>
      <c r="D284" s="42">
        <v>1</v>
      </c>
      <c r="E284" s="41">
        <v>3.1496062992125983E-4</v>
      </c>
    </row>
    <row r="285" spans="2:5" ht="15" customHeight="1">
      <c r="B285" s="93"/>
      <c r="C285" s="43" t="s">
        <v>60</v>
      </c>
      <c r="D285" s="42">
        <v>2</v>
      </c>
      <c r="E285" s="41">
        <v>6.2992125984251965E-4</v>
      </c>
    </row>
    <row r="286" spans="2:5" ht="15" customHeight="1">
      <c r="B286" s="93"/>
      <c r="C286" s="43" t="s">
        <v>51</v>
      </c>
      <c r="D286" s="42">
        <v>2</v>
      </c>
      <c r="E286" s="41">
        <v>6.2992125984251965E-4</v>
      </c>
    </row>
    <row r="287" spans="2:5" ht="15" customHeight="1">
      <c r="B287" s="93"/>
      <c r="C287" s="43" t="s">
        <v>50</v>
      </c>
      <c r="D287" s="42">
        <v>2</v>
      </c>
      <c r="E287" s="41">
        <v>6.2992125984251965E-4</v>
      </c>
    </row>
    <row r="288" spans="2:5" ht="15" customHeight="1">
      <c r="B288" s="93"/>
      <c r="C288" s="43" t="s">
        <v>62</v>
      </c>
      <c r="D288" s="42">
        <v>6</v>
      </c>
      <c r="E288" s="41">
        <v>1.8897637795275591E-3</v>
      </c>
    </row>
    <row r="289" spans="2:5" ht="15" customHeight="1">
      <c r="B289" s="93"/>
      <c r="C289" s="43" t="s">
        <v>57</v>
      </c>
      <c r="D289" s="42">
        <v>2</v>
      </c>
      <c r="E289" s="41">
        <v>6.2992125984251965E-4</v>
      </c>
    </row>
    <row r="290" spans="2:5" ht="15" customHeight="1">
      <c r="B290" s="94"/>
      <c r="C290" s="40" t="s">
        <v>20</v>
      </c>
      <c r="D290" s="39">
        <v>28</v>
      </c>
      <c r="E290" s="38">
        <v>8.8188976377952758E-3</v>
      </c>
    </row>
    <row r="291" spans="2:5" ht="15" customHeight="1">
      <c r="B291" s="92" t="s">
        <v>138</v>
      </c>
      <c r="C291" s="43" t="s">
        <v>56</v>
      </c>
      <c r="D291" s="42">
        <v>3</v>
      </c>
      <c r="E291" s="41">
        <v>9.4488188976377954E-4</v>
      </c>
    </row>
    <row r="292" spans="2:5" ht="15" customHeight="1">
      <c r="B292" s="93"/>
      <c r="C292" s="43" t="s">
        <v>38</v>
      </c>
      <c r="D292" s="42">
        <v>2</v>
      </c>
      <c r="E292" s="41">
        <v>6.2992125984251965E-4</v>
      </c>
    </row>
    <row r="293" spans="2:5" ht="15" customHeight="1">
      <c r="B293" s="93"/>
      <c r="C293" s="43" t="s">
        <v>39</v>
      </c>
      <c r="D293" s="42">
        <v>2</v>
      </c>
      <c r="E293" s="41">
        <v>6.2992125984251965E-4</v>
      </c>
    </row>
    <row r="294" spans="2:5" ht="15" customHeight="1">
      <c r="B294" s="93"/>
      <c r="C294" s="43" t="s">
        <v>61</v>
      </c>
      <c r="D294" s="42">
        <v>24</v>
      </c>
      <c r="E294" s="41">
        <v>7.5590551181102363E-3</v>
      </c>
    </row>
    <row r="295" spans="2:5" ht="15" customHeight="1">
      <c r="B295" s="93"/>
      <c r="C295" s="43" t="s">
        <v>52</v>
      </c>
      <c r="D295" s="42">
        <v>4</v>
      </c>
      <c r="E295" s="41">
        <v>1.2598425196850393E-3</v>
      </c>
    </row>
    <row r="296" spans="2:5" ht="15" customHeight="1">
      <c r="B296" s="93"/>
      <c r="C296" s="43" t="s">
        <v>30</v>
      </c>
      <c r="D296" s="42">
        <v>1</v>
      </c>
      <c r="E296" s="41">
        <v>3.1496062992125983E-4</v>
      </c>
    </row>
    <row r="297" spans="2:5" ht="15" customHeight="1">
      <c r="B297" s="93"/>
      <c r="C297" s="43" t="s">
        <v>59</v>
      </c>
      <c r="D297" s="42">
        <v>13</v>
      </c>
      <c r="E297" s="41">
        <v>4.0944881889763782E-3</v>
      </c>
    </row>
    <row r="298" spans="2:5" ht="15" customHeight="1">
      <c r="B298" s="93"/>
      <c r="C298" s="43" t="s">
        <v>58</v>
      </c>
      <c r="D298" s="42">
        <v>10</v>
      </c>
      <c r="E298" s="41">
        <v>3.1496062992125984E-3</v>
      </c>
    </row>
    <row r="299" spans="2:5" ht="15" customHeight="1">
      <c r="B299" s="93"/>
      <c r="C299" s="43" t="s">
        <v>54</v>
      </c>
      <c r="D299" s="42">
        <v>2</v>
      </c>
      <c r="E299" s="41">
        <v>6.2992125984251965E-4</v>
      </c>
    </row>
    <row r="300" spans="2:5" ht="15" customHeight="1">
      <c r="B300" s="93"/>
      <c r="C300" s="43" t="s">
        <v>55</v>
      </c>
      <c r="D300" s="42">
        <v>5</v>
      </c>
      <c r="E300" s="41">
        <v>1.5748031496062992E-3</v>
      </c>
    </row>
    <row r="301" spans="2:5" ht="15" customHeight="1">
      <c r="B301" s="93"/>
      <c r="C301" s="43" t="s">
        <v>27</v>
      </c>
      <c r="D301" s="42">
        <v>2</v>
      </c>
      <c r="E301" s="41">
        <v>6.2992125984251965E-4</v>
      </c>
    </row>
    <row r="302" spans="2:5" ht="15" customHeight="1">
      <c r="B302" s="93"/>
      <c r="C302" s="43" t="s">
        <v>41</v>
      </c>
      <c r="D302" s="42">
        <v>2</v>
      </c>
      <c r="E302" s="41">
        <v>6.2992125984251965E-4</v>
      </c>
    </row>
    <row r="303" spans="2:5" ht="15" customHeight="1">
      <c r="B303" s="93"/>
      <c r="C303" s="43" t="s">
        <v>53</v>
      </c>
      <c r="D303" s="42">
        <v>5</v>
      </c>
      <c r="E303" s="41">
        <v>1.5748031496062992E-3</v>
      </c>
    </row>
    <row r="304" spans="2:5" ht="15" customHeight="1">
      <c r="B304" s="93"/>
      <c r="C304" s="43" t="s">
        <v>35</v>
      </c>
      <c r="D304" s="42">
        <v>1</v>
      </c>
      <c r="E304" s="41">
        <v>3.1496062992125983E-4</v>
      </c>
    </row>
    <row r="305" spans="2:5" ht="15" customHeight="1">
      <c r="B305" s="93"/>
      <c r="C305" s="43" t="s">
        <v>34</v>
      </c>
      <c r="D305" s="42">
        <v>2</v>
      </c>
      <c r="E305" s="41">
        <v>6.2992125984251965E-4</v>
      </c>
    </row>
    <row r="306" spans="2:5" ht="15" customHeight="1">
      <c r="B306" s="93"/>
      <c r="C306" s="43" t="s">
        <v>45</v>
      </c>
      <c r="D306" s="42">
        <v>1</v>
      </c>
      <c r="E306" s="41">
        <v>3.1496062992125983E-4</v>
      </c>
    </row>
    <row r="307" spans="2:5" ht="15" customHeight="1">
      <c r="B307" s="93"/>
      <c r="C307" s="43" t="s">
        <v>42</v>
      </c>
      <c r="D307" s="42">
        <v>1</v>
      </c>
      <c r="E307" s="41">
        <v>3.1496062992125983E-4</v>
      </c>
    </row>
    <row r="308" spans="2:5" ht="15" customHeight="1">
      <c r="B308" s="93"/>
      <c r="C308" s="43" t="s">
        <v>44</v>
      </c>
      <c r="D308" s="42">
        <v>1</v>
      </c>
      <c r="E308" s="41">
        <v>3.1496062992125983E-4</v>
      </c>
    </row>
    <row r="309" spans="2:5" ht="15" customHeight="1">
      <c r="B309" s="93"/>
      <c r="C309" s="43" t="s">
        <v>37</v>
      </c>
      <c r="D309" s="42">
        <v>2</v>
      </c>
      <c r="E309" s="41">
        <v>6.2992125984251965E-4</v>
      </c>
    </row>
    <row r="310" spans="2:5" ht="15" customHeight="1">
      <c r="B310" s="93"/>
      <c r="C310" s="43" t="s">
        <v>28</v>
      </c>
      <c r="D310" s="42">
        <v>2</v>
      </c>
      <c r="E310" s="41">
        <v>6.2992125984251965E-4</v>
      </c>
    </row>
    <row r="311" spans="2:5" ht="15" customHeight="1">
      <c r="B311" s="93"/>
      <c r="C311" s="43" t="s">
        <v>49</v>
      </c>
      <c r="D311" s="42">
        <v>4</v>
      </c>
      <c r="E311" s="41">
        <v>1.2598425196850393E-3</v>
      </c>
    </row>
    <row r="312" spans="2:5" ht="15" customHeight="1">
      <c r="B312" s="93"/>
      <c r="C312" s="43" t="s">
        <v>60</v>
      </c>
      <c r="D312" s="42">
        <v>18</v>
      </c>
      <c r="E312" s="41">
        <v>5.6692913385826774E-3</v>
      </c>
    </row>
    <row r="313" spans="2:5" ht="15" customHeight="1">
      <c r="B313" s="93"/>
      <c r="C313" s="43" t="s">
        <v>36</v>
      </c>
      <c r="D313" s="42">
        <v>3</v>
      </c>
      <c r="E313" s="41">
        <v>9.4488188976377954E-4</v>
      </c>
    </row>
    <row r="314" spans="2:5" ht="15" customHeight="1">
      <c r="B314" s="93"/>
      <c r="C314" s="43" t="s">
        <v>48</v>
      </c>
      <c r="D314" s="42">
        <v>2</v>
      </c>
      <c r="E314" s="41">
        <v>6.2992125984251965E-4</v>
      </c>
    </row>
    <row r="315" spans="2:5" ht="15" customHeight="1">
      <c r="B315" s="93"/>
      <c r="C315" s="43" t="s">
        <v>31</v>
      </c>
      <c r="D315" s="42">
        <v>1</v>
      </c>
      <c r="E315" s="41">
        <v>3.1496062992125983E-4</v>
      </c>
    </row>
    <row r="316" spans="2:5" ht="15" customHeight="1">
      <c r="B316" s="93"/>
      <c r="C316" s="43" t="s">
        <v>26</v>
      </c>
      <c r="D316" s="42">
        <v>2</v>
      </c>
      <c r="E316" s="41">
        <v>6.2992125984251965E-4</v>
      </c>
    </row>
    <row r="317" spans="2:5" ht="15" customHeight="1">
      <c r="B317" s="93"/>
      <c r="C317" s="43" t="s">
        <v>51</v>
      </c>
      <c r="D317" s="42">
        <v>3</v>
      </c>
      <c r="E317" s="41">
        <v>9.4488188976377954E-4</v>
      </c>
    </row>
    <row r="318" spans="2:5" ht="15" customHeight="1">
      <c r="B318" s="93"/>
      <c r="C318" s="43" t="s">
        <v>50</v>
      </c>
      <c r="D318" s="42">
        <v>3</v>
      </c>
      <c r="E318" s="41">
        <v>9.4488188976377954E-4</v>
      </c>
    </row>
    <row r="319" spans="2:5" ht="15" customHeight="1">
      <c r="B319" s="93"/>
      <c r="C319" s="43" t="s">
        <v>62</v>
      </c>
      <c r="D319" s="42">
        <v>40</v>
      </c>
      <c r="E319" s="41">
        <v>1.2598425196850394E-2</v>
      </c>
    </row>
    <row r="320" spans="2:5" ht="15" customHeight="1">
      <c r="B320" s="93"/>
      <c r="C320" s="43" t="s">
        <v>40</v>
      </c>
      <c r="D320" s="42">
        <v>3</v>
      </c>
      <c r="E320" s="41">
        <v>9.4488188976377954E-4</v>
      </c>
    </row>
    <row r="321" spans="2:5" ht="15" customHeight="1">
      <c r="B321" s="93"/>
      <c r="C321" s="43" t="s">
        <v>46</v>
      </c>
      <c r="D321" s="42">
        <v>2</v>
      </c>
      <c r="E321" s="41">
        <v>6.2992125984251965E-4</v>
      </c>
    </row>
    <row r="322" spans="2:5" ht="15" customHeight="1">
      <c r="B322" s="93"/>
      <c r="C322" s="43" t="s">
        <v>57</v>
      </c>
      <c r="D322" s="42">
        <v>6</v>
      </c>
      <c r="E322" s="41">
        <v>1.8897637795275591E-3</v>
      </c>
    </row>
    <row r="323" spans="2:5" ht="15" customHeight="1">
      <c r="B323" s="93"/>
      <c r="C323" s="43" t="s">
        <v>33</v>
      </c>
      <c r="D323" s="42">
        <v>2</v>
      </c>
      <c r="E323" s="41">
        <v>6.2992125984251965E-4</v>
      </c>
    </row>
    <row r="324" spans="2:5" ht="15" customHeight="1">
      <c r="B324" s="93"/>
      <c r="C324" s="43" t="s">
        <v>47</v>
      </c>
      <c r="D324" s="42">
        <v>3</v>
      </c>
      <c r="E324" s="41">
        <v>9.4488188976377954E-4</v>
      </c>
    </row>
    <row r="325" spans="2:5" ht="15" customHeight="1">
      <c r="B325" s="94"/>
      <c r="C325" s="40" t="s">
        <v>20</v>
      </c>
      <c r="D325" s="39">
        <v>177</v>
      </c>
      <c r="E325" s="38">
        <v>5.5748031496062993E-2</v>
      </c>
    </row>
    <row r="326" spans="2:5" ht="15" customHeight="1">
      <c r="B326" s="92" t="s">
        <v>137</v>
      </c>
      <c r="C326" s="43" t="s">
        <v>56</v>
      </c>
      <c r="D326" s="42">
        <v>20</v>
      </c>
      <c r="E326" s="41">
        <v>6.2992125984251968E-3</v>
      </c>
    </row>
    <row r="327" spans="2:5" ht="15" customHeight="1">
      <c r="B327" s="93"/>
      <c r="C327" s="43" t="s">
        <v>38</v>
      </c>
      <c r="D327" s="42">
        <v>13</v>
      </c>
      <c r="E327" s="41">
        <v>4.0944881889763782E-3</v>
      </c>
    </row>
    <row r="328" spans="2:5" ht="15" customHeight="1">
      <c r="B328" s="93"/>
      <c r="C328" s="43" t="s">
        <v>39</v>
      </c>
      <c r="D328" s="42">
        <v>9</v>
      </c>
      <c r="E328" s="41">
        <v>2.8346456692913387E-3</v>
      </c>
    </row>
    <row r="329" spans="2:5" ht="15" customHeight="1">
      <c r="B329" s="93"/>
      <c r="C329" s="43" t="s">
        <v>61</v>
      </c>
      <c r="D329" s="42">
        <v>75</v>
      </c>
      <c r="E329" s="41">
        <v>2.3622047244094488E-2</v>
      </c>
    </row>
    <row r="330" spans="2:5" ht="15" customHeight="1">
      <c r="B330" s="93"/>
      <c r="C330" s="43" t="s">
        <v>52</v>
      </c>
      <c r="D330" s="42">
        <v>14</v>
      </c>
      <c r="E330" s="41">
        <v>4.4094488188976379E-3</v>
      </c>
    </row>
    <row r="331" spans="2:5" ht="15" customHeight="1">
      <c r="B331" s="93"/>
      <c r="C331" s="43" t="s">
        <v>30</v>
      </c>
      <c r="D331" s="42">
        <v>4</v>
      </c>
      <c r="E331" s="41">
        <v>1.2598425196850393E-3</v>
      </c>
    </row>
    <row r="332" spans="2:5" ht="15" customHeight="1">
      <c r="B332" s="93"/>
      <c r="C332" s="43" t="s">
        <v>25</v>
      </c>
      <c r="D332" s="42">
        <v>1</v>
      </c>
      <c r="E332" s="41">
        <v>3.1496062992125983E-4</v>
      </c>
    </row>
    <row r="333" spans="2:5" ht="15" customHeight="1">
      <c r="B333" s="93"/>
      <c r="C333" s="43" t="s">
        <v>59</v>
      </c>
      <c r="D333" s="42">
        <v>34</v>
      </c>
      <c r="E333" s="41">
        <v>1.0708661417322834E-2</v>
      </c>
    </row>
    <row r="334" spans="2:5" ht="15" customHeight="1">
      <c r="B334" s="93"/>
      <c r="C334" s="43" t="s">
        <v>58</v>
      </c>
      <c r="D334" s="42">
        <v>28</v>
      </c>
      <c r="E334" s="41">
        <v>8.8188976377952758E-3</v>
      </c>
    </row>
    <row r="335" spans="2:5" ht="15" customHeight="1">
      <c r="B335" s="93"/>
      <c r="C335" s="43" t="s">
        <v>24</v>
      </c>
      <c r="D335" s="42">
        <v>4</v>
      </c>
      <c r="E335" s="41">
        <v>1.2598425196850393E-3</v>
      </c>
    </row>
    <row r="336" spans="2:5" ht="15" customHeight="1">
      <c r="B336" s="93"/>
      <c r="C336" s="43" t="s">
        <v>54</v>
      </c>
      <c r="D336" s="42">
        <v>30</v>
      </c>
      <c r="E336" s="41">
        <v>9.4488188976377951E-3</v>
      </c>
    </row>
    <row r="337" spans="2:5" ht="15" customHeight="1">
      <c r="B337" s="93"/>
      <c r="C337" s="43" t="s">
        <v>55</v>
      </c>
      <c r="D337" s="42">
        <v>36</v>
      </c>
      <c r="E337" s="41">
        <v>1.1338582677165355E-2</v>
      </c>
    </row>
    <row r="338" spans="2:5" ht="15" customHeight="1">
      <c r="B338" s="93"/>
      <c r="C338" s="43" t="s">
        <v>29</v>
      </c>
      <c r="D338" s="42">
        <v>3</v>
      </c>
      <c r="E338" s="41">
        <v>9.4488188976377954E-4</v>
      </c>
    </row>
    <row r="339" spans="2:5" ht="15" customHeight="1">
      <c r="B339" s="93"/>
      <c r="C339" s="43" t="s">
        <v>27</v>
      </c>
      <c r="D339" s="42">
        <v>2</v>
      </c>
      <c r="E339" s="41">
        <v>6.2992125984251965E-4</v>
      </c>
    </row>
    <row r="340" spans="2:5" ht="15" customHeight="1">
      <c r="B340" s="93"/>
      <c r="C340" s="43" t="s">
        <v>41</v>
      </c>
      <c r="D340" s="42">
        <v>7</v>
      </c>
      <c r="E340" s="41">
        <v>2.204724409448819E-3</v>
      </c>
    </row>
    <row r="341" spans="2:5" ht="15" customHeight="1">
      <c r="B341" s="93"/>
      <c r="C341" s="43" t="s">
        <v>53</v>
      </c>
      <c r="D341" s="42">
        <v>21</v>
      </c>
      <c r="E341" s="41">
        <v>6.6141732283464564E-3</v>
      </c>
    </row>
    <row r="342" spans="2:5" ht="15" customHeight="1">
      <c r="B342" s="93"/>
      <c r="C342" s="43" t="s">
        <v>35</v>
      </c>
      <c r="D342" s="42">
        <v>4</v>
      </c>
      <c r="E342" s="41">
        <v>1.2598425196850393E-3</v>
      </c>
    </row>
    <row r="343" spans="2:5" ht="15" customHeight="1">
      <c r="B343" s="93"/>
      <c r="C343" s="43" t="s">
        <v>22</v>
      </c>
      <c r="D343" s="42">
        <v>2</v>
      </c>
      <c r="E343" s="41">
        <v>6.2992125984251965E-4</v>
      </c>
    </row>
    <row r="344" spans="2:5" ht="15" customHeight="1">
      <c r="B344" s="93"/>
      <c r="C344" s="43" t="s">
        <v>43</v>
      </c>
      <c r="D344" s="42">
        <v>6</v>
      </c>
      <c r="E344" s="41">
        <v>1.8897637795275591E-3</v>
      </c>
    </row>
    <row r="345" spans="2:5" ht="15" customHeight="1">
      <c r="B345" s="93"/>
      <c r="C345" s="43" t="s">
        <v>34</v>
      </c>
      <c r="D345" s="42">
        <v>5</v>
      </c>
      <c r="E345" s="41">
        <v>1.5748031496062992E-3</v>
      </c>
    </row>
    <row r="346" spans="2:5" ht="15" customHeight="1">
      <c r="B346" s="93"/>
      <c r="C346" s="43" t="s">
        <v>45</v>
      </c>
      <c r="D346" s="42">
        <v>12</v>
      </c>
      <c r="E346" s="41">
        <v>3.7795275590551181E-3</v>
      </c>
    </row>
    <row r="347" spans="2:5" ht="15" customHeight="1">
      <c r="B347" s="93"/>
      <c r="C347" s="43" t="s">
        <v>42</v>
      </c>
      <c r="D347" s="42">
        <v>10</v>
      </c>
      <c r="E347" s="41">
        <v>3.1496062992125984E-3</v>
      </c>
    </row>
    <row r="348" spans="2:5" ht="15" customHeight="1">
      <c r="B348" s="93"/>
      <c r="C348" s="43" t="s">
        <v>32</v>
      </c>
      <c r="D348" s="42">
        <v>6</v>
      </c>
      <c r="E348" s="41">
        <v>1.8897637795275591E-3</v>
      </c>
    </row>
    <row r="349" spans="2:5" ht="15" customHeight="1">
      <c r="B349" s="93"/>
      <c r="C349" s="43" t="s">
        <v>44</v>
      </c>
      <c r="D349" s="42">
        <v>8</v>
      </c>
      <c r="E349" s="41">
        <v>2.5196850393700786E-3</v>
      </c>
    </row>
    <row r="350" spans="2:5" ht="15" customHeight="1">
      <c r="B350" s="93"/>
      <c r="C350" s="43" t="s">
        <v>37</v>
      </c>
      <c r="D350" s="42">
        <v>8</v>
      </c>
      <c r="E350" s="41">
        <v>2.5196850393700786E-3</v>
      </c>
    </row>
    <row r="351" spans="2:5" ht="15" customHeight="1">
      <c r="B351" s="93"/>
      <c r="C351" s="43" t="s">
        <v>28</v>
      </c>
      <c r="D351" s="42">
        <v>1</v>
      </c>
      <c r="E351" s="41">
        <v>3.1496062992125983E-4</v>
      </c>
    </row>
    <row r="352" spans="2:5" ht="15" customHeight="1">
      <c r="B352" s="93"/>
      <c r="C352" s="43" t="s">
        <v>49</v>
      </c>
      <c r="D352" s="42">
        <v>14</v>
      </c>
      <c r="E352" s="41">
        <v>4.4094488188976379E-3</v>
      </c>
    </row>
    <row r="353" spans="2:5" ht="15" customHeight="1">
      <c r="B353" s="93"/>
      <c r="C353" s="43" t="s">
        <v>60</v>
      </c>
      <c r="D353" s="42">
        <v>62</v>
      </c>
      <c r="E353" s="41">
        <v>1.9527559055118111E-2</v>
      </c>
    </row>
    <row r="354" spans="2:5" ht="15" customHeight="1">
      <c r="B354" s="93"/>
      <c r="C354" s="43" t="s">
        <v>36</v>
      </c>
      <c r="D354" s="42">
        <v>3</v>
      </c>
      <c r="E354" s="41">
        <v>9.4488188976377954E-4</v>
      </c>
    </row>
    <row r="355" spans="2:5" ht="15" customHeight="1">
      <c r="B355" s="93"/>
      <c r="C355" s="43" t="s">
        <v>48</v>
      </c>
      <c r="D355" s="42">
        <v>13</v>
      </c>
      <c r="E355" s="41">
        <v>4.0944881889763782E-3</v>
      </c>
    </row>
    <row r="356" spans="2:5" ht="15" customHeight="1">
      <c r="B356" s="93"/>
      <c r="C356" s="43" t="s">
        <v>31</v>
      </c>
      <c r="D356" s="42">
        <v>2</v>
      </c>
      <c r="E356" s="41">
        <v>6.2992125984251965E-4</v>
      </c>
    </row>
    <row r="357" spans="2:5" ht="15" customHeight="1">
      <c r="B357" s="93"/>
      <c r="C357" s="43" t="s">
        <v>26</v>
      </c>
      <c r="D357" s="42">
        <v>5</v>
      </c>
      <c r="E357" s="41">
        <v>1.5748031496062992E-3</v>
      </c>
    </row>
    <row r="358" spans="2:5" ht="15" customHeight="1">
      <c r="B358" s="93"/>
      <c r="C358" s="43" t="s">
        <v>202</v>
      </c>
      <c r="D358" s="42">
        <v>1</v>
      </c>
      <c r="E358" s="41">
        <v>3.1496062992125983E-4</v>
      </c>
    </row>
    <row r="359" spans="2:5" ht="15" customHeight="1">
      <c r="B359" s="93"/>
      <c r="C359" s="43" t="s">
        <v>51</v>
      </c>
      <c r="D359" s="42">
        <v>40</v>
      </c>
      <c r="E359" s="41">
        <v>1.2598425196850394E-2</v>
      </c>
    </row>
    <row r="360" spans="2:5" ht="15" customHeight="1">
      <c r="B360" s="93"/>
      <c r="C360" s="43" t="s">
        <v>23</v>
      </c>
      <c r="D360" s="42">
        <v>1</v>
      </c>
      <c r="E360" s="41">
        <v>3.1496062992125983E-4</v>
      </c>
    </row>
    <row r="361" spans="2:5" ht="15" customHeight="1">
      <c r="B361" s="93"/>
      <c r="C361" s="43" t="s">
        <v>50</v>
      </c>
      <c r="D361" s="42">
        <v>18</v>
      </c>
      <c r="E361" s="41">
        <v>5.6692913385826774E-3</v>
      </c>
    </row>
    <row r="362" spans="2:5" ht="15" customHeight="1">
      <c r="B362" s="93"/>
      <c r="C362" s="43" t="s">
        <v>62</v>
      </c>
      <c r="D362" s="42">
        <v>214</v>
      </c>
      <c r="E362" s="41">
        <v>6.7401574803149608E-2</v>
      </c>
    </row>
    <row r="363" spans="2:5" ht="15" customHeight="1">
      <c r="B363" s="93"/>
      <c r="C363" s="43" t="s">
        <v>40</v>
      </c>
      <c r="D363" s="42">
        <v>12</v>
      </c>
      <c r="E363" s="41">
        <v>3.7795275590551181E-3</v>
      </c>
    </row>
    <row r="364" spans="2:5" ht="15" customHeight="1">
      <c r="B364" s="93"/>
      <c r="C364" s="43" t="s">
        <v>46</v>
      </c>
      <c r="D364" s="42">
        <v>4</v>
      </c>
      <c r="E364" s="41">
        <v>1.2598425196850393E-3</v>
      </c>
    </row>
    <row r="365" spans="2:5" ht="15" customHeight="1">
      <c r="B365" s="93"/>
      <c r="C365" s="43" t="s">
        <v>57</v>
      </c>
      <c r="D365" s="42">
        <v>26</v>
      </c>
      <c r="E365" s="41">
        <v>8.1889763779527565E-3</v>
      </c>
    </row>
    <row r="366" spans="2:5" ht="15" customHeight="1">
      <c r="B366" s="93"/>
      <c r="C366" s="43" t="s">
        <v>33</v>
      </c>
      <c r="D366" s="42">
        <v>4</v>
      </c>
      <c r="E366" s="41">
        <v>1.2598425196850393E-3</v>
      </c>
    </row>
    <row r="367" spans="2:5" ht="15" customHeight="1">
      <c r="B367" s="93"/>
      <c r="C367" s="43" t="s">
        <v>47</v>
      </c>
      <c r="D367" s="42">
        <v>15</v>
      </c>
      <c r="E367" s="41">
        <v>4.7244094488188976E-3</v>
      </c>
    </row>
    <row r="368" spans="2:5" ht="15" customHeight="1">
      <c r="B368" s="93"/>
      <c r="C368" s="43" t="s">
        <v>21</v>
      </c>
      <c r="D368" s="42">
        <v>1</v>
      </c>
      <c r="E368" s="41">
        <v>3.1496062992125983E-4</v>
      </c>
    </row>
    <row r="369" spans="2:5" ht="15" customHeight="1">
      <c r="B369" s="94"/>
      <c r="C369" s="40" t="s">
        <v>20</v>
      </c>
      <c r="D369" s="39">
        <v>798</v>
      </c>
      <c r="E369" s="38">
        <v>0.25133858267716536</v>
      </c>
    </row>
    <row r="370" spans="2:5" ht="15" customHeight="1">
      <c r="B370" s="92" t="s">
        <v>136</v>
      </c>
      <c r="C370" s="43" t="s">
        <v>61</v>
      </c>
      <c r="D370" s="42">
        <v>3</v>
      </c>
      <c r="E370" s="41">
        <v>9.4488188976377954E-4</v>
      </c>
    </row>
    <row r="371" spans="2:5" ht="15" customHeight="1">
      <c r="B371" s="93"/>
      <c r="C371" s="43" t="s">
        <v>60</v>
      </c>
      <c r="D371" s="42">
        <v>1</v>
      </c>
      <c r="E371" s="41">
        <v>3.1496062992125983E-4</v>
      </c>
    </row>
    <row r="372" spans="2:5" ht="15" customHeight="1">
      <c r="B372" s="93"/>
      <c r="C372" s="43" t="s">
        <v>62</v>
      </c>
      <c r="D372" s="42">
        <v>3</v>
      </c>
      <c r="E372" s="41">
        <v>9.4488188976377954E-4</v>
      </c>
    </row>
    <row r="373" spans="2:5" ht="15" customHeight="1">
      <c r="B373" s="93"/>
      <c r="C373" s="43" t="s">
        <v>57</v>
      </c>
      <c r="D373" s="42">
        <v>1</v>
      </c>
      <c r="E373" s="41">
        <v>3.1496062992125983E-4</v>
      </c>
    </row>
    <row r="374" spans="2:5" ht="15" customHeight="1">
      <c r="B374" s="93"/>
      <c r="C374" s="43" t="s">
        <v>21</v>
      </c>
      <c r="D374" s="42">
        <v>1</v>
      </c>
      <c r="E374" s="41">
        <v>3.1496062992125983E-4</v>
      </c>
    </row>
    <row r="375" spans="2:5" ht="15" customHeight="1">
      <c r="B375" s="94"/>
      <c r="C375" s="40" t="s">
        <v>20</v>
      </c>
      <c r="D375" s="39">
        <v>9</v>
      </c>
      <c r="E375" s="38">
        <v>2.8346456692913387E-3</v>
      </c>
    </row>
    <row r="376" spans="2:5" ht="15" customHeight="1">
      <c r="B376" s="92" t="s">
        <v>135</v>
      </c>
      <c r="C376" s="43" t="s">
        <v>61</v>
      </c>
      <c r="D376" s="42">
        <v>1</v>
      </c>
      <c r="E376" s="41">
        <v>3.1496062992125983E-4</v>
      </c>
    </row>
    <row r="377" spans="2:5" ht="15" customHeight="1">
      <c r="B377" s="93"/>
      <c r="C377" s="43" t="s">
        <v>58</v>
      </c>
      <c r="D377" s="42">
        <v>1</v>
      </c>
      <c r="E377" s="41">
        <v>3.1496062992125983E-4</v>
      </c>
    </row>
    <row r="378" spans="2:5" ht="15" customHeight="1">
      <c r="B378" s="93"/>
      <c r="C378" s="43" t="s">
        <v>54</v>
      </c>
      <c r="D378" s="42">
        <v>1</v>
      </c>
      <c r="E378" s="41">
        <v>3.1496062992125983E-4</v>
      </c>
    </row>
    <row r="379" spans="2:5" ht="15" customHeight="1">
      <c r="B379" s="93"/>
      <c r="C379" s="43" t="s">
        <v>37</v>
      </c>
      <c r="D379" s="42">
        <v>1</v>
      </c>
      <c r="E379" s="41">
        <v>3.1496062992125983E-4</v>
      </c>
    </row>
    <row r="380" spans="2:5" ht="15" customHeight="1">
      <c r="B380" s="93"/>
      <c r="C380" s="43" t="s">
        <v>48</v>
      </c>
      <c r="D380" s="42">
        <v>1</v>
      </c>
      <c r="E380" s="41">
        <v>3.1496062992125983E-4</v>
      </c>
    </row>
    <row r="381" spans="2:5" ht="15" customHeight="1">
      <c r="B381" s="93"/>
      <c r="C381" s="43" t="s">
        <v>62</v>
      </c>
      <c r="D381" s="42">
        <v>1</v>
      </c>
      <c r="E381" s="41">
        <v>3.1496062992125983E-4</v>
      </c>
    </row>
    <row r="382" spans="2:5" ht="15" customHeight="1">
      <c r="B382" s="94"/>
      <c r="C382" s="40" t="s">
        <v>20</v>
      </c>
      <c r="D382" s="39">
        <v>6</v>
      </c>
      <c r="E382" s="38">
        <v>1.8897637795275591E-3</v>
      </c>
    </row>
    <row r="383" spans="2:5" ht="15" customHeight="1">
      <c r="B383" s="92" t="s">
        <v>134</v>
      </c>
      <c r="C383" s="43" t="s">
        <v>61</v>
      </c>
      <c r="D383" s="42">
        <v>1</v>
      </c>
      <c r="E383" s="41">
        <v>3.1496062992125983E-4</v>
      </c>
    </row>
    <row r="384" spans="2:5" ht="15" customHeight="1">
      <c r="B384" s="93"/>
      <c r="C384" s="43" t="s">
        <v>52</v>
      </c>
      <c r="D384" s="42">
        <v>1</v>
      </c>
      <c r="E384" s="41">
        <v>3.1496062992125983E-4</v>
      </c>
    </row>
    <row r="385" spans="2:5" ht="15" customHeight="1">
      <c r="B385" s="93"/>
      <c r="C385" s="43" t="s">
        <v>58</v>
      </c>
      <c r="D385" s="42">
        <v>1</v>
      </c>
      <c r="E385" s="41">
        <v>3.1496062992125983E-4</v>
      </c>
    </row>
    <row r="386" spans="2:5" ht="15" customHeight="1">
      <c r="B386" s="93"/>
      <c r="C386" s="43" t="s">
        <v>42</v>
      </c>
      <c r="D386" s="42">
        <v>1</v>
      </c>
      <c r="E386" s="41">
        <v>3.1496062992125983E-4</v>
      </c>
    </row>
    <row r="387" spans="2:5" ht="15" customHeight="1">
      <c r="B387" s="93"/>
      <c r="C387" s="43" t="s">
        <v>49</v>
      </c>
      <c r="D387" s="42">
        <v>1</v>
      </c>
      <c r="E387" s="41">
        <v>3.1496062992125983E-4</v>
      </c>
    </row>
    <row r="388" spans="2:5" ht="15" customHeight="1">
      <c r="B388" s="93"/>
      <c r="C388" s="43" t="s">
        <v>50</v>
      </c>
      <c r="D388" s="42">
        <v>1</v>
      </c>
      <c r="E388" s="41">
        <v>3.1496062992125983E-4</v>
      </c>
    </row>
    <row r="389" spans="2:5" ht="15" customHeight="1">
      <c r="B389" s="93"/>
      <c r="C389" s="43" t="s">
        <v>62</v>
      </c>
      <c r="D389" s="42">
        <v>1</v>
      </c>
      <c r="E389" s="41">
        <v>3.1496062992125983E-4</v>
      </c>
    </row>
    <row r="390" spans="2:5" ht="15" customHeight="1">
      <c r="B390" s="93"/>
      <c r="C390" s="43" t="s">
        <v>47</v>
      </c>
      <c r="D390" s="42">
        <v>1</v>
      </c>
      <c r="E390" s="41">
        <v>3.1496062992125983E-4</v>
      </c>
    </row>
    <row r="391" spans="2:5" ht="15" customHeight="1">
      <c r="B391" s="94"/>
      <c r="C391" s="40" t="s">
        <v>20</v>
      </c>
      <c r="D391" s="39">
        <v>8</v>
      </c>
      <c r="E391" s="38">
        <v>2.5196850393700786E-3</v>
      </c>
    </row>
    <row r="392" spans="2:5" ht="15" customHeight="1">
      <c r="B392" s="92" t="s">
        <v>210</v>
      </c>
      <c r="C392" s="43" t="s">
        <v>60</v>
      </c>
      <c r="D392" s="42">
        <v>1</v>
      </c>
      <c r="E392" s="41">
        <v>3.1496062992125983E-4</v>
      </c>
    </row>
    <row r="393" spans="2:5" ht="15" customHeight="1">
      <c r="B393" s="93"/>
      <c r="C393" s="43" t="s">
        <v>62</v>
      </c>
      <c r="D393" s="42">
        <v>1</v>
      </c>
      <c r="E393" s="41">
        <v>3.1496062992125983E-4</v>
      </c>
    </row>
    <row r="394" spans="2:5" ht="15" customHeight="1">
      <c r="B394" s="94"/>
      <c r="C394" s="40" t="s">
        <v>20</v>
      </c>
      <c r="D394" s="39">
        <v>2</v>
      </c>
      <c r="E394" s="38">
        <v>6.2992125984251965E-4</v>
      </c>
    </row>
    <row r="395" spans="2:5" ht="15" customHeight="1">
      <c r="B395" s="92" t="s">
        <v>133</v>
      </c>
      <c r="C395" s="43" t="s">
        <v>61</v>
      </c>
      <c r="D395" s="42">
        <v>5</v>
      </c>
      <c r="E395" s="41">
        <v>1.5748031496062992E-3</v>
      </c>
    </row>
    <row r="396" spans="2:5" ht="15" customHeight="1">
      <c r="B396" s="93"/>
      <c r="C396" s="43" t="s">
        <v>59</v>
      </c>
      <c r="D396" s="42">
        <v>5</v>
      </c>
      <c r="E396" s="41">
        <v>1.5748031496062992E-3</v>
      </c>
    </row>
    <row r="397" spans="2:5" ht="15" customHeight="1">
      <c r="B397" s="93"/>
      <c r="C397" s="43" t="s">
        <v>54</v>
      </c>
      <c r="D397" s="42">
        <v>1</v>
      </c>
      <c r="E397" s="41">
        <v>3.1496062992125983E-4</v>
      </c>
    </row>
    <row r="398" spans="2:5" ht="15" customHeight="1">
      <c r="B398" s="93"/>
      <c r="C398" s="43" t="s">
        <v>55</v>
      </c>
      <c r="D398" s="42">
        <v>3</v>
      </c>
      <c r="E398" s="41">
        <v>9.4488188976377954E-4</v>
      </c>
    </row>
    <row r="399" spans="2:5" ht="15" customHeight="1">
      <c r="B399" s="93"/>
      <c r="C399" s="43" t="s">
        <v>53</v>
      </c>
      <c r="D399" s="42">
        <v>2</v>
      </c>
      <c r="E399" s="41">
        <v>6.2992125984251965E-4</v>
      </c>
    </row>
    <row r="400" spans="2:5" ht="15" customHeight="1">
      <c r="B400" s="93"/>
      <c r="C400" s="43" t="s">
        <v>34</v>
      </c>
      <c r="D400" s="42">
        <v>1</v>
      </c>
      <c r="E400" s="41">
        <v>3.1496062992125983E-4</v>
      </c>
    </row>
    <row r="401" spans="2:5" ht="15" customHeight="1">
      <c r="B401" s="93"/>
      <c r="C401" s="43" t="s">
        <v>45</v>
      </c>
      <c r="D401" s="42">
        <v>2</v>
      </c>
      <c r="E401" s="41">
        <v>6.2992125984251965E-4</v>
      </c>
    </row>
    <row r="402" spans="2:5" ht="15" customHeight="1">
      <c r="B402" s="93"/>
      <c r="C402" s="43" t="s">
        <v>37</v>
      </c>
      <c r="D402" s="42">
        <v>2</v>
      </c>
      <c r="E402" s="41">
        <v>6.2992125984251965E-4</v>
      </c>
    </row>
    <row r="403" spans="2:5" ht="15" customHeight="1">
      <c r="B403" s="93"/>
      <c r="C403" s="43" t="s">
        <v>49</v>
      </c>
      <c r="D403" s="42">
        <v>1</v>
      </c>
      <c r="E403" s="41">
        <v>3.1496062992125983E-4</v>
      </c>
    </row>
    <row r="404" spans="2:5" ht="15" customHeight="1">
      <c r="B404" s="93"/>
      <c r="C404" s="43" t="s">
        <v>60</v>
      </c>
      <c r="D404" s="42">
        <v>3</v>
      </c>
      <c r="E404" s="41">
        <v>9.4488188976377954E-4</v>
      </c>
    </row>
    <row r="405" spans="2:5" ht="15" customHeight="1">
      <c r="B405" s="93"/>
      <c r="C405" s="43" t="s">
        <v>48</v>
      </c>
      <c r="D405" s="42">
        <v>1</v>
      </c>
      <c r="E405" s="41">
        <v>3.1496062992125983E-4</v>
      </c>
    </row>
    <row r="406" spans="2:5" ht="15" customHeight="1">
      <c r="B406" s="93"/>
      <c r="C406" s="43" t="s">
        <v>26</v>
      </c>
      <c r="D406" s="42">
        <v>2</v>
      </c>
      <c r="E406" s="41">
        <v>6.2992125984251965E-4</v>
      </c>
    </row>
    <row r="407" spans="2:5" ht="15" customHeight="1">
      <c r="B407" s="93"/>
      <c r="C407" s="43" t="s">
        <v>51</v>
      </c>
      <c r="D407" s="42">
        <v>1</v>
      </c>
      <c r="E407" s="41">
        <v>3.1496062992125983E-4</v>
      </c>
    </row>
    <row r="408" spans="2:5" ht="15" customHeight="1">
      <c r="B408" s="93"/>
      <c r="C408" s="43" t="s">
        <v>50</v>
      </c>
      <c r="D408" s="42">
        <v>1</v>
      </c>
      <c r="E408" s="41">
        <v>3.1496062992125983E-4</v>
      </c>
    </row>
    <row r="409" spans="2:5" ht="15" customHeight="1">
      <c r="B409" s="93"/>
      <c r="C409" s="43" t="s">
        <v>62</v>
      </c>
      <c r="D409" s="42">
        <v>5</v>
      </c>
      <c r="E409" s="41">
        <v>1.5748031496062992E-3</v>
      </c>
    </row>
    <row r="410" spans="2:5" ht="15" customHeight="1">
      <c r="B410" s="93"/>
      <c r="C410" s="43" t="s">
        <v>40</v>
      </c>
      <c r="D410" s="42">
        <v>1</v>
      </c>
      <c r="E410" s="41">
        <v>3.1496062992125983E-4</v>
      </c>
    </row>
    <row r="411" spans="2:5" ht="15" customHeight="1">
      <c r="B411" s="93"/>
      <c r="C411" s="43" t="s">
        <v>46</v>
      </c>
      <c r="D411" s="42">
        <v>2</v>
      </c>
      <c r="E411" s="41">
        <v>6.2992125984251965E-4</v>
      </c>
    </row>
    <row r="412" spans="2:5" ht="15" customHeight="1">
      <c r="B412" s="93"/>
      <c r="C412" s="43" t="s">
        <v>57</v>
      </c>
      <c r="D412" s="42">
        <v>1</v>
      </c>
      <c r="E412" s="41">
        <v>3.1496062992125983E-4</v>
      </c>
    </row>
    <row r="413" spans="2:5" ht="15" customHeight="1">
      <c r="B413" s="94"/>
      <c r="C413" s="40" t="s">
        <v>20</v>
      </c>
      <c r="D413" s="39">
        <v>39</v>
      </c>
      <c r="E413" s="38">
        <v>1.2283464566929133E-2</v>
      </c>
    </row>
    <row r="414" spans="2:5" ht="15" customHeight="1">
      <c r="B414" s="92" t="s">
        <v>132</v>
      </c>
      <c r="C414" s="43" t="s">
        <v>56</v>
      </c>
      <c r="D414" s="42">
        <v>2</v>
      </c>
      <c r="E414" s="41">
        <v>6.2992125984251965E-4</v>
      </c>
    </row>
    <row r="415" spans="2:5" ht="15" customHeight="1">
      <c r="B415" s="93"/>
      <c r="C415" s="43" t="s">
        <v>38</v>
      </c>
      <c r="D415" s="42">
        <v>4</v>
      </c>
      <c r="E415" s="41">
        <v>1.2598425196850393E-3</v>
      </c>
    </row>
    <row r="416" spans="2:5" ht="15" customHeight="1">
      <c r="B416" s="93"/>
      <c r="C416" s="43" t="s">
        <v>61</v>
      </c>
      <c r="D416" s="42">
        <v>7</v>
      </c>
      <c r="E416" s="41">
        <v>2.204724409448819E-3</v>
      </c>
    </row>
    <row r="417" spans="2:5" ht="15" customHeight="1">
      <c r="B417" s="93"/>
      <c r="C417" s="43" t="s">
        <v>52</v>
      </c>
      <c r="D417" s="42">
        <v>5</v>
      </c>
      <c r="E417" s="41">
        <v>1.5748031496062992E-3</v>
      </c>
    </row>
    <row r="418" spans="2:5" ht="15" customHeight="1">
      <c r="B418" s="93"/>
      <c r="C418" s="43" t="s">
        <v>30</v>
      </c>
      <c r="D418" s="42">
        <v>1</v>
      </c>
      <c r="E418" s="41">
        <v>3.1496062992125983E-4</v>
      </c>
    </row>
    <row r="419" spans="2:5" ht="15" customHeight="1">
      <c r="B419" s="93"/>
      <c r="C419" s="43" t="s">
        <v>59</v>
      </c>
      <c r="D419" s="42">
        <v>6</v>
      </c>
      <c r="E419" s="41">
        <v>1.8897637795275591E-3</v>
      </c>
    </row>
    <row r="420" spans="2:5" ht="15" customHeight="1">
      <c r="B420" s="93"/>
      <c r="C420" s="43" t="s">
        <v>58</v>
      </c>
      <c r="D420" s="42">
        <v>5</v>
      </c>
      <c r="E420" s="41">
        <v>1.5748031496062992E-3</v>
      </c>
    </row>
    <row r="421" spans="2:5" ht="15" customHeight="1">
      <c r="B421" s="93"/>
      <c r="C421" s="43" t="s">
        <v>54</v>
      </c>
      <c r="D421" s="42">
        <v>5</v>
      </c>
      <c r="E421" s="41">
        <v>1.5748031496062992E-3</v>
      </c>
    </row>
    <row r="422" spans="2:5" ht="15" customHeight="1">
      <c r="B422" s="93"/>
      <c r="C422" s="43" t="s">
        <v>55</v>
      </c>
      <c r="D422" s="42">
        <v>2</v>
      </c>
      <c r="E422" s="41">
        <v>6.2992125984251965E-4</v>
      </c>
    </row>
    <row r="423" spans="2:5" ht="15" customHeight="1">
      <c r="B423" s="93"/>
      <c r="C423" s="43" t="s">
        <v>27</v>
      </c>
      <c r="D423" s="42">
        <v>2</v>
      </c>
      <c r="E423" s="41">
        <v>6.2992125984251965E-4</v>
      </c>
    </row>
    <row r="424" spans="2:5" ht="15" customHeight="1">
      <c r="B424" s="93"/>
      <c r="C424" s="43" t="s">
        <v>41</v>
      </c>
      <c r="D424" s="42">
        <v>2</v>
      </c>
      <c r="E424" s="41">
        <v>6.2992125984251965E-4</v>
      </c>
    </row>
    <row r="425" spans="2:5" ht="15" customHeight="1">
      <c r="B425" s="93"/>
      <c r="C425" s="43" t="s">
        <v>53</v>
      </c>
      <c r="D425" s="42">
        <v>3</v>
      </c>
      <c r="E425" s="41">
        <v>9.4488188976377954E-4</v>
      </c>
    </row>
    <row r="426" spans="2:5" ht="15" customHeight="1">
      <c r="B426" s="93"/>
      <c r="C426" s="43" t="s">
        <v>22</v>
      </c>
      <c r="D426" s="42">
        <v>1</v>
      </c>
      <c r="E426" s="41">
        <v>3.1496062992125983E-4</v>
      </c>
    </row>
    <row r="427" spans="2:5" ht="15" customHeight="1">
      <c r="B427" s="93"/>
      <c r="C427" s="43" t="s">
        <v>43</v>
      </c>
      <c r="D427" s="42">
        <v>1</v>
      </c>
      <c r="E427" s="41">
        <v>3.1496062992125983E-4</v>
      </c>
    </row>
    <row r="428" spans="2:5" ht="15" customHeight="1">
      <c r="B428" s="93"/>
      <c r="C428" s="43" t="s">
        <v>34</v>
      </c>
      <c r="D428" s="42">
        <v>3</v>
      </c>
      <c r="E428" s="41">
        <v>9.4488188976377954E-4</v>
      </c>
    </row>
    <row r="429" spans="2:5" ht="15" customHeight="1">
      <c r="B429" s="93"/>
      <c r="C429" s="43" t="s">
        <v>42</v>
      </c>
      <c r="D429" s="42">
        <v>1</v>
      </c>
      <c r="E429" s="41">
        <v>3.1496062992125983E-4</v>
      </c>
    </row>
    <row r="430" spans="2:5" ht="15" customHeight="1">
      <c r="B430" s="93"/>
      <c r="C430" s="43" t="s">
        <v>37</v>
      </c>
      <c r="D430" s="42">
        <v>2</v>
      </c>
      <c r="E430" s="41">
        <v>6.2992125984251965E-4</v>
      </c>
    </row>
    <row r="431" spans="2:5" ht="15" customHeight="1">
      <c r="B431" s="93"/>
      <c r="C431" s="43" t="s">
        <v>49</v>
      </c>
      <c r="D431" s="42">
        <v>5</v>
      </c>
      <c r="E431" s="41">
        <v>1.5748031496062992E-3</v>
      </c>
    </row>
    <row r="432" spans="2:5" ht="15" customHeight="1">
      <c r="B432" s="93"/>
      <c r="C432" s="43" t="s">
        <v>60</v>
      </c>
      <c r="D432" s="42">
        <v>6</v>
      </c>
      <c r="E432" s="41">
        <v>1.8897637795275591E-3</v>
      </c>
    </row>
    <row r="433" spans="2:5" ht="15" customHeight="1">
      <c r="B433" s="93"/>
      <c r="C433" s="43" t="s">
        <v>48</v>
      </c>
      <c r="D433" s="42">
        <v>1</v>
      </c>
      <c r="E433" s="41">
        <v>3.1496062992125983E-4</v>
      </c>
    </row>
    <row r="434" spans="2:5" ht="15" customHeight="1">
      <c r="B434" s="93"/>
      <c r="C434" s="43" t="s">
        <v>31</v>
      </c>
      <c r="D434" s="42">
        <v>1</v>
      </c>
      <c r="E434" s="41">
        <v>3.1496062992125983E-4</v>
      </c>
    </row>
    <row r="435" spans="2:5" ht="15" customHeight="1">
      <c r="B435" s="93"/>
      <c r="C435" s="43" t="s">
        <v>51</v>
      </c>
      <c r="D435" s="42">
        <v>2</v>
      </c>
      <c r="E435" s="41">
        <v>6.2992125984251965E-4</v>
      </c>
    </row>
    <row r="436" spans="2:5" ht="15" customHeight="1">
      <c r="B436" s="93"/>
      <c r="C436" s="43" t="s">
        <v>62</v>
      </c>
      <c r="D436" s="42">
        <v>35</v>
      </c>
      <c r="E436" s="41">
        <v>1.1023622047244094E-2</v>
      </c>
    </row>
    <row r="437" spans="2:5" ht="15" customHeight="1">
      <c r="B437" s="93"/>
      <c r="C437" s="43" t="s">
        <v>46</v>
      </c>
      <c r="D437" s="42">
        <v>2</v>
      </c>
      <c r="E437" s="41">
        <v>6.2992125984251965E-4</v>
      </c>
    </row>
    <row r="438" spans="2:5" ht="15" customHeight="1">
      <c r="B438" s="93"/>
      <c r="C438" s="43" t="s">
        <v>57</v>
      </c>
      <c r="D438" s="42">
        <v>4</v>
      </c>
      <c r="E438" s="41">
        <v>1.2598425196850393E-3</v>
      </c>
    </row>
    <row r="439" spans="2:5" ht="15" customHeight="1">
      <c r="B439" s="93"/>
      <c r="C439" s="43" t="s">
        <v>33</v>
      </c>
      <c r="D439" s="42">
        <v>3</v>
      </c>
      <c r="E439" s="41">
        <v>9.4488188976377954E-4</v>
      </c>
    </row>
    <row r="440" spans="2:5" ht="15" customHeight="1">
      <c r="B440" s="93"/>
      <c r="C440" s="43" t="s">
        <v>47</v>
      </c>
      <c r="D440" s="42">
        <v>7</v>
      </c>
      <c r="E440" s="41">
        <v>2.204724409448819E-3</v>
      </c>
    </row>
    <row r="441" spans="2:5" ht="15" customHeight="1">
      <c r="B441" s="94"/>
      <c r="C441" s="40" t="s">
        <v>20</v>
      </c>
      <c r="D441" s="39">
        <v>118</v>
      </c>
      <c r="E441" s="38">
        <v>3.716535433070866E-2</v>
      </c>
    </row>
    <row r="442" spans="2:5" ht="15" customHeight="1">
      <c r="B442" s="92" t="s">
        <v>198</v>
      </c>
      <c r="C442" s="43" t="s">
        <v>62</v>
      </c>
      <c r="D442" s="42">
        <v>1</v>
      </c>
      <c r="E442" s="41">
        <v>3.1496062992125983E-4</v>
      </c>
    </row>
    <row r="443" spans="2:5" ht="15" customHeight="1">
      <c r="B443" s="93"/>
      <c r="C443" s="43" t="s">
        <v>57</v>
      </c>
      <c r="D443" s="42">
        <v>1</v>
      </c>
      <c r="E443" s="41">
        <v>3.1496062992125983E-4</v>
      </c>
    </row>
    <row r="444" spans="2:5" ht="15" customHeight="1">
      <c r="B444" s="94"/>
      <c r="C444" s="40" t="s">
        <v>20</v>
      </c>
      <c r="D444" s="39">
        <v>2</v>
      </c>
      <c r="E444" s="38">
        <v>6.2992125984251965E-4</v>
      </c>
    </row>
    <row r="445" spans="2:5" ht="15" customHeight="1">
      <c r="B445" s="92" t="s">
        <v>131</v>
      </c>
      <c r="C445" s="43" t="s">
        <v>38</v>
      </c>
      <c r="D445" s="42">
        <v>1</v>
      </c>
      <c r="E445" s="41">
        <v>3.1496062992125983E-4</v>
      </c>
    </row>
    <row r="446" spans="2:5" ht="15" customHeight="1">
      <c r="B446" s="93"/>
      <c r="C446" s="43" t="s">
        <v>39</v>
      </c>
      <c r="D446" s="42">
        <v>1</v>
      </c>
      <c r="E446" s="41">
        <v>3.1496062992125983E-4</v>
      </c>
    </row>
    <row r="447" spans="2:5" ht="15" customHeight="1">
      <c r="B447" s="93"/>
      <c r="C447" s="43" t="s">
        <v>54</v>
      </c>
      <c r="D447" s="42">
        <v>1</v>
      </c>
      <c r="E447" s="41">
        <v>3.1496062992125983E-4</v>
      </c>
    </row>
    <row r="448" spans="2:5" ht="15" customHeight="1">
      <c r="B448" s="93"/>
      <c r="C448" s="43" t="s">
        <v>49</v>
      </c>
      <c r="D448" s="42">
        <v>1</v>
      </c>
      <c r="E448" s="41">
        <v>3.1496062992125983E-4</v>
      </c>
    </row>
    <row r="449" spans="2:5" ht="15" customHeight="1">
      <c r="B449" s="93"/>
      <c r="C449" s="43" t="s">
        <v>51</v>
      </c>
      <c r="D449" s="42">
        <v>1</v>
      </c>
      <c r="E449" s="41">
        <v>3.1496062992125983E-4</v>
      </c>
    </row>
    <row r="450" spans="2:5" ht="15" customHeight="1">
      <c r="B450" s="93"/>
      <c r="C450" s="43" t="s">
        <v>62</v>
      </c>
      <c r="D450" s="42">
        <v>1</v>
      </c>
      <c r="E450" s="41">
        <v>3.1496062992125983E-4</v>
      </c>
    </row>
    <row r="451" spans="2:5" ht="15" customHeight="1">
      <c r="B451" s="93"/>
      <c r="C451" s="43" t="s">
        <v>46</v>
      </c>
      <c r="D451" s="42">
        <v>1</v>
      </c>
      <c r="E451" s="41">
        <v>3.1496062992125983E-4</v>
      </c>
    </row>
    <row r="452" spans="2:5" ht="15" customHeight="1">
      <c r="B452" s="93"/>
      <c r="C452" s="43" t="s">
        <v>57</v>
      </c>
      <c r="D452" s="42">
        <v>1</v>
      </c>
      <c r="E452" s="41">
        <v>3.1496062992125983E-4</v>
      </c>
    </row>
    <row r="453" spans="2:5" ht="15" customHeight="1">
      <c r="B453" s="94"/>
      <c r="C453" s="40" t="s">
        <v>20</v>
      </c>
      <c r="D453" s="39">
        <v>8</v>
      </c>
      <c r="E453" s="38">
        <v>2.5196850393700786E-3</v>
      </c>
    </row>
    <row r="454" spans="2:5" ht="15" customHeight="1">
      <c r="B454" s="92" t="s">
        <v>130</v>
      </c>
      <c r="C454" s="43" t="s">
        <v>54</v>
      </c>
      <c r="D454" s="42">
        <v>1</v>
      </c>
      <c r="E454" s="41">
        <v>3.1496062992125983E-4</v>
      </c>
    </row>
    <row r="455" spans="2:5" ht="15" customHeight="1">
      <c r="B455" s="94"/>
      <c r="C455" s="40" t="s">
        <v>20</v>
      </c>
      <c r="D455" s="39">
        <v>1</v>
      </c>
      <c r="E455" s="38">
        <v>3.1496062992125983E-4</v>
      </c>
    </row>
    <row r="456" spans="2:5" ht="15" customHeight="1">
      <c r="B456" s="95" t="s">
        <v>20</v>
      </c>
      <c r="C456" s="96"/>
      <c r="D456" s="70">
        <v>3175</v>
      </c>
      <c r="E456" s="71">
        <v>1</v>
      </c>
    </row>
    <row r="458" spans="2:5" ht="15" customHeight="1">
      <c r="B458" s="19" t="s">
        <v>204</v>
      </c>
    </row>
    <row r="459" spans="2:5" ht="15" customHeight="1">
      <c r="B459" s="21" t="s">
        <v>19</v>
      </c>
    </row>
    <row r="460" spans="2:5" ht="15" customHeight="1">
      <c r="B460" s="20" t="s">
        <v>18</v>
      </c>
    </row>
    <row r="461" spans="2:5" ht="15" customHeight="1">
      <c r="B461" s="19" t="s">
        <v>17</v>
      </c>
    </row>
    <row r="462" spans="2:5" ht="15" customHeight="1">
      <c r="B462" s="19" t="s">
        <v>205</v>
      </c>
    </row>
  </sheetData>
  <mergeCells count="26">
    <mergeCell ref="B69:B81"/>
    <mergeCell ref="B82:B98"/>
    <mergeCell ref="B99:B127"/>
    <mergeCell ref="B7:E8"/>
    <mergeCell ref="B10:B23"/>
    <mergeCell ref="B24:B31"/>
    <mergeCell ref="B32:B47"/>
    <mergeCell ref="B48:B68"/>
    <mergeCell ref="B128:B166"/>
    <mergeCell ref="B167:B179"/>
    <mergeCell ref="B180:B203"/>
    <mergeCell ref="B204:B233"/>
    <mergeCell ref="B234:B277"/>
    <mergeCell ref="B278:B290"/>
    <mergeCell ref="B291:B325"/>
    <mergeCell ref="B326:B369"/>
    <mergeCell ref="B370:B375"/>
    <mergeCell ref="B376:B382"/>
    <mergeCell ref="B445:B453"/>
    <mergeCell ref="B454:B455"/>
    <mergeCell ref="B456:C456"/>
    <mergeCell ref="B383:B391"/>
    <mergeCell ref="B392:B394"/>
    <mergeCell ref="B395:B413"/>
    <mergeCell ref="B414:B441"/>
    <mergeCell ref="B442:B4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32"/>
  <sheetViews>
    <sheetView showGridLines="0" topLeftCell="A501" zoomScale="95" zoomScaleNormal="95" zoomScaleSheetLayoutView="85" workbookViewId="0">
      <selection activeCell="D526" sqref="D52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109</v>
      </c>
      <c r="C9" s="47" t="s">
        <v>153</v>
      </c>
      <c r="D9" s="46" t="s">
        <v>64</v>
      </c>
      <c r="E9" s="45" t="s">
        <v>63</v>
      </c>
    </row>
    <row r="10" spans="1:5" ht="15" customHeight="1">
      <c r="B10" s="92" t="s">
        <v>73</v>
      </c>
      <c r="C10" s="43" t="s">
        <v>140</v>
      </c>
      <c r="D10" s="42">
        <v>2</v>
      </c>
      <c r="E10" s="41">
        <v>6.3051702395964691E-4</v>
      </c>
    </row>
    <row r="11" spans="1:5" ht="15" customHeight="1">
      <c r="B11" s="93"/>
      <c r="C11" s="43" t="s">
        <v>138</v>
      </c>
      <c r="D11" s="42">
        <v>1</v>
      </c>
      <c r="E11" s="41">
        <v>3.1525851197982345E-4</v>
      </c>
    </row>
    <row r="12" spans="1:5" ht="15" customHeight="1">
      <c r="B12" s="94"/>
      <c r="C12" s="40" t="s">
        <v>20</v>
      </c>
      <c r="D12" s="39">
        <v>3</v>
      </c>
      <c r="E12" s="38">
        <v>9.4577553593947036E-4</v>
      </c>
    </row>
    <row r="13" spans="1:5" ht="15" customHeight="1">
      <c r="B13" s="92" t="s">
        <v>104</v>
      </c>
      <c r="C13" s="43" t="s">
        <v>151</v>
      </c>
      <c r="D13" s="42">
        <v>1</v>
      </c>
      <c r="E13" s="41">
        <v>3.1525851197982345E-4</v>
      </c>
    </row>
    <row r="14" spans="1:5" ht="15" customHeight="1">
      <c r="B14" s="93"/>
      <c r="C14" s="43" t="s">
        <v>149</v>
      </c>
      <c r="D14" s="42">
        <v>1</v>
      </c>
      <c r="E14" s="41">
        <v>3.1525851197982345E-4</v>
      </c>
    </row>
    <row r="15" spans="1:5" ht="15" customHeight="1">
      <c r="B15" s="93"/>
      <c r="C15" s="43" t="s">
        <v>148</v>
      </c>
      <c r="D15" s="42">
        <v>4</v>
      </c>
      <c r="E15" s="41">
        <v>1.2610340479192938E-3</v>
      </c>
    </row>
    <row r="16" spans="1:5" ht="15" customHeight="1">
      <c r="B16" s="93"/>
      <c r="C16" s="43" t="s">
        <v>146</v>
      </c>
      <c r="D16" s="42">
        <v>2</v>
      </c>
      <c r="E16" s="41">
        <v>6.3051702395964691E-4</v>
      </c>
    </row>
    <row r="17" spans="2:5" ht="15" customHeight="1">
      <c r="B17" s="93"/>
      <c r="C17" s="43" t="s">
        <v>145</v>
      </c>
      <c r="D17" s="42">
        <v>8</v>
      </c>
      <c r="E17" s="41">
        <v>2.5220680958385876E-3</v>
      </c>
    </row>
    <row r="18" spans="2:5" ht="15" customHeight="1">
      <c r="B18" s="93"/>
      <c r="C18" s="43" t="s">
        <v>144</v>
      </c>
      <c r="D18" s="42">
        <v>28</v>
      </c>
      <c r="E18" s="41">
        <v>8.8272383354350576E-3</v>
      </c>
    </row>
    <row r="19" spans="2:5" ht="15" customHeight="1">
      <c r="B19" s="93"/>
      <c r="C19" s="43" t="s">
        <v>143</v>
      </c>
      <c r="D19" s="42">
        <v>1</v>
      </c>
      <c r="E19" s="41">
        <v>3.1525851197982345E-4</v>
      </c>
    </row>
    <row r="20" spans="2:5" ht="15" customHeight="1">
      <c r="B20" s="93"/>
      <c r="C20" s="43" t="s">
        <v>142</v>
      </c>
      <c r="D20" s="42">
        <v>5</v>
      </c>
      <c r="E20" s="41">
        <v>1.5762925598991173E-3</v>
      </c>
    </row>
    <row r="21" spans="2:5" ht="15" customHeight="1">
      <c r="B21" s="93"/>
      <c r="C21" s="43" t="s">
        <v>141</v>
      </c>
      <c r="D21" s="42">
        <v>9</v>
      </c>
      <c r="E21" s="41">
        <v>2.8373266078184113E-3</v>
      </c>
    </row>
    <row r="22" spans="2:5" ht="15" customHeight="1">
      <c r="B22" s="93"/>
      <c r="C22" s="43" t="s">
        <v>140</v>
      </c>
      <c r="D22" s="42">
        <v>85</v>
      </c>
      <c r="E22" s="41">
        <v>2.6796973518284993E-2</v>
      </c>
    </row>
    <row r="23" spans="2:5" ht="15" customHeight="1">
      <c r="B23" s="93"/>
      <c r="C23" s="43" t="s">
        <v>139</v>
      </c>
      <c r="D23" s="42">
        <v>2</v>
      </c>
      <c r="E23" s="41">
        <v>6.3051702395964691E-4</v>
      </c>
    </row>
    <row r="24" spans="2:5" ht="15" customHeight="1">
      <c r="B24" s="93"/>
      <c r="C24" s="43" t="s">
        <v>138</v>
      </c>
      <c r="D24" s="42">
        <v>16</v>
      </c>
      <c r="E24" s="41">
        <v>5.0441361916771753E-3</v>
      </c>
    </row>
    <row r="25" spans="2:5" ht="15" customHeight="1">
      <c r="B25" s="93"/>
      <c r="C25" s="43" t="s">
        <v>137</v>
      </c>
      <c r="D25" s="42">
        <v>64</v>
      </c>
      <c r="E25" s="41">
        <v>2.0176544766708701E-2</v>
      </c>
    </row>
    <row r="26" spans="2:5" ht="15" customHeight="1">
      <c r="B26" s="93"/>
      <c r="C26" s="43" t="s">
        <v>135</v>
      </c>
      <c r="D26" s="42">
        <v>1</v>
      </c>
      <c r="E26" s="41">
        <v>3.1525851197982345E-4</v>
      </c>
    </row>
    <row r="27" spans="2:5" ht="15" customHeight="1">
      <c r="B27" s="93"/>
      <c r="C27" s="43" t="s">
        <v>134</v>
      </c>
      <c r="D27" s="42">
        <v>2</v>
      </c>
      <c r="E27" s="41">
        <v>6.3051702395964691E-4</v>
      </c>
    </row>
    <row r="28" spans="2:5" ht="15" customHeight="1">
      <c r="B28" s="93"/>
      <c r="C28" s="43" t="s">
        <v>133</v>
      </c>
      <c r="D28" s="42">
        <v>1</v>
      </c>
      <c r="E28" s="41">
        <v>3.1525851197982345E-4</v>
      </c>
    </row>
    <row r="29" spans="2:5" ht="15" customHeight="1">
      <c r="B29" s="93"/>
      <c r="C29" s="43" t="s">
        <v>132</v>
      </c>
      <c r="D29" s="42">
        <v>7</v>
      </c>
      <c r="E29" s="41">
        <v>2.2068095838587644E-3</v>
      </c>
    </row>
    <row r="30" spans="2:5" ht="15" customHeight="1">
      <c r="B30" s="94"/>
      <c r="C30" s="40" t="s">
        <v>20</v>
      </c>
      <c r="D30" s="39">
        <v>237</v>
      </c>
      <c r="E30" s="38">
        <v>7.4716267339218156E-2</v>
      </c>
    </row>
    <row r="31" spans="2:5" ht="15" customHeight="1">
      <c r="B31" s="92" t="s">
        <v>94</v>
      </c>
      <c r="C31" s="43" t="s">
        <v>151</v>
      </c>
      <c r="D31" s="42">
        <v>2</v>
      </c>
      <c r="E31" s="41">
        <v>6.3051702395964691E-4</v>
      </c>
    </row>
    <row r="32" spans="2:5" ht="15" customHeight="1">
      <c r="B32" s="93"/>
      <c r="C32" s="43" t="s">
        <v>150</v>
      </c>
      <c r="D32" s="42">
        <v>1</v>
      </c>
      <c r="E32" s="41">
        <v>3.1525851197982345E-4</v>
      </c>
    </row>
    <row r="33" spans="2:5" ht="15" customHeight="1">
      <c r="B33" s="93"/>
      <c r="C33" s="43" t="s">
        <v>148</v>
      </c>
      <c r="D33" s="42">
        <v>3</v>
      </c>
      <c r="E33" s="41">
        <v>9.4577553593947036E-4</v>
      </c>
    </row>
    <row r="34" spans="2:5" ht="15" customHeight="1">
      <c r="B34" s="93"/>
      <c r="C34" s="43" t="s">
        <v>147</v>
      </c>
      <c r="D34" s="42">
        <v>1</v>
      </c>
      <c r="E34" s="41">
        <v>3.1525851197982345E-4</v>
      </c>
    </row>
    <row r="35" spans="2:5" ht="15" customHeight="1">
      <c r="B35" s="93"/>
      <c r="C35" s="43" t="s">
        <v>146</v>
      </c>
      <c r="D35" s="42">
        <v>1</v>
      </c>
      <c r="E35" s="41">
        <v>3.1525851197982345E-4</v>
      </c>
    </row>
    <row r="36" spans="2:5" ht="15" customHeight="1">
      <c r="B36" s="93"/>
      <c r="C36" s="43" t="s">
        <v>145</v>
      </c>
      <c r="D36" s="42">
        <v>4</v>
      </c>
      <c r="E36" s="41">
        <v>1.2610340479192938E-3</v>
      </c>
    </row>
    <row r="37" spans="2:5" ht="15" customHeight="1">
      <c r="B37" s="93"/>
      <c r="C37" s="43" t="s">
        <v>144</v>
      </c>
      <c r="D37" s="42">
        <v>10</v>
      </c>
      <c r="E37" s="41">
        <v>3.1525851197982345E-3</v>
      </c>
    </row>
    <row r="38" spans="2:5" ht="15" customHeight="1">
      <c r="B38" s="93"/>
      <c r="C38" s="43" t="s">
        <v>143</v>
      </c>
      <c r="D38" s="42">
        <v>1</v>
      </c>
      <c r="E38" s="41">
        <v>3.1525851197982345E-4</v>
      </c>
    </row>
    <row r="39" spans="2:5" ht="15" customHeight="1">
      <c r="B39" s="93"/>
      <c r="C39" s="43" t="s">
        <v>142</v>
      </c>
      <c r="D39" s="42">
        <v>5</v>
      </c>
      <c r="E39" s="41">
        <v>1.5762925598991173E-3</v>
      </c>
    </row>
    <row r="40" spans="2:5" ht="15" customHeight="1">
      <c r="B40" s="93"/>
      <c r="C40" s="43" t="s">
        <v>141</v>
      </c>
      <c r="D40" s="42">
        <v>9</v>
      </c>
      <c r="E40" s="41">
        <v>2.8373266078184113E-3</v>
      </c>
    </row>
    <row r="41" spans="2:5" ht="15" customHeight="1">
      <c r="B41" s="93"/>
      <c r="C41" s="43" t="s">
        <v>140</v>
      </c>
      <c r="D41" s="42">
        <v>38</v>
      </c>
      <c r="E41" s="41">
        <v>1.1979823455233291E-2</v>
      </c>
    </row>
    <row r="42" spans="2:5" ht="15" customHeight="1">
      <c r="B42" s="93"/>
      <c r="C42" s="43" t="s">
        <v>139</v>
      </c>
      <c r="D42" s="42">
        <v>1</v>
      </c>
      <c r="E42" s="41">
        <v>3.1525851197982345E-4</v>
      </c>
    </row>
    <row r="43" spans="2:5" ht="15" customHeight="1">
      <c r="B43" s="93"/>
      <c r="C43" s="43" t="s">
        <v>138</v>
      </c>
      <c r="D43" s="42">
        <v>7</v>
      </c>
      <c r="E43" s="41">
        <v>2.2068095838587644E-3</v>
      </c>
    </row>
    <row r="44" spans="2:5" ht="15" customHeight="1">
      <c r="B44" s="93"/>
      <c r="C44" s="43" t="s">
        <v>137</v>
      </c>
      <c r="D44" s="42">
        <v>31</v>
      </c>
      <c r="E44" s="41">
        <v>9.7730138713745269E-3</v>
      </c>
    </row>
    <row r="45" spans="2:5" ht="15" customHeight="1">
      <c r="B45" s="93"/>
      <c r="C45" s="43" t="s">
        <v>136</v>
      </c>
      <c r="D45" s="42">
        <v>1</v>
      </c>
      <c r="E45" s="41">
        <v>3.1525851197982345E-4</v>
      </c>
    </row>
    <row r="46" spans="2:5" ht="15" customHeight="1">
      <c r="B46" s="93"/>
      <c r="C46" s="43" t="s">
        <v>210</v>
      </c>
      <c r="D46" s="42">
        <v>1</v>
      </c>
      <c r="E46" s="41">
        <v>3.1525851197982345E-4</v>
      </c>
    </row>
    <row r="47" spans="2:5" ht="15" customHeight="1">
      <c r="B47" s="93"/>
      <c r="C47" s="43" t="s">
        <v>132</v>
      </c>
      <c r="D47" s="42">
        <v>4</v>
      </c>
      <c r="E47" s="41">
        <v>1.2610340479192938E-3</v>
      </c>
    </row>
    <row r="48" spans="2:5" ht="15" customHeight="1">
      <c r="B48" s="93"/>
      <c r="C48" s="43" t="s">
        <v>131</v>
      </c>
      <c r="D48" s="42">
        <v>1</v>
      </c>
      <c r="E48" s="41">
        <v>3.1525851197982345E-4</v>
      </c>
    </row>
    <row r="49" spans="2:5" ht="15" customHeight="1">
      <c r="B49" s="94"/>
      <c r="C49" s="40" t="s">
        <v>20</v>
      </c>
      <c r="D49" s="39">
        <v>121</v>
      </c>
      <c r="E49" s="38">
        <v>3.8146279949558638E-2</v>
      </c>
    </row>
    <row r="50" spans="2:5" ht="15" customHeight="1">
      <c r="B50" s="92" t="s">
        <v>71</v>
      </c>
      <c r="C50" s="43" t="s">
        <v>145</v>
      </c>
      <c r="D50" s="42">
        <v>1</v>
      </c>
      <c r="E50" s="41">
        <v>3.1525851197982345E-4</v>
      </c>
    </row>
    <row r="51" spans="2:5" ht="15" customHeight="1">
      <c r="B51" s="93"/>
      <c r="C51" s="43" t="s">
        <v>144</v>
      </c>
      <c r="D51" s="42">
        <v>2</v>
      </c>
      <c r="E51" s="41">
        <v>6.3051702395964691E-4</v>
      </c>
    </row>
    <row r="52" spans="2:5" ht="15" customHeight="1">
      <c r="B52" s="93"/>
      <c r="C52" s="43" t="s">
        <v>143</v>
      </c>
      <c r="D52" s="42">
        <v>1</v>
      </c>
      <c r="E52" s="41">
        <v>3.1525851197982345E-4</v>
      </c>
    </row>
    <row r="53" spans="2:5" ht="15" customHeight="1">
      <c r="B53" s="93"/>
      <c r="C53" s="43" t="s">
        <v>142</v>
      </c>
      <c r="D53" s="42">
        <v>1</v>
      </c>
      <c r="E53" s="41">
        <v>3.1525851197982345E-4</v>
      </c>
    </row>
    <row r="54" spans="2:5" ht="15" customHeight="1">
      <c r="B54" s="93"/>
      <c r="C54" s="43" t="s">
        <v>141</v>
      </c>
      <c r="D54" s="42">
        <v>3</v>
      </c>
      <c r="E54" s="41">
        <v>9.4577553593947036E-4</v>
      </c>
    </row>
    <row r="55" spans="2:5" ht="15" customHeight="1">
      <c r="B55" s="93"/>
      <c r="C55" s="43" t="s">
        <v>140</v>
      </c>
      <c r="D55" s="42">
        <v>4</v>
      </c>
      <c r="E55" s="41">
        <v>1.2610340479192938E-3</v>
      </c>
    </row>
    <row r="56" spans="2:5" ht="15" customHeight="1">
      <c r="B56" s="93"/>
      <c r="C56" s="43" t="s">
        <v>137</v>
      </c>
      <c r="D56" s="42">
        <v>3</v>
      </c>
      <c r="E56" s="41">
        <v>9.4577553593947036E-4</v>
      </c>
    </row>
    <row r="57" spans="2:5" ht="15" customHeight="1">
      <c r="B57" s="94"/>
      <c r="C57" s="40" t="s">
        <v>20</v>
      </c>
      <c r="D57" s="39">
        <v>15</v>
      </c>
      <c r="E57" s="38">
        <v>4.7288776796973516E-3</v>
      </c>
    </row>
    <row r="58" spans="2:5" ht="15" customHeight="1">
      <c r="B58" s="92" t="s">
        <v>67</v>
      </c>
      <c r="C58" s="43" t="s">
        <v>144</v>
      </c>
      <c r="D58" s="42">
        <v>4</v>
      </c>
      <c r="E58" s="41">
        <v>1.2610340479192938E-3</v>
      </c>
    </row>
    <row r="59" spans="2:5" ht="15" customHeight="1">
      <c r="B59" s="93"/>
      <c r="C59" s="43" t="s">
        <v>142</v>
      </c>
      <c r="D59" s="42">
        <v>1</v>
      </c>
      <c r="E59" s="41">
        <v>3.1525851197982345E-4</v>
      </c>
    </row>
    <row r="60" spans="2:5" ht="15" customHeight="1">
      <c r="B60" s="93"/>
      <c r="C60" s="43" t="s">
        <v>141</v>
      </c>
      <c r="D60" s="42">
        <v>5</v>
      </c>
      <c r="E60" s="41">
        <v>1.5762925598991173E-3</v>
      </c>
    </row>
    <row r="61" spans="2:5" ht="15" customHeight="1">
      <c r="B61" s="93"/>
      <c r="C61" s="43" t="s">
        <v>140</v>
      </c>
      <c r="D61" s="42">
        <v>20</v>
      </c>
      <c r="E61" s="41">
        <v>6.3051702395964691E-3</v>
      </c>
    </row>
    <row r="62" spans="2:5" ht="15" customHeight="1">
      <c r="B62" s="93"/>
      <c r="C62" s="43" t="s">
        <v>138</v>
      </c>
      <c r="D62" s="42">
        <v>2</v>
      </c>
      <c r="E62" s="41">
        <v>6.3051702395964691E-4</v>
      </c>
    </row>
    <row r="63" spans="2:5" ht="15" customHeight="1">
      <c r="B63" s="93"/>
      <c r="C63" s="43" t="s">
        <v>137</v>
      </c>
      <c r="D63" s="42">
        <v>7</v>
      </c>
      <c r="E63" s="41">
        <v>2.2068095838587644E-3</v>
      </c>
    </row>
    <row r="64" spans="2:5" ht="15" customHeight="1">
      <c r="B64" s="93"/>
      <c r="C64" s="43" t="s">
        <v>133</v>
      </c>
      <c r="D64" s="42">
        <v>2</v>
      </c>
      <c r="E64" s="41">
        <v>6.3051702395964691E-4</v>
      </c>
    </row>
    <row r="65" spans="2:5" ht="15" customHeight="1">
      <c r="B65" s="93"/>
      <c r="C65" s="43" t="s">
        <v>132</v>
      </c>
      <c r="D65" s="42">
        <v>3</v>
      </c>
      <c r="E65" s="41">
        <v>9.4577553593947036E-4</v>
      </c>
    </row>
    <row r="66" spans="2:5" ht="15" customHeight="1">
      <c r="B66" s="93"/>
      <c r="C66" s="43" t="s">
        <v>131</v>
      </c>
      <c r="D66" s="42">
        <v>1</v>
      </c>
      <c r="E66" s="41">
        <v>3.1525851197982345E-4</v>
      </c>
    </row>
    <row r="67" spans="2:5" ht="15" customHeight="1">
      <c r="B67" s="94"/>
      <c r="C67" s="40" t="s">
        <v>20</v>
      </c>
      <c r="D67" s="39">
        <v>45</v>
      </c>
      <c r="E67" s="38">
        <v>1.4186633039092055E-2</v>
      </c>
    </row>
    <row r="68" spans="2:5" ht="15" customHeight="1">
      <c r="B68" s="92" t="s">
        <v>72</v>
      </c>
      <c r="C68" s="43" t="s">
        <v>151</v>
      </c>
      <c r="D68" s="42">
        <v>1</v>
      </c>
      <c r="E68" s="41">
        <v>3.1525851197982345E-4</v>
      </c>
    </row>
    <row r="69" spans="2:5" ht="15" customHeight="1">
      <c r="B69" s="93"/>
      <c r="C69" s="43" t="s">
        <v>145</v>
      </c>
      <c r="D69" s="42">
        <v>2</v>
      </c>
      <c r="E69" s="41">
        <v>6.3051702395964691E-4</v>
      </c>
    </row>
    <row r="70" spans="2:5" ht="15" customHeight="1">
      <c r="B70" s="93"/>
      <c r="C70" s="43" t="s">
        <v>144</v>
      </c>
      <c r="D70" s="42">
        <v>1</v>
      </c>
      <c r="E70" s="41">
        <v>3.1525851197982345E-4</v>
      </c>
    </row>
    <row r="71" spans="2:5" ht="15" customHeight="1">
      <c r="B71" s="93"/>
      <c r="C71" s="43" t="s">
        <v>142</v>
      </c>
      <c r="D71" s="42">
        <v>1</v>
      </c>
      <c r="E71" s="41">
        <v>3.1525851197982345E-4</v>
      </c>
    </row>
    <row r="72" spans="2:5" ht="15" customHeight="1">
      <c r="B72" s="93"/>
      <c r="C72" s="43" t="s">
        <v>141</v>
      </c>
      <c r="D72" s="42">
        <v>1</v>
      </c>
      <c r="E72" s="41">
        <v>3.1525851197982345E-4</v>
      </c>
    </row>
    <row r="73" spans="2:5" ht="15" customHeight="1">
      <c r="B73" s="93"/>
      <c r="C73" s="43" t="s">
        <v>140</v>
      </c>
      <c r="D73" s="42">
        <v>6</v>
      </c>
      <c r="E73" s="41">
        <v>1.8915510718789407E-3</v>
      </c>
    </row>
    <row r="74" spans="2:5" ht="15" customHeight="1">
      <c r="B74" s="93"/>
      <c r="C74" s="43" t="s">
        <v>138</v>
      </c>
      <c r="D74" s="42">
        <v>2</v>
      </c>
      <c r="E74" s="41">
        <v>6.3051702395964691E-4</v>
      </c>
    </row>
    <row r="75" spans="2:5" ht="15" customHeight="1">
      <c r="B75" s="93"/>
      <c r="C75" s="43" t="s">
        <v>137</v>
      </c>
      <c r="D75" s="42">
        <v>4</v>
      </c>
      <c r="E75" s="41">
        <v>1.2610340479192938E-3</v>
      </c>
    </row>
    <row r="76" spans="2:5" ht="15" customHeight="1">
      <c r="B76" s="94"/>
      <c r="C76" s="40" t="s">
        <v>20</v>
      </c>
      <c r="D76" s="39">
        <v>18</v>
      </c>
      <c r="E76" s="38">
        <v>5.6746532156368226E-3</v>
      </c>
    </row>
    <row r="77" spans="2:5" ht="15" customHeight="1">
      <c r="B77" s="92" t="s">
        <v>107</v>
      </c>
      <c r="C77" s="43" t="s">
        <v>149</v>
      </c>
      <c r="D77" s="42">
        <v>1</v>
      </c>
      <c r="E77" s="41">
        <v>3.1525851197982345E-4</v>
      </c>
    </row>
    <row r="78" spans="2:5" ht="15" customHeight="1">
      <c r="B78" s="93"/>
      <c r="C78" s="43" t="s">
        <v>148</v>
      </c>
      <c r="D78" s="42">
        <v>2</v>
      </c>
      <c r="E78" s="41">
        <v>6.3051702395964691E-4</v>
      </c>
    </row>
    <row r="79" spans="2:5" ht="15" customHeight="1">
      <c r="B79" s="93"/>
      <c r="C79" s="43" t="s">
        <v>147</v>
      </c>
      <c r="D79" s="42">
        <v>1</v>
      </c>
      <c r="E79" s="41">
        <v>3.1525851197982345E-4</v>
      </c>
    </row>
    <row r="80" spans="2:5" ht="15" customHeight="1">
      <c r="B80" s="93"/>
      <c r="C80" s="43" t="s">
        <v>146</v>
      </c>
      <c r="D80" s="42">
        <v>1</v>
      </c>
      <c r="E80" s="41">
        <v>3.1525851197982345E-4</v>
      </c>
    </row>
    <row r="81" spans="2:5" ht="15" customHeight="1">
      <c r="B81" s="93"/>
      <c r="C81" s="43" t="s">
        <v>145</v>
      </c>
      <c r="D81" s="42">
        <v>7</v>
      </c>
      <c r="E81" s="41">
        <v>2.2068095838587644E-3</v>
      </c>
    </row>
    <row r="82" spans="2:5" ht="15" customHeight="1">
      <c r="B82" s="93"/>
      <c r="C82" s="43" t="s">
        <v>144</v>
      </c>
      <c r="D82" s="42">
        <v>14</v>
      </c>
      <c r="E82" s="41">
        <v>4.4136191677175288E-3</v>
      </c>
    </row>
    <row r="83" spans="2:5" ht="15" customHeight="1">
      <c r="B83" s="93"/>
      <c r="C83" s="43" t="s">
        <v>142</v>
      </c>
      <c r="D83" s="42">
        <v>2</v>
      </c>
      <c r="E83" s="41">
        <v>6.3051702395964691E-4</v>
      </c>
    </row>
    <row r="84" spans="2:5" ht="15" customHeight="1">
      <c r="B84" s="93"/>
      <c r="C84" s="43" t="s">
        <v>141</v>
      </c>
      <c r="D84" s="42">
        <v>11</v>
      </c>
      <c r="E84" s="41">
        <v>3.4678436317780582E-3</v>
      </c>
    </row>
    <row r="85" spans="2:5" ht="15" customHeight="1">
      <c r="B85" s="93"/>
      <c r="C85" s="43" t="s">
        <v>140</v>
      </c>
      <c r="D85" s="42">
        <v>42</v>
      </c>
      <c r="E85" s="41">
        <v>1.3240857503152586E-2</v>
      </c>
    </row>
    <row r="86" spans="2:5" ht="15" customHeight="1">
      <c r="B86" s="93"/>
      <c r="C86" s="43" t="s">
        <v>139</v>
      </c>
      <c r="D86" s="42">
        <v>3</v>
      </c>
      <c r="E86" s="41">
        <v>9.4577553593947036E-4</v>
      </c>
    </row>
    <row r="87" spans="2:5" ht="15" customHeight="1">
      <c r="B87" s="93"/>
      <c r="C87" s="43" t="s">
        <v>138</v>
      </c>
      <c r="D87" s="42">
        <v>5</v>
      </c>
      <c r="E87" s="41">
        <v>1.5762925598991173E-3</v>
      </c>
    </row>
    <row r="88" spans="2:5" ht="15" customHeight="1">
      <c r="B88" s="93"/>
      <c r="C88" s="43" t="s">
        <v>137</v>
      </c>
      <c r="D88" s="42">
        <v>40</v>
      </c>
      <c r="E88" s="41">
        <v>1.2610340479192938E-2</v>
      </c>
    </row>
    <row r="89" spans="2:5" ht="15" customHeight="1">
      <c r="B89" s="93"/>
      <c r="C89" s="43" t="s">
        <v>135</v>
      </c>
      <c r="D89" s="42">
        <v>1</v>
      </c>
      <c r="E89" s="41">
        <v>3.1525851197982345E-4</v>
      </c>
    </row>
    <row r="90" spans="2:5" ht="15" customHeight="1">
      <c r="B90" s="93"/>
      <c r="C90" s="43" t="s">
        <v>133</v>
      </c>
      <c r="D90" s="42">
        <v>3</v>
      </c>
      <c r="E90" s="41">
        <v>9.4577553593947036E-4</v>
      </c>
    </row>
    <row r="91" spans="2:5" ht="15" customHeight="1">
      <c r="B91" s="93"/>
      <c r="C91" s="43" t="s">
        <v>132</v>
      </c>
      <c r="D91" s="42">
        <v>6</v>
      </c>
      <c r="E91" s="41">
        <v>1.8915510718789407E-3</v>
      </c>
    </row>
    <row r="92" spans="2:5" ht="15" customHeight="1">
      <c r="B92" s="93"/>
      <c r="C92" s="43" t="s">
        <v>131</v>
      </c>
      <c r="D92" s="42">
        <v>1</v>
      </c>
      <c r="E92" s="41">
        <v>3.1525851197982345E-4</v>
      </c>
    </row>
    <row r="93" spans="2:5" ht="15" customHeight="1">
      <c r="B93" s="93"/>
      <c r="C93" s="43" t="s">
        <v>130</v>
      </c>
      <c r="D93" s="42">
        <v>1</v>
      </c>
      <c r="E93" s="41">
        <v>3.1525851197982345E-4</v>
      </c>
    </row>
    <row r="94" spans="2:5" ht="15" customHeight="1">
      <c r="B94" s="94"/>
      <c r="C94" s="40" t="s">
        <v>20</v>
      </c>
      <c r="D94" s="39">
        <v>141</v>
      </c>
      <c r="E94" s="38">
        <v>4.4451450189155105E-2</v>
      </c>
    </row>
    <row r="95" spans="2:5" ht="15" customHeight="1">
      <c r="B95" s="92" t="s">
        <v>105</v>
      </c>
      <c r="C95" s="43" t="s">
        <v>151</v>
      </c>
      <c r="D95" s="42">
        <v>2</v>
      </c>
      <c r="E95" s="41">
        <v>6.3051702395964691E-4</v>
      </c>
    </row>
    <row r="96" spans="2:5" ht="15" customHeight="1">
      <c r="B96" s="93"/>
      <c r="C96" s="43" t="s">
        <v>150</v>
      </c>
      <c r="D96" s="42">
        <v>2</v>
      </c>
      <c r="E96" s="41">
        <v>6.3051702395964691E-4</v>
      </c>
    </row>
    <row r="97" spans="2:5" ht="15" customHeight="1">
      <c r="B97" s="93"/>
      <c r="C97" s="43" t="s">
        <v>149</v>
      </c>
      <c r="D97" s="42">
        <v>1</v>
      </c>
      <c r="E97" s="41">
        <v>3.1525851197982345E-4</v>
      </c>
    </row>
    <row r="98" spans="2:5" ht="15" customHeight="1">
      <c r="B98" s="93"/>
      <c r="C98" s="43" t="s">
        <v>148</v>
      </c>
      <c r="D98" s="42">
        <v>2</v>
      </c>
      <c r="E98" s="41">
        <v>6.3051702395964691E-4</v>
      </c>
    </row>
    <row r="99" spans="2:5" ht="15" customHeight="1">
      <c r="B99" s="93"/>
      <c r="C99" s="43" t="s">
        <v>147</v>
      </c>
      <c r="D99" s="42">
        <v>3</v>
      </c>
      <c r="E99" s="41">
        <v>9.4577553593947036E-4</v>
      </c>
    </row>
    <row r="100" spans="2:5" ht="15" customHeight="1">
      <c r="B100" s="93"/>
      <c r="C100" s="43" t="s">
        <v>146</v>
      </c>
      <c r="D100" s="42">
        <v>2</v>
      </c>
      <c r="E100" s="41">
        <v>6.3051702395964691E-4</v>
      </c>
    </row>
    <row r="101" spans="2:5" ht="15" customHeight="1">
      <c r="B101" s="93"/>
      <c r="C101" s="43" t="s">
        <v>145</v>
      </c>
      <c r="D101" s="42">
        <v>18</v>
      </c>
      <c r="E101" s="41">
        <v>5.6746532156368226E-3</v>
      </c>
    </row>
    <row r="102" spans="2:5" ht="15" customHeight="1">
      <c r="B102" s="93"/>
      <c r="C102" s="43" t="s">
        <v>144</v>
      </c>
      <c r="D102" s="42">
        <v>27</v>
      </c>
      <c r="E102" s="41">
        <v>8.5119798234552339E-3</v>
      </c>
    </row>
    <row r="103" spans="2:5" ht="15" customHeight="1">
      <c r="B103" s="93"/>
      <c r="C103" s="43" t="s">
        <v>143</v>
      </c>
      <c r="D103" s="42">
        <v>3</v>
      </c>
      <c r="E103" s="41">
        <v>9.4577553593947036E-4</v>
      </c>
    </row>
    <row r="104" spans="2:5" ht="15" customHeight="1">
      <c r="B104" s="93"/>
      <c r="C104" s="43" t="s">
        <v>142</v>
      </c>
      <c r="D104" s="42">
        <v>1</v>
      </c>
      <c r="E104" s="41">
        <v>3.1525851197982345E-4</v>
      </c>
    </row>
    <row r="105" spans="2:5" ht="15" customHeight="1">
      <c r="B105" s="93"/>
      <c r="C105" s="43" t="s">
        <v>141</v>
      </c>
      <c r="D105" s="42">
        <v>14</v>
      </c>
      <c r="E105" s="41">
        <v>4.4136191677175288E-3</v>
      </c>
    </row>
    <row r="106" spans="2:5" ht="15" customHeight="1">
      <c r="B106" s="93"/>
      <c r="C106" s="43" t="s">
        <v>140</v>
      </c>
      <c r="D106" s="42">
        <v>110</v>
      </c>
      <c r="E106" s="41">
        <v>3.467843631778058E-2</v>
      </c>
    </row>
    <row r="107" spans="2:5" ht="15" customHeight="1">
      <c r="B107" s="93"/>
      <c r="C107" s="43" t="s">
        <v>139</v>
      </c>
      <c r="D107" s="42">
        <v>1</v>
      </c>
      <c r="E107" s="41">
        <v>3.1525851197982345E-4</v>
      </c>
    </row>
    <row r="108" spans="2:5" ht="15" customHeight="1">
      <c r="B108" s="93"/>
      <c r="C108" s="43" t="s">
        <v>138</v>
      </c>
      <c r="D108" s="42">
        <v>8</v>
      </c>
      <c r="E108" s="41">
        <v>2.5220680958385876E-3</v>
      </c>
    </row>
    <row r="109" spans="2:5" ht="15" customHeight="1">
      <c r="B109" s="93"/>
      <c r="C109" s="43" t="s">
        <v>137</v>
      </c>
      <c r="D109" s="42">
        <v>66</v>
      </c>
      <c r="E109" s="41">
        <v>2.0807061790668348E-2</v>
      </c>
    </row>
    <row r="110" spans="2:5" ht="15" customHeight="1">
      <c r="B110" s="93"/>
      <c r="C110" s="43" t="s">
        <v>136</v>
      </c>
      <c r="D110" s="42">
        <v>1</v>
      </c>
      <c r="E110" s="41">
        <v>3.1525851197982345E-4</v>
      </c>
    </row>
    <row r="111" spans="2:5" ht="15" customHeight="1">
      <c r="B111" s="93"/>
      <c r="C111" s="43" t="s">
        <v>134</v>
      </c>
      <c r="D111" s="42">
        <v>1</v>
      </c>
      <c r="E111" s="41">
        <v>3.1525851197982345E-4</v>
      </c>
    </row>
    <row r="112" spans="2:5" ht="15" customHeight="1">
      <c r="B112" s="93"/>
      <c r="C112" s="43" t="s">
        <v>133</v>
      </c>
      <c r="D112" s="42">
        <v>3</v>
      </c>
      <c r="E112" s="41">
        <v>9.4577553593947036E-4</v>
      </c>
    </row>
    <row r="113" spans="2:5" ht="15" customHeight="1">
      <c r="B113" s="93"/>
      <c r="C113" s="43" t="s">
        <v>132</v>
      </c>
      <c r="D113" s="42">
        <v>11</v>
      </c>
      <c r="E113" s="41">
        <v>3.4678436317780582E-3</v>
      </c>
    </row>
    <row r="114" spans="2:5" ht="15" customHeight="1">
      <c r="B114" s="93"/>
      <c r="C114" s="43" t="s">
        <v>199</v>
      </c>
      <c r="D114" s="42">
        <v>1</v>
      </c>
      <c r="E114" s="41">
        <v>3.1525851197982345E-4</v>
      </c>
    </row>
    <row r="115" spans="2:5" ht="15" customHeight="1">
      <c r="B115" s="94"/>
      <c r="C115" s="40" t="s">
        <v>20</v>
      </c>
      <c r="D115" s="39">
        <v>277</v>
      </c>
      <c r="E115" s="38">
        <v>8.7326607818411103E-2</v>
      </c>
    </row>
    <row r="116" spans="2:5" ht="15" customHeight="1">
      <c r="B116" s="92" t="s">
        <v>89</v>
      </c>
      <c r="C116" s="43" t="s">
        <v>151</v>
      </c>
      <c r="D116" s="42">
        <v>1</v>
      </c>
      <c r="E116" s="41">
        <v>3.1525851197982345E-4</v>
      </c>
    </row>
    <row r="117" spans="2:5" ht="15" customHeight="1">
      <c r="B117" s="93"/>
      <c r="C117" s="43" t="s">
        <v>147</v>
      </c>
      <c r="D117" s="42">
        <v>2</v>
      </c>
      <c r="E117" s="41">
        <v>6.3051702395964691E-4</v>
      </c>
    </row>
    <row r="118" spans="2:5" ht="15" customHeight="1">
      <c r="B118" s="93"/>
      <c r="C118" s="43" t="s">
        <v>144</v>
      </c>
      <c r="D118" s="42">
        <v>4</v>
      </c>
      <c r="E118" s="41">
        <v>1.2610340479192938E-3</v>
      </c>
    </row>
    <row r="119" spans="2:5" ht="15" customHeight="1">
      <c r="B119" s="93"/>
      <c r="C119" s="43" t="s">
        <v>142</v>
      </c>
      <c r="D119" s="42">
        <v>2</v>
      </c>
      <c r="E119" s="41">
        <v>6.3051702395964691E-4</v>
      </c>
    </row>
    <row r="120" spans="2:5" ht="15" customHeight="1">
      <c r="B120" s="93"/>
      <c r="C120" s="43" t="s">
        <v>141</v>
      </c>
      <c r="D120" s="42">
        <v>1</v>
      </c>
      <c r="E120" s="41">
        <v>3.1525851197982345E-4</v>
      </c>
    </row>
    <row r="121" spans="2:5" ht="15" customHeight="1">
      <c r="B121" s="93"/>
      <c r="C121" s="43" t="s">
        <v>140</v>
      </c>
      <c r="D121" s="42">
        <v>13</v>
      </c>
      <c r="E121" s="41">
        <v>4.0983606557377051E-3</v>
      </c>
    </row>
    <row r="122" spans="2:5" ht="15" customHeight="1">
      <c r="B122" s="93"/>
      <c r="C122" s="43" t="s">
        <v>138</v>
      </c>
      <c r="D122" s="42">
        <v>4</v>
      </c>
      <c r="E122" s="41">
        <v>1.2610340479192938E-3</v>
      </c>
    </row>
    <row r="123" spans="2:5" ht="15" customHeight="1">
      <c r="B123" s="93"/>
      <c r="C123" s="43" t="s">
        <v>137</v>
      </c>
      <c r="D123" s="42">
        <v>15</v>
      </c>
      <c r="E123" s="41">
        <v>4.7288776796973516E-3</v>
      </c>
    </row>
    <row r="124" spans="2:5" ht="15" customHeight="1">
      <c r="B124" s="93"/>
      <c r="C124" s="43" t="s">
        <v>134</v>
      </c>
      <c r="D124" s="42">
        <v>1</v>
      </c>
      <c r="E124" s="41">
        <v>3.1525851197982345E-4</v>
      </c>
    </row>
    <row r="125" spans="2:5" ht="15" customHeight="1">
      <c r="B125" s="93"/>
      <c r="C125" s="43" t="s">
        <v>132</v>
      </c>
      <c r="D125" s="42">
        <v>5</v>
      </c>
      <c r="E125" s="41">
        <v>1.5762925598991173E-3</v>
      </c>
    </row>
    <row r="126" spans="2:5" ht="15" customHeight="1">
      <c r="B126" s="94"/>
      <c r="C126" s="40" t="s">
        <v>20</v>
      </c>
      <c r="D126" s="39">
        <v>48</v>
      </c>
      <c r="E126" s="38">
        <v>1.5132408575031526E-2</v>
      </c>
    </row>
    <row r="127" spans="2:5" ht="15" customHeight="1">
      <c r="B127" s="92" t="s">
        <v>75</v>
      </c>
      <c r="C127" s="43" t="s">
        <v>148</v>
      </c>
      <c r="D127" s="42">
        <v>1</v>
      </c>
      <c r="E127" s="41">
        <v>3.1525851197982345E-4</v>
      </c>
    </row>
    <row r="128" spans="2:5" ht="15" customHeight="1">
      <c r="B128" s="93"/>
      <c r="C128" s="43" t="s">
        <v>145</v>
      </c>
      <c r="D128" s="42">
        <v>2</v>
      </c>
      <c r="E128" s="41">
        <v>6.3051702395964691E-4</v>
      </c>
    </row>
    <row r="129" spans="2:5" ht="15" customHeight="1">
      <c r="B129" s="93"/>
      <c r="C129" s="43" t="s">
        <v>144</v>
      </c>
      <c r="D129" s="42">
        <v>3</v>
      </c>
      <c r="E129" s="41">
        <v>9.4577553593947036E-4</v>
      </c>
    </row>
    <row r="130" spans="2:5" ht="15" customHeight="1">
      <c r="B130" s="93"/>
      <c r="C130" s="43" t="s">
        <v>143</v>
      </c>
      <c r="D130" s="42">
        <v>1</v>
      </c>
      <c r="E130" s="41">
        <v>3.1525851197982345E-4</v>
      </c>
    </row>
    <row r="131" spans="2:5" ht="15" customHeight="1">
      <c r="B131" s="93"/>
      <c r="C131" s="43" t="s">
        <v>141</v>
      </c>
      <c r="D131" s="42">
        <v>2</v>
      </c>
      <c r="E131" s="41">
        <v>6.3051702395964691E-4</v>
      </c>
    </row>
    <row r="132" spans="2:5" ht="15" customHeight="1">
      <c r="B132" s="93"/>
      <c r="C132" s="43" t="s">
        <v>140</v>
      </c>
      <c r="D132" s="42">
        <v>10</v>
      </c>
      <c r="E132" s="41">
        <v>3.1525851197982345E-3</v>
      </c>
    </row>
    <row r="133" spans="2:5" ht="15" customHeight="1">
      <c r="B133" s="93"/>
      <c r="C133" s="43" t="s">
        <v>139</v>
      </c>
      <c r="D133" s="42">
        <v>1</v>
      </c>
      <c r="E133" s="41">
        <v>3.1525851197982345E-4</v>
      </c>
    </row>
    <row r="134" spans="2:5" ht="15" customHeight="1">
      <c r="B134" s="93"/>
      <c r="C134" s="43" t="s">
        <v>137</v>
      </c>
      <c r="D134" s="42">
        <v>6</v>
      </c>
      <c r="E134" s="41">
        <v>1.8915510718789407E-3</v>
      </c>
    </row>
    <row r="135" spans="2:5" ht="15" customHeight="1">
      <c r="B135" s="93"/>
      <c r="C135" s="43" t="s">
        <v>132</v>
      </c>
      <c r="D135" s="42">
        <v>1</v>
      </c>
      <c r="E135" s="41">
        <v>3.1525851197982345E-4</v>
      </c>
    </row>
    <row r="136" spans="2:5" ht="15" customHeight="1">
      <c r="B136" s="94"/>
      <c r="C136" s="40" t="s">
        <v>20</v>
      </c>
      <c r="D136" s="39">
        <v>27</v>
      </c>
      <c r="E136" s="38">
        <v>8.5119798234552339E-3</v>
      </c>
    </row>
    <row r="137" spans="2:5" ht="15" customHeight="1">
      <c r="B137" s="92" t="s">
        <v>207</v>
      </c>
      <c r="C137" s="43" t="s">
        <v>148</v>
      </c>
      <c r="D137" s="42">
        <v>1</v>
      </c>
      <c r="E137" s="41">
        <v>3.1525851197982345E-4</v>
      </c>
    </row>
    <row r="138" spans="2:5" ht="15" customHeight="1">
      <c r="B138" s="93"/>
      <c r="C138" s="43" t="s">
        <v>140</v>
      </c>
      <c r="D138" s="42">
        <v>2</v>
      </c>
      <c r="E138" s="41">
        <v>6.3051702395964691E-4</v>
      </c>
    </row>
    <row r="139" spans="2:5" ht="15" customHeight="1">
      <c r="B139" s="93"/>
      <c r="C139" s="43" t="s">
        <v>138</v>
      </c>
      <c r="D139" s="42">
        <v>1</v>
      </c>
      <c r="E139" s="41">
        <v>3.1525851197982345E-4</v>
      </c>
    </row>
    <row r="140" spans="2:5" ht="15" customHeight="1">
      <c r="B140" s="93"/>
      <c r="C140" s="43" t="s">
        <v>137</v>
      </c>
      <c r="D140" s="42">
        <v>2</v>
      </c>
      <c r="E140" s="41">
        <v>6.3051702395964691E-4</v>
      </c>
    </row>
    <row r="141" spans="2:5" ht="15" customHeight="1">
      <c r="B141" s="94"/>
      <c r="C141" s="40" t="s">
        <v>20</v>
      </c>
      <c r="D141" s="39">
        <v>6</v>
      </c>
      <c r="E141" s="38">
        <v>1.8915510718789407E-3</v>
      </c>
    </row>
    <row r="142" spans="2:5" ht="15" customHeight="1">
      <c r="B142" s="92" t="s">
        <v>86</v>
      </c>
      <c r="C142" s="43" t="s">
        <v>151</v>
      </c>
      <c r="D142" s="42">
        <v>1</v>
      </c>
      <c r="E142" s="41">
        <v>3.1525851197982345E-4</v>
      </c>
    </row>
    <row r="143" spans="2:5" ht="15" customHeight="1">
      <c r="B143" s="93"/>
      <c r="C143" s="43" t="s">
        <v>149</v>
      </c>
      <c r="D143" s="42">
        <v>3</v>
      </c>
      <c r="E143" s="41">
        <v>9.4577553593947036E-4</v>
      </c>
    </row>
    <row r="144" spans="2:5" ht="15" customHeight="1">
      <c r="B144" s="93"/>
      <c r="C144" s="43" t="s">
        <v>148</v>
      </c>
      <c r="D144" s="42">
        <v>2</v>
      </c>
      <c r="E144" s="41">
        <v>6.3051702395964691E-4</v>
      </c>
    </row>
    <row r="145" spans="2:5" ht="15" customHeight="1">
      <c r="B145" s="93"/>
      <c r="C145" s="43" t="s">
        <v>145</v>
      </c>
      <c r="D145" s="42">
        <v>1</v>
      </c>
      <c r="E145" s="41">
        <v>3.1525851197982345E-4</v>
      </c>
    </row>
    <row r="146" spans="2:5" ht="15" customHeight="1">
      <c r="B146" s="93"/>
      <c r="C146" s="43" t="s">
        <v>144</v>
      </c>
      <c r="D146" s="42">
        <v>6</v>
      </c>
      <c r="E146" s="41">
        <v>1.8915510718789407E-3</v>
      </c>
    </row>
    <row r="147" spans="2:5" ht="15" customHeight="1">
      <c r="B147" s="93"/>
      <c r="C147" s="43" t="s">
        <v>140</v>
      </c>
      <c r="D147" s="42">
        <v>10</v>
      </c>
      <c r="E147" s="41">
        <v>3.1525851197982345E-3</v>
      </c>
    </row>
    <row r="148" spans="2:5" ht="15" customHeight="1">
      <c r="B148" s="93"/>
      <c r="C148" s="43" t="s">
        <v>138</v>
      </c>
      <c r="D148" s="42">
        <v>3</v>
      </c>
      <c r="E148" s="41">
        <v>9.4577553593947036E-4</v>
      </c>
    </row>
    <row r="149" spans="2:5" ht="15" customHeight="1">
      <c r="B149" s="93"/>
      <c r="C149" s="43" t="s">
        <v>137</v>
      </c>
      <c r="D149" s="42">
        <v>9</v>
      </c>
      <c r="E149" s="41">
        <v>2.8373266078184113E-3</v>
      </c>
    </row>
    <row r="150" spans="2:5" ht="15" customHeight="1">
      <c r="B150" s="93"/>
      <c r="C150" s="43" t="s">
        <v>133</v>
      </c>
      <c r="D150" s="42">
        <v>2</v>
      </c>
      <c r="E150" s="41">
        <v>6.3051702395964691E-4</v>
      </c>
    </row>
    <row r="151" spans="2:5" ht="15" customHeight="1">
      <c r="B151" s="93"/>
      <c r="C151" s="43" t="s">
        <v>132</v>
      </c>
      <c r="D151" s="42">
        <v>1</v>
      </c>
      <c r="E151" s="41">
        <v>3.1525851197982345E-4</v>
      </c>
    </row>
    <row r="152" spans="2:5" ht="15" customHeight="1">
      <c r="B152" s="94"/>
      <c r="C152" s="40" t="s">
        <v>20</v>
      </c>
      <c r="D152" s="39">
        <v>38</v>
      </c>
      <c r="E152" s="38">
        <v>1.1979823455233291E-2</v>
      </c>
    </row>
    <row r="153" spans="2:5" ht="15" customHeight="1">
      <c r="B153" s="92" t="s">
        <v>102</v>
      </c>
      <c r="C153" s="43" t="s">
        <v>151</v>
      </c>
      <c r="D153" s="42">
        <v>1</v>
      </c>
      <c r="E153" s="41">
        <v>3.1525851197982345E-4</v>
      </c>
    </row>
    <row r="154" spans="2:5" ht="15" customHeight="1">
      <c r="B154" s="93"/>
      <c r="C154" s="43" t="s">
        <v>148</v>
      </c>
      <c r="D154" s="42">
        <v>1</v>
      </c>
      <c r="E154" s="41">
        <v>3.1525851197982345E-4</v>
      </c>
    </row>
    <row r="155" spans="2:5" ht="15" customHeight="1">
      <c r="B155" s="93"/>
      <c r="C155" s="43" t="s">
        <v>145</v>
      </c>
      <c r="D155" s="42">
        <v>7</v>
      </c>
      <c r="E155" s="41">
        <v>2.2068095838587644E-3</v>
      </c>
    </row>
    <row r="156" spans="2:5" ht="15" customHeight="1">
      <c r="B156" s="93"/>
      <c r="C156" s="43" t="s">
        <v>143</v>
      </c>
      <c r="D156" s="42">
        <v>1</v>
      </c>
      <c r="E156" s="41">
        <v>3.1525851197982345E-4</v>
      </c>
    </row>
    <row r="157" spans="2:5" ht="15" customHeight="1">
      <c r="B157" s="93"/>
      <c r="C157" s="43" t="s">
        <v>141</v>
      </c>
      <c r="D157" s="42">
        <v>2</v>
      </c>
      <c r="E157" s="41">
        <v>6.3051702395964691E-4</v>
      </c>
    </row>
    <row r="158" spans="2:5" ht="15" customHeight="1">
      <c r="B158" s="93"/>
      <c r="C158" s="43" t="s">
        <v>140</v>
      </c>
      <c r="D158" s="42">
        <v>6</v>
      </c>
      <c r="E158" s="41">
        <v>1.8915510718789407E-3</v>
      </c>
    </row>
    <row r="159" spans="2:5" ht="15" customHeight="1">
      <c r="B159" s="93"/>
      <c r="C159" s="43" t="s">
        <v>138</v>
      </c>
      <c r="D159" s="42">
        <v>2</v>
      </c>
      <c r="E159" s="41">
        <v>6.3051702395964691E-4</v>
      </c>
    </row>
    <row r="160" spans="2:5" ht="15" customHeight="1">
      <c r="B160" s="93"/>
      <c r="C160" s="43" t="s">
        <v>137</v>
      </c>
      <c r="D160" s="42">
        <v>6</v>
      </c>
      <c r="E160" s="41">
        <v>1.8915510718789407E-3</v>
      </c>
    </row>
    <row r="161" spans="2:5" ht="15" customHeight="1">
      <c r="B161" s="93"/>
      <c r="C161" s="43" t="s">
        <v>136</v>
      </c>
      <c r="D161" s="42">
        <v>1</v>
      </c>
      <c r="E161" s="41">
        <v>3.1525851197982345E-4</v>
      </c>
    </row>
    <row r="162" spans="2:5" ht="15" customHeight="1">
      <c r="B162" s="94"/>
      <c r="C162" s="40" t="s">
        <v>20</v>
      </c>
      <c r="D162" s="39">
        <v>27</v>
      </c>
      <c r="E162" s="38">
        <v>8.5119798234552339E-3</v>
      </c>
    </row>
    <row r="163" spans="2:5" ht="15" customHeight="1">
      <c r="B163" s="92" t="s">
        <v>106</v>
      </c>
      <c r="C163" s="43" t="s">
        <v>151</v>
      </c>
      <c r="D163" s="42">
        <v>3</v>
      </c>
      <c r="E163" s="41">
        <v>9.4577553593947036E-4</v>
      </c>
    </row>
    <row r="164" spans="2:5" ht="15" customHeight="1">
      <c r="B164" s="93"/>
      <c r="C164" s="43" t="s">
        <v>150</v>
      </c>
      <c r="D164" s="42">
        <v>2</v>
      </c>
      <c r="E164" s="41">
        <v>6.3051702395964691E-4</v>
      </c>
    </row>
    <row r="165" spans="2:5" ht="15" customHeight="1">
      <c r="B165" s="93"/>
      <c r="C165" s="43" t="s">
        <v>149</v>
      </c>
      <c r="D165" s="42">
        <v>1</v>
      </c>
      <c r="E165" s="41">
        <v>3.1525851197982345E-4</v>
      </c>
    </row>
    <row r="166" spans="2:5" ht="15" customHeight="1">
      <c r="B166" s="93"/>
      <c r="C166" s="43" t="s">
        <v>148</v>
      </c>
      <c r="D166" s="42">
        <v>3</v>
      </c>
      <c r="E166" s="41">
        <v>9.4577553593947036E-4</v>
      </c>
    </row>
    <row r="167" spans="2:5" ht="15" customHeight="1">
      <c r="B167" s="93"/>
      <c r="C167" s="43" t="s">
        <v>147</v>
      </c>
      <c r="D167" s="42">
        <v>2</v>
      </c>
      <c r="E167" s="41">
        <v>6.3051702395964691E-4</v>
      </c>
    </row>
    <row r="168" spans="2:5" ht="15" customHeight="1">
      <c r="B168" s="93"/>
      <c r="C168" s="43" t="s">
        <v>146</v>
      </c>
      <c r="D168" s="42">
        <v>1</v>
      </c>
      <c r="E168" s="41">
        <v>3.1525851197982345E-4</v>
      </c>
    </row>
    <row r="169" spans="2:5" ht="15" customHeight="1">
      <c r="B169" s="93"/>
      <c r="C169" s="43" t="s">
        <v>145</v>
      </c>
      <c r="D169" s="42">
        <v>9</v>
      </c>
      <c r="E169" s="41">
        <v>2.8373266078184113E-3</v>
      </c>
    </row>
    <row r="170" spans="2:5" ht="15" customHeight="1">
      <c r="B170" s="93"/>
      <c r="C170" s="43" t="s">
        <v>144</v>
      </c>
      <c r="D170" s="42">
        <v>21</v>
      </c>
      <c r="E170" s="41">
        <v>6.6204287515762928E-3</v>
      </c>
    </row>
    <row r="171" spans="2:5" ht="15" customHeight="1">
      <c r="B171" s="93"/>
      <c r="C171" s="43" t="s">
        <v>142</v>
      </c>
      <c r="D171" s="42">
        <v>5</v>
      </c>
      <c r="E171" s="41">
        <v>1.5762925598991173E-3</v>
      </c>
    </row>
    <row r="172" spans="2:5" ht="15" customHeight="1">
      <c r="B172" s="93"/>
      <c r="C172" s="43" t="s">
        <v>141</v>
      </c>
      <c r="D172" s="42">
        <v>11</v>
      </c>
      <c r="E172" s="41">
        <v>3.4678436317780582E-3</v>
      </c>
    </row>
    <row r="173" spans="2:5" ht="15" customHeight="1">
      <c r="B173" s="93"/>
      <c r="C173" s="43" t="s">
        <v>140</v>
      </c>
      <c r="D173" s="42">
        <v>58</v>
      </c>
      <c r="E173" s="41">
        <v>1.8284993694829759E-2</v>
      </c>
    </row>
    <row r="174" spans="2:5" ht="15" customHeight="1">
      <c r="B174" s="93"/>
      <c r="C174" s="43" t="s">
        <v>139</v>
      </c>
      <c r="D174" s="42">
        <v>1</v>
      </c>
      <c r="E174" s="41">
        <v>3.1525851197982345E-4</v>
      </c>
    </row>
    <row r="175" spans="2:5" ht="15" customHeight="1">
      <c r="B175" s="93"/>
      <c r="C175" s="43" t="s">
        <v>138</v>
      </c>
      <c r="D175" s="42">
        <v>16</v>
      </c>
      <c r="E175" s="41">
        <v>5.0441361916771753E-3</v>
      </c>
    </row>
    <row r="176" spans="2:5" ht="15" customHeight="1">
      <c r="B176" s="93"/>
      <c r="C176" s="43" t="s">
        <v>137</v>
      </c>
      <c r="D176" s="42">
        <v>57</v>
      </c>
      <c r="E176" s="41">
        <v>1.7969735182849937E-2</v>
      </c>
    </row>
    <row r="177" spans="2:5" ht="15" customHeight="1">
      <c r="B177" s="93"/>
      <c r="C177" s="43" t="s">
        <v>135</v>
      </c>
      <c r="D177" s="42">
        <v>1</v>
      </c>
      <c r="E177" s="41">
        <v>3.1525851197982345E-4</v>
      </c>
    </row>
    <row r="178" spans="2:5" ht="15" customHeight="1">
      <c r="B178" s="93"/>
      <c r="C178" s="43" t="s">
        <v>133</v>
      </c>
      <c r="D178" s="42">
        <v>1</v>
      </c>
      <c r="E178" s="41">
        <v>3.1525851197982345E-4</v>
      </c>
    </row>
    <row r="179" spans="2:5" ht="15" customHeight="1">
      <c r="B179" s="93"/>
      <c r="C179" s="43" t="s">
        <v>132</v>
      </c>
      <c r="D179" s="42">
        <v>13</v>
      </c>
      <c r="E179" s="41">
        <v>4.0983606557377051E-3</v>
      </c>
    </row>
    <row r="180" spans="2:5" ht="15" customHeight="1">
      <c r="B180" s="94"/>
      <c r="C180" s="40" t="s">
        <v>20</v>
      </c>
      <c r="D180" s="39">
        <v>205</v>
      </c>
      <c r="E180" s="38">
        <v>6.4627994955863813E-2</v>
      </c>
    </row>
    <row r="181" spans="2:5" ht="15" customHeight="1">
      <c r="B181" s="92" t="s">
        <v>158</v>
      </c>
      <c r="C181" s="43" t="s">
        <v>149</v>
      </c>
      <c r="D181" s="42">
        <v>3</v>
      </c>
      <c r="E181" s="41">
        <v>9.4577553593947036E-4</v>
      </c>
    </row>
    <row r="182" spans="2:5" ht="15" customHeight="1">
      <c r="B182" s="93"/>
      <c r="C182" s="43" t="s">
        <v>148</v>
      </c>
      <c r="D182" s="42">
        <v>1</v>
      </c>
      <c r="E182" s="41">
        <v>3.1525851197982345E-4</v>
      </c>
    </row>
    <row r="183" spans="2:5" ht="15" customHeight="1">
      <c r="B183" s="93"/>
      <c r="C183" s="43" t="s">
        <v>146</v>
      </c>
      <c r="D183" s="42">
        <v>2</v>
      </c>
      <c r="E183" s="41">
        <v>6.3051702395964691E-4</v>
      </c>
    </row>
    <row r="184" spans="2:5" ht="15" customHeight="1">
      <c r="B184" s="93"/>
      <c r="C184" s="43" t="s">
        <v>145</v>
      </c>
      <c r="D184" s="42">
        <v>11</v>
      </c>
      <c r="E184" s="41">
        <v>3.4678436317780582E-3</v>
      </c>
    </row>
    <row r="185" spans="2:5" ht="15" customHeight="1">
      <c r="B185" s="93"/>
      <c r="C185" s="43" t="s">
        <v>144</v>
      </c>
      <c r="D185" s="42">
        <v>9</v>
      </c>
      <c r="E185" s="41">
        <v>2.8373266078184113E-3</v>
      </c>
    </row>
    <row r="186" spans="2:5" ht="15" customHeight="1">
      <c r="B186" s="93"/>
      <c r="C186" s="43" t="s">
        <v>142</v>
      </c>
      <c r="D186" s="42">
        <v>3</v>
      </c>
      <c r="E186" s="41">
        <v>9.4577553593947036E-4</v>
      </c>
    </row>
    <row r="187" spans="2:5" ht="15" customHeight="1">
      <c r="B187" s="93"/>
      <c r="C187" s="43" t="s">
        <v>141</v>
      </c>
      <c r="D187" s="42">
        <v>3</v>
      </c>
      <c r="E187" s="41">
        <v>9.4577553593947036E-4</v>
      </c>
    </row>
    <row r="188" spans="2:5" ht="15" customHeight="1">
      <c r="B188" s="93"/>
      <c r="C188" s="43" t="s">
        <v>140</v>
      </c>
      <c r="D188" s="42">
        <v>49</v>
      </c>
      <c r="E188" s="41">
        <v>1.544766708701135E-2</v>
      </c>
    </row>
    <row r="189" spans="2:5" ht="15" customHeight="1">
      <c r="B189" s="93"/>
      <c r="C189" s="43" t="s">
        <v>139</v>
      </c>
      <c r="D189" s="42">
        <v>1</v>
      </c>
      <c r="E189" s="41">
        <v>3.1525851197982345E-4</v>
      </c>
    </row>
    <row r="190" spans="2:5" ht="15" customHeight="1">
      <c r="B190" s="93"/>
      <c r="C190" s="43" t="s">
        <v>138</v>
      </c>
      <c r="D190" s="42">
        <v>7</v>
      </c>
      <c r="E190" s="41">
        <v>2.2068095838587644E-3</v>
      </c>
    </row>
    <row r="191" spans="2:5" ht="15" customHeight="1">
      <c r="B191" s="93"/>
      <c r="C191" s="43" t="s">
        <v>137</v>
      </c>
      <c r="D191" s="42">
        <v>37</v>
      </c>
      <c r="E191" s="41">
        <v>1.1664564943253467E-2</v>
      </c>
    </row>
    <row r="192" spans="2:5" ht="15" customHeight="1">
      <c r="B192" s="93"/>
      <c r="C192" s="43" t="s">
        <v>133</v>
      </c>
      <c r="D192" s="42">
        <v>2</v>
      </c>
      <c r="E192" s="41">
        <v>6.3051702395964691E-4</v>
      </c>
    </row>
    <row r="193" spans="2:5" ht="15" customHeight="1">
      <c r="B193" s="93"/>
      <c r="C193" s="43" t="s">
        <v>132</v>
      </c>
      <c r="D193" s="42">
        <v>3</v>
      </c>
      <c r="E193" s="41">
        <v>9.4577553593947036E-4</v>
      </c>
    </row>
    <row r="194" spans="2:5" ht="15" customHeight="1">
      <c r="B194" s="94"/>
      <c r="C194" s="40" t="s">
        <v>20</v>
      </c>
      <c r="D194" s="39">
        <v>131</v>
      </c>
      <c r="E194" s="38">
        <v>4.1298865069356872E-2</v>
      </c>
    </row>
    <row r="195" spans="2:5" ht="15" customHeight="1">
      <c r="B195" s="92" t="s">
        <v>85</v>
      </c>
      <c r="C195" s="43" t="s">
        <v>146</v>
      </c>
      <c r="D195" s="42">
        <v>1</v>
      </c>
      <c r="E195" s="41">
        <v>3.1525851197982345E-4</v>
      </c>
    </row>
    <row r="196" spans="2:5" ht="15" customHeight="1">
      <c r="B196" s="93"/>
      <c r="C196" s="43" t="s">
        <v>145</v>
      </c>
      <c r="D196" s="42">
        <v>1</v>
      </c>
      <c r="E196" s="41">
        <v>3.1525851197982345E-4</v>
      </c>
    </row>
    <row r="197" spans="2:5" ht="15" customHeight="1">
      <c r="B197" s="93"/>
      <c r="C197" s="43" t="s">
        <v>144</v>
      </c>
      <c r="D197" s="42">
        <v>1</v>
      </c>
      <c r="E197" s="41">
        <v>3.1525851197982345E-4</v>
      </c>
    </row>
    <row r="198" spans="2:5" ht="15" customHeight="1">
      <c r="B198" s="93"/>
      <c r="C198" s="43" t="s">
        <v>141</v>
      </c>
      <c r="D198" s="42">
        <v>5</v>
      </c>
      <c r="E198" s="41">
        <v>1.5762925598991173E-3</v>
      </c>
    </row>
    <row r="199" spans="2:5" ht="15" customHeight="1">
      <c r="B199" s="93"/>
      <c r="C199" s="43" t="s">
        <v>140</v>
      </c>
      <c r="D199" s="42">
        <v>8</v>
      </c>
      <c r="E199" s="41">
        <v>2.5220680958385876E-3</v>
      </c>
    </row>
    <row r="200" spans="2:5" ht="15" customHeight="1">
      <c r="B200" s="93"/>
      <c r="C200" s="43" t="s">
        <v>138</v>
      </c>
      <c r="D200" s="42">
        <v>3</v>
      </c>
      <c r="E200" s="41">
        <v>9.4577553593947036E-4</v>
      </c>
    </row>
    <row r="201" spans="2:5" ht="15" customHeight="1">
      <c r="B201" s="93"/>
      <c r="C201" s="43" t="s">
        <v>137</v>
      </c>
      <c r="D201" s="42">
        <v>12</v>
      </c>
      <c r="E201" s="41">
        <v>3.7831021437578815E-3</v>
      </c>
    </row>
    <row r="202" spans="2:5" ht="15" customHeight="1">
      <c r="B202" s="93"/>
      <c r="C202" s="43" t="s">
        <v>134</v>
      </c>
      <c r="D202" s="42">
        <v>1</v>
      </c>
      <c r="E202" s="41">
        <v>3.1525851197982345E-4</v>
      </c>
    </row>
    <row r="203" spans="2:5" ht="15" customHeight="1">
      <c r="B203" s="93"/>
      <c r="C203" s="43" t="s">
        <v>132</v>
      </c>
      <c r="D203" s="42">
        <v>3</v>
      </c>
      <c r="E203" s="41">
        <v>9.4577553593947036E-4</v>
      </c>
    </row>
    <row r="204" spans="2:5" ht="15" customHeight="1">
      <c r="B204" s="94"/>
      <c r="C204" s="40" t="s">
        <v>20</v>
      </c>
      <c r="D204" s="39">
        <v>35</v>
      </c>
      <c r="E204" s="38">
        <v>1.1034047919293822E-2</v>
      </c>
    </row>
    <row r="205" spans="2:5" ht="15" customHeight="1">
      <c r="B205" s="92" t="s">
        <v>70</v>
      </c>
      <c r="C205" s="43" t="s">
        <v>151</v>
      </c>
      <c r="D205" s="42">
        <v>2</v>
      </c>
      <c r="E205" s="41">
        <v>6.3051702395964691E-4</v>
      </c>
    </row>
    <row r="206" spans="2:5" ht="15" customHeight="1">
      <c r="B206" s="93"/>
      <c r="C206" s="43" t="s">
        <v>149</v>
      </c>
      <c r="D206" s="42">
        <v>1</v>
      </c>
      <c r="E206" s="41">
        <v>3.1525851197982345E-4</v>
      </c>
    </row>
    <row r="207" spans="2:5" ht="15" customHeight="1">
      <c r="B207" s="93"/>
      <c r="C207" s="43" t="s">
        <v>141</v>
      </c>
      <c r="D207" s="42">
        <v>1</v>
      </c>
      <c r="E207" s="41">
        <v>3.1525851197982345E-4</v>
      </c>
    </row>
    <row r="208" spans="2:5" ht="15" customHeight="1">
      <c r="B208" s="93"/>
      <c r="C208" s="43" t="s">
        <v>140</v>
      </c>
      <c r="D208" s="42">
        <v>4</v>
      </c>
      <c r="E208" s="41">
        <v>1.2610340479192938E-3</v>
      </c>
    </row>
    <row r="209" spans="2:5" ht="15" customHeight="1">
      <c r="B209" s="93"/>
      <c r="C209" s="43" t="s">
        <v>139</v>
      </c>
      <c r="D209" s="42">
        <v>1</v>
      </c>
      <c r="E209" s="41">
        <v>3.1525851197982345E-4</v>
      </c>
    </row>
    <row r="210" spans="2:5" ht="15" customHeight="1">
      <c r="B210" s="93"/>
      <c r="C210" s="43" t="s">
        <v>137</v>
      </c>
      <c r="D210" s="42">
        <v>2</v>
      </c>
      <c r="E210" s="41">
        <v>6.3051702395964691E-4</v>
      </c>
    </row>
    <row r="211" spans="2:5" ht="15" customHeight="1">
      <c r="B211" s="94"/>
      <c r="C211" s="40" t="s">
        <v>20</v>
      </c>
      <c r="D211" s="39">
        <v>11</v>
      </c>
      <c r="E211" s="38">
        <v>3.4678436317780582E-3</v>
      </c>
    </row>
    <row r="212" spans="2:5" ht="15" customHeight="1">
      <c r="B212" s="92" t="s">
        <v>92</v>
      </c>
      <c r="C212" s="43" t="s">
        <v>150</v>
      </c>
      <c r="D212" s="42">
        <v>1</v>
      </c>
      <c r="E212" s="41">
        <v>3.1525851197982345E-4</v>
      </c>
    </row>
    <row r="213" spans="2:5" ht="15" customHeight="1">
      <c r="B213" s="93"/>
      <c r="C213" s="43" t="s">
        <v>148</v>
      </c>
      <c r="D213" s="42">
        <v>2</v>
      </c>
      <c r="E213" s="41">
        <v>6.3051702395964691E-4</v>
      </c>
    </row>
    <row r="214" spans="2:5" ht="15" customHeight="1">
      <c r="B214" s="93"/>
      <c r="C214" s="43" t="s">
        <v>147</v>
      </c>
      <c r="D214" s="42">
        <v>1</v>
      </c>
      <c r="E214" s="41">
        <v>3.1525851197982345E-4</v>
      </c>
    </row>
    <row r="215" spans="2:5" ht="15" customHeight="1">
      <c r="B215" s="93"/>
      <c r="C215" s="43" t="s">
        <v>145</v>
      </c>
      <c r="D215" s="42">
        <v>2</v>
      </c>
      <c r="E215" s="41">
        <v>6.3051702395964691E-4</v>
      </c>
    </row>
    <row r="216" spans="2:5" ht="15" customHeight="1">
      <c r="B216" s="93"/>
      <c r="C216" s="43" t="s">
        <v>144</v>
      </c>
      <c r="D216" s="42">
        <v>1</v>
      </c>
      <c r="E216" s="41">
        <v>3.1525851197982345E-4</v>
      </c>
    </row>
    <row r="217" spans="2:5" ht="15" customHeight="1">
      <c r="B217" s="93"/>
      <c r="C217" s="43" t="s">
        <v>143</v>
      </c>
      <c r="D217" s="42">
        <v>1</v>
      </c>
      <c r="E217" s="41">
        <v>3.1525851197982345E-4</v>
      </c>
    </row>
    <row r="218" spans="2:5" ht="15" customHeight="1">
      <c r="B218" s="93"/>
      <c r="C218" s="43" t="s">
        <v>140</v>
      </c>
      <c r="D218" s="42">
        <v>11</v>
      </c>
      <c r="E218" s="41">
        <v>3.4678436317780582E-3</v>
      </c>
    </row>
    <row r="219" spans="2:5" ht="15" customHeight="1">
      <c r="B219" s="93"/>
      <c r="C219" s="43" t="s">
        <v>138</v>
      </c>
      <c r="D219" s="42">
        <v>1</v>
      </c>
      <c r="E219" s="41">
        <v>3.1525851197982345E-4</v>
      </c>
    </row>
    <row r="220" spans="2:5" ht="15" customHeight="1">
      <c r="B220" s="93"/>
      <c r="C220" s="43" t="s">
        <v>137</v>
      </c>
      <c r="D220" s="42">
        <v>8</v>
      </c>
      <c r="E220" s="41">
        <v>2.5220680958385876E-3</v>
      </c>
    </row>
    <row r="221" spans="2:5" ht="15" customHeight="1">
      <c r="B221" s="94"/>
      <c r="C221" s="40" t="s">
        <v>20</v>
      </c>
      <c r="D221" s="39">
        <v>28</v>
      </c>
      <c r="E221" s="38">
        <v>8.8272383354350576E-3</v>
      </c>
    </row>
    <row r="222" spans="2:5" ht="15" customHeight="1">
      <c r="B222" s="92" t="s">
        <v>96</v>
      </c>
      <c r="C222" s="43" t="s">
        <v>150</v>
      </c>
      <c r="D222" s="42">
        <v>1</v>
      </c>
      <c r="E222" s="41">
        <v>3.1525851197982345E-4</v>
      </c>
    </row>
    <row r="223" spans="2:5" ht="15" customHeight="1">
      <c r="B223" s="93"/>
      <c r="C223" s="43" t="s">
        <v>149</v>
      </c>
      <c r="D223" s="42">
        <v>3</v>
      </c>
      <c r="E223" s="41">
        <v>9.4577553593947036E-4</v>
      </c>
    </row>
    <row r="224" spans="2:5" ht="15" customHeight="1">
      <c r="B224" s="93"/>
      <c r="C224" s="43" t="s">
        <v>148</v>
      </c>
      <c r="D224" s="42">
        <v>2</v>
      </c>
      <c r="E224" s="41">
        <v>6.3051702395964691E-4</v>
      </c>
    </row>
    <row r="225" spans="2:5" ht="15" customHeight="1">
      <c r="B225" s="93"/>
      <c r="C225" s="43" t="s">
        <v>147</v>
      </c>
      <c r="D225" s="42">
        <v>1</v>
      </c>
      <c r="E225" s="41">
        <v>3.1525851197982345E-4</v>
      </c>
    </row>
    <row r="226" spans="2:5" ht="15" customHeight="1">
      <c r="B226" s="93"/>
      <c r="C226" s="43" t="s">
        <v>145</v>
      </c>
      <c r="D226" s="42">
        <v>2</v>
      </c>
      <c r="E226" s="41">
        <v>6.3051702395964691E-4</v>
      </c>
    </row>
    <row r="227" spans="2:5" ht="15" customHeight="1">
      <c r="B227" s="93"/>
      <c r="C227" s="43" t="s">
        <v>144</v>
      </c>
      <c r="D227" s="42">
        <v>11</v>
      </c>
      <c r="E227" s="41">
        <v>3.4678436317780582E-3</v>
      </c>
    </row>
    <row r="228" spans="2:5" ht="15" customHeight="1">
      <c r="B228" s="93"/>
      <c r="C228" s="43" t="s">
        <v>142</v>
      </c>
      <c r="D228" s="42">
        <v>3</v>
      </c>
      <c r="E228" s="41">
        <v>9.4577553593947036E-4</v>
      </c>
    </row>
    <row r="229" spans="2:5" ht="15" customHeight="1">
      <c r="B229" s="93"/>
      <c r="C229" s="43" t="s">
        <v>141</v>
      </c>
      <c r="D229" s="42">
        <v>4</v>
      </c>
      <c r="E229" s="41">
        <v>1.2610340479192938E-3</v>
      </c>
    </row>
    <row r="230" spans="2:5" ht="15" customHeight="1">
      <c r="B230" s="93"/>
      <c r="C230" s="43" t="s">
        <v>140</v>
      </c>
      <c r="D230" s="42">
        <v>31</v>
      </c>
      <c r="E230" s="41">
        <v>9.7730138713745269E-3</v>
      </c>
    </row>
    <row r="231" spans="2:5" ht="15" customHeight="1">
      <c r="B231" s="93"/>
      <c r="C231" s="43" t="s">
        <v>138</v>
      </c>
      <c r="D231" s="42">
        <v>4</v>
      </c>
      <c r="E231" s="41">
        <v>1.2610340479192938E-3</v>
      </c>
    </row>
    <row r="232" spans="2:5" ht="15" customHeight="1">
      <c r="B232" s="93"/>
      <c r="C232" s="43" t="s">
        <v>137</v>
      </c>
      <c r="D232" s="42">
        <v>23</v>
      </c>
      <c r="E232" s="41">
        <v>7.2509457755359392E-3</v>
      </c>
    </row>
    <row r="233" spans="2:5" ht="15" customHeight="1">
      <c r="B233" s="93"/>
      <c r="C233" s="43" t="s">
        <v>135</v>
      </c>
      <c r="D233" s="42">
        <v>1</v>
      </c>
      <c r="E233" s="41">
        <v>3.1525851197982345E-4</v>
      </c>
    </row>
    <row r="234" spans="2:5" ht="15" customHeight="1">
      <c r="B234" s="93"/>
      <c r="C234" s="43" t="s">
        <v>132</v>
      </c>
      <c r="D234" s="42">
        <v>1</v>
      </c>
      <c r="E234" s="41">
        <v>3.1525851197982345E-4</v>
      </c>
    </row>
    <row r="235" spans="2:5" ht="15" customHeight="1">
      <c r="B235" s="93"/>
      <c r="C235" s="43" t="s">
        <v>131</v>
      </c>
      <c r="D235" s="42">
        <v>1</v>
      </c>
      <c r="E235" s="41">
        <v>3.1525851197982345E-4</v>
      </c>
    </row>
    <row r="236" spans="2:5" ht="15" customHeight="1">
      <c r="B236" s="94"/>
      <c r="C236" s="40" t="s">
        <v>20</v>
      </c>
      <c r="D236" s="39">
        <v>88</v>
      </c>
      <c r="E236" s="38">
        <v>2.7742749054224466E-2</v>
      </c>
    </row>
    <row r="237" spans="2:5" ht="15" customHeight="1">
      <c r="B237" s="92" t="s">
        <v>157</v>
      </c>
      <c r="C237" s="43" t="s">
        <v>151</v>
      </c>
      <c r="D237" s="42">
        <v>1</v>
      </c>
      <c r="E237" s="41">
        <v>3.1525851197982345E-4</v>
      </c>
    </row>
    <row r="238" spans="2:5" ht="15" customHeight="1">
      <c r="B238" s="93"/>
      <c r="C238" s="43" t="s">
        <v>150</v>
      </c>
      <c r="D238" s="42">
        <v>1</v>
      </c>
      <c r="E238" s="41">
        <v>3.1525851197982345E-4</v>
      </c>
    </row>
    <row r="239" spans="2:5" ht="15" customHeight="1">
      <c r="B239" s="93"/>
      <c r="C239" s="43" t="s">
        <v>145</v>
      </c>
      <c r="D239" s="42">
        <v>3</v>
      </c>
      <c r="E239" s="41">
        <v>9.4577553593947036E-4</v>
      </c>
    </row>
    <row r="240" spans="2:5" ht="15" customHeight="1">
      <c r="B240" s="93"/>
      <c r="C240" s="43" t="s">
        <v>144</v>
      </c>
      <c r="D240" s="42">
        <v>12</v>
      </c>
      <c r="E240" s="41">
        <v>3.7831021437578815E-3</v>
      </c>
    </row>
    <row r="241" spans="2:5" ht="15" customHeight="1">
      <c r="B241" s="93"/>
      <c r="C241" s="43" t="s">
        <v>143</v>
      </c>
      <c r="D241" s="42">
        <v>3</v>
      </c>
      <c r="E241" s="41">
        <v>9.4577553593947036E-4</v>
      </c>
    </row>
    <row r="242" spans="2:5" ht="15" customHeight="1">
      <c r="B242" s="93"/>
      <c r="C242" s="43" t="s">
        <v>142</v>
      </c>
      <c r="D242" s="42">
        <v>2</v>
      </c>
      <c r="E242" s="41">
        <v>6.3051702395964691E-4</v>
      </c>
    </row>
    <row r="243" spans="2:5" ht="15" customHeight="1">
      <c r="B243" s="93"/>
      <c r="C243" s="43" t="s">
        <v>141</v>
      </c>
      <c r="D243" s="42">
        <v>2</v>
      </c>
      <c r="E243" s="41">
        <v>6.3051702395964691E-4</v>
      </c>
    </row>
    <row r="244" spans="2:5" ht="15" customHeight="1">
      <c r="B244" s="93"/>
      <c r="C244" s="43" t="s">
        <v>140</v>
      </c>
      <c r="D244" s="42">
        <v>20</v>
      </c>
      <c r="E244" s="41">
        <v>6.3051702395964691E-3</v>
      </c>
    </row>
    <row r="245" spans="2:5" ht="15" customHeight="1">
      <c r="B245" s="93"/>
      <c r="C245" s="43" t="s">
        <v>139</v>
      </c>
      <c r="D245" s="42">
        <v>3</v>
      </c>
      <c r="E245" s="41">
        <v>9.4577553593947036E-4</v>
      </c>
    </row>
    <row r="246" spans="2:5" ht="15" customHeight="1">
      <c r="B246" s="93"/>
      <c r="C246" s="43" t="s">
        <v>138</v>
      </c>
      <c r="D246" s="42">
        <v>4</v>
      </c>
      <c r="E246" s="41">
        <v>1.2610340479192938E-3</v>
      </c>
    </row>
    <row r="247" spans="2:5" ht="15" customHeight="1">
      <c r="B247" s="93"/>
      <c r="C247" s="43" t="s">
        <v>137</v>
      </c>
      <c r="D247" s="42">
        <v>22</v>
      </c>
      <c r="E247" s="41">
        <v>6.9356872635561164E-3</v>
      </c>
    </row>
    <row r="248" spans="2:5" ht="15" customHeight="1">
      <c r="B248" s="93"/>
      <c r="C248" s="43" t="s">
        <v>133</v>
      </c>
      <c r="D248" s="42">
        <v>3</v>
      </c>
      <c r="E248" s="41">
        <v>9.4577553593947036E-4</v>
      </c>
    </row>
    <row r="249" spans="2:5" ht="15" customHeight="1">
      <c r="B249" s="93"/>
      <c r="C249" s="43" t="s">
        <v>132</v>
      </c>
      <c r="D249" s="42">
        <v>3</v>
      </c>
      <c r="E249" s="41">
        <v>9.4577553593947036E-4</v>
      </c>
    </row>
    <row r="250" spans="2:5" ht="15" customHeight="1">
      <c r="B250" s="94"/>
      <c r="C250" s="40" t="s">
        <v>20</v>
      </c>
      <c r="D250" s="39">
        <v>79</v>
      </c>
      <c r="E250" s="38">
        <v>2.4905422446406054E-2</v>
      </c>
    </row>
    <row r="251" spans="2:5" ht="15" customHeight="1">
      <c r="B251" s="92" t="s">
        <v>156</v>
      </c>
      <c r="C251" s="43" t="s">
        <v>151</v>
      </c>
      <c r="D251" s="42">
        <v>1</v>
      </c>
      <c r="E251" s="41">
        <v>3.1525851197982345E-4</v>
      </c>
    </row>
    <row r="252" spans="2:5" ht="15" customHeight="1">
      <c r="B252" s="93"/>
      <c r="C252" s="43" t="s">
        <v>150</v>
      </c>
      <c r="D252" s="42">
        <v>1</v>
      </c>
      <c r="E252" s="41">
        <v>3.1525851197982345E-4</v>
      </c>
    </row>
    <row r="253" spans="2:5" ht="15" customHeight="1">
      <c r="B253" s="93"/>
      <c r="C253" s="43" t="s">
        <v>148</v>
      </c>
      <c r="D253" s="42">
        <v>2</v>
      </c>
      <c r="E253" s="41">
        <v>6.3051702395964691E-4</v>
      </c>
    </row>
    <row r="254" spans="2:5" ht="15" customHeight="1">
      <c r="B254" s="93"/>
      <c r="C254" s="43" t="s">
        <v>147</v>
      </c>
      <c r="D254" s="42">
        <v>1</v>
      </c>
      <c r="E254" s="41">
        <v>3.1525851197982345E-4</v>
      </c>
    </row>
    <row r="255" spans="2:5" ht="15" customHeight="1">
      <c r="B255" s="93"/>
      <c r="C255" s="43" t="s">
        <v>145</v>
      </c>
      <c r="D255" s="42">
        <v>2</v>
      </c>
      <c r="E255" s="41">
        <v>6.3051702395964691E-4</v>
      </c>
    </row>
    <row r="256" spans="2:5" ht="15" customHeight="1">
      <c r="B256" s="93"/>
      <c r="C256" s="43" t="s">
        <v>144</v>
      </c>
      <c r="D256" s="42">
        <v>12</v>
      </c>
      <c r="E256" s="41">
        <v>3.7831021437578815E-3</v>
      </c>
    </row>
    <row r="257" spans="2:5" ht="15" customHeight="1">
      <c r="B257" s="93"/>
      <c r="C257" s="43" t="s">
        <v>143</v>
      </c>
      <c r="D257" s="42">
        <v>3</v>
      </c>
      <c r="E257" s="41">
        <v>9.4577553593947036E-4</v>
      </c>
    </row>
    <row r="258" spans="2:5" ht="15" customHeight="1">
      <c r="B258" s="93"/>
      <c r="C258" s="43" t="s">
        <v>141</v>
      </c>
      <c r="D258" s="42">
        <v>9</v>
      </c>
      <c r="E258" s="41">
        <v>2.8373266078184113E-3</v>
      </c>
    </row>
    <row r="259" spans="2:5" ht="15" customHeight="1">
      <c r="B259" s="93"/>
      <c r="C259" s="43" t="s">
        <v>140</v>
      </c>
      <c r="D259" s="42">
        <v>25</v>
      </c>
      <c r="E259" s="41">
        <v>7.8814627994955866E-3</v>
      </c>
    </row>
    <row r="260" spans="2:5" ht="15" customHeight="1">
      <c r="B260" s="93"/>
      <c r="C260" s="43" t="s">
        <v>139</v>
      </c>
      <c r="D260" s="42">
        <v>1</v>
      </c>
      <c r="E260" s="41">
        <v>3.1525851197982345E-4</v>
      </c>
    </row>
    <row r="261" spans="2:5" ht="15" customHeight="1">
      <c r="B261" s="93"/>
      <c r="C261" s="43" t="s">
        <v>138</v>
      </c>
      <c r="D261" s="42">
        <v>7</v>
      </c>
      <c r="E261" s="41">
        <v>2.2068095838587644E-3</v>
      </c>
    </row>
    <row r="262" spans="2:5" ht="15" customHeight="1">
      <c r="B262" s="93"/>
      <c r="C262" s="43" t="s">
        <v>137</v>
      </c>
      <c r="D262" s="42">
        <v>40</v>
      </c>
      <c r="E262" s="41">
        <v>1.2610340479192938E-2</v>
      </c>
    </row>
    <row r="263" spans="2:5" ht="15" customHeight="1">
      <c r="B263" s="93"/>
      <c r="C263" s="43" t="s">
        <v>136</v>
      </c>
      <c r="D263" s="42">
        <v>1</v>
      </c>
      <c r="E263" s="41">
        <v>3.1525851197982345E-4</v>
      </c>
    </row>
    <row r="264" spans="2:5" ht="15" customHeight="1">
      <c r="B264" s="93"/>
      <c r="C264" s="43" t="s">
        <v>133</v>
      </c>
      <c r="D264" s="42">
        <v>1</v>
      </c>
      <c r="E264" s="41">
        <v>3.1525851197982345E-4</v>
      </c>
    </row>
    <row r="265" spans="2:5" ht="15" customHeight="1">
      <c r="B265" s="93"/>
      <c r="C265" s="43" t="s">
        <v>132</v>
      </c>
      <c r="D265" s="42">
        <v>5</v>
      </c>
      <c r="E265" s="41">
        <v>1.5762925598991173E-3</v>
      </c>
    </row>
    <row r="266" spans="2:5" ht="15" customHeight="1">
      <c r="B266" s="94"/>
      <c r="C266" s="40" t="s">
        <v>20</v>
      </c>
      <c r="D266" s="39">
        <v>111</v>
      </c>
      <c r="E266" s="38">
        <v>3.4993694829760405E-2</v>
      </c>
    </row>
    <row r="267" spans="2:5" ht="15" customHeight="1">
      <c r="B267" s="92" t="s">
        <v>82</v>
      </c>
      <c r="C267" s="43" t="s">
        <v>151</v>
      </c>
      <c r="D267" s="42">
        <v>2</v>
      </c>
      <c r="E267" s="41">
        <v>6.3051702395964691E-4</v>
      </c>
    </row>
    <row r="268" spans="2:5" ht="15" customHeight="1">
      <c r="B268" s="93"/>
      <c r="C268" s="43" t="s">
        <v>148</v>
      </c>
      <c r="D268" s="42">
        <v>1</v>
      </c>
      <c r="E268" s="41">
        <v>3.1525851197982345E-4</v>
      </c>
    </row>
    <row r="269" spans="2:5" ht="15" customHeight="1">
      <c r="B269" s="93"/>
      <c r="C269" s="43" t="s">
        <v>146</v>
      </c>
      <c r="D269" s="42">
        <v>4</v>
      </c>
      <c r="E269" s="41">
        <v>1.2610340479192938E-3</v>
      </c>
    </row>
    <row r="270" spans="2:5" ht="15" customHeight="1">
      <c r="B270" s="93"/>
      <c r="C270" s="43" t="s">
        <v>145</v>
      </c>
      <c r="D270" s="42">
        <v>1</v>
      </c>
      <c r="E270" s="41">
        <v>3.1525851197982345E-4</v>
      </c>
    </row>
    <row r="271" spans="2:5" ht="15" customHeight="1">
      <c r="B271" s="93"/>
      <c r="C271" s="43" t="s">
        <v>144</v>
      </c>
      <c r="D271" s="42">
        <v>10</v>
      </c>
      <c r="E271" s="41">
        <v>3.1525851197982345E-3</v>
      </c>
    </row>
    <row r="272" spans="2:5" ht="15" customHeight="1">
      <c r="B272" s="93"/>
      <c r="C272" s="43" t="s">
        <v>143</v>
      </c>
      <c r="D272" s="42">
        <v>1</v>
      </c>
      <c r="E272" s="41">
        <v>3.1525851197982345E-4</v>
      </c>
    </row>
    <row r="273" spans="2:5" ht="15" customHeight="1">
      <c r="B273" s="93"/>
      <c r="C273" s="43" t="s">
        <v>142</v>
      </c>
      <c r="D273" s="42">
        <v>2</v>
      </c>
      <c r="E273" s="41">
        <v>6.3051702395964691E-4</v>
      </c>
    </row>
    <row r="274" spans="2:5" ht="15" customHeight="1">
      <c r="B274" s="93"/>
      <c r="C274" s="43" t="s">
        <v>141</v>
      </c>
      <c r="D274" s="42">
        <v>2</v>
      </c>
      <c r="E274" s="41">
        <v>6.3051702395964691E-4</v>
      </c>
    </row>
    <row r="275" spans="2:5" ht="15" customHeight="1">
      <c r="B275" s="93"/>
      <c r="C275" s="43" t="s">
        <v>140</v>
      </c>
      <c r="D275" s="42">
        <v>17</v>
      </c>
      <c r="E275" s="41">
        <v>5.359394703656999E-3</v>
      </c>
    </row>
    <row r="276" spans="2:5" ht="15" customHeight="1">
      <c r="B276" s="93"/>
      <c r="C276" s="43" t="s">
        <v>138</v>
      </c>
      <c r="D276" s="42">
        <v>3</v>
      </c>
      <c r="E276" s="41">
        <v>9.4577553593947036E-4</v>
      </c>
    </row>
    <row r="277" spans="2:5" ht="15" customHeight="1">
      <c r="B277" s="93"/>
      <c r="C277" s="43" t="s">
        <v>137</v>
      </c>
      <c r="D277" s="42">
        <v>9</v>
      </c>
      <c r="E277" s="41">
        <v>2.8373266078184113E-3</v>
      </c>
    </row>
    <row r="278" spans="2:5" ht="15" customHeight="1">
      <c r="B278" s="93"/>
      <c r="C278" s="43" t="s">
        <v>133</v>
      </c>
      <c r="D278" s="42">
        <v>1</v>
      </c>
      <c r="E278" s="41">
        <v>3.1525851197982345E-4</v>
      </c>
    </row>
    <row r="279" spans="2:5" ht="15" customHeight="1">
      <c r="B279" s="93"/>
      <c r="C279" s="43" t="s">
        <v>132</v>
      </c>
      <c r="D279" s="42">
        <v>2</v>
      </c>
      <c r="E279" s="41">
        <v>6.3051702395964691E-4</v>
      </c>
    </row>
    <row r="280" spans="2:5" ht="15" customHeight="1">
      <c r="B280" s="94"/>
      <c r="C280" s="40" t="s">
        <v>20</v>
      </c>
      <c r="D280" s="39">
        <v>55</v>
      </c>
      <c r="E280" s="38">
        <v>1.733921815889029E-2</v>
      </c>
    </row>
    <row r="281" spans="2:5" ht="15" customHeight="1">
      <c r="B281" s="92" t="s">
        <v>81</v>
      </c>
      <c r="C281" s="43" t="s">
        <v>151</v>
      </c>
      <c r="D281" s="42">
        <v>1</v>
      </c>
      <c r="E281" s="41">
        <v>3.1525851197982345E-4</v>
      </c>
    </row>
    <row r="282" spans="2:5" ht="15" customHeight="1">
      <c r="B282" s="93"/>
      <c r="C282" s="43" t="s">
        <v>145</v>
      </c>
      <c r="D282" s="42">
        <v>2</v>
      </c>
      <c r="E282" s="41">
        <v>6.3051702395964691E-4</v>
      </c>
    </row>
    <row r="283" spans="2:5" ht="15" customHeight="1">
      <c r="B283" s="93"/>
      <c r="C283" s="43" t="s">
        <v>144</v>
      </c>
      <c r="D283" s="42">
        <v>4</v>
      </c>
      <c r="E283" s="41">
        <v>1.2610340479192938E-3</v>
      </c>
    </row>
    <row r="284" spans="2:5" ht="15" customHeight="1">
      <c r="B284" s="93"/>
      <c r="C284" s="43" t="s">
        <v>142</v>
      </c>
      <c r="D284" s="42">
        <v>1</v>
      </c>
      <c r="E284" s="41">
        <v>3.1525851197982345E-4</v>
      </c>
    </row>
    <row r="285" spans="2:5" ht="15" customHeight="1">
      <c r="B285" s="93"/>
      <c r="C285" s="43" t="s">
        <v>141</v>
      </c>
      <c r="D285" s="42">
        <v>3</v>
      </c>
      <c r="E285" s="41">
        <v>9.4577553593947036E-4</v>
      </c>
    </row>
    <row r="286" spans="2:5" ht="15" customHeight="1">
      <c r="B286" s="93"/>
      <c r="C286" s="43" t="s">
        <v>140</v>
      </c>
      <c r="D286" s="42">
        <v>16</v>
      </c>
      <c r="E286" s="41">
        <v>5.0441361916771753E-3</v>
      </c>
    </row>
    <row r="287" spans="2:5" ht="15" customHeight="1">
      <c r="B287" s="93"/>
      <c r="C287" s="43" t="s">
        <v>138</v>
      </c>
      <c r="D287" s="42">
        <v>3</v>
      </c>
      <c r="E287" s="41">
        <v>9.4577553593947036E-4</v>
      </c>
    </row>
    <row r="288" spans="2:5" ht="15" customHeight="1">
      <c r="B288" s="93"/>
      <c r="C288" s="43" t="s">
        <v>137</v>
      </c>
      <c r="D288" s="42">
        <v>15</v>
      </c>
      <c r="E288" s="41">
        <v>4.7288776796973516E-3</v>
      </c>
    </row>
    <row r="289" spans="2:5" ht="15" customHeight="1">
      <c r="B289" s="93"/>
      <c r="C289" s="43" t="s">
        <v>134</v>
      </c>
      <c r="D289" s="42">
        <v>1</v>
      </c>
      <c r="E289" s="41">
        <v>3.1525851197982345E-4</v>
      </c>
    </row>
    <row r="290" spans="2:5" ht="15" customHeight="1">
      <c r="B290" s="93"/>
      <c r="C290" s="43" t="s">
        <v>132</v>
      </c>
      <c r="D290" s="42">
        <v>6</v>
      </c>
      <c r="E290" s="41">
        <v>1.8915510718789407E-3</v>
      </c>
    </row>
    <row r="291" spans="2:5" ht="15" customHeight="1">
      <c r="B291" s="94"/>
      <c r="C291" s="40" t="s">
        <v>20</v>
      </c>
      <c r="D291" s="39">
        <v>52</v>
      </c>
      <c r="E291" s="38">
        <v>1.6393442622950821E-2</v>
      </c>
    </row>
    <row r="292" spans="2:5" ht="15" customHeight="1">
      <c r="B292" s="92" t="s">
        <v>208</v>
      </c>
      <c r="C292" s="43" t="s">
        <v>144</v>
      </c>
      <c r="D292" s="42">
        <v>1</v>
      </c>
      <c r="E292" s="41">
        <v>3.1525851197982345E-4</v>
      </c>
    </row>
    <row r="293" spans="2:5" ht="15" customHeight="1">
      <c r="B293" s="94"/>
      <c r="C293" s="40" t="s">
        <v>20</v>
      </c>
      <c r="D293" s="39">
        <v>1</v>
      </c>
      <c r="E293" s="38">
        <v>3.1525851197982345E-4</v>
      </c>
    </row>
    <row r="294" spans="2:5" ht="15" customHeight="1">
      <c r="B294" s="92" t="s">
        <v>74</v>
      </c>
      <c r="C294" s="43" t="s">
        <v>151</v>
      </c>
      <c r="D294" s="42">
        <v>2</v>
      </c>
      <c r="E294" s="41">
        <v>6.3051702395964691E-4</v>
      </c>
    </row>
    <row r="295" spans="2:5" ht="15" customHeight="1">
      <c r="B295" s="93"/>
      <c r="C295" s="43" t="s">
        <v>148</v>
      </c>
      <c r="D295" s="42">
        <v>4</v>
      </c>
      <c r="E295" s="41">
        <v>1.2610340479192938E-3</v>
      </c>
    </row>
    <row r="296" spans="2:5" ht="15" customHeight="1">
      <c r="B296" s="93"/>
      <c r="C296" s="43" t="s">
        <v>147</v>
      </c>
      <c r="D296" s="42">
        <v>2</v>
      </c>
      <c r="E296" s="41">
        <v>6.3051702395964691E-4</v>
      </c>
    </row>
    <row r="297" spans="2:5" ht="15" customHeight="1">
      <c r="B297" s="93"/>
      <c r="C297" s="43" t="s">
        <v>146</v>
      </c>
      <c r="D297" s="42">
        <v>1</v>
      </c>
      <c r="E297" s="41">
        <v>3.1525851197982345E-4</v>
      </c>
    </row>
    <row r="298" spans="2:5" ht="15" customHeight="1">
      <c r="B298" s="93"/>
      <c r="C298" s="43" t="s">
        <v>145</v>
      </c>
      <c r="D298" s="42">
        <v>1</v>
      </c>
      <c r="E298" s="41">
        <v>3.1525851197982345E-4</v>
      </c>
    </row>
    <row r="299" spans="2:5" ht="15" customHeight="1">
      <c r="B299" s="93"/>
      <c r="C299" s="43" t="s">
        <v>144</v>
      </c>
      <c r="D299" s="42">
        <v>12</v>
      </c>
      <c r="E299" s="41">
        <v>3.7831021437578815E-3</v>
      </c>
    </row>
    <row r="300" spans="2:5" ht="15" customHeight="1">
      <c r="B300" s="93"/>
      <c r="C300" s="43" t="s">
        <v>142</v>
      </c>
      <c r="D300" s="42">
        <v>2</v>
      </c>
      <c r="E300" s="41">
        <v>6.3051702395964691E-4</v>
      </c>
    </row>
    <row r="301" spans="2:5" ht="15" customHeight="1">
      <c r="B301" s="93"/>
      <c r="C301" s="43" t="s">
        <v>141</v>
      </c>
      <c r="D301" s="42">
        <v>4</v>
      </c>
      <c r="E301" s="41">
        <v>1.2610340479192938E-3</v>
      </c>
    </row>
    <row r="302" spans="2:5" ht="15" customHeight="1">
      <c r="B302" s="93"/>
      <c r="C302" s="43" t="s">
        <v>140</v>
      </c>
      <c r="D302" s="42">
        <v>28</v>
      </c>
      <c r="E302" s="41">
        <v>8.8272383354350576E-3</v>
      </c>
    </row>
    <row r="303" spans="2:5" ht="15" customHeight="1">
      <c r="B303" s="93"/>
      <c r="C303" s="43" t="s">
        <v>139</v>
      </c>
      <c r="D303" s="42">
        <v>1</v>
      </c>
      <c r="E303" s="41">
        <v>3.1525851197982345E-4</v>
      </c>
    </row>
    <row r="304" spans="2:5" ht="15" customHeight="1">
      <c r="B304" s="93"/>
      <c r="C304" s="43" t="s">
        <v>138</v>
      </c>
      <c r="D304" s="42">
        <v>6</v>
      </c>
      <c r="E304" s="41">
        <v>1.8915510718789407E-3</v>
      </c>
    </row>
    <row r="305" spans="2:5" ht="15" customHeight="1">
      <c r="B305" s="93"/>
      <c r="C305" s="43" t="s">
        <v>137</v>
      </c>
      <c r="D305" s="42">
        <v>33</v>
      </c>
      <c r="E305" s="41">
        <v>1.0403530895334174E-2</v>
      </c>
    </row>
    <row r="306" spans="2:5" ht="15" customHeight="1">
      <c r="B306" s="93"/>
      <c r="C306" s="43" t="s">
        <v>133</v>
      </c>
      <c r="D306" s="42">
        <v>4</v>
      </c>
      <c r="E306" s="41">
        <v>1.2610340479192938E-3</v>
      </c>
    </row>
    <row r="307" spans="2:5" ht="15" customHeight="1">
      <c r="B307" s="93"/>
      <c r="C307" s="43" t="s">
        <v>132</v>
      </c>
      <c r="D307" s="42">
        <v>3</v>
      </c>
      <c r="E307" s="41">
        <v>9.4577553593947036E-4</v>
      </c>
    </row>
    <row r="308" spans="2:5" ht="15" customHeight="1">
      <c r="B308" s="94"/>
      <c r="C308" s="40" t="s">
        <v>20</v>
      </c>
      <c r="D308" s="39">
        <v>103</v>
      </c>
      <c r="E308" s="38">
        <v>3.2471626733921816E-2</v>
      </c>
    </row>
    <row r="309" spans="2:5" ht="15" customHeight="1">
      <c r="B309" s="92" t="s">
        <v>103</v>
      </c>
      <c r="C309" s="43" t="s">
        <v>151</v>
      </c>
      <c r="D309" s="42">
        <v>1</v>
      </c>
      <c r="E309" s="41">
        <v>3.1525851197982345E-4</v>
      </c>
    </row>
    <row r="310" spans="2:5" ht="15" customHeight="1">
      <c r="B310" s="93"/>
      <c r="C310" s="43" t="s">
        <v>149</v>
      </c>
      <c r="D310" s="42">
        <v>1</v>
      </c>
      <c r="E310" s="41">
        <v>3.1525851197982345E-4</v>
      </c>
    </row>
    <row r="311" spans="2:5" ht="15" customHeight="1">
      <c r="B311" s="93"/>
      <c r="C311" s="43" t="s">
        <v>148</v>
      </c>
      <c r="D311" s="42">
        <v>1</v>
      </c>
      <c r="E311" s="41">
        <v>3.1525851197982345E-4</v>
      </c>
    </row>
    <row r="312" spans="2:5" ht="15" customHeight="1">
      <c r="B312" s="93"/>
      <c r="C312" s="43" t="s">
        <v>147</v>
      </c>
      <c r="D312" s="42">
        <v>1</v>
      </c>
      <c r="E312" s="41">
        <v>3.1525851197982345E-4</v>
      </c>
    </row>
    <row r="313" spans="2:5" ht="15" customHeight="1">
      <c r="B313" s="93"/>
      <c r="C313" s="43" t="s">
        <v>146</v>
      </c>
      <c r="D313" s="42">
        <v>2</v>
      </c>
      <c r="E313" s="41">
        <v>6.3051702395964691E-4</v>
      </c>
    </row>
    <row r="314" spans="2:5" ht="15" customHeight="1">
      <c r="B314" s="93"/>
      <c r="C314" s="43" t="s">
        <v>145</v>
      </c>
      <c r="D314" s="42">
        <v>6</v>
      </c>
      <c r="E314" s="41">
        <v>1.8915510718789407E-3</v>
      </c>
    </row>
    <row r="315" spans="2:5" ht="15" customHeight="1">
      <c r="B315" s="93"/>
      <c r="C315" s="43" t="s">
        <v>144</v>
      </c>
      <c r="D315" s="42">
        <v>8</v>
      </c>
      <c r="E315" s="41">
        <v>2.5220680958385876E-3</v>
      </c>
    </row>
    <row r="316" spans="2:5" ht="15" customHeight="1">
      <c r="B316" s="93"/>
      <c r="C316" s="43" t="s">
        <v>143</v>
      </c>
      <c r="D316" s="42">
        <v>1</v>
      </c>
      <c r="E316" s="41">
        <v>3.1525851197982345E-4</v>
      </c>
    </row>
    <row r="317" spans="2:5" ht="15" customHeight="1">
      <c r="B317" s="93"/>
      <c r="C317" s="43" t="s">
        <v>142</v>
      </c>
      <c r="D317" s="42">
        <v>2</v>
      </c>
      <c r="E317" s="41">
        <v>6.3051702395964691E-4</v>
      </c>
    </row>
    <row r="318" spans="2:5" ht="15" customHeight="1">
      <c r="B318" s="93"/>
      <c r="C318" s="43" t="s">
        <v>141</v>
      </c>
      <c r="D318" s="42">
        <v>2</v>
      </c>
      <c r="E318" s="41">
        <v>6.3051702395964691E-4</v>
      </c>
    </row>
    <row r="319" spans="2:5" ht="15" customHeight="1">
      <c r="B319" s="93"/>
      <c r="C319" s="43" t="s">
        <v>140</v>
      </c>
      <c r="D319" s="42">
        <v>40</v>
      </c>
      <c r="E319" s="41">
        <v>1.2610340479192938E-2</v>
      </c>
    </row>
    <row r="320" spans="2:5" ht="15" customHeight="1">
      <c r="B320" s="93"/>
      <c r="C320" s="43" t="s">
        <v>139</v>
      </c>
      <c r="D320" s="42">
        <v>1</v>
      </c>
      <c r="E320" s="41">
        <v>3.1525851197982345E-4</v>
      </c>
    </row>
    <row r="321" spans="2:5" ht="15" customHeight="1">
      <c r="B321" s="93"/>
      <c r="C321" s="43" t="s">
        <v>138</v>
      </c>
      <c r="D321" s="42">
        <v>6</v>
      </c>
      <c r="E321" s="41">
        <v>1.8915510718789407E-3</v>
      </c>
    </row>
    <row r="322" spans="2:5" ht="15" customHeight="1">
      <c r="B322" s="93"/>
      <c r="C322" s="43" t="s">
        <v>137</v>
      </c>
      <c r="D322" s="42">
        <v>23</v>
      </c>
      <c r="E322" s="41">
        <v>7.2509457755359392E-3</v>
      </c>
    </row>
    <row r="323" spans="2:5" ht="15" customHeight="1">
      <c r="B323" s="93"/>
      <c r="C323" s="43" t="s">
        <v>135</v>
      </c>
      <c r="D323" s="42">
        <v>1</v>
      </c>
      <c r="E323" s="41">
        <v>3.1525851197982345E-4</v>
      </c>
    </row>
    <row r="324" spans="2:5" ht="15" customHeight="1">
      <c r="B324" s="93"/>
      <c r="C324" s="43" t="s">
        <v>134</v>
      </c>
      <c r="D324" s="42">
        <v>1</v>
      </c>
      <c r="E324" s="41">
        <v>3.1525851197982345E-4</v>
      </c>
    </row>
    <row r="325" spans="2:5" ht="15" customHeight="1">
      <c r="B325" s="93"/>
      <c r="C325" s="43" t="s">
        <v>133</v>
      </c>
      <c r="D325" s="42">
        <v>3</v>
      </c>
      <c r="E325" s="41">
        <v>9.4577553593947036E-4</v>
      </c>
    </row>
    <row r="326" spans="2:5" ht="15" customHeight="1">
      <c r="B326" s="93"/>
      <c r="C326" s="43" t="s">
        <v>132</v>
      </c>
      <c r="D326" s="42">
        <v>7</v>
      </c>
      <c r="E326" s="41">
        <v>2.2068095838587644E-3</v>
      </c>
    </row>
    <row r="327" spans="2:5" ht="15" customHeight="1">
      <c r="B327" s="93"/>
      <c r="C327" s="43" t="s">
        <v>131</v>
      </c>
      <c r="D327" s="42">
        <v>1</v>
      </c>
      <c r="E327" s="41">
        <v>3.1525851197982345E-4</v>
      </c>
    </row>
    <row r="328" spans="2:5" ht="15" customHeight="1">
      <c r="B328" s="94"/>
      <c r="C328" s="40" t="s">
        <v>20</v>
      </c>
      <c r="D328" s="39">
        <v>108</v>
      </c>
      <c r="E328" s="38">
        <v>3.4047919293820936E-2</v>
      </c>
    </row>
    <row r="329" spans="2:5" ht="15" customHeight="1">
      <c r="B329" s="92" t="s">
        <v>76</v>
      </c>
      <c r="C329" s="43" t="s">
        <v>151</v>
      </c>
      <c r="D329" s="42">
        <v>1</v>
      </c>
      <c r="E329" s="41">
        <v>3.1525851197982345E-4</v>
      </c>
    </row>
    <row r="330" spans="2:5" ht="15" customHeight="1">
      <c r="B330" s="93"/>
      <c r="C330" s="43" t="s">
        <v>148</v>
      </c>
      <c r="D330" s="42">
        <v>1</v>
      </c>
      <c r="E330" s="41">
        <v>3.1525851197982345E-4</v>
      </c>
    </row>
    <row r="331" spans="2:5" ht="15" customHeight="1">
      <c r="B331" s="93"/>
      <c r="C331" s="43" t="s">
        <v>145</v>
      </c>
      <c r="D331" s="42">
        <v>1</v>
      </c>
      <c r="E331" s="41">
        <v>3.1525851197982345E-4</v>
      </c>
    </row>
    <row r="332" spans="2:5" ht="15" customHeight="1">
      <c r="B332" s="93"/>
      <c r="C332" s="43" t="s">
        <v>144</v>
      </c>
      <c r="D332" s="42">
        <v>4</v>
      </c>
      <c r="E332" s="41">
        <v>1.2610340479192938E-3</v>
      </c>
    </row>
    <row r="333" spans="2:5" ht="15" customHeight="1">
      <c r="B333" s="93"/>
      <c r="C333" s="43" t="s">
        <v>140</v>
      </c>
      <c r="D333" s="42">
        <v>12</v>
      </c>
      <c r="E333" s="41">
        <v>3.7831021437578815E-3</v>
      </c>
    </row>
    <row r="334" spans="2:5" ht="15" customHeight="1">
      <c r="B334" s="93"/>
      <c r="C334" s="43" t="s">
        <v>137</v>
      </c>
      <c r="D334" s="42">
        <v>9</v>
      </c>
      <c r="E334" s="41">
        <v>2.8373266078184113E-3</v>
      </c>
    </row>
    <row r="335" spans="2:5" ht="15" customHeight="1">
      <c r="B335" s="94"/>
      <c r="C335" s="40" t="s">
        <v>20</v>
      </c>
      <c r="D335" s="39">
        <v>28</v>
      </c>
      <c r="E335" s="38">
        <v>8.8272383354350576E-3</v>
      </c>
    </row>
    <row r="336" spans="2:5" ht="15" customHeight="1">
      <c r="B336" s="92" t="s">
        <v>95</v>
      </c>
      <c r="C336" s="43" t="s">
        <v>151</v>
      </c>
      <c r="D336" s="42">
        <v>2</v>
      </c>
      <c r="E336" s="41">
        <v>6.3051702395964691E-4</v>
      </c>
    </row>
    <row r="337" spans="2:5" ht="15" customHeight="1">
      <c r="B337" s="93"/>
      <c r="C337" s="43" t="s">
        <v>150</v>
      </c>
      <c r="D337" s="42">
        <v>3</v>
      </c>
      <c r="E337" s="41">
        <v>9.4577553593947036E-4</v>
      </c>
    </row>
    <row r="338" spans="2:5" ht="15" customHeight="1">
      <c r="B338" s="93"/>
      <c r="C338" s="43" t="s">
        <v>149</v>
      </c>
      <c r="D338" s="42">
        <v>3</v>
      </c>
      <c r="E338" s="41">
        <v>9.4577553593947036E-4</v>
      </c>
    </row>
    <row r="339" spans="2:5" ht="15" customHeight="1">
      <c r="B339" s="93"/>
      <c r="C339" s="43" t="s">
        <v>148</v>
      </c>
      <c r="D339" s="42">
        <v>6</v>
      </c>
      <c r="E339" s="41">
        <v>1.8915510718789407E-3</v>
      </c>
    </row>
    <row r="340" spans="2:5" ht="15" customHeight="1">
      <c r="B340" s="93"/>
      <c r="C340" s="43" t="s">
        <v>147</v>
      </c>
      <c r="D340" s="42">
        <v>5</v>
      </c>
      <c r="E340" s="41">
        <v>1.5762925598991173E-3</v>
      </c>
    </row>
    <row r="341" spans="2:5" ht="15" customHeight="1">
      <c r="B341" s="93"/>
      <c r="C341" s="43" t="s">
        <v>146</v>
      </c>
      <c r="D341" s="42">
        <v>13</v>
      </c>
      <c r="E341" s="41">
        <v>4.0983606557377051E-3</v>
      </c>
    </row>
    <row r="342" spans="2:5" ht="15" customHeight="1">
      <c r="B342" s="93"/>
      <c r="C342" s="43" t="s">
        <v>145</v>
      </c>
      <c r="D342" s="42">
        <v>7</v>
      </c>
      <c r="E342" s="41">
        <v>2.2068095838587644E-3</v>
      </c>
    </row>
    <row r="343" spans="2:5" ht="15" customHeight="1">
      <c r="B343" s="93"/>
      <c r="C343" s="43" t="s">
        <v>144</v>
      </c>
      <c r="D343" s="42">
        <v>18</v>
      </c>
      <c r="E343" s="41">
        <v>5.6746532156368226E-3</v>
      </c>
    </row>
    <row r="344" spans="2:5" ht="15" customHeight="1">
      <c r="B344" s="93"/>
      <c r="C344" s="43" t="s">
        <v>143</v>
      </c>
      <c r="D344" s="42">
        <v>6</v>
      </c>
      <c r="E344" s="41">
        <v>1.8915510718789407E-3</v>
      </c>
    </row>
    <row r="345" spans="2:5" ht="15" customHeight="1">
      <c r="B345" s="93"/>
      <c r="C345" s="43" t="s">
        <v>142</v>
      </c>
      <c r="D345" s="42">
        <v>9</v>
      </c>
      <c r="E345" s="41">
        <v>2.8373266078184113E-3</v>
      </c>
    </row>
    <row r="346" spans="2:5" ht="15" customHeight="1">
      <c r="B346" s="93"/>
      <c r="C346" s="43" t="s">
        <v>141</v>
      </c>
      <c r="D346" s="42">
        <v>10</v>
      </c>
      <c r="E346" s="41">
        <v>3.1525851197982345E-3</v>
      </c>
    </row>
    <row r="347" spans="2:5" ht="15" customHeight="1">
      <c r="B347" s="93"/>
      <c r="C347" s="43" t="s">
        <v>140</v>
      </c>
      <c r="D347" s="42">
        <v>53</v>
      </c>
      <c r="E347" s="41">
        <v>1.6708701134930642E-2</v>
      </c>
    </row>
    <row r="348" spans="2:5" ht="15" customHeight="1">
      <c r="B348" s="93"/>
      <c r="C348" s="43" t="s">
        <v>139</v>
      </c>
      <c r="D348" s="42">
        <v>2</v>
      </c>
      <c r="E348" s="41">
        <v>6.3051702395964691E-4</v>
      </c>
    </row>
    <row r="349" spans="2:5" ht="15" customHeight="1">
      <c r="B349" s="93"/>
      <c r="C349" s="43" t="s">
        <v>138</v>
      </c>
      <c r="D349" s="42">
        <v>10</v>
      </c>
      <c r="E349" s="41">
        <v>3.1525851197982345E-3</v>
      </c>
    </row>
    <row r="350" spans="2:5" ht="15" customHeight="1">
      <c r="B350" s="93"/>
      <c r="C350" s="43" t="s">
        <v>137</v>
      </c>
      <c r="D350" s="42">
        <v>25</v>
      </c>
      <c r="E350" s="41">
        <v>7.8814627994955866E-3</v>
      </c>
    </row>
    <row r="351" spans="2:5" ht="15" customHeight="1">
      <c r="B351" s="93"/>
      <c r="C351" s="43" t="s">
        <v>133</v>
      </c>
      <c r="D351" s="42">
        <v>4</v>
      </c>
      <c r="E351" s="41">
        <v>1.2610340479192938E-3</v>
      </c>
    </row>
    <row r="352" spans="2:5" ht="15" customHeight="1">
      <c r="B352" s="93"/>
      <c r="C352" s="43" t="s">
        <v>132</v>
      </c>
      <c r="D352" s="42">
        <v>4</v>
      </c>
      <c r="E352" s="41">
        <v>1.2610340479192938E-3</v>
      </c>
    </row>
    <row r="353" spans="2:5" ht="15" customHeight="1">
      <c r="B353" s="94"/>
      <c r="C353" s="40" t="s">
        <v>20</v>
      </c>
      <c r="D353" s="39">
        <v>180</v>
      </c>
      <c r="E353" s="38">
        <v>5.6746532156368219E-2</v>
      </c>
    </row>
    <row r="354" spans="2:5" ht="15" customHeight="1">
      <c r="B354" s="92" t="s">
        <v>91</v>
      </c>
      <c r="C354" s="43" t="s">
        <v>150</v>
      </c>
      <c r="D354" s="42">
        <v>1</v>
      </c>
      <c r="E354" s="41">
        <v>3.1525851197982345E-4</v>
      </c>
    </row>
    <row r="355" spans="2:5" ht="15" customHeight="1">
      <c r="B355" s="93"/>
      <c r="C355" s="43" t="s">
        <v>148</v>
      </c>
      <c r="D355" s="42">
        <v>1</v>
      </c>
      <c r="E355" s="41">
        <v>3.1525851197982345E-4</v>
      </c>
    </row>
    <row r="356" spans="2:5" ht="15" customHeight="1">
      <c r="B356" s="93"/>
      <c r="C356" s="43" t="s">
        <v>145</v>
      </c>
      <c r="D356" s="42">
        <v>2</v>
      </c>
      <c r="E356" s="41">
        <v>6.3051702395964691E-4</v>
      </c>
    </row>
    <row r="357" spans="2:5" ht="15" customHeight="1">
      <c r="B357" s="93"/>
      <c r="C357" s="43" t="s">
        <v>144</v>
      </c>
      <c r="D357" s="42">
        <v>2</v>
      </c>
      <c r="E357" s="41">
        <v>6.3051702395964691E-4</v>
      </c>
    </row>
    <row r="358" spans="2:5" ht="15" customHeight="1">
      <c r="B358" s="93"/>
      <c r="C358" s="43" t="s">
        <v>140</v>
      </c>
      <c r="D358" s="42">
        <v>5</v>
      </c>
      <c r="E358" s="41">
        <v>1.5762925598991173E-3</v>
      </c>
    </row>
    <row r="359" spans="2:5" ht="15" customHeight="1">
      <c r="B359" s="93"/>
      <c r="C359" s="43" t="s">
        <v>138</v>
      </c>
      <c r="D359" s="42">
        <v>1</v>
      </c>
      <c r="E359" s="41">
        <v>3.1525851197982345E-4</v>
      </c>
    </row>
    <row r="360" spans="2:5" ht="15" customHeight="1">
      <c r="B360" s="93"/>
      <c r="C360" s="43" t="s">
        <v>137</v>
      </c>
      <c r="D360" s="42">
        <v>4</v>
      </c>
      <c r="E360" s="41">
        <v>1.2610340479192938E-3</v>
      </c>
    </row>
    <row r="361" spans="2:5" ht="15" customHeight="1">
      <c r="B361" s="94"/>
      <c r="C361" s="40" t="s">
        <v>20</v>
      </c>
      <c r="D361" s="39">
        <v>16</v>
      </c>
      <c r="E361" s="38">
        <v>5.0441361916771753E-3</v>
      </c>
    </row>
    <row r="362" spans="2:5" ht="15" customHeight="1">
      <c r="B362" s="92" t="s">
        <v>79</v>
      </c>
      <c r="C362" s="43" t="s">
        <v>151</v>
      </c>
      <c r="D362" s="42">
        <v>1</v>
      </c>
      <c r="E362" s="41">
        <v>3.1525851197982345E-4</v>
      </c>
    </row>
    <row r="363" spans="2:5" ht="15" customHeight="1">
      <c r="B363" s="93"/>
      <c r="C363" s="43" t="s">
        <v>150</v>
      </c>
      <c r="D363" s="42">
        <v>1</v>
      </c>
      <c r="E363" s="41">
        <v>3.1525851197982345E-4</v>
      </c>
    </row>
    <row r="364" spans="2:5" ht="15" customHeight="1">
      <c r="B364" s="93"/>
      <c r="C364" s="43" t="s">
        <v>149</v>
      </c>
      <c r="D364" s="42">
        <v>1</v>
      </c>
      <c r="E364" s="41">
        <v>3.1525851197982345E-4</v>
      </c>
    </row>
    <row r="365" spans="2:5" ht="15" customHeight="1">
      <c r="B365" s="93"/>
      <c r="C365" s="43" t="s">
        <v>148</v>
      </c>
      <c r="D365" s="42">
        <v>1</v>
      </c>
      <c r="E365" s="41">
        <v>3.1525851197982345E-4</v>
      </c>
    </row>
    <row r="366" spans="2:5" ht="15" customHeight="1">
      <c r="B366" s="93"/>
      <c r="C366" s="43" t="s">
        <v>147</v>
      </c>
      <c r="D366" s="42">
        <v>1</v>
      </c>
      <c r="E366" s="41">
        <v>3.1525851197982345E-4</v>
      </c>
    </row>
    <row r="367" spans="2:5" ht="15" customHeight="1">
      <c r="B367" s="93"/>
      <c r="C367" s="43" t="s">
        <v>146</v>
      </c>
      <c r="D367" s="42">
        <v>2</v>
      </c>
      <c r="E367" s="41">
        <v>6.3051702395964691E-4</v>
      </c>
    </row>
    <row r="368" spans="2:5" ht="15" customHeight="1">
      <c r="B368" s="93"/>
      <c r="C368" s="43" t="s">
        <v>145</v>
      </c>
      <c r="D368" s="42">
        <v>1</v>
      </c>
      <c r="E368" s="41">
        <v>3.1525851197982345E-4</v>
      </c>
    </row>
    <row r="369" spans="2:5" ht="15" customHeight="1">
      <c r="B369" s="93"/>
      <c r="C369" s="43" t="s">
        <v>144</v>
      </c>
      <c r="D369" s="42">
        <v>6</v>
      </c>
      <c r="E369" s="41">
        <v>1.8915510718789407E-3</v>
      </c>
    </row>
    <row r="370" spans="2:5" ht="15" customHeight="1">
      <c r="B370" s="93"/>
      <c r="C370" s="43" t="s">
        <v>143</v>
      </c>
      <c r="D370" s="42">
        <v>1</v>
      </c>
      <c r="E370" s="41">
        <v>3.1525851197982345E-4</v>
      </c>
    </row>
    <row r="371" spans="2:5" ht="15" customHeight="1">
      <c r="B371" s="93"/>
      <c r="C371" s="43" t="s">
        <v>142</v>
      </c>
      <c r="D371" s="42">
        <v>1</v>
      </c>
      <c r="E371" s="41">
        <v>3.1525851197982345E-4</v>
      </c>
    </row>
    <row r="372" spans="2:5" ht="15" customHeight="1">
      <c r="B372" s="93"/>
      <c r="C372" s="43" t="s">
        <v>140</v>
      </c>
      <c r="D372" s="42">
        <v>19</v>
      </c>
      <c r="E372" s="41">
        <v>5.9899117276166454E-3</v>
      </c>
    </row>
    <row r="373" spans="2:5" ht="15" customHeight="1">
      <c r="B373" s="93"/>
      <c r="C373" s="43" t="s">
        <v>138</v>
      </c>
      <c r="D373" s="42">
        <v>2</v>
      </c>
      <c r="E373" s="41">
        <v>6.3051702395964691E-4</v>
      </c>
    </row>
    <row r="374" spans="2:5" ht="15" customHeight="1">
      <c r="B374" s="93"/>
      <c r="C374" s="43" t="s">
        <v>137</v>
      </c>
      <c r="D374" s="42">
        <v>12</v>
      </c>
      <c r="E374" s="41">
        <v>3.7831021437578815E-3</v>
      </c>
    </row>
    <row r="375" spans="2:5" ht="15" customHeight="1">
      <c r="B375" s="93"/>
      <c r="C375" s="43" t="s">
        <v>132</v>
      </c>
      <c r="D375" s="42">
        <v>4</v>
      </c>
      <c r="E375" s="41">
        <v>1.2610340479192938E-3</v>
      </c>
    </row>
    <row r="376" spans="2:5" ht="15" customHeight="1">
      <c r="B376" s="93"/>
      <c r="C376" s="43" t="s">
        <v>131</v>
      </c>
      <c r="D376" s="42">
        <v>1</v>
      </c>
      <c r="E376" s="41">
        <v>3.1525851197982345E-4</v>
      </c>
    </row>
    <row r="377" spans="2:5" ht="15" customHeight="1">
      <c r="B377" s="94"/>
      <c r="C377" s="40" t="s">
        <v>20</v>
      </c>
      <c r="D377" s="39">
        <v>54</v>
      </c>
      <c r="E377" s="38">
        <v>1.7023959646910468E-2</v>
      </c>
    </row>
    <row r="378" spans="2:5" ht="15" customHeight="1">
      <c r="B378" s="92" t="s">
        <v>83</v>
      </c>
      <c r="C378" s="43" t="s">
        <v>145</v>
      </c>
      <c r="D378" s="42">
        <v>1</v>
      </c>
      <c r="E378" s="41">
        <v>3.1525851197982345E-4</v>
      </c>
    </row>
    <row r="379" spans="2:5" ht="15" customHeight="1">
      <c r="B379" s="93"/>
      <c r="C379" s="43" t="s">
        <v>144</v>
      </c>
      <c r="D379" s="42">
        <v>1</v>
      </c>
      <c r="E379" s="41">
        <v>3.1525851197982345E-4</v>
      </c>
    </row>
    <row r="380" spans="2:5" ht="15" customHeight="1">
      <c r="B380" s="93"/>
      <c r="C380" s="43" t="s">
        <v>141</v>
      </c>
      <c r="D380" s="42">
        <v>1</v>
      </c>
      <c r="E380" s="41">
        <v>3.1525851197982345E-4</v>
      </c>
    </row>
    <row r="381" spans="2:5" ht="15" customHeight="1">
      <c r="B381" s="93"/>
      <c r="C381" s="43" t="s">
        <v>140</v>
      </c>
      <c r="D381" s="42">
        <v>2</v>
      </c>
      <c r="E381" s="41">
        <v>6.3051702395964691E-4</v>
      </c>
    </row>
    <row r="382" spans="2:5" ht="15" customHeight="1">
      <c r="B382" s="93"/>
      <c r="C382" s="43" t="s">
        <v>138</v>
      </c>
      <c r="D382" s="42">
        <v>2</v>
      </c>
      <c r="E382" s="41">
        <v>6.3051702395964691E-4</v>
      </c>
    </row>
    <row r="383" spans="2:5" ht="15" customHeight="1">
      <c r="B383" s="93"/>
      <c r="C383" s="43" t="s">
        <v>137</v>
      </c>
      <c r="D383" s="42">
        <v>2</v>
      </c>
      <c r="E383" s="41">
        <v>6.3051702395964691E-4</v>
      </c>
    </row>
    <row r="384" spans="2:5" ht="15" customHeight="1">
      <c r="B384" s="93"/>
      <c r="C384" s="43" t="s">
        <v>132</v>
      </c>
      <c r="D384" s="42">
        <v>2</v>
      </c>
      <c r="E384" s="41">
        <v>6.3051702395964691E-4</v>
      </c>
    </row>
    <row r="385" spans="2:5" ht="15" customHeight="1">
      <c r="B385" s="94"/>
      <c r="C385" s="40" t="s">
        <v>20</v>
      </c>
      <c r="D385" s="39">
        <v>11</v>
      </c>
      <c r="E385" s="38">
        <v>3.4678436317780582E-3</v>
      </c>
    </row>
    <row r="386" spans="2:5" ht="15" customHeight="1">
      <c r="B386" s="92" t="s">
        <v>68</v>
      </c>
      <c r="C386" s="43" t="s">
        <v>151</v>
      </c>
      <c r="D386" s="42">
        <v>1</v>
      </c>
      <c r="E386" s="41">
        <v>3.1525851197982345E-4</v>
      </c>
    </row>
    <row r="387" spans="2:5" ht="15" customHeight="1">
      <c r="B387" s="93"/>
      <c r="C387" s="43" t="s">
        <v>149</v>
      </c>
      <c r="D387" s="42">
        <v>1</v>
      </c>
      <c r="E387" s="41">
        <v>3.1525851197982345E-4</v>
      </c>
    </row>
    <row r="388" spans="2:5" ht="15" customHeight="1">
      <c r="B388" s="93"/>
      <c r="C388" s="43" t="s">
        <v>137</v>
      </c>
      <c r="D388" s="42">
        <v>4</v>
      </c>
      <c r="E388" s="41">
        <v>1.2610340479192938E-3</v>
      </c>
    </row>
    <row r="389" spans="2:5" ht="15" customHeight="1">
      <c r="B389" s="94"/>
      <c r="C389" s="40" t="s">
        <v>20</v>
      </c>
      <c r="D389" s="39">
        <v>6</v>
      </c>
      <c r="E389" s="38">
        <v>1.8915510718789407E-3</v>
      </c>
    </row>
    <row r="390" spans="2:5" ht="15" customHeight="1">
      <c r="B390" s="92" t="s">
        <v>101</v>
      </c>
      <c r="C390" s="43" t="s">
        <v>151</v>
      </c>
      <c r="D390" s="42">
        <v>3</v>
      </c>
      <c r="E390" s="41">
        <v>9.4577553593947036E-4</v>
      </c>
    </row>
    <row r="391" spans="2:5" ht="15" customHeight="1">
      <c r="B391" s="93"/>
      <c r="C391" s="43" t="s">
        <v>150</v>
      </c>
      <c r="D391" s="42">
        <v>6</v>
      </c>
      <c r="E391" s="41">
        <v>1.8915510718789407E-3</v>
      </c>
    </row>
    <row r="392" spans="2:5" ht="15" customHeight="1">
      <c r="B392" s="93"/>
      <c r="C392" s="43" t="s">
        <v>149</v>
      </c>
      <c r="D392" s="42">
        <v>6</v>
      </c>
      <c r="E392" s="41">
        <v>1.8915510718789407E-3</v>
      </c>
    </row>
    <row r="393" spans="2:5" ht="15" customHeight="1">
      <c r="B393" s="93"/>
      <c r="C393" s="43" t="s">
        <v>148</v>
      </c>
      <c r="D393" s="42">
        <v>8</v>
      </c>
      <c r="E393" s="41">
        <v>2.5220680958385876E-3</v>
      </c>
    </row>
    <row r="394" spans="2:5" ht="15" customHeight="1">
      <c r="B394" s="93"/>
      <c r="C394" s="43" t="s">
        <v>147</v>
      </c>
      <c r="D394" s="42">
        <v>4</v>
      </c>
      <c r="E394" s="41">
        <v>1.2610340479192938E-3</v>
      </c>
    </row>
    <row r="395" spans="2:5" ht="15" customHeight="1">
      <c r="B395" s="93"/>
      <c r="C395" s="43" t="s">
        <v>146</v>
      </c>
      <c r="D395" s="42">
        <v>9</v>
      </c>
      <c r="E395" s="41">
        <v>2.8373266078184113E-3</v>
      </c>
    </row>
    <row r="396" spans="2:5" ht="15" customHeight="1">
      <c r="B396" s="93"/>
      <c r="C396" s="43" t="s">
        <v>145</v>
      </c>
      <c r="D396" s="42">
        <v>23</v>
      </c>
      <c r="E396" s="41">
        <v>7.2509457755359392E-3</v>
      </c>
    </row>
    <row r="397" spans="2:5" ht="15" customHeight="1">
      <c r="B397" s="93"/>
      <c r="C397" s="43" t="s">
        <v>144</v>
      </c>
      <c r="D397" s="42">
        <v>65</v>
      </c>
      <c r="E397" s="41">
        <v>2.0491803278688523E-2</v>
      </c>
    </row>
    <row r="398" spans="2:5" ht="15" customHeight="1">
      <c r="B398" s="93"/>
      <c r="C398" s="43" t="s">
        <v>143</v>
      </c>
      <c r="D398" s="42">
        <v>5</v>
      </c>
      <c r="E398" s="41">
        <v>1.5762925598991173E-3</v>
      </c>
    </row>
    <row r="399" spans="2:5" ht="15" customHeight="1">
      <c r="B399" s="93"/>
      <c r="C399" s="43" t="s">
        <v>142</v>
      </c>
      <c r="D399" s="42">
        <v>7</v>
      </c>
      <c r="E399" s="41">
        <v>2.2068095838587644E-3</v>
      </c>
    </row>
    <row r="400" spans="2:5" ht="15" customHeight="1">
      <c r="B400" s="93"/>
      <c r="C400" s="43" t="s">
        <v>141</v>
      </c>
      <c r="D400" s="42">
        <v>28</v>
      </c>
      <c r="E400" s="41">
        <v>8.8272383354350576E-3</v>
      </c>
    </row>
    <row r="401" spans="2:5" ht="15" customHeight="1">
      <c r="B401" s="93"/>
      <c r="C401" s="43" t="s">
        <v>140</v>
      </c>
      <c r="D401" s="42">
        <v>152</v>
      </c>
      <c r="E401" s="41">
        <v>4.7919293820933163E-2</v>
      </c>
    </row>
    <row r="402" spans="2:5" ht="15" customHeight="1">
      <c r="B402" s="93"/>
      <c r="C402" s="43" t="s">
        <v>139</v>
      </c>
      <c r="D402" s="42">
        <v>4</v>
      </c>
      <c r="E402" s="41">
        <v>1.2610340479192938E-3</v>
      </c>
    </row>
    <row r="403" spans="2:5" ht="15" customHeight="1">
      <c r="B403" s="93"/>
      <c r="C403" s="43" t="s">
        <v>138</v>
      </c>
      <c r="D403" s="42">
        <v>21</v>
      </c>
      <c r="E403" s="41">
        <v>6.6204287515762928E-3</v>
      </c>
    </row>
    <row r="404" spans="2:5" ht="15" customHeight="1">
      <c r="B404" s="93"/>
      <c r="C404" s="43" t="s">
        <v>137</v>
      </c>
      <c r="D404" s="42">
        <v>102</v>
      </c>
      <c r="E404" s="41">
        <v>3.215636822194199E-2</v>
      </c>
    </row>
    <row r="405" spans="2:5" ht="15" customHeight="1">
      <c r="B405" s="93"/>
      <c r="C405" s="43" t="s">
        <v>136</v>
      </c>
      <c r="D405" s="42">
        <v>1</v>
      </c>
      <c r="E405" s="41">
        <v>3.1525851197982345E-4</v>
      </c>
    </row>
    <row r="406" spans="2:5" ht="15" customHeight="1">
      <c r="B406" s="93"/>
      <c r="C406" s="43" t="s">
        <v>210</v>
      </c>
      <c r="D406" s="42">
        <v>1</v>
      </c>
      <c r="E406" s="41">
        <v>3.1525851197982345E-4</v>
      </c>
    </row>
    <row r="407" spans="2:5" ht="15" customHeight="1">
      <c r="B407" s="93"/>
      <c r="C407" s="43" t="s">
        <v>133</v>
      </c>
      <c r="D407" s="42">
        <v>4</v>
      </c>
      <c r="E407" s="41">
        <v>1.2610340479192938E-3</v>
      </c>
    </row>
    <row r="408" spans="2:5" ht="15" customHeight="1">
      <c r="B408" s="93"/>
      <c r="C408" s="43" t="s">
        <v>132</v>
      </c>
      <c r="D408" s="42">
        <v>8</v>
      </c>
      <c r="E408" s="41">
        <v>2.5220680958385876E-3</v>
      </c>
    </row>
    <row r="409" spans="2:5" ht="15" customHeight="1">
      <c r="B409" s="93"/>
      <c r="C409" s="43" t="s">
        <v>131</v>
      </c>
      <c r="D409" s="42">
        <v>1</v>
      </c>
      <c r="E409" s="41">
        <v>3.1525851197982345E-4</v>
      </c>
    </row>
    <row r="410" spans="2:5" ht="15" customHeight="1">
      <c r="B410" s="94"/>
      <c r="C410" s="40" t="s">
        <v>20</v>
      </c>
      <c r="D410" s="39">
        <v>458</v>
      </c>
      <c r="E410" s="38">
        <v>0.14438839848675913</v>
      </c>
    </row>
    <row r="411" spans="2:5" ht="15" customHeight="1">
      <c r="B411" s="92" t="s">
        <v>93</v>
      </c>
      <c r="C411" s="43" t="s">
        <v>144</v>
      </c>
      <c r="D411" s="42">
        <v>2</v>
      </c>
      <c r="E411" s="41">
        <v>6.3051702395964691E-4</v>
      </c>
    </row>
    <row r="412" spans="2:5" ht="15" customHeight="1">
      <c r="B412" s="93"/>
      <c r="C412" s="43" t="s">
        <v>141</v>
      </c>
      <c r="D412" s="42">
        <v>2</v>
      </c>
      <c r="E412" s="41">
        <v>6.3051702395964691E-4</v>
      </c>
    </row>
    <row r="413" spans="2:5" ht="15" customHeight="1">
      <c r="B413" s="93"/>
      <c r="C413" s="43" t="s">
        <v>140</v>
      </c>
      <c r="D413" s="42">
        <v>2</v>
      </c>
      <c r="E413" s="41">
        <v>6.3051702395964691E-4</v>
      </c>
    </row>
    <row r="414" spans="2:5" ht="15" customHeight="1">
      <c r="B414" s="93"/>
      <c r="C414" s="43" t="s">
        <v>138</v>
      </c>
      <c r="D414" s="42">
        <v>2</v>
      </c>
      <c r="E414" s="41">
        <v>6.3051702395964691E-4</v>
      </c>
    </row>
    <row r="415" spans="2:5" ht="15" customHeight="1">
      <c r="B415" s="93"/>
      <c r="C415" s="43" t="s">
        <v>137</v>
      </c>
      <c r="D415" s="42">
        <v>4</v>
      </c>
      <c r="E415" s="41">
        <v>1.2610340479192938E-3</v>
      </c>
    </row>
    <row r="416" spans="2:5" ht="15" customHeight="1">
      <c r="B416" s="94"/>
      <c r="C416" s="40" t="s">
        <v>20</v>
      </c>
      <c r="D416" s="39">
        <v>12</v>
      </c>
      <c r="E416" s="38">
        <v>3.7831021437578815E-3</v>
      </c>
    </row>
    <row r="417" spans="2:5" ht="15" customHeight="1">
      <c r="B417" s="92" t="s">
        <v>78</v>
      </c>
      <c r="C417" s="43" t="s">
        <v>144</v>
      </c>
      <c r="D417" s="42">
        <v>5</v>
      </c>
      <c r="E417" s="41">
        <v>1.5762925598991173E-3</v>
      </c>
    </row>
    <row r="418" spans="2:5" ht="15" customHeight="1">
      <c r="B418" s="93"/>
      <c r="C418" s="43" t="s">
        <v>141</v>
      </c>
      <c r="D418" s="42">
        <v>1</v>
      </c>
      <c r="E418" s="41">
        <v>3.1525851197982345E-4</v>
      </c>
    </row>
    <row r="419" spans="2:5" ht="15" customHeight="1">
      <c r="B419" s="93"/>
      <c r="C419" s="43" t="s">
        <v>140</v>
      </c>
      <c r="D419" s="42">
        <v>11</v>
      </c>
      <c r="E419" s="41">
        <v>3.4678436317780582E-3</v>
      </c>
    </row>
    <row r="420" spans="2:5" ht="15" customHeight="1">
      <c r="B420" s="93"/>
      <c r="C420" s="43" t="s">
        <v>138</v>
      </c>
      <c r="D420" s="42">
        <v>2</v>
      </c>
      <c r="E420" s="41">
        <v>6.3051702395964691E-4</v>
      </c>
    </row>
    <row r="421" spans="2:5" ht="15" customHeight="1">
      <c r="B421" s="93"/>
      <c r="C421" s="43" t="s">
        <v>137</v>
      </c>
      <c r="D421" s="42">
        <v>6</v>
      </c>
      <c r="E421" s="41">
        <v>1.8915510718789407E-3</v>
      </c>
    </row>
    <row r="422" spans="2:5" ht="15" customHeight="1">
      <c r="B422" s="93"/>
      <c r="C422" s="43" t="s">
        <v>133</v>
      </c>
      <c r="D422" s="42">
        <v>1</v>
      </c>
      <c r="E422" s="41">
        <v>3.1525851197982345E-4</v>
      </c>
    </row>
    <row r="423" spans="2:5" ht="15" customHeight="1">
      <c r="B423" s="93"/>
      <c r="C423" s="43" t="s">
        <v>132</v>
      </c>
      <c r="D423" s="42">
        <v>4</v>
      </c>
      <c r="E423" s="41">
        <v>1.2610340479192938E-3</v>
      </c>
    </row>
    <row r="424" spans="2:5" ht="15" customHeight="1">
      <c r="B424" s="94"/>
      <c r="C424" s="40" t="s">
        <v>20</v>
      </c>
      <c r="D424" s="39">
        <v>30</v>
      </c>
      <c r="E424" s="38">
        <v>9.4577553593947032E-3</v>
      </c>
    </row>
    <row r="425" spans="2:5" ht="15" customHeight="1">
      <c r="B425" s="92" t="s">
        <v>80</v>
      </c>
      <c r="C425" s="43" t="s">
        <v>144</v>
      </c>
      <c r="D425" s="42">
        <v>1</v>
      </c>
      <c r="E425" s="41">
        <v>3.1525851197982345E-4</v>
      </c>
    </row>
    <row r="426" spans="2:5" ht="15" customHeight="1">
      <c r="B426" s="93"/>
      <c r="C426" s="43" t="s">
        <v>142</v>
      </c>
      <c r="D426" s="42">
        <v>2</v>
      </c>
      <c r="E426" s="41">
        <v>6.3051702395964691E-4</v>
      </c>
    </row>
    <row r="427" spans="2:5" ht="15" customHeight="1">
      <c r="B427" s="93"/>
      <c r="C427" s="43" t="s">
        <v>141</v>
      </c>
      <c r="D427" s="42">
        <v>2</v>
      </c>
      <c r="E427" s="41">
        <v>6.3051702395964691E-4</v>
      </c>
    </row>
    <row r="428" spans="2:5" ht="15" customHeight="1">
      <c r="B428" s="93"/>
      <c r="C428" s="43" t="s">
        <v>140</v>
      </c>
      <c r="D428" s="42">
        <v>14</v>
      </c>
      <c r="E428" s="41">
        <v>4.4136191677175288E-3</v>
      </c>
    </row>
    <row r="429" spans="2:5" ht="15" customHeight="1">
      <c r="B429" s="93"/>
      <c r="C429" s="43" t="s">
        <v>138</v>
      </c>
      <c r="D429" s="42">
        <v>3</v>
      </c>
      <c r="E429" s="41">
        <v>9.4577553593947036E-4</v>
      </c>
    </row>
    <row r="430" spans="2:5" ht="15" customHeight="1">
      <c r="B430" s="93"/>
      <c r="C430" s="43" t="s">
        <v>137</v>
      </c>
      <c r="D430" s="42">
        <v>12</v>
      </c>
      <c r="E430" s="41">
        <v>3.7831021437578815E-3</v>
      </c>
    </row>
    <row r="431" spans="2:5" ht="15" customHeight="1">
      <c r="B431" s="93"/>
      <c r="C431" s="43" t="s">
        <v>136</v>
      </c>
      <c r="D431" s="42">
        <v>1</v>
      </c>
      <c r="E431" s="41">
        <v>3.1525851197982345E-4</v>
      </c>
    </row>
    <row r="432" spans="2:5" ht="15" customHeight="1">
      <c r="B432" s="93"/>
      <c r="C432" s="43" t="s">
        <v>133</v>
      </c>
      <c r="D432" s="42">
        <v>1</v>
      </c>
      <c r="E432" s="41">
        <v>3.1525851197982345E-4</v>
      </c>
    </row>
    <row r="433" spans="2:5" ht="15" customHeight="1">
      <c r="B433" s="94"/>
      <c r="C433" s="40" t="s">
        <v>20</v>
      </c>
      <c r="D433" s="39">
        <v>36</v>
      </c>
      <c r="E433" s="38">
        <v>1.1349306431273645E-2</v>
      </c>
    </row>
    <row r="434" spans="2:5" ht="15" customHeight="1">
      <c r="B434" s="92" t="s">
        <v>88</v>
      </c>
      <c r="C434" s="43" t="s">
        <v>151</v>
      </c>
      <c r="D434" s="42">
        <v>1</v>
      </c>
      <c r="E434" s="41">
        <v>3.1525851197982345E-4</v>
      </c>
    </row>
    <row r="435" spans="2:5" ht="15" customHeight="1">
      <c r="B435" s="93"/>
      <c r="C435" s="43" t="s">
        <v>147</v>
      </c>
      <c r="D435" s="42">
        <v>2</v>
      </c>
      <c r="E435" s="41">
        <v>6.3051702395964691E-4</v>
      </c>
    </row>
    <row r="436" spans="2:5" ht="15" customHeight="1">
      <c r="B436" s="93"/>
      <c r="C436" s="43" t="s">
        <v>145</v>
      </c>
      <c r="D436" s="42">
        <v>1</v>
      </c>
      <c r="E436" s="41">
        <v>3.1525851197982345E-4</v>
      </c>
    </row>
    <row r="437" spans="2:5" ht="15" customHeight="1">
      <c r="B437" s="93"/>
      <c r="C437" s="43" t="s">
        <v>144</v>
      </c>
      <c r="D437" s="42">
        <v>2</v>
      </c>
      <c r="E437" s="41">
        <v>6.3051702395964691E-4</v>
      </c>
    </row>
    <row r="438" spans="2:5" ht="15" customHeight="1">
      <c r="B438" s="93"/>
      <c r="C438" s="43" t="s">
        <v>142</v>
      </c>
      <c r="D438" s="42">
        <v>2</v>
      </c>
      <c r="E438" s="41">
        <v>6.3051702395964691E-4</v>
      </c>
    </row>
    <row r="439" spans="2:5" ht="15" customHeight="1">
      <c r="B439" s="93"/>
      <c r="C439" s="43" t="s">
        <v>141</v>
      </c>
      <c r="D439" s="42">
        <v>2</v>
      </c>
      <c r="E439" s="41">
        <v>6.3051702395964691E-4</v>
      </c>
    </row>
    <row r="440" spans="2:5" ht="15" customHeight="1">
      <c r="B440" s="93"/>
      <c r="C440" s="43" t="s">
        <v>140</v>
      </c>
      <c r="D440" s="42">
        <v>8</v>
      </c>
      <c r="E440" s="41">
        <v>2.5220680958385876E-3</v>
      </c>
    </row>
    <row r="441" spans="2:5" ht="15" customHeight="1">
      <c r="B441" s="93"/>
      <c r="C441" s="43" t="s">
        <v>139</v>
      </c>
      <c r="D441" s="42">
        <v>1</v>
      </c>
      <c r="E441" s="41">
        <v>3.1525851197982345E-4</v>
      </c>
    </row>
    <row r="442" spans="2:5" ht="15" customHeight="1">
      <c r="B442" s="93"/>
      <c r="C442" s="43" t="s">
        <v>137</v>
      </c>
      <c r="D442" s="42">
        <v>9</v>
      </c>
      <c r="E442" s="41">
        <v>2.8373266078184113E-3</v>
      </c>
    </row>
    <row r="443" spans="2:5" ht="15" customHeight="1">
      <c r="B443" s="93"/>
      <c r="C443" s="43" t="s">
        <v>132</v>
      </c>
      <c r="D443" s="42">
        <v>2</v>
      </c>
      <c r="E443" s="41">
        <v>6.3051702395964691E-4</v>
      </c>
    </row>
    <row r="444" spans="2:5" ht="15" customHeight="1">
      <c r="B444" s="94"/>
      <c r="C444" s="40" t="s">
        <v>20</v>
      </c>
      <c r="D444" s="39">
        <v>30</v>
      </c>
      <c r="E444" s="38">
        <v>9.4577553593947032E-3</v>
      </c>
    </row>
    <row r="445" spans="2:5" ht="15" customHeight="1">
      <c r="B445" s="92" t="s">
        <v>100</v>
      </c>
      <c r="C445" s="43" t="s">
        <v>146</v>
      </c>
      <c r="D445" s="42">
        <v>1</v>
      </c>
      <c r="E445" s="41">
        <v>3.1525851197982345E-4</v>
      </c>
    </row>
    <row r="446" spans="2:5" ht="15" customHeight="1">
      <c r="B446" s="93"/>
      <c r="C446" s="43" t="s">
        <v>145</v>
      </c>
      <c r="D446" s="42">
        <v>1</v>
      </c>
      <c r="E446" s="41">
        <v>3.1525851197982345E-4</v>
      </c>
    </row>
    <row r="447" spans="2:5" ht="15" customHeight="1">
      <c r="B447" s="93"/>
      <c r="C447" s="43" t="s">
        <v>144</v>
      </c>
      <c r="D447" s="42">
        <v>5</v>
      </c>
      <c r="E447" s="41">
        <v>1.5762925598991173E-3</v>
      </c>
    </row>
    <row r="448" spans="2:5" ht="15" customHeight="1">
      <c r="B448" s="93"/>
      <c r="C448" s="43" t="s">
        <v>141</v>
      </c>
      <c r="D448" s="42">
        <v>1</v>
      </c>
      <c r="E448" s="41">
        <v>3.1525851197982345E-4</v>
      </c>
    </row>
    <row r="449" spans="2:5" ht="15" customHeight="1">
      <c r="B449" s="93"/>
      <c r="C449" s="43" t="s">
        <v>140</v>
      </c>
      <c r="D449" s="42">
        <v>9</v>
      </c>
      <c r="E449" s="41">
        <v>2.8373266078184113E-3</v>
      </c>
    </row>
    <row r="450" spans="2:5" ht="15" customHeight="1">
      <c r="B450" s="93"/>
      <c r="C450" s="43" t="s">
        <v>139</v>
      </c>
      <c r="D450" s="42">
        <v>1</v>
      </c>
      <c r="E450" s="41">
        <v>3.1525851197982345E-4</v>
      </c>
    </row>
    <row r="451" spans="2:5" ht="15" customHeight="1">
      <c r="B451" s="93"/>
      <c r="C451" s="43" t="s">
        <v>138</v>
      </c>
      <c r="D451" s="42">
        <v>2</v>
      </c>
      <c r="E451" s="41">
        <v>6.3051702395964691E-4</v>
      </c>
    </row>
    <row r="452" spans="2:5" ht="15" customHeight="1">
      <c r="B452" s="93"/>
      <c r="C452" s="43" t="s">
        <v>137</v>
      </c>
      <c r="D452" s="42">
        <v>8</v>
      </c>
      <c r="E452" s="41">
        <v>2.5220680958385876E-3</v>
      </c>
    </row>
    <row r="453" spans="2:5" ht="15" customHeight="1">
      <c r="B453" s="93"/>
      <c r="C453" s="43" t="s">
        <v>136</v>
      </c>
      <c r="D453" s="42">
        <v>1</v>
      </c>
      <c r="E453" s="41">
        <v>3.1525851197982345E-4</v>
      </c>
    </row>
    <row r="454" spans="2:5" ht="15" customHeight="1">
      <c r="B454" s="93"/>
      <c r="C454" s="43" t="s">
        <v>133</v>
      </c>
      <c r="D454" s="42">
        <v>1</v>
      </c>
      <c r="E454" s="41">
        <v>3.1525851197982345E-4</v>
      </c>
    </row>
    <row r="455" spans="2:5" ht="15" customHeight="1">
      <c r="B455" s="93"/>
      <c r="C455" s="43" t="s">
        <v>132</v>
      </c>
      <c r="D455" s="42">
        <v>1</v>
      </c>
      <c r="E455" s="41">
        <v>3.1525851197982345E-4</v>
      </c>
    </row>
    <row r="456" spans="2:5" ht="15" customHeight="1">
      <c r="B456" s="94"/>
      <c r="C456" s="40" t="s">
        <v>20</v>
      </c>
      <c r="D456" s="39">
        <v>31</v>
      </c>
      <c r="E456" s="38">
        <v>9.7730138713745269E-3</v>
      </c>
    </row>
    <row r="457" spans="2:5" ht="15" customHeight="1">
      <c r="B457" s="92" t="s">
        <v>84</v>
      </c>
      <c r="C457" s="43" t="s">
        <v>148</v>
      </c>
      <c r="D457" s="42">
        <v>1</v>
      </c>
      <c r="E457" s="41">
        <v>3.1525851197982345E-4</v>
      </c>
    </row>
    <row r="458" spans="2:5" ht="15" customHeight="1">
      <c r="B458" s="93"/>
      <c r="C458" s="43" t="s">
        <v>147</v>
      </c>
      <c r="D458" s="42">
        <v>1</v>
      </c>
      <c r="E458" s="41">
        <v>3.1525851197982345E-4</v>
      </c>
    </row>
    <row r="459" spans="2:5" ht="15" customHeight="1">
      <c r="B459" s="93"/>
      <c r="C459" s="43" t="s">
        <v>146</v>
      </c>
      <c r="D459" s="42">
        <v>1</v>
      </c>
      <c r="E459" s="41">
        <v>3.1525851197982345E-4</v>
      </c>
    </row>
    <row r="460" spans="2:5" ht="15" customHeight="1">
      <c r="B460" s="93"/>
      <c r="C460" s="43" t="s">
        <v>145</v>
      </c>
      <c r="D460" s="42">
        <v>1</v>
      </c>
      <c r="E460" s="41">
        <v>3.1525851197982345E-4</v>
      </c>
    </row>
    <row r="461" spans="2:5" ht="15" customHeight="1">
      <c r="B461" s="93"/>
      <c r="C461" s="43" t="s">
        <v>144</v>
      </c>
      <c r="D461" s="42">
        <v>3</v>
      </c>
      <c r="E461" s="41">
        <v>9.4577553593947036E-4</v>
      </c>
    </row>
    <row r="462" spans="2:5" ht="15" customHeight="1">
      <c r="B462" s="93"/>
      <c r="C462" s="43" t="s">
        <v>143</v>
      </c>
      <c r="D462" s="42">
        <v>1</v>
      </c>
      <c r="E462" s="41">
        <v>3.1525851197982345E-4</v>
      </c>
    </row>
    <row r="463" spans="2:5" ht="15" customHeight="1">
      <c r="B463" s="93"/>
      <c r="C463" s="43" t="s">
        <v>142</v>
      </c>
      <c r="D463" s="42">
        <v>1</v>
      </c>
      <c r="E463" s="41">
        <v>3.1525851197982345E-4</v>
      </c>
    </row>
    <row r="464" spans="2:5" ht="15" customHeight="1">
      <c r="B464" s="93"/>
      <c r="C464" s="43" t="s">
        <v>140</v>
      </c>
      <c r="D464" s="42">
        <v>1</v>
      </c>
      <c r="E464" s="41">
        <v>3.1525851197982345E-4</v>
      </c>
    </row>
    <row r="465" spans="2:5" ht="15" customHeight="1">
      <c r="B465" s="93"/>
      <c r="C465" s="43" t="s">
        <v>137</v>
      </c>
      <c r="D465" s="42">
        <v>4</v>
      </c>
      <c r="E465" s="41">
        <v>1.2610340479192938E-3</v>
      </c>
    </row>
    <row r="466" spans="2:5" ht="15" customHeight="1">
      <c r="B466" s="93"/>
      <c r="C466" s="43" t="s">
        <v>134</v>
      </c>
      <c r="D466" s="42">
        <v>1</v>
      </c>
      <c r="E466" s="41">
        <v>3.1525851197982345E-4</v>
      </c>
    </row>
    <row r="467" spans="2:5" ht="15" customHeight="1">
      <c r="B467" s="93"/>
      <c r="C467" s="43" t="s">
        <v>132</v>
      </c>
      <c r="D467" s="42">
        <v>1</v>
      </c>
      <c r="E467" s="41">
        <v>3.1525851197982345E-4</v>
      </c>
    </row>
    <row r="468" spans="2:5" ht="15" customHeight="1">
      <c r="B468" s="94"/>
      <c r="C468" s="40" t="s">
        <v>20</v>
      </c>
      <c r="D468" s="39">
        <v>16</v>
      </c>
      <c r="E468" s="38">
        <v>5.0441361916771753E-3</v>
      </c>
    </row>
    <row r="469" spans="2:5" ht="15" customHeight="1">
      <c r="B469" s="92" t="s">
        <v>97</v>
      </c>
      <c r="C469" s="43" t="s">
        <v>145</v>
      </c>
      <c r="D469" s="42">
        <v>1</v>
      </c>
      <c r="E469" s="41">
        <v>3.1525851197982345E-4</v>
      </c>
    </row>
    <row r="470" spans="2:5" ht="15" customHeight="1">
      <c r="B470" s="93"/>
      <c r="C470" s="43" t="s">
        <v>144</v>
      </c>
      <c r="D470" s="42">
        <v>7</v>
      </c>
      <c r="E470" s="41">
        <v>2.2068095838587644E-3</v>
      </c>
    </row>
    <row r="471" spans="2:5" ht="15" customHeight="1">
      <c r="B471" s="93"/>
      <c r="C471" s="43" t="s">
        <v>141</v>
      </c>
      <c r="D471" s="42">
        <v>1</v>
      </c>
      <c r="E471" s="41">
        <v>3.1525851197982345E-4</v>
      </c>
    </row>
    <row r="472" spans="2:5" ht="15" customHeight="1">
      <c r="B472" s="93"/>
      <c r="C472" s="43" t="s">
        <v>140</v>
      </c>
      <c r="D472" s="42">
        <v>21</v>
      </c>
      <c r="E472" s="41">
        <v>6.6204287515762928E-3</v>
      </c>
    </row>
    <row r="473" spans="2:5" ht="15" customHeight="1">
      <c r="B473" s="93"/>
      <c r="C473" s="43" t="s">
        <v>138</v>
      </c>
      <c r="D473" s="42">
        <v>4</v>
      </c>
      <c r="E473" s="41">
        <v>1.2610340479192938E-3</v>
      </c>
    </row>
    <row r="474" spans="2:5" ht="15" customHeight="1">
      <c r="B474" s="93"/>
      <c r="C474" s="43" t="s">
        <v>137</v>
      </c>
      <c r="D474" s="42">
        <v>13</v>
      </c>
      <c r="E474" s="41">
        <v>4.0983606557377051E-3</v>
      </c>
    </row>
    <row r="475" spans="2:5" ht="15" customHeight="1">
      <c r="B475" s="93"/>
      <c r="C475" s="43" t="s">
        <v>133</v>
      </c>
      <c r="D475" s="42">
        <v>1</v>
      </c>
      <c r="E475" s="41">
        <v>3.1525851197982345E-4</v>
      </c>
    </row>
    <row r="476" spans="2:5" ht="15" customHeight="1">
      <c r="B476" s="94"/>
      <c r="C476" s="40" t="s">
        <v>20</v>
      </c>
      <c r="D476" s="39">
        <v>48</v>
      </c>
      <c r="E476" s="38">
        <v>1.5132408575031526E-2</v>
      </c>
    </row>
    <row r="477" spans="2:5" ht="15" customHeight="1">
      <c r="B477" s="92" t="s">
        <v>155</v>
      </c>
      <c r="C477" s="43" t="s">
        <v>149</v>
      </c>
      <c r="D477" s="42">
        <v>1</v>
      </c>
      <c r="E477" s="41">
        <v>3.1525851197982345E-4</v>
      </c>
    </row>
    <row r="478" spans="2:5" ht="15" customHeight="1">
      <c r="B478" s="93"/>
      <c r="C478" s="43" t="s">
        <v>148</v>
      </c>
      <c r="D478" s="42">
        <v>1</v>
      </c>
      <c r="E478" s="41">
        <v>3.1525851197982345E-4</v>
      </c>
    </row>
    <row r="479" spans="2:5" ht="15" customHeight="1">
      <c r="B479" s="93"/>
      <c r="C479" s="43" t="s">
        <v>145</v>
      </c>
      <c r="D479" s="42">
        <v>2</v>
      </c>
      <c r="E479" s="41">
        <v>6.3051702395964691E-4</v>
      </c>
    </row>
    <row r="480" spans="2:5" ht="15" customHeight="1">
      <c r="B480" s="93"/>
      <c r="C480" s="43" t="s">
        <v>144</v>
      </c>
      <c r="D480" s="42">
        <v>1</v>
      </c>
      <c r="E480" s="41">
        <v>3.1525851197982345E-4</v>
      </c>
    </row>
    <row r="481" spans="2:5" ht="15" customHeight="1">
      <c r="B481" s="93"/>
      <c r="C481" s="43" t="s">
        <v>141</v>
      </c>
      <c r="D481" s="42">
        <v>1</v>
      </c>
      <c r="E481" s="41">
        <v>3.1525851197982345E-4</v>
      </c>
    </row>
    <row r="482" spans="2:5" ht="15" customHeight="1">
      <c r="B482" s="93"/>
      <c r="C482" s="43" t="s">
        <v>140</v>
      </c>
      <c r="D482" s="42">
        <v>6</v>
      </c>
      <c r="E482" s="41">
        <v>1.8915510718789407E-3</v>
      </c>
    </row>
    <row r="483" spans="2:5" ht="15" customHeight="1">
      <c r="B483" s="93"/>
      <c r="C483" s="43" t="s">
        <v>139</v>
      </c>
      <c r="D483" s="42">
        <v>1</v>
      </c>
      <c r="E483" s="41">
        <v>3.1525851197982345E-4</v>
      </c>
    </row>
    <row r="484" spans="2:5" ht="15" customHeight="1">
      <c r="B484" s="93"/>
      <c r="C484" s="43" t="s">
        <v>138</v>
      </c>
      <c r="D484" s="42">
        <v>2</v>
      </c>
      <c r="E484" s="41">
        <v>6.3051702395964691E-4</v>
      </c>
    </row>
    <row r="485" spans="2:5" ht="15" customHeight="1">
      <c r="B485" s="93"/>
      <c r="C485" s="43" t="s">
        <v>137</v>
      </c>
      <c r="D485" s="42">
        <v>9</v>
      </c>
      <c r="E485" s="41">
        <v>2.8373266078184113E-3</v>
      </c>
    </row>
    <row r="486" spans="2:5" ht="15" customHeight="1">
      <c r="B486" s="94"/>
      <c r="C486" s="40" t="s">
        <v>20</v>
      </c>
      <c r="D486" s="39">
        <v>24</v>
      </c>
      <c r="E486" s="38">
        <v>7.5662042875157629E-3</v>
      </c>
    </row>
    <row r="487" spans="2:5" ht="15" customHeight="1">
      <c r="B487" s="92" t="s">
        <v>99</v>
      </c>
      <c r="C487" s="43" t="s">
        <v>149</v>
      </c>
      <c r="D487" s="42">
        <v>2</v>
      </c>
      <c r="E487" s="41">
        <v>6.3051702395964691E-4</v>
      </c>
    </row>
    <row r="488" spans="2:5" ht="15" customHeight="1">
      <c r="B488" s="93"/>
      <c r="C488" s="43" t="s">
        <v>146</v>
      </c>
      <c r="D488" s="42">
        <v>2</v>
      </c>
      <c r="E488" s="41">
        <v>6.3051702395964691E-4</v>
      </c>
    </row>
    <row r="489" spans="2:5" ht="15" customHeight="1">
      <c r="B489" s="93"/>
      <c r="C489" s="43" t="s">
        <v>144</v>
      </c>
      <c r="D489" s="42">
        <v>2</v>
      </c>
      <c r="E489" s="41">
        <v>6.3051702395964691E-4</v>
      </c>
    </row>
    <row r="490" spans="2:5" ht="15" customHeight="1">
      <c r="B490" s="93"/>
      <c r="C490" s="43" t="s">
        <v>142</v>
      </c>
      <c r="D490" s="42">
        <v>1</v>
      </c>
      <c r="E490" s="41">
        <v>3.1525851197982345E-4</v>
      </c>
    </row>
    <row r="491" spans="2:5" ht="15" customHeight="1">
      <c r="B491" s="93"/>
      <c r="C491" s="43" t="s">
        <v>141</v>
      </c>
      <c r="D491" s="42">
        <v>1</v>
      </c>
      <c r="E491" s="41">
        <v>3.1525851197982345E-4</v>
      </c>
    </row>
    <row r="492" spans="2:5" ht="15" customHeight="1">
      <c r="B492" s="93"/>
      <c r="C492" s="43" t="s">
        <v>140</v>
      </c>
      <c r="D492" s="42">
        <v>13</v>
      </c>
      <c r="E492" s="41">
        <v>4.0983606557377051E-3</v>
      </c>
    </row>
    <row r="493" spans="2:5" ht="15" customHeight="1">
      <c r="B493" s="93"/>
      <c r="C493" s="43" t="s">
        <v>138</v>
      </c>
      <c r="D493" s="42">
        <v>7</v>
      </c>
      <c r="E493" s="41">
        <v>2.2068095838587644E-3</v>
      </c>
    </row>
    <row r="494" spans="2:5" ht="15" customHeight="1">
      <c r="B494" s="93"/>
      <c r="C494" s="43" t="s">
        <v>137</v>
      </c>
      <c r="D494" s="42">
        <v>5</v>
      </c>
      <c r="E494" s="41">
        <v>1.5762925598991173E-3</v>
      </c>
    </row>
    <row r="495" spans="2:5" ht="15" customHeight="1">
      <c r="B495" s="93"/>
      <c r="C495" s="43" t="s">
        <v>136</v>
      </c>
      <c r="D495" s="42">
        <v>1</v>
      </c>
      <c r="E495" s="41">
        <v>3.1525851197982345E-4</v>
      </c>
    </row>
    <row r="496" spans="2:5" ht="15" customHeight="1">
      <c r="B496" s="93"/>
      <c r="C496" s="43" t="s">
        <v>135</v>
      </c>
      <c r="D496" s="42">
        <v>1</v>
      </c>
      <c r="E496" s="41">
        <v>3.1525851197982345E-4</v>
      </c>
    </row>
    <row r="497" spans="2:5" ht="15" customHeight="1">
      <c r="B497" s="93"/>
      <c r="C497" s="43" t="s">
        <v>132</v>
      </c>
      <c r="D497" s="42">
        <v>2</v>
      </c>
      <c r="E497" s="41">
        <v>6.3051702395964691E-4</v>
      </c>
    </row>
    <row r="498" spans="2:5" ht="15" customHeight="1">
      <c r="B498" s="94"/>
      <c r="C498" s="40" t="s">
        <v>20</v>
      </c>
      <c r="D498" s="39">
        <v>37</v>
      </c>
      <c r="E498" s="38">
        <v>1.1664564943253467E-2</v>
      </c>
    </row>
    <row r="499" spans="2:5" ht="15" customHeight="1">
      <c r="B499" s="92" t="s">
        <v>77</v>
      </c>
      <c r="C499" s="43" t="s">
        <v>145</v>
      </c>
      <c r="D499" s="42">
        <v>1</v>
      </c>
      <c r="E499" s="41">
        <v>3.1525851197982345E-4</v>
      </c>
    </row>
    <row r="500" spans="2:5" ht="15" customHeight="1">
      <c r="B500" s="93"/>
      <c r="C500" s="43" t="s">
        <v>144</v>
      </c>
      <c r="D500" s="42">
        <v>2</v>
      </c>
      <c r="E500" s="41">
        <v>6.3051702395964691E-4</v>
      </c>
    </row>
    <row r="501" spans="2:5" ht="15" customHeight="1">
      <c r="B501" s="93"/>
      <c r="C501" s="43" t="s">
        <v>140</v>
      </c>
      <c r="D501" s="42">
        <v>5</v>
      </c>
      <c r="E501" s="41">
        <v>1.5762925598991173E-3</v>
      </c>
    </row>
    <row r="502" spans="2:5" ht="15" customHeight="1">
      <c r="B502" s="93"/>
      <c r="C502" s="43" t="s">
        <v>138</v>
      </c>
      <c r="D502" s="42">
        <v>1</v>
      </c>
      <c r="E502" s="41">
        <v>3.1525851197982345E-4</v>
      </c>
    </row>
    <row r="503" spans="2:5" ht="15" customHeight="1">
      <c r="B503" s="93"/>
      <c r="C503" s="43" t="s">
        <v>137</v>
      </c>
      <c r="D503" s="42">
        <v>5</v>
      </c>
      <c r="E503" s="41">
        <v>1.5762925598991173E-3</v>
      </c>
    </row>
    <row r="504" spans="2:5" ht="15" customHeight="1">
      <c r="B504" s="93"/>
      <c r="C504" s="43" t="s">
        <v>132</v>
      </c>
      <c r="D504" s="42">
        <v>2</v>
      </c>
      <c r="E504" s="41">
        <v>6.3051702395964691E-4</v>
      </c>
    </row>
    <row r="505" spans="2:5" ht="15" customHeight="1">
      <c r="B505" s="94"/>
      <c r="C505" s="40" t="s">
        <v>20</v>
      </c>
      <c r="D505" s="39">
        <v>16</v>
      </c>
      <c r="E505" s="38">
        <v>5.0441361916771753E-3</v>
      </c>
    </row>
    <row r="506" spans="2:5" ht="15" customHeight="1">
      <c r="B506" s="92" t="s">
        <v>69</v>
      </c>
      <c r="C506" s="43" t="s">
        <v>147</v>
      </c>
      <c r="D506" s="42">
        <v>1</v>
      </c>
      <c r="E506" s="41">
        <v>3.1525851197982345E-4</v>
      </c>
    </row>
    <row r="507" spans="2:5" ht="15" customHeight="1">
      <c r="B507" s="93"/>
      <c r="C507" s="43" t="s">
        <v>137</v>
      </c>
      <c r="D507" s="42">
        <v>1</v>
      </c>
      <c r="E507" s="41">
        <v>3.1525851197982345E-4</v>
      </c>
    </row>
    <row r="508" spans="2:5" ht="15" customHeight="1">
      <c r="B508" s="94"/>
      <c r="C508" s="40" t="s">
        <v>20</v>
      </c>
      <c r="D508" s="39">
        <v>2</v>
      </c>
      <c r="E508" s="38">
        <v>6.3051702395964691E-4</v>
      </c>
    </row>
    <row r="509" spans="2:5" ht="15" customHeight="1">
      <c r="B509" s="92" t="s">
        <v>33</v>
      </c>
      <c r="C509" s="43" t="s">
        <v>151</v>
      </c>
      <c r="D509" s="42">
        <v>2</v>
      </c>
      <c r="E509" s="41">
        <v>6.3051702395964691E-4</v>
      </c>
    </row>
    <row r="510" spans="2:5" ht="15" customHeight="1">
      <c r="B510" s="93"/>
      <c r="C510" s="43" t="s">
        <v>146</v>
      </c>
      <c r="D510" s="42">
        <v>3</v>
      </c>
      <c r="E510" s="41">
        <v>9.4577553593947036E-4</v>
      </c>
    </row>
    <row r="511" spans="2:5" ht="15" customHeight="1">
      <c r="B511" s="93"/>
      <c r="C511" s="43" t="s">
        <v>145</v>
      </c>
      <c r="D511" s="42">
        <v>6</v>
      </c>
      <c r="E511" s="41">
        <v>1.8915510718789407E-3</v>
      </c>
    </row>
    <row r="512" spans="2:5" ht="15" customHeight="1">
      <c r="B512" s="93"/>
      <c r="C512" s="43" t="s">
        <v>144</v>
      </c>
      <c r="D512" s="42">
        <v>9</v>
      </c>
      <c r="E512" s="41">
        <v>2.8373266078184113E-3</v>
      </c>
    </row>
    <row r="513" spans="2:5" ht="15" customHeight="1">
      <c r="B513" s="93"/>
      <c r="C513" s="43" t="s">
        <v>143</v>
      </c>
      <c r="D513" s="42">
        <v>3</v>
      </c>
      <c r="E513" s="41">
        <v>9.4577553593947036E-4</v>
      </c>
    </row>
    <row r="514" spans="2:5" ht="15" customHeight="1">
      <c r="B514" s="93"/>
      <c r="C514" s="43" t="s">
        <v>142</v>
      </c>
      <c r="D514" s="42">
        <v>3</v>
      </c>
      <c r="E514" s="41">
        <v>9.4577553593947036E-4</v>
      </c>
    </row>
    <row r="515" spans="2:5" ht="15" customHeight="1">
      <c r="B515" s="93"/>
      <c r="C515" s="43" t="s">
        <v>141</v>
      </c>
      <c r="D515" s="42">
        <v>5</v>
      </c>
      <c r="E515" s="41">
        <v>1.5762925598991173E-3</v>
      </c>
    </row>
    <row r="516" spans="2:5" ht="15" customHeight="1">
      <c r="B516" s="93"/>
      <c r="C516" s="43" t="s">
        <v>140</v>
      </c>
      <c r="D516" s="42">
        <v>52</v>
      </c>
      <c r="E516" s="41">
        <v>1.6393442622950821E-2</v>
      </c>
    </row>
    <row r="517" spans="2:5" ht="15" customHeight="1">
      <c r="B517" s="93"/>
      <c r="C517" s="43" t="s">
        <v>139</v>
      </c>
      <c r="D517" s="42">
        <v>2</v>
      </c>
      <c r="E517" s="41">
        <v>6.3051702395964691E-4</v>
      </c>
    </row>
    <row r="518" spans="2:5" ht="15" customHeight="1">
      <c r="B518" s="93"/>
      <c r="C518" s="43" t="s">
        <v>138</v>
      </c>
      <c r="D518" s="42">
        <v>7</v>
      </c>
      <c r="E518" s="41">
        <v>2.2068095838587644E-3</v>
      </c>
    </row>
    <row r="519" spans="2:5" ht="15" customHeight="1">
      <c r="B519" s="93"/>
      <c r="C519" s="43" t="s">
        <v>137</v>
      </c>
      <c r="D519" s="42">
        <v>30</v>
      </c>
      <c r="E519" s="41">
        <v>9.4577553593947032E-3</v>
      </c>
    </row>
    <row r="520" spans="2:5" ht="15" customHeight="1">
      <c r="B520" s="93"/>
      <c r="C520" s="43" t="s">
        <v>136</v>
      </c>
      <c r="D520" s="42">
        <v>1</v>
      </c>
      <c r="E520" s="41">
        <v>3.1525851197982345E-4</v>
      </c>
    </row>
    <row r="521" spans="2:5" ht="15" customHeight="1">
      <c r="B521" s="93"/>
      <c r="C521" s="43" t="s">
        <v>133</v>
      </c>
      <c r="D521" s="42">
        <v>1</v>
      </c>
      <c r="E521" s="41">
        <v>3.1525851197982345E-4</v>
      </c>
    </row>
    <row r="522" spans="2:5" ht="15" customHeight="1">
      <c r="B522" s="93"/>
      <c r="C522" s="43" t="s">
        <v>132</v>
      </c>
      <c r="D522" s="42">
        <v>4</v>
      </c>
      <c r="E522" s="41">
        <v>1.2610340479192938E-3</v>
      </c>
    </row>
    <row r="523" spans="2:5" ht="15" customHeight="1">
      <c r="B523" s="93"/>
      <c r="C523" s="43" t="s">
        <v>199</v>
      </c>
      <c r="D523" s="42">
        <v>1</v>
      </c>
      <c r="E523" s="41">
        <v>3.1525851197982345E-4</v>
      </c>
    </row>
    <row r="524" spans="2:5" ht="15" customHeight="1">
      <c r="B524" s="93"/>
      <c r="C524" s="43" t="s">
        <v>131</v>
      </c>
      <c r="D524" s="42">
        <v>1</v>
      </c>
      <c r="E524" s="41">
        <v>3.1525851197982345E-4</v>
      </c>
    </row>
    <row r="525" spans="2:5" ht="15" customHeight="1">
      <c r="B525" s="94"/>
      <c r="C525" s="40" t="s">
        <v>20</v>
      </c>
      <c r="D525" s="39">
        <v>130</v>
      </c>
      <c r="E525" s="38">
        <v>4.0983606557377046E-2</v>
      </c>
    </row>
    <row r="526" spans="2:5" ht="15" customHeight="1">
      <c r="B526" s="98" t="s">
        <v>20</v>
      </c>
      <c r="C526" s="99"/>
      <c r="D526" s="78">
        <v>3175</v>
      </c>
      <c r="E526" s="77">
        <v>1</v>
      </c>
    </row>
    <row r="528" spans="2:5" ht="15" customHeight="1">
      <c r="B528" s="19" t="s">
        <v>204</v>
      </c>
    </row>
    <row r="529" spans="2:2" ht="15" customHeight="1">
      <c r="B529" s="21" t="s">
        <v>19</v>
      </c>
    </row>
    <row r="530" spans="2:2" ht="15" customHeight="1">
      <c r="B530" s="20" t="s">
        <v>18</v>
      </c>
    </row>
    <row r="531" spans="2:2" ht="15" customHeight="1">
      <c r="B531" s="19" t="s">
        <v>17</v>
      </c>
    </row>
    <row r="532" spans="2:2" ht="15" customHeight="1">
      <c r="B532" s="19" t="s">
        <v>205</v>
      </c>
    </row>
  </sheetData>
  <mergeCells count="47">
    <mergeCell ref="B294:B308"/>
    <mergeCell ref="B309:B328"/>
    <mergeCell ref="B7:E8"/>
    <mergeCell ref="B205:B211"/>
    <mergeCell ref="B212:B221"/>
    <mergeCell ref="B222:B236"/>
    <mergeCell ref="B237:B250"/>
    <mergeCell ref="B10:B12"/>
    <mergeCell ref="B13:B30"/>
    <mergeCell ref="B31:B49"/>
    <mergeCell ref="B50:B57"/>
    <mergeCell ref="B58:B67"/>
    <mergeCell ref="B329:B335"/>
    <mergeCell ref="B68:B76"/>
    <mergeCell ref="B77:B94"/>
    <mergeCell ref="B95:B115"/>
    <mergeCell ref="B116:B126"/>
    <mergeCell ref="B127:B136"/>
    <mergeCell ref="B137:B141"/>
    <mergeCell ref="B142:B152"/>
    <mergeCell ref="B153:B162"/>
    <mergeCell ref="B163:B180"/>
    <mergeCell ref="B181:B194"/>
    <mergeCell ref="B195:B204"/>
    <mergeCell ref="B251:B266"/>
    <mergeCell ref="B267:B280"/>
    <mergeCell ref="B281:B291"/>
    <mergeCell ref="B292:B293"/>
    <mergeCell ref="B336:B353"/>
    <mergeCell ref="B354:B361"/>
    <mergeCell ref="B362:B377"/>
    <mergeCell ref="B378:B385"/>
    <mergeCell ref="B386:B389"/>
    <mergeCell ref="B390:B410"/>
    <mergeCell ref="B411:B416"/>
    <mergeCell ref="B417:B424"/>
    <mergeCell ref="B425:B433"/>
    <mergeCell ref="B434:B444"/>
    <mergeCell ref="B499:B505"/>
    <mergeCell ref="B506:B508"/>
    <mergeCell ref="B509:B525"/>
    <mergeCell ref="B526:C526"/>
    <mergeCell ref="B445:B456"/>
    <mergeCell ref="B457:B468"/>
    <mergeCell ref="B469:B476"/>
    <mergeCell ref="B477:B486"/>
    <mergeCell ref="B487:B4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G27" sqref="G2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212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162</v>
      </c>
      <c r="C11" s="31" t="s">
        <v>64</v>
      </c>
      <c r="D11" s="30" t="s">
        <v>63</v>
      </c>
    </row>
    <row r="12" spans="1:5">
      <c r="B12" s="27" t="s">
        <v>161</v>
      </c>
      <c r="C12" s="26">
        <v>2106</v>
      </c>
      <c r="D12" s="25">
        <v>0.66330708661417326</v>
      </c>
    </row>
    <row r="13" spans="1:5">
      <c r="B13" s="27" t="s">
        <v>160</v>
      </c>
      <c r="C13" s="26">
        <v>1069</v>
      </c>
      <c r="D13" s="25">
        <v>0.3366929133858268</v>
      </c>
    </row>
    <row r="14" spans="1:5">
      <c r="B14" s="24" t="s">
        <v>159</v>
      </c>
      <c r="C14" s="23">
        <v>3175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204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205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3"/>
  <sheetViews>
    <sheetView showGridLines="0" topLeftCell="A119" zoomScale="98" zoomScaleNormal="98" zoomScaleSheetLayoutView="100" workbookViewId="0">
      <selection activeCell="G16" sqref="G1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213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1"/>
      <c r="C10" s="91"/>
      <c r="D10" s="91"/>
      <c r="E10" s="91"/>
      <c r="F10" s="64"/>
    </row>
    <row r="11" spans="1:6" s="62" customFormat="1" ht="15" customHeight="1">
      <c r="A11" s="64"/>
      <c r="B11" s="69"/>
      <c r="C11" s="69"/>
      <c r="D11" s="69"/>
      <c r="E11" s="69"/>
      <c r="F11" s="64"/>
    </row>
    <row r="12" spans="1:6" s="62" customFormat="1" ht="26.25" customHeight="1">
      <c r="B12" s="63" t="s">
        <v>109</v>
      </c>
      <c r="C12" s="63" t="s">
        <v>162</v>
      </c>
      <c r="D12" s="63" t="s">
        <v>64</v>
      </c>
      <c r="E12" s="63" t="s">
        <v>63</v>
      </c>
    </row>
    <row r="13" spans="1:6" ht="13.5">
      <c r="B13" s="100" t="s">
        <v>73</v>
      </c>
      <c r="C13" s="61" t="s">
        <v>164</v>
      </c>
      <c r="D13" s="26">
        <v>2</v>
      </c>
      <c r="E13" s="25">
        <v>6.2992125984251965E-4</v>
      </c>
    </row>
    <row r="14" spans="1:6" ht="13.5">
      <c r="B14" s="101"/>
      <c r="C14" s="61" t="s">
        <v>163</v>
      </c>
      <c r="D14" s="26">
        <v>1</v>
      </c>
      <c r="E14" s="25">
        <v>3.1496062992125983E-4</v>
      </c>
    </row>
    <row r="15" spans="1:6" ht="13.5">
      <c r="B15" s="102"/>
      <c r="C15" s="74" t="s">
        <v>20</v>
      </c>
      <c r="D15" s="75">
        <v>3</v>
      </c>
      <c r="E15" s="76">
        <v>9.4488188976377954E-4</v>
      </c>
    </row>
    <row r="16" spans="1:6" ht="13.5">
      <c r="B16" s="100" t="s">
        <v>104</v>
      </c>
      <c r="C16" s="61" t="s">
        <v>164</v>
      </c>
      <c r="D16" s="26">
        <v>168</v>
      </c>
      <c r="E16" s="25">
        <v>5.2913385826771651E-2</v>
      </c>
    </row>
    <row r="17" spans="2:5" ht="13.5">
      <c r="B17" s="101"/>
      <c r="C17" s="61" t="s">
        <v>163</v>
      </c>
      <c r="D17" s="26">
        <v>69</v>
      </c>
      <c r="E17" s="25">
        <v>2.1732283464566928E-2</v>
      </c>
    </row>
    <row r="18" spans="2:5" ht="13.5">
      <c r="B18" s="102"/>
      <c r="C18" s="74" t="s">
        <v>20</v>
      </c>
      <c r="D18" s="75">
        <v>237</v>
      </c>
      <c r="E18" s="76">
        <v>7.4645669291338576E-2</v>
      </c>
    </row>
    <row r="19" spans="2:5" ht="13.5">
      <c r="B19" s="100" t="s">
        <v>94</v>
      </c>
      <c r="C19" s="61" t="s">
        <v>164</v>
      </c>
      <c r="D19" s="26">
        <v>71</v>
      </c>
      <c r="E19" s="25">
        <v>2.2362204724409449E-2</v>
      </c>
    </row>
    <row r="20" spans="2:5" ht="13.5">
      <c r="B20" s="101"/>
      <c r="C20" s="61" t="s">
        <v>163</v>
      </c>
      <c r="D20" s="26">
        <v>50</v>
      </c>
      <c r="E20" s="25">
        <v>1.5748031496062992E-2</v>
      </c>
    </row>
    <row r="21" spans="2:5" ht="13.5">
      <c r="B21" s="102"/>
      <c r="C21" s="74" t="s">
        <v>20</v>
      </c>
      <c r="D21" s="75">
        <v>121</v>
      </c>
      <c r="E21" s="76">
        <v>3.8110236220472438E-2</v>
      </c>
    </row>
    <row r="22" spans="2:5" ht="13.5">
      <c r="B22" s="100" t="s">
        <v>71</v>
      </c>
      <c r="C22" s="61" t="s">
        <v>164</v>
      </c>
      <c r="D22" s="26">
        <v>12</v>
      </c>
      <c r="E22" s="25">
        <v>3.7795275590551181E-3</v>
      </c>
    </row>
    <row r="23" spans="2:5" ht="13.5">
      <c r="B23" s="101"/>
      <c r="C23" s="61" t="s">
        <v>163</v>
      </c>
      <c r="D23" s="26">
        <v>3</v>
      </c>
      <c r="E23" s="25">
        <v>9.4488188976377954E-4</v>
      </c>
    </row>
    <row r="24" spans="2:5" ht="13.5">
      <c r="B24" s="102"/>
      <c r="C24" s="74" t="s">
        <v>20</v>
      </c>
      <c r="D24" s="75">
        <v>15</v>
      </c>
      <c r="E24" s="76">
        <v>4.7244094488188976E-3</v>
      </c>
    </row>
    <row r="25" spans="2:5" ht="13.5">
      <c r="B25" s="100" t="s">
        <v>67</v>
      </c>
      <c r="C25" s="61" t="s">
        <v>164</v>
      </c>
      <c r="D25" s="26">
        <v>35</v>
      </c>
      <c r="E25" s="25">
        <v>1.1023622047244094E-2</v>
      </c>
    </row>
    <row r="26" spans="2:5" ht="13.5">
      <c r="B26" s="101"/>
      <c r="C26" s="61" t="s">
        <v>163</v>
      </c>
      <c r="D26" s="26">
        <v>10</v>
      </c>
      <c r="E26" s="25">
        <v>3.1496062992125984E-3</v>
      </c>
    </row>
    <row r="27" spans="2:5" ht="13.5">
      <c r="B27" s="102"/>
      <c r="C27" s="74" t="s">
        <v>20</v>
      </c>
      <c r="D27" s="75">
        <v>45</v>
      </c>
      <c r="E27" s="76">
        <v>1.4173228346456693E-2</v>
      </c>
    </row>
    <row r="28" spans="2:5" ht="13.5">
      <c r="B28" s="100" t="s">
        <v>72</v>
      </c>
      <c r="C28" s="61" t="s">
        <v>164</v>
      </c>
      <c r="D28" s="26">
        <v>9</v>
      </c>
      <c r="E28" s="25">
        <v>2.8346456692913387E-3</v>
      </c>
    </row>
    <row r="29" spans="2:5" ht="13.5">
      <c r="B29" s="101"/>
      <c r="C29" s="61" t="s">
        <v>163</v>
      </c>
      <c r="D29" s="26">
        <v>9</v>
      </c>
      <c r="E29" s="25">
        <v>2.8346456692913387E-3</v>
      </c>
    </row>
    <row r="30" spans="2:5" ht="13.5">
      <c r="B30" s="102"/>
      <c r="C30" s="74" t="s">
        <v>20</v>
      </c>
      <c r="D30" s="75">
        <v>18</v>
      </c>
      <c r="E30" s="76">
        <v>5.6692913385826774E-3</v>
      </c>
    </row>
    <row r="31" spans="2:5" ht="13.5">
      <c r="B31" s="100" t="s">
        <v>107</v>
      </c>
      <c r="C31" s="61" t="s">
        <v>164</v>
      </c>
      <c r="D31" s="26">
        <v>99</v>
      </c>
      <c r="E31" s="25">
        <v>3.1181102362204723E-2</v>
      </c>
    </row>
    <row r="32" spans="2:5" ht="13.5">
      <c r="B32" s="101"/>
      <c r="C32" s="61" t="s">
        <v>163</v>
      </c>
      <c r="D32" s="26">
        <v>42</v>
      </c>
      <c r="E32" s="25">
        <v>1.3228346456692913E-2</v>
      </c>
    </row>
    <row r="33" spans="2:5" ht="13.5">
      <c r="B33" s="102"/>
      <c r="C33" s="74" t="s">
        <v>20</v>
      </c>
      <c r="D33" s="75">
        <v>141</v>
      </c>
      <c r="E33" s="76">
        <v>4.4409448818897634E-2</v>
      </c>
    </row>
    <row r="34" spans="2:5" ht="13.5">
      <c r="B34" s="100" t="s">
        <v>105</v>
      </c>
      <c r="C34" s="61" t="s">
        <v>164</v>
      </c>
      <c r="D34" s="26">
        <v>182</v>
      </c>
      <c r="E34" s="25">
        <v>5.7322834645669292E-2</v>
      </c>
    </row>
    <row r="35" spans="2:5" ht="13.5">
      <c r="B35" s="101"/>
      <c r="C35" s="61" t="s">
        <v>163</v>
      </c>
      <c r="D35" s="26">
        <v>95</v>
      </c>
      <c r="E35" s="25">
        <v>2.9921259842519685E-2</v>
      </c>
    </row>
    <row r="36" spans="2:5" ht="13.5">
      <c r="B36" s="102"/>
      <c r="C36" s="74" t="s">
        <v>20</v>
      </c>
      <c r="D36" s="75">
        <v>277</v>
      </c>
      <c r="E36" s="76">
        <v>8.724409448818897E-2</v>
      </c>
    </row>
    <row r="37" spans="2:5" ht="13.5">
      <c r="B37" s="100" t="s">
        <v>89</v>
      </c>
      <c r="C37" s="61" t="s">
        <v>164</v>
      </c>
      <c r="D37" s="26">
        <v>34</v>
      </c>
      <c r="E37" s="25">
        <v>1.0708661417322834E-2</v>
      </c>
    </row>
    <row r="38" spans="2:5" ht="13.5">
      <c r="B38" s="101"/>
      <c r="C38" s="61" t="s">
        <v>163</v>
      </c>
      <c r="D38" s="26">
        <v>14</v>
      </c>
      <c r="E38" s="25">
        <v>4.4094488188976379E-3</v>
      </c>
    </row>
    <row r="39" spans="2:5" ht="13.5">
      <c r="B39" s="102"/>
      <c r="C39" s="74" t="s">
        <v>20</v>
      </c>
      <c r="D39" s="75">
        <v>48</v>
      </c>
      <c r="E39" s="76">
        <v>1.5118110236220473E-2</v>
      </c>
    </row>
    <row r="40" spans="2:5" ht="13.5">
      <c r="B40" s="100" t="s">
        <v>75</v>
      </c>
      <c r="C40" s="61" t="s">
        <v>164</v>
      </c>
      <c r="D40" s="26">
        <v>19</v>
      </c>
      <c r="E40" s="25">
        <v>5.9842519685039371E-3</v>
      </c>
    </row>
    <row r="41" spans="2:5" ht="13.5">
      <c r="B41" s="101"/>
      <c r="C41" s="61" t="s">
        <v>163</v>
      </c>
      <c r="D41" s="26">
        <v>8</v>
      </c>
      <c r="E41" s="25">
        <v>2.5196850393700786E-3</v>
      </c>
    </row>
    <row r="42" spans="2:5" ht="13.5">
      <c r="B42" s="102"/>
      <c r="C42" s="74" t="s">
        <v>20</v>
      </c>
      <c r="D42" s="75">
        <v>27</v>
      </c>
      <c r="E42" s="76">
        <v>8.5039370078740153E-3</v>
      </c>
    </row>
    <row r="43" spans="2:5" ht="13.5">
      <c r="B43" s="100" t="s">
        <v>207</v>
      </c>
      <c r="C43" s="61" t="s">
        <v>164</v>
      </c>
      <c r="D43" s="26">
        <v>3</v>
      </c>
      <c r="E43" s="25">
        <v>9.4488188976377954E-4</v>
      </c>
    </row>
    <row r="44" spans="2:5" ht="13.5">
      <c r="B44" s="101"/>
      <c r="C44" s="61" t="s">
        <v>163</v>
      </c>
      <c r="D44" s="26">
        <v>3</v>
      </c>
      <c r="E44" s="25">
        <v>9.4488188976377954E-4</v>
      </c>
    </row>
    <row r="45" spans="2:5" ht="13.5">
      <c r="B45" s="102"/>
      <c r="C45" s="74" t="s">
        <v>20</v>
      </c>
      <c r="D45" s="75">
        <v>6</v>
      </c>
      <c r="E45" s="76">
        <v>1.8897637795275591E-3</v>
      </c>
    </row>
    <row r="46" spans="2:5" ht="13.5">
      <c r="B46" s="100" t="s">
        <v>86</v>
      </c>
      <c r="C46" s="61" t="s">
        <v>164</v>
      </c>
      <c r="D46" s="26">
        <v>29</v>
      </c>
      <c r="E46" s="25">
        <v>9.1338582677165346E-3</v>
      </c>
    </row>
    <row r="47" spans="2:5" ht="13.5">
      <c r="B47" s="101"/>
      <c r="C47" s="61" t="s">
        <v>163</v>
      </c>
      <c r="D47" s="26">
        <v>9</v>
      </c>
      <c r="E47" s="25">
        <v>2.8346456692913387E-3</v>
      </c>
    </row>
    <row r="48" spans="2:5" ht="13.5">
      <c r="B48" s="102"/>
      <c r="C48" s="74" t="s">
        <v>20</v>
      </c>
      <c r="D48" s="75">
        <v>38</v>
      </c>
      <c r="E48" s="76">
        <v>1.1968503937007874E-2</v>
      </c>
    </row>
    <row r="49" spans="2:5" ht="13.5">
      <c r="B49" s="100" t="s">
        <v>102</v>
      </c>
      <c r="C49" s="61" t="s">
        <v>164</v>
      </c>
      <c r="D49" s="26">
        <v>18</v>
      </c>
      <c r="E49" s="25">
        <v>5.6692913385826774E-3</v>
      </c>
    </row>
    <row r="50" spans="2:5" ht="13.5">
      <c r="B50" s="101"/>
      <c r="C50" s="61" t="s">
        <v>163</v>
      </c>
      <c r="D50" s="26">
        <v>9</v>
      </c>
      <c r="E50" s="25">
        <v>2.8346456692913387E-3</v>
      </c>
    </row>
    <row r="51" spans="2:5" ht="13.5">
      <c r="B51" s="102"/>
      <c r="C51" s="74" t="s">
        <v>20</v>
      </c>
      <c r="D51" s="75">
        <v>27</v>
      </c>
      <c r="E51" s="76">
        <v>8.5039370078740153E-3</v>
      </c>
    </row>
    <row r="52" spans="2:5" ht="13.5">
      <c r="B52" s="100" t="s">
        <v>106</v>
      </c>
      <c r="C52" s="61" t="s">
        <v>164</v>
      </c>
      <c r="D52" s="26">
        <v>131</v>
      </c>
      <c r="E52" s="25">
        <v>4.1259842519685036E-2</v>
      </c>
    </row>
    <row r="53" spans="2:5" ht="13.5">
      <c r="B53" s="101"/>
      <c r="C53" s="61" t="s">
        <v>163</v>
      </c>
      <c r="D53" s="26">
        <v>74</v>
      </c>
      <c r="E53" s="25">
        <v>2.3307086614173227E-2</v>
      </c>
    </row>
    <row r="54" spans="2:5" ht="13.5">
      <c r="B54" s="102"/>
      <c r="C54" s="74" t="s">
        <v>20</v>
      </c>
      <c r="D54" s="75">
        <v>205</v>
      </c>
      <c r="E54" s="76">
        <v>6.4566929133858267E-2</v>
      </c>
    </row>
    <row r="55" spans="2:5" ht="13.5">
      <c r="B55" s="100" t="s">
        <v>90</v>
      </c>
      <c r="C55" s="61" t="s">
        <v>164</v>
      </c>
      <c r="D55" s="26">
        <v>76</v>
      </c>
      <c r="E55" s="25">
        <v>2.3937007874015748E-2</v>
      </c>
    </row>
    <row r="56" spans="2:5" ht="13.5">
      <c r="B56" s="101"/>
      <c r="C56" s="61" t="s">
        <v>163</v>
      </c>
      <c r="D56" s="26">
        <v>55</v>
      </c>
      <c r="E56" s="25">
        <v>1.7322834645669291E-2</v>
      </c>
    </row>
    <row r="57" spans="2:5" ht="13.5">
      <c r="B57" s="102"/>
      <c r="C57" s="74" t="s">
        <v>20</v>
      </c>
      <c r="D57" s="75">
        <v>131</v>
      </c>
      <c r="E57" s="76">
        <v>4.1259842519685036E-2</v>
      </c>
    </row>
    <row r="58" spans="2:5" ht="13.5">
      <c r="B58" s="100" t="s">
        <v>85</v>
      </c>
      <c r="C58" s="61" t="s">
        <v>164</v>
      </c>
      <c r="D58" s="26">
        <v>17</v>
      </c>
      <c r="E58" s="25">
        <v>5.3543307086614169E-3</v>
      </c>
    </row>
    <row r="59" spans="2:5" ht="13.5">
      <c r="B59" s="101"/>
      <c r="C59" s="61" t="s">
        <v>163</v>
      </c>
      <c r="D59" s="26">
        <v>18</v>
      </c>
      <c r="E59" s="25">
        <v>5.6692913385826774E-3</v>
      </c>
    </row>
    <row r="60" spans="2:5" ht="13.5">
      <c r="B60" s="102"/>
      <c r="C60" s="74" t="s">
        <v>20</v>
      </c>
      <c r="D60" s="75">
        <v>35</v>
      </c>
      <c r="E60" s="76">
        <v>1.1023622047244094E-2</v>
      </c>
    </row>
    <row r="61" spans="2:5" ht="13.5">
      <c r="B61" s="100" t="s">
        <v>70</v>
      </c>
      <c r="C61" s="61" t="s">
        <v>164</v>
      </c>
      <c r="D61" s="26">
        <v>3</v>
      </c>
      <c r="E61" s="25">
        <v>9.4488188976377954E-4</v>
      </c>
    </row>
    <row r="62" spans="2:5" ht="13.5">
      <c r="B62" s="101"/>
      <c r="C62" s="61" t="s">
        <v>163</v>
      </c>
      <c r="D62" s="26">
        <v>8</v>
      </c>
      <c r="E62" s="25">
        <v>2.5196850393700786E-3</v>
      </c>
    </row>
    <row r="63" spans="2:5" ht="13.5">
      <c r="B63" s="102"/>
      <c r="C63" s="74" t="s">
        <v>20</v>
      </c>
      <c r="D63" s="75">
        <v>11</v>
      </c>
      <c r="E63" s="76">
        <v>3.4645669291338585E-3</v>
      </c>
    </row>
    <row r="64" spans="2:5" ht="13.5">
      <c r="B64" s="100" t="s">
        <v>92</v>
      </c>
      <c r="C64" s="61" t="s">
        <v>164</v>
      </c>
      <c r="D64" s="26">
        <v>21</v>
      </c>
      <c r="E64" s="25">
        <v>6.6141732283464564E-3</v>
      </c>
    </row>
    <row r="65" spans="2:5" ht="13.5">
      <c r="B65" s="101"/>
      <c r="C65" s="61" t="s">
        <v>163</v>
      </c>
      <c r="D65" s="26">
        <v>7</v>
      </c>
      <c r="E65" s="25">
        <v>2.204724409448819E-3</v>
      </c>
    </row>
    <row r="66" spans="2:5" ht="13.5">
      <c r="B66" s="102"/>
      <c r="C66" s="74" t="s">
        <v>20</v>
      </c>
      <c r="D66" s="75">
        <v>28</v>
      </c>
      <c r="E66" s="76">
        <v>8.8188976377952758E-3</v>
      </c>
    </row>
    <row r="67" spans="2:5" ht="13.5">
      <c r="B67" s="100" t="s">
        <v>96</v>
      </c>
      <c r="C67" s="61" t="s">
        <v>164</v>
      </c>
      <c r="D67" s="26">
        <v>55</v>
      </c>
      <c r="E67" s="25">
        <v>1.7322834645669291E-2</v>
      </c>
    </row>
    <row r="68" spans="2:5" ht="13.5">
      <c r="B68" s="101"/>
      <c r="C68" s="61" t="s">
        <v>163</v>
      </c>
      <c r="D68" s="26">
        <v>33</v>
      </c>
      <c r="E68" s="25">
        <v>1.0393700787401575E-2</v>
      </c>
    </row>
    <row r="69" spans="2:5" ht="13.5">
      <c r="B69" s="102"/>
      <c r="C69" s="74" t="s">
        <v>20</v>
      </c>
      <c r="D69" s="75">
        <v>88</v>
      </c>
      <c r="E69" s="76">
        <v>2.7716535433070868E-2</v>
      </c>
    </row>
    <row r="70" spans="2:5" ht="13.5">
      <c r="B70" s="100" t="s">
        <v>108</v>
      </c>
      <c r="C70" s="61" t="s">
        <v>164</v>
      </c>
      <c r="D70" s="26">
        <v>51</v>
      </c>
      <c r="E70" s="25">
        <v>1.6062992125984252E-2</v>
      </c>
    </row>
    <row r="71" spans="2:5" ht="13.5">
      <c r="B71" s="101"/>
      <c r="C71" s="61" t="s">
        <v>163</v>
      </c>
      <c r="D71" s="26">
        <v>28</v>
      </c>
      <c r="E71" s="25">
        <v>8.8188976377952758E-3</v>
      </c>
    </row>
    <row r="72" spans="2:5" ht="13.5">
      <c r="B72" s="102"/>
      <c r="C72" s="74" t="s">
        <v>20</v>
      </c>
      <c r="D72" s="75">
        <v>79</v>
      </c>
      <c r="E72" s="76">
        <v>2.4881889763779527E-2</v>
      </c>
    </row>
    <row r="73" spans="2:5" ht="13.5">
      <c r="B73" s="100" t="s">
        <v>87</v>
      </c>
      <c r="C73" s="61" t="s">
        <v>164</v>
      </c>
      <c r="D73" s="26">
        <v>65</v>
      </c>
      <c r="E73" s="25">
        <v>2.0472440944881889E-2</v>
      </c>
    </row>
    <row r="74" spans="2:5" ht="13.5">
      <c r="B74" s="101"/>
      <c r="C74" s="61" t="s">
        <v>163</v>
      </c>
      <c r="D74" s="26">
        <v>46</v>
      </c>
      <c r="E74" s="25">
        <v>1.4488188976377953E-2</v>
      </c>
    </row>
    <row r="75" spans="2:5" ht="13.5">
      <c r="B75" s="102"/>
      <c r="C75" s="74" t="s">
        <v>20</v>
      </c>
      <c r="D75" s="75">
        <v>111</v>
      </c>
      <c r="E75" s="76">
        <v>3.4960629921259839E-2</v>
      </c>
    </row>
    <row r="76" spans="2:5" ht="13.5">
      <c r="B76" s="100" t="s">
        <v>82</v>
      </c>
      <c r="C76" s="61" t="s">
        <v>164</v>
      </c>
      <c r="D76" s="26">
        <v>37</v>
      </c>
      <c r="E76" s="25">
        <v>1.1653543307086614E-2</v>
      </c>
    </row>
    <row r="77" spans="2:5" ht="13.5">
      <c r="B77" s="101"/>
      <c r="C77" s="61" t="s">
        <v>163</v>
      </c>
      <c r="D77" s="26">
        <v>18</v>
      </c>
      <c r="E77" s="25">
        <v>5.6692913385826774E-3</v>
      </c>
    </row>
    <row r="78" spans="2:5" ht="13.5">
      <c r="B78" s="102"/>
      <c r="C78" s="74" t="s">
        <v>20</v>
      </c>
      <c r="D78" s="75">
        <v>55</v>
      </c>
      <c r="E78" s="76">
        <v>1.7322834645669291E-2</v>
      </c>
    </row>
    <row r="79" spans="2:5" ht="13.5">
      <c r="B79" s="100" t="s">
        <v>81</v>
      </c>
      <c r="C79" s="61" t="s">
        <v>164</v>
      </c>
      <c r="D79" s="26">
        <v>38</v>
      </c>
      <c r="E79" s="25">
        <v>1.1968503937007874E-2</v>
      </c>
    </row>
    <row r="80" spans="2:5" ht="13.5">
      <c r="B80" s="101"/>
      <c r="C80" s="61" t="s">
        <v>163</v>
      </c>
      <c r="D80" s="26">
        <v>14</v>
      </c>
      <c r="E80" s="25">
        <v>4.4094488188976379E-3</v>
      </c>
    </row>
    <row r="81" spans="2:5" ht="13.5">
      <c r="B81" s="102"/>
      <c r="C81" s="74" t="s">
        <v>20</v>
      </c>
      <c r="D81" s="75">
        <v>52</v>
      </c>
      <c r="E81" s="76">
        <v>1.6377952755905513E-2</v>
      </c>
    </row>
    <row r="82" spans="2:5" ht="13.5">
      <c r="B82" s="100" t="s">
        <v>208</v>
      </c>
      <c r="C82" s="61" t="s">
        <v>163</v>
      </c>
      <c r="D82" s="26">
        <v>1</v>
      </c>
      <c r="E82" s="25">
        <v>3.1496062992125983E-4</v>
      </c>
    </row>
    <row r="83" spans="2:5" ht="13.5">
      <c r="B83" s="102"/>
      <c r="C83" s="74" t="s">
        <v>20</v>
      </c>
      <c r="D83" s="75">
        <v>1</v>
      </c>
      <c r="E83" s="76">
        <v>3.1496062992125983E-4</v>
      </c>
    </row>
    <row r="84" spans="2:5" ht="13.5">
      <c r="B84" s="100" t="s">
        <v>74</v>
      </c>
      <c r="C84" s="61" t="s">
        <v>164</v>
      </c>
      <c r="D84" s="26">
        <v>75</v>
      </c>
      <c r="E84" s="25">
        <v>2.3622047244094488E-2</v>
      </c>
    </row>
    <row r="85" spans="2:5" ht="13.5">
      <c r="B85" s="101"/>
      <c r="C85" s="61" t="s">
        <v>163</v>
      </c>
      <c r="D85" s="26">
        <v>28</v>
      </c>
      <c r="E85" s="25">
        <v>8.8188976377952758E-3</v>
      </c>
    </row>
    <row r="86" spans="2:5" ht="13.5">
      <c r="B86" s="102"/>
      <c r="C86" s="74" t="s">
        <v>20</v>
      </c>
      <c r="D86" s="75">
        <v>103</v>
      </c>
      <c r="E86" s="76">
        <v>3.2440944881889762E-2</v>
      </c>
    </row>
    <row r="87" spans="2:5" ht="13.5">
      <c r="B87" s="100" t="s">
        <v>103</v>
      </c>
      <c r="C87" s="61" t="s">
        <v>164</v>
      </c>
      <c r="D87" s="26">
        <v>73</v>
      </c>
      <c r="E87" s="25">
        <v>2.2992125984251967E-2</v>
      </c>
    </row>
    <row r="88" spans="2:5" ht="13.5">
      <c r="B88" s="101"/>
      <c r="C88" s="61" t="s">
        <v>163</v>
      </c>
      <c r="D88" s="26">
        <v>35</v>
      </c>
      <c r="E88" s="25">
        <v>1.1023622047244094E-2</v>
      </c>
    </row>
    <row r="89" spans="2:5" ht="13.5">
      <c r="B89" s="102"/>
      <c r="C89" s="74" t="s">
        <v>20</v>
      </c>
      <c r="D89" s="75">
        <v>108</v>
      </c>
      <c r="E89" s="76">
        <v>3.4015748031496061E-2</v>
      </c>
    </row>
    <row r="90" spans="2:5" ht="13.5">
      <c r="B90" s="100" t="s">
        <v>76</v>
      </c>
      <c r="C90" s="61" t="s">
        <v>164</v>
      </c>
      <c r="D90" s="26">
        <v>16</v>
      </c>
      <c r="E90" s="25">
        <v>5.0393700787401572E-3</v>
      </c>
    </row>
    <row r="91" spans="2:5" ht="13.5">
      <c r="B91" s="101"/>
      <c r="C91" s="61" t="s">
        <v>163</v>
      </c>
      <c r="D91" s="26">
        <v>12</v>
      </c>
      <c r="E91" s="25">
        <v>3.7795275590551181E-3</v>
      </c>
    </row>
    <row r="92" spans="2:5" ht="13.5">
      <c r="B92" s="102"/>
      <c r="C92" s="74" t="s">
        <v>20</v>
      </c>
      <c r="D92" s="75">
        <v>28</v>
      </c>
      <c r="E92" s="76">
        <v>8.8188976377952758E-3</v>
      </c>
    </row>
    <row r="93" spans="2:5" ht="13.5">
      <c r="B93" s="100" t="s">
        <v>95</v>
      </c>
      <c r="C93" s="61" t="s">
        <v>164</v>
      </c>
      <c r="D93" s="26">
        <v>144</v>
      </c>
      <c r="E93" s="25">
        <v>4.5354330708661419E-2</v>
      </c>
    </row>
    <row r="94" spans="2:5" ht="13.5">
      <c r="B94" s="101"/>
      <c r="C94" s="61" t="s">
        <v>163</v>
      </c>
      <c r="D94" s="26">
        <v>36</v>
      </c>
      <c r="E94" s="25">
        <v>1.1338582677165355E-2</v>
      </c>
    </row>
    <row r="95" spans="2:5" ht="13.5">
      <c r="B95" s="102"/>
      <c r="C95" s="74" t="s">
        <v>20</v>
      </c>
      <c r="D95" s="75">
        <v>180</v>
      </c>
      <c r="E95" s="76">
        <v>5.6692913385826771E-2</v>
      </c>
    </row>
    <row r="96" spans="2:5" ht="13.5">
      <c r="B96" s="100" t="s">
        <v>91</v>
      </c>
      <c r="C96" s="61" t="s">
        <v>164</v>
      </c>
      <c r="D96" s="26">
        <v>9</v>
      </c>
      <c r="E96" s="25">
        <v>2.8346456692913387E-3</v>
      </c>
    </row>
    <row r="97" spans="2:5" ht="13.5">
      <c r="B97" s="101"/>
      <c r="C97" s="61" t="s">
        <v>163</v>
      </c>
      <c r="D97" s="26">
        <v>7</v>
      </c>
      <c r="E97" s="25">
        <v>2.204724409448819E-3</v>
      </c>
    </row>
    <row r="98" spans="2:5" ht="13.5">
      <c r="B98" s="102"/>
      <c r="C98" s="74" t="s">
        <v>20</v>
      </c>
      <c r="D98" s="75">
        <v>16</v>
      </c>
      <c r="E98" s="76">
        <v>5.0393700787401572E-3</v>
      </c>
    </row>
    <row r="99" spans="2:5" ht="13.5">
      <c r="B99" s="100" t="s">
        <v>79</v>
      </c>
      <c r="C99" s="61" t="s">
        <v>164</v>
      </c>
      <c r="D99" s="26">
        <v>34</v>
      </c>
      <c r="E99" s="25">
        <v>1.0708661417322834E-2</v>
      </c>
    </row>
    <row r="100" spans="2:5" ht="13.5">
      <c r="B100" s="101"/>
      <c r="C100" s="61" t="s">
        <v>163</v>
      </c>
      <c r="D100" s="26">
        <v>20</v>
      </c>
      <c r="E100" s="25">
        <v>6.2992125984251968E-3</v>
      </c>
    </row>
    <row r="101" spans="2:5" ht="13.5">
      <c r="B101" s="102"/>
      <c r="C101" s="74" t="s">
        <v>20</v>
      </c>
      <c r="D101" s="75">
        <v>54</v>
      </c>
      <c r="E101" s="76">
        <v>1.7007874015748031E-2</v>
      </c>
    </row>
    <row r="102" spans="2:5" ht="13.5">
      <c r="B102" s="100" t="s">
        <v>83</v>
      </c>
      <c r="C102" s="61" t="s">
        <v>164</v>
      </c>
      <c r="D102" s="26">
        <v>8</v>
      </c>
      <c r="E102" s="25">
        <v>2.5196850393700786E-3</v>
      </c>
    </row>
    <row r="103" spans="2:5" ht="13.5">
      <c r="B103" s="101"/>
      <c r="C103" s="61" t="s">
        <v>163</v>
      </c>
      <c r="D103" s="26">
        <v>3</v>
      </c>
      <c r="E103" s="25">
        <v>9.4488188976377954E-4</v>
      </c>
    </row>
    <row r="104" spans="2:5" ht="13.5">
      <c r="B104" s="102"/>
      <c r="C104" s="74" t="s">
        <v>20</v>
      </c>
      <c r="D104" s="75">
        <v>11</v>
      </c>
      <c r="E104" s="76">
        <v>3.4645669291338585E-3</v>
      </c>
    </row>
    <row r="105" spans="2:5" ht="13.5">
      <c r="B105" s="100" t="s">
        <v>68</v>
      </c>
      <c r="C105" s="61" t="s">
        <v>164</v>
      </c>
      <c r="D105" s="26">
        <v>4</v>
      </c>
      <c r="E105" s="25">
        <v>1.2598425196850393E-3</v>
      </c>
    </row>
    <row r="106" spans="2:5" ht="13.5">
      <c r="B106" s="101"/>
      <c r="C106" s="61" t="s">
        <v>163</v>
      </c>
      <c r="D106" s="26">
        <v>2</v>
      </c>
      <c r="E106" s="25">
        <v>6.2992125984251965E-4</v>
      </c>
    </row>
    <row r="107" spans="2:5" ht="13.5">
      <c r="B107" s="102"/>
      <c r="C107" s="74" t="s">
        <v>20</v>
      </c>
      <c r="D107" s="75">
        <v>6</v>
      </c>
      <c r="E107" s="76">
        <v>1.8897637795275591E-3</v>
      </c>
    </row>
    <row r="108" spans="2:5" ht="13.5">
      <c r="B108" s="100" t="s">
        <v>101</v>
      </c>
      <c r="C108" s="61" t="s">
        <v>164</v>
      </c>
      <c r="D108" s="26">
        <v>283</v>
      </c>
      <c r="E108" s="25">
        <v>8.913385826771654E-2</v>
      </c>
    </row>
    <row r="109" spans="2:5" ht="13.5">
      <c r="B109" s="101"/>
      <c r="C109" s="61" t="s">
        <v>163</v>
      </c>
      <c r="D109" s="26">
        <v>175</v>
      </c>
      <c r="E109" s="25">
        <v>5.5118110236220472E-2</v>
      </c>
    </row>
    <row r="110" spans="2:5" ht="13.5">
      <c r="B110" s="102"/>
      <c r="C110" s="74" t="s">
        <v>20</v>
      </c>
      <c r="D110" s="75">
        <v>458</v>
      </c>
      <c r="E110" s="76">
        <v>0.14425196850393701</v>
      </c>
    </row>
    <row r="111" spans="2:5" ht="13.5">
      <c r="B111" s="100" t="s">
        <v>93</v>
      </c>
      <c r="C111" s="61" t="s">
        <v>164</v>
      </c>
      <c r="D111" s="26">
        <v>7</v>
      </c>
      <c r="E111" s="25">
        <v>2.204724409448819E-3</v>
      </c>
    </row>
    <row r="112" spans="2:5" ht="13.5">
      <c r="B112" s="101"/>
      <c r="C112" s="61" t="s">
        <v>163</v>
      </c>
      <c r="D112" s="26">
        <v>5</v>
      </c>
      <c r="E112" s="25">
        <v>1.5748031496062992E-3</v>
      </c>
    </row>
    <row r="113" spans="2:5" ht="13.5">
      <c r="B113" s="102"/>
      <c r="C113" s="74" t="s">
        <v>20</v>
      </c>
      <c r="D113" s="75">
        <v>12</v>
      </c>
      <c r="E113" s="76">
        <v>3.7795275590551181E-3</v>
      </c>
    </row>
    <row r="114" spans="2:5" ht="13.5">
      <c r="B114" s="100" t="s">
        <v>78</v>
      </c>
      <c r="C114" s="61" t="s">
        <v>164</v>
      </c>
      <c r="D114" s="26">
        <v>18</v>
      </c>
      <c r="E114" s="25">
        <v>5.6692913385826774E-3</v>
      </c>
    </row>
    <row r="115" spans="2:5" ht="13.5">
      <c r="B115" s="101"/>
      <c r="C115" s="61" t="s">
        <v>163</v>
      </c>
      <c r="D115" s="26">
        <v>12</v>
      </c>
      <c r="E115" s="25">
        <v>3.7795275590551181E-3</v>
      </c>
    </row>
    <row r="116" spans="2:5" ht="13.5">
      <c r="B116" s="102"/>
      <c r="C116" s="74" t="s">
        <v>20</v>
      </c>
      <c r="D116" s="75">
        <v>30</v>
      </c>
      <c r="E116" s="76">
        <v>9.4488188976377951E-3</v>
      </c>
    </row>
    <row r="117" spans="2:5" ht="13.5">
      <c r="B117" s="100" t="s">
        <v>80</v>
      </c>
      <c r="C117" s="61" t="s">
        <v>164</v>
      </c>
      <c r="D117" s="26">
        <v>22</v>
      </c>
      <c r="E117" s="25">
        <v>6.929133858267717E-3</v>
      </c>
    </row>
    <row r="118" spans="2:5" ht="13.5">
      <c r="B118" s="101"/>
      <c r="C118" s="61" t="s">
        <v>163</v>
      </c>
      <c r="D118" s="26">
        <v>14</v>
      </c>
      <c r="E118" s="25">
        <v>4.4094488188976379E-3</v>
      </c>
    </row>
    <row r="119" spans="2:5" ht="13.5">
      <c r="B119" s="102"/>
      <c r="C119" s="74" t="s">
        <v>20</v>
      </c>
      <c r="D119" s="75">
        <v>36</v>
      </c>
      <c r="E119" s="76">
        <v>1.1338582677165355E-2</v>
      </c>
    </row>
    <row r="120" spans="2:5" ht="13.5">
      <c r="B120" s="100" t="s">
        <v>88</v>
      </c>
      <c r="C120" s="61" t="s">
        <v>164</v>
      </c>
      <c r="D120" s="26">
        <v>19</v>
      </c>
      <c r="E120" s="25">
        <v>5.9842519685039371E-3</v>
      </c>
    </row>
    <row r="121" spans="2:5" ht="13.5">
      <c r="B121" s="101"/>
      <c r="C121" s="61" t="s">
        <v>163</v>
      </c>
      <c r="D121" s="26">
        <v>11</v>
      </c>
      <c r="E121" s="25">
        <v>3.4645669291338585E-3</v>
      </c>
    </row>
    <row r="122" spans="2:5" ht="13.5">
      <c r="B122" s="102"/>
      <c r="C122" s="74" t="s">
        <v>20</v>
      </c>
      <c r="D122" s="75">
        <v>30</v>
      </c>
      <c r="E122" s="76">
        <v>9.4488188976377951E-3</v>
      </c>
    </row>
    <row r="123" spans="2:5" ht="13.5">
      <c r="B123" s="100" t="s">
        <v>100</v>
      </c>
      <c r="C123" s="61" t="s">
        <v>164</v>
      </c>
      <c r="D123" s="26">
        <v>25</v>
      </c>
      <c r="E123" s="25">
        <v>7.874015748031496E-3</v>
      </c>
    </row>
    <row r="124" spans="2:5" ht="13.5">
      <c r="B124" s="101"/>
      <c r="C124" s="61" t="s">
        <v>163</v>
      </c>
      <c r="D124" s="26">
        <v>6</v>
      </c>
      <c r="E124" s="25">
        <v>1.8897637795275591E-3</v>
      </c>
    </row>
    <row r="125" spans="2:5" ht="13.5">
      <c r="B125" s="102"/>
      <c r="C125" s="74" t="s">
        <v>20</v>
      </c>
      <c r="D125" s="75">
        <v>31</v>
      </c>
      <c r="E125" s="76">
        <v>9.7637795275590557E-3</v>
      </c>
    </row>
    <row r="126" spans="2:5" ht="13.5">
      <c r="B126" s="100" t="s">
        <v>84</v>
      </c>
      <c r="C126" s="61" t="s">
        <v>164</v>
      </c>
      <c r="D126" s="26">
        <v>9</v>
      </c>
      <c r="E126" s="25">
        <v>2.8346456692913387E-3</v>
      </c>
    </row>
    <row r="127" spans="2:5" ht="13.5">
      <c r="B127" s="101"/>
      <c r="C127" s="61" t="s">
        <v>163</v>
      </c>
      <c r="D127" s="26">
        <v>7</v>
      </c>
      <c r="E127" s="25">
        <v>2.204724409448819E-3</v>
      </c>
    </row>
    <row r="128" spans="2:5" ht="13.5">
      <c r="B128" s="102"/>
      <c r="C128" s="74" t="s">
        <v>20</v>
      </c>
      <c r="D128" s="75">
        <v>16</v>
      </c>
      <c r="E128" s="76">
        <v>5.0393700787401572E-3</v>
      </c>
    </row>
    <row r="129" spans="2:5" ht="13.5">
      <c r="B129" s="100" t="s">
        <v>97</v>
      </c>
      <c r="C129" s="61" t="s">
        <v>164</v>
      </c>
      <c r="D129" s="26">
        <v>37</v>
      </c>
      <c r="E129" s="25">
        <v>1.1653543307086614E-2</v>
      </c>
    </row>
    <row r="130" spans="2:5" ht="13.5">
      <c r="B130" s="101"/>
      <c r="C130" s="61" t="s">
        <v>163</v>
      </c>
      <c r="D130" s="26">
        <v>11</v>
      </c>
      <c r="E130" s="25">
        <v>3.4645669291338585E-3</v>
      </c>
    </row>
    <row r="131" spans="2:5" ht="13.5">
      <c r="B131" s="102"/>
      <c r="C131" s="74" t="s">
        <v>20</v>
      </c>
      <c r="D131" s="75">
        <v>48</v>
      </c>
      <c r="E131" s="76">
        <v>1.5118110236220473E-2</v>
      </c>
    </row>
    <row r="132" spans="2:5" ht="13.5">
      <c r="B132" s="100" t="s">
        <v>98</v>
      </c>
      <c r="C132" s="61" t="s">
        <v>164</v>
      </c>
      <c r="D132" s="26">
        <v>14</v>
      </c>
      <c r="E132" s="25">
        <v>4.4094488188976379E-3</v>
      </c>
    </row>
    <row r="133" spans="2:5" ht="13.5">
      <c r="B133" s="101"/>
      <c r="C133" s="61" t="s">
        <v>163</v>
      </c>
      <c r="D133" s="26">
        <v>10</v>
      </c>
      <c r="E133" s="25">
        <v>3.1496062992125984E-3</v>
      </c>
    </row>
    <row r="134" spans="2:5" ht="13.5">
      <c r="B134" s="102"/>
      <c r="C134" s="74" t="s">
        <v>20</v>
      </c>
      <c r="D134" s="75">
        <v>24</v>
      </c>
      <c r="E134" s="76">
        <v>7.5590551181102363E-3</v>
      </c>
    </row>
    <row r="135" spans="2:5" ht="13.5">
      <c r="B135" s="100" t="s">
        <v>99</v>
      </c>
      <c r="C135" s="61" t="s">
        <v>164</v>
      </c>
      <c r="D135" s="26">
        <v>22</v>
      </c>
      <c r="E135" s="25">
        <v>6.929133858267717E-3</v>
      </c>
    </row>
    <row r="136" spans="2:5" ht="13.5">
      <c r="B136" s="101"/>
      <c r="C136" s="61" t="s">
        <v>163</v>
      </c>
      <c r="D136" s="26">
        <v>15</v>
      </c>
      <c r="E136" s="25">
        <v>4.7244094488188976E-3</v>
      </c>
    </row>
    <row r="137" spans="2:5" ht="13.5">
      <c r="B137" s="102"/>
      <c r="C137" s="74" t="s">
        <v>20</v>
      </c>
      <c r="D137" s="75">
        <v>37</v>
      </c>
      <c r="E137" s="76">
        <v>1.1653543307086614E-2</v>
      </c>
    </row>
    <row r="138" spans="2:5" ht="13.5">
      <c r="B138" s="100" t="s">
        <v>77</v>
      </c>
      <c r="C138" s="61" t="s">
        <v>164</v>
      </c>
      <c r="D138" s="26">
        <v>15</v>
      </c>
      <c r="E138" s="25">
        <v>4.7244094488188976E-3</v>
      </c>
    </row>
    <row r="139" spans="2:5" ht="13.5">
      <c r="B139" s="101"/>
      <c r="C139" s="61" t="s">
        <v>163</v>
      </c>
      <c r="D139" s="26">
        <v>1</v>
      </c>
      <c r="E139" s="25">
        <v>3.1496062992125983E-4</v>
      </c>
    </row>
    <row r="140" spans="2:5" ht="13.5">
      <c r="B140" s="102"/>
      <c r="C140" s="74" t="s">
        <v>20</v>
      </c>
      <c r="D140" s="75">
        <v>16</v>
      </c>
      <c r="E140" s="76">
        <v>5.0393700787401572E-3</v>
      </c>
    </row>
    <row r="141" spans="2:5" ht="13.5">
      <c r="B141" s="100" t="s">
        <v>69</v>
      </c>
      <c r="C141" s="61" t="s">
        <v>164</v>
      </c>
      <c r="D141" s="26">
        <v>1</v>
      </c>
      <c r="E141" s="25">
        <v>3.1496062992125983E-4</v>
      </c>
    </row>
    <row r="142" spans="2:5" ht="13.5">
      <c r="B142" s="101"/>
      <c r="C142" s="61" t="s">
        <v>163</v>
      </c>
      <c r="D142" s="26">
        <v>1</v>
      </c>
      <c r="E142" s="25">
        <v>3.1496062992125983E-4</v>
      </c>
    </row>
    <row r="143" spans="2:5" ht="13.5">
      <c r="B143" s="102"/>
      <c r="C143" s="74" t="s">
        <v>20</v>
      </c>
      <c r="D143" s="75">
        <v>2</v>
      </c>
      <c r="E143" s="76">
        <v>6.2992125984251965E-4</v>
      </c>
    </row>
    <row r="144" spans="2:5" ht="13.5">
      <c r="B144" s="100" t="s">
        <v>33</v>
      </c>
      <c r="C144" s="61" t="s">
        <v>164</v>
      </c>
      <c r="D144" s="26">
        <v>96</v>
      </c>
      <c r="E144" s="25">
        <v>3.0236220472440945E-2</v>
      </c>
    </row>
    <row r="145" spans="2:5" ht="13.5">
      <c r="B145" s="101"/>
      <c r="C145" s="61" t="s">
        <v>163</v>
      </c>
      <c r="D145" s="26">
        <v>34</v>
      </c>
      <c r="E145" s="25">
        <v>1.0708661417322834E-2</v>
      </c>
    </row>
    <row r="146" spans="2:5" ht="13.5">
      <c r="B146" s="102"/>
      <c r="C146" s="74" t="s">
        <v>20</v>
      </c>
      <c r="D146" s="75">
        <v>130</v>
      </c>
      <c r="E146" s="76">
        <v>4.0944881889763779E-2</v>
      </c>
    </row>
    <row r="147" spans="2:5" ht="13.5">
      <c r="B147" s="95" t="s">
        <v>159</v>
      </c>
      <c r="C147" s="96"/>
      <c r="D147" s="23">
        <v>3175</v>
      </c>
      <c r="E147" s="22">
        <v>1</v>
      </c>
    </row>
    <row r="149" spans="2:5">
      <c r="B149" s="19" t="s">
        <v>204</v>
      </c>
    </row>
    <row r="150" spans="2:5">
      <c r="B150" s="21" t="s">
        <v>19</v>
      </c>
    </row>
    <row r="151" spans="2:5">
      <c r="B151" s="20" t="s">
        <v>18</v>
      </c>
    </row>
    <row r="152" spans="2:5">
      <c r="B152" s="19" t="s">
        <v>17</v>
      </c>
    </row>
    <row r="153" spans="2:5">
      <c r="B153" s="19" t="s">
        <v>205</v>
      </c>
    </row>
  </sheetData>
  <mergeCells count="47">
    <mergeCell ref="B8:E10"/>
    <mergeCell ref="B61:B63"/>
    <mergeCell ref="B64:B66"/>
    <mergeCell ref="B67:B69"/>
    <mergeCell ref="B70:B7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82:B83"/>
    <mergeCell ref="B84:B86"/>
    <mergeCell ref="B87:B89"/>
    <mergeCell ref="B90:B92"/>
    <mergeCell ref="B73:B75"/>
    <mergeCell ref="B76:B78"/>
    <mergeCell ref="B79:B81"/>
    <mergeCell ref="B93:B95"/>
    <mergeCell ref="B96:B98"/>
    <mergeCell ref="B99:B101"/>
    <mergeCell ref="B102:B104"/>
    <mergeCell ref="B105:B107"/>
    <mergeCell ref="B144:B146"/>
    <mergeCell ref="B147:C147"/>
    <mergeCell ref="B108:B110"/>
    <mergeCell ref="B111:B113"/>
    <mergeCell ref="B114:B116"/>
    <mergeCell ref="B117:B119"/>
    <mergeCell ref="B120:B122"/>
    <mergeCell ref="B138:B140"/>
    <mergeCell ref="B123:B125"/>
    <mergeCell ref="B126:B128"/>
    <mergeCell ref="B129:B131"/>
    <mergeCell ref="B132:B134"/>
    <mergeCell ref="B135:B137"/>
    <mergeCell ref="B141:B14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10" zoomScaleNormal="100" zoomScaleSheetLayoutView="100" workbookViewId="0">
      <selection activeCell="I29" sqref="I2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176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1"/>
      <c r="C10" s="91"/>
      <c r="D10" s="91"/>
      <c r="E10" s="91"/>
      <c r="F10" s="91"/>
      <c r="G10" s="64"/>
    </row>
    <row r="11" spans="1:7" s="62" customFormat="1" ht="15" customHeight="1">
      <c r="A11" s="64"/>
      <c r="B11" s="69"/>
      <c r="C11" s="69"/>
      <c r="D11" s="69"/>
      <c r="E11" s="69"/>
      <c r="F11" s="69"/>
      <c r="G11" s="64"/>
    </row>
    <row r="12" spans="1:7" s="62" customFormat="1" ht="36.950000000000003" customHeight="1">
      <c r="B12" s="63" t="s">
        <v>162</v>
      </c>
      <c r="C12" s="63" t="s">
        <v>175</v>
      </c>
      <c r="D12" s="63" t="s">
        <v>64</v>
      </c>
      <c r="E12" s="63" t="s">
        <v>174</v>
      </c>
      <c r="F12" s="63" t="s">
        <v>173</v>
      </c>
    </row>
    <row r="13" spans="1:7" ht="13.5">
      <c r="B13" s="103" t="s">
        <v>164</v>
      </c>
      <c r="C13" s="79" t="s">
        <v>171</v>
      </c>
      <c r="D13" s="80">
        <v>2</v>
      </c>
      <c r="E13" s="81">
        <v>9.4966761633428305E-4</v>
      </c>
      <c r="F13" s="81">
        <f t="shared" ref="F13:F28" si="0">D13/$D$28</f>
        <v>6.2992125984251965E-4</v>
      </c>
    </row>
    <row r="14" spans="1:7" ht="13.5">
      <c r="B14" s="104"/>
      <c r="C14" s="79" t="s">
        <v>170</v>
      </c>
      <c r="D14" s="80">
        <v>14</v>
      </c>
      <c r="E14" s="81">
        <v>6.6476733143399809E-3</v>
      </c>
      <c r="F14" s="81">
        <f t="shared" si="0"/>
        <v>4.4094488188976379E-3</v>
      </c>
    </row>
    <row r="15" spans="1:7" ht="13.5">
      <c r="B15" s="104"/>
      <c r="C15" s="79" t="s">
        <v>169</v>
      </c>
      <c r="D15" s="80">
        <v>434</v>
      </c>
      <c r="E15" s="81">
        <v>0.2060778727445394</v>
      </c>
      <c r="F15" s="81">
        <f t="shared" si="0"/>
        <v>0.13669291338582676</v>
      </c>
    </row>
    <row r="16" spans="1:7" ht="13.5">
      <c r="B16" s="104"/>
      <c r="C16" s="79" t="s">
        <v>168</v>
      </c>
      <c r="D16" s="80">
        <v>810</v>
      </c>
      <c r="E16" s="81">
        <v>0.38461538461538464</v>
      </c>
      <c r="F16" s="81">
        <f t="shared" si="0"/>
        <v>0.2551181102362205</v>
      </c>
    </row>
    <row r="17" spans="2:6" ht="27">
      <c r="B17" s="104"/>
      <c r="C17" s="79" t="s">
        <v>167</v>
      </c>
      <c r="D17" s="80">
        <v>585</v>
      </c>
      <c r="E17" s="81">
        <v>0.27777777777777779</v>
      </c>
      <c r="F17" s="81">
        <f t="shared" si="0"/>
        <v>0.18425196850393702</v>
      </c>
    </row>
    <row r="18" spans="2:6" ht="13.5">
      <c r="B18" s="104"/>
      <c r="C18" s="79" t="s">
        <v>166</v>
      </c>
      <c r="D18" s="80">
        <v>251</v>
      </c>
      <c r="E18" s="81">
        <v>0.11918328584995251</v>
      </c>
      <c r="F18" s="81">
        <f t="shared" si="0"/>
        <v>7.9055118110236217E-2</v>
      </c>
    </row>
    <row r="19" spans="2:6" ht="13.5">
      <c r="B19" s="105"/>
      <c r="C19" s="79" t="s">
        <v>165</v>
      </c>
      <c r="D19" s="80">
        <v>10</v>
      </c>
      <c r="E19" s="81">
        <v>4.7483380816714148E-3</v>
      </c>
      <c r="F19" s="81">
        <f t="shared" si="0"/>
        <v>3.1496062992125984E-3</v>
      </c>
    </row>
    <row r="20" spans="2:6" ht="13.5">
      <c r="B20" s="100" t="s">
        <v>163</v>
      </c>
      <c r="C20" s="61" t="s">
        <v>171</v>
      </c>
      <c r="D20" s="26">
        <v>3</v>
      </c>
      <c r="E20" s="25">
        <v>2.8063610851262861E-3</v>
      </c>
      <c r="F20" s="25">
        <f t="shared" si="0"/>
        <v>9.4488188976377954E-4</v>
      </c>
    </row>
    <row r="21" spans="2:6" ht="13.5">
      <c r="B21" s="101"/>
      <c r="C21" s="61" t="s">
        <v>170</v>
      </c>
      <c r="D21" s="26">
        <v>8</v>
      </c>
      <c r="E21" s="25">
        <v>7.4836295603367634E-3</v>
      </c>
      <c r="F21" s="25">
        <f t="shared" si="0"/>
        <v>2.5196850393700786E-3</v>
      </c>
    </row>
    <row r="22" spans="2:6" ht="13.5">
      <c r="B22" s="101"/>
      <c r="C22" s="61" t="s">
        <v>169</v>
      </c>
      <c r="D22" s="26">
        <v>155</v>
      </c>
      <c r="E22" s="25">
        <v>0.1449953227315248</v>
      </c>
      <c r="F22" s="25">
        <f t="shared" si="0"/>
        <v>4.8818897637795275E-2</v>
      </c>
    </row>
    <row r="23" spans="2:6" ht="13.5">
      <c r="B23" s="101"/>
      <c r="C23" s="61" t="s">
        <v>168</v>
      </c>
      <c r="D23" s="26">
        <v>391</v>
      </c>
      <c r="E23" s="25">
        <v>0.36576239476145933</v>
      </c>
      <c r="F23" s="25">
        <f t="shared" si="0"/>
        <v>0.12314960629921259</v>
      </c>
    </row>
    <row r="24" spans="2:6" ht="27">
      <c r="B24" s="101"/>
      <c r="C24" s="61" t="s">
        <v>167</v>
      </c>
      <c r="D24" s="26">
        <v>349</v>
      </c>
      <c r="E24" s="25">
        <v>0.32647333956969132</v>
      </c>
      <c r="F24" s="25">
        <f t="shared" si="0"/>
        <v>0.10992125984251969</v>
      </c>
    </row>
    <row r="25" spans="2:6" ht="13.5">
      <c r="B25" s="101"/>
      <c r="C25" s="61" t="s">
        <v>166</v>
      </c>
      <c r="D25" s="26">
        <v>151</v>
      </c>
      <c r="E25" s="25">
        <v>0.14125350795135641</v>
      </c>
      <c r="F25" s="25">
        <f t="shared" si="0"/>
        <v>4.7559055118110233E-2</v>
      </c>
    </row>
    <row r="26" spans="2:6" ht="13.5">
      <c r="B26" s="101"/>
      <c r="C26" s="61" t="s">
        <v>165</v>
      </c>
      <c r="D26" s="26">
        <v>11</v>
      </c>
      <c r="E26" s="25">
        <v>1.028999064546305E-2</v>
      </c>
      <c r="F26" s="25">
        <f t="shared" si="0"/>
        <v>3.4645669291338585E-3</v>
      </c>
    </row>
    <row r="27" spans="2:6" ht="13.5">
      <c r="B27" s="102"/>
      <c r="C27" s="61" t="s">
        <v>172</v>
      </c>
      <c r="D27" s="26">
        <v>1</v>
      </c>
      <c r="E27" s="25">
        <v>9.3545369504209543E-4</v>
      </c>
      <c r="F27" s="25">
        <f t="shared" si="0"/>
        <v>3.1496062992125983E-4</v>
      </c>
    </row>
    <row r="28" spans="2:6" ht="13.5">
      <c r="B28" s="24" t="s">
        <v>20</v>
      </c>
      <c r="C28" s="24"/>
      <c r="D28" s="23">
        <v>3175</v>
      </c>
      <c r="E28" s="22"/>
      <c r="F28" s="22">
        <f t="shared" si="0"/>
        <v>1</v>
      </c>
    </row>
    <row r="30" spans="2:6">
      <c r="B30" s="19" t="s">
        <v>204</v>
      </c>
    </row>
    <row r="31" spans="2:6">
      <c r="B31" s="21" t="s">
        <v>19</v>
      </c>
    </row>
    <row r="32" spans="2:6">
      <c r="B32" s="20" t="s">
        <v>18</v>
      </c>
    </row>
    <row r="33" spans="2:2">
      <c r="B33" s="19" t="s">
        <v>17</v>
      </c>
    </row>
    <row r="34" spans="2:2">
      <c r="B34" s="19" t="s">
        <v>205</v>
      </c>
    </row>
  </sheetData>
  <mergeCells count="3">
    <mergeCell ref="B8:F10"/>
    <mergeCell ref="B13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7"/>
  <sheetViews>
    <sheetView showGridLines="0" zoomScaleNormal="100" zoomScaleSheetLayoutView="115" workbookViewId="0">
      <selection activeCell="L30" sqref="L3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66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214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195</v>
      </c>
      <c r="C11" s="31" t="s">
        <v>64</v>
      </c>
      <c r="D11" s="30" t="s">
        <v>63</v>
      </c>
    </row>
    <row r="12" spans="1:5">
      <c r="B12" s="27" t="s">
        <v>194</v>
      </c>
      <c r="C12" s="26">
        <v>1931</v>
      </c>
      <c r="D12" s="25">
        <f t="shared" ref="D12:D30" si="0">C12/$C$30</f>
        <v>0.60818897637795277</v>
      </c>
    </row>
    <row r="13" spans="1:5">
      <c r="B13" s="27" t="s">
        <v>193</v>
      </c>
      <c r="C13" s="26">
        <v>508</v>
      </c>
      <c r="D13" s="25">
        <f t="shared" si="0"/>
        <v>0.16</v>
      </c>
    </row>
    <row r="14" spans="1:5">
      <c r="B14" s="27" t="s">
        <v>192</v>
      </c>
      <c r="C14" s="26">
        <v>176</v>
      </c>
      <c r="D14" s="25">
        <f t="shared" si="0"/>
        <v>5.5433070866141736E-2</v>
      </c>
      <c r="E14" s="28"/>
    </row>
    <row r="15" spans="1:5">
      <c r="B15" s="27" t="s">
        <v>191</v>
      </c>
      <c r="C15" s="26">
        <v>141</v>
      </c>
      <c r="D15" s="25">
        <f t="shared" si="0"/>
        <v>4.4409448818897634E-2</v>
      </c>
      <c r="E15" s="28"/>
    </row>
    <row r="16" spans="1:5">
      <c r="B16" s="27" t="s">
        <v>190</v>
      </c>
      <c r="C16" s="26">
        <v>119</v>
      </c>
      <c r="D16" s="25">
        <f t="shared" si="0"/>
        <v>3.7480314960629924E-2</v>
      </c>
    </row>
    <row r="17" spans="2:4">
      <c r="B17" s="27" t="s">
        <v>189</v>
      </c>
      <c r="C17" s="26">
        <v>59</v>
      </c>
      <c r="D17" s="25">
        <f t="shared" si="0"/>
        <v>1.858267716535433E-2</v>
      </c>
    </row>
    <row r="18" spans="2:4">
      <c r="B18" s="27" t="s">
        <v>187</v>
      </c>
      <c r="C18" s="26">
        <v>57</v>
      </c>
      <c r="D18" s="25">
        <f t="shared" si="0"/>
        <v>1.7952755905511812E-2</v>
      </c>
    </row>
    <row r="19" spans="2:4">
      <c r="B19" s="27" t="s">
        <v>186</v>
      </c>
      <c r="C19" s="26">
        <v>53</v>
      </c>
      <c r="D19" s="25">
        <f t="shared" si="0"/>
        <v>1.669291338582677E-2</v>
      </c>
    </row>
    <row r="20" spans="2:4">
      <c r="B20" s="27" t="s">
        <v>188</v>
      </c>
      <c r="C20" s="26">
        <v>52</v>
      </c>
      <c r="D20" s="25">
        <f t="shared" si="0"/>
        <v>1.6377952755905513E-2</v>
      </c>
    </row>
    <row r="21" spans="2:4">
      <c r="B21" s="27" t="s">
        <v>185</v>
      </c>
      <c r="C21" s="26">
        <v>31</v>
      </c>
      <c r="D21" s="25">
        <f t="shared" si="0"/>
        <v>9.7637795275590557E-3</v>
      </c>
    </row>
    <row r="22" spans="2:4">
      <c r="B22" s="27" t="s">
        <v>182</v>
      </c>
      <c r="C22" s="26">
        <v>12</v>
      </c>
      <c r="D22" s="25">
        <f t="shared" si="0"/>
        <v>3.7795275590551181E-3</v>
      </c>
    </row>
    <row r="23" spans="2:4">
      <c r="B23" s="27" t="s">
        <v>184</v>
      </c>
      <c r="C23" s="26">
        <v>10</v>
      </c>
      <c r="D23" s="25">
        <f t="shared" si="0"/>
        <v>3.1496062992125984E-3</v>
      </c>
    </row>
    <row r="24" spans="2:4">
      <c r="B24" s="27" t="s">
        <v>183</v>
      </c>
      <c r="C24" s="26">
        <v>8</v>
      </c>
      <c r="D24" s="25">
        <f t="shared" si="0"/>
        <v>2.5196850393700786E-3</v>
      </c>
    </row>
    <row r="25" spans="2:4">
      <c r="B25" s="27" t="s">
        <v>181</v>
      </c>
      <c r="C25" s="26">
        <v>8</v>
      </c>
      <c r="D25" s="25">
        <f t="shared" si="0"/>
        <v>2.5196850393700786E-3</v>
      </c>
    </row>
    <row r="26" spans="2:4">
      <c r="B26" s="27" t="s">
        <v>178</v>
      </c>
      <c r="C26" s="26">
        <v>3</v>
      </c>
      <c r="D26" s="25">
        <f t="shared" si="0"/>
        <v>9.4488188976377954E-4</v>
      </c>
    </row>
    <row r="27" spans="2:4">
      <c r="B27" s="27" t="s">
        <v>177</v>
      </c>
      <c r="C27" s="26">
        <v>3</v>
      </c>
      <c r="D27" s="25">
        <f t="shared" si="0"/>
        <v>9.4488188976377954E-4</v>
      </c>
    </row>
    <row r="28" spans="2:4">
      <c r="B28" s="27" t="s">
        <v>179</v>
      </c>
      <c r="C28" s="26">
        <v>2</v>
      </c>
      <c r="D28" s="25">
        <f t="shared" si="0"/>
        <v>6.2992125984251965E-4</v>
      </c>
    </row>
    <row r="29" spans="2:4">
      <c r="B29" s="27" t="s">
        <v>180</v>
      </c>
      <c r="C29" s="26">
        <v>2</v>
      </c>
      <c r="D29" s="25">
        <f t="shared" si="0"/>
        <v>6.2992125984251965E-4</v>
      </c>
    </row>
    <row r="30" spans="2:4">
      <c r="B30" s="24" t="s">
        <v>20</v>
      </c>
      <c r="C30" s="23">
        <v>3175</v>
      </c>
      <c r="D30" s="22">
        <f t="shared" si="0"/>
        <v>1</v>
      </c>
    </row>
    <row r="32" spans="2:4">
      <c r="B32" s="73" t="s">
        <v>204</v>
      </c>
    </row>
    <row r="33" spans="1:2">
      <c r="B33" s="73" t="s">
        <v>19</v>
      </c>
    </row>
    <row r="34" spans="1:2">
      <c r="B34" s="73" t="s">
        <v>18</v>
      </c>
    </row>
    <row r="35" spans="1:2">
      <c r="B35" s="73" t="s">
        <v>17</v>
      </c>
    </row>
    <row r="36" spans="1:2">
      <c r="B36" s="73" t="s">
        <v>205</v>
      </c>
    </row>
    <row r="37" spans="1:2">
      <c r="A37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Tabasco_EdoUsa</vt:lpstr>
      <vt:lpstr>Tabasco_Cons</vt:lpstr>
      <vt:lpstr>TabascoXCons</vt:lpstr>
      <vt:lpstr>Tabasco_EdoMun</vt:lpstr>
      <vt:lpstr>Tabasco_USAMuni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Tabasco_Gen_Edad</vt:lpstr>
      <vt:lpstr>Tabasco_ocup_gral</vt:lpstr>
      <vt:lpstr>Tabasco_EducCons!Área_de_impresión</vt:lpstr>
      <vt:lpstr>Tabasco_MUNICIPIO!Área_de_impresión</vt:lpstr>
      <vt:lpstr>Tabasco_NivelE_Cons!Área_de_impresión</vt:lpstr>
      <vt:lpstr>Tabasco_USAMuni!Área_de_impresión</vt:lpstr>
      <vt:lpstr>Tabasco_Cons!Títulos_a_imprimir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Tabasco_USAMuni!Títulos_a_imprimir</vt:lpstr>
      <vt:lpstr>TabascoXCons!Títulos_a_imprimir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2020-06-04T00:36:39Z</dcterms:created>
  <dcterms:modified xsi:type="dcterms:W3CDTF">2022-07-26T22:30:35Z</dcterms:modified>
</cp:coreProperties>
</file>