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D:\Users\esoto\Documents\Analisisinfo2.7\Matrículas\Anual\Matrículas 2021\República Mexicana\Finales_RM\"/>
    </mc:Choice>
  </mc:AlternateContent>
  <bookViews>
    <workbookView xWindow="0" yWindow="0" windowWidth="24000" windowHeight="9735" tabRatio="812"/>
  </bookViews>
  <sheets>
    <sheet name="Índice" sheetId="1" r:id="rId1"/>
    <sheet name="Tamaulipas_EdoUsa" sheetId="2" r:id="rId2"/>
    <sheet name="Tamaulipas_Cons" sheetId="15" r:id="rId3"/>
    <sheet name="TamaulipasXCons" sheetId="16" r:id="rId4"/>
    <sheet name="Tamaulipas_EdoMun" sheetId="5" r:id="rId5"/>
    <sheet name="Tamaulipas_USAMuni" sheetId="6" r:id="rId6"/>
    <sheet name="Tamaulipas_MUNICIPIO" sheetId="7" r:id="rId7"/>
    <sheet name="Tamaulipas_educ_gral" sheetId="8" r:id="rId8"/>
    <sheet name="Tamaulipas_NivelE_Cons" sheetId="9" r:id="rId9"/>
    <sheet name="Tamaulipas_EducCons" sheetId="10" r:id="rId10"/>
    <sheet name="Tamaulipas_GenGral" sheetId="11" r:id="rId11"/>
    <sheet name="Tamaulipas_GENERO" sheetId="12" r:id="rId12"/>
    <sheet name="Tamaulipas_Gen_Edad" sheetId="13" r:id="rId13"/>
    <sheet name="Tamaulipas_ocup_gral" sheetId="14" r:id="rId14"/>
  </sheets>
  <definedNames>
    <definedName name="_xlnm._FilterDatabase" localSheetId="2" hidden="1">Tamaulipas_Cons!$B$11:$D$11</definedName>
    <definedName name="_xlnm._FilterDatabase" localSheetId="4" hidden="1">Tamaulipas_EdoMun!$B$11:$D$11</definedName>
    <definedName name="_xlnm._FilterDatabase" localSheetId="1" hidden="1">Tamaulipas_EdoUsa!$B$11:$D$11</definedName>
    <definedName name="_xlnm._FilterDatabase" localSheetId="7" hidden="1">Tamaulipas_educ_gral!$B$11:$D$11</definedName>
    <definedName name="_xlnm._FilterDatabase" localSheetId="9" hidden="1">Tamaulipas_EducCons!$B$9:$E$9</definedName>
    <definedName name="_xlnm._FilterDatabase" localSheetId="11" hidden="1">Tamaulipas_GENERO!$B$12:$E$153</definedName>
    <definedName name="_xlnm._FilterDatabase" localSheetId="10" hidden="1">Tamaulipas_GenGral!$B$11:$D$11</definedName>
    <definedName name="_xlnm._FilterDatabase" localSheetId="6" hidden="1">Tamaulipas_MUNICIPIO!$B$9:$E$9</definedName>
    <definedName name="_xlnm._FilterDatabase" localSheetId="8" hidden="1">Tamaulipas_NivelE_Cons!$B$9:$E$9</definedName>
    <definedName name="_xlnm._FilterDatabase" localSheetId="13" hidden="1">Tamaulipas_ocup_gral!$B$11:$D$11</definedName>
    <definedName name="_xlnm._FilterDatabase" localSheetId="5" hidden="1">Tamaulipas_USAMuni!$B$9:$E$9</definedName>
    <definedName name="_xlnm._FilterDatabase" localSheetId="3" hidden="1">TamaulipasXCons!$B$11:$D$11</definedName>
    <definedName name="_xlnm.Print_Area" localSheetId="9">Tamaulipas_EducCons!$A$1:$E$9</definedName>
    <definedName name="_xlnm.Print_Area" localSheetId="12">Tamaulipas_Gen_Edad!$A$1:$H$45</definedName>
    <definedName name="_xlnm.Print_Area" localSheetId="6">Tamaulipas_MUNICIPIO!$A$1:$E$9</definedName>
    <definedName name="_xlnm.Print_Area" localSheetId="8">Tamaulipas_NivelE_Cons!$A$1:$E$9</definedName>
    <definedName name="_xlnm.Print_Area" localSheetId="5">Tamaulipas_USAMuni!$A$1:$E$9</definedName>
    <definedName name="_xlnm.Print_Titles" localSheetId="2">Tamaulipas_Cons!$1:$11</definedName>
    <definedName name="_xlnm.Print_Titles" localSheetId="4">Tamaulipas_EdoMun!$1:$11</definedName>
    <definedName name="_xlnm.Print_Titles" localSheetId="1">Tamaulipas_EdoUsa!$1:$11</definedName>
    <definedName name="_xlnm.Print_Titles" localSheetId="7">Tamaulipas_educ_gral!$1:$11</definedName>
    <definedName name="_xlnm.Print_Titles" localSheetId="9">Tamaulipas_EducCons!$1:$9</definedName>
    <definedName name="_xlnm.Print_Titles" localSheetId="12">Tamaulipas_Gen_Edad!$1:$12</definedName>
    <definedName name="_xlnm.Print_Titles" localSheetId="11">Tamaulipas_GENERO!$1:$12</definedName>
    <definedName name="_xlnm.Print_Titles" localSheetId="10">Tamaulipas_GenGral!$1:$11</definedName>
    <definedName name="_xlnm.Print_Titles" localSheetId="6">Tamaulipas_MUNICIPIO!$1:$9</definedName>
    <definedName name="_xlnm.Print_Titles" localSheetId="8">Tamaulipas_NivelE_Cons!$1:$9</definedName>
    <definedName name="_xlnm.Print_Titles" localSheetId="13">Tamaulipas_ocup_gral!$1:$11</definedName>
    <definedName name="_xlnm.Print_Titles" localSheetId="5">Tamaulipas_USAMuni!$1:$9</definedName>
    <definedName name="_xlnm.Print_Titles" localSheetId="3">TamaulipasXCons!$1:$11</definedName>
  </definedNames>
  <calcPr calcId="152511"/>
</workbook>
</file>

<file path=xl/calcChain.xml><?xml version="1.0" encoding="utf-8"?>
<calcChain xmlns="http://schemas.openxmlformats.org/spreadsheetml/2006/main">
  <c r="D35" i="14" l="1"/>
  <c r="D34" i="14"/>
  <c r="D33" i="14"/>
  <c r="D32" i="14"/>
  <c r="D31" i="14"/>
  <c r="D30" i="14"/>
  <c r="D29" i="14"/>
  <c r="D28" i="14"/>
  <c r="D27" i="14"/>
  <c r="D26" i="14"/>
  <c r="D25" i="14"/>
  <c r="D24" i="14"/>
  <c r="D23" i="14"/>
  <c r="D22" i="14"/>
  <c r="D21" i="14"/>
  <c r="D20" i="14"/>
  <c r="D19" i="14"/>
  <c r="D18" i="14"/>
  <c r="D17" i="14"/>
  <c r="D16" i="14"/>
  <c r="D15" i="14"/>
  <c r="D14" i="14"/>
  <c r="D13" i="14"/>
  <c r="D12" i="14"/>
  <c r="F29" i="13" l="1"/>
  <c r="F28" i="13"/>
  <c r="F27" i="13"/>
  <c r="F26" i="13"/>
  <c r="F25" i="13"/>
  <c r="F24" i="13"/>
  <c r="F23" i="13"/>
  <c r="F22" i="13"/>
  <c r="F21" i="13"/>
  <c r="F20" i="13"/>
  <c r="F19" i="13"/>
  <c r="F18" i="13"/>
  <c r="F17" i="13"/>
  <c r="F16" i="13"/>
  <c r="F15" i="13"/>
  <c r="F14" i="13"/>
  <c r="F13" i="13"/>
  <c r="D36" i="8" l="1"/>
  <c r="D35" i="8"/>
  <c r="D34" i="8"/>
  <c r="D33" i="8"/>
  <c r="D32" i="8"/>
  <c r="D31" i="8"/>
  <c r="D30" i="8"/>
  <c r="D29" i="8"/>
  <c r="D28" i="8"/>
  <c r="D27" i="8"/>
  <c r="D26" i="8"/>
  <c r="D25" i="8"/>
  <c r="D24" i="8"/>
  <c r="D23" i="8"/>
  <c r="D22" i="8"/>
  <c r="D21" i="8"/>
  <c r="D20" i="8"/>
  <c r="D19" i="8"/>
  <c r="D18" i="8"/>
  <c r="D17" i="8"/>
  <c r="D16" i="8"/>
  <c r="D15" i="8"/>
  <c r="D14" i="8"/>
  <c r="D13" i="8"/>
  <c r="D12" i="8"/>
  <c r="D55" i="5" l="1"/>
  <c r="D54" i="5"/>
  <c r="D53" i="5"/>
  <c r="D52" i="5"/>
  <c r="D51" i="5"/>
  <c r="D50" i="5"/>
  <c r="D49" i="5"/>
  <c r="D48" i="5"/>
  <c r="D47" i="5"/>
  <c r="D46" i="5"/>
  <c r="D45" i="5"/>
  <c r="D44" i="5"/>
  <c r="D43" i="5"/>
  <c r="D42" i="5"/>
  <c r="D41" i="5"/>
  <c r="D40" i="5"/>
  <c r="D39" i="5"/>
  <c r="D38" i="5"/>
  <c r="D37" i="5"/>
  <c r="D36" i="5"/>
  <c r="D35" i="5"/>
  <c r="D34" i="5"/>
  <c r="D33" i="5"/>
  <c r="D32" i="5"/>
  <c r="D31" i="5"/>
  <c r="D30" i="5"/>
  <c r="D29" i="5"/>
  <c r="D28" i="5"/>
  <c r="D27" i="5"/>
  <c r="D26" i="5"/>
  <c r="D25" i="5"/>
  <c r="D24" i="5"/>
  <c r="D23" i="5"/>
  <c r="D22" i="5"/>
  <c r="D21" i="5"/>
  <c r="D20" i="5"/>
  <c r="D19" i="5"/>
  <c r="D18" i="5"/>
  <c r="D17" i="5"/>
  <c r="D16" i="5"/>
  <c r="D15" i="5"/>
  <c r="D14" i="5"/>
  <c r="D13" i="5"/>
  <c r="D12" i="5"/>
  <c r="C55" i="5"/>
  <c r="D21" i="16"/>
  <c r="D20" i="16"/>
  <c r="D19" i="16"/>
  <c r="D18" i="16"/>
  <c r="D17" i="16"/>
  <c r="D16" i="16"/>
  <c r="D15" i="16"/>
  <c r="D14" i="16"/>
  <c r="D13" i="16"/>
  <c r="D12" i="16"/>
  <c r="C22" i="16" l="1"/>
  <c r="D22" i="16" l="1"/>
</calcChain>
</file>

<file path=xl/sharedStrings.xml><?xml version="1.0" encoding="utf-8"?>
<sst xmlns="http://schemas.openxmlformats.org/spreadsheetml/2006/main" count="3745" uniqueCount="252">
  <si>
    <t xml:space="preserve">Da clic al texto para ir a la información, selecciona                 para regresar. </t>
  </si>
  <si>
    <t>1. Por Estados de USA</t>
  </si>
  <si>
    <t>2. Por Circunscripción Consular</t>
  </si>
  <si>
    <t>2.1 Top ten por circunscripción consular</t>
  </si>
  <si>
    <t>3. Por Municipio de origen</t>
  </si>
  <si>
    <t>3.1 Municipio general</t>
  </si>
  <si>
    <t>3.2 Por Estado de USA</t>
  </si>
  <si>
    <t>3.3 Por Circunscripción Consular</t>
  </si>
  <si>
    <t>4. Por Nivel Educativo</t>
  </si>
  <si>
    <t>4.1 Educación general</t>
  </si>
  <si>
    <t>4.2 Por Estado de USA</t>
  </si>
  <si>
    <t>4.3 Por Circunscripción Consular</t>
  </si>
  <si>
    <t>5. Por Género</t>
  </si>
  <si>
    <t>5.1 Género General</t>
  </si>
  <si>
    <t>5.2 Por Circunscripción Consular</t>
  </si>
  <si>
    <t>6. Por estructura de Edad</t>
  </si>
  <si>
    <t>7. Por Ocupación</t>
  </si>
  <si>
    <t xml:space="preserve">Secretaría de Relaciones Exteriores </t>
  </si>
  <si>
    <t>Elaborado por: Análisis de Información, Instituto de los Mexicanos en el Exterior</t>
  </si>
  <si>
    <t>Fuente: Expedición de Matrículas Consulares de Alta Seguridad en los Consulados de México en E.E.U.U.</t>
  </si>
  <si>
    <t>Total</t>
  </si>
  <si>
    <t>New Hampshire</t>
  </si>
  <si>
    <t>North Dakota</t>
  </si>
  <si>
    <t>West Virginia</t>
  </si>
  <si>
    <t>Wyoming</t>
  </si>
  <si>
    <t>Rhode Island</t>
  </si>
  <si>
    <t>Massachusetts</t>
  </si>
  <si>
    <t>South Dakota</t>
  </si>
  <si>
    <t>Oregon</t>
  </si>
  <si>
    <t>Maryland</t>
  </si>
  <si>
    <t>Delaware</t>
  </si>
  <si>
    <t>Connecticut</t>
  </si>
  <si>
    <t>Pennsylvania</t>
  </si>
  <si>
    <t>New Mexico</t>
  </si>
  <si>
    <t>Idaho</t>
  </si>
  <si>
    <t>Washington</t>
  </si>
  <si>
    <t>New Jersey</t>
  </si>
  <si>
    <t>Arizona</t>
  </si>
  <si>
    <t>Nevada</t>
  </si>
  <si>
    <t>Utah</t>
  </si>
  <si>
    <t>Nebraska</t>
  </si>
  <si>
    <t>New York</t>
  </si>
  <si>
    <t>Kentucky</t>
  </si>
  <si>
    <t>Iowa</t>
  </si>
  <si>
    <t>Kansas</t>
  </si>
  <si>
    <t>Colorado</t>
  </si>
  <si>
    <t>Wisconsin</t>
  </si>
  <si>
    <t>Missouri</t>
  </si>
  <si>
    <t>Ohio</t>
  </si>
  <si>
    <t>Virginia</t>
  </si>
  <si>
    <t>Mississippi</t>
  </si>
  <si>
    <t>Minnesota</t>
  </si>
  <si>
    <t>South Carolina</t>
  </si>
  <si>
    <t>Indiana</t>
  </si>
  <si>
    <t>Michigan</t>
  </si>
  <si>
    <t>Louisiana</t>
  </si>
  <si>
    <t>Alabama</t>
  </si>
  <si>
    <t>Arkansas</t>
  </si>
  <si>
    <t>Oklahoma</t>
  </si>
  <si>
    <t>Tennessee</t>
  </si>
  <si>
    <t>North Carolina</t>
  </si>
  <si>
    <t>Illinois</t>
  </si>
  <si>
    <t>California</t>
  </si>
  <si>
    <t>Florida</t>
  </si>
  <si>
    <t>Georgia</t>
  </si>
  <si>
    <t>Texas</t>
  </si>
  <si>
    <t>Porcentaje de Matrículas</t>
  </si>
  <si>
    <t>Número de Matrículas</t>
  </si>
  <si>
    <t xml:space="preserve">Estado </t>
  </si>
  <si>
    <t>Aguascalientes</t>
  </si>
  <si>
    <t>Del Río</t>
  </si>
  <si>
    <t>Caléxico</t>
  </si>
  <si>
    <t>Yuma</t>
  </si>
  <si>
    <t>Boston</t>
  </si>
  <si>
    <t>Presidio</t>
  </si>
  <si>
    <t>Tucson</t>
  </si>
  <si>
    <t>Laredo</t>
  </si>
  <si>
    <t>Boise</t>
  </si>
  <si>
    <t>Brownsville</t>
  </si>
  <si>
    <t>Albuquerque</t>
  </si>
  <si>
    <t>El Paso</t>
  </si>
  <si>
    <t>Nueva Orleans</t>
  </si>
  <si>
    <t>Detroit</t>
  </si>
  <si>
    <t>Omaha</t>
  </si>
  <si>
    <t>Seattle</t>
  </si>
  <si>
    <t>Saint Paul</t>
  </si>
  <si>
    <t>Phoenix</t>
  </si>
  <si>
    <t>Salt Lake City</t>
  </si>
  <si>
    <t>Milwaukee</t>
  </si>
  <si>
    <t>Miami</t>
  </si>
  <si>
    <t>Portland</t>
  </si>
  <si>
    <t>San Diego</t>
  </si>
  <si>
    <t>Kansas City</t>
  </si>
  <si>
    <t>Filadelfia</t>
  </si>
  <si>
    <t>Mcallen</t>
  </si>
  <si>
    <t>San Antonio</t>
  </si>
  <si>
    <t>Denver</t>
  </si>
  <si>
    <t>Indianápolis</t>
  </si>
  <si>
    <t>Oxnard</t>
  </si>
  <si>
    <t>Las Vegas</t>
  </si>
  <si>
    <t>Sacramento</t>
  </si>
  <si>
    <t>Austin</t>
  </si>
  <si>
    <t>Orlando</t>
  </si>
  <si>
    <t>Little Rock</t>
  </si>
  <si>
    <t>San Francisco</t>
  </si>
  <si>
    <t>San José</t>
  </si>
  <si>
    <t>Santa Ana</t>
  </si>
  <si>
    <t>San Bernardino</t>
  </si>
  <si>
    <t>Raleigh</t>
  </si>
  <si>
    <t>Fresno</t>
  </si>
  <si>
    <t>Nueva York</t>
  </si>
  <si>
    <t>Atlanta</t>
  </si>
  <si>
    <t>Dallas</t>
  </si>
  <si>
    <t>Houston</t>
  </si>
  <si>
    <t>Chicago</t>
  </si>
  <si>
    <t>Los Ángeles</t>
  </si>
  <si>
    <t>Consulado</t>
  </si>
  <si>
    <t>San Nicolás</t>
  </si>
  <si>
    <t>Casas</t>
  </si>
  <si>
    <t>Cruillas</t>
  </si>
  <si>
    <t>Nuevo Morelos</t>
  </si>
  <si>
    <t>Miquihuana</t>
  </si>
  <si>
    <t>Palmillas</t>
  </si>
  <si>
    <t>Mainero</t>
  </si>
  <si>
    <t>Guerrero</t>
  </si>
  <si>
    <t>Méndez</t>
  </si>
  <si>
    <t>Güémez</t>
  </si>
  <si>
    <t>Villagrán</t>
  </si>
  <si>
    <t>Gómez Farías</t>
  </si>
  <si>
    <t>Mier</t>
  </si>
  <si>
    <t>Antiguo Morelos</t>
  </si>
  <si>
    <t>San Carlos</t>
  </si>
  <si>
    <t>Jiménez</t>
  </si>
  <si>
    <t>Jaumave</t>
  </si>
  <si>
    <t>Padilla</t>
  </si>
  <si>
    <t>Bustamante</t>
  </si>
  <si>
    <t>Burgos</t>
  </si>
  <si>
    <t>Hidalgo</t>
  </si>
  <si>
    <t>Xicoténcatl</t>
  </si>
  <si>
    <t>Abasolo</t>
  </si>
  <si>
    <t>Llera</t>
  </si>
  <si>
    <t>Ocampo</t>
  </si>
  <si>
    <t>Camargo</t>
  </si>
  <si>
    <t>Aldama</t>
  </si>
  <si>
    <t>Soto la Marina</t>
  </si>
  <si>
    <t>Gustavo Díaz Ordaz</t>
  </si>
  <si>
    <t>Altamira</t>
  </si>
  <si>
    <t>Miguel Alemán</t>
  </si>
  <si>
    <t>González</t>
  </si>
  <si>
    <t>San Fernando</t>
  </si>
  <si>
    <t>Victoria</t>
  </si>
  <si>
    <t>Tula</t>
  </si>
  <si>
    <t>Ciudad Madero</t>
  </si>
  <si>
    <t>Valle Hermoso</t>
  </si>
  <si>
    <t>Río Bravo</t>
  </si>
  <si>
    <t>Tampico</t>
  </si>
  <si>
    <t>El Mante</t>
  </si>
  <si>
    <t>Nuevo Laredo</t>
  </si>
  <si>
    <t>Reynosa</t>
  </si>
  <si>
    <t>Matamoros</t>
  </si>
  <si>
    <t>Municipio de origen</t>
  </si>
  <si>
    <t>Municipio de Origen</t>
  </si>
  <si>
    <t>Estado</t>
  </si>
  <si>
    <t>Posgrado [Doctorado]</t>
  </si>
  <si>
    <t>Posgrado [Maestría]</t>
  </si>
  <si>
    <t>Menores De Edad</t>
  </si>
  <si>
    <t>Profesional titulado</t>
  </si>
  <si>
    <t>Profesional pasante</t>
  </si>
  <si>
    <t>4° Año de profesional</t>
  </si>
  <si>
    <t>3° Año de profesional</t>
  </si>
  <si>
    <t>2° Año de profesional</t>
  </si>
  <si>
    <t>1° Año de profesional</t>
  </si>
  <si>
    <t>Preparatoria con certificado</t>
  </si>
  <si>
    <t>Preparatoria sin certificado</t>
  </si>
  <si>
    <t>Capacitación técnica</t>
  </si>
  <si>
    <t>Secundaria con certificado</t>
  </si>
  <si>
    <t>3° Secundaria</t>
  </si>
  <si>
    <t>2° Secundaria</t>
  </si>
  <si>
    <t>1° Secundaria</t>
  </si>
  <si>
    <t>Primaria con certificado</t>
  </si>
  <si>
    <t>6° Primaria</t>
  </si>
  <si>
    <t>5° Primaria</t>
  </si>
  <si>
    <t>4° Primaria</t>
  </si>
  <si>
    <t>3° Primaria</t>
  </si>
  <si>
    <t>2° Primaria</t>
  </si>
  <si>
    <t>1° Primaria</t>
  </si>
  <si>
    <t>Sin Estudios</t>
  </si>
  <si>
    <t>Número de matrículas</t>
  </si>
  <si>
    <t>Nivel de Estudios</t>
  </si>
  <si>
    <t>Nivel</t>
  </si>
  <si>
    <t>San Jose</t>
  </si>
  <si>
    <t>Menores de edad</t>
  </si>
  <si>
    <t>Mc Allen</t>
  </si>
  <si>
    <t>Los Angeles</t>
  </si>
  <si>
    <t>Indianapolis</t>
  </si>
  <si>
    <t>Del Rio</t>
  </si>
  <si>
    <t>Calexico</t>
  </si>
  <si>
    <t>TOTAL</t>
  </si>
  <si>
    <t>MUJER</t>
  </si>
  <si>
    <t>HOMBRE</t>
  </si>
  <si>
    <t>Género</t>
  </si>
  <si>
    <t>Mujer</t>
  </si>
  <si>
    <t>Hombre</t>
  </si>
  <si>
    <t>Más de 75 Años</t>
  </si>
  <si>
    <t>Entre 66 y 75 Años</t>
  </si>
  <si>
    <t>Entre 50 y 65 Años</t>
  </si>
  <si>
    <t>Entre 40 y 49 Años</t>
  </si>
  <si>
    <t>Entre 29 y 39 Años</t>
  </si>
  <si>
    <t>Entre 18 y 28 Años</t>
  </si>
  <si>
    <t>Entre 11 y 17 Años</t>
  </si>
  <si>
    <t>Hasta 10 Años</t>
  </si>
  <si>
    <t>Porcentaje con respecto al total de Matrículas</t>
  </si>
  <si>
    <t>Porcentaje con respecto al Género</t>
  </si>
  <si>
    <t>Edad Cumplida</t>
  </si>
  <si>
    <t>MATRÍCULAS CONSULARES EXPEDIDAS A ORIGINARIOS DE TAMAULIPAS POR GÉNERO Y EDAD EN EE.UU.</t>
  </si>
  <si>
    <t>Ministro(a)</t>
  </si>
  <si>
    <t>Panadero(a)</t>
  </si>
  <si>
    <t>Carnicero</t>
  </si>
  <si>
    <t>Cajero(a)</t>
  </si>
  <si>
    <t>Operario(a)</t>
  </si>
  <si>
    <t>Jubilado(a)</t>
  </si>
  <si>
    <t>Chofer</t>
  </si>
  <si>
    <t>Mesero(a)</t>
  </si>
  <si>
    <t>Campesino(a)</t>
  </si>
  <si>
    <t>Profesionista</t>
  </si>
  <si>
    <t>Pintor(a)</t>
  </si>
  <si>
    <t>Cocinero(a)</t>
  </si>
  <si>
    <t>Albañil</t>
  </si>
  <si>
    <t>Jardinero(a)</t>
  </si>
  <si>
    <t>Comerciante</t>
  </si>
  <si>
    <t>Otro</t>
  </si>
  <si>
    <t>Obrero(a)</t>
  </si>
  <si>
    <t>Estudiante</t>
  </si>
  <si>
    <t>Hogar</t>
  </si>
  <si>
    <t>Empleado(a)</t>
  </si>
  <si>
    <t>Ocupación</t>
  </si>
  <si>
    <t>Misionero(a)</t>
  </si>
  <si>
    <t>MATRÍCULAS CONSULARES DE ALTA SEGURIDAD EXPEDIDAS A ORIGINARIOS DE TAMAULIPAS POR ESTADO DE LA UNIÓN AMERICANA. DURANTE EL 2021</t>
  </si>
  <si>
    <t>District of Columbia</t>
  </si>
  <si>
    <t>Maine</t>
  </si>
  <si>
    <t>Tamaño de la muestra: 701,861</t>
  </si>
  <si>
    <t>Mayo de 2022</t>
  </si>
  <si>
    <t>MATRÍCULAS CONSULARES DE ALTA SEGURIDAD EXPEDIDAS DURANTE EL 2021 A ORIGINARIOS DE TAMAULIPAS EN LOS CONSULADOS DE MÉXICO EN EE.UU.</t>
  </si>
  <si>
    <t>MATRÍCULAS CONSULARES DE ALTA SEGURIDAD EXPEDIDAS POR MUNICIPIO A ORIGINARIOS DEL ESTADO DE TAMAULIPAS EN LOS CONSULADOS DE MÉXICO EN EE.UU. 2021</t>
  </si>
  <si>
    <t>MATRÍCULAS CONSULARES EXPEDIDAS EN EE.UU. A ORIGINARIOS DE TAMAULIPAS POR NIVEL DE EDUCACIÓN, 2021</t>
  </si>
  <si>
    <t>MATRÍCULAS CONSULARES EXPEDIDAS A ORIGINARIOS DE TAMAULIPAS POR GÉNERO EN EE.UU DURANTE EL 2021</t>
  </si>
  <si>
    <t>MATRÍCULAS CONSULARES EXPEDIDAS A ORIGINARIOS DE TAMAULIPAS POR GÉNERO Y CONSULADO DE MÉXICO 2021</t>
  </si>
  <si>
    <t>MATRÍCULAS CONSULARES EXPEDIDAS EN EE.UU. A ORIGINARIOS DE TAMAULIPAS POR PERFIL OCUPACIONAL, 2021</t>
  </si>
  <si>
    <t>Planchador(a)</t>
  </si>
  <si>
    <t>Cirujano(a)</t>
  </si>
  <si>
    <t xml:space="preserve">  Matrículas consulares expedidas a originarios de Tamaulipas en el 2021.</t>
  </si>
  <si>
    <t>LOS 10 CONSULADOS DE MÉXICO EN EE.UU. CON MAYOR NÚMERO DE EXPEDICIÓN DE MATRÍCULAS CONSULARES DURANTE EL 2021 A ORIGINARIOS DE TAMAULIPAS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</si>
</sst>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#.0%"/>
    <numFmt numFmtId="165" formatCode="#,###"/>
  </numFmts>
  <fonts count="25">
    <font>
      <sz val="11"/>
      <color theme="1"/>
      <name val="Calibri"/>
      <family val="2"/>
      <scheme val="minor"/>
    </font>
    <font>
      <sz val="11"/>
      <color theme="1"/>
      <name val="Montserrat"/>
    </font>
    <font>
      <u/>
      <sz val="11"/>
      <color theme="10"/>
      <name val="Calibri"/>
      <family val="2"/>
      <scheme val="minor"/>
    </font>
    <font>
      <sz val="10"/>
      <name val="Arial"/>
      <family val="2"/>
    </font>
    <font>
      <sz val="7"/>
      <color indexed="8"/>
      <name val="Montserrat"/>
    </font>
    <font>
      <b/>
      <sz val="9"/>
      <color theme="0"/>
      <name val="Montserrat"/>
    </font>
    <font>
      <sz val="9"/>
      <color rgb="FF000000"/>
      <name val="Montserrat"/>
    </font>
    <font>
      <sz val="9"/>
      <color theme="1"/>
      <name val="Montserrat"/>
    </font>
    <font>
      <sz val="11"/>
      <color theme="1"/>
      <name val="Soberana Sans"/>
      <family val="3"/>
    </font>
    <font>
      <sz val="8"/>
      <color theme="1"/>
      <name val="Arial"/>
      <family val="2"/>
    </font>
    <font>
      <sz val="11"/>
      <color theme="1"/>
      <name val="Arial Narrow"/>
      <family val="2"/>
    </font>
    <font>
      <sz val="10"/>
      <color theme="1"/>
      <name val="Montserrat"/>
    </font>
    <font>
      <sz val="11"/>
      <name val="Calibri"/>
      <family val="2"/>
      <scheme val="minor"/>
    </font>
    <font>
      <sz val="11"/>
      <name val="Soberana Sans"/>
      <family val="3"/>
    </font>
    <font>
      <sz val="9"/>
      <name val="Montserrat"/>
    </font>
    <font>
      <sz val="8"/>
      <color theme="1"/>
      <name val="Soberana Sans"/>
      <family val="3"/>
    </font>
    <font>
      <sz val="11"/>
      <color indexed="8"/>
      <name val="Calibri"/>
      <family val="2"/>
    </font>
    <font>
      <b/>
      <sz val="9"/>
      <color indexed="9"/>
      <name val="Montserrat"/>
    </font>
    <font>
      <b/>
      <sz val="11"/>
      <name val="Arial Narrow"/>
      <family val="2"/>
    </font>
    <font>
      <sz val="8"/>
      <color indexed="8"/>
      <name val="Soberana Sans"/>
      <family val="3"/>
    </font>
    <font>
      <sz val="10"/>
      <name val="Montserrat"/>
    </font>
    <font>
      <b/>
      <sz val="12"/>
      <color theme="0"/>
      <name val="Montserrat"/>
    </font>
    <font>
      <sz val="12"/>
      <color theme="1"/>
      <name val="Montserrat"/>
    </font>
    <font>
      <u/>
      <sz val="12"/>
      <color theme="10"/>
      <name val="Montserrat"/>
    </font>
    <font>
      <sz val="7"/>
      <color theme="1"/>
      <name val="Montserrat"/>
    </font>
  </fonts>
  <fills count="7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4.9989318521683403E-2"/>
        <bgColor indexed="64"/>
      </patternFill>
    </fill>
  </fills>
  <borders count="1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</borders>
  <cellStyleXfs count="4">
    <xf numFmtId="0" fontId="0" fillId="0" borderId="0"/>
    <xf numFmtId="0" fontId="2" fillId="0" borderId="0" applyNumberFormat="0" applyFill="0" applyBorder="0" applyAlignment="0" applyProtection="0"/>
    <xf numFmtId="0" fontId="3" fillId="0" borderId="0"/>
    <xf numFmtId="0" fontId="16" fillId="0" borderId="0"/>
  </cellStyleXfs>
  <cellXfs count="101">
    <xf numFmtId="0" fontId="0" fillId="0" borderId="0" xfId="0"/>
    <xf numFmtId="0" fontId="1" fillId="0" borderId="0" xfId="0" applyFont="1"/>
    <xf numFmtId="0" fontId="1" fillId="0" borderId="4" xfId="0" applyFont="1" applyBorder="1" applyAlignment="1">
      <alignment horizontal="left"/>
    </xf>
    <xf numFmtId="0" fontId="1" fillId="0" borderId="0" xfId="0" applyFont="1" applyBorder="1" applyAlignment="1">
      <alignment horizontal="left"/>
    </xf>
    <xf numFmtId="0" fontId="1" fillId="0" borderId="5" xfId="0" applyFont="1" applyBorder="1" applyAlignment="1">
      <alignment horizontal="left"/>
    </xf>
    <xf numFmtId="0" fontId="1" fillId="0" borderId="4" xfId="0" applyFont="1" applyBorder="1" applyAlignment="1"/>
    <xf numFmtId="0" fontId="1" fillId="0" borderId="0" xfId="0" applyFont="1" applyBorder="1" applyAlignment="1"/>
    <xf numFmtId="0" fontId="1" fillId="0" borderId="5" xfId="0" applyFont="1" applyBorder="1" applyAlignment="1"/>
    <xf numFmtId="0" fontId="1" fillId="0" borderId="4" xfId="0" applyFont="1" applyBorder="1"/>
    <xf numFmtId="0" fontId="1" fillId="0" borderId="0" xfId="0" applyFont="1" applyBorder="1"/>
    <xf numFmtId="0" fontId="1" fillId="0" borderId="5" xfId="0" applyFont="1" applyBorder="1"/>
    <xf numFmtId="0" fontId="1" fillId="0" borderId="6" xfId="0" applyFont="1" applyBorder="1"/>
    <xf numFmtId="0" fontId="1" fillId="0" borderId="7" xfId="0" applyFont="1" applyBorder="1"/>
    <xf numFmtId="0" fontId="1" fillId="0" borderId="8" xfId="0" applyFont="1" applyBorder="1"/>
    <xf numFmtId="0" fontId="0" fillId="3" borderId="0" xfId="0" applyFont="1" applyFill="1"/>
    <xf numFmtId="3" fontId="0" fillId="3" borderId="0" xfId="0" applyNumberFormat="1" applyFont="1" applyFill="1"/>
    <xf numFmtId="0" fontId="4" fillId="3" borderId="0" xfId="0" applyFont="1" applyFill="1"/>
    <xf numFmtId="0" fontId="4" fillId="3" borderId="0" xfId="0" applyFont="1" applyFill="1" applyAlignment="1">
      <alignment vertical="top"/>
    </xf>
    <xf numFmtId="0" fontId="4" fillId="3" borderId="0" xfId="0" applyFont="1" applyFill="1" applyAlignment="1">
      <alignment vertical="center"/>
    </xf>
    <xf numFmtId="164" fontId="5" fillId="4" borderId="9" xfId="0" applyNumberFormat="1" applyFont="1" applyFill="1" applyBorder="1" applyAlignment="1">
      <alignment horizontal="right" vertical="center" wrapText="1"/>
    </xf>
    <xf numFmtId="3" fontId="5" fillId="4" borderId="9" xfId="0" applyNumberFormat="1" applyFont="1" applyFill="1" applyBorder="1" applyAlignment="1">
      <alignment horizontal="right" vertical="center" wrapText="1"/>
    </xf>
    <xf numFmtId="49" fontId="5" fillId="4" borderId="9" xfId="0" applyNumberFormat="1" applyFont="1" applyFill="1" applyBorder="1" applyAlignment="1">
      <alignment vertical="center" wrapText="1"/>
    </xf>
    <xf numFmtId="164" fontId="6" fillId="3" borderId="9" xfId="0" applyNumberFormat="1" applyFont="1" applyFill="1" applyBorder="1" applyAlignment="1">
      <alignment horizontal="right" vertical="center" wrapText="1"/>
    </xf>
    <xf numFmtId="3" fontId="6" fillId="3" borderId="9" xfId="0" applyNumberFormat="1" applyFont="1" applyFill="1" applyBorder="1" applyAlignment="1">
      <alignment horizontal="right" vertical="center" wrapText="1"/>
    </xf>
    <xf numFmtId="49" fontId="7" fillId="3" borderId="9" xfId="0" applyNumberFormat="1" applyFont="1" applyFill="1" applyBorder="1" applyAlignment="1">
      <alignment vertical="center" wrapText="1"/>
    </xf>
    <xf numFmtId="0" fontId="8" fillId="3" borderId="0" xfId="0" applyFont="1" applyFill="1"/>
    <xf numFmtId="0" fontId="9" fillId="0" borderId="0" xfId="0" applyFont="1"/>
    <xf numFmtId="0" fontId="5" fillId="2" borderId="10" xfId="0" applyFont="1" applyFill="1" applyBorder="1" applyAlignment="1">
      <alignment horizontal="center" vertical="center" wrapText="1"/>
    </xf>
    <xf numFmtId="1" fontId="5" fillId="2" borderId="10" xfId="0" applyNumberFormat="1" applyFont="1" applyFill="1" applyBorder="1" applyAlignment="1">
      <alignment horizontal="center" vertical="center" wrapText="1"/>
    </xf>
    <xf numFmtId="0" fontId="5" fillId="2" borderId="11" xfId="0" applyFont="1" applyFill="1" applyBorder="1" applyAlignment="1">
      <alignment horizontal="center" vertical="center" wrapText="1"/>
    </xf>
    <xf numFmtId="0" fontId="10" fillId="0" borderId="0" xfId="0" applyFont="1" applyBorder="1" applyAlignment="1">
      <alignment horizontal="center" vertical="center" wrapText="1"/>
    </xf>
    <xf numFmtId="3" fontId="9" fillId="0" borderId="0" xfId="0" applyNumberFormat="1" applyFont="1"/>
    <xf numFmtId="1" fontId="9" fillId="0" borderId="0" xfId="0" applyNumberFormat="1" applyFont="1"/>
    <xf numFmtId="0" fontId="1" fillId="0" borderId="4" xfId="0" applyFont="1" applyBorder="1" applyAlignment="1">
      <alignment horizontal="left" wrapText="1"/>
    </xf>
    <xf numFmtId="0" fontId="1" fillId="0" borderId="0" xfId="0" applyFont="1" applyBorder="1" applyAlignment="1">
      <alignment horizontal="left" wrapText="1"/>
    </xf>
    <xf numFmtId="0" fontId="1" fillId="0" borderId="5" xfId="0" applyFont="1" applyBorder="1" applyAlignment="1">
      <alignment horizontal="left" wrapText="1"/>
    </xf>
    <xf numFmtId="0" fontId="12" fillId="3" borderId="0" xfId="0" applyFont="1" applyFill="1"/>
    <xf numFmtId="0" fontId="13" fillId="3" borderId="0" xfId="0" applyFont="1" applyFill="1"/>
    <xf numFmtId="164" fontId="5" fillId="5" borderId="9" xfId="2" applyNumberFormat="1" applyFont="1" applyFill="1" applyBorder="1" applyAlignment="1">
      <alignment horizontal="right" vertical="top" wrapText="1"/>
    </xf>
    <xf numFmtId="165" fontId="5" fillId="5" borderId="9" xfId="2" applyNumberFormat="1" applyFont="1" applyFill="1" applyBorder="1" applyAlignment="1">
      <alignment horizontal="right" vertical="top" wrapText="1"/>
    </xf>
    <xf numFmtId="49" fontId="5" fillId="5" borderId="9" xfId="2" applyNumberFormat="1" applyFont="1" applyFill="1" applyBorder="1" applyAlignment="1">
      <alignment vertical="top" wrapText="1"/>
    </xf>
    <xf numFmtId="164" fontId="14" fillId="3" borderId="9" xfId="2" applyNumberFormat="1" applyFont="1" applyFill="1" applyBorder="1" applyAlignment="1">
      <alignment horizontal="right" vertical="top" wrapText="1"/>
    </xf>
    <xf numFmtId="165" fontId="14" fillId="3" borderId="9" xfId="2" applyNumberFormat="1" applyFont="1" applyFill="1" applyBorder="1" applyAlignment="1">
      <alignment horizontal="right" vertical="top" wrapText="1"/>
    </xf>
    <xf numFmtId="49" fontId="14" fillId="3" borderId="9" xfId="2" applyNumberFormat="1" applyFont="1" applyFill="1" applyBorder="1" applyAlignment="1">
      <alignment vertical="top" wrapText="1"/>
    </xf>
    <xf numFmtId="0" fontId="15" fillId="3" borderId="0" xfId="0" applyFont="1" applyFill="1"/>
    <xf numFmtId="0" fontId="17" fillId="2" borderId="10" xfId="3" applyFont="1" applyFill="1" applyBorder="1" applyAlignment="1">
      <alignment horizontal="center" vertical="center" wrapText="1"/>
    </xf>
    <xf numFmtId="1" fontId="17" fillId="2" borderId="10" xfId="3" applyNumberFormat="1" applyFont="1" applyFill="1" applyBorder="1" applyAlignment="1">
      <alignment horizontal="center" vertical="center" wrapText="1"/>
    </xf>
    <xf numFmtId="0" fontId="5" fillId="2" borderId="10" xfId="3" applyFont="1" applyFill="1" applyBorder="1" applyAlignment="1">
      <alignment horizontal="center" vertical="center" wrapText="1"/>
    </xf>
    <xf numFmtId="0" fontId="9" fillId="3" borderId="0" xfId="0" applyFont="1" applyFill="1"/>
    <xf numFmtId="0" fontId="18" fillId="3" borderId="0" xfId="0" applyFont="1" applyFill="1" applyAlignment="1"/>
    <xf numFmtId="0" fontId="15" fillId="3" borderId="0" xfId="0" applyFont="1" applyFill="1" applyAlignment="1">
      <alignment vertical="center"/>
    </xf>
    <xf numFmtId="0" fontId="9" fillId="3" borderId="0" xfId="0" applyFont="1" applyFill="1" applyBorder="1"/>
    <xf numFmtId="3" fontId="9" fillId="3" borderId="0" xfId="0" applyNumberFormat="1" applyFont="1" applyFill="1" applyBorder="1"/>
    <xf numFmtId="1" fontId="9" fillId="3" borderId="0" xfId="0" applyNumberFormat="1" applyFont="1" applyFill="1" applyBorder="1"/>
    <xf numFmtId="0" fontId="15" fillId="3" borderId="0" xfId="0" applyFont="1" applyFill="1" applyBorder="1"/>
    <xf numFmtId="0" fontId="15" fillId="3" borderId="0" xfId="0" applyFont="1" applyFill="1" applyBorder="1" applyAlignment="1">
      <alignment vertical="center"/>
    </xf>
    <xf numFmtId="0" fontId="19" fillId="0" borderId="0" xfId="0" applyFont="1" applyAlignment="1">
      <alignment vertical="top"/>
    </xf>
    <xf numFmtId="0" fontId="19" fillId="0" borderId="0" xfId="0" applyFont="1" applyAlignment="1">
      <alignment horizontal="justify" vertical="center"/>
    </xf>
    <xf numFmtId="3" fontId="8" fillId="3" borderId="0" xfId="0" applyNumberFormat="1" applyFont="1" applyFill="1"/>
    <xf numFmtId="3" fontId="9" fillId="3" borderId="0" xfId="0" applyNumberFormat="1" applyFont="1" applyFill="1"/>
    <xf numFmtId="49" fontId="7" fillId="3" borderId="9" xfId="0" applyNumberFormat="1" applyFont="1" applyFill="1" applyBorder="1" applyAlignment="1">
      <alignment horizontal="left" vertical="center" wrapText="1"/>
    </xf>
    <xf numFmtId="0" fontId="0" fillId="3" borderId="0" xfId="0" applyFill="1"/>
    <xf numFmtId="0" fontId="17" fillId="2" borderId="9" xfId="3" applyFont="1" applyFill="1" applyBorder="1" applyAlignment="1">
      <alignment horizontal="center" vertical="center" wrapText="1"/>
    </xf>
    <xf numFmtId="0" fontId="0" fillId="3" borderId="0" xfId="0" applyFont="1" applyFill="1" applyBorder="1"/>
    <xf numFmtId="0" fontId="3" fillId="3" borderId="0" xfId="0" applyFont="1" applyFill="1" applyBorder="1"/>
    <xf numFmtId="0" fontId="9" fillId="3" borderId="0" xfId="0" applyFont="1" applyFill="1" applyBorder="1" applyAlignment="1">
      <alignment vertical="center"/>
    </xf>
    <xf numFmtId="0" fontId="9" fillId="0" borderId="0" xfId="0" applyFont="1" applyBorder="1" applyAlignment="1">
      <alignment vertical="center"/>
    </xf>
    <xf numFmtId="0" fontId="20" fillId="3" borderId="16" xfId="0" applyFont="1" applyFill="1" applyBorder="1" applyAlignment="1">
      <alignment horizontal="center" vertical="distributed"/>
    </xf>
    <xf numFmtId="9" fontId="5" fillId="4" borderId="9" xfId="0" applyNumberFormat="1" applyFont="1" applyFill="1" applyBorder="1" applyAlignment="1">
      <alignment horizontal="right" vertical="center" wrapText="1"/>
    </xf>
    <xf numFmtId="3" fontId="5" fillId="4" borderId="9" xfId="0" applyNumberFormat="1" applyFont="1" applyFill="1" applyBorder="1" applyAlignment="1">
      <alignment horizontal="right" wrapText="1"/>
    </xf>
    <xf numFmtId="164" fontId="5" fillId="4" borderId="9" xfId="0" applyNumberFormat="1" applyFont="1" applyFill="1" applyBorder="1" applyAlignment="1">
      <alignment horizontal="right" wrapText="1"/>
    </xf>
    <xf numFmtId="0" fontId="22" fillId="0" borderId="4" xfId="0" applyFont="1" applyBorder="1"/>
    <xf numFmtId="0" fontId="24" fillId="3" borderId="0" xfId="0" applyFont="1" applyFill="1"/>
    <xf numFmtId="49" fontId="5" fillId="5" borderId="12" xfId="0" applyNumberFormat="1" applyFont="1" applyFill="1" applyBorder="1" applyAlignment="1">
      <alignment vertical="center" wrapText="1"/>
    </xf>
    <xf numFmtId="3" fontId="5" fillId="5" borderId="9" xfId="0" applyNumberFormat="1" applyFont="1" applyFill="1" applyBorder="1" applyAlignment="1">
      <alignment horizontal="right" vertical="center" wrapText="1"/>
    </xf>
    <xf numFmtId="164" fontId="5" fillId="5" borderId="9" xfId="0" applyNumberFormat="1" applyFont="1" applyFill="1" applyBorder="1" applyAlignment="1">
      <alignment horizontal="right" vertical="center" wrapText="1"/>
    </xf>
    <xf numFmtId="49" fontId="7" fillId="6" borderId="9" xfId="0" applyNumberFormat="1" applyFont="1" applyFill="1" applyBorder="1" applyAlignment="1">
      <alignment horizontal="left" vertical="center" wrapText="1"/>
    </xf>
    <xf numFmtId="3" fontId="6" fillId="6" borderId="9" xfId="0" applyNumberFormat="1" applyFont="1" applyFill="1" applyBorder="1" applyAlignment="1">
      <alignment horizontal="right" vertical="center" wrapText="1"/>
    </xf>
    <xf numFmtId="164" fontId="6" fillId="6" borderId="9" xfId="0" applyNumberFormat="1" applyFont="1" applyFill="1" applyBorder="1" applyAlignment="1">
      <alignment horizontal="right" vertical="center" wrapText="1"/>
    </xf>
    <xf numFmtId="0" fontId="23" fillId="0" borderId="4" xfId="1" applyFont="1" applyBorder="1" applyAlignment="1">
      <alignment horizontal="left"/>
    </xf>
    <xf numFmtId="0" fontId="23" fillId="0" borderId="0" xfId="1" applyFont="1" applyBorder="1" applyAlignment="1">
      <alignment horizontal="left"/>
    </xf>
    <xf numFmtId="0" fontId="21" fillId="2" borderId="1" xfId="0" applyFont="1" applyFill="1" applyBorder="1" applyAlignment="1">
      <alignment horizontal="center" wrapText="1"/>
    </xf>
    <xf numFmtId="0" fontId="21" fillId="2" borderId="2" xfId="0" applyFont="1" applyFill="1" applyBorder="1" applyAlignment="1">
      <alignment horizontal="center" wrapText="1"/>
    </xf>
    <xf numFmtId="0" fontId="21" fillId="2" borderId="3" xfId="0" applyFont="1" applyFill="1" applyBorder="1" applyAlignment="1">
      <alignment horizontal="center" wrapText="1"/>
    </xf>
    <xf numFmtId="0" fontId="22" fillId="0" borderId="4" xfId="0" applyFont="1" applyBorder="1" applyAlignment="1">
      <alignment horizontal="left" wrapText="1"/>
    </xf>
    <xf numFmtId="0" fontId="22" fillId="0" borderId="0" xfId="0" applyFont="1" applyBorder="1" applyAlignment="1">
      <alignment horizontal="left" wrapText="1"/>
    </xf>
    <xf numFmtId="0" fontId="22" fillId="0" borderId="5" xfId="0" applyFont="1" applyBorder="1" applyAlignment="1">
      <alignment horizontal="left" wrapText="1"/>
    </xf>
    <xf numFmtId="0" fontId="23" fillId="0" borderId="5" xfId="1" applyFont="1" applyBorder="1" applyAlignment="1">
      <alignment horizontal="left"/>
    </xf>
    <xf numFmtId="0" fontId="11" fillId="0" borderId="0" xfId="0" applyFont="1" applyBorder="1" applyAlignment="1">
      <alignment horizontal="center" vertical="center" wrapText="1"/>
    </xf>
    <xf numFmtId="49" fontId="5" fillId="4" borderId="13" xfId="0" applyNumberFormat="1" applyFont="1" applyFill="1" applyBorder="1" applyAlignment="1">
      <alignment horizontal="center" vertical="center" wrapText="1"/>
    </xf>
    <xf numFmtId="49" fontId="5" fillId="4" borderId="12" xfId="0" applyNumberFormat="1" applyFont="1" applyFill="1" applyBorder="1" applyAlignment="1">
      <alignment horizontal="center" vertical="center" wrapText="1"/>
    </xf>
    <xf numFmtId="49" fontId="14" fillId="3" borderId="10" xfId="2" applyNumberFormat="1" applyFont="1" applyFill="1" applyBorder="1" applyAlignment="1">
      <alignment horizontal="center" vertical="center" wrapText="1"/>
    </xf>
    <xf numFmtId="49" fontId="14" fillId="3" borderId="15" xfId="2" applyNumberFormat="1" applyFont="1" applyFill="1" applyBorder="1" applyAlignment="1">
      <alignment horizontal="center" vertical="center" wrapText="1"/>
    </xf>
    <xf numFmtId="49" fontId="14" fillId="3" borderId="14" xfId="2" applyNumberFormat="1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 wrapText="1"/>
    </xf>
    <xf numFmtId="49" fontId="7" fillId="3" borderId="10" xfId="0" applyNumberFormat="1" applyFont="1" applyFill="1" applyBorder="1" applyAlignment="1">
      <alignment horizontal="center" vertical="center" wrapText="1"/>
    </xf>
    <xf numFmtId="49" fontId="7" fillId="3" borderId="15" xfId="0" applyNumberFormat="1" applyFont="1" applyFill="1" applyBorder="1" applyAlignment="1">
      <alignment horizontal="center" vertical="center" wrapText="1"/>
    </xf>
    <xf numFmtId="49" fontId="7" fillId="3" borderId="14" xfId="0" applyNumberFormat="1" applyFont="1" applyFill="1" applyBorder="1" applyAlignment="1">
      <alignment horizontal="center" vertical="center" wrapText="1"/>
    </xf>
    <xf numFmtId="49" fontId="7" fillId="6" borderId="10" xfId="0" applyNumberFormat="1" applyFont="1" applyFill="1" applyBorder="1" applyAlignment="1">
      <alignment horizontal="center" vertical="center" wrapText="1"/>
    </xf>
    <xf numFmtId="49" fontId="7" fillId="6" borderId="15" xfId="0" applyNumberFormat="1" applyFont="1" applyFill="1" applyBorder="1" applyAlignment="1">
      <alignment horizontal="center" vertical="center" wrapText="1"/>
    </xf>
    <xf numFmtId="49" fontId="7" fillId="6" borderId="14" xfId="0" applyNumberFormat="1" applyFont="1" applyFill="1" applyBorder="1" applyAlignment="1">
      <alignment horizontal="center" vertical="center" wrapText="1"/>
    </xf>
  </cellXfs>
  <cellStyles count="4">
    <cellStyle name="Hipervínculo" xfId="1" builtinId="8"/>
    <cellStyle name="Normal" xfId="0" builtinId="0"/>
    <cellStyle name="Normal 2" xfId="2"/>
    <cellStyle name="Normal_Hoja1" xf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&#205;ndice!A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10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11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12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4.jpeg"/><Relationship Id="rId1" Type="http://schemas.openxmlformats.org/officeDocument/2006/relationships/image" Target="../media/image3.png"/></Relationships>
</file>

<file path=xl/drawings/_rels/drawing13.xml.rels><?xml version="1.0" encoding="UTF-8" standalone="yes"?>
<Relationships xmlns="http://schemas.openxmlformats.org/package/2006/relationships"><Relationship Id="rId2" Type="http://schemas.openxmlformats.org/officeDocument/2006/relationships/image" Target="../media/image4.jpeg"/><Relationship Id="rId1" Type="http://schemas.openxmlformats.org/officeDocument/2006/relationships/image" Target="../media/image3.png"/></Relationships>
</file>

<file path=xl/drawings/_rels/drawing14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515066</xdr:colOff>
      <xdr:row>1</xdr:row>
      <xdr:rowOff>212417</xdr:rowOff>
    </xdr:from>
    <xdr:to>
      <xdr:col>3</xdr:col>
      <xdr:colOff>1027163</xdr:colOff>
      <xdr:row>2</xdr:row>
      <xdr:rowOff>212417</xdr:rowOff>
    </xdr:to>
    <xdr:sp macro="" textlink="">
      <xdr:nvSpPr>
        <xdr:cNvPr id="2" name="Rectángulo redondeado 1">
          <a:hlinkClick xmlns:r="http://schemas.openxmlformats.org/officeDocument/2006/relationships" r:id="rId1"/>
        </xdr:cNvPr>
        <xdr:cNvSpPr/>
      </xdr:nvSpPr>
      <xdr:spPr>
        <a:xfrm>
          <a:off x="3839291" y="745817"/>
          <a:ext cx="512097" cy="2286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TAMAULIPAS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133350</xdr:colOff>
      <xdr:row>7</xdr:row>
      <xdr:rowOff>95250</xdr:rowOff>
    </xdr:from>
    <xdr:to>
      <xdr:col>5</xdr:col>
      <xdr:colOff>26322</xdr:colOff>
      <xdr:row>8</xdr:row>
      <xdr:rowOff>95250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3181350" y="1428750"/>
          <a:ext cx="654972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TAMAULIPAS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257175</xdr:colOff>
      <xdr:row>7</xdr:row>
      <xdr:rowOff>180975</xdr:rowOff>
    </xdr:from>
    <xdr:to>
      <xdr:col>5</xdr:col>
      <xdr:colOff>150147</xdr:colOff>
      <xdr:row>8</xdr:row>
      <xdr:rowOff>174830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3305175" y="1514475"/>
          <a:ext cx="654972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TAMAULIPAS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247650</xdr:colOff>
      <xdr:row>8</xdr:row>
      <xdr:rowOff>0</xdr:rowOff>
    </xdr:from>
    <xdr:to>
      <xdr:col>5</xdr:col>
      <xdr:colOff>140622</xdr:colOff>
      <xdr:row>8</xdr:row>
      <xdr:rowOff>184355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3295650" y="1524000"/>
          <a:ext cx="654972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TAMAULIPAS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171450</xdr:colOff>
      <xdr:row>8</xdr:row>
      <xdr:rowOff>9525</xdr:rowOff>
    </xdr:from>
    <xdr:to>
      <xdr:col>5</xdr:col>
      <xdr:colOff>64422</xdr:colOff>
      <xdr:row>8</xdr:row>
      <xdr:rowOff>193880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600575" y="1724025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TAMAULIPAS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xmlns="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POR MUNICIPIO A ORIGINARIOS DEL ESTADO DE TAMAULIPAS POR ESTADO EN EE.UU. 2021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:a16="http://schemas.microsoft.com/office/drawing/2014/main" xmlns="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5</xdr:col>
      <xdr:colOff>223299</xdr:colOff>
      <xdr:row>7</xdr:row>
      <xdr:rowOff>48325</xdr:rowOff>
    </xdr:from>
    <xdr:to>
      <xdr:col>5</xdr:col>
      <xdr:colOff>735396</xdr:colOff>
      <xdr:row>7</xdr:row>
      <xdr:rowOff>232680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983123" y="1796443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TAMAULIPAS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xmlns="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POR MUNICIPIO A ORIGINARIOS DEL ESTADO DE TAMAULIPAS EN LOS CONSULADOS DE MÉXICO EN EE.UU. 2021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:a16="http://schemas.microsoft.com/office/drawing/2014/main" xmlns="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545224</xdr:colOff>
      <xdr:row>7</xdr:row>
      <xdr:rowOff>118241</xdr:rowOff>
    </xdr:from>
    <xdr:to>
      <xdr:col>4</xdr:col>
      <xdr:colOff>1057321</xdr:colOff>
      <xdr:row>7</xdr:row>
      <xdr:rowOff>302596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182914" y="1859017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TAMAULIPAS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171450</xdr:colOff>
      <xdr:row>7</xdr:row>
      <xdr:rowOff>171450</xdr:rowOff>
    </xdr:from>
    <xdr:to>
      <xdr:col>5</xdr:col>
      <xdr:colOff>64422</xdr:colOff>
      <xdr:row>8</xdr:row>
      <xdr:rowOff>165305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600575" y="1695450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TAMAULIPAS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="" xmlns:a16="http://schemas.microsoft.com/office/drawing/2014/main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A ORIGINARIOS DEL ESTADO DE TAMAULIPAS POR NIVEL DE EDUCACIÓN Y ESTADO EN EE.UU. DURANTE EL 2021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="" xmlns:a16="http://schemas.microsoft.com/office/drawing/2014/main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515937</xdr:colOff>
      <xdr:row>7</xdr:row>
      <xdr:rowOff>109141</xdr:rowOff>
    </xdr:from>
    <xdr:to>
      <xdr:col>4</xdr:col>
      <xdr:colOff>1028034</xdr:colOff>
      <xdr:row>7</xdr:row>
      <xdr:rowOff>293496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159375" y="1845469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TAMAULIPAS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="" xmlns:a16="http://schemas.microsoft.com/office/drawing/2014/main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A ORIGINARIOS DEL ESTADO DE TAMAULIPAS POR CONSULADO Y NIVEL DE EDUCACIÓN EN EE.UU. DURANTE EL 2021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="" xmlns:a16="http://schemas.microsoft.com/office/drawing/2014/main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450645</xdr:colOff>
      <xdr:row>7</xdr:row>
      <xdr:rowOff>133145</xdr:rowOff>
    </xdr:from>
    <xdr:to>
      <xdr:col>4</xdr:col>
      <xdr:colOff>962742</xdr:colOff>
      <xdr:row>7</xdr:row>
      <xdr:rowOff>317500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100484" y="1894758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TAMAULIPAS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247650</xdr:colOff>
      <xdr:row>8</xdr:row>
      <xdr:rowOff>0</xdr:rowOff>
    </xdr:from>
    <xdr:to>
      <xdr:col>5</xdr:col>
      <xdr:colOff>140622</xdr:colOff>
      <xdr:row>8</xdr:row>
      <xdr:rowOff>184355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676775" y="1714500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5</xdr:col>
      <xdr:colOff>57150</xdr:colOff>
      <xdr:row>6</xdr:row>
      <xdr:rowOff>47625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C00-000002000000}"/>
            </a:ext>
          </a:extLst>
        </xdr:cNvPr>
        <xdr:cNvSpPr txBox="1"/>
      </xdr:nvSpPr>
      <xdr:spPr>
        <a:xfrm>
          <a:off x="762000" y="97254"/>
          <a:ext cx="3105150" cy="109337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TAMAULIPAS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4</xdr:col>
      <xdr:colOff>76200</xdr:colOff>
      <xdr:row>1</xdr:row>
      <xdr:rowOff>76200</xdr:rowOff>
    </xdr:from>
    <xdr:ext cx="853107" cy="335729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C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124200" y="266700"/>
          <a:ext cx="853107" cy="335729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38100</xdr:colOff>
      <xdr:row>0</xdr:row>
      <xdr:rowOff>123825</xdr:rowOff>
    </xdr:from>
    <xdr:ext cx="1097650" cy="598411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C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0100" y="123825"/>
          <a:ext cx="1097650" cy="598411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501854</xdr:colOff>
      <xdr:row>8</xdr:row>
      <xdr:rowOff>122903</xdr:rowOff>
    </xdr:from>
    <xdr:to>
      <xdr:col>5</xdr:col>
      <xdr:colOff>0</xdr:colOff>
      <xdr:row>9</xdr:row>
      <xdr:rowOff>112661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701048" y="1710403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6</xdr:col>
      <xdr:colOff>57150</xdr:colOff>
      <xdr:row>6</xdr:row>
      <xdr:rowOff>47625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C00-000002000000}"/>
            </a:ext>
          </a:extLst>
        </xdr:cNvPr>
        <xdr:cNvSpPr txBox="1"/>
      </xdr:nvSpPr>
      <xdr:spPr>
        <a:xfrm>
          <a:off x="762000" y="97254"/>
          <a:ext cx="3867150" cy="109337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TAMAULIPAS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5</xdr:col>
      <xdr:colOff>76200</xdr:colOff>
      <xdr:row>1</xdr:row>
      <xdr:rowOff>76200</xdr:rowOff>
    </xdr:from>
    <xdr:ext cx="853107" cy="335729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C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86200" y="266700"/>
          <a:ext cx="853107" cy="335729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38100</xdr:colOff>
      <xdr:row>0</xdr:row>
      <xdr:rowOff>123825</xdr:rowOff>
    </xdr:from>
    <xdr:ext cx="1097650" cy="598411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C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0100" y="123825"/>
          <a:ext cx="1097650" cy="598411"/>
        </a:xfrm>
        <a:prstGeom prst="rect">
          <a:avLst/>
        </a:prstGeom>
        <a:noFill/>
        <a:ln>
          <a:noFill/>
        </a:ln>
      </xdr:spPr>
    </xdr:pic>
    <xdr:clientData/>
  </xdr:one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TAMAULIPAS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3</xdr:col>
      <xdr:colOff>638175</xdr:colOff>
      <xdr:row>8</xdr:row>
      <xdr:rowOff>152400</xdr:rowOff>
    </xdr:from>
    <xdr:to>
      <xdr:col>3</xdr:col>
      <xdr:colOff>1150272</xdr:colOff>
      <xdr:row>8</xdr:row>
      <xdr:rowOff>336755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3886200" y="1866900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8"/>
  <sheetViews>
    <sheetView showGridLines="0" tabSelected="1" view="pageBreakPreview" zoomScaleNormal="100" zoomScaleSheetLayoutView="100" workbookViewId="0">
      <selection sqref="A1:D1"/>
    </sheetView>
  </sheetViews>
  <sheetFormatPr baseColWidth="10" defaultColWidth="11.42578125" defaultRowHeight="18"/>
  <cols>
    <col min="1" max="1" width="5.140625" style="1" customWidth="1"/>
    <col min="2" max="2" width="20" style="1" customWidth="1"/>
    <col min="3" max="3" width="24.7109375" style="1" customWidth="1"/>
    <col min="4" max="4" width="20.42578125" style="1" customWidth="1"/>
    <col min="5" max="16384" width="11.42578125" style="1"/>
  </cols>
  <sheetData>
    <row r="1" spans="1:4" ht="42" customHeight="1" thickBot="1">
      <c r="A1" s="81" t="s">
        <v>250</v>
      </c>
      <c r="B1" s="82"/>
      <c r="C1" s="82"/>
      <c r="D1" s="83"/>
    </row>
    <row r="2" spans="1:4">
      <c r="A2" s="2"/>
      <c r="B2" s="3"/>
      <c r="C2" s="3"/>
      <c r="D2" s="4"/>
    </row>
    <row r="3" spans="1:4">
      <c r="A3" s="84" t="s">
        <v>0</v>
      </c>
      <c r="B3" s="85"/>
      <c r="C3" s="85"/>
      <c r="D3" s="86"/>
    </row>
    <row r="4" spans="1:4">
      <c r="A4" s="84"/>
      <c r="B4" s="85"/>
      <c r="C4" s="85"/>
      <c r="D4" s="86"/>
    </row>
    <row r="5" spans="1:4">
      <c r="A5" s="33"/>
      <c r="B5" s="34"/>
      <c r="C5" s="34"/>
      <c r="D5" s="35"/>
    </row>
    <row r="6" spans="1:4" ht="18.75">
      <c r="A6" s="79" t="s">
        <v>1</v>
      </c>
      <c r="B6" s="80"/>
      <c r="C6" s="80"/>
      <c r="D6" s="87"/>
    </row>
    <row r="7" spans="1:4">
      <c r="A7" s="5"/>
      <c r="B7" s="6"/>
      <c r="C7" s="6"/>
      <c r="D7" s="7"/>
    </row>
    <row r="8" spans="1:4" ht="18.75">
      <c r="A8" s="79" t="s">
        <v>2</v>
      </c>
      <c r="B8" s="80"/>
      <c r="C8" s="80"/>
      <c r="D8" s="87"/>
    </row>
    <row r="9" spans="1:4" ht="18.75">
      <c r="A9" s="8"/>
      <c r="B9" s="79" t="s">
        <v>3</v>
      </c>
      <c r="C9" s="80"/>
      <c r="D9" s="80"/>
    </row>
    <row r="10" spans="1:4">
      <c r="A10" s="8"/>
      <c r="B10" s="9"/>
      <c r="C10" s="9"/>
      <c r="D10" s="10"/>
    </row>
    <row r="11" spans="1:4" ht="18.75">
      <c r="A11" s="71" t="s">
        <v>4</v>
      </c>
      <c r="B11" s="9"/>
      <c r="C11" s="9"/>
      <c r="D11" s="10"/>
    </row>
    <row r="12" spans="1:4" ht="18.75">
      <c r="A12" s="8"/>
      <c r="B12" s="79" t="s">
        <v>5</v>
      </c>
      <c r="C12" s="80"/>
      <c r="D12" s="80"/>
    </row>
    <row r="13" spans="1:4" ht="18.75">
      <c r="A13" s="8"/>
      <c r="B13" s="79" t="s">
        <v>6</v>
      </c>
      <c r="C13" s="80"/>
      <c r="D13" s="80"/>
    </row>
    <row r="14" spans="1:4" ht="18.75">
      <c r="A14" s="8"/>
      <c r="B14" s="79" t="s">
        <v>7</v>
      </c>
      <c r="C14" s="80"/>
      <c r="D14" s="80"/>
    </row>
    <row r="15" spans="1:4">
      <c r="A15" s="8"/>
      <c r="B15" s="9"/>
      <c r="C15" s="9"/>
      <c r="D15" s="10"/>
    </row>
    <row r="16" spans="1:4" ht="18.75">
      <c r="A16" s="71" t="s">
        <v>8</v>
      </c>
      <c r="B16" s="9"/>
      <c r="C16" s="9"/>
      <c r="D16" s="10"/>
    </row>
    <row r="17" spans="1:4" ht="18.75">
      <c r="A17" s="8"/>
      <c r="B17" s="79" t="s">
        <v>9</v>
      </c>
      <c r="C17" s="80"/>
      <c r="D17" s="80"/>
    </row>
    <row r="18" spans="1:4" ht="18.75">
      <c r="A18" s="8"/>
      <c r="B18" s="79" t="s">
        <v>10</v>
      </c>
      <c r="C18" s="80"/>
      <c r="D18" s="80"/>
    </row>
    <row r="19" spans="1:4" ht="18.75">
      <c r="A19" s="8"/>
      <c r="B19" s="79" t="s">
        <v>11</v>
      </c>
      <c r="C19" s="80"/>
      <c r="D19" s="80"/>
    </row>
    <row r="20" spans="1:4">
      <c r="A20" s="8"/>
      <c r="B20" s="9"/>
      <c r="C20" s="9"/>
      <c r="D20" s="10"/>
    </row>
    <row r="21" spans="1:4" ht="18.75">
      <c r="A21" s="71" t="s">
        <v>12</v>
      </c>
      <c r="B21" s="9"/>
      <c r="C21" s="9"/>
      <c r="D21" s="10"/>
    </row>
    <row r="22" spans="1:4" ht="18.75">
      <c r="A22" s="8"/>
      <c r="B22" s="79" t="s">
        <v>13</v>
      </c>
      <c r="C22" s="80"/>
      <c r="D22" s="80"/>
    </row>
    <row r="23" spans="1:4" ht="18.75">
      <c r="A23" s="8"/>
      <c r="B23" s="79" t="s">
        <v>14</v>
      </c>
      <c r="C23" s="80"/>
      <c r="D23" s="80"/>
    </row>
    <row r="24" spans="1:4">
      <c r="A24" s="8"/>
      <c r="B24" s="9"/>
      <c r="C24" s="9"/>
      <c r="D24" s="10"/>
    </row>
    <row r="25" spans="1:4" ht="18.75">
      <c r="A25" s="79" t="s">
        <v>15</v>
      </c>
      <c r="B25" s="80"/>
      <c r="C25" s="80"/>
      <c r="D25" s="87"/>
    </row>
    <row r="26" spans="1:4">
      <c r="A26" s="8"/>
      <c r="B26" s="9"/>
      <c r="C26" s="9"/>
      <c r="D26" s="10"/>
    </row>
    <row r="27" spans="1:4" ht="18.75">
      <c r="A27" s="79" t="s">
        <v>16</v>
      </c>
      <c r="B27" s="80"/>
      <c r="C27" s="80"/>
      <c r="D27" s="87"/>
    </row>
    <row r="28" spans="1:4" ht="18.75" thickBot="1">
      <c r="A28" s="11"/>
      <c r="B28" s="12"/>
      <c r="C28" s="12"/>
      <c r="D28" s="13"/>
    </row>
  </sheetData>
  <mergeCells count="15">
    <mergeCell ref="B23:D23"/>
    <mergeCell ref="A25:D25"/>
    <mergeCell ref="A27:D27"/>
    <mergeCell ref="B13:D13"/>
    <mergeCell ref="B14:D14"/>
    <mergeCell ref="B17:D17"/>
    <mergeCell ref="B18:D18"/>
    <mergeCell ref="B19:D19"/>
    <mergeCell ref="B22:D22"/>
    <mergeCell ref="B12:D12"/>
    <mergeCell ref="A1:D1"/>
    <mergeCell ref="A3:D4"/>
    <mergeCell ref="A6:D6"/>
    <mergeCell ref="A8:D8"/>
    <mergeCell ref="B9:D9"/>
  </mergeCells>
  <hyperlinks>
    <hyperlink ref="A6" location="Aguascalientes_EdoUsa!A1" display="1. Por Estados de USA"/>
    <hyperlink ref="A8" location="Aguascalientes_Cons_2018!A1" display="2. Por Circunscripción Consular"/>
    <hyperlink ref="B9" location="AguascalientesXCons2018!A1" display="2.1 Top ten por circunscripción consular"/>
    <hyperlink ref="B12" location="Aguascalientes_EdoMun!A1" display="3.1 Municipio general"/>
    <hyperlink ref="B13" location="Aguascalientes_USAMuni2016!A1" display="3.2 Por Estado de USA"/>
    <hyperlink ref="B14" location="Aguascalientes_MUNICIPIO!A1" display="3.3 Por Circunscripción Consular"/>
    <hyperlink ref="B17" location="Aguascalientes_educ_gral!A1" display="4.1 Educación general"/>
    <hyperlink ref="B18" location="Aguascalientes_NivelE_Cons!A1" display="4.2 Por Estado de USA"/>
    <hyperlink ref="B19" location="Aguascalientes_EducCons!A1" display="4.3 Por Circunscripción Consular"/>
    <hyperlink ref="B22" location="Aguascalientes_GenGral!A1" display="5.1 Género General"/>
    <hyperlink ref="B23" location="Aguascalientes_GENERO!A1" display="5.3 Por Circunscripción Consular"/>
    <hyperlink ref="A25" location="Aguascalientes_Gen_Edad!A1" display="6. Por estructura de Edad"/>
    <hyperlink ref="A27" location="Aguascalientes_ocup_gral!A1" display="7. Por Ocupación"/>
    <hyperlink ref="B13:D13" location="Tamaulipas_USAMuni!A1" display="3.2 Por Estado de USA"/>
    <hyperlink ref="A8:D8" location="Tamaulipas_Cons!A1" display="2. Por Circunscripción Consular"/>
    <hyperlink ref="B9:D9" location="TamaulipasXCons!A1" display="2.1 Top ten por circunscripción consular"/>
    <hyperlink ref="A6:D6" location="Tamaulipas_EdoUsa!A1" display="1. Por Estados de USA"/>
    <hyperlink ref="B12:D12" location="Tamaulipas_EdoMun!A1" display="3.1 Municipio general"/>
    <hyperlink ref="B14:D14" location="Tamaulipas_MUNICIPIO!A1" display="3.3 Por Circunscripción Consular"/>
    <hyperlink ref="B17:D17" location="Tamaulipas_educ_gral!A1" display="4.1 Educación general"/>
    <hyperlink ref="B18:D18" location="Tamaulipas_NivelE_Cons!A1" display="4.2 Por Estado de USA"/>
    <hyperlink ref="B19:D19" location="Tamaulipas_EducCons!A1" display="4.3 Por Circunscripción Consular"/>
    <hyperlink ref="B22:D22" location="Tamaulipas_GenGral!A1" display="5.1 Género General"/>
    <hyperlink ref="B23:D23" location="Tamaulipas_GENERO!A1" display="5.2 Por Circunscripción Consular"/>
    <hyperlink ref="A25:D25" location="Tamaulipas_Gen_Edad!A1" display="6. Por estructura de Edad"/>
    <hyperlink ref="A27:D27" location="Tamaulipas_ocup_gral!A1" display="7. Por Ocupación"/>
  </hyperlink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1:E65"/>
  <sheetViews>
    <sheetView showGridLines="0" topLeftCell="A47" zoomScaleNormal="100" zoomScaleSheetLayoutView="115" workbookViewId="0"/>
  </sheetViews>
  <sheetFormatPr baseColWidth="10" defaultColWidth="11.42578125" defaultRowHeight="15"/>
  <cols>
    <col min="1" max="1" width="9.28515625" style="14" customWidth="1"/>
    <col min="2" max="2" width="21.7109375" style="14" customWidth="1"/>
    <col min="3" max="3" width="17.7109375" style="15" customWidth="1"/>
    <col min="4" max="4" width="17.7109375" style="14" customWidth="1"/>
    <col min="5" max="5" width="9.28515625" style="14" customWidth="1"/>
    <col min="6" max="6" width="5.7109375" style="14" customWidth="1"/>
    <col min="7" max="16384" width="11.42578125" style="14"/>
  </cols>
  <sheetData>
    <row r="1" spans="1:5" s="26" customFormat="1" ht="15" customHeight="1">
      <c r="C1" s="32"/>
    </row>
    <row r="2" spans="1:5" s="26" customFormat="1" ht="15" customHeight="1">
      <c r="C2" s="32"/>
    </row>
    <row r="3" spans="1:5" s="26" customFormat="1" ht="15" customHeight="1">
      <c r="A3" s="26" t="s">
        <v>69</v>
      </c>
      <c r="C3" s="32"/>
    </row>
    <row r="4" spans="1:5" s="26" customFormat="1" ht="30" customHeight="1">
      <c r="C4" s="32"/>
      <c r="D4" s="31"/>
    </row>
    <row r="5" spans="1:5" s="26" customFormat="1" ht="15" customHeight="1">
      <c r="C5" s="32"/>
      <c r="D5" s="31"/>
    </row>
    <row r="6" spans="1:5" s="26" customFormat="1" ht="15" customHeight="1">
      <c r="C6" s="32"/>
      <c r="D6" s="31"/>
    </row>
    <row r="7" spans="1:5" s="26" customFormat="1" ht="15" customHeight="1">
      <c r="B7" s="88" t="s">
        <v>237</v>
      </c>
      <c r="C7" s="88"/>
      <c r="D7" s="88"/>
    </row>
    <row r="8" spans="1:5" s="26" customFormat="1" ht="15" customHeight="1">
      <c r="B8" s="88"/>
      <c r="C8" s="88"/>
      <c r="D8" s="88"/>
    </row>
    <row r="9" spans="1:5" s="26" customFormat="1" ht="33" customHeight="1">
      <c r="B9" s="88"/>
      <c r="C9" s="88"/>
      <c r="D9" s="88"/>
    </row>
    <row r="10" spans="1:5" s="26" customFormat="1" ht="4.5" customHeight="1">
      <c r="B10" s="30"/>
      <c r="C10" s="30"/>
      <c r="D10" s="30"/>
    </row>
    <row r="11" spans="1:5" s="26" customFormat="1" ht="33" customHeight="1">
      <c r="B11" s="29" t="s">
        <v>68</v>
      </c>
      <c r="C11" s="28" t="s">
        <v>67</v>
      </c>
      <c r="D11" s="27" t="s">
        <v>66</v>
      </c>
    </row>
    <row r="12" spans="1:5">
      <c r="B12" s="24" t="s">
        <v>65</v>
      </c>
      <c r="C12" s="23">
        <v>14540</v>
      </c>
      <c r="D12" s="22">
        <v>0.74763471822295346</v>
      </c>
    </row>
    <row r="13" spans="1:5">
      <c r="B13" s="24" t="s">
        <v>63</v>
      </c>
      <c r="C13" s="23">
        <v>649</v>
      </c>
      <c r="D13" s="22">
        <v>3.33710407239819E-2</v>
      </c>
      <c r="E13" s="25"/>
    </row>
    <row r="14" spans="1:5">
      <c r="B14" s="24" t="s">
        <v>64</v>
      </c>
      <c r="C14" s="23">
        <v>585</v>
      </c>
      <c r="D14" s="22">
        <v>3.0080213903743314E-2</v>
      </c>
      <c r="E14" s="25"/>
    </row>
    <row r="15" spans="1:5">
      <c r="B15" s="24" t="s">
        <v>60</v>
      </c>
      <c r="C15" s="23">
        <v>512</v>
      </c>
      <c r="D15" s="22">
        <v>2.6326614561908681E-2</v>
      </c>
    </row>
    <row r="16" spans="1:5">
      <c r="B16" s="24" t="s">
        <v>61</v>
      </c>
      <c r="C16" s="23">
        <v>352</v>
      </c>
      <c r="D16" s="22">
        <v>1.8099547511312219E-2</v>
      </c>
    </row>
    <row r="17" spans="2:4">
      <c r="B17" s="24" t="s">
        <v>62</v>
      </c>
      <c r="C17" s="23">
        <v>330</v>
      </c>
      <c r="D17" s="22">
        <v>1.6968325791855202E-2</v>
      </c>
    </row>
    <row r="18" spans="2:4">
      <c r="B18" s="24" t="s">
        <v>59</v>
      </c>
      <c r="C18" s="23">
        <v>243</v>
      </c>
      <c r="D18" s="22">
        <v>1.2494858083093377E-2</v>
      </c>
    </row>
    <row r="19" spans="2:4">
      <c r="B19" s="24" t="s">
        <v>55</v>
      </c>
      <c r="C19" s="23">
        <v>202</v>
      </c>
      <c r="D19" s="22">
        <v>1.0386672151378033E-2</v>
      </c>
    </row>
    <row r="20" spans="2:4">
      <c r="B20" s="24" t="s">
        <v>56</v>
      </c>
      <c r="C20" s="23">
        <v>175</v>
      </c>
      <c r="D20" s="22">
        <v>8.9983545865898809E-3</v>
      </c>
    </row>
    <row r="21" spans="2:4">
      <c r="B21" s="24" t="s">
        <v>57</v>
      </c>
      <c r="C21" s="23">
        <v>169</v>
      </c>
      <c r="D21" s="22">
        <v>8.6898395721925134E-3</v>
      </c>
    </row>
    <row r="22" spans="2:4">
      <c r="B22" s="24" t="s">
        <v>58</v>
      </c>
      <c r="C22" s="23">
        <v>167</v>
      </c>
      <c r="D22" s="22">
        <v>8.5870012340600581E-3</v>
      </c>
    </row>
    <row r="23" spans="2:4">
      <c r="B23" s="24" t="s">
        <v>52</v>
      </c>
      <c r="C23" s="23">
        <v>157</v>
      </c>
      <c r="D23" s="22">
        <v>8.0728095433977784E-3</v>
      </c>
    </row>
    <row r="24" spans="2:4">
      <c r="B24" s="24" t="s">
        <v>54</v>
      </c>
      <c r="C24" s="23">
        <v>143</v>
      </c>
      <c r="D24" s="22">
        <v>7.3529411764705881E-3</v>
      </c>
    </row>
    <row r="25" spans="2:4">
      <c r="B25" s="24" t="s">
        <v>53</v>
      </c>
      <c r="C25" s="23">
        <v>139</v>
      </c>
      <c r="D25" s="22">
        <v>7.1472645002056768E-3</v>
      </c>
    </row>
    <row r="26" spans="2:4">
      <c r="B26" s="24" t="s">
        <v>51</v>
      </c>
      <c r="C26" s="23">
        <v>100</v>
      </c>
      <c r="D26" s="22">
        <v>5.1419169066227888E-3</v>
      </c>
    </row>
    <row r="27" spans="2:4">
      <c r="B27" s="24" t="s">
        <v>48</v>
      </c>
      <c r="C27" s="23">
        <v>100</v>
      </c>
      <c r="D27" s="22">
        <v>5.1419169066227888E-3</v>
      </c>
    </row>
    <row r="28" spans="2:4">
      <c r="B28" s="24" t="s">
        <v>50</v>
      </c>
      <c r="C28" s="23">
        <v>89</v>
      </c>
      <c r="D28" s="22">
        <v>4.5763060468942823E-3</v>
      </c>
    </row>
    <row r="29" spans="2:4">
      <c r="B29" s="24" t="s">
        <v>49</v>
      </c>
      <c r="C29" s="23">
        <v>76</v>
      </c>
      <c r="D29" s="22">
        <v>3.9078568490333197E-3</v>
      </c>
    </row>
    <row r="30" spans="2:4">
      <c r="B30" s="24" t="s">
        <v>46</v>
      </c>
      <c r="C30" s="23">
        <v>76</v>
      </c>
      <c r="D30" s="22">
        <v>3.9078568490333197E-3</v>
      </c>
    </row>
    <row r="31" spans="2:4">
      <c r="B31" s="24" t="s">
        <v>47</v>
      </c>
      <c r="C31" s="23">
        <v>52</v>
      </c>
      <c r="D31" s="22">
        <v>2.6737967914438501E-3</v>
      </c>
    </row>
    <row r="32" spans="2:4">
      <c r="B32" s="24" t="s">
        <v>42</v>
      </c>
      <c r="C32" s="23">
        <v>51</v>
      </c>
      <c r="D32" s="22">
        <v>2.6223776223776225E-3</v>
      </c>
    </row>
    <row r="33" spans="2:4">
      <c r="B33" s="24" t="s">
        <v>38</v>
      </c>
      <c r="C33" s="23">
        <v>49</v>
      </c>
      <c r="D33" s="22">
        <v>2.5195392842451668E-3</v>
      </c>
    </row>
    <row r="34" spans="2:4">
      <c r="B34" s="24" t="s">
        <v>40</v>
      </c>
      <c r="C34" s="23">
        <v>47</v>
      </c>
      <c r="D34" s="22">
        <v>2.4167009461127107E-3</v>
      </c>
    </row>
    <row r="35" spans="2:4">
      <c r="B35" s="24" t="s">
        <v>41</v>
      </c>
      <c r="C35" s="23">
        <v>46</v>
      </c>
      <c r="D35" s="22">
        <v>2.365281777046483E-3</v>
      </c>
    </row>
    <row r="36" spans="2:4">
      <c r="B36" s="24" t="s">
        <v>44</v>
      </c>
      <c r="C36" s="23">
        <v>45</v>
      </c>
      <c r="D36" s="22">
        <v>2.313862607980255E-3</v>
      </c>
    </row>
    <row r="37" spans="2:4">
      <c r="B37" s="24" t="s">
        <v>36</v>
      </c>
      <c r="C37" s="23">
        <v>43</v>
      </c>
      <c r="D37" s="22">
        <v>2.2110242698477993E-3</v>
      </c>
    </row>
    <row r="38" spans="2:4">
      <c r="B38" s="24" t="s">
        <v>45</v>
      </c>
      <c r="C38" s="23">
        <v>41</v>
      </c>
      <c r="D38" s="22">
        <v>2.1081859317153436E-3</v>
      </c>
    </row>
    <row r="39" spans="2:4">
      <c r="B39" s="24" t="s">
        <v>39</v>
      </c>
      <c r="C39" s="23">
        <v>39</v>
      </c>
      <c r="D39" s="22">
        <v>2.0053475935828879E-3</v>
      </c>
    </row>
    <row r="40" spans="2:4">
      <c r="B40" s="24" t="s">
        <v>37</v>
      </c>
      <c r="C40" s="23">
        <v>38</v>
      </c>
      <c r="D40" s="22">
        <v>1.9539284245166598E-3</v>
      </c>
    </row>
    <row r="41" spans="2:4">
      <c r="B41" s="24" t="s">
        <v>43</v>
      </c>
      <c r="C41" s="23">
        <v>32</v>
      </c>
      <c r="D41" s="22">
        <v>1.6454134101192926E-3</v>
      </c>
    </row>
    <row r="42" spans="2:4">
      <c r="B42" s="24" t="s">
        <v>32</v>
      </c>
      <c r="C42" s="23">
        <v>25</v>
      </c>
      <c r="D42" s="22">
        <v>1.2854792266556972E-3</v>
      </c>
    </row>
    <row r="43" spans="2:4">
      <c r="B43" s="24" t="s">
        <v>33</v>
      </c>
      <c r="C43" s="23">
        <v>23</v>
      </c>
      <c r="D43" s="22">
        <v>1.1826408885232415E-3</v>
      </c>
    </row>
    <row r="44" spans="2:4">
      <c r="B44" s="24" t="s">
        <v>34</v>
      </c>
      <c r="C44" s="23">
        <v>19</v>
      </c>
      <c r="D44" s="22">
        <v>9.7696421225832992E-4</v>
      </c>
    </row>
    <row r="45" spans="2:4">
      <c r="B45" s="24" t="s">
        <v>29</v>
      </c>
      <c r="C45" s="23">
        <v>18</v>
      </c>
      <c r="D45" s="22">
        <v>9.2554504319210197E-4</v>
      </c>
    </row>
    <row r="46" spans="2:4">
      <c r="B46" s="24" t="s">
        <v>30</v>
      </c>
      <c r="C46" s="23">
        <v>17</v>
      </c>
      <c r="D46" s="22">
        <v>8.7412587412587413E-4</v>
      </c>
    </row>
    <row r="47" spans="2:4">
      <c r="B47" s="24" t="s">
        <v>35</v>
      </c>
      <c r="C47" s="23">
        <v>14</v>
      </c>
      <c r="D47" s="22">
        <v>7.1986836692719048E-4</v>
      </c>
    </row>
    <row r="48" spans="2:4">
      <c r="B48" s="24" t="s">
        <v>26</v>
      </c>
      <c r="C48" s="23">
        <v>13</v>
      </c>
      <c r="D48" s="22">
        <v>6.6844919786096253E-4</v>
      </c>
    </row>
    <row r="49" spans="2:4">
      <c r="B49" s="24" t="s">
        <v>31</v>
      </c>
      <c r="C49" s="23">
        <v>12</v>
      </c>
      <c r="D49" s="22">
        <v>6.1703002879473468E-4</v>
      </c>
    </row>
    <row r="50" spans="2:4">
      <c r="B50" s="24" t="s">
        <v>27</v>
      </c>
      <c r="C50" s="23">
        <v>5</v>
      </c>
      <c r="D50" s="22">
        <v>2.5709584533113944E-4</v>
      </c>
    </row>
    <row r="51" spans="2:4">
      <c r="B51" s="24" t="s">
        <v>28</v>
      </c>
      <c r="C51" s="23">
        <v>4</v>
      </c>
      <c r="D51" s="22">
        <v>2.0567667626491157E-4</v>
      </c>
    </row>
    <row r="52" spans="2:4">
      <c r="B52" s="24" t="s">
        <v>25</v>
      </c>
      <c r="C52" s="23">
        <v>4</v>
      </c>
      <c r="D52" s="22">
        <v>2.0567667626491157E-4</v>
      </c>
    </row>
    <row r="53" spans="2:4">
      <c r="B53" s="24" t="s">
        <v>21</v>
      </c>
      <c r="C53" s="23">
        <v>2</v>
      </c>
      <c r="D53" s="22">
        <v>1.0283833813245579E-4</v>
      </c>
    </row>
    <row r="54" spans="2:4">
      <c r="B54" s="24" t="s">
        <v>238</v>
      </c>
      <c r="C54" s="23">
        <v>1</v>
      </c>
      <c r="D54" s="22">
        <v>5.1419169066227893E-5</v>
      </c>
    </row>
    <row r="55" spans="2:4">
      <c r="B55" s="24" t="s">
        <v>239</v>
      </c>
      <c r="C55" s="23">
        <v>1</v>
      </c>
      <c r="D55" s="22">
        <v>5.1419169066227893E-5</v>
      </c>
    </row>
    <row r="56" spans="2:4">
      <c r="B56" s="24" t="s">
        <v>22</v>
      </c>
      <c r="C56" s="23">
        <v>1</v>
      </c>
      <c r="D56" s="22">
        <v>5.1419169066227893E-5</v>
      </c>
    </row>
    <row r="57" spans="2:4">
      <c r="B57" s="24" t="s">
        <v>23</v>
      </c>
      <c r="C57" s="23">
        <v>1</v>
      </c>
      <c r="D57" s="22">
        <v>5.1419169066227893E-5</v>
      </c>
    </row>
    <row r="58" spans="2:4">
      <c r="B58" s="24" t="s">
        <v>24</v>
      </c>
      <c r="C58" s="23">
        <v>1</v>
      </c>
      <c r="D58" s="22">
        <v>5.1419169066227893E-5</v>
      </c>
    </row>
    <row r="59" spans="2:4">
      <c r="B59" s="21" t="s">
        <v>20</v>
      </c>
      <c r="C59" s="20">
        <v>19448</v>
      </c>
      <c r="D59" s="19">
        <v>1</v>
      </c>
    </row>
    <row r="61" spans="2:4">
      <c r="B61" s="16" t="s">
        <v>240</v>
      </c>
    </row>
    <row r="62" spans="2:4">
      <c r="B62" s="18" t="s">
        <v>19</v>
      </c>
    </row>
    <row r="63" spans="2:4">
      <c r="B63" s="17" t="s">
        <v>18</v>
      </c>
    </row>
    <row r="64" spans="2:4">
      <c r="B64" s="16" t="s">
        <v>17</v>
      </c>
    </row>
    <row r="65" spans="2:2">
      <c r="B65" s="16" t="s">
        <v>241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E65"/>
  <sheetViews>
    <sheetView showGridLines="0" topLeftCell="A43" zoomScaleNormal="100" zoomScaleSheetLayoutView="115" workbookViewId="0">
      <selection activeCell="B70" sqref="B70"/>
    </sheetView>
  </sheetViews>
  <sheetFormatPr baseColWidth="10" defaultColWidth="11.42578125" defaultRowHeight="15"/>
  <cols>
    <col min="1" max="1" width="9.28515625" style="14" customWidth="1"/>
    <col min="2" max="2" width="21.7109375" style="14" customWidth="1"/>
    <col min="3" max="3" width="17.7109375" style="15" customWidth="1"/>
    <col min="4" max="4" width="17.7109375" style="14" customWidth="1"/>
    <col min="5" max="5" width="9.28515625" style="14" customWidth="1"/>
    <col min="6" max="6" width="5.7109375" style="14" customWidth="1"/>
    <col min="7" max="16384" width="11.42578125" style="14"/>
  </cols>
  <sheetData>
    <row r="1" spans="1:5" s="26" customFormat="1" ht="15" customHeight="1">
      <c r="C1" s="32"/>
    </row>
    <row r="2" spans="1:5" s="26" customFormat="1" ht="15" customHeight="1">
      <c r="C2" s="32"/>
    </row>
    <row r="3" spans="1:5" s="26" customFormat="1" ht="15" customHeight="1">
      <c r="A3" s="26" t="s">
        <v>69</v>
      </c>
      <c r="C3" s="32"/>
    </row>
    <row r="4" spans="1:5" s="26" customFormat="1" ht="30" customHeight="1">
      <c r="C4" s="32"/>
      <c r="D4" s="31"/>
    </row>
    <row r="5" spans="1:5" s="26" customFormat="1" ht="15" customHeight="1">
      <c r="C5" s="32"/>
      <c r="D5" s="31"/>
    </row>
    <row r="6" spans="1:5" s="26" customFormat="1" ht="15" customHeight="1">
      <c r="C6" s="32"/>
      <c r="D6" s="31"/>
    </row>
    <row r="7" spans="1:5" s="26" customFormat="1" ht="15" customHeight="1">
      <c r="B7" s="88" t="s">
        <v>242</v>
      </c>
      <c r="C7" s="88"/>
      <c r="D7" s="88"/>
    </row>
    <row r="8" spans="1:5" s="26" customFormat="1" ht="15" customHeight="1">
      <c r="B8" s="88"/>
      <c r="C8" s="88"/>
      <c r="D8" s="88"/>
    </row>
    <row r="9" spans="1:5" s="26" customFormat="1" ht="33" customHeight="1">
      <c r="B9" s="88"/>
      <c r="C9" s="88"/>
      <c r="D9" s="88"/>
    </row>
    <row r="10" spans="1:5" s="26" customFormat="1" ht="4.5" customHeight="1">
      <c r="B10" s="30"/>
      <c r="C10" s="30"/>
      <c r="D10" s="30"/>
    </row>
    <row r="11" spans="1:5" s="26" customFormat="1" ht="33" customHeight="1">
      <c r="B11" s="29" t="s">
        <v>116</v>
      </c>
      <c r="C11" s="28" t="s">
        <v>67</v>
      </c>
      <c r="D11" s="27" t="s">
        <v>66</v>
      </c>
    </row>
    <row r="12" spans="1:5">
      <c r="B12" s="24" t="s">
        <v>113</v>
      </c>
      <c r="C12" s="23">
        <v>5016</v>
      </c>
      <c r="D12" s="22">
        <v>0.25791855203619912</v>
      </c>
    </row>
    <row r="13" spans="1:5">
      <c r="B13" s="24" t="s">
        <v>94</v>
      </c>
      <c r="C13" s="23">
        <v>3676</v>
      </c>
      <c r="D13" s="22">
        <v>0.18901686548745372</v>
      </c>
    </row>
    <row r="14" spans="1:5">
      <c r="B14" s="24" t="s">
        <v>112</v>
      </c>
      <c r="C14" s="23">
        <v>2159</v>
      </c>
      <c r="D14" s="22">
        <v>0.11101398601398602</v>
      </c>
      <c r="E14" s="25"/>
    </row>
    <row r="15" spans="1:5">
      <c r="B15" s="24" t="s">
        <v>78</v>
      </c>
      <c r="C15" s="23">
        <v>1529</v>
      </c>
      <c r="D15" s="22">
        <v>7.8619909502262442E-2</v>
      </c>
    </row>
    <row r="16" spans="1:5">
      <c r="B16" s="24" t="s">
        <v>111</v>
      </c>
      <c r="C16" s="23">
        <v>913</v>
      </c>
      <c r="D16" s="22">
        <v>4.6945701357466063E-2</v>
      </c>
    </row>
    <row r="17" spans="2:4">
      <c r="B17" s="24" t="s">
        <v>76</v>
      </c>
      <c r="C17" s="23">
        <v>907</v>
      </c>
      <c r="D17" s="22">
        <v>4.6637186343068696E-2</v>
      </c>
    </row>
    <row r="18" spans="2:4">
      <c r="B18" s="24" t="s">
        <v>95</v>
      </c>
      <c r="C18" s="23">
        <v>842</v>
      </c>
      <c r="D18" s="22">
        <v>4.3294940353763883E-2</v>
      </c>
    </row>
    <row r="19" spans="2:4">
      <c r="B19" s="24" t="s">
        <v>108</v>
      </c>
      <c r="C19" s="23">
        <v>669</v>
      </c>
      <c r="D19" s="22">
        <v>3.4399424105306456E-2</v>
      </c>
    </row>
    <row r="20" spans="2:4">
      <c r="B20" s="24" t="s">
        <v>114</v>
      </c>
      <c r="C20" s="23">
        <v>445</v>
      </c>
      <c r="D20" s="22">
        <v>2.2881530234471412E-2</v>
      </c>
    </row>
    <row r="21" spans="2:4">
      <c r="B21" s="24" t="s">
        <v>102</v>
      </c>
      <c r="C21" s="23">
        <v>438</v>
      </c>
      <c r="D21" s="22">
        <v>2.2521596051007817E-2</v>
      </c>
    </row>
    <row r="22" spans="2:4">
      <c r="B22" s="24" t="s">
        <v>103</v>
      </c>
      <c r="C22" s="23">
        <v>412</v>
      </c>
      <c r="D22" s="22">
        <v>2.118469765528589E-2</v>
      </c>
    </row>
    <row r="23" spans="2:4">
      <c r="B23" s="24" t="s">
        <v>101</v>
      </c>
      <c r="C23" s="23">
        <v>399</v>
      </c>
      <c r="D23" s="22">
        <v>2.0516248457424929E-2</v>
      </c>
    </row>
    <row r="24" spans="2:4">
      <c r="B24" s="24" t="s">
        <v>81</v>
      </c>
      <c r="C24" s="23">
        <v>281</v>
      </c>
      <c r="D24" s="22">
        <v>1.4448786507610037E-2</v>
      </c>
    </row>
    <row r="25" spans="2:4">
      <c r="B25" s="24" t="s">
        <v>89</v>
      </c>
      <c r="C25" s="23">
        <v>215</v>
      </c>
      <c r="D25" s="22">
        <v>1.1055121349238996E-2</v>
      </c>
    </row>
    <row r="26" spans="2:4">
      <c r="B26" s="24" t="s">
        <v>97</v>
      </c>
      <c r="C26" s="23">
        <v>190</v>
      </c>
      <c r="D26" s="22">
        <v>9.7696421225832997E-3</v>
      </c>
    </row>
    <row r="27" spans="2:4">
      <c r="B27" s="24" t="s">
        <v>82</v>
      </c>
      <c r="C27" s="23">
        <v>162</v>
      </c>
      <c r="D27" s="22">
        <v>8.3299053887289174E-3</v>
      </c>
    </row>
    <row r="28" spans="2:4">
      <c r="B28" s="24" t="s">
        <v>85</v>
      </c>
      <c r="C28" s="23">
        <v>110</v>
      </c>
      <c r="D28" s="22">
        <v>5.6561085972850677E-3</v>
      </c>
    </row>
    <row r="29" spans="2:4">
      <c r="B29" s="24" t="s">
        <v>115</v>
      </c>
      <c r="C29" s="23">
        <v>99</v>
      </c>
      <c r="D29" s="22">
        <v>5.0904977375565612E-3</v>
      </c>
    </row>
    <row r="30" spans="2:4">
      <c r="B30" s="24" t="s">
        <v>92</v>
      </c>
      <c r="C30" s="23">
        <v>96</v>
      </c>
      <c r="D30" s="22">
        <v>4.9362402303578775E-3</v>
      </c>
    </row>
    <row r="31" spans="2:4">
      <c r="B31" s="24" t="s">
        <v>35</v>
      </c>
      <c r="C31" s="23">
        <v>95</v>
      </c>
      <c r="D31" s="22">
        <v>4.8848210612916498E-3</v>
      </c>
    </row>
    <row r="32" spans="2:4">
      <c r="B32" s="24" t="s">
        <v>110</v>
      </c>
      <c r="C32" s="23">
        <v>84</v>
      </c>
      <c r="D32" s="22">
        <v>4.3192102015631425E-3</v>
      </c>
    </row>
    <row r="33" spans="2:4">
      <c r="B33" s="24" t="s">
        <v>83</v>
      </c>
      <c r="C33" s="23">
        <v>78</v>
      </c>
      <c r="D33" s="22">
        <v>4.0106951871657758E-3</v>
      </c>
    </row>
    <row r="34" spans="2:4">
      <c r="B34" s="24" t="s">
        <v>88</v>
      </c>
      <c r="C34" s="23">
        <v>70</v>
      </c>
      <c r="D34" s="22">
        <v>3.5993418346359522E-3</v>
      </c>
    </row>
    <row r="35" spans="2:4">
      <c r="B35" s="24" t="s">
        <v>93</v>
      </c>
      <c r="C35" s="23">
        <v>60</v>
      </c>
      <c r="D35" s="22">
        <v>3.0851501439736733E-3</v>
      </c>
    </row>
    <row r="36" spans="2:4">
      <c r="B36" s="24" t="s">
        <v>109</v>
      </c>
      <c r="C36" s="23">
        <v>51</v>
      </c>
      <c r="D36" s="22">
        <v>2.6223776223776225E-3</v>
      </c>
    </row>
    <row r="37" spans="2:4">
      <c r="B37" s="24" t="s">
        <v>99</v>
      </c>
      <c r="C37" s="23">
        <v>47</v>
      </c>
      <c r="D37" s="22">
        <v>2.4167009461127107E-3</v>
      </c>
    </row>
    <row r="38" spans="2:4">
      <c r="B38" s="24" t="s">
        <v>96</v>
      </c>
      <c r="C38" s="23">
        <v>41</v>
      </c>
      <c r="D38" s="22">
        <v>2.1081859317153436E-3</v>
      </c>
    </row>
    <row r="39" spans="2:4">
      <c r="B39" s="24" t="s">
        <v>87</v>
      </c>
      <c r="C39" s="23">
        <v>39</v>
      </c>
      <c r="D39" s="22">
        <v>2.0053475935828879E-3</v>
      </c>
    </row>
    <row r="40" spans="2:4">
      <c r="B40" s="24" t="s">
        <v>86</v>
      </c>
      <c r="C40" s="23">
        <v>34</v>
      </c>
      <c r="D40" s="22">
        <v>1.7482517482517483E-3</v>
      </c>
    </row>
    <row r="41" spans="2:4">
      <c r="B41" s="24" t="s">
        <v>104</v>
      </c>
      <c r="C41" s="23">
        <v>31</v>
      </c>
      <c r="D41" s="22">
        <v>1.5939942410530645E-3</v>
      </c>
    </row>
    <row r="42" spans="2:4">
      <c r="B42" s="24" t="s">
        <v>91</v>
      </c>
      <c r="C42" s="23">
        <v>30</v>
      </c>
      <c r="D42" s="22">
        <v>1.5425750719868367E-3</v>
      </c>
    </row>
    <row r="43" spans="2:4">
      <c r="B43" s="24" t="s">
        <v>106</v>
      </c>
      <c r="C43" s="23">
        <v>29</v>
      </c>
      <c r="D43" s="22">
        <v>1.4911559029206088E-3</v>
      </c>
    </row>
    <row r="44" spans="2:4">
      <c r="B44" s="24" t="s">
        <v>105</v>
      </c>
      <c r="C44" s="23">
        <v>28</v>
      </c>
      <c r="D44" s="22">
        <v>1.439736733854381E-3</v>
      </c>
    </row>
    <row r="45" spans="2:4">
      <c r="B45" s="24" t="s">
        <v>107</v>
      </c>
      <c r="C45" s="23">
        <v>24</v>
      </c>
      <c r="D45" s="22">
        <v>1.2340600575894694E-3</v>
      </c>
    </row>
    <row r="46" spans="2:4">
      <c r="B46" s="24" t="s">
        <v>77</v>
      </c>
      <c r="C46" s="23">
        <v>21</v>
      </c>
      <c r="D46" s="22">
        <v>1.0798025503907856E-3</v>
      </c>
    </row>
    <row r="47" spans="2:4">
      <c r="B47" s="24" t="s">
        <v>100</v>
      </c>
      <c r="C47" s="23">
        <v>21</v>
      </c>
      <c r="D47" s="22">
        <v>1.0798025503907856E-3</v>
      </c>
    </row>
    <row r="48" spans="2:4">
      <c r="B48" s="24" t="s">
        <v>73</v>
      </c>
      <c r="C48" s="23">
        <v>20</v>
      </c>
      <c r="D48" s="22">
        <v>1.0283833813245578E-3</v>
      </c>
    </row>
    <row r="49" spans="2:4">
      <c r="B49" s="24" t="s">
        <v>79</v>
      </c>
      <c r="C49" s="23">
        <v>18</v>
      </c>
      <c r="D49" s="22">
        <v>9.2554504319210197E-4</v>
      </c>
    </row>
    <row r="50" spans="2:4">
      <c r="B50" s="24" t="s">
        <v>98</v>
      </c>
      <c r="C50" s="23">
        <v>15</v>
      </c>
      <c r="D50" s="22">
        <v>7.7128753599341833E-4</v>
      </c>
    </row>
    <row r="51" spans="2:4">
      <c r="B51" s="24" t="s">
        <v>80</v>
      </c>
      <c r="C51" s="23">
        <v>14</v>
      </c>
      <c r="D51" s="22">
        <v>7.1986836692719048E-4</v>
      </c>
    </row>
    <row r="52" spans="2:4">
      <c r="B52" s="24" t="s">
        <v>84</v>
      </c>
      <c r="C52" s="23">
        <v>13</v>
      </c>
      <c r="D52" s="22">
        <v>6.6844919786096253E-4</v>
      </c>
    </row>
    <row r="53" spans="2:4">
      <c r="B53" s="24" t="s">
        <v>70</v>
      </c>
      <c r="C53" s="23">
        <v>9</v>
      </c>
      <c r="D53" s="22">
        <v>4.6277252159605099E-4</v>
      </c>
    </row>
    <row r="54" spans="2:4">
      <c r="B54" s="24" t="s">
        <v>74</v>
      </c>
      <c r="C54" s="23">
        <v>6</v>
      </c>
      <c r="D54" s="22">
        <v>3.0851501439736734E-4</v>
      </c>
    </row>
    <row r="55" spans="2:4">
      <c r="B55" s="24" t="s">
        <v>90</v>
      </c>
      <c r="C55" s="23">
        <v>5</v>
      </c>
      <c r="D55" s="22">
        <v>2.5709584533113944E-4</v>
      </c>
    </row>
    <row r="56" spans="2:4">
      <c r="B56" s="24" t="s">
        <v>75</v>
      </c>
      <c r="C56" s="23">
        <v>4</v>
      </c>
      <c r="D56" s="22">
        <v>2.0567667626491157E-4</v>
      </c>
    </row>
    <row r="57" spans="2:4">
      <c r="B57" s="24" t="s">
        <v>71</v>
      </c>
      <c r="C57" s="23">
        <v>2</v>
      </c>
      <c r="D57" s="22">
        <v>1.0283833813245579E-4</v>
      </c>
    </row>
    <row r="58" spans="2:4">
      <c r="B58" s="24" t="s">
        <v>72</v>
      </c>
      <c r="C58" s="23">
        <v>1</v>
      </c>
      <c r="D58" s="22">
        <v>5.1419169066227893E-5</v>
      </c>
    </row>
    <row r="59" spans="2:4">
      <c r="B59" s="21" t="s">
        <v>20</v>
      </c>
      <c r="C59" s="20">
        <v>19448</v>
      </c>
      <c r="D59" s="19">
        <v>1</v>
      </c>
    </row>
    <row r="61" spans="2:4">
      <c r="B61" s="16" t="s">
        <v>240</v>
      </c>
    </row>
    <row r="62" spans="2:4">
      <c r="B62" s="18" t="s">
        <v>19</v>
      </c>
    </row>
    <row r="63" spans="2:4">
      <c r="B63" s="17" t="s">
        <v>18</v>
      </c>
    </row>
    <row r="64" spans="2:4">
      <c r="B64" s="16" t="s">
        <v>17</v>
      </c>
    </row>
    <row r="65" spans="2:2">
      <c r="B65" s="16" t="s">
        <v>241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E28"/>
  <sheetViews>
    <sheetView showGridLines="0" zoomScaleNormal="100" zoomScaleSheetLayoutView="115" workbookViewId="0">
      <selection activeCell="G17" sqref="G17"/>
    </sheetView>
  </sheetViews>
  <sheetFormatPr baseColWidth="10" defaultColWidth="11.42578125" defaultRowHeight="15"/>
  <cols>
    <col min="1" max="1" width="9.28515625" style="14" customWidth="1"/>
    <col min="2" max="2" width="21.7109375" style="14" customWidth="1"/>
    <col min="3" max="3" width="17.7109375" style="15" customWidth="1"/>
    <col min="4" max="4" width="17.7109375" style="14" customWidth="1"/>
    <col min="5" max="5" width="9.28515625" style="14" customWidth="1"/>
    <col min="6" max="6" width="5.7109375" style="14" customWidth="1"/>
    <col min="7" max="16384" width="11.42578125" style="14"/>
  </cols>
  <sheetData>
    <row r="1" spans="1:5" s="26" customFormat="1" ht="15" customHeight="1">
      <c r="C1" s="32"/>
    </row>
    <row r="2" spans="1:5" s="26" customFormat="1" ht="15" customHeight="1">
      <c r="C2" s="32"/>
    </row>
    <row r="3" spans="1:5" s="26" customFormat="1" ht="15" customHeight="1">
      <c r="A3" s="26" t="s">
        <v>69</v>
      </c>
      <c r="C3" s="32"/>
    </row>
    <row r="4" spans="1:5" s="26" customFormat="1" ht="30" customHeight="1">
      <c r="C4" s="32"/>
      <c r="D4" s="31"/>
    </row>
    <row r="5" spans="1:5" s="26" customFormat="1" ht="15" customHeight="1">
      <c r="C5" s="32"/>
      <c r="D5" s="31"/>
    </row>
    <row r="6" spans="1:5" s="26" customFormat="1" ht="15" customHeight="1">
      <c r="C6" s="32"/>
      <c r="D6" s="31"/>
    </row>
    <row r="7" spans="1:5" s="26" customFormat="1" ht="15" customHeight="1">
      <c r="B7" s="88" t="s">
        <v>251</v>
      </c>
      <c r="C7" s="88"/>
      <c r="D7" s="88"/>
    </row>
    <row r="8" spans="1:5" s="26" customFormat="1" ht="15" customHeight="1">
      <c r="B8" s="88"/>
      <c r="C8" s="88"/>
      <c r="D8" s="88"/>
    </row>
    <row r="9" spans="1:5" s="26" customFormat="1" ht="33" customHeight="1">
      <c r="B9" s="88"/>
      <c r="C9" s="88"/>
      <c r="D9" s="88"/>
    </row>
    <row r="10" spans="1:5" s="26" customFormat="1" ht="4.5" customHeight="1">
      <c r="B10" s="30"/>
      <c r="C10" s="30"/>
      <c r="D10" s="30"/>
    </row>
    <row r="11" spans="1:5" s="26" customFormat="1" ht="33" customHeight="1">
      <c r="B11" s="29" t="s">
        <v>116</v>
      </c>
      <c r="C11" s="28" t="s">
        <v>67</v>
      </c>
      <c r="D11" s="27" t="s">
        <v>66</v>
      </c>
    </row>
    <row r="12" spans="1:5">
      <c r="B12" s="24" t="s">
        <v>113</v>
      </c>
      <c r="C12" s="23">
        <v>5016</v>
      </c>
      <c r="D12" s="22">
        <f>C12/$C$22</f>
        <v>0.30227793178257201</v>
      </c>
    </row>
    <row r="13" spans="1:5">
      <c r="B13" s="24" t="s">
        <v>94</v>
      </c>
      <c r="C13" s="23">
        <v>3676</v>
      </c>
      <c r="D13" s="22">
        <f t="shared" ref="D13:D21" si="0">C13/$C$22</f>
        <v>0.22152585271784983</v>
      </c>
    </row>
    <row r="14" spans="1:5">
      <c r="B14" s="24" t="s">
        <v>112</v>
      </c>
      <c r="C14" s="23">
        <v>2159</v>
      </c>
      <c r="D14" s="22">
        <f t="shared" si="0"/>
        <v>0.13010726768711584</v>
      </c>
      <c r="E14" s="25"/>
    </row>
    <row r="15" spans="1:5">
      <c r="B15" s="24" t="s">
        <v>78</v>
      </c>
      <c r="C15" s="23">
        <v>1529</v>
      </c>
      <c r="D15" s="22">
        <f t="shared" si="0"/>
        <v>9.2141737977582253E-2</v>
      </c>
      <c r="E15" s="25"/>
    </row>
    <row r="16" spans="1:5">
      <c r="B16" s="24" t="s">
        <v>111</v>
      </c>
      <c r="C16" s="23">
        <v>913</v>
      </c>
      <c r="D16" s="22">
        <f t="shared" si="0"/>
        <v>5.5019886706038329E-2</v>
      </c>
    </row>
    <row r="17" spans="2:4">
      <c r="B17" s="24" t="s">
        <v>76</v>
      </c>
      <c r="C17" s="23">
        <v>907</v>
      </c>
      <c r="D17" s="22">
        <f t="shared" si="0"/>
        <v>5.46583102326142E-2</v>
      </c>
    </row>
    <row r="18" spans="2:4">
      <c r="B18" s="24" t="s">
        <v>95</v>
      </c>
      <c r="C18" s="23">
        <v>842</v>
      </c>
      <c r="D18" s="22">
        <f t="shared" si="0"/>
        <v>5.0741231770519465E-2</v>
      </c>
    </row>
    <row r="19" spans="2:4">
      <c r="B19" s="24" t="s">
        <v>108</v>
      </c>
      <c r="C19" s="23">
        <v>669</v>
      </c>
      <c r="D19" s="22">
        <f t="shared" si="0"/>
        <v>4.0315776786790408E-2</v>
      </c>
    </row>
    <row r="20" spans="2:4">
      <c r="B20" s="24" t="s">
        <v>114</v>
      </c>
      <c r="C20" s="23">
        <v>445</v>
      </c>
      <c r="D20" s="22">
        <f t="shared" si="0"/>
        <v>2.6816921778956251E-2</v>
      </c>
    </row>
    <row r="21" spans="2:4">
      <c r="B21" s="24" t="s">
        <v>102</v>
      </c>
      <c r="C21" s="23">
        <v>438</v>
      </c>
      <c r="D21" s="22">
        <f t="shared" si="0"/>
        <v>2.6395082559961432E-2</v>
      </c>
    </row>
    <row r="22" spans="2:4">
      <c r="B22" s="21" t="s">
        <v>197</v>
      </c>
      <c r="C22" s="20">
        <f>SUM(C12:C21)</f>
        <v>16594</v>
      </c>
      <c r="D22" s="19">
        <f t="shared" ref="D22" si="1">C22/$C$22</f>
        <v>1</v>
      </c>
    </row>
    <row r="24" spans="2:4">
      <c r="B24" s="16" t="s">
        <v>240</v>
      </c>
    </row>
    <row r="25" spans="2:4">
      <c r="B25" s="18" t="s">
        <v>19</v>
      </c>
    </row>
    <row r="26" spans="2:4">
      <c r="B26" s="17" t="s">
        <v>18</v>
      </c>
    </row>
    <row r="27" spans="2:4">
      <c r="B27" s="16" t="s">
        <v>17</v>
      </c>
    </row>
    <row r="28" spans="2:4">
      <c r="B28" s="16" t="s">
        <v>241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E61"/>
  <sheetViews>
    <sheetView showGridLines="0" topLeftCell="A40" zoomScaleNormal="100" zoomScaleSheetLayoutView="115" workbookViewId="0">
      <selection activeCell="B7" sqref="B7:D9"/>
    </sheetView>
  </sheetViews>
  <sheetFormatPr baseColWidth="10" defaultColWidth="11.42578125" defaultRowHeight="15"/>
  <cols>
    <col min="1" max="1" width="9.28515625" style="14" customWidth="1"/>
    <col min="2" max="2" width="21.7109375" style="14" customWidth="1"/>
    <col min="3" max="3" width="17.7109375" style="15" customWidth="1"/>
    <col min="4" max="4" width="17.7109375" style="14" customWidth="1"/>
    <col min="5" max="5" width="9.28515625" style="14" customWidth="1"/>
    <col min="6" max="6" width="5.7109375" style="14" customWidth="1"/>
    <col min="7" max="16384" width="11.42578125" style="14"/>
  </cols>
  <sheetData>
    <row r="1" spans="1:5" s="26" customFormat="1" ht="15" customHeight="1">
      <c r="C1" s="32"/>
    </row>
    <row r="2" spans="1:5" s="26" customFormat="1" ht="15" customHeight="1">
      <c r="C2" s="32"/>
    </row>
    <row r="3" spans="1:5" s="26" customFormat="1" ht="15" customHeight="1">
      <c r="A3" s="26" t="s">
        <v>69</v>
      </c>
      <c r="C3" s="32"/>
    </row>
    <row r="4" spans="1:5" s="26" customFormat="1" ht="30" customHeight="1">
      <c r="C4" s="32"/>
      <c r="D4" s="31"/>
    </row>
    <row r="5" spans="1:5" s="26" customFormat="1" ht="15" customHeight="1">
      <c r="C5" s="32"/>
      <c r="D5" s="31"/>
    </row>
    <row r="6" spans="1:5" s="26" customFormat="1" ht="15" customHeight="1">
      <c r="C6" s="32"/>
      <c r="D6" s="31"/>
    </row>
    <row r="7" spans="1:5" s="26" customFormat="1" ht="15" customHeight="1">
      <c r="B7" s="88" t="s">
        <v>243</v>
      </c>
      <c r="C7" s="88"/>
      <c r="D7" s="88"/>
    </row>
    <row r="8" spans="1:5" s="26" customFormat="1" ht="15" customHeight="1">
      <c r="B8" s="88"/>
      <c r="C8" s="88"/>
      <c r="D8" s="88"/>
    </row>
    <row r="9" spans="1:5" s="26" customFormat="1" ht="33" customHeight="1">
      <c r="B9" s="88"/>
      <c r="C9" s="88"/>
      <c r="D9" s="88"/>
      <c r="E9" s="1"/>
    </row>
    <row r="10" spans="1:5" s="26" customFormat="1" ht="4.5" customHeight="1">
      <c r="B10" s="30"/>
      <c r="C10" s="30"/>
      <c r="D10" s="30"/>
    </row>
    <row r="11" spans="1:5" s="26" customFormat="1" ht="33" customHeight="1">
      <c r="B11" s="29" t="s">
        <v>160</v>
      </c>
      <c r="C11" s="28" t="s">
        <v>67</v>
      </c>
      <c r="D11" s="27" t="s">
        <v>66</v>
      </c>
    </row>
    <row r="12" spans="1:5">
      <c r="B12" s="24" t="s">
        <v>159</v>
      </c>
      <c r="C12" s="23">
        <v>3382</v>
      </c>
      <c r="D12" s="22">
        <f>C12/$C$55</f>
        <v>0.17389962978198273</v>
      </c>
    </row>
    <row r="13" spans="1:5">
      <c r="B13" s="24" t="s">
        <v>158</v>
      </c>
      <c r="C13" s="23">
        <v>2871</v>
      </c>
      <c r="D13" s="22">
        <f t="shared" ref="D13:D54" si="0">C13/$C$55</f>
        <v>0.14762443438914027</v>
      </c>
    </row>
    <row r="14" spans="1:5">
      <c r="B14" s="24" t="s">
        <v>157</v>
      </c>
      <c r="C14" s="23">
        <v>2229</v>
      </c>
      <c r="D14" s="22">
        <f t="shared" si="0"/>
        <v>0.11461332784862197</v>
      </c>
      <c r="E14" s="25"/>
    </row>
    <row r="15" spans="1:5">
      <c r="B15" s="24" t="s">
        <v>155</v>
      </c>
      <c r="C15" s="23">
        <v>1522</v>
      </c>
      <c r="D15" s="22">
        <f t="shared" si="0"/>
        <v>7.8259975318798844E-2</v>
      </c>
      <c r="E15" s="25"/>
    </row>
    <row r="16" spans="1:5">
      <c r="B16" s="24" t="s">
        <v>156</v>
      </c>
      <c r="C16" s="23">
        <v>1364</v>
      </c>
      <c r="D16" s="22">
        <f t="shared" si="0"/>
        <v>7.0135746606334842E-2</v>
      </c>
    </row>
    <row r="17" spans="2:4">
      <c r="B17" s="24" t="s">
        <v>154</v>
      </c>
      <c r="C17" s="23">
        <v>1031</v>
      </c>
      <c r="D17" s="22">
        <f t="shared" si="0"/>
        <v>5.3013163307280953E-2</v>
      </c>
    </row>
    <row r="18" spans="2:4">
      <c r="B18" s="24" t="s">
        <v>152</v>
      </c>
      <c r="C18" s="23">
        <v>865</v>
      </c>
      <c r="D18" s="22">
        <f t="shared" si="0"/>
        <v>4.4477581242287123E-2</v>
      </c>
    </row>
    <row r="19" spans="2:4">
      <c r="B19" s="24" t="s">
        <v>153</v>
      </c>
      <c r="C19" s="23">
        <v>861</v>
      </c>
      <c r="D19" s="22">
        <f t="shared" si="0"/>
        <v>4.4271904566022216E-2</v>
      </c>
    </row>
    <row r="20" spans="2:4">
      <c r="B20" s="24" t="s">
        <v>151</v>
      </c>
      <c r="C20" s="23">
        <v>748</v>
      </c>
      <c r="D20" s="22">
        <f t="shared" si="0"/>
        <v>3.8461538461538464E-2</v>
      </c>
    </row>
    <row r="21" spans="2:4">
      <c r="B21" s="24" t="s">
        <v>150</v>
      </c>
      <c r="C21" s="23">
        <v>705</v>
      </c>
      <c r="D21" s="22">
        <f t="shared" si="0"/>
        <v>3.6250514191690661E-2</v>
      </c>
    </row>
    <row r="22" spans="2:4">
      <c r="B22" s="24" t="s">
        <v>149</v>
      </c>
      <c r="C22" s="23">
        <v>654</v>
      </c>
      <c r="D22" s="22">
        <f t="shared" si="0"/>
        <v>3.3628136569313037E-2</v>
      </c>
    </row>
    <row r="23" spans="2:4">
      <c r="B23" s="24" t="s">
        <v>148</v>
      </c>
      <c r="C23" s="23">
        <v>346</v>
      </c>
      <c r="D23" s="22">
        <f t="shared" si="0"/>
        <v>1.7791032496914851E-2</v>
      </c>
    </row>
    <row r="24" spans="2:4">
      <c r="B24" s="24" t="s">
        <v>146</v>
      </c>
      <c r="C24" s="23">
        <v>265</v>
      </c>
      <c r="D24" s="22">
        <f t="shared" si="0"/>
        <v>1.362607980255039E-2</v>
      </c>
    </row>
    <row r="25" spans="2:4">
      <c r="B25" s="24" t="s">
        <v>147</v>
      </c>
      <c r="C25" s="23">
        <v>243</v>
      </c>
      <c r="D25" s="22">
        <f t="shared" si="0"/>
        <v>1.2494858083093377E-2</v>
      </c>
    </row>
    <row r="26" spans="2:4">
      <c r="B26" s="24" t="s">
        <v>143</v>
      </c>
      <c r="C26" s="23">
        <v>214</v>
      </c>
      <c r="D26" s="22">
        <f t="shared" si="0"/>
        <v>1.1003702180172768E-2</v>
      </c>
    </row>
    <row r="27" spans="2:4">
      <c r="B27" s="24" t="s">
        <v>144</v>
      </c>
      <c r="C27" s="23">
        <v>214</v>
      </c>
      <c r="D27" s="22">
        <f t="shared" si="0"/>
        <v>1.1003702180172768E-2</v>
      </c>
    </row>
    <row r="28" spans="2:4">
      <c r="B28" s="24" t="s">
        <v>145</v>
      </c>
      <c r="C28" s="23">
        <v>201</v>
      </c>
      <c r="D28" s="22">
        <f t="shared" si="0"/>
        <v>1.0335252982311806E-2</v>
      </c>
    </row>
    <row r="29" spans="2:4">
      <c r="B29" s="24" t="s">
        <v>141</v>
      </c>
      <c r="C29" s="23">
        <v>179</v>
      </c>
      <c r="D29" s="22">
        <f t="shared" si="0"/>
        <v>9.2040312628547914E-3</v>
      </c>
    </row>
    <row r="30" spans="2:4">
      <c r="B30" s="24" t="s">
        <v>139</v>
      </c>
      <c r="C30" s="23">
        <v>166</v>
      </c>
      <c r="D30" s="22">
        <f t="shared" si="0"/>
        <v>8.5355820649938297E-3</v>
      </c>
    </row>
    <row r="31" spans="2:4">
      <c r="B31" s="24" t="s">
        <v>138</v>
      </c>
      <c r="C31" s="23">
        <v>160</v>
      </c>
      <c r="D31" s="22">
        <f t="shared" si="0"/>
        <v>8.2270670505964621E-3</v>
      </c>
    </row>
    <row r="32" spans="2:4">
      <c r="B32" s="24" t="s">
        <v>142</v>
      </c>
      <c r="C32" s="23">
        <v>148</v>
      </c>
      <c r="D32" s="22">
        <f t="shared" si="0"/>
        <v>7.610037021801728E-3</v>
      </c>
    </row>
    <row r="33" spans="2:4">
      <c r="B33" s="24" t="s">
        <v>137</v>
      </c>
      <c r="C33" s="23">
        <v>123</v>
      </c>
      <c r="D33" s="22">
        <f t="shared" si="0"/>
        <v>6.3245577951460304E-3</v>
      </c>
    </row>
    <row r="34" spans="2:4">
      <c r="B34" s="24" t="s">
        <v>140</v>
      </c>
      <c r="C34" s="23">
        <v>115</v>
      </c>
      <c r="D34" s="22">
        <f t="shared" si="0"/>
        <v>5.9132044426162076E-3</v>
      </c>
    </row>
    <row r="35" spans="2:4">
      <c r="B35" s="24" t="s">
        <v>135</v>
      </c>
      <c r="C35" s="23">
        <v>107</v>
      </c>
      <c r="D35" s="22">
        <f t="shared" si="0"/>
        <v>5.501851090086384E-3</v>
      </c>
    </row>
    <row r="36" spans="2:4">
      <c r="B36" s="24" t="s">
        <v>136</v>
      </c>
      <c r="C36" s="23">
        <v>87</v>
      </c>
      <c r="D36" s="22">
        <f t="shared" si="0"/>
        <v>4.4734677087618262E-3</v>
      </c>
    </row>
    <row r="37" spans="2:4">
      <c r="B37" s="24" t="s">
        <v>133</v>
      </c>
      <c r="C37" s="23">
        <v>74</v>
      </c>
      <c r="D37" s="22">
        <f t="shared" si="0"/>
        <v>3.805018510900864E-3</v>
      </c>
    </row>
    <row r="38" spans="2:4">
      <c r="B38" s="24" t="s">
        <v>134</v>
      </c>
      <c r="C38" s="23">
        <v>74</v>
      </c>
      <c r="D38" s="22">
        <f t="shared" si="0"/>
        <v>3.805018510900864E-3</v>
      </c>
    </row>
    <row r="39" spans="2:4">
      <c r="B39" s="24" t="s">
        <v>131</v>
      </c>
      <c r="C39" s="23">
        <v>69</v>
      </c>
      <c r="D39" s="22">
        <f t="shared" si="0"/>
        <v>3.5479226655697246E-3</v>
      </c>
    </row>
    <row r="40" spans="2:4">
      <c r="B40" s="24" t="s">
        <v>127</v>
      </c>
      <c r="C40" s="23">
        <v>46</v>
      </c>
      <c r="D40" s="22">
        <f t="shared" si="0"/>
        <v>2.365281777046483E-3</v>
      </c>
    </row>
    <row r="41" spans="2:4">
      <c r="B41" s="24" t="s">
        <v>132</v>
      </c>
      <c r="C41" s="23">
        <v>45</v>
      </c>
      <c r="D41" s="22">
        <f t="shared" si="0"/>
        <v>2.313862607980255E-3</v>
      </c>
    </row>
    <row r="42" spans="2:4">
      <c r="B42" s="24" t="s">
        <v>130</v>
      </c>
      <c r="C42" s="23">
        <v>44</v>
      </c>
      <c r="D42" s="22">
        <f t="shared" si="0"/>
        <v>2.2624434389140274E-3</v>
      </c>
    </row>
    <row r="43" spans="2:4">
      <c r="B43" s="24" t="s">
        <v>129</v>
      </c>
      <c r="C43" s="23">
        <v>39</v>
      </c>
      <c r="D43" s="22">
        <f t="shared" si="0"/>
        <v>2.0053475935828879E-3</v>
      </c>
    </row>
    <row r="44" spans="2:4">
      <c r="B44" s="24" t="s">
        <v>128</v>
      </c>
      <c r="C44" s="23">
        <v>35</v>
      </c>
      <c r="D44" s="22">
        <f t="shared" si="0"/>
        <v>1.7996709173179761E-3</v>
      </c>
    </row>
    <row r="45" spans="2:4">
      <c r="B45" s="24" t="s">
        <v>119</v>
      </c>
      <c r="C45" s="23">
        <v>34</v>
      </c>
      <c r="D45" s="22">
        <f t="shared" si="0"/>
        <v>1.7482517482517483E-3</v>
      </c>
    </row>
    <row r="46" spans="2:4">
      <c r="B46" s="24" t="s">
        <v>126</v>
      </c>
      <c r="C46" s="23">
        <v>33</v>
      </c>
      <c r="D46" s="22">
        <f t="shared" si="0"/>
        <v>1.6968325791855204E-3</v>
      </c>
    </row>
    <row r="47" spans="2:4">
      <c r="B47" s="24" t="s">
        <v>124</v>
      </c>
      <c r="C47" s="23">
        <v>32</v>
      </c>
      <c r="D47" s="22">
        <f t="shared" si="0"/>
        <v>1.6454134101192926E-3</v>
      </c>
    </row>
    <row r="48" spans="2:4">
      <c r="B48" s="24" t="s">
        <v>125</v>
      </c>
      <c r="C48" s="23">
        <v>28</v>
      </c>
      <c r="D48" s="22">
        <f t="shared" si="0"/>
        <v>1.439736733854381E-3</v>
      </c>
    </row>
    <row r="49" spans="2:4">
      <c r="B49" s="24" t="s">
        <v>121</v>
      </c>
      <c r="C49" s="23">
        <v>24</v>
      </c>
      <c r="D49" s="22">
        <f t="shared" si="0"/>
        <v>1.2340600575894694E-3</v>
      </c>
    </row>
    <row r="50" spans="2:4">
      <c r="B50" s="24" t="s">
        <v>123</v>
      </c>
      <c r="C50" s="23">
        <v>20</v>
      </c>
      <c r="D50" s="22">
        <f t="shared" si="0"/>
        <v>1.0283833813245578E-3</v>
      </c>
    </row>
    <row r="51" spans="2:4">
      <c r="B51" s="24" t="s">
        <v>120</v>
      </c>
      <c r="C51" s="23">
        <v>20</v>
      </c>
      <c r="D51" s="22">
        <f t="shared" si="0"/>
        <v>1.0283833813245578E-3</v>
      </c>
    </row>
    <row r="52" spans="2:4">
      <c r="B52" s="24" t="s">
        <v>122</v>
      </c>
      <c r="C52" s="23">
        <v>18</v>
      </c>
      <c r="D52" s="22">
        <f t="shared" si="0"/>
        <v>9.2554504319210197E-4</v>
      </c>
    </row>
    <row r="53" spans="2:4">
      <c r="B53" s="24" t="s">
        <v>118</v>
      </c>
      <c r="C53" s="23">
        <v>11</v>
      </c>
      <c r="D53" s="22">
        <f t="shared" si="0"/>
        <v>5.6561085972850684E-4</v>
      </c>
    </row>
    <row r="54" spans="2:4">
      <c r="B54" s="24" t="s">
        <v>117</v>
      </c>
      <c r="C54" s="23">
        <v>2</v>
      </c>
      <c r="D54" s="22">
        <f t="shared" si="0"/>
        <v>1.0283833813245579E-4</v>
      </c>
    </row>
    <row r="55" spans="2:4">
      <c r="B55" s="21" t="s">
        <v>20</v>
      </c>
      <c r="C55" s="20">
        <f>SUM(C12:C54)</f>
        <v>19448</v>
      </c>
      <c r="D55" s="68">
        <f>SUM(D12:D54)</f>
        <v>1</v>
      </c>
    </row>
    <row r="57" spans="2:4">
      <c r="B57" s="16" t="s">
        <v>240</v>
      </c>
    </row>
    <row r="58" spans="2:4">
      <c r="B58" s="18" t="s">
        <v>19</v>
      </c>
    </row>
    <row r="59" spans="2:4">
      <c r="B59" s="17" t="s">
        <v>18</v>
      </c>
    </row>
    <row r="60" spans="2:4">
      <c r="B60" s="16" t="s">
        <v>17</v>
      </c>
    </row>
    <row r="61" spans="2:4">
      <c r="B61" s="16" t="s">
        <v>241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E835"/>
  <sheetViews>
    <sheetView showGridLines="0" topLeftCell="A799" zoomScale="85" zoomScaleNormal="85" zoomScaleSheetLayoutView="85" workbookViewId="0">
      <selection activeCell="C24" sqref="C24"/>
    </sheetView>
  </sheetViews>
  <sheetFormatPr baseColWidth="10" defaultColWidth="35" defaultRowHeight="15" customHeight="1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1" customFormat="1" ht="12" customHeight="1">
      <c r="B1" s="55"/>
      <c r="C1" s="54"/>
      <c r="D1" s="54"/>
      <c r="E1" s="54"/>
    </row>
    <row r="2" spans="1:5" s="51" customFormat="1" ht="15" customHeight="1">
      <c r="C2" s="53"/>
    </row>
    <row r="3" spans="1:5" s="51" customFormat="1" ht="15" customHeight="1">
      <c r="C3" s="53"/>
    </row>
    <row r="4" spans="1:5" s="51" customFormat="1" ht="30" customHeight="1">
      <c r="C4" s="53"/>
      <c r="D4" s="52"/>
    </row>
    <row r="5" spans="1:5" s="51" customFormat="1" ht="15" customHeight="1">
      <c r="C5" s="53"/>
      <c r="D5" s="52"/>
    </row>
    <row r="6" spans="1:5" s="48" customFormat="1" ht="24" customHeight="1">
      <c r="B6" s="50"/>
      <c r="C6" s="44"/>
      <c r="D6" s="44"/>
      <c r="E6" s="44"/>
    </row>
    <row r="7" spans="1:5" s="48" customFormat="1" ht="26.25" customHeight="1">
      <c r="A7" s="49"/>
      <c r="B7" s="94"/>
      <c r="C7" s="94"/>
      <c r="D7" s="94"/>
      <c r="E7" s="94"/>
    </row>
    <row r="8" spans="1:5" s="48" customFormat="1" ht="33" customHeight="1">
      <c r="A8" s="49"/>
      <c r="B8" s="94"/>
      <c r="C8" s="94"/>
      <c r="D8" s="94"/>
      <c r="E8" s="94"/>
    </row>
    <row r="9" spans="1:5" s="26" customFormat="1" ht="40.5" customHeight="1">
      <c r="B9" s="45" t="s">
        <v>162</v>
      </c>
      <c r="C9" s="47" t="s">
        <v>161</v>
      </c>
      <c r="D9" s="46" t="s">
        <v>67</v>
      </c>
      <c r="E9" s="45" t="s">
        <v>66</v>
      </c>
    </row>
    <row r="10" spans="1:5" ht="15" customHeight="1">
      <c r="B10" s="91" t="s">
        <v>56</v>
      </c>
      <c r="C10" s="43" t="s">
        <v>139</v>
      </c>
      <c r="D10" s="42">
        <v>2</v>
      </c>
      <c r="E10" s="41">
        <v>1.0283833813245579E-4</v>
      </c>
    </row>
    <row r="11" spans="1:5" ht="15" customHeight="1">
      <c r="B11" s="92"/>
      <c r="C11" s="43" t="s">
        <v>143</v>
      </c>
      <c r="D11" s="42">
        <v>4</v>
      </c>
      <c r="E11" s="41">
        <v>2.0567667626491157E-4</v>
      </c>
    </row>
    <row r="12" spans="1:5" ht="15" customHeight="1">
      <c r="B12" s="92"/>
      <c r="C12" s="43" t="s">
        <v>146</v>
      </c>
      <c r="D12" s="42">
        <v>2</v>
      </c>
      <c r="E12" s="41">
        <v>1.0283833813245579E-4</v>
      </c>
    </row>
    <row r="13" spans="1:5" ht="15" customHeight="1">
      <c r="B13" s="92"/>
      <c r="C13" s="43" t="s">
        <v>136</v>
      </c>
      <c r="D13" s="42">
        <v>3</v>
      </c>
      <c r="E13" s="41">
        <v>1.5425750719868367E-4</v>
      </c>
    </row>
    <row r="14" spans="1:5" ht="15" customHeight="1">
      <c r="B14" s="92"/>
      <c r="C14" s="43" t="s">
        <v>135</v>
      </c>
      <c r="D14" s="42">
        <v>2</v>
      </c>
      <c r="E14" s="41">
        <v>1.0283833813245579E-4</v>
      </c>
    </row>
    <row r="15" spans="1:5" ht="15" customHeight="1">
      <c r="B15" s="92"/>
      <c r="C15" s="43" t="s">
        <v>142</v>
      </c>
      <c r="D15" s="42">
        <v>3</v>
      </c>
      <c r="E15" s="41">
        <v>1.5425750719868367E-4</v>
      </c>
    </row>
    <row r="16" spans="1:5" ht="15" customHeight="1">
      <c r="B16" s="92"/>
      <c r="C16" s="43" t="s">
        <v>152</v>
      </c>
      <c r="D16" s="42">
        <v>11</v>
      </c>
      <c r="E16" s="41">
        <v>5.6561085972850684E-4</v>
      </c>
    </row>
    <row r="17" spans="2:5" ht="15" customHeight="1">
      <c r="B17" s="92"/>
      <c r="C17" s="43" t="s">
        <v>119</v>
      </c>
      <c r="D17" s="42">
        <v>1</v>
      </c>
      <c r="E17" s="41">
        <v>5.1419169066227893E-5</v>
      </c>
    </row>
    <row r="18" spans="2:5" ht="15" customHeight="1">
      <c r="B18" s="92"/>
      <c r="C18" s="43" t="s">
        <v>156</v>
      </c>
      <c r="D18" s="42">
        <v>22</v>
      </c>
      <c r="E18" s="41">
        <v>1.1312217194570137E-3</v>
      </c>
    </row>
    <row r="19" spans="2:5" ht="15" customHeight="1">
      <c r="B19" s="92"/>
      <c r="C19" s="43" t="s">
        <v>148</v>
      </c>
      <c r="D19" s="42">
        <v>5</v>
      </c>
      <c r="E19" s="41">
        <v>2.5709584533113944E-4</v>
      </c>
    </row>
    <row r="20" spans="2:5" ht="15" customHeight="1">
      <c r="B20" s="92"/>
      <c r="C20" s="43" t="s">
        <v>145</v>
      </c>
      <c r="D20" s="42">
        <v>1</v>
      </c>
      <c r="E20" s="41">
        <v>5.1419169066227893E-5</v>
      </c>
    </row>
    <row r="21" spans="2:5" ht="15" customHeight="1">
      <c r="B21" s="92"/>
      <c r="C21" s="43" t="s">
        <v>133</v>
      </c>
      <c r="D21" s="42">
        <v>1</v>
      </c>
      <c r="E21" s="41">
        <v>5.1419169066227893E-5</v>
      </c>
    </row>
    <row r="22" spans="2:5" ht="15" customHeight="1">
      <c r="B22" s="92"/>
      <c r="C22" s="43" t="s">
        <v>132</v>
      </c>
      <c r="D22" s="42">
        <v>2</v>
      </c>
      <c r="E22" s="41">
        <v>1.0283833813245579E-4</v>
      </c>
    </row>
    <row r="23" spans="2:5" ht="15" customHeight="1">
      <c r="B23" s="92"/>
      <c r="C23" s="43" t="s">
        <v>140</v>
      </c>
      <c r="D23" s="42">
        <v>1</v>
      </c>
      <c r="E23" s="41">
        <v>5.1419169066227893E-5</v>
      </c>
    </row>
    <row r="24" spans="2:5" ht="15" customHeight="1">
      <c r="B24" s="92"/>
      <c r="C24" s="43" t="s">
        <v>159</v>
      </c>
      <c r="D24" s="42">
        <v>27</v>
      </c>
      <c r="E24" s="41">
        <v>1.3883175647881531E-3</v>
      </c>
    </row>
    <row r="25" spans="2:5" ht="15" customHeight="1">
      <c r="B25" s="92"/>
      <c r="C25" s="43" t="s">
        <v>147</v>
      </c>
      <c r="D25" s="42">
        <v>1</v>
      </c>
      <c r="E25" s="41">
        <v>5.1419169066227893E-5</v>
      </c>
    </row>
    <row r="26" spans="2:5" ht="15" customHeight="1">
      <c r="B26" s="92"/>
      <c r="C26" s="43" t="s">
        <v>157</v>
      </c>
      <c r="D26" s="42">
        <v>5</v>
      </c>
      <c r="E26" s="41">
        <v>2.5709584533113944E-4</v>
      </c>
    </row>
    <row r="27" spans="2:5" ht="15" customHeight="1">
      <c r="B27" s="92"/>
      <c r="C27" s="43" t="s">
        <v>120</v>
      </c>
      <c r="D27" s="42">
        <v>1</v>
      </c>
      <c r="E27" s="41">
        <v>5.1419169066227893E-5</v>
      </c>
    </row>
    <row r="28" spans="2:5" ht="15" customHeight="1">
      <c r="B28" s="92"/>
      <c r="C28" s="43" t="s">
        <v>158</v>
      </c>
      <c r="D28" s="42">
        <v>18</v>
      </c>
      <c r="E28" s="41">
        <v>9.2554504319210197E-4</v>
      </c>
    </row>
    <row r="29" spans="2:5" ht="15" customHeight="1">
      <c r="B29" s="92"/>
      <c r="C29" s="43" t="s">
        <v>154</v>
      </c>
      <c r="D29" s="42">
        <v>8</v>
      </c>
      <c r="E29" s="41">
        <v>4.1135335252982314E-4</v>
      </c>
    </row>
    <row r="30" spans="2:5" ht="15" customHeight="1">
      <c r="B30" s="92"/>
      <c r="C30" s="43" t="s">
        <v>149</v>
      </c>
      <c r="D30" s="42">
        <v>3</v>
      </c>
      <c r="E30" s="41">
        <v>1.5425750719868367E-4</v>
      </c>
    </row>
    <row r="31" spans="2:5" ht="15" customHeight="1">
      <c r="B31" s="92"/>
      <c r="C31" s="43" t="s">
        <v>144</v>
      </c>
      <c r="D31" s="42">
        <v>7</v>
      </c>
      <c r="E31" s="41">
        <v>3.5993418346359524E-4</v>
      </c>
    </row>
    <row r="32" spans="2:5" ht="15" customHeight="1">
      <c r="B32" s="92"/>
      <c r="C32" s="43" t="s">
        <v>155</v>
      </c>
      <c r="D32" s="42">
        <v>8</v>
      </c>
      <c r="E32" s="41">
        <v>4.1135335252982314E-4</v>
      </c>
    </row>
    <row r="33" spans="2:5" ht="15" customHeight="1">
      <c r="B33" s="92"/>
      <c r="C33" s="43" t="s">
        <v>151</v>
      </c>
      <c r="D33" s="42">
        <v>29</v>
      </c>
      <c r="E33" s="41">
        <v>1.4911559029206088E-3</v>
      </c>
    </row>
    <row r="34" spans="2:5" ht="15" customHeight="1">
      <c r="B34" s="92"/>
      <c r="C34" s="43" t="s">
        <v>153</v>
      </c>
      <c r="D34" s="42">
        <v>2</v>
      </c>
      <c r="E34" s="41">
        <v>1.0283833813245579E-4</v>
      </c>
    </row>
    <row r="35" spans="2:5" ht="15" customHeight="1">
      <c r="B35" s="92"/>
      <c r="C35" s="43" t="s">
        <v>150</v>
      </c>
      <c r="D35" s="42">
        <v>5</v>
      </c>
      <c r="E35" s="41">
        <v>2.5709584533113944E-4</v>
      </c>
    </row>
    <row r="36" spans="2:5" ht="15" customHeight="1">
      <c r="B36" s="92"/>
      <c r="C36" s="43" t="s">
        <v>138</v>
      </c>
      <c r="D36" s="42">
        <v>1</v>
      </c>
      <c r="E36" s="41">
        <v>5.1419169066227893E-5</v>
      </c>
    </row>
    <row r="37" spans="2:5" ht="15" customHeight="1">
      <c r="B37" s="93"/>
      <c r="C37" s="40" t="s">
        <v>20</v>
      </c>
      <c r="D37" s="39">
        <v>175</v>
      </c>
      <c r="E37" s="38">
        <v>8.9983545865898809E-3</v>
      </c>
    </row>
    <row r="38" spans="2:5" ht="15" customHeight="1">
      <c r="B38" s="91" t="s">
        <v>37</v>
      </c>
      <c r="C38" s="43" t="s">
        <v>139</v>
      </c>
      <c r="D38" s="42">
        <v>1</v>
      </c>
      <c r="E38" s="41">
        <v>5.1419169066227893E-5</v>
      </c>
    </row>
    <row r="39" spans="2:5" ht="15" customHeight="1">
      <c r="B39" s="92"/>
      <c r="C39" s="43" t="s">
        <v>130</v>
      </c>
      <c r="D39" s="42">
        <v>1</v>
      </c>
      <c r="E39" s="41">
        <v>5.1419169066227893E-5</v>
      </c>
    </row>
    <row r="40" spans="2:5" ht="15" customHeight="1">
      <c r="B40" s="92"/>
      <c r="C40" s="43" t="s">
        <v>152</v>
      </c>
      <c r="D40" s="42">
        <v>3</v>
      </c>
      <c r="E40" s="41">
        <v>1.5425750719868367E-4</v>
      </c>
    </row>
    <row r="41" spans="2:5" ht="15" customHeight="1">
      <c r="B41" s="92"/>
      <c r="C41" s="43" t="s">
        <v>156</v>
      </c>
      <c r="D41" s="42">
        <v>5</v>
      </c>
      <c r="E41" s="41">
        <v>2.5709584533113944E-4</v>
      </c>
    </row>
    <row r="42" spans="2:5" ht="15" customHeight="1">
      <c r="B42" s="92"/>
      <c r="C42" s="43" t="s">
        <v>137</v>
      </c>
      <c r="D42" s="42">
        <v>1</v>
      </c>
      <c r="E42" s="41">
        <v>5.1419169066227893E-5</v>
      </c>
    </row>
    <row r="43" spans="2:5" ht="15" customHeight="1">
      <c r="B43" s="92"/>
      <c r="C43" s="43" t="s">
        <v>123</v>
      </c>
      <c r="D43" s="42">
        <v>1</v>
      </c>
      <c r="E43" s="41">
        <v>5.1419169066227893E-5</v>
      </c>
    </row>
    <row r="44" spans="2:5" ht="15" customHeight="1">
      <c r="B44" s="92"/>
      <c r="C44" s="43" t="s">
        <v>159</v>
      </c>
      <c r="D44" s="42">
        <v>3</v>
      </c>
      <c r="E44" s="41">
        <v>1.5425750719868367E-4</v>
      </c>
    </row>
    <row r="45" spans="2:5" ht="15" customHeight="1">
      <c r="B45" s="92"/>
      <c r="C45" s="43" t="s">
        <v>147</v>
      </c>
      <c r="D45" s="42">
        <v>1</v>
      </c>
      <c r="E45" s="41">
        <v>5.1419169066227893E-5</v>
      </c>
    </row>
    <row r="46" spans="2:5" ht="15" customHeight="1">
      <c r="B46" s="92"/>
      <c r="C46" s="43" t="s">
        <v>157</v>
      </c>
      <c r="D46" s="42">
        <v>5</v>
      </c>
      <c r="E46" s="41">
        <v>2.5709584533113944E-4</v>
      </c>
    </row>
    <row r="47" spans="2:5" ht="15" customHeight="1">
      <c r="B47" s="92"/>
      <c r="C47" s="43" t="s">
        <v>158</v>
      </c>
      <c r="D47" s="42">
        <v>3</v>
      </c>
      <c r="E47" s="41">
        <v>1.5425750719868367E-4</v>
      </c>
    </row>
    <row r="48" spans="2:5" ht="15" customHeight="1">
      <c r="B48" s="92"/>
      <c r="C48" s="43" t="s">
        <v>154</v>
      </c>
      <c r="D48" s="42">
        <v>1</v>
      </c>
      <c r="E48" s="41">
        <v>5.1419169066227893E-5</v>
      </c>
    </row>
    <row r="49" spans="2:5" ht="15" customHeight="1">
      <c r="B49" s="92"/>
      <c r="C49" s="43" t="s">
        <v>144</v>
      </c>
      <c r="D49" s="42">
        <v>1</v>
      </c>
      <c r="E49" s="41">
        <v>5.1419169066227893E-5</v>
      </c>
    </row>
    <row r="50" spans="2:5" ht="15" customHeight="1">
      <c r="B50" s="92"/>
      <c r="C50" s="43" t="s">
        <v>155</v>
      </c>
      <c r="D50" s="42">
        <v>7</v>
      </c>
      <c r="E50" s="41">
        <v>3.5993418346359524E-4</v>
      </c>
    </row>
    <row r="51" spans="2:5" ht="15" customHeight="1">
      <c r="B51" s="92"/>
      <c r="C51" s="43" t="s">
        <v>153</v>
      </c>
      <c r="D51" s="42">
        <v>3</v>
      </c>
      <c r="E51" s="41">
        <v>1.5425750719868367E-4</v>
      </c>
    </row>
    <row r="52" spans="2:5" ht="15" customHeight="1">
      <c r="B52" s="92"/>
      <c r="C52" s="43" t="s">
        <v>150</v>
      </c>
      <c r="D52" s="42">
        <v>1</v>
      </c>
      <c r="E52" s="41">
        <v>5.1419169066227893E-5</v>
      </c>
    </row>
    <row r="53" spans="2:5" ht="15" customHeight="1">
      <c r="B53" s="92"/>
      <c r="C53" s="43" t="s">
        <v>138</v>
      </c>
      <c r="D53" s="42">
        <v>1</v>
      </c>
      <c r="E53" s="41">
        <v>5.1419169066227893E-5</v>
      </c>
    </row>
    <row r="54" spans="2:5" ht="15" customHeight="1">
      <c r="B54" s="93"/>
      <c r="C54" s="40" t="s">
        <v>20</v>
      </c>
      <c r="D54" s="39">
        <v>38</v>
      </c>
      <c r="E54" s="38">
        <v>1.9539284245166598E-3</v>
      </c>
    </row>
    <row r="55" spans="2:5" ht="15" customHeight="1">
      <c r="B55" s="91" t="s">
        <v>57</v>
      </c>
      <c r="C55" s="43" t="s">
        <v>139</v>
      </c>
      <c r="D55" s="42">
        <v>2</v>
      </c>
      <c r="E55" s="41">
        <v>1.0283833813245579E-4</v>
      </c>
    </row>
    <row r="56" spans="2:5" ht="15" customHeight="1">
      <c r="B56" s="92"/>
      <c r="C56" s="43" t="s">
        <v>143</v>
      </c>
      <c r="D56" s="42">
        <v>4</v>
      </c>
      <c r="E56" s="41">
        <v>2.0567667626491157E-4</v>
      </c>
    </row>
    <row r="57" spans="2:5" ht="15" customHeight="1">
      <c r="B57" s="92"/>
      <c r="C57" s="43" t="s">
        <v>146</v>
      </c>
      <c r="D57" s="42">
        <v>1</v>
      </c>
      <c r="E57" s="41">
        <v>5.1419169066227893E-5</v>
      </c>
    </row>
    <row r="58" spans="2:5" ht="15" customHeight="1">
      <c r="B58" s="92"/>
      <c r="C58" s="43" t="s">
        <v>135</v>
      </c>
      <c r="D58" s="42">
        <v>6</v>
      </c>
      <c r="E58" s="41">
        <v>3.0851501439736734E-4</v>
      </c>
    </row>
    <row r="59" spans="2:5" ht="15" customHeight="1">
      <c r="B59" s="92"/>
      <c r="C59" s="43" t="s">
        <v>142</v>
      </c>
      <c r="D59" s="42">
        <v>4</v>
      </c>
      <c r="E59" s="41">
        <v>2.0567667626491157E-4</v>
      </c>
    </row>
    <row r="60" spans="2:5" ht="15" customHeight="1">
      <c r="B60" s="92"/>
      <c r="C60" s="43" t="s">
        <v>152</v>
      </c>
      <c r="D60" s="42">
        <v>7</v>
      </c>
      <c r="E60" s="41">
        <v>3.5993418346359524E-4</v>
      </c>
    </row>
    <row r="61" spans="2:5" ht="15" customHeight="1">
      <c r="B61" s="92"/>
      <c r="C61" s="43" t="s">
        <v>156</v>
      </c>
      <c r="D61" s="42">
        <v>32</v>
      </c>
      <c r="E61" s="41">
        <v>1.6454134101192926E-3</v>
      </c>
    </row>
    <row r="62" spans="2:5" ht="15" customHeight="1">
      <c r="B62" s="92"/>
      <c r="C62" s="43" t="s">
        <v>128</v>
      </c>
      <c r="D62" s="42">
        <v>1</v>
      </c>
      <c r="E62" s="41">
        <v>5.1419169066227893E-5</v>
      </c>
    </row>
    <row r="63" spans="2:5" ht="15" customHeight="1">
      <c r="B63" s="92"/>
      <c r="C63" s="43" t="s">
        <v>148</v>
      </c>
      <c r="D63" s="42">
        <v>7</v>
      </c>
      <c r="E63" s="41">
        <v>3.5993418346359524E-4</v>
      </c>
    </row>
    <row r="64" spans="2:5" ht="15" customHeight="1">
      <c r="B64" s="92"/>
      <c r="C64" s="43" t="s">
        <v>145</v>
      </c>
      <c r="D64" s="42">
        <v>4</v>
      </c>
      <c r="E64" s="41">
        <v>2.0567667626491157E-4</v>
      </c>
    </row>
    <row r="65" spans="2:5" ht="15" customHeight="1">
      <c r="B65" s="92"/>
      <c r="C65" s="43" t="s">
        <v>137</v>
      </c>
      <c r="D65" s="42">
        <v>4</v>
      </c>
      <c r="E65" s="41">
        <v>2.0567667626491157E-4</v>
      </c>
    </row>
    <row r="66" spans="2:5" ht="15" customHeight="1">
      <c r="B66" s="92"/>
      <c r="C66" s="43" t="s">
        <v>140</v>
      </c>
      <c r="D66" s="42">
        <v>3</v>
      </c>
      <c r="E66" s="41">
        <v>1.5425750719868367E-4</v>
      </c>
    </row>
    <row r="67" spans="2:5" ht="15" customHeight="1">
      <c r="B67" s="92"/>
      <c r="C67" s="43" t="s">
        <v>159</v>
      </c>
      <c r="D67" s="42">
        <v>14</v>
      </c>
      <c r="E67" s="41">
        <v>7.1986836692719048E-4</v>
      </c>
    </row>
    <row r="68" spans="2:5" ht="15" customHeight="1">
      <c r="B68" s="92"/>
      <c r="C68" s="43" t="s">
        <v>147</v>
      </c>
      <c r="D68" s="42">
        <v>4</v>
      </c>
      <c r="E68" s="41">
        <v>2.0567667626491157E-4</v>
      </c>
    </row>
    <row r="69" spans="2:5" ht="15" customHeight="1">
      <c r="B69" s="92"/>
      <c r="C69" s="43" t="s">
        <v>157</v>
      </c>
      <c r="D69" s="42">
        <v>13</v>
      </c>
      <c r="E69" s="41">
        <v>6.6844919786096253E-4</v>
      </c>
    </row>
    <row r="70" spans="2:5" ht="15" customHeight="1">
      <c r="B70" s="92"/>
      <c r="C70" s="43" t="s">
        <v>141</v>
      </c>
      <c r="D70" s="42">
        <v>2</v>
      </c>
      <c r="E70" s="41">
        <v>1.0283833813245579E-4</v>
      </c>
    </row>
    <row r="71" spans="2:5" ht="15" customHeight="1">
      <c r="B71" s="92"/>
      <c r="C71" s="43" t="s">
        <v>158</v>
      </c>
      <c r="D71" s="42">
        <v>19</v>
      </c>
      <c r="E71" s="41">
        <v>9.7696421225832992E-4</v>
      </c>
    </row>
    <row r="72" spans="2:5" ht="15" customHeight="1">
      <c r="B72" s="92"/>
      <c r="C72" s="43" t="s">
        <v>154</v>
      </c>
      <c r="D72" s="42">
        <v>7</v>
      </c>
      <c r="E72" s="41">
        <v>3.5993418346359524E-4</v>
      </c>
    </row>
    <row r="73" spans="2:5" ht="15" customHeight="1">
      <c r="B73" s="92"/>
      <c r="C73" s="43" t="s">
        <v>149</v>
      </c>
      <c r="D73" s="42">
        <v>3</v>
      </c>
      <c r="E73" s="41">
        <v>1.5425750719868367E-4</v>
      </c>
    </row>
    <row r="74" spans="2:5" ht="15" customHeight="1">
      <c r="B74" s="92"/>
      <c r="C74" s="43" t="s">
        <v>155</v>
      </c>
      <c r="D74" s="42">
        <v>13</v>
      </c>
      <c r="E74" s="41">
        <v>6.6844919786096253E-4</v>
      </c>
    </row>
    <row r="75" spans="2:5" ht="15" customHeight="1">
      <c r="B75" s="92"/>
      <c r="C75" s="43" t="s">
        <v>151</v>
      </c>
      <c r="D75" s="42">
        <v>2</v>
      </c>
      <c r="E75" s="41">
        <v>1.0283833813245579E-4</v>
      </c>
    </row>
    <row r="76" spans="2:5" ht="15" customHeight="1">
      <c r="B76" s="92"/>
      <c r="C76" s="43" t="s">
        <v>153</v>
      </c>
      <c r="D76" s="42">
        <v>4</v>
      </c>
      <c r="E76" s="41">
        <v>2.0567667626491157E-4</v>
      </c>
    </row>
    <row r="77" spans="2:5" ht="15" customHeight="1">
      <c r="B77" s="92"/>
      <c r="C77" s="43" t="s">
        <v>150</v>
      </c>
      <c r="D77" s="42">
        <v>12</v>
      </c>
      <c r="E77" s="41">
        <v>6.1703002879473468E-4</v>
      </c>
    </row>
    <row r="78" spans="2:5" ht="15" customHeight="1">
      <c r="B78" s="92"/>
      <c r="C78" s="43" t="s">
        <v>138</v>
      </c>
      <c r="D78" s="42">
        <v>1</v>
      </c>
      <c r="E78" s="41">
        <v>5.1419169066227893E-5</v>
      </c>
    </row>
    <row r="79" spans="2:5" ht="15" customHeight="1">
      <c r="B79" s="93"/>
      <c r="C79" s="40" t="s">
        <v>20</v>
      </c>
      <c r="D79" s="39">
        <v>169</v>
      </c>
      <c r="E79" s="38">
        <v>8.6898395721925134E-3</v>
      </c>
    </row>
    <row r="80" spans="2:5" ht="15" customHeight="1">
      <c r="B80" s="91" t="s">
        <v>62</v>
      </c>
      <c r="C80" s="43" t="s">
        <v>139</v>
      </c>
      <c r="D80" s="42">
        <v>2</v>
      </c>
      <c r="E80" s="41">
        <v>1.0283833813245579E-4</v>
      </c>
    </row>
    <row r="81" spans="2:5" ht="15" customHeight="1">
      <c r="B81" s="92"/>
      <c r="C81" s="43" t="s">
        <v>143</v>
      </c>
      <c r="D81" s="42">
        <v>3</v>
      </c>
      <c r="E81" s="41">
        <v>1.5425750719868367E-4</v>
      </c>
    </row>
    <row r="82" spans="2:5" ht="15" customHeight="1">
      <c r="B82" s="92"/>
      <c r="C82" s="43" t="s">
        <v>146</v>
      </c>
      <c r="D82" s="42">
        <v>13</v>
      </c>
      <c r="E82" s="41">
        <v>6.6844919786096253E-4</v>
      </c>
    </row>
    <row r="83" spans="2:5" ht="15" customHeight="1">
      <c r="B83" s="92"/>
      <c r="C83" s="43" t="s">
        <v>130</v>
      </c>
      <c r="D83" s="42">
        <v>3</v>
      </c>
      <c r="E83" s="41">
        <v>1.5425750719868367E-4</v>
      </c>
    </row>
    <row r="84" spans="2:5" ht="15" customHeight="1">
      <c r="B84" s="92"/>
      <c r="C84" s="43" t="s">
        <v>135</v>
      </c>
      <c r="D84" s="42">
        <v>1</v>
      </c>
      <c r="E84" s="41">
        <v>5.1419169066227893E-5</v>
      </c>
    </row>
    <row r="85" spans="2:5" ht="15" customHeight="1">
      <c r="B85" s="92"/>
      <c r="C85" s="43" t="s">
        <v>142</v>
      </c>
      <c r="D85" s="42">
        <v>5</v>
      </c>
      <c r="E85" s="41">
        <v>2.5709584533113944E-4</v>
      </c>
    </row>
    <row r="86" spans="2:5" ht="15" customHeight="1">
      <c r="B86" s="92"/>
      <c r="C86" s="43" t="s">
        <v>152</v>
      </c>
      <c r="D86" s="42">
        <v>28</v>
      </c>
      <c r="E86" s="41">
        <v>1.439736733854381E-3</v>
      </c>
    </row>
    <row r="87" spans="2:5" ht="15" customHeight="1">
      <c r="B87" s="92"/>
      <c r="C87" s="43" t="s">
        <v>119</v>
      </c>
      <c r="D87" s="42">
        <v>1</v>
      </c>
      <c r="E87" s="41">
        <v>5.1419169066227893E-5</v>
      </c>
    </row>
    <row r="88" spans="2:5" ht="15" customHeight="1">
      <c r="B88" s="92"/>
      <c r="C88" s="43" t="s">
        <v>156</v>
      </c>
      <c r="D88" s="42">
        <v>22</v>
      </c>
      <c r="E88" s="41">
        <v>1.1312217194570137E-3</v>
      </c>
    </row>
    <row r="89" spans="2:5" ht="15" customHeight="1">
      <c r="B89" s="92"/>
      <c r="C89" s="43" t="s">
        <v>128</v>
      </c>
      <c r="D89" s="42">
        <v>2</v>
      </c>
      <c r="E89" s="41">
        <v>1.0283833813245579E-4</v>
      </c>
    </row>
    <row r="90" spans="2:5" ht="15" customHeight="1">
      <c r="B90" s="92"/>
      <c r="C90" s="43" t="s">
        <v>148</v>
      </c>
      <c r="D90" s="42">
        <v>8</v>
      </c>
      <c r="E90" s="41">
        <v>4.1135335252982314E-4</v>
      </c>
    </row>
    <row r="91" spans="2:5" ht="15" customHeight="1">
      <c r="B91" s="92"/>
      <c r="C91" s="43" t="s">
        <v>126</v>
      </c>
      <c r="D91" s="42">
        <v>2</v>
      </c>
      <c r="E91" s="41">
        <v>1.0283833813245579E-4</v>
      </c>
    </row>
    <row r="92" spans="2:5" ht="15" customHeight="1">
      <c r="B92" s="92"/>
      <c r="C92" s="43" t="s">
        <v>145</v>
      </c>
      <c r="D92" s="42">
        <v>1</v>
      </c>
      <c r="E92" s="41">
        <v>5.1419169066227893E-5</v>
      </c>
    </row>
    <row r="93" spans="2:5" ht="15" customHeight="1">
      <c r="B93" s="92"/>
      <c r="C93" s="43" t="s">
        <v>137</v>
      </c>
      <c r="D93" s="42">
        <v>5</v>
      </c>
      <c r="E93" s="41">
        <v>2.5709584533113944E-4</v>
      </c>
    </row>
    <row r="94" spans="2:5" ht="15" customHeight="1">
      <c r="B94" s="92"/>
      <c r="C94" s="43" t="s">
        <v>132</v>
      </c>
      <c r="D94" s="42">
        <v>3</v>
      </c>
      <c r="E94" s="41">
        <v>1.5425750719868367E-4</v>
      </c>
    </row>
    <row r="95" spans="2:5" ht="15" customHeight="1">
      <c r="B95" s="92"/>
      <c r="C95" s="43" t="s">
        <v>140</v>
      </c>
      <c r="D95" s="42">
        <v>4</v>
      </c>
      <c r="E95" s="41">
        <v>2.0567667626491157E-4</v>
      </c>
    </row>
    <row r="96" spans="2:5" ht="15" customHeight="1">
      <c r="B96" s="92"/>
      <c r="C96" s="43" t="s">
        <v>159</v>
      </c>
      <c r="D96" s="42">
        <v>32</v>
      </c>
      <c r="E96" s="41">
        <v>1.6454134101192926E-3</v>
      </c>
    </row>
    <row r="97" spans="2:5" ht="15" customHeight="1">
      <c r="B97" s="92"/>
      <c r="C97" s="43" t="s">
        <v>125</v>
      </c>
      <c r="D97" s="42">
        <v>1</v>
      </c>
      <c r="E97" s="41">
        <v>5.1419169066227893E-5</v>
      </c>
    </row>
    <row r="98" spans="2:5" ht="15" customHeight="1">
      <c r="B98" s="92"/>
      <c r="C98" s="43" t="s">
        <v>147</v>
      </c>
      <c r="D98" s="42">
        <v>2</v>
      </c>
      <c r="E98" s="41">
        <v>1.0283833813245579E-4</v>
      </c>
    </row>
    <row r="99" spans="2:5" ht="15" customHeight="1">
      <c r="B99" s="92"/>
      <c r="C99" s="43" t="s">
        <v>157</v>
      </c>
      <c r="D99" s="42">
        <v>33</v>
      </c>
      <c r="E99" s="41">
        <v>1.6968325791855204E-3</v>
      </c>
    </row>
    <row r="100" spans="2:5" ht="15" customHeight="1">
      <c r="B100" s="92"/>
      <c r="C100" s="43" t="s">
        <v>141</v>
      </c>
      <c r="D100" s="42">
        <v>2</v>
      </c>
      <c r="E100" s="41">
        <v>1.0283833813245579E-4</v>
      </c>
    </row>
    <row r="101" spans="2:5" ht="15" customHeight="1">
      <c r="B101" s="92"/>
      <c r="C101" s="43" t="s">
        <v>158</v>
      </c>
      <c r="D101" s="42">
        <v>31</v>
      </c>
      <c r="E101" s="41">
        <v>1.5939942410530645E-3</v>
      </c>
    </row>
    <row r="102" spans="2:5" ht="15" customHeight="1">
      <c r="B102" s="92"/>
      <c r="C102" s="43" t="s">
        <v>154</v>
      </c>
      <c r="D102" s="42">
        <v>8</v>
      </c>
      <c r="E102" s="41">
        <v>4.1135335252982314E-4</v>
      </c>
    </row>
    <row r="103" spans="2:5" ht="15" customHeight="1">
      <c r="B103" s="92"/>
      <c r="C103" s="43" t="s">
        <v>131</v>
      </c>
      <c r="D103" s="42">
        <v>2</v>
      </c>
      <c r="E103" s="41">
        <v>1.0283833813245579E-4</v>
      </c>
    </row>
    <row r="104" spans="2:5" ht="15" customHeight="1">
      <c r="B104" s="92"/>
      <c r="C104" s="43" t="s">
        <v>149</v>
      </c>
      <c r="D104" s="42">
        <v>10</v>
      </c>
      <c r="E104" s="41">
        <v>5.1419169066227888E-4</v>
      </c>
    </row>
    <row r="105" spans="2:5" ht="15" customHeight="1">
      <c r="B105" s="92"/>
      <c r="C105" s="43" t="s">
        <v>144</v>
      </c>
      <c r="D105" s="42">
        <v>3</v>
      </c>
      <c r="E105" s="41">
        <v>1.5425750719868367E-4</v>
      </c>
    </row>
    <row r="106" spans="2:5" ht="15" customHeight="1">
      <c r="B106" s="92"/>
      <c r="C106" s="43" t="s">
        <v>155</v>
      </c>
      <c r="D106" s="42">
        <v>73</v>
      </c>
      <c r="E106" s="41">
        <v>3.7535993418346359E-3</v>
      </c>
    </row>
    <row r="107" spans="2:5" ht="15" customHeight="1">
      <c r="B107" s="92"/>
      <c r="C107" s="43" t="s">
        <v>151</v>
      </c>
      <c r="D107" s="42">
        <v>2</v>
      </c>
      <c r="E107" s="41">
        <v>1.0283833813245579E-4</v>
      </c>
    </row>
    <row r="108" spans="2:5" ht="15" customHeight="1">
      <c r="B108" s="92"/>
      <c r="C108" s="43" t="s">
        <v>153</v>
      </c>
      <c r="D108" s="42">
        <v>7</v>
      </c>
      <c r="E108" s="41">
        <v>3.5993418346359524E-4</v>
      </c>
    </row>
    <row r="109" spans="2:5" ht="15" customHeight="1">
      <c r="B109" s="92"/>
      <c r="C109" s="43" t="s">
        <v>150</v>
      </c>
      <c r="D109" s="42">
        <v>14</v>
      </c>
      <c r="E109" s="41">
        <v>7.1986836692719048E-4</v>
      </c>
    </row>
    <row r="110" spans="2:5" ht="15" customHeight="1">
      <c r="B110" s="92"/>
      <c r="C110" s="43" t="s">
        <v>127</v>
      </c>
      <c r="D110" s="42">
        <v>3</v>
      </c>
      <c r="E110" s="41">
        <v>1.5425750719868367E-4</v>
      </c>
    </row>
    <row r="111" spans="2:5" ht="15" customHeight="1">
      <c r="B111" s="92"/>
      <c r="C111" s="43" t="s">
        <v>138</v>
      </c>
      <c r="D111" s="42">
        <v>4</v>
      </c>
      <c r="E111" s="41">
        <v>2.0567667626491157E-4</v>
      </c>
    </row>
    <row r="112" spans="2:5" ht="15" customHeight="1">
      <c r="B112" s="93"/>
      <c r="C112" s="40" t="s">
        <v>20</v>
      </c>
      <c r="D112" s="39">
        <v>330</v>
      </c>
      <c r="E112" s="38">
        <v>1.6968325791855202E-2</v>
      </c>
    </row>
    <row r="113" spans="2:5" ht="15" customHeight="1">
      <c r="B113" s="91" t="s">
        <v>45</v>
      </c>
      <c r="C113" s="43" t="s">
        <v>139</v>
      </c>
      <c r="D113" s="42">
        <v>1</v>
      </c>
      <c r="E113" s="41">
        <v>5.1419169066227893E-5</v>
      </c>
    </row>
    <row r="114" spans="2:5" ht="15" customHeight="1">
      <c r="B114" s="92"/>
      <c r="C114" s="43" t="s">
        <v>143</v>
      </c>
      <c r="D114" s="42">
        <v>1</v>
      </c>
      <c r="E114" s="41">
        <v>5.1419169066227893E-5</v>
      </c>
    </row>
    <row r="115" spans="2:5" ht="15" customHeight="1">
      <c r="B115" s="92"/>
      <c r="C115" s="43" t="s">
        <v>146</v>
      </c>
      <c r="D115" s="42">
        <v>1</v>
      </c>
      <c r="E115" s="41">
        <v>5.1419169066227893E-5</v>
      </c>
    </row>
    <row r="116" spans="2:5" ht="15" customHeight="1">
      <c r="B116" s="92"/>
      <c r="C116" s="43" t="s">
        <v>135</v>
      </c>
      <c r="D116" s="42">
        <v>1</v>
      </c>
      <c r="E116" s="41">
        <v>5.1419169066227893E-5</v>
      </c>
    </row>
    <row r="117" spans="2:5" ht="15" customHeight="1">
      <c r="B117" s="92"/>
      <c r="C117" s="43" t="s">
        <v>152</v>
      </c>
      <c r="D117" s="42">
        <v>2</v>
      </c>
      <c r="E117" s="41">
        <v>1.0283833813245579E-4</v>
      </c>
    </row>
    <row r="118" spans="2:5" ht="15" customHeight="1">
      <c r="B118" s="92"/>
      <c r="C118" s="43" t="s">
        <v>156</v>
      </c>
      <c r="D118" s="42">
        <v>5</v>
      </c>
      <c r="E118" s="41">
        <v>2.5709584533113944E-4</v>
      </c>
    </row>
    <row r="119" spans="2:5" ht="15" customHeight="1">
      <c r="B119" s="92"/>
      <c r="C119" s="43" t="s">
        <v>148</v>
      </c>
      <c r="D119" s="42">
        <v>2</v>
      </c>
      <c r="E119" s="41">
        <v>1.0283833813245579E-4</v>
      </c>
    </row>
    <row r="120" spans="2:5" ht="15" customHeight="1">
      <c r="B120" s="92"/>
      <c r="C120" s="43" t="s">
        <v>137</v>
      </c>
      <c r="D120" s="42">
        <v>1</v>
      </c>
      <c r="E120" s="41">
        <v>5.1419169066227893E-5</v>
      </c>
    </row>
    <row r="121" spans="2:5" ht="15" customHeight="1">
      <c r="B121" s="92"/>
      <c r="C121" s="43" t="s">
        <v>159</v>
      </c>
      <c r="D121" s="42">
        <v>6</v>
      </c>
      <c r="E121" s="41">
        <v>3.0851501439736734E-4</v>
      </c>
    </row>
    <row r="122" spans="2:5" ht="15" customHeight="1">
      <c r="B122" s="92"/>
      <c r="C122" s="43" t="s">
        <v>147</v>
      </c>
      <c r="D122" s="42">
        <v>1</v>
      </c>
      <c r="E122" s="41">
        <v>5.1419169066227893E-5</v>
      </c>
    </row>
    <row r="123" spans="2:5" ht="15" customHeight="1">
      <c r="B123" s="92"/>
      <c r="C123" s="43" t="s">
        <v>157</v>
      </c>
      <c r="D123" s="42">
        <v>4</v>
      </c>
      <c r="E123" s="41">
        <v>2.0567667626491157E-4</v>
      </c>
    </row>
    <row r="124" spans="2:5" ht="15" customHeight="1">
      <c r="B124" s="92"/>
      <c r="C124" s="43" t="s">
        <v>158</v>
      </c>
      <c r="D124" s="42">
        <v>4</v>
      </c>
      <c r="E124" s="41">
        <v>2.0567667626491157E-4</v>
      </c>
    </row>
    <row r="125" spans="2:5" ht="15" customHeight="1">
      <c r="B125" s="92"/>
      <c r="C125" s="43" t="s">
        <v>154</v>
      </c>
      <c r="D125" s="42">
        <v>1</v>
      </c>
      <c r="E125" s="41">
        <v>5.1419169066227893E-5</v>
      </c>
    </row>
    <row r="126" spans="2:5" ht="15" customHeight="1">
      <c r="B126" s="92"/>
      <c r="C126" s="43" t="s">
        <v>155</v>
      </c>
      <c r="D126" s="42">
        <v>6</v>
      </c>
      <c r="E126" s="41">
        <v>3.0851501439736734E-4</v>
      </c>
    </row>
    <row r="127" spans="2:5" ht="15" customHeight="1">
      <c r="B127" s="92"/>
      <c r="C127" s="43" t="s">
        <v>151</v>
      </c>
      <c r="D127" s="42">
        <v>1</v>
      </c>
      <c r="E127" s="41">
        <v>5.1419169066227893E-5</v>
      </c>
    </row>
    <row r="128" spans="2:5" ht="15" customHeight="1">
      <c r="B128" s="92"/>
      <c r="C128" s="43" t="s">
        <v>153</v>
      </c>
      <c r="D128" s="42">
        <v>1</v>
      </c>
      <c r="E128" s="41">
        <v>5.1419169066227893E-5</v>
      </c>
    </row>
    <row r="129" spans="2:5" ht="15" customHeight="1">
      <c r="B129" s="92"/>
      <c r="C129" s="43" t="s">
        <v>150</v>
      </c>
      <c r="D129" s="42">
        <v>2</v>
      </c>
      <c r="E129" s="41">
        <v>1.0283833813245579E-4</v>
      </c>
    </row>
    <row r="130" spans="2:5" ht="15" customHeight="1">
      <c r="B130" s="92"/>
      <c r="C130" s="43" t="s">
        <v>138</v>
      </c>
      <c r="D130" s="42">
        <v>1</v>
      </c>
      <c r="E130" s="41">
        <v>5.1419169066227893E-5</v>
      </c>
    </row>
    <row r="131" spans="2:5" ht="15" customHeight="1">
      <c r="B131" s="93"/>
      <c r="C131" s="40" t="s">
        <v>20</v>
      </c>
      <c r="D131" s="39">
        <v>41</v>
      </c>
      <c r="E131" s="38">
        <v>2.1081859317153436E-3</v>
      </c>
    </row>
    <row r="132" spans="2:5" ht="15" customHeight="1">
      <c r="B132" s="91" t="s">
        <v>31</v>
      </c>
      <c r="C132" s="43" t="s">
        <v>130</v>
      </c>
      <c r="D132" s="42">
        <v>1</v>
      </c>
      <c r="E132" s="41">
        <v>5.1419169066227893E-5</v>
      </c>
    </row>
    <row r="133" spans="2:5" ht="15" customHeight="1">
      <c r="B133" s="92"/>
      <c r="C133" s="43" t="s">
        <v>152</v>
      </c>
      <c r="D133" s="42">
        <v>2</v>
      </c>
      <c r="E133" s="41">
        <v>1.0283833813245579E-4</v>
      </c>
    </row>
    <row r="134" spans="2:5" ht="15" customHeight="1">
      <c r="B134" s="92"/>
      <c r="C134" s="43" t="s">
        <v>159</v>
      </c>
      <c r="D134" s="42">
        <v>2</v>
      </c>
      <c r="E134" s="41">
        <v>1.0283833813245579E-4</v>
      </c>
    </row>
    <row r="135" spans="2:5" ht="15" customHeight="1">
      <c r="B135" s="92"/>
      <c r="C135" s="43" t="s">
        <v>157</v>
      </c>
      <c r="D135" s="42">
        <v>2</v>
      </c>
      <c r="E135" s="41">
        <v>1.0283833813245579E-4</v>
      </c>
    </row>
    <row r="136" spans="2:5" ht="15" customHeight="1">
      <c r="B136" s="92"/>
      <c r="C136" s="43" t="s">
        <v>155</v>
      </c>
      <c r="D136" s="42">
        <v>4</v>
      </c>
      <c r="E136" s="41">
        <v>2.0567667626491157E-4</v>
      </c>
    </row>
    <row r="137" spans="2:5" ht="15" customHeight="1">
      <c r="B137" s="92"/>
      <c r="C137" s="43" t="s">
        <v>150</v>
      </c>
      <c r="D137" s="42">
        <v>1</v>
      </c>
      <c r="E137" s="41">
        <v>5.1419169066227893E-5</v>
      </c>
    </row>
    <row r="138" spans="2:5" ht="15" customHeight="1">
      <c r="B138" s="93"/>
      <c r="C138" s="40" t="s">
        <v>20</v>
      </c>
      <c r="D138" s="39">
        <v>12</v>
      </c>
      <c r="E138" s="38">
        <v>6.1703002879473468E-4</v>
      </c>
    </row>
    <row r="139" spans="2:5" ht="15" customHeight="1">
      <c r="B139" s="91" t="s">
        <v>30</v>
      </c>
      <c r="C139" s="43" t="s">
        <v>152</v>
      </c>
      <c r="D139" s="42">
        <v>2</v>
      </c>
      <c r="E139" s="41">
        <v>1.0283833813245579E-4</v>
      </c>
    </row>
    <row r="140" spans="2:5" ht="15" customHeight="1">
      <c r="B140" s="92"/>
      <c r="C140" s="43" t="s">
        <v>156</v>
      </c>
      <c r="D140" s="42">
        <v>2</v>
      </c>
      <c r="E140" s="41">
        <v>1.0283833813245579E-4</v>
      </c>
    </row>
    <row r="141" spans="2:5" ht="15" customHeight="1">
      <c r="B141" s="92"/>
      <c r="C141" s="43" t="s">
        <v>134</v>
      </c>
      <c r="D141" s="42">
        <v>1</v>
      </c>
      <c r="E141" s="41">
        <v>5.1419169066227893E-5</v>
      </c>
    </row>
    <row r="142" spans="2:5" ht="15" customHeight="1">
      <c r="B142" s="92"/>
      <c r="C142" s="43" t="s">
        <v>158</v>
      </c>
      <c r="D142" s="42">
        <v>6</v>
      </c>
      <c r="E142" s="41">
        <v>3.0851501439736734E-4</v>
      </c>
    </row>
    <row r="143" spans="2:5" ht="15" customHeight="1">
      <c r="B143" s="92"/>
      <c r="C143" s="43" t="s">
        <v>149</v>
      </c>
      <c r="D143" s="42">
        <v>1</v>
      </c>
      <c r="E143" s="41">
        <v>5.1419169066227893E-5</v>
      </c>
    </row>
    <row r="144" spans="2:5" ht="15" customHeight="1">
      <c r="B144" s="92"/>
      <c r="C144" s="43" t="s">
        <v>155</v>
      </c>
      <c r="D144" s="42">
        <v>3</v>
      </c>
      <c r="E144" s="41">
        <v>1.5425750719868367E-4</v>
      </c>
    </row>
    <row r="145" spans="2:5" ht="15" customHeight="1">
      <c r="B145" s="92"/>
      <c r="C145" s="43" t="s">
        <v>151</v>
      </c>
      <c r="D145" s="42">
        <v>1</v>
      </c>
      <c r="E145" s="41">
        <v>5.1419169066227893E-5</v>
      </c>
    </row>
    <row r="146" spans="2:5" ht="15" customHeight="1">
      <c r="B146" s="92"/>
      <c r="C146" s="43" t="s">
        <v>153</v>
      </c>
      <c r="D146" s="42">
        <v>1</v>
      </c>
      <c r="E146" s="41">
        <v>5.1419169066227893E-5</v>
      </c>
    </row>
    <row r="147" spans="2:5" ht="15" customHeight="1">
      <c r="B147" s="93"/>
      <c r="C147" s="40" t="s">
        <v>20</v>
      </c>
      <c r="D147" s="39">
        <v>17</v>
      </c>
      <c r="E147" s="38">
        <v>8.7412587412587413E-4</v>
      </c>
    </row>
    <row r="148" spans="2:5" ht="15" customHeight="1">
      <c r="B148" s="91" t="s">
        <v>238</v>
      </c>
      <c r="C148" s="43" t="s">
        <v>157</v>
      </c>
      <c r="D148" s="42">
        <v>1</v>
      </c>
      <c r="E148" s="41">
        <v>5.1419169066227893E-5</v>
      </c>
    </row>
    <row r="149" spans="2:5" ht="15" customHeight="1">
      <c r="B149" s="93"/>
      <c r="C149" s="40" t="s">
        <v>20</v>
      </c>
      <c r="D149" s="39">
        <v>1</v>
      </c>
      <c r="E149" s="38">
        <v>5.1419169066227893E-5</v>
      </c>
    </row>
    <row r="150" spans="2:5" ht="15" customHeight="1">
      <c r="B150" s="91" t="s">
        <v>63</v>
      </c>
      <c r="C150" s="43" t="s">
        <v>139</v>
      </c>
      <c r="D150" s="42">
        <v>3</v>
      </c>
      <c r="E150" s="41">
        <v>1.5425750719868367E-4</v>
      </c>
    </row>
    <row r="151" spans="2:5" ht="15" customHeight="1">
      <c r="B151" s="92"/>
      <c r="C151" s="43" t="s">
        <v>143</v>
      </c>
      <c r="D151" s="42">
        <v>12</v>
      </c>
      <c r="E151" s="41">
        <v>6.1703002879473468E-4</v>
      </c>
    </row>
    <row r="152" spans="2:5" ht="15" customHeight="1">
      <c r="B152" s="92"/>
      <c r="C152" s="43" t="s">
        <v>146</v>
      </c>
      <c r="D152" s="42">
        <v>9</v>
      </c>
      <c r="E152" s="41">
        <v>4.6277252159605099E-4</v>
      </c>
    </row>
    <row r="153" spans="2:5" ht="15" customHeight="1">
      <c r="B153" s="92"/>
      <c r="C153" s="43" t="s">
        <v>130</v>
      </c>
      <c r="D153" s="42">
        <v>3</v>
      </c>
      <c r="E153" s="41">
        <v>1.5425750719868367E-4</v>
      </c>
    </row>
    <row r="154" spans="2:5" ht="15" customHeight="1">
      <c r="B154" s="92"/>
      <c r="C154" s="43" t="s">
        <v>135</v>
      </c>
      <c r="D154" s="42">
        <v>9</v>
      </c>
      <c r="E154" s="41">
        <v>4.6277252159605099E-4</v>
      </c>
    </row>
    <row r="155" spans="2:5" ht="15" customHeight="1">
      <c r="B155" s="92"/>
      <c r="C155" s="43" t="s">
        <v>142</v>
      </c>
      <c r="D155" s="42">
        <v>1</v>
      </c>
      <c r="E155" s="41">
        <v>5.1419169066227893E-5</v>
      </c>
    </row>
    <row r="156" spans="2:5" ht="15" customHeight="1">
      <c r="B156" s="92"/>
      <c r="C156" s="43" t="s">
        <v>118</v>
      </c>
      <c r="D156" s="42">
        <v>1</v>
      </c>
      <c r="E156" s="41">
        <v>5.1419169066227893E-5</v>
      </c>
    </row>
    <row r="157" spans="2:5" ht="15" customHeight="1">
      <c r="B157" s="92"/>
      <c r="C157" s="43" t="s">
        <v>152</v>
      </c>
      <c r="D157" s="42">
        <v>33</v>
      </c>
      <c r="E157" s="41">
        <v>1.6968325791855204E-3</v>
      </c>
    </row>
    <row r="158" spans="2:5" ht="15" customHeight="1">
      <c r="B158" s="92"/>
      <c r="C158" s="43" t="s">
        <v>119</v>
      </c>
      <c r="D158" s="42">
        <v>2</v>
      </c>
      <c r="E158" s="41">
        <v>1.0283833813245579E-4</v>
      </c>
    </row>
    <row r="159" spans="2:5" ht="15" customHeight="1">
      <c r="B159" s="92"/>
      <c r="C159" s="43" t="s">
        <v>156</v>
      </c>
      <c r="D159" s="42">
        <v>33</v>
      </c>
      <c r="E159" s="41">
        <v>1.6968325791855204E-3</v>
      </c>
    </row>
    <row r="160" spans="2:5" ht="15" customHeight="1">
      <c r="B160" s="92"/>
      <c r="C160" s="43" t="s">
        <v>128</v>
      </c>
      <c r="D160" s="42">
        <v>1</v>
      </c>
      <c r="E160" s="41">
        <v>5.1419169066227893E-5</v>
      </c>
    </row>
    <row r="161" spans="2:5" ht="15" customHeight="1">
      <c r="B161" s="92"/>
      <c r="C161" s="43" t="s">
        <v>148</v>
      </c>
      <c r="D161" s="42">
        <v>14</v>
      </c>
      <c r="E161" s="41">
        <v>7.1986836692719048E-4</v>
      </c>
    </row>
    <row r="162" spans="2:5" ht="15" customHeight="1">
      <c r="B162" s="92"/>
      <c r="C162" s="43" t="s">
        <v>126</v>
      </c>
      <c r="D162" s="42">
        <v>2</v>
      </c>
      <c r="E162" s="41">
        <v>1.0283833813245579E-4</v>
      </c>
    </row>
    <row r="163" spans="2:5" ht="15" customHeight="1">
      <c r="B163" s="92"/>
      <c r="C163" s="43" t="s">
        <v>145</v>
      </c>
      <c r="D163" s="42">
        <v>3</v>
      </c>
      <c r="E163" s="41">
        <v>1.5425750719868367E-4</v>
      </c>
    </row>
    <row r="164" spans="2:5" ht="15" customHeight="1">
      <c r="B164" s="92"/>
      <c r="C164" s="43" t="s">
        <v>137</v>
      </c>
      <c r="D164" s="42">
        <v>2</v>
      </c>
      <c r="E164" s="41">
        <v>1.0283833813245579E-4</v>
      </c>
    </row>
    <row r="165" spans="2:5" ht="15" customHeight="1">
      <c r="B165" s="92"/>
      <c r="C165" s="43" t="s">
        <v>133</v>
      </c>
      <c r="D165" s="42">
        <v>7</v>
      </c>
      <c r="E165" s="41">
        <v>3.5993418346359524E-4</v>
      </c>
    </row>
    <row r="166" spans="2:5" ht="15" customHeight="1">
      <c r="B166" s="92"/>
      <c r="C166" s="43" t="s">
        <v>132</v>
      </c>
      <c r="D166" s="42">
        <v>4</v>
      </c>
      <c r="E166" s="41">
        <v>2.0567667626491157E-4</v>
      </c>
    </row>
    <row r="167" spans="2:5" ht="15" customHeight="1">
      <c r="B167" s="92"/>
      <c r="C167" s="43" t="s">
        <v>140</v>
      </c>
      <c r="D167" s="42">
        <v>5</v>
      </c>
      <c r="E167" s="41">
        <v>2.5709584533113944E-4</v>
      </c>
    </row>
    <row r="168" spans="2:5" ht="15" customHeight="1">
      <c r="B168" s="92"/>
      <c r="C168" s="43" t="s">
        <v>159</v>
      </c>
      <c r="D168" s="42">
        <v>172</v>
      </c>
      <c r="E168" s="41">
        <v>8.8440970793911972E-3</v>
      </c>
    </row>
    <row r="169" spans="2:5" ht="15" customHeight="1">
      <c r="B169" s="92"/>
      <c r="C169" s="43" t="s">
        <v>125</v>
      </c>
      <c r="D169" s="42">
        <v>2</v>
      </c>
      <c r="E169" s="41">
        <v>1.0283833813245579E-4</v>
      </c>
    </row>
    <row r="170" spans="2:5" ht="15" customHeight="1">
      <c r="B170" s="92"/>
      <c r="C170" s="43" t="s">
        <v>147</v>
      </c>
      <c r="D170" s="42">
        <v>2</v>
      </c>
      <c r="E170" s="41">
        <v>1.0283833813245579E-4</v>
      </c>
    </row>
    <row r="171" spans="2:5" ht="15" customHeight="1">
      <c r="B171" s="92"/>
      <c r="C171" s="43" t="s">
        <v>157</v>
      </c>
      <c r="D171" s="42">
        <v>37</v>
      </c>
      <c r="E171" s="41">
        <v>1.902509255450432E-3</v>
      </c>
    </row>
    <row r="172" spans="2:5" ht="15" customHeight="1">
      <c r="B172" s="92"/>
      <c r="C172" s="43" t="s">
        <v>120</v>
      </c>
      <c r="D172" s="42">
        <v>4</v>
      </c>
      <c r="E172" s="41">
        <v>2.0567667626491157E-4</v>
      </c>
    </row>
    <row r="173" spans="2:5" ht="15" customHeight="1">
      <c r="B173" s="92"/>
      <c r="C173" s="43" t="s">
        <v>141</v>
      </c>
      <c r="D173" s="42">
        <v>4</v>
      </c>
      <c r="E173" s="41">
        <v>2.0567667626491157E-4</v>
      </c>
    </row>
    <row r="174" spans="2:5" ht="15" customHeight="1">
      <c r="B174" s="92"/>
      <c r="C174" s="43" t="s">
        <v>134</v>
      </c>
      <c r="D174" s="42">
        <v>4</v>
      </c>
      <c r="E174" s="41">
        <v>2.0567667626491157E-4</v>
      </c>
    </row>
    <row r="175" spans="2:5" ht="15" customHeight="1">
      <c r="B175" s="92"/>
      <c r="C175" s="43" t="s">
        <v>122</v>
      </c>
      <c r="D175" s="42">
        <v>2</v>
      </c>
      <c r="E175" s="41">
        <v>1.0283833813245579E-4</v>
      </c>
    </row>
    <row r="176" spans="2:5" ht="15" customHeight="1">
      <c r="B176" s="92"/>
      <c r="C176" s="43" t="s">
        <v>158</v>
      </c>
      <c r="D176" s="42">
        <v>64</v>
      </c>
      <c r="E176" s="41">
        <v>3.2908268202385851E-3</v>
      </c>
    </row>
    <row r="177" spans="2:5" ht="15" customHeight="1">
      <c r="B177" s="92"/>
      <c r="C177" s="43" t="s">
        <v>154</v>
      </c>
      <c r="D177" s="42">
        <v>28</v>
      </c>
      <c r="E177" s="41">
        <v>1.439736733854381E-3</v>
      </c>
    </row>
    <row r="178" spans="2:5" ht="15" customHeight="1">
      <c r="B178" s="92"/>
      <c r="C178" s="43" t="s">
        <v>131</v>
      </c>
      <c r="D178" s="42">
        <v>4</v>
      </c>
      <c r="E178" s="41">
        <v>2.0567667626491157E-4</v>
      </c>
    </row>
    <row r="179" spans="2:5" ht="15" customHeight="1">
      <c r="B179" s="92"/>
      <c r="C179" s="43" t="s">
        <v>149</v>
      </c>
      <c r="D179" s="42">
        <v>32</v>
      </c>
      <c r="E179" s="41">
        <v>1.6454134101192926E-3</v>
      </c>
    </row>
    <row r="180" spans="2:5" ht="15" customHeight="1">
      <c r="B180" s="92"/>
      <c r="C180" s="43" t="s">
        <v>117</v>
      </c>
      <c r="D180" s="42">
        <v>1</v>
      </c>
      <c r="E180" s="41">
        <v>5.1419169066227893E-5</v>
      </c>
    </row>
    <row r="181" spans="2:5" ht="15" customHeight="1">
      <c r="B181" s="92"/>
      <c r="C181" s="43" t="s">
        <v>144</v>
      </c>
      <c r="D181" s="42">
        <v>2</v>
      </c>
      <c r="E181" s="41">
        <v>1.0283833813245579E-4</v>
      </c>
    </row>
    <row r="182" spans="2:5" ht="15" customHeight="1">
      <c r="B182" s="92"/>
      <c r="C182" s="43" t="s">
        <v>155</v>
      </c>
      <c r="D182" s="42">
        <v>65</v>
      </c>
      <c r="E182" s="41">
        <v>3.3422459893048127E-3</v>
      </c>
    </row>
    <row r="183" spans="2:5" ht="15" customHeight="1">
      <c r="B183" s="92"/>
      <c r="C183" s="43" t="s">
        <v>151</v>
      </c>
      <c r="D183" s="42">
        <v>28</v>
      </c>
      <c r="E183" s="41">
        <v>1.439736733854381E-3</v>
      </c>
    </row>
    <row r="184" spans="2:5" ht="15" customHeight="1">
      <c r="B184" s="92"/>
      <c r="C184" s="43" t="s">
        <v>153</v>
      </c>
      <c r="D184" s="42">
        <v>22</v>
      </c>
      <c r="E184" s="41">
        <v>1.1312217194570137E-3</v>
      </c>
    </row>
    <row r="185" spans="2:5" ht="15" customHeight="1">
      <c r="B185" s="92"/>
      <c r="C185" s="43" t="s">
        <v>150</v>
      </c>
      <c r="D185" s="42">
        <v>18</v>
      </c>
      <c r="E185" s="41">
        <v>9.2554504319210197E-4</v>
      </c>
    </row>
    <row r="186" spans="2:5" ht="15" customHeight="1">
      <c r="B186" s="92"/>
      <c r="C186" s="43" t="s">
        <v>127</v>
      </c>
      <c r="D186" s="42">
        <v>3</v>
      </c>
      <c r="E186" s="41">
        <v>1.5425750719868367E-4</v>
      </c>
    </row>
    <row r="187" spans="2:5" ht="15" customHeight="1">
      <c r="B187" s="92"/>
      <c r="C187" s="43" t="s">
        <v>138</v>
      </c>
      <c r="D187" s="42">
        <v>11</v>
      </c>
      <c r="E187" s="41">
        <v>5.6561085972850684E-4</v>
      </c>
    </row>
    <row r="188" spans="2:5" ht="15" customHeight="1">
      <c r="B188" s="93"/>
      <c r="C188" s="40" t="s">
        <v>20</v>
      </c>
      <c r="D188" s="39">
        <v>649</v>
      </c>
      <c r="E188" s="38">
        <v>3.33710407239819E-2</v>
      </c>
    </row>
    <row r="189" spans="2:5" ht="15" customHeight="1">
      <c r="B189" s="91" t="s">
        <v>64</v>
      </c>
      <c r="C189" s="43" t="s">
        <v>139</v>
      </c>
      <c r="D189" s="42">
        <v>3</v>
      </c>
      <c r="E189" s="41">
        <v>1.5425750719868367E-4</v>
      </c>
    </row>
    <row r="190" spans="2:5" ht="15" customHeight="1">
      <c r="B190" s="92"/>
      <c r="C190" s="43" t="s">
        <v>143</v>
      </c>
      <c r="D190" s="42">
        <v>25</v>
      </c>
      <c r="E190" s="41">
        <v>1.2854792266556972E-3</v>
      </c>
    </row>
    <row r="191" spans="2:5" ht="15" customHeight="1">
      <c r="B191" s="92"/>
      <c r="C191" s="43" t="s">
        <v>146</v>
      </c>
      <c r="D191" s="42">
        <v>32</v>
      </c>
      <c r="E191" s="41">
        <v>1.6454134101192926E-3</v>
      </c>
    </row>
    <row r="192" spans="2:5" ht="15" customHeight="1">
      <c r="B192" s="92"/>
      <c r="C192" s="43" t="s">
        <v>130</v>
      </c>
      <c r="D192" s="42">
        <v>1</v>
      </c>
      <c r="E192" s="41">
        <v>5.1419169066227893E-5</v>
      </c>
    </row>
    <row r="193" spans="2:5" ht="15" customHeight="1">
      <c r="B193" s="92"/>
      <c r="C193" s="43" t="s">
        <v>135</v>
      </c>
      <c r="D193" s="42">
        <v>4</v>
      </c>
      <c r="E193" s="41">
        <v>2.0567667626491157E-4</v>
      </c>
    </row>
    <row r="194" spans="2:5" ht="15" customHeight="1">
      <c r="B194" s="92"/>
      <c r="C194" s="43" t="s">
        <v>152</v>
      </c>
      <c r="D194" s="42">
        <v>47</v>
      </c>
      <c r="E194" s="41">
        <v>2.4167009461127107E-3</v>
      </c>
    </row>
    <row r="195" spans="2:5" ht="15" customHeight="1">
      <c r="B195" s="92"/>
      <c r="C195" s="43" t="s">
        <v>156</v>
      </c>
      <c r="D195" s="42">
        <v>108</v>
      </c>
      <c r="E195" s="41">
        <v>5.5532702591526125E-3</v>
      </c>
    </row>
    <row r="196" spans="2:5" ht="15" customHeight="1">
      <c r="B196" s="92"/>
      <c r="C196" s="43" t="s">
        <v>128</v>
      </c>
      <c r="D196" s="42">
        <v>5</v>
      </c>
      <c r="E196" s="41">
        <v>2.5709584533113944E-4</v>
      </c>
    </row>
    <row r="197" spans="2:5" ht="15" customHeight="1">
      <c r="B197" s="92"/>
      <c r="C197" s="43" t="s">
        <v>148</v>
      </c>
      <c r="D197" s="42">
        <v>34</v>
      </c>
      <c r="E197" s="41">
        <v>1.7482517482517483E-3</v>
      </c>
    </row>
    <row r="198" spans="2:5" ht="15" customHeight="1">
      <c r="B198" s="92"/>
      <c r="C198" s="43" t="s">
        <v>126</v>
      </c>
      <c r="D198" s="42">
        <v>1</v>
      </c>
      <c r="E198" s="41">
        <v>5.1419169066227893E-5</v>
      </c>
    </row>
    <row r="199" spans="2:5" ht="15" customHeight="1">
      <c r="B199" s="92"/>
      <c r="C199" s="43" t="s">
        <v>145</v>
      </c>
      <c r="D199" s="42">
        <v>3</v>
      </c>
      <c r="E199" s="41">
        <v>1.5425750719868367E-4</v>
      </c>
    </row>
    <row r="200" spans="2:5" ht="15" customHeight="1">
      <c r="B200" s="92"/>
      <c r="C200" s="43" t="s">
        <v>137</v>
      </c>
      <c r="D200" s="42">
        <v>3</v>
      </c>
      <c r="E200" s="41">
        <v>1.5425750719868367E-4</v>
      </c>
    </row>
    <row r="201" spans="2:5" ht="15" customHeight="1">
      <c r="B201" s="92"/>
      <c r="C201" s="43" t="s">
        <v>133</v>
      </c>
      <c r="D201" s="42">
        <v>4</v>
      </c>
      <c r="E201" s="41">
        <v>2.0567667626491157E-4</v>
      </c>
    </row>
    <row r="202" spans="2:5" ht="15" customHeight="1">
      <c r="B202" s="92"/>
      <c r="C202" s="43" t="s">
        <v>140</v>
      </c>
      <c r="D202" s="42">
        <v>2</v>
      </c>
      <c r="E202" s="41">
        <v>1.0283833813245579E-4</v>
      </c>
    </row>
    <row r="203" spans="2:5" ht="15" customHeight="1">
      <c r="B203" s="92"/>
      <c r="C203" s="43" t="s">
        <v>159</v>
      </c>
      <c r="D203" s="42">
        <v>79</v>
      </c>
      <c r="E203" s="41">
        <v>4.0621143562320034E-3</v>
      </c>
    </row>
    <row r="204" spans="2:5" ht="15" customHeight="1">
      <c r="B204" s="92"/>
      <c r="C204" s="43" t="s">
        <v>147</v>
      </c>
      <c r="D204" s="42">
        <v>3</v>
      </c>
      <c r="E204" s="41">
        <v>1.5425750719868367E-4</v>
      </c>
    </row>
    <row r="205" spans="2:5" ht="15" customHeight="1">
      <c r="B205" s="92"/>
      <c r="C205" s="43" t="s">
        <v>121</v>
      </c>
      <c r="D205" s="42">
        <v>2</v>
      </c>
      <c r="E205" s="41">
        <v>1.0283833813245579E-4</v>
      </c>
    </row>
    <row r="206" spans="2:5" ht="15" customHeight="1">
      <c r="B206" s="92"/>
      <c r="C206" s="43" t="s">
        <v>157</v>
      </c>
      <c r="D206" s="42">
        <v>20</v>
      </c>
      <c r="E206" s="41">
        <v>1.0283833813245578E-3</v>
      </c>
    </row>
    <row r="207" spans="2:5" ht="15" customHeight="1">
      <c r="B207" s="92"/>
      <c r="C207" s="43" t="s">
        <v>141</v>
      </c>
      <c r="D207" s="42">
        <v>13</v>
      </c>
      <c r="E207" s="41">
        <v>6.6844919786096253E-4</v>
      </c>
    </row>
    <row r="208" spans="2:5" ht="15" customHeight="1">
      <c r="B208" s="92"/>
      <c r="C208" s="43" t="s">
        <v>134</v>
      </c>
      <c r="D208" s="42">
        <v>3</v>
      </c>
      <c r="E208" s="41">
        <v>1.5425750719868367E-4</v>
      </c>
    </row>
    <row r="209" spans="2:5" ht="15" customHeight="1">
      <c r="B209" s="92"/>
      <c r="C209" s="43" t="s">
        <v>122</v>
      </c>
      <c r="D209" s="42">
        <v>1</v>
      </c>
      <c r="E209" s="41">
        <v>5.1419169066227893E-5</v>
      </c>
    </row>
    <row r="210" spans="2:5" ht="15" customHeight="1">
      <c r="B210" s="92"/>
      <c r="C210" s="43" t="s">
        <v>158</v>
      </c>
      <c r="D210" s="42">
        <v>18</v>
      </c>
      <c r="E210" s="41">
        <v>9.2554504319210197E-4</v>
      </c>
    </row>
    <row r="211" spans="2:5" ht="15" customHeight="1">
      <c r="B211" s="92"/>
      <c r="C211" s="43" t="s">
        <v>154</v>
      </c>
      <c r="D211" s="42">
        <v>10</v>
      </c>
      <c r="E211" s="41">
        <v>5.1419169066227888E-4</v>
      </c>
    </row>
    <row r="212" spans="2:5" ht="15" customHeight="1">
      <c r="B212" s="92"/>
      <c r="C212" s="43" t="s">
        <v>149</v>
      </c>
      <c r="D212" s="42">
        <v>13</v>
      </c>
      <c r="E212" s="41">
        <v>6.6844919786096253E-4</v>
      </c>
    </row>
    <row r="213" spans="2:5" ht="15" customHeight="1">
      <c r="B213" s="92"/>
      <c r="C213" s="43" t="s">
        <v>144</v>
      </c>
      <c r="D213" s="42">
        <v>15</v>
      </c>
      <c r="E213" s="41">
        <v>7.7128753599341833E-4</v>
      </c>
    </row>
    <row r="214" spans="2:5" ht="15" customHeight="1">
      <c r="B214" s="92"/>
      <c r="C214" s="43" t="s">
        <v>155</v>
      </c>
      <c r="D214" s="42">
        <v>92</v>
      </c>
      <c r="E214" s="41">
        <v>4.7305635540929661E-3</v>
      </c>
    </row>
    <row r="215" spans="2:5" ht="15" customHeight="1">
      <c r="B215" s="92"/>
      <c r="C215" s="43" t="s">
        <v>151</v>
      </c>
      <c r="D215" s="42">
        <v>20</v>
      </c>
      <c r="E215" s="41">
        <v>1.0283833813245578E-3</v>
      </c>
    </row>
    <row r="216" spans="2:5" ht="15" customHeight="1">
      <c r="B216" s="92"/>
      <c r="C216" s="43" t="s">
        <v>153</v>
      </c>
      <c r="D216" s="42">
        <v>6</v>
      </c>
      <c r="E216" s="41">
        <v>3.0851501439736734E-4</v>
      </c>
    </row>
    <row r="217" spans="2:5" ht="15" customHeight="1">
      <c r="B217" s="92"/>
      <c r="C217" s="43" t="s">
        <v>150</v>
      </c>
      <c r="D217" s="42">
        <v>13</v>
      </c>
      <c r="E217" s="41">
        <v>6.6844919786096253E-4</v>
      </c>
    </row>
    <row r="218" spans="2:5" ht="15" customHeight="1">
      <c r="B218" s="92"/>
      <c r="C218" s="43" t="s">
        <v>127</v>
      </c>
      <c r="D218" s="42">
        <v>1</v>
      </c>
      <c r="E218" s="41">
        <v>5.1419169066227893E-5</v>
      </c>
    </row>
    <row r="219" spans="2:5" ht="15" customHeight="1">
      <c r="B219" s="92"/>
      <c r="C219" s="43" t="s">
        <v>138</v>
      </c>
      <c r="D219" s="42">
        <v>4</v>
      </c>
      <c r="E219" s="41">
        <v>2.0567667626491157E-4</v>
      </c>
    </row>
    <row r="220" spans="2:5" ht="15" customHeight="1">
      <c r="B220" s="93"/>
      <c r="C220" s="40" t="s">
        <v>20</v>
      </c>
      <c r="D220" s="39">
        <v>585</v>
      </c>
      <c r="E220" s="38">
        <v>3.0080213903743314E-2</v>
      </c>
    </row>
    <row r="221" spans="2:5" ht="15" customHeight="1">
      <c r="B221" s="91" t="s">
        <v>34</v>
      </c>
      <c r="C221" s="43" t="s">
        <v>152</v>
      </c>
      <c r="D221" s="42">
        <v>1</v>
      </c>
      <c r="E221" s="41">
        <v>5.1419169066227893E-5</v>
      </c>
    </row>
    <row r="222" spans="2:5" ht="15" customHeight="1">
      <c r="B222" s="92"/>
      <c r="C222" s="43" t="s">
        <v>156</v>
      </c>
      <c r="D222" s="42">
        <v>1</v>
      </c>
      <c r="E222" s="41">
        <v>5.1419169066227893E-5</v>
      </c>
    </row>
    <row r="223" spans="2:5" ht="15" customHeight="1">
      <c r="B223" s="92"/>
      <c r="C223" s="43" t="s">
        <v>148</v>
      </c>
      <c r="D223" s="42">
        <v>1</v>
      </c>
      <c r="E223" s="41">
        <v>5.1419169066227893E-5</v>
      </c>
    </row>
    <row r="224" spans="2:5" ht="15" customHeight="1">
      <c r="B224" s="92"/>
      <c r="C224" s="43" t="s">
        <v>145</v>
      </c>
      <c r="D224" s="42">
        <v>1</v>
      </c>
      <c r="E224" s="41">
        <v>5.1419169066227893E-5</v>
      </c>
    </row>
    <row r="225" spans="2:5" ht="15" customHeight="1">
      <c r="B225" s="92"/>
      <c r="C225" s="43" t="s">
        <v>159</v>
      </c>
      <c r="D225" s="42">
        <v>6</v>
      </c>
      <c r="E225" s="41">
        <v>3.0851501439736734E-4</v>
      </c>
    </row>
    <row r="226" spans="2:5" ht="15" customHeight="1">
      <c r="B226" s="92"/>
      <c r="C226" s="43" t="s">
        <v>157</v>
      </c>
      <c r="D226" s="42">
        <v>1</v>
      </c>
      <c r="E226" s="41">
        <v>5.1419169066227893E-5</v>
      </c>
    </row>
    <row r="227" spans="2:5" ht="15" customHeight="1">
      <c r="B227" s="92"/>
      <c r="C227" s="43" t="s">
        <v>158</v>
      </c>
      <c r="D227" s="42">
        <v>3</v>
      </c>
      <c r="E227" s="41">
        <v>1.5425750719868367E-4</v>
      </c>
    </row>
    <row r="228" spans="2:5" ht="15" customHeight="1">
      <c r="B228" s="92"/>
      <c r="C228" s="43" t="s">
        <v>154</v>
      </c>
      <c r="D228" s="42">
        <v>3</v>
      </c>
      <c r="E228" s="41">
        <v>1.5425750719868367E-4</v>
      </c>
    </row>
    <row r="229" spans="2:5" ht="15" customHeight="1">
      <c r="B229" s="92"/>
      <c r="C229" s="43" t="s">
        <v>155</v>
      </c>
      <c r="D229" s="42">
        <v>2</v>
      </c>
      <c r="E229" s="41">
        <v>1.0283833813245579E-4</v>
      </c>
    </row>
    <row r="230" spans="2:5" ht="15" customHeight="1">
      <c r="B230" s="93"/>
      <c r="C230" s="40" t="s">
        <v>20</v>
      </c>
      <c r="D230" s="39">
        <v>19</v>
      </c>
      <c r="E230" s="38">
        <v>9.7696421225832992E-4</v>
      </c>
    </row>
    <row r="231" spans="2:5" ht="15" customHeight="1">
      <c r="B231" s="91" t="s">
        <v>61</v>
      </c>
      <c r="C231" s="43" t="s">
        <v>139</v>
      </c>
      <c r="D231" s="42">
        <v>1</v>
      </c>
      <c r="E231" s="41">
        <v>5.1419169066227893E-5</v>
      </c>
    </row>
    <row r="232" spans="2:5" ht="15" customHeight="1">
      <c r="B232" s="92"/>
      <c r="C232" s="43" t="s">
        <v>143</v>
      </c>
      <c r="D232" s="42">
        <v>2</v>
      </c>
      <c r="E232" s="41">
        <v>1.0283833813245579E-4</v>
      </c>
    </row>
    <row r="233" spans="2:5" ht="15" customHeight="1">
      <c r="B233" s="92"/>
      <c r="C233" s="43" t="s">
        <v>146</v>
      </c>
      <c r="D233" s="42">
        <v>19</v>
      </c>
      <c r="E233" s="41">
        <v>9.7696421225832992E-4</v>
      </c>
    </row>
    <row r="234" spans="2:5" ht="15" customHeight="1">
      <c r="B234" s="92"/>
      <c r="C234" s="43" t="s">
        <v>142</v>
      </c>
      <c r="D234" s="42">
        <v>3</v>
      </c>
      <c r="E234" s="41">
        <v>1.5425750719868367E-4</v>
      </c>
    </row>
    <row r="235" spans="2:5" ht="15" customHeight="1">
      <c r="B235" s="92"/>
      <c r="C235" s="43" t="s">
        <v>152</v>
      </c>
      <c r="D235" s="42">
        <v>31</v>
      </c>
      <c r="E235" s="41">
        <v>1.5939942410530645E-3</v>
      </c>
    </row>
    <row r="236" spans="2:5" ht="15" customHeight="1">
      <c r="B236" s="92"/>
      <c r="C236" s="43" t="s">
        <v>156</v>
      </c>
      <c r="D236" s="42">
        <v>21</v>
      </c>
      <c r="E236" s="41">
        <v>1.0798025503907856E-3</v>
      </c>
    </row>
    <row r="237" spans="2:5" ht="15" customHeight="1">
      <c r="B237" s="92"/>
      <c r="C237" s="43" t="s">
        <v>128</v>
      </c>
      <c r="D237" s="42">
        <v>1</v>
      </c>
      <c r="E237" s="41">
        <v>5.1419169066227893E-5</v>
      </c>
    </row>
    <row r="238" spans="2:5" ht="15" customHeight="1">
      <c r="B238" s="92"/>
      <c r="C238" s="43" t="s">
        <v>148</v>
      </c>
      <c r="D238" s="42">
        <v>11</v>
      </c>
      <c r="E238" s="41">
        <v>5.6561085972850684E-4</v>
      </c>
    </row>
    <row r="239" spans="2:5" ht="15" customHeight="1">
      <c r="B239" s="92"/>
      <c r="C239" s="43" t="s">
        <v>126</v>
      </c>
      <c r="D239" s="42">
        <v>1</v>
      </c>
      <c r="E239" s="41">
        <v>5.1419169066227893E-5</v>
      </c>
    </row>
    <row r="240" spans="2:5" ht="15" customHeight="1">
      <c r="B240" s="92"/>
      <c r="C240" s="43" t="s">
        <v>124</v>
      </c>
      <c r="D240" s="42">
        <v>1</v>
      </c>
      <c r="E240" s="41">
        <v>5.1419169066227893E-5</v>
      </c>
    </row>
    <row r="241" spans="2:5" ht="15" customHeight="1">
      <c r="B241" s="92"/>
      <c r="C241" s="43" t="s">
        <v>145</v>
      </c>
      <c r="D241" s="42">
        <v>2</v>
      </c>
      <c r="E241" s="41">
        <v>1.0283833813245579E-4</v>
      </c>
    </row>
    <row r="242" spans="2:5" ht="15" customHeight="1">
      <c r="B242" s="92"/>
      <c r="C242" s="43" t="s">
        <v>137</v>
      </c>
      <c r="D242" s="42">
        <v>5</v>
      </c>
      <c r="E242" s="41">
        <v>2.5709584533113944E-4</v>
      </c>
    </row>
    <row r="243" spans="2:5" ht="15" customHeight="1">
      <c r="B243" s="92"/>
      <c r="C243" s="43" t="s">
        <v>133</v>
      </c>
      <c r="D243" s="42">
        <v>1</v>
      </c>
      <c r="E243" s="41">
        <v>5.1419169066227893E-5</v>
      </c>
    </row>
    <row r="244" spans="2:5" ht="15" customHeight="1">
      <c r="B244" s="92"/>
      <c r="C244" s="43" t="s">
        <v>140</v>
      </c>
      <c r="D244" s="42">
        <v>2</v>
      </c>
      <c r="E244" s="41">
        <v>1.0283833813245579E-4</v>
      </c>
    </row>
    <row r="245" spans="2:5" ht="15" customHeight="1">
      <c r="B245" s="92"/>
      <c r="C245" s="43" t="s">
        <v>123</v>
      </c>
      <c r="D245" s="42">
        <v>1</v>
      </c>
      <c r="E245" s="41">
        <v>5.1419169066227893E-5</v>
      </c>
    </row>
    <row r="246" spans="2:5" ht="15" customHeight="1">
      <c r="B246" s="92"/>
      <c r="C246" s="43" t="s">
        <v>159</v>
      </c>
      <c r="D246" s="42">
        <v>47</v>
      </c>
      <c r="E246" s="41">
        <v>2.4167009461127107E-3</v>
      </c>
    </row>
    <row r="247" spans="2:5" ht="15" customHeight="1">
      <c r="B247" s="92"/>
      <c r="C247" s="43" t="s">
        <v>147</v>
      </c>
      <c r="D247" s="42">
        <v>1</v>
      </c>
      <c r="E247" s="41">
        <v>5.1419169066227893E-5</v>
      </c>
    </row>
    <row r="248" spans="2:5" ht="15" customHeight="1">
      <c r="B248" s="92"/>
      <c r="C248" s="43" t="s">
        <v>157</v>
      </c>
      <c r="D248" s="42">
        <v>42</v>
      </c>
      <c r="E248" s="41">
        <v>2.1596051007815712E-3</v>
      </c>
    </row>
    <row r="249" spans="2:5" ht="15" customHeight="1">
      <c r="B249" s="92"/>
      <c r="C249" s="43" t="s">
        <v>141</v>
      </c>
      <c r="D249" s="42">
        <v>3</v>
      </c>
      <c r="E249" s="41">
        <v>1.5425750719868367E-4</v>
      </c>
    </row>
    <row r="250" spans="2:5" ht="15" customHeight="1">
      <c r="B250" s="92"/>
      <c r="C250" s="43" t="s">
        <v>122</v>
      </c>
      <c r="D250" s="42">
        <v>1</v>
      </c>
      <c r="E250" s="41">
        <v>5.1419169066227893E-5</v>
      </c>
    </row>
    <row r="251" spans="2:5" ht="15" customHeight="1">
      <c r="B251" s="92"/>
      <c r="C251" s="43" t="s">
        <v>158</v>
      </c>
      <c r="D251" s="42">
        <v>36</v>
      </c>
      <c r="E251" s="41">
        <v>1.8510900863842039E-3</v>
      </c>
    </row>
    <row r="252" spans="2:5" ht="15" customHeight="1">
      <c r="B252" s="92"/>
      <c r="C252" s="43" t="s">
        <v>154</v>
      </c>
      <c r="D252" s="42">
        <v>17</v>
      </c>
      <c r="E252" s="41">
        <v>8.7412587412587413E-4</v>
      </c>
    </row>
    <row r="253" spans="2:5" ht="15" customHeight="1">
      <c r="B253" s="92"/>
      <c r="C253" s="43" t="s">
        <v>149</v>
      </c>
      <c r="D253" s="42">
        <v>7</v>
      </c>
      <c r="E253" s="41">
        <v>3.5993418346359524E-4</v>
      </c>
    </row>
    <row r="254" spans="2:5" ht="15" customHeight="1">
      <c r="B254" s="92"/>
      <c r="C254" s="43" t="s">
        <v>144</v>
      </c>
      <c r="D254" s="42">
        <v>5</v>
      </c>
      <c r="E254" s="41">
        <v>2.5709584533113944E-4</v>
      </c>
    </row>
    <row r="255" spans="2:5" ht="15" customHeight="1">
      <c r="B255" s="92"/>
      <c r="C255" s="43" t="s">
        <v>155</v>
      </c>
      <c r="D255" s="42">
        <v>58</v>
      </c>
      <c r="E255" s="41">
        <v>2.9823118058412176E-3</v>
      </c>
    </row>
    <row r="256" spans="2:5" ht="15" customHeight="1">
      <c r="B256" s="92"/>
      <c r="C256" s="43" t="s">
        <v>151</v>
      </c>
      <c r="D256" s="42">
        <v>10</v>
      </c>
      <c r="E256" s="41">
        <v>5.1419169066227888E-4</v>
      </c>
    </row>
    <row r="257" spans="2:5" ht="15" customHeight="1">
      <c r="B257" s="92"/>
      <c r="C257" s="43" t="s">
        <v>153</v>
      </c>
      <c r="D257" s="42">
        <v>9</v>
      </c>
      <c r="E257" s="41">
        <v>4.6277252159605099E-4</v>
      </c>
    </row>
    <row r="258" spans="2:5" ht="15" customHeight="1">
      <c r="B258" s="92"/>
      <c r="C258" s="43" t="s">
        <v>150</v>
      </c>
      <c r="D258" s="42">
        <v>12</v>
      </c>
      <c r="E258" s="41">
        <v>6.1703002879473468E-4</v>
      </c>
    </row>
    <row r="259" spans="2:5" ht="15" customHeight="1">
      <c r="B259" s="92"/>
      <c r="C259" s="43" t="s">
        <v>138</v>
      </c>
      <c r="D259" s="42">
        <v>2</v>
      </c>
      <c r="E259" s="41">
        <v>1.0283833813245579E-4</v>
      </c>
    </row>
    <row r="260" spans="2:5" ht="15" customHeight="1">
      <c r="B260" s="93"/>
      <c r="C260" s="40" t="s">
        <v>20</v>
      </c>
      <c r="D260" s="39">
        <v>352</v>
      </c>
      <c r="E260" s="38">
        <v>1.8099547511312219E-2</v>
      </c>
    </row>
    <row r="261" spans="2:5" ht="15" customHeight="1">
      <c r="B261" s="91" t="s">
        <v>53</v>
      </c>
      <c r="C261" s="43" t="s">
        <v>139</v>
      </c>
      <c r="D261" s="42">
        <v>3</v>
      </c>
      <c r="E261" s="41">
        <v>1.5425750719868367E-4</v>
      </c>
    </row>
    <row r="262" spans="2:5" ht="15" customHeight="1">
      <c r="B262" s="92"/>
      <c r="C262" s="43" t="s">
        <v>143</v>
      </c>
      <c r="D262" s="42">
        <v>1</v>
      </c>
      <c r="E262" s="41">
        <v>5.1419169066227893E-5</v>
      </c>
    </row>
    <row r="263" spans="2:5" ht="15" customHeight="1">
      <c r="B263" s="92"/>
      <c r="C263" s="43" t="s">
        <v>146</v>
      </c>
      <c r="D263" s="42">
        <v>1</v>
      </c>
      <c r="E263" s="41">
        <v>5.1419169066227893E-5</v>
      </c>
    </row>
    <row r="264" spans="2:5" ht="15" customHeight="1">
      <c r="B264" s="92"/>
      <c r="C264" s="43" t="s">
        <v>142</v>
      </c>
      <c r="D264" s="42">
        <v>1</v>
      </c>
      <c r="E264" s="41">
        <v>5.1419169066227893E-5</v>
      </c>
    </row>
    <row r="265" spans="2:5" ht="15" customHeight="1">
      <c r="B265" s="92"/>
      <c r="C265" s="43" t="s">
        <v>152</v>
      </c>
      <c r="D265" s="42">
        <v>5</v>
      </c>
      <c r="E265" s="41">
        <v>2.5709584533113944E-4</v>
      </c>
    </row>
    <row r="266" spans="2:5" ht="15" customHeight="1">
      <c r="B266" s="92"/>
      <c r="C266" s="43" t="s">
        <v>156</v>
      </c>
      <c r="D266" s="42">
        <v>17</v>
      </c>
      <c r="E266" s="41">
        <v>8.7412587412587413E-4</v>
      </c>
    </row>
    <row r="267" spans="2:5" ht="15" customHeight="1">
      <c r="B267" s="92"/>
      <c r="C267" s="43" t="s">
        <v>128</v>
      </c>
      <c r="D267" s="42">
        <v>1</v>
      </c>
      <c r="E267" s="41">
        <v>5.1419169066227893E-5</v>
      </c>
    </row>
    <row r="268" spans="2:5" ht="15" customHeight="1">
      <c r="B268" s="92"/>
      <c r="C268" s="43" t="s">
        <v>148</v>
      </c>
      <c r="D268" s="42">
        <v>1</v>
      </c>
      <c r="E268" s="41">
        <v>5.1419169066227893E-5</v>
      </c>
    </row>
    <row r="269" spans="2:5" ht="15" customHeight="1">
      <c r="B269" s="92"/>
      <c r="C269" s="43" t="s">
        <v>126</v>
      </c>
      <c r="D269" s="42">
        <v>1</v>
      </c>
      <c r="E269" s="41">
        <v>5.1419169066227893E-5</v>
      </c>
    </row>
    <row r="270" spans="2:5" ht="15" customHeight="1">
      <c r="B270" s="92"/>
      <c r="C270" s="43" t="s">
        <v>137</v>
      </c>
      <c r="D270" s="42">
        <v>2</v>
      </c>
      <c r="E270" s="41">
        <v>1.0283833813245579E-4</v>
      </c>
    </row>
    <row r="271" spans="2:5" ht="15" customHeight="1">
      <c r="B271" s="92"/>
      <c r="C271" s="43" t="s">
        <v>133</v>
      </c>
      <c r="D271" s="42">
        <v>1</v>
      </c>
      <c r="E271" s="41">
        <v>5.1419169066227893E-5</v>
      </c>
    </row>
    <row r="272" spans="2:5" ht="15" customHeight="1">
      <c r="B272" s="92"/>
      <c r="C272" s="43" t="s">
        <v>140</v>
      </c>
      <c r="D272" s="42">
        <v>1</v>
      </c>
      <c r="E272" s="41">
        <v>5.1419169066227893E-5</v>
      </c>
    </row>
    <row r="273" spans="2:5" ht="15" customHeight="1">
      <c r="B273" s="92"/>
      <c r="C273" s="43" t="s">
        <v>159</v>
      </c>
      <c r="D273" s="42">
        <v>36</v>
      </c>
      <c r="E273" s="41">
        <v>1.8510900863842039E-3</v>
      </c>
    </row>
    <row r="274" spans="2:5" ht="15" customHeight="1">
      <c r="B274" s="92"/>
      <c r="C274" s="43" t="s">
        <v>147</v>
      </c>
      <c r="D274" s="42">
        <v>1</v>
      </c>
      <c r="E274" s="41">
        <v>5.1419169066227893E-5</v>
      </c>
    </row>
    <row r="275" spans="2:5" ht="15" customHeight="1">
      <c r="B275" s="92"/>
      <c r="C275" s="43" t="s">
        <v>157</v>
      </c>
      <c r="D275" s="42">
        <v>8</v>
      </c>
      <c r="E275" s="41">
        <v>4.1135335252982314E-4</v>
      </c>
    </row>
    <row r="276" spans="2:5" ht="15" customHeight="1">
      <c r="B276" s="92"/>
      <c r="C276" s="43" t="s">
        <v>158</v>
      </c>
      <c r="D276" s="42">
        <v>26</v>
      </c>
      <c r="E276" s="41">
        <v>1.3368983957219251E-3</v>
      </c>
    </row>
    <row r="277" spans="2:5" ht="15" customHeight="1">
      <c r="B277" s="92"/>
      <c r="C277" s="43" t="s">
        <v>154</v>
      </c>
      <c r="D277" s="42">
        <v>11</v>
      </c>
      <c r="E277" s="41">
        <v>5.6561085972850684E-4</v>
      </c>
    </row>
    <row r="278" spans="2:5" ht="15" customHeight="1">
      <c r="B278" s="92"/>
      <c r="C278" s="43" t="s">
        <v>149</v>
      </c>
      <c r="D278" s="42">
        <v>2</v>
      </c>
      <c r="E278" s="41">
        <v>1.0283833813245579E-4</v>
      </c>
    </row>
    <row r="279" spans="2:5" ht="15" customHeight="1">
      <c r="B279" s="92"/>
      <c r="C279" s="43" t="s">
        <v>144</v>
      </c>
      <c r="D279" s="42">
        <v>1</v>
      </c>
      <c r="E279" s="41">
        <v>5.1419169066227893E-5</v>
      </c>
    </row>
    <row r="280" spans="2:5" ht="15" customHeight="1">
      <c r="B280" s="92"/>
      <c r="C280" s="43" t="s">
        <v>155</v>
      </c>
      <c r="D280" s="42">
        <v>8</v>
      </c>
      <c r="E280" s="41">
        <v>4.1135335252982314E-4</v>
      </c>
    </row>
    <row r="281" spans="2:5" ht="15" customHeight="1">
      <c r="B281" s="92"/>
      <c r="C281" s="43" t="s">
        <v>151</v>
      </c>
      <c r="D281" s="42">
        <v>2</v>
      </c>
      <c r="E281" s="41">
        <v>1.0283833813245579E-4</v>
      </c>
    </row>
    <row r="282" spans="2:5" ht="15" customHeight="1">
      <c r="B282" s="92"/>
      <c r="C282" s="43" t="s">
        <v>153</v>
      </c>
      <c r="D282" s="42">
        <v>3</v>
      </c>
      <c r="E282" s="41">
        <v>1.5425750719868367E-4</v>
      </c>
    </row>
    <row r="283" spans="2:5" ht="15" customHeight="1">
      <c r="B283" s="92"/>
      <c r="C283" s="43" t="s">
        <v>150</v>
      </c>
      <c r="D283" s="42">
        <v>5</v>
      </c>
      <c r="E283" s="41">
        <v>2.5709584533113944E-4</v>
      </c>
    </row>
    <row r="284" spans="2:5" ht="15" customHeight="1">
      <c r="B284" s="92"/>
      <c r="C284" s="43" t="s">
        <v>138</v>
      </c>
      <c r="D284" s="42">
        <v>1</v>
      </c>
      <c r="E284" s="41">
        <v>5.1419169066227893E-5</v>
      </c>
    </row>
    <row r="285" spans="2:5" ht="15" customHeight="1">
      <c r="B285" s="93"/>
      <c r="C285" s="40" t="s">
        <v>20</v>
      </c>
      <c r="D285" s="39">
        <v>139</v>
      </c>
      <c r="E285" s="38">
        <v>7.1472645002056768E-3</v>
      </c>
    </row>
    <row r="286" spans="2:5" ht="15" customHeight="1">
      <c r="B286" s="91" t="s">
        <v>43</v>
      </c>
      <c r="C286" s="43" t="s">
        <v>143</v>
      </c>
      <c r="D286" s="42">
        <v>1</v>
      </c>
      <c r="E286" s="41">
        <v>5.1419169066227893E-5</v>
      </c>
    </row>
    <row r="287" spans="2:5" ht="15" customHeight="1">
      <c r="B287" s="92"/>
      <c r="C287" s="43" t="s">
        <v>146</v>
      </c>
      <c r="D287" s="42">
        <v>1</v>
      </c>
      <c r="E287" s="41">
        <v>5.1419169066227893E-5</v>
      </c>
    </row>
    <row r="288" spans="2:5" ht="15" customHeight="1">
      <c r="B288" s="92"/>
      <c r="C288" s="43" t="s">
        <v>152</v>
      </c>
      <c r="D288" s="42">
        <v>1</v>
      </c>
      <c r="E288" s="41">
        <v>5.1419169066227893E-5</v>
      </c>
    </row>
    <row r="289" spans="2:5" ht="15" customHeight="1">
      <c r="B289" s="92"/>
      <c r="C289" s="43" t="s">
        <v>156</v>
      </c>
      <c r="D289" s="42">
        <v>5</v>
      </c>
      <c r="E289" s="41">
        <v>2.5709584533113944E-4</v>
      </c>
    </row>
    <row r="290" spans="2:5" ht="15" customHeight="1">
      <c r="B290" s="92"/>
      <c r="C290" s="43" t="s">
        <v>148</v>
      </c>
      <c r="D290" s="42">
        <v>2</v>
      </c>
      <c r="E290" s="41">
        <v>1.0283833813245579E-4</v>
      </c>
    </row>
    <row r="291" spans="2:5" ht="15" customHeight="1">
      <c r="B291" s="92"/>
      <c r="C291" s="43" t="s">
        <v>159</v>
      </c>
      <c r="D291" s="42">
        <v>7</v>
      </c>
      <c r="E291" s="41">
        <v>3.5993418346359524E-4</v>
      </c>
    </row>
    <row r="292" spans="2:5" ht="15" customHeight="1">
      <c r="B292" s="92"/>
      <c r="C292" s="43" t="s">
        <v>157</v>
      </c>
      <c r="D292" s="42">
        <v>1</v>
      </c>
      <c r="E292" s="41">
        <v>5.1419169066227893E-5</v>
      </c>
    </row>
    <row r="293" spans="2:5" ht="15" customHeight="1">
      <c r="B293" s="92"/>
      <c r="C293" s="43" t="s">
        <v>141</v>
      </c>
      <c r="D293" s="42">
        <v>1</v>
      </c>
      <c r="E293" s="41">
        <v>5.1419169066227893E-5</v>
      </c>
    </row>
    <row r="294" spans="2:5" ht="15" customHeight="1">
      <c r="B294" s="92"/>
      <c r="C294" s="43" t="s">
        <v>134</v>
      </c>
      <c r="D294" s="42">
        <v>1</v>
      </c>
      <c r="E294" s="41">
        <v>5.1419169066227893E-5</v>
      </c>
    </row>
    <row r="295" spans="2:5" ht="15" customHeight="1">
      <c r="B295" s="92"/>
      <c r="C295" s="43" t="s">
        <v>158</v>
      </c>
      <c r="D295" s="42">
        <v>7</v>
      </c>
      <c r="E295" s="41">
        <v>3.5993418346359524E-4</v>
      </c>
    </row>
    <row r="296" spans="2:5" ht="15" customHeight="1">
      <c r="B296" s="92"/>
      <c r="C296" s="43" t="s">
        <v>154</v>
      </c>
      <c r="D296" s="42">
        <v>1</v>
      </c>
      <c r="E296" s="41">
        <v>5.1419169066227893E-5</v>
      </c>
    </row>
    <row r="297" spans="2:5" ht="15" customHeight="1">
      <c r="B297" s="92"/>
      <c r="C297" s="43" t="s">
        <v>155</v>
      </c>
      <c r="D297" s="42">
        <v>2</v>
      </c>
      <c r="E297" s="41">
        <v>1.0283833813245579E-4</v>
      </c>
    </row>
    <row r="298" spans="2:5" ht="15" customHeight="1">
      <c r="B298" s="92"/>
      <c r="C298" s="43" t="s">
        <v>151</v>
      </c>
      <c r="D298" s="42">
        <v>1</v>
      </c>
      <c r="E298" s="41">
        <v>5.1419169066227893E-5</v>
      </c>
    </row>
    <row r="299" spans="2:5" ht="15" customHeight="1">
      <c r="B299" s="92"/>
      <c r="C299" s="43" t="s">
        <v>153</v>
      </c>
      <c r="D299" s="42">
        <v>1</v>
      </c>
      <c r="E299" s="41">
        <v>5.1419169066227893E-5</v>
      </c>
    </row>
    <row r="300" spans="2:5" ht="15" customHeight="1">
      <c r="B300" s="93"/>
      <c r="C300" s="40" t="s">
        <v>20</v>
      </c>
      <c r="D300" s="39">
        <v>32</v>
      </c>
      <c r="E300" s="38">
        <v>1.6454134101192926E-3</v>
      </c>
    </row>
    <row r="301" spans="2:5" ht="15" customHeight="1">
      <c r="B301" s="91" t="s">
        <v>44</v>
      </c>
      <c r="C301" s="43" t="s">
        <v>139</v>
      </c>
      <c r="D301" s="42">
        <v>1</v>
      </c>
      <c r="E301" s="41">
        <v>5.1419169066227893E-5</v>
      </c>
    </row>
    <row r="302" spans="2:5" ht="15" customHeight="1">
      <c r="B302" s="92"/>
      <c r="C302" s="43" t="s">
        <v>143</v>
      </c>
      <c r="D302" s="42">
        <v>3</v>
      </c>
      <c r="E302" s="41">
        <v>1.5425750719868367E-4</v>
      </c>
    </row>
    <row r="303" spans="2:5" ht="15" customHeight="1">
      <c r="B303" s="92"/>
      <c r="C303" s="43" t="s">
        <v>146</v>
      </c>
      <c r="D303" s="42">
        <v>2</v>
      </c>
      <c r="E303" s="41">
        <v>1.0283833813245579E-4</v>
      </c>
    </row>
    <row r="304" spans="2:5" ht="15" customHeight="1">
      <c r="B304" s="92"/>
      <c r="C304" s="43" t="s">
        <v>152</v>
      </c>
      <c r="D304" s="42">
        <v>2</v>
      </c>
      <c r="E304" s="41">
        <v>1.0283833813245579E-4</v>
      </c>
    </row>
    <row r="305" spans="2:5" ht="15" customHeight="1">
      <c r="B305" s="92"/>
      <c r="C305" s="43" t="s">
        <v>156</v>
      </c>
      <c r="D305" s="42">
        <v>6</v>
      </c>
      <c r="E305" s="41">
        <v>3.0851501439736734E-4</v>
      </c>
    </row>
    <row r="306" spans="2:5" ht="15" customHeight="1">
      <c r="B306" s="92"/>
      <c r="C306" s="43" t="s">
        <v>148</v>
      </c>
      <c r="D306" s="42">
        <v>2</v>
      </c>
      <c r="E306" s="41">
        <v>1.0283833813245579E-4</v>
      </c>
    </row>
    <row r="307" spans="2:5" ht="15" customHeight="1">
      <c r="B307" s="92"/>
      <c r="C307" s="43" t="s">
        <v>159</v>
      </c>
      <c r="D307" s="42">
        <v>4</v>
      </c>
      <c r="E307" s="41">
        <v>2.0567667626491157E-4</v>
      </c>
    </row>
    <row r="308" spans="2:5" ht="15" customHeight="1">
      <c r="B308" s="92"/>
      <c r="C308" s="43" t="s">
        <v>121</v>
      </c>
      <c r="D308" s="42">
        <v>1</v>
      </c>
      <c r="E308" s="41">
        <v>5.1419169066227893E-5</v>
      </c>
    </row>
    <row r="309" spans="2:5" ht="15" customHeight="1">
      <c r="B309" s="92"/>
      <c r="C309" s="43" t="s">
        <v>157</v>
      </c>
      <c r="D309" s="42">
        <v>3</v>
      </c>
      <c r="E309" s="41">
        <v>1.5425750719868367E-4</v>
      </c>
    </row>
    <row r="310" spans="2:5" ht="15" customHeight="1">
      <c r="B310" s="92"/>
      <c r="C310" s="43" t="s">
        <v>134</v>
      </c>
      <c r="D310" s="42">
        <v>1</v>
      </c>
      <c r="E310" s="41">
        <v>5.1419169066227893E-5</v>
      </c>
    </row>
    <row r="311" spans="2:5" ht="15" customHeight="1">
      <c r="B311" s="92"/>
      <c r="C311" s="43" t="s">
        <v>158</v>
      </c>
      <c r="D311" s="42">
        <v>4</v>
      </c>
      <c r="E311" s="41">
        <v>2.0567667626491157E-4</v>
      </c>
    </row>
    <row r="312" spans="2:5" ht="15" customHeight="1">
      <c r="B312" s="92"/>
      <c r="C312" s="43" t="s">
        <v>154</v>
      </c>
      <c r="D312" s="42">
        <v>1</v>
      </c>
      <c r="E312" s="41">
        <v>5.1419169066227893E-5</v>
      </c>
    </row>
    <row r="313" spans="2:5" ht="15" customHeight="1">
      <c r="B313" s="92"/>
      <c r="C313" s="43" t="s">
        <v>149</v>
      </c>
      <c r="D313" s="42">
        <v>1</v>
      </c>
      <c r="E313" s="41">
        <v>5.1419169066227893E-5</v>
      </c>
    </row>
    <row r="314" spans="2:5" ht="15" customHeight="1">
      <c r="B314" s="92"/>
      <c r="C314" s="43" t="s">
        <v>155</v>
      </c>
      <c r="D314" s="42">
        <v>3</v>
      </c>
      <c r="E314" s="41">
        <v>1.5425750719868367E-4</v>
      </c>
    </row>
    <row r="315" spans="2:5" ht="15" customHeight="1">
      <c r="B315" s="92"/>
      <c r="C315" s="43" t="s">
        <v>151</v>
      </c>
      <c r="D315" s="42">
        <v>2</v>
      </c>
      <c r="E315" s="41">
        <v>1.0283833813245579E-4</v>
      </c>
    </row>
    <row r="316" spans="2:5" ht="15" customHeight="1">
      <c r="B316" s="92"/>
      <c r="C316" s="43" t="s">
        <v>153</v>
      </c>
      <c r="D316" s="42">
        <v>2</v>
      </c>
      <c r="E316" s="41">
        <v>1.0283833813245579E-4</v>
      </c>
    </row>
    <row r="317" spans="2:5" ht="15" customHeight="1">
      <c r="B317" s="92"/>
      <c r="C317" s="43" t="s">
        <v>150</v>
      </c>
      <c r="D317" s="42">
        <v>4</v>
      </c>
      <c r="E317" s="41">
        <v>2.0567667626491157E-4</v>
      </c>
    </row>
    <row r="318" spans="2:5" ht="15" customHeight="1">
      <c r="B318" s="92"/>
      <c r="C318" s="43" t="s">
        <v>127</v>
      </c>
      <c r="D318" s="42">
        <v>1</v>
      </c>
      <c r="E318" s="41">
        <v>5.1419169066227893E-5</v>
      </c>
    </row>
    <row r="319" spans="2:5" ht="15" customHeight="1">
      <c r="B319" s="92"/>
      <c r="C319" s="43" t="s">
        <v>138</v>
      </c>
      <c r="D319" s="42">
        <v>2</v>
      </c>
      <c r="E319" s="41">
        <v>1.0283833813245579E-4</v>
      </c>
    </row>
    <row r="320" spans="2:5" ht="15" customHeight="1">
      <c r="B320" s="93"/>
      <c r="C320" s="40" t="s">
        <v>20</v>
      </c>
      <c r="D320" s="39">
        <v>45</v>
      </c>
      <c r="E320" s="38">
        <v>2.313862607980255E-3</v>
      </c>
    </row>
    <row r="321" spans="2:5" ht="15" customHeight="1">
      <c r="B321" s="91" t="s">
        <v>42</v>
      </c>
      <c r="C321" s="43" t="s">
        <v>143</v>
      </c>
      <c r="D321" s="42">
        <v>3</v>
      </c>
      <c r="E321" s="41">
        <v>1.5425750719868367E-4</v>
      </c>
    </row>
    <row r="322" spans="2:5" ht="15" customHeight="1">
      <c r="B322" s="92"/>
      <c r="C322" s="43" t="s">
        <v>135</v>
      </c>
      <c r="D322" s="42">
        <v>2</v>
      </c>
      <c r="E322" s="41">
        <v>1.0283833813245579E-4</v>
      </c>
    </row>
    <row r="323" spans="2:5" ht="15" customHeight="1">
      <c r="B323" s="92"/>
      <c r="C323" s="43" t="s">
        <v>152</v>
      </c>
      <c r="D323" s="42">
        <v>1</v>
      </c>
      <c r="E323" s="41">
        <v>5.1419169066227893E-5</v>
      </c>
    </row>
    <row r="324" spans="2:5" ht="15" customHeight="1">
      <c r="B324" s="92"/>
      <c r="C324" s="43" t="s">
        <v>156</v>
      </c>
      <c r="D324" s="42">
        <v>4</v>
      </c>
      <c r="E324" s="41">
        <v>2.0567667626491157E-4</v>
      </c>
    </row>
    <row r="325" spans="2:5" ht="15" customHeight="1">
      <c r="B325" s="92"/>
      <c r="C325" s="43" t="s">
        <v>148</v>
      </c>
      <c r="D325" s="42">
        <v>1</v>
      </c>
      <c r="E325" s="41">
        <v>5.1419169066227893E-5</v>
      </c>
    </row>
    <row r="326" spans="2:5" ht="15" customHeight="1">
      <c r="B326" s="92"/>
      <c r="C326" s="43" t="s">
        <v>133</v>
      </c>
      <c r="D326" s="42">
        <v>1</v>
      </c>
      <c r="E326" s="41">
        <v>5.1419169066227893E-5</v>
      </c>
    </row>
    <row r="327" spans="2:5" ht="15" customHeight="1">
      <c r="B327" s="92"/>
      <c r="C327" s="43" t="s">
        <v>132</v>
      </c>
      <c r="D327" s="42">
        <v>1</v>
      </c>
      <c r="E327" s="41">
        <v>5.1419169066227893E-5</v>
      </c>
    </row>
    <row r="328" spans="2:5" ht="15" customHeight="1">
      <c r="B328" s="92"/>
      <c r="C328" s="43" t="s">
        <v>140</v>
      </c>
      <c r="D328" s="42">
        <v>1</v>
      </c>
      <c r="E328" s="41">
        <v>5.1419169066227893E-5</v>
      </c>
    </row>
    <row r="329" spans="2:5" ht="15" customHeight="1">
      <c r="B329" s="92"/>
      <c r="C329" s="43" t="s">
        <v>159</v>
      </c>
      <c r="D329" s="42">
        <v>7</v>
      </c>
      <c r="E329" s="41">
        <v>3.5993418346359524E-4</v>
      </c>
    </row>
    <row r="330" spans="2:5" ht="15" customHeight="1">
      <c r="B330" s="92"/>
      <c r="C330" s="43" t="s">
        <v>157</v>
      </c>
      <c r="D330" s="42">
        <v>9</v>
      </c>
      <c r="E330" s="41">
        <v>4.6277252159605099E-4</v>
      </c>
    </row>
    <row r="331" spans="2:5" ht="15" customHeight="1">
      <c r="B331" s="92"/>
      <c r="C331" s="43" t="s">
        <v>120</v>
      </c>
      <c r="D331" s="42">
        <v>2</v>
      </c>
      <c r="E331" s="41">
        <v>1.0283833813245579E-4</v>
      </c>
    </row>
    <row r="332" spans="2:5" ht="15" customHeight="1">
      <c r="B332" s="92"/>
      <c r="C332" s="43" t="s">
        <v>122</v>
      </c>
      <c r="D332" s="42">
        <v>1</v>
      </c>
      <c r="E332" s="41">
        <v>5.1419169066227893E-5</v>
      </c>
    </row>
    <row r="333" spans="2:5" ht="15" customHeight="1">
      <c r="B333" s="92"/>
      <c r="C333" s="43" t="s">
        <v>158</v>
      </c>
      <c r="D333" s="42">
        <v>3</v>
      </c>
      <c r="E333" s="41">
        <v>1.5425750719868367E-4</v>
      </c>
    </row>
    <row r="334" spans="2:5" ht="15" customHeight="1">
      <c r="B334" s="92"/>
      <c r="C334" s="43" t="s">
        <v>154</v>
      </c>
      <c r="D334" s="42">
        <v>3</v>
      </c>
      <c r="E334" s="41">
        <v>1.5425750719868367E-4</v>
      </c>
    </row>
    <row r="335" spans="2:5" ht="15" customHeight="1">
      <c r="B335" s="92"/>
      <c r="C335" s="43" t="s">
        <v>144</v>
      </c>
      <c r="D335" s="42">
        <v>1</v>
      </c>
      <c r="E335" s="41">
        <v>5.1419169066227893E-5</v>
      </c>
    </row>
    <row r="336" spans="2:5" ht="15" customHeight="1">
      <c r="B336" s="92"/>
      <c r="C336" s="43" t="s">
        <v>155</v>
      </c>
      <c r="D336" s="42">
        <v>2</v>
      </c>
      <c r="E336" s="41">
        <v>1.0283833813245579E-4</v>
      </c>
    </row>
    <row r="337" spans="2:5" ht="15" customHeight="1">
      <c r="B337" s="92"/>
      <c r="C337" s="43" t="s">
        <v>151</v>
      </c>
      <c r="D337" s="42">
        <v>3</v>
      </c>
      <c r="E337" s="41">
        <v>1.5425750719868367E-4</v>
      </c>
    </row>
    <row r="338" spans="2:5" ht="15" customHeight="1">
      <c r="B338" s="92"/>
      <c r="C338" s="43" t="s">
        <v>153</v>
      </c>
      <c r="D338" s="42">
        <v>1</v>
      </c>
      <c r="E338" s="41">
        <v>5.1419169066227893E-5</v>
      </c>
    </row>
    <row r="339" spans="2:5" ht="15" customHeight="1">
      <c r="B339" s="92"/>
      <c r="C339" s="43" t="s">
        <v>150</v>
      </c>
      <c r="D339" s="42">
        <v>4</v>
      </c>
      <c r="E339" s="41">
        <v>2.0567667626491157E-4</v>
      </c>
    </row>
    <row r="340" spans="2:5" ht="15" customHeight="1">
      <c r="B340" s="92"/>
      <c r="C340" s="43" t="s">
        <v>127</v>
      </c>
      <c r="D340" s="42">
        <v>1</v>
      </c>
      <c r="E340" s="41">
        <v>5.1419169066227893E-5</v>
      </c>
    </row>
    <row r="341" spans="2:5" ht="15" customHeight="1">
      <c r="B341" s="93"/>
      <c r="C341" s="40" t="s">
        <v>20</v>
      </c>
      <c r="D341" s="39">
        <v>51</v>
      </c>
      <c r="E341" s="38">
        <v>2.6223776223776225E-3</v>
      </c>
    </row>
    <row r="342" spans="2:5" ht="15" customHeight="1">
      <c r="B342" s="91" t="s">
        <v>55</v>
      </c>
      <c r="C342" s="43" t="s">
        <v>143</v>
      </c>
      <c r="D342" s="42">
        <v>8</v>
      </c>
      <c r="E342" s="41">
        <v>4.1135335252982314E-4</v>
      </c>
    </row>
    <row r="343" spans="2:5" ht="15" customHeight="1">
      <c r="B343" s="92"/>
      <c r="C343" s="43" t="s">
        <v>146</v>
      </c>
      <c r="D343" s="42">
        <v>3</v>
      </c>
      <c r="E343" s="41">
        <v>1.5425750719868367E-4</v>
      </c>
    </row>
    <row r="344" spans="2:5" ht="15" customHeight="1">
      <c r="B344" s="92"/>
      <c r="C344" s="43" t="s">
        <v>135</v>
      </c>
      <c r="D344" s="42">
        <v>7</v>
      </c>
      <c r="E344" s="41">
        <v>3.5993418346359524E-4</v>
      </c>
    </row>
    <row r="345" spans="2:5" ht="15" customHeight="1">
      <c r="B345" s="92"/>
      <c r="C345" s="43" t="s">
        <v>142</v>
      </c>
      <c r="D345" s="42">
        <v>1</v>
      </c>
      <c r="E345" s="41">
        <v>5.1419169066227893E-5</v>
      </c>
    </row>
    <row r="346" spans="2:5" ht="15" customHeight="1">
      <c r="B346" s="92"/>
      <c r="C346" s="43" t="s">
        <v>152</v>
      </c>
      <c r="D346" s="42">
        <v>10</v>
      </c>
      <c r="E346" s="41">
        <v>5.1419169066227888E-4</v>
      </c>
    </row>
    <row r="347" spans="2:5" ht="15" customHeight="1">
      <c r="B347" s="92"/>
      <c r="C347" s="43" t="s">
        <v>156</v>
      </c>
      <c r="D347" s="42">
        <v>27</v>
      </c>
      <c r="E347" s="41">
        <v>1.3883175647881531E-3</v>
      </c>
    </row>
    <row r="348" spans="2:5" ht="15" customHeight="1">
      <c r="B348" s="92"/>
      <c r="C348" s="43" t="s">
        <v>148</v>
      </c>
      <c r="D348" s="42">
        <v>5</v>
      </c>
      <c r="E348" s="41">
        <v>2.5709584533113944E-4</v>
      </c>
    </row>
    <row r="349" spans="2:5" ht="15" customHeight="1">
      <c r="B349" s="92"/>
      <c r="C349" s="43" t="s">
        <v>137</v>
      </c>
      <c r="D349" s="42">
        <v>1</v>
      </c>
      <c r="E349" s="41">
        <v>5.1419169066227893E-5</v>
      </c>
    </row>
    <row r="350" spans="2:5" ht="15" customHeight="1">
      <c r="B350" s="92"/>
      <c r="C350" s="43" t="s">
        <v>123</v>
      </c>
      <c r="D350" s="42">
        <v>1</v>
      </c>
      <c r="E350" s="41">
        <v>5.1419169066227893E-5</v>
      </c>
    </row>
    <row r="351" spans="2:5" ht="15" customHeight="1">
      <c r="B351" s="92"/>
      <c r="C351" s="43" t="s">
        <v>159</v>
      </c>
      <c r="D351" s="42">
        <v>45</v>
      </c>
      <c r="E351" s="41">
        <v>2.313862607980255E-3</v>
      </c>
    </row>
    <row r="352" spans="2:5" ht="15" customHeight="1">
      <c r="B352" s="92"/>
      <c r="C352" s="43" t="s">
        <v>157</v>
      </c>
      <c r="D352" s="42">
        <v>11</v>
      </c>
      <c r="E352" s="41">
        <v>5.6561085972850684E-4</v>
      </c>
    </row>
    <row r="353" spans="2:5" ht="15" customHeight="1">
      <c r="B353" s="92"/>
      <c r="C353" s="43" t="s">
        <v>141</v>
      </c>
      <c r="D353" s="42">
        <v>3</v>
      </c>
      <c r="E353" s="41">
        <v>1.5425750719868367E-4</v>
      </c>
    </row>
    <row r="354" spans="2:5" ht="15" customHeight="1">
      <c r="B354" s="92"/>
      <c r="C354" s="43" t="s">
        <v>158</v>
      </c>
      <c r="D354" s="42">
        <v>18</v>
      </c>
      <c r="E354" s="41">
        <v>9.2554504319210197E-4</v>
      </c>
    </row>
    <row r="355" spans="2:5" ht="15" customHeight="1">
      <c r="B355" s="92"/>
      <c r="C355" s="43" t="s">
        <v>154</v>
      </c>
      <c r="D355" s="42">
        <v>3</v>
      </c>
      <c r="E355" s="41">
        <v>1.5425750719868367E-4</v>
      </c>
    </row>
    <row r="356" spans="2:5" ht="15" customHeight="1">
      <c r="B356" s="92"/>
      <c r="C356" s="43" t="s">
        <v>149</v>
      </c>
      <c r="D356" s="42">
        <v>9</v>
      </c>
      <c r="E356" s="41">
        <v>4.6277252159605099E-4</v>
      </c>
    </row>
    <row r="357" spans="2:5" ht="15" customHeight="1">
      <c r="B357" s="92"/>
      <c r="C357" s="43" t="s">
        <v>144</v>
      </c>
      <c r="D357" s="42">
        <v>2</v>
      </c>
      <c r="E357" s="41">
        <v>1.0283833813245579E-4</v>
      </c>
    </row>
    <row r="358" spans="2:5" ht="15" customHeight="1">
      <c r="B358" s="92"/>
      <c r="C358" s="43" t="s">
        <v>155</v>
      </c>
      <c r="D358" s="42">
        <v>18</v>
      </c>
      <c r="E358" s="41">
        <v>9.2554504319210197E-4</v>
      </c>
    </row>
    <row r="359" spans="2:5" ht="15" customHeight="1">
      <c r="B359" s="92"/>
      <c r="C359" s="43" t="s">
        <v>151</v>
      </c>
      <c r="D359" s="42">
        <v>12</v>
      </c>
      <c r="E359" s="41">
        <v>6.1703002879473468E-4</v>
      </c>
    </row>
    <row r="360" spans="2:5" ht="15" customHeight="1">
      <c r="B360" s="92"/>
      <c r="C360" s="43" t="s">
        <v>153</v>
      </c>
      <c r="D360" s="42">
        <v>11</v>
      </c>
      <c r="E360" s="41">
        <v>5.6561085972850684E-4</v>
      </c>
    </row>
    <row r="361" spans="2:5" ht="15" customHeight="1">
      <c r="B361" s="92"/>
      <c r="C361" s="43" t="s">
        <v>150</v>
      </c>
      <c r="D361" s="42">
        <v>5</v>
      </c>
      <c r="E361" s="41">
        <v>2.5709584533113944E-4</v>
      </c>
    </row>
    <row r="362" spans="2:5" ht="15" customHeight="1">
      <c r="B362" s="92"/>
      <c r="C362" s="43" t="s">
        <v>138</v>
      </c>
      <c r="D362" s="42">
        <v>2</v>
      </c>
      <c r="E362" s="41">
        <v>1.0283833813245579E-4</v>
      </c>
    </row>
    <row r="363" spans="2:5" ht="15" customHeight="1">
      <c r="B363" s="93"/>
      <c r="C363" s="40" t="s">
        <v>20</v>
      </c>
      <c r="D363" s="39">
        <v>202</v>
      </c>
      <c r="E363" s="38">
        <v>1.0386672151378033E-2</v>
      </c>
    </row>
    <row r="364" spans="2:5" ht="15" customHeight="1">
      <c r="B364" s="91" t="s">
        <v>239</v>
      </c>
      <c r="C364" s="43" t="s">
        <v>156</v>
      </c>
      <c r="D364" s="42">
        <v>1</v>
      </c>
      <c r="E364" s="41">
        <v>5.1419169066227893E-5</v>
      </c>
    </row>
    <row r="365" spans="2:5" ht="15" customHeight="1">
      <c r="B365" s="93"/>
      <c r="C365" s="40" t="s">
        <v>20</v>
      </c>
      <c r="D365" s="39">
        <v>1</v>
      </c>
      <c r="E365" s="38">
        <v>5.1419169066227893E-5</v>
      </c>
    </row>
    <row r="366" spans="2:5" ht="15" customHeight="1">
      <c r="B366" s="91" t="s">
        <v>29</v>
      </c>
      <c r="C366" s="43" t="s">
        <v>146</v>
      </c>
      <c r="D366" s="42">
        <v>1</v>
      </c>
      <c r="E366" s="41">
        <v>5.1419169066227893E-5</v>
      </c>
    </row>
    <row r="367" spans="2:5" ht="15" customHeight="1">
      <c r="B367" s="92"/>
      <c r="C367" s="43" t="s">
        <v>130</v>
      </c>
      <c r="D367" s="42">
        <v>1</v>
      </c>
      <c r="E367" s="41">
        <v>5.1419169066227893E-5</v>
      </c>
    </row>
    <row r="368" spans="2:5" ht="15" customHeight="1">
      <c r="B368" s="92"/>
      <c r="C368" s="43" t="s">
        <v>152</v>
      </c>
      <c r="D368" s="42">
        <v>2</v>
      </c>
      <c r="E368" s="41">
        <v>1.0283833813245579E-4</v>
      </c>
    </row>
    <row r="369" spans="2:5" ht="15" customHeight="1">
      <c r="B369" s="92"/>
      <c r="C369" s="43" t="s">
        <v>156</v>
      </c>
      <c r="D369" s="42">
        <v>1</v>
      </c>
      <c r="E369" s="41">
        <v>5.1419169066227893E-5</v>
      </c>
    </row>
    <row r="370" spans="2:5" ht="15" customHeight="1">
      <c r="B370" s="92"/>
      <c r="C370" s="43" t="s">
        <v>137</v>
      </c>
      <c r="D370" s="42">
        <v>1</v>
      </c>
      <c r="E370" s="41">
        <v>5.1419169066227893E-5</v>
      </c>
    </row>
    <row r="371" spans="2:5" ht="15" customHeight="1">
      <c r="B371" s="92"/>
      <c r="C371" s="43" t="s">
        <v>132</v>
      </c>
      <c r="D371" s="42">
        <v>1</v>
      </c>
      <c r="E371" s="41">
        <v>5.1419169066227893E-5</v>
      </c>
    </row>
    <row r="372" spans="2:5" ht="15" customHeight="1">
      <c r="B372" s="92"/>
      <c r="C372" s="43" t="s">
        <v>157</v>
      </c>
      <c r="D372" s="42">
        <v>3</v>
      </c>
      <c r="E372" s="41">
        <v>1.5425750719868367E-4</v>
      </c>
    </row>
    <row r="373" spans="2:5" ht="15" customHeight="1">
      <c r="B373" s="92"/>
      <c r="C373" s="43" t="s">
        <v>155</v>
      </c>
      <c r="D373" s="42">
        <v>4</v>
      </c>
      <c r="E373" s="41">
        <v>2.0567667626491157E-4</v>
      </c>
    </row>
    <row r="374" spans="2:5" ht="15" customHeight="1">
      <c r="B374" s="92"/>
      <c r="C374" s="43" t="s">
        <v>151</v>
      </c>
      <c r="D374" s="42">
        <v>2</v>
      </c>
      <c r="E374" s="41">
        <v>1.0283833813245579E-4</v>
      </c>
    </row>
    <row r="375" spans="2:5" ht="15" customHeight="1">
      <c r="B375" s="92"/>
      <c r="C375" s="43" t="s">
        <v>153</v>
      </c>
      <c r="D375" s="42">
        <v>1</v>
      </c>
      <c r="E375" s="41">
        <v>5.1419169066227893E-5</v>
      </c>
    </row>
    <row r="376" spans="2:5" ht="15" customHeight="1">
      <c r="B376" s="92"/>
      <c r="C376" s="43" t="s">
        <v>150</v>
      </c>
      <c r="D376" s="42">
        <v>1</v>
      </c>
      <c r="E376" s="41">
        <v>5.1419169066227893E-5</v>
      </c>
    </row>
    <row r="377" spans="2:5" ht="15" customHeight="1">
      <c r="B377" s="93"/>
      <c r="C377" s="40" t="s">
        <v>20</v>
      </c>
      <c r="D377" s="39">
        <v>18</v>
      </c>
      <c r="E377" s="38">
        <v>9.2554504319210197E-4</v>
      </c>
    </row>
    <row r="378" spans="2:5" ht="15" customHeight="1">
      <c r="B378" s="91" t="s">
        <v>26</v>
      </c>
      <c r="C378" s="43" t="s">
        <v>139</v>
      </c>
      <c r="D378" s="42">
        <v>1</v>
      </c>
      <c r="E378" s="41">
        <v>5.1419169066227893E-5</v>
      </c>
    </row>
    <row r="379" spans="2:5" ht="15" customHeight="1">
      <c r="B379" s="92"/>
      <c r="C379" s="43" t="s">
        <v>152</v>
      </c>
      <c r="D379" s="42">
        <v>2</v>
      </c>
      <c r="E379" s="41">
        <v>1.0283833813245579E-4</v>
      </c>
    </row>
    <row r="380" spans="2:5" ht="15" customHeight="1">
      <c r="B380" s="92"/>
      <c r="C380" s="43" t="s">
        <v>156</v>
      </c>
      <c r="D380" s="42">
        <v>3</v>
      </c>
      <c r="E380" s="41">
        <v>1.5425750719868367E-4</v>
      </c>
    </row>
    <row r="381" spans="2:5" ht="15" customHeight="1">
      <c r="B381" s="92"/>
      <c r="C381" s="43" t="s">
        <v>131</v>
      </c>
      <c r="D381" s="42">
        <v>1</v>
      </c>
      <c r="E381" s="41">
        <v>5.1419169066227893E-5</v>
      </c>
    </row>
    <row r="382" spans="2:5" ht="15" customHeight="1">
      <c r="B382" s="92"/>
      <c r="C382" s="43" t="s">
        <v>155</v>
      </c>
      <c r="D382" s="42">
        <v>5</v>
      </c>
      <c r="E382" s="41">
        <v>2.5709584533113944E-4</v>
      </c>
    </row>
    <row r="383" spans="2:5" ht="15" customHeight="1">
      <c r="B383" s="92"/>
      <c r="C383" s="43" t="s">
        <v>151</v>
      </c>
      <c r="D383" s="42">
        <v>1</v>
      </c>
      <c r="E383" s="41">
        <v>5.1419169066227893E-5</v>
      </c>
    </row>
    <row r="384" spans="2:5" ht="15" customHeight="1">
      <c r="B384" s="93"/>
      <c r="C384" s="40" t="s">
        <v>20</v>
      </c>
      <c r="D384" s="39">
        <v>13</v>
      </c>
      <c r="E384" s="38">
        <v>6.6844919786096253E-4</v>
      </c>
    </row>
    <row r="385" spans="2:5" ht="15" customHeight="1">
      <c r="B385" s="91" t="s">
        <v>54</v>
      </c>
      <c r="C385" s="43" t="s">
        <v>139</v>
      </c>
      <c r="D385" s="42">
        <v>1</v>
      </c>
      <c r="E385" s="41">
        <v>5.1419169066227893E-5</v>
      </c>
    </row>
    <row r="386" spans="2:5" ht="15" customHeight="1">
      <c r="B386" s="92"/>
      <c r="C386" s="43" t="s">
        <v>143</v>
      </c>
      <c r="D386" s="42">
        <v>3</v>
      </c>
      <c r="E386" s="41">
        <v>1.5425750719868367E-4</v>
      </c>
    </row>
    <row r="387" spans="2:5" ht="15" customHeight="1">
      <c r="B387" s="92"/>
      <c r="C387" s="43" t="s">
        <v>146</v>
      </c>
      <c r="D387" s="42">
        <v>3</v>
      </c>
      <c r="E387" s="41">
        <v>1.5425750719868367E-4</v>
      </c>
    </row>
    <row r="388" spans="2:5" ht="15" customHeight="1">
      <c r="B388" s="92"/>
      <c r="C388" s="43" t="s">
        <v>130</v>
      </c>
      <c r="D388" s="42">
        <v>3</v>
      </c>
      <c r="E388" s="41">
        <v>1.5425750719868367E-4</v>
      </c>
    </row>
    <row r="389" spans="2:5" ht="15" customHeight="1">
      <c r="B389" s="92"/>
      <c r="C389" s="43" t="s">
        <v>135</v>
      </c>
      <c r="D389" s="42">
        <v>2</v>
      </c>
      <c r="E389" s="41">
        <v>1.0283833813245579E-4</v>
      </c>
    </row>
    <row r="390" spans="2:5" ht="15" customHeight="1">
      <c r="B390" s="92"/>
      <c r="C390" s="43" t="s">
        <v>142</v>
      </c>
      <c r="D390" s="42">
        <v>1</v>
      </c>
      <c r="E390" s="41">
        <v>5.1419169066227893E-5</v>
      </c>
    </row>
    <row r="391" spans="2:5" ht="15" customHeight="1">
      <c r="B391" s="92"/>
      <c r="C391" s="43" t="s">
        <v>152</v>
      </c>
      <c r="D391" s="42">
        <v>3</v>
      </c>
      <c r="E391" s="41">
        <v>1.5425750719868367E-4</v>
      </c>
    </row>
    <row r="392" spans="2:5" ht="15" customHeight="1">
      <c r="B392" s="92"/>
      <c r="C392" s="43" t="s">
        <v>156</v>
      </c>
      <c r="D392" s="42">
        <v>9</v>
      </c>
      <c r="E392" s="41">
        <v>4.6277252159605099E-4</v>
      </c>
    </row>
    <row r="393" spans="2:5" ht="15" customHeight="1">
      <c r="B393" s="92"/>
      <c r="C393" s="43" t="s">
        <v>148</v>
      </c>
      <c r="D393" s="42">
        <v>1</v>
      </c>
      <c r="E393" s="41">
        <v>5.1419169066227893E-5</v>
      </c>
    </row>
    <row r="394" spans="2:5" ht="15" customHeight="1">
      <c r="B394" s="92"/>
      <c r="C394" s="43" t="s">
        <v>145</v>
      </c>
      <c r="D394" s="42">
        <v>2</v>
      </c>
      <c r="E394" s="41">
        <v>1.0283833813245579E-4</v>
      </c>
    </row>
    <row r="395" spans="2:5" ht="15" customHeight="1">
      <c r="B395" s="92"/>
      <c r="C395" s="43" t="s">
        <v>133</v>
      </c>
      <c r="D395" s="42">
        <v>2</v>
      </c>
      <c r="E395" s="41">
        <v>1.0283833813245579E-4</v>
      </c>
    </row>
    <row r="396" spans="2:5" ht="15" customHeight="1">
      <c r="B396" s="92"/>
      <c r="C396" s="43" t="s">
        <v>159</v>
      </c>
      <c r="D396" s="42">
        <v>29</v>
      </c>
      <c r="E396" s="41">
        <v>1.4911559029206088E-3</v>
      </c>
    </row>
    <row r="397" spans="2:5" ht="15" customHeight="1">
      <c r="B397" s="92"/>
      <c r="C397" s="43" t="s">
        <v>147</v>
      </c>
      <c r="D397" s="42">
        <v>2</v>
      </c>
      <c r="E397" s="41">
        <v>1.0283833813245579E-4</v>
      </c>
    </row>
    <row r="398" spans="2:5" ht="15" customHeight="1">
      <c r="B398" s="92"/>
      <c r="C398" s="43" t="s">
        <v>157</v>
      </c>
      <c r="D398" s="42">
        <v>5</v>
      </c>
      <c r="E398" s="41">
        <v>2.5709584533113944E-4</v>
      </c>
    </row>
    <row r="399" spans="2:5" ht="15" customHeight="1">
      <c r="B399" s="92"/>
      <c r="C399" s="43" t="s">
        <v>134</v>
      </c>
      <c r="D399" s="42">
        <v>1</v>
      </c>
      <c r="E399" s="41">
        <v>5.1419169066227893E-5</v>
      </c>
    </row>
    <row r="400" spans="2:5" ht="15" customHeight="1">
      <c r="B400" s="92"/>
      <c r="C400" s="43" t="s">
        <v>158</v>
      </c>
      <c r="D400" s="42">
        <v>26</v>
      </c>
      <c r="E400" s="41">
        <v>1.3368983957219251E-3</v>
      </c>
    </row>
    <row r="401" spans="2:5" ht="15" customHeight="1">
      <c r="B401" s="92"/>
      <c r="C401" s="43" t="s">
        <v>154</v>
      </c>
      <c r="D401" s="42">
        <v>15</v>
      </c>
      <c r="E401" s="41">
        <v>7.7128753599341833E-4</v>
      </c>
    </row>
    <row r="402" spans="2:5" ht="15" customHeight="1">
      <c r="B402" s="92"/>
      <c r="C402" s="43" t="s">
        <v>131</v>
      </c>
      <c r="D402" s="42">
        <v>2</v>
      </c>
      <c r="E402" s="41">
        <v>1.0283833813245579E-4</v>
      </c>
    </row>
    <row r="403" spans="2:5" ht="15" customHeight="1">
      <c r="B403" s="92"/>
      <c r="C403" s="43" t="s">
        <v>149</v>
      </c>
      <c r="D403" s="42">
        <v>3</v>
      </c>
      <c r="E403" s="41">
        <v>1.5425750719868367E-4</v>
      </c>
    </row>
    <row r="404" spans="2:5" ht="15" customHeight="1">
      <c r="B404" s="92"/>
      <c r="C404" s="43" t="s">
        <v>155</v>
      </c>
      <c r="D404" s="42">
        <v>12</v>
      </c>
      <c r="E404" s="41">
        <v>6.1703002879473468E-4</v>
      </c>
    </row>
    <row r="405" spans="2:5" ht="15" customHeight="1">
      <c r="B405" s="92"/>
      <c r="C405" s="43" t="s">
        <v>151</v>
      </c>
      <c r="D405" s="42">
        <v>11</v>
      </c>
      <c r="E405" s="41">
        <v>5.6561085972850684E-4</v>
      </c>
    </row>
    <row r="406" spans="2:5" ht="15" customHeight="1">
      <c r="B406" s="92"/>
      <c r="C406" s="43" t="s">
        <v>153</v>
      </c>
      <c r="D406" s="42">
        <v>5</v>
      </c>
      <c r="E406" s="41">
        <v>2.5709584533113944E-4</v>
      </c>
    </row>
    <row r="407" spans="2:5" ht="15" customHeight="1">
      <c r="B407" s="92"/>
      <c r="C407" s="43" t="s">
        <v>150</v>
      </c>
      <c r="D407" s="42">
        <v>2</v>
      </c>
      <c r="E407" s="41">
        <v>1.0283833813245579E-4</v>
      </c>
    </row>
    <row r="408" spans="2:5" ht="15" customHeight="1">
      <c r="B408" s="93"/>
      <c r="C408" s="40" t="s">
        <v>20</v>
      </c>
      <c r="D408" s="39">
        <v>143</v>
      </c>
      <c r="E408" s="38">
        <v>7.3529411764705881E-3</v>
      </c>
    </row>
    <row r="409" spans="2:5" ht="15" customHeight="1">
      <c r="B409" s="91" t="s">
        <v>51</v>
      </c>
      <c r="C409" s="43" t="s">
        <v>139</v>
      </c>
      <c r="D409" s="42">
        <v>1</v>
      </c>
      <c r="E409" s="41">
        <v>5.1419169066227893E-5</v>
      </c>
    </row>
    <row r="410" spans="2:5" ht="15" customHeight="1">
      <c r="B410" s="92"/>
      <c r="C410" s="43" t="s">
        <v>143</v>
      </c>
      <c r="D410" s="42">
        <v>1</v>
      </c>
      <c r="E410" s="41">
        <v>5.1419169066227893E-5</v>
      </c>
    </row>
    <row r="411" spans="2:5" ht="15" customHeight="1">
      <c r="B411" s="92"/>
      <c r="C411" s="43" t="s">
        <v>136</v>
      </c>
      <c r="D411" s="42">
        <v>1</v>
      </c>
      <c r="E411" s="41">
        <v>5.1419169066227893E-5</v>
      </c>
    </row>
    <row r="412" spans="2:5" ht="15" customHeight="1">
      <c r="B412" s="92"/>
      <c r="C412" s="43" t="s">
        <v>118</v>
      </c>
      <c r="D412" s="42">
        <v>1</v>
      </c>
      <c r="E412" s="41">
        <v>5.1419169066227893E-5</v>
      </c>
    </row>
    <row r="413" spans="2:5" ht="15" customHeight="1">
      <c r="B413" s="92"/>
      <c r="C413" s="43" t="s">
        <v>156</v>
      </c>
      <c r="D413" s="42">
        <v>8</v>
      </c>
      <c r="E413" s="41">
        <v>4.1135335252982314E-4</v>
      </c>
    </row>
    <row r="414" spans="2:5" ht="15" customHeight="1">
      <c r="B414" s="92"/>
      <c r="C414" s="43" t="s">
        <v>128</v>
      </c>
      <c r="D414" s="42">
        <v>1</v>
      </c>
      <c r="E414" s="41">
        <v>5.1419169066227893E-5</v>
      </c>
    </row>
    <row r="415" spans="2:5" ht="15" customHeight="1">
      <c r="B415" s="92"/>
      <c r="C415" s="43" t="s">
        <v>145</v>
      </c>
      <c r="D415" s="42">
        <v>1</v>
      </c>
      <c r="E415" s="41">
        <v>5.1419169066227893E-5</v>
      </c>
    </row>
    <row r="416" spans="2:5" ht="15" customHeight="1">
      <c r="B416" s="92"/>
      <c r="C416" s="43" t="s">
        <v>140</v>
      </c>
      <c r="D416" s="42">
        <v>3</v>
      </c>
      <c r="E416" s="41">
        <v>1.5425750719868367E-4</v>
      </c>
    </row>
    <row r="417" spans="2:5" ht="15" customHeight="1">
      <c r="B417" s="92"/>
      <c r="C417" s="43" t="s">
        <v>159</v>
      </c>
      <c r="D417" s="42">
        <v>20</v>
      </c>
      <c r="E417" s="41">
        <v>1.0283833813245578E-3</v>
      </c>
    </row>
    <row r="418" spans="2:5" ht="15" customHeight="1">
      <c r="B418" s="92"/>
      <c r="C418" s="43" t="s">
        <v>147</v>
      </c>
      <c r="D418" s="42">
        <v>1</v>
      </c>
      <c r="E418" s="41">
        <v>5.1419169066227893E-5</v>
      </c>
    </row>
    <row r="419" spans="2:5" ht="15" customHeight="1">
      <c r="B419" s="92"/>
      <c r="C419" s="43" t="s">
        <v>157</v>
      </c>
      <c r="D419" s="42">
        <v>5</v>
      </c>
      <c r="E419" s="41">
        <v>2.5709584533113944E-4</v>
      </c>
    </row>
    <row r="420" spans="2:5" ht="15" customHeight="1">
      <c r="B420" s="92"/>
      <c r="C420" s="43" t="s">
        <v>141</v>
      </c>
      <c r="D420" s="42">
        <v>1</v>
      </c>
      <c r="E420" s="41">
        <v>5.1419169066227893E-5</v>
      </c>
    </row>
    <row r="421" spans="2:5" ht="15" customHeight="1">
      <c r="B421" s="92"/>
      <c r="C421" s="43" t="s">
        <v>158</v>
      </c>
      <c r="D421" s="42">
        <v>17</v>
      </c>
      <c r="E421" s="41">
        <v>8.7412587412587413E-4</v>
      </c>
    </row>
    <row r="422" spans="2:5" ht="15" customHeight="1">
      <c r="B422" s="92"/>
      <c r="C422" s="43" t="s">
        <v>154</v>
      </c>
      <c r="D422" s="42">
        <v>4</v>
      </c>
      <c r="E422" s="41">
        <v>2.0567667626491157E-4</v>
      </c>
    </row>
    <row r="423" spans="2:5" ht="15" customHeight="1">
      <c r="B423" s="92"/>
      <c r="C423" s="43" t="s">
        <v>149</v>
      </c>
      <c r="D423" s="42">
        <v>13</v>
      </c>
      <c r="E423" s="41">
        <v>6.6844919786096253E-4</v>
      </c>
    </row>
    <row r="424" spans="2:5" ht="15" customHeight="1">
      <c r="B424" s="92"/>
      <c r="C424" s="43" t="s">
        <v>155</v>
      </c>
      <c r="D424" s="42">
        <v>5</v>
      </c>
      <c r="E424" s="41">
        <v>2.5709584533113944E-4</v>
      </c>
    </row>
    <row r="425" spans="2:5" ht="15" customHeight="1">
      <c r="B425" s="92"/>
      <c r="C425" s="43" t="s">
        <v>151</v>
      </c>
      <c r="D425" s="42">
        <v>3</v>
      </c>
      <c r="E425" s="41">
        <v>1.5425750719868367E-4</v>
      </c>
    </row>
    <row r="426" spans="2:5" ht="15" customHeight="1">
      <c r="B426" s="92"/>
      <c r="C426" s="43" t="s">
        <v>153</v>
      </c>
      <c r="D426" s="42">
        <v>9</v>
      </c>
      <c r="E426" s="41">
        <v>4.6277252159605099E-4</v>
      </c>
    </row>
    <row r="427" spans="2:5" ht="15" customHeight="1">
      <c r="B427" s="92"/>
      <c r="C427" s="43" t="s">
        <v>150</v>
      </c>
      <c r="D427" s="42">
        <v>3</v>
      </c>
      <c r="E427" s="41">
        <v>1.5425750719868367E-4</v>
      </c>
    </row>
    <row r="428" spans="2:5" ht="15" customHeight="1">
      <c r="B428" s="92"/>
      <c r="C428" s="43" t="s">
        <v>138</v>
      </c>
      <c r="D428" s="42">
        <v>2</v>
      </c>
      <c r="E428" s="41">
        <v>1.0283833813245579E-4</v>
      </c>
    </row>
    <row r="429" spans="2:5" ht="15" customHeight="1">
      <c r="B429" s="93"/>
      <c r="C429" s="40" t="s">
        <v>20</v>
      </c>
      <c r="D429" s="39">
        <v>100</v>
      </c>
      <c r="E429" s="38">
        <v>5.1419169066227888E-3</v>
      </c>
    </row>
    <row r="430" spans="2:5" ht="15" customHeight="1">
      <c r="B430" s="91" t="s">
        <v>50</v>
      </c>
      <c r="C430" s="43" t="s">
        <v>143</v>
      </c>
      <c r="D430" s="42">
        <v>2</v>
      </c>
      <c r="E430" s="41">
        <v>1.0283833813245579E-4</v>
      </c>
    </row>
    <row r="431" spans="2:5" ht="15" customHeight="1">
      <c r="B431" s="92"/>
      <c r="C431" s="43" t="s">
        <v>135</v>
      </c>
      <c r="D431" s="42">
        <v>11</v>
      </c>
      <c r="E431" s="41">
        <v>5.6561085972850684E-4</v>
      </c>
    </row>
    <row r="432" spans="2:5" ht="15" customHeight="1">
      <c r="B432" s="92"/>
      <c r="C432" s="43" t="s">
        <v>152</v>
      </c>
      <c r="D432" s="42">
        <v>6</v>
      </c>
      <c r="E432" s="41">
        <v>3.0851501439736734E-4</v>
      </c>
    </row>
    <row r="433" spans="2:5" ht="15" customHeight="1">
      <c r="B433" s="92"/>
      <c r="C433" s="43" t="s">
        <v>156</v>
      </c>
      <c r="D433" s="42">
        <v>9</v>
      </c>
      <c r="E433" s="41">
        <v>4.6277252159605099E-4</v>
      </c>
    </row>
    <row r="434" spans="2:5" ht="15" customHeight="1">
      <c r="B434" s="92"/>
      <c r="C434" s="43" t="s">
        <v>148</v>
      </c>
      <c r="D434" s="42">
        <v>10</v>
      </c>
      <c r="E434" s="41">
        <v>5.1419169066227888E-4</v>
      </c>
    </row>
    <row r="435" spans="2:5" ht="15" customHeight="1">
      <c r="B435" s="92"/>
      <c r="C435" s="43" t="s">
        <v>123</v>
      </c>
      <c r="D435" s="42">
        <v>1</v>
      </c>
      <c r="E435" s="41">
        <v>5.1419169066227893E-5</v>
      </c>
    </row>
    <row r="436" spans="2:5" ht="15" customHeight="1">
      <c r="B436" s="92"/>
      <c r="C436" s="43" t="s">
        <v>159</v>
      </c>
      <c r="D436" s="42">
        <v>7</v>
      </c>
      <c r="E436" s="41">
        <v>3.5993418346359524E-4</v>
      </c>
    </row>
    <row r="437" spans="2:5" ht="15" customHeight="1">
      <c r="B437" s="92"/>
      <c r="C437" s="43" t="s">
        <v>147</v>
      </c>
      <c r="D437" s="42">
        <v>1</v>
      </c>
      <c r="E437" s="41">
        <v>5.1419169066227893E-5</v>
      </c>
    </row>
    <row r="438" spans="2:5" ht="15" customHeight="1">
      <c r="B438" s="92"/>
      <c r="C438" s="43" t="s">
        <v>157</v>
      </c>
      <c r="D438" s="42">
        <v>3</v>
      </c>
      <c r="E438" s="41">
        <v>1.5425750719868367E-4</v>
      </c>
    </row>
    <row r="439" spans="2:5" ht="15" customHeight="1">
      <c r="B439" s="92"/>
      <c r="C439" s="43" t="s">
        <v>158</v>
      </c>
      <c r="D439" s="42">
        <v>4</v>
      </c>
      <c r="E439" s="41">
        <v>2.0567667626491157E-4</v>
      </c>
    </row>
    <row r="440" spans="2:5" ht="15" customHeight="1">
      <c r="B440" s="92"/>
      <c r="C440" s="43" t="s">
        <v>154</v>
      </c>
      <c r="D440" s="42">
        <v>3</v>
      </c>
      <c r="E440" s="41">
        <v>1.5425750719868367E-4</v>
      </c>
    </row>
    <row r="441" spans="2:5" ht="15" customHeight="1">
      <c r="B441" s="92"/>
      <c r="C441" s="43" t="s">
        <v>131</v>
      </c>
      <c r="D441" s="42">
        <v>1</v>
      </c>
      <c r="E441" s="41">
        <v>5.1419169066227893E-5</v>
      </c>
    </row>
    <row r="442" spans="2:5" ht="15" customHeight="1">
      <c r="B442" s="92"/>
      <c r="C442" s="43" t="s">
        <v>149</v>
      </c>
      <c r="D442" s="42">
        <v>5</v>
      </c>
      <c r="E442" s="41">
        <v>2.5709584533113944E-4</v>
      </c>
    </row>
    <row r="443" spans="2:5" ht="15" customHeight="1">
      <c r="B443" s="92"/>
      <c r="C443" s="43" t="s">
        <v>144</v>
      </c>
      <c r="D443" s="42">
        <v>2</v>
      </c>
      <c r="E443" s="41">
        <v>1.0283833813245579E-4</v>
      </c>
    </row>
    <row r="444" spans="2:5" ht="15" customHeight="1">
      <c r="B444" s="92"/>
      <c r="C444" s="43" t="s">
        <v>155</v>
      </c>
      <c r="D444" s="42">
        <v>3</v>
      </c>
      <c r="E444" s="41">
        <v>1.5425750719868367E-4</v>
      </c>
    </row>
    <row r="445" spans="2:5" ht="15" customHeight="1">
      <c r="B445" s="92"/>
      <c r="C445" s="43" t="s">
        <v>151</v>
      </c>
      <c r="D445" s="42">
        <v>11</v>
      </c>
      <c r="E445" s="41">
        <v>5.6561085972850684E-4</v>
      </c>
    </row>
    <row r="446" spans="2:5" ht="15" customHeight="1">
      <c r="B446" s="92"/>
      <c r="C446" s="43" t="s">
        <v>153</v>
      </c>
      <c r="D446" s="42">
        <v>4</v>
      </c>
      <c r="E446" s="41">
        <v>2.0567667626491157E-4</v>
      </c>
    </row>
    <row r="447" spans="2:5" ht="15" customHeight="1">
      <c r="B447" s="92"/>
      <c r="C447" s="43" t="s">
        <v>150</v>
      </c>
      <c r="D447" s="42">
        <v>6</v>
      </c>
      <c r="E447" s="41">
        <v>3.0851501439736734E-4</v>
      </c>
    </row>
    <row r="448" spans="2:5" ht="15" customHeight="1">
      <c r="B448" s="93"/>
      <c r="C448" s="40" t="s">
        <v>20</v>
      </c>
      <c r="D448" s="39">
        <v>89</v>
      </c>
      <c r="E448" s="38">
        <v>4.5763060468942823E-3</v>
      </c>
    </row>
    <row r="449" spans="2:5" ht="15" customHeight="1">
      <c r="B449" s="91" t="s">
        <v>47</v>
      </c>
      <c r="C449" s="43" t="s">
        <v>135</v>
      </c>
      <c r="D449" s="42">
        <v>1</v>
      </c>
      <c r="E449" s="41">
        <v>5.1419169066227893E-5</v>
      </c>
    </row>
    <row r="450" spans="2:5" ht="15" customHeight="1">
      <c r="B450" s="92"/>
      <c r="C450" s="43" t="s">
        <v>152</v>
      </c>
      <c r="D450" s="42">
        <v>3</v>
      </c>
      <c r="E450" s="41">
        <v>1.5425750719868367E-4</v>
      </c>
    </row>
    <row r="451" spans="2:5" ht="15" customHeight="1">
      <c r="B451" s="92"/>
      <c r="C451" s="43" t="s">
        <v>156</v>
      </c>
      <c r="D451" s="42">
        <v>4</v>
      </c>
      <c r="E451" s="41">
        <v>2.0567667626491157E-4</v>
      </c>
    </row>
    <row r="452" spans="2:5" ht="15" customHeight="1">
      <c r="B452" s="92"/>
      <c r="C452" s="43" t="s">
        <v>148</v>
      </c>
      <c r="D452" s="42">
        <v>1</v>
      </c>
      <c r="E452" s="41">
        <v>5.1419169066227893E-5</v>
      </c>
    </row>
    <row r="453" spans="2:5" ht="15" customHeight="1">
      <c r="B453" s="92"/>
      <c r="C453" s="43" t="s">
        <v>145</v>
      </c>
      <c r="D453" s="42">
        <v>3</v>
      </c>
      <c r="E453" s="41">
        <v>1.5425750719868367E-4</v>
      </c>
    </row>
    <row r="454" spans="2:5" ht="15" customHeight="1">
      <c r="B454" s="92"/>
      <c r="C454" s="43" t="s">
        <v>137</v>
      </c>
      <c r="D454" s="42">
        <v>1</v>
      </c>
      <c r="E454" s="41">
        <v>5.1419169066227893E-5</v>
      </c>
    </row>
    <row r="455" spans="2:5" ht="15" customHeight="1">
      <c r="B455" s="92"/>
      <c r="C455" s="43" t="s">
        <v>133</v>
      </c>
      <c r="D455" s="42">
        <v>1</v>
      </c>
      <c r="E455" s="41">
        <v>5.1419169066227893E-5</v>
      </c>
    </row>
    <row r="456" spans="2:5" ht="15" customHeight="1">
      <c r="B456" s="92"/>
      <c r="C456" s="43" t="s">
        <v>159</v>
      </c>
      <c r="D456" s="42">
        <v>4</v>
      </c>
      <c r="E456" s="41">
        <v>2.0567667626491157E-4</v>
      </c>
    </row>
    <row r="457" spans="2:5" ht="15" customHeight="1">
      <c r="B457" s="92"/>
      <c r="C457" s="43" t="s">
        <v>129</v>
      </c>
      <c r="D457" s="42">
        <v>1</v>
      </c>
      <c r="E457" s="41">
        <v>5.1419169066227893E-5</v>
      </c>
    </row>
    <row r="458" spans="2:5" ht="15" customHeight="1">
      <c r="B458" s="92"/>
      <c r="C458" s="43" t="s">
        <v>157</v>
      </c>
      <c r="D458" s="42">
        <v>2</v>
      </c>
      <c r="E458" s="41">
        <v>1.0283833813245579E-4</v>
      </c>
    </row>
    <row r="459" spans="2:5" ht="15" customHeight="1">
      <c r="B459" s="92"/>
      <c r="C459" s="43" t="s">
        <v>141</v>
      </c>
      <c r="D459" s="42">
        <v>3</v>
      </c>
      <c r="E459" s="41">
        <v>1.5425750719868367E-4</v>
      </c>
    </row>
    <row r="460" spans="2:5" ht="15" customHeight="1">
      <c r="B460" s="92"/>
      <c r="C460" s="43" t="s">
        <v>122</v>
      </c>
      <c r="D460" s="42">
        <v>2</v>
      </c>
      <c r="E460" s="41">
        <v>1.0283833813245579E-4</v>
      </c>
    </row>
    <row r="461" spans="2:5" ht="15" customHeight="1">
      <c r="B461" s="92"/>
      <c r="C461" s="43" t="s">
        <v>158</v>
      </c>
      <c r="D461" s="42">
        <v>5</v>
      </c>
      <c r="E461" s="41">
        <v>2.5709584533113944E-4</v>
      </c>
    </row>
    <row r="462" spans="2:5" ht="15" customHeight="1">
      <c r="B462" s="92"/>
      <c r="C462" s="43" t="s">
        <v>154</v>
      </c>
      <c r="D462" s="42">
        <v>5</v>
      </c>
      <c r="E462" s="41">
        <v>2.5709584533113944E-4</v>
      </c>
    </row>
    <row r="463" spans="2:5" ht="15" customHeight="1">
      <c r="B463" s="92"/>
      <c r="C463" s="43" t="s">
        <v>131</v>
      </c>
      <c r="D463" s="42">
        <v>3</v>
      </c>
      <c r="E463" s="41">
        <v>1.5425750719868367E-4</v>
      </c>
    </row>
    <row r="464" spans="2:5" ht="15" customHeight="1">
      <c r="B464" s="92"/>
      <c r="C464" s="43" t="s">
        <v>149</v>
      </c>
      <c r="D464" s="42">
        <v>1</v>
      </c>
      <c r="E464" s="41">
        <v>5.1419169066227893E-5</v>
      </c>
    </row>
    <row r="465" spans="2:5" ht="15" customHeight="1">
      <c r="B465" s="92"/>
      <c r="C465" s="43" t="s">
        <v>155</v>
      </c>
      <c r="D465" s="42">
        <v>1</v>
      </c>
      <c r="E465" s="41">
        <v>5.1419169066227893E-5</v>
      </c>
    </row>
    <row r="466" spans="2:5" ht="15" customHeight="1">
      <c r="B466" s="92"/>
      <c r="C466" s="43" t="s">
        <v>151</v>
      </c>
      <c r="D466" s="42">
        <v>2</v>
      </c>
      <c r="E466" s="41">
        <v>1.0283833813245579E-4</v>
      </c>
    </row>
    <row r="467" spans="2:5" ht="15" customHeight="1">
      <c r="B467" s="92"/>
      <c r="C467" s="43" t="s">
        <v>150</v>
      </c>
      <c r="D467" s="42">
        <v>8</v>
      </c>
      <c r="E467" s="41">
        <v>4.1135335252982314E-4</v>
      </c>
    </row>
    <row r="468" spans="2:5" ht="15" customHeight="1">
      <c r="B468" s="92"/>
      <c r="C468" s="43" t="s">
        <v>138</v>
      </c>
      <c r="D468" s="42">
        <v>1</v>
      </c>
      <c r="E468" s="41">
        <v>5.1419169066227893E-5</v>
      </c>
    </row>
    <row r="469" spans="2:5" ht="15" customHeight="1">
      <c r="B469" s="93"/>
      <c r="C469" s="40" t="s">
        <v>20</v>
      </c>
      <c r="D469" s="39">
        <v>52</v>
      </c>
      <c r="E469" s="38">
        <v>2.6737967914438501E-3</v>
      </c>
    </row>
    <row r="470" spans="2:5" ht="15" customHeight="1">
      <c r="B470" s="91" t="s">
        <v>40</v>
      </c>
      <c r="C470" s="43" t="s">
        <v>139</v>
      </c>
      <c r="D470" s="42">
        <v>1</v>
      </c>
      <c r="E470" s="41">
        <v>5.1419169066227893E-5</v>
      </c>
    </row>
    <row r="471" spans="2:5" ht="15" customHeight="1">
      <c r="B471" s="92"/>
      <c r="C471" s="43" t="s">
        <v>143</v>
      </c>
      <c r="D471" s="42">
        <v>3</v>
      </c>
      <c r="E471" s="41">
        <v>1.5425750719868367E-4</v>
      </c>
    </row>
    <row r="472" spans="2:5" ht="15" customHeight="1">
      <c r="B472" s="92"/>
      <c r="C472" s="43" t="s">
        <v>146</v>
      </c>
      <c r="D472" s="42">
        <v>1</v>
      </c>
      <c r="E472" s="41">
        <v>5.1419169066227893E-5</v>
      </c>
    </row>
    <row r="473" spans="2:5" ht="15" customHeight="1">
      <c r="B473" s="92"/>
      <c r="C473" s="43" t="s">
        <v>135</v>
      </c>
      <c r="D473" s="42">
        <v>1</v>
      </c>
      <c r="E473" s="41">
        <v>5.1419169066227893E-5</v>
      </c>
    </row>
    <row r="474" spans="2:5" ht="15" customHeight="1">
      <c r="B474" s="92"/>
      <c r="C474" s="43" t="s">
        <v>152</v>
      </c>
      <c r="D474" s="42">
        <v>1</v>
      </c>
      <c r="E474" s="41">
        <v>5.1419169066227893E-5</v>
      </c>
    </row>
    <row r="475" spans="2:5" ht="15" customHeight="1">
      <c r="B475" s="92"/>
      <c r="C475" s="43" t="s">
        <v>156</v>
      </c>
      <c r="D475" s="42">
        <v>2</v>
      </c>
      <c r="E475" s="41">
        <v>1.0283833813245579E-4</v>
      </c>
    </row>
    <row r="476" spans="2:5" ht="15" customHeight="1">
      <c r="B476" s="92"/>
      <c r="C476" s="43" t="s">
        <v>148</v>
      </c>
      <c r="D476" s="42">
        <v>2</v>
      </c>
      <c r="E476" s="41">
        <v>1.0283833813245579E-4</v>
      </c>
    </row>
    <row r="477" spans="2:5" ht="15" customHeight="1">
      <c r="B477" s="92"/>
      <c r="C477" s="43" t="s">
        <v>133</v>
      </c>
      <c r="D477" s="42">
        <v>1</v>
      </c>
      <c r="E477" s="41">
        <v>5.1419169066227893E-5</v>
      </c>
    </row>
    <row r="478" spans="2:5" ht="15" customHeight="1">
      <c r="B478" s="92"/>
      <c r="C478" s="43" t="s">
        <v>159</v>
      </c>
      <c r="D478" s="42">
        <v>7</v>
      </c>
      <c r="E478" s="41">
        <v>3.5993418346359524E-4</v>
      </c>
    </row>
    <row r="479" spans="2:5" ht="15" customHeight="1">
      <c r="B479" s="92"/>
      <c r="C479" s="43" t="s">
        <v>157</v>
      </c>
      <c r="D479" s="42">
        <v>6</v>
      </c>
      <c r="E479" s="41">
        <v>3.0851501439736734E-4</v>
      </c>
    </row>
    <row r="480" spans="2:5" ht="15" customHeight="1">
      <c r="B480" s="92"/>
      <c r="C480" s="43" t="s">
        <v>158</v>
      </c>
      <c r="D480" s="42">
        <v>9</v>
      </c>
      <c r="E480" s="41">
        <v>4.6277252159605099E-4</v>
      </c>
    </row>
    <row r="481" spans="2:5" ht="15" customHeight="1">
      <c r="B481" s="92"/>
      <c r="C481" s="43" t="s">
        <v>154</v>
      </c>
      <c r="D481" s="42">
        <v>4</v>
      </c>
      <c r="E481" s="41">
        <v>2.0567667626491157E-4</v>
      </c>
    </row>
    <row r="482" spans="2:5" ht="15" customHeight="1">
      <c r="B482" s="92"/>
      <c r="C482" s="43" t="s">
        <v>144</v>
      </c>
      <c r="D482" s="42">
        <v>4</v>
      </c>
      <c r="E482" s="41">
        <v>2.0567667626491157E-4</v>
      </c>
    </row>
    <row r="483" spans="2:5" ht="15" customHeight="1">
      <c r="B483" s="92"/>
      <c r="C483" s="43" t="s">
        <v>155</v>
      </c>
      <c r="D483" s="42">
        <v>1</v>
      </c>
      <c r="E483" s="41">
        <v>5.1419169066227893E-5</v>
      </c>
    </row>
    <row r="484" spans="2:5" ht="15" customHeight="1">
      <c r="B484" s="92"/>
      <c r="C484" s="43" t="s">
        <v>150</v>
      </c>
      <c r="D484" s="42">
        <v>4</v>
      </c>
      <c r="E484" s="41">
        <v>2.0567667626491157E-4</v>
      </c>
    </row>
    <row r="485" spans="2:5" ht="15" customHeight="1">
      <c r="B485" s="93"/>
      <c r="C485" s="40" t="s">
        <v>20</v>
      </c>
      <c r="D485" s="39">
        <v>47</v>
      </c>
      <c r="E485" s="38">
        <v>2.4167009461127107E-3</v>
      </c>
    </row>
    <row r="486" spans="2:5" ht="15" customHeight="1">
      <c r="B486" s="91" t="s">
        <v>38</v>
      </c>
      <c r="C486" s="43" t="s">
        <v>139</v>
      </c>
      <c r="D486" s="42">
        <v>3</v>
      </c>
      <c r="E486" s="41">
        <v>1.5425750719868367E-4</v>
      </c>
    </row>
    <row r="487" spans="2:5" ht="15" customHeight="1">
      <c r="B487" s="92"/>
      <c r="C487" s="43" t="s">
        <v>146</v>
      </c>
      <c r="D487" s="42">
        <v>3</v>
      </c>
      <c r="E487" s="41">
        <v>1.5425750719868367E-4</v>
      </c>
    </row>
    <row r="488" spans="2:5" ht="15" customHeight="1">
      <c r="B488" s="92"/>
      <c r="C488" s="43" t="s">
        <v>142</v>
      </c>
      <c r="D488" s="42">
        <v>1</v>
      </c>
      <c r="E488" s="41">
        <v>5.1419169066227893E-5</v>
      </c>
    </row>
    <row r="489" spans="2:5" ht="15" customHeight="1">
      <c r="B489" s="92"/>
      <c r="C489" s="43" t="s">
        <v>152</v>
      </c>
      <c r="D489" s="42">
        <v>5</v>
      </c>
      <c r="E489" s="41">
        <v>2.5709584533113944E-4</v>
      </c>
    </row>
    <row r="490" spans="2:5" ht="15" customHeight="1">
      <c r="B490" s="92"/>
      <c r="C490" s="43" t="s">
        <v>156</v>
      </c>
      <c r="D490" s="42">
        <v>5</v>
      </c>
      <c r="E490" s="41">
        <v>2.5709584533113944E-4</v>
      </c>
    </row>
    <row r="491" spans="2:5" ht="15" customHeight="1">
      <c r="B491" s="92"/>
      <c r="C491" s="43" t="s">
        <v>128</v>
      </c>
      <c r="D491" s="42">
        <v>1</v>
      </c>
      <c r="E491" s="41">
        <v>5.1419169066227893E-5</v>
      </c>
    </row>
    <row r="492" spans="2:5" ht="15" customHeight="1">
      <c r="B492" s="92"/>
      <c r="C492" s="43" t="s">
        <v>148</v>
      </c>
      <c r="D492" s="42">
        <v>1</v>
      </c>
      <c r="E492" s="41">
        <v>5.1419169066227893E-5</v>
      </c>
    </row>
    <row r="493" spans="2:5" ht="15" customHeight="1">
      <c r="B493" s="92"/>
      <c r="C493" s="43" t="s">
        <v>126</v>
      </c>
      <c r="D493" s="42">
        <v>1</v>
      </c>
      <c r="E493" s="41">
        <v>5.1419169066227893E-5</v>
      </c>
    </row>
    <row r="494" spans="2:5" ht="15" customHeight="1">
      <c r="B494" s="92"/>
      <c r="C494" s="43" t="s">
        <v>137</v>
      </c>
      <c r="D494" s="42">
        <v>1</v>
      </c>
      <c r="E494" s="41">
        <v>5.1419169066227893E-5</v>
      </c>
    </row>
    <row r="495" spans="2:5" ht="15" customHeight="1">
      <c r="B495" s="92"/>
      <c r="C495" s="43" t="s">
        <v>159</v>
      </c>
      <c r="D495" s="42">
        <v>7</v>
      </c>
      <c r="E495" s="41">
        <v>3.5993418346359524E-4</v>
      </c>
    </row>
    <row r="496" spans="2:5" ht="15" customHeight="1">
      <c r="B496" s="92"/>
      <c r="C496" s="43" t="s">
        <v>157</v>
      </c>
      <c r="D496" s="42">
        <v>8</v>
      </c>
      <c r="E496" s="41">
        <v>4.1135335252982314E-4</v>
      </c>
    </row>
    <row r="497" spans="2:5" ht="15" customHeight="1">
      <c r="B497" s="92"/>
      <c r="C497" s="43" t="s">
        <v>158</v>
      </c>
      <c r="D497" s="42">
        <v>4</v>
      </c>
      <c r="E497" s="41">
        <v>2.0567667626491157E-4</v>
      </c>
    </row>
    <row r="498" spans="2:5" ht="15" customHeight="1">
      <c r="B498" s="92"/>
      <c r="C498" s="43" t="s">
        <v>154</v>
      </c>
      <c r="D498" s="42">
        <v>1</v>
      </c>
      <c r="E498" s="41">
        <v>5.1419169066227893E-5</v>
      </c>
    </row>
    <row r="499" spans="2:5" ht="15" customHeight="1">
      <c r="B499" s="92"/>
      <c r="C499" s="43" t="s">
        <v>155</v>
      </c>
      <c r="D499" s="42">
        <v>3</v>
      </c>
      <c r="E499" s="41">
        <v>1.5425750719868367E-4</v>
      </c>
    </row>
    <row r="500" spans="2:5" ht="15" customHeight="1">
      <c r="B500" s="92"/>
      <c r="C500" s="43" t="s">
        <v>151</v>
      </c>
      <c r="D500" s="42">
        <v>1</v>
      </c>
      <c r="E500" s="41">
        <v>5.1419169066227893E-5</v>
      </c>
    </row>
    <row r="501" spans="2:5" ht="15" customHeight="1">
      <c r="B501" s="92"/>
      <c r="C501" s="43" t="s">
        <v>153</v>
      </c>
      <c r="D501" s="42">
        <v>1</v>
      </c>
      <c r="E501" s="41">
        <v>5.1419169066227893E-5</v>
      </c>
    </row>
    <row r="502" spans="2:5" ht="15" customHeight="1">
      <c r="B502" s="92"/>
      <c r="C502" s="43" t="s">
        <v>150</v>
      </c>
      <c r="D502" s="42">
        <v>3</v>
      </c>
      <c r="E502" s="41">
        <v>1.5425750719868367E-4</v>
      </c>
    </row>
    <row r="503" spans="2:5" ht="15" customHeight="1">
      <c r="B503" s="93"/>
      <c r="C503" s="40" t="s">
        <v>20</v>
      </c>
      <c r="D503" s="39">
        <v>49</v>
      </c>
      <c r="E503" s="38">
        <v>2.5195392842451668E-3</v>
      </c>
    </row>
    <row r="504" spans="2:5" ht="15" customHeight="1">
      <c r="B504" s="91" t="s">
        <v>21</v>
      </c>
      <c r="C504" s="43" t="s">
        <v>152</v>
      </c>
      <c r="D504" s="42">
        <v>1</v>
      </c>
      <c r="E504" s="41">
        <v>5.1419169066227893E-5</v>
      </c>
    </row>
    <row r="505" spans="2:5" ht="15" customHeight="1">
      <c r="B505" s="92"/>
      <c r="C505" s="43" t="s">
        <v>148</v>
      </c>
      <c r="D505" s="42">
        <v>1</v>
      </c>
      <c r="E505" s="41">
        <v>5.1419169066227893E-5</v>
      </c>
    </row>
    <row r="506" spans="2:5" ht="15" customHeight="1">
      <c r="B506" s="93"/>
      <c r="C506" s="40" t="s">
        <v>20</v>
      </c>
      <c r="D506" s="39">
        <v>2</v>
      </c>
      <c r="E506" s="38">
        <v>1.0283833813245579E-4</v>
      </c>
    </row>
    <row r="507" spans="2:5" ht="15" customHeight="1">
      <c r="B507" s="91" t="s">
        <v>36</v>
      </c>
      <c r="C507" s="43" t="s">
        <v>135</v>
      </c>
      <c r="D507" s="42">
        <v>4</v>
      </c>
      <c r="E507" s="41">
        <v>2.0567667626491157E-4</v>
      </c>
    </row>
    <row r="508" spans="2:5" ht="15" customHeight="1">
      <c r="B508" s="92"/>
      <c r="C508" s="43" t="s">
        <v>152</v>
      </c>
      <c r="D508" s="42">
        <v>1</v>
      </c>
      <c r="E508" s="41">
        <v>5.1419169066227893E-5</v>
      </c>
    </row>
    <row r="509" spans="2:5" ht="15" customHeight="1">
      <c r="B509" s="92"/>
      <c r="C509" s="43" t="s">
        <v>156</v>
      </c>
      <c r="D509" s="42">
        <v>1</v>
      </c>
      <c r="E509" s="41">
        <v>5.1419169066227893E-5</v>
      </c>
    </row>
    <row r="510" spans="2:5" ht="15" customHeight="1">
      <c r="B510" s="92"/>
      <c r="C510" s="43" t="s">
        <v>148</v>
      </c>
      <c r="D510" s="42">
        <v>4</v>
      </c>
      <c r="E510" s="41">
        <v>2.0567667626491157E-4</v>
      </c>
    </row>
    <row r="511" spans="2:5" ht="15" customHeight="1">
      <c r="B511" s="92"/>
      <c r="C511" s="43" t="s">
        <v>145</v>
      </c>
      <c r="D511" s="42">
        <v>1</v>
      </c>
      <c r="E511" s="41">
        <v>5.1419169066227893E-5</v>
      </c>
    </row>
    <row r="512" spans="2:5" ht="15" customHeight="1">
      <c r="B512" s="92"/>
      <c r="C512" s="43" t="s">
        <v>123</v>
      </c>
      <c r="D512" s="42">
        <v>1</v>
      </c>
      <c r="E512" s="41">
        <v>5.1419169066227893E-5</v>
      </c>
    </row>
    <row r="513" spans="2:5" ht="15" customHeight="1">
      <c r="B513" s="92"/>
      <c r="C513" s="43" t="s">
        <v>159</v>
      </c>
      <c r="D513" s="42">
        <v>8</v>
      </c>
      <c r="E513" s="41">
        <v>4.1135335252982314E-4</v>
      </c>
    </row>
    <row r="514" spans="2:5" ht="15" customHeight="1">
      <c r="B514" s="92"/>
      <c r="C514" s="43" t="s">
        <v>157</v>
      </c>
      <c r="D514" s="42">
        <v>4</v>
      </c>
      <c r="E514" s="41">
        <v>2.0567667626491157E-4</v>
      </c>
    </row>
    <row r="515" spans="2:5" ht="15" customHeight="1">
      <c r="B515" s="92"/>
      <c r="C515" s="43" t="s">
        <v>158</v>
      </c>
      <c r="D515" s="42">
        <v>3</v>
      </c>
      <c r="E515" s="41">
        <v>1.5425750719868367E-4</v>
      </c>
    </row>
    <row r="516" spans="2:5" ht="15" customHeight="1">
      <c r="B516" s="92"/>
      <c r="C516" s="43" t="s">
        <v>154</v>
      </c>
      <c r="D516" s="42">
        <v>2</v>
      </c>
      <c r="E516" s="41">
        <v>1.0283833813245579E-4</v>
      </c>
    </row>
    <row r="517" spans="2:5" ht="15" customHeight="1">
      <c r="B517" s="92"/>
      <c r="C517" s="43" t="s">
        <v>149</v>
      </c>
      <c r="D517" s="42">
        <v>2</v>
      </c>
      <c r="E517" s="41">
        <v>1.0283833813245579E-4</v>
      </c>
    </row>
    <row r="518" spans="2:5" ht="15" customHeight="1">
      <c r="B518" s="92"/>
      <c r="C518" s="43" t="s">
        <v>144</v>
      </c>
      <c r="D518" s="42">
        <v>1</v>
      </c>
      <c r="E518" s="41">
        <v>5.1419169066227893E-5</v>
      </c>
    </row>
    <row r="519" spans="2:5" ht="15" customHeight="1">
      <c r="B519" s="92"/>
      <c r="C519" s="43" t="s">
        <v>155</v>
      </c>
      <c r="D519" s="42">
        <v>8</v>
      </c>
      <c r="E519" s="41">
        <v>4.1135335252982314E-4</v>
      </c>
    </row>
    <row r="520" spans="2:5" ht="15" customHeight="1">
      <c r="B520" s="92"/>
      <c r="C520" s="43" t="s">
        <v>151</v>
      </c>
      <c r="D520" s="42">
        <v>1</v>
      </c>
      <c r="E520" s="41">
        <v>5.1419169066227893E-5</v>
      </c>
    </row>
    <row r="521" spans="2:5" ht="15" customHeight="1">
      <c r="B521" s="92"/>
      <c r="C521" s="43" t="s">
        <v>153</v>
      </c>
      <c r="D521" s="42">
        <v>1</v>
      </c>
      <c r="E521" s="41">
        <v>5.1419169066227893E-5</v>
      </c>
    </row>
    <row r="522" spans="2:5" ht="15" customHeight="1">
      <c r="B522" s="92"/>
      <c r="C522" s="43" t="s">
        <v>150</v>
      </c>
      <c r="D522" s="42">
        <v>1</v>
      </c>
      <c r="E522" s="41">
        <v>5.1419169066227893E-5</v>
      </c>
    </row>
    <row r="523" spans="2:5" ht="15" customHeight="1">
      <c r="B523" s="93"/>
      <c r="C523" s="40" t="s">
        <v>20</v>
      </c>
      <c r="D523" s="39">
        <v>43</v>
      </c>
      <c r="E523" s="38">
        <v>2.2110242698477993E-3</v>
      </c>
    </row>
    <row r="524" spans="2:5" ht="15" customHeight="1">
      <c r="B524" s="91" t="s">
        <v>33</v>
      </c>
      <c r="C524" s="43" t="s">
        <v>152</v>
      </c>
      <c r="D524" s="42">
        <v>2</v>
      </c>
      <c r="E524" s="41">
        <v>1.0283833813245579E-4</v>
      </c>
    </row>
    <row r="525" spans="2:5" ht="15" customHeight="1">
      <c r="B525" s="92"/>
      <c r="C525" s="43" t="s">
        <v>126</v>
      </c>
      <c r="D525" s="42">
        <v>1</v>
      </c>
      <c r="E525" s="41">
        <v>5.1419169066227893E-5</v>
      </c>
    </row>
    <row r="526" spans="2:5" ht="15" customHeight="1">
      <c r="B526" s="92"/>
      <c r="C526" s="43" t="s">
        <v>159</v>
      </c>
      <c r="D526" s="42">
        <v>4</v>
      </c>
      <c r="E526" s="41">
        <v>2.0567667626491157E-4</v>
      </c>
    </row>
    <row r="527" spans="2:5" ht="15" customHeight="1">
      <c r="B527" s="92"/>
      <c r="C527" s="43" t="s">
        <v>157</v>
      </c>
      <c r="D527" s="42">
        <v>1</v>
      </c>
      <c r="E527" s="41">
        <v>5.1419169066227893E-5</v>
      </c>
    </row>
    <row r="528" spans="2:5" ht="15" customHeight="1">
      <c r="B528" s="92"/>
      <c r="C528" s="43" t="s">
        <v>141</v>
      </c>
      <c r="D528" s="42">
        <v>1</v>
      </c>
      <c r="E528" s="41">
        <v>5.1419169066227893E-5</v>
      </c>
    </row>
    <row r="529" spans="2:5" ht="15" customHeight="1">
      <c r="B529" s="92"/>
      <c r="C529" s="43" t="s">
        <v>158</v>
      </c>
      <c r="D529" s="42">
        <v>5</v>
      </c>
      <c r="E529" s="41">
        <v>2.5709584533113944E-4</v>
      </c>
    </row>
    <row r="530" spans="2:5" ht="15" customHeight="1">
      <c r="B530" s="92"/>
      <c r="C530" s="43" t="s">
        <v>154</v>
      </c>
      <c r="D530" s="42">
        <v>2</v>
      </c>
      <c r="E530" s="41">
        <v>1.0283833813245579E-4</v>
      </c>
    </row>
    <row r="531" spans="2:5" ht="15" customHeight="1">
      <c r="B531" s="92"/>
      <c r="C531" s="43" t="s">
        <v>155</v>
      </c>
      <c r="D531" s="42">
        <v>5</v>
      </c>
      <c r="E531" s="41">
        <v>2.5709584533113944E-4</v>
      </c>
    </row>
    <row r="532" spans="2:5" ht="15" customHeight="1">
      <c r="B532" s="92"/>
      <c r="C532" s="43" t="s">
        <v>150</v>
      </c>
      <c r="D532" s="42">
        <v>1</v>
      </c>
      <c r="E532" s="41">
        <v>5.1419169066227893E-5</v>
      </c>
    </row>
    <row r="533" spans="2:5" ht="15" customHeight="1">
      <c r="B533" s="92"/>
      <c r="C533" s="43" t="s">
        <v>138</v>
      </c>
      <c r="D533" s="42">
        <v>1</v>
      </c>
      <c r="E533" s="41">
        <v>5.1419169066227893E-5</v>
      </c>
    </row>
    <row r="534" spans="2:5" ht="15" customHeight="1">
      <c r="B534" s="93"/>
      <c r="C534" s="40" t="s">
        <v>20</v>
      </c>
      <c r="D534" s="39">
        <v>23</v>
      </c>
      <c r="E534" s="38">
        <v>1.1826408885232415E-3</v>
      </c>
    </row>
    <row r="535" spans="2:5" ht="15" customHeight="1">
      <c r="B535" s="91" t="s">
        <v>41</v>
      </c>
      <c r="C535" s="43" t="s">
        <v>143</v>
      </c>
      <c r="D535" s="42">
        <v>1</v>
      </c>
      <c r="E535" s="41">
        <v>5.1419169066227893E-5</v>
      </c>
    </row>
    <row r="536" spans="2:5" ht="15" customHeight="1">
      <c r="B536" s="92"/>
      <c r="C536" s="43" t="s">
        <v>142</v>
      </c>
      <c r="D536" s="42">
        <v>1</v>
      </c>
      <c r="E536" s="41">
        <v>5.1419169066227893E-5</v>
      </c>
    </row>
    <row r="537" spans="2:5" ht="15" customHeight="1">
      <c r="B537" s="92"/>
      <c r="C537" s="43" t="s">
        <v>152</v>
      </c>
      <c r="D537" s="42">
        <v>3</v>
      </c>
      <c r="E537" s="41">
        <v>1.5425750719868367E-4</v>
      </c>
    </row>
    <row r="538" spans="2:5" ht="15" customHeight="1">
      <c r="B538" s="92"/>
      <c r="C538" s="43" t="s">
        <v>156</v>
      </c>
      <c r="D538" s="42">
        <v>5</v>
      </c>
      <c r="E538" s="41">
        <v>2.5709584533113944E-4</v>
      </c>
    </row>
    <row r="539" spans="2:5" ht="15" customHeight="1">
      <c r="B539" s="92"/>
      <c r="C539" s="43" t="s">
        <v>148</v>
      </c>
      <c r="D539" s="42">
        <v>1</v>
      </c>
      <c r="E539" s="41">
        <v>5.1419169066227893E-5</v>
      </c>
    </row>
    <row r="540" spans="2:5" ht="15" customHeight="1">
      <c r="B540" s="92"/>
      <c r="C540" s="43" t="s">
        <v>123</v>
      </c>
      <c r="D540" s="42">
        <v>1</v>
      </c>
      <c r="E540" s="41">
        <v>5.1419169066227893E-5</v>
      </c>
    </row>
    <row r="541" spans="2:5" ht="15" customHeight="1">
      <c r="B541" s="92"/>
      <c r="C541" s="43" t="s">
        <v>159</v>
      </c>
      <c r="D541" s="42">
        <v>10</v>
      </c>
      <c r="E541" s="41">
        <v>5.1419169066227888E-4</v>
      </c>
    </row>
    <row r="542" spans="2:5" ht="15" customHeight="1">
      <c r="B542" s="92"/>
      <c r="C542" s="43" t="s">
        <v>157</v>
      </c>
      <c r="D542" s="42">
        <v>2</v>
      </c>
      <c r="E542" s="41">
        <v>1.0283833813245579E-4</v>
      </c>
    </row>
    <row r="543" spans="2:5" ht="15" customHeight="1">
      <c r="B543" s="92"/>
      <c r="C543" s="43" t="s">
        <v>158</v>
      </c>
      <c r="D543" s="42">
        <v>5</v>
      </c>
      <c r="E543" s="41">
        <v>2.5709584533113944E-4</v>
      </c>
    </row>
    <row r="544" spans="2:5" ht="15" customHeight="1">
      <c r="B544" s="92"/>
      <c r="C544" s="43" t="s">
        <v>149</v>
      </c>
      <c r="D544" s="42">
        <v>5</v>
      </c>
      <c r="E544" s="41">
        <v>2.5709584533113944E-4</v>
      </c>
    </row>
    <row r="545" spans="2:5" ht="15" customHeight="1">
      <c r="B545" s="92"/>
      <c r="C545" s="43" t="s">
        <v>155</v>
      </c>
      <c r="D545" s="42">
        <v>8</v>
      </c>
      <c r="E545" s="41">
        <v>4.1135335252982314E-4</v>
      </c>
    </row>
    <row r="546" spans="2:5" ht="15" customHeight="1">
      <c r="B546" s="92"/>
      <c r="C546" s="43" t="s">
        <v>151</v>
      </c>
      <c r="D546" s="42">
        <v>1</v>
      </c>
      <c r="E546" s="41">
        <v>5.1419169066227893E-5</v>
      </c>
    </row>
    <row r="547" spans="2:5" ht="15" customHeight="1">
      <c r="B547" s="92"/>
      <c r="C547" s="43" t="s">
        <v>153</v>
      </c>
      <c r="D547" s="42">
        <v>1</v>
      </c>
      <c r="E547" s="41">
        <v>5.1419169066227893E-5</v>
      </c>
    </row>
    <row r="548" spans="2:5" ht="15" customHeight="1">
      <c r="B548" s="92"/>
      <c r="C548" s="43" t="s">
        <v>150</v>
      </c>
      <c r="D548" s="42">
        <v>1</v>
      </c>
      <c r="E548" s="41">
        <v>5.1419169066227893E-5</v>
      </c>
    </row>
    <row r="549" spans="2:5" ht="15" customHeight="1">
      <c r="B549" s="92"/>
      <c r="C549" s="43" t="s">
        <v>138</v>
      </c>
      <c r="D549" s="42">
        <v>1</v>
      </c>
      <c r="E549" s="41">
        <v>5.1419169066227893E-5</v>
      </c>
    </row>
    <row r="550" spans="2:5" ht="15" customHeight="1">
      <c r="B550" s="93"/>
      <c r="C550" s="40" t="s">
        <v>20</v>
      </c>
      <c r="D550" s="39">
        <v>46</v>
      </c>
      <c r="E550" s="38">
        <v>2.365281777046483E-3</v>
      </c>
    </row>
    <row r="551" spans="2:5" ht="15" customHeight="1">
      <c r="B551" s="91" t="s">
        <v>60</v>
      </c>
      <c r="C551" s="43" t="s">
        <v>139</v>
      </c>
      <c r="D551" s="42">
        <v>6</v>
      </c>
      <c r="E551" s="41">
        <v>3.0851501439736734E-4</v>
      </c>
    </row>
    <row r="552" spans="2:5" ht="15" customHeight="1">
      <c r="B552" s="92"/>
      <c r="C552" s="43" t="s">
        <v>143</v>
      </c>
      <c r="D552" s="42">
        <v>11</v>
      </c>
      <c r="E552" s="41">
        <v>5.6561085972850684E-4</v>
      </c>
    </row>
    <row r="553" spans="2:5" ht="15" customHeight="1">
      <c r="B553" s="92"/>
      <c r="C553" s="43" t="s">
        <v>146</v>
      </c>
      <c r="D553" s="42">
        <v>12</v>
      </c>
      <c r="E553" s="41">
        <v>6.1703002879473468E-4</v>
      </c>
    </row>
    <row r="554" spans="2:5" ht="15" customHeight="1">
      <c r="B554" s="92"/>
      <c r="C554" s="43" t="s">
        <v>130</v>
      </c>
      <c r="D554" s="42">
        <v>8</v>
      </c>
      <c r="E554" s="41">
        <v>4.1135335252982314E-4</v>
      </c>
    </row>
    <row r="555" spans="2:5" ht="15" customHeight="1">
      <c r="B555" s="92"/>
      <c r="C555" s="43" t="s">
        <v>135</v>
      </c>
      <c r="D555" s="42">
        <v>2</v>
      </c>
      <c r="E555" s="41">
        <v>1.0283833813245579E-4</v>
      </c>
    </row>
    <row r="556" spans="2:5" ht="15" customHeight="1">
      <c r="B556" s="92"/>
      <c r="C556" s="43" t="s">
        <v>118</v>
      </c>
      <c r="D556" s="42">
        <v>1</v>
      </c>
      <c r="E556" s="41">
        <v>5.1419169066227893E-5</v>
      </c>
    </row>
    <row r="557" spans="2:5" ht="15" customHeight="1">
      <c r="B557" s="92"/>
      <c r="C557" s="43" t="s">
        <v>152</v>
      </c>
      <c r="D557" s="42">
        <v>35</v>
      </c>
      <c r="E557" s="41">
        <v>1.7996709173179761E-3</v>
      </c>
    </row>
    <row r="558" spans="2:5" ht="15" customHeight="1">
      <c r="B558" s="92"/>
      <c r="C558" s="43" t="s">
        <v>119</v>
      </c>
      <c r="D558" s="42">
        <v>1</v>
      </c>
      <c r="E558" s="41">
        <v>5.1419169066227893E-5</v>
      </c>
    </row>
    <row r="559" spans="2:5" ht="15" customHeight="1">
      <c r="B559" s="92"/>
      <c r="C559" s="43" t="s">
        <v>156</v>
      </c>
      <c r="D559" s="42">
        <v>75</v>
      </c>
      <c r="E559" s="41">
        <v>3.8564376799670916E-3</v>
      </c>
    </row>
    <row r="560" spans="2:5" ht="15" customHeight="1">
      <c r="B560" s="92"/>
      <c r="C560" s="43" t="s">
        <v>128</v>
      </c>
      <c r="D560" s="42">
        <v>2</v>
      </c>
      <c r="E560" s="41">
        <v>1.0283833813245579E-4</v>
      </c>
    </row>
    <row r="561" spans="2:5" ht="15" customHeight="1">
      <c r="B561" s="92"/>
      <c r="C561" s="43" t="s">
        <v>148</v>
      </c>
      <c r="D561" s="42">
        <v>28</v>
      </c>
      <c r="E561" s="41">
        <v>1.439736733854381E-3</v>
      </c>
    </row>
    <row r="562" spans="2:5" ht="15" customHeight="1">
      <c r="B562" s="92"/>
      <c r="C562" s="43" t="s">
        <v>126</v>
      </c>
      <c r="D562" s="42">
        <v>3</v>
      </c>
      <c r="E562" s="41">
        <v>1.5425750719868367E-4</v>
      </c>
    </row>
    <row r="563" spans="2:5" ht="15" customHeight="1">
      <c r="B563" s="92"/>
      <c r="C563" s="43" t="s">
        <v>124</v>
      </c>
      <c r="D563" s="42">
        <v>1</v>
      </c>
      <c r="E563" s="41">
        <v>5.1419169066227893E-5</v>
      </c>
    </row>
    <row r="564" spans="2:5" ht="15" customHeight="1">
      <c r="B564" s="92"/>
      <c r="C564" s="43" t="s">
        <v>133</v>
      </c>
      <c r="D564" s="42">
        <v>3</v>
      </c>
      <c r="E564" s="41">
        <v>1.5425750719868367E-4</v>
      </c>
    </row>
    <row r="565" spans="2:5" ht="15" customHeight="1">
      <c r="B565" s="92"/>
      <c r="C565" s="43" t="s">
        <v>132</v>
      </c>
      <c r="D565" s="42">
        <v>2</v>
      </c>
      <c r="E565" s="41">
        <v>1.0283833813245579E-4</v>
      </c>
    </row>
    <row r="566" spans="2:5" ht="15" customHeight="1">
      <c r="B566" s="92"/>
      <c r="C566" s="43" t="s">
        <v>140</v>
      </c>
      <c r="D566" s="42">
        <v>8</v>
      </c>
      <c r="E566" s="41">
        <v>4.1135335252982314E-4</v>
      </c>
    </row>
    <row r="567" spans="2:5" ht="15" customHeight="1">
      <c r="B567" s="92"/>
      <c r="C567" s="43" t="s">
        <v>159</v>
      </c>
      <c r="D567" s="42">
        <v>54</v>
      </c>
      <c r="E567" s="41">
        <v>2.7766351295763062E-3</v>
      </c>
    </row>
    <row r="568" spans="2:5" ht="15" customHeight="1">
      <c r="B568" s="92"/>
      <c r="C568" s="43" t="s">
        <v>125</v>
      </c>
      <c r="D568" s="42">
        <v>2</v>
      </c>
      <c r="E568" s="41">
        <v>1.0283833813245579E-4</v>
      </c>
    </row>
    <row r="569" spans="2:5" ht="15" customHeight="1">
      <c r="B569" s="92"/>
      <c r="C569" s="43" t="s">
        <v>147</v>
      </c>
      <c r="D569" s="42">
        <v>2</v>
      </c>
      <c r="E569" s="41">
        <v>1.0283833813245579E-4</v>
      </c>
    </row>
    <row r="570" spans="2:5" ht="15" customHeight="1">
      <c r="B570" s="92"/>
      <c r="C570" s="43" t="s">
        <v>121</v>
      </c>
      <c r="D570" s="42">
        <v>1</v>
      </c>
      <c r="E570" s="41">
        <v>5.1419169066227893E-5</v>
      </c>
    </row>
    <row r="571" spans="2:5" ht="15" customHeight="1">
      <c r="B571" s="92"/>
      <c r="C571" s="43" t="s">
        <v>157</v>
      </c>
      <c r="D571" s="42">
        <v>26</v>
      </c>
      <c r="E571" s="41">
        <v>1.3368983957219251E-3</v>
      </c>
    </row>
    <row r="572" spans="2:5" ht="15" customHeight="1">
      <c r="B572" s="92"/>
      <c r="C572" s="43" t="s">
        <v>120</v>
      </c>
      <c r="D572" s="42">
        <v>2</v>
      </c>
      <c r="E572" s="41">
        <v>1.0283833813245579E-4</v>
      </c>
    </row>
    <row r="573" spans="2:5" ht="15" customHeight="1">
      <c r="B573" s="92"/>
      <c r="C573" s="43" t="s">
        <v>141</v>
      </c>
      <c r="D573" s="42">
        <v>16</v>
      </c>
      <c r="E573" s="41">
        <v>8.2270670505964628E-4</v>
      </c>
    </row>
    <row r="574" spans="2:5" ht="15" customHeight="1">
      <c r="B574" s="92"/>
      <c r="C574" s="43" t="s">
        <v>134</v>
      </c>
      <c r="D574" s="42">
        <v>1</v>
      </c>
      <c r="E574" s="41">
        <v>5.1419169066227893E-5</v>
      </c>
    </row>
    <row r="575" spans="2:5" ht="15" customHeight="1">
      <c r="B575" s="92"/>
      <c r="C575" s="43" t="s">
        <v>158</v>
      </c>
      <c r="D575" s="42">
        <v>43</v>
      </c>
      <c r="E575" s="41">
        <v>2.2110242698477993E-3</v>
      </c>
    </row>
    <row r="576" spans="2:5" ht="15" customHeight="1">
      <c r="B576" s="92"/>
      <c r="C576" s="43" t="s">
        <v>154</v>
      </c>
      <c r="D576" s="42">
        <v>16</v>
      </c>
      <c r="E576" s="41">
        <v>8.2270670505964628E-4</v>
      </c>
    </row>
    <row r="577" spans="2:5" ht="15" customHeight="1">
      <c r="B577" s="92"/>
      <c r="C577" s="43" t="s">
        <v>131</v>
      </c>
      <c r="D577" s="42">
        <v>5</v>
      </c>
      <c r="E577" s="41">
        <v>2.5709584533113944E-4</v>
      </c>
    </row>
    <row r="578" spans="2:5" ht="15" customHeight="1">
      <c r="B578" s="92"/>
      <c r="C578" s="43" t="s">
        <v>149</v>
      </c>
      <c r="D578" s="42">
        <v>11</v>
      </c>
      <c r="E578" s="41">
        <v>5.6561085972850684E-4</v>
      </c>
    </row>
    <row r="579" spans="2:5" ht="15" customHeight="1">
      <c r="B579" s="92"/>
      <c r="C579" s="43" t="s">
        <v>144</v>
      </c>
      <c r="D579" s="42">
        <v>5</v>
      </c>
      <c r="E579" s="41">
        <v>2.5709584533113944E-4</v>
      </c>
    </row>
    <row r="580" spans="2:5" ht="15" customHeight="1">
      <c r="B580" s="92"/>
      <c r="C580" s="43" t="s">
        <v>155</v>
      </c>
      <c r="D580" s="42">
        <v>68</v>
      </c>
      <c r="E580" s="41">
        <v>3.4965034965034965E-3</v>
      </c>
    </row>
    <row r="581" spans="2:5" ht="15" customHeight="1">
      <c r="B581" s="92"/>
      <c r="C581" s="43" t="s">
        <v>151</v>
      </c>
      <c r="D581" s="42">
        <v>32</v>
      </c>
      <c r="E581" s="41">
        <v>1.6454134101192926E-3</v>
      </c>
    </row>
    <row r="582" spans="2:5" ht="15" customHeight="1">
      <c r="B582" s="92"/>
      <c r="C582" s="43" t="s">
        <v>153</v>
      </c>
      <c r="D582" s="42">
        <v>11</v>
      </c>
      <c r="E582" s="41">
        <v>5.6561085972850684E-4</v>
      </c>
    </row>
    <row r="583" spans="2:5" ht="15" customHeight="1">
      <c r="B583" s="92"/>
      <c r="C583" s="43" t="s">
        <v>150</v>
      </c>
      <c r="D583" s="42">
        <v>12</v>
      </c>
      <c r="E583" s="41">
        <v>6.1703002879473468E-4</v>
      </c>
    </row>
    <row r="584" spans="2:5" ht="15" customHeight="1">
      <c r="B584" s="92"/>
      <c r="C584" s="43" t="s">
        <v>127</v>
      </c>
      <c r="D584" s="42">
        <v>1</v>
      </c>
      <c r="E584" s="41">
        <v>5.1419169066227893E-5</v>
      </c>
    </row>
    <row r="585" spans="2:5" ht="15" customHeight="1">
      <c r="B585" s="92"/>
      <c r="C585" s="43" t="s">
        <v>138</v>
      </c>
      <c r="D585" s="42">
        <v>6</v>
      </c>
      <c r="E585" s="41">
        <v>3.0851501439736734E-4</v>
      </c>
    </row>
    <row r="586" spans="2:5" ht="15" customHeight="1">
      <c r="B586" s="93"/>
      <c r="C586" s="40" t="s">
        <v>20</v>
      </c>
      <c r="D586" s="39">
        <v>512</v>
      </c>
      <c r="E586" s="38">
        <v>2.6326614561908681E-2</v>
      </c>
    </row>
    <row r="587" spans="2:5" ht="15" customHeight="1">
      <c r="B587" s="91" t="s">
        <v>22</v>
      </c>
      <c r="C587" s="43" t="s">
        <v>158</v>
      </c>
      <c r="D587" s="42">
        <v>1</v>
      </c>
      <c r="E587" s="41">
        <v>5.1419169066227893E-5</v>
      </c>
    </row>
    <row r="588" spans="2:5" ht="15" customHeight="1">
      <c r="B588" s="93"/>
      <c r="C588" s="40" t="s">
        <v>20</v>
      </c>
      <c r="D588" s="39">
        <v>1</v>
      </c>
      <c r="E588" s="38">
        <v>5.1419169066227893E-5</v>
      </c>
    </row>
    <row r="589" spans="2:5" ht="15" customHeight="1">
      <c r="B589" s="91" t="s">
        <v>48</v>
      </c>
      <c r="C589" s="43" t="s">
        <v>139</v>
      </c>
      <c r="D589" s="42">
        <v>1</v>
      </c>
      <c r="E589" s="41">
        <v>5.1419169066227893E-5</v>
      </c>
    </row>
    <row r="590" spans="2:5" ht="15" customHeight="1">
      <c r="B590" s="92"/>
      <c r="C590" s="43" t="s">
        <v>143</v>
      </c>
      <c r="D590" s="42">
        <v>1</v>
      </c>
      <c r="E590" s="41">
        <v>5.1419169066227893E-5</v>
      </c>
    </row>
    <row r="591" spans="2:5" ht="15" customHeight="1">
      <c r="B591" s="92"/>
      <c r="C591" s="43" t="s">
        <v>146</v>
      </c>
      <c r="D591" s="42">
        <v>2</v>
      </c>
      <c r="E591" s="41">
        <v>1.0283833813245579E-4</v>
      </c>
    </row>
    <row r="592" spans="2:5" ht="15" customHeight="1">
      <c r="B592" s="92"/>
      <c r="C592" s="43" t="s">
        <v>130</v>
      </c>
      <c r="D592" s="42">
        <v>3</v>
      </c>
      <c r="E592" s="41">
        <v>1.5425750719868367E-4</v>
      </c>
    </row>
    <row r="593" spans="2:5" ht="15" customHeight="1">
      <c r="B593" s="92"/>
      <c r="C593" s="43" t="s">
        <v>135</v>
      </c>
      <c r="D593" s="42">
        <v>4</v>
      </c>
      <c r="E593" s="41">
        <v>2.0567667626491157E-4</v>
      </c>
    </row>
    <row r="594" spans="2:5" ht="15" customHeight="1">
      <c r="B594" s="92"/>
      <c r="C594" s="43" t="s">
        <v>152</v>
      </c>
      <c r="D594" s="42">
        <v>3</v>
      </c>
      <c r="E594" s="41">
        <v>1.5425750719868367E-4</v>
      </c>
    </row>
    <row r="595" spans="2:5" ht="15" customHeight="1">
      <c r="B595" s="92"/>
      <c r="C595" s="43" t="s">
        <v>156</v>
      </c>
      <c r="D595" s="42">
        <v>13</v>
      </c>
      <c r="E595" s="41">
        <v>6.6844919786096253E-4</v>
      </c>
    </row>
    <row r="596" spans="2:5" ht="15" customHeight="1">
      <c r="B596" s="92"/>
      <c r="C596" s="43" t="s">
        <v>128</v>
      </c>
      <c r="D596" s="42">
        <v>1</v>
      </c>
      <c r="E596" s="41">
        <v>5.1419169066227893E-5</v>
      </c>
    </row>
    <row r="597" spans="2:5" ht="15" customHeight="1">
      <c r="B597" s="92"/>
      <c r="C597" s="43" t="s">
        <v>148</v>
      </c>
      <c r="D597" s="42">
        <v>3</v>
      </c>
      <c r="E597" s="41">
        <v>1.5425750719868367E-4</v>
      </c>
    </row>
    <row r="598" spans="2:5" ht="15" customHeight="1">
      <c r="B598" s="92"/>
      <c r="C598" s="43" t="s">
        <v>126</v>
      </c>
      <c r="D598" s="42">
        <v>1</v>
      </c>
      <c r="E598" s="41">
        <v>5.1419169066227893E-5</v>
      </c>
    </row>
    <row r="599" spans="2:5" ht="15" customHeight="1">
      <c r="B599" s="92"/>
      <c r="C599" s="43" t="s">
        <v>140</v>
      </c>
      <c r="D599" s="42">
        <v>1</v>
      </c>
      <c r="E599" s="41">
        <v>5.1419169066227893E-5</v>
      </c>
    </row>
    <row r="600" spans="2:5" ht="15" customHeight="1">
      <c r="B600" s="92"/>
      <c r="C600" s="43" t="s">
        <v>159</v>
      </c>
      <c r="D600" s="42">
        <v>14</v>
      </c>
      <c r="E600" s="41">
        <v>7.1986836692719048E-4</v>
      </c>
    </row>
    <row r="601" spans="2:5" ht="15" customHeight="1">
      <c r="B601" s="92"/>
      <c r="C601" s="43" t="s">
        <v>157</v>
      </c>
      <c r="D601" s="42">
        <v>2</v>
      </c>
      <c r="E601" s="41">
        <v>1.0283833813245579E-4</v>
      </c>
    </row>
    <row r="602" spans="2:5" ht="15" customHeight="1">
      <c r="B602" s="92"/>
      <c r="C602" s="43" t="s">
        <v>120</v>
      </c>
      <c r="D602" s="42">
        <v>1</v>
      </c>
      <c r="E602" s="41">
        <v>5.1419169066227893E-5</v>
      </c>
    </row>
    <row r="603" spans="2:5" ht="15" customHeight="1">
      <c r="B603" s="92"/>
      <c r="C603" s="43" t="s">
        <v>141</v>
      </c>
      <c r="D603" s="42">
        <v>4</v>
      </c>
      <c r="E603" s="41">
        <v>2.0567667626491157E-4</v>
      </c>
    </row>
    <row r="604" spans="2:5" ht="15" customHeight="1">
      <c r="B604" s="92"/>
      <c r="C604" s="43" t="s">
        <v>158</v>
      </c>
      <c r="D604" s="42">
        <v>7</v>
      </c>
      <c r="E604" s="41">
        <v>3.5993418346359524E-4</v>
      </c>
    </row>
    <row r="605" spans="2:5" ht="15" customHeight="1">
      <c r="B605" s="92"/>
      <c r="C605" s="43" t="s">
        <v>154</v>
      </c>
      <c r="D605" s="42">
        <v>2</v>
      </c>
      <c r="E605" s="41">
        <v>1.0283833813245579E-4</v>
      </c>
    </row>
    <row r="606" spans="2:5" ht="15" customHeight="1">
      <c r="B606" s="92"/>
      <c r="C606" s="43" t="s">
        <v>149</v>
      </c>
      <c r="D606" s="42">
        <v>3</v>
      </c>
      <c r="E606" s="41">
        <v>1.5425750719868367E-4</v>
      </c>
    </row>
    <row r="607" spans="2:5" ht="15" customHeight="1">
      <c r="B607" s="92"/>
      <c r="C607" s="43" t="s">
        <v>144</v>
      </c>
      <c r="D607" s="42">
        <v>14</v>
      </c>
      <c r="E607" s="41">
        <v>7.1986836692719048E-4</v>
      </c>
    </row>
    <row r="608" spans="2:5" ht="15" customHeight="1">
      <c r="B608" s="92"/>
      <c r="C608" s="43" t="s">
        <v>155</v>
      </c>
      <c r="D608" s="42">
        <v>5</v>
      </c>
      <c r="E608" s="41">
        <v>2.5709584533113944E-4</v>
      </c>
    </row>
    <row r="609" spans="2:5" ht="15" customHeight="1">
      <c r="B609" s="92"/>
      <c r="C609" s="43" t="s">
        <v>151</v>
      </c>
      <c r="D609" s="42">
        <v>1</v>
      </c>
      <c r="E609" s="41">
        <v>5.1419169066227893E-5</v>
      </c>
    </row>
    <row r="610" spans="2:5" ht="15" customHeight="1">
      <c r="B610" s="92"/>
      <c r="C610" s="43" t="s">
        <v>153</v>
      </c>
      <c r="D610" s="42">
        <v>6</v>
      </c>
      <c r="E610" s="41">
        <v>3.0851501439736734E-4</v>
      </c>
    </row>
    <row r="611" spans="2:5" ht="15" customHeight="1">
      <c r="B611" s="92"/>
      <c r="C611" s="43" t="s">
        <v>150</v>
      </c>
      <c r="D611" s="42">
        <v>6</v>
      </c>
      <c r="E611" s="41">
        <v>3.0851501439736734E-4</v>
      </c>
    </row>
    <row r="612" spans="2:5" ht="15" customHeight="1">
      <c r="B612" s="92"/>
      <c r="C612" s="43" t="s">
        <v>138</v>
      </c>
      <c r="D612" s="42">
        <v>2</v>
      </c>
      <c r="E612" s="41">
        <v>1.0283833813245579E-4</v>
      </c>
    </row>
    <row r="613" spans="2:5" ht="15" customHeight="1">
      <c r="B613" s="93"/>
      <c r="C613" s="40" t="s">
        <v>20</v>
      </c>
      <c r="D613" s="39">
        <v>100</v>
      </c>
      <c r="E613" s="38">
        <v>5.1419169066227888E-3</v>
      </c>
    </row>
    <row r="614" spans="2:5" ht="15" customHeight="1">
      <c r="B614" s="91" t="s">
        <v>58</v>
      </c>
      <c r="C614" s="43" t="s">
        <v>139</v>
      </c>
      <c r="D614" s="42">
        <v>1</v>
      </c>
      <c r="E614" s="41">
        <v>5.1419169066227893E-5</v>
      </c>
    </row>
    <row r="615" spans="2:5" ht="15" customHeight="1">
      <c r="B615" s="92"/>
      <c r="C615" s="43" t="s">
        <v>143</v>
      </c>
      <c r="D615" s="42">
        <v>2</v>
      </c>
      <c r="E615" s="41">
        <v>1.0283833813245579E-4</v>
      </c>
    </row>
    <row r="616" spans="2:5" ht="15" customHeight="1">
      <c r="B616" s="92"/>
      <c r="C616" s="43" t="s">
        <v>146</v>
      </c>
      <c r="D616" s="42">
        <v>1</v>
      </c>
      <c r="E616" s="41">
        <v>5.1419169066227893E-5</v>
      </c>
    </row>
    <row r="617" spans="2:5" ht="15" customHeight="1">
      <c r="B617" s="92"/>
      <c r="C617" s="43" t="s">
        <v>152</v>
      </c>
      <c r="D617" s="42">
        <v>21</v>
      </c>
      <c r="E617" s="41">
        <v>1.0798025503907856E-3</v>
      </c>
    </row>
    <row r="618" spans="2:5" ht="15" customHeight="1">
      <c r="B618" s="92"/>
      <c r="C618" s="43" t="s">
        <v>156</v>
      </c>
      <c r="D618" s="42">
        <v>8</v>
      </c>
      <c r="E618" s="41">
        <v>4.1135335252982314E-4</v>
      </c>
    </row>
    <row r="619" spans="2:5" ht="15" customHeight="1">
      <c r="B619" s="92"/>
      <c r="C619" s="43" t="s">
        <v>148</v>
      </c>
      <c r="D619" s="42">
        <v>3</v>
      </c>
      <c r="E619" s="41">
        <v>1.5425750719868367E-4</v>
      </c>
    </row>
    <row r="620" spans="2:5" ht="15" customHeight="1">
      <c r="B620" s="92"/>
      <c r="C620" s="43" t="s">
        <v>124</v>
      </c>
      <c r="D620" s="42">
        <v>1</v>
      </c>
      <c r="E620" s="41">
        <v>5.1419169066227893E-5</v>
      </c>
    </row>
    <row r="621" spans="2:5" ht="15" customHeight="1">
      <c r="B621" s="92"/>
      <c r="C621" s="43" t="s">
        <v>137</v>
      </c>
      <c r="D621" s="42">
        <v>1</v>
      </c>
      <c r="E621" s="41">
        <v>5.1419169066227893E-5</v>
      </c>
    </row>
    <row r="622" spans="2:5" ht="15" customHeight="1">
      <c r="B622" s="92"/>
      <c r="C622" s="43" t="s">
        <v>140</v>
      </c>
      <c r="D622" s="42">
        <v>1</v>
      </c>
      <c r="E622" s="41">
        <v>5.1419169066227893E-5</v>
      </c>
    </row>
    <row r="623" spans="2:5" ht="15" customHeight="1">
      <c r="B623" s="92"/>
      <c r="C623" s="43" t="s">
        <v>159</v>
      </c>
      <c r="D623" s="42">
        <v>31</v>
      </c>
      <c r="E623" s="41">
        <v>1.5939942410530645E-3</v>
      </c>
    </row>
    <row r="624" spans="2:5" ht="15" customHeight="1">
      <c r="B624" s="92"/>
      <c r="C624" s="43" t="s">
        <v>157</v>
      </c>
      <c r="D624" s="42">
        <v>15</v>
      </c>
      <c r="E624" s="41">
        <v>7.7128753599341833E-4</v>
      </c>
    </row>
    <row r="625" spans="2:5" ht="15" customHeight="1">
      <c r="B625" s="92"/>
      <c r="C625" s="43" t="s">
        <v>141</v>
      </c>
      <c r="D625" s="42">
        <v>18</v>
      </c>
      <c r="E625" s="41">
        <v>9.2554504319210197E-4</v>
      </c>
    </row>
    <row r="626" spans="2:5" ht="15" customHeight="1">
      <c r="B626" s="92"/>
      <c r="C626" s="43" t="s">
        <v>158</v>
      </c>
      <c r="D626" s="42">
        <v>19</v>
      </c>
      <c r="E626" s="41">
        <v>9.7696421225832992E-4</v>
      </c>
    </row>
    <row r="627" spans="2:5" ht="15" customHeight="1">
      <c r="B627" s="92"/>
      <c r="C627" s="43" t="s">
        <v>154</v>
      </c>
      <c r="D627" s="42">
        <v>7</v>
      </c>
      <c r="E627" s="41">
        <v>3.5993418346359524E-4</v>
      </c>
    </row>
    <row r="628" spans="2:5" ht="15" customHeight="1">
      <c r="B628" s="92"/>
      <c r="C628" s="43" t="s">
        <v>149</v>
      </c>
      <c r="D628" s="42">
        <v>3</v>
      </c>
      <c r="E628" s="41">
        <v>1.5425750719868367E-4</v>
      </c>
    </row>
    <row r="629" spans="2:5" ht="15" customHeight="1">
      <c r="B629" s="92"/>
      <c r="C629" s="43" t="s">
        <v>144</v>
      </c>
      <c r="D629" s="42">
        <v>2</v>
      </c>
      <c r="E629" s="41">
        <v>1.0283833813245579E-4</v>
      </c>
    </row>
    <row r="630" spans="2:5" ht="15" customHeight="1">
      <c r="B630" s="92"/>
      <c r="C630" s="43" t="s">
        <v>155</v>
      </c>
      <c r="D630" s="42">
        <v>16</v>
      </c>
      <c r="E630" s="41">
        <v>8.2270670505964628E-4</v>
      </c>
    </row>
    <row r="631" spans="2:5" ht="15" customHeight="1">
      <c r="B631" s="92"/>
      <c r="C631" s="43" t="s">
        <v>153</v>
      </c>
      <c r="D631" s="42">
        <v>8</v>
      </c>
      <c r="E631" s="41">
        <v>4.1135335252982314E-4</v>
      </c>
    </row>
    <row r="632" spans="2:5" ht="15" customHeight="1">
      <c r="B632" s="92"/>
      <c r="C632" s="43" t="s">
        <v>150</v>
      </c>
      <c r="D632" s="42">
        <v>5</v>
      </c>
      <c r="E632" s="41">
        <v>2.5709584533113944E-4</v>
      </c>
    </row>
    <row r="633" spans="2:5" ht="15" customHeight="1">
      <c r="B633" s="92"/>
      <c r="C633" s="43" t="s">
        <v>127</v>
      </c>
      <c r="D633" s="42">
        <v>1</v>
      </c>
      <c r="E633" s="41">
        <v>5.1419169066227893E-5</v>
      </c>
    </row>
    <row r="634" spans="2:5" ht="15" customHeight="1">
      <c r="B634" s="92"/>
      <c r="C634" s="43" t="s">
        <v>138</v>
      </c>
      <c r="D634" s="42">
        <v>3</v>
      </c>
      <c r="E634" s="41">
        <v>1.5425750719868367E-4</v>
      </c>
    </row>
    <row r="635" spans="2:5" ht="15" customHeight="1">
      <c r="B635" s="93"/>
      <c r="C635" s="40" t="s">
        <v>20</v>
      </c>
      <c r="D635" s="39">
        <v>167</v>
      </c>
      <c r="E635" s="38">
        <v>8.5870012340600581E-3</v>
      </c>
    </row>
    <row r="636" spans="2:5" ht="15" customHeight="1">
      <c r="B636" s="91" t="s">
        <v>28</v>
      </c>
      <c r="C636" s="43" t="s">
        <v>139</v>
      </c>
      <c r="D636" s="42">
        <v>1</v>
      </c>
      <c r="E636" s="41">
        <v>5.1419169066227893E-5</v>
      </c>
    </row>
    <row r="637" spans="2:5" ht="15" customHeight="1">
      <c r="B637" s="92"/>
      <c r="C637" s="43" t="s">
        <v>148</v>
      </c>
      <c r="D637" s="42">
        <v>1</v>
      </c>
      <c r="E637" s="41">
        <v>5.1419169066227893E-5</v>
      </c>
    </row>
    <row r="638" spans="2:5" ht="15" customHeight="1">
      <c r="B638" s="92"/>
      <c r="C638" s="43" t="s">
        <v>120</v>
      </c>
      <c r="D638" s="42">
        <v>1</v>
      </c>
      <c r="E638" s="41">
        <v>5.1419169066227893E-5</v>
      </c>
    </row>
    <row r="639" spans="2:5" ht="15" customHeight="1">
      <c r="B639" s="92"/>
      <c r="C639" s="43" t="s">
        <v>158</v>
      </c>
      <c r="D639" s="42">
        <v>1</v>
      </c>
      <c r="E639" s="41">
        <v>5.1419169066227893E-5</v>
      </c>
    </row>
    <row r="640" spans="2:5" ht="15" customHeight="1">
      <c r="B640" s="93"/>
      <c r="C640" s="40" t="s">
        <v>20</v>
      </c>
      <c r="D640" s="39">
        <v>4</v>
      </c>
      <c r="E640" s="38">
        <v>2.0567667626491157E-4</v>
      </c>
    </row>
    <row r="641" spans="2:5" ht="15" customHeight="1">
      <c r="B641" s="91" t="s">
        <v>32</v>
      </c>
      <c r="C641" s="43" t="s">
        <v>143</v>
      </c>
      <c r="D641" s="42">
        <v>2</v>
      </c>
      <c r="E641" s="41">
        <v>1.0283833813245579E-4</v>
      </c>
    </row>
    <row r="642" spans="2:5" ht="15" customHeight="1">
      <c r="B642" s="92"/>
      <c r="C642" s="43" t="s">
        <v>152</v>
      </c>
      <c r="D642" s="42">
        <v>2</v>
      </c>
      <c r="E642" s="41">
        <v>1.0283833813245579E-4</v>
      </c>
    </row>
    <row r="643" spans="2:5" ht="15" customHeight="1">
      <c r="B643" s="92"/>
      <c r="C643" s="43" t="s">
        <v>156</v>
      </c>
      <c r="D643" s="42">
        <v>1</v>
      </c>
      <c r="E643" s="41">
        <v>5.1419169066227893E-5</v>
      </c>
    </row>
    <row r="644" spans="2:5" ht="15" customHeight="1">
      <c r="B644" s="92"/>
      <c r="C644" s="43" t="s">
        <v>159</v>
      </c>
      <c r="D644" s="42">
        <v>4</v>
      </c>
      <c r="E644" s="41">
        <v>2.0567667626491157E-4</v>
      </c>
    </row>
    <row r="645" spans="2:5" ht="15" customHeight="1">
      <c r="B645" s="92"/>
      <c r="C645" s="43" t="s">
        <v>157</v>
      </c>
      <c r="D645" s="42">
        <v>1</v>
      </c>
      <c r="E645" s="41">
        <v>5.1419169066227893E-5</v>
      </c>
    </row>
    <row r="646" spans="2:5" ht="15" customHeight="1">
      <c r="B646" s="92"/>
      <c r="C646" s="43" t="s">
        <v>158</v>
      </c>
      <c r="D646" s="42">
        <v>3</v>
      </c>
      <c r="E646" s="41">
        <v>1.5425750719868367E-4</v>
      </c>
    </row>
    <row r="647" spans="2:5" ht="15" customHeight="1">
      <c r="B647" s="92"/>
      <c r="C647" s="43" t="s">
        <v>154</v>
      </c>
      <c r="D647" s="42">
        <v>3</v>
      </c>
      <c r="E647" s="41">
        <v>1.5425750719868367E-4</v>
      </c>
    </row>
    <row r="648" spans="2:5" ht="15" customHeight="1">
      <c r="B648" s="92"/>
      <c r="C648" s="43" t="s">
        <v>149</v>
      </c>
      <c r="D648" s="42">
        <v>2</v>
      </c>
      <c r="E648" s="41">
        <v>1.0283833813245579E-4</v>
      </c>
    </row>
    <row r="649" spans="2:5" ht="15" customHeight="1">
      <c r="B649" s="92"/>
      <c r="C649" s="43" t="s">
        <v>144</v>
      </c>
      <c r="D649" s="42">
        <v>1</v>
      </c>
      <c r="E649" s="41">
        <v>5.1419169066227893E-5</v>
      </c>
    </row>
    <row r="650" spans="2:5" ht="15" customHeight="1">
      <c r="B650" s="92"/>
      <c r="C650" s="43" t="s">
        <v>155</v>
      </c>
      <c r="D650" s="42">
        <v>2</v>
      </c>
      <c r="E650" s="41">
        <v>1.0283833813245579E-4</v>
      </c>
    </row>
    <row r="651" spans="2:5" ht="15" customHeight="1">
      <c r="B651" s="92"/>
      <c r="C651" s="43" t="s">
        <v>153</v>
      </c>
      <c r="D651" s="42">
        <v>4</v>
      </c>
      <c r="E651" s="41">
        <v>2.0567667626491157E-4</v>
      </c>
    </row>
    <row r="652" spans="2:5" ht="15" customHeight="1">
      <c r="B652" s="93"/>
      <c r="C652" s="40" t="s">
        <v>20</v>
      </c>
      <c r="D652" s="39">
        <v>25</v>
      </c>
      <c r="E652" s="38">
        <v>1.2854792266556972E-3</v>
      </c>
    </row>
    <row r="653" spans="2:5" ht="15" customHeight="1">
      <c r="B653" s="91" t="s">
        <v>25</v>
      </c>
      <c r="C653" s="43" t="s">
        <v>152</v>
      </c>
      <c r="D653" s="42">
        <v>1</v>
      </c>
      <c r="E653" s="41">
        <v>5.1419169066227893E-5</v>
      </c>
    </row>
    <row r="654" spans="2:5" ht="15" customHeight="1">
      <c r="B654" s="92"/>
      <c r="C654" s="43" t="s">
        <v>155</v>
      </c>
      <c r="D654" s="42">
        <v>3</v>
      </c>
      <c r="E654" s="41">
        <v>1.5425750719868367E-4</v>
      </c>
    </row>
    <row r="655" spans="2:5" ht="15" customHeight="1">
      <c r="B655" s="93"/>
      <c r="C655" s="40" t="s">
        <v>20</v>
      </c>
      <c r="D655" s="39">
        <v>4</v>
      </c>
      <c r="E655" s="38">
        <v>2.0567667626491157E-4</v>
      </c>
    </row>
    <row r="656" spans="2:5" ht="15" customHeight="1">
      <c r="B656" s="91" t="s">
        <v>52</v>
      </c>
      <c r="C656" s="43" t="s">
        <v>139</v>
      </c>
      <c r="D656" s="42">
        <v>2</v>
      </c>
      <c r="E656" s="41">
        <v>1.0283833813245579E-4</v>
      </c>
    </row>
    <row r="657" spans="2:5" ht="15" customHeight="1">
      <c r="B657" s="92"/>
      <c r="C657" s="43" t="s">
        <v>143</v>
      </c>
      <c r="D657" s="42">
        <v>2</v>
      </c>
      <c r="E657" s="41">
        <v>1.0283833813245579E-4</v>
      </c>
    </row>
    <row r="658" spans="2:5" ht="15" customHeight="1">
      <c r="B658" s="92"/>
      <c r="C658" s="43" t="s">
        <v>146</v>
      </c>
      <c r="D658" s="42">
        <v>3</v>
      </c>
      <c r="E658" s="41">
        <v>1.5425750719868367E-4</v>
      </c>
    </row>
    <row r="659" spans="2:5" ht="15" customHeight="1">
      <c r="B659" s="92"/>
      <c r="C659" s="43" t="s">
        <v>130</v>
      </c>
      <c r="D659" s="42">
        <v>1</v>
      </c>
      <c r="E659" s="41">
        <v>5.1419169066227893E-5</v>
      </c>
    </row>
    <row r="660" spans="2:5" ht="15" customHeight="1">
      <c r="B660" s="92"/>
      <c r="C660" s="43" t="s">
        <v>135</v>
      </c>
      <c r="D660" s="42">
        <v>1</v>
      </c>
      <c r="E660" s="41">
        <v>5.1419169066227893E-5</v>
      </c>
    </row>
    <row r="661" spans="2:5" ht="15" customHeight="1">
      <c r="B661" s="92"/>
      <c r="C661" s="43" t="s">
        <v>152</v>
      </c>
      <c r="D661" s="42">
        <v>8</v>
      </c>
      <c r="E661" s="41">
        <v>4.1135335252982314E-4</v>
      </c>
    </row>
    <row r="662" spans="2:5" ht="15" customHeight="1">
      <c r="B662" s="92"/>
      <c r="C662" s="43" t="s">
        <v>156</v>
      </c>
      <c r="D662" s="42">
        <v>23</v>
      </c>
      <c r="E662" s="41">
        <v>1.1826408885232415E-3</v>
      </c>
    </row>
    <row r="663" spans="2:5" ht="15" customHeight="1">
      <c r="B663" s="92"/>
      <c r="C663" s="43" t="s">
        <v>148</v>
      </c>
      <c r="D663" s="42">
        <v>2</v>
      </c>
      <c r="E663" s="41">
        <v>1.0283833813245579E-4</v>
      </c>
    </row>
    <row r="664" spans="2:5" ht="15" customHeight="1">
      <c r="B664" s="92"/>
      <c r="C664" s="43" t="s">
        <v>145</v>
      </c>
      <c r="D664" s="42">
        <v>1</v>
      </c>
      <c r="E664" s="41">
        <v>5.1419169066227893E-5</v>
      </c>
    </row>
    <row r="665" spans="2:5" ht="15" customHeight="1">
      <c r="B665" s="92"/>
      <c r="C665" s="43" t="s">
        <v>137</v>
      </c>
      <c r="D665" s="42">
        <v>2</v>
      </c>
      <c r="E665" s="41">
        <v>1.0283833813245579E-4</v>
      </c>
    </row>
    <row r="666" spans="2:5" ht="15" customHeight="1">
      <c r="B666" s="92"/>
      <c r="C666" s="43" t="s">
        <v>140</v>
      </c>
      <c r="D666" s="42">
        <v>3</v>
      </c>
      <c r="E666" s="41">
        <v>1.5425750719868367E-4</v>
      </c>
    </row>
    <row r="667" spans="2:5" ht="15" customHeight="1">
      <c r="B667" s="92"/>
      <c r="C667" s="43" t="s">
        <v>159</v>
      </c>
      <c r="D667" s="42">
        <v>26</v>
      </c>
      <c r="E667" s="41">
        <v>1.3368983957219251E-3</v>
      </c>
    </row>
    <row r="668" spans="2:5" ht="15" customHeight="1">
      <c r="B668" s="92"/>
      <c r="C668" s="43" t="s">
        <v>121</v>
      </c>
      <c r="D668" s="42">
        <v>1</v>
      </c>
      <c r="E668" s="41">
        <v>5.1419169066227893E-5</v>
      </c>
    </row>
    <row r="669" spans="2:5" ht="15" customHeight="1">
      <c r="B669" s="92"/>
      <c r="C669" s="43" t="s">
        <v>157</v>
      </c>
      <c r="D669" s="42">
        <v>3</v>
      </c>
      <c r="E669" s="41">
        <v>1.5425750719868367E-4</v>
      </c>
    </row>
    <row r="670" spans="2:5" ht="15" customHeight="1">
      <c r="B670" s="92"/>
      <c r="C670" s="43" t="s">
        <v>120</v>
      </c>
      <c r="D670" s="42">
        <v>2</v>
      </c>
      <c r="E670" s="41">
        <v>1.0283833813245579E-4</v>
      </c>
    </row>
    <row r="671" spans="2:5" ht="15" customHeight="1">
      <c r="B671" s="92"/>
      <c r="C671" s="43" t="s">
        <v>141</v>
      </c>
      <c r="D671" s="42">
        <v>1</v>
      </c>
      <c r="E671" s="41">
        <v>5.1419169066227893E-5</v>
      </c>
    </row>
    <row r="672" spans="2:5" ht="15" customHeight="1">
      <c r="B672" s="92"/>
      <c r="C672" s="43" t="s">
        <v>134</v>
      </c>
      <c r="D672" s="42">
        <v>1</v>
      </c>
      <c r="E672" s="41">
        <v>5.1419169066227893E-5</v>
      </c>
    </row>
    <row r="673" spans="2:5" ht="15" customHeight="1">
      <c r="B673" s="92"/>
      <c r="C673" s="43" t="s">
        <v>158</v>
      </c>
      <c r="D673" s="42">
        <v>9</v>
      </c>
      <c r="E673" s="41">
        <v>4.6277252159605099E-4</v>
      </c>
    </row>
    <row r="674" spans="2:5" ht="15" customHeight="1">
      <c r="B674" s="92"/>
      <c r="C674" s="43" t="s">
        <v>154</v>
      </c>
      <c r="D674" s="42">
        <v>7</v>
      </c>
      <c r="E674" s="41">
        <v>3.5993418346359524E-4</v>
      </c>
    </row>
    <row r="675" spans="2:5" ht="15" customHeight="1">
      <c r="B675" s="92"/>
      <c r="C675" s="43" t="s">
        <v>149</v>
      </c>
      <c r="D675" s="42">
        <v>1</v>
      </c>
      <c r="E675" s="41">
        <v>5.1419169066227893E-5</v>
      </c>
    </row>
    <row r="676" spans="2:5" ht="15" customHeight="1">
      <c r="B676" s="92"/>
      <c r="C676" s="43" t="s">
        <v>144</v>
      </c>
      <c r="D676" s="42">
        <v>3</v>
      </c>
      <c r="E676" s="41">
        <v>1.5425750719868367E-4</v>
      </c>
    </row>
    <row r="677" spans="2:5" ht="15" customHeight="1">
      <c r="B677" s="92"/>
      <c r="C677" s="43" t="s">
        <v>155</v>
      </c>
      <c r="D677" s="42">
        <v>27</v>
      </c>
      <c r="E677" s="41">
        <v>1.3883175647881531E-3</v>
      </c>
    </row>
    <row r="678" spans="2:5" ht="15" customHeight="1">
      <c r="B678" s="92"/>
      <c r="C678" s="43" t="s">
        <v>151</v>
      </c>
      <c r="D678" s="42">
        <v>15</v>
      </c>
      <c r="E678" s="41">
        <v>7.7128753599341833E-4</v>
      </c>
    </row>
    <row r="679" spans="2:5" ht="15" customHeight="1">
      <c r="B679" s="92"/>
      <c r="C679" s="43" t="s">
        <v>153</v>
      </c>
      <c r="D679" s="42">
        <v>2</v>
      </c>
      <c r="E679" s="41">
        <v>1.0283833813245579E-4</v>
      </c>
    </row>
    <row r="680" spans="2:5" ht="15" customHeight="1">
      <c r="B680" s="92"/>
      <c r="C680" s="43" t="s">
        <v>150</v>
      </c>
      <c r="D680" s="42">
        <v>8</v>
      </c>
      <c r="E680" s="41">
        <v>4.1135335252982314E-4</v>
      </c>
    </row>
    <row r="681" spans="2:5" ht="15" customHeight="1">
      <c r="B681" s="92"/>
      <c r="C681" s="43" t="s">
        <v>127</v>
      </c>
      <c r="D681" s="42">
        <v>1</v>
      </c>
      <c r="E681" s="41">
        <v>5.1419169066227893E-5</v>
      </c>
    </row>
    <row r="682" spans="2:5" ht="15" customHeight="1">
      <c r="B682" s="92"/>
      <c r="C682" s="43" t="s">
        <v>138</v>
      </c>
      <c r="D682" s="42">
        <v>2</v>
      </c>
      <c r="E682" s="41">
        <v>1.0283833813245579E-4</v>
      </c>
    </row>
    <row r="683" spans="2:5" ht="15" customHeight="1">
      <c r="B683" s="93"/>
      <c r="C683" s="40" t="s">
        <v>20</v>
      </c>
      <c r="D683" s="39">
        <v>157</v>
      </c>
      <c r="E683" s="38">
        <v>8.0728095433977784E-3</v>
      </c>
    </row>
    <row r="684" spans="2:5" ht="15" customHeight="1">
      <c r="B684" s="91" t="s">
        <v>27</v>
      </c>
      <c r="C684" s="43" t="s">
        <v>152</v>
      </c>
      <c r="D684" s="42">
        <v>1</v>
      </c>
      <c r="E684" s="41">
        <v>5.1419169066227893E-5</v>
      </c>
    </row>
    <row r="685" spans="2:5" ht="15" customHeight="1">
      <c r="B685" s="92"/>
      <c r="C685" s="43" t="s">
        <v>156</v>
      </c>
      <c r="D685" s="42">
        <v>1</v>
      </c>
      <c r="E685" s="41">
        <v>5.1419169066227893E-5</v>
      </c>
    </row>
    <row r="686" spans="2:5" ht="15" customHeight="1">
      <c r="B686" s="92"/>
      <c r="C686" s="43" t="s">
        <v>155</v>
      </c>
      <c r="D686" s="42">
        <v>1</v>
      </c>
      <c r="E686" s="41">
        <v>5.1419169066227893E-5</v>
      </c>
    </row>
    <row r="687" spans="2:5" ht="15" customHeight="1">
      <c r="B687" s="92"/>
      <c r="C687" s="43" t="s">
        <v>151</v>
      </c>
      <c r="D687" s="42">
        <v>2</v>
      </c>
      <c r="E687" s="41">
        <v>1.0283833813245579E-4</v>
      </c>
    </row>
    <row r="688" spans="2:5" ht="15" customHeight="1">
      <c r="B688" s="93"/>
      <c r="C688" s="40" t="s">
        <v>20</v>
      </c>
      <c r="D688" s="39">
        <v>5</v>
      </c>
      <c r="E688" s="38">
        <v>2.5709584533113944E-4</v>
      </c>
    </row>
    <row r="689" spans="2:5" ht="15" customHeight="1">
      <c r="B689" s="91" t="s">
        <v>59</v>
      </c>
      <c r="C689" s="43" t="s">
        <v>139</v>
      </c>
      <c r="D689" s="42">
        <v>2</v>
      </c>
      <c r="E689" s="41">
        <v>1.0283833813245579E-4</v>
      </c>
    </row>
    <row r="690" spans="2:5" ht="15" customHeight="1">
      <c r="B690" s="92"/>
      <c r="C690" s="43" t="s">
        <v>143</v>
      </c>
      <c r="D690" s="42">
        <v>6</v>
      </c>
      <c r="E690" s="41">
        <v>3.0851501439736734E-4</v>
      </c>
    </row>
    <row r="691" spans="2:5" ht="15" customHeight="1">
      <c r="B691" s="92"/>
      <c r="C691" s="43" t="s">
        <v>146</v>
      </c>
      <c r="D691" s="42">
        <v>5</v>
      </c>
      <c r="E691" s="41">
        <v>2.5709584533113944E-4</v>
      </c>
    </row>
    <row r="692" spans="2:5" ht="15" customHeight="1">
      <c r="B692" s="92"/>
      <c r="C692" s="43" t="s">
        <v>130</v>
      </c>
      <c r="D692" s="42">
        <v>1</v>
      </c>
      <c r="E692" s="41">
        <v>5.1419169066227893E-5</v>
      </c>
    </row>
    <row r="693" spans="2:5" ht="15" customHeight="1">
      <c r="B693" s="92"/>
      <c r="C693" s="43" t="s">
        <v>135</v>
      </c>
      <c r="D693" s="42">
        <v>2</v>
      </c>
      <c r="E693" s="41">
        <v>1.0283833813245579E-4</v>
      </c>
    </row>
    <row r="694" spans="2:5" ht="15" customHeight="1">
      <c r="B694" s="92"/>
      <c r="C694" s="43" t="s">
        <v>118</v>
      </c>
      <c r="D694" s="42">
        <v>1</v>
      </c>
      <c r="E694" s="41">
        <v>5.1419169066227893E-5</v>
      </c>
    </row>
    <row r="695" spans="2:5" ht="15" customHeight="1">
      <c r="B695" s="92"/>
      <c r="C695" s="43" t="s">
        <v>152</v>
      </c>
      <c r="D695" s="42">
        <v>16</v>
      </c>
      <c r="E695" s="41">
        <v>8.2270670505964628E-4</v>
      </c>
    </row>
    <row r="696" spans="2:5" ht="15" customHeight="1">
      <c r="B696" s="92"/>
      <c r="C696" s="43" t="s">
        <v>156</v>
      </c>
      <c r="D696" s="42">
        <v>20</v>
      </c>
      <c r="E696" s="41">
        <v>1.0283833813245578E-3</v>
      </c>
    </row>
    <row r="697" spans="2:5" ht="15" customHeight="1">
      <c r="B697" s="92"/>
      <c r="C697" s="43" t="s">
        <v>148</v>
      </c>
      <c r="D697" s="42">
        <v>3</v>
      </c>
      <c r="E697" s="41">
        <v>1.5425750719868367E-4</v>
      </c>
    </row>
    <row r="698" spans="2:5" ht="15" customHeight="1">
      <c r="B698" s="92"/>
      <c r="C698" s="43" t="s">
        <v>145</v>
      </c>
      <c r="D698" s="42">
        <v>1</v>
      </c>
      <c r="E698" s="41">
        <v>5.1419169066227893E-5</v>
      </c>
    </row>
    <row r="699" spans="2:5" ht="15" customHeight="1">
      <c r="B699" s="92"/>
      <c r="C699" s="43" t="s">
        <v>133</v>
      </c>
      <c r="D699" s="42">
        <v>4</v>
      </c>
      <c r="E699" s="41">
        <v>2.0567667626491157E-4</v>
      </c>
    </row>
    <row r="700" spans="2:5" ht="15" customHeight="1">
      <c r="B700" s="92"/>
      <c r="C700" s="43" t="s">
        <v>132</v>
      </c>
      <c r="D700" s="42">
        <v>3</v>
      </c>
      <c r="E700" s="41">
        <v>1.5425750719868367E-4</v>
      </c>
    </row>
    <row r="701" spans="2:5" ht="15" customHeight="1">
      <c r="B701" s="92"/>
      <c r="C701" s="43" t="s">
        <v>140</v>
      </c>
      <c r="D701" s="42">
        <v>2</v>
      </c>
      <c r="E701" s="41">
        <v>1.0283833813245579E-4</v>
      </c>
    </row>
    <row r="702" spans="2:5" ht="15" customHeight="1">
      <c r="B702" s="92"/>
      <c r="C702" s="43" t="s">
        <v>159</v>
      </c>
      <c r="D702" s="42">
        <v>41</v>
      </c>
      <c r="E702" s="41">
        <v>2.1081859317153436E-3</v>
      </c>
    </row>
    <row r="703" spans="2:5" ht="15" customHeight="1">
      <c r="B703" s="92"/>
      <c r="C703" s="43" t="s">
        <v>129</v>
      </c>
      <c r="D703" s="42">
        <v>1</v>
      </c>
      <c r="E703" s="41">
        <v>5.1419169066227893E-5</v>
      </c>
    </row>
    <row r="704" spans="2:5" ht="15" customHeight="1">
      <c r="B704" s="92"/>
      <c r="C704" s="43" t="s">
        <v>121</v>
      </c>
      <c r="D704" s="42">
        <v>1</v>
      </c>
      <c r="E704" s="41">
        <v>5.1419169066227893E-5</v>
      </c>
    </row>
    <row r="705" spans="2:5" ht="15" customHeight="1">
      <c r="B705" s="92"/>
      <c r="C705" s="43" t="s">
        <v>157</v>
      </c>
      <c r="D705" s="42">
        <v>6</v>
      </c>
      <c r="E705" s="41">
        <v>3.0851501439736734E-4</v>
      </c>
    </row>
    <row r="706" spans="2:5" ht="15" customHeight="1">
      <c r="B706" s="92"/>
      <c r="C706" s="43" t="s">
        <v>141</v>
      </c>
      <c r="D706" s="42">
        <v>5</v>
      </c>
      <c r="E706" s="41">
        <v>2.5709584533113944E-4</v>
      </c>
    </row>
    <row r="707" spans="2:5" ht="15" customHeight="1">
      <c r="B707" s="92"/>
      <c r="C707" s="43" t="s">
        <v>134</v>
      </c>
      <c r="D707" s="42">
        <v>1</v>
      </c>
      <c r="E707" s="41">
        <v>5.1419169066227893E-5</v>
      </c>
    </row>
    <row r="708" spans="2:5" ht="15" customHeight="1">
      <c r="B708" s="92"/>
      <c r="C708" s="43" t="s">
        <v>122</v>
      </c>
      <c r="D708" s="42">
        <v>1</v>
      </c>
      <c r="E708" s="41">
        <v>5.1419169066227893E-5</v>
      </c>
    </row>
    <row r="709" spans="2:5" ht="15" customHeight="1">
      <c r="B709" s="92"/>
      <c r="C709" s="43" t="s">
        <v>158</v>
      </c>
      <c r="D709" s="42">
        <v>11</v>
      </c>
      <c r="E709" s="41">
        <v>5.6561085972850684E-4</v>
      </c>
    </row>
    <row r="710" spans="2:5" ht="15" customHeight="1">
      <c r="B710" s="92"/>
      <c r="C710" s="43" t="s">
        <v>154</v>
      </c>
      <c r="D710" s="42">
        <v>13</v>
      </c>
      <c r="E710" s="41">
        <v>6.6844919786096253E-4</v>
      </c>
    </row>
    <row r="711" spans="2:5" ht="15" customHeight="1">
      <c r="B711" s="92"/>
      <c r="C711" s="43" t="s">
        <v>149</v>
      </c>
      <c r="D711" s="42">
        <v>10</v>
      </c>
      <c r="E711" s="41">
        <v>5.1419169066227888E-4</v>
      </c>
    </row>
    <row r="712" spans="2:5" ht="15" customHeight="1">
      <c r="B712" s="92"/>
      <c r="C712" s="43" t="s">
        <v>144</v>
      </c>
      <c r="D712" s="42">
        <v>17</v>
      </c>
      <c r="E712" s="41">
        <v>8.7412587412587413E-4</v>
      </c>
    </row>
    <row r="713" spans="2:5" ht="15" customHeight="1">
      <c r="B713" s="92"/>
      <c r="C713" s="43" t="s">
        <v>155</v>
      </c>
      <c r="D713" s="42">
        <v>18</v>
      </c>
      <c r="E713" s="41">
        <v>9.2554504319210197E-4</v>
      </c>
    </row>
    <row r="714" spans="2:5" ht="15" customHeight="1">
      <c r="B714" s="92"/>
      <c r="C714" s="43" t="s">
        <v>151</v>
      </c>
      <c r="D714" s="42">
        <v>34</v>
      </c>
      <c r="E714" s="41">
        <v>1.7482517482517483E-3</v>
      </c>
    </row>
    <row r="715" spans="2:5" ht="15" customHeight="1">
      <c r="B715" s="92"/>
      <c r="C715" s="43" t="s">
        <v>153</v>
      </c>
      <c r="D715" s="42">
        <v>6</v>
      </c>
      <c r="E715" s="41">
        <v>3.0851501439736734E-4</v>
      </c>
    </row>
    <row r="716" spans="2:5" ht="15" customHeight="1">
      <c r="B716" s="92"/>
      <c r="C716" s="43" t="s">
        <v>150</v>
      </c>
      <c r="D716" s="42">
        <v>9</v>
      </c>
      <c r="E716" s="41">
        <v>4.6277252159605099E-4</v>
      </c>
    </row>
    <row r="717" spans="2:5" ht="15" customHeight="1">
      <c r="B717" s="92"/>
      <c r="C717" s="43" t="s">
        <v>127</v>
      </c>
      <c r="D717" s="42">
        <v>1</v>
      </c>
      <c r="E717" s="41">
        <v>5.1419169066227893E-5</v>
      </c>
    </row>
    <row r="718" spans="2:5" ht="15" customHeight="1">
      <c r="B718" s="92"/>
      <c r="C718" s="43" t="s">
        <v>138</v>
      </c>
      <c r="D718" s="42">
        <v>2</v>
      </c>
      <c r="E718" s="41">
        <v>1.0283833813245579E-4</v>
      </c>
    </row>
    <row r="719" spans="2:5" ht="15" customHeight="1">
      <c r="B719" s="93"/>
      <c r="C719" s="40" t="s">
        <v>20</v>
      </c>
      <c r="D719" s="39">
        <v>243</v>
      </c>
      <c r="E719" s="38">
        <v>1.2494858083093377E-2</v>
      </c>
    </row>
    <row r="720" spans="2:5" ht="15" customHeight="1">
      <c r="B720" s="91" t="s">
        <v>65</v>
      </c>
      <c r="C720" s="43" t="s">
        <v>139</v>
      </c>
      <c r="D720" s="42">
        <v>127</v>
      </c>
      <c r="E720" s="41">
        <v>6.5302344714109417E-3</v>
      </c>
    </row>
    <row r="721" spans="2:5" ht="15" customHeight="1">
      <c r="B721" s="92"/>
      <c r="C721" s="43" t="s">
        <v>143</v>
      </c>
      <c r="D721" s="42">
        <v>110</v>
      </c>
      <c r="E721" s="41">
        <v>5.6561085972850677E-3</v>
      </c>
    </row>
    <row r="722" spans="2:5" ht="15" customHeight="1">
      <c r="B722" s="92"/>
      <c r="C722" s="43" t="s">
        <v>146</v>
      </c>
      <c r="D722" s="42">
        <v>147</v>
      </c>
      <c r="E722" s="41">
        <v>7.5586178527354995E-3</v>
      </c>
    </row>
    <row r="723" spans="2:5" ht="15" customHeight="1">
      <c r="B723" s="92"/>
      <c r="C723" s="43" t="s">
        <v>130</v>
      </c>
      <c r="D723" s="42">
        <v>18</v>
      </c>
      <c r="E723" s="41">
        <v>9.2554504319210197E-4</v>
      </c>
    </row>
    <row r="724" spans="2:5" ht="15" customHeight="1">
      <c r="B724" s="92"/>
      <c r="C724" s="43" t="s">
        <v>136</v>
      </c>
      <c r="D724" s="42">
        <v>83</v>
      </c>
      <c r="E724" s="41">
        <v>4.2677910324969148E-3</v>
      </c>
    </row>
    <row r="725" spans="2:5" ht="15" customHeight="1">
      <c r="B725" s="92"/>
      <c r="C725" s="43" t="s">
        <v>135</v>
      </c>
      <c r="D725" s="42">
        <v>45</v>
      </c>
      <c r="E725" s="41">
        <v>2.313862607980255E-3</v>
      </c>
    </row>
    <row r="726" spans="2:5" ht="15" customHeight="1">
      <c r="B726" s="92"/>
      <c r="C726" s="43" t="s">
        <v>142</v>
      </c>
      <c r="D726" s="42">
        <v>126</v>
      </c>
      <c r="E726" s="41">
        <v>6.4788153023447141E-3</v>
      </c>
    </row>
    <row r="727" spans="2:5" ht="15" customHeight="1">
      <c r="B727" s="92"/>
      <c r="C727" s="43" t="s">
        <v>118</v>
      </c>
      <c r="D727" s="42">
        <v>5</v>
      </c>
      <c r="E727" s="41">
        <v>2.5709584533113944E-4</v>
      </c>
    </row>
    <row r="728" spans="2:5" ht="15" customHeight="1">
      <c r="B728" s="92"/>
      <c r="C728" s="43" t="s">
        <v>152</v>
      </c>
      <c r="D728" s="42">
        <v>547</v>
      </c>
      <c r="E728" s="41">
        <v>2.8126285479226656E-2</v>
      </c>
    </row>
    <row r="729" spans="2:5" ht="15" customHeight="1">
      <c r="B729" s="92"/>
      <c r="C729" s="43" t="s">
        <v>119</v>
      </c>
      <c r="D729" s="42">
        <v>29</v>
      </c>
      <c r="E729" s="41">
        <v>1.4911559029206088E-3</v>
      </c>
    </row>
    <row r="730" spans="2:5" ht="15" customHeight="1">
      <c r="B730" s="92"/>
      <c r="C730" s="43" t="s">
        <v>156</v>
      </c>
      <c r="D730" s="42">
        <v>857</v>
      </c>
      <c r="E730" s="41">
        <v>4.4066227889757302E-2</v>
      </c>
    </row>
    <row r="731" spans="2:5" ht="15" customHeight="1">
      <c r="B731" s="92"/>
      <c r="C731" s="43" t="s">
        <v>128</v>
      </c>
      <c r="D731" s="42">
        <v>19</v>
      </c>
      <c r="E731" s="41">
        <v>9.7696421225832992E-4</v>
      </c>
    </row>
    <row r="732" spans="2:5" ht="15" customHeight="1">
      <c r="B732" s="92"/>
      <c r="C732" s="43" t="s">
        <v>148</v>
      </c>
      <c r="D732" s="42">
        <v>185</v>
      </c>
      <c r="E732" s="41">
        <v>9.5125462772521589E-3</v>
      </c>
    </row>
    <row r="733" spans="2:5" ht="15" customHeight="1">
      <c r="B733" s="92"/>
      <c r="C733" s="43" t="s">
        <v>126</v>
      </c>
      <c r="D733" s="42">
        <v>20</v>
      </c>
      <c r="E733" s="41">
        <v>1.0283833813245578E-3</v>
      </c>
    </row>
    <row r="734" spans="2:5" ht="15" customHeight="1">
      <c r="B734" s="92"/>
      <c r="C734" s="43" t="s">
        <v>124</v>
      </c>
      <c r="D734" s="42">
        <v>29</v>
      </c>
      <c r="E734" s="41">
        <v>1.4911559029206088E-3</v>
      </c>
    </row>
    <row r="735" spans="2:5" ht="15" customHeight="1">
      <c r="B735" s="92"/>
      <c r="C735" s="43" t="s">
        <v>145</v>
      </c>
      <c r="D735" s="42">
        <v>176</v>
      </c>
      <c r="E735" s="41">
        <v>9.0497737556561094E-3</v>
      </c>
    </row>
    <row r="736" spans="2:5" ht="15" customHeight="1">
      <c r="B736" s="92"/>
      <c r="C736" s="43" t="s">
        <v>137</v>
      </c>
      <c r="D736" s="42">
        <v>91</v>
      </c>
      <c r="E736" s="41">
        <v>4.6791443850267376E-3</v>
      </c>
    </row>
    <row r="737" spans="2:5" ht="15" customHeight="1">
      <c r="B737" s="92"/>
      <c r="C737" s="43" t="s">
        <v>133</v>
      </c>
      <c r="D737" s="42">
        <v>48</v>
      </c>
      <c r="E737" s="41">
        <v>2.4681201151789387E-3</v>
      </c>
    </row>
    <row r="738" spans="2:5" ht="15" customHeight="1">
      <c r="B738" s="92"/>
      <c r="C738" s="43" t="s">
        <v>132</v>
      </c>
      <c r="D738" s="42">
        <v>27</v>
      </c>
      <c r="E738" s="41">
        <v>1.3883175647881531E-3</v>
      </c>
    </row>
    <row r="739" spans="2:5" ht="15" customHeight="1">
      <c r="B739" s="92"/>
      <c r="C739" s="43" t="s">
        <v>140</v>
      </c>
      <c r="D739" s="42">
        <v>76</v>
      </c>
      <c r="E739" s="41">
        <v>3.9078568490333197E-3</v>
      </c>
    </row>
    <row r="740" spans="2:5" ht="15" customHeight="1">
      <c r="B740" s="92"/>
      <c r="C740" s="43" t="s">
        <v>123</v>
      </c>
      <c r="D740" s="42">
        <v>14</v>
      </c>
      <c r="E740" s="41">
        <v>7.1986836692719048E-4</v>
      </c>
    </row>
    <row r="741" spans="2:5" ht="15" customHeight="1">
      <c r="B741" s="92"/>
      <c r="C741" s="43" t="s">
        <v>159</v>
      </c>
      <c r="D741" s="42">
        <v>2601</v>
      </c>
      <c r="E741" s="41">
        <v>0.13374125874125875</v>
      </c>
    </row>
    <row r="742" spans="2:5" ht="15" customHeight="1">
      <c r="B742" s="92"/>
      <c r="C742" s="43" t="s">
        <v>125</v>
      </c>
      <c r="D742" s="42">
        <v>23</v>
      </c>
      <c r="E742" s="41">
        <v>1.1826408885232415E-3</v>
      </c>
    </row>
    <row r="743" spans="2:5" ht="15" customHeight="1">
      <c r="B743" s="92"/>
      <c r="C743" s="43" t="s">
        <v>129</v>
      </c>
      <c r="D743" s="42">
        <v>37</v>
      </c>
      <c r="E743" s="41">
        <v>1.902509255450432E-3</v>
      </c>
    </row>
    <row r="744" spans="2:5" ht="15" customHeight="1">
      <c r="B744" s="92"/>
      <c r="C744" s="43" t="s">
        <v>147</v>
      </c>
      <c r="D744" s="42">
        <v>221</v>
      </c>
      <c r="E744" s="41">
        <v>1.1363636363636364E-2</v>
      </c>
    </row>
    <row r="745" spans="2:5" ht="15" customHeight="1">
      <c r="B745" s="92"/>
      <c r="C745" s="43" t="s">
        <v>121</v>
      </c>
      <c r="D745" s="42">
        <v>18</v>
      </c>
      <c r="E745" s="41">
        <v>9.2554504319210197E-4</v>
      </c>
    </row>
    <row r="746" spans="2:5" ht="15" customHeight="1">
      <c r="B746" s="92"/>
      <c r="C746" s="43" t="s">
        <v>157</v>
      </c>
      <c r="D746" s="42">
        <v>1923</v>
      </c>
      <c r="E746" s="41">
        <v>9.8879062114356236E-2</v>
      </c>
    </row>
    <row r="747" spans="2:5" ht="15" customHeight="1">
      <c r="B747" s="92"/>
      <c r="C747" s="43" t="s">
        <v>120</v>
      </c>
      <c r="D747" s="42">
        <v>7</v>
      </c>
      <c r="E747" s="41">
        <v>3.5993418346359524E-4</v>
      </c>
    </row>
    <row r="748" spans="2:5" ht="15" customHeight="1">
      <c r="B748" s="92"/>
      <c r="C748" s="43" t="s">
        <v>141</v>
      </c>
      <c r="D748" s="42">
        <v>98</v>
      </c>
      <c r="E748" s="41">
        <v>5.0390785684903336E-3</v>
      </c>
    </row>
    <row r="749" spans="2:5" ht="15" customHeight="1">
      <c r="B749" s="92"/>
      <c r="C749" s="43" t="s">
        <v>134</v>
      </c>
      <c r="D749" s="42">
        <v>60</v>
      </c>
      <c r="E749" s="41">
        <v>3.0851501439736733E-3</v>
      </c>
    </row>
    <row r="750" spans="2:5" ht="15" customHeight="1">
      <c r="B750" s="92"/>
      <c r="C750" s="43" t="s">
        <v>122</v>
      </c>
      <c r="D750" s="42">
        <v>10</v>
      </c>
      <c r="E750" s="41">
        <v>5.1419169066227888E-4</v>
      </c>
    </row>
    <row r="751" spans="2:5" ht="15" customHeight="1">
      <c r="B751" s="92"/>
      <c r="C751" s="43" t="s">
        <v>158</v>
      </c>
      <c r="D751" s="42">
        <v>2409</v>
      </c>
      <c r="E751" s="41">
        <v>0.12386877828054299</v>
      </c>
    </row>
    <row r="752" spans="2:5" ht="15" customHeight="1">
      <c r="B752" s="92"/>
      <c r="C752" s="43" t="s">
        <v>154</v>
      </c>
      <c r="D752" s="42">
        <v>835</v>
      </c>
      <c r="E752" s="41">
        <v>4.2935006170300286E-2</v>
      </c>
    </row>
    <row r="753" spans="2:5" ht="15" customHeight="1">
      <c r="B753" s="92"/>
      <c r="C753" s="43" t="s">
        <v>131</v>
      </c>
      <c r="D753" s="42">
        <v>51</v>
      </c>
      <c r="E753" s="41">
        <v>2.6223776223776225E-3</v>
      </c>
    </row>
    <row r="754" spans="2:5" ht="15" customHeight="1">
      <c r="B754" s="92"/>
      <c r="C754" s="43" t="s">
        <v>149</v>
      </c>
      <c r="D754" s="42">
        <v>509</v>
      </c>
      <c r="E754" s="41">
        <v>2.6172357054709997E-2</v>
      </c>
    </row>
    <row r="755" spans="2:5" ht="15" customHeight="1">
      <c r="B755" s="92"/>
      <c r="C755" s="43" t="s">
        <v>117</v>
      </c>
      <c r="D755" s="42">
        <v>1</v>
      </c>
      <c r="E755" s="41">
        <v>5.1419169066227893E-5</v>
      </c>
    </row>
    <row r="756" spans="2:5" ht="15" customHeight="1">
      <c r="B756" s="92"/>
      <c r="C756" s="43" t="s">
        <v>144</v>
      </c>
      <c r="D756" s="42">
        <v>124</v>
      </c>
      <c r="E756" s="41">
        <v>6.375976964212258E-3</v>
      </c>
    </row>
    <row r="757" spans="2:5" ht="15" customHeight="1">
      <c r="B757" s="92"/>
      <c r="C757" s="43" t="s">
        <v>155</v>
      </c>
      <c r="D757" s="42">
        <v>934</v>
      </c>
      <c r="E757" s="41">
        <v>4.8025503907856849E-2</v>
      </c>
    </row>
    <row r="758" spans="2:5" ht="15" customHeight="1">
      <c r="B758" s="92"/>
      <c r="C758" s="43" t="s">
        <v>151</v>
      </c>
      <c r="D758" s="42">
        <v>514</v>
      </c>
      <c r="E758" s="41">
        <v>2.6429452900041134E-2</v>
      </c>
    </row>
    <row r="759" spans="2:5" ht="15" customHeight="1">
      <c r="B759" s="92"/>
      <c r="C759" s="43" t="s">
        <v>153</v>
      </c>
      <c r="D759" s="42">
        <v>723</v>
      </c>
      <c r="E759" s="41">
        <v>3.7176059234882763E-2</v>
      </c>
    </row>
    <row r="760" spans="2:5" ht="15" customHeight="1">
      <c r="B760" s="92"/>
      <c r="C760" s="43" t="s">
        <v>150</v>
      </c>
      <c r="D760" s="42">
        <v>524</v>
      </c>
      <c r="E760" s="41">
        <v>2.6943644590703413E-2</v>
      </c>
    </row>
    <row r="761" spans="2:5" ht="15" customHeight="1">
      <c r="B761" s="92"/>
      <c r="C761" s="43" t="s">
        <v>127</v>
      </c>
      <c r="D761" s="42">
        <v>33</v>
      </c>
      <c r="E761" s="41">
        <v>1.6968325791855204E-3</v>
      </c>
    </row>
    <row r="762" spans="2:5" ht="15" customHeight="1">
      <c r="B762" s="92"/>
      <c r="C762" s="43" t="s">
        <v>138</v>
      </c>
      <c r="D762" s="42">
        <v>106</v>
      </c>
      <c r="E762" s="41">
        <v>5.4504319210201563E-3</v>
      </c>
    </row>
    <row r="763" spans="2:5" ht="15" customHeight="1">
      <c r="B763" s="93"/>
      <c r="C763" s="40" t="s">
        <v>20</v>
      </c>
      <c r="D763" s="39">
        <v>14540</v>
      </c>
      <c r="E763" s="38">
        <v>0.74763471822295346</v>
      </c>
    </row>
    <row r="764" spans="2:5" ht="15" customHeight="1">
      <c r="B764" s="91" t="s">
        <v>39</v>
      </c>
      <c r="C764" s="43" t="s">
        <v>143</v>
      </c>
      <c r="D764" s="42">
        <v>1</v>
      </c>
      <c r="E764" s="41">
        <v>5.1419169066227893E-5</v>
      </c>
    </row>
    <row r="765" spans="2:5" ht="15" customHeight="1">
      <c r="B765" s="92"/>
      <c r="C765" s="43" t="s">
        <v>146</v>
      </c>
      <c r="D765" s="42">
        <v>1</v>
      </c>
      <c r="E765" s="41">
        <v>5.1419169066227893E-5</v>
      </c>
    </row>
    <row r="766" spans="2:5" ht="15" customHeight="1">
      <c r="B766" s="92"/>
      <c r="C766" s="43" t="s">
        <v>152</v>
      </c>
      <c r="D766" s="42">
        <v>4</v>
      </c>
      <c r="E766" s="41">
        <v>2.0567667626491157E-4</v>
      </c>
    </row>
    <row r="767" spans="2:5" ht="15" customHeight="1">
      <c r="B767" s="92"/>
      <c r="C767" s="43" t="s">
        <v>148</v>
      </c>
      <c r="D767" s="42">
        <v>2</v>
      </c>
      <c r="E767" s="41">
        <v>1.0283833813245579E-4</v>
      </c>
    </row>
    <row r="768" spans="2:5" ht="15" customHeight="1">
      <c r="B768" s="92"/>
      <c r="C768" s="43" t="s">
        <v>145</v>
      </c>
      <c r="D768" s="42">
        <v>1</v>
      </c>
      <c r="E768" s="41">
        <v>5.1419169066227893E-5</v>
      </c>
    </row>
    <row r="769" spans="2:5" ht="15" customHeight="1">
      <c r="B769" s="92"/>
      <c r="C769" s="43" t="s">
        <v>159</v>
      </c>
      <c r="D769" s="42">
        <v>4</v>
      </c>
      <c r="E769" s="41">
        <v>2.0567667626491157E-4</v>
      </c>
    </row>
    <row r="770" spans="2:5" ht="15" customHeight="1">
      <c r="B770" s="92"/>
      <c r="C770" s="43" t="s">
        <v>157</v>
      </c>
      <c r="D770" s="42">
        <v>1</v>
      </c>
      <c r="E770" s="41">
        <v>5.1419169066227893E-5</v>
      </c>
    </row>
    <row r="771" spans="2:5" ht="15" customHeight="1">
      <c r="B771" s="92"/>
      <c r="C771" s="43" t="s">
        <v>158</v>
      </c>
      <c r="D771" s="42">
        <v>9</v>
      </c>
      <c r="E771" s="41">
        <v>4.6277252159605099E-4</v>
      </c>
    </row>
    <row r="772" spans="2:5" ht="15" customHeight="1">
      <c r="B772" s="92"/>
      <c r="C772" s="43" t="s">
        <v>154</v>
      </c>
      <c r="D772" s="42">
        <v>1</v>
      </c>
      <c r="E772" s="41">
        <v>5.1419169066227893E-5</v>
      </c>
    </row>
    <row r="773" spans="2:5" ht="15" customHeight="1">
      <c r="B773" s="92"/>
      <c r="C773" s="43" t="s">
        <v>149</v>
      </c>
      <c r="D773" s="42">
        <v>1</v>
      </c>
      <c r="E773" s="41">
        <v>5.1419169066227893E-5</v>
      </c>
    </row>
    <row r="774" spans="2:5" ht="15" customHeight="1">
      <c r="B774" s="92"/>
      <c r="C774" s="43" t="s">
        <v>155</v>
      </c>
      <c r="D774" s="42">
        <v>10</v>
      </c>
      <c r="E774" s="41">
        <v>5.1419169066227888E-4</v>
      </c>
    </row>
    <row r="775" spans="2:5" ht="15" customHeight="1">
      <c r="B775" s="92"/>
      <c r="C775" s="43" t="s">
        <v>151</v>
      </c>
      <c r="D775" s="42">
        <v>1</v>
      </c>
      <c r="E775" s="41">
        <v>5.1419169066227893E-5</v>
      </c>
    </row>
    <row r="776" spans="2:5" ht="15" customHeight="1">
      <c r="B776" s="92"/>
      <c r="C776" s="43" t="s">
        <v>150</v>
      </c>
      <c r="D776" s="42">
        <v>3</v>
      </c>
      <c r="E776" s="41">
        <v>1.5425750719868367E-4</v>
      </c>
    </row>
    <row r="777" spans="2:5" ht="15" customHeight="1">
      <c r="B777" s="93"/>
      <c r="C777" s="40" t="s">
        <v>20</v>
      </c>
      <c r="D777" s="39">
        <v>39</v>
      </c>
      <c r="E777" s="38">
        <v>2.0053475935828879E-3</v>
      </c>
    </row>
    <row r="778" spans="2:5" ht="15" customHeight="1">
      <c r="B778" s="91" t="s">
        <v>49</v>
      </c>
      <c r="C778" s="43" t="s">
        <v>143</v>
      </c>
      <c r="D778" s="42">
        <v>2</v>
      </c>
      <c r="E778" s="41">
        <v>1.0283833813245579E-4</v>
      </c>
    </row>
    <row r="779" spans="2:5" ht="15" customHeight="1">
      <c r="B779" s="92"/>
      <c r="C779" s="43" t="s">
        <v>146</v>
      </c>
      <c r="D779" s="42">
        <v>1</v>
      </c>
      <c r="E779" s="41">
        <v>5.1419169066227893E-5</v>
      </c>
    </row>
    <row r="780" spans="2:5" ht="15" customHeight="1">
      <c r="B780" s="92"/>
      <c r="C780" s="43" t="s">
        <v>135</v>
      </c>
      <c r="D780" s="42">
        <v>2</v>
      </c>
      <c r="E780" s="41">
        <v>1.0283833813245579E-4</v>
      </c>
    </row>
    <row r="781" spans="2:5" ht="15" customHeight="1">
      <c r="B781" s="92"/>
      <c r="C781" s="43" t="s">
        <v>118</v>
      </c>
      <c r="D781" s="42">
        <v>2</v>
      </c>
      <c r="E781" s="41">
        <v>1.0283833813245579E-4</v>
      </c>
    </row>
    <row r="782" spans="2:5" ht="15" customHeight="1">
      <c r="B782" s="92"/>
      <c r="C782" s="43" t="s">
        <v>152</v>
      </c>
      <c r="D782" s="42">
        <v>8</v>
      </c>
      <c r="E782" s="41">
        <v>4.1135335252982314E-4</v>
      </c>
    </row>
    <row r="783" spans="2:5" ht="15" customHeight="1">
      <c r="B783" s="92"/>
      <c r="C783" s="43" t="s">
        <v>156</v>
      </c>
      <c r="D783" s="42">
        <v>6</v>
      </c>
      <c r="E783" s="41">
        <v>3.0851501439736734E-4</v>
      </c>
    </row>
    <row r="784" spans="2:5" ht="15" customHeight="1">
      <c r="B784" s="92"/>
      <c r="C784" s="43" t="s">
        <v>148</v>
      </c>
      <c r="D784" s="42">
        <v>2</v>
      </c>
      <c r="E784" s="41">
        <v>1.0283833813245579E-4</v>
      </c>
    </row>
    <row r="785" spans="2:5" ht="15" customHeight="1">
      <c r="B785" s="92"/>
      <c r="C785" s="43" t="s">
        <v>137</v>
      </c>
      <c r="D785" s="42">
        <v>1</v>
      </c>
      <c r="E785" s="41">
        <v>5.1419169066227893E-5</v>
      </c>
    </row>
    <row r="786" spans="2:5" ht="15" customHeight="1">
      <c r="B786" s="92"/>
      <c r="C786" s="43" t="s">
        <v>159</v>
      </c>
      <c r="D786" s="42">
        <v>11</v>
      </c>
      <c r="E786" s="41">
        <v>5.6561085972850684E-4</v>
      </c>
    </row>
    <row r="787" spans="2:5" ht="15" customHeight="1">
      <c r="B787" s="92"/>
      <c r="C787" s="43" t="s">
        <v>157</v>
      </c>
      <c r="D787" s="42">
        <v>3</v>
      </c>
      <c r="E787" s="41">
        <v>1.5425750719868367E-4</v>
      </c>
    </row>
    <row r="788" spans="2:5" ht="15" customHeight="1">
      <c r="B788" s="92"/>
      <c r="C788" s="43" t="s">
        <v>141</v>
      </c>
      <c r="D788" s="42">
        <v>3</v>
      </c>
      <c r="E788" s="41">
        <v>1.5425750719868367E-4</v>
      </c>
    </row>
    <row r="789" spans="2:5" ht="15" customHeight="1">
      <c r="B789" s="92"/>
      <c r="C789" s="43" t="s">
        <v>158</v>
      </c>
      <c r="D789" s="42">
        <v>7</v>
      </c>
      <c r="E789" s="41">
        <v>3.5993418346359524E-4</v>
      </c>
    </row>
    <row r="790" spans="2:5" ht="15" customHeight="1">
      <c r="B790" s="92"/>
      <c r="C790" s="43" t="s">
        <v>154</v>
      </c>
      <c r="D790" s="42">
        <v>2</v>
      </c>
      <c r="E790" s="41">
        <v>1.0283833813245579E-4</v>
      </c>
    </row>
    <row r="791" spans="2:5" ht="15" customHeight="1">
      <c r="B791" s="92"/>
      <c r="C791" s="43" t="s">
        <v>144</v>
      </c>
      <c r="D791" s="42">
        <v>4</v>
      </c>
      <c r="E791" s="41">
        <v>2.0567667626491157E-4</v>
      </c>
    </row>
    <row r="792" spans="2:5" ht="15" customHeight="1">
      <c r="B792" s="92"/>
      <c r="C792" s="43" t="s">
        <v>155</v>
      </c>
      <c r="D792" s="42">
        <v>10</v>
      </c>
      <c r="E792" s="41">
        <v>5.1419169066227888E-4</v>
      </c>
    </row>
    <row r="793" spans="2:5" ht="15" customHeight="1">
      <c r="B793" s="92"/>
      <c r="C793" s="43" t="s">
        <v>151</v>
      </c>
      <c r="D793" s="42">
        <v>2</v>
      </c>
      <c r="E793" s="41">
        <v>1.0283833813245579E-4</v>
      </c>
    </row>
    <row r="794" spans="2:5" ht="15" customHeight="1">
      <c r="B794" s="92"/>
      <c r="C794" s="43" t="s">
        <v>153</v>
      </c>
      <c r="D794" s="42">
        <v>4</v>
      </c>
      <c r="E794" s="41">
        <v>2.0567667626491157E-4</v>
      </c>
    </row>
    <row r="795" spans="2:5" ht="15" customHeight="1">
      <c r="B795" s="92"/>
      <c r="C795" s="43" t="s">
        <v>150</v>
      </c>
      <c r="D795" s="42">
        <v>4</v>
      </c>
      <c r="E795" s="41">
        <v>2.0567667626491157E-4</v>
      </c>
    </row>
    <row r="796" spans="2:5" ht="15" customHeight="1">
      <c r="B796" s="92"/>
      <c r="C796" s="43" t="s">
        <v>138</v>
      </c>
      <c r="D796" s="42">
        <v>2</v>
      </c>
      <c r="E796" s="41">
        <v>1.0283833813245579E-4</v>
      </c>
    </row>
    <row r="797" spans="2:5" ht="15" customHeight="1">
      <c r="B797" s="93"/>
      <c r="C797" s="40" t="s">
        <v>20</v>
      </c>
      <c r="D797" s="39">
        <v>76</v>
      </c>
      <c r="E797" s="38">
        <v>3.9078568490333197E-3</v>
      </c>
    </row>
    <row r="798" spans="2:5" ht="15" customHeight="1">
      <c r="B798" s="91" t="s">
        <v>35</v>
      </c>
      <c r="C798" s="43" t="s">
        <v>142</v>
      </c>
      <c r="D798" s="42">
        <v>1</v>
      </c>
      <c r="E798" s="41">
        <v>5.1419169066227893E-5</v>
      </c>
    </row>
    <row r="799" spans="2:5" ht="15" customHeight="1">
      <c r="B799" s="92"/>
      <c r="C799" s="43" t="s">
        <v>140</v>
      </c>
      <c r="D799" s="42">
        <v>2</v>
      </c>
      <c r="E799" s="41">
        <v>1.0283833813245579E-4</v>
      </c>
    </row>
    <row r="800" spans="2:5" ht="15" customHeight="1">
      <c r="B800" s="92"/>
      <c r="C800" s="43" t="s">
        <v>159</v>
      </c>
      <c r="D800" s="42">
        <v>1</v>
      </c>
      <c r="E800" s="41">
        <v>5.1419169066227893E-5</v>
      </c>
    </row>
    <row r="801" spans="2:5" ht="15" customHeight="1">
      <c r="B801" s="92"/>
      <c r="C801" s="43" t="s">
        <v>157</v>
      </c>
      <c r="D801" s="42">
        <v>3</v>
      </c>
      <c r="E801" s="41">
        <v>1.5425750719868367E-4</v>
      </c>
    </row>
    <row r="802" spans="2:5" ht="15" customHeight="1">
      <c r="B802" s="92"/>
      <c r="C802" s="43" t="s">
        <v>158</v>
      </c>
      <c r="D802" s="42">
        <v>3</v>
      </c>
      <c r="E802" s="41">
        <v>1.5425750719868367E-4</v>
      </c>
    </row>
    <row r="803" spans="2:5" ht="15" customHeight="1">
      <c r="B803" s="92"/>
      <c r="C803" s="43" t="s">
        <v>154</v>
      </c>
      <c r="D803" s="42">
        <v>1</v>
      </c>
      <c r="E803" s="41">
        <v>5.1419169066227893E-5</v>
      </c>
    </row>
    <row r="804" spans="2:5" ht="15" customHeight="1">
      <c r="B804" s="92"/>
      <c r="C804" s="43" t="s">
        <v>155</v>
      </c>
      <c r="D804" s="42">
        <v>1</v>
      </c>
      <c r="E804" s="41">
        <v>5.1419169066227893E-5</v>
      </c>
    </row>
    <row r="805" spans="2:5" ht="15" customHeight="1">
      <c r="B805" s="92"/>
      <c r="C805" s="43" t="s">
        <v>150</v>
      </c>
      <c r="D805" s="42">
        <v>2</v>
      </c>
      <c r="E805" s="41">
        <v>1.0283833813245579E-4</v>
      </c>
    </row>
    <row r="806" spans="2:5" ht="15" customHeight="1">
      <c r="B806" s="93"/>
      <c r="C806" s="40" t="s">
        <v>20</v>
      </c>
      <c r="D806" s="39">
        <v>14</v>
      </c>
      <c r="E806" s="38">
        <v>7.1986836692719048E-4</v>
      </c>
    </row>
    <row r="807" spans="2:5" ht="15" customHeight="1">
      <c r="B807" s="91" t="s">
        <v>23</v>
      </c>
      <c r="C807" s="43" t="s">
        <v>155</v>
      </c>
      <c r="D807" s="42">
        <v>1</v>
      </c>
      <c r="E807" s="41">
        <v>5.1419169066227893E-5</v>
      </c>
    </row>
    <row r="808" spans="2:5" ht="15" customHeight="1">
      <c r="B808" s="93"/>
      <c r="C808" s="40" t="s">
        <v>20</v>
      </c>
      <c r="D808" s="39">
        <v>1</v>
      </c>
      <c r="E808" s="38">
        <v>5.1419169066227893E-5</v>
      </c>
    </row>
    <row r="809" spans="2:5" ht="15" customHeight="1">
      <c r="B809" s="91" t="s">
        <v>46</v>
      </c>
      <c r="C809" s="43" t="s">
        <v>146</v>
      </c>
      <c r="D809" s="42">
        <v>1</v>
      </c>
      <c r="E809" s="41">
        <v>5.1419169066227893E-5</v>
      </c>
    </row>
    <row r="810" spans="2:5" ht="15" customHeight="1">
      <c r="B810" s="92"/>
      <c r="C810" s="43" t="s">
        <v>152</v>
      </c>
      <c r="D810" s="42">
        <v>4</v>
      </c>
      <c r="E810" s="41">
        <v>2.0567667626491157E-4</v>
      </c>
    </row>
    <row r="811" spans="2:5" ht="15" customHeight="1">
      <c r="B811" s="92"/>
      <c r="C811" s="43" t="s">
        <v>156</v>
      </c>
      <c r="D811" s="42">
        <v>2</v>
      </c>
      <c r="E811" s="41">
        <v>1.0283833813245579E-4</v>
      </c>
    </row>
    <row r="812" spans="2:5" ht="15" customHeight="1">
      <c r="B812" s="92"/>
      <c r="C812" s="43" t="s">
        <v>148</v>
      </c>
      <c r="D812" s="42">
        <v>3</v>
      </c>
      <c r="E812" s="41">
        <v>1.5425750719868367E-4</v>
      </c>
    </row>
    <row r="813" spans="2:5" ht="15" customHeight="1">
      <c r="B813" s="92"/>
      <c r="C813" s="43" t="s">
        <v>137</v>
      </c>
      <c r="D813" s="42">
        <v>1</v>
      </c>
      <c r="E813" s="41">
        <v>5.1419169066227893E-5</v>
      </c>
    </row>
    <row r="814" spans="2:5" ht="15" customHeight="1">
      <c r="B814" s="92"/>
      <c r="C814" s="43" t="s">
        <v>132</v>
      </c>
      <c r="D814" s="42">
        <v>2</v>
      </c>
      <c r="E814" s="41">
        <v>1.0283833813245579E-4</v>
      </c>
    </row>
    <row r="815" spans="2:5" ht="15" customHeight="1">
      <c r="B815" s="92"/>
      <c r="C815" s="43" t="s">
        <v>159</v>
      </c>
      <c r="D815" s="42">
        <v>12</v>
      </c>
      <c r="E815" s="41">
        <v>6.1703002879473468E-4</v>
      </c>
    </row>
    <row r="816" spans="2:5" ht="15" customHeight="1">
      <c r="B816" s="92"/>
      <c r="C816" s="43" t="s">
        <v>157</v>
      </c>
      <c r="D816" s="42">
        <v>12</v>
      </c>
      <c r="E816" s="41">
        <v>6.1703002879473468E-4</v>
      </c>
    </row>
    <row r="817" spans="2:5" ht="15" customHeight="1">
      <c r="B817" s="92"/>
      <c r="C817" s="43" t="s">
        <v>141</v>
      </c>
      <c r="D817" s="42">
        <v>1</v>
      </c>
      <c r="E817" s="41">
        <v>5.1419169066227893E-5</v>
      </c>
    </row>
    <row r="818" spans="2:5" ht="15" customHeight="1">
      <c r="B818" s="92"/>
      <c r="C818" s="43" t="s">
        <v>158</v>
      </c>
      <c r="D818" s="42">
        <v>11</v>
      </c>
      <c r="E818" s="41">
        <v>5.6561085972850684E-4</v>
      </c>
    </row>
    <row r="819" spans="2:5" ht="15" customHeight="1">
      <c r="B819" s="92"/>
      <c r="C819" s="43" t="s">
        <v>154</v>
      </c>
      <c r="D819" s="42">
        <v>6</v>
      </c>
      <c r="E819" s="41">
        <v>3.0851501439736734E-4</v>
      </c>
    </row>
    <row r="820" spans="2:5" ht="15" customHeight="1">
      <c r="B820" s="92"/>
      <c r="C820" s="43" t="s">
        <v>149</v>
      </c>
      <c r="D820" s="42">
        <v>4</v>
      </c>
      <c r="E820" s="41">
        <v>2.0567667626491157E-4</v>
      </c>
    </row>
    <row r="821" spans="2:5" ht="15" customHeight="1">
      <c r="B821" s="92"/>
      <c r="C821" s="43" t="s">
        <v>155</v>
      </c>
      <c r="D821" s="42">
        <v>6</v>
      </c>
      <c r="E821" s="41">
        <v>3.0851501439736734E-4</v>
      </c>
    </row>
    <row r="822" spans="2:5" ht="15" customHeight="1">
      <c r="B822" s="92"/>
      <c r="C822" s="43" t="s">
        <v>151</v>
      </c>
      <c r="D822" s="42">
        <v>1</v>
      </c>
      <c r="E822" s="41">
        <v>5.1419169066227893E-5</v>
      </c>
    </row>
    <row r="823" spans="2:5" ht="15" customHeight="1">
      <c r="B823" s="92"/>
      <c r="C823" s="43" t="s">
        <v>153</v>
      </c>
      <c r="D823" s="42">
        <v>2</v>
      </c>
      <c r="E823" s="41">
        <v>1.0283833813245579E-4</v>
      </c>
    </row>
    <row r="824" spans="2:5" ht="15" customHeight="1">
      <c r="B824" s="92"/>
      <c r="C824" s="43" t="s">
        <v>150</v>
      </c>
      <c r="D824" s="42">
        <v>6</v>
      </c>
      <c r="E824" s="41">
        <v>3.0851501439736734E-4</v>
      </c>
    </row>
    <row r="825" spans="2:5" ht="15" customHeight="1">
      <c r="B825" s="92"/>
      <c r="C825" s="43" t="s">
        <v>138</v>
      </c>
      <c r="D825" s="42">
        <v>2</v>
      </c>
      <c r="E825" s="41">
        <v>1.0283833813245579E-4</v>
      </c>
    </row>
    <row r="826" spans="2:5" ht="15" customHeight="1">
      <c r="B826" s="93"/>
      <c r="C826" s="40" t="s">
        <v>20</v>
      </c>
      <c r="D826" s="39">
        <v>76</v>
      </c>
      <c r="E826" s="38">
        <v>3.9078568490333197E-3</v>
      </c>
    </row>
    <row r="827" spans="2:5" ht="15" customHeight="1">
      <c r="B827" s="91" t="s">
        <v>24</v>
      </c>
      <c r="C827" s="43" t="s">
        <v>155</v>
      </c>
      <c r="D827" s="42">
        <v>1</v>
      </c>
      <c r="E827" s="41">
        <v>5.1419169066227893E-5</v>
      </c>
    </row>
    <row r="828" spans="2:5" ht="15" customHeight="1">
      <c r="B828" s="93"/>
      <c r="C828" s="40" t="s">
        <v>20</v>
      </c>
      <c r="D828" s="39">
        <v>1</v>
      </c>
      <c r="E828" s="38">
        <v>5.1419169066227893E-5</v>
      </c>
    </row>
    <row r="829" spans="2:5" ht="15" customHeight="1">
      <c r="B829" s="89" t="s">
        <v>20</v>
      </c>
      <c r="C829" s="90"/>
      <c r="D829" s="69">
        <v>19448</v>
      </c>
      <c r="E829" s="70">
        <v>1</v>
      </c>
    </row>
    <row r="831" spans="2:5" ht="15" customHeight="1">
      <c r="B831" s="16" t="s">
        <v>240</v>
      </c>
    </row>
    <row r="832" spans="2:5" ht="15" customHeight="1">
      <c r="B832" s="18" t="s">
        <v>19</v>
      </c>
    </row>
    <row r="833" spans="2:2" ht="15" customHeight="1">
      <c r="B833" s="17" t="s">
        <v>18</v>
      </c>
    </row>
    <row r="834" spans="2:2" ht="15" customHeight="1">
      <c r="B834" s="16" t="s">
        <v>17</v>
      </c>
    </row>
    <row r="835" spans="2:2" ht="15" customHeight="1">
      <c r="B835" s="16" t="s">
        <v>241</v>
      </c>
    </row>
  </sheetData>
  <mergeCells count="49">
    <mergeCell ref="B7:E8"/>
    <mergeCell ref="B641:B652"/>
    <mergeCell ref="B653:B655"/>
    <mergeCell ref="B409:B429"/>
    <mergeCell ref="B430:B448"/>
    <mergeCell ref="B449:B469"/>
    <mergeCell ref="B470:B485"/>
    <mergeCell ref="B486:B503"/>
    <mergeCell ref="B504:B506"/>
    <mergeCell ref="B221:B230"/>
    <mergeCell ref="B231:B260"/>
    <mergeCell ref="B589:B613"/>
    <mergeCell ref="B614:B635"/>
    <mergeCell ref="B636:B640"/>
    <mergeCell ref="B261:B285"/>
    <mergeCell ref="B286:B300"/>
    <mergeCell ref="B378:B384"/>
    <mergeCell ref="B385:B408"/>
    <mergeCell ref="B132:B138"/>
    <mergeCell ref="B139:B147"/>
    <mergeCell ref="B148:B149"/>
    <mergeCell ref="B150:B188"/>
    <mergeCell ref="B189:B220"/>
    <mergeCell ref="B301:B320"/>
    <mergeCell ref="B321:B341"/>
    <mergeCell ref="B342:B363"/>
    <mergeCell ref="B364:B365"/>
    <mergeCell ref="B366:B377"/>
    <mergeCell ref="B10:B37"/>
    <mergeCell ref="B38:B54"/>
    <mergeCell ref="B55:B79"/>
    <mergeCell ref="B80:B112"/>
    <mergeCell ref="B113:B131"/>
    <mergeCell ref="B507:B523"/>
    <mergeCell ref="B524:B534"/>
    <mergeCell ref="B535:B550"/>
    <mergeCell ref="B551:B586"/>
    <mergeCell ref="B587:B588"/>
    <mergeCell ref="B656:B683"/>
    <mergeCell ref="B684:B688"/>
    <mergeCell ref="B689:B719"/>
    <mergeCell ref="B720:B763"/>
    <mergeCell ref="B764:B777"/>
    <mergeCell ref="B829:C829"/>
    <mergeCell ref="B778:B797"/>
    <mergeCell ref="B798:B806"/>
    <mergeCell ref="B807:B808"/>
    <mergeCell ref="B809:B826"/>
    <mergeCell ref="B827:B828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8" orientation="portrait" r:id="rId1"/>
  <colBreaks count="1" manualBreakCount="1">
    <brk id="5" max="18" man="1"/>
  </colBrea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E983"/>
  <sheetViews>
    <sheetView showGridLines="0" topLeftCell="A953" zoomScaleNormal="100" zoomScaleSheetLayoutView="85" workbookViewId="0">
      <selection activeCell="G13" sqref="G13"/>
    </sheetView>
  </sheetViews>
  <sheetFormatPr baseColWidth="10" defaultColWidth="35" defaultRowHeight="15" customHeight="1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1" customFormat="1" ht="12" customHeight="1">
      <c r="B1" s="55"/>
      <c r="C1" s="54"/>
      <c r="D1" s="54"/>
      <c r="E1" s="54"/>
    </row>
    <row r="2" spans="1:5" s="51" customFormat="1" ht="15" customHeight="1">
      <c r="C2" s="53"/>
    </row>
    <row r="3" spans="1:5" s="51" customFormat="1" ht="15" customHeight="1">
      <c r="C3" s="53"/>
    </row>
    <row r="4" spans="1:5" s="51" customFormat="1" ht="30" customHeight="1">
      <c r="C4" s="53"/>
      <c r="D4" s="52"/>
    </row>
    <row r="5" spans="1:5" s="51" customFormat="1" ht="15" customHeight="1">
      <c r="C5" s="53"/>
      <c r="D5" s="52"/>
    </row>
    <row r="6" spans="1:5" s="48" customFormat="1" ht="24" customHeight="1">
      <c r="B6" s="50"/>
      <c r="C6" s="44"/>
      <c r="D6" s="44"/>
      <c r="E6" s="44"/>
    </row>
    <row r="7" spans="1:5" s="48" customFormat="1" ht="26.25" customHeight="1">
      <c r="A7" s="49"/>
      <c r="B7" s="94"/>
      <c r="C7" s="94"/>
      <c r="D7" s="94"/>
      <c r="E7" s="94"/>
    </row>
    <row r="8" spans="1:5" s="48" customFormat="1" ht="33" customHeight="1">
      <c r="A8" s="49"/>
      <c r="B8" s="94"/>
      <c r="C8" s="94"/>
      <c r="D8" s="94"/>
      <c r="E8" s="94"/>
    </row>
    <row r="9" spans="1:5" s="26" customFormat="1" ht="40.5" customHeight="1">
      <c r="B9" s="45" t="s">
        <v>116</v>
      </c>
      <c r="C9" s="47" t="s">
        <v>161</v>
      </c>
      <c r="D9" s="46" t="s">
        <v>67</v>
      </c>
      <c r="E9" s="45" t="s">
        <v>66</v>
      </c>
    </row>
    <row r="10" spans="1:5" ht="15" customHeight="1">
      <c r="B10" s="91" t="s">
        <v>79</v>
      </c>
      <c r="C10" s="43" t="s">
        <v>152</v>
      </c>
      <c r="D10" s="42">
        <v>2</v>
      </c>
      <c r="E10" s="41">
        <v>1.0283833813245579E-4</v>
      </c>
    </row>
    <row r="11" spans="1:5" ht="15" customHeight="1">
      <c r="B11" s="92"/>
      <c r="C11" s="43" t="s">
        <v>126</v>
      </c>
      <c r="D11" s="42">
        <v>1</v>
      </c>
      <c r="E11" s="41">
        <v>5.1419169066227893E-5</v>
      </c>
    </row>
    <row r="12" spans="1:5" ht="15" customHeight="1">
      <c r="B12" s="92"/>
      <c r="C12" s="43" t="s">
        <v>159</v>
      </c>
      <c r="D12" s="42">
        <v>3</v>
      </c>
      <c r="E12" s="41">
        <v>1.5425750719868367E-4</v>
      </c>
    </row>
    <row r="13" spans="1:5" ht="15" customHeight="1">
      <c r="B13" s="92"/>
      <c r="C13" s="43" t="s">
        <v>141</v>
      </c>
      <c r="D13" s="42">
        <v>1</v>
      </c>
      <c r="E13" s="41">
        <v>5.1419169066227893E-5</v>
      </c>
    </row>
    <row r="14" spans="1:5" ht="15" customHeight="1">
      <c r="B14" s="92"/>
      <c r="C14" s="43" t="s">
        <v>158</v>
      </c>
      <c r="D14" s="42">
        <v>4</v>
      </c>
      <c r="E14" s="41">
        <v>2.0567667626491157E-4</v>
      </c>
    </row>
    <row r="15" spans="1:5" ht="15" customHeight="1">
      <c r="B15" s="92"/>
      <c r="C15" s="43" t="s">
        <v>154</v>
      </c>
      <c r="D15" s="42">
        <v>1</v>
      </c>
      <c r="E15" s="41">
        <v>5.1419169066227893E-5</v>
      </c>
    </row>
    <row r="16" spans="1:5" ht="15" customHeight="1">
      <c r="B16" s="92"/>
      <c r="C16" s="43" t="s">
        <v>155</v>
      </c>
      <c r="D16" s="42">
        <v>5</v>
      </c>
      <c r="E16" s="41">
        <v>2.5709584533113944E-4</v>
      </c>
    </row>
    <row r="17" spans="2:5" ht="15" customHeight="1">
      <c r="B17" s="92"/>
      <c r="C17" s="43" t="s">
        <v>138</v>
      </c>
      <c r="D17" s="42">
        <v>1</v>
      </c>
      <c r="E17" s="41">
        <v>5.1419169066227893E-5</v>
      </c>
    </row>
    <row r="18" spans="2:5" ht="15" customHeight="1">
      <c r="B18" s="93"/>
      <c r="C18" s="40" t="s">
        <v>20</v>
      </c>
      <c r="D18" s="39">
        <v>18</v>
      </c>
      <c r="E18" s="38">
        <v>9.2554504319210197E-4</v>
      </c>
    </row>
    <row r="19" spans="2:5" ht="15" customHeight="1">
      <c r="B19" s="91" t="s">
        <v>111</v>
      </c>
      <c r="C19" s="43" t="s">
        <v>139</v>
      </c>
      <c r="D19" s="42">
        <v>6</v>
      </c>
      <c r="E19" s="41">
        <v>3.0851501439736734E-4</v>
      </c>
    </row>
    <row r="20" spans="2:5" ht="15" customHeight="1">
      <c r="B20" s="92"/>
      <c r="C20" s="43" t="s">
        <v>143</v>
      </c>
      <c r="D20" s="42">
        <v>31</v>
      </c>
      <c r="E20" s="41">
        <v>1.5939942410530645E-3</v>
      </c>
    </row>
    <row r="21" spans="2:5" ht="15" customHeight="1">
      <c r="B21" s="92"/>
      <c r="C21" s="43" t="s">
        <v>146</v>
      </c>
      <c r="D21" s="42">
        <v>38</v>
      </c>
      <c r="E21" s="41">
        <v>1.9539284245166598E-3</v>
      </c>
    </row>
    <row r="22" spans="2:5" ht="15" customHeight="1">
      <c r="B22" s="92"/>
      <c r="C22" s="43" t="s">
        <v>130</v>
      </c>
      <c r="D22" s="42">
        <v>2</v>
      </c>
      <c r="E22" s="41">
        <v>1.0283833813245579E-4</v>
      </c>
    </row>
    <row r="23" spans="2:5" ht="15" customHeight="1">
      <c r="B23" s="92"/>
      <c r="C23" s="43" t="s">
        <v>136</v>
      </c>
      <c r="D23" s="42">
        <v>3</v>
      </c>
      <c r="E23" s="41">
        <v>1.5425750719868367E-4</v>
      </c>
    </row>
    <row r="24" spans="2:5" ht="15" customHeight="1">
      <c r="B24" s="92"/>
      <c r="C24" s="43" t="s">
        <v>135</v>
      </c>
      <c r="D24" s="42">
        <v>6</v>
      </c>
      <c r="E24" s="41">
        <v>3.0851501439736734E-4</v>
      </c>
    </row>
    <row r="25" spans="2:5" ht="15" customHeight="1">
      <c r="B25" s="92"/>
      <c r="C25" s="43" t="s">
        <v>142</v>
      </c>
      <c r="D25" s="42">
        <v>3</v>
      </c>
      <c r="E25" s="41">
        <v>1.5425750719868367E-4</v>
      </c>
    </row>
    <row r="26" spans="2:5" ht="15" customHeight="1">
      <c r="B26" s="92"/>
      <c r="C26" s="43" t="s">
        <v>118</v>
      </c>
      <c r="D26" s="42">
        <v>1</v>
      </c>
      <c r="E26" s="41">
        <v>5.1419169066227893E-5</v>
      </c>
    </row>
    <row r="27" spans="2:5" ht="15" customHeight="1">
      <c r="B27" s="92"/>
      <c r="C27" s="43" t="s">
        <v>152</v>
      </c>
      <c r="D27" s="42">
        <v>64</v>
      </c>
      <c r="E27" s="41">
        <v>3.2908268202385851E-3</v>
      </c>
    </row>
    <row r="28" spans="2:5" ht="15" customHeight="1">
      <c r="B28" s="92"/>
      <c r="C28" s="43" t="s">
        <v>119</v>
      </c>
      <c r="D28" s="42">
        <v>1</v>
      </c>
      <c r="E28" s="41">
        <v>5.1419169066227893E-5</v>
      </c>
    </row>
    <row r="29" spans="2:5" ht="15" customHeight="1">
      <c r="B29" s="92"/>
      <c r="C29" s="43" t="s">
        <v>156</v>
      </c>
      <c r="D29" s="42">
        <v>146</v>
      </c>
      <c r="E29" s="41">
        <v>7.5071986836692719E-3</v>
      </c>
    </row>
    <row r="30" spans="2:5" ht="15" customHeight="1">
      <c r="B30" s="92"/>
      <c r="C30" s="43" t="s">
        <v>128</v>
      </c>
      <c r="D30" s="42">
        <v>5</v>
      </c>
      <c r="E30" s="41">
        <v>2.5709584533113944E-4</v>
      </c>
    </row>
    <row r="31" spans="2:5" ht="15" customHeight="1">
      <c r="B31" s="92"/>
      <c r="C31" s="43" t="s">
        <v>148</v>
      </c>
      <c r="D31" s="42">
        <v>41</v>
      </c>
      <c r="E31" s="41">
        <v>2.1081859317153436E-3</v>
      </c>
    </row>
    <row r="32" spans="2:5" ht="15" customHeight="1">
      <c r="B32" s="92"/>
      <c r="C32" s="43" t="s">
        <v>126</v>
      </c>
      <c r="D32" s="42">
        <v>1</v>
      </c>
      <c r="E32" s="41">
        <v>5.1419169066227893E-5</v>
      </c>
    </row>
    <row r="33" spans="2:5" ht="15" customHeight="1">
      <c r="B33" s="92"/>
      <c r="C33" s="43" t="s">
        <v>145</v>
      </c>
      <c r="D33" s="42">
        <v>4</v>
      </c>
      <c r="E33" s="41">
        <v>2.0567667626491157E-4</v>
      </c>
    </row>
    <row r="34" spans="2:5" ht="15" customHeight="1">
      <c r="B34" s="92"/>
      <c r="C34" s="43" t="s">
        <v>137</v>
      </c>
      <c r="D34" s="42">
        <v>3</v>
      </c>
      <c r="E34" s="41">
        <v>1.5425750719868367E-4</v>
      </c>
    </row>
    <row r="35" spans="2:5" ht="15" customHeight="1">
      <c r="B35" s="92"/>
      <c r="C35" s="43" t="s">
        <v>133</v>
      </c>
      <c r="D35" s="42">
        <v>8</v>
      </c>
      <c r="E35" s="41">
        <v>4.1135335252982314E-4</v>
      </c>
    </row>
    <row r="36" spans="2:5" ht="15" customHeight="1">
      <c r="B36" s="92"/>
      <c r="C36" s="43" t="s">
        <v>132</v>
      </c>
      <c r="D36" s="42">
        <v>5</v>
      </c>
      <c r="E36" s="41">
        <v>2.5709584533113944E-4</v>
      </c>
    </row>
    <row r="37" spans="2:5" ht="15" customHeight="1">
      <c r="B37" s="92"/>
      <c r="C37" s="43" t="s">
        <v>140</v>
      </c>
      <c r="D37" s="42">
        <v>4</v>
      </c>
      <c r="E37" s="41">
        <v>2.0567667626491157E-4</v>
      </c>
    </row>
    <row r="38" spans="2:5" ht="15" customHeight="1">
      <c r="B38" s="92"/>
      <c r="C38" s="43" t="s">
        <v>159</v>
      </c>
      <c r="D38" s="42">
        <v>130</v>
      </c>
      <c r="E38" s="41">
        <v>6.6844919786096255E-3</v>
      </c>
    </row>
    <row r="39" spans="2:5" ht="15" customHeight="1">
      <c r="B39" s="92"/>
      <c r="C39" s="43" t="s">
        <v>147</v>
      </c>
      <c r="D39" s="42">
        <v>4</v>
      </c>
      <c r="E39" s="41">
        <v>2.0567667626491157E-4</v>
      </c>
    </row>
    <row r="40" spans="2:5" ht="15" customHeight="1">
      <c r="B40" s="92"/>
      <c r="C40" s="43" t="s">
        <v>121</v>
      </c>
      <c r="D40" s="42">
        <v>2</v>
      </c>
      <c r="E40" s="41">
        <v>1.0283833813245579E-4</v>
      </c>
    </row>
    <row r="41" spans="2:5" ht="15" customHeight="1">
      <c r="B41" s="92"/>
      <c r="C41" s="43" t="s">
        <v>157</v>
      </c>
      <c r="D41" s="42">
        <v>29</v>
      </c>
      <c r="E41" s="41">
        <v>1.4911559029206088E-3</v>
      </c>
    </row>
    <row r="42" spans="2:5" ht="15" customHeight="1">
      <c r="B42" s="92"/>
      <c r="C42" s="43" t="s">
        <v>120</v>
      </c>
      <c r="D42" s="42">
        <v>1</v>
      </c>
      <c r="E42" s="41">
        <v>5.1419169066227893E-5</v>
      </c>
    </row>
    <row r="43" spans="2:5" ht="15" customHeight="1">
      <c r="B43" s="92"/>
      <c r="C43" s="43" t="s">
        <v>141</v>
      </c>
      <c r="D43" s="42">
        <v>18</v>
      </c>
      <c r="E43" s="41">
        <v>9.2554504319210197E-4</v>
      </c>
    </row>
    <row r="44" spans="2:5" ht="15" customHeight="1">
      <c r="B44" s="92"/>
      <c r="C44" s="43" t="s">
        <v>134</v>
      </c>
      <c r="D44" s="42">
        <v>4</v>
      </c>
      <c r="E44" s="41">
        <v>2.0567667626491157E-4</v>
      </c>
    </row>
    <row r="45" spans="2:5" ht="15" customHeight="1">
      <c r="B45" s="92"/>
      <c r="C45" s="43" t="s">
        <v>122</v>
      </c>
      <c r="D45" s="42">
        <v>2</v>
      </c>
      <c r="E45" s="41">
        <v>1.0283833813245579E-4</v>
      </c>
    </row>
    <row r="46" spans="2:5" ht="15" customHeight="1">
      <c r="B46" s="92"/>
      <c r="C46" s="43" t="s">
        <v>158</v>
      </c>
      <c r="D46" s="42">
        <v>42</v>
      </c>
      <c r="E46" s="41">
        <v>2.1596051007815712E-3</v>
      </c>
    </row>
    <row r="47" spans="2:5" ht="15" customHeight="1">
      <c r="B47" s="92"/>
      <c r="C47" s="43" t="s">
        <v>154</v>
      </c>
      <c r="D47" s="42">
        <v>30</v>
      </c>
      <c r="E47" s="41">
        <v>1.5425750719868367E-3</v>
      </c>
    </row>
    <row r="48" spans="2:5" ht="15" customHeight="1">
      <c r="B48" s="92"/>
      <c r="C48" s="43" t="s">
        <v>149</v>
      </c>
      <c r="D48" s="42">
        <v>22</v>
      </c>
      <c r="E48" s="41">
        <v>1.1312217194570137E-3</v>
      </c>
    </row>
    <row r="49" spans="2:5" ht="15" customHeight="1">
      <c r="B49" s="92"/>
      <c r="C49" s="43" t="s">
        <v>144</v>
      </c>
      <c r="D49" s="42">
        <v>27</v>
      </c>
      <c r="E49" s="41">
        <v>1.3883175647881531E-3</v>
      </c>
    </row>
    <row r="50" spans="2:5" ht="15" customHeight="1">
      <c r="B50" s="92"/>
      <c r="C50" s="43" t="s">
        <v>155</v>
      </c>
      <c r="D50" s="42">
        <v>112</v>
      </c>
      <c r="E50" s="41">
        <v>5.7589469354175239E-3</v>
      </c>
    </row>
    <row r="51" spans="2:5" ht="15" customHeight="1">
      <c r="B51" s="92"/>
      <c r="C51" s="43" t="s">
        <v>151</v>
      </c>
      <c r="D51" s="42">
        <v>74</v>
      </c>
      <c r="E51" s="41">
        <v>3.805018510900864E-3</v>
      </c>
    </row>
    <row r="52" spans="2:5" ht="15" customHeight="1">
      <c r="B52" s="92"/>
      <c r="C52" s="43" t="s">
        <v>153</v>
      </c>
      <c r="D52" s="42">
        <v>10</v>
      </c>
      <c r="E52" s="41">
        <v>5.1419169066227888E-4</v>
      </c>
    </row>
    <row r="53" spans="2:5" ht="15" customHeight="1">
      <c r="B53" s="92"/>
      <c r="C53" s="43" t="s">
        <v>150</v>
      </c>
      <c r="D53" s="42">
        <v>25</v>
      </c>
      <c r="E53" s="41">
        <v>1.2854792266556972E-3</v>
      </c>
    </row>
    <row r="54" spans="2:5" ht="15" customHeight="1">
      <c r="B54" s="92"/>
      <c r="C54" s="43" t="s">
        <v>127</v>
      </c>
      <c r="D54" s="42">
        <v>2</v>
      </c>
      <c r="E54" s="41">
        <v>1.0283833813245579E-4</v>
      </c>
    </row>
    <row r="55" spans="2:5" ht="15" customHeight="1">
      <c r="B55" s="92"/>
      <c r="C55" s="43" t="s">
        <v>138</v>
      </c>
      <c r="D55" s="42">
        <v>7</v>
      </c>
      <c r="E55" s="41">
        <v>3.5993418346359524E-4</v>
      </c>
    </row>
    <row r="56" spans="2:5" ht="15" customHeight="1">
      <c r="B56" s="93"/>
      <c r="C56" s="40" t="s">
        <v>20</v>
      </c>
      <c r="D56" s="39">
        <v>913</v>
      </c>
      <c r="E56" s="38">
        <v>4.6945701357466063E-2</v>
      </c>
    </row>
    <row r="57" spans="2:5" ht="15" customHeight="1">
      <c r="B57" s="91" t="s">
        <v>101</v>
      </c>
      <c r="C57" s="43" t="s">
        <v>143</v>
      </c>
      <c r="D57" s="42">
        <v>2</v>
      </c>
      <c r="E57" s="41">
        <v>1.0283833813245579E-4</v>
      </c>
    </row>
    <row r="58" spans="2:5" ht="15" customHeight="1">
      <c r="B58" s="92"/>
      <c r="C58" s="43" t="s">
        <v>146</v>
      </c>
      <c r="D58" s="42">
        <v>9</v>
      </c>
      <c r="E58" s="41">
        <v>4.6277252159605099E-4</v>
      </c>
    </row>
    <row r="59" spans="2:5" ht="15" customHeight="1">
      <c r="B59" s="92"/>
      <c r="C59" s="43" t="s">
        <v>135</v>
      </c>
      <c r="D59" s="42">
        <v>3</v>
      </c>
      <c r="E59" s="41">
        <v>1.5425750719868367E-4</v>
      </c>
    </row>
    <row r="60" spans="2:5" ht="15" customHeight="1">
      <c r="B60" s="92"/>
      <c r="C60" s="43" t="s">
        <v>142</v>
      </c>
      <c r="D60" s="42">
        <v>5</v>
      </c>
      <c r="E60" s="41">
        <v>2.5709584533113944E-4</v>
      </c>
    </row>
    <row r="61" spans="2:5" ht="15" customHeight="1">
      <c r="B61" s="92"/>
      <c r="C61" s="43" t="s">
        <v>152</v>
      </c>
      <c r="D61" s="42">
        <v>33</v>
      </c>
      <c r="E61" s="41">
        <v>1.6968325791855204E-3</v>
      </c>
    </row>
    <row r="62" spans="2:5" ht="15" customHeight="1">
      <c r="B62" s="92"/>
      <c r="C62" s="43" t="s">
        <v>119</v>
      </c>
      <c r="D62" s="42">
        <v>1</v>
      </c>
      <c r="E62" s="41">
        <v>5.1419169066227893E-5</v>
      </c>
    </row>
    <row r="63" spans="2:5" ht="15" customHeight="1">
      <c r="B63" s="92"/>
      <c r="C63" s="43" t="s">
        <v>156</v>
      </c>
      <c r="D63" s="42">
        <v>31</v>
      </c>
      <c r="E63" s="41">
        <v>1.5939942410530645E-3</v>
      </c>
    </row>
    <row r="64" spans="2:5" ht="15" customHeight="1">
      <c r="B64" s="92"/>
      <c r="C64" s="43" t="s">
        <v>128</v>
      </c>
      <c r="D64" s="42">
        <v>1</v>
      </c>
      <c r="E64" s="41">
        <v>5.1419169066227893E-5</v>
      </c>
    </row>
    <row r="65" spans="2:5" ht="15" customHeight="1">
      <c r="B65" s="92"/>
      <c r="C65" s="43" t="s">
        <v>148</v>
      </c>
      <c r="D65" s="42">
        <v>6</v>
      </c>
      <c r="E65" s="41">
        <v>3.0851501439736734E-4</v>
      </c>
    </row>
    <row r="66" spans="2:5" ht="15" customHeight="1">
      <c r="B66" s="92"/>
      <c r="C66" s="43" t="s">
        <v>145</v>
      </c>
      <c r="D66" s="42">
        <v>2</v>
      </c>
      <c r="E66" s="41">
        <v>1.0283833813245579E-4</v>
      </c>
    </row>
    <row r="67" spans="2:5" ht="15" customHeight="1">
      <c r="B67" s="92"/>
      <c r="C67" s="43" t="s">
        <v>137</v>
      </c>
      <c r="D67" s="42">
        <v>2</v>
      </c>
      <c r="E67" s="41">
        <v>1.0283833813245579E-4</v>
      </c>
    </row>
    <row r="68" spans="2:5" ht="15" customHeight="1">
      <c r="B68" s="92"/>
      <c r="C68" s="43" t="s">
        <v>133</v>
      </c>
      <c r="D68" s="42">
        <v>2</v>
      </c>
      <c r="E68" s="41">
        <v>1.0283833813245579E-4</v>
      </c>
    </row>
    <row r="69" spans="2:5" ht="15" customHeight="1">
      <c r="B69" s="92"/>
      <c r="C69" s="43" t="s">
        <v>140</v>
      </c>
      <c r="D69" s="42">
        <v>9</v>
      </c>
      <c r="E69" s="41">
        <v>4.6277252159605099E-4</v>
      </c>
    </row>
    <row r="70" spans="2:5" ht="15" customHeight="1">
      <c r="B70" s="92"/>
      <c r="C70" s="43" t="s">
        <v>159</v>
      </c>
      <c r="D70" s="42">
        <v>47</v>
      </c>
      <c r="E70" s="41">
        <v>2.4167009461127107E-3</v>
      </c>
    </row>
    <row r="71" spans="2:5" ht="15" customHeight="1">
      <c r="B71" s="92"/>
      <c r="C71" s="43" t="s">
        <v>129</v>
      </c>
      <c r="D71" s="42">
        <v>1</v>
      </c>
      <c r="E71" s="41">
        <v>5.1419169066227893E-5</v>
      </c>
    </row>
    <row r="72" spans="2:5" ht="15" customHeight="1">
      <c r="B72" s="92"/>
      <c r="C72" s="43" t="s">
        <v>147</v>
      </c>
      <c r="D72" s="42">
        <v>2</v>
      </c>
      <c r="E72" s="41">
        <v>1.0283833813245579E-4</v>
      </c>
    </row>
    <row r="73" spans="2:5" ht="15" customHeight="1">
      <c r="B73" s="92"/>
      <c r="C73" s="43" t="s">
        <v>157</v>
      </c>
      <c r="D73" s="42">
        <v>72</v>
      </c>
      <c r="E73" s="41">
        <v>3.7021801727684079E-3</v>
      </c>
    </row>
    <row r="74" spans="2:5" ht="15" customHeight="1">
      <c r="B74" s="92"/>
      <c r="C74" s="43" t="s">
        <v>141</v>
      </c>
      <c r="D74" s="42">
        <v>2</v>
      </c>
      <c r="E74" s="41">
        <v>1.0283833813245579E-4</v>
      </c>
    </row>
    <row r="75" spans="2:5" ht="15" customHeight="1">
      <c r="B75" s="92"/>
      <c r="C75" s="43" t="s">
        <v>134</v>
      </c>
      <c r="D75" s="42">
        <v>3</v>
      </c>
      <c r="E75" s="41">
        <v>1.5425750719868367E-4</v>
      </c>
    </row>
    <row r="76" spans="2:5" ht="15" customHeight="1">
      <c r="B76" s="92"/>
      <c r="C76" s="43" t="s">
        <v>122</v>
      </c>
      <c r="D76" s="42">
        <v>1</v>
      </c>
      <c r="E76" s="41">
        <v>5.1419169066227893E-5</v>
      </c>
    </row>
    <row r="77" spans="2:5" ht="15" customHeight="1">
      <c r="B77" s="92"/>
      <c r="C77" s="43" t="s">
        <v>158</v>
      </c>
      <c r="D77" s="42">
        <v>19</v>
      </c>
      <c r="E77" s="41">
        <v>9.7696421225832992E-4</v>
      </c>
    </row>
    <row r="78" spans="2:5" ht="15" customHeight="1">
      <c r="B78" s="92"/>
      <c r="C78" s="43" t="s">
        <v>154</v>
      </c>
      <c r="D78" s="42">
        <v>10</v>
      </c>
      <c r="E78" s="41">
        <v>5.1419169066227888E-4</v>
      </c>
    </row>
    <row r="79" spans="2:5" ht="15" customHeight="1">
      <c r="B79" s="92"/>
      <c r="C79" s="43" t="s">
        <v>131</v>
      </c>
      <c r="D79" s="42">
        <v>2</v>
      </c>
      <c r="E79" s="41">
        <v>1.0283833813245579E-4</v>
      </c>
    </row>
    <row r="80" spans="2:5" ht="15" customHeight="1">
      <c r="B80" s="92"/>
      <c r="C80" s="43" t="s">
        <v>149</v>
      </c>
      <c r="D80" s="42">
        <v>12</v>
      </c>
      <c r="E80" s="41">
        <v>6.1703002879473468E-4</v>
      </c>
    </row>
    <row r="81" spans="2:5" ht="15" customHeight="1">
      <c r="B81" s="92"/>
      <c r="C81" s="43" t="s">
        <v>144</v>
      </c>
      <c r="D81" s="42">
        <v>3</v>
      </c>
      <c r="E81" s="41">
        <v>1.5425750719868367E-4</v>
      </c>
    </row>
    <row r="82" spans="2:5" ht="15" customHeight="1">
      <c r="B82" s="92"/>
      <c r="C82" s="43" t="s">
        <v>155</v>
      </c>
      <c r="D82" s="42">
        <v>56</v>
      </c>
      <c r="E82" s="41">
        <v>2.8794734677087619E-3</v>
      </c>
    </row>
    <row r="83" spans="2:5" ht="15" customHeight="1">
      <c r="B83" s="92"/>
      <c r="C83" s="43" t="s">
        <v>151</v>
      </c>
      <c r="D83" s="42">
        <v>24</v>
      </c>
      <c r="E83" s="41">
        <v>1.2340600575894694E-3</v>
      </c>
    </row>
    <row r="84" spans="2:5" ht="15" customHeight="1">
      <c r="B84" s="92"/>
      <c r="C84" s="43" t="s">
        <v>153</v>
      </c>
      <c r="D84" s="42">
        <v>10</v>
      </c>
      <c r="E84" s="41">
        <v>5.1419169066227888E-4</v>
      </c>
    </row>
    <row r="85" spans="2:5" ht="15" customHeight="1">
      <c r="B85" s="92"/>
      <c r="C85" s="43" t="s">
        <v>150</v>
      </c>
      <c r="D85" s="42">
        <v>20</v>
      </c>
      <c r="E85" s="41">
        <v>1.0283833813245578E-3</v>
      </c>
    </row>
    <row r="86" spans="2:5" ht="15" customHeight="1">
      <c r="B86" s="92"/>
      <c r="C86" s="43" t="s">
        <v>127</v>
      </c>
      <c r="D86" s="42">
        <v>1</v>
      </c>
      <c r="E86" s="41">
        <v>5.1419169066227893E-5</v>
      </c>
    </row>
    <row r="87" spans="2:5" ht="15" customHeight="1">
      <c r="B87" s="92"/>
      <c r="C87" s="43" t="s">
        <v>138</v>
      </c>
      <c r="D87" s="42">
        <v>8</v>
      </c>
      <c r="E87" s="41">
        <v>4.1135335252982314E-4</v>
      </c>
    </row>
    <row r="88" spans="2:5" ht="15" customHeight="1">
      <c r="B88" s="93"/>
      <c r="C88" s="40" t="s">
        <v>20</v>
      </c>
      <c r="D88" s="39">
        <v>399</v>
      </c>
      <c r="E88" s="38">
        <v>2.0516248457424929E-2</v>
      </c>
    </row>
    <row r="89" spans="2:5" ht="15" customHeight="1">
      <c r="B89" s="91" t="s">
        <v>77</v>
      </c>
      <c r="C89" s="43" t="s">
        <v>152</v>
      </c>
      <c r="D89" s="42">
        <v>1</v>
      </c>
      <c r="E89" s="41">
        <v>5.1419169066227893E-5</v>
      </c>
    </row>
    <row r="90" spans="2:5" ht="15" customHeight="1">
      <c r="B90" s="92"/>
      <c r="C90" s="43" t="s">
        <v>156</v>
      </c>
      <c r="D90" s="42">
        <v>1</v>
      </c>
      <c r="E90" s="41">
        <v>5.1419169066227893E-5</v>
      </c>
    </row>
    <row r="91" spans="2:5" ht="15" customHeight="1">
      <c r="B91" s="92"/>
      <c r="C91" s="43" t="s">
        <v>148</v>
      </c>
      <c r="D91" s="42">
        <v>1</v>
      </c>
      <c r="E91" s="41">
        <v>5.1419169066227893E-5</v>
      </c>
    </row>
    <row r="92" spans="2:5" ht="15" customHeight="1">
      <c r="B92" s="92"/>
      <c r="C92" s="43" t="s">
        <v>145</v>
      </c>
      <c r="D92" s="42">
        <v>1</v>
      </c>
      <c r="E92" s="41">
        <v>5.1419169066227893E-5</v>
      </c>
    </row>
    <row r="93" spans="2:5" ht="15" customHeight="1">
      <c r="B93" s="92"/>
      <c r="C93" s="43" t="s">
        <v>159</v>
      </c>
      <c r="D93" s="42">
        <v>6</v>
      </c>
      <c r="E93" s="41">
        <v>3.0851501439736734E-4</v>
      </c>
    </row>
    <row r="94" spans="2:5" ht="15" customHeight="1">
      <c r="B94" s="92"/>
      <c r="C94" s="43" t="s">
        <v>157</v>
      </c>
      <c r="D94" s="42">
        <v>1</v>
      </c>
      <c r="E94" s="41">
        <v>5.1419169066227893E-5</v>
      </c>
    </row>
    <row r="95" spans="2:5" ht="15" customHeight="1">
      <c r="B95" s="92"/>
      <c r="C95" s="43" t="s">
        <v>158</v>
      </c>
      <c r="D95" s="42">
        <v>5</v>
      </c>
      <c r="E95" s="41">
        <v>2.5709584533113944E-4</v>
      </c>
    </row>
    <row r="96" spans="2:5" ht="15" customHeight="1">
      <c r="B96" s="92"/>
      <c r="C96" s="43" t="s">
        <v>154</v>
      </c>
      <c r="D96" s="42">
        <v>3</v>
      </c>
      <c r="E96" s="41">
        <v>1.5425750719868367E-4</v>
      </c>
    </row>
    <row r="97" spans="2:5" ht="15" customHeight="1">
      <c r="B97" s="92"/>
      <c r="C97" s="43" t="s">
        <v>155</v>
      </c>
      <c r="D97" s="42">
        <v>2</v>
      </c>
      <c r="E97" s="41">
        <v>1.0283833813245579E-4</v>
      </c>
    </row>
    <row r="98" spans="2:5" ht="15" customHeight="1">
      <c r="B98" s="93"/>
      <c r="C98" s="40" t="s">
        <v>20</v>
      </c>
      <c r="D98" s="39">
        <v>21</v>
      </c>
      <c r="E98" s="38">
        <v>1.0798025503907856E-3</v>
      </c>
    </row>
    <row r="99" spans="2:5" ht="15" customHeight="1">
      <c r="B99" s="91" t="s">
        <v>73</v>
      </c>
      <c r="C99" s="43" t="s">
        <v>139</v>
      </c>
      <c r="D99" s="42">
        <v>1</v>
      </c>
      <c r="E99" s="41">
        <v>5.1419169066227893E-5</v>
      </c>
    </row>
    <row r="100" spans="2:5" ht="15" customHeight="1">
      <c r="B100" s="92"/>
      <c r="C100" s="43" t="s">
        <v>152</v>
      </c>
      <c r="D100" s="42">
        <v>4</v>
      </c>
      <c r="E100" s="41">
        <v>2.0567667626491157E-4</v>
      </c>
    </row>
    <row r="101" spans="2:5" ht="15" customHeight="1">
      <c r="B101" s="92"/>
      <c r="C101" s="43" t="s">
        <v>156</v>
      </c>
      <c r="D101" s="42">
        <v>4</v>
      </c>
      <c r="E101" s="41">
        <v>2.0567667626491157E-4</v>
      </c>
    </row>
    <row r="102" spans="2:5" ht="15" customHeight="1">
      <c r="B102" s="92"/>
      <c r="C102" s="43" t="s">
        <v>148</v>
      </c>
      <c r="D102" s="42">
        <v>1</v>
      </c>
      <c r="E102" s="41">
        <v>5.1419169066227893E-5</v>
      </c>
    </row>
    <row r="103" spans="2:5" ht="15" customHeight="1">
      <c r="B103" s="92"/>
      <c r="C103" s="43" t="s">
        <v>131</v>
      </c>
      <c r="D103" s="42">
        <v>1</v>
      </c>
      <c r="E103" s="41">
        <v>5.1419169066227893E-5</v>
      </c>
    </row>
    <row r="104" spans="2:5" ht="15" customHeight="1">
      <c r="B104" s="92"/>
      <c r="C104" s="43" t="s">
        <v>155</v>
      </c>
      <c r="D104" s="42">
        <v>8</v>
      </c>
      <c r="E104" s="41">
        <v>4.1135335252982314E-4</v>
      </c>
    </row>
    <row r="105" spans="2:5" ht="15" customHeight="1">
      <c r="B105" s="92"/>
      <c r="C105" s="43" t="s">
        <v>151</v>
      </c>
      <c r="D105" s="42">
        <v>1</v>
      </c>
      <c r="E105" s="41">
        <v>5.1419169066227893E-5</v>
      </c>
    </row>
    <row r="106" spans="2:5" ht="15" customHeight="1">
      <c r="B106" s="93"/>
      <c r="C106" s="40" t="s">
        <v>20</v>
      </c>
      <c r="D106" s="39">
        <v>20</v>
      </c>
      <c r="E106" s="38">
        <v>1.0283833813245578E-3</v>
      </c>
    </row>
    <row r="107" spans="2:5" ht="15" customHeight="1">
      <c r="B107" s="91" t="s">
        <v>78</v>
      </c>
      <c r="C107" s="43" t="s">
        <v>139</v>
      </c>
      <c r="D107" s="42">
        <v>8</v>
      </c>
      <c r="E107" s="41">
        <v>4.1135335252982314E-4</v>
      </c>
    </row>
    <row r="108" spans="2:5" ht="15" customHeight="1">
      <c r="B108" s="92"/>
      <c r="C108" s="43" t="s">
        <v>143</v>
      </c>
      <c r="D108" s="42">
        <v>11</v>
      </c>
      <c r="E108" s="41">
        <v>5.6561085972850684E-4</v>
      </c>
    </row>
    <row r="109" spans="2:5" ht="15" customHeight="1">
      <c r="B109" s="92"/>
      <c r="C109" s="43" t="s">
        <v>146</v>
      </c>
      <c r="D109" s="42">
        <v>6</v>
      </c>
      <c r="E109" s="41">
        <v>3.0851501439736734E-4</v>
      </c>
    </row>
    <row r="110" spans="2:5" ht="15" customHeight="1">
      <c r="B110" s="92"/>
      <c r="C110" s="43" t="s">
        <v>130</v>
      </c>
      <c r="D110" s="42">
        <v>1</v>
      </c>
      <c r="E110" s="41">
        <v>5.1419169066227893E-5</v>
      </c>
    </row>
    <row r="111" spans="2:5" ht="15" customHeight="1">
      <c r="B111" s="92"/>
      <c r="C111" s="43" t="s">
        <v>136</v>
      </c>
      <c r="D111" s="42">
        <v>1</v>
      </c>
      <c r="E111" s="41">
        <v>5.1419169066227893E-5</v>
      </c>
    </row>
    <row r="112" spans="2:5" ht="15" customHeight="1">
      <c r="B112" s="92"/>
      <c r="C112" s="43" t="s">
        <v>135</v>
      </c>
      <c r="D112" s="42">
        <v>2</v>
      </c>
      <c r="E112" s="41">
        <v>1.0283833813245579E-4</v>
      </c>
    </row>
    <row r="113" spans="2:5" ht="15" customHeight="1">
      <c r="B113" s="92"/>
      <c r="C113" s="43" t="s">
        <v>152</v>
      </c>
      <c r="D113" s="42">
        <v>33</v>
      </c>
      <c r="E113" s="41">
        <v>1.6968325791855204E-3</v>
      </c>
    </row>
    <row r="114" spans="2:5" ht="15" customHeight="1">
      <c r="B114" s="92"/>
      <c r="C114" s="43" t="s">
        <v>156</v>
      </c>
      <c r="D114" s="42">
        <v>57</v>
      </c>
      <c r="E114" s="41">
        <v>2.9308926367749896E-3</v>
      </c>
    </row>
    <row r="115" spans="2:5" ht="15" customHeight="1">
      <c r="B115" s="92"/>
      <c r="C115" s="43" t="s">
        <v>128</v>
      </c>
      <c r="D115" s="42">
        <v>3</v>
      </c>
      <c r="E115" s="41">
        <v>1.5425750719868367E-4</v>
      </c>
    </row>
    <row r="116" spans="2:5" ht="15" customHeight="1">
      <c r="B116" s="92"/>
      <c r="C116" s="43" t="s">
        <v>148</v>
      </c>
      <c r="D116" s="42">
        <v>27</v>
      </c>
      <c r="E116" s="41">
        <v>1.3883175647881531E-3</v>
      </c>
    </row>
    <row r="117" spans="2:5" ht="15" customHeight="1">
      <c r="B117" s="92"/>
      <c r="C117" s="43" t="s">
        <v>126</v>
      </c>
      <c r="D117" s="42">
        <v>2</v>
      </c>
      <c r="E117" s="41">
        <v>1.0283833813245579E-4</v>
      </c>
    </row>
    <row r="118" spans="2:5" ht="15" customHeight="1">
      <c r="B118" s="92"/>
      <c r="C118" s="43" t="s">
        <v>137</v>
      </c>
      <c r="D118" s="42">
        <v>4</v>
      </c>
      <c r="E118" s="41">
        <v>2.0567667626491157E-4</v>
      </c>
    </row>
    <row r="119" spans="2:5" ht="15" customHeight="1">
      <c r="B119" s="92"/>
      <c r="C119" s="43" t="s">
        <v>133</v>
      </c>
      <c r="D119" s="42">
        <v>2</v>
      </c>
      <c r="E119" s="41">
        <v>1.0283833813245579E-4</v>
      </c>
    </row>
    <row r="120" spans="2:5" ht="15" customHeight="1">
      <c r="B120" s="92"/>
      <c r="C120" s="43" t="s">
        <v>132</v>
      </c>
      <c r="D120" s="42">
        <v>6</v>
      </c>
      <c r="E120" s="41">
        <v>3.0851501439736734E-4</v>
      </c>
    </row>
    <row r="121" spans="2:5" ht="15" customHeight="1">
      <c r="B121" s="92"/>
      <c r="C121" s="43" t="s">
        <v>140</v>
      </c>
      <c r="D121" s="42">
        <v>6</v>
      </c>
      <c r="E121" s="41">
        <v>3.0851501439736734E-4</v>
      </c>
    </row>
    <row r="122" spans="2:5" ht="15" customHeight="1">
      <c r="B122" s="92"/>
      <c r="C122" s="43" t="s">
        <v>123</v>
      </c>
      <c r="D122" s="42">
        <v>1</v>
      </c>
      <c r="E122" s="41">
        <v>5.1419169066227893E-5</v>
      </c>
    </row>
    <row r="123" spans="2:5" ht="15" customHeight="1">
      <c r="B123" s="92"/>
      <c r="C123" s="43" t="s">
        <v>159</v>
      </c>
      <c r="D123" s="42">
        <v>928</v>
      </c>
      <c r="E123" s="41">
        <v>4.7716988893459482E-2</v>
      </c>
    </row>
    <row r="124" spans="2:5" ht="15" customHeight="1">
      <c r="B124" s="92"/>
      <c r="C124" s="43" t="s">
        <v>129</v>
      </c>
      <c r="D124" s="42">
        <v>1</v>
      </c>
      <c r="E124" s="41">
        <v>5.1419169066227893E-5</v>
      </c>
    </row>
    <row r="125" spans="2:5" ht="15" customHeight="1">
      <c r="B125" s="92"/>
      <c r="C125" s="43" t="s">
        <v>121</v>
      </c>
      <c r="D125" s="42">
        <v>1</v>
      </c>
      <c r="E125" s="41">
        <v>5.1419169066227893E-5</v>
      </c>
    </row>
    <row r="126" spans="2:5" ht="15" customHeight="1">
      <c r="B126" s="92"/>
      <c r="C126" s="43" t="s">
        <v>157</v>
      </c>
      <c r="D126" s="42">
        <v>6</v>
      </c>
      <c r="E126" s="41">
        <v>3.0851501439736734E-4</v>
      </c>
    </row>
    <row r="127" spans="2:5" ht="15" customHeight="1">
      <c r="B127" s="92"/>
      <c r="C127" s="43" t="s">
        <v>141</v>
      </c>
      <c r="D127" s="42">
        <v>3</v>
      </c>
      <c r="E127" s="41">
        <v>1.5425750719868367E-4</v>
      </c>
    </row>
    <row r="128" spans="2:5" ht="15" customHeight="1">
      <c r="B128" s="92"/>
      <c r="C128" s="43" t="s">
        <v>134</v>
      </c>
      <c r="D128" s="42">
        <v>6</v>
      </c>
      <c r="E128" s="41">
        <v>3.0851501439736734E-4</v>
      </c>
    </row>
    <row r="129" spans="2:5" ht="15" customHeight="1">
      <c r="B129" s="92"/>
      <c r="C129" s="43" t="s">
        <v>158</v>
      </c>
      <c r="D129" s="42">
        <v>36</v>
      </c>
      <c r="E129" s="41">
        <v>1.8510900863842039E-3</v>
      </c>
    </row>
    <row r="130" spans="2:5" ht="15" customHeight="1">
      <c r="B130" s="92"/>
      <c r="C130" s="43" t="s">
        <v>154</v>
      </c>
      <c r="D130" s="42">
        <v>31</v>
      </c>
      <c r="E130" s="41">
        <v>1.5939942410530645E-3</v>
      </c>
    </row>
    <row r="131" spans="2:5" ht="15" customHeight="1">
      <c r="B131" s="92"/>
      <c r="C131" s="43" t="s">
        <v>131</v>
      </c>
      <c r="D131" s="42">
        <v>9</v>
      </c>
      <c r="E131" s="41">
        <v>4.6277252159605099E-4</v>
      </c>
    </row>
    <row r="132" spans="2:5" ht="15" customHeight="1">
      <c r="B132" s="92"/>
      <c r="C132" s="43" t="s">
        <v>149</v>
      </c>
      <c r="D132" s="42">
        <v>85</v>
      </c>
      <c r="E132" s="41">
        <v>4.370629370629371E-3</v>
      </c>
    </row>
    <row r="133" spans="2:5" ht="15" customHeight="1">
      <c r="B133" s="92"/>
      <c r="C133" s="43" t="s">
        <v>144</v>
      </c>
      <c r="D133" s="42">
        <v>17</v>
      </c>
      <c r="E133" s="41">
        <v>8.7412587412587413E-4</v>
      </c>
    </row>
    <row r="134" spans="2:5" ht="15" customHeight="1">
      <c r="B134" s="92"/>
      <c r="C134" s="43" t="s">
        <v>155</v>
      </c>
      <c r="D134" s="42">
        <v>71</v>
      </c>
      <c r="E134" s="41">
        <v>3.6507610037021803E-3</v>
      </c>
    </row>
    <row r="135" spans="2:5" ht="15" customHeight="1">
      <c r="B135" s="92"/>
      <c r="C135" s="43" t="s">
        <v>151</v>
      </c>
      <c r="D135" s="42">
        <v>10</v>
      </c>
      <c r="E135" s="41">
        <v>5.1419169066227888E-4</v>
      </c>
    </row>
    <row r="136" spans="2:5" ht="15" customHeight="1">
      <c r="B136" s="92"/>
      <c r="C136" s="43" t="s">
        <v>153</v>
      </c>
      <c r="D136" s="42">
        <v>99</v>
      </c>
      <c r="E136" s="41">
        <v>5.0904977375565612E-3</v>
      </c>
    </row>
    <row r="137" spans="2:5" ht="15" customHeight="1">
      <c r="B137" s="92"/>
      <c r="C137" s="43" t="s">
        <v>150</v>
      </c>
      <c r="D137" s="42">
        <v>41</v>
      </c>
      <c r="E137" s="41">
        <v>2.1081859317153436E-3</v>
      </c>
    </row>
    <row r="138" spans="2:5" ht="15" customHeight="1">
      <c r="B138" s="92"/>
      <c r="C138" s="43" t="s">
        <v>127</v>
      </c>
      <c r="D138" s="42">
        <v>5</v>
      </c>
      <c r="E138" s="41">
        <v>2.5709584533113944E-4</v>
      </c>
    </row>
    <row r="139" spans="2:5" ht="15" customHeight="1">
      <c r="B139" s="92"/>
      <c r="C139" s="43" t="s">
        <v>138</v>
      </c>
      <c r="D139" s="42">
        <v>10</v>
      </c>
      <c r="E139" s="41">
        <v>5.1419169066227888E-4</v>
      </c>
    </row>
    <row r="140" spans="2:5" ht="15" customHeight="1">
      <c r="B140" s="93"/>
      <c r="C140" s="40" t="s">
        <v>20</v>
      </c>
      <c r="D140" s="39">
        <v>1529</v>
      </c>
      <c r="E140" s="38">
        <v>7.8619909502262442E-2</v>
      </c>
    </row>
    <row r="141" spans="2:5" ht="15" customHeight="1">
      <c r="B141" s="91" t="s">
        <v>71</v>
      </c>
      <c r="C141" s="43" t="s">
        <v>128</v>
      </c>
      <c r="D141" s="42">
        <v>1</v>
      </c>
      <c r="E141" s="41">
        <v>5.1419169066227893E-5</v>
      </c>
    </row>
    <row r="142" spans="2:5" ht="15" customHeight="1">
      <c r="B142" s="92"/>
      <c r="C142" s="43" t="s">
        <v>155</v>
      </c>
      <c r="D142" s="42">
        <v>1</v>
      </c>
      <c r="E142" s="41">
        <v>5.1419169066227893E-5</v>
      </c>
    </row>
    <row r="143" spans="2:5" ht="15" customHeight="1">
      <c r="B143" s="93"/>
      <c r="C143" s="40" t="s">
        <v>20</v>
      </c>
      <c r="D143" s="39">
        <v>2</v>
      </c>
      <c r="E143" s="38">
        <v>1.0283833813245579E-4</v>
      </c>
    </row>
    <row r="144" spans="2:5" ht="15" customHeight="1">
      <c r="B144" s="91" t="s">
        <v>114</v>
      </c>
      <c r="C144" s="43" t="s">
        <v>139</v>
      </c>
      <c r="D144" s="42">
        <v>2</v>
      </c>
      <c r="E144" s="41">
        <v>1.0283833813245579E-4</v>
      </c>
    </row>
    <row r="145" spans="2:5" ht="15" customHeight="1">
      <c r="B145" s="92"/>
      <c r="C145" s="43" t="s">
        <v>143</v>
      </c>
      <c r="D145" s="42">
        <v>3</v>
      </c>
      <c r="E145" s="41">
        <v>1.5425750719868367E-4</v>
      </c>
    </row>
    <row r="146" spans="2:5" ht="15" customHeight="1">
      <c r="B146" s="92"/>
      <c r="C146" s="43" t="s">
        <v>146</v>
      </c>
      <c r="D146" s="42">
        <v>19</v>
      </c>
      <c r="E146" s="41">
        <v>9.7696421225832992E-4</v>
      </c>
    </row>
    <row r="147" spans="2:5" ht="15" customHeight="1">
      <c r="B147" s="92"/>
      <c r="C147" s="43" t="s">
        <v>142</v>
      </c>
      <c r="D147" s="42">
        <v>4</v>
      </c>
      <c r="E147" s="41">
        <v>2.0567667626491157E-4</v>
      </c>
    </row>
    <row r="148" spans="2:5" ht="15" customHeight="1">
      <c r="B148" s="92"/>
      <c r="C148" s="43" t="s">
        <v>152</v>
      </c>
      <c r="D148" s="42">
        <v>35</v>
      </c>
      <c r="E148" s="41">
        <v>1.7996709173179761E-3</v>
      </c>
    </row>
    <row r="149" spans="2:5" ht="15" customHeight="1">
      <c r="B149" s="92"/>
      <c r="C149" s="43" t="s">
        <v>156</v>
      </c>
      <c r="D149" s="42">
        <v>33</v>
      </c>
      <c r="E149" s="41">
        <v>1.6968325791855204E-3</v>
      </c>
    </row>
    <row r="150" spans="2:5" ht="15" customHeight="1">
      <c r="B150" s="92"/>
      <c r="C150" s="43" t="s">
        <v>128</v>
      </c>
      <c r="D150" s="42">
        <v>1</v>
      </c>
      <c r="E150" s="41">
        <v>5.1419169066227893E-5</v>
      </c>
    </row>
    <row r="151" spans="2:5" ht="15" customHeight="1">
      <c r="B151" s="92"/>
      <c r="C151" s="43" t="s">
        <v>148</v>
      </c>
      <c r="D151" s="42">
        <v>12</v>
      </c>
      <c r="E151" s="41">
        <v>6.1703002879473468E-4</v>
      </c>
    </row>
    <row r="152" spans="2:5" ht="15" customHeight="1">
      <c r="B152" s="92"/>
      <c r="C152" s="43" t="s">
        <v>126</v>
      </c>
      <c r="D152" s="42">
        <v>1</v>
      </c>
      <c r="E152" s="41">
        <v>5.1419169066227893E-5</v>
      </c>
    </row>
    <row r="153" spans="2:5" ht="15" customHeight="1">
      <c r="B153" s="92"/>
      <c r="C153" s="43" t="s">
        <v>124</v>
      </c>
      <c r="D153" s="42">
        <v>1</v>
      </c>
      <c r="E153" s="41">
        <v>5.1419169066227893E-5</v>
      </c>
    </row>
    <row r="154" spans="2:5" ht="15" customHeight="1">
      <c r="B154" s="92"/>
      <c r="C154" s="43" t="s">
        <v>145</v>
      </c>
      <c r="D154" s="42">
        <v>2</v>
      </c>
      <c r="E154" s="41">
        <v>1.0283833813245579E-4</v>
      </c>
    </row>
    <row r="155" spans="2:5" ht="15" customHeight="1">
      <c r="B155" s="92"/>
      <c r="C155" s="43" t="s">
        <v>137</v>
      </c>
      <c r="D155" s="42">
        <v>6</v>
      </c>
      <c r="E155" s="41">
        <v>3.0851501439736734E-4</v>
      </c>
    </row>
    <row r="156" spans="2:5" ht="15" customHeight="1">
      <c r="B156" s="92"/>
      <c r="C156" s="43" t="s">
        <v>133</v>
      </c>
      <c r="D156" s="42">
        <v>2</v>
      </c>
      <c r="E156" s="41">
        <v>1.0283833813245579E-4</v>
      </c>
    </row>
    <row r="157" spans="2:5" ht="15" customHeight="1">
      <c r="B157" s="92"/>
      <c r="C157" s="43" t="s">
        <v>140</v>
      </c>
      <c r="D157" s="42">
        <v>3</v>
      </c>
      <c r="E157" s="41">
        <v>1.5425750719868367E-4</v>
      </c>
    </row>
    <row r="158" spans="2:5" ht="15" customHeight="1">
      <c r="B158" s="92"/>
      <c r="C158" s="43" t="s">
        <v>123</v>
      </c>
      <c r="D158" s="42">
        <v>1</v>
      </c>
      <c r="E158" s="41">
        <v>5.1419169066227893E-5</v>
      </c>
    </row>
    <row r="159" spans="2:5" ht="15" customHeight="1">
      <c r="B159" s="92"/>
      <c r="C159" s="43" t="s">
        <v>159</v>
      </c>
      <c r="D159" s="42">
        <v>74</v>
      </c>
      <c r="E159" s="41">
        <v>3.805018510900864E-3</v>
      </c>
    </row>
    <row r="160" spans="2:5" ht="15" customHeight="1">
      <c r="B160" s="92"/>
      <c r="C160" s="43" t="s">
        <v>147</v>
      </c>
      <c r="D160" s="42">
        <v>2</v>
      </c>
      <c r="E160" s="41">
        <v>1.0283833813245579E-4</v>
      </c>
    </row>
    <row r="161" spans="2:5" ht="15" customHeight="1">
      <c r="B161" s="92"/>
      <c r="C161" s="43" t="s">
        <v>157</v>
      </c>
      <c r="D161" s="42">
        <v>46</v>
      </c>
      <c r="E161" s="41">
        <v>2.365281777046483E-3</v>
      </c>
    </row>
    <row r="162" spans="2:5" ht="15" customHeight="1">
      <c r="B162" s="92"/>
      <c r="C162" s="43" t="s">
        <v>141</v>
      </c>
      <c r="D162" s="42">
        <v>4</v>
      </c>
      <c r="E162" s="41">
        <v>2.0567667626491157E-4</v>
      </c>
    </row>
    <row r="163" spans="2:5" ht="15" customHeight="1">
      <c r="B163" s="92"/>
      <c r="C163" s="43" t="s">
        <v>122</v>
      </c>
      <c r="D163" s="42">
        <v>1</v>
      </c>
      <c r="E163" s="41">
        <v>5.1419169066227893E-5</v>
      </c>
    </row>
    <row r="164" spans="2:5" ht="15" customHeight="1">
      <c r="B164" s="92"/>
      <c r="C164" s="43" t="s">
        <v>158</v>
      </c>
      <c r="D164" s="42">
        <v>48</v>
      </c>
      <c r="E164" s="41">
        <v>2.4681201151789387E-3</v>
      </c>
    </row>
    <row r="165" spans="2:5" ht="15" customHeight="1">
      <c r="B165" s="92"/>
      <c r="C165" s="43" t="s">
        <v>154</v>
      </c>
      <c r="D165" s="42">
        <v>29</v>
      </c>
      <c r="E165" s="41">
        <v>1.4911559029206088E-3</v>
      </c>
    </row>
    <row r="166" spans="2:5" ht="15" customHeight="1">
      <c r="B166" s="92"/>
      <c r="C166" s="43" t="s">
        <v>131</v>
      </c>
      <c r="D166" s="42">
        <v>1</v>
      </c>
      <c r="E166" s="41">
        <v>5.1419169066227893E-5</v>
      </c>
    </row>
    <row r="167" spans="2:5" ht="15" customHeight="1">
      <c r="B167" s="92"/>
      <c r="C167" s="43" t="s">
        <v>149</v>
      </c>
      <c r="D167" s="42">
        <v>8</v>
      </c>
      <c r="E167" s="41">
        <v>4.1135335252982314E-4</v>
      </c>
    </row>
    <row r="168" spans="2:5" ht="15" customHeight="1">
      <c r="B168" s="92"/>
      <c r="C168" s="43" t="s">
        <v>144</v>
      </c>
      <c r="D168" s="42">
        <v>7</v>
      </c>
      <c r="E168" s="41">
        <v>3.5993418346359524E-4</v>
      </c>
    </row>
    <row r="169" spans="2:5" ht="15" customHeight="1">
      <c r="B169" s="92"/>
      <c r="C169" s="43" t="s">
        <v>155</v>
      </c>
      <c r="D169" s="42">
        <v>61</v>
      </c>
      <c r="E169" s="41">
        <v>3.1365693130399014E-3</v>
      </c>
    </row>
    <row r="170" spans="2:5" ht="15" customHeight="1">
      <c r="B170" s="92"/>
      <c r="C170" s="43" t="s">
        <v>151</v>
      </c>
      <c r="D170" s="42">
        <v>10</v>
      </c>
      <c r="E170" s="41">
        <v>5.1419169066227888E-4</v>
      </c>
    </row>
    <row r="171" spans="2:5" ht="15" customHeight="1">
      <c r="B171" s="92"/>
      <c r="C171" s="43" t="s">
        <v>153</v>
      </c>
      <c r="D171" s="42">
        <v>10</v>
      </c>
      <c r="E171" s="41">
        <v>5.1419169066227888E-4</v>
      </c>
    </row>
    <row r="172" spans="2:5" ht="15" customHeight="1">
      <c r="B172" s="92"/>
      <c r="C172" s="43" t="s">
        <v>150</v>
      </c>
      <c r="D172" s="42">
        <v>15</v>
      </c>
      <c r="E172" s="41">
        <v>7.7128753599341833E-4</v>
      </c>
    </row>
    <row r="173" spans="2:5" ht="15" customHeight="1">
      <c r="B173" s="92"/>
      <c r="C173" s="43" t="s">
        <v>127</v>
      </c>
      <c r="D173" s="42">
        <v>1</v>
      </c>
      <c r="E173" s="41">
        <v>5.1419169066227893E-5</v>
      </c>
    </row>
    <row r="174" spans="2:5" ht="15" customHeight="1">
      <c r="B174" s="92"/>
      <c r="C174" s="43" t="s">
        <v>138</v>
      </c>
      <c r="D174" s="42">
        <v>3</v>
      </c>
      <c r="E174" s="41">
        <v>1.5425750719868367E-4</v>
      </c>
    </row>
    <row r="175" spans="2:5" ht="15" customHeight="1">
      <c r="B175" s="93"/>
      <c r="C175" s="40" t="s">
        <v>20</v>
      </c>
      <c r="D175" s="39">
        <v>445</v>
      </c>
      <c r="E175" s="38">
        <v>2.2881530234471412E-2</v>
      </c>
    </row>
    <row r="176" spans="2:5" ht="15" customHeight="1">
      <c r="B176" s="91" t="s">
        <v>112</v>
      </c>
      <c r="C176" s="43" t="s">
        <v>139</v>
      </c>
      <c r="D176" s="42">
        <v>20</v>
      </c>
      <c r="E176" s="41">
        <v>1.0283833813245578E-3</v>
      </c>
    </row>
    <row r="177" spans="2:5" ht="15" customHeight="1">
      <c r="B177" s="92"/>
      <c r="C177" s="43" t="s">
        <v>143</v>
      </c>
      <c r="D177" s="42">
        <v>20</v>
      </c>
      <c r="E177" s="41">
        <v>1.0283833813245578E-3</v>
      </c>
    </row>
    <row r="178" spans="2:5" ht="15" customHeight="1">
      <c r="B178" s="92"/>
      <c r="C178" s="43" t="s">
        <v>146</v>
      </c>
      <c r="D178" s="42">
        <v>40</v>
      </c>
      <c r="E178" s="41">
        <v>2.0567667626491155E-3</v>
      </c>
    </row>
    <row r="179" spans="2:5" ht="15" customHeight="1">
      <c r="B179" s="92"/>
      <c r="C179" s="43" t="s">
        <v>130</v>
      </c>
      <c r="D179" s="42">
        <v>6</v>
      </c>
      <c r="E179" s="41">
        <v>3.0851501439736734E-4</v>
      </c>
    </row>
    <row r="180" spans="2:5" ht="15" customHeight="1">
      <c r="B180" s="92"/>
      <c r="C180" s="43" t="s">
        <v>136</v>
      </c>
      <c r="D180" s="42">
        <v>10</v>
      </c>
      <c r="E180" s="41">
        <v>5.1419169066227888E-4</v>
      </c>
    </row>
    <row r="181" spans="2:5" ht="15" customHeight="1">
      <c r="B181" s="92"/>
      <c r="C181" s="43" t="s">
        <v>135</v>
      </c>
      <c r="D181" s="42">
        <v>8</v>
      </c>
      <c r="E181" s="41">
        <v>4.1135335252982314E-4</v>
      </c>
    </row>
    <row r="182" spans="2:5" ht="15" customHeight="1">
      <c r="B182" s="92"/>
      <c r="C182" s="43" t="s">
        <v>142</v>
      </c>
      <c r="D182" s="42">
        <v>7</v>
      </c>
      <c r="E182" s="41">
        <v>3.5993418346359524E-4</v>
      </c>
    </row>
    <row r="183" spans="2:5" ht="15" customHeight="1">
      <c r="B183" s="92"/>
      <c r="C183" s="43" t="s">
        <v>118</v>
      </c>
      <c r="D183" s="42">
        <v>2</v>
      </c>
      <c r="E183" s="41">
        <v>1.0283833813245579E-4</v>
      </c>
    </row>
    <row r="184" spans="2:5" ht="15" customHeight="1">
      <c r="B184" s="92"/>
      <c r="C184" s="43" t="s">
        <v>152</v>
      </c>
      <c r="D184" s="42">
        <v>119</v>
      </c>
      <c r="E184" s="41">
        <v>6.118881118881119E-3</v>
      </c>
    </row>
    <row r="185" spans="2:5" ht="15" customHeight="1">
      <c r="B185" s="92"/>
      <c r="C185" s="43" t="s">
        <v>119</v>
      </c>
      <c r="D185" s="42">
        <v>1</v>
      </c>
      <c r="E185" s="41">
        <v>5.1419169066227893E-5</v>
      </c>
    </row>
    <row r="186" spans="2:5" ht="15" customHeight="1">
      <c r="B186" s="92"/>
      <c r="C186" s="43" t="s">
        <v>156</v>
      </c>
      <c r="D186" s="42">
        <v>229</v>
      </c>
      <c r="E186" s="41">
        <v>1.1774989716166187E-2</v>
      </c>
    </row>
    <row r="187" spans="2:5" ht="15" customHeight="1">
      <c r="B187" s="92"/>
      <c r="C187" s="43" t="s">
        <v>128</v>
      </c>
      <c r="D187" s="42">
        <v>4</v>
      </c>
      <c r="E187" s="41">
        <v>2.0567667626491157E-4</v>
      </c>
    </row>
    <row r="188" spans="2:5" ht="15" customHeight="1">
      <c r="B188" s="92"/>
      <c r="C188" s="43" t="s">
        <v>148</v>
      </c>
      <c r="D188" s="42">
        <v>37</v>
      </c>
      <c r="E188" s="41">
        <v>1.902509255450432E-3</v>
      </c>
    </row>
    <row r="189" spans="2:5" ht="15" customHeight="1">
      <c r="B189" s="92"/>
      <c r="C189" s="43" t="s">
        <v>126</v>
      </c>
      <c r="D189" s="42">
        <v>2</v>
      </c>
      <c r="E189" s="41">
        <v>1.0283833813245579E-4</v>
      </c>
    </row>
    <row r="190" spans="2:5" ht="15" customHeight="1">
      <c r="B190" s="92"/>
      <c r="C190" s="43" t="s">
        <v>124</v>
      </c>
      <c r="D190" s="42">
        <v>2</v>
      </c>
      <c r="E190" s="41">
        <v>1.0283833813245579E-4</v>
      </c>
    </row>
    <row r="191" spans="2:5" ht="15" customHeight="1">
      <c r="B191" s="92"/>
      <c r="C191" s="43" t="s">
        <v>145</v>
      </c>
      <c r="D191" s="42">
        <v>7</v>
      </c>
      <c r="E191" s="41">
        <v>3.5993418346359524E-4</v>
      </c>
    </row>
    <row r="192" spans="2:5" ht="15" customHeight="1">
      <c r="B192" s="92"/>
      <c r="C192" s="43" t="s">
        <v>137</v>
      </c>
      <c r="D192" s="42">
        <v>11</v>
      </c>
      <c r="E192" s="41">
        <v>5.6561085972850684E-4</v>
      </c>
    </row>
    <row r="193" spans="2:5" ht="15" customHeight="1">
      <c r="B193" s="92"/>
      <c r="C193" s="43" t="s">
        <v>133</v>
      </c>
      <c r="D193" s="42">
        <v>7</v>
      </c>
      <c r="E193" s="41">
        <v>3.5993418346359524E-4</v>
      </c>
    </row>
    <row r="194" spans="2:5" ht="15" customHeight="1">
      <c r="B194" s="92"/>
      <c r="C194" s="43" t="s">
        <v>132</v>
      </c>
      <c r="D194" s="42">
        <v>6</v>
      </c>
      <c r="E194" s="41">
        <v>3.0851501439736734E-4</v>
      </c>
    </row>
    <row r="195" spans="2:5" ht="15" customHeight="1">
      <c r="B195" s="92"/>
      <c r="C195" s="43" t="s">
        <v>140</v>
      </c>
      <c r="D195" s="42">
        <v>23</v>
      </c>
      <c r="E195" s="41">
        <v>1.1826408885232415E-3</v>
      </c>
    </row>
    <row r="196" spans="2:5" ht="15" customHeight="1">
      <c r="B196" s="92"/>
      <c r="C196" s="43" t="s">
        <v>123</v>
      </c>
      <c r="D196" s="42">
        <v>1</v>
      </c>
      <c r="E196" s="41">
        <v>5.1419169066227893E-5</v>
      </c>
    </row>
    <row r="197" spans="2:5" ht="15" customHeight="1">
      <c r="B197" s="92"/>
      <c r="C197" s="43" t="s">
        <v>159</v>
      </c>
      <c r="D197" s="42">
        <v>319</v>
      </c>
      <c r="E197" s="41">
        <v>1.6402714932126698E-2</v>
      </c>
    </row>
    <row r="198" spans="2:5" ht="15" customHeight="1">
      <c r="B198" s="92"/>
      <c r="C198" s="43" t="s">
        <v>125</v>
      </c>
      <c r="D198" s="42">
        <v>1</v>
      </c>
      <c r="E198" s="41">
        <v>5.1419169066227893E-5</v>
      </c>
    </row>
    <row r="199" spans="2:5" ht="15" customHeight="1">
      <c r="B199" s="92"/>
      <c r="C199" s="43" t="s">
        <v>129</v>
      </c>
      <c r="D199" s="42">
        <v>2</v>
      </c>
      <c r="E199" s="41">
        <v>1.0283833813245579E-4</v>
      </c>
    </row>
    <row r="200" spans="2:5" ht="15" customHeight="1">
      <c r="B200" s="92"/>
      <c r="C200" s="43" t="s">
        <v>147</v>
      </c>
      <c r="D200" s="42">
        <v>16</v>
      </c>
      <c r="E200" s="41">
        <v>8.2270670505964628E-4</v>
      </c>
    </row>
    <row r="201" spans="2:5" ht="15" customHeight="1">
      <c r="B201" s="92"/>
      <c r="C201" s="43" t="s">
        <v>121</v>
      </c>
      <c r="D201" s="42">
        <v>3</v>
      </c>
      <c r="E201" s="41">
        <v>1.5425750719868367E-4</v>
      </c>
    </row>
    <row r="202" spans="2:5" ht="15" customHeight="1">
      <c r="B202" s="92"/>
      <c r="C202" s="43" t="s">
        <v>157</v>
      </c>
      <c r="D202" s="42">
        <v>369</v>
      </c>
      <c r="E202" s="41">
        <v>1.8973673385438091E-2</v>
      </c>
    </row>
    <row r="203" spans="2:5" ht="15" customHeight="1">
      <c r="B203" s="92"/>
      <c r="C203" s="43" t="s">
        <v>120</v>
      </c>
      <c r="D203" s="42">
        <v>4</v>
      </c>
      <c r="E203" s="41">
        <v>2.0567667626491157E-4</v>
      </c>
    </row>
    <row r="204" spans="2:5" ht="15" customHeight="1">
      <c r="B204" s="92"/>
      <c r="C204" s="43" t="s">
        <v>141</v>
      </c>
      <c r="D204" s="42">
        <v>16</v>
      </c>
      <c r="E204" s="41">
        <v>8.2270670505964628E-4</v>
      </c>
    </row>
    <row r="205" spans="2:5" ht="15" customHeight="1">
      <c r="B205" s="92"/>
      <c r="C205" s="43" t="s">
        <v>134</v>
      </c>
      <c r="D205" s="42">
        <v>8</v>
      </c>
      <c r="E205" s="41">
        <v>4.1135335252982314E-4</v>
      </c>
    </row>
    <row r="206" spans="2:5" ht="15" customHeight="1">
      <c r="B206" s="92"/>
      <c r="C206" s="43" t="s">
        <v>122</v>
      </c>
      <c r="D206" s="42">
        <v>2</v>
      </c>
      <c r="E206" s="41">
        <v>1.0283833813245579E-4</v>
      </c>
    </row>
    <row r="207" spans="2:5" ht="15" customHeight="1">
      <c r="B207" s="92"/>
      <c r="C207" s="43" t="s">
        <v>158</v>
      </c>
      <c r="D207" s="42">
        <v>199</v>
      </c>
      <c r="E207" s="41">
        <v>1.0232414644179351E-2</v>
      </c>
    </row>
    <row r="208" spans="2:5" ht="15" customHeight="1">
      <c r="B208" s="92"/>
      <c r="C208" s="43" t="s">
        <v>154</v>
      </c>
      <c r="D208" s="42">
        <v>104</v>
      </c>
      <c r="E208" s="41">
        <v>5.3475935828877002E-3</v>
      </c>
    </row>
    <row r="209" spans="2:5" ht="15" customHeight="1">
      <c r="B209" s="92"/>
      <c r="C209" s="43" t="s">
        <v>131</v>
      </c>
      <c r="D209" s="42">
        <v>6</v>
      </c>
      <c r="E209" s="41">
        <v>3.0851501439736734E-4</v>
      </c>
    </row>
    <row r="210" spans="2:5" ht="15" customHeight="1">
      <c r="B210" s="92"/>
      <c r="C210" s="43" t="s">
        <v>149</v>
      </c>
      <c r="D210" s="42">
        <v>51</v>
      </c>
      <c r="E210" s="41">
        <v>2.6223776223776225E-3</v>
      </c>
    </row>
    <row r="211" spans="2:5" ht="15" customHeight="1">
      <c r="B211" s="92"/>
      <c r="C211" s="43" t="s">
        <v>144</v>
      </c>
      <c r="D211" s="42">
        <v>22</v>
      </c>
      <c r="E211" s="41">
        <v>1.1312217194570137E-3</v>
      </c>
    </row>
    <row r="212" spans="2:5" ht="15" customHeight="1">
      <c r="B212" s="92"/>
      <c r="C212" s="43" t="s">
        <v>155</v>
      </c>
      <c r="D212" s="42">
        <v>174</v>
      </c>
      <c r="E212" s="41">
        <v>8.9469354175236524E-3</v>
      </c>
    </row>
    <row r="213" spans="2:5" ht="15" customHeight="1">
      <c r="B213" s="92"/>
      <c r="C213" s="43" t="s">
        <v>151</v>
      </c>
      <c r="D213" s="42">
        <v>101</v>
      </c>
      <c r="E213" s="41">
        <v>5.1933360756890165E-3</v>
      </c>
    </row>
    <row r="214" spans="2:5" ht="15" customHeight="1">
      <c r="B214" s="92"/>
      <c r="C214" s="43" t="s">
        <v>153</v>
      </c>
      <c r="D214" s="42">
        <v>89</v>
      </c>
      <c r="E214" s="41">
        <v>4.5763060468942823E-3</v>
      </c>
    </row>
    <row r="215" spans="2:5" ht="15" customHeight="1">
      <c r="B215" s="92"/>
      <c r="C215" s="43" t="s">
        <v>150</v>
      </c>
      <c r="D215" s="42">
        <v>84</v>
      </c>
      <c r="E215" s="41">
        <v>4.3192102015631425E-3</v>
      </c>
    </row>
    <row r="216" spans="2:5" ht="15" customHeight="1">
      <c r="B216" s="92"/>
      <c r="C216" s="43" t="s">
        <v>127</v>
      </c>
      <c r="D216" s="42">
        <v>7</v>
      </c>
      <c r="E216" s="41">
        <v>3.5993418346359524E-4</v>
      </c>
    </row>
    <row r="217" spans="2:5" ht="15" customHeight="1">
      <c r="B217" s="92"/>
      <c r="C217" s="43" t="s">
        <v>138</v>
      </c>
      <c r="D217" s="42">
        <v>20</v>
      </c>
      <c r="E217" s="41">
        <v>1.0283833813245578E-3</v>
      </c>
    </row>
    <row r="218" spans="2:5" ht="15" customHeight="1">
      <c r="B218" s="93"/>
      <c r="C218" s="40" t="s">
        <v>20</v>
      </c>
      <c r="D218" s="39">
        <v>2159</v>
      </c>
      <c r="E218" s="38">
        <v>0.11101398601398602</v>
      </c>
    </row>
    <row r="219" spans="2:5" ht="15" customHeight="1">
      <c r="B219" s="91" t="s">
        <v>70</v>
      </c>
      <c r="C219" s="43" t="s">
        <v>152</v>
      </c>
      <c r="D219" s="42">
        <v>1</v>
      </c>
      <c r="E219" s="41">
        <v>5.1419169066227893E-5</v>
      </c>
    </row>
    <row r="220" spans="2:5" ht="15" customHeight="1">
      <c r="B220" s="92"/>
      <c r="C220" s="43" t="s">
        <v>159</v>
      </c>
      <c r="D220" s="42">
        <v>2</v>
      </c>
      <c r="E220" s="41">
        <v>1.0283833813245579E-4</v>
      </c>
    </row>
    <row r="221" spans="2:5" ht="15" customHeight="1">
      <c r="B221" s="92"/>
      <c r="C221" s="43" t="s">
        <v>157</v>
      </c>
      <c r="D221" s="42">
        <v>1</v>
      </c>
      <c r="E221" s="41">
        <v>5.1419169066227893E-5</v>
      </c>
    </row>
    <row r="222" spans="2:5" ht="15" customHeight="1">
      <c r="B222" s="92"/>
      <c r="C222" s="43" t="s">
        <v>158</v>
      </c>
      <c r="D222" s="42">
        <v>1</v>
      </c>
      <c r="E222" s="41">
        <v>5.1419169066227893E-5</v>
      </c>
    </row>
    <row r="223" spans="2:5" ht="15" customHeight="1">
      <c r="B223" s="92"/>
      <c r="C223" s="43" t="s">
        <v>154</v>
      </c>
      <c r="D223" s="42">
        <v>2</v>
      </c>
      <c r="E223" s="41">
        <v>1.0283833813245579E-4</v>
      </c>
    </row>
    <row r="224" spans="2:5" ht="15" customHeight="1">
      <c r="B224" s="92"/>
      <c r="C224" s="43" t="s">
        <v>153</v>
      </c>
      <c r="D224" s="42">
        <v>2</v>
      </c>
      <c r="E224" s="41">
        <v>1.0283833813245579E-4</v>
      </c>
    </row>
    <row r="225" spans="2:5" ht="15" customHeight="1">
      <c r="B225" s="93"/>
      <c r="C225" s="40" t="s">
        <v>20</v>
      </c>
      <c r="D225" s="39">
        <v>9</v>
      </c>
      <c r="E225" s="38">
        <v>4.6277252159605099E-4</v>
      </c>
    </row>
    <row r="226" spans="2:5" ht="15" customHeight="1">
      <c r="B226" s="91" t="s">
        <v>96</v>
      </c>
      <c r="C226" s="43" t="s">
        <v>139</v>
      </c>
      <c r="D226" s="42">
        <v>1</v>
      </c>
      <c r="E226" s="41">
        <v>5.1419169066227893E-5</v>
      </c>
    </row>
    <row r="227" spans="2:5" ht="15" customHeight="1">
      <c r="B227" s="92"/>
      <c r="C227" s="43" t="s">
        <v>143</v>
      </c>
      <c r="D227" s="42">
        <v>1</v>
      </c>
      <c r="E227" s="41">
        <v>5.1419169066227893E-5</v>
      </c>
    </row>
    <row r="228" spans="2:5" ht="15" customHeight="1">
      <c r="B228" s="92"/>
      <c r="C228" s="43" t="s">
        <v>146</v>
      </c>
      <c r="D228" s="42">
        <v>1</v>
      </c>
      <c r="E228" s="41">
        <v>5.1419169066227893E-5</v>
      </c>
    </row>
    <row r="229" spans="2:5" ht="15" customHeight="1">
      <c r="B229" s="92"/>
      <c r="C229" s="43" t="s">
        <v>135</v>
      </c>
      <c r="D229" s="42">
        <v>1</v>
      </c>
      <c r="E229" s="41">
        <v>5.1419169066227893E-5</v>
      </c>
    </row>
    <row r="230" spans="2:5" ht="15" customHeight="1">
      <c r="B230" s="92"/>
      <c r="C230" s="43" t="s">
        <v>152</v>
      </c>
      <c r="D230" s="42">
        <v>2</v>
      </c>
      <c r="E230" s="41">
        <v>1.0283833813245579E-4</v>
      </c>
    </row>
    <row r="231" spans="2:5" ht="15" customHeight="1">
      <c r="B231" s="92"/>
      <c r="C231" s="43" t="s">
        <v>156</v>
      </c>
      <c r="D231" s="42">
        <v>5</v>
      </c>
      <c r="E231" s="41">
        <v>2.5709584533113944E-4</v>
      </c>
    </row>
    <row r="232" spans="2:5" ht="15" customHeight="1">
      <c r="B232" s="92"/>
      <c r="C232" s="43" t="s">
        <v>148</v>
      </c>
      <c r="D232" s="42">
        <v>2</v>
      </c>
      <c r="E232" s="41">
        <v>1.0283833813245579E-4</v>
      </c>
    </row>
    <row r="233" spans="2:5" ht="15" customHeight="1">
      <c r="B233" s="92"/>
      <c r="C233" s="43" t="s">
        <v>137</v>
      </c>
      <c r="D233" s="42">
        <v>1</v>
      </c>
      <c r="E233" s="41">
        <v>5.1419169066227893E-5</v>
      </c>
    </row>
    <row r="234" spans="2:5" ht="15" customHeight="1">
      <c r="B234" s="92"/>
      <c r="C234" s="43" t="s">
        <v>159</v>
      </c>
      <c r="D234" s="42">
        <v>6</v>
      </c>
      <c r="E234" s="41">
        <v>3.0851501439736734E-4</v>
      </c>
    </row>
    <row r="235" spans="2:5" ht="15" customHeight="1">
      <c r="B235" s="92"/>
      <c r="C235" s="43" t="s">
        <v>147</v>
      </c>
      <c r="D235" s="42">
        <v>1</v>
      </c>
      <c r="E235" s="41">
        <v>5.1419169066227893E-5</v>
      </c>
    </row>
    <row r="236" spans="2:5" ht="15" customHeight="1">
      <c r="B236" s="92"/>
      <c r="C236" s="43" t="s">
        <v>157</v>
      </c>
      <c r="D236" s="42">
        <v>4</v>
      </c>
      <c r="E236" s="41">
        <v>2.0567667626491157E-4</v>
      </c>
    </row>
    <row r="237" spans="2:5" ht="15" customHeight="1">
      <c r="B237" s="92"/>
      <c r="C237" s="43" t="s">
        <v>158</v>
      </c>
      <c r="D237" s="42">
        <v>4</v>
      </c>
      <c r="E237" s="41">
        <v>2.0567667626491157E-4</v>
      </c>
    </row>
    <row r="238" spans="2:5" ht="15" customHeight="1">
      <c r="B238" s="92"/>
      <c r="C238" s="43" t="s">
        <v>154</v>
      </c>
      <c r="D238" s="42">
        <v>1</v>
      </c>
      <c r="E238" s="41">
        <v>5.1419169066227893E-5</v>
      </c>
    </row>
    <row r="239" spans="2:5" ht="15" customHeight="1">
      <c r="B239" s="92"/>
      <c r="C239" s="43" t="s">
        <v>155</v>
      </c>
      <c r="D239" s="42">
        <v>6</v>
      </c>
      <c r="E239" s="41">
        <v>3.0851501439736734E-4</v>
      </c>
    </row>
    <row r="240" spans="2:5" ht="15" customHeight="1">
      <c r="B240" s="92"/>
      <c r="C240" s="43" t="s">
        <v>151</v>
      </c>
      <c r="D240" s="42">
        <v>1</v>
      </c>
      <c r="E240" s="41">
        <v>5.1419169066227893E-5</v>
      </c>
    </row>
    <row r="241" spans="2:5" ht="15" customHeight="1">
      <c r="B241" s="92"/>
      <c r="C241" s="43" t="s">
        <v>153</v>
      </c>
      <c r="D241" s="42">
        <v>1</v>
      </c>
      <c r="E241" s="41">
        <v>5.1419169066227893E-5</v>
      </c>
    </row>
    <row r="242" spans="2:5" ht="15" customHeight="1">
      <c r="B242" s="92"/>
      <c r="C242" s="43" t="s">
        <v>150</v>
      </c>
      <c r="D242" s="42">
        <v>2</v>
      </c>
      <c r="E242" s="41">
        <v>1.0283833813245579E-4</v>
      </c>
    </row>
    <row r="243" spans="2:5" ht="15" customHeight="1">
      <c r="B243" s="92"/>
      <c r="C243" s="43" t="s">
        <v>138</v>
      </c>
      <c r="D243" s="42">
        <v>1</v>
      </c>
      <c r="E243" s="41">
        <v>5.1419169066227893E-5</v>
      </c>
    </row>
    <row r="244" spans="2:5" ht="15" customHeight="1">
      <c r="B244" s="93"/>
      <c r="C244" s="40" t="s">
        <v>20</v>
      </c>
      <c r="D244" s="39">
        <v>41</v>
      </c>
      <c r="E244" s="38">
        <v>2.1081859317153436E-3</v>
      </c>
    </row>
    <row r="245" spans="2:5" ht="15" customHeight="1">
      <c r="B245" s="91" t="s">
        <v>82</v>
      </c>
      <c r="C245" s="43" t="s">
        <v>139</v>
      </c>
      <c r="D245" s="42">
        <v>1</v>
      </c>
      <c r="E245" s="41">
        <v>5.1419169066227893E-5</v>
      </c>
    </row>
    <row r="246" spans="2:5" ht="15" customHeight="1">
      <c r="B246" s="92"/>
      <c r="C246" s="43" t="s">
        <v>143</v>
      </c>
      <c r="D246" s="42">
        <v>4</v>
      </c>
      <c r="E246" s="41">
        <v>2.0567667626491157E-4</v>
      </c>
    </row>
    <row r="247" spans="2:5" ht="15" customHeight="1">
      <c r="B247" s="92"/>
      <c r="C247" s="43" t="s">
        <v>146</v>
      </c>
      <c r="D247" s="42">
        <v>2</v>
      </c>
      <c r="E247" s="41">
        <v>1.0283833813245579E-4</v>
      </c>
    </row>
    <row r="248" spans="2:5" ht="15" customHeight="1">
      <c r="B248" s="92"/>
      <c r="C248" s="43" t="s">
        <v>130</v>
      </c>
      <c r="D248" s="42">
        <v>3</v>
      </c>
      <c r="E248" s="41">
        <v>1.5425750719868367E-4</v>
      </c>
    </row>
    <row r="249" spans="2:5" ht="15" customHeight="1">
      <c r="B249" s="92"/>
      <c r="C249" s="43" t="s">
        <v>135</v>
      </c>
      <c r="D249" s="42">
        <v>3</v>
      </c>
      <c r="E249" s="41">
        <v>1.5425750719868367E-4</v>
      </c>
    </row>
    <row r="250" spans="2:5" ht="15" customHeight="1">
      <c r="B250" s="92"/>
      <c r="C250" s="43" t="s">
        <v>142</v>
      </c>
      <c r="D250" s="42">
        <v>1</v>
      </c>
      <c r="E250" s="41">
        <v>5.1419169066227893E-5</v>
      </c>
    </row>
    <row r="251" spans="2:5" ht="15" customHeight="1">
      <c r="B251" s="92"/>
      <c r="C251" s="43" t="s">
        <v>152</v>
      </c>
      <c r="D251" s="42">
        <v>3</v>
      </c>
      <c r="E251" s="41">
        <v>1.5425750719868367E-4</v>
      </c>
    </row>
    <row r="252" spans="2:5" ht="15" customHeight="1">
      <c r="B252" s="92"/>
      <c r="C252" s="43" t="s">
        <v>156</v>
      </c>
      <c r="D252" s="42">
        <v>9</v>
      </c>
      <c r="E252" s="41">
        <v>4.6277252159605099E-4</v>
      </c>
    </row>
    <row r="253" spans="2:5" ht="15" customHeight="1">
      <c r="B253" s="92"/>
      <c r="C253" s="43" t="s">
        <v>148</v>
      </c>
      <c r="D253" s="42">
        <v>2</v>
      </c>
      <c r="E253" s="41">
        <v>1.0283833813245579E-4</v>
      </c>
    </row>
    <row r="254" spans="2:5" ht="15" customHeight="1">
      <c r="B254" s="92"/>
      <c r="C254" s="43" t="s">
        <v>145</v>
      </c>
      <c r="D254" s="42">
        <v>2</v>
      </c>
      <c r="E254" s="41">
        <v>1.0283833813245579E-4</v>
      </c>
    </row>
    <row r="255" spans="2:5" ht="15" customHeight="1">
      <c r="B255" s="92"/>
      <c r="C255" s="43" t="s">
        <v>133</v>
      </c>
      <c r="D255" s="42">
        <v>2</v>
      </c>
      <c r="E255" s="41">
        <v>1.0283833813245579E-4</v>
      </c>
    </row>
    <row r="256" spans="2:5" ht="15" customHeight="1">
      <c r="B256" s="92"/>
      <c r="C256" s="43" t="s">
        <v>140</v>
      </c>
      <c r="D256" s="42">
        <v>1</v>
      </c>
      <c r="E256" s="41">
        <v>5.1419169066227893E-5</v>
      </c>
    </row>
    <row r="257" spans="2:5" ht="15" customHeight="1">
      <c r="B257" s="92"/>
      <c r="C257" s="43" t="s">
        <v>159</v>
      </c>
      <c r="D257" s="42">
        <v>31</v>
      </c>
      <c r="E257" s="41">
        <v>1.5939942410530645E-3</v>
      </c>
    </row>
    <row r="258" spans="2:5" ht="15" customHeight="1">
      <c r="B258" s="92"/>
      <c r="C258" s="43" t="s">
        <v>147</v>
      </c>
      <c r="D258" s="42">
        <v>2</v>
      </c>
      <c r="E258" s="41">
        <v>1.0283833813245579E-4</v>
      </c>
    </row>
    <row r="259" spans="2:5" ht="15" customHeight="1">
      <c r="B259" s="92"/>
      <c r="C259" s="43" t="s">
        <v>157</v>
      </c>
      <c r="D259" s="42">
        <v>5</v>
      </c>
      <c r="E259" s="41">
        <v>2.5709584533113944E-4</v>
      </c>
    </row>
    <row r="260" spans="2:5" ht="15" customHeight="1">
      <c r="B260" s="92"/>
      <c r="C260" s="43" t="s">
        <v>141</v>
      </c>
      <c r="D260" s="42">
        <v>1</v>
      </c>
      <c r="E260" s="41">
        <v>5.1419169066227893E-5</v>
      </c>
    </row>
    <row r="261" spans="2:5" ht="15" customHeight="1">
      <c r="B261" s="92"/>
      <c r="C261" s="43" t="s">
        <v>134</v>
      </c>
      <c r="D261" s="42">
        <v>1</v>
      </c>
      <c r="E261" s="41">
        <v>5.1419169066227893E-5</v>
      </c>
    </row>
    <row r="262" spans="2:5" ht="15" customHeight="1">
      <c r="B262" s="92"/>
      <c r="C262" s="43" t="s">
        <v>158</v>
      </c>
      <c r="D262" s="42">
        <v>31</v>
      </c>
      <c r="E262" s="41">
        <v>1.5939942410530645E-3</v>
      </c>
    </row>
    <row r="263" spans="2:5" ht="15" customHeight="1">
      <c r="B263" s="92"/>
      <c r="C263" s="43" t="s">
        <v>154</v>
      </c>
      <c r="D263" s="42">
        <v>14</v>
      </c>
      <c r="E263" s="41">
        <v>7.1986836692719048E-4</v>
      </c>
    </row>
    <row r="264" spans="2:5" ht="15" customHeight="1">
      <c r="B264" s="92"/>
      <c r="C264" s="43" t="s">
        <v>131</v>
      </c>
      <c r="D264" s="42">
        <v>2</v>
      </c>
      <c r="E264" s="41">
        <v>1.0283833813245579E-4</v>
      </c>
    </row>
    <row r="265" spans="2:5" ht="15" customHeight="1">
      <c r="B265" s="92"/>
      <c r="C265" s="43" t="s">
        <v>149</v>
      </c>
      <c r="D265" s="42">
        <v>5</v>
      </c>
      <c r="E265" s="41">
        <v>2.5709584533113944E-4</v>
      </c>
    </row>
    <row r="266" spans="2:5" ht="15" customHeight="1">
      <c r="B266" s="92"/>
      <c r="C266" s="43" t="s">
        <v>144</v>
      </c>
      <c r="D266" s="42">
        <v>2</v>
      </c>
      <c r="E266" s="41">
        <v>1.0283833813245579E-4</v>
      </c>
    </row>
    <row r="267" spans="2:5" ht="15" customHeight="1">
      <c r="B267" s="92"/>
      <c r="C267" s="43" t="s">
        <v>155</v>
      </c>
      <c r="D267" s="42">
        <v>13</v>
      </c>
      <c r="E267" s="41">
        <v>6.6844919786096253E-4</v>
      </c>
    </row>
    <row r="268" spans="2:5" ht="15" customHeight="1">
      <c r="B268" s="92"/>
      <c r="C268" s="43" t="s">
        <v>151</v>
      </c>
      <c r="D268" s="42">
        <v>11</v>
      </c>
      <c r="E268" s="41">
        <v>5.6561085972850684E-4</v>
      </c>
    </row>
    <row r="269" spans="2:5" ht="15" customHeight="1">
      <c r="B269" s="92"/>
      <c r="C269" s="43" t="s">
        <v>153</v>
      </c>
      <c r="D269" s="42">
        <v>7</v>
      </c>
      <c r="E269" s="41">
        <v>3.5993418346359524E-4</v>
      </c>
    </row>
    <row r="270" spans="2:5" ht="15" customHeight="1">
      <c r="B270" s="92"/>
      <c r="C270" s="43" t="s">
        <v>150</v>
      </c>
      <c r="D270" s="42">
        <v>4</v>
      </c>
      <c r="E270" s="41">
        <v>2.0567667626491157E-4</v>
      </c>
    </row>
    <row r="271" spans="2:5" ht="15" customHeight="1">
      <c r="B271" s="93"/>
      <c r="C271" s="40" t="s">
        <v>20</v>
      </c>
      <c r="D271" s="39">
        <v>162</v>
      </c>
      <c r="E271" s="38">
        <v>8.3299053887289174E-3</v>
      </c>
    </row>
    <row r="272" spans="2:5" ht="15" customHeight="1">
      <c r="B272" s="91" t="s">
        <v>80</v>
      </c>
      <c r="C272" s="43" t="s">
        <v>139</v>
      </c>
      <c r="D272" s="42">
        <v>1</v>
      </c>
      <c r="E272" s="41">
        <v>5.1419169066227893E-5</v>
      </c>
    </row>
    <row r="273" spans="2:5" ht="15" customHeight="1">
      <c r="B273" s="92"/>
      <c r="C273" s="43" t="s">
        <v>152</v>
      </c>
      <c r="D273" s="42">
        <v>1</v>
      </c>
      <c r="E273" s="41">
        <v>5.1419169066227893E-5</v>
      </c>
    </row>
    <row r="274" spans="2:5" ht="15" customHeight="1">
      <c r="B274" s="92"/>
      <c r="C274" s="43" t="s">
        <v>156</v>
      </c>
      <c r="D274" s="42">
        <v>2</v>
      </c>
      <c r="E274" s="41">
        <v>1.0283833813245579E-4</v>
      </c>
    </row>
    <row r="275" spans="2:5" ht="15" customHeight="1">
      <c r="B275" s="92"/>
      <c r="C275" s="43" t="s">
        <v>159</v>
      </c>
      <c r="D275" s="42">
        <v>2</v>
      </c>
      <c r="E275" s="41">
        <v>1.0283833813245579E-4</v>
      </c>
    </row>
    <row r="276" spans="2:5" ht="15" customHeight="1">
      <c r="B276" s="92"/>
      <c r="C276" s="43" t="s">
        <v>157</v>
      </c>
      <c r="D276" s="42">
        <v>1</v>
      </c>
      <c r="E276" s="41">
        <v>5.1419169066227893E-5</v>
      </c>
    </row>
    <row r="277" spans="2:5" ht="15" customHeight="1">
      <c r="B277" s="92"/>
      <c r="C277" s="43" t="s">
        <v>158</v>
      </c>
      <c r="D277" s="42">
        <v>3</v>
      </c>
      <c r="E277" s="41">
        <v>1.5425750719868367E-4</v>
      </c>
    </row>
    <row r="278" spans="2:5" ht="15" customHeight="1">
      <c r="B278" s="92"/>
      <c r="C278" s="43" t="s">
        <v>154</v>
      </c>
      <c r="D278" s="42">
        <v>2</v>
      </c>
      <c r="E278" s="41">
        <v>1.0283833813245579E-4</v>
      </c>
    </row>
    <row r="279" spans="2:5" ht="15" customHeight="1">
      <c r="B279" s="92"/>
      <c r="C279" s="43" t="s">
        <v>155</v>
      </c>
      <c r="D279" s="42">
        <v>1</v>
      </c>
      <c r="E279" s="41">
        <v>5.1419169066227893E-5</v>
      </c>
    </row>
    <row r="280" spans="2:5" ht="15" customHeight="1">
      <c r="B280" s="92"/>
      <c r="C280" s="43" t="s">
        <v>150</v>
      </c>
      <c r="D280" s="42">
        <v>1</v>
      </c>
      <c r="E280" s="41">
        <v>5.1419169066227893E-5</v>
      </c>
    </row>
    <row r="281" spans="2:5" ht="15" customHeight="1">
      <c r="B281" s="93"/>
      <c r="C281" s="40" t="s">
        <v>20</v>
      </c>
      <c r="D281" s="39">
        <v>14</v>
      </c>
      <c r="E281" s="38">
        <v>7.1986836692719048E-4</v>
      </c>
    </row>
    <row r="282" spans="2:5" ht="15" customHeight="1">
      <c r="B282" s="91" t="s">
        <v>93</v>
      </c>
      <c r="C282" s="43" t="s">
        <v>143</v>
      </c>
      <c r="D282" s="42">
        <v>2</v>
      </c>
      <c r="E282" s="41">
        <v>1.0283833813245579E-4</v>
      </c>
    </row>
    <row r="283" spans="2:5" ht="15" customHeight="1">
      <c r="B283" s="92"/>
      <c r="C283" s="43" t="s">
        <v>152</v>
      </c>
      <c r="D283" s="42">
        <v>4</v>
      </c>
      <c r="E283" s="41">
        <v>2.0567667626491157E-4</v>
      </c>
    </row>
    <row r="284" spans="2:5" ht="15" customHeight="1">
      <c r="B284" s="92"/>
      <c r="C284" s="43" t="s">
        <v>156</v>
      </c>
      <c r="D284" s="42">
        <v>3</v>
      </c>
      <c r="E284" s="41">
        <v>1.5425750719868367E-4</v>
      </c>
    </row>
    <row r="285" spans="2:5" ht="15" customHeight="1">
      <c r="B285" s="92"/>
      <c r="C285" s="43" t="s">
        <v>148</v>
      </c>
      <c r="D285" s="42">
        <v>4</v>
      </c>
      <c r="E285" s="41">
        <v>2.0567667626491157E-4</v>
      </c>
    </row>
    <row r="286" spans="2:5" ht="15" customHeight="1">
      <c r="B286" s="92"/>
      <c r="C286" s="43" t="s">
        <v>123</v>
      </c>
      <c r="D286" s="42">
        <v>1</v>
      </c>
      <c r="E286" s="41">
        <v>5.1419169066227893E-5</v>
      </c>
    </row>
    <row r="287" spans="2:5" ht="15" customHeight="1">
      <c r="B287" s="92"/>
      <c r="C287" s="43" t="s">
        <v>159</v>
      </c>
      <c r="D287" s="42">
        <v>6</v>
      </c>
      <c r="E287" s="41">
        <v>3.0851501439736734E-4</v>
      </c>
    </row>
    <row r="288" spans="2:5" ht="15" customHeight="1">
      <c r="B288" s="92"/>
      <c r="C288" s="43" t="s">
        <v>157</v>
      </c>
      <c r="D288" s="42">
        <v>1</v>
      </c>
      <c r="E288" s="41">
        <v>5.1419169066227893E-5</v>
      </c>
    </row>
    <row r="289" spans="2:5" ht="15" customHeight="1">
      <c r="B289" s="92"/>
      <c r="C289" s="43" t="s">
        <v>134</v>
      </c>
      <c r="D289" s="42">
        <v>1</v>
      </c>
      <c r="E289" s="41">
        <v>5.1419169066227893E-5</v>
      </c>
    </row>
    <row r="290" spans="2:5" ht="15" customHeight="1">
      <c r="B290" s="92"/>
      <c r="C290" s="43" t="s">
        <v>158</v>
      </c>
      <c r="D290" s="42">
        <v>11</v>
      </c>
      <c r="E290" s="41">
        <v>5.6561085972850684E-4</v>
      </c>
    </row>
    <row r="291" spans="2:5" ht="15" customHeight="1">
      <c r="B291" s="92"/>
      <c r="C291" s="43" t="s">
        <v>154</v>
      </c>
      <c r="D291" s="42">
        <v>4</v>
      </c>
      <c r="E291" s="41">
        <v>2.0567667626491157E-4</v>
      </c>
    </row>
    <row r="292" spans="2:5" ht="15" customHeight="1">
      <c r="B292" s="92"/>
      <c r="C292" s="43" t="s">
        <v>149</v>
      </c>
      <c r="D292" s="42">
        <v>3</v>
      </c>
      <c r="E292" s="41">
        <v>1.5425750719868367E-4</v>
      </c>
    </row>
    <row r="293" spans="2:5" ht="15" customHeight="1">
      <c r="B293" s="92"/>
      <c r="C293" s="43" t="s">
        <v>144</v>
      </c>
      <c r="D293" s="42">
        <v>2</v>
      </c>
      <c r="E293" s="41">
        <v>1.0283833813245579E-4</v>
      </c>
    </row>
    <row r="294" spans="2:5" ht="15" customHeight="1">
      <c r="B294" s="92"/>
      <c r="C294" s="43" t="s">
        <v>155</v>
      </c>
      <c r="D294" s="42">
        <v>11</v>
      </c>
      <c r="E294" s="41">
        <v>5.6561085972850684E-4</v>
      </c>
    </row>
    <row r="295" spans="2:5" ht="15" customHeight="1">
      <c r="B295" s="92"/>
      <c r="C295" s="43" t="s">
        <v>151</v>
      </c>
      <c r="D295" s="42">
        <v>1</v>
      </c>
      <c r="E295" s="41">
        <v>5.1419169066227893E-5</v>
      </c>
    </row>
    <row r="296" spans="2:5" ht="15" customHeight="1">
      <c r="B296" s="92"/>
      <c r="C296" s="43" t="s">
        <v>153</v>
      </c>
      <c r="D296" s="42">
        <v>5</v>
      </c>
      <c r="E296" s="41">
        <v>2.5709584533113944E-4</v>
      </c>
    </row>
    <row r="297" spans="2:5" ht="15" customHeight="1">
      <c r="B297" s="92"/>
      <c r="C297" s="43" t="s">
        <v>150</v>
      </c>
      <c r="D297" s="42">
        <v>1</v>
      </c>
      <c r="E297" s="41">
        <v>5.1419169066227893E-5</v>
      </c>
    </row>
    <row r="298" spans="2:5" ht="15" customHeight="1">
      <c r="B298" s="93"/>
      <c r="C298" s="40" t="s">
        <v>20</v>
      </c>
      <c r="D298" s="39">
        <v>60</v>
      </c>
      <c r="E298" s="38">
        <v>3.0851501439736733E-3</v>
      </c>
    </row>
    <row r="299" spans="2:5" ht="15" customHeight="1">
      <c r="B299" s="91" t="s">
        <v>109</v>
      </c>
      <c r="C299" s="43" t="s">
        <v>139</v>
      </c>
      <c r="D299" s="42">
        <v>2</v>
      </c>
      <c r="E299" s="41">
        <v>1.0283833813245579E-4</v>
      </c>
    </row>
    <row r="300" spans="2:5" ht="15" customHeight="1">
      <c r="B300" s="92"/>
      <c r="C300" s="43" t="s">
        <v>146</v>
      </c>
      <c r="D300" s="42">
        <v>1</v>
      </c>
      <c r="E300" s="41">
        <v>5.1419169066227893E-5</v>
      </c>
    </row>
    <row r="301" spans="2:5" ht="15" customHeight="1">
      <c r="B301" s="92"/>
      <c r="C301" s="43" t="s">
        <v>130</v>
      </c>
      <c r="D301" s="42">
        <v>3</v>
      </c>
      <c r="E301" s="41">
        <v>1.5425750719868367E-4</v>
      </c>
    </row>
    <row r="302" spans="2:5" ht="15" customHeight="1">
      <c r="B302" s="92"/>
      <c r="C302" s="43" t="s">
        <v>135</v>
      </c>
      <c r="D302" s="42">
        <v>1</v>
      </c>
      <c r="E302" s="41">
        <v>5.1419169066227893E-5</v>
      </c>
    </row>
    <row r="303" spans="2:5" ht="15" customHeight="1">
      <c r="B303" s="92"/>
      <c r="C303" s="43" t="s">
        <v>152</v>
      </c>
      <c r="D303" s="42">
        <v>5</v>
      </c>
      <c r="E303" s="41">
        <v>2.5709584533113944E-4</v>
      </c>
    </row>
    <row r="304" spans="2:5" ht="15" customHeight="1">
      <c r="B304" s="92"/>
      <c r="C304" s="43" t="s">
        <v>156</v>
      </c>
      <c r="D304" s="42">
        <v>3</v>
      </c>
      <c r="E304" s="41">
        <v>1.5425750719868367E-4</v>
      </c>
    </row>
    <row r="305" spans="2:5" ht="15" customHeight="1">
      <c r="B305" s="92"/>
      <c r="C305" s="43" t="s">
        <v>132</v>
      </c>
      <c r="D305" s="42">
        <v>2</v>
      </c>
      <c r="E305" s="41">
        <v>1.0283833813245579E-4</v>
      </c>
    </row>
    <row r="306" spans="2:5" ht="15" customHeight="1">
      <c r="B306" s="92"/>
      <c r="C306" s="43" t="s">
        <v>140</v>
      </c>
      <c r="D306" s="42">
        <v>1</v>
      </c>
      <c r="E306" s="41">
        <v>5.1419169066227893E-5</v>
      </c>
    </row>
    <row r="307" spans="2:5" ht="15" customHeight="1">
      <c r="B307" s="92"/>
      <c r="C307" s="43" t="s">
        <v>159</v>
      </c>
      <c r="D307" s="42">
        <v>9</v>
      </c>
      <c r="E307" s="41">
        <v>4.6277252159605099E-4</v>
      </c>
    </row>
    <row r="308" spans="2:5" ht="15" customHeight="1">
      <c r="B308" s="92"/>
      <c r="C308" s="43" t="s">
        <v>157</v>
      </c>
      <c r="D308" s="42">
        <v>4</v>
      </c>
      <c r="E308" s="41">
        <v>2.0567667626491157E-4</v>
      </c>
    </row>
    <row r="309" spans="2:5" ht="15" customHeight="1">
      <c r="B309" s="92"/>
      <c r="C309" s="43" t="s">
        <v>158</v>
      </c>
      <c r="D309" s="42">
        <v>6</v>
      </c>
      <c r="E309" s="41">
        <v>3.0851501439736734E-4</v>
      </c>
    </row>
    <row r="310" spans="2:5" ht="15" customHeight="1">
      <c r="B310" s="92"/>
      <c r="C310" s="43" t="s">
        <v>154</v>
      </c>
      <c r="D310" s="42">
        <v>1</v>
      </c>
      <c r="E310" s="41">
        <v>5.1419169066227893E-5</v>
      </c>
    </row>
    <row r="311" spans="2:5" ht="15" customHeight="1">
      <c r="B311" s="92"/>
      <c r="C311" s="43" t="s">
        <v>131</v>
      </c>
      <c r="D311" s="42">
        <v>1</v>
      </c>
      <c r="E311" s="41">
        <v>5.1419169066227893E-5</v>
      </c>
    </row>
    <row r="312" spans="2:5" ht="15" customHeight="1">
      <c r="B312" s="92"/>
      <c r="C312" s="43" t="s">
        <v>149</v>
      </c>
      <c r="D312" s="42">
        <v>1</v>
      </c>
      <c r="E312" s="41">
        <v>5.1419169066227893E-5</v>
      </c>
    </row>
    <row r="313" spans="2:5" ht="15" customHeight="1">
      <c r="B313" s="92"/>
      <c r="C313" s="43" t="s">
        <v>155</v>
      </c>
      <c r="D313" s="42">
        <v>5</v>
      </c>
      <c r="E313" s="41">
        <v>2.5709584533113944E-4</v>
      </c>
    </row>
    <row r="314" spans="2:5" ht="15" customHeight="1">
      <c r="B314" s="92"/>
      <c r="C314" s="43" t="s">
        <v>151</v>
      </c>
      <c r="D314" s="42">
        <v>1</v>
      </c>
      <c r="E314" s="41">
        <v>5.1419169066227893E-5</v>
      </c>
    </row>
    <row r="315" spans="2:5" ht="15" customHeight="1">
      <c r="B315" s="92"/>
      <c r="C315" s="43" t="s">
        <v>153</v>
      </c>
      <c r="D315" s="42">
        <v>1</v>
      </c>
      <c r="E315" s="41">
        <v>5.1419169066227893E-5</v>
      </c>
    </row>
    <row r="316" spans="2:5" ht="15" customHeight="1">
      <c r="B316" s="92"/>
      <c r="C316" s="43" t="s">
        <v>150</v>
      </c>
      <c r="D316" s="42">
        <v>3</v>
      </c>
      <c r="E316" s="41">
        <v>1.5425750719868367E-4</v>
      </c>
    </row>
    <row r="317" spans="2:5" ht="15" customHeight="1">
      <c r="B317" s="92"/>
      <c r="C317" s="43" t="s">
        <v>138</v>
      </c>
      <c r="D317" s="42">
        <v>1</v>
      </c>
      <c r="E317" s="41">
        <v>5.1419169066227893E-5</v>
      </c>
    </row>
    <row r="318" spans="2:5" ht="15" customHeight="1">
      <c r="B318" s="93"/>
      <c r="C318" s="40" t="s">
        <v>20</v>
      </c>
      <c r="D318" s="39">
        <v>51</v>
      </c>
      <c r="E318" s="38">
        <v>2.6223776223776225E-3</v>
      </c>
    </row>
    <row r="319" spans="2:5" ht="15" customHeight="1">
      <c r="B319" s="91" t="s">
        <v>113</v>
      </c>
      <c r="C319" s="43" t="s">
        <v>139</v>
      </c>
      <c r="D319" s="42">
        <v>49</v>
      </c>
      <c r="E319" s="41">
        <v>2.5195392842451668E-3</v>
      </c>
    </row>
    <row r="320" spans="2:5" ht="15" customHeight="1">
      <c r="B320" s="92"/>
      <c r="C320" s="43" t="s">
        <v>143</v>
      </c>
      <c r="D320" s="42">
        <v>57</v>
      </c>
      <c r="E320" s="41">
        <v>2.9308926367749896E-3</v>
      </c>
    </row>
    <row r="321" spans="2:5" ht="15" customHeight="1">
      <c r="B321" s="92"/>
      <c r="C321" s="43" t="s">
        <v>146</v>
      </c>
      <c r="D321" s="42">
        <v>77</v>
      </c>
      <c r="E321" s="41">
        <v>3.9592760180995473E-3</v>
      </c>
    </row>
    <row r="322" spans="2:5" ht="15" customHeight="1">
      <c r="B322" s="92"/>
      <c r="C322" s="43" t="s">
        <v>130</v>
      </c>
      <c r="D322" s="42">
        <v>8</v>
      </c>
      <c r="E322" s="41">
        <v>4.1135335252982314E-4</v>
      </c>
    </row>
    <row r="323" spans="2:5" ht="15" customHeight="1">
      <c r="B323" s="92"/>
      <c r="C323" s="43" t="s">
        <v>136</v>
      </c>
      <c r="D323" s="42">
        <v>43</v>
      </c>
      <c r="E323" s="41">
        <v>2.2110242698477993E-3</v>
      </c>
    </row>
    <row r="324" spans="2:5" ht="15" customHeight="1">
      <c r="B324" s="92"/>
      <c r="C324" s="43" t="s">
        <v>135</v>
      </c>
      <c r="D324" s="42">
        <v>21</v>
      </c>
      <c r="E324" s="41">
        <v>1.0798025503907856E-3</v>
      </c>
    </row>
    <row r="325" spans="2:5" ht="15" customHeight="1">
      <c r="B325" s="92"/>
      <c r="C325" s="43" t="s">
        <v>142</v>
      </c>
      <c r="D325" s="42">
        <v>21</v>
      </c>
      <c r="E325" s="41">
        <v>1.0798025503907856E-3</v>
      </c>
    </row>
    <row r="326" spans="2:5" ht="15" customHeight="1">
      <c r="B326" s="92"/>
      <c r="C326" s="43" t="s">
        <v>118</v>
      </c>
      <c r="D326" s="42">
        <v>2</v>
      </c>
      <c r="E326" s="41">
        <v>1.0283833813245579E-4</v>
      </c>
    </row>
    <row r="327" spans="2:5" ht="15" customHeight="1">
      <c r="B327" s="92"/>
      <c r="C327" s="43" t="s">
        <v>152</v>
      </c>
      <c r="D327" s="42">
        <v>276</v>
      </c>
      <c r="E327" s="41">
        <v>1.4191690662278898E-2</v>
      </c>
    </row>
    <row r="328" spans="2:5" ht="15" customHeight="1">
      <c r="B328" s="92"/>
      <c r="C328" s="43" t="s">
        <v>119</v>
      </c>
      <c r="D328" s="42">
        <v>18</v>
      </c>
      <c r="E328" s="41">
        <v>9.2554504319210197E-4</v>
      </c>
    </row>
    <row r="329" spans="2:5" ht="15" customHeight="1">
      <c r="B329" s="92"/>
      <c r="C329" s="43" t="s">
        <v>156</v>
      </c>
      <c r="D329" s="42">
        <v>365</v>
      </c>
      <c r="E329" s="41">
        <v>1.8767996709173181E-2</v>
      </c>
    </row>
    <row r="330" spans="2:5" ht="15" customHeight="1">
      <c r="B330" s="92"/>
      <c r="C330" s="43" t="s">
        <v>128</v>
      </c>
      <c r="D330" s="42">
        <v>3</v>
      </c>
      <c r="E330" s="41">
        <v>1.5425750719868367E-4</v>
      </c>
    </row>
    <row r="331" spans="2:5" ht="15" customHeight="1">
      <c r="B331" s="92"/>
      <c r="C331" s="43" t="s">
        <v>148</v>
      </c>
      <c r="D331" s="42">
        <v>70</v>
      </c>
      <c r="E331" s="41">
        <v>3.5993418346359522E-3</v>
      </c>
    </row>
    <row r="332" spans="2:5" ht="15" customHeight="1">
      <c r="B332" s="92"/>
      <c r="C332" s="43" t="s">
        <v>126</v>
      </c>
      <c r="D332" s="42">
        <v>9</v>
      </c>
      <c r="E332" s="41">
        <v>4.6277252159605099E-4</v>
      </c>
    </row>
    <row r="333" spans="2:5" ht="15" customHeight="1">
      <c r="B333" s="92"/>
      <c r="C333" s="43" t="s">
        <v>124</v>
      </c>
      <c r="D333" s="42">
        <v>10</v>
      </c>
      <c r="E333" s="41">
        <v>5.1419169066227888E-4</v>
      </c>
    </row>
    <row r="334" spans="2:5" ht="15" customHeight="1">
      <c r="B334" s="92"/>
      <c r="C334" s="43" t="s">
        <v>145</v>
      </c>
      <c r="D334" s="42">
        <v>23</v>
      </c>
      <c r="E334" s="41">
        <v>1.1826408885232415E-3</v>
      </c>
    </row>
    <row r="335" spans="2:5" ht="15" customHeight="1">
      <c r="B335" s="92"/>
      <c r="C335" s="43" t="s">
        <v>137</v>
      </c>
      <c r="D335" s="42">
        <v>37</v>
      </c>
      <c r="E335" s="41">
        <v>1.902509255450432E-3</v>
      </c>
    </row>
    <row r="336" spans="2:5" ht="15" customHeight="1">
      <c r="B336" s="92"/>
      <c r="C336" s="43" t="s">
        <v>133</v>
      </c>
      <c r="D336" s="42">
        <v>19</v>
      </c>
      <c r="E336" s="41">
        <v>9.7696421225832992E-4</v>
      </c>
    </row>
    <row r="337" spans="2:5" ht="15" customHeight="1">
      <c r="B337" s="92"/>
      <c r="C337" s="43" t="s">
        <v>132</v>
      </c>
      <c r="D337" s="42">
        <v>5</v>
      </c>
      <c r="E337" s="41">
        <v>2.5709584533113944E-4</v>
      </c>
    </row>
    <row r="338" spans="2:5" ht="15" customHeight="1">
      <c r="B338" s="92"/>
      <c r="C338" s="43" t="s">
        <v>140</v>
      </c>
      <c r="D338" s="42">
        <v>23</v>
      </c>
      <c r="E338" s="41">
        <v>1.1826408885232415E-3</v>
      </c>
    </row>
    <row r="339" spans="2:5" ht="15" customHeight="1">
      <c r="B339" s="92"/>
      <c r="C339" s="43" t="s">
        <v>123</v>
      </c>
      <c r="D339" s="42">
        <v>5</v>
      </c>
      <c r="E339" s="41">
        <v>2.5709584533113944E-4</v>
      </c>
    </row>
    <row r="340" spans="2:5" ht="15" customHeight="1">
      <c r="B340" s="92"/>
      <c r="C340" s="43" t="s">
        <v>159</v>
      </c>
      <c r="D340" s="42">
        <v>990</v>
      </c>
      <c r="E340" s="41">
        <v>5.090497737556561E-2</v>
      </c>
    </row>
    <row r="341" spans="2:5" ht="15" customHeight="1">
      <c r="B341" s="92"/>
      <c r="C341" s="43" t="s">
        <v>125</v>
      </c>
      <c r="D341" s="42">
        <v>10</v>
      </c>
      <c r="E341" s="41">
        <v>5.1419169066227888E-4</v>
      </c>
    </row>
    <row r="342" spans="2:5" ht="15" customHeight="1">
      <c r="B342" s="92"/>
      <c r="C342" s="43" t="s">
        <v>129</v>
      </c>
      <c r="D342" s="42">
        <v>16</v>
      </c>
      <c r="E342" s="41">
        <v>8.2270670505964628E-4</v>
      </c>
    </row>
    <row r="343" spans="2:5" ht="15" customHeight="1">
      <c r="B343" s="92"/>
      <c r="C343" s="43" t="s">
        <v>147</v>
      </c>
      <c r="D343" s="42">
        <v>83</v>
      </c>
      <c r="E343" s="41">
        <v>4.2677910324969148E-3</v>
      </c>
    </row>
    <row r="344" spans="2:5" ht="15" customHeight="1">
      <c r="B344" s="92"/>
      <c r="C344" s="43" t="s">
        <v>121</v>
      </c>
      <c r="D344" s="42">
        <v>5</v>
      </c>
      <c r="E344" s="41">
        <v>2.5709584533113944E-4</v>
      </c>
    </row>
    <row r="345" spans="2:5" ht="15" customHeight="1">
      <c r="B345" s="92"/>
      <c r="C345" s="43" t="s">
        <v>157</v>
      </c>
      <c r="D345" s="42">
        <v>383</v>
      </c>
      <c r="E345" s="41">
        <v>1.9693541752365283E-2</v>
      </c>
    </row>
    <row r="346" spans="2:5" ht="15" customHeight="1">
      <c r="B346" s="92"/>
      <c r="C346" s="43" t="s">
        <v>120</v>
      </c>
      <c r="D346" s="42">
        <v>2</v>
      </c>
      <c r="E346" s="41">
        <v>1.0283833813245579E-4</v>
      </c>
    </row>
    <row r="347" spans="2:5" ht="15" customHeight="1">
      <c r="B347" s="92"/>
      <c r="C347" s="43" t="s">
        <v>141</v>
      </c>
      <c r="D347" s="42">
        <v>55</v>
      </c>
      <c r="E347" s="41">
        <v>2.8280542986425339E-3</v>
      </c>
    </row>
    <row r="348" spans="2:5" ht="15" customHeight="1">
      <c r="B348" s="92"/>
      <c r="C348" s="43" t="s">
        <v>134</v>
      </c>
      <c r="D348" s="42">
        <v>20</v>
      </c>
      <c r="E348" s="41">
        <v>1.0283833813245578E-3</v>
      </c>
    </row>
    <row r="349" spans="2:5" ht="15" customHeight="1">
      <c r="B349" s="92"/>
      <c r="C349" s="43" t="s">
        <v>122</v>
      </c>
      <c r="D349" s="42">
        <v>1</v>
      </c>
      <c r="E349" s="41">
        <v>5.1419169066227893E-5</v>
      </c>
    </row>
    <row r="350" spans="2:5" ht="15" customHeight="1">
      <c r="B350" s="92"/>
      <c r="C350" s="43" t="s">
        <v>158</v>
      </c>
      <c r="D350" s="42">
        <v>533</v>
      </c>
      <c r="E350" s="41">
        <v>2.7406417112299464E-2</v>
      </c>
    </row>
    <row r="351" spans="2:5" ht="15" customHeight="1">
      <c r="B351" s="92"/>
      <c r="C351" s="43" t="s">
        <v>154</v>
      </c>
      <c r="D351" s="42">
        <v>198</v>
      </c>
      <c r="E351" s="41">
        <v>1.0180995475113122E-2</v>
      </c>
    </row>
    <row r="352" spans="2:5" ht="15" customHeight="1">
      <c r="B352" s="92"/>
      <c r="C352" s="43" t="s">
        <v>131</v>
      </c>
      <c r="D352" s="42">
        <v>22</v>
      </c>
      <c r="E352" s="41">
        <v>1.1312217194570137E-3</v>
      </c>
    </row>
    <row r="353" spans="2:5" ht="15" customHeight="1">
      <c r="B353" s="92"/>
      <c r="C353" s="43" t="s">
        <v>149</v>
      </c>
      <c r="D353" s="42">
        <v>256</v>
      </c>
      <c r="E353" s="41">
        <v>1.316330728095434E-2</v>
      </c>
    </row>
    <row r="354" spans="2:5" ht="15" customHeight="1">
      <c r="B354" s="92"/>
      <c r="C354" s="43" t="s">
        <v>117</v>
      </c>
      <c r="D354" s="42">
        <v>1</v>
      </c>
      <c r="E354" s="41">
        <v>5.1419169066227893E-5</v>
      </c>
    </row>
    <row r="355" spans="2:5" ht="15" customHeight="1">
      <c r="B355" s="92"/>
      <c r="C355" s="43" t="s">
        <v>144</v>
      </c>
      <c r="D355" s="42">
        <v>47</v>
      </c>
      <c r="E355" s="41">
        <v>2.4167009461127107E-3</v>
      </c>
    </row>
    <row r="356" spans="2:5" ht="15" customHeight="1">
      <c r="B356" s="92"/>
      <c r="C356" s="43" t="s">
        <v>155</v>
      </c>
      <c r="D356" s="42">
        <v>435</v>
      </c>
      <c r="E356" s="41">
        <v>2.2367338543809134E-2</v>
      </c>
    </row>
    <row r="357" spans="2:5" ht="15" customHeight="1">
      <c r="B357" s="92"/>
      <c r="C357" s="43" t="s">
        <v>151</v>
      </c>
      <c r="D357" s="42">
        <v>216</v>
      </c>
      <c r="E357" s="41">
        <v>1.1106540518305225E-2</v>
      </c>
    </row>
    <row r="358" spans="2:5" ht="15" customHeight="1">
      <c r="B358" s="92"/>
      <c r="C358" s="43" t="s">
        <v>153</v>
      </c>
      <c r="D358" s="42">
        <v>326</v>
      </c>
      <c r="E358" s="41">
        <v>1.6762649115590292E-2</v>
      </c>
    </row>
    <row r="359" spans="2:5" ht="15" customHeight="1">
      <c r="B359" s="92"/>
      <c r="C359" s="43" t="s">
        <v>150</v>
      </c>
      <c r="D359" s="42">
        <v>208</v>
      </c>
      <c r="E359" s="41">
        <v>1.06951871657754E-2</v>
      </c>
    </row>
    <row r="360" spans="2:5" ht="15" customHeight="1">
      <c r="B360" s="92"/>
      <c r="C360" s="43" t="s">
        <v>127</v>
      </c>
      <c r="D360" s="42">
        <v>12</v>
      </c>
      <c r="E360" s="41">
        <v>6.1703002879473468E-4</v>
      </c>
    </row>
    <row r="361" spans="2:5" ht="15" customHeight="1">
      <c r="B361" s="92"/>
      <c r="C361" s="43" t="s">
        <v>138</v>
      </c>
      <c r="D361" s="42">
        <v>56</v>
      </c>
      <c r="E361" s="41">
        <v>2.8794734677087619E-3</v>
      </c>
    </row>
    <row r="362" spans="2:5" ht="15" customHeight="1">
      <c r="B362" s="93"/>
      <c r="C362" s="40" t="s">
        <v>20</v>
      </c>
      <c r="D362" s="39">
        <v>5016</v>
      </c>
      <c r="E362" s="38">
        <v>0.25791855203619912</v>
      </c>
    </row>
    <row r="363" spans="2:5" ht="15" customHeight="1">
      <c r="B363" s="91" t="s">
        <v>97</v>
      </c>
      <c r="C363" s="43" t="s">
        <v>139</v>
      </c>
      <c r="D363" s="42">
        <v>3</v>
      </c>
      <c r="E363" s="41">
        <v>1.5425750719868367E-4</v>
      </c>
    </row>
    <row r="364" spans="2:5" ht="15" customHeight="1">
      <c r="B364" s="92"/>
      <c r="C364" s="43" t="s">
        <v>143</v>
      </c>
      <c r="D364" s="42">
        <v>3</v>
      </c>
      <c r="E364" s="41">
        <v>1.5425750719868367E-4</v>
      </c>
    </row>
    <row r="365" spans="2:5" ht="15" customHeight="1">
      <c r="B365" s="92"/>
      <c r="C365" s="43" t="s">
        <v>146</v>
      </c>
      <c r="D365" s="42">
        <v>3</v>
      </c>
      <c r="E365" s="41">
        <v>1.5425750719868367E-4</v>
      </c>
    </row>
    <row r="366" spans="2:5" ht="15" customHeight="1">
      <c r="B366" s="92"/>
      <c r="C366" s="43" t="s">
        <v>130</v>
      </c>
      <c r="D366" s="42">
        <v>3</v>
      </c>
      <c r="E366" s="41">
        <v>1.5425750719868367E-4</v>
      </c>
    </row>
    <row r="367" spans="2:5" ht="15" customHeight="1">
      <c r="B367" s="92"/>
      <c r="C367" s="43" t="s">
        <v>135</v>
      </c>
      <c r="D367" s="42">
        <v>5</v>
      </c>
      <c r="E367" s="41">
        <v>2.5709584533113944E-4</v>
      </c>
    </row>
    <row r="368" spans="2:5" ht="15" customHeight="1">
      <c r="B368" s="92"/>
      <c r="C368" s="43" t="s">
        <v>152</v>
      </c>
      <c r="D368" s="42">
        <v>5</v>
      </c>
      <c r="E368" s="41">
        <v>2.5709584533113944E-4</v>
      </c>
    </row>
    <row r="369" spans="2:5" ht="15" customHeight="1">
      <c r="B369" s="92"/>
      <c r="C369" s="43" t="s">
        <v>156</v>
      </c>
      <c r="D369" s="42">
        <v>23</v>
      </c>
      <c r="E369" s="41">
        <v>1.1826408885232415E-3</v>
      </c>
    </row>
    <row r="370" spans="2:5" ht="15" customHeight="1">
      <c r="B370" s="92"/>
      <c r="C370" s="43" t="s">
        <v>128</v>
      </c>
      <c r="D370" s="42">
        <v>2</v>
      </c>
      <c r="E370" s="41">
        <v>1.0283833813245579E-4</v>
      </c>
    </row>
    <row r="371" spans="2:5" ht="15" customHeight="1">
      <c r="B371" s="92"/>
      <c r="C371" s="43" t="s">
        <v>148</v>
      </c>
      <c r="D371" s="42">
        <v>4</v>
      </c>
      <c r="E371" s="41">
        <v>2.0567667626491157E-4</v>
      </c>
    </row>
    <row r="372" spans="2:5" ht="15" customHeight="1">
      <c r="B372" s="92"/>
      <c r="C372" s="43" t="s">
        <v>126</v>
      </c>
      <c r="D372" s="42">
        <v>2</v>
      </c>
      <c r="E372" s="41">
        <v>1.0283833813245579E-4</v>
      </c>
    </row>
    <row r="373" spans="2:5" ht="15" customHeight="1">
      <c r="B373" s="92"/>
      <c r="C373" s="43" t="s">
        <v>137</v>
      </c>
      <c r="D373" s="42">
        <v>2</v>
      </c>
      <c r="E373" s="41">
        <v>1.0283833813245579E-4</v>
      </c>
    </row>
    <row r="374" spans="2:5" ht="15" customHeight="1">
      <c r="B374" s="92"/>
      <c r="C374" s="43" t="s">
        <v>133</v>
      </c>
      <c r="D374" s="42">
        <v>1</v>
      </c>
      <c r="E374" s="41">
        <v>5.1419169066227893E-5</v>
      </c>
    </row>
    <row r="375" spans="2:5" ht="15" customHeight="1">
      <c r="B375" s="92"/>
      <c r="C375" s="43" t="s">
        <v>132</v>
      </c>
      <c r="D375" s="42">
        <v>1</v>
      </c>
      <c r="E375" s="41">
        <v>5.1419169066227893E-5</v>
      </c>
    </row>
    <row r="376" spans="2:5" ht="15" customHeight="1">
      <c r="B376" s="92"/>
      <c r="C376" s="43" t="s">
        <v>140</v>
      </c>
      <c r="D376" s="42">
        <v>1</v>
      </c>
      <c r="E376" s="41">
        <v>5.1419169066227893E-5</v>
      </c>
    </row>
    <row r="377" spans="2:5" ht="15" customHeight="1">
      <c r="B377" s="92"/>
      <c r="C377" s="43" t="s">
        <v>159</v>
      </c>
      <c r="D377" s="42">
        <v>30</v>
      </c>
      <c r="E377" s="41">
        <v>1.5425750719868367E-3</v>
      </c>
    </row>
    <row r="378" spans="2:5" ht="15" customHeight="1">
      <c r="B378" s="92"/>
      <c r="C378" s="43" t="s">
        <v>157</v>
      </c>
      <c r="D378" s="42">
        <v>16</v>
      </c>
      <c r="E378" s="41">
        <v>8.2270670505964628E-4</v>
      </c>
    </row>
    <row r="379" spans="2:5" ht="15" customHeight="1">
      <c r="B379" s="92"/>
      <c r="C379" s="43" t="s">
        <v>120</v>
      </c>
      <c r="D379" s="42">
        <v>3</v>
      </c>
      <c r="E379" s="41">
        <v>1.5425750719868367E-4</v>
      </c>
    </row>
    <row r="380" spans="2:5" ht="15" customHeight="1">
      <c r="B380" s="92"/>
      <c r="C380" s="43" t="s">
        <v>141</v>
      </c>
      <c r="D380" s="42">
        <v>3</v>
      </c>
      <c r="E380" s="41">
        <v>1.5425750719868367E-4</v>
      </c>
    </row>
    <row r="381" spans="2:5" ht="15" customHeight="1">
      <c r="B381" s="92"/>
      <c r="C381" s="43" t="s">
        <v>122</v>
      </c>
      <c r="D381" s="42">
        <v>1</v>
      </c>
      <c r="E381" s="41">
        <v>5.1419169066227893E-5</v>
      </c>
    </row>
    <row r="382" spans="2:5" ht="15" customHeight="1">
      <c r="B382" s="92"/>
      <c r="C382" s="43" t="s">
        <v>158</v>
      </c>
      <c r="D382" s="42">
        <v>22</v>
      </c>
      <c r="E382" s="41">
        <v>1.1312217194570137E-3</v>
      </c>
    </row>
    <row r="383" spans="2:5" ht="15" customHeight="1">
      <c r="B383" s="92"/>
      <c r="C383" s="43" t="s">
        <v>154</v>
      </c>
      <c r="D383" s="42">
        <v>6</v>
      </c>
      <c r="E383" s="41">
        <v>3.0851501439736734E-4</v>
      </c>
    </row>
    <row r="384" spans="2:5" ht="15" customHeight="1">
      <c r="B384" s="92"/>
      <c r="C384" s="43" t="s">
        <v>149</v>
      </c>
      <c r="D384" s="42">
        <v>3</v>
      </c>
      <c r="E384" s="41">
        <v>1.5425750719868367E-4</v>
      </c>
    </row>
    <row r="385" spans="2:5" ht="15" customHeight="1">
      <c r="B385" s="92"/>
      <c r="C385" s="43" t="s">
        <v>144</v>
      </c>
      <c r="D385" s="42">
        <v>12</v>
      </c>
      <c r="E385" s="41">
        <v>6.1703002879473468E-4</v>
      </c>
    </row>
    <row r="386" spans="2:5" ht="15" customHeight="1">
      <c r="B386" s="92"/>
      <c r="C386" s="43" t="s">
        <v>155</v>
      </c>
      <c r="D386" s="42">
        <v>11</v>
      </c>
      <c r="E386" s="41">
        <v>5.6561085972850684E-4</v>
      </c>
    </row>
    <row r="387" spans="2:5" ht="15" customHeight="1">
      <c r="B387" s="92"/>
      <c r="C387" s="43" t="s">
        <v>151</v>
      </c>
      <c r="D387" s="42">
        <v>6</v>
      </c>
      <c r="E387" s="41">
        <v>3.0851501439736734E-4</v>
      </c>
    </row>
    <row r="388" spans="2:5" ht="15" customHeight="1">
      <c r="B388" s="92"/>
      <c r="C388" s="43" t="s">
        <v>153</v>
      </c>
      <c r="D388" s="42">
        <v>7</v>
      </c>
      <c r="E388" s="41">
        <v>3.5993418346359524E-4</v>
      </c>
    </row>
    <row r="389" spans="2:5" ht="15" customHeight="1">
      <c r="B389" s="92"/>
      <c r="C389" s="43" t="s">
        <v>150</v>
      </c>
      <c r="D389" s="42">
        <v>10</v>
      </c>
      <c r="E389" s="41">
        <v>5.1419169066227888E-4</v>
      </c>
    </row>
    <row r="390" spans="2:5" ht="15" customHeight="1">
      <c r="B390" s="92"/>
      <c r="C390" s="43" t="s">
        <v>138</v>
      </c>
      <c r="D390" s="42">
        <v>2</v>
      </c>
      <c r="E390" s="41">
        <v>1.0283833813245579E-4</v>
      </c>
    </row>
    <row r="391" spans="2:5" ht="15" customHeight="1">
      <c r="B391" s="93"/>
      <c r="C391" s="40" t="s">
        <v>20</v>
      </c>
      <c r="D391" s="39">
        <v>190</v>
      </c>
      <c r="E391" s="38">
        <v>9.7696421225832997E-3</v>
      </c>
    </row>
    <row r="392" spans="2:5" ht="15" customHeight="1">
      <c r="B392" s="91" t="s">
        <v>92</v>
      </c>
      <c r="C392" s="43" t="s">
        <v>139</v>
      </c>
      <c r="D392" s="42">
        <v>1</v>
      </c>
      <c r="E392" s="41">
        <v>5.1419169066227893E-5</v>
      </c>
    </row>
    <row r="393" spans="2:5" ht="15" customHeight="1">
      <c r="B393" s="92"/>
      <c r="C393" s="43" t="s">
        <v>143</v>
      </c>
      <c r="D393" s="42">
        <v>3</v>
      </c>
      <c r="E393" s="41">
        <v>1.5425750719868367E-4</v>
      </c>
    </row>
    <row r="394" spans="2:5" ht="15" customHeight="1">
      <c r="B394" s="92"/>
      <c r="C394" s="43" t="s">
        <v>146</v>
      </c>
      <c r="D394" s="42">
        <v>2</v>
      </c>
      <c r="E394" s="41">
        <v>1.0283833813245579E-4</v>
      </c>
    </row>
    <row r="395" spans="2:5" ht="15" customHeight="1">
      <c r="B395" s="92"/>
      <c r="C395" s="43" t="s">
        <v>135</v>
      </c>
      <c r="D395" s="42">
        <v>1</v>
      </c>
      <c r="E395" s="41">
        <v>5.1419169066227893E-5</v>
      </c>
    </row>
    <row r="396" spans="2:5" ht="15" customHeight="1">
      <c r="B396" s="92"/>
      <c r="C396" s="43" t="s">
        <v>152</v>
      </c>
      <c r="D396" s="42">
        <v>5</v>
      </c>
      <c r="E396" s="41">
        <v>2.5709584533113944E-4</v>
      </c>
    </row>
    <row r="397" spans="2:5" ht="15" customHeight="1">
      <c r="B397" s="92"/>
      <c r="C397" s="43" t="s">
        <v>156</v>
      </c>
      <c r="D397" s="42">
        <v>10</v>
      </c>
      <c r="E397" s="41">
        <v>5.1419169066227888E-4</v>
      </c>
    </row>
    <row r="398" spans="2:5" ht="15" customHeight="1">
      <c r="B398" s="92"/>
      <c r="C398" s="43" t="s">
        <v>148</v>
      </c>
      <c r="D398" s="42">
        <v>3</v>
      </c>
      <c r="E398" s="41">
        <v>1.5425750719868367E-4</v>
      </c>
    </row>
    <row r="399" spans="2:5" ht="15" customHeight="1">
      <c r="B399" s="92"/>
      <c r="C399" s="43" t="s">
        <v>145</v>
      </c>
      <c r="D399" s="42">
        <v>3</v>
      </c>
      <c r="E399" s="41">
        <v>1.5425750719868367E-4</v>
      </c>
    </row>
    <row r="400" spans="2:5" ht="15" customHeight="1">
      <c r="B400" s="92"/>
      <c r="C400" s="43" t="s">
        <v>133</v>
      </c>
      <c r="D400" s="42">
        <v>1</v>
      </c>
      <c r="E400" s="41">
        <v>5.1419169066227893E-5</v>
      </c>
    </row>
    <row r="401" spans="2:5" ht="15" customHeight="1">
      <c r="B401" s="92"/>
      <c r="C401" s="43" t="s">
        <v>159</v>
      </c>
      <c r="D401" s="42">
        <v>9</v>
      </c>
      <c r="E401" s="41">
        <v>4.6277252159605099E-4</v>
      </c>
    </row>
    <row r="402" spans="2:5" ht="15" customHeight="1">
      <c r="B402" s="92"/>
      <c r="C402" s="43" t="s">
        <v>129</v>
      </c>
      <c r="D402" s="42">
        <v>1</v>
      </c>
      <c r="E402" s="41">
        <v>5.1419169066227893E-5</v>
      </c>
    </row>
    <row r="403" spans="2:5" ht="15" customHeight="1">
      <c r="B403" s="92"/>
      <c r="C403" s="43" t="s">
        <v>121</v>
      </c>
      <c r="D403" s="42">
        <v>1</v>
      </c>
      <c r="E403" s="41">
        <v>5.1419169066227893E-5</v>
      </c>
    </row>
    <row r="404" spans="2:5" ht="15" customHeight="1">
      <c r="B404" s="92"/>
      <c r="C404" s="43" t="s">
        <v>157</v>
      </c>
      <c r="D404" s="42">
        <v>7</v>
      </c>
      <c r="E404" s="41">
        <v>3.5993418346359524E-4</v>
      </c>
    </row>
    <row r="405" spans="2:5" ht="15" customHeight="1">
      <c r="B405" s="92"/>
      <c r="C405" s="43" t="s">
        <v>141</v>
      </c>
      <c r="D405" s="42">
        <v>2</v>
      </c>
      <c r="E405" s="41">
        <v>1.0283833813245579E-4</v>
      </c>
    </row>
    <row r="406" spans="2:5" ht="15" customHeight="1">
      <c r="B406" s="92"/>
      <c r="C406" s="43" t="s">
        <v>134</v>
      </c>
      <c r="D406" s="42">
        <v>1</v>
      </c>
      <c r="E406" s="41">
        <v>5.1419169066227893E-5</v>
      </c>
    </row>
    <row r="407" spans="2:5" ht="15" customHeight="1">
      <c r="B407" s="92"/>
      <c r="C407" s="43" t="s">
        <v>122</v>
      </c>
      <c r="D407" s="42">
        <v>2</v>
      </c>
      <c r="E407" s="41">
        <v>1.0283833813245579E-4</v>
      </c>
    </row>
    <row r="408" spans="2:5" ht="15" customHeight="1">
      <c r="B408" s="92"/>
      <c r="C408" s="43" t="s">
        <v>158</v>
      </c>
      <c r="D408" s="42">
        <v>9</v>
      </c>
      <c r="E408" s="41">
        <v>4.6277252159605099E-4</v>
      </c>
    </row>
    <row r="409" spans="2:5" ht="15" customHeight="1">
      <c r="B409" s="92"/>
      <c r="C409" s="43" t="s">
        <v>154</v>
      </c>
      <c r="D409" s="42">
        <v>5</v>
      </c>
      <c r="E409" s="41">
        <v>2.5709584533113944E-4</v>
      </c>
    </row>
    <row r="410" spans="2:5" ht="15" customHeight="1">
      <c r="B410" s="92"/>
      <c r="C410" s="43" t="s">
        <v>131</v>
      </c>
      <c r="D410" s="42">
        <v>2</v>
      </c>
      <c r="E410" s="41">
        <v>1.0283833813245579E-4</v>
      </c>
    </row>
    <row r="411" spans="2:5" ht="15" customHeight="1">
      <c r="B411" s="92"/>
      <c r="C411" s="43" t="s">
        <v>149</v>
      </c>
      <c r="D411" s="42">
        <v>2</v>
      </c>
      <c r="E411" s="41">
        <v>1.0283833813245579E-4</v>
      </c>
    </row>
    <row r="412" spans="2:5" ht="15" customHeight="1">
      <c r="B412" s="92"/>
      <c r="C412" s="43" t="s">
        <v>155</v>
      </c>
      <c r="D412" s="42">
        <v>4</v>
      </c>
      <c r="E412" s="41">
        <v>2.0567667626491157E-4</v>
      </c>
    </row>
    <row r="413" spans="2:5" ht="15" customHeight="1">
      <c r="B413" s="92"/>
      <c r="C413" s="43" t="s">
        <v>151</v>
      </c>
      <c r="D413" s="42">
        <v>4</v>
      </c>
      <c r="E413" s="41">
        <v>2.0567667626491157E-4</v>
      </c>
    </row>
    <row r="414" spans="2:5" ht="15" customHeight="1">
      <c r="B414" s="92"/>
      <c r="C414" s="43" t="s">
        <v>153</v>
      </c>
      <c r="D414" s="42">
        <v>2</v>
      </c>
      <c r="E414" s="41">
        <v>1.0283833813245579E-4</v>
      </c>
    </row>
    <row r="415" spans="2:5" ht="15" customHeight="1">
      <c r="B415" s="92"/>
      <c r="C415" s="43" t="s">
        <v>150</v>
      </c>
      <c r="D415" s="42">
        <v>12</v>
      </c>
      <c r="E415" s="41">
        <v>6.1703002879473468E-4</v>
      </c>
    </row>
    <row r="416" spans="2:5" ht="15" customHeight="1">
      <c r="B416" s="92"/>
      <c r="C416" s="43" t="s">
        <v>127</v>
      </c>
      <c r="D416" s="42">
        <v>1</v>
      </c>
      <c r="E416" s="41">
        <v>5.1419169066227893E-5</v>
      </c>
    </row>
    <row r="417" spans="2:5" ht="15" customHeight="1">
      <c r="B417" s="92"/>
      <c r="C417" s="43" t="s">
        <v>138</v>
      </c>
      <c r="D417" s="42">
        <v>3</v>
      </c>
      <c r="E417" s="41">
        <v>1.5425750719868367E-4</v>
      </c>
    </row>
    <row r="418" spans="2:5" ht="15" customHeight="1">
      <c r="B418" s="93"/>
      <c r="C418" s="40" t="s">
        <v>20</v>
      </c>
      <c r="D418" s="39">
        <v>96</v>
      </c>
      <c r="E418" s="38">
        <v>4.9362402303578775E-3</v>
      </c>
    </row>
    <row r="419" spans="2:5" ht="15" customHeight="1">
      <c r="B419" s="91" t="s">
        <v>76</v>
      </c>
      <c r="C419" s="43" t="s">
        <v>139</v>
      </c>
      <c r="D419" s="42">
        <v>2</v>
      </c>
      <c r="E419" s="41">
        <v>1.0283833813245579E-4</v>
      </c>
    </row>
    <row r="420" spans="2:5" ht="15" customHeight="1">
      <c r="B420" s="92"/>
      <c r="C420" s="43" t="s">
        <v>143</v>
      </c>
      <c r="D420" s="42">
        <v>1</v>
      </c>
      <c r="E420" s="41">
        <v>5.1419169066227893E-5</v>
      </c>
    </row>
    <row r="421" spans="2:5" ht="15" customHeight="1">
      <c r="B421" s="92"/>
      <c r="C421" s="43" t="s">
        <v>142</v>
      </c>
      <c r="D421" s="42">
        <v>1</v>
      </c>
      <c r="E421" s="41">
        <v>5.1419169066227893E-5</v>
      </c>
    </row>
    <row r="422" spans="2:5" ht="15" customHeight="1">
      <c r="B422" s="92"/>
      <c r="C422" s="43" t="s">
        <v>152</v>
      </c>
      <c r="D422" s="42">
        <v>2</v>
      </c>
      <c r="E422" s="41">
        <v>1.0283833813245579E-4</v>
      </c>
    </row>
    <row r="423" spans="2:5" ht="15" customHeight="1">
      <c r="B423" s="92"/>
      <c r="C423" s="43" t="s">
        <v>156</v>
      </c>
      <c r="D423" s="42">
        <v>11</v>
      </c>
      <c r="E423" s="41">
        <v>5.6561085972850684E-4</v>
      </c>
    </row>
    <row r="424" spans="2:5" ht="15" customHeight="1">
      <c r="B424" s="92"/>
      <c r="C424" s="43" t="s">
        <v>148</v>
      </c>
      <c r="D424" s="42">
        <v>1</v>
      </c>
      <c r="E424" s="41">
        <v>5.1419169066227893E-5</v>
      </c>
    </row>
    <row r="425" spans="2:5" ht="15" customHeight="1">
      <c r="B425" s="92"/>
      <c r="C425" s="43" t="s">
        <v>126</v>
      </c>
      <c r="D425" s="42">
        <v>2</v>
      </c>
      <c r="E425" s="41">
        <v>1.0283833813245579E-4</v>
      </c>
    </row>
    <row r="426" spans="2:5" ht="15" customHeight="1">
      <c r="B426" s="92"/>
      <c r="C426" s="43" t="s">
        <v>124</v>
      </c>
      <c r="D426" s="42">
        <v>10</v>
      </c>
      <c r="E426" s="41">
        <v>5.1419169066227888E-4</v>
      </c>
    </row>
    <row r="427" spans="2:5" ht="15" customHeight="1">
      <c r="B427" s="92"/>
      <c r="C427" s="43" t="s">
        <v>145</v>
      </c>
      <c r="D427" s="42">
        <v>1</v>
      </c>
      <c r="E427" s="41">
        <v>5.1419169066227893E-5</v>
      </c>
    </row>
    <row r="428" spans="2:5" ht="15" customHeight="1">
      <c r="B428" s="92"/>
      <c r="C428" s="43" t="s">
        <v>137</v>
      </c>
      <c r="D428" s="42">
        <v>4</v>
      </c>
      <c r="E428" s="41">
        <v>2.0567667626491157E-4</v>
      </c>
    </row>
    <row r="429" spans="2:5" ht="15" customHeight="1">
      <c r="B429" s="92"/>
      <c r="C429" s="43" t="s">
        <v>133</v>
      </c>
      <c r="D429" s="42">
        <v>1</v>
      </c>
      <c r="E429" s="41">
        <v>5.1419169066227893E-5</v>
      </c>
    </row>
    <row r="430" spans="2:5" ht="15" customHeight="1">
      <c r="B430" s="92"/>
      <c r="C430" s="43" t="s">
        <v>140</v>
      </c>
      <c r="D430" s="42">
        <v>1</v>
      </c>
      <c r="E430" s="41">
        <v>5.1419169066227893E-5</v>
      </c>
    </row>
    <row r="431" spans="2:5" ht="15" customHeight="1">
      <c r="B431" s="92"/>
      <c r="C431" s="43" t="s">
        <v>123</v>
      </c>
      <c r="D431" s="42">
        <v>2</v>
      </c>
      <c r="E431" s="41">
        <v>1.0283833813245579E-4</v>
      </c>
    </row>
    <row r="432" spans="2:5" ht="15" customHeight="1">
      <c r="B432" s="92"/>
      <c r="C432" s="43" t="s">
        <v>159</v>
      </c>
      <c r="D432" s="42">
        <v>10</v>
      </c>
      <c r="E432" s="41">
        <v>5.1419169066227888E-4</v>
      </c>
    </row>
    <row r="433" spans="2:5" ht="15" customHeight="1">
      <c r="B433" s="92"/>
      <c r="C433" s="43" t="s">
        <v>129</v>
      </c>
      <c r="D433" s="42">
        <v>3</v>
      </c>
      <c r="E433" s="41">
        <v>1.5425750719868367E-4</v>
      </c>
    </row>
    <row r="434" spans="2:5" ht="15" customHeight="1">
      <c r="B434" s="92"/>
      <c r="C434" s="43" t="s">
        <v>147</v>
      </c>
      <c r="D434" s="42">
        <v>15</v>
      </c>
      <c r="E434" s="41">
        <v>7.7128753599341833E-4</v>
      </c>
    </row>
    <row r="435" spans="2:5" ht="15" customHeight="1">
      <c r="B435" s="92"/>
      <c r="C435" s="43" t="s">
        <v>157</v>
      </c>
      <c r="D435" s="42">
        <v>777</v>
      </c>
      <c r="E435" s="41">
        <v>3.9952694364459071E-2</v>
      </c>
    </row>
    <row r="436" spans="2:5" ht="15" customHeight="1">
      <c r="B436" s="92"/>
      <c r="C436" s="43" t="s">
        <v>134</v>
      </c>
      <c r="D436" s="42">
        <v>3</v>
      </c>
      <c r="E436" s="41">
        <v>1.5425750719868367E-4</v>
      </c>
    </row>
    <row r="437" spans="2:5" ht="15" customHeight="1">
      <c r="B437" s="92"/>
      <c r="C437" s="43" t="s">
        <v>158</v>
      </c>
      <c r="D437" s="42">
        <v>12</v>
      </c>
      <c r="E437" s="41">
        <v>6.1703002879473468E-4</v>
      </c>
    </row>
    <row r="438" spans="2:5" ht="15" customHeight="1">
      <c r="B438" s="92"/>
      <c r="C438" s="43" t="s">
        <v>154</v>
      </c>
      <c r="D438" s="42">
        <v>7</v>
      </c>
      <c r="E438" s="41">
        <v>3.5993418346359524E-4</v>
      </c>
    </row>
    <row r="439" spans="2:5" ht="15" customHeight="1">
      <c r="B439" s="92"/>
      <c r="C439" s="43" t="s">
        <v>131</v>
      </c>
      <c r="D439" s="42">
        <v>2</v>
      </c>
      <c r="E439" s="41">
        <v>1.0283833813245579E-4</v>
      </c>
    </row>
    <row r="440" spans="2:5" ht="15" customHeight="1">
      <c r="B440" s="92"/>
      <c r="C440" s="43" t="s">
        <v>149</v>
      </c>
      <c r="D440" s="42">
        <v>5</v>
      </c>
      <c r="E440" s="41">
        <v>2.5709584533113944E-4</v>
      </c>
    </row>
    <row r="441" spans="2:5" ht="15" customHeight="1">
      <c r="B441" s="92"/>
      <c r="C441" s="43" t="s">
        <v>155</v>
      </c>
      <c r="D441" s="42">
        <v>15</v>
      </c>
      <c r="E441" s="41">
        <v>7.7128753599341833E-4</v>
      </c>
    </row>
    <row r="442" spans="2:5" ht="15" customHeight="1">
      <c r="B442" s="92"/>
      <c r="C442" s="43" t="s">
        <v>151</v>
      </c>
      <c r="D442" s="42">
        <v>3</v>
      </c>
      <c r="E442" s="41">
        <v>1.5425750719868367E-4</v>
      </c>
    </row>
    <row r="443" spans="2:5" ht="15" customHeight="1">
      <c r="B443" s="92"/>
      <c r="C443" s="43" t="s">
        <v>153</v>
      </c>
      <c r="D443" s="42">
        <v>3</v>
      </c>
      <c r="E443" s="41">
        <v>1.5425750719868367E-4</v>
      </c>
    </row>
    <row r="444" spans="2:5" ht="15" customHeight="1">
      <c r="B444" s="92"/>
      <c r="C444" s="43" t="s">
        <v>150</v>
      </c>
      <c r="D444" s="42">
        <v>11</v>
      </c>
      <c r="E444" s="41">
        <v>5.6561085972850684E-4</v>
      </c>
    </row>
    <row r="445" spans="2:5" ht="15" customHeight="1">
      <c r="B445" s="92"/>
      <c r="C445" s="43" t="s">
        <v>127</v>
      </c>
      <c r="D445" s="42">
        <v>2</v>
      </c>
      <c r="E445" s="41">
        <v>1.0283833813245579E-4</v>
      </c>
    </row>
    <row r="446" spans="2:5" ht="15" customHeight="1">
      <c r="B446" s="93"/>
      <c r="C446" s="40" t="s">
        <v>20</v>
      </c>
      <c r="D446" s="39">
        <v>907</v>
      </c>
      <c r="E446" s="38">
        <v>4.6637186343068696E-2</v>
      </c>
    </row>
    <row r="447" spans="2:5" ht="15" customHeight="1">
      <c r="B447" s="91" t="s">
        <v>99</v>
      </c>
      <c r="C447" s="43" t="s">
        <v>139</v>
      </c>
      <c r="D447" s="42">
        <v>3</v>
      </c>
      <c r="E447" s="41">
        <v>1.5425750719868367E-4</v>
      </c>
    </row>
    <row r="448" spans="2:5" ht="15" customHeight="1">
      <c r="B448" s="92"/>
      <c r="C448" s="43" t="s">
        <v>146</v>
      </c>
      <c r="D448" s="42">
        <v>3</v>
      </c>
      <c r="E448" s="41">
        <v>1.5425750719868367E-4</v>
      </c>
    </row>
    <row r="449" spans="2:5" ht="15" customHeight="1">
      <c r="B449" s="92"/>
      <c r="C449" s="43" t="s">
        <v>142</v>
      </c>
      <c r="D449" s="42">
        <v>1</v>
      </c>
      <c r="E449" s="41">
        <v>5.1419169066227893E-5</v>
      </c>
    </row>
    <row r="450" spans="2:5" ht="15" customHeight="1">
      <c r="B450" s="92"/>
      <c r="C450" s="43" t="s">
        <v>152</v>
      </c>
      <c r="D450" s="42">
        <v>5</v>
      </c>
      <c r="E450" s="41">
        <v>2.5709584533113944E-4</v>
      </c>
    </row>
    <row r="451" spans="2:5" ht="15" customHeight="1">
      <c r="B451" s="92"/>
      <c r="C451" s="43" t="s">
        <v>156</v>
      </c>
      <c r="D451" s="42">
        <v>5</v>
      </c>
      <c r="E451" s="41">
        <v>2.5709584533113944E-4</v>
      </c>
    </row>
    <row r="452" spans="2:5" ht="15" customHeight="1">
      <c r="B452" s="92"/>
      <c r="C452" s="43" t="s">
        <v>128</v>
      </c>
      <c r="D452" s="42">
        <v>1</v>
      </c>
      <c r="E452" s="41">
        <v>5.1419169066227893E-5</v>
      </c>
    </row>
    <row r="453" spans="2:5" ht="15" customHeight="1">
      <c r="B453" s="92"/>
      <c r="C453" s="43" t="s">
        <v>148</v>
      </c>
      <c r="D453" s="42">
        <v>1</v>
      </c>
      <c r="E453" s="41">
        <v>5.1419169066227893E-5</v>
      </c>
    </row>
    <row r="454" spans="2:5" ht="15" customHeight="1">
      <c r="B454" s="92"/>
      <c r="C454" s="43" t="s">
        <v>126</v>
      </c>
      <c r="D454" s="42">
        <v>1</v>
      </c>
      <c r="E454" s="41">
        <v>5.1419169066227893E-5</v>
      </c>
    </row>
    <row r="455" spans="2:5" ht="15" customHeight="1">
      <c r="B455" s="92"/>
      <c r="C455" s="43" t="s">
        <v>137</v>
      </c>
      <c r="D455" s="42">
        <v>1</v>
      </c>
      <c r="E455" s="41">
        <v>5.1419169066227893E-5</v>
      </c>
    </row>
    <row r="456" spans="2:5" ht="15" customHeight="1">
      <c r="B456" s="92"/>
      <c r="C456" s="43" t="s">
        <v>159</v>
      </c>
      <c r="D456" s="42">
        <v>7</v>
      </c>
      <c r="E456" s="41">
        <v>3.5993418346359524E-4</v>
      </c>
    </row>
    <row r="457" spans="2:5" ht="15" customHeight="1">
      <c r="B457" s="92"/>
      <c r="C457" s="43" t="s">
        <v>157</v>
      </c>
      <c r="D457" s="42">
        <v>8</v>
      </c>
      <c r="E457" s="41">
        <v>4.1135335252982314E-4</v>
      </c>
    </row>
    <row r="458" spans="2:5" ht="15" customHeight="1">
      <c r="B458" s="92"/>
      <c r="C458" s="43" t="s">
        <v>158</v>
      </c>
      <c r="D458" s="42">
        <v>2</v>
      </c>
      <c r="E458" s="41">
        <v>1.0283833813245579E-4</v>
      </c>
    </row>
    <row r="459" spans="2:5" ht="15" customHeight="1">
      <c r="B459" s="92"/>
      <c r="C459" s="43" t="s">
        <v>154</v>
      </c>
      <c r="D459" s="42">
        <v>1</v>
      </c>
      <c r="E459" s="41">
        <v>5.1419169066227893E-5</v>
      </c>
    </row>
    <row r="460" spans="2:5" ht="15" customHeight="1">
      <c r="B460" s="92"/>
      <c r="C460" s="43" t="s">
        <v>155</v>
      </c>
      <c r="D460" s="42">
        <v>3</v>
      </c>
      <c r="E460" s="41">
        <v>1.5425750719868367E-4</v>
      </c>
    </row>
    <row r="461" spans="2:5" ht="15" customHeight="1">
      <c r="B461" s="92"/>
      <c r="C461" s="43" t="s">
        <v>151</v>
      </c>
      <c r="D461" s="42">
        <v>1</v>
      </c>
      <c r="E461" s="41">
        <v>5.1419169066227893E-5</v>
      </c>
    </row>
    <row r="462" spans="2:5" ht="15" customHeight="1">
      <c r="B462" s="92"/>
      <c r="C462" s="43" t="s">
        <v>153</v>
      </c>
      <c r="D462" s="42">
        <v>1</v>
      </c>
      <c r="E462" s="41">
        <v>5.1419169066227893E-5</v>
      </c>
    </row>
    <row r="463" spans="2:5" ht="15" customHeight="1">
      <c r="B463" s="92"/>
      <c r="C463" s="43" t="s">
        <v>150</v>
      </c>
      <c r="D463" s="42">
        <v>3</v>
      </c>
      <c r="E463" s="41">
        <v>1.5425750719868367E-4</v>
      </c>
    </row>
    <row r="464" spans="2:5" ht="15" customHeight="1">
      <c r="B464" s="93"/>
      <c r="C464" s="40" t="s">
        <v>20</v>
      </c>
      <c r="D464" s="39">
        <v>47</v>
      </c>
      <c r="E464" s="38">
        <v>2.4167009461127107E-3</v>
      </c>
    </row>
    <row r="465" spans="2:5" ht="15" customHeight="1">
      <c r="B465" s="91" t="s">
        <v>103</v>
      </c>
      <c r="C465" s="43" t="s">
        <v>139</v>
      </c>
      <c r="D465" s="42">
        <v>4</v>
      </c>
      <c r="E465" s="41">
        <v>2.0567667626491157E-4</v>
      </c>
    </row>
    <row r="466" spans="2:5" ht="15" customHeight="1">
      <c r="B466" s="92"/>
      <c r="C466" s="43" t="s">
        <v>143</v>
      </c>
      <c r="D466" s="42">
        <v>10</v>
      </c>
      <c r="E466" s="41">
        <v>5.1419169066227888E-4</v>
      </c>
    </row>
    <row r="467" spans="2:5" ht="15" customHeight="1">
      <c r="B467" s="92"/>
      <c r="C467" s="43" t="s">
        <v>146</v>
      </c>
      <c r="D467" s="42">
        <v>3</v>
      </c>
      <c r="E467" s="41">
        <v>1.5425750719868367E-4</v>
      </c>
    </row>
    <row r="468" spans="2:5" ht="15" customHeight="1">
      <c r="B468" s="92"/>
      <c r="C468" s="43" t="s">
        <v>135</v>
      </c>
      <c r="D468" s="42">
        <v>8</v>
      </c>
      <c r="E468" s="41">
        <v>4.1135335252982314E-4</v>
      </c>
    </row>
    <row r="469" spans="2:5" ht="15" customHeight="1">
      <c r="B469" s="92"/>
      <c r="C469" s="43" t="s">
        <v>142</v>
      </c>
      <c r="D469" s="42">
        <v>4</v>
      </c>
      <c r="E469" s="41">
        <v>2.0567667626491157E-4</v>
      </c>
    </row>
    <row r="470" spans="2:5" ht="15" customHeight="1">
      <c r="B470" s="92"/>
      <c r="C470" s="43" t="s">
        <v>152</v>
      </c>
      <c r="D470" s="42">
        <v>36</v>
      </c>
      <c r="E470" s="41">
        <v>1.8510900863842039E-3</v>
      </c>
    </row>
    <row r="471" spans="2:5" ht="15" customHeight="1">
      <c r="B471" s="92"/>
      <c r="C471" s="43" t="s">
        <v>156</v>
      </c>
      <c r="D471" s="42">
        <v>43</v>
      </c>
      <c r="E471" s="41">
        <v>2.2110242698477993E-3</v>
      </c>
    </row>
    <row r="472" spans="2:5" ht="15" customHeight="1">
      <c r="B472" s="92"/>
      <c r="C472" s="43" t="s">
        <v>128</v>
      </c>
      <c r="D472" s="42">
        <v>1</v>
      </c>
      <c r="E472" s="41">
        <v>5.1419169066227893E-5</v>
      </c>
    </row>
    <row r="473" spans="2:5" ht="15" customHeight="1">
      <c r="B473" s="92"/>
      <c r="C473" s="43" t="s">
        <v>148</v>
      </c>
      <c r="D473" s="42">
        <v>11</v>
      </c>
      <c r="E473" s="41">
        <v>5.6561085972850684E-4</v>
      </c>
    </row>
    <row r="474" spans="2:5" ht="15" customHeight="1">
      <c r="B474" s="92"/>
      <c r="C474" s="43" t="s">
        <v>124</v>
      </c>
      <c r="D474" s="42">
        <v>1</v>
      </c>
      <c r="E474" s="41">
        <v>5.1419169066227893E-5</v>
      </c>
    </row>
    <row r="475" spans="2:5" ht="15" customHeight="1">
      <c r="B475" s="92"/>
      <c r="C475" s="43" t="s">
        <v>145</v>
      </c>
      <c r="D475" s="42">
        <v>5</v>
      </c>
      <c r="E475" s="41">
        <v>2.5709584533113944E-4</v>
      </c>
    </row>
    <row r="476" spans="2:5" ht="15" customHeight="1">
      <c r="B476" s="92"/>
      <c r="C476" s="43" t="s">
        <v>137</v>
      </c>
      <c r="D476" s="42">
        <v>5</v>
      </c>
      <c r="E476" s="41">
        <v>2.5709584533113944E-4</v>
      </c>
    </row>
    <row r="477" spans="2:5" ht="15" customHeight="1">
      <c r="B477" s="92"/>
      <c r="C477" s="43" t="s">
        <v>140</v>
      </c>
      <c r="D477" s="42">
        <v>5</v>
      </c>
      <c r="E477" s="41">
        <v>2.5709584533113944E-4</v>
      </c>
    </row>
    <row r="478" spans="2:5" ht="15" customHeight="1">
      <c r="B478" s="92"/>
      <c r="C478" s="43" t="s">
        <v>159</v>
      </c>
      <c r="D478" s="42">
        <v>58</v>
      </c>
      <c r="E478" s="41">
        <v>2.9823118058412176E-3</v>
      </c>
    </row>
    <row r="479" spans="2:5" ht="15" customHeight="1">
      <c r="B479" s="92"/>
      <c r="C479" s="43" t="s">
        <v>129</v>
      </c>
      <c r="D479" s="42">
        <v>1</v>
      </c>
      <c r="E479" s="41">
        <v>5.1419169066227893E-5</v>
      </c>
    </row>
    <row r="480" spans="2:5" ht="15" customHeight="1">
      <c r="B480" s="92"/>
      <c r="C480" s="43" t="s">
        <v>147</v>
      </c>
      <c r="D480" s="42">
        <v>4</v>
      </c>
      <c r="E480" s="41">
        <v>2.0567667626491157E-4</v>
      </c>
    </row>
    <row r="481" spans="2:5" ht="15" customHeight="1">
      <c r="B481" s="92"/>
      <c r="C481" s="43" t="s">
        <v>121</v>
      </c>
      <c r="D481" s="42">
        <v>1</v>
      </c>
      <c r="E481" s="41">
        <v>5.1419169066227893E-5</v>
      </c>
    </row>
    <row r="482" spans="2:5" ht="15" customHeight="1">
      <c r="B482" s="92"/>
      <c r="C482" s="43" t="s">
        <v>157</v>
      </c>
      <c r="D482" s="42">
        <v>28</v>
      </c>
      <c r="E482" s="41">
        <v>1.439736733854381E-3</v>
      </c>
    </row>
    <row r="483" spans="2:5" ht="15" customHeight="1">
      <c r="B483" s="92"/>
      <c r="C483" s="43" t="s">
        <v>141</v>
      </c>
      <c r="D483" s="42">
        <v>20</v>
      </c>
      <c r="E483" s="41">
        <v>1.0283833813245578E-3</v>
      </c>
    </row>
    <row r="484" spans="2:5" ht="15" customHeight="1">
      <c r="B484" s="92"/>
      <c r="C484" s="43" t="s">
        <v>158</v>
      </c>
      <c r="D484" s="42">
        <v>42</v>
      </c>
      <c r="E484" s="41">
        <v>2.1596051007815712E-3</v>
      </c>
    </row>
    <row r="485" spans="2:5" ht="15" customHeight="1">
      <c r="B485" s="92"/>
      <c r="C485" s="43" t="s">
        <v>154</v>
      </c>
      <c r="D485" s="42">
        <v>14</v>
      </c>
      <c r="E485" s="41">
        <v>7.1986836692719048E-4</v>
      </c>
    </row>
    <row r="486" spans="2:5" ht="15" customHeight="1">
      <c r="B486" s="92"/>
      <c r="C486" s="43" t="s">
        <v>149</v>
      </c>
      <c r="D486" s="42">
        <v>9</v>
      </c>
      <c r="E486" s="41">
        <v>4.6277252159605099E-4</v>
      </c>
    </row>
    <row r="487" spans="2:5" ht="15" customHeight="1">
      <c r="B487" s="92"/>
      <c r="C487" s="43" t="s">
        <v>144</v>
      </c>
      <c r="D487" s="42">
        <v>14</v>
      </c>
      <c r="E487" s="41">
        <v>7.1986836692719048E-4</v>
      </c>
    </row>
    <row r="488" spans="2:5" ht="15" customHeight="1">
      <c r="B488" s="92"/>
      <c r="C488" s="43" t="s">
        <v>155</v>
      </c>
      <c r="D488" s="42">
        <v>34</v>
      </c>
      <c r="E488" s="41">
        <v>1.7482517482517483E-3</v>
      </c>
    </row>
    <row r="489" spans="2:5" ht="15" customHeight="1">
      <c r="B489" s="92"/>
      <c r="C489" s="43" t="s">
        <v>151</v>
      </c>
      <c r="D489" s="42">
        <v>11</v>
      </c>
      <c r="E489" s="41">
        <v>5.6561085972850684E-4</v>
      </c>
    </row>
    <row r="490" spans="2:5" ht="15" customHeight="1">
      <c r="B490" s="92"/>
      <c r="C490" s="43" t="s">
        <v>153</v>
      </c>
      <c r="D490" s="42">
        <v>16</v>
      </c>
      <c r="E490" s="41">
        <v>8.2270670505964628E-4</v>
      </c>
    </row>
    <row r="491" spans="2:5" ht="15" customHeight="1">
      <c r="B491" s="92"/>
      <c r="C491" s="43" t="s">
        <v>150</v>
      </c>
      <c r="D491" s="42">
        <v>19</v>
      </c>
      <c r="E491" s="41">
        <v>9.7696421225832992E-4</v>
      </c>
    </row>
    <row r="492" spans="2:5" ht="15" customHeight="1">
      <c r="B492" s="92"/>
      <c r="C492" s="43" t="s">
        <v>127</v>
      </c>
      <c r="D492" s="42">
        <v>1</v>
      </c>
      <c r="E492" s="41">
        <v>5.1419169066227893E-5</v>
      </c>
    </row>
    <row r="493" spans="2:5" ht="15" customHeight="1">
      <c r="B493" s="92"/>
      <c r="C493" s="43" t="s">
        <v>138</v>
      </c>
      <c r="D493" s="42">
        <v>4</v>
      </c>
      <c r="E493" s="41">
        <v>2.0567667626491157E-4</v>
      </c>
    </row>
    <row r="494" spans="2:5" ht="15" customHeight="1">
      <c r="B494" s="93"/>
      <c r="C494" s="40" t="s">
        <v>20</v>
      </c>
      <c r="D494" s="39">
        <v>412</v>
      </c>
      <c r="E494" s="38">
        <v>2.118469765528589E-2</v>
      </c>
    </row>
    <row r="495" spans="2:5" ht="15" customHeight="1">
      <c r="B495" s="91" t="s">
        <v>115</v>
      </c>
      <c r="C495" s="43" t="s">
        <v>143</v>
      </c>
      <c r="D495" s="42">
        <v>2</v>
      </c>
      <c r="E495" s="41">
        <v>1.0283833813245579E-4</v>
      </c>
    </row>
    <row r="496" spans="2:5" ht="15" customHeight="1">
      <c r="B496" s="92"/>
      <c r="C496" s="43" t="s">
        <v>146</v>
      </c>
      <c r="D496" s="42">
        <v>5</v>
      </c>
      <c r="E496" s="41">
        <v>2.5709584533113944E-4</v>
      </c>
    </row>
    <row r="497" spans="2:5" ht="15" customHeight="1">
      <c r="B497" s="92"/>
      <c r="C497" s="43" t="s">
        <v>142</v>
      </c>
      <c r="D497" s="42">
        <v>3</v>
      </c>
      <c r="E497" s="41">
        <v>1.5425750719868367E-4</v>
      </c>
    </row>
    <row r="498" spans="2:5" ht="15" customHeight="1">
      <c r="B498" s="92"/>
      <c r="C498" s="43" t="s">
        <v>152</v>
      </c>
      <c r="D498" s="42">
        <v>8</v>
      </c>
      <c r="E498" s="41">
        <v>4.1135335252982314E-4</v>
      </c>
    </row>
    <row r="499" spans="2:5" ht="15" customHeight="1">
      <c r="B499" s="92"/>
      <c r="C499" s="43" t="s">
        <v>156</v>
      </c>
      <c r="D499" s="42">
        <v>9</v>
      </c>
      <c r="E499" s="41">
        <v>4.6277252159605099E-4</v>
      </c>
    </row>
    <row r="500" spans="2:5" ht="15" customHeight="1">
      <c r="B500" s="92"/>
      <c r="C500" s="43" t="s">
        <v>148</v>
      </c>
      <c r="D500" s="42">
        <v>3</v>
      </c>
      <c r="E500" s="41">
        <v>1.5425750719868367E-4</v>
      </c>
    </row>
    <row r="501" spans="2:5" ht="15" customHeight="1">
      <c r="B501" s="92"/>
      <c r="C501" s="43" t="s">
        <v>145</v>
      </c>
      <c r="D501" s="42">
        <v>1</v>
      </c>
      <c r="E501" s="41">
        <v>5.1419169066227893E-5</v>
      </c>
    </row>
    <row r="502" spans="2:5" ht="15" customHeight="1">
      <c r="B502" s="92"/>
      <c r="C502" s="43" t="s">
        <v>137</v>
      </c>
      <c r="D502" s="42">
        <v>3</v>
      </c>
      <c r="E502" s="41">
        <v>1.5425750719868367E-4</v>
      </c>
    </row>
    <row r="503" spans="2:5" ht="15" customHeight="1">
      <c r="B503" s="92"/>
      <c r="C503" s="43" t="s">
        <v>159</v>
      </c>
      <c r="D503" s="42">
        <v>11</v>
      </c>
      <c r="E503" s="41">
        <v>5.6561085972850684E-4</v>
      </c>
    </row>
    <row r="504" spans="2:5" ht="15" customHeight="1">
      <c r="B504" s="92"/>
      <c r="C504" s="43" t="s">
        <v>147</v>
      </c>
      <c r="D504" s="42">
        <v>1</v>
      </c>
      <c r="E504" s="41">
        <v>5.1419169066227893E-5</v>
      </c>
    </row>
    <row r="505" spans="2:5" ht="15" customHeight="1">
      <c r="B505" s="92"/>
      <c r="C505" s="43" t="s">
        <v>157</v>
      </c>
      <c r="D505" s="42">
        <v>10</v>
      </c>
      <c r="E505" s="41">
        <v>5.1419169066227888E-4</v>
      </c>
    </row>
    <row r="506" spans="2:5" ht="15" customHeight="1">
      <c r="B506" s="92"/>
      <c r="C506" s="43" t="s">
        <v>141</v>
      </c>
      <c r="D506" s="42">
        <v>2</v>
      </c>
      <c r="E506" s="41">
        <v>1.0283833813245579E-4</v>
      </c>
    </row>
    <row r="507" spans="2:5" ht="15" customHeight="1">
      <c r="B507" s="92"/>
      <c r="C507" s="43" t="s">
        <v>158</v>
      </c>
      <c r="D507" s="42">
        <v>8</v>
      </c>
      <c r="E507" s="41">
        <v>4.1135335252982314E-4</v>
      </c>
    </row>
    <row r="508" spans="2:5" ht="15" customHeight="1">
      <c r="B508" s="92"/>
      <c r="C508" s="43" t="s">
        <v>154</v>
      </c>
      <c r="D508" s="42">
        <v>1</v>
      </c>
      <c r="E508" s="41">
        <v>5.1419169066227893E-5</v>
      </c>
    </row>
    <row r="509" spans="2:5" ht="15" customHeight="1">
      <c r="B509" s="92"/>
      <c r="C509" s="43" t="s">
        <v>149</v>
      </c>
      <c r="D509" s="42">
        <v>2</v>
      </c>
      <c r="E509" s="41">
        <v>1.0283833813245579E-4</v>
      </c>
    </row>
    <row r="510" spans="2:5" ht="15" customHeight="1">
      <c r="B510" s="92"/>
      <c r="C510" s="43" t="s">
        <v>155</v>
      </c>
      <c r="D510" s="42">
        <v>22</v>
      </c>
      <c r="E510" s="41">
        <v>1.1312217194570137E-3</v>
      </c>
    </row>
    <row r="511" spans="2:5" ht="15" customHeight="1">
      <c r="B511" s="92"/>
      <c r="C511" s="43" t="s">
        <v>151</v>
      </c>
      <c r="D511" s="42">
        <v>1</v>
      </c>
      <c r="E511" s="41">
        <v>5.1419169066227893E-5</v>
      </c>
    </row>
    <row r="512" spans="2:5" ht="15" customHeight="1">
      <c r="B512" s="92"/>
      <c r="C512" s="43" t="s">
        <v>153</v>
      </c>
      <c r="D512" s="42">
        <v>2</v>
      </c>
      <c r="E512" s="41">
        <v>1.0283833813245579E-4</v>
      </c>
    </row>
    <row r="513" spans="2:5" ht="15" customHeight="1">
      <c r="B513" s="92"/>
      <c r="C513" s="43" t="s">
        <v>150</v>
      </c>
      <c r="D513" s="42">
        <v>2</v>
      </c>
      <c r="E513" s="41">
        <v>1.0283833813245579E-4</v>
      </c>
    </row>
    <row r="514" spans="2:5" ht="15" customHeight="1">
      <c r="B514" s="92"/>
      <c r="C514" s="43" t="s">
        <v>127</v>
      </c>
      <c r="D514" s="42">
        <v>2</v>
      </c>
      <c r="E514" s="41">
        <v>1.0283833813245579E-4</v>
      </c>
    </row>
    <row r="515" spans="2:5" ht="15" customHeight="1">
      <c r="B515" s="92"/>
      <c r="C515" s="43" t="s">
        <v>138</v>
      </c>
      <c r="D515" s="42">
        <v>1</v>
      </c>
      <c r="E515" s="41">
        <v>5.1419169066227893E-5</v>
      </c>
    </row>
    <row r="516" spans="2:5" ht="15" customHeight="1">
      <c r="B516" s="93"/>
      <c r="C516" s="40" t="s">
        <v>20</v>
      </c>
      <c r="D516" s="39">
        <v>99</v>
      </c>
      <c r="E516" s="38">
        <v>5.0904977375565612E-3</v>
      </c>
    </row>
    <row r="517" spans="2:5" ht="15" customHeight="1">
      <c r="B517" s="91" t="s">
        <v>94</v>
      </c>
      <c r="C517" s="43" t="s">
        <v>139</v>
      </c>
      <c r="D517" s="42">
        <v>43</v>
      </c>
      <c r="E517" s="41">
        <v>2.2110242698477993E-3</v>
      </c>
    </row>
    <row r="518" spans="2:5" ht="15" customHeight="1">
      <c r="B518" s="92"/>
      <c r="C518" s="43" t="s">
        <v>143</v>
      </c>
      <c r="D518" s="42">
        <v>14</v>
      </c>
      <c r="E518" s="41">
        <v>7.1986836692719048E-4</v>
      </c>
    </row>
    <row r="519" spans="2:5" ht="15" customHeight="1">
      <c r="B519" s="92"/>
      <c r="C519" s="43" t="s">
        <v>146</v>
      </c>
      <c r="D519" s="42">
        <v>10</v>
      </c>
      <c r="E519" s="41">
        <v>5.1419169066227888E-4</v>
      </c>
    </row>
    <row r="520" spans="2:5" ht="15" customHeight="1">
      <c r="B520" s="92"/>
      <c r="C520" s="43" t="s">
        <v>130</v>
      </c>
      <c r="D520" s="42">
        <v>3</v>
      </c>
      <c r="E520" s="41">
        <v>1.5425750719868367E-4</v>
      </c>
    </row>
    <row r="521" spans="2:5" ht="15" customHeight="1">
      <c r="B521" s="92"/>
      <c r="C521" s="43" t="s">
        <v>136</v>
      </c>
      <c r="D521" s="42">
        <v>27</v>
      </c>
      <c r="E521" s="41">
        <v>1.3883175647881531E-3</v>
      </c>
    </row>
    <row r="522" spans="2:5" ht="15" customHeight="1">
      <c r="B522" s="92"/>
      <c r="C522" s="43" t="s">
        <v>135</v>
      </c>
      <c r="D522" s="42">
        <v>9</v>
      </c>
      <c r="E522" s="41">
        <v>4.6277252159605099E-4</v>
      </c>
    </row>
    <row r="523" spans="2:5" ht="15" customHeight="1">
      <c r="B523" s="92"/>
      <c r="C523" s="43" t="s">
        <v>142</v>
      </c>
      <c r="D523" s="42">
        <v>91</v>
      </c>
      <c r="E523" s="41">
        <v>4.6791443850267376E-3</v>
      </c>
    </row>
    <row r="524" spans="2:5" ht="15" customHeight="1">
      <c r="B524" s="92"/>
      <c r="C524" s="43" t="s">
        <v>118</v>
      </c>
      <c r="D524" s="42">
        <v>1</v>
      </c>
      <c r="E524" s="41">
        <v>5.1419169066227893E-5</v>
      </c>
    </row>
    <row r="525" spans="2:5" ht="15" customHeight="1">
      <c r="B525" s="92"/>
      <c r="C525" s="43" t="s">
        <v>152</v>
      </c>
      <c r="D525" s="42">
        <v>62</v>
      </c>
      <c r="E525" s="41">
        <v>3.187988482106129E-3</v>
      </c>
    </row>
    <row r="526" spans="2:5" ht="15" customHeight="1">
      <c r="B526" s="92"/>
      <c r="C526" s="43" t="s">
        <v>119</v>
      </c>
      <c r="D526" s="42">
        <v>5</v>
      </c>
      <c r="E526" s="41">
        <v>2.5709584533113944E-4</v>
      </c>
    </row>
    <row r="527" spans="2:5" ht="15" customHeight="1">
      <c r="B527" s="92"/>
      <c r="C527" s="43" t="s">
        <v>156</v>
      </c>
      <c r="D527" s="42">
        <v>119</v>
      </c>
      <c r="E527" s="41">
        <v>6.118881118881119E-3</v>
      </c>
    </row>
    <row r="528" spans="2:5" ht="15" customHeight="1">
      <c r="B528" s="92"/>
      <c r="C528" s="43" t="s">
        <v>128</v>
      </c>
      <c r="D528" s="42">
        <v>6</v>
      </c>
      <c r="E528" s="41">
        <v>3.0851501439736734E-4</v>
      </c>
    </row>
    <row r="529" spans="2:5" ht="15" customHeight="1">
      <c r="B529" s="92"/>
      <c r="C529" s="43" t="s">
        <v>148</v>
      </c>
      <c r="D529" s="42">
        <v>30</v>
      </c>
      <c r="E529" s="41">
        <v>1.5425750719868367E-3</v>
      </c>
    </row>
    <row r="530" spans="2:5" ht="15" customHeight="1">
      <c r="B530" s="92"/>
      <c r="C530" s="43" t="s">
        <v>126</v>
      </c>
      <c r="D530" s="42">
        <v>4</v>
      </c>
      <c r="E530" s="41">
        <v>2.0567667626491157E-4</v>
      </c>
    </row>
    <row r="531" spans="2:5" ht="15" customHeight="1">
      <c r="B531" s="92"/>
      <c r="C531" s="43" t="s">
        <v>124</v>
      </c>
      <c r="D531" s="42">
        <v>2</v>
      </c>
      <c r="E531" s="41">
        <v>1.0283833813245579E-4</v>
      </c>
    </row>
    <row r="532" spans="2:5" ht="15" customHeight="1">
      <c r="B532" s="92"/>
      <c r="C532" s="43" t="s">
        <v>145</v>
      </c>
      <c r="D532" s="42">
        <v>139</v>
      </c>
      <c r="E532" s="41">
        <v>7.1472645002056768E-3</v>
      </c>
    </row>
    <row r="533" spans="2:5" ht="15" customHeight="1">
      <c r="B533" s="92"/>
      <c r="C533" s="43" t="s">
        <v>137</v>
      </c>
      <c r="D533" s="42">
        <v>23</v>
      </c>
      <c r="E533" s="41">
        <v>1.1826408885232415E-3</v>
      </c>
    </row>
    <row r="534" spans="2:5" ht="15" customHeight="1">
      <c r="B534" s="92"/>
      <c r="C534" s="43" t="s">
        <v>133</v>
      </c>
      <c r="D534" s="42">
        <v>13</v>
      </c>
      <c r="E534" s="41">
        <v>6.6844919786096253E-4</v>
      </c>
    </row>
    <row r="535" spans="2:5" ht="15" customHeight="1">
      <c r="B535" s="92"/>
      <c r="C535" s="43" t="s">
        <v>132</v>
      </c>
      <c r="D535" s="42">
        <v>6</v>
      </c>
      <c r="E535" s="41">
        <v>3.0851501439736734E-4</v>
      </c>
    </row>
    <row r="536" spans="2:5" ht="15" customHeight="1">
      <c r="B536" s="92"/>
      <c r="C536" s="43" t="s">
        <v>140</v>
      </c>
      <c r="D536" s="42">
        <v>11</v>
      </c>
      <c r="E536" s="41">
        <v>5.6561085972850684E-4</v>
      </c>
    </row>
    <row r="537" spans="2:5" ht="15" customHeight="1">
      <c r="B537" s="92"/>
      <c r="C537" s="43" t="s">
        <v>123</v>
      </c>
      <c r="D537" s="42">
        <v>4</v>
      </c>
      <c r="E537" s="41">
        <v>2.0567667626491157E-4</v>
      </c>
    </row>
    <row r="538" spans="2:5" ht="15" customHeight="1">
      <c r="B538" s="92"/>
      <c r="C538" s="43" t="s">
        <v>159</v>
      </c>
      <c r="D538" s="42">
        <v>208</v>
      </c>
      <c r="E538" s="41">
        <v>1.06951871657754E-2</v>
      </c>
    </row>
    <row r="539" spans="2:5" ht="15" customHeight="1">
      <c r="B539" s="92"/>
      <c r="C539" s="43" t="s">
        <v>125</v>
      </c>
      <c r="D539" s="42">
        <v>11</v>
      </c>
      <c r="E539" s="41">
        <v>5.6561085972850684E-4</v>
      </c>
    </row>
    <row r="540" spans="2:5" ht="15" customHeight="1">
      <c r="B540" s="92"/>
      <c r="C540" s="43" t="s">
        <v>129</v>
      </c>
      <c r="D540" s="42">
        <v>12</v>
      </c>
      <c r="E540" s="41">
        <v>6.1703002879473468E-4</v>
      </c>
    </row>
    <row r="541" spans="2:5" ht="15" customHeight="1">
      <c r="B541" s="92"/>
      <c r="C541" s="43" t="s">
        <v>147</v>
      </c>
      <c r="D541" s="42">
        <v>103</v>
      </c>
      <c r="E541" s="41">
        <v>5.2961744138214726E-3</v>
      </c>
    </row>
    <row r="542" spans="2:5" ht="15" customHeight="1">
      <c r="B542" s="92"/>
      <c r="C542" s="43" t="s">
        <v>121</v>
      </c>
      <c r="D542" s="42">
        <v>9</v>
      </c>
      <c r="E542" s="41">
        <v>4.6277252159605099E-4</v>
      </c>
    </row>
    <row r="543" spans="2:5" ht="15" customHeight="1">
      <c r="B543" s="92"/>
      <c r="C543" s="43" t="s">
        <v>157</v>
      </c>
      <c r="D543" s="42">
        <v>14</v>
      </c>
      <c r="E543" s="41">
        <v>7.1986836692719048E-4</v>
      </c>
    </row>
    <row r="544" spans="2:5" ht="15" customHeight="1">
      <c r="B544" s="92"/>
      <c r="C544" s="43" t="s">
        <v>120</v>
      </c>
      <c r="D544" s="42">
        <v>1</v>
      </c>
      <c r="E544" s="41">
        <v>5.1419169066227893E-5</v>
      </c>
    </row>
    <row r="545" spans="2:5" ht="15" customHeight="1">
      <c r="B545" s="92"/>
      <c r="C545" s="43" t="s">
        <v>141</v>
      </c>
      <c r="D545" s="42">
        <v>15</v>
      </c>
      <c r="E545" s="41">
        <v>7.7128753599341833E-4</v>
      </c>
    </row>
    <row r="546" spans="2:5" ht="15" customHeight="1">
      <c r="B546" s="92"/>
      <c r="C546" s="43" t="s">
        <v>134</v>
      </c>
      <c r="D546" s="42">
        <v>16</v>
      </c>
      <c r="E546" s="41">
        <v>8.2270670505964628E-4</v>
      </c>
    </row>
    <row r="547" spans="2:5" ht="15" customHeight="1">
      <c r="B547" s="92"/>
      <c r="C547" s="43" t="s">
        <v>122</v>
      </c>
      <c r="D547" s="42">
        <v>2</v>
      </c>
      <c r="E547" s="41">
        <v>1.0283833813245579E-4</v>
      </c>
    </row>
    <row r="548" spans="2:5" ht="15" customHeight="1">
      <c r="B548" s="92"/>
      <c r="C548" s="43" t="s">
        <v>158</v>
      </c>
      <c r="D548" s="42">
        <v>1538</v>
      </c>
      <c r="E548" s="41">
        <v>7.90826820238585E-2</v>
      </c>
    </row>
    <row r="549" spans="2:5" ht="15" customHeight="1">
      <c r="B549" s="92"/>
      <c r="C549" s="43" t="s">
        <v>154</v>
      </c>
      <c r="D549" s="42">
        <v>453</v>
      </c>
      <c r="E549" s="41">
        <v>2.3292883587001233E-2</v>
      </c>
    </row>
    <row r="550" spans="2:5" ht="15" customHeight="1">
      <c r="B550" s="92"/>
      <c r="C550" s="43" t="s">
        <v>131</v>
      </c>
      <c r="D550" s="42">
        <v>8</v>
      </c>
      <c r="E550" s="41">
        <v>4.1135335252982314E-4</v>
      </c>
    </row>
    <row r="551" spans="2:5" ht="15" customHeight="1">
      <c r="B551" s="92"/>
      <c r="C551" s="43" t="s">
        <v>149</v>
      </c>
      <c r="D551" s="42">
        <v>79</v>
      </c>
      <c r="E551" s="41">
        <v>4.0621143562320034E-3</v>
      </c>
    </row>
    <row r="552" spans="2:5" ht="15" customHeight="1">
      <c r="B552" s="92"/>
      <c r="C552" s="43" t="s">
        <v>144</v>
      </c>
      <c r="D552" s="42">
        <v>32</v>
      </c>
      <c r="E552" s="41">
        <v>1.6454134101192926E-3</v>
      </c>
    </row>
    <row r="553" spans="2:5" ht="15" customHeight="1">
      <c r="B553" s="92"/>
      <c r="C553" s="43" t="s">
        <v>155</v>
      </c>
      <c r="D553" s="42">
        <v>109</v>
      </c>
      <c r="E553" s="41">
        <v>5.6046894282188401E-3</v>
      </c>
    </row>
    <row r="554" spans="2:5" ht="15" customHeight="1">
      <c r="B554" s="92"/>
      <c r="C554" s="43" t="s">
        <v>151</v>
      </c>
      <c r="D554" s="42">
        <v>141</v>
      </c>
      <c r="E554" s="41">
        <v>7.2501028383381329E-3</v>
      </c>
    </row>
    <row r="555" spans="2:5" ht="15" customHeight="1">
      <c r="B555" s="92"/>
      <c r="C555" s="43" t="s">
        <v>153</v>
      </c>
      <c r="D555" s="42">
        <v>168</v>
      </c>
      <c r="E555" s="41">
        <v>8.6384204031262849E-3</v>
      </c>
    </row>
    <row r="556" spans="2:5" ht="15" customHeight="1">
      <c r="B556" s="92"/>
      <c r="C556" s="43" t="s">
        <v>150</v>
      </c>
      <c r="D556" s="42">
        <v>121</v>
      </c>
      <c r="E556" s="41">
        <v>6.2217194570135742E-3</v>
      </c>
    </row>
    <row r="557" spans="2:5" ht="15" customHeight="1">
      <c r="B557" s="92"/>
      <c r="C557" s="43" t="s">
        <v>127</v>
      </c>
      <c r="D557" s="42">
        <v>3</v>
      </c>
      <c r="E557" s="41">
        <v>1.5425750719868367E-4</v>
      </c>
    </row>
    <row r="558" spans="2:5" ht="15" customHeight="1">
      <c r="B558" s="92"/>
      <c r="C558" s="43" t="s">
        <v>138</v>
      </c>
      <c r="D558" s="42">
        <v>11</v>
      </c>
      <c r="E558" s="41">
        <v>5.6561085972850684E-4</v>
      </c>
    </row>
    <row r="559" spans="2:5" ht="15" customHeight="1">
      <c r="B559" s="93"/>
      <c r="C559" s="40" t="s">
        <v>20</v>
      </c>
      <c r="D559" s="39">
        <v>3676</v>
      </c>
      <c r="E559" s="38">
        <v>0.18901686548745372</v>
      </c>
    </row>
    <row r="560" spans="2:5" ht="15" customHeight="1">
      <c r="B560" s="91" t="s">
        <v>89</v>
      </c>
      <c r="C560" s="43" t="s">
        <v>143</v>
      </c>
      <c r="D560" s="42">
        <v>1</v>
      </c>
      <c r="E560" s="41">
        <v>5.1419169066227893E-5</v>
      </c>
    </row>
    <row r="561" spans="2:5" ht="15" customHeight="1">
      <c r="B561" s="92"/>
      <c r="C561" s="43" t="s">
        <v>146</v>
      </c>
      <c r="D561" s="42">
        <v>4</v>
      </c>
      <c r="E561" s="41">
        <v>2.0567667626491157E-4</v>
      </c>
    </row>
    <row r="562" spans="2:5" ht="15" customHeight="1">
      <c r="B562" s="92"/>
      <c r="C562" s="43" t="s">
        <v>130</v>
      </c>
      <c r="D562" s="42">
        <v>2</v>
      </c>
      <c r="E562" s="41">
        <v>1.0283833813245579E-4</v>
      </c>
    </row>
    <row r="563" spans="2:5" ht="15" customHeight="1">
      <c r="B563" s="92"/>
      <c r="C563" s="43" t="s">
        <v>135</v>
      </c>
      <c r="D563" s="42">
        <v>1</v>
      </c>
      <c r="E563" s="41">
        <v>5.1419169066227893E-5</v>
      </c>
    </row>
    <row r="564" spans="2:5" ht="15" customHeight="1">
      <c r="B564" s="92"/>
      <c r="C564" s="43" t="s">
        <v>152</v>
      </c>
      <c r="D564" s="42">
        <v>13</v>
      </c>
      <c r="E564" s="41">
        <v>6.6844919786096253E-4</v>
      </c>
    </row>
    <row r="565" spans="2:5" ht="15" customHeight="1">
      <c r="B565" s="92"/>
      <c r="C565" s="43" t="s">
        <v>156</v>
      </c>
      <c r="D565" s="42">
        <v>8</v>
      </c>
      <c r="E565" s="41">
        <v>4.1135335252982314E-4</v>
      </c>
    </row>
    <row r="566" spans="2:5" ht="15" customHeight="1">
      <c r="B566" s="92"/>
      <c r="C566" s="43" t="s">
        <v>128</v>
      </c>
      <c r="D566" s="42">
        <v>1</v>
      </c>
      <c r="E566" s="41">
        <v>5.1419169066227893E-5</v>
      </c>
    </row>
    <row r="567" spans="2:5" ht="15" customHeight="1">
      <c r="B567" s="92"/>
      <c r="C567" s="43" t="s">
        <v>148</v>
      </c>
      <c r="D567" s="42">
        <v>2</v>
      </c>
      <c r="E567" s="41">
        <v>1.0283833813245579E-4</v>
      </c>
    </row>
    <row r="568" spans="2:5" ht="15" customHeight="1">
      <c r="B568" s="92"/>
      <c r="C568" s="43" t="s">
        <v>126</v>
      </c>
      <c r="D568" s="42">
        <v>1</v>
      </c>
      <c r="E568" s="41">
        <v>5.1419169066227893E-5</v>
      </c>
    </row>
    <row r="569" spans="2:5" ht="15" customHeight="1">
      <c r="B569" s="92"/>
      <c r="C569" s="43" t="s">
        <v>145</v>
      </c>
      <c r="D569" s="42">
        <v>3</v>
      </c>
      <c r="E569" s="41">
        <v>1.5425750719868367E-4</v>
      </c>
    </row>
    <row r="570" spans="2:5" ht="15" customHeight="1">
      <c r="B570" s="92"/>
      <c r="C570" s="43" t="s">
        <v>133</v>
      </c>
      <c r="D570" s="42">
        <v>2</v>
      </c>
      <c r="E570" s="41">
        <v>1.0283833813245579E-4</v>
      </c>
    </row>
    <row r="571" spans="2:5" ht="15" customHeight="1">
      <c r="B571" s="92"/>
      <c r="C571" s="43" t="s">
        <v>140</v>
      </c>
      <c r="D571" s="42">
        <v>4</v>
      </c>
      <c r="E571" s="41">
        <v>2.0567667626491157E-4</v>
      </c>
    </row>
    <row r="572" spans="2:5" ht="15" customHeight="1">
      <c r="B572" s="92"/>
      <c r="C572" s="43" t="s">
        <v>159</v>
      </c>
      <c r="D572" s="42">
        <v>55</v>
      </c>
      <c r="E572" s="41">
        <v>2.8280542986425339E-3</v>
      </c>
    </row>
    <row r="573" spans="2:5" ht="15" customHeight="1">
      <c r="B573" s="92"/>
      <c r="C573" s="43" t="s">
        <v>147</v>
      </c>
      <c r="D573" s="42">
        <v>2</v>
      </c>
      <c r="E573" s="41">
        <v>1.0283833813245579E-4</v>
      </c>
    </row>
    <row r="574" spans="2:5" ht="15" customHeight="1">
      <c r="B574" s="92"/>
      <c r="C574" s="43" t="s">
        <v>157</v>
      </c>
      <c r="D574" s="42">
        <v>20</v>
      </c>
      <c r="E574" s="41">
        <v>1.0283833813245578E-3</v>
      </c>
    </row>
    <row r="575" spans="2:5" ht="15" customHeight="1">
      <c r="B575" s="92"/>
      <c r="C575" s="43" t="s">
        <v>120</v>
      </c>
      <c r="D575" s="42">
        <v>3</v>
      </c>
      <c r="E575" s="41">
        <v>1.5425750719868367E-4</v>
      </c>
    </row>
    <row r="576" spans="2:5" ht="15" customHeight="1">
      <c r="B576" s="92"/>
      <c r="C576" s="43" t="s">
        <v>122</v>
      </c>
      <c r="D576" s="42">
        <v>1</v>
      </c>
      <c r="E576" s="41">
        <v>5.1419169066227893E-5</v>
      </c>
    </row>
    <row r="577" spans="2:5" ht="15" customHeight="1">
      <c r="B577" s="92"/>
      <c r="C577" s="43" t="s">
        <v>158</v>
      </c>
      <c r="D577" s="42">
        <v>20</v>
      </c>
      <c r="E577" s="41">
        <v>1.0283833813245578E-3</v>
      </c>
    </row>
    <row r="578" spans="2:5" ht="15" customHeight="1">
      <c r="B578" s="92"/>
      <c r="C578" s="43" t="s">
        <v>154</v>
      </c>
      <c r="D578" s="42">
        <v>9</v>
      </c>
      <c r="E578" s="41">
        <v>4.6277252159605099E-4</v>
      </c>
    </row>
    <row r="579" spans="2:5" ht="15" customHeight="1">
      <c r="B579" s="92"/>
      <c r="C579" s="43" t="s">
        <v>131</v>
      </c>
      <c r="D579" s="42">
        <v>2</v>
      </c>
      <c r="E579" s="41">
        <v>1.0283833813245579E-4</v>
      </c>
    </row>
    <row r="580" spans="2:5" ht="15" customHeight="1">
      <c r="B580" s="92"/>
      <c r="C580" s="43" t="s">
        <v>149</v>
      </c>
      <c r="D580" s="42">
        <v>14</v>
      </c>
      <c r="E580" s="41">
        <v>7.1986836692719048E-4</v>
      </c>
    </row>
    <row r="581" spans="2:5" ht="15" customHeight="1">
      <c r="B581" s="92"/>
      <c r="C581" s="43" t="s">
        <v>144</v>
      </c>
      <c r="D581" s="42">
        <v>1</v>
      </c>
      <c r="E581" s="41">
        <v>5.1419169066227893E-5</v>
      </c>
    </row>
    <row r="582" spans="2:5" ht="15" customHeight="1">
      <c r="B582" s="92"/>
      <c r="C582" s="43" t="s">
        <v>155</v>
      </c>
      <c r="D582" s="42">
        <v>20</v>
      </c>
      <c r="E582" s="41">
        <v>1.0283833813245578E-3</v>
      </c>
    </row>
    <row r="583" spans="2:5" ht="15" customHeight="1">
      <c r="B583" s="92"/>
      <c r="C583" s="43" t="s">
        <v>151</v>
      </c>
      <c r="D583" s="42">
        <v>3</v>
      </c>
      <c r="E583" s="41">
        <v>1.5425750719868367E-4</v>
      </c>
    </row>
    <row r="584" spans="2:5" ht="15" customHeight="1">
      <c r="B584" s="92"/>
      <c r="C584" s="43" t="s">
        <v>153</v>
      </c>
      <c r="D584" s="42">
        <v>11</v>
      </c>
      <c r="E584" s="41">
        <v>5.6561085972850684E-4</v>
      </c>
    </row>
    <row r="585" spans="2:5" ht="15" customHeight="1">
      <c r="B585" s="92"/>
      <c r="C585" s="43" t="s">
        <v>150</v>
      </c>
      <c r="D585" s="42">
        <v>6</v>
      </c>
      <c r="E585" s="41">
        <v>3.0851501439736734E-4</v>
      </c>
    </row>
    <row r="586" spans="2:5" ht="15" customHeight="1">
      <c r="B586" s="92"/>
      <c r="C586" s="43" t="s">
        <v>127</v>
      </c>
      <c r="D586" s="42">
        <v>2</v>
      </c>
      <c r="E586" s="41">
        <v>1.0283833813245579E-4</v>
      </c>
    </row>
    <row r="587" spans="2:5" ht="15" customHeight="1">
      <c r="B587" s="92"/>
      <c r="C587" s="43" t="s">
        <v>138</v>
      </c>
      <c r="D587" s="42">
        <v>4</v>
      </c>
      <c r="E587" s="41">
        <v>2.0567667626491157E-4</v>
      </c>
    </row>
    <row r="588" spans="2:5" ht="15" customHeight="1">
      <c r="B588" s="93"/>
      <c r="C588" s="40" t="s">
        <v>20</v>
      </c>
      <c r="D588" s="39">
        <v>215</v>
      </c>
      <c r="E588" s="38">
        <v>1.1055121349238996E-2</v>
      </c>
    </row>
    <row r="589" spans="2:5" ht="15" customHeight="1">
      <c r="B589" s="91" t="s">
        <v>88</v>
      </c>
      <c r="C589" s="43" t="s">
        <v>146</v>
      </c>
      <c r="D589" s="42">
        <v>2</v>
      </c>
      <c r="E589" s="41">
        <v>1.0283833813245579E-4</v>
      </c>
    </row>
    <row r="590" spans="2:5" ht="15" customHeight="1">
      <c r="B590" s="92"/>
      <c r="C590" s="43" t="s">
        <v>152</v>
      </c>
      <c r="D590" s="42">
        <v>4</v>
      </c>
      <c r="E590" s="41">
        <v>2.0567667626491157E-4</v>
      </c>
    </row>
    <row r="591" spans="2:5" ht="15" customHeight="1">
      <c r="B591" s="92"/>
      <c r="C591" s="43" t="s">
        <v>156</v>
      </c>
      <c r="D591" s="42">
        <v>1</v>
      </c>
      <c r="E591" s="41">
        <v>5.1419169066227893E-5</v>
      </c>
    </row>
    <row r="592" spans="2:5" ht="15" customHeight="1">
      <c r="B592" s="92"/>
      <c r="C592" s="43" t="s">
        <v>148</v>
      </c>
      <c r="D592" s="42">
        <v>2</v>
      </c>
      <c r="E592" s="41">
        <v>1.0283833813245579E-4</v>
      </c>
    </row>
    <row r="593" spans="2:5" ht="15" customHeight="1">
      <c r="B593" s="92"/>
      <c r="C593" s="43" t="s">
        <v>137</v>
      </c>
      <c r="D593" s="42">
        <v>1</v>
      </c>
      <c r="E593" s="41">
        <v>5.1419169066227893E-5</v>
      </c>
    </row>
    <row r="594" spans="2:5" ht="15" customHeight="1">
      <c r="B594" s="92"/>
      <c r="C594" s="43" t="s">
        <v>132</v>
      </c>
      <c r="D594" s="42">
        <v>2</v>
      </c>
      <c r="E594" s="41">
        <v>1.0283833813245579E-4</v>
      </c>
    </row>
    <row r="595" spans="2:5" ht="15" customHeight="1">
      <c r="B595" s="92"/>
      <c r="C595" s="43" t="s">
        <v>159</v>
      </c>
      <c r="D595" s="42">
        <v>11</v>
      </c>
      <c r="E595" s="41">
        <v>5.6561085972850684E-4</v>
      </c>
    </row>
    <row r="596" spans="2:5" ht="15" customHeight="1">
      <c r="B596" s="92"/>
      <c r="C596" s="43" t="s">
        <v>157</v>
      </c>
      <c r="D596" s="42">
        <v>10</v>
      </c>
      <c r="E596" s="41">
        <v>5.1419169066227888E-4</v>
      </c>
    </row>
    <row r="597" spans="2:5" ht="15" customHeight="1">
      <c r="B597" s="92"/>
      <c r="C597" s="43" t="s">
        <v>141</v>
      </c>
      <c r="D597" s="42">
        <v>1</v>
      </c>
      <c r="E597" s="41">
        <v>5.1419169066227893E-5</v>
      </c>
    </row>
    <row r="598" spans="2:5" ht="15" customHeight="1">
      <c r="B598" s="92"/>
      <c r="C598" s="43" t="s">
        <v>158</v>
      </c>
      <c r="D598" s="42">
        <v>9</v>
      </c>
      <c r="E598" s="41">
        <v>4.6277252159605099E-4</v>
      </c>
    </row>
    <row r="599" spans="2:5" ht="15" customHeight="1">
      <c r="B599" s="92"/>
      <c r="C599" s="43" t="s">
        <v>154</v>
      </c>
      <c r="D599" s="42">
        <v>6</v>
      </c>
      <c r="E599" s="41">
        <v>3.0851501439736734E-4</v>
      </c>
    </row>
    <row r="600" spans="2:5" ht="15" customHeight="1">
      <c r="B600" s="92"/>
      <c r="C600" s="43" t="s">
        <v>149</v>
      </c>
      <c r="D600" s="42">
        <v>4</v>
      </c>
      <c r="E600" s="41">
        <v>2.0567667626491157E-4</v>
      </c>
    </row>
    <row r="601" spans="2:5" ht="15" customHeight="1">
      <c r="B601" s="92"/>
      <c r="C601" s="43" t="s">
        <v>155</v>
      </c>
      <c r="D601" s="42">
        <v>6</v>
      </c>
      <c r="E601" s="41">
        <v>3.0851501439736734E-4</v>
      </c>
    </row>
    <row r="602" spans="2:5" ht="15" customHeight="1">
      <c r="B602" s="92"/>
      <c r="C602" s="43" t="s">
        <v>151</v>
      </c>
      <c r="D602" s="42">
        <v>1</v>
      </c>
      <c r="E602" s="41">
        <v>5.1419169066227893E-5</v>
      </c>
    </row>
    <row r="603" spans="2:5" ht="15" customHeight="1">
      <c r="B603" s="92"/>
      <c r="C603" s="43" t="s">
        <v>153</v>
      </c>
      <c r="D603" s="42">
        <v>2</v>
      </c>
      <c r="E603" s="41">
        <v>1.0283833813245579E-4</v>
      </c>
    </row>
    <row r="604" spans="2:5" ht="15" customHeight="1">
      <c r="B604" s="92"/>
      <c r="C604" s="43" t="s">
        <v>150</v>
      </c>
      <c r="D604" s="42">
        <v>6</v>
      </c>
      <c r="E604" s="41">
        <v>3.0851501439736734E-4</v>
      </c>
    </row>
    <row r="605" spans="2:5" ht="15" customHeight="1">
      <c r="B605" s="92"/>
      <c r="C605" s="43" t="s">
        <v>138</v>
      </c>
      <c r="D605" s="42">
        <v>2</v>
      </c>
      <c r="E605" s="41">
        <v>1.0283833813245579E-4</v>
      </c>
    </row>
    <row r="606" spans="2:5" ht="15" customHeight="1">
      <c r="B606" s="93"/>
      <c r="C606" s="40" t="s">
        <v>20</v>
      </c>
      <c r="D606" s="39">
        <v>70</v>
      </c>
      <c r="E606" s="38">
        <v>3.5993418346359522E-3</v>
      </c>
    </row>
    <row r="607" spans="2:5" ht="15" customHeight="1">
      <c r="B607" s="91" t="s">
        <v>81</v>
      </c>
      <c r="C607" s="43" t="s">
        <v>143</v>
      </c>
      <c r="D607" s="42">
        <v>10</v>
      </c>
      <c r="E607" s="41">
        <v>5.1419169066227888E-4</v>
      </c>
    </row>
    <row r="608" spans="2:5" ht="15" customHeight="1">
      <c r="B608" s="92"/>
      <c r="C608" s="43" t="s">
        <v>146</v>
      </c>
      <c r="D608" s="42">
        <v>3</v>
      </c>
      <c r="E608" s="41">
        <v>1.5425750719868367E-4</v>
      </c>
    </row>
    <row r="609" spans="2:5" ht="15" customHeight="1">
      <c r="B609" s="92"/>
      <c r="C609" s="43" t="s">
        <v>135</v>
      </c>
      <c r="D609" s="42">
        <v>18</v>
      </c>
      <c r="E609" s="41">
        <v>9.2554504319210197E-4</v>
      </c>
    </row>
    <row r="610" spans="2:5" ht="15" customHeight="1">
      <c r="B610" s="92"/>
      <c r="C610" s="43" t="s">
        <v>142</v>
      </c>
      <c r="D610" s="42">
        <v>1</v>
      </c>
      <c r="E610" s="41">
        <v>5.1419169066227893E-5</v>
      </c>
    </row>
    <row r="611" spans="2:5" ht="15" customHeight="1">
      <c r="B611" s="92"/>
      <c r="C611" s="43" t="s">
        <v>152</v>
      </c>
      <c r="D611" s="42">
        <v>16</v>
      </c>
      <c r="E611" s="41">
        <v>8.2270670505964628E-4</v>
      </c>
    </row>
    <row r="612" spans="2:5" ht="15" customHeight="1">
      <c r="B612" s="92"/>
      <c r="C612" s="43" t="s">
        <v>156</v>
      </c>
      <c r="D612" s="42">
        <v>35</v>
      </c>
      <c r="E612" s="41">
        <v>1.7996709173179761E-3</v>
      </c>
    </row>
    <row r="613" spans="2:5" ht="15" customHeight="1">
      <c r="B613" s="92"/>
      <c r="C613" s="43" t="s">
        <v>148</v>
      </c>
      <c r="D613" s="42">
        <v>15</v>
      </c>
      <c r="E613" s="41">
        <v>7.7128753599341833E-4</v>
      </c>
    </row>
    <row r="614" spans="2:5" ht="15" customHeight="1">
      <c r="B614" s="92"/>
      <c r="C614" s="43" t="s">
        <v>137</v>
      </c>
      <c r="D614" s="42">
        <v>1</v>
      </c>
      <c r="E614" s="41">
        <v>5.1419169066227893E-5</v>
      </c>
    </row>
    <row r="615" spans="2:5" ht="15" customHeight="1">
      <c r="B615" s="92"/>
      <c r="C615" s="43" t="s">
        <v>123</v>
      </c>
      <c r="D615" s="42">
        <v>2</v>
      </c>
      <c r="E615" s="41">
        <v>1.0283833813245579E-4</v>
      </c>
    </row>
    <row r="616" spans="2:5" ht="15" customHeight="1">
      <c r="B616" s="92"/>
      <c r="C616" s="43" t="s">
        <v>159</v>
      </c>
      <c r="D616" s="42">
        <v>48</v>
      </c>
      <c r="E616" s="41">
        <v>2.4681201151789387E-3</v>
      </c>
    </row>
    <row r="617" spans="2:5" ht="15" customHeight="1">
      <c r="B617" s="92"/>
      <c r="C617" s="43" t="s">
        <v>147</v>
      </c>
      <c r="D617" s="42">
        <v>1</v>
      </c>
      <c r="E617" s="41">
        <v>5.1419169066227893E-5</v>
      </c>
    </row>
    <row r="618" spans="2:5" ht="15" customHeight="1">
      <c r="B618" s="92"/>
      <c r="C618" s="43" t="s">
        <v>157</v>
      </c>
      <c r="D618" s="42">
        <v>13</v>
      </c>
      <c r="E618" s="41">
        <v>6.6844919786096253E-4</v>
      </c>
    </row>
    <row r="619" spans="2:5" ht="15" customHeight="1">
      <c r="B619" s="92"/>
      <c r="C619" s="43" t="s">
        <v>141</v>
      </c>
      <c r="D619" s="42">
        <v>3</v>
      </c>
      <c r="E619" s="41">
        <v>1.5425750719868367E-4</v>
      </c>
    </row>
    <row r="620" spans="2:5" ht="15" customHeight="1">
      <c r="B620" s="92"/>
      <c r="C620" s="43" t="s">
        <v>158</v>
      </c>
      <c r="D620" s="42">
        <v>21</v>
      </c>
      <c r="E620" s="41">
        <v>1.0798025503907856E-3</v>
      </c>
    </row>
    <row r="621" spans="2:5" ht="15" customHeight="1">
      <c r="B621" s="92"/>
      <c r="C621" s="43" t="s">
        <v>154</v>
      </c>
      <c r="D621" s="42">
        <v>6</v>
      </c>
      <c r="E621" s="41">
        <v>3.0851501439736734E-4</v>
      </c>
    </row>
    <row r="622" spans="2:5" ht="15" customHeight="1">
      <c r="B622" s="92"/>
      <c r="C622" s="43" t="s">
        <v>131</v>
      </c>
      <c r="D622" s="42">
        <v>1</v>
      </c>
      <c r="E622" s="41">
        <v>5.1419169066227893E-5</v>
      </c>
    </row>
    <row r="623" spans="2:5" ht="15" customHeight="1">
      <c r="B623" s="92"/>
      <c r="C623" s="43" t="s">
        <v>149</v>
      </c>
      <c r="D623" s="42">
        <v>14</v>
      </c>
      <c r="E623" s="41">
        <v>7.1986836692719048E-4</v>
      </c>
    </row>
    <row r="624" spans="2:5" ht="15" customHeight="1">
      <c r="B624" s="92"/>
      <c r="C624" s="43" t="s">
        <v>144</v>
      </c>
      <c r="D624" s="42">
        <v>4</v>
      </c>
      <c r="E624" s="41">
        <v>2.0567667626491157E-4</v>
      </c>
    </row>
    <row r="625" spans="2:5" ht="15" customHeight="1">
      <c r="B625" s="92"/>
      <c r="C625" s="43" t="s">
        <v>155</v>
      </c>
      <c r="D625" s="42">
        <v>20</v>
      </c>
      <c r="E625" s="41">
        <v>1.0283833813245578E-3</v>
      </c>
    </row>
    <row r="626" spans="2:5" ht="15" customHeight="1">
      <c r="B626" s="92"/>
      <c r="C626" s="43" t="s">
        <v>151</v>
      </c>
      <c r="D626" s="42">
        <v>23</v>
      </c>
      <c r="E626" s="41">
        <v>1.1826408885232415E-3</v>
      </c>
    </row>
    <row r="627" spans="2:5" ht="15" customHeight="1">
      <c r="B627" s="92"/>
      <c r="C627" s="43" t="s">
        <v>153</v>
      </c>
      <c r="D627" s="42">
        <v>13</v>
      </c>
      <c r="E627" s="41">
        <v>6.6844919786096253E-4</v>
      </c>
    </row>
    <row r="628" spans="2:5" ht="15" customHeight="1">
      <c r="B628" s="92"/>
      <c r="C628" s="43" t="s">
        <v>150</v>
      </c>
      <c r="D628" s="42">
        <v>11</v>
      </c>
      <c r="E628" s="41">
        <v>5.6561085972850684E-4</v>
      </c>
    </row>
    <row r="629" spans="2:5" ht="15" customHeight="1">
      <c r="B629" s="92"/>
      <c r="C629" s="43" t="s">
        <v>138</v>
      </c>
      <c r="D629" s="42">
        <v>2</v>
      </c>
      <c r="E629" s="41">
        <v>1.0283833813245579E-4</v>
      </c>
    </row>
    <row r="630" spans="2:5" ht="15" customHeight="1">
      <c r="B630" s="93"/>
      <c r="C630" s="40" t="s">
        <v>20</v>
      </c>
      <c r="D630" s="39">
        <v>281</v>
      </c>
      <c r="E630" s="38">
        <v>1.4448786507610037E-2</v>
      </c>
    </row>
    <row r="631" spans="2:5" ht="15" customHeight="1">
      <c r="B631" s="91" t="s">
        <v>110</v>
      </c>
      <c r="C631" s="43" t="s">
        <v>143</v>
      </c>
      <c r="D631" s="42">
        <v>1</v>
      </c>
      <c r="E631" s="41">
        <v>5.1419169066227893E-5</v>
      </c>
    </row>
    <row r="632" spans="2:5" ht="15" customHeight="1">
      <c r="B632" s="92"/>
      <c r="C632" s="43" t="s">
        <v>130</v>
      </c>
      <c r="D632" s="42">
        <v>1</v>
      </c>
      <c r="E632" s="41">
        <v>5.1419169066227893E-5</v>
      </c>
    </row>
    <row r="633" spans="2:5" ht="15" customHeight="1">
      <c r="B633" s="92"/>
      <c r="C633" s="43" t="s">
        <v>135</v>
      </c>
      <c r="D633" s="42">
        <v>4</v>
      </c>
      <c r="E633" s="41">
        <v>2.0567667626491157E-4</v>
      </c>
    </row>
    <row r="634" spans="2:5" ht="15" customHeight="1">
      <c r="B634" s="92"/>
      <c r="C634" s="43" t="s">
        <v>142</v>
      </c>
      <c r="D634" s="42">
        <v>1</v>
      </c>
      <c r="E634" s="41">
        <v>5.1419169066227893E-5</v>
      </c>
    </row>
    <row r="635" spans="2:5" ht="15" customHeight="1">
      <c r="B635" s="92"/>
      <c r="C635" s="43" t="s">
        <v>152</v>
      </c>
      <c r="D635" s="42">
        <v>6</v>
      </c>
      <c r="E635" s="41">
        <v>3.0851501439736734E-4</v>
      </c>
    </row>
    <row r="636" spans="2:5" ht="15" customHeight="1">
      <c r="B636" s="92"/>
      <c r="C636" s="43" t="s">
        <v>156</v>
      </c>
      <c r="D636" s="42">
        <v>6</v>
      </c>
      <c r="E636" s="41">
        <v>3.0851501439736734E-4</v>
      </c>
    </row>
    <row r="637" spans="2:5" ht="15" customHeight="1">
      <c r="B637" s="92"/>
      <c r="C637" s="43" t="s">
        <v>148</v>
      </c>
      <c r="D637" s="42">
        <v>1</v>
      </c>
      <c r="E637" s="41">
        <v>5.1419169066227893E-5</v>
      </c>
    </row>
    <row r="638" spans="2:5" ht="15" customHeight="1">
      <c r="B638" s="92"/>
      <c r="C638" s="43" t="s">
        <v>145</v>
      </c>
      <c r="D638" s="42">
        <v>1</v>
      </c>
      <c r="E638" s="41">
        <v>5.1419169066227893E-5</v>
      </c>
    </row>
    <row r="639" spans="2:5" ht="15" customHeight="1">
      <c r="B639" s="92"/>
      <c r="C639" s="43" t="s">
        <v>123</v>
      </c>
      <c r="D639" s="42">
        <v>1</v>
      </c>
      <c r="E639" s="41">
        <v>5.1419169066227893E-5</v>
      </c>
    </row>
    <row r="640" spans="2:5" ht="15" customHeight="1">
      <c r="B640" s="92"/>
      <c r="C640" s="43" t="s">
        <v>159</v>
      </c>
      <c r="D640" s="42">
        <v>18</v>
      </c>
      <c r="E640" s="41">
        <v>9.2554504319210197E-4</v>
      </c>
    </row>
    <row r="641" spans="2:5" ht="15" customHeight="1">
      <c r="B641" s="92"/>
      <c r="C641" s="43" t="s">
        <v>157</v>
      </c>
      <c r="D641" s="42">
        <v>9</v>
      </c>
      <c r="E641" s="41">
        <v>4.6277252159605099E-4</v>
      </c>
    </row>
    <row r="642" spans="2:5" ht="15" customHeight="1">
      <c r="B642" s="92"/>
      <c r="C642" s="43" t="s">
        <v>158</v>
      </c>
      <c r="D642" s="42">
        <v>6</v>
      </c>
      <c r="E642" s="41">
        <v>3.0851501439736734E-4</v>
      </c>
    </row>
    <row r="643" spans="2:5" ht="15" customHeight="1">
      <c r="B643" s="92"/>
      <c r="C643" s="43" t="s">
        <v>154</v>
      </c>
      <c r="D643" s="42">
        <v>1</v>
      </c>
      <c r="E643" s="41">
        <v>5.1419169066227893E-5</v>
      </c>
    </row>
    <row r="644" spans="2:5" ht="15" customHeight="1">
      <c r="B644" s="92"/>
      <c r="C644" s="43" t="s">
        <v>149</v>
      </c>
      <c r="D644" s="42">
        <v>7</v>
      </c>
      <c r="E644" s="41">
        <v>3.5993418346359524E-4</v>
      </c>
    </row>
    <row r="645" spans="2:5" ht="15" customHeight="1">
      <c r="B645" s="92"/>
      <c r="C645" s="43" t="s">
        <v>155</v>
      </c>
      <c r="D645" s="42">
        <v>14</v>
      </c>
      <c r="E645" s="41">
        <v>7.1986836692719048E-4</v>
      </c>
    </row>
    <row r="646" spans="2:5" ht="15" customHeight="1">
      <c r="B646" s="92"/>
      <c r="C646" s="43" t="s">
        <v>151</v>
      </c>
      <c r="D646" s="42">
        <v>2</v>
      </c>
      <c r="E646" s="41">
        <v>1.0283833813245579E-4</v>
      </c>
    </row>
    <row r="647" spans="2:5" ht="15" customHeight="1">
      <c r="B647" s="92"/>
      <c r="C647" s="43" t="s">
        <v>153</v>
      </c>
      <c r="D647" s="42">
        <v>2</v>
      </c>
      <c r="E647" s="41">
        <v>1.0283833813245579E-4</v>
      </c>
    </row>
    <row r="648" spans="2:5" ht="15" customHeight="1">
      <c r="B648" s="92"/>
      <c r="C648" s="43" t="s">
        <v>150</v>
      </c>
      <c r="D648" s="42">
        <v>2</v>
      </c>
      <c r="E648" s="41">
        <v>1.0283833813245579E-4</v>
      </c>
    </row>
    <row r="649" spans="2:5" ht="15" customHeight="1">
      <c r="B649" s="92"/>
      <c r="C649" s="43" t="s">
        <v>138</v>
      </c>
      <c r="D649" s="42">
        <v>1</v>
      </c>
      <c r="E649" s="41">
        <v>5.1419169066227893E-5</v>
      </c>
    </row>
    <row r="650" spans="2:5" ht="15" customHeight="1">
      <c r="B650" s="93"/>
      <c r="C650" s="40" t="s">
        <v>20</v>
      </c>
      <c r="D650" s="39">
        <v>84</v>
      </c>
      <c r="E650" s="38">
        <v>4.3192102015631425E-3</v>
      </c>
    </row>
    <row r="651" spans="2:5" ht="15" customHeight="1">
      <c r="B651" s="91" t="s">
        <v>83</v>
      </c>
      <c r="C651" s="43" t="s">
        <v>139</v>
      </c>
      <c r="D651" s="42">
        <v>1</v>
      </c>
      <c r="E651" s="41">
        <v>5.1419169066227893E-5</v>
      </c>
    </row>
    <row r="652" spans="2:5" ht="15" customHeight="1">
      <c r="B652" s="92"/>
      <c r="C652" s="43" t="s">
        <v>143</v>
      </c>
      <c r="D652" s="42">
        <v>4</v>
      </c>
      <c r="E652" s="41">
        <v>2.0567667626491157E-4</v>
      </c>
    </row>
    <row r="653" spans="2:5" ht="15" customHeight="1">
      <c r="B653" s="92"/>
      <c r="C653" s="43" t="s">
        <v>146</v>
      </c>
      <c r="D653" s="42">
        <v>2</v>
      </c>
      <c r="E653" s="41">
        <v>1.0283833813245579E-4</v>
      </c>
    </row>
    <row r="654" spans="2:5" ht="15" customHeight="1">
      <c r="B654" s="92"/>
      <c r="C654" s="43" t="s">
        <v>135</v>
      </c>
      <c r="D654" s="42">
        <v>1</v>
      </c>
      <c r="E654" s="41">
        <v>5.1419169066227893E-5</v>
      </c>
    </row>
    <row r="655" spans="2:5" ht="15" customHeight="1">
      <c r="B655" s="92"/>
      <c r="C655" s="43" t="s">
        <v>152</v>
      </c>
      <c r="D655" s="42">
        <v>2</v>
      </c>
      <c r="E655" s="41">
        <v>1.0283833813245579E-4</v>
      </c>
    </row>
    <row r="656" spans="2:5" ht="15" customHeight="1">
      <c r="B656" s="92"/>
      <c r="C656" s="43" t="s">
        <v>156</v>
      </c>
      <c r="D656" s="42">
        <v>7</v>
      </c>
      <c r="E656" s="41">
        <v>3.5993418346359524E-4</v>
      </c>
    </row>
    <row r="657" spans="2:5" ht="15" customHeight="1">
      <c r="B657" s="92"/>
      <c r="C657" s="43" t="s">
        <v>148</v>
      </c>
      <c r="D657" s="42">
        <v>4</v>
      </c>
      <c r="E657" s="41">
        <v>2.0567667626491157E-4</v>
      </c>
    </row>
    <row r="658" spans="2:5" ht="15" customHeight="1">
      <c r="B658" s="92"/>
      <c r="C658" s="43" t="s">
        <v>133</v>
      </c>
      <c r="D658" s="42">
        <v>1</v>
      </c>
      <c r="E658" s="41">
        <v>5.1419169066227893E-5</v>
      </c>
    </row>
    <row r="659" spans="2:5" ht="15" customHeight="1">
      <c r="B659" s="92"/>
      <c r="C659" s="43" t="s">
        <v>159</v>
      </c>
      <c r="D659" s="42">
        <v>13</v>
      </c>
      <c r="E659" s="41">
        <v>6.6844919786096253E-4</v>
      </c>
    </row>
    <row r="660" spans="2:5" ht="15" customHeight="1">
      <c r="B660" s="92"/>
      <c r="C660" s="43" t="s">
        <v>157</v>
      </c>
      <c r="D660" s="42">
        <v>7</v>
      </c>
      <c r="E660" s="41">
        <v>3.5993418346359524E-4</v>
      </c>
    </row>
    <row r="661" spans="2:5" ht="15" customHeight="1">
      <c r="B661" s="92"/>
      <c r="C661" s="43" t="s">
        <v>141</v>
      </c>
      <c r="D661" s="42">
        <v>1</v>
      </c>
      <c r="E661" s="41">
        <v>5.1419169066227893E-5</v>
      </c>
    </row>
    <row r="662" spans="2:5" ht="15" customHeight="1">
      <c r="B662" s="92"/>
      <c r="C662" s="43" t="s">
        <v>134</v>
      </c>
      <c r="D662" s="42">
        <v>1</v>
      </c>
      <c r="E662" s="41">
        <v>5.1419169066227893E-5</v>
      </c>
    </row>
    <row r="663" spans="2:5" ht="15" customHeight="1">
      <c r="B663" s="92"/>
      <c r="C663" s="43" t="s">
        <v>158</v>
      </c>
      <c r="D663" s="42">
        <v>16</v>
      </c>
      <c r="E663" s="41">
        <v>8.2270670505964628E-4</v>
      </c>
    </row>
    <row r="664" spans="2:5" ht="15" customHeight="1">
      <c r="B664" s="92"/>
      <c r="C664" s="43" t="s">
        <v>154</v>
      </c>
      <c r="D664" s="42">
        <v>5</v>
      </c>
      <c r="E664" s="41">
        <v>2.5709584533113944E-4</v>
      </c>
    </row>
    <row r="665" spans="2:5" ht="15" customHeight="1">
      <c r="B665" s="92"/>
      <c r="C665" s="43" t="s">
        <v>144</v>
      </c>
      <c r="D665" s="42">
        <v>4</v>
      </c>
      <c r="E665" s="41">
        <v>2.0567667626491157E-4</v>
      </c>
    </row>
    <row r="666" spans="2:5" ht="15" customHeight="1">
      <c r="B666" s="92"/>
      <c r="C666" s="43" t="s">
        <v>155</v>
      </c>
      <c r="D666" s="42">
        <v>3</v>
      </c>
      <c r="E666" s="41">
        <v>1.5425750719868367E-4</v>
      </c>
    </row>
    <row r="667" spans="2:5" ht="15" customHeight="1">
      <c r="B667" s="92"/>
      <c r="C667" s="43" t="s">
        <v>151</v>
      </c>
      <c r="D667" s="42">
        <v>1</v>
      </c>
      <c r="E667" s="41">
        <v>5.1419169066227893E-5</v>
      </c>
    </row>
    <row r="668" spans="2:5" ht="15" customHeight="1">
      <c r="B668" s="92"/>
      <c r="C668" s="43" t="s">
        <v>153</v>
      </c>
      <c r="D668" s="42">
        <v>1</v>
      </c>
      <c r="E668" s="41">
        <v>5.1419169066227893E-5</v>
      </c>
    </row>
    <row r="669" spans="2:5" ht="15" customHeight="1">
      <c r="B669" s="92"/>
      <c r="C669" s="43" t="s">
        <v>150</v>
      </c>
      <c r="D669" s="42">
        <v>4</v>
      </c>
      <c r="E669" s="41">
        <v>2.0567667626491157E-4</v>
      </c>
    </row>
    <row r="670" spans="2:5" ht="15" customHeight="1">
      <c r="B670" s="93"/>
      <c r="C670" s="40" t="s">
        <v>20</v>
      </c>
      <c r="D670" s="39">
        <v>78</v>
      </c>
      <c r="E670" s="38">
        <v>4.0106951871657758E-3</v>
      </c>
    </row>
    <row r="671" spans="2:5" ht="15" customHeight="1">
      <c r="B671" s="91" t="s">
        <v>102</v>
      </c>
      <c r="C671" s="43" t="s">
        <v>139</v>
      </c>
      <c r="D671" s="42">
        <v>3</v>
      </c>
      <c r="E671" s="41">
        <v>1.5425750719868367E-4</v>
      </c>
    </row>
    <row r="672" spans="2:5" ht="15" customHeight="1">
      <c r="B672" s="92"/>
      <c r="C672" s="43" t="s">
        <v>143</v>
      </c>
      <c r="D672" s="42">
        <v>11</v>
      </c>
      <c r="E672" s="41">
        <v>5.6561085972850684E-4</v>
      </c>
    </row>
    <row r="673" spans="2:5" ht="15" customHeight="1">
      <c r="B673" s="92"/>
      <c r="C673" s="43" t="s">
        <v>146</v>
      </c>
      <c r="D673" s="42">
        <v>5</v>
      </c>
      <c r="E673" s="41">
        <v>2.5709584533113944E-4</v>
      </c>
    </row>
    <row r="674" spans="2:5" ht="15" customHeight="1">
      <c r="B674" s="92"/>
      <c r="C674" s="43" t="s">
        <v>130</v>
      </c>
      <c r="D674" s="42">
        <v>1</v>
      </c>
      <c r="E674" s="41">
        <v>5.1419169066227893E-5</v>
      </c>
    </row>
    <row r="675" spans="2:5" ht="15" customHeight="1">
      <c r="B675" s="92"/>
      <c r="C675" s="43" t="s">
        <v>135</v>
      </c>
      <c r="D675" s="42">
        <v>8</v>
      </c>
      <c r="E675" s="41">
        <v>4.1135335252982314E-4</v>
      </c>
    </row>
    <row r="676" spans="2:5" ht="15" customHeight="1">
      <c r="B676" s="92"/>
      <c r="C676" s="43" t="s">
        <v>142</v>
      </c>
      <c r="D676" s="42">
        <v>1</v>
      </c>
      <c r="E676" s="41">
        <v>5.1419169066227893E-5</v>
      </c>
    </row>
    <row r="677" spans="2:5" ht="15" customHeight="1">
      <c r="B677" s="92"/>
      <c r="C677" s="43" t="s">
        <v>118</v>
      </c>
      <c r="D677" s="42">
        <v>1</v>
      </c>
      <c r="E677" s="41">
        <v>5.1419169066227893E-5</v>
      </c>
    </row>
    <row r="678" spans="2:5" ht="15" customHeight="1">
      <c r="B678" s="92"/>
      <c r="C678" s="43" t="s">
        <v>152</v>
      </c>
      <c r="D678" s="42">
        <v>22</v>
      </c>
      <c r="E678" s="41">
        <v>1.1312217194570137E-3</v>
      </c>
    </row>
    <row r="679" spans="2:5" ht="15" customHeight="1">
      <c r="B679" s="92"/>
      <c r="C679" s="43" t="s">
        <v>119</v>
      </c>
      <c r="D679" s="42">
        <v>2</v>
      </c>
      <c r="E679" s="41">
        <v>1.0283833813245579E-4</v>
      </c>
    </row>
    <row r="680" spans="2:5" ht="15" customHeight="1">
      <c r="B680" s="92"/>
      <c r="C680" s="43" t="s">
        <v>156</v>
      </c>
      <c r="D680" s="42">
        <v>25</v>
      </c>
      <c r="E680" s="41">
        <v>1.2854792266556972E-3</v>
      </c>
    </row>
    <row r="681" spans="2:5" ht="15" customHeight="1">
      <c r="B681" s="92"/>
      <c r="C681" s="43" t="s">
        <v>148</v>
      </c>
      <c r="D681" s="42">
        <v>12</v>
      </c>
      <c r="E681" s="41">
        <v>6.1703002879473468E-4</v>
      </c>
    </row>
    <row r="682" spans="2:5" ht="15" customHeight="1">
      <c r="B682" s="92"/>
      <c r="C682" s="43" t="s">
        <v>126</v>
      </c>
      <c r="D682" s="42">
        <v>1</v>
      </c>
      <c r="E682" s="41">
        <v>5.1419169066227893E-5</v>
      </c>
    </row>
    <row r="683" spans="2:5" ht="15" customHeight="1">
      <c r="B683" s="92"/>
      <c r="C683" s="43" t="s">
        <v>137</v>
      </c>
      <c r="D683" s="42">
        <v>2</v>
      </c>
      <c r="E683" s="41">
        <v>1.0283833813245579E-4</v>
      </c>
    </row>
    <row r="684" spans="2:5" ht="15" customHeight="1">
      <c r="B684" s="92"/>
      <c r="C684" s="43" t="s">
        <v>133</v>
      </c>
      <c r="D684" s="42">
        <v>5</v>
      </c>
      <c r="E684" s="41">
        <v>2.5709584533113944E-4</v>
      </c>
    </row>
    <row r="685" spans="2:5" ht="15" customHeight="1">
      <c r="B685" s="92"/>
      <c r="C685" s="43" t="s">
        <v>132</v>
      </c>
      <c r="D685" s="42">
        <v>4</v>
      </c>
      <c r="E685" s="41">
        <v>2.0567667626491157E-4</v>
      </c>
    </row>
    <row r="686" spans="2:5" ht="15" customHeight="1">
      <c r="B686" s="92"/>
      <c r="C686" s="43" t="s">
        <v>140</v>
      </c>
      <c r="D686" s="42">
        <v>1</v>
      </c>
      <c r="E686" s="41">
        <v>5.1419169066227893E-5</v>
      </c>
    </row>
    <row r="687" spans="2:5" ht="15" customHeight="1">
      <c r="B687" s="92"/>
      <c r="C687" s="43" t="s">
        <v>159</v>
      </c>
      <c r="D687" s="42">
        <v>118</v>
      </c>
      <c r="E687" s="41">
        <v>6.0674619498148914E-3</v>
      </c>
    </row>
    <row r="688" spans="2:5" ht="15" customHeight="1">
      <c r="B688" s="92"/>
      <c r="C688" s="43" t="s">
        <v>125</v>
      </c>
      <c r="D688" s="42">
        <v>2</v>
      </c>
      <c r="E688" s="41">
        <v>1.0283833813245579E-4</v>
      </c>
    </row>
    <row r="689" spans="2:5" ht="15" customHeight="1">
      <c r="B689" s="92"/>
      <c r="C689" s="43" t="s">
        <v>157</v>
      </c>
      <c r="D689" s="42">
        <v>17</v>
      </c>
      <c r="E689" s="41">
        <v>8.7412587412587413E-4</v>
      </c>
    </row>
    <row r="690" spans="2:5" ht="15" customHeight="1">
      <c r="B690" s="92"/>
      <c r="C690" s="43" t="s">
        <v>120</v>
      </c>
      <c r="D690" s="42">
        <v>1</v>
      </c>
      <c r="E690" s="41">
        <v>5.1419169066227893E-5</v>
      </c>
    </row>
    <row r="691" spans="2:5" ht="15" customHeight="1">
      <c r="B691" s="92"/>
      <c r="C691" s="43" t="s">
        <v>141</v>
      </c>
      <c r="D691" s="42">
        <v>4</v>
      </c>
      <c r="E691" s="41">
        <v>2.0567667626491157E-4</v>
      </c>
    </row>
    <row r="692" spans="2:5" ht="15" customHeight="1">
      <c r="B692" s="92"/>
      <c r="C692" s="43" t="s">
        <v>134</v>
      </c>
      <c r="D692" s="42">
        <v>4</v>
      </c>
      <c r="E692" s="41">
        <v>2.0567667626491157E-4</v>
      </c>
    </row>
    <row r="693" spans="2:5" ht="15" customHeight="1">
      <c r="B693" s="92"/>
      <c r="C693" s="43" t="s">
        <v>122</v>
      </c>
      <c r="D693" s="42">
        <v>1</v>
      </c>
      <c r="E693" s="41">
        <v>5.1419169066227893E-5</v>
      </c>
    </row>
    <row r="694" spans="2:5" ht="15" customHeight="1">
      <c r="B694" s="92"/>
      <c r="C694" s="43" t="s">
        <v>158</v>
      </c>
      <c r="D694" s="42">
        <v>44</v>
      </c>
      <c r="E694" s="41">
        <v>2.2624434389140274E-3</v>
      </c>
    </row>
    <row r="695" spans="2:5" ht="15" customHeight="1">
      <c r="B695" s="92"/>
      <c r="C695" s="43" t="s">
        <v>154</v>
      </c>
      <c r="D695" s="42">
        <v>20</v>
      </c>
      <c r="E695" s="41">
        <v>1.0283833813245578E-3</v>
      </c>
    </row>
    <row r="696" spans="2:5" ht="15" customHeight="1">
      <c r="B696" s="92"/>
      <c r="C696" s="43" t="s">
        <v>131</v>
      </c>
      <c r="D696" s="42">
        <v>2</v>
      </c>
      <c r="E696" s="41">
        <v>1.0283833813245579E-4</v>
      </c>
    </row>
    <row r="697" spans="2:5" ht="15" customHeight="1">
      <c r="B697" s="92"/>
      <c r="C697" s="43" t="s">
        <v>149</v>
      </c>
      <c r="D697" s="42">
        <v>18</v>
      </c>
      <c r="E697" s="41">
        <v>9.2554504319210197E-4</v>
      </c>
    </row>
    <row r="698" spans="2:5" ht="15" customHeight="1">
      <c r="B698" s="92"/>
      <c r="C698" s="43" t="s">
        <v>117</v>
      </c>
      <c r="D698" s="42">
        <v>1</v>
      </c>
      <c r="E698" s="41">
        <v>5.1419169066227893E-5</v>
      </c>
    </row>
    <row r="699" spans="2:5" ht="15" customHeight="1">
      <c r="B699" s="92"/>
      <c r="C699" s="43" t="s">
        <v>144</v>
      </c>
      <c r="D699" s="42">
        <v>1</v>
      </c>
      <c r="E699" s="41">
        <v>5.1419169066227893E-5</v>
      </c>
    </row>
    <row r="700" spans="2:5" ht="15" customHeight="1">
      <c r="B700" s="92"/>
      <c r="C700" s="43" t="s">
        <v>155</v>
      </c>
      <c r="D700" s="42">
        <v>45</v>
      </c>
      <c r="E700" s="41">
        <v>2.313862607980255E-3</v>
      </c>
    </row>
    <row r="701" spans="2:5" ht="15" customHeight="1">
      <c r="B701" s="92"/>
      <c r="C701" s="43" t="s">
        <v>151</v>
      </c>
      <c r="D701" s="42">
        <v>25</v>
      </c>
      <c r="E701" s="41">
        <v>1.2854792266556972E-3</v>
      </c>
    </row>
    <row r="702" spans="2:5" ht="15" customHeight="1">
      <c r="B702" s="92"/>
      <c r="C702" s="43" t="s">
        <v>153</v>
      </c>
      <c r="D702" s="42">
        <v>11</v>
      </c>
      <c r="E702" s="41">
        <v>5.6561085972850684E-4</v>
      </c>
    </row>
    <row r="703" spans="2:5" ht="15" customHeight="1">
      <c r="B703" s="92"/>
      <c r="C703" s="43" t="s">
        <v>150</v>
      </c>
      <c r="D703" s="42">
        <v>12</v>
      </c>
      <c r="E703" s="41">
        <v>6.1703002879473468E-4</v>
      </c>
    </row>
    <row r="704" spans="2:5" ht="15" customHeight="1">
      <c r="B704" s="92"/>
      <c r="C704" s="43" t="s">
        <v>127</v>
      </c>
      <c r="D704" s="42">
        <v>1</v>
      </c>
      <c r="E704" s="41">
        <v>5.1419169066227893E-5</v>
      </c>
    </row>
    <row r="705" spans="2:5" ht="15" customHeight="1">
      <c r="B705" s="92"/>
      <c r="C705" s="43" t="s">
        <v>138</v>
      </c>
      <c r="D705" s="42">
        <v>7</v>
      </c>
      <c r="E705" s="41">
        <v>3.5993418346359524E-4</v>
      </c>
    </row>
    <row r="706" spans="2:5" ht="15" customHeight="1">
      <c r="B706" s="93"/>
      <c r="C706" s="40" t="s">
        <v>20</v>
      </c>
      <c r="D706" s="39">
        <v>438</v>
      </c>
      <c r="E706" s="38">
        <v>2.2521596051007817E-2</v>
      </c>
    </row>
    <row r="707" spans="2:5" ht="15" customHeight="1">
      <c r="B707" s="91" t="s">
        <v>98</v>
      </c>
      <c r="C707" s="43" t="s">
        <v>152</v>
      </c>
      <c r="D707" s="42">
        <v>1</v>
      </c>
      <c r="E707" s="41">
        <v>5.1419169066227893E-5</v>
      </c>
    </row>
    <row r="708" spans="2:5" ht="15" customHeight="1">
      <c r="B708" s="92"/>
      <c r="C708" s="43" t="s">
        <v>119</v>
      </c>
      <c r="D708" s="42">
        <v>1</v>
      </c>
      <c r="E708" s="41">
        <v>5.1419169066227893E-5</v>
      </c>
    </row>
    <row r="709" spans="2:5" ht="15" customHeight="1">
      <c r="B709" s="92"/>
      <c r="C709" s="43" t="s">
        <v>156</v>
      </c>
      <c r="D709" s="42">
        <v>2</v>
      </c>
      <c r="E709" s="41">
        <v>1.0283833813245579E-4</v>
      </c>
    </row>
    <row r="710" spans="2:5" ht="15" customHeight="1">
      <c r="B710" s="92"/>
      <c r="C710" s="43" t="s">
        <v>148</v>
      </c>
      <c r="D710" s="42">
        <v>1</v>
      </c>
      <c r="E710" s="41">
        <v>5.1419169066227893E-5</v>
      </c>
    </row>
    <row r="711" spans="2:5" ht="15" customHeight="1">
      <c r="B711" s="92"/>
      <c r="C711" s="43" t="s">
        <v>159</v>
      </c>
      <c r="D711" s="42">
        <v>1</v>
      </c>
      <c r="E711" s="41">
        <v>5.1419169066227893E-5</v>
      </c>
    </row>
    <row r="712" spans="2:5" ht="15" customHeight="1">
      <c r="B712" s="92"/>
      <c r="C712" s="43" t="s">
        <v>157</v>
      </c>
      <c r="D712" s="42">
        <v>1</v>
      </c>
      <c r="E712" s="41">
        <v>5.1419169066227893E-5</v>
      </c>
    </row>
    <row r="713" spans="2:5" ht="15" customHeight="1">
      <c r="B713" s="92"/>
      <c r="C713" s="43" t="s">
        <v>158</v>
      </c>
      <c r="D713" s="42">
        <v>2</v>
      </c>
      <c r="E713" s="41">
        <v>1.0283833813245579E-4</v>
      </c>
    </row>
    <row r="714" spans="2:5" ht="15" customHeight="1">
      <c r="B714" s="92"/>
      <c r="C714" s="43" t="s">
        <v>154</v>
      </c>
      <c r="D714" s="42">
        <v>1</v>
      </c>
      <c r="E714" s="41">
        <v>5.1419169066227893E-5</v>
      </c>
    </row>
    <row r="715" spans="2:5" ht="15" customHeight="1">
      <c r="B715" s="92"/>
      <c r="C715" s="43" t="s">
        <v>149</v>
      </c>
      <c r="D715" s="42">
        <v>1</v>
      </c>
      <c r="E715" s="41">
        <v>5.1419169066227893E-5</v>
      </c>
    </row>
    <row r="716" spans="2:5" ht="15" customHeight="1">
      <c r="B716" s="92"/>
      <c r="C716" s="43" t="s">
        <v>155</v>
      </c>
      <c r="D716" s="42">
        <v>3</v>
      </c>
      <c r="E716" s="41">
        <v>1.5425750719868367E-4</v>
      </c>
    </row>
    <row r="717" spans="2:5" ht="15" customHeight="1">
      <c r="B717" s="92"/>
      <c r="C717" s="43" t="s">
        <v>150</v>
      </c>
      <c r="D717" s="42">
        <v>1</v>
      </c>
      <c r="E717" s="41">
        <v>5.1419169066227893E-5</v>
      </c>
    </row>
    <row r="718" spans="2:5" ht="15" customHeight="1">
      <c r="B718" s="93"/>
      <c r="C718" s="40" t="s">
        <v>20</v>
      </c>
      <c r="D718" s="39">
        <v>15</v>
      </c>
      <c r="E718" s="38">
        <v>7.7128753599341833E-4</v>
      </c>
    </row>
    <row r="719" spans="2:5" ht="15" customHeight="1">
      <c r="B719" s="91" t="s">
        <v>86</v>
      </c>
      <c r="C719" s="43" t="s">
        <v>130</v>
      </c>
      <c r="D719" s="42">
        <v>1</v>
      </c>
      <c r="E719" s="41">
        <v>5.1419169066227893E-5</v>
      </c>
    </row>
    <row r="720" spans="2:5" ht="15" customHeight="1">
      <c r="B720" s="92"/>
      <c r="C720" s="43" t="s">
        <v>152</v>
      </c>
      <c r="D720" s="42">
        <v>3</v>
      </c>
      <c r="E720" s="41">
        <v>1.5425750719868367E-4</v>
      </c>
    </row>
    <row r="721" spans="2:5" ht="15" customHeight="1">
      <c r="B721" s="92"/>
      <c r="C721" s="43" t="s">
        <v>156</v>
      </c>
      <c r="D721" s="42">
        <v>4</v>
      </c>
      <c r="E721" s="41">
        <v>2.0567667626491157E-4</v>
      </c>
    </row>
    <row r="722" spans="2:5" ht="15" customHeight="1">
      <c r="B722" s="92"/>
      <c r="C722" s="43" t="s">
        <v>148</v>
      </c>
      <c r="D722" s="42">
        <v>1</v>
      </c>
      <c r="E722" s="41">
        <v>5.1419169066227893E-5</v>
      </c>
    </row>
    <row r="723" spans="2:5" ht="15" customHeight="1">
      <c r="B723" s="92"/>
      <c r="C723" s="43" t="s">
        <v>137</v>
      </c>
      <c r="D723" s="42">
        <v>1</v>
      </c>
      <c r="E723" s="41">
        <v>5.1419169066227893E-5</v>
      </c>
    </row>
    <row r="724" spans="2:5" ht="15" customHeight="1">
      <c r="B724" s="92"/>
      <c r="C724" s="43" t="s">
        <v>123</v>
      </c>
      <c r="D724" s="42">
        <v>1</v>
      </c>
      <c r="E724" s="41">
        <v>5.1419169066227893E-5</v>
      </c>
    </row>
    <row r="725" spans="2:5" ht="15" customHeight="1">
      <c r="B725" s="92"/>
      <c r="C725" s="43" t="s">
        <v>159</v>
      </c>
      <c r="D725" s="42">
        <v>2</v>
      </c>
      <c r="E725" s="41">
        <v>1.0283833813245579E-4</v>
      </c>
    </row>
    <row r="726" spans="2:5" ht="15" customHeight="1">
      <c r="B726" s="92"/>
      <c r="C726" s="43" t="s">
        <v>147</v>
      </c>
      <c r="D726" s="42">
        <v>1</v>
      </c>
      <c r="E726" s="41">
        <v>5.1419169066227893E-5</v>
      </c>
    </row>
    <row r="727" spans="2:5" ht="15" customHeight="1">
      <c r="B727" s="92"/>
      <c r="C727" s="43" t="s">
        <v>157</v>
      </c>
      <c r="D727" s="42">
        <v>4</v>
      </c>
      <c r="E727" s="41">
        <v>2.0567667626491157E-4</v>
      </c>
    </row>
    <row r="728" spans="2:5" ht="15" customHeight="1">
      <c r="B728" s="92"/>
      <c r="C728" s="43" t="s">
        <v>158</v>
      </c>
      <c r="D728" s="42">
        <v>3</v>
      </c>
      <c r="E728" s="41">
        <v>1.5425750719868367E-4</v>
      </c>
    </row>
    <row r="729" spans="2:5" ht="15" customHeight="1">
      <c r="B729" s="92"/>
      <c r="C729" s="43" t="s">
        <v>154</v>
      </c>
      <c r="D729" s="42">
        <v>1</v>
      </c>
      <c r="E729" s="41">
        <v>5.1419169066227893E-5</v>
      </c>
    </row>
    <row r="730" spans="2:5" ht="15" customHeight="1">
      <c r="B730" s="92"/>
      <c r="C730" s="43" t="s">
        <v>144</v>
      </c>
      <c r="D730" s="42">
        <v>1</v>
      </c>
      <c r="E730" s="41">
        <v>5.1419169066227893E-5</v>
      </c>
    </row>
    <row r="731" spans="2:5" ht="15" customHeight="1">
      <c r="B731" s="92"/>
      <c r="C731" s="43" t="s">
        <v>155</v>
      </c>
      <c r="D731" s="42">
        <v>6</v>
      </c>
      <c r="E731" s="41">
        <v>3.0851501439736734E-4</v>
      </c>
    </row>
    <row r="732" spans="2:5" ht="15" customHeight="1">
      <c r="B732" s="92"/>
      <c r="C732" s="43" t="s">
        <v>153</v>
      </c>
      <c r="D732" s="42">
        <v>3</v>
      </c>
      <c r="E732" s="41">
        <v>1.5425750719868367E-4</v>
      </c>
    </row>
    <row r="733" spans="2:5" ht="15" customHeight="1">
      <c r="B733" s="92"/>
      <c r="C733" s="43" t="s">
        <v>150</v>
      </c>
      <c r="D733" s="42">
        <v>1</v>
      </c>
      <c r="E733" s="41">
        <v>5.1419169066227893E-5</v>
      </c>
    </row>
    <row r="734" spans="2:5" ht="15" customHeight="1">
      <c r="B734" s="92"/>
      <c r="C734" s="43" t="s">
        <v>138</v>
      </c>
      <c r="D734" s="42">
        <v>1</v>
      </c>
      <c r="E734" s="41">
        <v>5.1419169066227893E-5</v>
      </c>
    </row>
    <row r="735" spans="2:5" ht="15" customHeight="1">
      <c r="B735" s="93"/>
      <c r="C735" s="40" t="s">
        <v>20</v>
      </c>
      <c r="D735" s="39">
        <v>34</v>
      </c>
      <c r="E735" s="38">
        <v>1.7482517482517483E-3</v>
      </c>
    </row>
    <row r="736" spans="2:5" ht="15" customHeight="1">
      <c r="B736" s="91" t="s">
        <v>90</v>
      </c>
      <c r="C736" s="43" t="s">
        <v>139</v>
      </c>
      <c r="D736" s="42">
        <v>1</v>
      </c>
      <c r="E736" s="41">
        <v>5.1419169066227893E-5</v>
      </c>
    </row>
    <row r="737" spans="2:5" ht="15" customHeight="1">
      <c r="B737" s="92"/>
      <c r="C737" s="43" t="s">
        <v>148</v>
      </c>
      <c r="D737" s="42">
        <v>1</v>
      </c>
      <c r="E737" s="41">
        <v>5.1419169066227893E-5</v>
      </c>
    </row>
    <row r="738" spans="2:5" ht="15" customHeight="1">
      <c r="B738" s="92"/>
      <c r="C738" s="43" t="s">
        <v>157</v>
      </c>
      <c r="D738" s="42">
        <v>1</v>
      </c>
      <c r="E738" s="41">
        <v>5.1419169066227893E-5</v>
      </c>
    </row>
    <row r="739" spans="2:5" ht="15" customHeight="1">
      <c r="B739" s="92"/>
      <c r="C739" s="43" t="s">
        <v>120</v>
      </c>
      <c r="D739" s="42">
        <v>1</v>
      </c>
      <c r="E739" s="41">
        <v>5.1419169066227893E-5</v>
      </c>
    </row>
    <row r="740" spans="2:5" ht="15" customHeight="1">
      <c r="B740" s="92"/>
      <c r="C740" s="43" t="s">
        <v>158</v>
      </c>
      <c r="D740" s="42">
        <v>1</v>
      </c>
      <c r="E740" s="41">
        <v>5.1419169066227893E-5</v>
      </c>
    </row>
    <row r="741" spans="2:5" ht="15" customHeight="1">
      <c r="B741" s="93"/>
      <c r="C741" s="40" t="s">
        <v>20</v>
      </c>
      <c r="D741" s="39">
        <v>5</v>
      </c>
      <c r="E741" s="38">
        <v>2.5709584533113944E-4</v>
      </c>
    </row>
    <row r="742" spans="2:5" ht="15" customHeight="1">
      <c r="B742" s="91" t="s">
        <v>74</v>
      </c>
      <c r="C742" s="43" t="s">
        <v>136</v>
      </c>
      <c r="D742" s="42">
        <v>1</v>
      </c>
      <c r="E742" s="41">
        <v>5.1419169066227893E-5</v>
      </c>
    </row>
    <row r="743" spans="2:5" ht="15" customHeight="1">
      <c r="B743" s="92"/>
      <c r="C743" s="43" t="s">
        <v>157</v>
      </c>
      <c r="D743" s="42">
        <v>1</v>
      </c>
      <c r="E743" s="41">
        <v>5.1419169066227893E-5</v>
      </c>
    </row>
    <row r="744" spans="2:5" ht="15" customHeight="1">
      <c r="B744" s="92"/>
      <c r="C744" s="43" t="s">
        <v>158</v>
      </c>
      <c r="D744" s="42">
        <v>1</v>
      </c>
      <c r="E744" s="41">
        <v>5.1419169066227893E-5</v>
      </c>
    </row>
    <row r="745" spans="2:5" ht="15" customHeight="1">
      <c r="B745" s="92"/>
      <c r="C745" s="43" t="s">
        <v>154</v>
      </c>
      <c r="D745" s="42">
        <v>1</v>
      </c>
      <c r="E745" s="41">
        <v>5.1419169066227893E-5</v>
      </c>
    </row>
    <row r="746" spans="2:5" ht="15" customHeight="1">
      <c r="B746" s="92"/>
      <c r="C746" s="43" t="s">
        <v>155</v>
      </c>
      <c r="D746" s="42">
        <v>2</v>
      </c>
      <c r="E746" s="41">
        <v>1.0283833813245579E-4</v>
      </c>
    </row>
    <row r="747" spans="2:5" ht="15" customHeight="1">
      <c r="B747" s="93"/>
      <c r="C747" s="40" t="s">
        <v>20</v>
      </c>
      <c r="D747" s="39">
        <v>6</v>
      </c>
      <c r="E747" s="38">
        <v>3.0851501439736734E-4</v>
      </c>
    </row>
    <row r="748" spans="2:5" ht="15" customHeight="1">
      <c r="B748" s="91" t="s">
        <v>108</v>
      </c>
      <c r="C748" s="43" t="s">
        <v>139</v>
      </c>
      <c r="D748" s="42">
        <v>8</v>
      </c>
      <c r="E748" s="41">
        <v>4.1135335252982314E-4</v>
      </c>
    </row>
    <row r="749" spans="2:5" ht="15" customHeight="1">
      <c r="B749" s="92"/>
      <c r="C749" s="43" t="s">
        <v>143</v>
      </c>
      <c r="D749" s="42">
        <v>13</v>
      </c>
      <c r="E749" s="41">
        <v>6.6844919786096253E-4</v>
      </c>
    </row>
    <row r="750" spans="2:5" ht="15" customHeight="1">
      <c r="B750" s="92"/>
      <c r="C750" s="43" t="s">
        <v>146</v>
      </c>
      <c r="D750" s="42">
        <v>15</v>
      </c>
      <c r="E750" s="41">
        <v>7.7128753599341833E-4</v>
      </c>
    </row>
    <row r="751" spans="2:5" ht="15" customHeight="1">
      <c r="B751" s="92"/>
      <c r="C751" s="43" t="s">
        <v>130</v>
      </c>
      <c r="D751" s="42">
        <v>9</v>
      </c>
      <c r="E751" s="41">
        <v>4.6277252159605099E-4</v>
      </c>
    </row>
    <row r="752" spans="2:5" ht="15" customHeight="1">
      <c r="B752" s="92"/>
      <c r="C752" s="43" t="s">
        <v>135</v>
      </c>
      <c r="D752" s="42">
        <v>3</v>
      </c>
      <c r="E752" s="41">
        <v>1.5425750719868367E-4</v>
      </c>
    </row>
    <row r="753" spans="2:5" ht="15" customHeight="1">
      <c r="B753" s="92"/>
      <c r="C753" s="43" t="s">
        <v>118</v>
      </c>
      <c r="D753" s="42">
        <v>1</v>
      </c>
      <c r="E753" s="41">
        <v>5.1419169066227893E-5</v>
      </c>
    </row>
    <row r="754" spans="2:5" ht="15" customHeight="1">
      <c r="B754" s="92"/>
      <c r="C754" s="43" t="s">
        <v>152</v>
      </c>
      <c r="D754" s="42">
        <v>43</v>
      </c>
      <c r="E754" s="41">
        <v>2.2110242698477993E-3</v>
      </c>
    </row>
    <row r="755" spans="2:5" ht="15" customHeight="1">
      <c r="B755" s="92"/>
      <c r="C755" s="43" t="s">
        <v>119</v>
      </c>
      <c r="D755" s="42">
        <v>1</v>
      </c>
      <c r="E755" s="41">
        <v>5.1419169066227893E-5</v>
      </c>
    </row>
    <row r="756" spans="2:5" ht="15" customHeight="1">
      <c r="B756" s="92"/>
      <c r="C756" s="43" t="s">
        <v>156</v>
      </c>
      <c r="D756" s="42">
        <v>98</v>
      </c>
      <c r="E756" s="41">
        <v>5.0390785684903336E-3</v>
      </c>
    </row>
    <row r="757" spans="2:5" ht="15" customHeight="1">
      <c r="B757" s="92"/>
      <c r="C757" s="43" t="s">
        <v>128</v>
      </c>
      <c r="D757" s="42">
        <v>2</v>
      </c>
      <c r="E757" s="41">
        <v>1.0283833813245579E-4</v>
      </c>
    </row>
    <row r="758" spans="2:5" ht="15" customHeight="1">
      <c r="B758" s="92"/>
      <c r="C758" s="43" t="s">
        <v>148</v>
      </c>
      <c r="D758" s="42">
        <v>30</v>
      </c>
      <c r="E758" s="41">
        <v>1.5425750719868367E-3</v>
      </c>
    </row>
    <row r="759" spans="2:5" ht="15" customHeight="1">
      <c r="B759" s="92"/>
      <c r="C759" s="43" t="s">
        <v>126</v>
      </c>
      <c r="D759" s="42">
        <v>3</v>
      </c>
      <c r="E759" s="41">
        <v>1.5425750719868367E-4</v>
      </c>
    </row>
    <row r="760" spans="2:5" ht="15" customHeight="1">
      <c r="B760" s="92"/>
      <c r="C760" s="43" t="s">
        <v>124</v>
      </c>
      <c r="D760" s="42">
        <v>1</v>
      </c>
      <c r="E760" s="41">
        <v>5.1419169066227893E-5</v>
      </c>
    </row>
    <row r="761" spans="2:5" ht="15" customHeight="1">
      <c r="B761" s="92"/>
      <c r="C761" s="43" t="s">
        <v>145</v>
      </c>
      <c r="D761" s="42">
        <v>1</v>
      </c>
      <c r="E761" s="41">
        <v>5.1419169066227893E-5</v>
      </c>
    </row>
    <row r="762" spans="2:5" ht="15" customHeight="1">
      <c r="B762" s="92"/>
      <c r="C762" s="43" t="s">
        <v>137</v>
      </c>
      <c r="D762" s="42">
        <v>2</v>
      </c>
      <c r="E762" s="41">
        <v>1.0283833813245579E-4</v>
      </c>
    </row>
    <row r="763" spans="2:5" ht="15" customHeight="1">
      <c r="B763" s="92"/>
      <c r="C763" s="43" t="s">
        <v>133</v>
      </c>
      <c r="D763" s="42">
        <v>3</v>
      </c>
      <c r="E763" s="41">
        <v>1.5425750719868367E-4</v>
      </c>
    </row>
    <row r="764" spans="2:5" ht="15" customHeight="1">
      <c r="B764" s="92"/>
      <c r="C764" s="43" t="s">
        <v>132</v>
      </c>
      <c r="D764" s="42">
        <v>2</v>
      </c>
      <c r="E764" s="41">
        <v>1.0283833813245579E-4</v>
      </c>
    </row>
    <row r="765" spans="2:5" ht="15" customHeight="1">
      <c r="B765" s="92"/>
      <c r="C765" s="43" t="s">
        <v>140</v>
      </c>
      <c r="D765" s="42">
        <v>11</v>
      </c>
      <c r="E765" s="41">
        <v>5.6561085972850684E-4</v>
      </c>
    </row>
    <row r="766" spans="2:5" ht="15" customHeight="1">
      <c r="B766" s="92"/>
      <c r="C766" s="43" t="s">
        <v>159</v>
      </c>
      <c r="D766" s="42">
        <v>80</v>
      </c>
      <c r="E766" s="41">
        <v>4.1135335252982311E-3</v>
      </c>
    </row>
    <row r="767" spans="2:5" ht="15" customHeight="1">
      <c r="B767" s="92"/>
      <c r="C767" s="43" t="s">
        <v>125</v>
      </c>
      <c r="D767" s="42">
        <v>2</v>
      </c>
      <c r="E767" s="41">
        <v>1.0283833813245579E-4</v>
      </c>
    </row>
    <row r="768" spans="2:5" ht="15" customHeight="1">
      <c r="B768" s="92"/>
      <c r="C768" s="43" t="s">
        <v>147</v>
      </c>
      <c r="D768" s="42">
        <v>2</v>
      </c>
      <c r="E768" s="41">
        <v>1.0283833813245579E-4</v>
      </c>
    </row>
    <row r="769" spans="2:5" ht="15" customHeight="1">
      <c r="B769" s="92"/>
      <c r="C769" s="43" t="s">
        <v>121</v>
      </c>
      <c r="D769" s="42">
        <v>2</v>
      </c>
      <c r="E769" s="41">
        <v>1.0283833813245579E-4</v>
      </c>
    </row>
    <row r="770" spans="2:5" ht="15" customHeight="1">
      <c r="B770" s="92"/>
      <c r="C770" s="43" t="s">
        <v>157</v>
      </c>
      <c r="D770" s="42">
        <v>29</v>
      </c>
      <c r="E770" s="41">
        <v>1.4911559029206088E-3</v>
      </c>
    </row>
    <row r="771" spans="2:5" ht="15" customHeight="1">
      <c r="B771" s="92"/>
      <c r="C771" s="43" t="s">
        <v>120</v>
      </c>
      <c r="D771" s="42">
        <v>4</v>
      </c>
      <c r="E771" s="41">
        <v>2.0567667626491157E-4</v>
      </c>
    </row>
    <row r="772" spans="2:5" ht="15" customHeight="1">
      <c r="B772" s="92"/>
      <c r="C772" s="43" t="s">
        <v>141</v>
      </c>
      <c r="D772" s="42">
        <v>17</v>
      </c>
      <c r="E772" s="41">
        <v>8.7412587412587413E-4</v>
      </c>
    </row>
    <row r="773" spans="2:5" ht="15" customHeight="1">
      <c r="B773" s="92"/>
      <c r="C773" s="43" t="s">
        <v>134</v>
      </c>
      <c r="D773" s="42">
        <v>2</v>
      </c>
      <c r="E773" s="41">
        <v>1.0283833813245579E-4</v>
      </c>
    </row>
    <row r="774" spans="2:5" ht="15" customHeight="1">
      <c r="B774" s="92"/>
      <c r="C774" s="43" t="s">
        <v>158</v>
      </c>
      <c r="D774" s="42">
        <v>52</v>
      </c>
      <c r="E774" s="41">
        <v>2.6737967914438501E-3</v>
      </c>
    </row>
    <row r="775" spans="2:5" ht="15" customHeight="1">
      <c r="B775" s="92"/>
      <c r="C775" s="43" t="s">
        <v>154</v>
      </c>
      <c r="D775" s="42">
        <v>23</v>
      </c>
      <c r="E775" s="41">
        <v>1.1826408885232415E-3</v>
      </c>
    </row>
    <row r="776" spans="2:5" ht="15" customHeight="1">
      <c r="B776" s="92"/>
      <c r="C776" s="43" t="s">
        <v>131</v>
      </c>
      <c r="D776" s="42">
        <v>5</v>
      </c>
      <c r="E776" s="41">
        <v>2.5709584533113944E-4</v>
      </c>
    </row>
    <row r="777" spans="2:5" ht="15" customHeight="1">
      <c r="B777" s="92"/>
      <c r="C777" s="43" t="s">
        <v>149</v>
      </c>
      <c r="D777" s="42">
        <v>12</v>
      </c>
      <c r="E777" s="41">
        <v>6.1703002879473468E-4</v>
      </c>
    </row>
    <row r="778" spans="2:5" ht="15" customHeight="1">
      <c r="B778" s="92"/>
      <c r="C778" s="43" t="s">
        <v>144</v>
      </c>
      <c r="D778" s="42">
        <v>8</v>
      </c>
      <c r="E778" s="41">
        <v>4.1135335252982314E-4</v>
      </c>
    </row>
    <row r="779" spans="2:5" ht="15" customHeight="1">
      <c r="B779" s="92"/>
      <c r="C779" s="43" t="s">
        <v>155</v>
      </c>
      <c r="D779" s="42">
        <v>95</v>
      </c>
      <c r="E779" s="41">
        <v>4.8848210612916498E-3</v>
      </c>
    </row>
    <row r="780" spans="2:5" ht="15" customHeight="1">
      <c r="B780" s="92"/>
      <c r="C780" s="43" t="s">
        <v>151</v>
      </c>
      <c r="D780" s="42">
        <v>47</v>
      </c>
      <c r="E780" s="41">
        <v>2.4167009461127107E-3</v>
      </c>
    </row>
    <row r="781" spans="2:5" ht="15" customHeight="1">
      <c r="B781" s="92"/>
      <c r="C781" s="43" t="s">
        <v>153</v>
      </c>
      <c r="D781" s="42">
        <v>13</v>
      </c>
      <c r="E781" s="41">
        <v>6.6844919786096253E-4</v>
      </c>
    </row>
    <row r="782" spans="2:5" ht="15" customHeight="1">
      <c r="B782" s="92"/>
      <c r="C782" s="43" t="s">
        <v>150</v>
      </c>
      <c r="D782" s="42">
        <v>20</v>
      </c>
      <c r="E782" s="41">
        <v>1.0283833813245578E-3</v>
      </c>
    </row>
    <row r="783" spans="2:5" ht="15" customHeight="1">
      <c r="B783" s="92"/>
      <c r="C783" s="43" t="s">
        <v>127</v>
      </c>
      <c r="D783" s="42">
        <v>2</v>
      </c>
      <c r="E783" s="41">
        <v>1.0283833813245579E-4</v>
      </c>
    </row>
    <row r="784" spans="2:5" ht="15" customHeight="1">
      <c r="B784" s="92"/>
      <c r="C784" s="43" t="s">
        <v>138</v>
      </c>
      <c r="D784" s="42">
        <v>8</v>
      </c>
      <c r="E784" s="41">
        <v>4.1135335252982314E-4</v>
      </c>
    </row>
    <row r="785" spans="2:5" ht="15" customHeight="1">
      <c r="B785" s="93"/>
      <c r="C785" s="40" t="s">
        <v>20</v>
      </c>
      <c r="D785" s="39">
        <v>669</v>
      </c>
      <c r="E785" s="38">
        <v>3.4399424105306456E-2</v>
      </c>
    </row>
    <row r="786" spans="2:5" ht="15" customHeight="1">
      <c r="B786" s="91" t="s">
        <v>100</v>
      </c>
      <c r="C786" s="43" t="s">
        <v>146</v>
      </c>
      <c r="D786" s="42">
        <v>1</v>
      </c>
      <c r="E786" s="41">
        <v>5.1419169066227893E-5</v>
      </c>
    </row>
    <row r="787" spans="2:5" ht="15" customHeight="1">
      <c r="B787" s="92"/>
      <c r="C787" s="43" t="s">
        <v>152</v>
      </c>
      <c r="D787" s="42">
        <v>1</v>
      </c>
      <c r="E787" s="41">
        <v>5.1419169066227893E-5</v>
      </c>
    </row>
    <row r="788" spans="2:5" ht="15" customHeight="1">
      <c r="B788" s="92"/>
      <c r="C788" s="43" t="s">
        <v>126</v>
      </c>
      <c r="D788" s="42">
        <v>2</v>
      </c>
      <c r="E788" s="41">
        <v>1.0283833813245579E-4</v>
      </c>
    </row>
    <row r="789" spans="2:5" ht="15" customHeight="1">
      <c r="B789" s="92"/>
      <c r="C789" s="43" t="s">
        <v>157</v>
      </c>
      <c r="D789" s="42">
        <v>2</v>
      </c>
      <c r="E789" s="41">
        <v>1.0283833813245579E-4</v>
      </c>
    </row>
    <row r="790" spans="2:5" ht="15" customHeight="1">
      <c r="B790" s="92"/>
      <c r="C790" s="43" t="s">
        <v>158</v>
      </c>
      <c r="D790" s="42">
        <v>1</v>
      </c>
      <c r="E790" s="41">
        <v>5.1419169066227893E-5</v>
      </c>
    </row>
    <row r="791" spans="2:5" ht="15" customHeight="1">
      <c r="B791" s="92"/>
      <c r="C791" s="43" t="s">
        <v>149</v>
      </c>
      <c r="D791" s="42">
        <v>3</v>
      </c>
      <c r="E791" s="41">
        <v>1.5425750719868367E-4</v>
      </c>
    </row>
    <row r="792" spans="2:5" ht="15" customHeight="1">
      <c r="B792" s="92"/>
      <c r="C792" s="43" t="s">
        <v>155</v>
      </c>
      <c r="D792" s="42">
        <v>8</v>
      </c>
      <c r="E792" s="41">
        <v>4.1135335252982314E-4</v>
      </c>
    </row>
    <row r="793" spans="2:5" ht="15" customHeight="1">
      <c r="B793" s="92"/>
      <c r="C793" s="43" t="s">
        <v>153</v>
      </c>
      <c r="D793" s="42">
        <v>1</v>
      </c>
      <c r="E793" s="41">
        <v>5.1419169066227893E-5</v>
      </c>
    </row>
    <row r="794" spans="2:5" ht="15" customHeight="1">
      <c r="B794" s="92"/>
      <c r="C794" s="43" t="s">
        <v>150</v>
      </c>
      <c r="D794" s="42">
        <v>2</v>
      </c>
      <c r="E794" s="41">
        <v>1.0283833813245579E-4</v>
      </c>
    </row>
    <row r="795" spans="2:5" ht="15" customHeight="1">
      <c r="B795" s="93"/>
      <c r="C795" s="40" t="s">
        <v>20</v>
      </c>
      <c r="D795" s="39">
        <v>21</v>
      </c>
      <c r="E795" s="38">
        <v>1.0798025503907856E-3</v>
      </c>
    </row>
    <row r="796" spans="2:5" ht="15" customHeight="1">
      <c r="B796" s="91" t="s">
        <v>85</v>
      </c>
      <c r="C796" s="43" t="s">
        <v>139</v>
      </c>
      <c r="D796" s="42">
        <v>1</v>
      </c>
      <c r="E796" s="41">
        <v>5.1419169066227893E-5</v>
      </c>
    </row>
    <row r="797" spans="2:5" ht="15" customHeight="1">
      <c r="B797" s="92"/>
      <c r="C797" s="43" t="s">
        <v>143</v>
      </c>
      <c r="D797" s="42">
        <v>1</v>
      </c>
      <c r="E797" s="41">
        <v>5.1419169066227893E-5</v>
      </c>
    </row>
    <row r="798" spans="2:5" ht="15" customHeight="1">
      <c r="B798" s="92"/>
      <c r="C798" s="43" t="s">
        <v>136</v>
      </c>
      <c r="D798" s="42">
        <v>1</v>
      </c>
      <c r="E798" s="41">
        <v>5.1419169066227893E-5</v>
      </c>
    </row>
    <row r="799" spans="2:5" ht="15" customHeight="1">
      <c r="B799" s="92"/>
      <c r="C799" s="43" t="s">
        <v>118</v>
      </c>
      <c r="D799" s="42">
        <v>1</v>
      </c>
      <c r="E799" s="41">
        <v>5.1419169066227893E-5</v>
      </c>
    </row>
    <row r="800" spans="2:5" ht="15" customHeight="1">
      <c r="B800" s="92"/>
      <c r="C800" s="43" t="s">
        <v>152</v>
      </c>
      <c r="D800" s="42">
        <v>1</v>
      </c>
      <c r="E800" s="41">
        <v>5.1419169066227893E-5</v>
      </c>
    </row>
    <row r="801" spans="2:5" ht="15" customHeight="1">
      <c r="B801" s="92"/>
      <c r="C801" s="43" t="s">
        <v>156</v>
      </c>
      <c r="D801" s="42">
        <v>10</v>
      </c>
      <c r="E801" s="41">
        <v>5.1419169066227888E-4</v>
      </c>
    </row>
    <row r="802" spans="2:5" ht="15" customHeight="1">
      <c r="B802" s="92"/>
      <c r="C802" s="43" t="s">
        <v>128</v>
      </c>
      <c r="D802" s="42">
        <v>1</v>
      </c>
      <c r="E802" s="41">
        <v>5.1419169066227893E-5</v>
      </c>
    </row>
    <row r="803" spans="2:5" ht="15" customHeight="1">
      <c r="B803" s="92"/>
      <c r="C803" s="43" t="s">
        <v>145</v>
      </c>
      <c r="D803" s="42">
        <v>1</v>
      </c>
      <c r="E803" s="41">
        <v>5.1419169066227893E-5</v>
      </c>
    </row>
    <row r="804" spans="2:5" ht="15" customHeight="1">
      <c r="B804" s="92"/>
      <c r="C804" s="43" t="s">
        <v>140</v>
      </c>
      <c r="D804" s="42">
        <v>3</v>
      </c>
      <c r="E804" s="41">
        <v>1.5425750719868367E-4</v>
      </c>
    </row>
    <row r="805" spans="2:5" ht="15" customHeight="1">
      <c r="B805" s="92"/>
      <c r="C805" s="43" t="s">
        <v>159</v>
      </c>
      <c r="D805" s="42">
        <v>21</v>
      </c>
      <c r="E805" s="41">
        <v>1.0798025503907856E-3</v>
      </c>
    </row>
    <row r="806" spans="2:5" ht="15" customHeight="1">
      <c r="B806" s="92"/>
      <c r="C806" s="43" t="s">
        <v>147</v>
      </c>
      <c r="D806" s="42">
        <v>1</v>
      </c>
      <c r="E806" s="41">
        <v>5.1419169066227893E-5</v>
      </c>
    </row>
    <row r="807" spans="2:5" ht="15" customHeight="1">
      <c r="B807" s="92"/>
      <c r="C807" s="43" t="s">
        <v>157</v>
      </c>
      <c r="D807" s="42">
        <v>6</v>
      </c>
      <c r="E807" s="41">
        <v>3.0851501439736734E-4</v>
      </c>
    </row>
    <row r="808" spans="2:5" ht="15" customHeight="1">
      <c r="B808" s="92"/>
      <c r="C808" s="43" t="s">
        <v>141</v>
      </c>
      <c r="D808" s="42">
        <v>1</v>
      </c>
      <c r="E808" s="41">
        <v>5.1419169066227893E-5</v>
      </c>
    </row>
    <row r="809" spans="2:5" ht="15" customHeight="1">
      <c r="B809" s="92"/>
      <c r="C809" s="43" t="s">
        <v>158</v>
      </c>
      <c r="D809" s="42">
        <v>19</v>
      </c>
      <c r="E809" s="41">
        <v>9.7696421225832992E-4</v>
      </c>
    </row>
    <row r="810" spans="2:5" ht="15" customHeight="1">
      <c r="B810" s="92"/>
      <c r="C810" s="43" t="s">
        <v>154</v>
      </c>
      <c r="D810" s="42">
        <v>4</v>
      </c>
      <c r="E810" s="41">
        <v>2.0567667626491157E-4</v>
      </c>
    </row>
    <row r="811" spans="2:5" ht="15" customHeight="1">
      <c r="B811" s="92"/>
      <c r="C811" s="43" t="s">
        <v>149</v>
      </c>
      <c r="D811" s="42">
        <v>13</v>
      </c>
      <c r="E811" s="41">
        <v>6.6844919786096253E-4</v>
      </c>
    </row>
    <row r="812" spans="2:5" ht="15" customHeight="1">
      <c r="B812" s="92"/>
      <c r="C812" s="43" t="s">
        <v>155</v>
      </c>
      <c r="D812" s="42">
        <v>6</v>
      </c>
      <c r="E812" s="41">
        <v>3.0851501439736734E-4</v>
      </c>
    </row>
    <row r="813" spans="2:5" ht="15" customHeight="1">
      <c r="B813" s="92"/>
      <c r="C813" s="43" t="s">
        <v>151</v>
      </c>
      <c r="D813" s="42">
        <v>5</v>
      </c>
      <c r="E813" s="41">
        <v>2.5709584533113944E-4</v>
      </c>
    </row>
    <row r="814" spans="2:5" ht="15" customHeight="1">
      <c r="B814" s="92"/>
      <c r="C814" s="43" t="s">
        <v>153</v>
      </c>
      <c r="D814" s="42">
        <v>9</v>
      </c>
      <c r="E814" s="41">
        <v>4.6277252159605099E-4</v>
      </c>
    </row>
    <row r="815" spans="2:5" ht="15" customHeight="1">
      <c r="B815" s="92"/>
      <c r="C815" s="43" t="s">
        <v>150</v>
      </c>
      <c r="D815" s="42">
        <v>3</v>
      </c>
      <c r="E815" s="41">
        <v>1.5425750719868367E-4</v>
      </c>
    </row>
    <row r="816" spans="2:5" ht="15" customHeight="1">
      <c r="B816" s="92"/>
      <c r="C816" s="43" t="s">
        <v>138</v>
      </c>
      <c r="D816" s="42">
        <v>2</v>
      </c>
      <c r="E816" s="41">
        <v>1.0283833813245579E-4</v>
      </c>
    </row>
    <row r="817" spans="2:5" ht="15" customHeight="1">
      <c r="B817" s="93"/>
      <c r="C817" s="40" t="s">
        <v>20</v>
      </c>
      <c r="D817" s="39">
        <v>110</v>
      </c>
      <c r="E817" s="38">
        <v>5.6561085972850677E-3</v>
      </c>
    </row>
    <row r="818" spans="2:5" ht="15" customHeight="1">
      <c r="B818" s="91" t="s">
        <v>87</v>
      </c>
      <c r="C818" s="43" t="s">
        <v>143</v>
      </c>
      <c r="D818" s="42">
        <v>1</v>
      </c>
      <c r="E818" s="41">
        <v>5.1419169066227893E-5</v>
      </c>
    </row>
    <row r="819" spans="2:5" ht="15" customHeight="1">
      <c r="B819" s="92"/>
      <c r="C819" s="43" t="s">
        <v>146</v>
      </c>
      <c r="D819" s="42">
        <v>1</v>
      </c>
      <c r="E819" s="41">
        <v>5.1419169066227893E-5</v>
      </c>
    </row>
    <row r="820" spans="2:5" ht="15" customHeight="1">
      <c r="B820" s="92"/>
      <c r="C820" s="43" t="s">
        <v>152</v>
      </c>
      <c r="D820" s="42">
        <v>3</v>
      </c>
      <c r="E820" s="41">
        <v>1.5425750719868367E-4</v>
      </c>
    </row>
    <row r="821" spans="2:5" ht="15" customHeight="1">
      <c r="B821" s="92"/>
      <c r="C821" s="43" t="s">
        <v>148</v>
      </c>
      <c r="D821" s="42">
        <v>2</v>
      </c>
      <c r="E821" s="41">
        <v>1.0283833813245579E-4</v>
      </c>
    </row>
    <row r="822" spans="2:5" ht="15" customHeight="1">
      <c r="B822" s="92"/>
      <c r="C822" s="43" t="s">
        <v>145</v>
      </c>
      <c r="D822" s="42">
        <v>1</v>
      </c>
      <c r="E822" s="41">
        <v>5.1419169066227893E-5</v>
      </c>
    </row>
    <row r="823" spans="2:5" ht="15" customHeight="1">
      <c r="B823" s="92"/>
      <c r="C823" s="43" t="s">
        <v>159</v>
      </c>
      <c r="D823" s="42">
        <v>4</v>
      </c>
      <c r="E823" s="41">
        <v>2.0567667626491157E-4</v>
      </c>
    </row>
    <row r="824" spans="2:5" ht="15" customHeight="1">
      <c r="B824" s="92"/>
      <c r="C824" s="43" t="s">
        <v>157</v>
      </c>
      <c r="D824" s="42">
        <v>1</v>
      </c>
      <c r="E824" s="41">
        <v>5.1419169066227893E-5</v>
      </c>
    </row>
    <row r="825" spans="2:5" ht="15" customHeight="1">
      <c r="B825" s="92"/>
      <c r="C825" s="43" t="s">
        <v>158</v>
      </c>
      <c r="D825" s="42">
        <v>9</v>
      </c>
      <c r="E825" s="41">
        <v>4.6277252159605099E-4</v>
      </c>
    </row>
    <row r="826" spans="2:5" ht="15" customHeight="1">
      <c r="B826" s="92"/>
      <c r="C826" s="43" t="s">
        <v>154</v>
      </c>
      <c r="D826" s="42">
        <v>1</v>
      </c>
      <c r="E826" s="41">
        <v>5.1419169066227893E-5</v>
      </c>
    </row>
    <row r="827" spans="2:5" ht="15" customHeight="1">
      <c r="B827" s="92"/>
      <c r="C827" s="43" t="s">
        <v>149</v>
      </c>
      <c r="D827" s="42">
        <v>1</v>
      </c>
      <c r="E827" s="41">
        <v>5.1419169066227893E-5</v>
      </c>
    </row>
    <row r="828" spans="2:5" ht="15" customHeight="1">
      <c r="B828" s="92"/>
      <c r="C828" s="43" t="s">
        <v>155</v>
      </c>
      <c r="D828" s="42">
        <v>11</v>
      </c>
      <c r="E828" s="41">
        <v>5.6561085972850684E-4</v>
      </c>
    </row>
    <row r="829" spans="2:5" ht="15" customHeight="1">
      <c r="B829" s="92"/>
      <c r="C829" s="43" t="s">
        <v>151</v>
      </c>
      <c r="D829" s="42">
        <v>1</v>
      </c>
      <c r="E829" s="41">
        <v>5.1419169066227893E-5</v>
      </c>
    </row>
    <row r="830" spans="2:5" ht="15" customHeight="1">
      <c r="B830" s="92"/>
      <c r="C830" s="43" t="s">
        <v>150</v>
      </c>
      <c r="D830" s="42">
        <v>3</v>
      </c>
      <c r="E830" s="41">
        <v>1.5425750719868367E-4</v>
      </c>
    </row>
    <row r="831" spans="2:5" ht="15" customHeight="1">
      <c r="B831" s="93"/>
      <c r="C831" s="40" t="s">
        <v>20</v>
      </c>
      <c r="D831" s="39">
        <v>39</v>
      </c>
      <c r="E831" s="38">
        <v>2.0053475935828879E-3</v>
      </c>
    </row>
    <row r="832" spans="2:5" ht="15" customHeight="1">
      <c r="B832" s="91" t="s">
        <v>95</v>
      </c>
      <c r="C832" s="43" t="s">
        <v>139</v>
      </c>
      <c r="D832" s="42">
        <v>4</v>
      </c>
      <c r="E832" s="41">
        <v>2.0567667626491157E-4</v>
      </c>
    </row>
    <row r="833" spans="2:5" ht="15" customHeight="1">
      <c r="B833" s="92"/>
      <c r="C833" s="43" t="s">
        <v>143</v>
      </c>
      <c r="D833" s="42">
        <v>5</v>
      </c>
      <c r="E833" s="41">
        <v>2.5709584533113944E-4</v>
      </c>
    </row>
    <row r="834" spans="2:5" ht="15" customHeight="1">
      <c r="B834" s="92"/>
      <c r="C834" s="43" t="s">
        <v>146</v>
      </c>
      <c r="D834" s="42">
        <v>5</v>
      </c>
      <c r="E834" s="41">
        <v>2.5709584533113944E-4</v>
      </c>
    </row>
    <row r="835" spans="2:5" ht="15" customHeight="1">
      <c r="B835" s="92"/>
      <c r="C835" s="43" t="s">
        <v>136</v>
      </c>
      <c r="D835" s="42">
        <v>1</v>
      </c>
      <c r="E835" s="41">
        <v>5.1419169066227893E-5</v>
      </c>
    </row>
    <row r="836" spans="2:5" ht="15" customHeight="1">
      <c r="B836" s="92"/>
      <c r="C836" s="43" t="s">
        <v>135</v>
      </c>
      <c r="D836" s="42">
        <v>2</v>
      </c>
      <c r="E836" s="41">
        <v>1.0283833813245579E-4</v>
      </c>
    </row>
    <row r="837" spans="2:5" ht="15" customHeight="1">
      <c r="B837" s="92"/>
      <c r="C837" s="43" t="s">
        <v>142</v>
      </c>
      <c r="D837" s="42">
        <v>1</v>
      </c>
      <c r="E837" s="41">
        <v>5.1419169066227893E-5</v>
      </c>
    </row>
    <row r="838" spans="2:5" ht="15" customHeight="1">
      <c r="B838" s="92"/>
      <c r="C838" s="43" t="s">
        <v>152</v>
      </c>
      <c r="D838" s="42">
        <v>21</v>
      </c>
      <c r="E838" s="41">
        <v>1.0798025503907856E-3</v>
      </c>
    </row>
    <row r="839" spans="2:5" ht="15" customHeight="1">
      <c r="B839" s="92"/>
      <c r="C839" s="43" t="s">
        <v>119</v>
      </c>
      <c r="D839" s="42">
        <v>4</v>
      </c>
      <c r="E839" s="41">
        <v>2.0567667626491157E-4</v>
      </c>
    </row>
    <row r="840" spans="2:5" ht="15" customHeight="1">
      <c r="B840" s="92"/>
      <c r="C840" s="43" t="s">
        <v>156</v>
      </c>
      <c r="D840" s="42">
        <v>44</v>
      </c>
      <c r="E840" s="41">
        <v>2.2624434389140274E-3</v>
      </c>
    </row>
    <row r="841" spans="2:5" ht="15" customHeight="1">
      <c r="B841" s="92"/>
      <c r="C841" s="43" t="s">
        <v>128</v>
      </c>
      <c r="D841" s="42">
        <v>2</v>
      </c>
      <c r="E841" s="41">
        <v>1.0283833813245579E-4</v>
      </c>
    </row>
    <row r="842" spans="2:5" ht="15" customHeight="1">
      <c r="B842" s="92"/>
      <c r="C842" s="43" t="s">
        <v>148</v>
      </c>
      <c r="D842" s="42">
        <v>13</v>
      </c>
      <c r="E842" s="41">
        <v>6.6844919786096253E-4</v>
      </c>
    </row>
    <row r="843" spans="2:5" ht="15" customHeight="1">
      <c r="B843" s="92"/>
      <c r="C843" s="43" t="s">
        <v>126</v>
      </c>
      <c r="D843" s="42">
        <v>1</v>
      </c>
      <c r="E843" s="41">
        <v>5.1419169066227893E-5</v>
      </c>
    </row>
    <row r="844" spans="2:5" ht="15" customHeight="1">
      <c r="B844" s="92"/>
      <c r="C844" s="43" t="s">
        <v>124</v>
      </c>
      <c r="D844" s="42">
        <v>5</v>
      </c>
      <c r="E844" s="41">
        <v>2.5709584533113944E-4</v>
      </c>
    </row>
    <row r="845" spans="2:5" ht="15" customHeight="1">
      <c r="B845" s="92"/>
      <c r="C845" s="43" t="s">
        <v>145</v>
      </c>
      <c r="D845" s="42">
        <v>4</v>
      </c>
      <c r="E845" s="41">
        <v>2.0567667626491157E-4</v>
      </c>
    </row>
    <row r="846" spans="2:5" ht="15" customHeight="1">
      <c r="B846" s="92"/>
      <c r="C846" s="43" t="s">
        <v>137</v>
      </c>
      <c r="D846" s="42">
        <v>10</v>
      </c>
      <c r="E846" s="41">
        <v>5.1419169066227888E-4</v>
      </c>
    </row>
    <row r="847" spans="2:5" ht="15" customHeight="1">
      <c r="B847" s="92"/>
      <c r="C847" s="43" t="s">
        <v>133</v>
      </c>
      <c r="D847" s="42">
        <v>5</v>
      </c>
      <c r="E847" s="41">
        <v>2.5709584533113944E-4</v>
      </c>
    </row>
    <row r="848" spans="2:5" ht="15" customHeight="1">
      <c r="B848" s="92"/>
      <c r="C848" s="43" t="s">
        <v>132</v>
      </c>
      <c r="D848" s="42">
        <v>4</v>
      </c>
      <c r="E848" s="41">
        <v>2.0567667626491157E-4</v>
      </c>
    </row>
    <row r="849" spans="2:5" ht="15" customHeight="1">
      <c r="B849" s="92"/>
      <c r="C849" s="43" t="s">
        <v>140</v>
      </c>
      <c r="D849" s="42">
        <v>3</v>
      </c>
      <c r="E849" s="41">
        <v>1.5425750719868367E-4</v>
      </c>
    </row>
    <row r="850" spans="2:5" ht="15" customHeight="1">
      <c r="B850" s="92"/>
      <c r="C850" s="43" t="s">
        <v>123</v>
      </c>
      <c r="D850" s="42">
        <v>1</v>
      </c>
      <c r="E850" s="41">
        <v>5.1419169066227893E-5</v>
      </c>
    </row>
    <row r="851" spans="2:5" ht="15" customHeight="1">
      <c r="B851" s="92"/>
      <c r="C851" s="43" t="s">
        <v>159</v>
      </c>
      <c r="D851" s="42">
        <v>101</v>
      </c>
      <c r="E851" s="41">
        <v>5.1933360756890165E-3</v>
      </c>
    </row>
    <row r="852" spans="2:5" ht="15" customHeight="1">
      <c r="B852" s="92"/>
      <c r="C852" s="43" t="s">
        <v>125</v>
      </c>
      <c r="D852" s="42">
        <v>1</v>
      </c>
      <c r="E852" s="41">
        <v>5.1419169066227893E-5</v>
      </c>
    </row>
    <row r="853" spans="2:5" ht="15" customHeight="1">
      <c r="B853" s="92"/>
      <c r="C853" s="43" t="s">
        <v>129</v>
      </c>
      <c r="D853" s="42">
        <v>2</v>
      </c>
      <c r="E853" s="41">
        <v>1.0283833813245579E-4</v>
      </c>
    </row>
    <row r="854" spans="2:5" ht="15" customHeight="1">
      <c r="B854" s="92"/>
      <c r="C854" s="43" t="s">
        <v>147</v>
      </c>
      <c r="D854" s="42">
        <v>2</v>
      </c>
      <c r="E854" s="41">
        <v>1.0283833813245579E-4</v>
      </c>
    </row>
    <row r="855" spans="2:5" ht="15" customHeight="1">
      <c r="B855" s="92"/>
      <c r="C855" s="43" t="s">
        <v>157</v>
      </c>
      <c r="D855" s="42">
        <v>301</v>
      </c>
      <c r="E855" s="41">
        <v>1.5477169888934595E-2</v>
      </c>
    </row>
    <row r="856" spans="2:5" ht="15" customHeight="1">
      <c r="B856" s="92"/>
      <c r="C856" s="43" t="s">
        <v>141</v>
      </c>
      <c r="D856" s="42">
        <v>7</v>
      </c>
      <c r="E856" s="41">
        <v>3.5993418346359524E-4</v>
      </c>
    </row>
    <row r="857" spans="2:5" ht="15" customHeight="1">
      <c r="B857" s="92"/>
      <c r="C857" s="43" t="s">
        <v>134</v>
      </c>
      <c r="D857" s="42">
        <v>4</v>
      </c>
      <c r="E857" s="41">
        <v>2.0567667626491157E-4</v>
      </c>
    </row>
    <row r="858" spans="2:5" ht="15" customHeight="1">
      <c r="B858" s="92"/>
      <c r="C858" s="43" t="s">
        <v>122</v>
      </c>
      <c r="D858" s="42">
        <v>4</v>
      </c>
      <c r="E858" s="41">
        <v>2.0567667626491157E-4</v>
      </c>
    </row>
    <row r="859" spans="2:5" ht="15" customHeight="1">
      <c r="B859" s="92"/>
      <c r="C859" s="43" t="s">
        <v>158</v>
      </c>
      <c r="D859" s="42">
        <v>68</v>
      </c>
      <c r="E859" s="41">
        <v>3.4965034965034965E-3</v>
      </c>
    </row>
    <row r="860" spans="2:5" ht="15" customHeight="1">
      <c r="B860" s="92"/>
      <c r="C860" s="43" t="s">
        <v>154</v>
      </c>
      <c r="D860" s="42">
        <v>28</v>
      </c>
      <c r="E860" s="41">
        <v>1.439736733854381E-3</v>
      </c>
    </row>
    <row r="861" spans="2:5" ht="15" customHeight="1">
      <c r="B861" s="92"/>
      <c r="C861" s="43" t="s">
        <v>131</v>
      </c>
      <c r="D861" s="42">
        <v>2</v>
      </c>
      <c r="E861" s="41">
        <v>1.0283833813245579E-4</v>
      </c>
    </row>
    <row r="862" spans="2:5" ht="15" customHeight="1">
      <c r="B862" s="92"/>
      <c r="C862" s="43" t="s">
        <v>149</v>
      </c>
      <c r="D862" s="42">
        <v>21</v>
      </c>
      <c r="E862" s="41">
        <v>1.0798025503907856E-3</v>
      </c>
    </row>
    <row r="863" spans="2:5" ht="15" customHeight="1">
      <c r="B863" s="92"/>
      <c r="C863" s="43" t="s">
        <v>144</v>
      </c>
      <c r="D863" s="42">
        <v>3</v>
      </c>
      <c r="E863" s="41">
        <v>1.5425750719868367E-4</v>
      </c>
    </row>
    <row r="864" spans="2:5" ht="15" customHeight="1">
      <c r="B864" s="92"/>
      <c r="C864" s="43" t="s">
        <v>155</v>
      </c>
      <c r="D864" s="42">
        <v>73</v>
      </c>
      <c r="E864" s="41">
        <v>3.7535993418346359E-3</v>
      </c>
    </row>
    <row r="865" spans="2:5" ht="15" customHeight="1">
      <c r="B865" s="92"/>
      <c r="C865" s="43" t="s">
        <v>151</v>
      </c>
      <c r="D865" s="42">
        <v>19</v>
      </c>
      <c r="E865" s="41">
        <v>9.7696421225832992E-4</v>
      </c>
    </row>
    <row r="866" spans="2:5" ht="15" customHeight="1">
      <c r="B866" s="92"/>
      <c r="C866" s="43" t="s">
        <v>153</v>
      </c>
      <c r="D866" s="42">
        <v>28</v>
      </c>
      <c r="E866" s="41">
        <v>1.439736733854381E-3</v>
      </c>
    </row>
    <row r="867" spans="2:5" ht="15" customHeight="1">
      <c r="B867" s="92"/>
      <c r="C867" s="43" t="s">
        <v>150</v>
      </c>
      <c r="D867" s="42">
        <v>39</v>
      </c>
      <c r="E867" s="41">
        <v>2.0053475935828879E-3</v>
      </c>
    </row>
    <row r="868" spans="2:5" ht="15" customHeight="1">
      <c r="B868" s="92"/>
      <c r="C868" s="43" t="s">
        <v>127</v>
      </c>
      <c r="D868" s="42">
        <v>3</v>
      </c>
      <c r="E868" s="41">
        <v>1.5425750719868367E-4</v>
      </c>
    </row>
    <row r="869" spans="2:5" ht="15" customHeight="1">
      <c r="B869" s="92"/>
      <c r="C869" s="43" t="s">
        <v>138</v>
      </c>
      <c r="D869" s="42">
        <v>1</v>
      </c>
      <c r="E869" s="41">
        <v>5.1419169066227893E-5</v>
      </c>
    </row>
    <row r="870" spans="2:5" ht="15" customHeight="1">
      <c r="B870" s="93"/>
      <c r="C870" s="40" t="s">
        <v>20</v>
      </c>
      <c r="D870" s="39">
        <v>842</v>
      </c>
      <c r="E870" s="38">
        <v>4.3294940353763883E-2</v>
      </c>
    </row>
    <row r="871" spans="2:5" ht="15" customHeight="1">
      <c r="B871" s="91" t="s">
        <v>107</v>
      </c>
      <c r="C871" s="43" t="s">
        <v>152</v>
      </c>
      <c r="D871" s="42">
        <v>3</v>
      </c>
      <c r="E871" s="41">
        <v>1.5425750719868367E-4</v>
      </c>
    </row>
    <row r="872" spans="2:5" ht="15" customHeight="1">
      <c r="B872" s="92"/>
      <c r="C872" s="43" t="s">
        <v>156</v>
      </c>
      <c r="D872" s="42">
        <v>1</v>
      </c>
      <c r="E872" s="41">
        <v>5.1419169066227893E-5</v>
      </c>
    </row>
    <row r="873" spans="2:5" ht="15" customHeight="1">
      <c r="B873" s="92"/>
      <c r="C873" s="43" t="s">
        <v>148</v>
      </c>
      <c r="D873" s="42">
        <v>1</v>
      </c>
      <c r="E873" s="41">
        <v>5.1419169066227893E-5</v>
      </c>
    </row>
    <row r="874" spans="2:5" ht="15" customHeight="1">
      <c r="B874" s="92"/>
      <c r="C874" s="43" t="s">
        <v>137</v>
      </c>
      <c r="D874" s="42">
        <v>1</v>
      </c>
      <c r="E874" s="41">
        <v>5.1419169066227893E-5</v>
      </c>
    </row>
    <row r="875" spans="2:5" ht="15" customHeight="1">
      <c r="B875" s="92"/>
      <c r="C875" s="43" t="s">
        <v>159</v>
      </c>
      <c r="D875" s="42">
        <v>4</v>
      </c>
      <c r="E875" s="41">
        <v>2.0567667626491157E-4</v>
      </c>
    </row>
    <row r="876" spans="2:5" ht="15" customHeight="1">
      <c r="B876" s="92"/>
      <c r="C876" s="43" t="s">
        <v>157</v>
      </c>
      <c r="D876" s="42">
        <v>4</v>
      </c>
      <c r="E876" s="41">
        <v>2.0567667626491157E-4</v>
      </c>
    </row>
    <row r="877" spans="2:5" ht="15" customHeight="1">
      <c r="B877" s="92"/>
      <c r="C877" s="43" t="s">
        <v>158</v>
      </c>
      <c r="D877" s="42">
        <v>2</v>
      </c>
      <c r="E877" s="41">
        <v>1.0283833813245579E-4</v>
      </c>
    </row>
    <row r="878" spans="2:5" ht="15" customHeight="1">
      <c r="B878" s="92"/>
      <c r="C878" s="43" t="s">
        <v>154</v>
      </c>
      <c r="D878" s="42">
        <v>1</v>
      </c>
      <c r="E878" s="41">
        <v>5.1419169066227893E-5</v>
      </c>
    </row>
    <row r="879" spans="2:5" ht="15" customHeight="1">
      <c r="B879" s="92"/>
      <c r="C879" s="43" t="s">
        <v>144</v>
      </c>
      <c r="D879" s="42">
        <v>1</v>
      </c>
      <c r="E879" s="41">
        <v>5.1419169066227893E-5</v>
      </c>
    </row>
    <row r="880" spans="2:5" ht="15" customHeight="1">
      <c r="B880" s="92"/>
      <c r="C880" s="43" t="s">
        <v>155</v>
      </c>
      <c r="D880" s="42">
        <v>4</v>
      </c>
      <c r="E880" s="41">
        <v>2.0567667626491157E-4</v>
      </c>
    </row>
    <row r="881" spans="2:5" ht="15" customHeight="1">
      <c r="B881" s="92"/>
      <c r="C881" s="43" t="s">
        <v>153</v>
      </c>
      <c r="D881" s="42">
        <v>1</v>
      </c>
      <c r="E881" s="41">
        <v>5.1419169066227893E-5</v>
      </c>
    </row>
    <row r="882" spans="2:5" ht="15" customHeight="1">
      <c r="B882" s="92"/>
      <c r="C882" s="43" t="s">
        <v>127</v>
      </c>
      <c r="D882" s="42">
        <v>1</v>
      </c>
      <c r="E882" s="41">
        <v>5.1419169066227893E-5</v>
      </c>
    </row>
    <row r="883" spans="2:5" ht="15" customHeight="1">
      <c r="B883" s="93"/>
      <c r="C883" s="40" t="s">
        <v>20</v>
      </c>
      <c r="D883" s="39">
        <v>24</v>
      </c>
      <c r="E883" s="38">
        <v>1.2340600575894694E-3</v>
      </c>
    </row>
    <row r="884" spans="2:5" ht="15" customHeight="1">
      <c r="B884" s="91" t="s">
        <v>91</v>
      </c>
      <c r="C884" s="43" t="s">
        <v>146</v>
      </c>
      <c r="D884" s="42">
        <v>2</v>
      </c>
      <c r="E884" s="41">
        <v>1.0283833813245579E-4</v>
      </c>
    </row>
    <row r="885" spans="2:5" ht="15" customHeight="1">
      <c r="B885" s="92"/>
      <c r="C885" s="43" t="s">
        <v>152</v>
      </c>
      <c r="D885" s="42">
        <v>3</v>
      </c>
      <c r="E885" s="41">
        <v>1.5425750719868367E-4</v>
      </c>
    </row>
    <row r="886" spans="2:5" ht="15" customHeight="1">
      <c r="B886" s="92"/>
      <c r="C886" s="43" t="s">
        <v>156</v>
      </c>
      <c r="D886" s="42">
        <v>3</v>
      </c>
      <c r="E886" s="41">
        <v>1.5425750719868367E-4</v>
      </c>
    </row>
    <row r="887" spans="2:5" ht="15" customHeight="1">
      <c r="B887" s="92"/>
      <c r="C887" s="43" t="s">
        <v>137</v>
      </c>
      <c r="D887" s="42">
        <v>1</v>
      </c>
      <c r="E887" s="41">
        <v>5.1419169066227893E-5</v>
      </c>
    </row>
    <row r="888" spans="2:5" ht="15" customHeight="1">
      <c r="B888" s="92"/>
      <c r="C888" s="43" t="s">
        <v>140</v>
      </c>
      <c r="D888" s="42">
        <v>1</v>
      </c>
      <c r="E888" s="41">
        <v>5.1419169066227893E-5</v>
      </c>
    </row>
    <row r="889" spans="2:5" ht="15" customHeight="1">
      <c r="B889" s="92"/>
      <c r="C889" s="43" t="s">
        <v>159</v>
      </c>
      <c r="D889" s="42">
        <v>3</v>
      </c>
      <c r="E889" s="41">
        <v>1.5425750719868367E-4</v>
      </c>
    </row>
    <row r="890" spans="2:5" ht="15" customHeight="1">
      <c r="B890" s="92"/>
      <c r="C890" s="43" t="s">
        <v>125</v>
      </c>
      <c r="D890" s="42">
        <v>1</v>
      </c>
      <c r="E890" s="41">
        <v>5.1419169066227893E-5</v>
      </c>
    </row>
    <row r="891" spans="2:5" ht="15" customHeight="1">
      <c r="B891" s="92"/>
      <c r="C891" s="43" t="s">
        <v>157</v>
      </c>
      <c r="D891" s="42">
        <v>3</v>
      </c>
      <c r="E891" s="41">
        <v>1.5425750719868367E-4</v>
      </c>
    </row>
    <row r="892" spans="2:5" ht="15" customHeight="1">
      <c r="B892" s="92"/>
      <c r="C892" s="43" t="s">
        <v>154</v>
      </c>
      <c r="D892" s="42">
        <v>1</v>
      </c>
      <c r="E892" s="41">
        <v>5.1419169066227893E-5</v>
      </c>
    </row>
    <row r="893" spans="2:5" ht="15" customHeight="1">
      <c r="B893" s="92"/>
      <c r="C893" s="43" t="s">
        <v>149</v>
      </c>
      <c r="D893" s="42">
        <v>1</v>
      </c>
      <c r="E893" s="41">
        <v>5.1419169066227893E-5</v>
      </c>
    </row>
    <row r="894" spans="2:5" ht="15" customHeight="1">
      <c r="B894" s="92"/>
      <c r="C894" s="43" t="s">
        <v>155</v>
      </c>
      <c r="D894" s="42">
        <v>6</v>
      </c>
      <c r="E894" s="41">
        <v>3.0851501439736734E-4</v>
      </c>
    </row>
    <row r="895" spans="2:5" ht="15" customHeight="1">
      <c r="B895" s="92"/>
      <c r="C895" s="43" t="s">
        <v>150</v>
      </c>
      <c r="D895" s="42">
        <v>3</v>
      </c>
      <c r="E895" s="41">
        <v>1.5425750719868367E-4</v>
      </c>
    </row>
    <row r="896" spans="2:5" ht="15" customHeight="1">
      <c r="B896" s="92"/>
      <c r="C896" s="43" t="s">
        <v>138</v>
      </c>
      <c r="D896" s="42">
        <v>2</v>
      </c>
      <c r="E896" s="41">
        <v>1.0283833813245579E-4</v>
      </c>
    </row>
    <row r="897" spans="2:5" ht="15" customHeight="1">
      <c r="B897" s="93"/>
      <c r="C897" s="40" t="s">
        <v>20</v>
      </c>
      <c r="D897" s="39">
        <v>30</v>
      </c>
      <c r="E897" s="38">
        <v>1.5425750719868367E-3</v>
      </c>
    </row>
    <row r="898" spans="2:5" ht="15" customHeight="1">
      <c r="B898" s="91" t="s">
        <v>104</v>
      </c>
      <c r="C898" s="43" t="s">
        <v>143</v>
      </c>
      <c r="D898" s="42">
        <v>1</v>
      </c>
      <c r="E898" s="41">
        <v>5.1419169066227893E-5</v>
      </c>
    </row>
    <row r="899" spans="2:5" ht="15" customHeight="1">
      <c r="B899" s="92"/>
      <c r="C899" s="43" t="s">
        <v>152</v>
      </c>
      <c r="D899" s="42">
        <v>1</v>
      </c>
      <c r="E899" s="41">
        <v>5.1419169066227893E-5</v>
      </c>
    </row>
    <row r="900" spans="2:5" ht="15" customHeight="1">
      <c r="B900" s="92"/>
      <c r="C900" s="43" t="s">
        <v>156</v>
      </c>
      <c r="D900" s="42">
        <v>1</v>
      </c>
      <c r="E900" s="41">
        <v>5.1419169066227893E-5</v>
      </c>
    </row>
    <row r="901" spans="2:5" ht="15" customHeight="1">
      <c r="B901" s="92"/>
      <c r="C901" s="43" t="s">
        <v>128</v>
      </c>
      <c r="D901" s="42">
        <v>1</v>
      </c>
      <c r="E901" s="41">
        <v>5.1419169066227893E-5</v>
      </c>
    </row>
    <row r="902" spans="2:5" ht="15" customHeight="1">
      <c r="B902" s="92"/>
      <c r="C902" s="43" t="s">
        <v>148</v>
      </c>
      <c r="D902" s="42">
        <v>1</v>
      </c>
      <c r="E902" s="41">
        <v>5.1419169066227893E-5</v>
      </c>
    </row>
    <row r="903" spans="2:5" ht="15" customHeight="1">
      <c r="B903" s="92"/>
      <c r="C903" s="43" t="s">
        <v>132</v>
      </c>
      <c r="D903" s="42">
        <v>1</v>
      </c>
      <c r="E903" s="41">
        <v>5.1419169066227893E-5</v>
      </c>
    </row>
    <row r="904" spans="2:5" ht="15" customHeight="1">
      <c r="B904" s="92"/>
      <c r="C904" s="43" t="s">
        <v>140</v>
      </c>
      <c r="D904" s="42">
        <v>1</v>
      </c>
      <c r="E904" s="41">
        <v>5.1419169066227893E-5</v>
      </c>
    </row>
    <row r="905" spans="2:5" ht="15" customHeight="1">
      <c r="B905" s="92"/>
      <c r="C905" s="43" t="s">
        <v>157</v>
      </c>
      <c r="D905" s="42">
        <v>5</v>
      </c>
      <c r="E905" s="41">
        <v>2.5709584533113944E-4</v>
      </c>
    </row>
    <row r="906" spans="2:5" ht="15" customHeight="1">
      <c r="B906" s="92"/>
      <c r="C906" s="43" t="s">
        <v>158</v>
      </c>
      <c r="D906" s="42">
        <v>5</v>
      </c>
      <c r="E906" s="41">
        <v>2.5709584533113944E-4</v>
      </c>
    </row>
    <row r="907" spans="2:5" ht="15" customHeight="1">
      <c r="B907" s="92"/>
      <c r="C907" s="43" t="s">
        <v>154</v>
      </c>
      <c r="D907" s="42">
        <v>1</v>
      </c>
      <c r="E907" s="41">
        <v>5.1419169066227893E-5</v>
      </c>
    </row>
    <row r="908" spans="2:5" ht="15" customHeight="1">
      <c r="B908" s="92"/>
      <c r="C908" s="43" t="s">
        <v>131</v>
      </c>
      <c r="D908" s="42">
        <v>1</v>
      </c>
      <c r="E908" s="41">
        <v>5.1419169066227893E-5</v>
      </c>
    </row>
    <row r="909" spans="2:5" ht="15" customHeight="1">
      <c r="B909" s="92"/>
      <c r="C909" s="43" t="s">
        <v>144</v>
      </c>
      <c r="D909" s="42">
        <v>2</v>
      </c>
      <c r="E909" s="41">
        <v>1.0283833813245579E-4</v>
      </c>
    </row>
    <row r="910" spans="2:5" ht="15" customHeight="1">
      <c r="B910" s="92"/>
      <c r="C910" s="43" t="s">
        <v>155</v>
      </c>
      <c r="D910" s="42">
        <v>8</v>
      </c>
      <c r="E910" s="41">
        <v>4.1135335252982314E-4</v>
      </c>
    </row>
    <row r="911" spans="2:5" ht="15" customHeight="1">
      <c r="B911" s="92"/>
      <c r="C911" s="43" t="s">
        <v>153</v>
      </c>
      <c r="D911" s="42">
        <v>2</v>
      </c>
      <c r="E911" s="41">
        <v>1.0283833813245579E-4</v>
      </c>
    </row>
    <row r="912" spans="2:5" ht="15" customHeight="1">
      <c r="B912" s="93"/>
      <c r="C912" s="40" t="s">
        <v>20</v>
      </c>
      <c r="D912" s="39">
        <v>31</v>
      </c>
      <c r="E912" s="38">
        <v>1.5939942410530645E-3</v>
      </c>
    </row>
    <row r="913" spans="2:5" ht="15" customHeight="1">
      <c r="B913" s="91" t="s">
        <v>105</v>
      </c>
      <c r="C913" s="43" t="s">
        <v>146</v>
      </c>
      <c r="D913" s="42">
        <v>1</v>
      </c>
      <c r="E913" s="41">
        <v>5.1419169066227893E-5</v>
      </c>
    </row>
    <row r="914" spans="2:5" ht="15" customHeight="1">
      <c r="B914" s="92"/>
      <c r="C914" s="43" t="s">
        <v>142</v>
      </c>
      <c r="D914" s="42">
        <v>1</v>
      </c>
      <c r="E914" s="41">
        <v>5.1419169066227893E-5</v>
      </c>
    </row>
    <row r="915" spans="2:5" ht="15" customHeight="1">
      <c r="B915" s="92"/>
      <c r="C915" s="43" t="s">
        <v>152</v>
      </c>
      <c r="D915" s="42">
        <v>4</v>
      </c>
      <c r="E915" s="41">
        <v>2.0567667626491157E-4</v>
      </c>
    </row>
    <row r="916" spans="2:5" ht="15" customHeight="1">
      <c r="B916" s="92"/>
      <c r="C916" s="43" t="s">
        <v>156</v>
      </c>
      <c r="D916" s="42">
        <v>1</v>
      </c>
      <c r="E916" s="41">
        <v>5.1419169066227893E-5</v>
      </c>
    </row>
    <row r="917" spans="2:5" ht="15" customHeight="1">
      <c r="B917" s="92"/>
      <c r="C917" s="43" t="s">
        <v>148</v>
      </c>
      <c r="D917" s="42">
        <v>1</v>
      </c>
      <c r="E917" s="41">
        <v>5.1419169066227893E-5</v>
      </c>
    </row>
    <row r="918" spans="2:5" ht="15" customHeight="1">
      <c r="B918" s="92"/>
      <c r="C918" s="43" t="s">
        <v>159</v>
      </c>
      <c r="D918" s="42">
        <v>3</v>
      </c>
      <c r="E918" s="41">
        <v>1.5425750719868367E-4</v>
      </c>
    </row>
    <row r="919" spans="2:5" ht="15" customHeight="1">
      <c r="B919" s="92"/>
      <c r="C919" s="43" t="s">
        <v>157</v>
      </c>
      <c r="D919" s="42">
        <v>3</v>
      </c>
      <c r="E919" s="41">
        <v>1.5425750719868367E-4</v>
      </c>
    </row>
    <row r="920" spans="2:5" ht="15" customHeight="1">
      <c r="B920" s="92"/>
      <c r="C920" s="43" t="s">
        <v>158</v>
      </c>
      <c r="D920" s="42">
        <v>3</v>
      </c>
      <c r="E920" s="41">
        <v>1.5425750719868367E-4</v>
      </c>
    </row>
    <row r="921" spans="2:5" ht="15" customHeight="1">
      <c r="B921" s="92"/>
      <c r="C921" s="43" t="s">
        <v>149</v>
      </c>
      <c r="D921" s="42">
        <v>2</v>
      </c>
      <c r="E921" s="41">
        <v>1.0283833813245579E-4</v>
      </c>
    </row>
    <row r="922" spans="2:5" ht="15" customHeight="1">
      <c r="B922" s="92"/>
      <c r="C922" s="43" t="s">
        <v>155</v>
      </c>
      <c r="D922" s="42">
        <v>8</v>
      </c>
      <c r="E922" s="41">
        <v>4.1135335252982314E-4</v>
      </c>
    </row>
    <row r="923" spans="2:5" ht="15" customHeight="1">
      <c r="B923" s="92"/>
      <c r="C923" s="43" t="s">
        <v>150</v>
      </c>
      <c r="D923" s="42">
        <v>1</v>
      </c>
      <c r="E923" s="41">
        <v>5.1419169066227893E-5</v>
      </c>
    </row>
    <row r="924" spans="2:5" ht="15" customHeight="1">
      <c r="B924" s="93"/>
      <c r="C924" s="40" t="s">
        <v>20</v>
      </c>
      <c r="D924" s="39">
        <v>28</v>
      </c>
      <c r="E924" s="38">
        <v>1.439736733854381E-3</v>
      </c>
    </row>
    <row r="925" spans="2:5" ht="15" customHeight="1">
      <c r="B925" s="91" t="s">
        <v>106</v>
      </c>
      <c r="C925" s="43" t="s">
        <v>146</v>
      </c>
      <c r="D925" s="42">
        <v>3</v>
      </c>
      <c r="E925" s="41">
        <v>1.5425750719868367E-4</v>
      </c>
    </row>
    <row r="926" spans="2:5" ht="15" customHeight="1">
      <c r="B926" s="92"/>
      <c r="C926" s="43" t="s">
        <v>142</v>
      </c>
      <c r="D926" s="42">
        <v>1</v>
      </c>
      <c r="E926" s="41">
        <v>5.1419169066227893E-5</v>
      </c>
    </row>
    <row r="927" spans="2:5" ht="15" customHeight="1">
      <c r="B927" s="92"/>
      <c r="C927" s="43" t="s">
        <v>152</v>
      </c>
      <c r="D927" s="42">
        <v>2</v>
      </c>
      <c r="E927" s="41">
        <v>1.0283833813245579E-4</v>
      </c>
    </row>
    <row r="928" spans="2:5" ht="15" customHeight="1">
      <c r="B928" s="92"/>
      <c r="C928" s="43" t="s">
        <v>156</v>
      </c>
      <c r="D928" s="42">
        <v>2</v>
      </c>
      <c r="E928" s="41">
        <v>1.0283833813245579E-4</v>
      </c>
    </row>
    <row r="929" spans="2:5" ht="15" customHeight="1">
      <c r="B929" s="92"/>
      <c r="C929" s="43" t="s">
        <v>148</v>
      </c>
      <c r="D929" s="42">
        <v>1</v>
      </c>
      <c r="E929" s="41">
        <v>5.1419169066227893E-5</v>
      </c>
    </row>
    <row r="930" spans="2:5" ht="15" customHeight="1">
      <c r="B930" s="92"/>
      <c r="C930" s="43" t="s">
        <v>140</v>
      </c>
      <c r="D930" s="42">
        <v>1</v>
      </c>
      <c r="E930" s="41">
        <v>5.1419169066227893E-5</v>
      </c>
    </row>
    <row r="931" spans="2:5" ht="15" customHeight="1">
      <c r="B931" s="92"/>
      <c r="C931" s="43" t="s">
        <v>159</v>
      </c>
      <c r="D931" s="42">
        <v>1</v>
      </c>
      <c r="E931" s="41">
        <v>5.1419169066227893E-5</v>
      </c>
    </row>
    <row r="932" spans="2:5" ht="15" customHeight="1">
      <c r="B932" s="92"/>
      <c r="C932" s="43" t="s">
        <v>147</v>
      </c>
      <c r="D932" s="42">
        <v>1</v>
      </c>
      <c r="E932" s="41">
        <v>5.1419169066227893E-5</v>
      </c>
    </row>
    <row r="933" spans="2:5" ht="15" customHeight="1">
      <c r="B933" s="92"/>
      <c r="C933" s="43" t="s">
        <v>157</v>
      </c>
      <c r="D933" s="42">
        <v>1</v>
      </c>
      <c r="E933" s="41">
        <v>5.1419169066227893E-5</v>
      </c>
    </row>
    <row r="934" spans="2:5" ht="15" customHeight="1">
      <c r="B934" s="92"/>
      <c r="C934" s="43" t="s">
        <v>158</v>
      </c>
      <c r="D934" s="42">
        <v>4</v>
      </c>
      <c r="E934" s="41">
        <v>2.0567667626491157E-4</v>
      </c>
    </row>
    <row r="935" spans="2:5" ht="15" customHeight="1">
      <c r="B935" s="92"/>
      <c r="C935" s="43" t="s">
        <v>154</v>
      </c>
      <c r="D935" s="42">
        <v>2</v>
      </c>
      <c r="E935" s="41">
        <v>1.0283833813245579E-4</v>
      </c>
    </row>
    <row r="936" spans="2:5" ht="15" customHeight="1">
      <c r="B936" s="92"/>
      <c r="C936" s="43" t="s">
        <v>155</v>
      </c>
      <c r="D936" s="42">
        <v>8</v>
      </c>
      <c r="E936" s="41">
        <v>4.1135335252982314E-4</v>
      </c>
    </row>
    <row r="937" spans="2:5" ht="15" customHeight="1">
      <c r="B937" s="92"/>
      <c r="C937" s="43" t="s">
        <v>150</v>
      </c>
      <c r="D937" s="42">
        <v>2</v>
      </c>
      <c r="E937" s="41">
        <v>1.0283833813245579E-4</v>
      </c>
    </row>
    <row r="938" spans="2:5" ht="15" customHeight="1">
      <c r="B938" s="93"/>
      <c r="C938" s="40" t="s">
        <v>20</v>
      </c>
      <c r="D938" s="39">
        <v>29</v>
      </c>
      <c r="E938" s="38">
        <v>1.4911559029206088E-3</v>
      </c>
    </row>
    <row r="939" spans="2:5" ht="15" customHeight="1">
      <c r="B939" s="91" t="s">
        <v>84</v>
      </c>
      <c r="C939" s="43" t="s">
        <v>142</v>
      </c>
      <c r="D939" s="42">
        <v>1</v>
      </c>
      <c r="E939" s="41">
        <v>5.1419169066227893E-5</v>
      </c>
    </row>
    <row r="940" spans="2:5" ht="15" customHeight="1">
      <c r="B940" s="92"/>
      <c r="C940" s="43" t="s">
        <v>140</v>
      </c>
      <c r="D940" s="42">
        <v>2</v>
      </c>
      <c r="E940" s="41">
        <v>1.0283833813245579E-4</v>
      </c>
    </row>
    <row r="941" spans="2:5" ht="15" customHeight="1">
      <c r="B941" s="92"/>
      <c r="C941" s="43" t="s">
        <v>159</v>
      </c>
      <c r="D941" s="42">
        <v>1</v>
      </c>
      <c r="E941" s="41">
        <v>5.1419169066227893E-5</v>
      </c>
    </row>
    <row r="942" spans="2:5" ht="15" customHeight="1">
      <c r="B942" s="92"/>
      <c r="C942" s="43" t="s">
        <v>157</v>
      </c>
      <c r="D942" s="42">
        <v>2</v>
      </c>
      <c r="E942" s="41">
        <v>1.0283833813245579E-4</v>
      </c>
    </row>
    <row r="943" spans="2:5" ht="15" customHeight="1">
      <c r="B943" s="92"/>
      <c r="C943" s="43" t="s">
        <v>158</v>
      </c>
      <c r="D943" s="42">
        <v>3</v>
      </c>
      <c r="E943" s="41">
        <v>1.5425750719868367E-4</v>
      </c>
    </row>
    <row r="944" spans="2:5" ht="15" customHeight="1">
      <c r="B944" s="92"/>
      <c r="C944" s="43" t="s">
        <v>154</v>
      </c>
      <c r="D944" s="42">
        <v>1</v>
      </c>
      <c r="E944" s="41">
        <v>5.1419169066227893E-5</v>
      </c>
    </row>
    <row r="945" spans="2:5" ht="15" customHeight="1">
      <c r="B945" s="92"/>
      <c r="C945" s="43" t="s">
        <v>155</v>
      </c>
      <c r="D945" s="42">
        <v>1</v>
      </c>
      <c r="E945" s="41">
        <v>5.1419169066227893E-5</v>
      </c>
    </row>
    <row r="946" spans="2:5" ht="15" customHeight="1">
      <c r="B946" s="92"/>
      <c r="C946" s="43" t="s">
        <v>150</v>
      </c>
      <c r="D946" s="42">
        <v>2</v>
      </c>
      <c r="E946" s="41">
        <v>1.0283833813245579E-4</v>
      </c>
    </row>
    <row r="947" spans="2:5" ht="15" customHeight="1">
      <c r="B947" s="93"/>
      <c r="C947" s="40" t="s">
        <v>20</v>
      </c>
      <c r="D947" s="39">
        <v>13</v>
      </c>
      <c r="E947" s="38">
        <v>6.6844919786096253E-4</v>
      </c>
    </row>
    <row r="948" spans="2:5" ht="15" customHeight="1">
      <c r="B948" s="91" t="s">
        <v>75</v>
      </c>
      <c r="C948" s="43" t="s">
        <v>139</v>
      </c>
      <c r="D948" s="42">
        <v>1</v>
      </c>
      <c r="E948" s="41">
        <v>5.1419169066227893E-5</v>
      </c>
    </row>
    <row r="949" spans="2:5" ht="15" customHeight="1">
      <c r="B949" s="92"/>
      <c r="C949" s="43" t="s">
        <v>159</v>
      </c>
      <c r="D949" s="42">
        <v>1</v>
      </c>
      <c r="E949" s="41">
        <v>5.1419169066227893E-5</v>
      </c>
    </row>
    <row r="950" spans="2:5" ht="15" customHeight="1">
      <c r="B950" s="92"/>
      <c r="C950" s="43" t="s">
        <v>157</v>
      </c>
      <c r="D950" s="42">
        <v>1</v>
      </c>
      <c r="E950" s="41">
        <v>5.1419169066227893E-5</v>
      </c>
    </row>
    <row r="951" spans="2:5" ht="15" customHeight="1">
      <c r="B951" s="92"/>
      <c r="C951" s="43" t="s">
        <v>155</v>
      </c>
      <c r="D951" s="42">
        <v>1</v>
      </c>
      <c r="E951" s="41">
        <v>5.1419169066227893E-5</v>
      </c>
    </row>
    <row r="952" spans="2:5" ht="15" customHeight="1">
      <c r="B952" s="93"/>
      <c r="C952" s="40" t="s">
        <v>20</v>
      </c>
      <c r="D952" s="39">
        <v>4</v>
      </c>
      <c r="E952" s="38">
        <v>2.0567667626491157E-4</v>
      </c>
    </row>
    <row r="953" spans="2:5" ht="15" customHeight="1">
      <c r="B953" s="91" t="s">
        <v>35</v>
      </c>
      <c r="C953" s="43" t="s">
        <v>143</v>
      </c>
      <c r="D953" s="42">
        <v>2</v>
      </c>
      <c r="E953" s="41">
        <v>1.0283833813245579E-4</v>
      </c>
    </row>
    <row r="954" spans="2:5" ht="15" customHeight="1">
      <c r="B954" s="92"/>
      <c r="C954" s="43" t="s">
        <v>146</v>
      </c>
      <c r="D954" s="42">
        <v>2</v>
      </c>
      <c r="E954" s="41">
        <v>1.0283833813245579E-4</v>
      </c>
    </row>
    <row r="955" spans="2:5" ht="15" customHeight="1">
      <c r="B955" s="92"/>
      <c r="C955" s="43" t="s">
        <v>130</v>
      </c>
      <c r="D955" s="42">
        <v>1</v>
      </c>
      <c r="E955" s="41">
        <v>5.1419169066227893E-5</v>
      </c>
    </row>
    <row r="956" spans="2:5" ht="15" customHeight="1">
      <c r="B956" s="92"/>
      <c r="C956" s="43" t="s">
        <v>135</v>
      </c>
      <c r="D956" s="42">
        <v>2</v>
      </c>
      <c r="E956" s="41">
        <v>1.0283833813245579E-4</v>
      </c>
    </row>
    <row r="957" spans="2:5" ht="15" customHeight="1">
      <c r="B957" s="92"/>
      <c r="C957" s="43" t="s">
        <v>118</v>
      </c>
      <c r="D957" s="42">
        <v>2</v>
      </c>
      <c r="E957" s="41">
        <v>1.0283833813245579E-4</v>
      </c>
    </row>
    <row r="958" spans="2:5" ht="15" customHeight="1">
      <c r="B958" s="92"/>
      <c r="C958" s="43" t="s">
        <v>152</v>
      </c>
      <c r="D958" s="42">
        <v>10</v>
      </c>
      <c r="E958" s="41">
        <v>5.1419169066227888E-4</v>
      </c>
    </row>
    <row r="959" spans="2:5" ht="15" customHeight="1">
      <c r="B959" s="92"/>
      <c r="C959" s="43" t="s">
        <v>156</v>
      </c>
      <c r="D959" s="42">
        <v>7</v>
      </c>
      <c r="E959" s="41">
        <v>3.5993418346359524E-4</v>
      </c>
    </row>
    <row r="960" spans="2:5" ht="15" customHeight="1">
      <c r="B960" s="92"/>
      <c r="C960" s="43" t="s">
        <v>148</v>
      </c>
      <c r="D960" s="42">
        <v>2</v>
      </c>
      <c r="E960" s="41">
        <v>1.0283833813245579E-4</v>
      </c>
    </row>
    <row r="961" spans="2:5" ht="15" customHeight="1">
      <c r="B961" s="92"/>
      <c r="C961" s="43" t="s">
        <v>137</v>
      </c>
      <c r="D961" s="42">
        <v>2</v>
      </c>
      <c r="E961" s="41">
        <v>1.0283833813245579E-4</v>
      </c>
    </row>
    <row r="962" spans="2:5" ht="15" customHeight="1">
      <c r="B962" s="92"/>
      <c r="C962" s="43" t="s">
        <v>132</v>
      </c>
      <c r="D962" s="42">
        <v>1</v>
      </c>
      <c r="E962" s="41">
        <v>5.1419169066227893E-5</v>
      </c>
    </row>
    <row r="963" spans="2:5" ht="15" customHeight="1">
      <c r="B963" s="92"/>
      <c r="C963" s="43" t="s">
        <v>159</v>
      </c>
      <c r="D963" s="42">
        <v>11</v>
      </c>
      <c r="E963" s="41">
        <v>5.6561085972850684E-4</v>
      </c>
    </row>
    <row r="964" spans="2:5" ht="15" customHeight="1">
      <c r="B964" s="92"/>
      <c r="C964" s="43" t="s">
        <v>157</v>
      </c>
      <c r="D964" s="42">
        <v>6</v>
      </c>
      <c r="E964" s="41">
        <v>3.0851501439736734E-4</v>
      </c>
    </row>
    <row r="965" spans="2:5" ht="15" customHeight="1">
      <c r="B965" s="92"/>
      <c r="C965" s="43" t="s">
        <v>141</v>
      </c>
      <c r="D965" s="42">
        <v>3</v>
      </c>
      <c r="E965" s="41">
        <v>1.5425750719868367E-4</v>
      </c>
    </row>
    <row r="966" spans="2:5" ht="15" customHeight="1">
      <c r="B966" s="92"/>
      <c r="C966" s="43" t="s">
        <v>158</v>
      </c>
      <c r="D966" s="42">
        <v>7</v>
      </c>
      <c r="E966" s="41">
        <v>3.5993418346359524E-4</v>
      </c>
    </row>
    <row r="967" spans="2:5" ht="15" customHeight="1">
      <c r="B967" s="92"/>
      <c r="C967" s="43" t="s">
        <v>154</v>
      </c>
      <c r="D967" s="42">
        <v>2</v>
      </c>
      <c r="E967" s="41">
        <v>1.0283833813245579E-4</v>
      </c>
    </row>
    <row r="968" spans="2:5" ht="15" customHeight="1">
      <c r="B968" s="92"/>
      <c r="C968" s="43" t="s">
        <v>144</v>
      </c>
      <c r="D968" s="42">
        <v>4</v>
      </c>
      <c r="E968" s="41">
        <v>2.0567667626491157E-4</v>
      </c>
    </row>
    <row r="969" spans="2:5" ht="15" customHeight="1">
      <c r="B969" s="92"/>
      <c r="C969" s="43" t="s">
        <v>155</v>
      </c>
      <c r="D969" s="42">
        <v>15</v>
      </c>
      <c r="E969" s="41">
        <v>7.7128753599341833E-4</v>
      </c>
    </row>
    <row r="970" spans="2:5" ht="15" customHeight="1">
      <c r="B970" s="92"/>
      <c r="C970" s="43" t="s">
        <v>151</v>
      </c>
      <c r="D970" s="42">
        <v>4</v>
      </c>
      <c r="E970" s="41">
        <v>2.0567667626491157E-4</v>
      </c>
    </row>
    <row r="971" spans="2:5" ht="15" customHeight="1">
      <c r="B971" s="92"/>
      <c r="C971" s="43" t="s">
        <v>153</v>
      </c>
      <c r="D971" s="42">
        <v>5</v>
      </c>
      <c r="E971" s="41">
        <v>2.5709584533113944E-4</v>
      </c>
    </row>
    <row r="972" spans="2:5" ht="15" customHeight="1">
      <c r="B972" s="92"/>
      <c r="C972" s="43" t="s">
        <v>150</v>
      </c>
      <c r="D972" s="42">
        <v>5</v>
      </c>
      <c r="E972" s="41">
        <v>2.5709584533113944E-4</v>
      </c>
    </row>
    <row r="973" spans="2:5" ht="15" customHeight="1">
      <c r="B973" s="92"/>
      <c r="C973" s="43" t="s">
        <v>138</v>
      </c>
      <c r="D973" s="42">
        <v>2</v>
      </c>
      <c r="E973" s="41">
        <v>1.0283833813245579E-4</v>
      </c>
    </row>
    <row r="974" spans="2:5" ht="15" customHeight="1">
      <c r="B974" s="93"/>
      <c r="C974" s="40" t="s">
        <v>20</v>
      </c>
      <c r="D974" s="39">
        <v>95</v>
      </c>
      <c r="E974" s="38">
        <v>4.8848210612916498E-3</v>
      </c>
    </row>
    <row r="975" spans="2:5" ht="15" customHeight="1">
      <c r="B975" s="91" t="s">
        <v>72</v>
      </c>
      <c r="C975" s="43" t="s">
        <v>156</v>
      </c>
      <c r="D975" s="42">
        <v>1</v>
      </c>
      <c r="E975" s="41">
        <v>5.1419169066227893E-5</v>
      </c>
    </row>
    <row r="976" spans="2:5" ht="15" customHeight="1">
      <c r="B976" s="93"/>
      <c r="C976" s="40" t="s">
        <v>20</v>
      </c>
      <c r="D976" s="39">
        <v>1</v>
      </c>
      <c r="E976" s="38">
        <v>5.1419169066227893E-5</v>
      </c>
    </row>
    <row r="977" spans="2:5" ht="15" customHeight="1">
      <c r="B977" s="89" t="s">
        <v>197</v>
      </c>
      <c r="C977" s="90"/>
      <c r="D977" s="69">
        <v>19448</v>
      </c>
      <c r="E977" s="70">
        <v>1</v>
      </c>
    </row>
    <row r="979" spans="2:5" ht="15" customHeight="1">
      <c r="B979" s="16" t="s">
        <v>240</v>
      </c>
    </row>
    <row r="980" spans="2:5" ht="15" customHeight="1">
      <c r="B980" s="18" t="s">
        <v>19</v>
      </c>
    </row>
    <row r="981" spans="2:5" ht="15" customHeight="1">
      <c r="B981" s="17" t="s">
        <v>18</v>
      </c>
    </row>
    <row r="982" spans="2:5" ht="15" customHeight="1">
      <c r="B982" s="16" t="s">
        <v>17</v>
      </c>
    </row>
    <row r="983" spans="2:5" ht="15" customHeight="1">
      <c r="B983" s="16" t="s">
        <v>241</v>
      </c>
    </row>
  </sheetData>
  <mergeCells count="49">
    <mergeCell ref="B7:E8"/>
    <mergeCell ref="B786:B795"/>
    <mergeCell ref="B796:B817"/>
    <mergeCell ref="B818:B831"/>
    <mergeCell ref="B832:B870"/>
    <mergeCell ref="B465:B494"/>
    <mergeCell ref="B495:B516"/>
    <mergeCell ref="B517:B559"/>
    <mergeCell ref="B560:B588"/>
    <mergeCell ref="B589:B606"/>
    <mergeCell ref="B607:B630"/>
    <mergeCell ref="B631:B650"/>
    <mergeCell ref="B651:B670"/>
    <mergeCell ref="B707:B718"/>
    <mergeCell ref="B719:B735"/>
    <mergeCell ref="B736:B741"/>
    <mergeCell ref="B742:B747"/>
    <mergeCell ref="B748:B785"/>
    <mergeCell ref="B226:B244"/>
    <mergeCell ref="B245:B271"/>
    <mergeCell ref="B272:B281"/>
    <mergeCell ref="B282:B298"/>
    <mergeCell ref="B671:B706"/>
    <mergeCell ref="B299:B318"/>
    <mergeCell ref="B319:B362"/>
    <mergeCell ref="B363:B391"/>
    <mergeCell ref="B392:B418"/>
    <mergeCell ref="B419:B446"/>
    <mergeCell ref="B447:B464"/>
    <mergeCell ref="B107:B140"/>
    <mergeCell ref="B141:B143"/>
    <mergeCell ref="B144:B175"/>
    <mergeCell ref="B176:B218"/>
    <mergeCell ref="B219:B225"/>
    <mergeCell ref="B10:B18"/>
    <mergeCell ref="B19:B56"/>
    <mergeCell ref="B57:B88"/>
    <mergeCell ref="B89:B98"/>
    <mergeCell ref="B99:B106"/>
    <mergeCell ref="B871:B883"/>
    <mergeCell ref="B884:B897"/>
    <mergeCell ref="B898:B912"/>
    <mergeCell ref="B913:B924"/>
    <mergeCell ref="B925:B938"/>
    <mergeCell ref="B939:B947"/>
    <mergeCell ref="B948:B952"/>
    <mergeCell ref="B953:B974"/>
    <mergeCell ref="B975:B976"/>
    <mergeCell ref="B977:C977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8" orientation="portrait" r:id="rId1"/>
  <colBreaks count="1" manualBreakCount="1">
    <brk id="5" max="18" man="1"/>
  </colBreaks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E42"/>
  <sheetViews>
    <sheetView showGridLines="0" topLeftCell="A15" zoomScaleNormal="100" zoomScaleSheetLayoutView="115" workbookViewId="0">
      <selection activeCell="C41" sqref="C41"/>
    </sheetView>
  </sheetViews>
  <sheetFormatPr baseColWidth="10" defaultColWidth="11.42578125" defaultRowHeight="15"/>
  <cols>
    <col min="1" max="1" width="9.28515625" style="14" customWidth="1"/>
    <col min="2" max="2" width="21.7109375" style="14" customWidth="1"/>
    <col min="3" max="3" width="17.7109375" style="15" customWidth="1"/>
    <col min="4" max="4" width="17.7109375" style="14" customWidth="1"/>
    <col min="5" max="5" width="9.28515625" style="14" customWidth="1"/>
    <col min="6" max="6" width="5.7109375" style="14" customWidth="1"/>
    <col min="7" max="16384" width="11.42578125" style="14"/>
  </cols>
  <sheetData>
    <row r="1" spans="1:5" s="26" customFormat="1" ht="15" customHeight="1">
      <c r="C1" s="32"/>
    </row>
    <row r="2" spans="1:5" s="26" customFormat="1" ht="15" customHeight="1">
      <c r="C2" s="32"/>
    </row>
    <row r="3" spans="1:5" s="26" customFormat="1" ht="15" customHeight="1">
      <c r="A3" s="26" t="s">
        <v>69</v>
      </c>
      <c r="C3" s="32"/>
    </row>
    <row r="4" spans="1:5" s="26" customFormat="1" ht="30" customHeight="1">
      <c r="C4" s="32"/>
      <c r="D4" s="31"/>
    </row>
    <row r="5" spans="1:5" s="26" customFormat="1" ht="15" customHeight="1">
      <c r="C5" s="32"/>
      <c r="D5" s="31"/>
    </row>
    <row r="6" spans="1:5" s="26" customFormat="1" ht="15" customHeight="1">
      <c r="C6" s="32"/>
      <c r="D6" s="31"/>
    </row>
    <row r="7" spans="1:5" s="26" customFormat="1" ht="15" customHeight="1">
      <c r="B7" s="88" t="s">
        <v>244</v>
      </c>
      <c r="C7" s="88"/>
      <c r="D7" s="88"/>
    </row>
    <row r="8" spans="1:5" s="26" customFormat="1" ht="15" customHeight="1">
      <c r="B8" s="88"/>
      <c r="C8" s="88"/>
      <c r="D8" s="88"/>
    </row>
    <row r="9" spans="1:5" s="26" customFormat="1" ht="33" customHeight="1">
      <c r="B9" s="88"/>
      <c r="C9" s="88"/>
      <c r="D9" s="88"/>
    </row>
    <row r="10" spans="1:5" s="26" customFormat="1" ht="4.5" customHeight="1">
      <c r="B10" s="30"/>
      <c r="C10" s="30"/>
      <c r="D10" s="30"/>
    </row>
    <row r="11" spans="1:5" s="26" customFormat="1" ht="33" customHeight="1">
      <c r="B11" s="29" t="s">
        <v>188</v>
      </c>
      <c r="C11" s="28" t="s">
        <v>187</v>
      </c>
      <c r="D11" s="27" t="s">
        <v>66</v>
      </c>
    </row>
    <row r="12" spans="1:5">
      <c r="B12" s="24" t="s">
        <v>186</v>
      </c>
      <c r="C12" s="23">
        <v>144</v>
      </c>
      <c r="D12" s="22">
        <f t="shared" ref="D12:D36" si="0">C12/$C$36</f>
        <v>7.4043603455368158E-3</v>
      </c>
    </row>
    <row r="13" spans="1:5">
      <c r="B13" s="24" t="s">
        <v>185</v>
      </c>
      <c r="C13" s="23">
        <v>71</v>
      </c>
      <c r="D13" s="22">
        <f t="shared" si="0"/>
        <v>3.6507610037021803E-3</v>
      </c>
    </row>
    <row r="14" spans="1:5">
      <c r="B14" s="24" t="s">
        <v>184</v>
      </c>
      <c r="C14" s="23">
        <v>101</v>
      </c>
      <c r="D14" s="22">
        <f t="shared" si="0"/>
        <v>5.1933360756890165E-3</v>
      </c>
      <c r="E14" s="25"/>
    </row>
    <row r="15" spans="1:5">
      <c r="B15" s="24" t="s">
        <v>183</v>
      </c>
      <c r="C15" s="23">
        <v>205</v>
      </c>
      <c r="D15" s="22">
        <f t="shared" si="0"/>
        <v>1.0540929658576717E-2</v>
      </c>
      <c r="E15" s="25"/>
    </row>
    <row r="16" spans="1:5">
      <c r="B16" s="24" t="s">
        <v>182</v>
      </c>
      <c r="C16" s="23">
        <v>156</v>
      </c>
      <c r="D16" s="22">
        <f t="shared" si="0"/>
        <v>8.0213903743315516E-3</v>
      </c>
    </row>
    <row r="17" spans="2:4">
      <c r="B17" s="24" t="s">
        <v>181</v>
      </c>
      <c r="C17" s="23">
        <v>231</v>
      </c>
      <c r="D17" s="22">
        <f t="shared" si="0"/>
        <v>1.1877828054298642E-2</v>
      </c>
    </row>
    <row r="18" spans="2:4">
      <c r="B18" s="24" t="s">
        <v>180</v>
      </c>
      <c r="C18" s="23">
        <v>1226</v>
      </c>
      <c r="D18" s="22">
        <f t="shared" si="0"/>
        <v>6.303990127519539E-2</v>
      </c>
    </row>
    <row r="19" spans="2:4" ht="15" customHeight="1">
      <c r="B19" s="24" t="s">
        <v>179</v>
      </c>
      <c r="C19" s="23">
        <v>1645</v>
      </c>
      <c r="D19" s="22">
        <f t="shared" si="0"/>
        <v>8.4584533113944885E-2</v>
      </c>
    </row>
    <row r="20" spans="2:4">
      <c r="B20" s="24" t="s">
        <v>178</v>
      </c>
      <c r="C20" s="23">
        <v>239</v>
      </c>
      <c r="D20" s="22">
        <f t="shared" si="0"/>
        <v>1.2289181406828466E-2</v>
      </c>
    </row>
    <row r="21" spans="2:4">
      <c r="B21" s="24" t="s">
        <v>177</v>
      </c>
      <c r="C21" s="23">
        <v>491</v>
      </c>
      <c r="D21" s="22">
        <f t="shared" si="0"/>
        <v>2.5246812011517895E-2</v>
      </c>
    </row>
    <row r="22" spans="2:4">
      <c r="B22" s="24" t="s">
        <v>176</v>
      </c>
      <c r="C22" s="23">
        <v>936</v>
      </c>
      <c r="D22" s="22">
        <f t="shared" si="0"/>
        <v>4.8128342245989303E-2</v>
      </c>
    </row>
    <row r="23" spans="2:4" ht="27">
      <c r="B23" s="24" t="s">
        <v>175</v>
      </c>
      <c r="C23" s="23">
        <v>5116</v>
      </c>
      <c r="D23" s="22">
        <f t="shared" si="0"/>
        <v>0.26306046894282187</v>
      </c>
    </row>
    <row r="24" spans="2:4">
      <c r="B24" s="24" t="s">
        <v>174</v>
      </c>
      <c r="C24" s="23">
        <v>410</v>
      </c>
      <c r="D24" s="22">
        <f t="shared" si="0"/>
        <v>2.1081859317153433E-2</v>
      </c>
    </row>
    <row r="25" spans="2:4" ht="27">
      <c r="B25" s="24" t="s">
        <v>173</v>
      </c>
      <c r="C25" s="23">
        <v>1516</v>
      </c>
      <c r="D25" s="22">
        <f t="shared" si="0"/>
        <v>7.7951460304401476E-2</v>
      </c>
    </row>
    <row r="26" spans="2:4" ht="27">
      <c r="B26" s="24" t="s">
        <v>172</v>
      </c>
      <c r="C26" s="23">
        <v>4996</v>
      </c>
      <c r="D26" s="22">
        <f t="shared" si="0"/>
        <v>0.25689016865487452</v>
      </c>
    </row>
    <row r="27" spans="2:4">
      <c r="B27" s="24" t="s">
        <v>171</v>
      </c>
      <c r="C27" s="23">
        <v>97</v>
      </c>
      <c r="D27" s="22">
        <f t="shared" si="0"/>
        <v>4.9876593994241051E-3</v>
      </c>
    </row>
    <row r="28" spans="2:4">
      <c r="B28" s="24" t="s">
        <v>170</v>
      </c>
      <c r="C28" s="23">
        <v>69</v>
      </c>
      <c r="D28" s="22">
        <f t="shared" si="0"/>
        <v>3.5479226655697246E-3</v>
      </c>
    </row>
    <row r="29" spans="2:4">
      <c r="B29" s="24" t="s">
        <v>169</v>
      </c>
      <c r="C29" s="23">
        <v>49</v>
      </c>
      <c r="D29" s="22">
        <f t="shared" si="0"/>
        <v>2.5195392842451668E-3</v>
      </c>
    </row>
    <row r="30" spans="2:4">
      <c r="B30" s="24" t="s">
        <v>168</v>
      </c>
      <c r="C30" s="23">
        <v>28</v>
      </c>
      <c r="D30" s="22">
        <f t="shared" si="0"/>
        <v>1.439736733854381E-3</v>
      </c>
    </row>
    <row r="31" spans="2:4">
      <c r="B31" s="24" t="s">
        <v>167</v>
      </c>
      <c r="C31" s="23">
        <v>455</v>
      </c>
      <c r="D31" s="22">
        <f t="shared" si="0"/>
        <v>2.339572192513369E-2</v>
      </c>
    </row>
    <row r="32" spans="2:4">
      <c r="B32" s="24" t="s">
        <v>166</v>
      </c>
      <c r="C32" s="23">
        <v>1179</v>
      </c>
      <c r="D32" s="22">
        <f t="shared" si="0"/>
        <v>6.062320032908268E-2</v>
      </c>
    </row>
    <row r="33" spans="2:4">
      <c r="B33" s="24" t="s">
        <v>165</v>
      </c>
      <c r="C33" s="23">
        <v>20</v>
      </c>
      <c r="D33" s="22">
        <f t="shared" si="0"/>
        <v>1.0283833813245578E-3</v>
      </c>
    </row>
    <row r="34" spans="2:4">
      <c r="B34" s="24" t="s">
        <v>164</v>
      </c>
      <c r="C34" s="23">
        <v>54</v>
      </c>
      <c r="D34" s="22">
        <f t="shared" si="0"/>
        <v>2.7766351295763062E-3</v>
      </c>
    </row>
    <row r="35" spans="2:4">
      <c r="B35" s="24" t="s">
        <v>163</v>
      </c>
      <c r="C35" s="23">
        <v>14</v>
      </c>
      <c r="D35" s="22">
        <f t="shared" si="0"/>
        <v>7.1986836692719048E-4</v>
      </c>
    </row>
    <row r="36" spans="2:4">
      <c r="B36" s="21" t="s">
        <v>20</v>
      </c>
      <c r="C36" s="20">
        <v>19448</v>
      </c>
      <c r="D36" s="19">
        <f t="shared" si="0"/>
        <v>1</v>
      </c>
    </row>
    <row r="38" spans="2:4">
      <c r="B38" s="72" t="s">
        <v>240</v>
      </c>
    </row>
    <row r="39" spans="2:4">
      <c r="B39" s="72" t="s">
        <v>19</v>
      </c>
    </row>
    <row r="40" spans="2:4">
      <c r="B40" s="72" t="s">
        <v>18</v>
      </c>
    </row>
    <row r="41" spans="2:4">
      <c r="B41" s="72" t="s">
        <v>17</v>
      </c>
    </row>
    <row r="42" spans="2:4">
      <c r="B42" s="72" t="s">
        <v>241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E575"/>
  <sheetViews>
    <sheetView showGridLines="0" topLeftCell="A545" zoomScaleNormal="100" zoomScaleSheetLayoutView="85" workbookViewId="0"/>
  </sheetViews>
  <sheetFormatPr baseColWidth="10" defaultColWidth="35" defaultRowHeight="15" customHeight="1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1" customFormat="1" ht="12" customHeight="1">
      <c r="B1" s="55"/>
      <c r="C1" s="54"/>
      <c r="D1" s="54"/>
      <c r="E1" s="54"/>
    </row>
    <row r="2" spans="1:5" s="51" customFormat="1" ht="15" customHeight="1">
      <c r="C2" s="53"/>
    </row>
    <row r="3" spans="1:5" s="51" customFormat="1" ht="15" customHeight="1">
      <c r="C3" s="53"/>
    </row>
    <row r="4" spans="1:5" s="51" customFormat="1" ht="30" customHeight="1">
      <c r="C4" s="53"/>
      <c r="D4" s="52"/>
    </row>
    <row r="5" spans="1:5" s="51" customFormat="1" ht="15" customHeight="1">
      <c r="C5" s="53"/>
      <c r="D5" s="52"/>
    </row>
    <row r="6" spans="1:5" s="48" customFormat="1" ht="24" customHeight="1">
      <c r="B6" s="50"/>
      <c r="C6" s="44"/>
      <c r="D6" s="44"/>
      <c r="E6" s="44"/>
    </row>
    <row r="7" spans="1:5" s="48" customFormat="1" ht="26.25" customHeight="1">
      <c r="A7" s="49"/>
      <c r="B7" s="94"/>
      <c r="C7" s="94"/>
      <c r="D7" s="94"/>
      <c r="E7" s="94"/>
    </row>
    <row r="8" spans="1:5" s="48" customFormat="1" ht="33" customHeight="1">
      <c r="A8" s="49"/>
      <c r="B8" s="94"/>
      <c r="C8" s="94"/>
      <c r="D8" s="94"/>
      <c r="E8" s="94"/>
    </row>
    <row r="9" spans="1:5" s="26" customFormat="1" ht="40.5" customHeight="1">
      <c r="B9" s="45" t="s">
        <v>189</v>
      </c>
      <c r="C9" s="47" t="s">
        <v>162</v>
      </c>
      <c r="D9" s="46" t="s">
        <v>67</v>
      </c>
      <c r="E9" s="45" t="s">
        <v>66</v>
      </c>
    </row>
    <row r="10" spans="1:5" ht="15" customHeight="1">
      <c r="B10" s="91" t="s">
        <v>186</v>
      </c>
      <c r="C10" s="43" t="s">
        <v>56</v>
      </c>
      <c r="D10" s="42">
        <v>4</v>
      </c>
      <c r="E10" s="41">
        <v>2.0567667626491157E-4</v>
      </c>
    </row>
    <row r="11" spans="1:5" ht="15" customHeight="1">
      <c r="B11" s="92"/>
      <c r="C11" s="43" t="s">
        <v>37</v>
      </c>
      <c r="D11" s="42">
        <v>1</v>
      </c>
      <c r="E11" s="41">
        <v>5.1419169066227893E-5</v>
      </c>
    </row>
    <row r="12" spans="1:5" ht="15" customHeight="1">
      <c r="B12" s="92"/>
      <c r="C12" s="43" t="s">
        <v>62</v>
      </c>
      <c r="D12" s="42">
        <v>4</v>
      </c>
      <c r="E12" s="41">
        <v>2.0567667626491157E-4</v>
      </c>
    </row>
    <row r="13" spans="1:5" ht="15" customHeight="1">
      <c r="B13" s="92"/>
      <c r="C13" s="43" t="s">
        <v>45</v>
      </c>
      <c r="D13" s="42">
        <v>2</v>
      </c>
      <c r="E13" s="41">
        <v>1.0283833813245579E-4</v>
      </c>
    </row>
    <row r="14" spans="1:5" ht="15" customHeight="1">
      <c r="B14" s="92"/>
      <c r="C14" s="43" t="s">
        <v>30</v>
      </c>
      <c r="D14" s="42">
        <v>1</v>
      </c>
      <c r="E14" s="41">
        <v>5.1419169066227893E-5</v>
      </c>
    </row>
    <row r="15" spans="1:5" ht="15" customHeight="1">
      <c r="B15" s="92"/>
      <c r="C15" s="43" t="s">
        <v>63</v>
      </c>
      <c r="D15" s="42">
        <v>8</v>
      </c>
      <c r="E15" s="41">
        <v>4.1135335252982314E-4</v>
      </c>
    </row>
    <row r="16" spans="1:5" ht="15" customHeight="1">
      <c r="B16" s="92"/>
      <c r="C16" s="43" t="s">
        <v>64</v>
      </c>
      <c r="D16" s="42">
        <v>4</v>
      </c>
      <c r="E16" s="41">
        <v>2.0567667626491157E-4</v>
      </c>
    </row>
    <row r="17" spans="2:5" ht="15" customHeight="1">
      <c r="B17" s="92"/>
      <c r="C17" s="43" t="s">
        <v>61</v>
      </c>
      <c r="D17" s="42">
        <v>2</v>
      </c>
      <c r="E17" s="41">
        <v>1.0283833813245579E-4</v>
      </c>
    </row>
    <row r="18" spans="2:5" ht="15" customHeight="1">
      <c r="B18" s="92"/>
      <c r="C18" s="43" t="s">
        <v>43</v>
      </c>
      <c r="D18" s="42">
        <v>1</v>
      </c>
      <c r="E18" s="41">
        <v>5.1419169066227893E-5</v>
      </c>
    </row>
    <row r="19" spans="2:5" ht="15" customHeight="1">
      <c r="B19" s="92"/>
      <c r="C19" s="43" t="s">
        <v>55</v>
      </c>
      <c r="D19" s="42">
        <v>2</v>
      </c>
      <c r="E19" s="41">
        <v>1.0283833813245579E-4</v>
      </c>
    </row>
    <row r="20" spans="2:5" ht="15" customHeight="1">
      <c r="B20" s="92"/>
      <c r="C20" s="43" t="s">
        <v>54</v>
      </c>
      <c r="D20" s="42">
        <v>2</v>
      </c>
      <c r="E20" s="41">
        <v>1.0283833813245579E-4</v>
      </c>
    </row>
    <row r="21" spans="2:5" ht="15" customHeight="1">
      <c r="B21" s="92"/>
      <c r="C21" s="43" t="s">
        <v>51</v>
      </c>
      <c r="D21" s="42">
        <v>2</v>
      </c>
      <c r="E21" s="41">
        <v>1.0283833813245579E-4</v>
      </c>
    </row>
    <row r="22" spans="2:5" ht="15" customHeight="1">
      <c r="B22" s="92"/>
      <c r="C22" s="43" t="s">
        <v>50</v>
      </c>
      <c r="D22" s="42">
        <v>3</v>
      </c>
      <c r="E22" s="41">
        <v>1.5425750719868367E-4</v>
      </c>
    </row>
    <row r="23" spans="2:5" ht="15" customHeight="1">
      <c r="B23" s="92"/>
      <c r="C23" s="43" t="s">
        <v>36</v>
      </c>
      <c r="D23" s="42">
        <v>1</v>
      </c>
      <c r="E23" s="41">
        <v>5.1419169066227893E-5</v>
      </c>
    </row>
    <row r="24" spans="2:5" ht="15" customHeight="1">
      <c r="B24" s="92"/>
      <c r="C24" s="43" t="s">
        <v>41</v>
      </c>
      <c r="D24" s="42">
        <v>1</v>
      </c>
      <c r="E24" s="41">
        <v>5.1419169066227893E-5</v>
      </c>
    </row>
    <row r="25" spans="2:5" ht="15" customHeight="1">
      <c r="B25" s="92"/>
      <c r="C25" s="43" t="s">
        <v>60</v>
      </c>
      <c r="D25" s="42">
        <v>7</v>
      </c>
      <c r="E25" s="41">
        <v>3.5993418346359524E-4</v>
      </c>
    </row>
    <row r="26" spans="2:5" ht="15" customHeight="1">
      <c r="B26" s="92"/>
      <c r="C26" s="43" t="s">
        <v>58</v>
      </c>
      <c r="D26" s="42">
        <v>2</v>
      </c>
      <c r="E26" s="41">
        <v>1.0283833813245579E-4</v>
      </c>
    </row>
    <row r="27" spans="2:5" ht="15" customHeight="1">
      <c r="B27" s="92"/>
      <c r="C27" s="43" t="s">
        <v>52</v>
      </c>
      <c r="D27" s="42">
        <v>4</v>
      </c>
      <c r="E27" s="41">
        <v>2.0567667626491157E-4</v>
      </c>
    </row>
    <row r="28" spans="2:5" ht="15" customHeight="1">
      <c r="B28" s="92"/>
      <c r="C28" s="43" t="s">
        <v>59</v>
      </c>
      <c r="D28" s="42">
        <v>2</v>
      </c>
      <c r="E28" s="41">
        <v>1.0283833813245579E-4</v>
      </c>
    </row>
    <row r="29" spans="2:5" ht="15" customHeight="1">
      <c r="B29" s="92"/>
      <c r="C29" s="43" t="s">
        <v>65</v>
      </c>
      <c r="D29" s="42">
        <v>88</v>
      </c>
      <c r="E29" s="41">
        <v>4.5248868778280547E-3</v>
      </c>
    </row>
    <row r="30" spans="2:5" ht="15" customHeight="1">
      <c r="B30" s="92"/>
      <c r="C30" s="43" t="s">
        <v>39</v>
      </c>
      <c r="D30" s="42">
        <v>1</v>
      </c>
      <c r="E30" s="41">
        <v>5.1419169066227893E-5</v>
      </c>
    </row>
    <row r="31" spans="2:5" ht="15" customHeight="1">
      <c r="B31" s="92"/>
      <c r="C31" s="43" t="s">
        <v>49</v>
      </c>
      <c r="D31" s="42">
        <v>1</v>
      </c>
      <c r="E31" s="41">
        <v>5.1419169066227893E-5</v>
      </c>
    </row>
    <row r="32" spans="2:5" ht="15" customHeight="1">
      <c r="B32" s="92"/>
      <c r="C32" s="43" t="s">
        <v>46</v>
      </c>
      <c r="D32" s="42">
        <v>1</v>
      </c>
      <c r="E32" s="41">
        <v>5.1419169066227893E-5</v>
      </c>
    </row>
    <row r="33" spans="2:5" ht="15" customHeight="1">
      <c r="B33" s="93"/>
      <c r="C33" s="40" t="s">
        <v>20</v>
      </c>
      <c r="D33" s="39">
        <v>144</v>
      </c>
      <c r="E33" s="38">
        <v>7.4043603455368158E-3</v>
      </c>
    </row>
    <row r="34" spans="2:5" ht="15" customHeight="1">
      <c r="B34" s="91" t="s">
        <v>185</v>
      </c>
      <c r="C34" s="43" t="s">
        <v>37</v>
      </c>
      <c r="D34" s="42">
        <v>1</v>
      </c>
      <c r="E34" s="41">
        <v>5.1419169066227893E-5</v>
      </c>
    </row>
    <row r="35" spans="2:5" ht="15" customHeight="1">
      <c r="B35" s="92"/>
      <c r="C35" s="43" t="s">
        <v>57</v>
      </c>
      <c r="D35" s="42">
        <v>1</v>
      </c>
      <c r="E35" s="41">
        <v>5.1419169066227893E-5</v>
      </c>
    </row>
    <row r="36" spans="2:5" ht="15" customHeight="1">
      <c r="B36" s="92"/>
      <c r="C36" s="43" t="s">
        <v>62</v>
      </c>
      <c r="D36" s="42">
        <v>4</v>
      </c>
      <c r="E36" s="41">
        <v>2.0567667626491157E-4</v>
      </c>
    </row>
    <row r="37" spans="2:5" ht="15" customHeight="1">
      <c r="B37" s="92"/>
      <c r="C37" s="43" t="s">
        <v>63</v>
      </c>
      <c r="D37" s="42">
        <v>7</v>
      </c>
      <c r="E37" s="41">
        <v>3.5993418346359524E-4</v>
      </c>
    </row>
    <row r="38" spans="2:5" ht="15" customHeight="1">
      <c r="B38" s="92"/>
      <c r="C38" s="43" t="s">
        <v>64</v>
      </c>
      <c r="D38" s="42">
        <v>4</v>
      </c>
      <c r="E38" s="41">
        <v>2.0567667626491157E-4</v>
      </c>
    </row>
    <row r="39" spans="2:5" ht="15" customHeight="1">
      <c r="B39" s="92"/>
      <c r="C39" s="43" t="s">
        <v>61</v>
      </c>
      <c r="D39" s="42">
        <v>3</v>
      </c>
      <c r="E39" s="41">
        <v>1.5425750719868367E-4</v>
      </c>
    </row>
    <row r="40" spans="2:5" ht="15" customHeight="1">
      <c r="B40" s="92"/>
      <c r="C40" s="43" t="s">
        <v>42</v>
      </c>
      <c r="D40" s="42">
        <v>1</v>
      </c>
      <c r="E40" s="41">
        <v>5.1419169066227893E-5</v>
      </c>
    </row>
    <row r="41" spans="2:5" ht="15" customHeight="1">
      <c r="B41" s="92"/>
      <c r="C41" s="43" t="s">
        <v>55</v>
      </c>
      <c r="D41" s="42">
        <v>2</v>
      </c>
      <c r="E41" s="41">
        <v>1.0283833813245579E-4</v>
      </c>
    </row>
    <row r="42" spans="2:5" ht="15" customHeight="1">
      <c r="B42" s="92"/>
      <c r="C42" s="43" t="s">
        <v>29</v>
      </c>
      <c r="D42" s="42">
        <v>1</v>
      </c>
      <c r="E42" s="41">
        <v>5.1419169066227893E-5</v>
      </c>
    </row>
    <row r="43" spans="2:5" ht="15" customHeight="1">
      <c r="B43" s="92"/>
      <c r="C43" s="43" t="s">
        <v>26</v>
      </c>
      <c r="D43" s="42">
        <v>1</v>
      </c>
      <c r="E43" s="41">
        <v>5.1419169066227893E-5</v>
      </c>
    </row>
    <row r="44" spans="2:5" ht="15" customHeight="1">
      <c r="B44" s="92"/>
      <c r="C44" s="43" t="s">
        <v>54</v>
      </c>
      <c r="D44" s="42">
        <v>1</v>
      </c>
      <c r="E44" s="41">
        <v>5.1419169066227893E-5</v>
      </c>
    </row>
    <row r="45" spans="2:5" ht="15" customHeight="1">
      <c r="B45" s="92"/>
      <c r="C45" s="43" t="s">
        <v>36</v>
      </c>
      <c r="D45" s="42">
        <v>1</v>
      </c>
      <c r="E45" s="41">
        <v>5.1419169066227893E-5</v>
      </c>
    </row>
    <row r="46" spans="2:5" ht="15" customHeight="1">
      <c r="B46" s="92"/>
      <c r="C46" s="43" t="s">
        <v>60</v>
      </c>
      <c r="D46" s="42">
        <v>2</v>
      </c>
      <c r="E46" s="41">
        <v>1.0283833813245579E-4</v>
      </c>
    </row>
    <row r="47" spans="2:5" ht="15" customHeight="1">
      <c r="B47" s="92"/>
      <c r="C47" s="43" t="s">
        <v>48</v>
      </c>
      <c r="D47" s="42">
        <v>1</v>
      </c>
      <c r="E47" s="41">
        <v>5.1419169066227893E-5</v>
      </c>
    </row>
    <row r="48" spans="2:5" ht="15" customHeight="1">
      <c r="B48" s="92"/>
      <c r="C48" s="43" t="s">
        <v>52</v>
      </c>
      <c r="D48" s="42">
        <v>1</v>
      </c>
      <c r="E48" s="41">
        <v>5.1419169066227893E-5</v>
      </c>
    </row>
    <row r="49" spans="2:5" ht="15" customHeight="1">
      <c r="B49" s="92"/>
      <c r="C49" s="43" t="s">
        <v>65</v>
      </c>
      <c r="D49" s="42">
        <v>39</v>
      </c>
      <c r="E49" s="41">
        <v>2.0053475935828879E-3</v>
      </c>
    </row>
    <row r="50" spans="2:5" ht="15" customHeight="1">
      <c r="B50" s="92"/>
      <c r="C50" s="43" t="s">
        <v>46</v>
      </c>
      <c r="D50" s="42">
        <v>1</v>
      </c>
      <c r="E50" s="41">
        <v>5.1419169066227893E-5</v>
      </c>
    </row>
    <row r="51" spans="2:5" ht="15" customHeight="1">
      <c r="B51" s="93"/>
      <c r="C51" s="40" t="s">
        <v>20</v>
      </c>
      <c r="D51" s="39">
        <v>71</v>
      </c>
      <c r="E51" s="38">
        <v>3.6507610037021803E-3</v>
      </c>
    </row>
    <row r="52" spans="2:5" ht="15" customHeight="1">
      <c r="B52" s="91" t="s">
        <v>184</v>
      </c>
      <c r="C52" s="43" t="s">
        <v>56</v>
      </c>
      <c r="D52" s="42">
        <v>2</v>
      </c>
      <c r="E52" s="41">
        <v>1.0283833813245579E-4</v>
      </c>
    </row>
    <row r="53" spans="2:5" ht="15" customHeight="1">
      <c r="B53" s="92"/>
      <c r="C53" s="43" t="s">
        <v>62</v>
      </c>
      <c r="D53" s="42">
        <v>5</v>
      </c>
      <c r="E53" s="41">
        <v>2.5709584533113944E-4</v>
      </c>
    </row>
    <row r="54" spans="2:5" ht="15" customHeight="1">
      <c r="B54" s="92"/>
      <c r="C54" s="43" t="s">
        <v>63</v>
      </c>
      <c r="D54" s="42">
        <v>4</v>
      </c>
      <c r="E54" s="41">
        <v>2.0567667626491157E-4</v>
      </c>
    </row>
    <row r="55" spans="2:5" ht="15" customHeight="1">
      <c r="B55" s="92"/>
      <c r="C55" s="43" t="s">
        <v>64</v>
      </c>
      <c r="D55" s="42">
        <v>5</v>
      </c>
      <c r="E55" s="41">
        <v>2.5709584533113944E-4</v>
      </c>
    </row>
    <row r="56" spans="2:5" ht="15" customHeight="1">
      <c r="B56" s="92"/>
      <c r="C56" s="43" t="s">
        <v>61</v>
      </c>
      <c r="D56" s="42">
        <v>1</v>
      </c>
      <c r="E56" s="41">
        <v>5.1419169066227893E-5</v>
      </c>
    </row>
    <row r="57" spans="2:5" ht="15" customHeight="1">
      <c r="B57" s="92"/>
      <c r="C57" s="43" t="s">
        <v>43</v>
      </c>
      <c r="D57" s="42">
        <v>2</v>
      </c>
      <c r="E57" s="41">
        <v>1.0283833813245579E-4</v>
      </c>
    </row>
    <row r="58" spans="2:5" ht="15" customHeight="1">
      <c r="B58" s="92"/>
      <c r="C58" s="43" t="s">
        <v>55</v>
      </c>
      <c r="D58" s="42">
        <v>1</v>
      </c>
      <c r="E58" s="41">
        <v>5.1419169066227893E-5</v>
      </c>
    </row>
    <row r="59" spans="2:5" ht="15" customHeight="1">
      <c r="B59" s="92"/>
      <c r="C59" s="43" t="s">
        <v>54</v>
      </c>
      <c r="D59" s="42">
        <v>2</v>
      </c>
      <c r="E59" s="41">
        <v>1.0283833813245579E-4</v>
      </c>
    </row>
    <row r="60" spans="2:5" ht="15" customHeight="1">
      <c r="B60" s="92"/>
      <c r="C60" s="43" t="s">
        <v>41</v>
      </c>
      <c r="D60" s="42">
        <v>1</v>
      </c>
      <c r="E60" s="41">
        <v>5.1419169066227893E-5</v>
      </c>
    </row>
    <row r="61" spans="2:5" ht="15" customHeight="1">
      <c r="B61" s="92"/>
      <c r="C61" s="43" t="s">
        <v>60</v>
      </c>
      <c r="D61" s="42">
        <v>2</v>
      </c>
      <c r="E61" s="41">
        <v>1.0283833813245579E-4</v>
      </c>
    </row>
    <row r="62" spans="2:5" ht="15" customHeight="1">
      <c r="B62" s="92"/>
      <c r="C62" s="43" t="s">
        <v>48</v>
      </c>
      <c r="D62" s="42">
        <v>2</v>
      </c>
      <c r="E62" s="41">
        <v>1.0283833813245579E-4</v>
      </c>
    </row>
    <row r="63" spans="2:5" ht="15" customHeight="1">
      <c r="B63" s="92"/>
      <c r="C63" s="43" t="s">
        <v>52</v>
      </c>
      <c r="D63" s="42">
        <v>1</v>
      </c>
      <c r="E63" s="41">
        <v>5.1419169066227893E-5</v>
      </c>
    </row>
    <row r="64" spans="2:5" ht="15" customHeight="1">
      <c r="B64" s="92"/>
      <c r="C64" s="43" t="s">
        <v>59</v>
      </c>
      <c r="D64" s="42">
        <v>3</v>
      </c>
      <c r="E64" s="41">
        <v>1.5425750719868367E-4</v>
      </c>
    </row>
    <row r="65" spans="2:5" ht="15" customHeight="1">
      <c r="B65" s="92"/>
      <c r="C65" s="43" t="s">
        <v>65</v>
      </c>
      <c r="D65" s="42">
        <v>67</v>
      </c>
      <c r="E65" s="41">
        <v>3.4450843274372684E-3</v>
      </c>
    </row>
    <row r="66" spans="2:5" ht="15" customHeight="1">
      <c r="B66" s="92"/>
      <c r="C66" s="43" t="s">
        <v>49</v>
      </c>
      <c r="D66" s="42">
        <v>2</v>
      </c>
      <c r="E66" s="41">
        <v>1.0283833813245579E-4</v>
      </c>
    </row>
    <row r="67" spans="2:5" ht="15" customHeight="1">
      <c r="B67" s="92"/>
      <c r="C67" s="43" t="s">
        <v>46</v>
      </c>
      <c r="D67" s="42">
        <v>1</v>
      </c>
      <c r="E67" s="41">
        <v>5.1419169066227893E-5</v>
      </c>
    </row>
    <row r="68" spans="2:5" ht="15" customHeight="1">
      <c r="B68" s="93"/>
      <c r="C68" s="40" t="s">
        <v>20</v>
      </c>
      <c r="D68" s="39">
        <v>101</v>
      </c>
      <c r="E68" s="38">
        <v>5.1933360756890165E-3</v>
      </c>
    </row>
    <row r="69" spans="2:5" ht="15" customHeight="1">
      <c r="B69" s="91" t="s">
        <v>183</v>
      </c>
      <c r="C69" s="43" t="s">
        <v>56</v>
      </c>
      <c r="D69" s="42">
        <v>1</v>
      </c>
      <c r="E69" s="41">
        <v>5.1419169066227893E-5</v>
      </c>
    </row>
    <row r="70" spans="2:5" ht="15" customHeight="1">
      <c r="B70" s="92"/>
      <c r="C70" s="43" t="s">
        <v>37</v>
      </c>
      <c r="D70" s="42">
        <v>1</v>
      </c>
      <c r="E70" s="41">
        <v>5.1419169066227893E-5</v>
      </c>
    </row>
    <row r="71" spans="2:5" ht="15" customHeight="1">
      <c r="B71" s="92"/>
      <c r="C71" s="43" t="s">
        <v>57</v>
      </c>
      <c r="D71" s="42">
        <v>3</v>
      </c>
      <c r="E71" s="41">
        <v>1.5425750719868367E-4</v>
      </c>
    </row>
    <row r="72" spans="2:5" ht="15" customHeight="1">
      <c r="B72" s="92"/>
      <c r="C72" s="43" t="s">
        <v>62</v>
      </c>
      <c r="D72" s="42">
        <v>6</v>
      </c>
      <c r="E72" s="41">
        <v>3.0851501439736734E-4</v>
      </c>
    </row>
    <row r="73" spans="2:5" ht="15" customHeight="1">
      <c r="B73" s="92"/>
      <c r="C73" s="43" t="s">
        <v>30</v>
      </c>
      <c r="D73" s="42">
        <v>1</v>
      </c>
      <c r="E73" s="41">
        <v>5.1419169066227893E-5</v>
      </c>
    </row>
    <row r="74" spans="2:5" ht="15" customHeight="1">
      <c r="B74" s="92"/>
      <c r="C74" s="43" t="s">
        <v>63</v>
      </c>
      <c r="D74" s="42">
        <v>11</v>
      </c>
      <c r="E74" s="41">
        <v>5.6561085972850684E-4</v>
      </c>
    </row>
    <row r="75" spans="2:5" ht="15" customHeight="1">
      <c r="B75" s="92"/>
      <c r="C75" s="43" t="s">
        <v>64</v>
      </c>
      <c r="D75" s="42">
        <v>4</v>
      </c>
      <c r="E75" s="41">
        <v>2.0567667626491157E-4</v>
      </c>
    </row>
    <row r="76" spans="2:5" ht="15" customHeight="1">
      <c r="B76" s="92"/>
      <c r="C76" s="43" t="s">
        <v>61</v>
      </c>
      <c r="D76" s="42">
        <v>3</v>
      </c>
      <c r="E76" s="41">
        <v>1.5425750719868367E-4</v>
      </c>
    </row>
    <row r="77" spans="2:5" ht="15" customHeight="1">
      <c r="B77" s="92"/>
      <c r="C77" s="43" t="s">
        <v>53</v>
      </c>
      <c r="D77" s="42">
        <v>4</v>
      </c>
      <c r="E77" s="41">
        <v>2.0567667626491157E-4</v>
      </c>
    </row>
    <row r="78" spans="2:5" ht="15" customHeight="1">
      <c r="B78" s="92"/>
      <c r="C78" s="43" t="s">
        <v>43</v>
      </c>
      <c r="D78" s="42">
        <v>1</v>
      </c>
      <c r="E78" s="41">
        <v>5.1419169066227893E-5</v>
      </c>
    </row>
    <row r="79" spans="2:5" ht="15" customHeight="1">
      <c r="B79" s="92"/>
      <c r="C79" s="43" t="s">
        <v>44</v>
      </c>
      <c r="D79" s="42">
        <v>1</v>
      </c>
      <c r="E79" s="41">
        <v>5.1419169066227893E-5</v>
      </c>
    </row>
    <row r="80" spans="2:5" ht="15" customHeight="1">
      <c r="B80" s="92"/>
      <c r="C80" s="43" t="s">
        <v>55</v>
      </c>
      <c r="D80" s="42">
        <v>4</v>
      </c>
      <c r="E80" s="41">
        <v>2.0567667626491157E-4</v>
      </c>
    </row>
    <row r="81" spans="2:5" ht="15" customHeight="1">
      <c r="B81" s="92"/>
      <c r="C81" s="43" t="s">
        <v>54</v>
      </c>
      <c r="D81" s="42">
        <v>2</v>
      </c>
      <c r="E81" s="41">
        <v>1.0283833813245579E-4</v>
      </c>
    </row>
    <row r="82" spans="2:5" ht="15" customHeight="1">
      <c r="B82" s="92"/>
      <c r="C82" s="43" t="s">
        <v>50</v>
      </c>
      <c r="D82" s="42">
        <v>3</v>
      </c>
      <c r="E82" s="41">
        <v>1.5425750719868367E-4</v>
      </c>
    </row>
    <row r="83" spans="2:5" ht="15" customHeight="1">
      <c r="B83" s="92"/>
      <c r="C83" s="43" t="s">
        <v>38</v>
      </c>
      <c r="D83" s="42">
        <v>1</v>
      </c>
      <c r="E83" s="41">
        <v>5.1419169066227893E-5</v>
      </c>
    </row>
    <row r="84" spans="2:5" ht="15" customHeight="1">
      <c r="B84" s="92"/>
      <c r="C84" s="43" t="s">
        <v>60</v>
      </c>
      <c r="D84" s="42">
        <v>5</v>
      </c>
      <c r="E84" s="41">
        <v>2.5709584533113944E-4</v>
      </c>
    </row>
    <row r="85" spans="2:5" ht="15" customHeight="1">
      <c r="B85" s="92"/>
      <c r="C85" s="43" t="s">
        <v>48</v>
      </c>
      <c r="D85" s="42">
        <v>1</v>
      </c>
      <c r="E85" s="41">
        <v>5.1419169066227893E-5</v>
      </c>
    </row>
    <row r="86" spans="2:5" ht="15" customHeight="1">
      <c r="B86" s="92"/>
      <c r="C86" s="43" t="s">
        <v>28</v>
      </c>
      <c r="D86" s="42">
        <v>1</v>
      </c>
      <c r="E86" s="41">
        <v>5.1419169066227893E-5</v>
      </c>
    </row>
    <row r="87" spans="2:5" ht="15" customHeight="1">
      <c r="B87" s="92"/>
      <c r="C87" s="43" t="s">
        <v>32</v>
      </c>
      <c r="D87" s="42">
        <v>1</v>
      </c>
      <c r="E87" s="41">
        <v>5.1419169066227893E-5</v>
      </c>
    </row>
    <row r="88" spans="2:5" ht="15" customHeight="1">
      <c r="B88" s="92"/>
      <c r="C88" s="43" t="s">
        <v>52</v>
      </c>
      <c r="D88" s="42">
        <v>3</v>
      </c>
      <c r="E88" s="41">
        <v>1.5425750719868367E-4</v>
      </c>
    </row>
    <row r="89" spans="2:5" ht="15" customHeight="1">
      <c r="B89" s="92"/>
      <c r="C89" s="43" t="s">
        <v>59</v>
      </c>
      <c r="D89" s="42">
        <v>3</v>
      </c>
      <c r="E89" s="41">
        <v>1.5425750719868367E-4</v>
      </c>
    </row>
    <row r="90" spans="2:5" ht="15" customHeight="1">
      <c r="B90" s="92"/>
      <c r="C90" s="43" t="s">
        <v>65</v>
      </c>
      <c r="D90" s="42">
        <v>144</v>
      </c>
      <c r="E90" s="41">
        <v>7.4043603455368158E-3</v>
      </c>
    </row>
    <row r="91" spans="2:5" ht="15" customHeight="1">
      <c r="B91" s="92"/>
      <c r="C91" s="43" t="s">
        <v>49</v>
      </c>
      <c r="D91" s="42">
        <v>1</v>
      </c>
      <c r="E91" s="41">
        <v>5.1419169066227893E-5</v>
      </c>
    </row>
    <row r="92" spans="2:5" ht="15" customHeight="1">
      <c r="B92" s="93"/>
      <c r="C92" s="40" t="s">
        <v>20</v>
      </c>
      <c r="D92" s="39">
        <v>205</v>
      </c>
      <c r="E92" s="38">
        <v>1.0540929658576717E-2</v>
      </c>
    </row>
    <row r="93" spans="2:5" ht="15" customHeight="1">
      <c r="B93" s="91" t="s">
        <v>182</v>
      </c>
      <c r="C93" s="43" t="s">
        <v>56</v>
      </c>
      <c r="D93" s="42">
        <v>1</v>
      </c>
      <c r="E93" s="41">
        <v>5.1419169066227893E-5</v>
      </c>
    </row>
    <row r="94" spans="2:5" ht="15" customHeight="1">
      <c r="B94" s="92"/>
      <c r="C94" s="43" t="s">
        <v>57</v>
      </c>
      <c r="D94" s="42">
        <v>3</v>
      </c>
      <c r="E94" s="41">
        <v>1.5425750719868367E-4</v>
      </c>
    </row>
    <row r="95" spans="2:5" ht="15" customHeight="1">
      <c r="B95" s="92"/>
      <c r="C95" s="43" t="s">
        <v>62</v>
      </c>
      <c r="D95" s="42">
        <v>5</v>
      </c>
      <c r="E95" s="41">
        <v>2.5709584533113944E-4</v>
      </c>
    </row>
    <row r="96" spans="2:5" ht="15" customHeight="1">
      <c r="B96" s="92"/>
      <c r="C96" s="43" t="s">
        <v>45</v>
      </c>
      <c r="D96" s="42">
        <v>1</v>
      </c>
      <c r="E96" s="41">
        <v>5.1419169066227893E-5</v>
      </c>
    </row>
    <row r="97" spans="2:5" ht="15" customHeight="1">
      <c r="B97" s="92"/>
      <c r="C97" s="43" t="s">
        <v>63</v>
      </c>
      <c r="D97" s="42">
        <v>9</v>
      </c>
      <c r="E97" s="41">
        <v>4.6277252159605099E-4</v>
      </c>
    </row>
    <row r="98" spans="2:5" ht="15" customHeight="1">
      <c r="B98" s="92"/>
      <c r="C98" s="43" t="s">
        <v>64</v>
      </c>
      <c r="D98" s="42">
        <v>5</v>
      </c>
      <c r="E98" s="41">
        <v>2.5709584533113944E-4</v>
      </c>
    </row>
    <row r="99" spans="2:5" ht="15" customHeight="1">
      <c r="B99" s="92"/>
      <c r="C99" s="43" t="s">
        <v>53</v>
      </c>
      <c r="D99" s="42">
        <v>3</v>
      </c>
      <c r="E99" s="41">
        <v>1.5425750719868367E-4</v>
      </c>
    </row>
    <row r="100" spans="2:5" ht="15" customHeight="1">
      <c r="B100" s="92"/>
      <c r="C100" s="43" t="s">
        <v>44</v>
      </c>
      <c r="D100" s="42">
        <v>1</v>
      </c>
      <c r="E100" s="41">
        <v>5.1419169066227893E-5</v>
      </c>
    </row>
    <row r="101" spans="2:5" ht="15" customHeight="1">
      <c r="B101" s="92"/>
      <c r="C101" s="43" t="s">
        <v>42</v>
      </c>
      <c r="D101" s="42">
        <v>1</v>
      </c>
      <c r="E101" s="41">
        <v>5.1419169066227893E-5</v>
      </c>
    </row>
    <row r="102" spans="2:5" ht="15" customHeight="1">
      <c r="B102" s="92"/>
      <c r="C102" s="43" t="s">
        <v>55</v>
      </c>
      <c r="D102" s="42">
        <v>3</v>
      </c>
      <c r="E102" s="41">
        <v>1.5425750719868367E-4</v>
      </c>
    </row>
    <row r="103" spans="2:5" ht="15" customHeight="1">
      <c r="B103" s="92"/>
      <c r="C103" s="43" t="s">
        <v>54</v>
      </c>
      <c r="D103" s="42">
        <v>1</v>
      </c>
      <c r="E103" s="41">
        <v>5.1419169066227893E-5</v>
      </c>
    </row>
    <row r="104" spans="2:5" ht="15" customHeight="1">
      <c r="B104" s="92"/>
      <c r="C104" s="43" t="s">
        <v>60</v>
      </c>
      <c r="D104" s="42">
        <v>5</v>
      </c>
      <c r="E104" s="41">
        <v>2.5709584533113944E-4</v>
      </c>
    </row>
    <row r="105" spans="2:5" ht="15" customHeight="1">
      <c r="B105" s="92"/>
      <c r="C105" s="43" t="s">
        <v>32</v>
      </c>
      <c r="D105" s="42">
        <v>1</v>
      </c>
      <c r="E105" s="41">
        <v>5.1419169066227893E-5</v>
      </c>
    </row>
    <row r="106" spans="2:5" ht="15" customHeight="1">
      <c r="B106" s="92"/>
      <c r="C106" s="43" t="s">
        <v>59</v>
      </c>
      <c r="D106" s="42">
        <v>2</v>
      </c>
      <c r="E106" s="41">
        <v>1.0283833813245579E-4</v>
      </c>
    </row>
    <row r="107" spans="2:5" ht="15" customHeight="1">
      <c r="B107" s="92"/>
      <c r="C107" s="43" t="s">
        <v>65</v>
      </c>
      <c r="D107" s="42">
        <v>114</v>
      </c>
      <c r="E107" s="41">
        <v>5.8617852735499791E-3</v>
      </c>
    </row>
    <row r="108" spans="2:5" ht="15" customHeight="1">
      <c r="B108" s="92"/>
      <c r="C108" s="43" t="s">
        <v>39</v>
      </c>
      <c r="D108" s="42">
        <v>1</v>
      </c>
      <c r="E108" s="41">
        <v>5.1419169066227893E-5</v>
      </c>
    </row>
    <row r="109" spans="2:5" ht="15" customHeight="1">
      <c r="B109" s="93"/>
      <c r="C109" s="40" t="s">
        <v>20</v>
      </c>
      <c r="D109" s="39">
        <v>156</v>
      </c>
      <c r="E109" s="38">
        <v>8.0213903743315516E-3</v>
      </c>
    </row>
    <row r="110" spans="2:5" ht="15" customHeight="1">
      <c r="B110" s="91" t="s">
        <v>181</v>
      </c>
      <c r="C110" s="43" t="s">
        <v>56</v>
      </c>
      <c r="D110" s="42">
        <v>2</v>
      </c>
      <c r="E110" s="41">
        <v>1.0283833813245579E-4</v>
      </c>
    </row>
    <row r="111" spans="2:5" ht="15" customHeight="1">
      <c r="B111" s="92"/>
      <c r="C111" s="43" t="s">
        <v>37</v>
      </c>
      <c r="D111" s="42">
        <v>1</v>
      </c>
      <c r="E111" s="41">
        <v>5.1419169066227893E-5</v>
      </c>
    </row>
    <row r="112" spans="2:5" ht="15" customHeight="1">
      <c r="B112" s="92"/>
      <c r="C112" s="43" t="s">
        <v>57</v>
      </c>
      <c r="D112" s="42">
        <v>3</v>
      </c>
      <c r="E112" s="41">
        <v>1.5425750719868367E-4</v>
      </c>
    </row>
    <row r="113" spans="2:5" ht="15" customHeight="1">
      <c r="B113" s="92"/>
      <c r="C113" s="43" t="s">
        <v>62</v>
      </c>
      <c r="D113" s="42">
        <v>3</v>
      </c>
      <c r="E113" s="41">
        <v>1.5425750719868367E-4</v>
      </c>
    </row>
    <row r="114" spans="2:5" ht="15" customHeight="1">
      <c r="B114" s="92"/>
      <c r="C114" s="43" t="s">
        <v>45</v>
      </c>
      <c r="D114" s="42">
        <v>1</v>
      </c>
      <c r="E114" s="41">
        <v>5.1419169066227893E-5</v>
      </c>
    </row>
    <row r="115" spans="2:5" ht="15" customHeight="1">
      <c r="B115" s="92"/>
      <c r="C115" s="43" t="s">
        <v>30</v>
      </c>
      <c r="D115" s="42">
        <v>1</v>
      </c>
      <c r="E115" s="41">
        <v>5.1419169066227893E-5</v>
      </c>
    </row>
    <row r="116" spans="2:5" ht="15" customHeight="1">
      <c r="B116" s="92"/>
      <c r="C116" s="43" t="s">
        <v>63</v>
      </c>
      <c r="D116" s="42">
        <v>14</v>
      </c>
      <c r="E116" s="41">
        <v>7.1986836692719048E-4</v>
      </c>
    </row>
    <row r="117" spans="2:5" ht="15" customHeight="1">
      <c r="B117" s="92"/>
      <c r="C117" s="43" t="s">
        <v>64</v>
      </c>
      <c r="D117" s="42">
        <v>7</v>
      </c>
      <c r="E117" s="41">
        <v>3.5993418346359524E-4</v>
      </c>
    </row>
    <row r="118" spans="2:5" ht="15" customHeight="1">
      <c r="B118" s="92"/>
      <c r="C118" s="43" t="s">
        <v>61</v>
      </c>
      <c r="D118" s="42">
        <v>1</v>
      </c>
      <c r="E118" s="41">
        <v>5.1419169066227893E-5</v>
      </c>
    </row>
    <row r="119" spans="2:5" ht="15" customHeight="1">
      <c r="B119" s="92"/>
      <c r="C119" s="43" t="s">
        <v>55</v>
      </c>
      <c r="D119" s="42">
        <v>3</v>
      </c>
      <c r="E119" s="41">
        <v>1.5425750719868367E-4</v>
      </c>
    </row>
    <row r="120" spans="2:5" ht="15" customHeight="1">
      <c r="B120" s="92"/>
      <c r="C120" s="43" t="s">
        <v>29</v>
      </c>
      <c r="D120" s="42">
        <v>1</v>
      </c>
      <c r="E120" s="41">
        <v>5.1419169066227893E-5</v>
      </c>
    </row>
    <row r="121" spans="2:5" ht="15" customHeight="1">
      <c r="B121" s="92"/>
      <c r="C121" s="43" t="s">
        <v>54</v>
      </c>
      <c r="D121" s="42">
        <v>3</v>
      </c>
      <c r="E121" s="41">
        <v>1.5425750719868367E-4</v>
      </c>
    </row>
    <row r="122" spans="2:5" ht="15" customHeight="1">
      <c r="B122" s="92"/>
      <c r="C122" s="43" t="s">
        <v>50</v>
      </c>
      <c r="D122" s="42">
        <v>2</v>
      </c>
      <c r="E122" s="41">
        <v>1.0283833813245579E-4</v>
      </c>
    </row>
    <row r="123" spans="2:5" ht="15" customHeight="1">
      <c r="B123" s="92"/>
      <c r="C123" s="43" t="s">
        <v>47</v>
      </c>
      <c r="D123" s="42">
        <v>1</v>
      </c>
      <c r="E123" s="41">
        <v>5.1419169066227893E-5</v>
      </c>
    </row>
    <row r="124" spans="2:5" ht="15" customHeight="1">
      <c r="B124" s="92"/>
      <c r="C124" s="43" t="s">
        <v>40</v>
      </c>
      <c r="D124" s="42">
        <v>3</v>
      </c>
      <c r="E124" s="41">
        <v>1.5425750719868367E-4</v>
      </c>
    </row>
    <row r="125" spans="2:5" ht="15" customHeight="1">
      <c r="B125" s="92"/>
      <c r="C125" s="43" t="s">
        <v>33</v>
      </c>
      <c r="D125" s="42">
        <v>1</v>
      </c>
      <c r="E125" s="41">
        <v>5.1419169066227893E-5</v>
      </c>
    </row>
    <row r="126" spans="2:5" ht="15" customHeight="1">
      <c r="B126" s="92"/>
      <c r="C126" s="43" t="s">
        <v>41</v>
      </c>
      <c r="D126" s="42">
        <v>2</v>
      </c>
      <c r="E126" s="41">
        <v>1.0283833813245579E-4</v>
      </c>
    </row>
    <row r="127" spans="2:5" ht="15" customHeight="1">
      <c r="B127" s="92"/>
      <c r="C127" s="43" t="s">
        <v>60</v>
      </c>
      <c r="D127" s="42">
        <v>8</v>
      </c>
      <c r="E127" s="41">
        <v>4.1135335252982314E-4</v>
      </c>
    </row>
    <row r="128" spans="2:5" ht="15" customHeight="1">
      <c r="B128" s="92"/>
      <c r="C128" s="43" t="s">
        <v>48</v>
      </c>
      <c r="D128" s="42">
        <v>1</v>
      </c>
      <c r="E128" s="41">
        <v>5.1419169066227893E-5</v>
      </c>
    </row>
    <row r="129" spans="2:5" ht="15" customHeight="1">
      <c r="B129" s="92"/>
      <c r="C129" s="43" t="s">
        <v>58</v>
      </c>
      <c r="D129" s="42">
        <v>1</v>
      </c>
      <c r="E129" s="41">
        <v>5.1419169066227893E-5</v>
      </c>
    </row>
    <row r="130" spans="2:5" ht="15" customHeight="1">
      <c r="B130" s="92"/>
      <c r="C130" s="43" t="s">
        <v>52</v>
      </c>
      <c r="D130" s="42">
        <v>2</v>
      </c>
      <c r="E130" s="41">
        <v>1.0283833813245579E-4</v>
      </c>
    </row>
    <row r="131" spans="2:5" ht="15" customHeight="1">
      <c r="B131" s="92"/>
      <c r="C131" s="43" t="s">
        <v>59</v>
      </c>
      <c r="D131" s="42">
        <v>4</v>
      </c>
      <c r="E131" s="41">
        <v>2.0567667626491157E-4</v>
      </c>
    </row>
    <row r="132" spans="2:5" ht="15" customHeight="1">
      <c r="B132" s="92"/>
      <c r="C132" s="43" t="s">
        <v>65</v>
      </c>
      <c r="D132" s="42">
        <v>164</v>
      </c>
      <c r="E132" s="41">
        <v>8.4327437268613744E-3</v>
      </c>
    </row>
    <row r="133" spans="2:5" ht="15" customHeight="1">
      <c r="B133" s="92"/>
      <c r="C133" s="43" t="s">
        <v>49</v>
      </c>
      <c r="D133" s="42">
        <v>2</v>
      </c>
      <c r="E133" s="41">
        <v>1.0283833813245579E-4</v>
      </c>
    </row>
    <row r="134" spans="2:5" ht="15" customHeight="1">
      <c r="B134" s="93"/>
      <c r="C134" s="40" t="s">
        <v>20</v>
      </c>
      <c r="D134" s="39">
        <v>231</v>
      </c>
      <c r="E134" s="38">
        <v>1.1877828054298642E-2</v>
      </c>
    </row>
    <row r="135" spans="2:5" ht="15" customHeight="1">
      <c r="B135" s="91" t="s">
        <v>180</v>
      </c>
      <c r="C135" s="43" t="s">
        <v>56</v>
      </c>
      <c r="D135" s="42">
        <v>5</v>
      </c>
      <c r="E135" s="41">
        <v>2.5709584533113944E-4</v>
      </c>
    </row>
    <row r="136" spans="2:5" ht="15" customHeight="1">
      <c r="B136" s="92"/>
      <c r="C136" s="43" t="s">
        <v>37</v>
      </c>
      <c r="D136" s="42">
        <v>1</v>
      </c>
      <c r="E136" s="41">
        <v>5.1419169066227893E-5</v>
      </c>
    </row>
    <row r="137" spans="2:5" ht="15" customHeight="1">
      <c r="B137" s="92"/>
      <c r="C137" s="43" t="s">
        <v>57</v>
      </c>
      <c r="D137" s="42">
        <v>5</v>
      </c>
      <c r="E137" s="41">
        <v>2.5709584533113944E-4</v>
      </c>
    </row>
    <row r="138" spans="2:5" ht="15" customHeight="1">
      <c r="B138" s="92"/>
      <c r="C138" s="43" t="s">
        <v>62</v>
      </c>
      <c r="D138" s="42">
        <v>24</v>
      </c>
      <c r="E138" s="41">
        <v>1.2340600575894694E-3</v>
      </c>
    </row>
    <row r="139" spans="2:5" ht="15" customHeight="1">
      <c r="B139" s="92"/>
      <c r="C139" s="43" t="s">
        <v>45</v>
      </c>
      <c r="D139" s="42">
        <v>4</v>
      </c>
      <c r="E139" s="41">
        <v>2.0567667626491157E-4</v>
      </c>
    </row>
    <row r="140" spans="2:5" ht="15" customHeight="1">
      <c r="B140" s="92"/>
      <c r="C140" s="43" t="s">
        <v>30</v>
      </c>
      <c r="D140" s="42">
        <v>1</v>
      </c>
      <c r="E140" s="41">
        <v>5.1419169066227893E-5</v>
      </c>
    </row>
    <row r="141" spans="2:5" ht="15" customHeight="1">
      <c r="B141" s="92"/>
      <c r="C141" s="43" t="s">
        <v>63</v>
      </c>
      <c r="D141" s="42">
        <v>50</v>
      </c>
      <c r="E141" s="41">
        <v>2.5709584533113944E-3</v>
      </c>
    </row>
    <row r="142" spans="2:5" ht="15" customHeight="1">
      <c r="B142" s="92"/>
      <c r="C142" s="43" t="s">
        <v>64</v>
      </c>
      <c r="D142" s="42">
        <v>14</v>
      </c>
      <c r="E142" s="41">
        <v>7.1986836692719048E-4</v>
      </c>
    </row>
    <row r="143" spans="2:5" ht="15" customHeight="1">
      <c r="B143" s="92"/>
      <c r="C143" s="43" t="s">
        <v>61</v>
      </c>
      <c r="D143" s="42">
        <v>15</v>
      </c>
      <c r="E143" s="41">
        <v>7.7128753599341833E-4</v>
      </c>
    </row>
    <row r="144" spans="2:5" ht="15" customHeight="1">
      <c r="B144" s="92"/>
      <c r="C144" s="43" t="s">
        <v>53</v>
      </c>
      <c r="D144" s="42">
        <v>8</v>
      </c>
      <c r="E144" s="41">
        <v>4.1135335252982314E-4</v>
      </c>
    </row>
    <row r="145" spans="2:5" ht="15" customHeight="1">
      <c r="B145" s="92"/>
      <c r="C145" s="43" t="s">
        <v>43</v>
      </c>
      <c r="D145" s="42">
        <v>1</v>
      </c>
      <c r="E145" s="41">
        <v>5.1419169066227893E-5</v>
      </c>
    </row>
    <row r="146" spans="2:5" ht="15" customHeight="1">
      <c r="B146" s="92"/>
      <c r="C146" s="43" t="s">
        <v>44</v>
      </c>
      <c r="D146" s="42">
        <v>2</v>
      </c>
      <c r="E146" s="41">
        <v>1.0283833813245579E-4</v>
      </c>
    </row>
    <row r="147" spans="2:5" ht="15" customHeight="1">
      <c r="B147" s="92"/>
      <c r="C147" s="43" t="s">
        <v>42</v>
      </c>
      <c r="D147" s="42">
        <v>3</v>
      </c>
      <c r="E147" s="41">
        <v>1.5425750719868367E-4</v>
      </c>
    </row>
    <row r="148" spans="2:5" ht="15" customHeight="1">
      <c r="B148" s="92"/>
      <c r="C148" s="43" t="s">
        <v>55</v>
      </c>
      <c r="D148" s="42">
        <v>7</v>
      </c>
      <c r="E148" s="41">
        <v>3.5993418346359524E-4</v>
      </c>
    </row>
    <row r="149" spans="2:5" ht="15" customHeight="1">
      <c r="B149" s="92"/>
      <c r="C149" s="43" t="s">
        <v>29</v>
      </c>
      <c r="D149" s="42">
        <v>1</v>
      </c>
      <c r="E149" s="41">
        <v>5.1419169066227893E-5</v>
      </c>
    </row>
    <row r="150" spans="2:5" ht="15" customHeight="1">
      <c r="B150" s="92"/>
      <c r="C150" s="43" t="s">
        <v>54</v>
      </c>
      <c r="D150" s="42">
        <v>14</v>
      </c>
      <c r="E150" s="41">
        <v>7.1986836692719048E-4</v>
      </c>
    </row>
    <row r="151" spans="2:5" ht="15" customHeight="1">
      <c r="B151" s="92"/>
      <c r="C151" s="43" t="s">
        <v>51</v>
      </c>
      <c r="D151" s="42">
        <v>4</v>
      </c>
      <c r="E151" s="41">
        <v>2.0567667626491157E-4</v>
      </c>
    </row>
    <row r="152" spans="2:5" ht="15" customHeight="1">
      <c r="B152" s="92"/>
      <c r="C152" s="43" t="s">
        <v>50</v>
      </c>
      <c r="D152" s="42">
        <v>4</v>
      </c>
      <c r="E152" s="41">
        <v>2.0567667626491157E-4</v>
      </c>
    </row>
    <row r="153" spans="2:5" ht="15" customHeight="1">
      <c r="B153" s="92"/>
      <c r="C153" s="43" t="s">
        <v>47</v>
      </c>
      <c r="D153" s="42">
        <v>4</v>
      </c>
      <c r="E153" s="41">
        <v>2.0567667626491157E-4</v>
      </c>
    </row>
    <row r="154" spans="2:5" ht="15" customHeight="1">
      <c r="B154" s="92"/>
      <c r="C154" s="43" t="s">
        <v>40</v>
      </c>
      <c r="D154" s="42">
        <v>3</v>
      </c>
      <c r="E154" s="41">
        <v>1.5425750719868367E-4</v>
      </c>
    </row>
    <row r="155" spans="2:5" ht="15" customHeight="1">
      <c r="B155" s="92"/>
      <c r="C155" s="43" t="s">
        <v>38</v>
      </c>
      <c r="D155" s="42">
        <v>3</v>
      </c>
      <c r="E155" s="41">
        <v>1.5425750719868367E-4</v>
      </c>
    </row>
    <row r="156" spans="2:5" ht="15" customHeight="1">
      <c r="B156" s="92"/>
      <c r="C156" s="43" t="s">
        <v>36</v>
      </c>
      <c r="D156" s="42">
        <v>2</v>
      </c>
      <c r="E156" s="41">
        <v>1.0283833813245579E-4</v>
      </c>
    </row>
    <row r="157" spans="2:5" ht="15" customHeight="1">
      <c r="B157" s="92"/>
      <c r="C157" s="43" t="s">
        <v>41</v>
      </c>
      <c r="D157" s="42">
        <v>2</v>
      </c>
      <c r="E157" s="41">
        <v>1.0283833813245579E-4</v>
      </c>
    </row>
    <row r="158" spans="2:5" ht="15" customHeight="1">
      <c r="B158" s="92"/>
      <c r="C158" s="43" t="s">
        <v>60</v>
      </c>
      <c r="D158" s="42">
        <v>27</v>
      </c>
      <c r="E158" s="41">
        <v>1.3883175647881531E-3</v>
      </c>
    </row>
    <row r="159" spans="2:5" ht="15" customHeight="1">
      <c r="B159" s="92"/>
      <c r="C159" s="43" t="s">
        <v>48</v>
      </c>
      <c r="D159" s="42">
        <v>6</v>
      </c>
      <c r="E159" s="41">
        <v>3.0851501439736734E-4</v>
      </c>
    </row>
    <row r="160" spans="2:5" ht="15" customHeight="1">
      <c r="B160" s="92"/>
      <c r="C160" s="43" t="s">
        <v>58</v>
      </c>
      <c r="D160" s="42">
        <v>5</v>
      </c>
      <c r="E160" s="41">
        <v>2.5709584533113944E-4</v>
      </c>
    </row>
    <row r="161" spans="2:5" ht="15" customHeight="1">
      <c r="B161" s="92"/>
      <c r="C161" s="43" t="s">
        <v>32</v>
      </c>
      <c r="D161" s="42">
        <v>3</v>
      </c>
      <c r="E161" s="41">
        <v>1.5425750719868367E-4</v>
      </c>
    </row>
    <row r="162" spans="2:5" ht="15" customHeight="1">
      <c r="B162" s="92"/>
      <c r="C162" s="43" t="s">
        <v>25</v>
      </c>
      <c r="D162" s="42">
        <v>1</v>
      </c>
      <c r="E162" s="41">
        <v>5.1419169066227893E-5</v>
      </c>
    </row>
    <row r="163" spans="2:5" ht="15" customHeight="1">
      <c r="B163" s="92"/>
      <c r="C163" s="43" t="s">
        <v>52</v>
      </c>
      <c r="D163" s="42">
        <v>4</v>
      </c>
      <c r="E163" s="41">
        <v>2.0567667626491157E-4</v>
      </c>
    </row>
    <row r="164" spans="2:5" ht="15" customHeight="1">
      <c r="B164" s="92"/>
      <c r="C164" s="43" t="s">
        <v>59</v>
      </c>
      <c r="D164" s="42">
        <v>8</v>
      </c>
      <c r="E164" s="41">
        <v>4.1135335252982314E-4</v>
      </c>
    </row>
    <row r="165" spans="2:5" ht="15" customHeight="1">
      <c r="B165" s="92"/>
      <c r="C165" s="43" t="s">
        <v>65</v>
      </c>
      <c r="D165" s="42">
        <v>985</v>
      </c>
      <c r="E165" s="41">
        <v>5.0647881530234473E-2</v>
      </c>
    </row>
    <row r="166" spans="2:5" ht="15" customHeight="1">
      <c r="B166" s="92"/>
      <c r="C166" s="43" t="s">
        <v>39</v>
      </c>
      <c r="D166" s="42">
        <v>4</v>
      </c>
      <c r="E166" s="41">
        <v>2.0567667626491157E-4</v>
      </c>
    </row>
    <row r="167" spans="2:5" ht="15" customHeight="1">
      <c r="B167" s="92"/>
      <c r="C167" s="43" t="s">
        <v>49</v>
      </c>
      <c r="D167" s="42">
        <v>2</v>
      </c>
      <c r="E167" s="41">
        <v>1.0283833813245579E-4</v>
      </c>
    </row>
    <row r="168" spans="2:5" ht="15" customHeight="1">
      <c r="B168" s="92"/>
      <c r="C168" s="43" t="s">
        <v>35</v>
      </c>
      <c r="D168" s="42">
        <v>2</v>
      </c>
      <c r="E168" s="41">
        <v>1.0283833813245579E-4</v>
      </c>
    </row>
    <row r="169" spans="2:5" ht="15" customHeight="1">
      <c r="B169" s="92"/>
      <c r="C169" s="43" t="s">
        <v>46</v>
      </c>
      <c r="D169" s="42">
        <v>2</v>
      </c>
      <c r="E169" s="41">
        <v>1.0283833813245579E-4</v>
      </c>
    </row>
    <row r="170" spans="2:5" ht="15" customHeight="1">
      <c r="B170" s="93"/>
      <c r="C170" s="40" t="s">
        <v>20</v>
      </c>
      <c r="D170" s="39">
        <v>1226</v>
      </c>
      <c r="E170" s="38">
        <v>6.303990127519539E-2</v>
      </c>
    </row>
    <row r="171" spans="2:5" ht="15" customHeight="1">
      <c r="B171" s="91" t="s">
        <v>179</v>
      </c>
      <c r="C171" s="43" t="s">
        <v>56</v>
      </c>
      <c r="D171" s="42">
        <v>26</v>
      </c>
      <c r="E171" s="41">
        <v>1.3368983957219251E-3</v>
      </c>
    </row>
    <row r="172" spans="2:5" ht="15" customHeight="1">
      <c r="B172" s="92"/>
      <c r="C172" s="43" t="s">
        <v>37</v>
      </c>
      <c r="D172" s="42">
        <v>2</v>
      </c>
      <c r="E172" s="41">
        <v>1.0283833813245579E-4</v>
      </c>
    </row>
    <row r="173" spans="2:5" ht="15" customHeight="1">
      <c r="B173" s="92"/>
      <c r="C173" s="43" t="s">
        <v>57</v>
      </c>
      <c r="D173" s="42">
        <v>16</v>
      </c>
      <c r="E173" s="41">
        <v>8.2270670505964628E-4</v>
      </c>
    </row>
    <row r="174" spans="2:5" ht="15" customHeight="1">
      <c r="B174" s="92"/>
      <c r="C174" s="43" t="s">
        <v>62</v>
      </c>
      <c r="D174" s="42">
        <v>29</v>
      </c>
      <c r="E174" s="41">
        <v>1.4911559029206088E-3</v>
      </c>
    </row>
    <row r="175" spans="2:5" ht="15" customHeight="1">
      <c r="B175" s="92"/>
      <c r="C175" s="43" t="s">
        <v>45</v>
      </c>
      <c r="D175" s="42">
        <v>3</v>
      </c>
      <c r="E175" s="41">
        <v>1.5425750719868367E-4</v>
      </c>
    </row>
    <row r="176" spans="2:5" ht="15" customHeight="1">
      <c r="B176" s="92"/>
      <c r="C176" s="43" t="s">
        <v>31</v>
      </c>
      <c r="D176" s="42">
        <v>1</v>
      </c>
      <c r="E176" s="41">
        <v>5.1419169066227893E-5</v>
      </c>
    </row>
    <row r="177" spans="2:5" ht="15" customHeight="1">
      <c r="B177" s="92"/>
      <c r="C177" s="43" t="s">
        <v>30</v>
      </c>
      <c r="D177" s="42">
        <v>2</v>
      </c>
      <c r="E177" s="41">
        <v>1.0283833813245579E-4</v>
      </c>
    </row>
    <row r="178" spans="2:5" ht="15" customHeight="1">
      <c r="B178" s="92"/>
      <c r="C178" s="43" t="s">
        <v>63</v>
      </c>
      <c r="D178" s="42">
        <v>52</v>
      </c>
      <c r="E178" s="41">
        <v>2.6737967914438501E-3</v>
      </c>
    </row>
    <row r="179" spans="2:5" ht="15" customHeight="1">
      <c r="B179" s="92"/>
      <c r="C179" s="43" t="s">
        <v>64</v>
      </c>
      <c r="D179" s="42">
        <v>72</v>
      </c>
      <c r="E179" s="41">
        <v>3.7021801727684079E-3</v>
      </c>
    </row>
    <row r="180" spans="2:5" ht="15" customHeight="1">
      <c r="B180" s="92"/>
      <c r="C180" s="43" t="s">
        <v>34</v>
      </c>
      <c r="D180" s="42">
        <v>1</v>
      </c>
      <c r="E180" s="41">
        <v>5.1419169066227893E-5</v>
      </c>
    </row>
    <row r="181" spans="2:5" ht="15" customHeight="1">
      <c r="B181" s="92"/>
      <c r="C181" s="43" t="s">
        <v>61</v>
      </c>
      <c r="D181" s="42">
        <v>45</v>
      </c>
      <c r="E181" s="41">
        <v>2.313862607980255E-3</v>
      </c>
    </row>
    <row r="182" spans="2:5" ht="15" customHeight="1">
      <c r="B182" s="92"/>
      <c r="C182" s="43" t="s">
        <v>53</v>
      </c>
      <c r="D182" s="42">
        <v>14</v>
      </c>
      <c r="E182" s="41">
        <v>7.1986836692719048E-4</v>
      </c>
    </row>
    <row r="183" spans="2:5" ht="15" customHeight="1">
      <c r="B183" s="92"/>
      <c r="C183" s="43" t="s">
        <v>43</v>
      </c>
      <c r="D183" s="42">
        <v>1</v>
      </c>
      <c r="E183" s="41">
        <v>5.1419169066227893E-5</v>
      </c>
    </row>
    <row r="184" spans="2:5" ht="15" customHeight="1">
      <c r="B184" s="92"/>
      <c r="C184" s="43" t="s">
        <v>44</v>
      </c>
      <c r="D184" s="42">
        <v>3</v>
      </c>
      <c r="E184" s="41">
        <v>1.5425750719868367E-4</v>
      </c>
    </row>
    <row r="185" spans="2:5" ht="15" customHeight="1">
      <c r="B185" s="92"/>
      <c r="C185" s="43" t="s">
        <v>42</v>
      </c>
      <c r="D185" s="42">
        <v>6</v>
      </c>
      <c r="E185" s="41">
        <v>3.0851501439736734E-4</v>
      </c>
    </row>
    <row r="186" spans="2:5" ht="15" customHeight="1">
      <c r="B186" s="92"/>
      <c r="C186" s="43" t="s">
        <v>55</v>
      </c>
      <c r="D186" s="42">
        <v>8</v>
      </c>
      <c r="E186" s="41">
        <v>4.1135335252982314E-4</v>
      </c>
    </row>
    <row r="187" spans="2:5" ht="15" customHeight="1">
      <c r="B187" s="92"/>
      <c r="C187" s="43" t="s">
        <v>29</v>
      </c>
      <c r="D187" s="42">
        <v>3</v>
      </c>
      <c r="E187" s="41">
        <v>1.5425750719868367E-4</v>
      </c>
    </row>
    <row r="188" spans="2:5" ht="15" customHeight="1">
      <c r="B188" s="92"/>
      <c r="C188" s="43" t="s">
        <v>26</v>
      </c>
      <c r="D188" s="42">
        <v>1</v>
      </c>
      <c r="E188" s="41">
        <v>5.1419169066227893E-5</v>
      </c>
    </row>
    <row r="189" spans="2:5" ht="15" customHeight="1">
      <c r="B189" s="92"/>
      <c r="C189" s="43" t="s">
        <v>54</v>
      </c>
      <c r="D189" s="42">
        <v>22</v>
      </c>
      <c r="E189" s="41">
        <v>1.1312217194570137E-3</v>
      </c>
    </row>
    <row r="190" spans="2:5" ht="15" customHeight="1">
      <c r="B190" s="92"/>
      <c r="C190" s="43" t="s">
        <v>51</v>
      </c>
      <c r="D190" s="42">
        <v>15</v>
      </c>
      <c r="E190" s="41">
        <v>7.7128753599341833E-4</v>
      </c>
    </row>
    <row r="191" spans="2:5" ht="15" customHeight="1">
      <c r="B191" s="92"/>
      <c r="C191" s="43" t="s">
        <v>50</v>
      </c>
      <c r="D191" s="42">
        <v>13</v>
      </c>
      <c r="E191" s="41">
        <v>6.6844919786096253E-4</v>
      </c>
    </row>
    <row r="192" spans="2:5" ht="15" customHeight="1">
      <c r="B192" s="92"/>
      <c r="C192" s="43" t="s">
        <v>47</v>
      </c>
      <c r="D192" s="42">
        <v>1</v>
      </c>
      <c r="E192" s="41">
        <v>5.1419169066227893E-5</v>
      </c>
    </row>
    <row r="193" spans="2:5" ht="15" customHeight="1">
      <c r="B193" s="92"/>
      <c r="C193" s="43" t="s">
        <v>40</v>
      </c>
      <c r="D193" s="42">
        <v>3</v>
      </c>
      <c r="E193" s="41">
        <v>1.5425750719868367E-4</v>
      </c>
    </row>
    <row r="194" spans="2:5" ht="15" customHeight="1">
      <c r="B194" s="92"/>
      <c r="C194" s="43" t="s">
        <v>38</v>
      </c>
      <c r="D194" s="42">
        <v>2</v>
      </c>
      <c r="E194" s="41">
        <v>1.0283833813245579E-4</v>
      </c>
    </row>
    <row r="195" spans="2:5" ht="15" customHeight="1">
      <c r="B195" s="92"/>
      <c r="C195" s="43" t="s">
        <v>36</v>
      </c>
      <c r="D195" s="42">
        <v>3</v>
      </c>
      <c r="E195" s="41">
        <v>1.5425750719868367E-4</v>
      </c>
    </row>
    <row r="196" spans="2:5" ht="15" customHeight="1">
      <c r="B196" s="92"/>
      <c r="C196" s="43" t="s">
        <v>41</v>
      </c>
      <c r="D196" s="42">
        <v>4</v>
      </c>
      <c r="E196" s="41">
        <v>2.0567667626491157E-4</v>
      </c>
    </row>
    <row r="197" spans="2:5" ht="15" customHeight="1">
      <c r="B197" s="92"/>
      <c r="C197" s="43" t="s">
        <v>60</v>
      </c>
      <c r="D197" s="42">
        <v>96</v>
      </c>
      <c r="E197" s="41">
        <v>4.9362402303578775E-3</v>
      </c>
    </row>
    <row r="198" spans="2:5" ht="15" customHeight="1">
      <c r="B198" s="92"/>
      <c r="C198" s="43" t="s">
        <v>48</v>
      </c>
      <c r="D198" s="42">
        <v>9</v>
      </c>
      <c r="E198" s="41">
        <v>4.6277252159605099E-4</v>
      </c>
    </row>
    <row r="199" spans="2:5" ht="15" customHeight="1">
      <c r="B199" s="92"/>
      <c r="C199" s="43" t="s">
        <v>58</v>
      </c>
      <c r="D199" s="42">
        <v>11</v>
      </c>
      <c r="E199" s="41">
        <v>5.6561085972850684E-4</v>
      </c>
    </row>
    <row r="200" spans="2:5" ht="15" customHeight="1">
      <c r="B200" s="92"/>
      <c r="C200" s="43" t="s">
        <v>32</v>
      </c>
      <c r="D200" s="42">
        <v>1</v>
      </c>
      <c r="E200" s="41">
        <v>5.1419169066227893E-5</v>
      </c>
    </row>
    <row r="201" spans="2:5" ht="15" customHeight="1">
      <c r="B201" s="92"/>
      <c r="C201" s="43" t="s">
        <v>52</v>
      </c>
      <c r="D201" s="42">
        <v>24</v>
      </c>
      <c r="E201" s="41">
        <v>1.2340600575894694E-3</v>
      </c>
    </row>
    <row r="202" spans="2:5" ht="15" customHeight="1">
      <c r="B202" s="92"/>
      <c r="C202" s="43" t="s">
        <v>59</v>
      </c>
      <c r="D202" s="42">
        <v>22</v>
      </c>
      <c r="E202" s="41">
        <v>1.1312217194570137E-3</v>
      </c>
    </row>
    <row r="203" spans="2:5" ht="15" customHeight="1">
      <c r="B203" s="92"/>
      <c r="C203" s="43" t="s">
        <v>65</v>
      </c>
      <c r="D203" s="42">
        <v>1119</v>
      </c>
      <c r="E203" s="41">
        <v>5.7538050185109012E-2</v>
      </c>
    </row>
    <row r="204" spans="2:5" ht="15" customHeight="1">
      <c r="B204" s="92"/>
      <c r="C204" s="43" t="s">
        <v>49</v>
      </c>
      <c r="D204" s="42">
        <v>8</v>
      </c>
      <c r="E204" s="41">
        <v>4.1135335252982314E-4</v>
      </c>
    </row>
    <row r="205" spans="2:5" ht="15" customHeight="1">
      <c r="B205" s="92"/>
      <c r="C205" s="43" t="s">
        <v>46</v>
      </c>
      <c r="D205" s="42">
        <v>7</v>
      </c>
      <c r="E205" s="41">
        <v>3.5993418346359524E-4</v>
      </c>
    </row>
    <row r="206" spans="2:5" ht="15" customHeight="1">
      <c r="B206" s="93"/>
      <c r="C206" s="40" t="s">
        <v>20</v>
      </c>
      <c r="D206" s="39">
        <v>1645</v>
      </c>
      <c r="E206" s="38">
        <v>8.4584533113944885E-2</v>
      </c>
    </row>
    <row r="207" spans="2:5" ht="15" customHeight="1">
      <c r="B207" s="91" t="s">
        <v>178</v>
      </c>
      <c r="C207" s="43" t="s">
        <v>56</v>
      </c>
      <c r="D207" s="42">
        <v>2</v>
      </c>
      <c r="E207" s="41">
        <v>1.0283833813245579E-4</v>
      </c>
    </row>
    <row r="208" spans="2:5" ht="15" customHeight="1">
      <c r="B208" s="92"/>
      <c r="C208" s="43" t="s">
        <v>62</v>
      </c>
      <c r="D208" s="42">
        <v>4</v>
      </c>
      <c r="E208" s="41">
        <v>2.0567667626491157E-4</v>
      </c>
    </row>
    <row r="209" spans="2:5" ht="15" customHeight="1">
      <c r="B209" s="92"/>
      <c r="C209" s="43" t="s">
        <v>63</v>
      </c>
      <c r="D209" s="42">
        <v>13</v>
      </c>
      <c r="E209" s="41">
        <v>6.6844919786096253E-4</v>
      </c>
    </row>
    <row r="210" spans="2:5" ht="15" customHeight="1">
      <c r="B210" s="92"/>
      <c r="C210" s="43" t="s">
        <v>64</v>
      </c>
      <c r="D210" s="42">
        <v>6</v>
      </c>
      <c r="E210" s="41">
        <v>3.0851501439736734E-4</v>
      </c>
    </row>
    <row r="211" spans="2:5" ht="15" customHeight="1">
      <c r="B211" s="92"/>
      <c r="C211" s="43" t="s">
        <v>61</v>
      </c>
      <c r="D211" s="42">
        <v>3</v>
      </c>
      <c r="E211" s="41">
        <v>1.5425750719868367E-4</v>
      </c>
    </row>
    <row r="212" spans="2:5" ht="15" customHeight="1">
      <c r="B212" s="92"/>
      <c r="C212" s="43" t="s">
        <v>43</v>
      </c>
      <c r="D212" s="42">
        <v>1</v>
      </c>
      <c r="E212" s="41">
        <v>5.1419169066227893E-5</v>
      </c>
    </row>
    <row r="213" spans="2:5" ht="15" customHeight="1">
      <c r="B213" s="92"/>
      <c r="C213" s="43" t="s">
        <v>42</v>
      </c>
      <c r="D213" s="42">
        <v>2</v>
      </c>
      <c r="E213" s="41">
        <v>1.0283833813245579E-4</v>
      </c>
    </row>
    <row r="214" spans="2:5" ht="15" customHeight="1">
      <c r="B214" s="92"/>
      <c r="C214" s="43" t="s">
        <v>55</v>
      </c>
      <c r="D214" s="42">
        <v>3</v>
      </c>
      <c r="E214" s="41">
        <v>1.5425750719868367E-4</v>
      </c>
    </row>
    <row r="215" spans="2:5" ht="15" customHeight="1">
      <c r="B215" s="92"/>
      <c r="C215" s="43" t="s">
        <v>54</v>
      </c>
      <c r="D215" s="42">
        <v>1</v>
      </c>
      <c r="E215" s="41">
        <v>5.1419169066227893E-5</v>
      </c>
    </row>
    <row r="216" spans="2:5" ht="15" customHeight="1">
      <c r="B216" s="92"/>
      <c r="C216" s="43" t="s">
        <v>51</v>
      </c>
      <c r="D216" s="42">
        <v>1</v>
      </c>
      <c r="E216" s="41">
        <v>5.1419169066227893E-5</v>
      </c>
    </row>
    <row r="217" spans="2:5" ht="15" customHeight="1">
      <c r="B217" s="92"/>
      <c r="C217" s="43" t="s">
        <v>50</v>
      </c>
      <c r="D217" s="42">
        <v>3</v>
      </c>
      <c r="E217" s="41">
        <v>1.5425750719868367E-4</v>
      </c>
    </row>
    <row r="218" spans="2:5" ht="15" customHeight="1">
      <c r="B218" s="92"/>
      <c r="C218" s="43" t="s">
        <v>40</v>
      </c>
      <c r="D218" s="42">
        <v>1</v>
      </c>
      <c r="E218" s="41">
        <v>5.1419169066227893E-5</v>
      </c>
    </row>
    <row r="219" spans="2:5" ht="15" customHeight="1">
      <c r="B219" s="92"/>
      <c r="C219" s="43" t="s">
        <v>36</v>
      </c>
      <c r="D219" s="42">
        <v>1</v>
      </c>
      <c r="E219" s="41">
        <v>5.1419169066227893E-5</v>
      </c>
    </row>
    <row r="220" spans="2:5" ht="15" customHeight="1">
      <c r="B220" s="92"/>
      <c r="C220" s="43" t="s">
        <v>60</v>
      </c>
      <c r="D220" s="42">
        <v>6</v>
      </c>
      <c r="E220" s="41">
        <v>3.0851501439736734E-4</v>
      </c>
    </row>
    <row r="221" spans="2:5" ht="15" customHeight="1">
      <c r="B221" s="92"/>
      <c r="C221" s="43" t="s">
        <v>48</v>
      </c>
      <c r="D221" s="42">
        <v>1</v>
      </c>
      <c r="E221" s="41">
        <v>5.1419169066227893E-5</v>
      </c>
    </row>
    <row r="222" spans="2:5" ht="15" customHeight="1">
      <c r="B222" s="92"/>
      <c r="C222" s="43" t="s">
        <v>58</v>
      </c>
      <c r="D222" s="42">
        <v>2</v>
      </c>
      <c r="E222" s="41">
        <v>1.0283833813245579E-4</v>
      </c>
    </row>
    <row r="223" spans="2:5" ht="15" customHeight="1">
      <c r="B223" s="92"/>
      <c r="C223" s="43" t="s">
        <v>32</v>
      </c>
      <c r="D223" s="42">
        <v>1</v>
      </c>
      <c r="E223" s="41">
        <v>5.1419169066227893E-5</v>
      </c>
    </row>
    <row r="224" spans="2:5" ht="15" customHeight="1">
      <c r="B224" s="92"/>
      <c r="C224" s="43" t="s">
        <v>52</v>
      </c>
      <c r="D224" s="42">
        <v>2</v>
      </c>
      <c r="E224" s="41">
        <v>1.0283833813245579E-4</v>
      </c>
    </row>
    <row r="225" spans="2:5" ht="15" customHeight="1">
      <c r="B225" s="92"/>
      <c r="C225" s="43" t="s">
        <v>59</v>
      </c>
      <c r="D225" s="42">
        <v>2</v>
      </c>
      <c r="E225" s="41">
        <v>1.0283833813245579E-4</v>
      </c>
    </row>
    <row r="226" spans="2:5" ht="15" customHeight="1">
      <c r="B226" s="92"/>
      <c r="C226" s="43" t="s">
        <v>65</v>
      </c>
      <c r="D226" s="42">
        <v>182</v>
      </c>
      <c r="E226" s="41">
        <v>9.3582887700534752E-3</v>
      </c>
    </row>
    <row r="227" spans="2:5" ht="15" customHeight="1">
      <c r="B227" s="92"/>
      <c r="C227" s="43" t="s">
        <v>49</v>
      </c>
      <c r="D227" s="42">
        <v>1</v>
      </c>
      <c r="E227" s="41">
        <v>5.1419169066227893E-5</v>
      </c>
    </row>
    <row r="228" spans="2:5" ht="15" customHeight="1">
      <c r="B228" s="92"/>
      <c r="C228" s="43" t="s">
        <v>35</v>
      </c>
      <c r="D228" s="42">
        <v>1</v>
      </c>
      <c r="E228" s="41">
        <v>5.1419169066227893E-5</v>
      </c>
    </row>
    <row r="229" spans="2:5" ht="15" customHeight="1">
      <c r="B229" s="93"/>
      <c r="C229" s="40" t="s">
        <v>20</v>
      </c>
      <c r="D229" s="39">
        <v>239</v>
      </c>
      <c r="E229" s="38">
        <v>1.2289181406828466E-2</v>
      </c>
    </row>
    <row r="230" spans="2:5" ht="15" customHeight="1">
      <c r="B230" s="91" t="s">
        <v>177</v>
      </c>
      <c r="C230" s="43" t="s">
        <v>56</v>
      </c>
      <c r="D230" s="42">
        <v>8</v>
      </c>
      <c r="E230" s="41">
        <v>4.1135335252982314E-4</v>
      </c>
    </row>
    <row r="231" spans="2:5" ht="15" customHeight="1">
      <c r="B231" s="92"/>
      <c r="C231" s="43" t="s">
        <v>37</v>
      </c>
      <c r="D231" s="42">
        <v>1</v>
      </c>
      <c r="E231" s="41">
        <v>5.1419169066227893E-5</v>
      </c>
    </row>
    <row r="232" spans="2:5" ht="15" customHeight="1">
      <c r="B232" s="92"/>
      <c r="C232" s="43" t="s">
        <v>57</v>
      </c>
      <c r="D232" s="42">
        <v>6</v>
      </c>
      <c r="E232" s="41">
        <v>3.0851501439736734E-4</v>
      </c>
    </row>
    <row r="233" spans="2:5" ht="15" customHeight="1">
      <c r="B233" s="92"/>
      <c r="C233" s="43" t="s">
        <v>62</v>
      </c>
      <c r="D233" s="42">
        <v>7</v>
      </c>
      <c r="E233" s="41">
        <v>3.5993418346359524E-4</v>
      </c>
    </row>
    <row r="234" spans="2:5" ht="15" customHeight="1">
      <c r="B234" s="92"/>
      <c r="C234" s="43" t="s">
        <v>63</v>
      </c>
      <c r="D234" s="42">
        <v>28</v>
      </c>
      <c r="E234" s="41">
        <v>1.439736733854381E-3</v>
      </c>
    </row>
    <row r="235" spans="2:5" ht="15" customHeight="1">
      <c r="B235" s="92"/>
      <c r="C235" s="43" t="s">
        <v>64</v>
      </c>
      <c r="D235" s="42">
        <v>12</v>
      </c>
      <c r="E235" s="41">
        <v>6.1703002879473468E-4</v>
      </c>
    </row>
    <row r="236" spans="2:5" ht="15" customHeight="1">
      <c r="B236" s="92"/>
      <c r="C236" s="43" t="s">
        <v>61</v>
      </c>
      <c r="D236" s="42">
        <v>6</v>
      </c>
      <c r="E236" s="41">
        <v>3.0851501439736734E-4</v>
      </c>
    </row>
    <row r="237" spans="2:5" ht="15" customHeight="1">
      <c r="B237" s="92"/>
      <c r="C237" s="43" t="s">
        <v>53</v>
      </c>
      <c r="D237" s="42">
        <v>1</v>
      </c>
      <c r="E237" s="41">
        <v>5.1419169066227893E-5</v>
      </c>
    </row>
    <row r="238" spans="2:5" ht="15" customHeight="1">
      <c r="B238" s="92"/>
      <c r="C238" s="43" t="s">
        <v>43</v>
      </c>
      <c r="D238" s="42">
        <v>2</v>
      </c>
      <c r="E238" s="41">
        <v>1.0283833813245579E-4</v>
      </c>
    </row>
    <row r="239" spans="2:5" ht="15" customHeight="1">
      <c r="B239" s="92"/>
      <c r="C239" s="43" t="s">
        <v>42</v>
      </c>
      <c r="D239" s="42">
        <v>1</v>
      </c>
      <c r="E239" s="41">
        <v>5.1419169066227893E-5</v>
      </c>
    </row>
    <row r="240" spans="2:5" ht="15" customHeight="1">
      <c r="B240" s="92"/>
      <c r="C240" s="43" t="s">
        <v>55</v>
      </c>
      <c r="D240" s="42">
        <v>6</v>
      </c>
      <c r="E240" s="41">
        <v>3.0851501439736734E-4</v>
      </c>
    </row>
    <row r="241" spans="2:5" ht="15" customHeight="1">
      <c r="B241" s="92"/>
      <c r="C241" s="43" t="s">
        <v>29</v>
      </c>
      <c r="D241" s="42">
        <v>1</v>
      </c>
      <c r="E241" s="41">
        <v>5.1419169066227893E-5</v>
      </c>
    </row>
    <row r="242" spans="2:5" ht="15" customHeight="1">
      <c r="B242" s="92"/>
      <c r="C242" s="43" t="s">
        <v>54</v>
      </c>
      <c r="D242" s="42">
        <v>3</v>
      </c>
      <c r="E242" s="41">
        <v>1.5425750719868367E-4</v>
      </c>
    </row>
    <row r="243" spans="2:5" ht="15" customHeight="1">
      <c r="B243" s="92"/>
      <c r="C243" s="43" t="s">
        <v>51</v>
      </c>
      <c r="D243" s="42">
        <v>2</v>
      </c>
      <c r="E243" s="41">
        <v>1.0283833813245579E-4</v>
      </c>
    </row>
    <row r="244" spans="2:5" ht="15" customHeight="1">
      <c r="B244" s="92"/>
      <c r="C244" s="43" t="s">
        <v>50</v>
      </c>
      <c r="D244" s="42">
        <v>5</v>
      </c>
      <c r="E244" s="41">
        <v>2.5709584533113944E-4</v>
      </c>
    </row>
    <row r="245" spans="2:5" ht="15" customHeight="1">
      <c r="B245" s="92"/>
      <c r="C245" s="43" t="s">
        <v>47</v>
      </c>
      <c r="D245" s="42">
        <v>2</v>
      </c>
      <c r="E245" s="41">
        <v>1.0283833813245579E-4</v>
      </c>
    </row>
    <row r="246" spans="2:5" ht="15" customHeight="1">
      <c r="B246" s="92"/>
      <c r="C246" s="43" t="s">
        <v>40</v>
      </c>
      <c r="D246" s="42">
        <v>4</v>
      </c>
      <c r="E246" s="41">
        <v>2.0567667626491157E-4</v>
      </c>
    </row>
    <row r="247" spans="2:5" ht="15" customHeight="1">
      <c r="B247" s="92"/>
      <c r="C247" s="43" t="s">
        <v>41</v>
      </c>
      <c r="D247" s="42">
        <v>1</v>
      </c>
      <c r="E247" s="41">
        <v>5.1419169066227893E-5</v>
      </c>
    </row>
    <row r="248" spans="2:5" ht="15" customHeight="1">
      <c r="B248" s="92"/>
      <c r="C248" s="43" t="s">
        <v>60</v>
      </c>
      <c r="D248" s="42">
        <v>20</v>
      </c>
      <c r="E248" s="41">
        <v>1.0283833813245578E-3</v>
      </c>
    </row>
    <row r="249" spans="2:5" ht="15" customHeight="1">
      <c r="B249" s="92"/>
      <c r="C249" s="43" t="s">
        <v>58</v>
      </c>
      <c r="D249" s="42">
        <v>5</v>
      </c>
      <c r="E249" s="41">
        <v>2.5709584533113944E-4</v>
      </c>
    </row>
    <row r="250" spans="2:5" ht="15" customHeight="1">
      <c r="B250" s="92"/>
      <c r="C250" s="43" t="s">
        <v>52</v>
      </c>
      <c r="D250" s="42">
        <v>5</v>
      </c>
      <c r="E250" s="41">
        <v>2.5709584533113944E-4</v>
      </c>
    </row>
    <row r="251" spans="2:5" ht="15" customHeight="1">
      <c r="B251" s="92"/>
      <c r="C251" s="43" t="s">
        <v>59</v>
      </c>
      <c r="D251" s="42">
        <v>7</v>
      </c>
      <c r="E251" s="41">
        <v>3.5993418346359524E-4</v>
      </c>
    </row>
    <row r="252" spans="2:5" ht="15" customHeight="1">
      <c r="B252" s="92"/>
      <c r="C252" s="43" t="s">
        <v>65</v>
      </c>
      <c r="D252" s="42">
        <v>356</v>
      </c>
      <c r="E252" s="41">
        <v>1.8305224187577129E-2</v>
      </c>
    </row>
    <row r="253" spans="2:5" ht="15" customHeight="1">
      <c r="B253" s="92"/>
      <c r="C253" s="43" t="s">
        <v>49</v>
      </c>
      <c r="D253" s="42">
        <v>1</v>
      </c>
      <c r="E253" s="41">
        <v>5.1419169066227893E-5</v>
      </c>
    </row>
    <row r="254" spans="2:5" ht="15" customHeight="1">
      <c r="B254" s="92"/>
      <c r="C254" s="43" t="s">
        <v>46</v>
      </c>
      <c r="D254" s="42">
        <v>1</v>
      </c>
      <c r="E254" s="41">
        <v>5.1419169066227893E-5</v>
      </c>
    </row>
    <row r="255" spans="2:5" ht="15" customHeight="1">
      <c r="B255" s="93"/>
      <c r="C255" s="40" t="s">
        <v>20</v>
      </c>
      <c r="D255" s="39">
        <v>491</v>
      </c>
      <c r="E255" s="38">
        <v>2.5246812011517895E-2</v>
      </c>
    </row>
    <row r="256" spans="2:5" ht="15" customHeight="1">
      <c r="B256" s="91" t="s">
        <v>176</v>
      </c>
      <c r="C256" s="43" t="s">
        <v>56</v>
      </c>
      <c r="D256" s="42">
        <v>4</v>
      </c>
      <c r="E256" s="41">
        <v>2.0567667626491157E-4</v>
      </c>
    </row>
    <row r="257" spans="2:5" ht="15" customHeight="1">
      <c r="B257" s="92"/>
      <c r="C257" s="43" t="s">
        <v>37</v>
      </c>
      <c r="D257" s="42">
        <v>1</v>
      </c>
      <c r="E257" s="41">
        <v>5.1419169066227893E-5</v>
      </c>
    </row>
    <row r="258" spans="2:5" ht="15" customHeight="1">
      <c r="B258" s="92"/>
      <c r="C258" s="43" t="s">
        <v>57</v>
      </c>
      <c r="D258" s="42">
        <v>8</v>
      </c>
      <c r="E258" s="41">
        <v>4.1135335252982314E-4</v>
      </c>
    </row>
    <row r="259" spans="2:5" ht="15" customHeight="1">
      <c r="B259" s="92"/>
      <c r="C259" s="43" t="s">
        <v>62</v>
      </c>
      <c r="D259" s="42">
        <v>16</v>
      </c>
      <c r="E259" s="41">
        <v>8.2270670505964628E-4</v>
      </c>
    </row>
    <row r="260" spans="2:5" ht="15" customHeight="1">
      <c r="B260" s="92"/>
      <c r="C260" s="43" t="s">
        <v>45</v>
      </c>
      <c r="D260" s="42">
        <v>2</v>
      </c>
      <c r="E260" s="41">
        <v>1.0283833813245579E-4</v>
      </c>
    </row>
    <row r="261" spans="2:5" ht="15" customHeight="1">
      <c r="B261" s="92"/>
      <c r="C261" s="43" t="s">
        <v>30</v>
      </c>
      <c r="D261" s="42">
        <v>2</v>
      </c>
      <c r="E261" s="41">
        <v>1.0283833813245579E-4</v>
      </c>
    </row>
    <row r="262" spans="2:5" ht="15" customHeight="1">
      <c r="B262" s="92"/>
      <c r="C262" s="43" t="s">
        <v>63</v>
      </c>
      <c r="D262" s="42">
        <v>27</v>
      </c>
      <c r="E262" s="41">
        <v>1.3883175647881531E-3</v>
      </c>
    </row>
    <row r="263" spans="2:5" ht="15" customHeight="1">
      <c r="B263" s="92"/>
      <c r="C263" s="43" t="s">
        <v>64</v>
      </c>
      <c r="D263" s="42">
        <v>13</v>
      </c>
      <c r="E263" s="41">
        <v>6.6844919786096253E-4</v>
      </c>
    </row>
    <row r="264" spans="2:5" ht="15" customHeight="1">
      <c r="B264" s="92"/>
      <c r="C264" s="43" t="s">
        <v>61</v>
      </c>
      <c r="D264" s="42">
        <v>13</v>
      </c>
      <c r="E264" s="41">
        <v>6.6844919786096253E-4</v>
      </c>
    </row>
    <row r="265" spans="2:5" ht="15" customHeight="1">
      <c r="B265" s="92"/>
      <c r="C265" s="43" t="s">
        <v>53</v>
      </c>
      <c r="D265" s="42">
        <v>5</v>
      </c>
      <c r="E265" s="41">
        <v>2.5709584533113944E-4</v>
      </c>
    </row>
    <row r="266" spans="2:5" ht="15" customHeight="1">
      <c r="B266" s="92"/>
      <c r="C266" s="43" t="s">
        <v>43</v>
      </c>
      <c r="D266" s="42">
        <v>1</v>
      </c>
      <c r="E266" s="41">
        <v>5.1419169066227893E-5</v>
      </c>
    </row>
    <row r="267" spans="2:5" ht="15" customHeight="1">
      <c r="B267" s="92"/>
      <c r="C267" s="43" t="s">
        <v>44</v>
      </c>
      <c r="D267" s="42">
        <v>4</v>
      </c>
      <c r="E267" s="41">
        <v>2.0567667626491157E-4</v>
      </c>
    </row>
    <row r="268" spans="2:5" ht="15" customHeight="1">
      <c r="B268" s="92"/>
      <c r="C268" s="43" t="s">
        <v>42</v>
      </c>
      <c r="D268" s="42">
        <v>1</v>
      </c>
      <c r="E268" s="41">
        <v>5.1419169066227893E-5</v>
      </c>
    </row>
    <row r="269" spans="2:5" ht="15" customHeight="1">
      <c r="B269" s="92"/>
      <c r="C269" s="43" t="s">
        <v>55</v>
      </c>
      <c r="D269" s="42">
        <v>12</v>
      </c>
      <c r="E269" s="41">
        <v>6.1703002879473468E-4</v>
      </c>
    </row>
    <row r="270" spans="2:5" ht="15" customHeight="1">
      <c r="B270" s="92"/>
      <c r="C270" s="43" t="s">
        <v>54</v>
      </c>
      <c r="D270" s="42">
        <v>7</v>
      </c>
      <c r="E270" s="41">
        <v>3.5993418346359524E-4</v>
      </c>
    </row>
    <row r="271" spans="2:5" ht="15" customHeight="1">
      <c r="B271" s="92"/>
      <c r="C271" s="43" t="s">
        <v>51</v>
      </c>
      <c r="D271" s="42">
        <v>3</v>
      </c>
      <c r="E271" s="41">
        <v>1.5425750719868367E-4</v>
      </c>
    </row>
    <row r="272" spans="2:5" ht="15" customHeight="1">
      <c r="B272" s="92"/>
      <c r="C272" s="43" t="s">
        <v>50</v>
      </c>
      <c r="D272" s="42">
        <v>1</v>
      </c>
      <c r="E272" s="41">
        <v>5.1419169066227893E-5</v>
      </c>
    </row>
    <row r="273" spans="2:5" ht="15" customHeight="1">
      <c r="B273" s="92"/>
      <c r="C273" s="43" t="s">
        <v>47</v>
      </c>
      <c r="D273" s="42">
        <v>6</v>
      </c>
      <c r="E273" s="41">
        <v>3.0851501439736734E-4</v>
      </c>
    </row>
    <row r="274" spans="2:5" ht="15" customHeight="1">
      <c r="B274" s="92"/>
      <c r="C274" s="43" t="s">
        <v>40</v>
      </c>
      <c r="D274" s="42">
        <v>1</v>
      </c>
      <c r="E274" s="41">
        <v>5.1419169066227893E-5</v>
      </c>
    </row>
    <row r="275" spans="2:5" ht="15" customHeight="1">
      <c r="B275" s="92"/>
      <c r="C275" s="43" t="s">
        <v>38</v>
      </c>
      <c r="D275" s="42">
        <v>4</v>
      </c>
      <c r="E275" s="41">
        <v>2.0567667626491157E-4</v>
      </c>
    </row>
    <row r="276" spans="2:5" ht="15" customHeight="1">
      <c r="B276" s="92"/>
      <c r="C276" s="43" t="s">
        <v>36</v>
      </c>
      <c r="D276" s="42">
        <v>5</v>
      </c>
      <c r="E276" s="41">
        <v>2.5709584533113944E-4</v>
      </c>
    </row>
    <row r="277" spans="2:5" ht="15" customHeight="1">
      <c r="B277" s="92"/>
      <c r="C277" s="43" t="s">
        <v>33</v>
      </c>
      <c r="D277" s="42">
        <v>1</v>
      </c>
      <c r="E277" s="41">
        <v>5.1419169066227893E-5</v>
      </c>
    </row>
    <row r="278" spans="2:5" ht="15" customHeight="1">
      <c r="B278" s="92"/>
      <c r="C278" s="43" t="s">
        <v>60</v>
      </c>
      <c r="D278" s="42">
        <v>22</v>
      </c>
      <c r="E278" s="41">
        <v>1.1312217194570137E-3</v>
      </c>
    </row>
    <row r="279" spans="2:5" ht="15" customHeight="1">
      <c r="B279" s="92"/>
      <c r="C279" s="43" t="s">
        <v>48</v>
      </c>
      <c r="D279" s="42">
        <v>2</v>
      </c>
      <c r="E279" s="41">
        <v>1.0283833813245579E-4</v>
      </c>
    </row>
    <row r="280" spans="2:5" ht="15" customHeight="1">
      <c r="B280" s="92"/>
      <c r="C280" s="43" t="s">
        <v>58</v>
      </c>
      <c r="D280" s="42">
        <v>6</v>
      </c>
      <c r="E280" s="41">
        <v>3.0851501439736734E-4</v>
      </c>
    </row>
    <row r="281" spans="2:5" ht="15" customHeight="1">
      <c r="B281" s="92"/>
      <c r="C281" s="43" t="s">
        <v>28</v>
      </c>
      <c r="D281" s="42">
        <v>1</v>
      </c>
      <c r="E281" s="41">
        <v>5.1419169066227893E-5</v>
      </c>
    </row>
    <row r="282" spans="2:5" ht="15" customHeight="1">
      <c r="B282" s="92"/>
      <c r="C282" s="43" t="s">
        <v>32</v>
      </c>
      <c r="D282" s="42">
        <v>1</v>
      </c>
      <c r="E282" s="41">
        <v>5.1419169066227893E-5</v>
      </c>
    </row>
    <row r="283" spans="2:5" ht="15" customHeight="1">
      <c r="B283" s="92"/>
      <c r="C283" s="43" t="s">
        <v>52</v>
      </c>
      <c r="D283" s="42">
        <v>7</v>
      </c>
      <c r="E283" s="41">
        <v>3.5993418346359524E-4</v>
      </c>
    </row>
    <row r="284" spans="2:5" ht="15" customHeight="1">
      <c r="B284" s="92"/>
      <c r="C284" s="43" t="s">
        <v>59</v>
      </c>
      <c r="D284" s="42">
        <v>5</v>
      </c>
      <c r="E284" s="41">
        <v>2.5709584533113944E-4</v>
      </c>
    </row>
    <row r="285" spans="2:5" ht="15" customHeight="1">
      <c r="B285" s="92"/>
      <c r="C285" s="43" t="s">
        <v>65</v>
      </c>
      <c r="D285" s="42">
        <v>744</v>
      </c>
      <c r="E285" s="41">
        <v>3.825586178527355E-2</v>
      </c>
    </row>
    <row r="286" spans="2:5" ht="15" customHeight="1">
      <c r="B286" s="92"/>
      <c r="C286" s="43" t="s">
        <v>39</v>
      </c>
      <c r="D286" s="42">
        <v>1</v>
      </c>
      <c r="E286" s="41">
        <v>5.1419169066227893E-5</v>
      </c>
    </row>
    <row r="287" spans="2:5" ht="15" customHeight="1">
      <c r="B287" s="92"/>
      <c r="C287" s="43" t="s">
        <v>49</v>
      </c>
      <c r="D287" s="42">
        <v>2</v>
      </c>
      <c r="E287" s="41">
        <v>1.0283833813245579E-4</v>
      </c>
    </row>
    <row r="288" spans="2:5" ht="15" customHeight="1">
      <c r="B288" s="92"/>
      <c r="C288" s="43" t="s">
        <v>35</v>
      </c>
      <c r="D288" s="42">
        <v>2</v>
      </c>
      <c r="E288" s="41">
        <v>1.0283833813245579E-4</v>
      </c>
    </row>
    <row r="289" spans="2:5" ht="15" customHeight="1">
      <c r="B289" s="92"/>
      <c r="C289" s="43" t="s">
        <v>23</v>
      </c>
      <c r="D289" s="42">
        <v>1</v>
      </c>
      <c r="E289" s="41">
        <v>5.1419169066227893E-5</v>
      </c>
    </row>
    <row r="290" spans="2:5" ht="15" customHeight="1">
      <c r="B290" s="92"/>
      <c r="C290" s="43" t="s">
        <v>46</v>
      </c>
      <c r="D290" s="42">
        <v>5</v>
      </c>
      <c r="E290" s="41">
        <v>2.5709584533113944E-4</v>
      </c>
    </row>
    <row r="291" spans="2:5" ht="15" customHeight="1">
      <c r="B291" s="93"/>
      <c r="C291" s="40" t="s">
        <v>20</v>
      </c>
      <c r="D291" s="39">
        <v>936</v>
      </c>
      <c r="E291" s="38">
        <v>4.8128342245989303E-2</v>
      </c>
    </row>
    <row r="292" spans="2:5" ht="15" customHeight="1">
      <c r="B292" s="91" t="s">
        <v>175</v>
      </c>
      <c r="C292" s="43" t="s">
        <v>56</v>
      </c>
      <c r="D292" s="42">
        <v>55</v>
      </c>
      <c r="E292" s="41">
        <v>2.8280542986425339E-3</v>
      </c>
    </row>
    <row r="293" spans="2:5" ht="15" customHeight="1">
      <c r="B293" s="92"/>
      <c r="C293" s="43" t="s">
        <v>37</v>
      </c>
      <c r="D293" s="42">
        <v>11</v>
      </c>
      <c r="E293" s="41">
        <v>5.6561085972850684E-4</v>
      </c>
    </row>
    <row r="294" spans="2:5" ht="15" customHeight="1">
      <c r="B294" s="92"/>
      <c r="C294" s="43" t="s">
        <v>57</v>
      </c>
      <c r="D294" s="42">
        <v>44</v>
      </c>
      <c r="E294" s="41">
        <v>2.2624434389140274E-3</v>
      </c>
    </row>
    <row r="295" spans="2:5" ht="15" customHeight="1">
      <c r="B295" s="92"/>
      <c r="C295" s="43" t="s">
        <v>62</v>
      </c>
      <c r="D295" s="42">
        <v>77</v>
      </c>
      <c r="E295" s="41">
        <v>3.9592760180995473E-3</v>
      </c>
    </row>
    <row r="296" spans="2:5" ht="15" customHeight="1">
      <c r="B296" s="92"/>
      <c r="C296" s="43" t="s">
        <v>45</v>
      </c>
      <c r="D296" s="42">
        <v>14</v>
      </c>
      <c r="E296" s="41">
        <v>7.1986836692719048E-4</v>
      </c>
    </row>
    <row r="297" spans="2:5" ht="15" customHeight="1">
      <c r="B297" s="92"/>
      <c r="C297" s="43" t="s">
        <v>31</v>
      </c>
      <c r="D297" s="42">
        <v>2</v>
      </c>
      <c r="E297" s="41">
        <v>1.0283833813245579E-4</v>
      </c>
    </row>
    <row r="298" spans="2:5" ht="15" customHeight="1">
      <c r="B298" s="92"/>
      <c r="C298" s="43" t="s">
        <v>30</v>
      </c>
      <c r="D298" s="42">
        <v>5</v>
      </c>
      <c r="E298" s="41">
        <v>2.5709584533113944E-4</v>
      </c>
    </row>
    <row r="299" spans="2:5" ht="15" customHeight="1">
      <c r="B299" s="92"/>
      <c r="C299" s="43" t="s">
        <v>63</v>
      </c>
      <c r="D299" s="42">
        <v>189</v>
      </c>
      <c r="E299" s="41">
        <v>9.7182229535170712E-3</v>
      </c>
    </row>
    <row r="300" spans="2:5" ht="15" customHeight="1">
      <c r="B300" s="92"/>
      <c r="C300" s="43" t="s">
        <v>64</v>
      </c>
      <c r="D300" s="42">
        <v>202</v>
      </c>
      <c r="E300" s="41">
        <v>1.0386672151378033E-2</v>
      </c>
    </row>
    <row r="301" spans="2:5" ht="15" customHeight="1">
      <c r="B301" s="92"/>
      <c r="C301" s="43" t="s">
        <v>34</v>
      </c>
      <c r="D301" s="42">
        <v>7</v>
      </c>
      <c r="E301" s="41">
        <v>3.5993418346359524E-4</v>
      </c>
    </row>
    <row r="302" spans="2:5" ht="15" customHeight="1">
      <c r="B302" s="92"/>
      <c r="C302" s="43" t="s">
        <v>61</v>
      </c>
      <c r="D302" s="42">
        <v>108</v>
      </c>
      <c r="E302" s="41">
        <v>5.5532702591526125E-3</v>
      </c>
    </row>
    <row r="303" spans="2:5" ht="15" customHeight="1">
      <c r="B303" s="92"/>
      <c r="C303" s="43" t="s">
        <v>53</v>
      </c>
      <c r="D303" s="42">
        <v>39</v>
      </c>
      <c r="E303" s="41">
        <v>2.0053475935828879E-3</v>
      </c>
    </row>
    <row r="304" spans="2:5" ht="15" customHeight="1">
      <c r="B304" s="92"/>
      <c r="C304" s="43" t="s">
        <v>43</v>
      </c>
      <c r="D304" s="42">
        <v>9</v>
      </c>
      <c r="E304" s="41">
        <v>4.6277252159605099E-4</v>
      </c>
    </row>
    <row r="305" spans="2:5" ht="15" customHeight="1">
      <c r="B305" s="92"/>
      <c r="C305" s="43" t="s">
        <v>44</v>
      </c>
      <c r="D305" s="42">
        <v>10</v>
      </c>
      <c r="E305" s="41">
        <v>5.1419169066227888E-4</v>
      </c>
    </row>
    <row r="306" spans="2:5" ht="15" customHeight="1">
      <c r="B306" s="92"/>
      <c r="C306" s="43" t="s">
        <v>42</v>
      </c>
      <c r="D306" s="42">
        <v>17</v>
      </c>
      <c r="E306" s="41">
        <v>8.7412587412587413E-4</v>
      </c>
    </row>
    <row r="307" spans="2:5" ht="15" customHeight="1">
      <c r="B307" s="92"/>
      <c r="C307" s="43" t="s">
        <v>55</v>
      </c>
      <c r="D307" s="42">
        <v>51</v>
      </c>
      <c r="E307" s="41">
        <v>2.6223776223776225E-3</v>
      </c>
    </row>
    <row r="308" spans="2:5" ht="15" customHeight="1">
      <c r="B308" s="92"/>
      <c r="C308" s="43" t="s">
        <v>29</v>
      </c>
      <c r="D308" s="42">
        <v>5</v>
      </c>
      <c r="E308" s="41">
        <v>2.5709584533113944E-4</v>
      </c>
    </row>
    <row r="309" spans="2:5" ht="15" customHeight="1">
      <c r="B309" s="92"/>
      <c r="C309" s="43" t="s">
        <v>26</v>
      </c>
      <c r="D309" s="42">
        <v>7</v>
      </c>
      <c r="E309" s="41">
        <v>3.5993418346359524E-4</v>
      </c>
    </row>
    <row r="310" spans="2:5" ht="15" customHeight="1">
      <c r="B310" s="92"/>
      <c r="C310" s="43" t="s">
        <v>54</v>
      </c>
      <c r="D310" s="42">
        <v>35</v>
      </c>
      <c r="E310" s="41">
        <v>1.7996709173179761E-3</v>
      </c>
    </row>
    <row r="311" spans="2:5" ht="15" customHeight="1">
      <c r="B311" s="92"/>
      <c r="C311" s="43" t="s">
        <v>51</v>
      </c>
      <c r="D311" s="42">
        <v>30</v>
      </c>
      <c r="E311" s="41">
        <v>1.5425750719868367E-3</v>
      </c>
    </row>
    <row r="312" spans="2:5" ht="15" customHeight="1">
      <c r="B312" s="92"/>
      <c r="C312" s="43" t="s">
        <v>50</v>
      </c>
      <c r="D312" s="42">
        <v>25</v>
      </c>
      <c r="E312" s="41">
        <v>1.2854792266556972E-3</v>
      </c>
    </row>
    <row r="313" spans="2:5" ht="15" customHeight="1">
      <c r="B313" s="92"/>
      <c r="C313" s="43" t="s">
        <v>47</v>
      </c>
      <c r="D313" s="42">
        <v>11</v>
      </c>
      <c r="E313" s="41">
        <v>5.6561085972850684E-4</v>
      </c>
    </row>
    <row r="314" spans="2:5" ht="15" customHeight="1">
      <c r="B314" s="92"/>
      <c r="C314" s="43" t="s">
        <v>40</v>
      </c>
      <c r="D314" s="42">
        <v>9</v>
      </c>
      <c r="E314" s="41">
        <v>4.6277252159605099E-4</v>
      </c>
    </row>
    <row r="315" spans="2:5" ht="15" customHeight="1">
      <c r="B315" s="92"/>
      <c r="C315" s="43" t="s">
        <v>38</v>
      </c>
      <c r="D315" s="42">
        <v>12</v>
      </c>
      <c r="E315" s="41">
        <v>6.1703002879473468E-4</v>
      </c>
    </row>
    <row r="316" spans="2:5" ht="15" customHeight="1">
      <c r="B316" s="92"/>
      <c r="C316" s="43" t="s">
        <v>21</v>
      </c>
      <c r="D316" s="42">
        <v>2</v>
      </c>
      <c r="E316" s="41">
        <v>1.0283833813245579E-4</v>
      </c>
    </row>
    <row r="317" spans="2:5" ht="15" customHeight="1">
      <c r="B317" s="92"/>
      <c r="C317" s="43" t="s">
        <v>36</v>
      </c>
      <c r="D317" s="42">
        <v>13</v>
      </c>
      <c r="E317" s="41">
        <v>6.6844919786096253E-4</v>
      </c>
    </row>
    <row r="318" spans="2:5" ht="15" customHeight="1">
      <c r="B318" s="92"/>
      <c r="C318" s="43" t="s">
        <v>33</v>
      </c>
      <c r="D318" s="42">
        <v>7</v>
      </c>
      <c r="E318" s="41">
        <v>3.5993418346359524E-4</v>
      </c>
    </row>
    <row r="319" spans="2:5" ht="15" customHeight="1">
      <c r="B319" s="92"/>
      <c r="C319" s="43" t="s">
        <v>41</v>
      </c>
      <c r="D319" s="42">
        <v>13</v>
      </c>
      <c r="E319" s="41">
        <v>6.6844919786096253E-4</v>
      </c>
    </row>
    <row r="320" spans="2:5" ht="15" customHeight="1">
      <c r="B320" s="92"/>
      <c r="C320" s="43" t="s">
        <v>60</v>
      </c>
      <c r="D320" s="42">
        <v>146</v>
      </c>
      <c r="E320" s="41">
        <v>7.5071986836692719E-3</v>
      </c>
    </row>
    <row r="321" spans="2:5" ht="15" customHeight="1">
      <c r="B321" s="92"/>
      <c r="C321" s="43" t="s">
        <v>48</v>
      </c>
      <c r="D321" s="42">
        <v>32</v>
      </c>
      <c r="E321" s="41">
        <v>1.6454134101192926E-3</v>
      </c>
    </row>
    <row r="322" spans="2:5" ht="15" customHeight="1">
      <c r="B322" s="92"/>
      <c r="C322" s="43" t="s">
        <v>58</v>
      </c>
      <c r="D322" s="42">
        <v>57</v>
      </c>
      <c r="E322" s="41">
        <v>2.9308926367749896E-3</v>
      </c>
    </row>
    <row r="323" spans="2:5" ht="15" customHeight="1">
      <c r="B323" s="92"/>
      <c r="C323" s="43" t="s">
        <v>28</v>
      </c>
      <c r="D323" s="42">
        <v>1</v>
      </c>
      <c r="E323" s="41">
        <v>5.1419169066227893E-5</v>
      </c>
    </row>
    <row r="324" spans="2:5" ht="15" customHeight="1">
      <c r="B324" s="92"/>
      <c r="C324" s="43" t="s">
        <v>32</v>
      </c>
      <c r="D324" s="42">
        <v>6</v>
      </c>
      <c r="E324" s="41">
        <v>3.0851501439736734E-4</v>
      </c>
    </row>
    <row r="325" spans="2:5" ht="15" customHeight="1">
      <c r="B325" s="92"/>
      <c r="C325" s="43" t="s">
        <v>25</v>
      </c>
      <c r="D325" s="42">
        <v>1</v>
      </c>
      <c r="E325" s="41">
        <v>5.1419169066227893E-5</v>
      </c>
    </row>
    <row r="326" spans="2:5" ht="15" customHeight="1">
      <c r="B326" s="92"/>
      <c r="C326" s="43" t="s">
        <v>52</v>
      </c>
      <c r="D326" s="42">
        <v>45</v>
      </c>
      <c r="E326" s="41">
        <v>2.313862607980255E-3</v>
      </c>
    </row>
    <row r="327" spans="2:5" ht="15" customHeight="1">
      <c r="B327" s="92"/>
      <c r="C327" s="43" t="s">
        <v>59</v>
      </c>
      <c r="D327" s="42">
        <v>76</v>
      </c>
      <c r="E327" s="41">
        <v>3.9078568490333197E-3</v>
      </c>
    </row>
    <row r="328" spans="2:5" ht="15" customHeight="1">
      <c r="B328" s="92"/>
      <c r="C328" s="43" t="s">
        <v>65</v>
      </c>
      <c r="D328" s="42">
        <v>3697</v>
      </c>
      <c r="E328" s="41">
        <v>0.1900966680378445</v>
      </c>
    </row>
    <row r="329" spans="2:5" ht="15" customHeight="1">
      <c r="B329" s="92"/>
      <c r="C329" s="43" t="s">
        <v>39</v>
      </c>
      <c r="D329" s="42">
        <v>6</v>
      </c>
      <c r="E329" s="41">
        <v>3.0851501439736734E-4</v>
      </c>
    </row>
    <row r="330" spans="2:5" ht="15" customHeight="1">
      <c r="B330" s="92"/>
      <c r="C330" s="43" t="s">
        <v>49</v>
      </c>
      <c r="D330" s="42">
        <v>22</v>
      </c>
      <c r="E330" s="41">
        <v>1.1312217194570137E-3</v>
      </c>
    </row>
    <row r="331" spans="2:5" ht="15" customHeight="1">
      <c r="B331" s="92"/>
      <c r="C331" s="43" t="s">
        <v>35</v>
      </c>
      <c r="D331" s="42">
        <v>1</v>
      </c>
      <c r="E331" s="41">
        <v>5.1419169066227893E-5</v>
      </c>
    </row>
    <row r="332" spans="2:5" ht="15" customHeight="1">
      <c r="B332" s="92"/>
      <c r="C332" s="43" t="s">
        <v>46</v>
      </c>
      <c r="D332" s="42">
        <v>16</v>
      </c>
      <c r="E332" s="41">
        <v>8.2270670505964628E-4</v>
      </c>
    </row>
    <row r="333" spans="2:5" ht="15" customHeight="1">
      <c r="B333" s="92"/>
      <c r="C333" s="43" t="s">
        <v>24</v>
      </c>
      <c r="D333" s="42">
        <v>1</v>
      </c>
      <c r="E333" s="41">
        <v>5.1419169066227893E-5</v>
      </c>
    </row>
    <row r="334" spans="2:5" ht="15" customHeight="1">
      <c r="B334" s="93"/>
      <c r="C334" s="40" t="s">
        <v>20</v>
      </c>
      <c r="D334" s="39">
        <v>5116</v>
      </c>
      <c r="E334" s="38">
        <v>0.26306046894282187</v>
      </c>
    </row>
    <row r="335" spans="2:5" ht="15" customHeight="1">
      <c r="B335" s="91" t="s">
        <v>174</v>
      </c>
      <c r="C335" s="43" t="s">
        <v>56</v>
      </c>
      <c r="D335" s="42">
        <v>3</v>
      </c>
      <c r="E335" s="41">
        <v>1.5425750719868367E-4</v>
      </c>
    </row>
    <row r="336" spans="2:5" ht="15" customHeight="1">
      <c r="B336" s="92"/>
      <c r="C336" s="43" t="s">
        <v>57</v>
      </c>
      <c r="D336" s="42">
        <v>3</v>
      </c>
      <c r="E336" s="41">
        <v>1.5425750719868367E-4</v>
      </c>
    </row>
    <row r="337" spans="2:5" ht="15" customHeight="1">
      <c r="B337" s="92"/>
      <c r="C337" s="43" t="s">
        <v>62</v>
      </c>
      <c r="D337" s="42">
        <v>3</v>
      </c>
      <c r="E337" s="41">
        <v>1.5425750719868367E-4</v>
      </c>
    </row>
    <row r="338" spans="2:5" ht="15" customHeight="1">
      <c r="B338" s="92"/>
      <c r="C338" s="43" t="s">
        <v>45</v>
      </c>
      <c r="D338" s="42">
        <v>3</v>
      </c>
      <c r="E338" s="41">
        <v>1.5425750719868367E-4</v>
      </c>
    </row>
    <row r="339" spans="2:5" ht="15" customHeight="1">
      <c r="B339" s="92"/>
      <c r="C339" s="43" t="s">
        <v>63</v>
      </c>
      <c r="D339" s="42">
        <v>12</v>
      </c>
      <c r="E339" s="41">
        <v>6.1703002879473468E-4</v>
      </c>
    </row>
    <row r="340" spans="2:5" ht="15" customHeight="1">
      <c r="B340" s="92"/>
      <c r="C340" s="43" t="s">
        <v>64</v>
      </c>
      <c r="D340" s="42">
        <v>12</v>
      </c>
      <c r="E340" s="41">
        <v>6.1703002879473468E-4</v>
      </c>
    </row>
    <row r="341" spans="2:5" ht="15" customHeight="1">
      <c r="B341" s="92"/>
      <c r="C341" s="43" t="s">
        <v>34</v>
      </c>
      <c r="D341" s="42">
        <v>1</v>
      </c>
      <c r="E341" s="41">
        <v>5.1419169066227893E-5</v>
      </c>
    </row>
    <row r="342" spans="2:5" ht="15" customHeight="1">
      <c r="B342" s="92"/>
      <c r="C342" s="43" t="s">
        <v>61</v>
      </c>
      <c r="D342" s="42">
        <v>6</v>
      </c>
      <c r="E342" s="41">
        <v>3.0851501439736734E-4</v>
      </c>
    </row>
    <row r="343" spans="2:5" ht="15" customHeight="1">
      <c r="B343" s="92"/>
      <c r="C343" s="43" t="s">
        <v>53</v>
      </c>
      <c r="D343" s="42">
        <v>7</v>
      </c>
      <c r="E343" s="41">
        <v>3.5993418346359524E-4</v>
      </c>
    </row>
    <row r="344" spans="2:5" ht="15" customHeight="1">
      <c r="B344" s="92"/>
      <c r="C344" s="43" t="s">
        <v>43</v>
      </c>
      <c r="D344" s="42">
        <v>1</v>
      </c>
      <c r="E344" s="41">
        <v>5.1419169066227893E-5</v>
      </c>
    </row>
    <row r="345" spans="2:5" ht="15" customHeight="1">
      <c r="B345" s="92"/>
      <c r="C345" s="43" t="s">
        <v>42</v>
      </c>
      <c r="D345" s="42">
        <v>3</v>
      </c>
      <c r="E345" s="41">
        <v>1.5425750719868367E-4</v>
      </c>
    </row>
    <row r="346" spans="2:5" ht="15" customHeight="1">
      <c r="B346" s="92"/>
      <c r="C346" s="43" t="s">
        <v>55</v>
      </c>
      <c r="D346" s="42">
        <v>6</v>
      </c>
      <c r="E346" s="41">
        <v>3.0851501439736734E-4</v>
      </c>
    </row>
    <row r="347" spans="2:5" ht="15" customHeight="1">
      <c r="B347" s="92"/>
      <c r="C347" s="43" t="s">
        <v>54</v>
      </c>
      <c r="D347" s="42">
        <v>1</v>
      </c>
      <c r="E347" s="41">
        <v>5.1419169066227893E-5</v>
      </c>
    </row>
    <row r="348" spans="2:5" ht="15" customHeight="1">
      <c r="B348" s="92"/>
      <c r="C348" s="43" t="s">
        <v>51</v>
      </c>
      <c r="D348" s="42">
        <v>2</v>
      </c>
      <c r="E348" s="41">
        <v>1.0283833813245579E-4</v>
      </c>
    </row>
    <row r="349" spans="2:5" ht="15" customHeight="1">
      <c r="B349" s="92"/>
      <c r="C349" s="43" t="s">
        <v>40</v>
      </c>
      <c r="D349" s="42">
        <v>1</v>
      </c>
      <c r="E349" s="41">
        <v>5.1419169066227893E-5</v>
      </c>
    </row>
    <row r="350" spans="2:5" ht="15" customHeight="1">
      <c r="B350" s="92"/>
      <c r="C350" s="43" t="s">
        <v>33</v>
      </c>
      <c r="D350" s="42">
        <v>1</v>
      </c>
      <c r="E350" s="41">
        <v>5.1419169066227893E-5</v>
      </c>
    </row>
    <row r="351" spans="2:5" ht="15" customHeight="1">
      <c r="B351" s="92"/>
      <c r="C351" s="43" t="s">
        <v>41</v>
      </c>
      <c r="D351" s="42">
        <v>1</v>
      </c>
      <c r="E351" s="41">
        <v>5.1419169066227893E-5</v>
      </c>
    </row>
    <row r="352" spans="2:5" ht="15" customHeight="1">
      <c r="B352" s="92"/>
      <c r="C352" s="43" t="s">
        <v>60</v>
      </c>
      <c r="D352" s="42">
        <v>5</v>
      </c>
      <c r="E352" s="41">
        <v>2.5709584533113944E-4</v>
      </c>
    </row>
    <row r="353" spans="2:5" ht="15" customHeight="1">
      <c r="B353" s="92"/>
      <c r="C353" s="43" t="s">
        <v>48</v>
      </c>
      <c r="D353" s="42">
        <v>6</v>
      </c>
      <c r="E353" s="41">
        <v>3.0851501439736734E-4</v>
      </c>
    </row>
    <row r="354" spans="2:5" ht="15" customHeight="1">
      <c r="B354" s="92"/>
      <c r="C354" s="43" t="s">
        <v>58</v>
      </c>
      <c r="D354" s="42">
        <v>3</v>
      </c>
      <c r="E354" s="41">
        <v>1.5425750719868367E-4</v>
      </c>
    </row>
    <row r="355" spans="2:5" ht="15" customHeight="1">
      <c r="B355" s="92"/>
      <c r="C355" s="43" t="s">
        <v>32</v>
      </c>
      <c r="D355" s="42">
        <v>2</v>
      </c>
      <c r="E355" s="41">
        <v>1.0283833813245579E-4</v>
      </c>
    </row>
    <row r="356" spans="2:5" ht="15" customHeight="1">
      <c r="B356" s="92"/>
      <c r="C356" s="43" t="s">
        <v>52</v>
      </c>
      <c r="D356" s="42">
        <v>2</v>
      </c>
      <c r="E356" s="41">
        <v>1.0283833813245579E-4</v>
      </c>
    </row>
    <row r="357" spans="2:5" ht="15" customHeight="1">
      <c r="B357" s="92"/>
      <c r="C357" s="43" t="s">
        <v>27</v>
      </c>
      <c r="D357" s="42">
        <v>1</v>
      </c>
      <c r="E357" s="41">
        <v>5.1419169066227893E-5</v>
      </c>
    </row>
    <row r="358" spans="2:5" ht="15" customHeight="1">
      <c r="B358" s="92"/>
      <c r="C358" s="43" t="s">
        <v>59</v>
      </c>
      <c r="D358" s="42">
        <v>6</v>
      </c>
      <c r="E358" s="41">
        <v>3.0851501439736734E-4</v>
      </c>
    </row>
    <row r="359" spans="2:5" ht="15" customHeight="1">
      <c r="B359" s="92"/>
      <c r="C359" s="43" t="s">
        <v>65</v>
      </c>
      <c r="D359" s="42">
        <v>314</v>
      </c>
      <c r="E359" s="41">
        <v>1.6145619086795557E-2</v>
      </c>
    </row>
    <row r="360" spans="2:5" ht="15" customHeight="1">
      <c r="B360" s="92"/>
      <c r="C360" s="43" t="s">
        <v>39</v>
      </c>
      <c r="D360" s="42">
        <v>1</v>
      </c>
      <c r="E360" s="41">
        <v>5.1419169066227893E-5</v>
      </c>
    </row>
    <row r="361" spans="2:5" ht="15" customHeight="1">
      <c r="B361" s="92"/>
      <c r="C361" s="43" t="s">
        <v>49</v>
      </c>
      <c r="D361" s="42">
        <v>3</v>
      </c>
      <c r="E361" s="41">
        <v>1.5425750719868367E-4</v>
      </c>
    </row>
    <row r="362" spans="2:5" ht="15" customHeight="1">
      <c r="B362" s="92"/>
      <c r="C362" s="43" t="s">
        <v>35</v>
      </c>
      <c r="D362" s="42">
        <v>1</v>
      </c>
      <c r="E362" s="41">
        <v>5.1419169066227893E-5</v>
      </c>
    </row>
    <row r="363" spans="2:5" ht="15" customHeight="1">
      <c r="B363" s="93"/>
      <c r="C363" s="40" t="s">
        <v>20</v>
      </c>
      <c r="D363" s="39">
        <v>410</v>
      </c>
      <c r="E363" s="38">
        <v>2.1081859317153433E-2</v>
      </c>
    </row>
    <row r="364" spans="2:5" ht="15" customHeight="1">
      <c r="B364" s="91" t="s">
        <v>173</v>
      </c>
      <c r="C364" s="43" t="s">
        <v>56</v>
      </c>
      <c r="D364" s="42">
        <v>25</v>
      </c>
      <c r="E364" s="41">
        <v>1.2854792266556972E-3</v>
      </c>
    </row>
    <row r="365" spans="2:5" ht="15" customHeight="1">
      <c r="B365" s="92"/>
      <c r="C365" s="43" t="s">
        <v>37</v>
      </c>
      <c r="D365" s="42">
        <v>6</v>
      </c>
      <c r="E365" s="41">
        <v>3.0851501439736734E-4</v>
      </c>
    </row>
    <row r="366" spans="2:5" ht="15" customHeight="1">
      <c r="B366" s="92"/>
      <c r="C366" s="43" t="s">
        <v>57</v>
      </c>
      <c r="D366" s="42">
        <v>10</v>
      </c>
      <c r="E366" s="41">
        <v>5.1419169066227888E-4</v>
      </c>
    </row>
    <row r="367" spans="2:5" ht="15" customHeight="1">
      <c r="B367" s="92"/>
      <c r="C367" s="43" t="s">
        <v>62</v>
      </c>
      <c r="D367" s="42">
        <v>22</v>
      </c>
      <c r="E367" s="41">
        <v>1.1312217194570137E-3</v>
      </c>
    </row>
    <row r="368" spans="2:5" ht="15" customHeight="1">
      <c r="B368" s="92"/>
      <c r="C368" s="43" t="s">
        <v>45</v>
      </c>
      <c r="D368" s="42">
        <v>2</v>
      </c>
      <c r="E368" s="41">
        <v>1.0283833813245579E-4</v>
      </c>
    </row>
    <row r="369" spans="2:5" ht="15" customHeight="1">
      <c r="B369" s="92"/>
      <c r="C369" s="43" t="s">
        <v>31</v>
      </c>
      <c r="D369" s="42">
        <v>1</v>
      </c>
      <c r="E369" s="41">
        <v>5.1419169066227893E-5</v>
      </c>
    </row>
    <row r="370" spans="2:5" ht="15" customHeight="1">
      <c r="B370" s="92"/>
      <c r="C370" s="43" t="s">
        <v>30</v>
      </c>
      <c r="D370" s="42">
        <v>2</v>
      </c>
      <c r="E370" s="41">
        <v>1.0283833813245579E-4</v>
      </c>
    </row>
    <row r="371" spans="2:5" ht="15" customHeight="1">
      <c r="B371" s="92"/>
      <c r="C371" s="43" t="s">
        <v>63</v>
      </c>
      <c r="D371" s="42">
        <v>60</v>
      </c>
      <c r="E371" s="41">
        <v>3.0851501439736733E-3</v>
      </c>
    </row>
    <row r="372" spans="2:5" ht="15" customHeight="1">
      <c r="B372" s="92"/>
      <c r="C372" s="43" t="s">
        <v>64</v>
      </c>
      <c r="D372" s="42">
        <v>36</v>
      </c>
      <c r="E372" s="41">
        <v>1.8510900863842039E-3</v>
      </c>
    </row>
    <row r="373" spans="2:5" ht="15" customHeight="1">
      <c r="B373" s="92"/>
      <c r="C373" s="43" t="s">
        <v>34</v>
      </c>
      <c r="D373" s="42">
        <v>4</v>
      </c>
      <c r="E373" s="41">
        <v>2.0567667626491157E-4</v>
      </c>
    </row>
    <row r="374" spans="2:5" ht="15" customHeight="1">
      <c r="B374" s="92"/>
      <c r="C374" s="43" t="s">
        <v>61</v>
      </c>
      <c r="D374" s="42">
        <v>16</v>
      </c>
      <c r="E374" s="41">
        <v>8.2270670505964628E-4</v>
      </c>
    </row>
    <row r="375" spans="2:5" ht="15" customHeight="1">
      <c r="B375" s="92"/>
      <c r="C375" s="43" t="s">
        <v>53</v>
      </c>
      <c r="D375" s="42">
        <v>15</v>
      </c>
      <c r="E375" s="41">
        <v>7.7128753599341833E-4</v>
      </c>
    </row>
    <row r="376" spans="2:5" ht="15" customHeight="1">
      <c r="B376" s="92"/>
      <c r="C376" s="43" t="s">
        <v>43</v>
      </c>
      <c r="D376" s="42">
        <v>1</v>
      </c>
      <c r="E376" s="41">
        <v>5.1419169066227893E-5</v>
      </c>
    </row>
    <row r="377" spans="2:5" ht="15" customHeight="1">
      <c r="B377" s="92"/>
      <c r="C377" s="43" t="s">
        <v>44</v>
      </c>
      <c r="D377" s="42">
        <v>5</v>
      </c>
      <c r="E377" s="41">
        <v>2.5709584533113944E-4</v>
      </c>
    </row>
    <row r="378" spans="2:5" ht="15" customHeight="1">
      <c r="B378" s="92"/>
      <c r="C378" s="43" t="s">
        <v>42</v>
      </c>
      <c r="D378" s="42">
        <v>3</v>
      </c>
      <c r="E378" s="41">
        <v>1.5425750719868367E-4</v>
      </c>
    </row>
    <row r="379" spans="2:5" ht="15" customHeight="1">
      <c r="B379" s="92"/>
      <c r="C379" s="43" t="s">
        <v>55</v>
      </c>
      <c r="D379" s="42">
        <v>14</v>
      </c>
      <c r="E379" s="41">
        <v>7.1986836692719048E-4</v>
      </c>
    </row>
    <row r="380" spans="2:5" ht="15" customHeight="1">
      <c r="B380" s="92"/>
      <c r="C380" s="43" t="s">
        <v>54</v>
      </c>
      <c r="D380" s="42">
        <v>9</v>
      </c>
      <c r="E380" s="41">
        <v>4.6277252159605099E-4</v>
      </c>
    </row>
    <row r="381" spans="2:5" ht="15" customHeight="1">
      <c r="B381" s="92"/>
      <c r="C381" s="43" t="s">
        <v>51</v>
      </c>
      <c r="D381" s="42">
        <v>8</v>
      </c>
      <c r="E381" s="41">
        <v>4.1135335252982314E-4</v>
      </c>
    </row>
    <row r="382" spans="2:5" ht="15" customHeight="1">
      <c r="B382" s="92"/>
      <c r="C382" s="43" t="s">
        <v>50</v>
      </c>
      <c r="D382" s="42">
        <v>3</v>
      </c>
      <c r="E382" s="41">
        <v>1.5425750719868367E-4</v>
      </c>
    </row>
    <row r="383" spans="2:5" ht="15" customHeight="1">
      <c r="B383" s="92"/>
      <c r="C383" s="43" t="s">
        <v>47</v>
      </c>
      <c r="D383" s="42">
        <v>8</v>
      </c>
      <c r="E383" s="41">
        <v>4.1135335252982314E-4</v>
      </c>
    </row>
    <row r="384" spans="2:5" ht="15" customHeight="1">
      <c r="B384" s="92"/>
      <c r="C384" s="43" t="s">
        <v>40</v>
      </c>
      <c r="D384" s="42">
        <v>6</v>
      </c>
      <c r="E384" s="41">
        <v>3.0851501439736734E-4</v>
      </c>
    </row>
    <row r="385" spans="2:5" ht="15" customHeight="1">
      <c r="B385" s="92"/>
      <c r="C385" s="43" t="s">
        <v>38</v>
      </c>
      <c r="D385" s="42">
        <v>2</v>
      </c>
      <c r="E385" s="41">
        <v>1.0283833813245579E-4</v>
      </c>
    </row>
    <row r="386" spans="2:5" ht="15" customHeight="1">
      <c r="B386" s="92"/>
      <c r="C386" s="43" t="s">
        <v>36</v>
      </c>
      <c r="D386" s="42">
        <v>3</v>
      </c>
      <c r="E386" s="41">
        <v>1.5425750719868367E-4</v>
      </c>
    </row>
    <row r="387" spans="2:5" ht="15" customHeight="1">
      <c r="B387" s="92"/>
      <c r="C387" s="43" t="s">
        <v>41</v>
      </c>
      <c r="D387" s="42">
        <v>1</v>
      </c>
      <c r="E387" s="41">
        <v>5.1419169066227893E-5</v>
      </c>
    </row>
    <row r="388" spans="2:5" ht="15" customHeight="1">
      <c r="B388" s="92"/>
      <c r="C388" s="43" t="s">
        <v>60</v>
      </c>
      <c r="D388" s="42">
        <v>46</v>
      </c>
      <c r="E388" s="41">
        <v>2.365281777046483E-3</v>
      </c>
    </row>
    <row r="389" spans="2:5" ht="15" customHeight="1">
      <c r="B389" s="92"/>
      <c r="C389" s="43" t="s">
        <v>48</v>
      </c>
      <c r="D389" s="42">
        <v>7</v>
      </c>
      <c r="E389" s="41">
        <v>3.5993418346359524E-4</v>
      </c>
    </row>
    <row r="390" spans="2:5" ht="15" customHeight="1">
      <c r="B390" s="92"/>
      <c r="C390" s="43" t="s">
        <v>58</v>
      </c>
      <c r="D390" s="42">
        <v>14</v>
      </c>
      <c r="E390" s="41">
        <v>7.1986836692719048E-4</v>
      </c>
    </row>
    <row r="391" spans="2:5" ht="15" customHeight="1">
      <c r="B391" s="92"/>
      <c r="C391" s="43" t="s">
        <v>32</v>
      </c>
      <c r="D391" s="42">
        <v>5</v>
      </c>
      <c r="E391" s="41">
        <v>2.5709584533113944E-4</v>
      </c>
    </row>
    <row r="392" spans="2:5" ht="15" customHeight="1">
      <c r="B392" s="92"/>
      <c r="C392" s="43" t="s">
        <v>52</v>
      </c>
      <c r="D392" s="42">
        <v>9</v>
      </c>
      <c r="E392" s="41">
        <v>4.6277252159605099E-4</v>
      </c>
    </row>
    <row r="393" spans="2:5" ht="15" customHeight="1">
      <c r="B393" s="92"/>
      <c r="C393" s="43" t="s">
        <v>27</v>
      </c>
      <c r="D393" s="42">
        <v>1</v>
      </c>
      <c r="E393" s="41">
        <v>5.1419169066227893E-5</v>
      </c>
    </row>
    <row r="394" spans="2:5" ht="15" customHeight="1">
      <c r="B394" s="92"/>
      <c r="C394" s="43" t="s">
        <v>59</v>
      </c>
      <c r="D394" s="42">
        <v>19</v>
      </c>
      <c r="E394" s="41">
        <v>9.7696421225832992E-4</v>
      </c>
    </row>
    <row r="395" spans="2:5" ht="15" customHeight="1">
      <c r="B395" s="92"/>
      <c r="C395" s="43" t="s">
        <v>65</v>
      </c>
      <c r="D395" s="42">
        <v>1139</v>
      </c>
      <c r="E395" s="41">
        <v>5.8566433566433568E-2</v>
      </c>
    </row>
    <row r="396" spans="2:5" ht="15" customHeight="1">
      <c r="B396" s="92"/>
      <c r="C396" s="43" t="s">
        <v>39</v>
      </c>
      <c r="D396" s="42">
        <v>1</v>
      </c>
      <c r="E396" s="41">
        <v>5.1419169066227893E-5</v>
      </c>
    </row>
    <row r="397" spans="2:5" ht="15" customHeight="1">
      <c r="B397" s="92"/>
      <c r="C397" s="43" t="s">
        <v>49</v>
      </c>
      <c r="D397" s="42">
        <v>9</v>
      </c>
      <c r="E397" s="41">
        <v>4.6277252159605099E-4</v>
      </c>
    </row>
    <row r="398" spans="2:5" ht="15" customHeight="1">
      <c r="B398" s="92"/>
      <c r="C398" s="43" t="s">
        <v>46</v>
      </c>
      <c r="D398" s="42">
        <v>4</v>
      </c>
      <c r="E398" s="41">
        <v>2.0567667626491157E-4</v>
      </c>
    </row>
    <row r="399" spans="2:5" ht="15" customHeight="1">
      <c r="B399" s="93"/>
      <c r="C399" s="40" t="s">
        <v>20</v>
      </c>
      <c r="D399" s="39">
        <v>1516</v>
      </c>
      <c r="E399" s="38">
        <v>7.7951460304401476E-2</v>
      </c>
    </row>
    <row r="400" spans="2:5" ht="15" customHeight="1">
      <c r="B400" s="91" t="s">
        <v>172</v>
      </c>
      <c r="C400" s="43" t="s">
        <v>56</v>
      </c>
      <c r="D400" s="42">
        <v>26</v>
      </c>
      <c r="E400" s="41">
        <v>1.3368983957219251E-3</v>
      </c>
    </row>
    <row r="401" spans="2:5" ht="15" customHeight="1">
      <c r="B401" s="92"/>
      <c r="C401" s="43" t="s">
        <v>37</v>
      </c>
      <c r="D401" s="42">
        <v>5</v>
      </c>
      <c r="E401" s="41">
        <v>2.5709584533113944E-4</v>
      </c>
    </row>
    <row r="402" spans="2:5" ht="15" customHeight="1">
      <c r="B402" s="92"/>
      <c r="C402" s="43" t="s">
        <v>57</v>
      </c>
      <c r="D402" s="42">
        <v>47</v>
      </c>
      <c r="E402" s="41">
        <v>2.4167009461127107E-3</v>
      </c>
    </row>
    <row r="403" spans="2:5" ht="15" customHeight="1">
      <c r="B403" s="92"/>
      <c r="C403" s="43" t="s">
        <v>62</v>
      </c>
      <c r="D403" s="42">
        <v>72</v>
      </c>
      <c r="E403" s="41">
        <v>3.7021801727684079E-3</v>
      </c>
    </row>
    <row r="404" spans="2:5" ht="15" customHeight="1">
      <c r="B404" s="92"/>
      <c r="C404" s="43" t="s">
        <v>45</v>
      </c>
      <c r="D404" s="42">
        <v>5</v>
      </c>
      <c r="E404" s="41">
        <v>2.5709584533113944E-4</v>
      </c>
    </row>
    <row r="405" spans="2:5" ht="15" customHeight="1">
      <c r="B405" s="92"/>
      <c r="C405" s="43" t="s">
        <v>31</v>
      </c>
      <c r="D405" s="42">
        <v>7</v>
      </c>
      <c r="E405" s="41">
        <v>3.5993418346359524E-4</v>
      </c>
    </row>
    <row r="406" spans="2:5" ht="15" customHeight="1">
      <c r="B406" s="92"/>
      <c r="C406" s="43" t="s">
        <v>30</v>
      </c>
      <c r="D406" s="42">
        <v>2</v>
      </c>
      <c r="E406" s="41">
        <v>1.0283833813245579E-4</v>
      </c>
    </row>
    <row r="407" spans="2:5" ht="15" customHeight="1">
      <c r="B407" s="92"/>
      <c r="C407" s="43" t="s">
        <v>63</v>
      </c>
      <c r="D407" s="42">
        <v>121</v>
      </c>
      <c r="E407" s="41">
        <v>6.2217194570135742E-3</v>
      </c>
    </row>
    <row r="408" spans="2:5" ht="15" customHeight="1">
      <c r="B408" s="92"/>
      <c r="C408" s="43" t="s">
        <v>64</v>
      </c>
      <c r="D408" s="42">
        <v>143</v>
      </c>
      <c r="E408" s="41">
        <v>7.3529411764705881E-3</v>
      </c>
    </row>
    <row r="409" spans="2:5" ht="15" customHeight="1">
      <c r="B409" s="92"/>
      <c r="C409" s="43" t="s">
        <v>34</v>
      </c>
      <c r="D409" s="42">
        <v>3</v>
      </c>
      <c r="E409" s="41">
        <v>1.5425750719868367E-4</v>
      </c>
    </row>
    <row r="410" spans="2:5" ht="15" customHeight="1">
      <c r="B410" s="92"/>
      <c r="C410" s="43" t="s">
        <v>61</v>
      </c>
      <c r="D410" s="42">
        <v>83</v>
      </c>
      <c r="E410" s="41">
        <v>4.2677910324969148E-3</v>
      </c>
    </row>
    <row r="411" spans="2:5" ht="15" customHeight="1">
      <c r="B411" s="92"/>
      <c r="C411" s="43" t="s">
        <v>53</v>
      </c>
      <c r="D411" s="42">
        <v>32</v>
      </c>
      <c r="E411" s="41">
        <v>1.6454134101192926E-3</v>
      </c>
    </row>
    <row r="412" spans="2:5" ht="15" customHeight="1">
      <c r="B412" s="92"/>
      <c r="C412" s="43" t="s">
        <v>43</v>
      </c>
      <c r="D412" s="42">
        <v>8</v>
      </c>
      <c r="E412" s="41">
        <v>4.1135335252982314E-4</v>
      </c>
    </row>
    <row r="413" spans="2:5" ht="15" customHeight="1">
      <c r="B413" s="92"/>
      <c r="C413" s="43" t="s">
        <v>44</v>
      </c>
      <c r="D413" s="42">
        <v>14</v>
      </c>
      <c r="E413" s="41">
        <v>7.1986836692719048E-4</v>
      </c>
    </row>
    <row r="414" spans="2:5" ht="15" customHeight="1">
      <c r="B414" s="92"/>
      <c r="C414" s="43" t="s">
        <v>42</v>
      </c>
      <c r="D414" s="42">
        <v>8</v>
      </c>
      <c r="E414" s="41">
        <v>4.1135335252982314E-4</v>
      </c>
    </row>
    <row r="415" spans="2:5" ht="15" customHeight="1">
      <c r="B415" s="92"/>
      <c r="C415" s="43" t="s">
        <v>55</v>
      </c>
      <c r="D415" s="42">
        <v>57</v>
      </c>
      <c r="E415" s="41">
        <v>2.9308926367749896E-3</v>
      </c>
    </row>
    <row r="416" spans="2:5" ht="15" customHeight="1">
      <c r="B416" s="92"/>
      <c r="C416" s="43" t="s">
        <v>29</v>
      </c>
      <c r="D416" s="42">
        <v>5</v>
      </c>
      <c r="E416" s="41">
        <v>2.5709584533113944E-4</v>
      </c>
    </row>
    <row r="417" spans="2:5" ht="15" customHeight="1">
      <c r="B417" s="92"/>
      <c r="C417" s="43" t="s">
        <v>26</v>
      </c>
      <c r="D417" s="42">
        <v>1</v>
      </c>
      <c r="E417" s="41">
        <v>5.1419169066227893E-5</v>
      </c>
    </row>
    <row r="418" spans="2:5" ht="15" customHeight="1">
      <c r="B418" s="92"/>
      <c r="C418" s="43" t="s">
        <v>54</v>
      </c>
      <c r="D418" s="42">
        <v>25</v>
      </c>
      <c r="E418" s="41">
        <v>1.2854792266556972E-3</v>
      </c>
    </row>
    <row r="419" spans="2:5" ht="15" customHeight="1">
      <c r="B419" s="92"/>
      <c r="C419" s="43" t="s">
        <v>51</v>
      </c>
      <c r="D419" s="42">
        <v>25</v>
      </c>
      <c r="E419" s="41">
        <v>1.2854792266556972E-3</v>
      </c>
    </row>
    <row r="420" spans="2:5" ht="15" customHeight="1">
      <c r="B420" s="92"/>
      <c r="C420" s="43" t="s">
        <v>50</v>
      </c>
      <c r="D420" s="42">
        <v>16</v>
      </c>
      <c r="E420" s="41">
        <v>8.2270670505964628E-4</v>
      </c>
    </row>
    <row r="421" spans="2:5" ht="15" customHeight="1">
      <c r="B421" s="92"/>
      <c r="C421" s="43" t="s">
        <v>47</v>
      </c>
      <c r="D421" s="42">
        <v>10</v>
      </c>
      <c r="E421" s="41">
        <v>5.1419169066227888E-4</v>
      </c>
    </row>
    <row r="422" spans="2:5" ht="15" customHeight="1">
      <c r="B422" s="92"/>
      <c r="C422" s="43" t="s">
        <v>40</v>
      </c>
      <c r="D422" s="42">
        <v>11</v>
      </c>
      <c r="E422" s="41">
        <v>5.6561085972850684E-4</v>
      </c>
    </row>
    <row r="423" spans="2:5" ht="15" customHeight="1">
      <c r="B423" s="92"/>
      <c r="C423" s="43" t="s">
        <v>38</v>
      </c>
      <c r="D423" s="42">
        <v>16</v>
      </c>
      <c r="E423" s="41">
        <v>8.2270670505964628E-4</v>
      </c>
    </row>
    <row r="424" spans="2:5" ht="15" customHeight="1">
      <c r="B424" s="92"/>
      <c r="C424" s="43" t="s">
        <v>36</v>
      </c>
      <c r="D424" s="42">
        <v>11</v>
      </c>
      <c r="E424" s="41">
        <v>5.6561085972850684E-4</v>
      </c>
    </row>
    <row r="425" spans="2:5" ht="15" customHeight="1">
      <c r="B425" s="92"/>
      <c r="C425" s="43" t="s">
        <v>33</v>
      </c>
      <c r="D425" s="42">
        <v>6</v>
      </c>
      <c r="E425" s="41">
        <v>3.0851501439736734E-4</v>
      </c>
    </row>
    <row r="426" spans="2:5" ht="15" customHeight="1">
      <c r="B426" s="92"/>
      <c r="C426" s="43" t="s">
        <v>41</v>
      </c>
      <c r="D426" s="42">
        <v>18</v>
      </c>
      <c r="E426" s="41">
        <v>9.2554504319210197E-4</v>
      </c>
    </row>
    <row r="427" spans="2:5" ht="15" customHeight="1">
      <c r="B427" s="92"/>
      <c r="C427" s="43" t="s">
        <v>60</v>
      </c>
      <c r="D427" s="42">
        <v>87</v>
      </c>
      <c r="E427" s="41">
        <v>4.4734677087618262E-3</v>
      </c>
    </row>
    <row r="428" spans="2:5" ht="15" customHeight="1">
      <c r="B428" s="92"/>
      <c r="C428" s="43" t="s">
        <v>22</v>
      </c>
      <c r="D428" s="42">
        <v>1</v>
      </c>
      <c r="E428" s="41">
        <v>5.1419169066227893E-5</v>
      </c>
    </row>
    <row r="429" spans="2:5" ht="15" customHeight="1">
      <c r="B429" s="92"/>
      <c r="C429" s="43" t="s">
        <v>48</v>
      </c>
      <c r="D429" s="42">
        <v>23</v>
      </c>
      <c r="E429" s="41">
        <v>1.1826408885232415E-3</v>
      </c>
    </row>
    <row r="430" spans="2:5" ht="15" customHeight="1">
      <c r="B430" s="92"/>
      <c r="C430" s="43" t="s">
        <v>58</v>
      </c>
      <c r="D430" s="42">
        <v>44</v>
      </c>
      <c r="E430" s="41">
        <v>2.2624434389140274E-3</v>
      </c>
    </row>
    <row r="431" spans="2:5" ht="15" customHeight="1">
      <c r="B431" s="92"/>
      <c r="C431" s="43" t="s">
        <v>28</v>
      </c>
      <c r="D431" s="42">
        <v>1</v>
      </c>
      <c r="E431" s="41">
        <v>5.1419169066227893E-5</v>
      </c>
    </row>
    <row r="432" spans="2:5" ht="15" customHeight="1">
      <c r="B432" s="92"/>
      <c r="C432" s="43" t="s">
        <v>32</v>
      </c>
      <c r="D432" s="42">
        <v>3</v>
      </c>
      <c r="E432" s="41">
        <v>1.5425750719868367E-4</v>
      </c>
    </row>
    <row r="433" spans="2:5" ht="15" customHeight="1">
      <c r="B433" s="92"/>
      <c r="C433" s="43" t="s">
        <v>25</v>
      </c>
      <c r="D433" s="42">
        <v>2</v>
      </c>
      <c r="E433" s="41">
        <v>1.0283833813245579E-4</v>
      </c>
    </row>
    <row r="434" spans="2:5" ht="15" customHeight="1">
      <c r="B434" s="92"/>
      <c r="C434" s="43" t="s">
        <v>52</v>
      </c>
      <c r="D434" s="42">
        <v>37</v>
      </c>
      <c r="E434" s="41">
        <v>1.902509255450432E-3</v>
      </c>
    </row>
    <row r="435" spans="2:5" ht="15" customHeight="1">
      <c r="B435" s="92"/>
      <c r="C435" s="43" t="s">
        <v>27</v>
      </c>
      <c r="D435" s="42">
        <v>2</v>
      </c>
      <c r="E435" s="41">
        <v>1.0283833813245579E-4</v>
      </c>
    </row>
    <row r="436" spans="2:5" ht="15" customHeight="1">
      <c r="B436" s="92"/>
      <c r="C436" s="43" t="s">
        <v>59</v>
      </c>
      <c r="D436" s="42">
        <v>67</v>
      </c>
      <c r="E436" s="41">
        <v>3.4450843274372684E-3</v>
      </c>
    </row>
    <row r="437" spans="2:5" ht="15" customHeight="1">
      <c r="B437" s="92"/>
      <c r="C437" s="43" t="s">
        <v>65</v>
      </c>
      <c r="D437" s="42">
        <v>3887</v>
      </c>
      <c r="E437" s="41">
        <v>0.1998663101604278</v>
      </c>
    </row>
    <row r="438" spans="2:5" ht="15" customHeight="1">
      <c r="B438" s="92"/>
      <c r="C438" s="43" t="s">
        <v>39</v>
      </c>
      <c r="D438" s="42">
        <v>14</v>
      </c>
      <c r="E438" s="41">
        <v>7.1986836692719048E-4</v>
      </c>
    </row>
    <row r="439" spans="2:5" ht="15" customHeight="1">
      <c r="B439" s="92"/>
      <c r="C439" s="43" t="s">
        <v>49</v>
      </c>
      <c r="D439" s="42">
        <v>19</v>
      </c>
      <c r="E439" s="41">
        <v>9.7696421225832992E-4</v>
      </c>
    </row>
    <row r="440" spans="2:5" ht="15" customHeight="1">
      <c r="B440" s="92"/>
      <c r="C440" s="43" t="s">
        <v>35</v>
      </c>
      <c r="D440" s="42">
        <v>4</v>
      </c>
      <c r="E440" s="41">
        <v>2.0567667626491157E-4</v>
      </c>
    </row>
    <row r="441" spans="2:5" ht="15" customHeight="1">
      <c r="B441" s="92"/>
      <c r="C441" s="43" t="s">
        <v>46</v>
      </c>
      <c r="D441" s="42">
        <v>28</v>
      </c>
      <c r="E441" s="41">
        <v>1.439736733854381E-3</v>
      </c>
    </row>
    <row r="442" spans="2:5" ht="15" customHeight="1">
      <c r="B442" s="93"/>
      <c r="C442" s="40" t="s">
        <v>20</v>
      </c>
      <c r="D442" s="39">
        <v>4996</v>
      </c>
      <c r="E442" s="38">
        <v>0.25689016865487452</v>
      </c>
    </row>
    <row r="443" spans="2:5" ht="15" customHeight="1">
      <c r="B443" s="91" t="s">
        <v>171</v>
      </c>
      <c r="C443" s="43" t="s">
        <v>56</v>
      </c>
      <c r="D443" s="42">
        <v>3</v>
      </c>
      <c r="E443" s="41">
        <v>1.5425750719868367E-4</v>
      </c>
    </row>
    <row r="444" spans="2:5" ht="15" customHeight="1">
      <c r="B444" s="92"/>
      <c r="C444" s="43" t="s">
        <v>57</v>
      </c>
      <c r="D444" s="42">
        <v>1</v>
      </c>
      <c r="E444" s="41">
        <v>5.1419169066227893E-5</v>
      </c>
    </row>
    <row r="445" spans="2:5" ht="15" customHeight="1">
      <c r="B445" s="92"/>
      <c r="C445" s="43" t="s">
        <v>62</v>
      </c>
      <c r="D445" s="42">
        <v>2</v>
      </c>
      <c r="E445" s="41">
        <v>1.0283833813245579E-4</v>
      </c>
    </row>
    <row r="446" spans="2:5" ht="15" customHeight="1">
      <c r="B446" s="92"/>
      <c r="C446" s="43" t="s">
        <v>63</v>
      </c>
      <c r="D446" s="42">
        <v>2</v>
      </c>
      <c r="E446" s="41">
        <v>1.0283833813245579E-4</v>
      </c>
    </row>
    <row r="447" spans="2:5" ht="15" customHeight="1">
      <c r="B447" s="92"/>
      <c r="C447" s="43" t="s">
        <v>64</v>
      </c>
      <c r="D447" s="42">
        <v>3</v>
      </c>
      <c r="E447" s="41">
        <v>1.5425750719868367E-4</v>
      </c>
    </row>
    <row r="448" spans="2:5" ht="15" customHeight="1">
      <c r="B448" s="92"/>
      <c r="C448" s="43" t="s">
        <v>44</v>
      </c>
      <c r="D448" s="42">
        <v>1</v>
      </c>
      <c r="E448" s="41">
        <v>5.1419169066227893E-5</v>
      </c>
    </row>
    <row r="449" spans="2:5" ht="15" customHeight="1">
      <c r="B449" s="92"/>
      <c r="C449" s="43" t="s">
        <v>54</v>
      </c>
      <c r="D449" s="42">
        <v>1</v>
      </c>
      <c r="E449" s="41">
        <v>5.1419169066227893E-5</v>
      </c>
    </row>
    <row r="450" spans="2:5" ht="15" customHeight="1">
      <c r="B450" s="92"/>
      <c r="C450" s="43" t="s">
        <v>40</v>
      </c>
      <c r="D450" s="42">
        <v>1</v>
      </c>
      <c r="E450" s="41">
        <v>5.1419169066227893E-5</v>
      </c>
    </row>
    <row r="451" spans="2:5" ht="15" customHeight="1">
      <c r="B451" s="92"/>
      <c r="C451" s="43" t="s">
        <v>60</v>
      </c>
      <c r="D451" s="42">
        <v>2</v>
      </c>
      <c r="E451" s="41">
        <v>1.0283833813245579E-4</v>
      </c>
    </row>
    <row r="452" spans="2:5" ht="15" customHeight="1">
      <c r="B452" s="92"/>
      <c r="C452" s="43" t="s">
        <v>65</v>
      </c>
      <c r="D452" s="42">
        <v>81</v>
      </c>
      <c r="E452" s="41">
        <v>4.1649526943644587E-3</v>
      </c>
    </row>
    <row r="453" spans="2:5" ht="15" customHeight="1">
      <c r="B453" s="93"/>
      <c r="C453" s="40" t="s">
        <v>20</v>
      </c>
      <c r="D453" s="39">
        <v>97</v>
      </c>
      <c r="E453" s="38">
        <v>4.9876593994241051E-3</v>
      </c>
    </row>
    <row r="454" spans="2:5" ht="15" customHeight="1">
      <c r="B454" s="91" t="s">
        <v>170</v>
      </c>
      <c r="C454" s="43" t="s">
        <v>62</v>
      </c>
      <c r="D454" s="42">
        <v>1</v>
      </c>
      <c r="E454" s="41">
        <v>5.1419169066227893E-5</v>
      </c>
    </row>
    <row r="455" spans="2:5" ht="15" customHeight="1">
      <c r="B455" s="92"/>
      <c r="C455" s="43" t="s">
        <v>63</v>
      </c>
      <c r="D455" s="42">
        <v>1</v>
      </c>
      <c r="E455" s="41">
        <v>5.1419169066227893E-5</v>
      </c>
    </row>
    <row r="456" spans="2:5" ht="15" customHeight="1">
      <c r="B456" s="92"/>
      <c r="C456" s="43" t="s">
        <v>64</v>
      </c>
      <c r="D456" s="42">
        <v>2</v>
      </c>
      <c r="E456" s="41">
        <v>1.0283833813245579E-4</v>
      </c>
    </row>
    <row r="457" spans="2:5" ht="15" customHeight="1">
      <c r="B457" s="92"/>
      <c r="C457" s="43" t="s">
        <v>61</v>
      </c>
      <c r="D457" s="42">
        <v>1</v>
      </c>
      <c r="E457" s="41">
        <v>5.1419169066227893E-5</v>
      </c>
    </row>
    <row r="458" spans="2:5" ht="15" customHeight="1">
      <c r="B458" s="92"/>
      <c r="C458" s="43" t="s">
        <v>53</v>
      </c>
      <c r="D458" s="42">
        <v>1</v>
      </c>
      <c r="E458" s="41">
        <v>5.1419169066227893E-5</v>
      </c>
    </row>
    <row r="459" spans="2:5" ht="15" customHeight="1">
      <c r="B459" s="92"/>
      <c r="C459" s="43" t="s">
        <v>43</v>
      </c>
      <c r="D459" s="42">
        <v>1</v>
      </c>
      <c r="E459" s="41">
        <v>5.1419169066227893E-5</v>
      </c>
    </row>
    <row r="460" spans="2:5" ht="15" customHeight="1">
      <c r="B460" s="92"/>
      <c r="C460" s="43" t="s">
        <v>50</v>
      </c>
      <c r="D460" s="42">
        <v>1</v>
      </c>
      <c r="E460" s="41">
        <v>5.1419169066227893E-5</v>
      </c>
    </row>
    <row r="461" spans="2:5" ht="15" customHeight="1">
      <c r="B461" s="92"/>
      <c r="C461" s="43" t="s">
        <v>33</v>
      </c>
      <c r="D461" s="42">
        <v>2</v>
      </c>
      <c r="E461" s="41">
        <v>1.0283833813245579E-4</v>
      </c>
    </row>
    <row r="462" spans="2:5" ht="15" customHeight="1">
      <c r="B462" s="92"/>
      <c r="C462" s="43" t="s">
        <v>59</v>
      </c>
      <c r="D462" s="42">
        <v>1</v>
      </c>
      <c r="E462" s="41">
        <v>5.1419169066227893E-5</v>
      </c>
    </row>
    <row r="463" spans="2:5" ht="15" customHeight="1">
      <c r="B463" s="92"/>
      <c r="C463" s="43" t="s">
        <v>65</v>
      </c>
      <c r="D463" s="42">
        <v>56</v>
      </c>
      <c r="E463" s="41">
        <v>2.8794734677087619E-3</v>
      </c>
    </row>
    <row r="464" spans="2:5" ht="15" customHeight="1">
      <c r="B464" s="92"/>
      <c r="C464" s="43" t="s">
        <v>39</v>
      </c>
      <c r="D464" s="42">
        <v>2</v>
      </c>
      <c r="E464" s="41">
        <v>1.0283833813245579E-4</v>
      </c>
    </row>
    <row r="465" spans="2:5" ht="15" customHeight="1">
      <c r="B465" s="93"/>
      <c r="C465" s="40" t="s">
        <v>20</v>
      </c>
      <c r="D465" s="39">
        <v>69</v>
      </c>
      <c r="E465" s="38">
        <v>3.5479226655697246E-3</v>
      </c>
    </row>
    <row r="466" spans="2:5" ht="15" customHeight="1">
      <c r="B466" s="91" t="s">
        <v>169</v>
      </c>
      <c r="C466" s="43" t="s">
        <v>62</v>
      </c>
      <c r="D466" s="42">
        <v>2</v>
      </c>
      <c r="E466" s="41">
        <v>1.0283833813245579E-4</v>
      </c>
    </row>
    <row r="467" spans="2:5" ht="15" customHeight="1">
      <c r="B467" s="92"/>
      <c r="C467" s="43" t="s">
        <v>63</v>
      </c>
      <c r="D467" s="42">
        <v>3</v>
      </c>
      <c r="E467" s="41">
        <v>1.5425750719868367E-4</v>
      </c>
    </row>
    <row r="468" spans="2:5" ht="15" customHeight="1">
      <c r="B468" s="92"/>
      <c r="C468" s="43" t="s">
        <v>64</v>
      </c>
      <c r="D468" s="42">
        <v>4</v>
      </c>
      <c r="E468" s="41">
        <v>2.0567667626491157E-4</v>
      </c>
    </row>
    <row r="469" spans="2:5" ht="15" customHeight="1">
      <c r="B469" s="92"/>
      <c r="C469" s="43" t="s">
        <v>44</v>
      </c>
      <c r="D469" s="42">
        <v>1</v>
      </c>
      <c r="E469" s="41">
        <v>5.1419169066227893E-5</v>
      </c>
    </row>
    <row r="470" spans="2:5" ht="15" customHeight="1">
      <c r="B470" s="92"/>
      <c r="C470" s="43" t="s">
        <v>58</v>
      </c>
      <c r="D470" s="42">
        <v>2</v>
      </c>
      <c r="E470" s="41">
        <v>1.0283833813245579E-4</v>
      </c>
    </row>
    <row r="471" spans="2:5" ht="15" customHeight="1">
      <c r="B471" s="92"/>
      <c r="C471" s="43" t="s">
        <v>65</v>
      </c>
      <c r="D471" s="42">
        <v>37</v>
      </c>
      <c r="E471" s="41">
        <v>1.902509255450432E-3</v>
      </c>
    </row>
    <row r="472" spans="2:5" ht="15" customHeight="1">
      <c r="B472" s="93"/>
      <c r="C472" s="40" t="s">
        <v>20</v>
      </c>
      <c r="D472" s="39">
        <v>49</v>
      </c>
      <c r="E472" s="38">
        <v>2.5195392842451668E-3</v>
      </c>
    </row>
    <row r="473" spans="2:5" ht="15" customHeight="1">
      <c r="B473" s="91" t="s">
        <v>168</v>
      </c>
      <c r="C473" s="43" t="s">
        <v>62</v>
      </c>
      <c r="D473" s="42">
        <v>3</v>
      </c>
      <c r="E473" s="41">
        <v>1.5425750719868367E-4</v>
      </c>
    </row>
    <row r="474" spans="2:5" ht="15" customHeight="1">
      <c r="B474" s="92"/>
      <c r="C474" s="43" t="s">
        <v>64</v>
      </c>
      <c r="D474" s="42">
        <v>2</v>
      </c>
      <c r="E474" s="41">
        <v>1.0283833813245579E-4</v>
      </c>
    </row>
    <row r="475" spans="2:5" ht="15" customHeight="1">
      <c r="B475" s="92"/>
      <c r="C475" s="43" t="s">
        <v>61</v>
      </c>
      <c r="D475" s="42">
        <v>1</v>
      </c>
      <c r="E475" s="41">
        <v>5.1419169066227893E-5</v>
      </c>
    </row>
    <row r="476" spans="2:5" ht="15" customHeight="1">
      <c r="B476" s="92"/>
      <c r="C476" s="43" t="s">
        <v>65</v>
      </c>
      <c r="D476" s="42">
        <v>22</v>
      </c>
      <c r="E476" s="41">
        <v>1.1312217194570137E-3</v>
      </c>
    </row>
    <row r="477" spans="2:5" ht="15" customHeight="1">
      <c r="B477" s="93"/>
      <c r="C477" s="40" t="s">
        <v>20</v>
      </c>
      <c r="D477" s="39">
        <v>28</v>
      </c>
      <c r="E477" s="38">
        <v>1.439736733854381E-3</v>
      </c>
    </row>
    <row r="478" spans="2:5" ht="15" customHeight="1">
      <c r="B478" s="91" t="s">
        <v>167</v>
      </c>
      <c r="C478" s="43" t="s">
        <v>37</v>
      </c>
      <c r="D478" s="42">
        <v>1</v>
      </c>
      <c r="E478" s="41">
        <v>5.1419169066227893E-5</v>
      </c>
    </row>
    <row r="479" spans="2:5" ht="15" customHeight="1">
      <c r="B479" s="92"/>
      <c r="C479" s="43" t="s">
        <v>57</v>
      </c>
      <c r="D479" s="42">
        <v>3</v>
      </c>
      <c r="E479" s="41">
        <v>1.5425750719868367E-4</v>
      </c>
    </row>
    <row r="480" spans="2:5" ht="15" customHeight="1">
      <c r="B480" s="92"/>
      <c r="C480" s="43" t="s">
        <v>62</v>
      </c>
      <c r="D480" s="42">
        <v>8</v>
      </c>
      <c r="E480" s="41">
        <v>4.1135335252982314E-4</v>
      </c>
    </row>
    <row r="481" spans="2:5" ht="15" customHeight="1">
      <c r="B481" s="92"/>
      <c r="C481" s="43" t="s">
        <v>63</v>
      </c>
      <c r="D481" s="42">
        <v>10</v>
      </c>
      <c r="E481" s="41">
        <v>5.1419169066227888E-4</v>
      </c>
    </row>
    <row r="482" spans="2:5" ht="15" customHeight="1">
      <c r="B482" s="92"/>
      <c r="C482" s="43" t="s">
        <v>64</v>
      </c>
      <c r="D482" s="42">
        <v>9</v>
      </c>
      <c r="E482" s="41">
        <v>4.6277252159605099E-4</v>
      </c>
    </row>
    <row r="483" spans="2:5" ht="15" customHeight="1">
      <c r="B483" s="92"/>
      <c r="C483" s="43" t="s">
        <v>61</v>
      </c>
      <c r="D483" s="42">
        <v>12</v>
      </c>
      <c r="E483" s="41">
        <v>6.1703002879473468E-4</v>
      </c>
    </row>
    <row r="484" spans="2:5" ht="15" customHeight="1">
      <c r="B484" s="92"/>
      <c r="C484" s="43" t="s">
        <v>53</v>
      </c>
      <c r="D484" s="42">
        <v>3</v>
      </c>
      <c r="E484" s="41">
        <v>1.5425750719868367E-4</v>
      </c>
    </row>
    <row r="485" spans="2:5" ht="15" customHeight="1">
      <c r="B485" s="92"/>
      <c r="C485" s="43" t="s">
        <v>43</v>
      </c>
      <c r="D485" s="42">
        <v>1</v>
      </c>
      <c r="E485" s="41">
        <v>5.1419169066227893E-5</v>
      </c>
    </row>
    <row r="486" spans="2:5" ht="15" customHeight="1">
      <c r="B486" s="92"/>
      <c r="C486" s="43" t="s">
        <v>42</v>
      </c>
      <c r="D486" s="42">
        <v>2</v>
      </c>
      <c r="E486" s="41">
        <v>1.0283833813245579E-4</v>
      </c>
    </row>
    <row r="487" spans="2:5" ht="15" customHeight="1">
      <c r="B487" s="92"/>
      <c r="C487" s="43" t="s">
        <v>55</v>
      </c>
      <c r="D487" s="42">
        <v>11</v>
      </c>
      <c r="E487" s="41">
        <v>5.6561085972850684E-4</v>
      </c>
    </row>
    <row r="488" spans="2:5" ht="15" customHeight="1">
      <c r="B488" s="92"/>
      <c r="C488" s="43" t="s">
        <v>26</v>
      </c>
      <c r="D488" s="42">
        <v>3</v>
      </c>
      <c r="E488" s="41">
        <v>1.5425750719868367E-4</v>
      </c>
    </row>
    <row r="489" spans="2:5" ht="15" customHeight="1">
      <c r="B489" s="92"/>
      <c r="C489" s="43" t="s">
        <v>54</v>
      </c>
      <c r="D489" s="42">
        <v>5</v>
      </c>
      <c r="E489" s="41">
        <v>2.5709584533113944E-4</v>
      </c>
    </row>
    <row r="490" spans="2:5" ht="15" customHeight="1">
      <c r="B490" s="92"/>
      <c r="C490" s="43" t="s">
        <v>51</v>
      </c>
      <c r="D490" s="42">
        <v>3</v>
      </c>
      <c r="E490" s="41">
        <v>1.5425750719868367E-4</v>
      </c>
    </row>
    <row r="491" spans="2:5" ht="15" customHeight="1">
      <c r="B491" s="92"/>
      <c r="C491" s="43" t="s">
        <v>50</v>
      </c>
      <c r="D491" s="42">
        <v>3</v>
      </c>
      <c r="E491" s="41">
        <v>1.5425750719868367E-4</v>
      </c>
    </row>
    <row r="492" spans="2:5" ht="15" customHeight="1">
      <c r="B492" s="92"/>
      <c r="C492" s="43" t="s">
        <v>47</v>
      </c>
      <c r="D492" s="42">
        <v>2</v>
      </c>
      <c r="E492" s="41">
        <v>1.0283833813245579E-4</v>
      </c>
    </row>
    <row r="493" spans="2:5" ht="15" customHeight="1">
      <c r="B493" s="92"/>
      <c r="C493" s="43" t="s">
        <v>40</v>
      </c>
      <c r="D493" s="42">
        <v>2</v>
      </c>
      <c r="E493" s="41">
        <v>1.0283833813245579E-4</v>
      </c>
    </row>
    <row r="494" spans="2:5" ht="15" customHeight="1">
      <c r="B494" s="92"/>
      <c r="C494" s="43" t="s">
        <v>38</v>
      </c>
      <c r="D494" s="42">
        <v>2</v>
      </c>
      <c r="E494" s="41">
        <v>1.0283833813245579E-4</v>
      </c>
    </row>
    <row r="495" spans="2:5" ht="15" customHeight="1">
      <c r="B495" s="92"/>
      <c r="C495" s="43" t="s">
        <v>36</v>
      </c>
      <c r="D495" s="42">
        <v>1</v>
      </c>
      <c r="E495" s="41">
        <v>5.1419169066227893E-5</v>
      </c>
    </row>
    <row r="496" spans="2:5" ht="15" customHeight="1">
      <c r="B496" s="92"/>
      <c r="C496" s="43" t="s">
        <v>33</v>
      </c>
      <c r="D496" s="42">
        <v>1</v>
      </c>
      <c r="E496" s="41">
        <v>5.1419169066227893E-5</v>
      </c>
    </row>
    <row r="497" spans="2:5" ht="15" customHeight="1">
      <c r="B497" s="92"/>
      <c r="C497" s="43" t="s">
        <v>60</v>
      </c>
      <c r="D497" s="42">
        <v>9</v>
      </c>
      <c r="E497" s="41">
        <v>4.6277252159605099E-4</v>
      </c>
    </row>
    <row r="498" spans="2:5" ht="15" customHeight="1">
      <c r="B498" s="92"/>
      <c r="C498" s="43" t="s">
        <v>48</v>
      </c>
      <c r="D498" s="42">
        <v>4</v>
      </c>
      <c r="E498" s="41">
        <v>2.0567667626491157E-4</v>
      </c>
    </row>
    <row r="499" spans="2:5" ht="15" customHeight="1">
      <c r="B499" s="92"/>
      <c r="C499" s="43" t="s">
        <v>58</v>
      </c>
      <c r="D499" s="42">
        <v>9</v>
      </c>
      <c r="E499" s="41">
        <v>4.6277252159605099E-4</v>
      </c>
    </row>
    <row r="500" spans="2:5" ht="15" customHeight="1">
      <c r="B500" s="92"/>
      <c r="C500" s="43" t="s">
        <v>52</v>
      </c>
      <c r="D500" s="42">
        <v>4</v>
      </c>
      <c r="E500" s="41">
        <v>2.0567667626491157E-4</v>
      </c>
    </row>
    <row r="501" spans="2:5" ht="15" customHeight="1">
      <c r="B501" s="92"/>
      <c r="C501" s="43" t="s">
        <v>59</v>
      </c>
      <c r="D501" s="42">
        <v>4</v>
      </c>
      <c r="E501" s="41">
        <v>2.0567667626491157E-4</v>
      </c>
    </row>
    <row r="502" spans="2:5" ht="15" customHeight="1">
      <c r="B502" s="92"/>
      <c r="C502" s="43" t="s">
        <v>65</v>
      </c>
      <c r="D502" s="42">
        <v>339</v>
      </c>
      <c r="E502" s="41">
        <v>1.7431098313451254E-2</v>
      </c>
    </row>
    <row r="503" spans="2:5" ht="15" customHeight="1">
      <c r="B503" s="92"/>
      <c r="C503" s="43" t="s">
        <v>39</v>
      </c>
      <c r="D503" s="42">
        <v>1</v>
      </c>
      <c r="E503" s="41">
        <v>5.1419169066227893E-5</v>
      </c>
    </row>
    <row r="504" spans="2:5" ht="15" customHeight="1">
      <c r="B504" s="92"/>
      <c r="C504" s="43" t="s">
        <v>35</v>
      </c>
      <c r="D504" s="42">
        <v>2</v>
      </c>
      <c r="E504" s="41">
        <v>1.0283833813245579E-4</v>
      </c>
    </row>
    <row r="505" spans="2:5" ht="15" customHeight="1">
      <c r="B505" s="92"/>
      <c r="C505" s="43" t="s">
        <v>46</v>
      </c>
      <c r="D505" s="42">
        <v>1</v>
      </c>
      <c r="E505" s="41">
        <v>5.1419169066227893E-5</v>
      </c>
    </row>
    <row r="506" spans="2:5" ht="15" customHeight="1">
      <c r="B506" s="93"/>
      <c r="C506" s="40" t="s">
        <v>20</v>
      </c>
      <c r="D506" s="39">
        <v>455</v>
      </c>
      <c r="E506" s="38">
        <v>2.339572192513369E-2</v>
      </c>
    </row>
    <row r="507" spans="2:5" ht="15" customHeight="1">
      <c r="B507" s="91" t="s">
        <v>166</v>
      </c>
      <c r="C507" s="43" t="s">
        <v>56</v>
      </c>
      <c r="D507" s="42">
        <v>7</v>
      </c>
      <c r="E507" s="41">
        <v>3.5993418346359524E-4</v>
      </c>
    </row>
    <row r="508" spans="2:5" ht="15" customHeight="1">
      <c r="B508" s="92"/>
      <c r="C508" s="43" t="s">
        <v>37</v>
      </c>
      <c r="D508" s="42">
        <v>6</v>
      </c>
      <c r="E508" s="41">
        <v>3.0851501439736734E-4</v>
      </c>
    </row>
    <row r="509" spans="2:5" ht="15" customHeight="1">
      <c r="B509" s="92"/>
      <c r="C509" s="43" t="s">
        <v>57</v>
      </c>
      <c r="D509" s="42">
        <v>14</v>
      </c>
      <c r="E509" s="41">
        <v>7.1986836692719048E-4</v>
      </c>
    </row>
    <row r="510" spans="2:5" ht="15" customHeight="1">
      <c r="B510" s="92"/>
      <c r="C510" s="43" t="s">
        <v>62</v>
      </c>
      <c r="D510" s="42">
        <v>29</v>
      </c>
      <c r="E510" s="41">
        <v>1.4911559029206088E-3</v>
      </c>
    </row>
    <row r="511" spans="2:5" ht="15" customHeight="1">
      <c r="B511" s="92"/>
      <c r="C511" s="43" t="s">
        <v>45</v>
      </c>
      <c r="D511" s="42">
        <v>4</v>
      </c>
      <c r="E511" s="41">
        <v>2.0567667626491157E-4</v>
      </c>
    </row>
    <row r="512" spans="2:5" ht="15" customHeight="1">
      <c r="B512" s="92"/>
      <c r="C512" s="43" t="s">
        <v>31</v>
      </c>
      <c r="D512" s="42">
        <v>1</v>
      </c>
      <c r="E512" s="41">
        <v>5.1419169066227893E-5</v>
      </c>
    </row>
    <row r="513" spans="2:5" ht="15" customHeight="1">
      <c r="B513" s="92"/>
      <c r="C513" s="43" t="s">
        <v>238</v>
      </c>
      <c r="D513" s="42">
        <v>1</v>
      </c>
      <c r="E513" s="41">
        <v>5.1419169066227893E-5</v>
      </c>
    </row>
    <row r="514" spans="2:5" ht="15" customHeight="1">
      <c r="B514" s="92"/>
      <c r="C514" s="43" t="s">
        <v>63</v>
      </c>
      <c r="D514" s="42">
        <v>27</v>
      </c>
      <c r="E514" s="41">
        <v>1.3883175647881531E-3</v>
      </c>
    </row>
    <row r="515" spans="2:5" ht="15" customHeight="1">
      <c r="B515" s="92"/>
      <c r="C515" s="43" t="s">
        <v>64</v>
      </c>
      <c r="D515" s="42">
        <v>26</v>
      </c>
      <c r="E515" s="41">
        <v>1.3368983957219251E-3</v>
      </c>
    </row>
    <row r="516" spans="2:5" ht="15" customHeight="1">
      <c r="B516" s="92"/>
      <c r="C516" s="43" t="s">
        <v>34</v>
      </c>
      <c r="D516" s="42">
        <v>3</v>
      </c>
      <c r="E516" s="41">
        <v>1.5425750719868367E-4</v>
      </c>
    </row>
    <row r="517" spans="2:5" ht="15" customHeight="1">
      <c r="B517" s="92"/>
      <c r="C517" s="43" t="s">
        <v>61</v>
      </c>
      <c r="D517" s="42">
        <v>32</v>
      </c>
      <c r="E517" s="41">
        <v>1.6454134101192926E-3</v>
      </c>
    </row>
    <row r="518" spans="2:5" ht="15" customHeight="1">
      <c r="B518" s="92"/>
      <c r="C518" s="43" t="s">
        <v>53</v>
      </c>
      <c r="D518" s="42">
        <v>6</v>
      </c>
      <c r="E518" s="41">
        <v>3.0851501439736734E-4</v>
      </c>
    </row>
    <row r="519" spans="2:5" ht="15" customHeight="1">
      <c r="B519" s="92"/>
      <c r="C519" s="43" t="s">
        <v>43</v>
      </c>
      <c r="D519" s="42">
        <v>1</v>
      </c>
      <c r="E519" s="41">
        <v>5.1419169066227893E-5</v>
      </c>
    </row>
    <row r="520" spans="2:5" ht="15" customHeight="1">
      <c r="B520" s="92"/>
      <c r="C520" s="43" t="s">
        <v>44</v>
      </c>
      <c r="D520" s="42">
        <v>2</v>
      </c>
      <c r="E520" s="41">
        <v>1.0283833813245579E-4</v>
      </c>
    </row>
    <row r="521" spans="2:5" ht="15" customHeight="1">
      <c r="B521" s="92"/>
      <c r="C521" s="43" t="s">
        <v>42</v>
      </c>
      <c r="D521" s="42">
        <v>3</v>
      </c>
      <c r="E521" s="41">
        <v>1.5425750719868367E-4</v>
      </c>
    </row>
    <row r="522" spans="2:5" ht="15" customHeight="1">
      <c r="B522" s="92"/>
      <c r="C522" s="43" t="s">
        <v>55</v>
      </c>
      <c r="D522" s="42">
        <v>10</v>
      </c>
      <c r="E522" s="41">
        <v>5.1419169066227888E-4</v>
      </c>
    </row>
    <row r="523" spans="2:5" ht="15" customHeight="1">
      <c r="B523" s="92"/>
      <c r="C523" s="43" t="s">
        <v>239</v>
      </c>
      <c r="D523" s="42">
        <v>1</v>
      </c>
      <c r="E523" s="41">
        <v>5.1419169066227893E-5</v>
      </c>
    </row>
    <row r="524" spans="2:5" ht="15" customHeight="1">
      <c r="B524" s="92"/>
      <c r="C524" s="43" t="s">
        <v>29</v>
      </c>
      <c r="D524" s="42">
        <v>1</v>
      </c>
      <c r="E524" s="41">
        <v>5.1419169066227893E-5</v>
      </c>
    </row>
    <row r="525" spans="2:5" ht="15" customHeight="1">
      <c r="B525" s="92"/>
      <c r="C525" s="43" t="s">
        <v>54</v>
      </c>
      <c r="D525" s="42">
        <v>9</v>
      </c>
      <c r="E525" s="41">
        <v>4.6277252159605099E-4</v>
      </c>
    </row>
    <row r="526" spans="2:5" ht="15" customHeight="1">
      <c r="B526" s="92"/>
      <c r="C526" s="43" t="s">
        <v>51</v>
      </c>
      <c r="D526" s="42">
        <v>5</v>
      </c>
      <c r="E526" s="41">
        <v>2.5709584533113944E-4</v>
      </c>
    </row>
    <row r="527" spans="2:5" ht="15" customHeight="1">
      <c r="B527" s="92"/>
      <c r="C527" s="43" t="s">
        <v>50</v>
      </c>
      <c r="D527" s="42">
        <v>6</v>
      </c>
      <c r="E527" s="41">
        <v>3.0851501439736734E-4</v>
      </c>
    </row>
    <row r="528" spans="2:5" ht="15" customHeight="1">
      <c r="B528" s="92"/>
      <c r="C528" s="43" t="s">
        <v>47</v>
      </c>
      <c r="D528" s="42">
        <v>6</v>
      </c>
      <c r="E528" s="41">
        <v>3.0851501439736734E-4</v>
      </c>
    </row>
    <row r="529" spans="2:5" ht="15" customHeight="1">
      <c r="B529" s="92"/>
      <c r="C529" s="43" t="s">
        <v>40</v>
      </c>
      <c r="D529" s="42">
        <v>2</v>
      </c>
      <c r="E529" s="41">
        <v>1.0283833813245579E-4</v>
      </c>
    </row>
    <row r="530" spans="2:5" ht="15" customHeight="1">
      <c r="B530" s="92"/>
      <c r="C530" s="43" t="s">
        <v>38</v>
      </c>
      <c r="D530" s="42">
        <v>5</v>
      </c>
      <c r="E530" s="41">
        <v>2.5709584533113944E-4</v>
      </c>
    </row>
    <row r="531" spans="2:5" ht="15" customHeight="1">
      <c r="B531" s="92"/>
      <c r="C531" s="43" t="s">
        <v>36</v>
      </c>
      <c r="D531" s="42">
        <v>2</v>
      </c>
      <c r="E531" s="41">
        <v>1.0283833813245579E-4</v>
      </c>
    </row>
    <row r="532" spans="2:5" ht="15" customHeight="1">
      <c r="B532" s="92"/>
      <c r="C532" s="43" t="s">
        <v>33</v>
      </c>
      <c r="D532" s="42">
        <v>4</v>
      </c>
      <c r="E532" s="41">
        <v>2.0567667626491157E-4</v>
      </c>
    </row>
    <row r="533" spans="2:5" ht="15" customHeight="1">
      <c r="B533" s="92"/>
      <c r="C533" s="43" t="s">
        <v>41</v>
      </c>
      <c r="D533" s="42">
        <v>2</v>
      </c>
      <c r="E533" s="41">
        <v>1.0283833813245579E-4</v>
      </c>
    </row>
    <row r="534" spans="2:5" ht="15" customHeight="1">
      <c r="B534" s="92"/>
      <c r="C534" s="43" t="s">
        <v>60</v>
      </c>
      <c r="D534" s="42">
        <v>16</v>
      </c>
      <c r="E534" s="41">
        <v>8.2270670505964628E-4</v>
      </c>
    </row>
    <row r="535" spans="2:5" ht="15" customHeight="1">
      <c r="B535" s="92"/>
      <c r="C535" s="43" t="s">
        <v>48</v>
      </c>
      <c r="D535" s="42">
        <v>4</v>
      </c>
      <c r="E535" s="41">
        <v>2.0567667626491157E-4</v>
      </c>
    </row>
    <row r="536" spans="2:5" ht="15" customHeight="1">
      <c r="B536" s="92"/>
      <c r="C536" s="43" t="s">
        <v>58</v>
      </c>
      <c r="D536" s="42">
        <v>6</v>
      </c>
      <c r="E536" s="41">
        <v>3.0851501439736734E-4</v>
      </c>
    </row>
    <row r="537" spans="2:5" ht="15" customHeight="1">
      <c r="B537" s="92"/>
      <c r="C537" s="43" t="s">
        <v>32</v>
      </c>
      <c r="D537" s="42">
        <v>1</v>
      </c>
      <c r="E537" s="41">
        <v>5.1419169066227893E-5</v>
      </c>
    </row>
    <row r="538" spans="2:5" ht="15" customHeight="1">
      <c r="B538" s="92"/>
      <c r="C538" s="43" t="s">
        <v>52</v>
      </c>
      <c r="D538" s="42">
        <v>7</v>
      </c>
      <c r="E538" s="41">
        <v>3.5993418346359524E-4</v>
      </c>
    </row>
    <row r="539" spans="2:5" ht="15" customHeight="1">
      <c r="B539" s="92"/>
      <c r="C539" s="43" t="s">
        <v>27</v>
      </c>
      <c r="D539" s="42">
        <v>1</v>
      </c>
      <c r="E539" s="41">
        <v>5.1419169066227893E-5</v>
      </c>
    </row>
    <row r="540" spans="2:5" ht="15" customHeight="1">
      <c r="B540" s="92"/>
      <c r="C540" s="43" t="s">
        <v>59</v>
      </c>
      <c r="D540" s="42">
        <v>12</v>
      </c>
      <c r="E540" s="41">
        <v>6.1703002879473468E-4</v>
      </c>
    </row>
    <row r="541" spans="2:5" ht="15" customHeight="1">
      <c r="B541" s="92"/>
      <c r="C541" s="43" t="s">
        <v>65</v>
      </c>
      <c r="D541" s="42">
        <v>899</v>
      </c>
      <c r="E541" s="41">
        <v>4.6225832990538875E-2</v>
      </c>
    </row>
    <row r="542" spans="2:5" ht="15" customHeight="1">
      <c r="B542" s="92"/>
      <c r="C542" s="43" t="s">
        <v>39</v>
      </c>
      <c r="D542" s="42">
        <v>7</v>
      </c>
      <c r="E542" s="41">
        <v>3.5993418346359524E-4</v>
      </c>
    </row>
    <row r="543" spans="2:5" ht="15" customHeight="1">
      <c r="B543" s="92"/>
      <c r="C543" s="43" t="s">
        <v>49</v>
      </c>
      <c r="D543" s="42">
        <v>2</v>
      </c>
      <c r="E543" s="41">
        <v>1.0283833813245579E-4</v>
      </c>
    </row>
    <row r="544" spans="2:5" ht="15" customHeight="1">
      <c r="B544" s="92"/>
      <c r="C544" s="43" t="s">
        <v>35</v>
      </c>
      <c r="D544" s="42">
        <v>1</v>
      </c>
      <c r="E544" s="41">
        <v>5.1419169066227893E-5</v>
      </c>
    </row>
    <row r="545" spans="2:5" ht="15" customHeight="1">
      <c r="B545" s="92"/>
      <c r="C545" s="43" t="s">
        <v>46</v>
      </c>
      <c r="D545" s="42">
        <v>8</v>
      </c>
      <c r="E545" s="41">
        <v>4.1135335252982314E-4</v>
      </c>
    </row>
    <row r="546" spans="2:5" ht="15" customHeight="1">
      <c r="B546" s="93"/>
      <c r="C546" s="40" t="s">
        <v>20</v>
      </c>
      <c r="D546" s="39">
        <v>1179</v>
      </c>
      <c r="E546" s="38">
        <v>6.062320032908268E-2</v>
      </c>
    </row>
    <row r="547" spans="2:5" ht="15" customHeight="1">
      <c r="B547" s="91" t="s">
        <v>165</v>
      </c>
      <c r="C547" s="43" t="s">
        <v>56</v>
      </c>
      <c r="D547" s="42">
        <v>1</v>
      </c>
      <c r="E547" s="41">
        <v>5.1419169066227893E-5</v>
      </c>
    </row>
    <row r="548" spans="2:5" ht="15" customHeight="1">
      <c r="B548" s="92"/>
      <c r="C548" s="43" t="s">
        <v>63</v>
      </c>
      <c r="D548" s="42">
        <v>1</v>
      </c>
      <c r="E548" s="41">
        <v>5.1419169066227893E-5</v>
      </c>
    </row>
    <row r="549" spans="2:5" ht="15" customHeight="1">
      <c r="B549" s="92"/>
      <c r="C549" s="43" t="s">
        <v>53</v>
      </c>
      <c r="D549" s="42">
        <v>1</v>
      </c>
      <c r="E549" s="41">
        <v>5.1419169066227893E-5</v>
      </c>
    </row>
    <row r="550" spans="2:5" ht="15" customHeight="1">
      <c r="B550" s="92"/>
      <c r="C550" s="43" t="s">
        <v>44</v>
      </c>
      <c r="D550" s="42">
        <v>1</v>
      </c>
      <c r="E550" s="41">
        <v>5.1419169066227893E-5</v>
      </c>
    </row>
    <row r="551" spans="2:5" ht="15" customHeight="1">
      <c r="B551" s="92"/>
      <c r="C551" s="43" t="s">
        <v>50</v>
      </c>
      <c r="D551" s="42">
        <v>1</v>
      </c>
      <c r="E551" s="41">
        <v>5.1419169066227893E-5</v>
      </c>
    </row>
    <row r="552" spans="2:5" ht="15" customHeight="1">
      <c r="B552" s="92"/>
      <c r="C552" s="43" t="s">
        <v>47</v>
      </c>
      <c r="D552" s="42">
        <v>1</v>
      </c>
      <c r="E552" s="41">
        <v>5.1419169066227893E-5</v>
      </c>
    </row>
    <row r="553" spans="2:5" ht="15" customHeight="1">
      <c r="B553" s="92"/>
      <c r="C553" s="43" t="s">
        <v>60</v>
      </c>
      <c r="D553" s="42">
        <v>1</v>
      </c>
      <c r="E553" s="41">
        <v>5.1419169066227893E-5</v>
      </c>
    </row>
    <row r="554" spans="2:5" ht="15" customHeight="1">
      <c r="B554" s="92"/>
      <c r="C554" s="43" t="s">
        <v>65</v>
      </c>
      <c r="D554" s="42">
        <v>12</v>
      </c>
      <c r="E554" s="41">
        <v>6.1703002879473468E-4</v>
      </c>
    </row>
    <row r="555" spans="2:5" ht="15" customHeight="1">
      <c r="B555" s="92"/>
      <c r="C555" s="43" t="s">
        <v>49</v>
      </c>
      <c r="D555" s="42">
        <v>1</v>
      </c>
      <c r="E555" s="41">
        <v>5.1419169066227893E-5</v>
      </c>
    </row>
    <row r="556" spans="2:5" ht="15" customHeight="1">
      <c r="B556" s="93"/>
      <c r="C556" s="40" t="s">
        <v>20</v>
      </c>
      <c r="D556" s="39">
        <v>20</v>
      </c>
      <c r="E556" s="38">
        <v>1.0283833813245578E-3</v>
      </c>
    </row>
    <row r="557" spans="2:5" ht="15" customHeight="1">
      <c r="B557" s="91" t="s">
        <v>164</v>
      </c>
      <c r="C557" s="43" t="s">
        <v>57</v>
      </c>
      <c r="D557" s="42">
        <v>2</v>
      </c>
      <c r="E557" s="41">
        <v>1.0283833813245579E-4</v>
      </c>
    </row>
    <row r="558" spans="2:5" ht="15" customHeight="1">
      <c r="B558" s="92"/>
      <c r="C558" s="43" t="s">
        <v>62</v>
      </c>
      <c r="D558" s="42">
        <v>1</v>
      </c>
      <c r="E558" s="41">
        <v>5.1419169066227893E-5</v>
      </c>
    </row>
    <row r="559" spans="2:5" ht="15" customHeight="1">
      <c r="B559" s="92"/>
      <c r="C559" s="43" t="s">
        <v>38</v>
      </c>
      <c r="D559" s="42">
        <v>2</v>
      </c>
      <c r="E559" s="41">
        <v>1.0283833813245579E-4</v>
      </c>
    </row>
    <row r="560" spans="2:5" ht="15" customHeight="1">
      <c r="B560" s="92"/>
      <c r="C560" s="43" t="s">
        <v>65</v>
      </c>
      <c r="D560" s="42">
        <v>48</v>
      </c>
      <c r="E560" s="41">
        <v>2.4681201151789387E-3</v>
      </c>
    </row>
    <row r="561" spans="2:5" ht="15" customHeight="1">
      <c r="B561" s="92"/>
      <c r="C561" s="43" t="s">
        <v>46</v>
      </c>
      <c r="D561" s="42">
        <v>1</v>
      </c>
      <c r="E561" s="41">
        <v>5.1419169066227893E-5</v>
      </c>
    </row>
    <row r="562" spans="2:5" ht="15" customHeight="1">
      <c r="B562" s="93"/>
      <c r="C562" s="40" t="s">
        <v>20</v>
      </c>
      <c r="D562" s="39">
        <v>54</v>
      </c>
      <c r="E562" s="38">
        <v>2.7766351295763062E-3</v>
      </c>
    </row>
    <row r="563" spans="2:5" ht="15" customHeight="1">
      <c r="B563" s="91" t="s">
        <v>163</v>
      </c>
      <c r="C563" s="43" t="s">
        <v>62</v>
      </c>
      <c r="D563" s="42">
        <v>3</v>
      </c>
      <c r="E563" s="41">
        <v>1.5425750719868367E-4</v>
      </c>
    </row>
    <row r="564" spans="2:5" ht="15" customHeight="1">
      <c r="B564" s="92"/>
      <c r="C564" s="43" t="s">
        <v>61</v>
      </c>
      <c r="D564" s="42">
        <v>1</v>
      </c>
      <c r="E564" s="41">
        <v>5.1419169066227893E-5</v>
      </c>
    </row>
    <row r="565" spans="2:5" ht="15" customHeight="1">
      <c r="B565" s="92"/>
      <c r="C565" s="43" t="s">
        <v>55</v>
      </c>
      <c r="D565" s="42">
        <v>2</v>
      </c>
      <c r="E565" s="41">
        <v>1.0283833813245579E-4</v>
      </c>
    </row>
    <row r="566" spans="2:5" ht="15" customHeight="1">
      <c r="B566" s="92"/>
      <c r="C566" s="43" t="s">
        <v>48</v>
      </c>
      <c r="D566" s="42">
        <v>1</v>
      </c>
      <c r="E566" s="41">
        <v>5.1419169066227893E-5</v>
      </c>
    </row>
    <row r="567" spans="2:5" ht="15" customHeight="1">
      <c r="B567" s="92"/>
      <c r="C567" s="43" t="s">
        <v>65</v>
      </c>
      <c r="D567" s="42">
        <v>7</v>
      </c>
      <c r="E567" s="41">
        <v>3.5993418346359524E-4</v>
      </c>
    </row>
    <row r="568" spans="2:5" ht="15" customHeight="1">
      <c r="B568" s="93"/>
      <c r="C568" s="40" t="s">
        <v>20</v>
      </c>
      <c r="D568" s="39">
        <v>14</v>
      </c>
      <c r="E568" s="38">
        <v>7.1986836692719048E-4</v>
      </c>
    </row>
    <row r="569" spans="2:5" ht="15" customHeight="1">
      <c r="B569" s="89" t="s">
        <v>20</v>
      </c>
      <c r="C569" s="90"/>
      <c r="D569" s="69">
        <v>19448</v>
      </c>
      <c r="E569" s="70">
        <v>1</v>
      </c>
    </row>
    <row r="571" spans="2:5" ht="15" customHeight="1">
      <c r="B571" s="16" t="s">
        <v>240</v>
      </c>
    </row>
    <row r="572" spans="2:5" ht="15" customHeight="1">
      <c r="B572" s="18" t="s">
        <v>19</v>
      </c>
    </row>
    <row r="573" spans="2:5" ht="15" customHeight="1">
      <c r="B573" s="17" t="s">
        <v>18</v>
      </c>
    </row>
    <row r="574" spans="2:5" ht="15" customHeight="1">
      <c r="B574" s="16" t="s">
        <v>17</v>
      </c>
    </row>
    <row r="575" spans="2:5" ht="15" customHeight="1">
      <c r="B575" s="16" t="s">
        <v>241</v>
      </c>
    </row>
  </sheetData>
  <mergeCells count="26">
    <mergeCell ref="B478:B506"/>
    <mergeCell ref="B7:E8"/>
    <mergeCell ref="B443:B453"/>
    <mergeCell ref="B454:B465"/>
    <mergeCell ref="B466:B472"/>
    <mergeCell ref="B473:B477"/>
    <mergeCell ref="B256:B291"/>
    <mergeCell ref="B292:B334"/>
    <mergeCell ref="B335:B363"/>
    <mergeCell ref="B364:B399"/>
    <mergeCell ref="B400:B442"/>
    <mergeCell ref="B110:B134"/>
    <mergeCell ref="B135:B170"/>
    <mergeCell ref="B171:B206"/>
    <mergeCell ref="B207:B229"/>
    <mergeCell ref="B230:B255"/>
    <mergeCell ref="B10:B33"/>
    <mergeCell ref="B34:B51"/>
    <mergeCell ref="B52:B68"/>
    <mergeCell ref="B69:B92"/>
    <mergeCell ref="B93:B109"/>
    <mergeCell ref="B507:B546"/>
    <mergeCell ref="B547:B556"/>
    <mergeCell ref="B557:B562"/>
    <mergeCell ref="B563:B568"/>
    <mergeCell ref="B569:C569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8" orientation="portrait" r:id="rId1"/>
  <colBreaks count="1" manualBreakCount="1">
    <brk id="5" max="18" man="1"/>
  </colBreaks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E692"/>
  <sheetViews>
    <sheetView showGridLines="0" topLeftCell="A661" zoomScale="93" zoomScaleNormal="93" zoomScaleSheetLayoutView="85" workbookViewId="0">
      <selection activeCell="C16" sqref="C16"/>
    </sheetView>
  </sheetViews>
  <sheetFormatPr baseColWidth="10" defaultColWidth="35" defaultRowHeight="15" customHeight="1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1" customFormat="1" ht="12" customHeight="1">
      <c r="B1" s="55"/>
      <c r="C1" s="54"/>
      <c r="D1" s="54"/>
      <c r="E1" s="54"/>
    </row>
    <row r="2" spans="1:5" s="51" customFormat="1" ht="15" customHeight="1">
      <c r="C2" s="53"/>
    </row>
    <row r="3" spans="1:5" s="51" customFormat="1" ht="15" customHeight="1">
      <c r="C3" s="53"/>
    </row>
    <row r="4" spans="1:5" s="51" customFormat="1" ht="30" customHeight="1">
      <c r="C4" s="53"/>
      <c r="D4" s="52"/>
    </row>
    <row r="5" spans="1:5" s="51" customFormat="1" ht="15" customHeight="1">
      <c r="C5" s="53"/>
      <c r="D5" s="52"/>
    </row>
    <row r="6" spans="1:5" s="48" customFormat="1" ht="24" customHeight="1">
      <c r="B6" s="50"/>
      <c r="C6" s="44"/>
      <c r="D6" s="44"/>
      <c r="E6" s="44"/>
    </row>
    <row r="7" spans="1:5" s="48" customFormat="1" ht="26.25" customHeight="1">
      <c r="A7" s="49"/>
      <c r="B7" s="94"/>
      <c r="C7" s="94"/>
      <c r="D7" s="94"/>
      <c r="E7" s="94"/>
    </row>
    <row r="8" spans="1:5" s="48" customFormat="1" ht="33" customHeight="1">
      <c r="A8" s="49"/>
      <c r="B8" s="94"/>
      <c r="C8" s="94"/>
      <c r="D8" s="94"/>
      <c r="E8" s="94"/>
    </row>
    <row r="9" spans="1:5" s="26" customFormat="1" ht="40.5" customHeight="1">
      <c r="B9" s="45" t="s">
        <v>116</v>
      </c>
      <c r="C9" s="47" t="s">
        <v>188</v>
      </c>
      <c r="D9" s="46" t="s">
        <v>67</v>
      </c>
      <c r="E9" s="45" t="s">
        <v>66</v>
      </c>
    </row>
    <row r="10" spans="1:5" ht="15" customHeight="1">
      <c r="B10" s="91" t="s">
        <v>79</v>
      </c>
      <c r="C10" s="43" t="s">
        <v>181</v>
      </c>
      <c r="D10" s="42">
        <v>1</v>
      </c>
      <c r="E10" s="41">
        <v>5.1419169066227893E-5</v>
      </c>
    </row>
    <row r="11" spans="1:5" ht="15" customHeight="1">
      <c r="B11" s="92"/>
      <c r="C11" s="43" t="s">
        <v>176</v>
      </c>
      <c r="D11" s="42">
        <v>1</v>
      </c>
      <c r="E11" s="41">
        <v>5.1419169066227893E-5</v>
      </c>
    </row>
    <row r="12" spans="1:5" ht="15" customHeight="1">
      <c r="B12" s="92"/>
      <c r="C12" s="43" t="s">
        <v>175</v>
      </c>
      <c r="D12" s="42">
        <v>4</v>
      </c>
      <c r="E12" s="41">
        <v>2.0567667626491157E-4</v>
      </c>
    </row>
    <row r="13" spans="1:5" ht="15" customHeight="1">
      <c r="B13" s="92"/>
      <c r="C13" s="43" t="s">
        <v>174</v>
      </c>
      <c r="D13" s="42">
        <v>1</v>
      </c>
      <c r="E13" s="41">
        <v>5.1419169066227893E-5</v>
      </c>
    </row>
    <row r="14" spans="1:5" ht="15" customHeight="1">
      <c r="B14" s="92"/>
      <c r="C14" s="43" t="s">
        <v>172</v>
      </c>
      <c r="D14" s="42">
        <v>5</v>
      </c>
      <c r="E14" s="41">
        <v>2.5709584533113944E-4</v>
      </c>
    </row>
    <row r="15" spans="1:5" ht="15" customHeight="1">
      <c r="B15" s="92"/>
      <c r="C15" s="43" t="s">
        <v>170</v>
      </c>
      <c r="D15" s="42">
        <v>2</v>
      </c>
      <c r="E15" s="41">
        <v>1.0283833813245579E-4</v>
      </c>
    </row>
    <row r="16" spans="1:5" ht="15" customHeight="1">
      <c r="B16" s="92"/>
      <c r="C16" s="43" t="s">
        <v>167</v>
      </c>
      <c r="D16" s="42">
        <v>1</v>
      </c>
      <c r="E16" s="41">
        <v>5.1419169066227893E-5</v>
      </c>
    </row>
    <row r="17" spans="2:5" ht="15" customHeight="1">
      <c r="B17" s="92"/>
      <c r="C17" s="43" t="s">
        <v>166</v>
      </c>
      <c r="D17" s="42">
        <v>3</v>
      </c>
      <c r="E17" s="41">
        <v>1.5425750719868367E-4</v>
      </c>
    </row>
    <row r="18" spans="2:5" ht="15" customHeight="1">
      <c r="B18" s="93"/>
      <c r="C18" s="40" t="s">
        <v>20</v>
      </c>
      <c r="D18" s="39">
        <v>18</v>
      </c>
      <c r="E18" s="38">
        <v>9.2554504319210197E-4</v>
      </c>
    </row>
    <row r="19" spans="2:5" ht="15" customHeight="1">
      <c r="B19" s="91" t="s">
        <v>111</v>
      </c>
      <c r="C19" s="43" t="s">
        <v>186</v>
      </c>
      <c r="D19" s="42">
        <v>10</v>
      </c>
      <c r="E19" s="41">
        <v>5.1419169066227888E-4</v>
      </c>
    </row>
    <row r="20" spans="2:5" ht="15" customHeight="1">
      <c r="B20" s="92"/>
      <c r="C20" s="43" t="s">
        <v>185</v>
      </c>
      <c r="D20" s="42">
        <v>3</v>
      </c>
      <c r="E20" s="41">
        <v>1.5425750719868367E-4</v>
      </c>
    </row>
    <row r="21" spans="2:5" ht="15" customHeight="1">
      <c r="B21" s="92"/>
      <c r="C21" s="43" t="s">
        <v>184</v>
      </c>
      <c r="D21" s="42">
        <v>9</v>
      </c>
      <c r="E21" s="41">
        <v>4.6277252159605099E-4</v>
      </c>
    </row>
    <row r="22" spans="2:5" ht="15" customHeight="1">
      <c r="B22" s="92"/>
      <c r="C22" s="43" t="s">
        <v>183</v>
      </c>
      <c r="D22" s="42">
        <v>8</v>
      </c>
      <c r="E22" s="41">
        <v>4.1135335252982314E-4</v>
      </c>
    </row>
    <row r="23" spans="2:5" ht="15" customHeight="1">
      <c r="B23" s="92"/>
      <c r="C23" s="43" t="s">
        <v>182</v>
      </c>
      <c r="D23" s="42">
        <v>8</v>
      </c>
      <c r="E23" s="41">
        <v>4.1135335252982314E-4</v>
      </c>
    </row>
    <row r="24" spans="2:5" ht="15" customHeight="1">
      <c r="B24" s="92"/>
      <c r="C24" s="43" t="s">
        <v>181</v>
      </c>
      <c r="D24" s="42">
        <v>12</v>
      </c>
      <c r="E24" s="41">
        <v>6.1703002879473468E-4</v>
      </c>
    </row>
    <row r="25" spans="2:5" ht="15" customHeight="1">
      <c r="B25" s="92"/>
      <c r="C25" s="43" t="s">
        <v>180</v>
      </c>
      <c r="D25" s="42">
        <v>27</v>
      </c>
      <c r="E25" s="41">
        <v>1.3883175647881531E-3</v>
      </c>
    </row>
    <row r="26" spans="2:5" ht="15" customHeight="1">
      <c r="B26" s="92"/>
      <c r="C26" s="43" t="s">
        <v>179</v>
      </c>
      <c r="D26" s="42">
        <v>112</v>
      </c>
      <c r="E26" s="41">
        <v>5.7589469354175239E-3</v>
      </c>
    </row>
    <row r="27" spans="2:5" ht="15" customHeight="1">
      <c r="B27" s="92"/>
      <c r="C27" s="43" t="s">
        <v>178</v>
      </c>
      <c r="D27" s="42">
        <v>10</v>
      </c>
      <c r="E27" s="41">
        <v>5.1419169066227888E-4</v>
      </c>
    </row>
    <row r="28" spans="2:5" ht="15" customHeight="1">
      <c r="B28" s="92"/>
      <c r="C28" s="43" t="s">
        <v>177</v>
      </c>
      <c r="D28" s="42">
        <v>24</v>
      </c>
      <c r="E28" s="41">
        <v>1.2340600575894694E-3</v>
      </c>
    </row>
    <row r="29" spans="2:5" ht="15" customHeight="1">
      <c r="B29" s="92"/>
      <c r="C29" s="43" t="s">
        <v>176</v>
      </c>
      <c r="D29" s="42">
        <v>21</v>
      </c>
      <c r="E29" s="41">
        <v>1.0798025503907856E-3</v>
      </c>
    </row>
    <row r="30" spans="2:5" ht="15" customHeight="1">
      <c r="B30" s="92"/>
      <c r="C30" s="43" t="s">
        <v>175</v>
      </c>
      <c r="D30" s="42">
        <v>301</v>
      </c>
      <c r="E30" s="41">
        <v>1.5477169888934595E-2</v>
      </c>
    </row>
    <row r="31" spans="2:5" ht="15" customHeight="1">
      <c r="B31" s="92"/>
      <c r="C31" s="43" t="s">
        <v>174</v>
      </c>
      <c r="D31" s="42">
        <v>21</v>
      </c>
      <c r="E31" s="41">
        <v>1.0798025503907856E-3</v>
      </c>
    </row>
    <row r="32" spans="2:5" ht="15" customHeight="1">
      <c r="B32" s="92"/>
      <c r="C32" s="43" t="s">
        <v>173</v>
      </c>
      <c r="D32" s="42">
        <v>70</v>
      </c>
      <c r="E32" s="41">
        <v>3.5993418346359522E-3</v>
      </c>
    </row>
    <row r="33" spans="2:5" ht="15" customHeight="1">
      <c r="B33" s="92"/>
      <c r="C33" s="43" t="s">
        <v>172</v>
      </c>
      <c r="D33" s="42">
        <v>207</v>
      </c>
      <c r="E33" s="41">
        <v>1.0643767996709174E-2</v>
      </c>
    </row>
    <row r="34" spans="2:5" ht="15" customHeight="1">
      <c r="B34" s="92"/>
      <c r="C34" s="43" t="s">
        <v>171</v>
      </c>
      <c r="D34" s="42">
        <v>6</v>
      </c>
      <c r="E34" s="41">
        <v>3.0851501439736734E-4</v>
      </c>
    </row>
    <row r="35" spans="2:5" ht="15" customHeight="1">
      <c r="B35" s="92"/>
      <c r="C35" s="43" t="s">
        <v>170</v>
      </c>
      <c r="D35" s="42">
        <v>3</v>
      </c>
      <c r="E35" s="41">
        <v>1.5425750719868367E-4</v>
      </c>
    </row>
    <row r="36" spans="2:5" ht="15" customHeight="1">
      <c r="B36" s="92"/>
      <c r="C36" s="43" t="s">
        <v>169</v>
      </c>
      <c r="D36" s="42">
        <v>4</v>
      </c>
      <c r="E36" s="41">
        <v>2.0567667626491157E-4</v>
      </c>
    </row>
    <row r="37" spans="2:5" ht="15" customHeight="1">
      <c r="B37" s="92"/>
      <c r="C37" s="43" t="s">
        <v>168</v>
      </c>
      <c r="D37" s="42">
        <v>3</v>
      </c>
      <c r="E37" s="41">
        <v>1.5425750719868367E-4</v>
      </c>
    </row>
    <row r="38" spans="2:5" ht="15" customHeight="1">
      <c r="B38" s="92"/>
      <c r="C38" s="43" t="s">
        <v>167</v>
      </c>
      <c r="D38" s="42">
        <v>11</v>
      </c>
      <c r="E38" s="41">
        <v>5.6561085972850684E-4</v>
      </c>
    </row>
    <row r="39" spans="2:5" ht="15" customHeight="1">
      <c r="B39" s="92"/>
      <c r="C39" s="43" t="s">
        <v>166</v>
      </c>
      <c r="D39" s="42">
        <v>42</v>
      </c>
      <c r="E39" s="41">
        <v>2.1596051007815712E-3</v>
      </c>
    </row>
    <row r="40" spans="2:5" ht="15" customHeight="1">
      <c r="B40" s="92"/>
      <c r="C40" s="43" t="s">
        <v>191</v>
      </c>
      <c r="D40" s="42">
        <v>1</v>
      </c>
      <c r="E40" s="41">
        <v>5.1419169066227893E-5</v>
      </c>
    </row>
    <row r="41" spans="2:5" ht="15" customHeight="1">
      <c r="B41" s="93"/>
      <c r="C41" s="40" t="s">
        <v>20</v>
      </c>
      <c r="D41" s="39">
        <v>913</v>
      </c>
      <c r="E41" s="38">
        <v>4.6945701357466063E-2</v>
      </c>
    </row>
    <row r="42" spans="2:5" ht="15" customHeight="1">
      <c r="B42" s="91" t="s">
        <v>101</v>
      </c>
      <c r="C42" s="43" t="s">
        <v>186</v>
      </c>
      <c r="D42" s="42">
        <v>3</v>
      </c>
      <c r="E42" s="41">
        <v>1.5425750719868367E-4</v>
      </c>
    </row>
    <row r="43" spans="2:5" ht="15" customHeight="1">
      <c r="B43" s="92"/>
      <c r="C43" s="43" t="s">
        <v>183</v>
      </c>
      <c r="D43" s="42">
        <v>5</v>
      </c>
      <c r="E43" s="41">
        <v>2.5709584533113944E-4</v>
      </c>
    </row>
    <row r="44" spans="2:5" ht="15" customHeight="1">
      <c r="B44" s="92"/>
      <c r="C44" s="43" t="s">
        <v>182</v>
      </c>
      <c r="D44" s="42">
        <v>4</v>
      </c>
      <c r="E44" s="41">
        <v>2.0567667626491157E-4</v>
      </c>
    </row>
    <row r="45" spans="2:5" ht="15" customHeight="1">
      <c r="B45" s="92"/>
      <c r="C45" s="43" t="s">
        <v>181</v>
      </c>
      <c r="D45" s="42">
        <v>8</v>
      </c>
      <c r="E45" s="41">
        <v>4.1135335252982314E-4</v>
      </c>
    </row>
    <row r="46" spans="2:5" ht="15" customHeight="1">
      <c r="B46" s="92"/>
      <c r="C46" s="43" t="s">
        <v>180</v>
      </c>
      <c r="D46" s="42">
        <v>13</v>
      </c>
      <c r="E46" s="41">
        <v>6.6844919786096253E-4</v>
      </c>
    </row>
    <row r="47" spans="2:5" ht="15" customHeight="1">
      <c r="B47" s="92"/>
      <c r="C47" s="43" t="s">
        <v>179</v>
      </c>
      <c r="D47" s="42">
        <v>39</v>
      </c>
      <c r="E47" s="41">
        <v>2.0053475935828879E-3</v>
      </c>
    </row>
    <row r="48" spans="2:5" ht="15" customHeight="1">
      <c r="B48" s="92"/>
      <c r="C48" s="43" t="s">
        <v>178</v>
      </c>
      <c r="D48" s="42">
        <v>5</v>
      </c>
      <c r="E48" s="41">
        <v>2.5709584533113944E-4</v>
      </c>
    </row>
    <row r="49" spans="2:5" ht="15" customHeight="1">
      <c r="B49" s="92"/>
      <c r="C49" s="43" t="s">
        <v>177</v>
      </c>
      <c r="D49" s="42">
        <v>9</v>
      </c>
      <c r="E49" s="41">
        <v>4.6277252159605099E-4</v>
      </c>
    </row>
    <row r="50" spans="2:5" ht="15" customHeight="1">
      <c r="B50" s="92"/>
      <c r="C50" s="43" t="s">
        <v>176</v>
      </c>
      <c r="D50" s="42">
        <v>19</v>
      </c>
      <c r="E50" s="41">
        <v>9.7696421225832992E-4</v>
      </c>
    </row>
    <row r="51" spans="2:5" ht="15" customHeight="1">
      <c r="B51" s="92"/>
      <c r="C51" s="43" t="s">
        <v>175</v>
      </c>
      <c r="D51" s="42">
        <v>107</v>
      </c>
      <c r="E51" s="41">
        <v>5.501851090086384E-3</v>
      </c>
    </row>
    <row r="52" spans="2:5" ht="15" customHeight="1">
      <c r="B52" s="92"/>
      <c r="C52" s="43" t="s">
        <v>174</v>
      </c>
      <c r="D52" s="42">
        <v>9</v>
      </c>
      <c r="E52" s="41">
        <v>4.6277252159605099E-4</v>
      </c>
    </row>
    <row r="53" spans="2:5" ht="15" customHeight="1">
      <c r="B53" s="92"/>
      <c r="C53" s="43" t="s">
        <v>173</v>
      </c>
      <c r="D53" s="42">
        <v>29</v>
      </c>
      <c r="E53" s="41">
        <v>1.4911559029206088E-3</v>
      </c>
    </row>
    <row r="54" spans="2:5" ht="15" customHeight="1">
      <c r="B54" s="92"/>
      <c r="C54" s="43" t="s">
        <v>172</v>
      </c>
      <c r="D54" s="42">
        <v>104</v>
      </c>
      <c r="E54" s="41">
        <v>5.3475935828877002E-3</v>
      </c>
    </row>
    <row r="55" spans="2:5" ht="15" customHeight="1">
      <c r="B55" s="92"/>
      <c r="C55" s="43" t="s">
        <v>171</v>
      </c>
      <c r="D55" s="42">
        <v>2</v>
      </c>
      <c r="E55" s="41">
        <v>1.0283833813245579E-4</v>
      </c>
    </row>
    <row r="56" spans="2:5" ht="15" customHeight="1">
      <c r="B56" s="92"/>
      <c r="C56" s="43" t="s">
        <v>170</v>
      </c>
      <c r="D56" s="42">
        <v>1</v>
      </c>
      <c r="E56" s="41">
        <v>5.1419169066227893E-5</v>
      </c>
    </row>
    <row r="57" spans="2:5" ht="15" customHeight="1">
      <c r="B57" s="92"/>
      <c r="C57" s="43" t="s">
        <v>169</v>
      </c>
      <c r="D57" s="42">
        <v>1</v>
      </c>
      <c r="E57" s="41">
        <v>5.1419169066227893E-5</v>
      </c>
    </row>
    <row r="58" spans="2:5" ht="15" customHeight="1">
      <c r="B58" s="92"/>
      <c r="C58" s="43" t="s">
        <v>167</v>
      </c>
      <c r="D58" s="42">
        <v>9</v>
      </c>
      <c r="E58" s="41">
        <v>4.6277252159605099E-4</v>
      </c>
    </row>
    <row r="59" spans="2:5" ht="15" customHeight="1">
      <c r="B59" s="92"/>
      <c r="C59" s="43" t="s">
        <v>166</v>
      </c>
      <c r="D59" s="42">
        <v>29</v>
      </c>
      <c r="E59" s="41">
        <v>1.4911559029206088E-3</v>
      </c>
    </row>
    <row r="60" spans="2:5" ht="15" customHeight="1">
      <c r="B60" s="92"/>
      <c r="C60" s="43" t="s">
        <v>164</v>
      </c>
      <c r="D60" s="42">
        <v>3</v>
      </c>
      <c r="E60" s="41">
        <v>1.5425750719868367E-4</v>
      </c>
    </row>
    <row r="61" spans="2:5" ht="15" customHeight="1">
      <c r="B61" s="93"/>
      <c r="C61" s="40" t="s">
        <v>20</v>
      </c>
      <c r="D61" s="39">
        <v>399</v>
      </c>
      <c r="E61" s="38">
        <v>2.0516248457424929E-2</v>
      </c>
    </row>
    <row r="62" spans="2:5" ht="15" customHeight="1">
      <c r="B62" s="91" t="s">
        <v>77</v>
      </c>
      <c r="C62" s="43" t="s">
        <v>179</v>
      </c>
      <c r="D62" s="42">
        <v>1</v>
      </c>
      <c r="E62" s="41">
        <v>5.1419169066227893E-5</v>
      </c>
    </row>
    <row r="63" spans="2:5" ht="15" customHeight="1">
      <c r="B63" s="92"/>
      <c r="C63" s="43" t="s">
        <v>175</v>
      </c>
      <c r="D63" s="42">
        <v>7</v>
      </c>
      <c r="E63" s="41">
        <v>3.5993418346359524E-4</v>
      </c>
    </row>
    <row r="64" spans="2:5" ht="15" customHeight="1">
      <c r="B64" s="92"/>
      <c r="C64" s="43" t="s">
        <v>174</v>
      </c>
      <c r="D64" s="42">
        <v>1</v>
      </c>
      <c r="E64" s="41">
        <v>5.1419169066227893E-5</v>
      </c>
    </row>
    <row r="65" spans="2:5" ht="15" customHeight="1">
      <c r="B65" s="92"/>
      <c r="C65" s="43" t="s">
        <v>173</v>
      </c>
      <c r="D65" s="42">
        <v>4</v>
      </c>
      <c r="E65" s="41">
        <v>2.0567667626491157E-4</v>
      </c>
    </row>
    <row r="66" spans="2:5" ht="15" customHeight="1">
      <c r="B66" s="92"/>
      <c r="C66" s="43" t="s">
        <v>172</v>
      </c>
      <c r="D66" s="42">
        <v>4</v>
      </c>
      <c r="E66" s="41">
        <v>2.0567667626491157E-4</v>
      </c>
    </row>
    <row r="67" spans="2:5" ht="15" customHeight="1">
      <c r="B67" s="92"/>
      <c r="C67" s="43" t="s">
        <v>166</v>
      </c>
      <c r="D67" s="42">
        <v>4</v>
      </c>
      <c r="E67" s="41">
        <v>2.0567667626491157E-4</v>
      </c>
    </row>
    <row r="68" spans="2:5" ht="15" customHeight="1">
      <c r="B68" s="93"/>
      <c r="C68" s="40" t="s">
        <v>20</v>
      </c>
      <c r="D68" s="39">
        <v>21</v>
      </c>
      <c r="E68" s="38">
        <v>1.0798025503907856E-3</v>
      </c>
    </row>
    <row r="69" spans="2:5" ht="15" customHeight="1">
      <c r="B69" s="91" t="s">
        <v>73</v>
      </c>
      <c r="C69" s="43" t="s">
        <v>185</v>
      </c>
      <c r="D69" s="42">
        <v>1</v>
      </c>
      <c r="E69" s="41">
        <v>5.1419169066227893E-5</v>
      </c>
    </row>
    <row r="70" spans="2:5" ht="15" customHeight="1">
      <c r="B70" s="92"/>
      <c r="C70" s="43" t="s">
        <v>180</v>
      </c>
      <c r="D70" s="42">
        <v>1</v>
      </c>
      <c r="E70" s="41">
        <v>5.1419169066227893E-5</v>
      </c>
    </row>
    <row r="71" spans="2:5" ht="15" customHeight="1">
      <c r="B71" s="92"/>
      <c r="C71" s="43" t="s">
        <v>179</v>
      </c>
      <c r="D71" s="42">
        <v>1</v>
      </c>
      <c r="E71" s="41">
        <v>5.1419169066227893E-5</v>
      </c>
    </row>
    <row r="72" spans="2:5" ht="15" customHeight="1">
      <c r="B72" s="92"/>
      <c r="C72" s="43" t="s">
        <v>175</v>
      </c>
      <c r="D72" s="42">
        <v>10</v>
      </c>
      <c r="E72" s="41">
        <v>5.1419169066227888E-4</v>
      </c>
    </row>
    <row r="73" spans="2:5" ht="15" customHeight="1">
      <c r="B73" s="92"/>
      <c r="C73" s="43" t="s">
        <v>172</v>
      </c>
      <c r="D73" s="42">
        <v>3</v>
      </c>
      <c r="E73" s="41">
        <v>1.5425750719868367E-4</v>
      </c>
    </row>
    <row r="74" spans="2:5" ht="15" customHeight="1">
      <c r="B74" s="92"/>
      <c r="C74" s="43" t="s">
        <v>167</v>
      </c>
      <c r="D74" s="42">
        <v>3</v>
      </c>
      <c r="E74" s="41">
        <v>1.5425750719868367E-4</v>
      </c>
    </row>
    <row r="75" spans="2:5" ht="15" customHeight="1">
      <c r="B75" s="92"/>
      <c r="C75" s="43" t="s">
        <v>166</v>
      </c>
      <c r="D75" s="42">
        <v>1</v>
      </c>
      <c r="E75" s="41">
        <v>5.1419169066227893E-5</v>
      </c>
    </row>
    <row r="76" spans="2:5" ht="15" customHeight="1">
      <c r="B76" s="93"/>
      <c r="C76" s="40" t="s">
        <v>20</v>
      </c>
      <c r="D76" s="39">
        <v>20</v>
      </c>
      <c r="E76" s="38">
        <v>1.0283833813245578E-3</v>
      </c>
    </row>
    <row r="77" spans="2:5" ht="15" customHeight="1">
      <c r="B77" s="91" t="s">
        <v>78</v>
      </c>
      <c r="C77" s="43" t="s">
        <v>186</v>
      </c>
      <c r="D77" s="42">
        <v>11</v>
      </c>
      <c r="E77" s="41">
        <v>5.6561085972850684E-4</v>
      </c>
    </row>
    <row r="78" spans="2:5" ht="15" customHeight="1">
      <c r="B78" s="92"/>
      <c r="C78" s="43" t="s">
        <v>185</v>
      </c>
      <c r="D78" s="42">
        <v>5</v>
      </c>
      <c r="E78" s="41">
        <v>2.5709584533113944E-4</v>
      </c>
    </row>
    <row r="79" spans="2:5" ht="15" customHeight="1">
      <c r="B79" s="92"/>
      <c r="C79" s="43" t="s">
        <v>184</v>
      </c>
      <c r="D79" s="42">
        <v>8</v>
      </c>
      <c r="E79" s="41">
        <v>4.1135335252982314E-4</v>
      </c>
    </row>
    <row r="80" spans="2:5" ht="15" customHeight="1">
      <c r="B80" s="92"/>
      <c r="C80" s="43" t="s">
        <v>183</v>
      </c>
      <c r="D80" s="42">
        <v>16</v>
      </c>
      <c r="E80" s="41">
        <v>8.2270670505964628E-4</v>
      </c>
    </row>
    <row r="81" spans="2:5" ht="15" customHeight="1">
      <c r="B81" s="92"/>
      <c r="C81" s="43" t="s">
        <v>182</v>
      </c>
      <c r="D81" s="42">
        <v>13</v>
      </c>
      <c r="E81" s="41">
        <v>6.6844919786096253E-4</v>
      </c>
    </row>
    <row r="82" spans="2:5" ht="15" customHeight="1">
      <c r="B82" s="92"/>
      <c r="C82" s="43" t="s">
        <v>181</v>
      </c>
      <c r="D82" s="42">
        <v>18</v>
      </c>
      <c r="E82" s="41">
        <v>9.2554504319210197E-4</v>
      </c>
    </row>
    <row r="83" spans="2:5" ht="15" customHeight="1">
      <c r="B83" s="92"/>
      <c r="C83" s="43" t="s">
        <v>180</v>
      </c>
      <c r="D83" s="42">
        <v>120</v>
      </c>
      <c r="E83" s="41">
        <v>6.1703002879473466E-3</v>
      </c>
    </row>
    <row r="84" spans="2:5" ht="15" customHeight="1">
      <c r="B84" s="92"/>
      <c r="C84" s="43" t="s">
        <v>179</v>
      </c>
      <c r="D84" s="42">
        <v>80</v>
      </c>
      <c r="E84" s="41">
        <v>4.1135335252982311E-3</v>
      </c>
    </row>
    <row r="85" spans="2:5" ht="15" customHeight="1">
      <c r="B85" s="92"/>
      <c r="C85" s="43" t="s">
        <v>178</v>
      </c>
      <c r="D85" s="42">
        <v>18</v>
      </c>
      <c r="E85" s="41">
        <v>9.2554504319210197E-4</v>
      </c>
    </row>
    <row r="86" spans="2:5" ht="15" customHeight="1">
      <c r="B86" s="92"/>
      <c r="C86" s="43" t="s">
        <v>177</v>
      </c>
      <c r="D86" s="42">
        <v>50</v>
      </c>
      <c r="E86" s="41">
        <v>2.5709584533113944E-3</v>
      </c>
    </row>
    <row r="87" spans="2:5" ht="15" customHeight="1">
      <c r="B87" s="92"/>
      <c r="C87" s="43" t="s">
        <v>176</v>
      </c>
      <c r="D87" s="42">
        <v>134</v>
      </c>
      <c r="E87" s="41">
        <v>6.8901686548745369E-3</v>
      </c>
    </row>
    <row r="88" spans="2:5" ht="15" customHeight="1">
      <c r="B88" s="92"/>
      <c r="C88" s="43" t="s">
        <v>175</v>
      </c>
      <c r="D88" s="42">
        <v>291</v>
      </c>
      <c r="E88" s="41">
        <v>1.4962978198272315E-2</v>
      </c>
    </row>
    <row r="89" spans="2:5" ht="15" customHeight="1">
      <c r="B89" s="92"/>
      <c r="C89" s="43" t="s">
        <v>174</v>
      </c>
      <c r="D89" s="42">
        <v>33</v>
      </c>
      <c r="E89" s="41">
        <v>1.6968325791855204E-3</v>
      </c>
    </row>
    <row r="90" spans="2:5" ht="15" customHeight="1">
      <c r="B90" s="92"/>
      <c r="C90" s="43" t="s">
        <v>173</v>
      </c>
      <c r="D90" s="42">
        <v>130</v>
      </c>
      <c r="E90" s="41">
        <v>6.6844919786096255E-3</v>
      </c>
    </row>
    <row r="91" spans="2:5" ht="15" customHeight="1">
      <c r="B91" s="92"/>
      <c r="C91" s="43" t="s">
        <v>172</v>
      </c>
      <c r="D91" s="42">
        <v>386</v>
      </c>
      <c r="E91" s="41">
        <v>1.9847799259563967E-2</v>
      </c>
    </row>
    <row r="92" spans="2:5" ht="15" customHeight="1">
      <c r="B92" s="92"/>
      <c r="C92" s="43" t="s">
        <v>171</v>
      </c>
      <c r="D92" s="42">
        <v>17</v>
      </c>
      <c r="E92" s="41">
        <v>8.7412587412587413E-4</v>
      </c>
    </row>
    <row r="93" spans="2:5" ht="15" customHeight="1">
      <c r="B93" s="92"/>
      <c r="C93" s="43" t="s">
        <v>170</v>
      </c>
      <c r="D93" s="42">
        <v>14</v>
      </c>
      <c r="E93" s="41">
        <v>7.1986836692719048E-4</v>
      </c>
    </row>
    <row r="94" spans="2:5" ht="15" customHeight="1">
      <c r="B94" s="92"/>
      <c r="C94" s="43" t="s">
        <v>169</v>
      </c>
      <c r="D94" s="42">
        <v>7</v>
      </c>
      <c r="E94" s="41">
        <v>3.5993418346359524E-4</v>
      </c>
    </row>
    <row r="95" spans="2:5" ht="15" customHeight="1">
      <c r="B95" s="92"/>
      <c r="C95" s="43" t="s">
        <v>168</v>
      </c>
      <c r="D95" s="42">
        <v>2</v>
      </c>
      <c r="E95" s="41">
        <v>1.0283833813245579E-4</v>
      </c>
    </row>
    <row r="96" spans="2:5" ht="15" customHeight="1">
      <c r="B96" s="92"/>
      <c r="C96" s="43" t="s">
        <v>167</v>
      </c>
      <c r="D96" s="42">
        <v>41</v>
      </c>
      <c r="E96" s="41">
        <v>2.1081859317153436E-3</v>
      </c>
    </row>
    <row r="97" spans="2:5" ht="15" customHeight="1">
      <c r="B97" s="92"/>
      <c r="C97" s="43" t="s">
        <v>166</v>
      </c>
      <c r="D97" s="42">
        <v>126</v>
      </c>
      <c r="E97" s="41">
        <v>6.4788153023447141E-3</v>
      </c>
    </row>
    <row r="98" spans="2:5" ht="15" customHeight="1">
      <c r="B98" s="92"/>
      <c r="C98" s="43" t="s">
        <v>164</v>
      </c>
      <c r="D98" s="42">
        <v>9</v>
      </c>
      <c r="E98" s="41">
        <v>4.6277252159605099E-4</v>
      </c>
    </row>
    <row r="99" spans="2:5" ht="15" customHeight="1">
      <c r="B99" s="93"/>
      <c r="C99" s="40" t="s">
        <v>20</v>
      </c>
      <c r="D99" s="39">
        <v>1529</v>
      </c>
      <c r="E99" s="38">
        <v>7.8619909502262442E-2</v>
      </c>
    </row>
    <row r="100" spans="2:5" ht="15" customHeight="1">
      <c r="B100" s="91" t="s">
        <v>196</v>
      </c>
      <c r="C100" s="43" t="s">
        <v>179</v>
      </c>
      <c r="D100" s="42">
        <v>1</v>
      </c>
      <c r="E100" s="41">
        <v>5.1419169066227893E-5</v>
      </c>
    </row>
    <row r="101" spans="2:5" ht="15" customHeight="1">
      <c r="B101" s="92"/>
      <c r="C101" s="43" t="s">
        <v>175</v>
      </c>
      <c r="D101" s="42">
        <v>1</v>
      </c>
      <c r="E101" s="41">
        <v>5.1419169066227893E-5</v>
      </c>
    </row>
    <row r="102" spans="2:5" ht="15" customHeight="1">
      <c r="B102" s="93"/>
      <c r="C102" s="40" t="s">
        <v>20</v>
      </c>
      <c r="D102" s="39">
        <v>2</v>
      </c>
      <c r="E102" s="38">
        <v>1.0283833813245579E-4</v>
      </c>
    </row>
    <row r="103" spans="2:5" ht="15" customHeight="1">
      <c r="B103" s="91" t="s">
        <v>114</v>
      </c>
      <c r="C103" s="43" t="s">
        <v>186</v>
      </c>
      <c r="D103" s="42">
        <v>2</v>
      </c>
      <c r="E103" s="41">
        <v>1.0283833813245579E-4</v>
      </c>
    </row>
    <row r="104" spans="2:5" ht="15" customHeight="1">
      <c r="B104" s="92"/>
      <c r="C104" s="43" t="s">
        <v>185</v>
      </c>
      <c r="D104" s="42">
        <v>3</v>
      </c>
      <c r="E104" s="41">
        <v>1.5425750719868367E-4</v>
      </c>
    </row>
    <row r="105" spans="2:5" ht="15" customHeight="1">
      <c r="B105" s="92"/>
      <c r="C105" s="43" t="s">
        <v>184</v>
      </c>
      <c r="D105" s="42">
        <v>1</v>
      </c>
      <c r="E105" s="41">
        <v>5.1419169066227893E-5</v>
      </c>
    </row>
    <row r="106" spans="2:5" ht="15" customHeight="1">
      <c r="B106" s="92"/>
      <c r="C106" s="43" t="s">
        <v>183</v>
      </c>
      <c r="D106" s="42">
        <v>4</v>
      </c>
      <c r="E106" s="41">
        <v>2.0567667626491157E-4</v>
      </c>
    </row>
    <row r="107" spans="2:5" ht="15" customHeight="1">
      <c r="B107" s="92"/>
      <c r="C107" s="43" t="s">
        <v>182</v>
      </c>
      <c r="D107" s="42">
        <v>1</v>
      </c>
      <c r="E107" s="41">
        <v>5.1419169066227893E-5</v>
      </c>
    </row>
    <row r="108" spans="2:5" ht="15" customHeight="1">
      <c r="B108" s="92"/>
      <c r="C108" s="43" t="s">
        <v>181</v>
      </c>
      <c r="D108" s="42">
        <v>1</v>
      </c>
      <c r="E108" s="41">
        <v>5.1419169066227893E-5</v>
      </c>
    </row>
    <row r="109" spans="2:5" ht="15" customHeight="1">
      <c r="B109" s="92"/>
      <c r="C109" s="43" t="s">
        <v>180</v>
      </c>
      <c r="D109" s="42">
        <v>19</v>
      </c>
      <c r="E109" s="41">
        <v>9.7696421225832992E-4</v>
      </c>
    </row>
    <row r="110" spans="2:5" ht="15" customHeight="1">
      <c r="B110" s="92"/>
      <c r="C110" s="43" t="s">
        <v>179</v>
      </c>
      <c r="D110" s="42">
        <v>56</v>
      </c>
      <c r="E110" s="41">
        <v>2.8794734677087619E-3</v>
      </c>
    </row>
    <row r="111" spans="2:5" ht="15" customHeight="1">
      <c r="B111" s="92"/>
      <c r="C111" s="43" t="s">
        <v>178</v>
      </c>
      <c r="D111" s="42">
        <v>4</v>
      </c>
      <c r="E111" s="41">
        <v>2.0567667626491157E-4</v>
      </c>
    </row>
    <row r="112" spans="2:5" ht="15" customHeight="1">
      <c r="B112" s="92"/>
      <c r="C112" s="43" t="s">
        <v>177</v>
      </c>
      <c r="D112" s="42">
        <v>6</v>
      </c>
      <c r="E112" s="41">
        <v>3.0851501439736734E-4</v>
      </c>
    </row>
    <row r="113" spans="2:5" ht="15" customHeight="1">
      <c r="B113" s="92"/>
      <c r="C113" s="43" t="s">
        <v>176</v>
      </c>
      <c r="D113" s="42">
        <v>18</v>
      </c>
      <c r="E113" s="41">
        <v>9.2554504319210197E-4</v>
      </c>
    </row>
    <row r="114" spans="2:5" ht="15" customHeight="1">
      <c r="B114" s="92"/>
      <c r="C114" s="43" t="s">
        <v>175</v>
      </c>
      <c r="D114" s="42">
        <v>144</v>
      </c>
      <c r="E114" s="41">
        <v>7.4043603455368158E-3</v>
      </c>
    </row>
    <row r="115" spans="2:5" ht="15" customHeight="1">
      <c r="B115" s="92"/>
      <c r="C115" s="43" t="s">
        <v>174</v>
      </c>
      <c r="D115" s="42">
        <v>8</v>
      </c>
      <c r="E115" s="41">
        <v>4.1135335252982314E-4</v>
      </c>
    </row>
    <row r="116" spans="2:5" ht="15" customHeight="1">
      <c r="B116" s="92"/>
      <c r="C116" s="43" t="s">
        <v>173</v>
      </c>
      <c r="D116" s="42">
        <v>24</v>
      </c>
      <c r="E116" s="41">
        <v>1.2340600575894694E-3</v>
      </c>
    </row>
    <row r="117" spans="2:5" ht="15" customHeight="1">
      <c r="B117" s="92"/>
      <c r="C117" s="43" t="s">
        <v>172</v>
      </c>
      <c r="D117" s="42">
        <v>104</v>
      </c>
      <c r="E117" s="41">
        <v>5.3475935828877002E-3</v>
      </c>
    </row>
    <row r="118" spans="2:5" ht="15" customHeight="1">
      <c r="B118" s="92"/>
      <c r="C118" s="43" t="s">
        <v>170</v>
      </c>
      <c r="D118" s="42">
        <v>1</v>
      </c>
      <c r="E118" s="41">
        <v>5.1419169066227893E-5</v>
      </c>
    </row>
    <row r="119" spans="2:5" ht="15" customHeight="1">
      <c r="B119" s="92"/>
      <c r="C119" s="43" t="s">
        <v>168</v>
      </c>
      <c r="D119" s="42">
        <v>1</v>
      </c>
      <c r="E119" s="41">
        <v>5.1419169066227893E-5</v>
      </c>
    </row>
    <row r="120" spans="2:5" ht="15" customHeight="1">
      <c r="B120" s="92"/>
      <c r="C120" s="43" t="s">
        <v>167</v>
      </c>
      <c r="D120" s="42">
        <v>13</v>
      </c>
      <c r="E120" s="41">
        <v>6.6844919786096253E-4</v>
      </c>
    </row>
    <row r="121" spans="2:5" ht="15" customHeight="1">
      <c r="B121" s="92"/>
      <c r="C121" s="43" t="s">
        <v>166</v>
      </c>
      <c r="D121" s="42">
        <v>33</v>
      </c>
      <c r="E121" s="41">
        <v>1.6968325791855204E-3</v>
      </c>
    </row>
    <row r="122" spans="2:5" ht="15" customHeight="1">
      <c r="B122" s="92"/>
      <c r="C122" s="43" t="s">
        <v>191</v>
      </c>
      <c r="D122" s="42">
        <v>1</v>
      </c>
      <c r="E122" s="41">
        <v>5.1419169066227893E-5</v>
      </c>
    </row>
    <row r="123" spans="2:5" ht="15" customHeight="1">
      <c r="B123" s="92"/>
      <c r="C123" s="43" t="s">
        <v>163</v>
      </c>
      <c r="D123" s="42">
        <v>1</v>
      </c>
      <c r="E123" s="41">
        <v>5.1419169066227893E-5</v>
      </c>
    </row>
    <row r="124" spans="2:5" ht="15" customHeight="1">
      <c r="B124" s="93"/>
      <c r="C124" s="40" t="s">
        <v>20</v>
      </c>
      <c r="D124" s="39">
        <v>445</v>
      </c>
      <c r="E124" s="38">
        <v>2.2881530234471412E-2</v>
      </c>
    </row>
    <row r="125" spans="2:5" ht="15" customHeight="1">
      <c r="B125" s="91" t="s">
        <v>112</v>
      </c>
      <c r="C125" s="43" t="s">
        <v>186</v>
      </c>
      <c r="D125" s="42">
        <v>14</v>
      </c>
      <c r="E125" s="41">
        <v>7.1986836692719048E-4</v>
      </c>
    </row>
    <row r="126" spans="2:5" ht="15" customHeight="1">
      <c r="B126" s="92"/>
      <c r="C126" s="43" t="s">
        <v>185</v>
      </c>
      <c r="D126" s="42">
        <v>4</v>
      </c>
      <c r="E126" s="41">
        <v>2.0567667626491157E-4</v>
      </c>
    </row>
    <row r="127" spans="2:5" ht="15" customHeight="1">
      <c r="B127" s="92"/>
      <c r="C127" s="43" t="s">
        <v>184</v>
      </c>
      <c r="D127" s="42">
        <v>6</v>
      </c>
      <c r="E127" s="41">
        <v>3.0851501439736734E-4</v>
      </c>
    </row>
    <row r="128" spans="2:5" ht="15" customHeight="1">
      <c r="B128" s="92"/>
      <c r="C128" s="43" t="s">
        <v>183</v>
      </c>
      <c r="D128" s="42">
        <v>10</v>
      </c>
      <c r="E128" s="41">
        <v>5.1419169066227888E-4</v>
      </c>
    </row>
    <row r="129" spans="2:5" ht="15" customHeight="1">
      <c r="B129" s="92"/>
      <c r="C129" s="43" t="s">
        <v>182</v>
      </c>
      <c r="D129" s="42">
        <v>8</v>
      </c>
      <c r="E129" s="41">
        <v>4.1135335252982314E-4</v>
      </c>
    </row>
    <row r="130" spans="2:5" ht="15" customHeight="1">
      <c r="B130" s="92"/>
      <c r="C130" s="43" t="s">
        <v>181</v>
      </c>
      <c r="D130" s="42">
        <v>19</v>
      </c>
      <c r="E130" s="41">
        <v>9.7696421225832992E-4</v>
      </c>
    </row>
    <row r="131" spans="2:5" ht="15" customHeight="1">
      <c r="B131" s="92"/>
      <c r="C131" s="43" t="s">
        <v>180</v>
      </c>
      <c r="D131" s="42">
        <v>111</v>
      </c>
      <c r="E131" s="41">
        <v>5.7075277663512954E-3</v>
      </c>
    </row>
    <row r="132" spans="2:5" ht="15" customHeight="1">
      <c r="B132" s="92"/>
      <c r="C132" s="43" t="s">
        <v>179</v>
      </c>
      <c r="D132" s="42">
        <v>178</v>
      </c>
      <c r="E132" s="41">
        <v>9.1526120937885647E-3</v>
      </c>
    </row>
    <row r="133" spans="2:5" ht="15" customHeight="1">
      <c r="B133" s="92"/>
      <c r="C133" s="43" t="s">
        <v>178</v>
      </c>
      <c r="D133" s="42">
        <v>20</v>
      </c>
      <c r="E133" s="41">
        <v>1.0283833813245578E-3</v>
      </c>
    </row>
    <row r="134" spans="2:5" ht="15" customHeight="1">
      <c r="B134" s="92"/>
      <c r="C134" s="43" t="s">
        <v>177</v>
      </c>
      <c r="D134" s="42">
        <v>32</v>
      </c>
      <c r="E134" s="41">
        <v>1.6454134101192926E-3</v>
      </c>
    </row>
    <row r="135" spans="2:5" ht="15" customHeight="1">
      <c r="B135" s="92"/>
      <c r="C135" s="43" t="s">
        <v>176</v>
      </c>
      <c r="D135" s="42">
        <v>55</v>
      </c>
      <c r="E135" s="41">
        <v>2.8280542986425339E-3</v>
      </c>
    </row>
    <row r="136" spans="2:5" ht="15" customHeight="1">
      <c r="B136" s="92"/>
      <c r="C136" s="43" t="s">
        <v>175</v>
      </c>
      <c r="D136" s="42">
        <v>765</v>
      </c>
      <c r="E136" s="41">
        <v>3.9335664335664336E-2</v>
      </c>
    </row>
    <row r="137" spans="2:5" ht="15" customHeight="1">
      <c r="B137" s="92"/>
      <c r="C137" s="43" t="s">
        <v>174</v>
      </c>
      <c r="D137" s="42">
        <v>37</v>
      </c>
      <c r="E137" s="41">
        <v>1.902509255450432E-3</v>
      </c>
    </row>
    <row r="138" spans="2:5" ht="15" customHeight="1">
      <c r="B138" s="92"/>
      <c r="C138" s="43" t="s">
        <v>173</v>
      </c>
      <c r="D138" s="42">
        <v>147</v>
      </c>
      <c r="E138" s="41">
        <v>7.5586178527354995E-3</v>
      </c>
    </row>
    <row r="139" spans="2:5" ht="15" customHeight="1">
      <c r="B139" s="92"/>
      <c r="C139" s="43" t="s">
        <v>172</v>
      </c>
      <c r="D139" s="42">
        <v>600</v>
      </c>
      <c r="E139" s="41">
        <v>3.0851501439736733E-2</v>
      </c>
    </row>
    <row r="140" spans="2:5" ht="15" customHeight="1">
      <c r="B140" s="92"/>
      <c r="C140" s="43" t="s">
        <v>171</v>
      </c>
      <c r="D140" s="42">
        <v>7</v>
      </c>
      <c r="E140" s="41">
        <v>3.5993418346359524E-4</v>
      </c>
    </row>
    <row r="141" spans="2:5" ht="15" customHeight="1">
      <c r="B141" s="92"/>
      <c r="C141" s="43" t="s">
        <v>170</v>
      </c>
      <c r="D141" s="42">
        <v>8</v>
      </c>
      <c r="E141" s="41">
        <v>4.1135335252982314E-4</v>
      </c>
    </row>
    <row r="142" spans="2:5" ht="15" customHeight="1">
      <c r="B142" s="92"/>
      <c r="C142" s="43" t="s">
        <v>169</v>
      </c>
      <c r="D142" s="42">
        <v>2</v>
      </c>
      <c r="E142" s="41">
        <v>1.0283833813245579E-4</v>
      </c>
    </row>
    <row r="143" spans="2:5" ht="15" customHeight="1">
      <c r="B143" s="92"/>
      <c r="C143" s="43" t="s">
        <v>168</v>
      </c>
      <c r="D143" s="42">
        <v>1</v>
      </c>
      <c r="E143" s="41">
        <v>5.1419169066227893E-5</v>
      </c>
    </row>
    <row r="144" spans="2:5" ht="15" customHeight="1">
      <c r="B144" s="92"/>
      <c r="C144" s="43" t="s">
        <v>167</v>
      </c>
      <c r="D144" s="42">
        <v>39</v>
      </c>
      <c r="E144" s="41">
        <v>2.0053475935828879E-3</v>
      </c>
    </row>
    <row r="145" spans="2:5" ht="15" customHeight="1">
      <c r="B145" s="92"/>
      <c r="C145" s="43" t="s">
        <v>166</v>
      </c>
      <c r="D145" s="42">
        <v>85</v>
      </c>
      <c r="E145" s="41">
        <v>4.370629370629371E-3</v>
      </c>
    </row>
    <row r="146" spans="2:5" ht="15" customHeight="1">
      <c r="B146" s="92"/>
      <c r="C146" s="43" t="s">
        <v>191</v>
      </c>
      <c r="D146" s="42">
        <v>5</v>
      </c>
      <c r="E146" s="41">
        <v>2.5709584533113944E-4</v>
      </c>
    </row>
    <row r="147" spans="2:5" ht="15" customHeight="1">
      <c r="B147" s="92"/>
      <c r="C147" s="43" t="s">
        <v>164</v>
      </c>
      <c r="D147" s="42">
        <v>5</v>
      </c>
      <c r="E147" s="41">
        <v>2.5709584533113944E-4</v>
      </c>
    </row>
    <row r="148" spans="2:5" ht="15" customHeight="1">
      <c r="B148" s="92"/>
      <c r="C148" s="43" t="s">
        <v>163</v>
      </c>
      <c r="D148" s="42">
        <v>1</v>
      </c>
      <c r="E148" s="41">
        <v>5.1419169066227893E-5</v>
      </c>
    </row>
    <row r="149" spans="2:5" ht="15" customHeight="1">
      <c r="B149" s="93"/>
      <c r="C149" s="40" t="s">
        <v>20</v>
      </c>
      <c r="D149" s="39">
        <v>2159</v>
      </c>
      <c r="E149" s="38">
        <v>0.11101398601398602</v>
      </c>
    </row>
    <row r="150" spans="2:5" ht="15" customHeight="1">
      <c r="B150" s="91" t="s">
        <v>195</v>
      </c>
      <c r="C150" s="43" t="s">
        <v>179</v>
      </c>
      <c r="D150" s="42">
        <v>4</v>
      </c>
      <c r="E150" s="41">
        <v>2.0567667626491157E-4</v>
      </c>
    </row>
    <row r="151" spans="2:5" ht="15" customHeight="1">
      <c r="B151" s="92"/>
      <c r="C151" s="43" t="s">
        <v>175</v>
      </c>
      <c r="D151" s="42">
        <v>3</v>
      </c>
      <c r="E151" s="41">
        <v>1.5425750719868367E-4</v>
      </c>
    </row>
    <row r="152" spans="2:5" ht="15" customHeight="1">
      <c r="B152" s="92"/>
      <c r="C152" s="43" t="s">
        <v>172</v>
      </c>
      <c r="D152" s="42">
        <v>1</v>
      </c>
      <c r="E152" s="41">
        <v>5.1419169066227893E-5</v>
      </c>
    </row>
    <row r="153" spans="2:5" ht="15" customHeight="1">
      <c r="B153" s="92"/>
      <c r="C153" s="43" t="s">
        <v>171</v>
      </c>
      <c r="D153" s="42">
        <v>1</v>
      </c>
      <c r="E153" s="41">
        <v>5.1419169066227893E-5</v>
      </c>
    </row>
    <row r="154" spans="2:5" ht="15" customHeight="1">
      <c r="B154" s="93"/>
      <c r="C154" s="40" t="s">
        <v>20</v>
      </c>
      <c r="D154" s="39">
        <v>9</v>
      </c>
      <c r="E154" s="38">
        <v>4.6277252159605099E-4</v>
      </c>
    </row>
    <row r="155" spans="2:5" ht="15" customHeight="1">
      <c r="B155" s="91" t="s">
        <v>96</v>
      </c>
      <c r="C155" s="43" t="s">
        <v>186</v>
      </c>
      <c r="D155" s="42">
        <v>2</v>
      </c>
      <c r="E155" s="41">
        <v>1.0283833813245579E-4</v>
      </c>
    </row>
    <row r="156" spans="2:5" ht="15" customHeight="1">
      <c r="B156" s="92"/>
      <c r="C156" s="43" t="s">
        <v>182</v>
      </c>
      <c r="D156" s="42">
        <v>1</v>
      </c>
      <c r="E156" s="41">
        <v>5.1419169066227893E-5</v>
      </c>
    </row>
    <row r="157" spans="2:5" ht="15" customHeight="1">
      <c r="B157" s="92"/>
      <c r="C157" s="43" t="s">
        <v>181</v>
      </c>
      <c r="D157" s="42">
        <v>1</v>
      </c>
      <c r="E157" s="41">
        <v>5.1419169066227893E-5</v>
      </c>
    </row>
    <row r="158" spans="2:5" ht="15" customHeight="1">
      <c r="B158" s="92"/>
      <c r="C158" s="43" t="s">
        <v>180</v>
      </c>
      <c r="D158" s="42">
        <v>4</v>
      </c>
      <c r="E158" s="41">
        <v>2.0567667626491157E-4</v>
      </c>
    </row>
    <row r="159" spans="2:5" ht="15" customHeight="1">
      <c r="B159" s="92"/>
      <c r="C159" s="43" t="s">
        <v>179</v>
      </c>
      <c r="D159" s="42">
        <v>3</v>
      </c>
      <c r="E159" s="41">
        <v>1.5425750719868367E-4</v>
      </c>
    </row>
    <row r="160" spans="2:5" ht="15" customHeight="1">
      <c r="B160" s="92"/>
      <c r="C160" s="43" t="s">
        <v>176</v>
      </c>
      <c r="D160" s="42">
        <v>2</v>
      </c>
      <c r="E160" s="41">
        <v>1.0283833813245579E-4</v>
      </c>
    </row>
    <row r="161" spans="2:5" ht="15" customHeight="1">
      <c r="B161" s="92"/>
      <c r="C161" s="43" t="s">
        <v>175</v>
      </c>
      <c r="D161" s="42">
        <v>14</v>
      </c>
      <c r="E161" s="41">
        <v>7.1986836692719048E-4</v>
      </c>
    </row>
    <row r="162" spans="2:5" ht="15" customHeight="1">
      <c r="B162" s="92"/>
      <c r="C162" s="43" t="s">
        <v>174</v>
      </c>
      <c r="D162" s="42">
        <v>3</v>
      </c>
      <c r="E162" s="41">
        <v>1.5425750719868367E-4</v>
      </c>
    </row>
    <row r="163" spans="2:5" ht="15" customHeight="1">
      <c r="B163" s="92"/>
      <c r="C163" s="43" t="s">
        <v>173</v>
      </c>
      <c r="D163" s="42">
        <v>2</v>
      </c>
      <c r="E163" s="41">
        <v>1.0283833813245579E-4</v>
      </c>
    </row>
    <row r="164" spans="2:5" ht="15" customHeight="1">
      <c r="B164" s="92"/>
      <c r="C164" s="43" t="s">
        <v>172</v>
      </c>
      <c r="D164" s="42">
        <v>5</v>
      </c>
      <c r="E164" s="41">
        <v>2.5709584533113944E-4</v>
      </c>
    </row>
    <row r="165" spans="2:5" ht="15" customHeight="1">
      <c r="B165" s="92"/>
      <c r="C165" s="43" t="s">
        <v>166</v>
      </c>
      <c r="D165" s="42">
        <v>4</v>
      </c>
      <c r="E165" s="41">
        <v>2.0567667626491157E-4</v>
      </c>
    </row>
    <row r="166" spans="2:5" ht="15" customHeight="1">
      <c r="B166" s="93"/>
      <c r="C166" s="40" t="s">
        <v>20</v>
      </c>
      <c r="D166" s="39">
        <v>41</v>
      </c>
      <c r="E166" s="38">
        <v>2.1081859317153436E-3</v>
      </c>
    </row>
    <row r="167" spans="2:5" ht="15" customHeight="1">
      <c r="B167" s="91" t="s">
        <v>82</v>
      </c>
      <c r="C167" s="43" t="s">
        <v>186</v>
      </c>
      <c r="D167" s="42">
        <v>2</v>
      </c>
      <c r="E167" s="41">
        <v>1.0283833813245579E-4</v>
      </c>
    </row>
    <row r="168" spans="2:5" ht="15" customHeight="1">
      <c r="B168" s="92"/>
      <c r="C168" s="43" t="s">
        <v>185</v>
      </c>
      <c r="D168" s="42">
        <v>1</v>
      </c>
      <c r="E168" s="41">
        <v>5.1419169066227893E-5</v>
      </c>
    </row>
    <row r="169" spans="2:5" ht="15" customHeight="1">
      <c r="B169" s="92"/>
      <c r="C169" s="43" t="s">
        <v>184</v>
      </c>
      <c r="D169" s="42">
        <v>4</v>
      </c>
      <c r="E169" s="41">
        <v>2.0567667626491157E-4</v>
      </c>
    </row>
    <row r="170" spans="2:5" ht="15" customHeight="1">
      <c r="B170" s="92"/>
      <c r="C170" s="43" t="s">
        <v>183</v>
      </c>
      <c r="D170" s="42">
        <v>2</v>
      </c>
      <c r="E170" s="41">
        <v>1.0283833813245579E-4</v>
      </c>
    </row>
    <row r="171" spans="2:5" ht="15" customHeight="1">
      <c r="B171" s="92"/>
      <c r="C171" s="43" t="s">
        <v>182</v>
      </c>
      <c r="D171" s="42">
        <v>1</v>
      </c>
      <c r="E171" s="41">
        <v>5.1419169066227893E-5</v>
      </c>
    </row>
    <row r="172" spans="2:5" ht="15" customHeight="1">
      <c r="B172" s="92"/>
      <c r="C172" s="43" t="s">
        <v>181</v>
      </c>
      <c r="D172" s="42">
        <v>4</v>
      </c>
      <c r="E172" s="41">
        <v>2.0567667626491157E-4</v>
      </c>
    </row>
    <row r="173" spans="2:5" ht="15" customHeight="1">
      <c r="B173" s="92"/>
      <c r="C173" s="43" t="s">
        <v>180</v>
      </c>
      <c r="D173" s="42">
        <v>16</v>
      </c>
      <c r="E173" s="41">
        <v>8.2270670505964628E-4</v>
      </c>
    </row>
    <row r="174" spans="2:5" ht="15" customHeight="1">
      <c r="B174" s="92"/>
      <c r="C174" s="43" t="s">
        <v>179</v>
      </c>
      <c r="D174" s="42">
        <v>25</v>
      </c>
      <c r="E174" s="41">
        <v>1.2854792266556972E-3</v>
      </c>
    </row>
    <row r="175" spans="2:5" ht="15" customHeight="1">
      <c r="B175" s="92"/>
      <c r="C175" s="43" t="s">
        <v>178</v>
      </c>
      <c r="D175" s="42">
        <v>1</v>
      </c>
      <c r="E175" s="41">
        <v>5.1419169066227893E-5</v>
      </c>
    </row>
    <row r="176" spans="2:5" ht="15" customHeight="1">
      <c r="B176" s="92"/>
      <c r="C176" s="43" t="s">
        <v>177</v>
      </c>
      <c r="D176" s="42">
        <v>4</v>
      </c>
      <c r="E176" s="41">
        <v>2.0567667626491157E-4</v>
      </c>
    </row>
    <row r="177" spans="2:5" ht="15" customHeight="1">
      <c r="B177" s="92"/>
      <c r="C177" s="43" t="s">
        <v>176</v>
      </c>
      <c r="D177" s="42">
        <v>7</v>
      </c>
      <c r="E177" s="41">
        <v>3.5993418346359524E-4</v>
      </c>
    </row>
    <row r="178" spans="2:5" ht="15" customHeight="1">
      <c r="B178" s="92"/>
      <c r="C178" s="43" t="s">
        <v>175</v>
      </c>
      <c r="D178" s="42">
        <v>37</v>
      </c>
      <c r="E178" s="41">
        <v>1.902509255450432E-3</v>
      </c>
    </row>
    <row r="179" spans="2:5" ht="15" customHeight="1">
      <c r="B179" s="92"/>
      <c r="C179" s="43" t="s">
        <v>174</v>
      </c>
      <c r="D179" s="42">
        <v>2</v>
      </c>
      <c r="E179" s="41">
        <v>1.0283833813245579E-4</v>
      </c>
    </row>
    <row r="180" spans="2:5" ht="15" customHeight="1">
      <c r="B180" s="92"/>
      <c r="C180" s="43" t="s">
        <v>173</v>
      </c>
      <c r="D180" s="42">
        <v>10</v>
      </c>
      <c r="E180" s="41">
        <v>5.1419169066227888E-4</v>
      </c>
    </row>
    <row r="181" spans="2:5" ht="15" customHeight="1">
      <c r="B181" s="92"/>
      <c r="C181" s="43" t="s">
        <v>172</v>
      </c>
      <c r="D181" s="42">
        <v>29</v>
      </c>
      <c r="E181" s="41">
        <v>1.4911559029206088E-3</v>
      </c>
    </row>
    <row r="182" spans="2:5" ht="15" customHeight="1">
      <c r="B182" s="92"/>
      <c r="C182" s="43" t="s">
        <v>171</v>
      </c>
      <c r="D182" s="42">
        <v>1</v>
      </c>
      <c r="E182" s="41">
        <v>5.1419169066227893E-5</v>
      </c>
    </row>
    <row r="183" spans="2:5" ht="15" customHeight="1">
      <c r="B183" s="92"/>
      <c r="C183" s="43" t="s">
        <v>167</v>
      </c>
      <c r="D183" s="42">
        <v>6</v>
      </c>
      <c r="E183" s="41">
        <v>3.0851501439736734E-4</v>
      </c>
    </row>
    <row r="184" spans="2:5" ht="15" customHeight="1">
      <c r="B184" s="92"/>
      <c r="C184" s="43" t="s">
        <v>166</v>
      </c>
      <c r="D184" s="42">
        <v>10</v>
      </c>
      <c r="E184" s="41">
        <v>5.1419169066227888E-4</v>
      </c>
    </row>
    <row r="185" spans="2:5" ht="15" customHeight="1">
      <c r="B185" s="93"/>
      <c r="C185" s="40" t="s">
        <v>20</v>
      </c>
      <c r="D185" s="39">
        <v>162</v>
      </c>
      <c r="E185" s="38">
        <v>8.3299053887289174E-3</v>
      </c>
    </row>
    <row r="186" spans="2:5" ht="15" customHeight="1">
      <c r="B186" s="91" t="s">
        <v>80</v>
      </c>
      <c r="C186" s="43" t="s">
        <v>180</v>
      </c>
      <c r="D186" s="42">
        <v>1</v>
      </c>
      <c r="E186" s="41">
        <v>5.1419169066227893E-5</v>
      </c>
    </row>
    <row r="187" spans="2:5" ht="15" customHeight="1">
      <c r="B187" s="92"/>
      <c r="C187" s="43" t="s">
        <v>175</v>
      </c>
      <c r="D187" s="42">
        <v>6</v>
      </c>
      <c r="E187" s="41">
        <v>3.0851501439736734E-4</v>
      </c>
    </row>
    <row r="188" spans="2:5" ht="15" customHeight="1">
      <c r="B188" s="92"/>
      <c r="C188" s="43" t="s">
        <v>173</v>
      </c>
      <c r="D188" s="42">
        <v>1</v>
      </c>
      <c r="E188" s="41">
        <v>5.1419169066227893E-5</v>
      </c>
    </row>
    <row r="189" spans="2:5" ht="15" customHeight="1">
      <c r="B189" s="92"/>
      <c r="C189" s="43" t="s">
        <v>172</v>
      </c>
      <c r="D189" s="42">
        <v>3</v>
      </c>
      <c r="E189" s="41">
        <v>1.5425750719868367E-4</v>
      </c>
    </row>
    <row r="190" spans="2:5" ht="15" customHeight="1">
      <c r="B190" s="92"/>
      <c r="C190" s="43" t="s">
        <v>169</v>
      </c>
      <c r="D190" s="42">
        <v>1</v>
      </c>
      <c r="E190" s="41">
        <v>5.1419169066227893E-5</v>
      </c>
    </row>
    <row r="191" spans="2:5" ht="15" customHeight="1">
      <c r="B191" s="92"/>
      <c r="C191" s="43" t="s">
        <v>166</v>
      </c>
      <c r="D191" s="42">
        <v>2</v>
      </c>
      <c r="E191" s="41">
        <v>1.0283833813245579E-4</v>
      </c>
    </row>
    <row r="192" spans="2:5" ht="15" customHeight="1">
      <c r="B192" s="93"/>
      <c r="C192" s="40" t="s">
        <v>20</v>
      </c>
      <c r="D192" s="39">
        <v>14</v>
      </c>
      <c r="E192" s="38">
        <v>7.1986836692719048E-4</v>
      </c>
    </row>
    <row r="193" spans="2:5" ht="15" customHeight="1">
      <c r="B193" s="91" t="s">
        <v>93</v>
      </c>
      <c r="C193" s="43" t="s">
        <v>186</v>
      </c>
      <c r="D193" s="42">
        <v>2</v>
      </c>
      <c r="E193" s="41">
        <v>1.0283833813245579E-4</v>
      </c>
    </row>
    <row r="194" spans="2:5" ht="15" customHeight="1">
      <c r="B194" s="92"/>
      <c r="C194" s="43" t="s">
        <v>183</v>
      </c>
      <c r="D194" s="42">
        <v>2</v>
      </c>
      <c r="E194" s="41">
        <v>1.0283833813245579E-4</v>
      </c>
    </row>
    <row r="195" spans="2:5" ht="15" customHeight="1">
      <c r="B195" s="92"/>
      <c r="C195" s="43" t="s">
        <v>182</v>
      </c>
      <c r="D195" s="42">
        <v>1</v>
      </c>
      <c r="E195" s="41">
        <v>5.1419169066227893E-5</v>
      </c>
    </row>
    <row r="196" spans="2:5" ht="15" customHeight="1">
      <c r="B196" s="92"/>
      <c r="C196" s="43" t="s">
        <v>181</v>
      </c>
      <c r="D196" s="42">
        <v>1</v>
      </c>
      <c r="E196" s="41">
        <v>5.1419169066227893E-5</v>
      </c>
    </row>
    <row r="197" spans="2:5" ht="15" customHeight="1">
      <c r="B197" s="92"/>
      <c r="C197" s="43" t="s">
        <v>180</v>
      </c>
      <c r="D197" s="42">
        <v>6</v>
      </c>
      <c r="E197" s="41">
        <v>3.0851501439736734E-4</v>
      </c>
    </row>
    <row r="198" spans="2:5" ht="15" customHeight="1">
      <c r="B198" s="92"/>
      <c r="C198" s="43" t="s">
        <v>179</v>
      </c>
      <c r="D198" s="42">
        <v>4</v>
      </c>
      <c r="E198" s="41">
        <v>2.0567667626491157E-4</v>
      </c>
    </row>
    <row r="199" spans="2:5" ht="15" customHeight="1">
      <c r="B199" s="92"/>
      <c r="C199" s="43" t="s">
        <v>178</v>
      </c>
      <c r="D199" s="42">
        <v>1</v>
      </c>
      <c r="E199" s="41">
        <v>5.1419169066227893E-5</v>
      </c>
    </row>
    <row r="200" spans="2:5" ht="15" customHeight="1">
      <c r="B200" s="92"/>
      <c r="C200" s="43" t="s">
        <v>176</v>
      </c>
      <c r="D200" s="42">
        <v>6</v>
      </c>
      <c r="E200" s="41">
        <v>3.0851501439736734E-4</v>
      </c>
    </row>
    <row r="201" spans="2:5" ht="15" customHeight="1">
      <c r="B201" s="92"/>
      <c r="C201" s="43" t="s">
        <v>175</v>
      </c>
      <c r="D201" s="42">
        <v>14</v>
      </c>
      <c r="E201" s="41">
        <v>7.1986836692719048E-4</v>
      </c>
    </row>
    <row r="202" spans="2:5" ht="15" customHeight="1">
      <c r="B202" s="92"/>
      <c r="C202" s="43" t="s">
        <v>174</v>
      </c>
      <c r="D202" s="42">
        <v>2</v>
      </c>
      <c r="E202" s="41">
        <v>1.0283833813245579E-4</v>
      </c>
    </row>
    <row r="203" spans="2:5" ht="15" customHeight="1">
      <c r="B203" s="92"/>
      <c r="C203" s="43" t="s">
        <v>173</v>
      </c>
      <c r="D203" s="42">
        <v>9</v>
      </c>
      <c r="E203" s="41">
        <v>4.6277252159605099E-4</v>
      </c>
    </row>
    <row r="204" spans="2:5" ht="15" customHeight="1">
      <c r="B204" s="92"/>
      <c r="C204" s="43" t="s">
        <v>172</v>
      </c>
      <c r="D204" s="42">
        <v>11</v>
      </c>
      <c r="E204" s="41">
        <v>5.6561085972850684E-4</v>
      </c>
    </row>
    <row r="205" spans="2:5" ht="15" customHeight="1">
      <c r="B205" s="92"/>
      <c r="C205" s="43" t="s">
        <v>166</v>
      </c>
      <c r="D205" s="42">
        <v>1</v>
      </c>
      <c r="E205" s="41">
        <v>5.1419169066227893E-5</v>
      </c>
    </row>
    <row r="206" spans="2:5" ht="15" customHeight="1">
      <c r="B206" s="93"/>
      <c r="C206" s="40" t="s">
        <v>20</v>
      </c>
      <c r="D206" s="39">
        <v>60</v>
      </c>
      <c r="E206" s="38">
        <v>3.0851501439736733E-3</v>
      </c>
    </row>
    <row r="207" spans="2:5" ht="15" customHeight="1">
      <c r="B207" s="91" t="s">
        <v>109</v>
      </c>
      <c r="C207" s="43" t="s">
        <v>185</v>
      </c>
      <c r="D207" s="42">
        <v>2</v>
      </c>
      <c r="E207" s="41">
        <v>1.0283833813245579E-4</v>
      </c>
    </row>
    <row r="208" spans="2:5" ht="15" customHeight="1">
      <c r="B208" s="92"/>
      <c r="C208" s="43" t="s">
        <v>184</v>
      </c>
      <c r="D208" s="42">
        <v>1</v>
      </c>
      <c r="E208" s="41">
        <v>5.1419169066227893E-5</v>
      </c>
    </row>
    <row r="209" spans="2:5" ht="15" customHeight="1">
      <c r="B209" s="92"/>
      <c r="C209" s="43" t="s">
        <v>183</v>
      </c>
      <c r="D209" s="42">
        <v>3</v>
      </c>
      <c r="E209" s="41">
        <v>1.5425750719868367E-4</v>
      </c>
    </row>
    <row r="210" spans="2:5" ht="15" customHeight="1">
      <c r="B210" s="92"/>
      <c r="C210" s="43" t="s">
        <v>182</v>
      </c>
      <c r="D210" s="42">
        <v>1</v>
      </c>
      <c r="E210" s="41">
        <v>5.1419169066227893E-5</v>
      </c>
    </row>
    <row r="211" spans="2:5" ht="15" customHeight="1">
      <c r="B211" s="92"/>
      <c r="C211" s="43" t="s">
        <v>180</v>
      </c>
      <c r="D211" s="42">
        <v>8</v>
      </c>
      <c r="E211" s="41">
        <v>4.1135335252982314E-4</v>
      </c>
    </row>
    <row r="212" spans="2:5" ht="15" customHeight="1">
      <c r="B212" s="92"/>
      <c r="C212" s="43" t="s">
        <v>179</v>
      </c>
      <c r="D212" s="42">
        <v>6</v>
      </c>
      <c r="E212" s="41">
        <v>3.0851501439736734E-4</v>
      </c>
    </row>
    <row r="213" spans="2:5" ht="15" customHeight="1">
      <c r="B213" s="92"/>
      <c r="C213" s="43" t="s">
        <v>178</v>
      </c>
      <c r="D213" s="42">
        <v>1</v>
      </c>
      <c r="E213" s="41">
        <v>5.1419169066227893E-5</v>
      </c>
    </row>
    <row r="214" spans="2:5" ht="15" customHeight="1">
      <c r="B214" s="92"/>
      <c r="C214" s="43" t="s">
        <v>177</v>
      </c>
      <c r="D214" s="42">
        <v>2</v>
      </c>
      <c r="E214" s="41">
        <v>1.0283833813245579E-4</v>
      </c>
    </row>
    <row r="215" spans="2:5" ht="15" customHeight="1">
      <c r="B215" s="92"/>
      <c r="C215" s="43" t="s">
        <v>175</v>
      </c>
      <c r="D215" s="42">
        <v>11</v>
      </c>
      <c r="E215" s="41">
        <v>5.6561085972850684E-4</v>
      </c>
    </row>
    <row r="216" spans="2:5" ht="15" customHeight="1">
      <c r="B216" s="92"/>
      <c r="C216" s="43" t="s">
        <v>173</v>
      </c>
      <c r="D216" s="42">
        <v>4</v>
      </c>
      <c r="E216" s="41">
        <v>2.0567667626491157E-4</v>
      </c>
    </row>
    <row r="217" spans="2:5" ht="15" customHeight="1">
      <c r="B217" s="92"/>
      <c r="C217" s="43" t="s">
        <v>172</v>
      </c>
      <c r="D217" s="42">
        <v>7</v>
      </c>
      <c r="E217" s="41">
        <v>3.5993418346359524E-4</v>
      </c>
    </row>
    <row r="218" spans="2:5" ht="15" customHeight="1">
      <c r="B218" s="92"/>
      <c r="C218" s="43" t="s">
        <v>168</v>
      </c>
      <c r="D218" s="42">
        <v>1</v>
      </c>
      <c r="E218" s="41">
        <v>5.1419169066227893E-5</v>
      </c>
    </row>
    <row r="219" spans="2:5" ht="15" customHeight="1">
      <c r="B219" s="92"/>
      <c r="C219" s="43" t="s">
        <v>166</v>
      </c>
      <c r="D219" s="42">
        <v>4</v>
      </c>
      <c r="E219" s="41">
        <v>2.0567667626491157E-4</v>
      </c>
    </row>
    <row r="220" spans="2:5" ht="15" customHeight="1">
      <c r="B220" s="93"/>
      <c r="C220" s="40" t="s">
        <v>20</v>
      </c>
      <c r="D220" s="39">
        <v>51</v>
      </c>
      <c r="E220" s="38">
        <v>2.6223776223776225E-3</v>
      </c>
    </row>
    <row r="221" spans="2:5" ht="15" customHeight="1">
      <c r="B221" s="91" t="s">
        <v>113</v>
      </c>
      <c r="C221" s="43" t="s">
        <v>186</v>
      </c>
      <c r="D221" s="42">
        <v>28</v>
      </c>
      <c r="E221" s="41">
        <v>1.439736733854381E-3</v>
      </c>
    </row>
    <row r="222" spans="2:5" ht="15" customHeight="1">
      <c r="B222" s="92"/>
      <c r="C222" s="43" t="s">
        <v>185</v>
      </c>
      <c r="D222" s="42">
        <v>15</v>
      </c>
      <c r="E222" s="41">
        <v>7.7128753599341833E-4</v>
      </c>
    </row>
    <row r="223" spans="2:5" ht="15" customHeight="1">
      <c r="B223" s="92"/>
      <c r="C223" s="43" t="s">
        <v>184</v>
      </c>
      <c r="D223" s="42">
        <v>19</v>
      </c>
      <c r="E223" s="41">
        <v>9.7696421225832992E-4</v>
      </c>
    </row>
    <row r="224" spans="2:5" ht="15" customHeight="1">
      <c r="B224" s="92"/>
      <c r="C224" s="43" t="s">
        <v>183</v>
      </c>
      <c r="D224" s="42">
        <v>52</v>
      </c>
      <c r="E224" s="41">
        <v>2.6737967914438501E-3</v>
      </c>
    </row>
    <row r="225" spans="2:5" ht="15" customHeight="1">
      <c r="B225" s="92"/>
      <c r="C225" s="43" t="s">
        <v>182</v>
      </c>
      <c r="D225" s="42">
        <v>33</v>
      </c>
      <c r="E225" s="41">
        <v>1.6968325791855204E-3</v>
      </c>
    </row>
    <row r="226" spans="2:5" ht="15" customHeight="1">
      <c r="B226" s="92"/>
      <c r="C226" s="43" t="s">
        <v>181</v>
      </c>
      <c r="D226" s="42">
        <v>40</v>
      </c>
      <c r="E226" s="41">
        <v>2.0567667626491155E-3</v>
      </c>
    </row>
    <row r="227" spans="2:5" ht="15" customHeight="1">
      <c r="B227" s="92"/>
      <c r="C227" s="43" t="s">
        <v>180</v>
      </c>
      <c r="D227" s="42">
        <v>283</v>
      </c>
      <c r="E227" s="41">
        <v>1.4551624845742493E-2</v>
      </c>
    </row>
    <row r="228" spans="2:5" ht="15" customHeight="1">
      <c r="B228" s="92"/>
      <c r="C228" s="43" t="s">
        <v>179</v>
      </c>
      <c r="D228" s="42">
        <v>450</v>
      </c>
      <c r="E228" s="41">
        <v>2.3138626079802549E-2</v>
      </c>
    </row>
    <row r="229" spans="2:5" ht="15" customHeight="1">
      <c r="B229" s="92"/>
      <c r="C229" s="43" t="s">
        <v>178</v>
      </c>
      <c r="D229" s="42">
        <v>57</v>
      </c>
      <c r="E229" s="41">
        <v>2.9308926367749896E-3</v>
      </c>
    </row>
    <row r="230" spans="2:5" ht="15" customHeight="1">
      <c r="B230" s="92"/>
      <c r="C230" s="43" t="s">
        <v>177</v>
      </c>
      <c r="D230" s="42">
        <v>115</v>
      </c>
      <c r="E230" s="41">
        <v>5.9132044426162076E-3</v>
      </c>
    </row>
    <row r="231" spans="2:5" ht="15" customHeight="1">
      <c r="B231" s="92"/>
      <c r="C231" s="43" t="s">
        <v>176</v>
      </c>
      <c r="D231" s="42">
        <v>209</v>
      </c>
      <c r="E231" s="41">
        <v>1.0746606334841629E-2</v>
      </c>
    </row>
    <row r="232" spans="2:5" ht="15" customHeight="1">
      <c r="B232" s="92"/>
      <c r="C232" s="43" t="s">
        <v>175</v>
      </c>
      <c r="D232" s="42">
        <v>1352</v>
      </c>
      <c r="E232" s="41">
        <v>6.9518716577540107E-2</v>
      </c>
    </row>
    <row r="233" spans="2:5" ht="15" customHeight="1">
      <c r="B233" s="92"/>
      <c r="C233" s="43" t="s">
        <v>174</v>
      </c>
      <c r="D233" s="42">
        <v>94</v>
      </c>
      <c r="E233" s="41">
        <v>4.8334018922254213E-3</v>
      </c>
    </row>
    <row r="234" spans="2:5" ht="15" customHeight="1">
      <c r="B234" s="92"/>
      <c r="C234" s="43" t="s">
        <v>173</v>
      </c>
      <c r="D234" s="42">
        <v>448</v>
      </c>
      <c r="E234" s="41">
        <v>2.3035787741670095E-2</v>
      </c>
    </row>
    <row r="235" spans="2:5" ht="15" customHeight="1">
      <c r="B235" s="92"/>
      <c r="C235" s="43" t="s">
        <v>172</v>
      </c>
      <c r="D235" s="42">
        <v>1369</v>
      </c>
      <c r="E235" s="41">
        <v>7.039284245166598E-2</v>
      </c>
    </row>
    <row r="236" spans="2:5" ht="15" customHeight="1">
      <c r="B236" s="92"/>
      <c r="C236" s="43" t="s">
        <v>171</v>
      </c>
      <c r="D236" s="42">
        <v>21</v>
      </c>
      <c r="E236" s="41">
        <v>1.0798025503907856E-3</v>
      </c>
    </row>
    <row r="237" spans="2:5" ht="15" customHeight="1">
      <c r="B237" s="92"/>
      <c r="C237" s="43" t="s">
        <v>170</v>
      </c>
      <c r="D237" s="42">
        <v>15</v>
      </c>
      <c r="E237" s="41">
        <v>7.7128753599341833E-4</v>
      </c>
    </row>
    <row r="238" spans="2:5" ht="15" customHeight="1">
      <c r="B238" s="92"/>
      <c r="C238" s="43" t="s">
        <v>169</v>
      </c>
      <c r="D238" s="42">
        <v>9</v>
      </c>
      <c r="E238" s="41">
        <v>4.6277252159605099E-4</v>
      </c>
    </row>
    <row r="239" spans="2:5" ht="15" customHeight="1">
      <c r="B239" s="92"/>
      <c r="C239" s="43" t="s">
        <v>168</v>
      </c>
      <c r="D239" s="42">
        <v>6</v>
      </c>
      <c r="E239" s="41">
        <v>3.0851501439736734E-4</v>
      </c>
    </row>
    <row r="240" spans="2:5" ht="15" customHeight="1">
      <c r="B240" s="92"/>
      <c r="C240" s="43" t="s">
        <v>167</v>
      </c>
      <c r="D240" s="42">
        <v>101</v>
      </c>
      <c r="E240" s="41">
        <v>5.1933360756890165E-3</v>
      </c>
    </row>
    <row r="241" spans="2:5" ht="15" customHeight="1">
      <c r="B241" s="92"/>
      <c r="C241" s="43" t="s">
        <v>166</v>
      </c>
      <c r="D241" s="42">
        <v>285</v>
      </c>
      <c r="E241" s="41">
        <v>1.4654463183874948E-2</v>
      </c>
    </row>
    <row r="242" spans="2:5" ht="15" customHeight="1">
      <c r="B242" s="92"/>
      <c r="C242" s="43" t="s">
        <v>191</v>
      </c>
      <c r="D242" s="42">
        <v>6</v>
      </c>
      <c r="E242" s="41">
        <v>3.0851501439736734E-4</v>
      </c>
    </row>
    <row r="243" spans="2:5" ht="15" customHeight="1">
      <c r="B243" s="92"/>
      <c r="C243" s="43" t="s">
        <v>164</v>
      </c>
      <c r="D243" s="42">
        <v>6</v>
      </c>
      <c r="E243" s="41">
        <v>3.0851501439736734E-4</v>
      </c>
    </row>
    <row r="244" spans="2:5" ht="15" customHeight="1">
      <c r="B244" s="92"/>
      <c r="C244" s="43" t="s">
        <v>163</v>
      </c>
      <c r="D244" s="42">
        <v>3</v>
      </c>
      <c r="E244" s="41">
        <v>1.5425750719868367E-4</v>
      </c>
    </row>
    <row r="245" spans="2:5" ht="15" customHeight="1">
      <c r="B245" s="93"/>
      <c r="C245" s="40" t="s">
        <v>20</v>
      </c>
      <c r="D245" s="39">
        <v>5016</v>
      </c>
      <c r="E245" s="38">
        <v>0.25791855203619912</v>
      </c>
    </row>
    <row r="246" spans="2:5" ht="15" customHeight="1">
      <c r="B246" s="91" t="s">
        <v>194</v>
      </c>
      <c r="C246" s="43" t="s">
        <v>185</v>
      </c>
      <c r="D246" s="42">
        <v>2</v>
      </c>
      <c r="E246" s="41">
        <v>1.0283833813245579E-4</v>
      </c>
    </row>
    <row r="247" spans="2:5" ht="15" customHeight="1">
      <c r="B247" s="92"/>
      <c r="C247" s="43" t="s">
        <v>183</v>
      </c>
      <c r="D247" s="42">
        <v>4</v>
      </c>
      <c r="E247" s="41">
        <v>2.0567667626491157E-4</v>
      </c>
    </row>
    <row r="248" spans="2:5" ht="15" customHeight="1">
      <c r="B248" s="92"/>
      <c r="C248" s="43" t="s">
        <v>182</v>
      </c>
      <c r="D248" s="42">
        <v>3</v>
      </c>
      <c r="E248" s="41">
        <v>1.5425750719868367E-4</v>
      </c>
    </row>
    <row r="249" spans="2:5" ht="15" customHeight="1">
      <c r="B249" s="92"/>
      <c r="C249" s="43" t="s">
        <v>180</v>
      </c>
      <c r="D249" s="42">
        <v>11</v>
      </c>
      <c r="E249" s="41">
        <v>5.6561085972850684E-4</v>
      </c>
    </row>
    <row r="250" spans="2:5" ht="15" customHeight="1">
      <c r="B250" s="92"/>
      <c r="C250" s="43" t="s">
        <v>179</v>
      </c>
      <c r="D250" s="42">
        <v>17</v>
      </c>
      <c r="E250" s="41">
        <v>8.7412587412587413E-4</v>
      </c>
    </row>
    <row r="251" spans="2:5" ht="15" customHeight="1">
      <c r="B251" s="92"/>
      <c r="C251" s="43" t="s">
        <v>178</v>
      </c>
      <c r="D251" s="42">
        <v>2</v>
      </c>
      <c r="E251" s="41">
        <v>1.0283833813245579E-4</v>
      </c>
    </row>
    <row r="252" spans="2:5" ht="15" customHeight="1">
      <c r="B252" s="92"/>
      <c r="C252" s="43" t="s">
        <v>177</v>
      </c>
      <c r="D252" s="42">
        <v>2</v>
      </c>
      <c r="E252" s="41">
        <v>1.0283833813245579E-4</v>
      </c>
    </row>
    <row r="253" spans="2:5" ht="15" customHeight="1">
      <c r="B253" s="92"/>
      <c r="C253" s="43" t="s">
        <v>176</v>
      </c>
      <c r="D253" s="42">
        <v>4</v>
      </c>
      <c r="E253" s="41">
        <v>2.0567667626491157E-4</v>
      </c>
    </row>
    <row r="254" spans="2:5" ht="15" customHeight="1">
      <c r="B254" s="92"/>
      <c r="C254" s="43" t="s">
        <v>175</v>
      </c>
      <c r="D254" s="42">
        <v>54</v>
      </c>
      <c r="E254" s="41">
        <v>2.7766351295763062E-3</v>
      </c>
    </row>
    <row r="255" spans="2:5" ht="15" customHeight="1">
      <c r="B255" s="92"/>
      <c r="C255" s="43" t="s">
        <v>174</v>
      </c>
      <c r="D255" s="42">
        <v>13</v>
      </c>
      <c r="E255" s="41">
        <v>6.6844919786096253E-4</v>
      </c>
    </row>
    <row r="256" spans="2:5" ht="15" customHeight="1">
      <c r="B256" s="92"/>
      <c r="C256" s="43" t="s">
        <v>173</v>
      </c>
      <c r="D256" s="42">
        <v>17</v>
      </c>
      <c r="E256" s="41">
        <v>8.7412587412587413E-4</v>
      </c>
    </row>
    <row r="257" spans="2:5" ht="15" customHeight="1">
      <c r="B257" s="92"/>
      <c r="C257" s="43" t="s">
        <v>172</v>
      </c>
      <c r="D257" s="42">
        <v>41</v>
      </c>
      <c r="E257" s="41">
        <v>2.1081859317153436E-3</v>
      </c>
    </row>
    <row r="258" spans="2:5" ht="15" customHeight="1">
      <c r="B258" s="92"/>
      <c r="C258" s="43" t="s">
        <v>170</v>
      </c>
      <c r="D258" s="42">
        <v>1</v>
      </c>
      <c r="E258" s="41">
        <v>5.1419169066227893E-5</v>
      </c>
    </row>
    <row r="259" spans="2:5" ht="15" customHeight="1">
      <c r="B259" s="92"/>
      <c r="C259" s="43" t="s">
        <v>167</v>
      </c>
      <c r="D259" s="42">
        <v>7</v>
      </c>
      <c r="E259" s="41">
        <v>3.5993418346359524E-4</v>
      </c>
    </row>
    <row r="260" spans="2:5" ht="15" customHeight="1">
      <c r="B260" s="92"/>
      <c r="C260" s="43" t="s">
        <v>166</v>
      </c>
      <c r="D260" s="42">
        <v>11</v>
      </c>
      <c r="E260" s="41">
        <v>5.6561085972850684E-4</v>
      </c>
    </row>
    <row r="261" spans="2:5" ht="15" customHeight="1">
      <c r="B261" s="92"/>
      <c r="C261" s="43" t="s">
        <v>163</v>
      </c>
      <c r="D261" s="42">
        <v>1</v>
      </c>
      <c r="E261" s="41">
        <v>5.1419169066227893E-5</v>
      </c>
    </row>
    <row r="262" spans="2:5" ht="15" customHeight="1">
      <c r="B262" s="93"/>
      <c r="C262" s="40" t="s">
        <v>20</v>
      </c>
      <c r="D262" s="39">
        <v>190</v>
      </c>
      <c r="E262" s="38">
        <v>9.7696421225832997E-3</v>
      </c>
    </row>
    <row r="263" spans="2:5" ht="15" customHeight="1">
      <c r="B263" s="91" t="s">
        <v>92</v>
      </c>
      <c r="C263" s="43" t="s">
        <v>183</v>
      </c>
      <c r="D263" s="42">
        <v>1</v>
      </c>
      <c r="E263" s="41">
        <v>5.1419169066227893E-5</v>
      </c>
    </row>
    <row r="264" spans="2:5" ht="15" customHeight="1">
      <c r="B264" s="92"/>
      <c r="C264" s="43" t="s">
        <v>182</v>
      </c>
      <c r="D264" s="42">
        <v>1</v>
      </c>
      <c r="E264" s="41">
        <v>5.1419169066227893E-5</v>
      </c>
    </row>
    <row r="265" spans="2:5" ht="15" customHeight="1">
      <c r="B265" s="92"/>
      <c r="C265" s="43" t="s">
        <v>181</v>
      </c>
      <c r="D265" s="42">
        <v>1</v>
      </c>
      <c r="E265" s="41">
        <v>5.1419169066227893E-5</v>
      </c>
    </row>
    <row r="266" spans="2:5" ht="15" customHeight="1">
      <c r="B266" s="92"/>
      <c r="C266" s="43" t="s">
        <v>180</v>
      </c>
      <c r="D266" s="42">
        <v>6</v>
      </c>
      <c r="E266" s="41">
        <v>3.0851501439736734E-4</v>
      </c>
    </row>
    <row r="267" spans="2:5" ht="15" customHeight="1">
      <c r="B267" s="92"/>
      <c r="C267" s="43" t="s">
        <v>179</v>
      </c>
      <c r="D267" s="42">
        <v>4</v>
      </c>
      <c r="E267" s="41">
        <v>2.0567667626491157E-4</v>
      </c>
    </row>
    <row r="268" spans="2:5" ht="15" customHeight="1">
      <c r="B268" s="92"/>
      <c r="C268" s="43" t="s">
        <v>177</v>
      </c>
      <c r="D268" s="42">
        <v>2</v>
      </c>
      <c r="E268" s="41">
        <v>1.0283833813245579E-4</v>
      </c>
    </row>
    <row r="269" spans="2:5" ht="15" customHeight="1">
      <c r="B269" s="92"/>
      <c r="C269" s="43" t="s">
        <v>176</v>
      </c>
      <c r="D269" s="42">
        <v>10</v>
      </c>
      <c r="E269" s="41">
        <v>5.1419169066227888E-4</v>
      </c>
    </row>
    <row r="270" spans="2:5" ht="15" customHeight="1">
      <c r="B270" s="92"/>
      <c r="C270" s="43" t="s">
        <v>175</v>
      </c>
      <c r="D270" s="42">
        <v>19</v>
      </c>
      <c r="E270" s="41">
        <v>9.7696421225832992E-4</v>
      </c>
    </row>
    <row r="271" spans="2:5" ht="15" customHeight="1">
      <c r="B271" s="92"/>
      <c r="C271" s="43" t="s">
        <v>173</v>
      </c>
      <c r="D271" s="42">
        <v>14</v>
      </c>
      <c r="E271" s="41">
        <v>7.1986836692719048E-4</v>
      </c>
    </row>
    <row r="272" spans="2:5" ht="15" customHeight="1">
      <c r="B272" s="92"/>
      <c r="C272" s="43" t="s">
        <v>172</v>
      </c>
      <c r="D272" s="42">
        <v>23</v>
      </c>
      <c r="E272" s="41">
        <v>1.1826408885232415E-3</v>
      </c>
    </row>
    <row r="273" spans="2:5" ht="15" customHeight="1">
      <c r="B273" s="92"/>
      <c r="C273" s="43" t="s">
        <v>171</v>
      </c>
      <c r="D273" s="42">
        <v>1</v>
      </c>
      <c r="E273" s="41">
        <v>5.1419169066227893E-5</v>
      </c>
    </row>
    <row r="274" spans="2:5" ht="15" customHeight="1">
      <c r="B274" s="92"/>
      <c r="C274" s="43" t="s">
        <v>169</v>
      </c>
      <c r="D274" s="42">
        <v>1</v>
      </c>
      <c r="E274" s="41">
        <v>5.1419169066227893E-5</v>
      </c>
    </row>
    <row r="275" spans="2:5" ht="15" customHeight="1">
      <c r="B275" s="92"/>
      <c r="C275" s="43" t="s">
        <v>167</v>
      </c>
      <c r="D275" s="42">
        <v>2</v>
      </c>
      <c r="E275" s="41">
        <v>1.0283833813245579E-4</v>
      </c>
    </row>
    <row r="276" spans="2:5" ht="15" customHeight="1">
      <c r="B276" s="92"/>
      <c r="C276" s="43" t="s">
        <v>166</v>
      </c>
      <c r="D276" s="42">
        <v>9</v>
      </c>
      <c r="E276" s="41">
        <v>4.6277252159605099E-4</v>
      </c>
    </row>
    <row r="277" spans="2:5" ht="15" customHeight="1">
      <c r="B277" s="92"/>
      <c r="C277" s="43" t="s">
        <v>191</v>
      </c>
      <c r="D277" s="42">
        <v>2</v>
      </c>
      <c r="E277" s="41">
        <v>1.0283833813245579E-4</v>
      </c>
    </row>
    <row r="278" spans="2:5" ht="15" customHeight="1">
      <c r="B278" s="93"/>
      <c r="C278" s="40" t="s">
        <v>20</v>
      </c>
      <c r="D278" s="39">
        <v>96</v>
      </c>
      <c r="E278" s="38">
        <v>4.9362402303578775E-3</v>
      </c>
    </row>
    <row r="279" spans="2:5" ht="15" customHeight="1">
      <c r="B279" s="91" t="s">
        <v>76</v>
      </c>
      <c r="C279" s="43" t="s">
        <v>185</v>
      </c>
      <c r="D279" s="42">
        <v>1</v>
      </c>
      <c r="E279" s="41">
        <v>5.1419169066227893E-5</v>
      </c>
    </row>
    <row r="280" spans="2:5" ht="15" customHeight="1">
      <c r="B280" s="92"/>
      <c r="C280" s="43" t="s">
        <v>184</v>
      </c>
      <c r="D280" s="42">
        <v>3</v>
      </c>
      <c r="E280" s="41">
        <v>1.5425750719868367E-4</v>
      </c>
    </row>
    <row r="281" spans="2:5" ht="15" customHeight="1">
      <c r="B281" s="92"/>
      <c r="C281" s="43" t="s">
        <v>183</v>
      </c>
      <c r="D281" s="42">
        <v>6</v>
      </c>
      <c r="E281" s="41">
        <v>3.0851501439736734E-4</v>
      </c>
    </row>
    <row r="282" spans="2:5" ht="15" customHeight="1">
      <c r="B282" s="92"/>
      <c r="C282" s="43" t="s">
        <v>182</v>
      </c>
      <c r="D282" s="42">
        <v>7</v>
      </c>
      <c r="E282" s="41">
        <v>3.5993418346359524E-4</v>
      </c>
    </row>
    <row r="283" spans="2:5" ht="15" customHeight="1">
      <c r="B283" s="92"/>
      <c r="C283" s="43" t="s">
        <v>181</v>
      </c>
      <c r="D283" s="42">
        <v>18</v>
      </c>
      <c r="E283" s="41">
        <v>9.2554504319210197E-4</v>
      </c>
    </row>
    <row r="284" spans="2:5" ht="15" customHeight="1">
      <c r="B284" s="92"/>
      <c r="C284" s="43" t="s">
        <v>180</v>
      </c>
      <c r="D284" s="42">
        <v>75</v>
      </c>
      <c r="E284" s="41">
        <v>3.8564376799670916E-3</v>
      </c>
    </row>
    <row r="285" spans="2:5" ht="15" customHeight="1">
      <c r="B285" s="92"/>
      <c r="C285" s="43" t="s">
        <v>179</v>
      </c>
      <c r="D285" s="42">
        <v>49</v>
      </c>
      <c r="E285" s="41">
        <v>2.5195392842451668E-3</v>
      </c>
    </row>
    <row r="286" spans="2:5" ht="15" customHeight="1">
      <c r="B286" s="92"/>
      <c r="C286" s="43" t="s">
        <v>178</v>
      </c>
      <c r="D286" s="42">
        <v>19</v>
      </c>
      <c r="E286" s="41">
        <v>9.7696421225832992E-4</v>
      </c>
    </row>
    <row r="287" spans="2:5" ht="15" customHeight="1">
      <c r="B287" s="92"/>
      <c r="C287" s="43" t="s">
        <v>177</v>
      </c>
      <c r="D287" s="42">
        <v>18</v>
      </c>
      <c r="E287" s="41">
        <v>9.2554504319210197E-4</v>
      </c>
    </row>
    <row r="288" spans="2:5" ht="15" customHeight="1">
      <c r="B288" s="92"/>
      <c r="C288" s="43" t="s">
        <v>176</v>
      </c>
      <c r="D288" s="42">
        <v>56</v>
      </c>
      <c r="E288" s="41">
        <v>2.8794734677087619E-3</v>
      </c>
    </row>
    <row r="289" spans="2:5" ht="15" customHeight="1">
      <c r="B289" s="92"/>
      <c r="C289" s="43" t="s">
        <v>175</v>
      </c>
      <c r="D289" s="42">
        <v>165</v>
      </c>
      <c r="E289" s="41">
        <v>8.4841628959276012E-3</v>
      </c>
    </row>
    <row r="290" spans="2:5" ht="15" customHeight="1">
      <c r="B290" s="92"/>
      <c r="C290" s="43" t="s">
        <v>174</v>
      </c>
      <c r="D290" s="42">
        <v>27</v>
      </c>
      <c r="E290" s="41">
        <v>1.3883175647881531E-3</v>
      </c>
    </row>
    <row r="291" spans="2:5" ht="15" customHeight="1">
      <c r="B291" s="92"/>
      <c r="C291" s="43" t="s">
        <v>173</v>
      </c>
      <c r="D291" s="42">
        <v>87</v>
      </c>
      <c r="E291" s="41">
        <v>4.4734677087618262E-3</v>
      </c>
    </row>
    <row r="292" spans="2:5" ht="15" customHeight="1">
      <c r="B292" s="92"/>
      <c r="C292" s="43" t="s">
        <v>172</v>
      </c>
      <c r="D292" s="42">
        <v>230</v>
      </c>
      <c r="E292" s="41">
        <v>1.1826408885232415E-2</v>
      </c>
    </row>
    <row r="293" spans="2:5" ht="15" customHeight="1">
      <c r="B293" s="92"/>
      <c r="C293" s="43" t="s">
        <v>171</v>
      </c>
      <c r="D293" s="42">
        <v>5</v>
      </c>
      <c r="E293" s="41">
        <v>2.5709584533113944E-4</v>
      </c>
    </row>
    <row r="294" spans="2:5" ht="15" customHeight="1">
      <c r="B294" s="92"/>
      <c r="C294" s="43" t="s">
        <v>170</v>
      </c>
      <c r="D294" s="42">
        <v>3</v>
      </c>
      <c r="E294" s="41">
        <v>1.5425750719868367E-4</v>
      </c>
    </row>
    <row r="295" spans="2:5" ht="15" customHeight="1">
      <c r="B295" s="92"/>
      <c r="C295" s="43" t="s">
        <v>169</v>
      </c>
      <c r="D295" s="42">
        <v>3</v>
      </c>
      <c r="E295" s="41">
        <v>1.5425750719868367E-4</v>
      </c>
    </row>
    <row r="296" spans="2:5" ht="15" customHeight="1">
      <c r="B296" s="92"/>
      <c r="C296" s="43" t="s">
        <v>168</v>
      </c>
      <c r="D296" s="42">
        <v>4</v>
      </c>
      <c r="E296" s="41">
        <v>2.0567667626491157E-4</v>
      </c>
    </row>
    <row r="297" spans="2:5" ht="15" customHeight="1">
      <c r="B297" s="92"/>
      <c r="C297" s="43" t="s">
        <v>167</v>
      </c>
      <c r="D297" s="42">
        <v>43</v>
      </c>
      <c r="E297" s="41">
        <v>2.2110242698477993E-3</v>
      </c>
    </row>
    <row r="298" spans="2:5" ht="15" customHeight="1">
      <c r="B298" s="92"/>
      <c r="C298" s="43" t="s">
        <v>166</v>
      </c>
      <c r="D298" s="42">
        <v>84</v>
      </c>
      <c r="E298" s="41">
        <v>4.3192102015631425E-3</v>
      </c>
    </row>
    <row r="299" spans="2:5" ht="15" customHeight="1">
      <c r="B299" s="92"/>
      <c r="C299" s="43" t="s">
        <v>164</v>
      </c>
      <c r="D299" s="42">
        <v>3</v>
      </c>
      <c r="E299" s="41">
        <v>1.5425750719868367E-4</v>
      </c>
    </row>
    <row r="300" spans="2:5" ht="15" customHeight="1">
      <c r="B300" s="92"/>
      <c r="C300" s="43" t="s">
        <v>163</v>
      </c>
      <c r="D300" s="42">
        <v>1</v>
      </c>
      <c r="E300" s="41">
        <v>5.1419169066227893E-5</v>
      </c>
    </row>
    <row r="301" spans="2:5" ht="15" customHeight="1">
      <c r="B301" s="93"/>
      <c r="C301" s="40" t="s">
        <v>20</v>
      </c>
      <c r="D301" s="39">
        <v>907</v>
      </c>
      <c r="E301" s="38">
        <v>4.6637186343068696E-2</v>
      </c>
    </row>
    <row r="302" spans="2:5" ht="15" customHeight="1">
      <c r="B302" s="91" t="s">
        <v>99</v>
      </c>
      <c r="C302" s="43" t="s">
        <v>183</v>
      </c>
      <c r="D302" s="42">
        <v>1</v>
      </c>
      <c r="E302" s="41">
        <v>5.1419169066227893E-5</v>
      </c>
    </row>
    <row r="303" spans="2:5" ht="15" customHeight="1">
      <c r="B303" s="92"/>
      <c r="C303" s="43" t="s">
        <v>180</v>
      </c>
      <c r="D303" s="42">
        <v>3</v>
      </c>
      <c r="E303" s="41">
        <v>1.5425750719868367E-4</v>
      </c>
    </row>
    <row r="304" spans="2:5" ht="15" customHeight="1">
      <c r="B304" s="92"/>
      <c r="C304" s="43" t="s">
        <v>179</v>
      </c>
      <c r="D304" s="42">
        <v>2</v>
      </c>
      <c r="E304" s="41">
        <v>1.0283833813245579E-4</v>
      </c>
    </row>
    <row r="305" spans="2:5" ht="15" customHeight="1">
      <c r="B305" s="92"/>
      <c r="C305" s="43" t="s">
        <v>176</v>
      </c>
      <c r="D305" s="42">
        <v>4</v>
      </c>
      <c r="E305" s="41">
        <v>2.0567667626491157E-4</v>
      </c>
    </row>
    <row r="306" spans="2:5" ht="15" customHeight="1">
      <c r="B306" s="92"/>
      <c r="C306" s="43" t="s">
        <v>175</v>
      </c>
      <c r="D306" s="42">
        <v>12</v>
      </c>
      <c r="E306" s="41">
        <v>6.1703002879473468E-4</v>
      </c>
    </row>
    <row r="307" spans="2:5" ht="15" customHeight="1">
      <c r="B307" s="92"/>
      <c r="C307" s="43" t="s">
        <v>173</v>
      </c>
      <c r="D307" s="42">
        <v>2</v>
      </c>
      <c r="E307" s="41">
        <v>1.0283833813245579E-4</v>
      </c>
    </row>
    <row r="308" spans="2:5" ht="15" customHeight="1">
      <c r="B308" s="92"/>
      <c r="C308" s="43" t="s">
        <v>172</v>
      </c>
      <c r="D308" s="42">
        <v>15</v>
      </c>
      <c r="E308" s="41">
        <v>7.7128753599341833E-4</v>
      </c>
    </row>
    <row r="309" spans="2:5" ht="15" customHeight="1">
      <c r="B309" s="92"/>
      <c r="C309" s="43" t="s">
        <v>167</v>
      </c>
      <c r="D309" s="42">
        <v>2</v>
      </c>
      <c r="E309" s="41">
        <v>1.0283833813245579E-4</v>
      </c>
    </row>
    <row r="310" spans="2:5" ht="15" customHeight="1">
      <c r="B310" s="92"/>
      <c r="C310" s="43" t="s">
        <v>166</v>
      </c>
      <c r="D310" s="42">
        <v>4</v>
      </c>
      <c r="E310" s="41">
        <v>2.0567667626491157E-4</v>
      </c>
    </row>
    <row r="311" spans="2:5" ht="15" customHeight="1">
      <c r="B311" s="92"/>
      <c r="C311" s="43" t="s">
        <v>164</v>
      </c>
      <c r="D311" s="42">
        <v>2</v>
      </c>
      <c r="E311" s="41">
        <v>1.0283833813245579E-4</v>
      </c>
    </row>
    <row r="312" spans="2:5" ht="15" customHeight="1">
      <c r="B312" s="93"/>
      <c r="C312" s="40" t="s">
        <v>20</v>
      </c>
      <c r="D312" s="39">
        <v>47</v>
      </c>
      <c r="E312" s="38">
        <v>2.4167009461127107E-3</v>
      </c>
    </row>
    <row r="313" spans="2:5" ht="15" customHeight="1">
      <c r="B313" s="91" t="s">
        <v>103</v>
      </c>
      <c r="C313" s="43" t="s">
        <v>186</v>
      </c>
      <c r="D313" s="42">
        <v>2</v>
      </c>
      <c r="E313" s="41">
        <v>1.0283833813245579E-4</v>
      </c>
    </row>
    <row r="314" spans="2:5" ht="15" customHeight="1">
      <c r="B314" s="92"/>
      <c r="C314" s="43" t="s">
        <v>185</v>
      </c>
      <c r="D314" s="42">
        <v>1</v>
      </c>
      <c r="E314" s="41">
        <v>5.1419169066227893E-5</v>
      </c>
    </row>
    <row r="315" spans="2:5" ht="15" customHeight="1">
      <c r="B315" s="92"/>
      <c r="C315" s="43" t="s">
        <v>184</v>
      </c>
      <c r="D315" s="42">
        <v>1</v>
      </c>
      <c r="E315" s="41">
        <v>5.1419169066227893E-5</v>
      </c>
    </row>
    <row r="316" spans="2:5" ht="15" customHeight="1">
      <c r="B316" s="92"/>
      <c r="C316" s="43" t="s">
        <v>183</v>
      </c>
      <c r="D316" s="42">
        <v>3</v>
      </c>
      <c r="E316" s="41">
        <v>1.5425750719868367E-4</v>
      </c>
    </row>
    <row r="317" spans="2:5" ht="15" customHeight="1">
      <c r="B317" s="92"/>
      <c r="C317" s="43" t="s">
        <v>182</v>
      </c>
      <c r="D317" s="42">
        <v>3</v>
      </c>
      <c r="E317" s="41">
        <v>1.5425750719868367E-4</v>
      </c>
    </row>
    <row r="318" spans="2:5" ht="15" customHeight="1">
      <c r="B318" s="92"/>
      <c r="C318" s="43" t="s">
        <v>181</v>
      </c>
      <c r="D318" s="42">
        <v>5</v>
      </c>
      <c r="E318" s="41">
        <v>2.5709584533113944E-4</v>
      </c>
    </row>
    <row r="319" spans="2:5" ht="15" customHeight="1">
      <c r="B319" s="92"/>
      <c r="C319" s="43" t="s">
        <v>180</v>
      </c>
      <c r="D319" s="42">
        <v>10</v>
      </c>
      <c r="E319" s="41">
        <v>5.1419169066227888E-4</v>
      </c>
    </row>
    <row r="320" spans="2:5" ht="15" customHeight="1">
      <c r="B320" s="92"/>
      <c r="C320" s="43" t="s">
        <v>179</v>
      </c>
      <c r="D320" s="42">
        <v>33</v>
      </c>
      <c r="E320" s="41">
        <v>1.6968325791855204E-3</v>
      </c>
    </row>
    <row r="321" spans="2:5" ht="15" customHeight="1">
      <c r="B321" s="92"/>
      <c r="C321" s="43" t="s">
        <v>178</v>
      </c>
      <c r="D321" s="42">
        <v>2</v>
      </c>
      <c r="E321" s="41">
        <v>1.0283833813245579E-4</v>
      </c>
    </row>
    <row r="322" spans="2:5" ht="15" customHeight="1">
      <c r="B322" s="92"/>
      <c r="C322" s="43" t="s">
        <v>177</v>
      </c>
      <c r="D322" s="42">
        <v>13</v>
      </c>
      <c r="E322" s="41">
        <v>6.6844919786096253E-4</v>
      </c>
    </row>
    <row r="323" spans="2:5" ht="15" customHeight="1">
      <c r="B323" s="92"/>
      <c r="C323" s="43" t="s">
        <v>176</v>
      </c>
      <c r="D323" s="42">
        <v>14</v>
      </c>
      <c r="E323" s="41">
        <v>7.1986836692719048E-4</v>
      </c>
    </row>
    <row r="324" spans="2:5" ht="15" customHeight="1">
      <c r="B324" s="92"/>
      <c r="C324" s="43" t="s">
        <v>175</v>
      </c>
      <c r="D324" s="42">
        <v>131</v>
      </c>
      <c r="E324" s="41">
        <v>6.7359111476758531E-3</v>
      </c>
    </row>
    <row r="325" spans="2:5" ht="15" customHeight="1">
      <c r="B325" s="92"/>
      <c r="C325" s="43" t="s">
        <v>174</v>
      </c>
      <c r="D325" s="42">
        <v>6</v>
      </c>
      <c r="E325" s="41">
        <v>3.0851501439736734E-4</v>
      </c>
    </row>
    <row r="326" spans="2:5" ht="15" customHeight="1">
      <c r="B326" s="92"/>
      <c r="C326" s="43" t="s">
        <v>173</v>
      </c>
      <c r="D326" s="42">
        <v>29</v>
      </c>
      <c r="E326" s="41">
        <v>1.4911559029206088E-3</v>
      </c>
    </row>
    <row r="327" spans="2:5" ht="15" customHeight="1">
      <c r="B327" s="92"/>
      <c r="C327" s="43" t="s">
        <v>172</v>
      </c>
      <c r="D327" s="42">
        <v>118</v>
      </c>
      <c r="E327" s="41">
        <v>6.0674619498148914E-3</v>
      </c>
    </row>
    <row r="328" spans="2:5" ht="15" customHeight="1">
      <c r="B328" s="92"/>
      <c r="C328" s="43" t="s">
        <v>171</v>
      </c>
      <c r="D328" s="42">
        <v>1</v>
      </c>
      <c r="E328" s="41">
        <v>5.1419169066227893E-5</v>
      </c>
    </row>
    <row r="329" spans="2:5" ht="15" customHeight="1">
      <c r="B329" s="92"/>
      <c r="C329" s="43" t="s">
        <v>169</v>
      </c>
      <c r="D329" s="42">
        <v>2</v>
      </c>
      <c r="E329" s="41">
        <v>1.0283833813245579E-4</v>
      </c>
    </row>
    <row r="330" spans="2:5" ht="15" customHeight="1">
      <c r="B330" s="92"/>
      <c r="C330" s="43" t="s">
        <v>167</v>
      </c>
      <c r="D330" s="42">
        <v>14</v>
      </c>
      <c r="E330" s="41">
        <v>7.1986836692719048E-4</v>
      </c>
    </row>
    <row r="331" spans="2:5" ht="15" customHeight="1">
      <c r="B331" s="92"/>
      <c r="C331" s="43" t="s">
        <v>166</v>
      </c>
      <c r="D331" s="42">
        <v>22</v>
      </c>
      <c r="E331" s="41">
        <v>1.1312217194570137E-3</v>
      </c>
    </row>
    <row r="332" spans="2:5" ht="15" customHeight="1">
      <c r="B332" s="92"/>
      <c r="C332" s="43" t="s">
        <v>164</v>
      </c>
      <c r="D332" s="42">
        <v>2</v>
      </c>
      <c r="E332" s="41">
        <v>1.0283833813245579E-4</v>
      </c>
    </row>
    <row r="333" spans="2:5" ht="15" customHeight="1">
      <c r="B333" s="93"/>
      <c r="C333" s="40" t="s">
        <v>20</v>
      </c>
      <c r="D333" s="39">
        <v>412</v>
      </c>
      <c r="E333" s="38">
        <v>2.118469765528589E-2</v>
      </c>
    </row>
    <row r="334" spans="2:5" ht="15" customHeight="1">
      <c r="B334" s="91" t="s">
        <v>193</v>
      </c>
      <c r="C334" s="43" t="s">
        <v>186</v>
      </c>
      <c r="D334" s="42">
        <v>1</v>
      </c>
      <c r="E334" s="41">
        <v>5.1419169066227893E-5</v>
      </c>
    </row>
    <row r="335" spans="2:5" ht="15" customHeight="1">
      <c r="B335" s="92"/>
      <c r="C335" s="43" t="s">
        <v>184</v>
      </c>
      <c r="D335" s="42">
        <v>2</v>
      </c>
      <c r="E335" s="41">
        <v>1.0283833813245579E-4</v>
      </c>
    </row>
    <row r="336" spans="2:5" ht="15" customHeight="1">
      <c r="B336" s="92"/>
      <c r="C336" s="43" t="s">
        <v>183</v>
      </c>
      <c r="D336" s="42">
        <v>1</v>
      </c>
      <c r="E336" s="41">
        <v>5.1419169066227893E-5</v>
      </c>
    </row>
    <row r="337" spans="2:5" ht="15" customHeight="1">
      <c r="B337" s="92"/>
      <c r="C337" s="43" t="s">
        <v>181</v>
      </c>
      <c r="D337" s="42">
        <v>1</v>
      </c>
      <c r="E337" s="41">
        <v>5.1419169066227893E-5</v>
      </c>
    </row>
    <row r="338" spans="2:5" ht="15" customHeight="1">
      <c r="B338" s="92"/>
      <c r="C338" s="43" t="s">
        <v>180</v>
      </c>
      <c r="D338" s="42">
        <v>2</v>
      </c>
      <c r="E338" s="41">
        <v>1.0283833813245579E-4</v>
      </c>
    </row>
    <row r="339" spans="2:5" ht="15" customHeight="1">
      <c r="B339" s="92"/>
      <c r="C339" s="43" t="s">
        <v>179</v>
      </c>
      <c r="D339" s="42">
        <v>11</v>
      </c>
      <c r="E339" s="41">
        <v>5.6561085972850684E-4</v>
      </c>
    </row>
    <row r="340" spans="2:5" ht="15" customHeight="1">
      <c r="B340" s="92"/>
      <c r="C340" s="43" t="s">
        <v>178</v>
      </c>
      <c r="D340" s="42">
        <v>2</v>
      </c>
      <c r="E340" s="41">
        <v>1.0283833813245579E-4</v>
      </c>
    </row>
    <row r="341" spans="2:5" ht="15" customHeight="1">
      <c r="B341" s="92"/>
      <c r="C341" s="43" t="s">
        <v>177</v>
      </c>
      <c r="D341" s="42">
        <v>2</v>
      </c>
      <c r="E341" s="41">
        <v>1.0283833813245579E-4</v>
      </c>
    </row>
    <row r="342" spans="2:5" ht="15" customHeight="1">
      <c r="B342" s="92"/>
      <c r="C342" s="43" t="s">
        <v>176</v>
      </c>
      <c r="D342" s="42">
        <v>5</v>
      </c>
      <c r="E342" s="41">
        <v>2.5709584533113944E-4</v>
      </c>
    </row>
    <row r="343" spans="2:5" ht="15" customHeight="1">
      <c r="B343" s="92"/>
      <c r="C343" s="43" t="s">
        <v>175</v>
      </c>
      <c r="D343" s="42">
        <v>22</v>
      </c>
      <c r="E343" s="41">
        <v>1.1312217194570137E-3</v>
      </c>
    </row>
    <row r="344" spans="2:5" ht="15" customHeight="1">
      <c r="B344" s="92"/>
      <c r="C344" s="43" t="s">
        <v>173</v>
      </c>
      <c r="D344" s="42">
        <v>7</v>
      </c>
      <c r="E344" s="41">
        <v>3.5993418346359524E-4</v>
      </c>
    </row>
    <row r="345" spans="2:5" ht="15" customHeight="1">
      <c r="B345" s="92"/>
      <c r="C345" s="43" t="s">
        <v>172</v>
      </c>
      <c r="D345" s="42">
        <v>27</v>
      </c>
      <c r="E345" s="41">
        <v>1.3883175647881531E-3</v>
      </c>
    </row>
    <row r="346" spans="2:5" ht="15" customHeight="1">
      <c r="B346" s="92"/>
      <c r="C346" s="43" t="s">
        <v>171</v>
      </c>
      <c r="D346" s="42">
        <v>1</v>
      </c>
      <c r="E346" s="41">
        <v>5.1419169066227893E-5</v>
      </c>
    </row>
    <row r="347" spans="2:5" ht="15" customHeight="1">
      <c r="B347" s="92"/>
      <c r="C347" s="43" t="s">
        <v>170</v>
      </c>
      <c r="D347" s="42">
        <v>1</v>
      </c>
      <c r="E347" s="41">
        <v>5.1419169066227893E-5</v>
      </c>
    </row>
    <row r="348" spans="2:5" ht="15" customHeight="1">
      <c r="B348" s="92"/>
      <c r="C348" s="43" t="s">
        <v>167</v>
      </c>
      <c r="D348" s="42">
        <v>6</v>
      </c>
      <c r="E348" s="41">
        <v>3.0851501439736734E-4</v>
      </c>
    </row>
    <row r="349" spans="2:5" ht="15" customHeight="1">
      <c r="B349" s="92"/>
      <c r="C349" s="43" t="s">
        <v>166</v>
      </c>
      <c r="D349" s="42">
        <v>6</v>
      </c>
      <c r="E349" s="41">
        <v>3.0851501439736734E-4</v>
      </c>
    </row>
    <row r="350" spans="2:5" ht="15" customHeight="1">
      <c r="B350" s="92"/>
      <c r="C350" s="43" t="s">
        <v>164</v>
      </c>
      <c r="D350" s="42">
        <v>1</v>
      </c>
      <c r="E350" s="41">
        <v>5.1419169066227893E-5</v>
      </c>
    </row>
    <row r="351" spans="2:5" ht="15" customHeight="1">
      <c r="B351" s="92"/>
      <c r="C351" s="43" t="s">
        <v>163</v>
      </c>
      <c r="D351" s="42">
        <v>1</v>
      </c>
      <c r="E351" s="41">
        <v>5.1419169066227893E-5</v>
      </c>
    </row>
    <row r="352" spans="2:5" ht="15" customHeight="1">
      <c r="B352" s="93"/>
      <c r="C352" s="40" t="s">
        <v>20</v>
      </c>
      <c r="D352" s="39">
        <v>99</v>
      </c>
      <c r="E352" s="38">
        <v>5.0904977375565612E-3</v>
      </c>
    </row>
    <row r="353" spans="2:5" ht="15" customHeight="1">
      <c r="B353" s="91" t="s">
        <v>192</v>
      </c>
      <c r="C353" s="43" t="s">
        <v>186</v>
      </c>
      <c r="D353" s="42">
        <v>23</v>
      </c>
      <c r="E353" s="41">
        <v>1.1826408885232415E-3</v>
      </c>
    </row>
    <row r="354" spans="2:5" ht="15" customHeight="1">
      <c r="B354" s="92"/>
      <c r="C354" s="43" t="s">
        <v>185</v>
      </c>
      <c r="D354" s="42">
        <v>12</v>
      </c>
      <c r="E354" s="41">
        <v>6.1703002879473468E-4</v>
      </c>
    </row>
    <row r="355" spans="2:5" ht="15" customHeight="1">
      <c r="B355" s="92"/>
      <c r="C355" s="43" t="s">
        <v>184</v>
      </c>
      <c r="D355" s="42">
        <v>26</v>
      </c>
      <c r="E355" s="41">
        <v>1.3368983957219251E-3</v>
      </c>
    </row>
    <row r="356" spans="2:5" ht="15" customHeight="1">
      <c r="B356" s="92"/>
      <c r="C356" s="43" t="s">
        <v>183</v>
      </c>
      <c r="D356" s="42">
        <v>46</v>
      </c>
      <c r="E356" s="41">
        <v>2.365281777046483E-3</v>
      </c>
    </row>
    <row r="357" spans="2:5" ht="15" customHeight="1">
      <c r="B357" s="92"/>
      <c r="C357" s="43" t="s">
        <v>182</v>
      </c>
      <c r="D357" s="42">
        <v>43</v>
      </c>
      <c r="E357" s="41">
        <v>2.2110242698477993E-3</v>
      </c>
    </row>
    <row r="358" spans="2:5" ht="15" customHeight="1">
      <c r="B358" s="92"/>
      <c r="C358" s="43" t="s">
        <v>181</v>
      </c>
      <c r="D358" s="42">
        <v>54</v>
      </c>
      <c r="E358" s="41">
        <v>2.7766351295763062E-3</v>
      </c>
    </row>
    <row r="359" spans="2:5" ht="15" customHeight="1">
      <c r="B359" s="92"/>
      <c r="C359" s="43" t="s">
        <v>180</v>
      </c>
      <c r="D359" s="42">
        <v>322</v>
      </c>
      <c r="E359" s="41">
        <v>1.6556972439325381E-2</v>
      </c>
    </row>
    <row r="360" spans="2:5" ht="15" customHeight="1">
      <c r="B360" s="92"/>
      <c r="C360" s="43" t="s">
        <v>179</v>
      </c>
      <c r="D360" s="42">
        <v>280</v>
      </c>
      <c r="E360" s="41">
        <v>1.4397367338543809E-2</v>
      </c>
    </row>
    <row r="361" spans="2:5" ht="15" customHeight="1">
      <c r="B361" s="92"/>
      <c r="C361" s="43" t="s">
        <v>178</v>
      </c>
      <c r="D361" s="42">
        <v>61</v>
      </c>
      <c r="E361" s="41">
        <v>3.1365693130399014E-3</v>
      </c>
    </row>
    <row r="362" spans="2:5" ht="15" customHeight="1">
      <c r="B362" s="92"/>
      <c r="C362" s="43" t="s">
        <v>177</v>
      </c>
      <c r="D362" s="42">
        <v>114</v>
      </c>
      <c r="E362" s="41">
        <v>5.8617852735499791E-3</v>
      </c>
    </row>
    <row r="363" spans="2:5" ht="15" customHeight="1">
      <c r="B363" s="92"/>
      <c r="C363" s="43" t="s">
        <v>176</v>
      </c>
      <c r="D363" s="42">
        <v>233</v>
      </c>
      <c r="E363" s="41">
        <v>1.1980666392431099E-2</v>
      </c>
    </row>
    <row r="364" spans="2:5" ht="15" customHeight="1">
      <c r="B364" s="92"/>
      <c r="C364" s="43" t="s">
        <v>175</v>
      </c>
      <c r="D364" s="42">
        <v>798</v>
      </c>
      <c r="E364" s="41">
        <v>4.1032496914849857E-2</v>
      </c>
    </row>
    <row r="365" spans="2:5" ht="15" customHeight="1">
      <c r="B365" s="92"/>
      <c r="C365" s="43" t="s">
        <v>174</v>
      </c>
      <c r="D365" s="42">
        <v>94</v>
      </c>
      <c r="E365" s="41">
        <v>4.8334018922254213E-3</v>
      </c>
    </row>
    <row r="366" spans="2:5" ht="15" customHeight="1">
      <c r="B366" s="92"/>
      <c r="C366" s="43" t="s">
        <v>173</v>
      </c>
      <c r="D366" s="42">
        <v>257</v>
      </c>
      <c r="E366" s="41">
        <v>1.3214726450020567E-2</v>
      </c>
    </row>
    <row r="367" spans="2:5" ht="15" customHeight="1">
      <c r="B367" s="92"/>
      <c r="C367" s="43" t="s">
        <v>172</v>
      </c>
      <c r="D367" s="42">
        <v>925</v>
      </c>
      <c r="E367" s="41">
        <v>4.7562731386260798E-2</v>
      </c>
    </row>
    <row r="368" spans="2:5" ht="15" customHeight="1">
      <c r="B368" s="92"/>
      <c r="C368" s="43" t="s">
        <v>171</v>
      </c>
      <c r="D368" s="42">
        <v>26</v>
      </c>
      <c r="E368" s="41">
        <v>1.3368983957219251E-3</v>
      </c>
    </row>
    <row r="369" spans="2:5" ht="15" customHeight="1">
      <c r="B369" s="92"/>
      <c r="C369" s="43" t="s">
        <v>170</v>
      </c>
      <c r="D369" s="42">
        <v>12</v>
      </c>
      <c r="E369" s="41">
        <v>6.1703002879473468E-4</v>
      </c>
    </row>
    <row r="370" spans="2:5" ht="15" customHeight="1">
      <c r="B370" s="92"/>
      <c r="C370" s="43" t="s">
        <v>169</v>
      </c>
      <c r="D370" s="42">
        <v>13</v>
      </c>
      <c r="E370" s="41">
        <v>6.6844919786096253E-4</v>
      </c>
    </row>
    <row r="371" spans="2:5" ht="15" customHeight="1">
      <c r="B371" s="92"/>
      <c r="C371" s="43" t="s">
        <v>168</v>
      </c>
      <c r="D371" s="42">
        <v>6</v>
      </c>
      <c r="E371" s="41">
        <v>3.0851501439736734E-4</v>
      </c>
    </row>
    <row r="372" spans="2:5" ht="15" customHeight="1">
      <c r="B372" s="92"/>
      <c r="C372" s="43" t="s">
        <v>167</v>
      </c>
      <c r="D372" s="42">
        <v>94</v>
      </c>
      <c r="E372" s="41">
        <v>4.8334018922254213E-3</v>
      </c>
    </row>
    <row r="373" spans="2:5" ht="15" customHeight="1">
      <c r="B373" s="92"/>
      <c r="C373" s="43" t="s">
        <v>166</v>
      </c>
      <c r="D373" s="42">
        <v>216</v>
      </c>
      <c r="E373" s="41">
        <v>1.1106540518305225E-2</v>
      </c>
    </row>
    <row r="374" spans="2:5" ht="15" customHeight="1">
      <c r="B374" s="92"/>
      <c r="C374" s="43" t="s">
        <v>191</v>
      </c>
      <c r="D374" s="42">
        <v>1</v>
      </c>
      <c r="E374" s="41">
        <v>5.1419169066227893E-5</v>
      </c>
    </row>
    <row r="375" spans="2:5" ht="15" customHeight="1">
      <c r="B375" s="92"/>
      <c r="C375" s="43" t="s">
        <v>164</v>
      </c>
      <c r="D375" s="42">
        <v>17</v>
      </c>
      <c r="E375" s="41">
        <v>8.7412587412587413E-4</v>
      </c>
    </row>
    <row r="376" spans="2:5" ht="15" customHeight="1">
      <c r="B376" s="92"/>
      <c r="C376" s="43" t="s">
        <v>163</v>
      </c>
      <c r="D376" s="42">
        <v>3</v>
      </c>
      <c r="E376" s="41">
        <v>1.5425750719868367E-4</v>
      </c>
    </row>
    <row r="377" spans="2:5" ht="15" customHeight="1">
      <c r="B377" s="93"/>
      <c r="C377" s="40" t="s">
        <v>20</v>
      </c>
      <c r="D377" s="39">
        <v>3676</v>
      </c>
      <c r="E377" s="38">
        <v>0.18901686548745372</v>
      </c>
    </row>
    <row r="378" spans="2:5" ht="15" customHeight="1">
      <c r="B378" s="91" t="s">
        <v>89</v>
      </c>
      <c r="C378" s="43" t="s">
        <v>186</v>
      </c>
      <c r="D378" s="42">
        <v>2</v>
      </c>
      <c r="E378" s="41">
        <v>1.0283833813245579E-4</v>
      </c>
    </row>
    <row r="379" spans="2:5" ht="15" customHeight="1">
      <c r="B379" s="92"/>
      <c r="C379" s="43" t="s">
        <v>184</v>
      </c>
      <c r="D379" s="42">
        <v>1</v>
      </c>
      <c r="E379" s="41">
        <v>5.1419169066227893E-5</v>
      </c>
    </row>
    <row r="380" spans="2:5" ht="15" customHeight="1">
      <c r="B380" s="92"/>
      <c r="C380" s="43" t="s">
        <v>183</v>
      </c>
      <c r="D380" s="42">
        <v>2</v>
      </c>
      <c r="E380" s="41">
        <v>1.0283833813245579E-4</v>
      </c>
    </row>
    <row r="381" spans="2:5" ht="15" customHeight="1">
      <c r="B381" s="92"/>
      <c r="C381" s="43" t="s">
        <v>181</v>
      </c>
      <c r="D381" s="42">
        <v>4</v>
      </c>
      <c r="E381" s="41">
        <v>2.0567667626491157E-4</v>
      </c>
    </row>
    <row r="382" spans="2:5" ht="15" customHeight="1">
      <c r="B382" s="92"/>
      <c r="C382" s="43" t="s">
        <v>180</v>
      </c>
      <c r="D382" s="42">
        <v>17</v>
      </c>
      <c r="E382" s="41">
        <v>8.7412587412587413E-4</v>
      </c>
    </row>
    <row r="383" spans="2:5" ht="15" customHeight="1">
      <c r="B383" s="92"/>
      <c r="C383" s="43" t="s">
        <v>179</v>
      </c>
      <c r="D383" s="42">
        <v>15</v>
      </c>
      <c r="E383" s="41">
        <v>7.7128753599341833E-4</v>
      </c>
    </row>
    <row r="384" spans="2:5" ht="15" customHeight="1">
      <c r="B384" s="92"/>
      <c r="C384" s="43" t="s">
        <v>178</v>
      </c>
      <c r="D384" s="42">
        <v>2</v>
      </c>
      <c r="E384" s="41">
        <v>1.0283833813245579E-4</v>
      </c>
    </row>
    <row r="385" spans="2:5" ht="15" customHeight="1">
      <c r="B385" s="92"/>
      <c r="C385" s="43" t="s">
        <v>177</v>
      </c>
      <c r="D385" s="42">
        <v>9</v>
      </c>
      <c r="E385" s="41">
        <v>4.6277252159605099E-4</v>
      </c>
    </row>
    <row r="386" spans="2:5" ht="15" customHeight="1">
      <c r="B386" s="92"/>
      <c r="C386" s="43" t="s">
        <v>176</v>
      </c>
      <c r="D386" s="42">
        <v>10</v>
      </c>
      <c r="E386" s="41">
        <v>5.1419169066227888E-4</v>
      </c>
    </row>
    <row r="387" spans="2:5" ht="15" customHeight="1">
      <c r="B387" s="92"/>
      <c r="C387" s="43" t="s">
        <v>175</v>
      </c>
      <c r="D387" s="42">
        <v>66</v>
      </c>
      <c r="E387" s="41">
        <v>3.3936651583710408E-3</v>
      </c>
    </row>
    <row r="388" spans="2:5" ht="15" customHeight="1">
      <c r="B388" s="92"/>
      <c r="C388" s="43" t="s">
        <v>174</v>
      </c>
      <c r="D388" s="42">
        <v>4</v>
      </c>
      <c r="E388" s="41">
        <v>2.0567667626491157E-4</v>
      </c>
    </row>
    <row r="389" spans="2:5" ht="15" customHeight="1">
      <c r="B389" s="92"/>
      <c r="C389" s="43" t="s">
        <v>173</v>
      </c>
      <c r="D389" s="42">
        <v>17</v>
      </c>
      <c r="E389" s="41">
        <v>8.7412587412587413E-4</v>
      </c>
    </row>
    <row r="390" spans="2:5" ht="15" customHeight="1">
      <c r="B390" s="92"/>
      <c r="C390" s="43" t="s">
        <v>172</v>
      </c>
      <c r="D390" s="42">
        <v>47</v>
      </c>
      <c r="E390" s="41">
        <v>2.4167009461127107E-3</v>
      </c>
    </row>
    <row r="391" spans="2:5" ht="15" customHeight="1">
      <c r="B391" s="92"/>
      <c r="C391" s="43" t="s">
        <v>171</v>
      </c>
      <c r="D391" s="42">
        <v>2</v>
      </c>
      <c r="E391" s="41">
        <v>1.0283833813245579E-4</v>
      </c>
    </row>
    <row r="392" spans="2:5" ht="15" customHeight="1">
      <c r="B392" s="92"/>
      <c r="C392" s="43" t="s">
        <v>169</v>
      </c>
      <c r="D392" s="42">
        <v>1</v>
      </c>
      <c r="E392" s="41">
        <v>5.1419169066227893E-5</v>
      </c>
    </row>
    <row r="393" spans="2:5" ht="15" customHeight="1">
      <c r="B393" s="92"/>
      <c r="C393" s="43" t="s">
        <v>167</v>
      </c>
      <c r="D393" s="42">
        <v>5</v>
      </c>
      <c r="E393" s="41">
        <v>2.5709584533113944E-4</v>
      </c>
    </row>
    <row r="394" spans="2:5" ht="15" customHeight="1">
      <c r="B394" s="92"/>
      <c r="C394" s="43" t="s">
        <v>166</v>
      </c>
      <c r="D394" s="42">
        <v>11</v>
      </c>
      <c r="E394" s="41">
        <v>5.6561085972850684E-4</v>
      </c>
    </row>
    <row r="395" spans="2:5" ht="15" customHeight="1">
      <c r="B395" s="93"/>
      <c r="C395" s="40" t="s">
        <v>20</v>
      </c>
      <c r="D395" s="39">
        <v>215</v>
      </c>
      <c r="E395" s="38">
        <v>1.1055121349238996E-2</v>
      </c>
    </row>
    <row r="396" spans="2:5" ht="15" customHeight="1">
      <c r="B396" s="91" t="s">
        <v>88</v>
      </c>
      <c r="C396" s="43" t="s">
        <v>186</v>
      </c>
      <c r="D396" s="42">
        <v>1</v>
      </c>
      <c r="E396" s="41">
        <v>5.1419169066227893E-5</v>
      </c>
    </row>
    <row r="397" spans="2:5" ht="15" customHeight="1">
      <c r="B397" s="92"/>
      <c r="C397" s="43" t="s">
        <v>185</v>
      </c>
      <c r="D397" s="42">
        <v>1</v>
      </c>
      <c r="E397" s="41">
        <v>5.1419169066227893E-5</v>
      </c>
    </row>
    <row r="398" spans="2:5" ht="15" customHeight="1">
      <c r="B398" s="92"/>
      <c r="C398" s="43" t="s">
        <v>184</v>
      </c>
      <c r="D398" s="42">
        <v>1</v>
      </c>
      <c r="E398" s="41">
        <v>5.1419169066227893E-5</v>
      </c>
    </row>
    <row r="399" spans="2:5" ht="15" customHeight="1">
      <c r="B399" s="92"/>
      <c r="C399" s="43" t="s">
        <v>180</v>
      </c>
      <c r="D399" s="42">
        <v>2</v>
      </c>
      <c r="E399" s="41">
        <v>1.0283833813245579E-4</v>
      </c>
    </row>
    <row r="400" spans="2:5" ht="15" customHeight="1">
      <c r="B400" s="92"/>
      <c r="C400" s="43" t="s">
        <v>179</v>
      </c>
      <c r="D400" s="42">
        <v>4</v>
      </c>
      <c r="E400" s="41">
        <v>2.0567667626491157E-4</v>
      </c>
    </row>
    <row r="401" spans="2:5" ht="15" customHeight="1">
      <c r="B401" s="92"/>
      <c r="C401" s="43" t="s">
        <v>177</v>
      </c>
      <c r="D401" s="42">
        <v>1</v>
      </c>
      <c r="E401" s="41">
        <v>5.1419169066227893E-5</v>
      </c>
    </row>
    <row r="402" spans="2:5" ht="15" customHeight="1">
      <c r="B402" s="92"/>
      <c r="C402" s="43" t="s">
        <v>176</v>
      </c>
      <c r="D402" s="42">
        <v>5</v>
      </c>
      <c r="E402" s="41">
        <v>2.5709584533113944E-4</v>
      </c>
    </row>
    <row r="403" spans="2:5" ht="15" customHeight="1">
      <c r="B403" s="92"/>
      <c r="C403" s="43" t="s">
        <v>175</v>
      </c>
      <c r="D403" s="42">
        <v>14</v>
      </c>
      <c r="E403" s="41">
        <v>7.1986836692719048E-4</v>
      </c>
    </row>
    <row r="404" spans="2:5" ht="15" customHeight="1">
      <c r="B404" s="92"/>
      <c r="C404" s="43" t="s">
        <v>173</v>
      </c>
      <c r="D404" s="42">
        <v>5</v>
      </c>
      <c r="E404" s="41">
        <v>2.5709584533113944E-4</v>
      </c>
    </row>
    <row r="405" spans="2:5" ht="15" customHeight="1">
      <c r="B405" s="92"/>
      <c r="C405" s="43" t="s">
        <v>172</v>
      </c>
      <c r="D405" s="42">
        <v>26</v>
      </c>
      <c r="E405" s="41">
        <v>1.3368983957219251E-3</v>
      </c>
    </row>
    <row r="406" spans="2:5" ht="15" customHeight="1">
      <c r="B406" s="92"/>
      <c r="C406" s="43" t="s">
        <v>167</v>
      </c>
      <c r="D406" s="42">
        <v>1</v>
      </c>
      <c r="E406" s="41">
        <v>5.1419169066227893E-5</v>
      </c>
    </row>
    <row r="407" spans="2:5" ht="15" customHeight="1">
      <c r="B407" s="92"/>
      <c r="C407" s="43" t="s">
        <v>166</v>
      </c>
      <c r="D407" s="42">
        <v>8</v>
      </c>
      <c r="E407" s="41">
        <v>4.1135335252982314E-4</v>
      </c>
    </row>
    <row r="408" spans="2:5" ht="15" customHeight="1">
      <c r="B408" s="92"/>
      <c r="C408" s="43" t="s">
        <v>164</v>
      </c>
      <c r="D408" s="42">
        <v>1</v>
      </c>
      <c r="E408" s="41">
        <v>5.1419169066227893E-5</v>
      </c>
    </row>
    <row r="409" spans="2:5" ht="15" customHeight="1">
      <c r="B409" s="93"/>
      <c r="C409" s="40" t="s">
        <v>20</v>
      </c>
      <c r="D409" s="39">
        <v>70</v>
      </c>
      <c r="E409" s="38">
        <v>3.5993418346359522E-3</v>
      </c>
    </row>
    <row r="410" spans="2:5" ht="15" customHeight="1">
      <c r="B410" s="91" t="s">
        <v>81</v>
      </c>
      <c r="C410" s="43" t="s">
        <v>186</v>
      </c>
      <c r="D410" s="42">
        <v>5</v>
      </c>
      <c r="E410" s="41">
        <v>2.5709584533113944E-4</v>
      </c>
    </row>
    <row r="411" spans="2:5" ht="15" customHeight="1">
      <c r="B411" s="92"/>
      <c r="C411" s="43" t="s">
        <v>185</v>
      </c>
      <c r="D411" s="42">
        <v>2</v>
      </c>
      <c r="E411" s="41">
        <v>1.0283833813245579E-4</v>
      </c>
    </row>
    <row r="412" spans="2:5" ht="15" customHeight="1">
      <c r="B412" s="92"/>
      <c r="C412" s="43" t="s">
        <v>184</v>
      </c>
      <c r="D412" s="42">
        <v>1</v>
      </c>
      <c r="E412" s="41">
        <v>5.1419169066227893E-5</v>
      </c>
    </row>
    <row r="413" spans="2:5" ht="15" customHeight="1">
      <c r="B413" s="92"/>
      <c r="C413" s="43" t="s">
        <v>183</v>
      </c>
      <c r="D413" s="42">
        <v>7</v>
      </c>
      <c r="E413" s="41">
        <v>3.5993418346359524E-4</v>
      </c>
    </row>
    <row r="414" spans="2:5" ht="15" customHeight="1">
      <c r="B414" s="92"/>
      <c r="C414" s="43" t="s">
        <v>182</v>
      </c>
      <c r="D414" s="42">
        <v>3</v>
      </c>
      <c r="E414" s="41">
        <v>1.5425750719868367E-4</v>
      </c>
    </row>
    <row r="415" spans="2:5" ht="15" customHeight="1">
      <c r="B415" s="92"/>
      <c r="C415" s="43" t="s">
        <v>181</v>
      </c>
      <c r="D415" s="42">
        <v>5</v>
      </c>
      <c r="E415" s="41">
        <v>2.5709584533113944E-4</v>
      </c>
    </row>
    <row r="416" spans="2:5" ht="15" customHeight="1">
      <c r="B416" s="92"/>
      <c r="C416" s="43" t="s">
        <v>180</v>
      </c>
      <c r="D416" s="42">
        <v>11</v>
      </c>
      <c r="E416" s="41">
        <v>5.6561085972850684E-4</v>
      </c>
    </row>
    <row r="417" spans="2:5" ht="15" customHeight="1">
      <c r="B417" s="92"/>
      <c r="C417" s="43" t="s">
        <v>179</v>
      </c>
      <c r="D417" s="42">
        <v>21</v>
      </c>
      <c r="E417" s="41">
        <v>1.0798025503907856E-3</v>
      </c>
    </row>
    <row r="418" spans="2:5" ht="15" customHeight="1">
      <c r="B418" s="92"/>
      <c r="C418" s="43" t="s">
        <v>178</v>
      </c>
      <c r="D418" s="42">
        <v>6</v>
      </c>
      <c r="E418" s="41">
        <v>3.0851501439736734E-4</v>
      </c>
    </row>
    <row r="419" spans="2:5" ht="15" customHeight="1">
      <c r="B419" s="92"/>
      <c r="C419" s="43" t="s">
        <v>177</v>
      </c>
      <c r="D419" s="42">
        <v>11</v>
      </c>
      <c r="E419" s="41">
        <v>5.6561085972850684E-4</v>
      </c>
    </row>
    <row r="420" spans="2:5" ht="15" customHeight="1">
      <c r="B420" s="92"/>
      <c r="C420" s="43" t="s">
        <v>176</v>
      </c>
      <c r="D420" s="42">
        <v>11</v>
      </c>
      <c r="E420" s="41">
        <v>5.6561085972850684E-4</v>
      </c>
    </row>
    <row r="421" spans="2:5" ht="15" customHeight="1">
      <c r="B421" s="92"/>
      <c r="C421" s="43" t="s">
        <v>175</v>
      </c>
      <c r="D421" s="42">
        <v>71</v>
      </c>
      <c r="E421" s="41">
        <v>3.6507610037021803E-3</v>
      </c>
    </row>
    <row r="422" spans="2:5" ht="15" customHeight="1">
      <c r="B422" s="92"/>
      <c r="C422" s="43" t="s">
        <v>174</v>
      </c>
      <c r="D422" s="42">
        <v>6</v>
      </c>
      <c r="E422" s="41">
        <v>3.0851501439736734E-4</v>
      </c>
    </row>
    <row r="423" spans="2:5" ht="15" customHeight="1">
      <c r="B423" s="92"/>
      <c r="C423" s="43" t="s">
        <v>173</v>
      </c>
      <c r="D423" s="42">
        <v>17</v>
      </c>
      <c r="E423" s="41">
        <v>8.7412587412587413E-4</v>
      </c>
    </row>
    <row r="424" spans="2:5" ht="15" customHeight="1">
      <c r="B424" s="92"/>
      <c r="C424" s="43" t="s">
        <v>172</v>
      </c>
      <c r="D424" s="42">
        <v>71</v>
      </c>
      <c r="E424" s="41">
        <v>3.6507610037021803E-3</v>
      </c>
    </row>
    <row r="425" spans="2:5" ht="15" customHeight="1">
      <c r="B425" s="92"/>
      <c r="C425" s="43" t="s">
        <v>170</v>
      </c>
      <c r="D425" s="42">
        <v>1</v>
      </c>
      <c r="E425" s="41">
        <v>5.1419169066227893E-5</v>
      </c>
    </row>
    <row r="426" spans="2:5" ht="15" customHeight="1">
      <c r="B426" s="92"/>
      <c r="C426" s="43" t="s">
        <v>167</v>
      </c>
      <c r="D426" s="42">
        <v>14</v>
      </c>
      <c r="E426" s="41">
        <v>7.1986836692719048E-4</v>
      </c>
    </row>
    <row r="427" spans="2:5" ht="15" customHeight="1">
      <c r="B427" s="92"/>
      <c r="C427" s="43" t="s">
        <v>166</v>
      </c>
      <c r="D427" s="42">
        <v>16</v>
      </c>
      <c r="E427" s="41">
        <v>8.2270670505964628E-4</v>
      </c>
    </row>
    <row r="428" spans="2:5" ht="15" customHeight="1">
      <c r="B428" s="92"/>
      <c r="C428" s="43" t="s">
        <v>191</v>
      </c>
      <c r="D428" s="42">
        <v>1</v>
      </c>
      <c r="E428" s="41">
        <v>5.1419169066227893E-5</v>
      </c>
    </row>
    <row r="429" spans="2:5" ht="15" customHeight="1">
      <c r="B429" s="92"/>
      <c r="C429" s="43" t="s">
        <v>163</v>
      </c>
      <c r="D429" s="42">
        <v>1</v>
      </c>
      <c r="E429" s="41">
        <v>5.1419169066227893E-5</v>
      </c>
    </row>
    <row r="430" spans="2:5" ht="15" customHeight="1">
      <c r="B430" s="93"/>
      <c r="C430" s="40" t="s">
        <v>20</v>
      </c>
      <c r="D430" s="39">
        <v>281</v>
      </c>
      <c r="E430" s="38">
        <v>1.4448786507610037E-2</v>
      </c>
    </row>
    <row r="431" spans="2:5" ht="15" customHeight="1">
      <c r="B431" s="91" t="s">
        <v>110</v>
      </c>
      <c r="C431" s="43" t="s">
        <v>186</v>
      </c>
      <c r="D431" s="42">
        <v>1</v>
      </c>
      <c r="E431" s="41">
        <v>5.1419169066227893E-5</v>
      </c>
    </row>
    <row r="432" spans="2:5" ht="15" customHeight="1">
      <c r="B432" s="92"/>
      <c r="C432" s="43" t="s">
        <v>185</v>
      </c>
      <c r="D432" s="42">
        <v>1</v>
      </c>
      <c r="E432" s="41">
        <v>5.1419169066227893E-5</v>
      </c>
    </row>
    <row r="433" spans="2:5" ht="15" customHeight="1">
      <c r="B433" s="92"/>
      <c r="C433" s="43" t="s">
        <v>184</v>
      </c>
      <c r="D433" s="42">
        <v>1</v>
      </c>
      <c r="E433" s="41">
        <v>5.1419169066227893E-5</v>
      </c>
    </row>
    <row r="434" spans="2:5" ht="15" customHeight="1">
      <c r="B434" s="92"/>
      <c r="C434" s="43" t="s">
        <v>181</v>
      </c>
      <c r="D434" s="42">
        <v>2</v>
      </c>
      <c r="E434" s="41">
        <v>1.0283833813245579E-4</v>
      </c>
    </row>
    <row r="435" spans="2:5" ht="15" customHeight="1">
      <c r="B435" s="92"/>
      <c r="C435" s="43" t="s">
        <v>180</v>
      </c>
      <c r="D435" s="42">
        <v>2</v>
      </c>
      <c r="E435" s="41">
        <v>1.0283833813245579E-4</v>
      </c>
    </row>
    <row r="436" spans="2:5" ht="15" customHeight="1">
      <c r="B436" s="92"/>
      <c r="C436" s="43" t="s">
        <v>179</v>
      </c>
      <c r="D436" s="42">
        <v>7</v>
      </c>
      <c r="E436" s="41">
        <v>3.5993418346359524E-4</v>
      </c>
    </row>
    <row r="437" spans="2:5" ht="15" customHeight="1">
      <c r="B437" s="92"/>
      <c r="C437" s="43" t="s">
        <v>178</v>
      </c>
      <c r="D437" s="42">
        <v>1</v>
      </c>
      <c r="E437" s="41">
        <v>5.1419169066227893E-5</v>
      </c>
    </row>
    <row r="438" spans="2:5" ht="15" customHeight="1">
      <c r="B438" s="92"/>
      <c r="C438" s="43" t="s">
        <v>177</v>
      </c>
      <c r="D438" s="42">
        <v>1</v>
      </c>
      <c r="E438" s="41">
        <v>5.1419169066227893E-5</v>
      </c>
    </row>
    <row r="439" spans="2:5" ht="15" customHeight="1">
      <c r="B439" s="92"/>
      <c r="C439" s="43" t="s">
        <v>176</v>
      </c>
      <c r="D439" s="42">
        <v>2</v>
      </c>
      <c r="E439" s="41">
        <v>1.0283833813245579E-4</v>
      </c>
    </row>
    <row r="440" spans="2:5" ht="15" customHeight="1">
      <c r="B440" s="92"/>
      <c r="C440" s="43" t="s">
        <v>175</v>
      </c>
      <c r="D440" s="42">
        <v>25</v>
      </c>
      <c r="E440" s="41">
        <v>1.2854792266556972E-3</v>
      </c>
    </row>
    <row r="441" spans="2:5" ht="15" customHeight="1">
      <c r="B441" s="92"/>
      <c r="C441" s="43" t="s">
        <v>174</v>
      </c>
      <c r="D441" s="42">
        <v>1</v>
      </c>
      <c r="E441" s="41">
        <v>5.1419169066227893E-5</v>
      </c>
    </row>
    <row r="442" spans="2:5" ht="15" customHeight="1">
      <c r="B442" s="92"/>
      <c r="C442" s="43" t="s">
        <v>173</v>
      </c>
      <c r="D442" s="42">
        <v>3</v>
      </c>
      <c r="E442" s="41">
        <v>1.5425750719868367E-4</v>
      </c>
    </row>
    <row r="443" spans="2:5" ht="15" customHeight="1">
      <c r="B443" s="92"/>
      <c r="C443" s="43" t="s">
        <v>172</v>
      </c>
      <c r="D443" s="42">
        <v>31</v>
      </c>
      <c r="E443" s="41">
        <v>1.5939942410530645E-3</v>
      </c>
    </row>
    <row r="444" spans="2:5" ht="15" customHeight="1">
      <c r="B444" s="92"/>
      <c r="C444" s="43" t="s">
        <v>167</v>
      </c>
      <c r="D444" s="42">
        <v>1</v>
      </c>
      <c r="E444" s="41">
        <v>5.1419169066227893E-5</v>
      </c>
    </row>
    <row r="445" spans="2:5" ht="15" customHeight="1">
      <c r="B445" s="92"/>
      <c r="C445" s="43" t="s">
        <v>166</v>
      </c>
      <c r="D445" s="42">
        <v>5</v>
      </c>
      <c r="E445" s="41">
        <v>2.5709584533113944E-4</v>
      </c>
    </row>
    <row r="446" spans="2:5" ht="15" customHeight="1">
      <c r="B446" s="93"/>
      <c r="C446" s="40" t="s">
        <v>20</v>
      </c>
      <c r="D446" s="39">
        <v>84</v>
      </c>
      <c r="E446" s="38">
        <v>4.3192102015631425E-3</v>
      </c>
    </row>
    <row r="447" spans="2:5" ht="15" customHeight="1">
      <c r="B447" s="91" t="s">
        <v>83</v>
      </c>
      <c r="C447" s="43" t="s">
        <v>186</v>
      </c>
      <c r="D447" s="42">
        <v>1</v>
      </c>
      <c r="E447" s="41">
        <v>5.1419169066227893E-5</v>
      </c>
    </row>
    <row r="448" spans="2:5" ht="15" customHeight="1">
      <c r="B448" s="92"/>
      <c r="C448" s="43" t="s">
        <v>184</v>
      </c>
      <c r="D448" s="42">
        <v>2</v>
      </c>
      <c r="E448" s="41">
        <v>1.0283833813245579E-4</v>
      </c>
    </row>
    <row r="449" spans="2:5" ht="15" customHeight="1">
      <c r="B449" s="92"/>
      <c r="C449" s="43" t="s">
        <v>183</v>
      </c>
      <c r="D449" s="42">
        <v>1</v>
      </c>
      <c r="E449" s="41">
        <v>5.1419169066227893E-5</v>
      </c>
    </row>
    <row r="450" spans="2:5" ht="15" customHeight="1">
      <c r="B450" s="92"/>
      <c r="C450" s="43" t="s">
        <v>181</v>
      </c>
      <c r="D450" s="42">
        <v>3</v>
      </c>
      <c r="E450" s="41">
        <v>1.5425750719868367E-4</v>
      </c>
    </row>
    <row r="451" spans="2:5" ht="15" customHeight="1">
      <c r="B451" s="92"/>
      <c r="C451" s="43" t="s">
        <v>180</v>
      </c>
      <c r="D451" s="42">
        <v>4</v>
      </c>
      <c r="E451" s="41">
        <v>2.0567667626491157E-4</v>
      </c>
    </row>
    <row r="452" spans="2:5" ht="15" customHeight="1">
      <c r="B452" s="92"/>
      <c r="C452" s="43" t="s">
        <v>179</v>
      </c>
      <c r="D452" s="42">
        <v>4</v>
      </c>
      <c r="E452" s="41">
        <v>2.0567667626491157E-4</v>
      </c>
    </row>
    <row r="453" spans="2:5" ht="15" customHeight="1">
      <c r="B453" s="92"/>
      <c r="C453" s="43" t="s">
        <v>178</v>
      </c>
      <c r="D453" s="42">
        <v>2</v>
      </c>
      <c r="E453" s="41">
        <v>1.0283833813245579E-4</v>
      </c>
    </row>
    <row r="454" spans="2:5" ht="15" customHeight="1">
      <c r="B454" s="92"/>
      <c r="C454" s="43" t="s">
        <v>177</v>
      </c>
      <c r="D454" s="42">
        <v>6</v>
      </c>
      <c r="E454" s="41">
        <v>3.0851501439736734E-4</v>
      </c>
    </row>
    <row r="455" spans="2:5" ht="15" customHeight="1">
      <c r="B455" s="92"/>
      <c r="C455" s="43" t="s">
        <v>176</v>
      </c>
      <c r="D455" s="42">
        <v>2</v>
      </c>
      <c r="E455" s="41">
        <v>1.0283833813245579E-4</v>
      </c>
    </row>
    <row r="456" spans="2:5" ht="15" customHeight="1">
      <c r="B456" s="92"/>
      <c r="C456" s="43" t="s">
        <v>175</v>
      </c>
      <c r="D456" s="42">
        <v>17</v>
      </c>
      <c r="E456" s="41">
        <v>8.7412587412587413E-4</v>
      </c>
    </row>
    <row r="457" spans="2:5" ht="15" customHeight="1">
      <c r="B457" s="92"/>
      <c r="C457" s="43" t="s">
        <v>174</v>
      </c>
      <c r="D457" s="42">
        <v>2</v>
      </c>
      <c r="E457" s="41">
        <v>1.0283833813245579E-4</v>
      </c>
    </row>
    <row r="458" spans="2:5" ht="15" customHeight="1">
      <c r="B458" s="92"/>
      <c r="C458" s="43" t="s">
        <v>173</v>
      </c>
      <c r="D458" s="42">
        <v>7</v>
      </c>
      <c r="E458" s="41">
        <v>3.5993418346359524E-4</v>
      </c>
    </row>
    <row r="459" spans="2:5" ht="15" customHeight="1">
      <c r="B459" s="92"/>
      <c r="C459" s="43" t="s">
        <v>172</v>
      </c>
      <c r="D459" s="42">
        <v>19</v>
      </c>
      <c r="E459" s="41">
        <v>9.7696421225832992E-4</v>
      </c>
    </row>
    <row r="460" spans="2:5" ht="15" customHeight="1">
      <c r="B460" s="92"/>
      <c r="C460" s="43" t="s">
        <v>171</v>
      </c>
      <c r="D460" s="42">
        <v>1</v>
      </c>
      <c r="E460" s="41">
        <v>5.1419169066227893E-5</v>
      </c>
    </row>
    <row r="461" spans="2:5" ht="15" customHeight="1">
      <c r="B461" s="92"/>
      <c r="C461" s="43" t="s">
        <v>170</v>
      </c>
      <c r="D461" s="42">
        <v>1</v>
      </c>
      <c r="E461" s="41">
        <v>5.1419169066227893E-5</v>
      </c>
    </row>
    <row r="462" spans="2:5" ht="15" customHeight="1">
      <c r="B462" s="92"/>
      <c r="C462" s="43" t="s">
        <v>167</v>
      </c>
      <c r="D462" s="42">
        <v>3</v>
      </c>
      <c r="E462" s="41">
        <v>1.5425750719868367E-4</v>
      </c>
    </row>
    <row r="463" spans="2:5" ht="15" customHeight="1">
      <c r="B463" s="92"/>
      <c r="C463" s="43" t="s">
        <v>166</v>
      </c>
      <c r="D463" s="42">
        <v>3</v>
      </c>
      <c r="E463" s="41">
        <v>1.5425750719868367E-4</v>
      </c>
    </row>
    <row r="464" spans="2:5" ht="15" customHeight="1">
      <c r="B464" s="93"/>
      <c r="C464" s="40" t="s">
        <v>20</v>
      </c>
      <c r="D464" s="39">
        <v>78</v>
      </c>
      <c r="E464" s="38">
        <v>4.0106951871657758E-3</v>
      </c>
    </row>
    <row r="465" spans="2:5" ht="15" customHeight="1">
      <c r="B465" s="91" t="s">
        <v>102</v>
      </c>
      <c r="C465" s="43" t="s">
        <v>186</v>
      </c>
      <c r="D465" s="42">
        <v>6</v>
      </c>
      <c r="E465" s="41">
        <v>3.0851501439736734E-4</v>
      </c>
    </row>
    <row r="466" spans="2:5" ht="15" customHeight="1">
      <c r="B466" s="92"/>
      <c r="C466" s="43" t="s">
        <v>185</v>
      </c>
      <c r="D466" s="42">
        <v>8</v>
      </c>
      <c r="E466" s="41">
        <v>4.1135335252982314E-4</v>
      </c>
    </row>
    <row r="467" spans="2:5" ht="15" customHeight="1">
      <c r="B467" s="92"/>
      <c r="C467" s="43" t="s">
        <v>184</v>
      </c>
      <c r="D467" s="42">
        <v>3</v>
      </c>
      <c r="E467" s="41">
        <v>1.5425750719868367E-4</v>
      </c>
    </row>
    <row r="468" spans="2:5" ht="15" customHeight="1">
      <c r="B468" s="92"/>
      <c r="C468" s="43" t="s">
        <v>183</v>
      </c>
      <c r="D468" s="42">
        <v>9</v>
      </c>
      <c r="E468" s="41">
        <v>4.6277252159605099E-4</v>
      </c>
    </row>
    <row r="469" spans="2:5" ht="15" customHeight="1">
      <c r="B469" s="92"/>
      <c r="C469" s="43" t="s">
        <v>182</v>
      </c>
      <c r="D469" s="42">
        <v>9</v>
      </c>
      <c r="E469" s="41">
        <v>4.6277252159605099E-4</v>
      </c>
    </row>
    <row r="470" spans="2:5" ht="15" customHeight="1">
      <c r="B470" s="92"/>
      <c r="C470" s="43" t="s">
        <v>181</v>
      </c>
      <c r="D470" s="42">
        <v>10</v>
      </c>
      <c r="E470" s="41">
        <v>5.1419169066227888E-4</v>
      </c>
    </row>
    <row r="471" spans="2:5" ht="15" customHeight="1">
      <c r="B471" s="92"/>
      <c r="C471" s="43" t="s">
        <v>180</v>
      </c>
      <c r="D471" s="42">
        <v>33</v>
      </c>
      <c r="E471" s="41">
        <v>1.6968325791855204E-3</v>
      </c>
    </row>
    <row r="472" spans="2:5" ht="15" customHeight="1">
      <c r="B472" s="92"/>
      <c r="C472" s="43" t="s">
        <v>179</v>
      </c>
      <c r="D472" s="42">
        <v>38</v>
      </c>
      <c r="E472" s="41">
        <v>1.9539284245166598E-3</v>
      </c>
    </row>
    <row r="473" spans="2:5" ht="15" customHeight="1">
      <c r="B473" s="92"/>
      <c r="C473" s="43" t="s">
        <v>178</v>
      </c>
      <c r="D473" s="42">
        <v>11</v>
      </c>
      <c r="E473" s="41">
        <v>5.6561085972850684E-4</v>
      </c>
    </row>
    <row r="474" spans="2:5" ht="15" customHeight="1">
      <c r="B474" s="92"/>
      <c r="C474" s="43" t="s">
        <v>177</v>
      </c>
      <c r="D474" s="42">
        <v>19</v>
      </c>
      <c r="E474" s="41">
        <v>9.7696421225832992E-4</v>
      </c>
    </row>
    <row r="475" spans="2:5" ht="15" customHeight="1">
      <c r="B475" s="92"/>
      <c r="C475" s="43" t="s">
        <v>176</v>
      </c>
      <c r="D475" s="42">
        <v>17</v>
      </c>
      <c r="E475" s="41">
        <v>8.7412587412587413E-4</v>
      </c>
    </row>
    <row r="476" spans="2:5" ht="15" customHeight="1">
      <c r="B476" s="92"/>
      <c r="C476" s="43" t="s">
        <v>175</v>
      </c>
      <c r="D476" s="42">
        <v>124</v>
      </c>
      <c r="E476" s="41">
        <v>6.375976964212258E-3</v>
      </c>
    </row>
    <row r="477" spans="2:5" ht="15" customHeight="1">
      <c r="B477" s="92"/>
      <c r="C477" s="43" t="s">
        <v>174</v>
      </c>
      <c r="D477" s="42">
        <v>8</v>
      </c>
      <c r="E477" s="41">
        <v>4.1135335252982314E-4</v>
      </c>
    </row>
    <row r="478" spans="2:5" ht="15" customHeight="1">
      <c r="B478" s="92"/>
      <c r="C478" s="43" t="s">
        <v>173</v>
      </c>
      <c r="D478" s="42">
        <v>43</v>
      </c>
      <c r="E478" s="41">
        <v>2.2110242698477993E-3</v>
      </c>
    </row>
    <row r="479" spans="2:5" ht="15" customHeight="1">
      <c r="B479" s="92"/>
      <c r="C479" s="43" t="s">
        <v>172</v>
      </c>
      <c r="D479" s="42">
        <v>75</v>
      </c>
      <c r="E479" s="41">
        <v>3.8564376799670916E-3</v>
      </c>
    </row>
    <row r="480" spans="2:5" ht="15" customHeight="1">
      <c r="B480" s="92"/>
      <c r="C480" s="43" t="s">
        <v>170</v>
      </c>
      <c r="D480" s="42">
        <v>1</v>
      </c>
      <c r="E480" s="41">
        <v>5.1419169066227893E-5</v>
      </c>
    </row>
    <row r="481" spans="2:5" ht="15" customHeight="1">
      <c r="B481" s="92"/>
      <c r="C481" s="43" t="s">
        <v>169</v>
      </c>
      <c r="D481" s="42">
        <v>2</v>
      </c>
      <c r="E481" s="41">
        <v>1.0283833813245579E-4</v>
      </c>
    </row>
    <row r="482" spans="2:5" ht="15" customHeight="1">
      <c r="B482" s="92"/>
      <c r="C482" s="43" t="s">
        <v>167</v>
      </c>
      <c r="D482" s="42">
        <v>5</v>
      </c>
      <c r="E482" s="41">
        <v>2.5709584533113944E-4</v>
      </c>
    </row>
    <row r="483" spans="2:5" ht="15" customHeight="1">
      <c r="B483" s="92"/>
      <c r="C483" s="43" t="s">
        <v>166</v>
      </c>
      <c r="D483" s="42">
        <v>16</v>
      </c>
      <c r="E483" s="41">
        <v>8.2270670505964628E-4</v>
      </c>
    </row>
    <row r="484" spans="2:5" ht="15" customHeight="1">
      <c r="B484" s="92"/>
      <c r="C484" s="43" t="s">
        <v>191</v>
      </c>
      <c r="D484" s="42">
        <v>1</v>
      </c>
      <c r="E484" s="41">
        <v>5.1419169066227893E-5</v>
      </c>
    </row>
    <row r="485" spans="2:5" ht="15" customHeight="1">
      <c r="B485" s="93"/>
      <c r="C485" s="40" t="s">
        <v>20</v>
      </c>
      <c r="D485" s="39">
        <v>438</v>
      </c>
      <c r="E485" s="38">
        <v>2.2521596051007817E-2</v>
      </c>
    </row>
    <row r="486" spans="2:5" ht="15" customHeight="1">
      <c r="B486" s="91" t="s">
        <v>98</v>
      </c>
      <c r="C486" s="43" t="s">
        <v>186</v>
      </c>
      <c r="D486" s="42">
        <v>1</v>
      </c>
      <c r="E486" s="41">
        <v>5.1419169066227893E-5</v>
      </c>
    </row>
    <row r="487" spans="2:5" ht="15" customHeight="1">
      <c r="B487" s="92"/>
      <c r="C487" s="43" t="s">
        <v>182</v>
      </c>
      <c r="D487" s="42">
        <v>1</v>
      </c>
      <c r="E487" s="41">
        <v>5.1419169066227893E-5</v>
      </c>
    </row>
    <row r="488" spans="2:5" ht="15" customHeight="1">
      <c r="B488" s="92"/>
      <c r="C488" s="43" t="s">
        <v>181</v>
      </c>
      <c r="D488" s="42">
        <v>1</v>
      </c>
      <c r="E488" s="41">
        <v>5.1419169066227893E-5</v>
      </c>
    </row>
    <row r="489" spans="2:5" ht="15" customHeight="1">
      <c r="B489" s="92"/>
      <c r="C489" s="43" t="s">
        <v>179</v>
      </c>
      <c r="D489" s="42">
        <v>1</v>
      </c>
      <c r="E489" s="41">
        <v>5.1419169066227893E-5</v>
      </c>
    </row>
    <row r="490" spans="2:5" ht="15" customHeight="1">
      <c r="B490" s="92"/>
      <c r="C490" s="43" t="s">
        <v>176</v>
      </c>
      <c r="D490" s="42">
        <v>1</v>
      </c>
      <c r="E490" s="41">
        <v>5.1419169066227893E-5</v>
      </c>
    </row>
    <row r="491" spans="2:5" ht="15" customHeight="1">
      <c r="B491" s="92"/>
      <c r="C491" s="43" t="s">
        <v>175</v>
      </c>
      <c r="D491" s="42">
        <v>4</v>
      </c>
      <c r="E491" s="41">
        <v>2.0567667626491157E-4</v>
      </c>
    </row>
    <row r="492" spans="2:5" ht="15" customHeight="1">
      <c r="B492" s="92"/>
      <c r="C492" s="43" t="s">
        <v>172</v>
      </c>
      <c r="D492" s="42">
        <v>3</v>
      </c>
      <c r="E492" s="41">
        <v>1.5425750719868367E-4</v>
      </c>
    </row>
    <row r="493" spans="2:5" ht="15" customHeight="1">
      <c r="B493" s="92"/>
      <c r="C493" s="43" t="s">
        <v>168</v>
      </c>
      <c r="D493" s="42">
        <v>1</v>
      </c>
      <c r="E493" s="41">
        <v>5.1419169066227893E-5</v>
      </c>
    </row>
    <row r="494" spans="2:5" ht="15" customHeight="1">
      <c r="B494" s="92"/>
      <c r="C494" s="43" t="s">
        <v>166</v>
      </c>
      <c r="D494" s="42">
        <v>1</v>
      </c>
      <c r="E494" s="41">
        <v>5.1419169066227893E-5</v>
      </c>
    </row>
    <row r="495" spans="2:5" ht="15" customHeight="1">
      <c r="B495" s="92"/>
      <c r="C495" s="43" t="s">
        <v>163</v>
      </c>
      <c r="D495" s="42">
        <v>1</v>
      </c>
      <c r="E495" s="41">
        <v>5.1419169066227893E-5</v>
      </c>
    </row>
    <row r="496" spans="2:5" ht="15" customHeight="1">
      <c r="B496" s="93"/>
      <c r="C496" s="40" t="s">
        <v>20</v>
      </c>
      <c r="D496" s="39">
        <v>15</v>
      </c>
      <c r="E496" s="38">
        <v>7.7128753599341833E-4</v>
      </c>
    </row>
    <row r="497" spans="2:5" ht="15" customHeight="1">
      <c r="B497" s="91" t="s">
        <v>86</v>
      </c>
      <c r="C497" s="43" t="s">
        <v>186</v>
      </c>
      <c r="D497" s="42">
        <v>1</v>
      </c>
      <c r="E497" s="41">
        <v>5.1419169066227893E-5</v>
      </c>
    </row>
    <row r="498" spans="2:5" ht="15" customHeight="1">
      <c r="B498" s="92"/>
      <c r="C498" s="43" t="s">
        <v>185</v>
      </c>
      <c r="D498" s="42">
        <v>1</v>
      </c>
      <c r="E498" s="41">
        <v>5.1419169066227893E-5</v>
      </c>
    </row>
    <row r="499" spans="2:5" ht="15" customHeight="1">
      <c r="B499" s="92"/>
      <c r="C499" s="43" t="s">
        <v>183</v>
      </c>
      <c r="D499" s="42">
        <v>1</v>
      </c>
      <c r="E499" s="41">
        <v>5.1419169066227893E-5</v>
      </c>
    </row>
    <row r="500" spans="2:5" ht="15" customHeight="1">
      <c r="B500" s="92"/>
      <c r="C500" s="43" t="s">
        <v>181</v>
      </c>
      <c r="D500" s="42">
        <v>1</v>
      </c>
      <c r="E500" s="41">
        <v>5.1419169066227893E-5</v>
      </c>
    </row>
    <row r="501" spans="2:5" ht="15" customHeight="1">
      <c r="B501" s="92"/>
      <c r="C501" s="43" t="s">
        <v>180</v>
      </c>
      <c r="D501" s="42">
        <v>1</v>
      </c>
      <c r="E501" s="41">
        <v>5.1419169066227893E-5</v>
      </c>
    </row>
    <row r="502" spans="2:5" ht="15" customHeight="1">
      <c r="B502" s="92"/>
      <c r="C502" s="43" t="s">
        <v>179</v>
      </c>
      <c r="D502" s="42">
        <v>2</v>
      </c>
      <c r="E502" s="41">
        <v>1.0283833813245579E-4</v>
      </c>
    </row>
    <row r="503" spans="2:5" ht="15" customHeight="1">
      <c r="B503" s="92"/>
      <c r="C503" s="43" t="s">
        <v>177</v>
      </c>
      <c r="D503" s="42">
        <v>1</v>
      </c>
      <c r="E503" s="41">
        <v>5.1419169066227893E-5</v>
      </c>
    </row>
    <row r="504" spans="2:5" ht="15" customHeight="1">
      <c r="B504" s="92"/>
      <c r="C504" s="43" t="s">
        <v>176</v>
      </c>
      <c r="D504" s="42">
        <v>1</v>
      </c>
      <c r="E504" s="41">
        <v>5.1419169066227893E-5</v>
      </c>
    </row>
    <row r="505" spans="2:5" ht="15" customHeight="1">
      <c r="B505" s="92"/>
      <c r="C505" s="43" t="s">
        <v>175</v>
      </c>
      <c r="D505" s="42">
        <v>10</v>
      </c>
      <c r="E505" s="41">
        <v>5.1419169066227888E-4</v>
      </c>
    </row>
    <row r="506" spans="2:5" ht="15" customHeight="1">
      <c r="B506" s="92"/>
      <c r="C506" s="43" t="s">
        <v>173</v>
      </c>
      <c r="D506" s="42">
        <v>5</v>
      </c>
      <c r="E506" s="41">
        <v>2.5709584533113944E-4</v>
      </c>
    </row>
    <row r="507" spans="2:5" ht="15" customHeight="1">
      <c r="B507" s="92"/>
      <c r="C507" s="43" t="s">
        <v>172</v>
      </c>
      <c r="D507" s="42">
        <v>5</v>
      </c>
      <c r="E507" s="41">
        <v>2.5709584533113944E-4</v>
      </c>
    </row>
    <row r="508" spans="2:5" ht="15" customHeight="1">
      <c r="B508" s="92"/>
      <c r="C508" s="43" t="s">
        <v>167</v>
      </c>
      <c r="D508" s="42">
        <v>1</v>
      </c>
      <c r="E508" s="41">
        <v>5.1419169066227893E-5</v>
      </c>
    </row>
    <row r="509" spans="2:5" ht="15" customHeight="1">
      <c r="B509" s="92"/>
      <c r="C509" s="43" t="s">
        <v>166</v>
      </c>
      <c r="D509" s="42">
        <v>4</v>
      </c>
      <c r="E509" s="41">
        <v>2.0567667626491157E-4</v>
      </c>
    </row>
    <row r="510" spans="2:5" ht="15" customHeight="1">
      <c r="B510" s="93"/>
      <c r="C510" s="40" t="s">
        <v>20</v>
      </c>
      <c r="D510" s="39">
        <v>34</v>
      </c>
      <c r="E510" s="38">
        <v>1.7482517482517483E-3</v>
      </c>
    </row>
    <row r="511" spans="2:5" ht="15" customHeight="1">
      <c r="B511" s="91" t="s">
        <v>90</v>
      </c>
      <c r="C511" s="43" t="s">
        <v>183</v>
      </c>
      <c r="D511" s="42">
        <v>1</v>
      </c>
      <c r="E511" s="41">
        <v>5.1419169066227893E-5</v>
      </c>
    </row>
    <row r="512" spans="2:5" ht="15" customHeight="1">
      <c r="B512" s="92"/>
      <c r="C512" s="43" t="s">
        <v>176</v>
      </c>
      <c r="D512" s="42">
        <v>1</v>
      </c>
      <c r="E512" s="41">
        <v>5.1419169066227893E-5</v>
      </c>
    </row>
    <row r="513" spans="2:5" ht="15" customHeight="1">
      <c r="B513" s="92"/>
      <c r="C513" s="43" t="s">
        <v>175</v>
      </c>
      <c r="D513" s="42">
        <v>1</v>
      </c>
      <c r="E513" s="41">
        <v>5.1419169066227893E-5</v>
      </c>
    </row>
    <row r="514" spans="2:5" ht="15" customHeight="1">
      <c r="B514" s="92"/>
      <c r="C514" s="43" t="s">
        <v>172</v>
      </c>
      <c r="D514" s="42">
        <v>2</v>
      </c>
      <c r="E514" s="41">
        <v>1.0283833813245579E-4</v>
      </c>
    </row>
    <row r="515" spans="2:5" ht="15" customHeight="1">
      <c r="B515" s="93"/>
      <c r="C515" s="40" t="s">
        <v>20</v>
      </c>
      <c r="D515" s="39">
        <v>5</v>
      </c>
      <c r="E515" s="38">
        <v>2.5709584533113944E-4</v>
      </c>
    </row>
    <row r="516" spans="2:5" ht="15" customHeight="1">
      <c r="B516" s="91" t="s">
        <v>74</v>
      </c>
      <c r="C516" s="43" t="s">
        <v>180</v>
      </c>
      <c r="D516" s="42">
        <v>1</v>
      </c>
      <c r="E516" s="41">
        <v>5.1419169066227893E-5</v>
      </c>
    </row>
    <row r="517" spans="2:5" ht="15" customHeight="1">
      <c r="B517" s="92"/>
      <c r="C517" s="43" t="s">
        <v>179</v>
      </c>
      <c r="D517" s="42">
        <v>2</v>
      </c>
      <c r="E517" s="41">
        <v>1.0283833813245579E-4</v>
      </c>
    </row>
    <row r="518" spans="2:5" ht="15" customHeight="1">
      <c r="B518" s="92"/>
      <c r="C518" s="43" t="s">
        <v>177</v>
      </c>
      <c r="D518" s="42">
        <v>1</v>
      </c>
      <c r="E518" s="41">
        <v>5.1419169066227893E-5</v>
      </c>
    </row>
    <row r="519" spans="2:5" ht="15" customHeight="1">
      <c r="B519" s="92"/>
      <c r="C519" s="43" t="s">
        <v>172</v>
      </c>
      <c r="D519" s="42">
        <v>2</v>
      </c>
      <c r="E519" s="41">
        <v>1.0283833813245579E-4</v>
      </c>
    </row>
    <row r="520" spans="2:5" ht="15" customHeight="1">
      <c r="B520" s="93"/>
      <c r="C520" s="40" t="s">
        <v>20</v>
      </c>
      <c r="D520" s="39">
        <v>6</v>
      </c>
      <c r="E520" s="38">
        <v>3.0851501439736734E-4</v>
      </c>
    </row>
    <row r="521" spans="2:5" ht="15" customHeight="1">
      <c r="B521" s="91" t="s">
        <v>108</v>
      </c>
      <c r="C521" s="43" t="s">
        <v>186</v>
      </c>
      <c r="D521" s="42">
        <v>11</v>
      </c>
      <c r="E521" s="41">
        <v>5.6561085972850684E-4</v>
      </c>
    </row>
    <row r="522" spans="2:5" ht="15" customHeight="1">
      <c r="B522" s="92"/>
      <c r="C522" s="43" t="s">
        <v>185</v>
      </c>
      <c r="D522" s="42">
        <v>3</v>
      </c>
      <c r="E522" s="41">
        <v>1.5425750719868367E-4</v>
      </c>
    </row>
    <row r="523" spans="2:5" ht="15" customHeight="1">
      <c r="B523" s="92"/>
      <c r="C523" s="43" t="s">
        <v>184</v>
      </c>
      <c r="D523" s="42">
        <v>3</v>
      </c>
      <c r="E523" s="41">
        <v>1.5425750719868367E-4</v>
      </c>
    </row>
    <row r="524" spans="2:5" ht="15" customHeight="1">
      <c r="B524" s="92"/>
      <c r="C524" s="43" t="s">
        <v>183</v>
      </c>
      <c r="D524" s="42">
        <v>8</v>
      </c>
      <c r="E524" s="41">
        <v>4.1135335252982314E-4</v>
      </c>
    </row>
    <row r="525" spans="2:5" ht="15" customHeight="1">
      <c r="B525" s="92"/>
      <c r="C525" s="43" t="s">
        <v>182</v>
      </c>
      <c r="D525" s="42">
        <v>5</v>
      </c>
      <c r="E525" s="41">
        <v>2.5709584533113944E-4</v>
      </c>
    </row>
    <row r="526" spans="2:5" ht="15" customHeight="1">
      <c r="B526" s="92"/>
      <c r="C526" s="43" t="s">
        <v>181</v>
      </c>
      <c r="D526" s="42">
        <v>10</v>
      </c>
      <c r="E526" s="41">
        <v>5.1419169066227888E-4</v>
      </c>
    </row>
    <row r="527" spans="2:5" ht="15" customHeight="1">
      <c r="B527" s="92"/>
      <c r="C527" s="43" t="s">
        <v>180</v>
      </c>
      <c r="D527" s="42">
        <v>31</v>
      </c>
      <c r="E527" s="41">
        <v>1.5939942410530645E-3</v>
      </c>
    </row>
    <row r="528" spans="2:5" ht="15" customHeight="1">
      <c r="B528" s="92"/>
      <c r="C528" s="43" t="s">
        <v>179</v>
      </c>
      <c r="D528" s="42">
        <v>120</v>
      </c>
      <c r="E528" s="41">
        <v>6.1703002879473466E-3</v>
      </c>
    </row>
    <row r="529" spans="2:5" ht="15" customHeight="1">
      <c r="B529" s="92"/>
      <c r="C529" s="43" t="s">
        <v>178</v>
      </c>
      <c r="D529" s="42">
        <v>8</v>
      </c>
      <c r="E529" s="41">
        <v>4.1135335252982314E-4</v>
      </c>
    </row>
    <row r="530" spans="2:5" ht="15" customHeight="1">
      <c r="B530" s="92"/>
      <c r="C530" s="43" t="s">
        <v>177</v>
      </c>
      <c r="D530" s="42">
        <v>25</v>
      </c>
      <c r="E530" s="41">
        <v>1.2854792266556972E-3</v>
      </c>
    </row>
    <row r="531" spans="2:5" ht="15" customHeight="1">
      <c r="B531" s="92"/>
      <c r="C531" s="43" t="s">
        <v>176</v>
      </c>
      <c r="D531" s="42">
        <v>29</v>
      </c>
      <c r="E531" s="41">
        <v>1.4911559029206088E-3</v>
      </c>
    </row>
    <row r="532" spans="2:5" ht="15" customHeight="1">
      <c r="B532" s="92"/>
      <c r="C532" s="43" t="s">
        <v>175</v>
      </c>
      <c r="D532" s="42">
        <v>191</v>
      </c>
      <c r="E532" s="41">
        <v>9.8210612916495264E-3</v>
      </c>
    </row>
    <row r="533" spans="2:5" ht="15" customHeight="1">
      <c r="B533" s="92"/>
      <c r="C533" s="43" t="s">
        <v>174</v>
      </c>
      <c r="D533" s="42">
        <v>7</v>
      </c>
      <c r="E533" s="41">
        <v>3.5993418346359524E-4</v>
      </c>
    </row>
    <row r="534" spans="2:5" ht="15" customHeight="1">
      <c r="B534" s="92"/>
      <c r="C534" s="43" t="s">
        <v>173</v>
      </c>
      <c r="D534" s="42">
        <v>55</v>
      </c>
      <c r="E534" s="41">
        <v>2.8280542986425339E-3</v>
      </c>
    </row>
    <row r="535" spans="2:5" ht="15" customHeight="1">
      <c r="B535" s="92"/>
      <c r="C535" s="43" t="s">
        <v>172</v>
      </c>
      <c r="D535" s="42">
        <v>124</v>
      </c>
      <c r="E535" s="41">
        <v>6.375976964212258E-3</v>
      </c>
    </row>
    <row r="536" spans="2:5" ht="15" customHeight="1">
      <c r="B536" s="92"/>
      <c r="C536" s="43" t="s">
        <v>171</v>
      </c>
      <c r="D536" s="42">
        <v>2</v>
      </c>
      <c r="E536" s="41">
        <v>1.0283833813245579E-4</v>
      </c>
    </row>
    <row r="537" spans="2:5" ht="15" customHeight="1">
      <c r="B537" s="92"/>
      <c r="C537" s="43" t="s">
        <v>167</v>
      </c>
      <c r="D537" s="42">
        <v>13</v>
      </c>
      <c r="E537" s="41">
        <v>6.6844919786096253E-4</v>
      </c>
    </row>
    <row r="538" spans="2:5" ht="15" customHeight="1">
      <c r="B538" s="92"/>
      <c r="C538" s="43" t="s">
        <v>166</v>
      </c>
      <c r="D538" s="42">
        <v>23</v>
      </c>
      <c r="E538" s="41">
        <v>1.1826408885232415E-3</v>
      </c>
    </row>
    <row r="539" spans="2:5" ht="15" customHeight="1">
      <c r="B539" s="92"/>
      <c r="C539" s="43" t="s">
        <v>191</v>
      </c>
      <c r="D539" s="42">
        <v>1</v>
      </c>
      <c r="E539" s="41">
        <v>5.1419169066227893E-5</v>
      </c>
    </row>
    <row r="540" spans="2:5" ht="15" customHeight="1">
      <c r="B540" s="93"/>
      <c r="C540" s="40" t="s">
        <v>20</v>
      </c>
      <c r="D540" s="39">
        <v>669</v>
      </c>
      <c r="E540" s="38">
        <v>3.4399424105306456E-2</v>
      </c>
    </row>
    <row r="541" spans="2:5" ht="15" customHeight="1">
      <c r="B541" s="91" t="s">
        <v>100</v>
      </c>
      <c r="C541" s="43" t="s">
        <v>180</v>
      </c>
      <c r="D541" s="42">
        <v>3</v>
      </c>
      <c r="E541" s="41">
        <v>1.5425750719868367E-4</v>
      </c>
    </row>
    <row r="542" spans="2:5" ht="15" customHeight="1">
      <c r="B542" s="92"/>
      <c r="C542" s="43" t="s">
        <v>179</v>
      </c>
      <c r="D542" s="42">
        <v>1</v>
      </c>
      <c r="E542" s="41">
        <v>5.1419169066227893E-5</v>
      </c>
    </row>
    <row r="543" spans="2:5" ht="15" customHeight="1">
      <c r="B543" s="92"/>
      <c r="C543" s="43" t="s">
        <v>178</v>
      </c>
      <c r="D543" s="42">
        <v>1</v>
      </c>
      <c r="E543" s="41">
        <v>5.1419169066227893E-5</v>
      </c>
    </row>
    <row r="544" spans="2:5" ht="15" customHeight="1">
      <c r="B544" s="92"/>
      <c r="C544" s="43" t="s">
        <v>176</v>
      </c>
      <c r="D544" s="42">
        <v>2</v>
      </c>
      <c r="E544" s="41">
        <v>1.0283833813245579E-4</v>
      </c>
    </row>
    <row r="545" spans="2:5" ht="15" customHeight="1">
      <c r="B545" s="92"/>
      <c r="C545" s="43" t="s">
        <v>175</v>
      </c>
      <c r="D545" s="42">
        <v>3</v>
      </c>
      <c r="E545" s="41">
        <v>1.5425750719868367E-4</v>
      </c>
    </row>
    <row r="546" spans="2:5" ht="15" customHeight="1">
      <c r="B546" s="92"/>
      <c r="C546" s="43" t="s">
        <v>172</v>
      </c>
      <c r="D546" s="42">
        <v>7</v>
      </c>
      <c r="E546" s="41">
        <v>3.5993418346359524E-4</v>
      </c>
    </row>
    <row r="547" spans="2:5" ht="15" customHeight="1">
      <c r="B547" s="92"/>
      <c r="C547" s="43" t="s">
        <v>166</v>
      </c>
      <c r="D547" s="42">
        <v>3</v>
      </c>
      <c r="E547" s="41">
        <v>1.5425750719868367E-4</v>
      </c>
    </row>
    <row r="548" spans="2:5" ht="15" customHeight="1">
      <c r="B548" s="92"/>
      <c r="C548" s="43" t="s">
        <v>163</v>
      </c>
      <c r="D548" s="42">
        <v>1</v>
      </c>
      <c r="E548" s="41">
        <v>5.1419169066227893E-5</v>
      </c>
    </row>
    <row r="549" spans="2:5" ht="15" customHeight="1">
      <c r="B549" s="93"/>
      <c r="C549" s="40" t="s">
        <v>20</v>
      </c>
      <c r="D549" s="39">
        <v>21</v>
      </c>
      <c r="E549" s="38">
        <v>1.0798025503907856E-3</v>
      </c>
    </row>
    <row r="550" spans="2:5" ht="15" customHeight="1">
      <c r="B550" s="91" t="s">
        <v>85</v>
      </c>
      <c r="C550" s="43" t="s">
        <v>186</v>
      </c>
      <c r="D550" s="42">
        <v>2</v>
      </c>
      <c r="E550" s="41">
        <v>1.0283833813245579E-4</v>
      </c>
    </row>
    <row r="551" spans="2:5" ht="15" customHeight="1">
      <c r="B551" s="92"/>
      <c r="C551" s="43" t="s">
        <v>180</v>
      </c>
      <c r="D551" s="42">
        <v>4</v>
      </c>
      <c r="E551" s="41">
        <v>2.0567667626491157E-4</v>
      </c>
    </row>
    <row r="552" spans="2:5" ht="15" customHeight="1">
      <c r="B552" s="92"/>
      <c r="C552" s="43" t="s">
        <v>179</v>
      </c>
      <c r="D552" s="42">
        <v>16</v>
      </c>
      <c r="E552" s="41">
        <v>8.2270670505964628E-4</v>
      </c>
    </row>
    <row r="553" spans="2:5" ht="15" customHeight="1">
      <c r="B553" s="92"/>
      <c r="C553" s="43" t="s">
        <v>178</v>
      </c>
      <c r="D553" s="42">
        <v>1</v>
      </c>
      <c r="E553" s="41">
        <v>5.1419169066227893E-5</v>
      </c>
    </row>
    <row r="554" spans="2:5" ht="15" customHeight="1">
      <c r="B554" s="92"/>
      <c r="C554" s="43" t="s">
        <v>177</v>
      </c>
      <c r="D554" s="42">
        <v>2</v>
      </c>
      <c r="E554" s="41">
        <v>1.0283833813245579E-4</v>
      </c>
    </row>
    <row r="555" spans="2:5" ht="15" customHeight="1">
      <c r="B555" s="92"/>
      <c r="C555" s="43" t="s">
        <v>176</v>
      </c>
      <c r="D555" s="42">
        <v>3</v>
      </c>
      <c r="E555" s="41">
        <v>1.5425750719868367E-4</v>
      </c>
    </row>
    <row r="556" spans="2:5" ht="15" customHeight="1">
      <c r="B556" s="92"/>
      <c r="C556" s="43" t="s">
        <v>175</v>
      </c>
      <c r="D556" s="42">
        <v>31</v>
      </c>
      <c r="E556" s="41">
        <v>1.5939942410530645E-3</v>
      </c>
    </row>
    <row r="557" spans="2:5" ht="15" customHeight="1">
      <c r="B557" s="92"/>
      <c r="C557" s="43" t="s">
        <v>174</v>
      </c>
      <c r="D557" s="42">
        <v>3</v>
      </c>
      <c r="E557" s="41">
        <v>1.5425750719868367E-4</v>
      </c>
    </row>
    <row r="558" spans="2:5" ht="15" customHeight="1">
      <c r="B558" s="92"/>
      <c r="C558" s="43" t="s">
        <v>173</v>
      </c>
      <c r="D558" s="42">
        <v>9</v>
      </c>
      <c r="E558" s="41">
        <v>4.6277252159605099E-4</v>
      </c>
    </row>
    <row r="559" spans="2:5" ht="15" customHeight="1">
      <c r="B559" s="92"/>
      <c r="C559" s="43" t="s">
        <v>172</v>
      </c>
      <c r="D559" s="42">
        <v>30</v>
      </c>
      <c r="E559" s="41">
        <v>1.5425750719868367E-3</v>
      </c>
    </row>
    <row r="560" spans="2:5" ht="15" customHeight="1">
      <c r="B560" s="92"/>
      <c r="C560" s="43" t="s">
        <v>167</v>
      </c>
      <c r="D560" s="42">
        <v>3</v>
      </c>
      <c r="E560" s="41">
        <v>1.5425750719868367E-4</v>
      </c>
    </row>
    <row r="561" spans="2:5" ht="15" customHeight="1">
      <c r="B561" s="92"/>
      <c r="C561" s="43" t="s">
        <v>166</v>
      </c>
      <c r="D561" s="42">
        <v>6</v>
      </c>
      <c r="E561" s="41">
        <v>3.0851501439736734E-4</v>
      </c>
    </row>
    <row r="562" spans="2:5" ht="15" customHeight="1">
      <c r="B562" s="93"/>
      <c r="C562" s="40" t="s">
        <v>20</v>
      </c>
      <c r="D562" s="39">
        <v>110</v>
      </c>
      <c r="E562" s="38">
        <v>5.6561085972850677E-3</v>
      </c>
    </row>
    <row r="563" spans="2:5" ht="15" customHeight="1">
      <c r="B563" s="91" t="s">
        <v>87</v>
      </c>
      <c r="C563" s="43" t="s">
        <v>186</v>
      </c>
      <c r="D563" s="42">
        <v>1</v>
      </c>
      <c r="E563" s="41">
        <v>5.1419169066227893E-5</v>
      </c>
    </row>
    <row r="564" spans="2:5" ht="15" customHeight="1">
      <c r="B564" s="92"/>
      <c r="C564" s="43" t="s">
        <v>182</v>
      </c>
      <c r="D564" s="42">
        <v>1</v>
      </c>
      <c r="E564" s="41">
        <v>5.1419169066227893E-5</v>
      </c>
    </row>
    <row r="565" spans="2:5" ht="15" customHeight="1">
      <c r="B565" s="92"/>
      <c r="C565" s="43" t="s">
        <v>180</v>
      </c>
      <c r="D565" s="42">
        <v>4</v>
      </c>
      <c r="E565" s="41">
        <v>2.0567667626491157E-4</v>
      </c>
    </row>
    <row r="566" spans="2:5" ht="15" customHeight="1">
      <c r="B566" s="92"/>
      <c r="C566" s="43" t="s">
        <v>176</v>
      </c>
      <c r="D566" s="42">
        <v>1</v>
      </c>
      <c r="E566" s="41">
        <v>5.1419169066227893E-5</v>
      </c>
    </row>
    <row r="567" spans="2:5" ht="15" customHeight="1">
      <c r="B567" s="92"/>
      <c r="C567" s="43" t="s">
        <v>175</v>
      </c>
      <c r="D567" s="42">
        <v>7</v>
      </c>
      <c r="E567" s="41">
        <v>3.5993418346359524E-4</v>
      </c>
    </row>
    <row r="568" spans="2:5" ht="15" customHeight="1">
      <c r="B568" s="92"/>
      <c r="C568" s="43" t="s">
        <v>174</v>
      </c>
      <c r="D568" s="42">
        <v>1</v>
      </c>
      <c r="E568" s="41">
        <v>5.1419169066227893E-5</v>
      </c>
    </row>
    <row r="569" spans="2:5" ht="15" customHeight="1">
      <c r="B569" s="92"/>
      <c r="C569" s="43" t="s">
        <v>173</v>
      </c>
      <c r="D569" s="42">
        <v>1</v>
      </c>
      <c r="E569" s="41">
        <v>5.1419169066227893E-5</v>
      </c>
    </row>
    <row r="570" spans="2:5" ht="15" customHeight="1">
      <c r="B570" s="92"/>
      <c r="C570" s="43" t="s">
        <v>172</v>
      </c>
      <c r="D570" s="42">
        <v>13</v>
      </c>
      <c r="E570" s="41">
        <v>6.6844919786096253E-4</v>
      </c>
    </row>
    <row r="571" spans="2:5" ht="15" customHeight="1">
      <c r="B571" s="92"/>
      <c r="C571" s="43" t="s">
        <v>170</v>
      </c>
      <c r="D571" s="42">
        <v>2</v>
      </c>
      <c r="E571" s="41">
        <v>1.0283833813245579E-4</v>
      </c>
    </row>
    <row r="572" spans="2:5" ht="15" customHeight="1">
      <c r="B572" s="92"/>
      <c r="C572" s="43" t="s">
        <v>167</v>
      </c>
      <c r="D572" s="42">
        <v>1</v>
      </c>
      <c r="E572" s="41">
        <v>5.1419169066227893E-5</v>
      </c>
    </row>
    <row r="573" spans="2:5" ht="15" customHeight="1">
      <c r="B573" s="92"/>
      <c r="C573" s="43" t="s">
        <v>166</v>
      </c>
      <c r="D573" s="42">
        <v>7</v>
      </c>
      <c r="E573" s="41">
        <v>3.5993418346359524E-4</v>
      </c>
    </row>
    <row r="574" spans="2:5" ht="15" customHeight="1">
      <c r="B574" s="93"/>
      <c r="C574" s="40" t="s">
        <v>20</v>
      </c>
      <c r="D574" s="39">
        <v>39</v>
      </c>
      <c r="E574" s="38">
        <v>2.0053475935828879E-3</v>
      </c>
    </row>
    <row r="575" spans="2:5" ht="15" customHeight="1">
      <c r="B575" s="91" t="s">
        <v>95</v>
      </c>
      <c r="C575" s="43" t="s">
        <v>186</v>
      </c>
      <c r="D575" s="42">
        <v>9</v>
      </c>
      <c r="E575" s="41">
        <v>4.6277252159605099E-4</v>
      </c>
    </row>
    <row r="576" spans="2:5" ht="15" customHeight="1">
      <c r="B576" s="92"/>
      <c r="C576" s="43" t="s">
        <v>185</v>
      </c>
      <c r="D576" s="42">
        <v>2</v>
      </c>
      <c r="E576" s="41">
        <v>1.0283833813245579E-4</v>
      </c>
    </row>
    <row r="577" spans="2:5" ht="15" customHeight="1">
      <c r="B577" s="92"/>
      <c r="C577" s="43" t="s">
        <v>184</v>
      </c>
      <c r="D577" s="42">
        <v>5</v>
      </c>
      <c r="E577" s="41">
        <v>2.5709584533113944E-4</v>
      </c>
    </row>
    <row r="578" spans="2:5" ht="15" customHeight="1">
      <c r="B578" s="92"/>
      <c r="C578" s="43" t="s">
        <v>183</v>
      </c>
      <c r="D578" s="42">
        <v>9</v>
      </c>
      <c r="E578" s="41">
        <v>4.6277252159605099E-4</v>
      </c>
    </row>
    <row r="579" spans="2:5" ht="15" customHeight="1">
      <c r="B579" s="92"/>
      <c r="C579" s="43" t="s">
        <v>182</v>
      </c>
      <c r="D579" s="42">
        <v>6</v>
      </c>
      <c r="E579" s="41">
        <v>3.0851501439736734E-4</v>
      </c>
    </row>
    <row r="580" spans="2:5" ht="15" customHeight="1">
      <c r="B580" s="92"/>
      <c r="C580" s="43" t="s">
        <v>181</v>
      </c>
      <c r="D580" s="42">
        <v>7</v>
      </c>
      <c r="E580" s="41">
        <v>3.5993418346359524E-4</v>
      </c>
    </row>
    <row r="581" spans="2:5" ht="15" customHeight="1">
      <c r="B581" s="92"/>
      <c r="C581" s="43" t="s">
        <v>180</v>
      </c>
      <c r="D581" s="42">
        <v>59</v>
      </c>
      <c r="E581" s="41">
        <v>3.0337309749074457E-3</v>
      </c>
    </row>
    <row r="582" spans="2:5" ht="15" customHeight="1">
      <c r="B582" s="92"/>
      <c r="C582" s="43" t="s">
        <v>179</v>
      </c>
      <c r="D582" s="42">
        <v>38</v>
      </c>
      <c r="E582" s="41">
        <v>1.9539284245166598E-3</v>
      </c>
    </row>
    <row r="583" spans="2:5" ht="15" customHeight="1">
      <c r="B583" s="92"/>
      <c r="C583" s="43" t="s">
        <v>178</v>
      </c>
      <c r="D583" s="42">
        <v>2</v>
      </c>
      <c r="E583" s="41">
        <v>1.0283833813245579E-4</v>
      </c>
    </row>
    <row r="584" spans="2:5" ht="15" customHeight="1">
      <c r="B584" s="92"/>
      <c r="C584" s="43" t="s">
        <v>177</v>
      </c>
      <c r="D584" s="42">
        <v>17</v>
      </c>
      <c r="E584" s="41">
        <v>8.7412587412587413E-4</v>
      </c>
    </row>
    <row r="585" spans="2:5" ht="15" customHeight="1">
      <c r="B585" s="92"/>
      <c r="C585" s="43" t="s">
        <v>176</v>
      </c>
      <c r="D585" s="42">
        <v>40</v>
      </c>
      <c r="E585" s="41">
        <v>2.0567667626491155E-3</v>
      </c>
    </row>
    <row r="586" spans="2:5" ht="15" customHeight="1">
      <c r="B586" s="92"/>
      <c r="C586" s="43" t="s">
        <v>175</v>
      </c>
      <c r="D586" s="42">
        <v>218</v>
      </c>
      <c r="E586" s="41">
        <v>1.120937885643768E-2</v>
      </c>
    </row>
    <row r="587" spans="2:5" ht="15" customHeight="1">
      <c r="B587" s="92"/>
      <c r="C587" s="43" t="s">
        <v>174</v>
      </c>
      <c r="D587" s="42">
        <v>20</v>
      </c>
      <c r="E587" s="41">
        <v>1.0283833813245578E-3</v>
      </c>
    </row>
    <row r="588" spans="2:5" ht="15" customHeight="1">
      <c r="B588" s="92"/>
      <c r="C588" s="43" t="s">
        <v>173</v>
      </c>
      <c r="D588" s="42">
        <v>42</v>
      </c>
      <c r="E588" s="41">
        <v>2.1596051007815712E-3</v>
      </c>
    </row>
    <row r="589" spans="2:5" ht="15" customHeight="1">
      <c r="B589" s="92"/>
      <c r="C589" s="43" t="s">
        <v>172</v>
      </c>
      <c r="D589" s="42">
        <v>270</v>
      </c>
      <c r="E589" s="41">
        <v>1.3883175647881531E-2</v>
      </c>
    </row>
    <row r="590" spans="2:5" ht="15" customHeight="1">
      <c r="B590" s="92"/>
      <c r="C590" s="43" t="s">
        <v>171</v>
      </c>
      <c r="D590" s="42">
        <v>2</v>
      </c>
      <c r="E590" s="41">
        <v>1.0283833813245579E-4</v>
      </c>
    </row>
    <row r="591" spans="2:5" ht="15" customHeight="1">
      <c r="B591" s="92"/>
      <c r="C591" s="43" t="s">
        <v>170</v>
      </c>
      <c r="D591" s="42">
        <v>3</v>
      </c>
      <c r="E591" s="41">
        <v>1.5425750719868367E-4</v>
      </c>
    </row>
    <row r="592" spans="2:5" ht="15" customHeight="1">
      <c r="B592" s="92"/>
      <c r="C592" s="43" t="s">
        <v>169</v>
      </c>
      <c r="D592" s="42">
        <v>1</v>
      </c>
      <c r="E592" s="41">
        <v>5.1419169066227893E-5</v>
      </c>
    </row>
    <row r="593" spans="2:5" ht="15" customHeight="1">
      <c r="B593" s="92"/>
      <c r="C593" s="43" t="s">
        <v>168</v>
      </c>
      <c r="D593" s="42">
        <v>2</v>
      </c>
      <c r="E593" s="41">
        <v>1.0283833813245579E-4</v>
      </c>
    </row>
    <row r="594" spans="2:5" ht="15" customHeight="1">
      <c r="B594" s="92"/>
      <c r="C594" s="43" t="s">
        <v>167</v>
      </c>
      <c r="D594" s="42">
        <v>12</v>
      </c>
      <c r="E594" s="41">
        <v>6.1703002879473468E-4</v>
      </c>
    </row>
    <row r="595" spans="2:5" ht="15" customHeight="1">
      <c r="B595" s="92"/>
      <c r="C595" s="43" t="s">
        <v>166</v>
      </c>
      <c r="D595" s="42">
        <v>73</v>
      </c>
      <c r="E595" s="41">
        <v>3.7535993418346359E-3</v>
      </c>
    </row>
    <row r="596" spans="2:5" ht="15" customHeight="1">
      <c r="B596" s="92"/>
      <c r="C596" s="43" t="s">
        <v>164</v>
      </c>
      <c r="D596" s="42">
        <v>5</v>
      </c>
      <c r="E596" s="41">
        <v>2.5709584533113944E-4</v>
      </c>
    </row>
    <row r="597" spans="2:5" ht="15" customHeight="1">
      <c r="B597" s="93"/>
      <c r="C597" s="40" t="s">
        <v>20</v>
      </c>
      <c r="D597" s="39">
        <v>842</v>
      </c>
      <c r="E597" s="38">
        <v>4.3294940353763883E-2</v>
      </c>
    </row>
    <row r="598" spans="2:5" ht="15" customHeight="1">
      <c r="B598" s="91" t="s">
        <v>107</v>
      </c>
      <c r="C598" s="43" t="s">
        <v>185</v>
      </c>
      <c r="D598" s="42">
        <v>1</v>
      </c>
      <c r="E598" s="41">
        <v>5.1419169066227893E-5</v>
      </c>
    </row>
    <row r="599" spans="2:5" ht="15" customHeight="1">
      <c r="B599" s="92"/>
      <c r="C599" s="43" t="s">
        <v>182</v>
      </c>
      <c r="D599" s="42">
        <v>1</v>
      </c>
      <c r="E599" s="41">
        <v>5.1419169066227893E-5</v>
      </c>
    </row>
    <row r="600" spans="2:5" ht="15" customHeight="1">
      <c r="B600" s="92"/>
      <c r="C600" s="43" t="s">
        <v>180</v>
      </c>
      <c r="D600" s="42">
        <v>1</v>
      </c>
      <c r="E600" s="41">
        <v>5.1419169066227893E-5</v>
      </c>
    </row>
    <row r="601" spans="2:5" ht="15" customHeight="1">
      <c r="B601" s="92"/>
      <c r="C601" s="43" t="s">
        <v>179</v>
      </c>
      <c r="D601" s="42">
        <v>1</v>
      </c>
      <c r="E601" s="41">
        <v>5.1419169066227893E-5</v>
      </c>
    </row>
    <row r="602" spans="2:5" ht="15" customHeight="1">
      <c r="B602" s="92"/>
      <c r="C602" s="43" t="s">
        <v>176</v>
      </c>
      <c r="D602" s="42">
        <v>5</v>
      </c>
      <c r="E602" s="41">
        <v>2.5709584533113944E-4</v>
      </c>
    </row>
    <row r="603" spans="2:5" ht="15" customHeight="1">
      <c r="B603" s="92"/>
      <c r="C603" s="43" t="s">
        <v>175</v>
      </c>
      <c r="D603" s="42">
        <v>1</v>
      </c>
      <c r="E603" s="41">
        <v>5.1419169066227893E-5</v>
      </c>
    </row>
    <row r="604" spans="2:5" ht="15" customHeight="1">
      <c r="B604" s="92"/>
      <c r="C604" s="43" t="s">
        <v>173</v>
      </c>
      <c r="D604" s="42">
        <v>3</v>
      </c>
      <c r="E604" s="41">
        <v>1.5425750719868367E-4</v>
      </c>
    </row>
    <row r="605" spans="2:5" ht="15" customHeight="1">
      <c r="B605" s="92"/>
      <c r="C605" s="43" t="s">
        <v>172</v>
      </c>
      <c r="D605" s="42">
        <v>7</v>
      </c>
      <c r="E605" s="41">
        <v>3.5993418346359524E-4</v>
      </c>
    </row>
    <row r="606" spans="2:5" ht="15" customHeight="1">
      <c r="B606" s="92"/>
      <c r="C606" s="43" t="s">
        <v>171</v>
      </c>
      <c r="D606" s="42">
        <v>1</v>
      </c>
      <c r="E606" s="41">
        <v>5.1419169066227893E-5</v>
      </c>
    </row>
    <row r="607" spans="2:5" ht="15" customHeight="1">
      <c r="B607" s="92"/>
      <c r="C607" s="43" t="s">
        <v>167</v>
      </c>
      <c r="D607" s="42">
        <v>1</v>
      </c>
      <c r="E607" s="41">
        <v>5.1419169066227893E-5</v>
      </c>
    </row>
    <row r="608" spans="2:5" ht="15" customHeight="1">
      <c r="B608" s="92"/>
      <c r="C608" s="43" t="s">
        <v>166</v>
      </c>
      <c r="D608" s="42">
        <v>2</v>
      </c>
      <c r="E608" s="41">
        <v>1.0283833813245579E-4</v>
      </c>
    </row>
    <row r="609" spans="2:5" ht="15" customHeight="1">
      <c r="B609" s="93"/>
      <c r="C609" s="40" t="s">
        <v>20</v>
      </c>
      <c r="D609" s="39">
        <v>24</v>
      </c>
      <c r="E609" s="38">
        <v>1.2340600575894694E-3</v>
      </c>
    </row>
    <row r="610" spans="2:5" ht="15" customHeight="1">
      <c r="B610" s="91" t="s">
        <v>91</v>
      </c>
      <c r="C610" s="43" t="s">
        <v>186</v>
      </c>
      <c r="D610" s="42">
        <v>1</v>
      </c>
      <c r="E610" s="41">
        <v>5.1419169066227893E-5</v>
      </c>
    </row>
    <row r="611" spans="2:5" ht="15" customHeight="1">
      <c r="B611" s="92"/>
      <c r="C611" s="43" t="s">
        <v>185</v>
      </c>
      <c r="D611" s="42">
        <v>1</v>
      </c>
      <c r="E611" s="41">
        <v>5.1419169066227893E-5</v>
      </c>
    </row>
    <row r="612" spans="2:5" ht="15" customHeight="1">
      <c r="B612" s="92"/>
      <c r="C612" s="43" t="s">
        <v>184</v>
      </c>
      <c r="D612" s="42">
        <v>2</v>
      </c>
      <c r="E612" s="41">
        <v>1.0283833813245579E-4</v>
      </c>
    </row>
    <row r="613" spans="2:5" ht="15" customHeight="1">
      <c r="B613" s="92"/>
      <c r="C613" s="43" t="s">
        <v>180</v>
      </c>
      <c r="D613" s="42">
        <v>1</v>
      </c>
      <c r="E613" s="41">
        <v>5.1419169066227893E-5</v>
      </c>
    </row>
    <row r="614" spans="2:5" ht="15" customHeight="1">
      <c r="B614" s="92"/>
      <c r="C614" s="43" t="s">
        <v>179</v>
      </c>
      <c r="D614" s="42">
        <v>2</v>
      </c>
      <c r="E614" s="41">
        <v>1.0283833813245579E-4</v>
      </c>
    </row>
    <row r="615" spans="2:5" ht="15" customHeight="1">
      <c r="B615" s="92"/>
      <c r="C615" s="43" t="s">
        <v>175</v>
      </c>
      <c r="D615" s="42">
        <v>6</v>
      </c>
      <c r="E615" s="41">
        <v>3.0851501439736734E-4</v>
      </c>
    </row>
    <row r="616" spans="2:5" ht="15" customHeight="1">
      <c r="B616" s="92"/>
      <c r="C616" s="43" t="s">
        <v>174</v>
      </c>
      <c r="D616" s="42">
        <v>2</v>
      </c>
      <c r="E616" s="41">
        <v>1.0283833813245579E-4</v>
      </c>
    </row>
    <row r="617" spans="2:5" ht="15" customHeight="1">
      <c r="B617" s="92"/>
      <c r="C617" s="43" t="s">
        <v>173</v>
      </c>
      <c r="D617" s="42">
        <v>4</v>
      </c>
      <c r="E617" s="41">
        <v>2.0567667626491157E-4</v>
      </c>
    </row>
    <row r="618" spans="2:5" ht="15" customHeight="1">
      <c r="B618" s="92"/>
      <c r="C618" s="43" t="s">
        <v>172</v>
      </c>
      <c r="D618" s="42">
        <v>7</v>
      </c>
      <c r="E618" s="41">
        <v>3.5993418346359524E-4</v>
      </c>
    </row>
    <row r="619" spans="2:5" ht="15" customHeight="1">
      <c r="B619" s="92"/>
      <c r="C619" s="43" t="s">
        <v>169</v>
      </c>
      <c r="D619" s="42">
        <v>1</v>
      </c>
      <c r="E619" s="41">
        <v>5.1419169066227893E-5</v>
      </c>
    </row>
    <row r="620" spans="2:5" ht="15" customHeight="1">
      <c r="B620" s="92"/>
      <c r="C620" s="43" t="s">
        <v>166</v>
      </c>
      <c r="D620" s="42">
        <v>3</v>
      </c>
      <c r="E620" s="41">
        <v>1.5425750719868367E-4</v>
      </c>
    </row>
    <row r="621" spans="2:5" ht="15" customHeight="1">
      <c r="B621" s="93"/>
      <c r="C621" s="40" t="s">
        <v>20</v>
      </c>
      <c r="D621" s="39">
        <v>30</v>
      </c>
      <c r="E621" s="38">
        <v>1.5425750719868367E-3</v>
      </c>
    </row>
    <row r="622" spans="2:5" ht="15" customHeight="1">
      <c r="B622" s="91" t="s">
        <v>104</v>
      </c>
      <c r="C622" s="43" t="s">
        <v>180</v>
      </c>
      <c r="D622" s="42">
        <v>4</v>
      </c>
      <c r="E622" s="41">
        <v>2.0567667626491157E-4</v>
      </c>
    </row>
    <row r="623" spans="2:5" ht="15" customHeight="1">
      <c r="B623" s="92"/>
      <c r="C623" s="43" t="s">
        <v>179</v>
      </c>
      <c r="D623" s="42">
        <v>3</v>
      </c>
      <c r="E623" s="41">
        <v>1.5425750719868367E-4</v>
      </c>
    </row>
    <row r="624" spans="2:5" ht="15" customHeight="1">
      <c r="B624" s="92"/>
      <c r="C624" s="43" t="s">
        <v>177</v>
      </c>
      <c r="D624" s="42">
        <v>1</v>
      </c>
      <c r="E624" s="41">
        <v>5.1419169066227893E-5</v>
      </c>
    </row>
    <row r="625" spans="2:5" ht="15" customHeight="1">
      <c r="B625" s="92"/>
      <c r="C625" s="43" t="s">
        <v>176</v>
      </c>
      <c r="D625" s="42">
        <v>2</v>
      </c>
      <c r="E625" s="41">
        <v>1.0283833813245579E-4</v>
      </c>
    </row>
    <row r="626" spans="2:5" ht="15" customHeight="1">
      <c r="B626" s="92"/>
      <c r="C626" s="43" t="s">
        <v>175</v>
      </c>
      <c r="D626" s="42">
        <v>12</v>
      </c>
      <c r="E626" s="41">
        <v>6.1703002879473468E-4</v>
      </c>
    </row>
    <row r="627" spans="2:5" ht="15" customHeight="1">
      <c r="B627" s="92"/>
      <c r="C627" s="43" t="s">
        <v>172</v>
      </c>
      <c r="D627" s="42">
        <v>5</v>
      </c>
      <c r="E627" s="41">
        <v>2.5709584533113944E-4</v>
      </c>
    </row>
    <row r="628" spans="2:5" ht="15" customHeight="1">
      <c r="B628" s="92"/>
      <c r="C628" s="43" t="s">
        <v>168</v>
      </c>
      <c r="D628" s="42">
        <v>1</v>
      </c>
      <c r="E628" s="41">
        <v>5.1419169066227893E-5</v>
      </c>
    </row>
    <row r="629" spans="2:5" ht="15" customHeight="1">
      <c r="B629" s="92"/>
      <c r="C629" s="43" t="s">
        <v>166</v>
      </c>
      <c r="D629" s="42">
        <v>3</v>
      </c>
      <c r="E629" s="41">
        <v>1.5425750719868367E-4</v>
      </c>
    </row>
    <row r="630" spans="2:5" ht="15" customHeight="1">
      <c r="B630" s="93"/>
      <c r="C630" s="40" t="s">
        <v>20</v>
      </c>
      <c r="D630" s="39">
        <v>31</v>
      </c>
      <c r="E630" s="38">
        <v>1.5939942410530645E-3</v>
      </c>
    </row>
    <row r="631" spans="2:5" ht="15" customHeight="1">
      <c r="B631" s="91" t="s">
        <v>190</v>
      </c>
      <c r="C631" s="43" t="s">
        <v>183</v>
      </c>
      <c r="D631" s="42">
        <v>2</v>
      </c>
      <c r="E631" s="41">
        <v>1.0283833813245579E-4</v>
      </c>
    </row>
    <row r="632" spans="2:5" ht="15" customHeight="1">
      <c r="B632" s="92"/>
      <c r="C632" s="43" t="s">
        <v>181</v>
      </c>
      <c r="D632" s="42">
        <v>1</v>
      </c>
      <c r="E632" s="41">
        <v>5.1419169066227893E-5</v>
      </c>
    </row>
    <row r="633" spans="2:5" ht="15" customHeight="1">
      <c r="B633" s="92"/>
      <c r="C633" s="43" t="s">
        <v>180</v>
      </c>
      <c r="D633" s="42">
        <v>3</v>
      </c>
      <c r="E633" s="41">
        <v>1.5425750719868367E-4</v>
      </c>
    </row>
    <row r="634" spans="2:5" ht="15" customHeight="1">
      <c r="B634" s="92"/>
      <c r="C634" s="43" t="s">
        <v>179</v>
      </c>
      <c r="D634" s="42">
        <v>1</v>
      </c>
      <c r="E634" s="41">
        <v>5.1419169066227893E-5</v>
      </c>
    </row>
    <row r="635" spans="2:5" ht="15" customHeight="1">
      <c r="B635" s="92"/>
      <c r="C635" s="43" t="s">
        <v>177</v>
      </c>
      <c r="D635" s="42">
        <v>2</v>
      </c>
      <c r="E635" s="41">
        <v>1.0283833813245579E-4</v>
      </c>
    </row>
    <row r="636" spans="2:5" ht="15" customHeight="1">
      <c r="B636" s="92"/>
      <c r="C636" s="43" t="s">
        <v>176</v>
      </c>
      <c r="D636" s="42">
        <v>1</v>
      </c>
      <c r="E636" s="41">
        <v>5.1419169066227893E-5</v>
      </c>
    </row>
    <row r="637" spans="2:5" ht="15" customHeight="1">
      <c r="B637" s="92"/>
      <c r="C637" s="43" t="s">
        <v>175</v>
      </c>
      <c r="D637" s="42">
        <v>7</v>
      </c>
      <c r="E637" s="41">
        <v>3.5993418346359524E-4</v>
      </c>
    </row>
    <row r="638" spans="2:5" ht="15" customHeight="1">
      <c r="B638" s="92"/>
      <c r="C638" s="43" t="s">
        <v>173</v>
      </c>
      <c r="D638" s="42">
        <v>3</v>
      </c>
      <c r="E638" s="41">
        <v>1.5425750719868367E-4</v>
      </c>
    </row>
    <row r="639" spans="2:5" ht="15" customHeight="1">
      <c r="B639" s="92"/>
      <c r="C639" s="43" t="s">
        <v>172</v>
      </c>
      <c r="D639" s="42">
        <v>5</v>
      </c>
      <c r="E639" s="41">
        <v>2.5709584533113944E-4</v>
      </c>
    </row>
    <row r="640" spans="2:5" ht="15" customHeight="1">
      <c r="B640" s="92"/>
      <c r="C640" s="43" t="s">
        <v>167</v>
      </c>
      <c r="D640" s="42">
        <v>1</v>
      </c>
      <c r="E640" s="41">
        <v>5.1419169066227893E-5</v>
      </c>
    </row>
    <row r="641" spans="2:5" ht="15" customHeight="1">
      <c r="B641" s="92"/>
      <c r="C641" s="43" t="s">
        <v>166</v>
      </c>
      <c r="D641" s="42">
        <v>2</v>
      </c>
      <c r="E641" s="41">
        <v>1.0283833813245579E-4</v>
      </c>
    </row>
    <row r="642" spans="2:5" ht="15" customHeight="1">
      <c r="B642" s="93"/>
      <c r="C642" s="40" t="s">
        <v>20</v>
      </c>
      <c r="D642" s="39">
        <v>28</v>
      </c>
      <c r="E642" s="38">
        <v>1.439736733854381E-3</v>
      </c>
    </row>
    <row r="643" spans="2:5" ht="15" customHeight="1">
      <c r="B643" s="91" t="s">
        <v>106</v>
      </c>
      <c r="C643" s="43" t="s">
        <v>186</v>
      </c>
      <c r="D643" s="42">
        <v>1</v>
      </c>
      <c r="E643" s="41">
        <v>5.1419169066227893E-5</v>
      </c>
    </row>
    <row r="644" spans="2:5" ht="15" customHeight="1">
      <c r="B644" s="92"/>
      <c r="C644" s="43" t="s">
        <v>182</v>
      </c>
      <c r="D644" s="42">
        <v>2</v>
      </c>
      <c r="E644" s="41">
        <v>1.0283833813245579E-4</v>
      </c>
    </row>
    <row r="645" spans="2:5" ht="15" customHeight="1">
      <c r="B645" s="92"/>
      <c r="C645" s="43" t="s">
        <v>180</v>
      </c>
      <c r="D645" s="42">
        <v>2</v>
      </c>
      <c r="E645" s="41">
        <v>1.0283833813245579E-4</v>
      </c>
    </row>
    <row r="646" spans="2:5" ht="15" customHeight="1">
      <c r="B646" s="92"/>
      <c r="C646" s="43" t="s">
        <v>179</v>
      </c>
      <c r="D646" s="42">
        <v>2</v>
      </c>
      <c r="E646" s="41">
        <v>1.0283833813245579E-4</v>
      </c>
    </row>
    <row r="647" spans="2:5" ht="15" customHeight="1">
      <c r="B647" s="92"/>
      <c r="C647" s="43" t="s">
        <v>175</v>
      </c>
      <c r="D647" s="42">
        <v>10</v>
      </c>
      <c r="E647" s="41">
        <v>5.1419169066227888E-4</v>
      </c>
    </row>
    <row r="648" spans="2:5" ht="15" customHeight="1">
      <c r="B648" s="92"/>
      <c r="C648" s="43" t="s">
        <v>174</v>
      </c>
      <c r="D648" s="42">
        <v>1</v>
      </c>
      <c r="E648" s="41">
        <v>5.1419169066227893E-5</v>
      </c>
    </row>
    <row r="649" spans="2:5" ht="15" customHeight="1">
      <c r="B649" s="92"/>
      <c r="C649" s="43" t="s">
        <v>173</v>
      </c>
      <c r="D649" s="42">
        <v>1</v>
      </c>
      <c r="E649" s="41">
        <v>5.1419169066227893E-5</v>
      </c>
    </row>
    <row r="650" spans="2:5" ht="15" customHeight="1">
      <c r="B650" s="92"/>
      <c r="C650" s="43" t="s">
        <v>172</v>
      </c>
      <c r="D650" s="42">
        <v>4</v>
      </c>
      <c r="E650" s="41">
        <v>2.0567667626491157E-4</v>
      </c>
    </row>
    <row r="651" spans="2:5" ht="15" customHeight="1">
      <c r="B651" s="92"/>
      <c r="C651" s="43" t="s">
        <v>169</v>
      </c>
      <c r="D651" s="42">
        <v>1</v>
      </c>
      <c r="E651" s="41">
        <v>5.1419169066227893E-5</v>
      </c>
    </row>
    <row r="652" spans="2:5" ht="15" customHeight="1">
      <c r="B652" s="92"/>
      <c r="C652" s="43" t="s">
        <v>166</v>
      </c>
      <c r="D652" s="42">
        <v>5</v>
      </c>
      <c r="E652" s="41">
        <v>2.5709584533113944E-4</v>
      </c>
    </row>
    <row r="653" spans="2:5" ht="15" customHeight="1">
      <c r="B653" s="93"/>
      <c r="C653" s="40" t="s">
        <v>20</v>
      </c>
      <c r="D653" s="39">
        <v>29</v>
      </c>
      <c r="E653" s="38">
        <v>1.4911559029206088E-3</v>
      </c>
    </row>
    <row r="654" spans="2:5" ht="15" customHeight="1">
      <c r="B654" s="91" t="s">
        <v>84</v>
      </c>
      <c r="C654" s="43" t="s">
        <v>180</v>
      </c>
      <c r="D654" s="42">
        <v>2</v>
      </c>
      <c r="E654" s="41">
        <v>1.0283833813245579E-4</v>
      </c>
    </row>
    <row r="655" spans="2:5" ht="15" customHeight="1">
      <c r="B655" s="92"/>
      <c r="C655" s="43" t="s">
        <v>178</v>
      </c>
      <c r="D655" s="42">
        <v>1</v>
      </c>
      <c r="E655" s="41">
        <v>5.1419169066227893E-5</v>
      </c>
    </row>
    <row r="656" spans="2:5" ht="15" customHeight="1">
      <c r="B656" s="92"/>
      <c r="C656" s="43" t="s">
        <v>176</v>
      </c>
      <c r="D656" s="42">
        <v>2</v>
      </c>
      <c r="E656" s="41">
        <v>1.0283833813245579E-4</v>
      </c>
    </row>
    <row r="657" spans="2:5" ht="15" customHeight="1">
      <c r="B657" s="92"/>
      <c r="C657" s="43" t="s">
        <v>175</v>
      </c>
      <c r="D657" s="42">
        <v>1</v>
      </c>
      <c r="E657" s="41">
        <v>5.1419169066227893E-5</v>
      </c>
    </row>
    <row r="658" spans="2:5" ht="15" customHeight="1">
      <c r="B658" s="92"/>
      <c r="C658" s="43" t="s">
        <v>174</v>
      </c>
      <c r="D658" s="42">
        <v>1</v>
      </c>
      <c r="E658" s="41">
        <v>5.1419169066227893E-5</v>
      </c>
    </row>
    <row r="659" spans="2:5" ht="15" customHeight="1">
      <c r="B659" s="92"/>
      <c r="C659" s="43" t="s">
        <v>172</v>
      </c>
      <c r="D659" s="42">
        <v>3</v>
      </c>
      <c r="E659" s="41">
        <v>1.5425750719868367E-4</v>
      </c>
    </row>
    <row r="660" spans="2:5" ht="15" customHeight="1">
      <c r="B660" s="92"/>
      <c r="C660" s="43" t="s">
        <v>167</v>
      </c>
      <c r="D660" s="42">
        <v>2</v>
      </c>
      <c r="E660" s="41">
        <v>1.0283833813245579E-4</v>
      </c>
    </row>
    <row r="661" spans="2:5" ht="15" customHeight="1">
      <c r="B661" s="92"/>
      <c r="C661" s="43" t="s">
        <v>166</v>
      </c>
      <c r="D661" s="42">
        <v>1</v>
      </c>
      <c r="E661" s="41">
        <v>5.1419169066227893E-5</v>
      </c>
    </row>
    <row r="662" spans="2:5" ht="15" customHeight="1">
      <c r="B662" s="93"/>
      <c r="C662" s="40" t="s">
        <v>20</v>
      </c>
      <c r="D662" s="39">
        <v>13</v>
      </c>
      <c r="E662" s="38">
        <v>6.6844919786096253E-4</v>
      </c>
    </row>
    <row r="663" spans="2:5" ht="15" customHeight="1">
      <c r="B663" s="91" t="s">
        <v>75</v>
      </c>
      <c r="C663" s="43" t="s">
        <v>175</v>
      </c>
      <c r="D663" s="42">
        <v>1</v>
      </c>
      <c r="E663" s="41">
        <v>5.1419169066227893E-5</v>
      </c>
    </row>
    <row r="664" spans="2:5" ht="15" customHeight="1">
      <c r="B664" s="92"/>
      <c r="C664" s="43" t="s">
        <v>173</v>
      </c>
      <c r="D664" s="42">
        <v>1</v>
      </c>
      <c r="E664" s="41">
        <v>5.1419169066227893E-5</v>
      </c>
    </row>
    <row r="665" spans="2:5" ht="15" customHeight="1">
      <c r="B665" s="92"/>
      <c r="C665" s="43" t="s">
        <v>166</v>
      </c>
      <c r="D665" s="42">
        <v>2</v>
      </c>
      <c r="E665" s="41">
        <v>1.0283833813245579E-4</v>
      </c>
    </row>
    <row r="666" spans="2:5" ht="15" customHeight="1">
      <c r="B666" s="93"/>
      <c r="C666" s="40" t="s">
        <v>20</v>
      </c>
      <c r="D666" s="39">
        <v>4</v>
      </c>
      <c r="E666" s="38">
        <v>2.0567667626491157E-4</v>
      </c>
    </row>
    <row r="667" spans="2:5" ht="15" customHeight="1">
      <c r="B667" s="91" t="s">
        <v>35</v>
      </c>
      <c r="C667" s="43" t="s">
        <v>186</v>
      </c>
      <c r="D667" s="42">
        <v>1</v>
      </c>
      <c r="E667" s="41">
        <v>5.1419169066227893E-5</v>
      </c>
    </row>
    <row r="668" spans="2:5" ht="15" customHeight="1">
      <c r="B668" s="92"/>
      <c r="C668" s="43" t="s">
        <v>185</v>
      </c>
      <c r="D668" s="42">
        <v>1</v>
      </c>
      <c r="E668" s="41">
        <v>5.1419169066227893E-5</v>
      </c>
    </row>
    <row r="669" spans="2:5" ht="15" customHeight="1">
      <c r="B669" s="92"/>
      <c r="C669" s="43" t="s">
        <v>184</v>
      </c>
      <c r="D669" s="42">
        <v>2</v>
      </c>
      <c r="E669" s="41">
        <v>1.0283833813245579E-4</v>
      </c>
    </row>
    <row r="670" spans="2:5" ht="15" customHeight="1">
      <c r="B670" s="92"/>
      <c r="C670" s="43" t="s">
        <v>183</v>
      </c>
      <c r="D670" s="42">
        <v>1</v>
      </c>
      <c r="E670" s="41">
        <v>5.1419169066227893E-5</v>
      </c>
    </row>
    <row r="671" spans="2:5" ht="15" customHeight="1">
      <c r="B671" s="92"/>
      <c r="C671" s="43" t="s">
        <v>181</v>
      </c>
      <c r="D671" s="42">
        <v>3</v>
      </c>
      <c r="E671" s="41">
        <v>1.5425750719868367E-4</v>
      </c>
    </row>
    <row r="672" spans="2:5" ht="15" customHeight="1">
      <c r="B672" s="92"/>
      <c r="C672" s="43" t="s">
        <v>180</v>
      </c>
      <c r="D672" s="42">
        <v>3</v>
      </c>
      <c r="E672" s="41">
        <v>1.5425750719868367E-4</v>
      </c>
    </row>
    <row r="673" spans="2:5" ht="15" customHeight="1">
      <c r="B673" s="92"/>
      <c r="C673" s="43" t="s">
        <v>179</v>
      </c>
      <c r="D673" s="42">
        <v>11</v>
      </c>
      <c r="E673" s="41">
        <v>5.6561085972850684E-4</v>
      </c>
    </row>
    <row r="674" spans="2:5" ht="15" customHeight="1">
      <c r="B674" s="92"/>
      <c r="C674" s="43" t="s">
        <v>178</v>
      </c>
      <c r="D674" s="42">
        <v>1</v>
      </c>
      <c r="E674" s="41">
        <v>5.1419169066227893E-5</v>
      </c>
    </row>
    <row r="675" spans="2:5" ht="15" customHeight="1">
      <c r="B675" s="92"/>
      <c r="C675" s="43" t="s">
        <v>177</v>
      </c>
      <c r="D675" s="42">
        <v>2</v>
      </c>
      <c r="E675" s="41">
        <v>1.0283833813245579E-4</v>
      </c>
    </row>
    <row r="676" spans="2:5" ht="15" customHeight="1">
      <c r="B676" s="92"/>
      <c r="C676" s="43" t="s">
        <v>176</v>
      </c>
      <c r="D676" s="42">
        <v>3</v>
      </c>
      <c r="E676" s="41">
        <v>1.5425750719868367E-4</v>
      </c>
    </row>
    <row r="677" spans="2:5" ht="15" customHeight="1">
      <c r="B677" s="92"/>
      <c r="C677" s="43" t="s">
        <v>175</v>
      </c>
      <c r="D677" s="42">
        <v>27</v>
      </c>
      <c r="E677" s="41">
        <v>1.3883175647881531E-3</v>
      </c>
    </row>
    <row r="678" spans="2:5" ht="15" customHeight="1">
      <c r="B678" s="92"/>
      <c r="C678" s="43" t="s">
        <v>174</v>
      </c>
      <c r="D678" s="42">
        <v>3</v>
      </c>
      <c r="E678" s="41">
        <v>1.5425750719868367E-4</v>
      </c>
    </row>
    <row r="679" spans="2:5" ht="15" customHeight="1">
      <c r="B679" s="92"/>
      <c r="C679" s="43" t="s">
        <v>173</v>
      </c>
      <c r="D679" s="42">
        <v>9</v>
      </c>
      <c r="E679" s="41">
        <v>4.6277252159605099E-4</v>
      </c>
    </row>
    <row r="680" spans="2:5" ht="15" customHeight="1">
      <c r="B680" s="92"/>
      <c r="C680" s="43" t="s">
        <v>172</v>
      </c>
      <c r="D680" s="42">
        <v>23</v>
      </c>
      <c r="E680" s="41">
        <v>1.1826408885232415E-3</v>
      </c>
    </row>
    <row r="681" spans="2:5" ht="15" customHeight="1">
      <c r="B681" s="92"/>
      <c r="C681" s="43" t="s">
        <v>166</v>
      </c>
      <c r="D681" s="42">
        <v>4</v>
      </c>
      <c r="E681" s="41">
        <v>2.0567667626491157E-4</v>
      </c>
    </row>
    <row r="682" spans="2:5" ht="15" customHeight="1">
      <c r="B682" s="92"/>
      <c r="C682" s="43" t="s">
        <v>191</v>
      </c>
      <c r="D682" s="42">
        <v>1</v>
      </c>
      <c r="E682" s="41">
        <v>5.1419169066227893E-5</v>
      </c>
    </row>
    <row r="683" spans="2:5" ht="15" customHeight="1">
      <c r="B683" s="93"/>
      <c r="C683" s="40" t="s">
        <v>20</v>
      </c>
      <c r="D683" s="39">
        <v>95</v>
      </c>
      <c r="E683" s="38">
        <v>4.8848210612916498E-3</v>
      </c>
    </row>
    <row r="684" spans="2:5" ht="15" customHeight="1">
      <c r="B684" s="91" t="s">
        <v>72</v>
      </c>
      <c r="C684" s="43" t="s">
        <v>175</v>
      </c>
      <c r="D684" s="42">
        <v>1</v>
      </c>
      <c r="E684" s="41">
        <v>5.1419169066227893E-5</v>
      </c>
    </row>
    <row r="685" spans="2:5" ht="15" customHeight="1">
      <c r="B685" s="93"/>
      <c r="C685" s="40" t="s">
        <v>20</v>
      </c>
      <c r="D685" s="39">
        <v>1</v>
      </c>
      <c r="E685" s="38">
        <v>5.1419169066227893E-5</v>
      </c>
    </row>
    <row r="686" spans="2:5" ht="15" customHeight="1">
      <c r="B686" s="89" t="s">
        <v>20</v>
      </c>
      <c r="C686" s="90"/>
      <c r="D686" s="69">
        <v>19448</v>
      </c>
      <c r="E686" s="70">
        <v>1</v>
      </c>
    </row>
    <row r="688" spans="2:5" ht="15" customHeight="1">
      <c r="B688" s="16" t="s">
        <v>240</v>
      </c>
    </row>
    <row r="689" spans="2:2" ht="15" customHeight="1">
      <c r="B689" s="18" t="s">
        <v>19</v>
      </c>
    </row>
    <row r="690" spans="2:2" ht="15" customHeight="1">
      <c r="B690" s="17" t="s">
        <v>18</v>
      </c>
    </row>
    <row r="691" spans="2:2" ht="15" customHeight="1">
      <c r="B691" s="16" t="s">
        <v>17</v>
      </c>
    </row>
    <row r="692" spans="2:2" ht="15" customHeight="1">
      <c r="B692" s="16" t="s">
        <v>241</v>
      </c>
    </row>
  </sheetData>
  <mergeCells count="49">
    <mergeCell ref="B521:B540"/>
    <mergeCell ref="B246:B262"/>
    <mergeCell ref="B263:B278"/>
    <mergeCell ref="B279:B301"/>
    <mergeCell ref="B207:B220"/>
    <mergeCell ref="B221:B245"/>
    <mergeCell ref="B465:B485"/>
    <mergeCell ref="B486:B496"/>
    <mergeCell ref="B497:B510"/>
    <mergeCell ref="B511:B515"/>
    <mergeCell ref="B516:B520"/>
    <mergeCell ref="B447:B464"/>
    <mergeCell ref="B302:B312"/>
    <mergeCell ref="B313:B333"/>
    <mergeCell ref="B334:B352"/>
    <mergeCell ref="B7:E8"/>
    <mergeCell ref="B155:B166"/>
    <mergeCell ref="B167:B185"/>
    <mergeCell ref="B186:B192"/>
    <mergeCell ref="B193:B206"/>
    <mergeCell ref="B77:B99"/>
    <mergeCell ref="B100:B102"/>
    <mergeCell ref="B103:B124"/>
    <mergeCell ref="B125:B149"/>
    <mergeCell ref="B150:B154"/>
    <mergeCell ref="B19:B41"/>
    <mergeCell ref="B42:B61"/>
    <mergeCell ref="B62:B68"/>
    <mergeCell ref="B69:B76"/>
    <mergeCell ref="B10:B18"/>
    <mergeCell ref="B353:B377"/>
    <mergeCell ref="B378:B395"/>
    <mergeCell ref="B396:B409"/>
    <mergeCell ref="B410:B430"/>
    <mergeCell ref="B431:B446"/>
    <mergeCell ref="B541:B549"/>
    <mergeCell ref="B550:B562"/>
    <mergeCell ref="B563:B574"/>
    <mergeCell ref="B663:B666"/>
    <mergeCell ref="B667:B683"/>
    <mergeCell ref="B575:B597"/>
    <mergeCell ref="B598:B609"/>
    <mergeCell ref="B684:B685"/>
    <mergeCell ref="B686:C686"/>
    <mergeCell ref="B610:B621"/>
    <mergeCell ref="B622:B630"/>
    <mergeCell ref="B631:B642"/>
    <mergeCell ref="B643:B653"/>
    <mergeCell ref="B654:B662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9" orientation="portrait" r:id="rId1"/>
  <colBreaks count="1" manualBreakCount="1">
    <brk id="5" max="18" man="1"/>
  </colBreaks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E20"/>
  <sheetViews>
    <sheetView showGridLines="0" zoomScaleNormal="100" zoomScaleSheetLayoutView="115" workbookViewId="0">
      <selection activeCell="E26" sqref="E26"/>
    </sheetView>
  </sheetViews>
  <sheetFormatPr baseColWidth="10" defaultColWidth="11.42578125" defaultRowHeight="15"/>
  <cols>
    <col min="1" max="1" width="9.28515625" style="14" customWidth="1"/>
    <col min="2" max="2" width="21.7109375" style="14" customWidth="1"/>
    <col min="3" max="3" width="17.7109375" style="15" customWidth="1"/>
    <col min="4" max="4" width="17.7109375" style="14" customWidth="1"/>
    <col min="5" max="5" width="9.28515625" style="14" customWidth="1"/>
    <col min="6" max="6" width="5.7109375" style="14" customWidth="1"/>
    <col min="7" max="16384" width="11.42578125" style="14"/>
  </cols>
  <sheetData>
    <row r="1" spans="1:5" s="26" customFormat="1" ht="15" customHeight="1">
      <c r="C1" s="32"/>
    </row>
    <row r="2" spans="1:5" s="26" customFormat="1" ht="15" customHeight="1">
      <c r="C2" s="32"/>
    </row>
    <row r="3" spans="1:5" s="26" customFormat="1" ht="15" customHeight="1">
      <c r="A3" s="26" t="s">
        <v>69</v>
      </c>
      <c r="C3" s="32"/>
    </row>
    <row r="4" spans="1:5" s="26" customFormat="1" ht="30" customHeight="1">
      <c r="C4" s="32"/>
      <c r="D4" s="31"/>
    </row>
    <row r="5" spans="1:5" s="26" customFormat="1" ht="15" customHeight="1">
      <c r="C5" s="32"/>
      <c r="D5" s="31"/>
    </row>
    <row r="6" spans="1:5" s="26" customFormat="1" ht="15" customHeight="1">
      <c r="C6" s="32"/>
      <c r="D6" s="31"/>
    </row>
    <row r="7" spans="1:5" s="26" customFormat="1" ht="15" customHeight="1">
      <c r="B7" s="88" t="s">
        <v>245</v>
      </c>
      <c r="C7" s="88"/>
      <c r="D7" s="88"/>
    </row>
    <row r="8" spans="1:5" s="26" customFormat="1" ht="15" customHeight="1">
      <c r="B8" s="88"/>
      <c r="C8" s="88"/>
      <c r="D8" s="88"/>
    </row>
    <row r="9" spans="1:5" s="26" customFormat="1" ht="33" customHeight="1">
      <c r="B9" s="88"/>
      <c r="C9" s="88"/>
      <c r="D9" s="88"/>
    </row>
    <row r="10" spans="1:5" s="26" customFormat="1" ht="4.5" customHeight="1">
      <c r="B10" s="30"/>
      <c r="C10" s="30"/>
      <c r="D10" s="30"/>
    </row>
    <row r="11" spans="1:5" s="26" customFormat="1" ht="33" customHeight="1">
      <c r="B11" s="29" t="s">
        <v>200</v>
      </c>
      <c r="C11" s="28" t="s">
        <v>67</v>
      </c>
      <c r="D11" s="27" t="s">
        <v>66</v>
      </c>
    </row>
    <row r="12" spans="1:5">
      <c r="B12" s="24" t="s">
        <v>199</v>
      </c>
      <c r="C12" s="23">
        <v>9588</v>
      </c>
      <c r="D12" s="22">
        <v>0.49300699300699302</v>
      </c>
    </row>
    <row r="13" spans="1:5">
      <c r="B13" s="24" t="s">
        <v>198</v>
      </c>
      <c r="C13" s="23">
        <v>9860</v>
      </c>
      <c r="D13" s="22">
        <v>0.50699300699300698</v>
      </c>
    </row>
    <row r="14" spans="1:5">
      <c r="B14" s="21" t="s">
        <v>197</v>
      </c>
      <c r="C14" s="20">
        <v>19448</v>
      </c>
      <c r="D14" s="19">
        <v>1</v>
      </c>
    </row>
    <row r="15" spans="1:5">
      <c r="B15" s="25"/>
      <c r="C15" s="58"/>
      <c r="D15" s="58"/>
      <c r="E15" s="25"/>
    </row>
    <row r="16" spans="1:5">
      <c r="B16" s="16" t="s">
        <v>240</v>
      </c>
      <c r="C16" s="58"/>
      <c r="D16" s="58"/>
      <c r="E16" s="25"/>
    </row>
    <row r="17" spans="2:4">
      <c r="B17" s="18" t="s">
        <v>19</v>
      </c>
      <c r="C17" s="57"/>
      <c r="D17" s="57"/>
    </row>
    <row r="18" spans="2:4">
      <c r="B18" s="17" t="s">
        <v>18</v>
      </c>
      <c r="C18" s="56"/>
      <c r="D18" s="56"/>
    </row>
    <row r="19" spans="2:4">
      <c r="B19" s="16" t="s">
        <v>17</v>
      </c>
    </row>
    <row r="20" spans="2:4">
      <c r="B20" s="16" t="s">
        <v>241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F159"/>
  <sheetViews>
    <sheetView showGridLines="0" topLeftCell="A125" zoomScaleNormal="100" zoomScaleSheetLayoutView="100" workbookViewId="0">
      <selection activeCell="G12" sqref="G12"/>
    </sheetView>
  </sheetViews>
  <sheetFormatPr baseColWidth="10" defaultColWidth="11.42578125" defaultRowHeight="11.25"/>
  <cols>
    <col min="1" max="1" width="5.7109375" style="26" customWidth="1"/>
    <col min="2" max="2" width="19" style="48" customWidth="1"/>
    <col min="3" max="3" width="14.7109375" style="48" customWidth="1"/>
    <col min="4" max="4" width="23.5703125" style="59" customWidth="1"/>
    <col min="5" max="5" width="15.140625" style="48" bestFit="1" customWidth="1"/>
    <col min="6" max="6" width="5.7109375" style="26" customWidth="1"/>
    <col min="7" max="16384" width="11.42578125" style="26"/>
  </cols>
  <sheetData>
    <row r="1" spans="1:6" s="61" customFormat="1" ht="15">
      <c r="B1" s="51"/>
      <c r="C1" s="48"/>
    </row>
    <row r="2" spans="1:6" s="48" customFormat="1">
      <c r="B2" s="65"/>
    </row>
    <row r="3" spans="1:6" ht="15" customHeight="1">
      <c r="B3" s="66"/>
      <c r="C3" s="32"/>
      <c r="D3" s="26"/>
      <c r="F3" s="48"/>
    </row>
    <row r="4" spans="1:6" ht="30" customHeight="1">
      <c r="B4" s="66"/>
      <c r="C4" s="32"/>
      <c r="D4" s="26"/>
      <c r="F4" s="48"/>
    </row>
    <row r="5" spans="1:6" ht="15" customHeight="1">
      <c r="B5" s="66"/>
      <c r="C5" s="32"/>
      <c r="D5" s="26"/>
      <c r="F5" s="48"/>
    </row>
    <row r="6" spans="1:6" s="48" customFormat="1">
      <c r="B6" s="55"/>
      <c r="C6" s="44"/>
    </row>
    <row r="7" spans="1:6" s="48" customFormat="1">
      <c r="A7" s="51"/>
      <c r="B7" s="65"/>
      <c r="C7" s="51"/>
    </row>
    <row r="8" spans="1:6" s="61" customFormat="1" ht="15" customHeight="1">
      <c r="B8" s="88" t="s">
        <v>246</v>
      </c>
      <c r="C8" s="88"/>
      <c r="D8" s="88"/>
      <c r="E8" s="88"/>
    </row>
    <row r="9" spans="1:6" s="61" customFormat="1" ht="15" customHeight="1">
      <c r="A9" s="63"/>
      <c r="B9" s="88"/>
      <c r="C9" s="88"/>
      <c r="D9" s="88"/>
      <c r="E9" s="88"/>
      <c r="F9" s="64"/>
    </row>
    <row r="10" spans="1:6" s="61" customFormat="1" ht="15" customHeight="1">
      <c r="A10" s="63"/>
      <c r="B10" s="88"/>
      <c r="C10" s="88"/>
      <c r="D10" s="88"/>
      <c r="E10" s="88"/>
      <c r="F10" s="63"/>
    </row>
    <row r="11" spans="1:6" s="61" customFormat="1" ht="15" customHeight="1">
      <c r="A11" s="63"/>
      <c r="B11" s="67"/>
      <c r="C11" s="67"/>
      <c r="D11" s="67"/>
      <c r="E11" s="67"/>
      <c r="F11" s="63"/>
    </row>
    <row r="12" spans="1:6" s="61" customFormat="1" ht="36.950000000000003" customHeight="1">
      <c r="B12" s="62" t="s">
        <v>116</v>
      </c>
      <c r="C12" s="62" t="s">
        <v>200</v>
      </c>
      <c r="D12" s="62" t="s">
        <v>67</v>
      </c>
      <c r="E12" s="62" t="s">
        <v>66</v>
      </c>
    </row>
    <row r="13" spans="1:6" ht="13.5">
      <c r="B13" s="95" t="s">
        <v>79</v>
      </c>
      <c r="C13" s="60" t="s">
        <v>202</v>
      </c>
      <c r="D13" s="23">
        <v>8</v>
      </c>
      <c r="E13" s="22">
        <v>4.1135335252982314E-4</v>
      </c>
    </row>
    <row r="14" spans="1:6" ht="13.5">
      <c r="B14" s="96"/>
      <c r="C14" s="60" t="s">
        <v>201</v>
      </c>
      <c r="D14" s="23">
        <v>10</v>
      </c>
      <c r="E14" s="22">
        <v>5.1419169066227888E-4</v>
      </c>
    </row>
    <row r="15" spans="1:6" ht="13.5">
      <c r="B15" s="97"/>
      <c r="C15" s="73" t="s">
        <v>20</v>
      </c>
      <c r="D15" s="74">
        <v>18</v>
      </c>
      <c r="E15" s="75">
        <v>9.2554504319210197E-4</v>
      </c>
    </row>
    <row r="16" spans="1:6" ht="13.5">
      <c r="B16" s="95" t="s">
        <v>111</v>
      </c>
      <c r="C16" s="60" t="s">
        <v>202</v>
      </c>
      <c r="D16" s="23">
        <v>522</v>
      </c>
      <c r="E16" s="22">
        <v>2.6840806252570959E-2</v>
      </c>
    </row>
    <row r="17" spans="2:5" ht="13.5">
      <c r="B17" s="96"/>
      <c r="C17" s="60" t="s">
        <v>201</v>
      </c>
      <c r="D17" s="23">
        <v>391</v>
      </c>
      <c r="E17" s="22">
        <v>2.0104895104895104E-2</v>
      </c>
    </row>
    <row r="18" spans="2:5" ht="13.5">
      <c r="B18" s="97"/>
      <c r="C18" s="73" t="s">
        <v>20</v>
      </c>
      <c r="D18" s="74">
        <v>913</v>
      </c>
      <c r="E18" s="75">
        <v>4.6945701357466063E-2</v>
      </c>
    </row>
    <row r="19" spans="2:5" ht="13.5">
      <c r="B19" s="95" t="s">
        <v>101</v>
      </c>
      <c r="C19" s="60" t="s">
        <v>202</v>
      </c>
      <c r="D19" s="23">
        <v>202</v>
      </c>
      <c r="E19" s="22">
        <v>1.0386672151378033E-2</v>
      </c>
    </row>
    <row r="20" spans="2:5" ht="13.5">
      <c r="B20" s="96"/>
      <c r="C20" s="60" t="s">
        <v>201</v>
      </c>
      <c r="D20" s="23">
        <v>197</v>
      </c>
      <c r="E20" s="22">
        <v>1.0129576306046894E-2</v>
      </c>
    </row>
    <row r="21" spans="2:5" ht="13.5">
      <c r="B21" s="97"/>
      <c r="C21" s="73" t="s">
        <v>20</v>
      </c>
      <c r="D21" s="74">
        <v>399</v>
      </c>
      <c r="E21" s="75">
        <v>2.0516248457424929E-2</v>
      </c>
    </row>
    <row r="22" spans="2:5" ht="13.5">
      <c r="B22" s="95" t="s">
        <v>77</v>
      </c>
      <c r="C22" s="60" t="s">
        <v>202</v>
      </c>
      <c r="D22" s="23">
        <v>12</v>
      </c>
      <c r="E22" s="22">
        <v>6.1703002879473468E-4</v>
      </c>
    </row>
    <row r="23" spans="2:5" ht="13.5">
      <c r="B23" s="96"/>
      <c r="C23" s="60" t="s">
        <v>201</v>
      </c>
      <c r="D23" s="23">
        <v>9</v>
      </c>
      <c r="E23" s="22">
        <v>4.6277252159605099E-4</v>
      </c>
    </row>
    <row r="24" spans="2:5" ht="13.5">
      <c r="B24" s="97"/>
      <c r="C24" s="73" t="s">
        <v>20</v>
      </c>
      <c r="D24" s="74">
        <v>21</v>
      </c>
      <c r="E24" s="75">
        <v>1.0798025503907856E-3</v>
      </c>
    </row>
    <row r="25" spans="2:5" ht="13.5">
      <c r="B25" s="95" t="s">
        <v>73</v>
      </c>
      <c r="C25" s="60" t="s">
        <v>202</v>
      </c>
      <c r="D25" s="23">
        <v>18</v>
      </c>
      <c r="E25" s="22">
        <v>9.2554504319210197E-4</v>
      </c>
    </row>
    <row r="26" spans="2:5" ht="13.5">
      <c r="B26" s="96"/>
      <c r="C26" s="60" t="s">
        <v>201</v>
      </c>
      <c r="D26" s="23">
        <v>2</v>
      </c>
      <c r="E26" s="22">
        <v>1.0283833813245579E-4</v>
      </c>
    </row>
    <row r="27" spans="2:5" ht="13.5">
      <c r="B27" s="97"/>
      <c r="C27" s="73" t="s">
        <v>20</v>
      </c>
      <c r="D27" s="74">
        <v>20</v>
      </c>
      <c r="E27" s="75">
        <v>1.0283833813245578E-3</v>
      </c>
    </row>
    <row r="28" spans="2:5" ht="13.5">
      <c r="B28" s="95" t="s">
        <v>78</v>
      </c>
      <c r="C28" s="60" t="s">
        <v>202</v>
      </c>
      <c r="D28" s="23">
        <v>629</v>
      </c>
      <c r="E28" s="22">
        <v>3.2342657342657344E-2</v>
      </c>
    </row>
    <row r="29" spans="2:5" ht="13.5">
      <c r="B29" s="96"/>
      <c r="C29" s="60" t="s">
        <v>201</v>
      </c>
      <c r="D29" s="23">
        <v>900</v>
      </c>
      <c r="E29" s="22">
        <v>4.6277252159605098E-2</v>
      </c>
    </row>
    <row r="30" spans="2:5" ht="13.5">
      <c r="B30" s="97"/>
      <c r="C30" s="73" t="s">
        <v>20</v>
      </c>
      <c r="D30" s="74">
        <v>1529</v>
      </c>
      <c r="E30" s="75">
        <v>7.8619909502262442E-2</v>
      </c>
    </row>
    <row r="31" spans="2:5" ht="13.5">
      <c r="B31" s="95" t="s">
        <v>71</v>
      </c>
      <c r="C31" s="60" t="s">
        <v>202</v>
      </c>
      <c r="D31" s="23">
        <v>1</v>
      </c>
      <c r="E31" s="22">
        <v>5.1419169066227893E-5</v>
      </c>
    </row>
    <row r="32" spans="2:5" ht="13.5">
      <c r="B32" s="96"/>
      <c r="C32" s="60" t="s">
        <v>201</v>
      </c>
      <c r="D32" s="23">
        <v>1</v>
      </c>
      <c r="E32" s="22">
        <v>5.1419169066227893E-5</v>
      </c>
    </row>
    <row r="33" spans="2:5" ht="13.5">
      <c r="B33" s="97"/>
      <c r="C33" s="73" t="s">
        <v>20</v>
      </c>
      <c r="D33" s="74">
        <v>2</v>
      </c>
      <c r="E33" s="75">
        <v>1.0283833813245579E-4</v>
      </c>
    </row>
    <row r="34" spans="2:5" ht="13.5">
      <c r="B34" s="95" t="s">
        <v>114</v>
      </c>
      <c r="C34" s="60" t="s">
        <v>202</v>
      </c>
      <c r="D34" s="23">
        <v>237</v>
      </c>
      <c r="E34" s="22">
        <v>1.2186343068696009E-2</v>
      </c>
    </row>
    <row r="35" spans="2:5" ht="13.5">
      <c r="B35" s="96"/>
      <c r="C35" s="60" t="s">
        <v>201</v>
      </c>
      <c r="D35" s="23">
        <v>208</v>
      </c>
      <c r="E35" s="22">
        <v>1.06951871657754E-2</v>
      </c>
    </row>
    <row r="36" spans="2:5" ht="13.5">
      <c r="B36" s="97"/>
      <c r="C36" s="73" t="s">
        <v>20</v>
      </c>
      <c r="D36" s="74">
        <v>445</v>
      </c>
      <c r="E36" s="75">
        <v>2.2881530234471412E-2</v>
      </c>
    </row>
    <row r="37" spans="2:5" ht="13.5">
      <c r="B37" s="95" t="s">
        <v>112</v>
      </c>
      <c r="C37" s="60" t="s">
        <v>202</v>
      </c>
      <c r="D37" s="23">
        <v>1110</v>
      </c>
      <c r="E37" s="22">
        <v>5.7075277663512961E-2</v>
      </c>
    </row>
    <row r="38" spans="2:5" ht="13.5">
      <c r="B38" s="96"/>
      <c r="C38" s="60" t="s">
        <v>201</v>
      </c>
      <c r="D38" s="23">
        <v>1049</v>
      </c>
      <c r="E38" s="22">
        <v>5.3938708350473055E-2</v>
      </c>
    </row>
    <row r="39" spans="2:5" ht="13.5">
      <c r="B39" s="97"/>
      <c r="C39" s="73" t="s">
        <v>20</v>
      </c>
      <c r="D39" s="74">
        <v>2159</v>
      </c>
      <c r="E39" s="75">
        <v>0.11101398601398602</v>
      </c>
    </row>
    <row r="40" spans="2:5" ht="13.5">
      <c r="B40" s="95" t="s">
        <v>70</v>
      </c>
      <c r="C40" s="60" t="s">
        <v>202</v>
      </c>
      <c r="D40" s="23">
        <v>3</v>
      </c>
      <c r="E40" s="22">
        <v>1.5425750719868367E-4</v>
      </c>
    </row>
    <row r="41" spans="2:5" ht="13.5">
      <c r="B41" s="96"/>
      <c r="C41" s="60" t="s">
        <v>201</v>
      </c>
      <c r="D41" s="23">
        <v>6</v>
      </c>
      <c r="E41" s="22">
        <v>3.0851501439736734E-4</v>
      </c>
    </row>
    <row r="42" spans="2:5" ht="13.5">
      <c r="B42" s="97"/>
      <c r="C42" s="73" t="s">
        <v>20</v>
      </c>
      <c r="D42" s="74">
        <v>9</v>
      </c>
      <c r="E42" s="75">
        <v>4.6277252159605099E-4</v>
      </c>
    </row>
    <row r="43" spans="2:5" ht="13.5">
      <c r="B43" s="95" t="s">
        <v>96</v>
      </c>
      <c r="C43" s="60" t="s">
        <v>202</v>
      </c>
      <c r="D43" s="23">
        <v>24</v>
      </c>
      <c r="E43" s="22">
        <v>1.2340600575894694E-3</v>
      </c>
    </row>
    <row r="44" spans="2:5" ht="13.5">
      <c r="B44" s="96"/>
      <c r="C44" s="60" t="s">
        <v>201</v>
      </c>
      <c r="D44" s="23">
        <v>17</v>
      </c>
      <c r="E44" s="22">
        <v>8.7412587412587413E-4</v>
      </c>
    </row>
    <row r="45" spans="2:5" ht="13.5">
      <c r="B45" s="97"/>
      <c r="C45" s="73" t="s">
        <v>20</v>
      </c>
      <c r="D45" s="74">
        <v>41</v>
      </c>
      <c r="E45" s="75">
        <v>2.1081859317153436E-3</v>
      </c>
    </row>
    <row r="46" spans="2:5" ht="13.5">
      <c r="B46" s="95" t="s">
        <v>82</v>
      </c>
      <c r="C46" s="60" t="s">
        <v>202</v>
      </c>
      <c r="D46" s="23">
        <v>81</v>
      </c>
      <c r="E46" s="22">
        <v>4.1649526943644587E-3</v>
      </c>
    </row>
    <row r="47" spans="2:5" ht="13.5">
      <c r="B47" s="96"/>
      <c r="C47" s="60" t="s">
        <v>201</v>
      </c>
      <c r="D47" s="23">
        <v>81</v>
      </c>
      <c r="E47" s="22">
        <v>4.1649526943644587E-3</v>
      </c>
    </row>
    <row r="48" spans="2:5" ht="13.5">
      <c r="B48" s="97"/>
      <c r="C48" s="73" t="s">
        <v>20</v>
      </c>
      <c r="D48" s="74">
        <v>162</v>
      </c>
      <c r="E48" s="75">
        <v>8.3299053887289174E-3</v>
      </c>
    </row>
    <row r="49" spans="2:5" ht="13.5">
      <c r="B49" s="95" t="s">
        <v>80</v>
      </c>
      <c r="C49" s="60" t="s">
        <v>202</v>
      </c>
      <c r="D49" s="23">
        <v>6</v>
      </c>
      <c r="E49" s="22">
        <v>3.0851501439736734E-4</v>
      </c>
    </row>
    <row r="50" spans="2:5" ht="13.5">
      <c r="B50" s="96"/>
      <c r="C50" s="60" t="s">
        <v>201</v>
      </c>
      <c r="D50" s="23">
        <v>8</v>
      </c>
      <c r="E50" s="22">
        <v>4.1135335252982314E-4</v>
      </c>
    </row>
    <row r="51" spans="2:5" ht="13.5">
      <c r="B51" s="97"/>
      <c r="C51" s="73" t="s">
        <v>20</v>
      </c>
      <c r="D51" s="74">
        <v>14</v>
      </c>
      <c r="E51" s="75">
        <v>7.1986836692719048E-4</v>
      </c>
    </row>
    <row r="52" spans="2:5" ht="13.5">
      <c r="B52" s="95" t="s">
        <v>93</v>
      </c>
      <c r="C52" s="60" t="s">
        <v>202</v>
      </c>
      <c r="D52" s="23">
        <v>35</v>
      </c>
      <c r="E52" s="22">
        <v>1.7996709173179761E-3</v>
      </c>
    </row>
    <row r="53" spans="2:5" ht="13.5">
      <c r="B53" s="96"/>
      <c r="C53" s="60" t="s">
        <v>201</v>
      </c>
      <c r="D53" s="23">
        <v>25</v>
      </c>
      <c r="E53" s="22">
        <v>1.2854792266556972E-3</v>
      </c>
    </row>
    <row r="54" spans="2:5" ht="13.5">
      <c r="B54" s="97"/>
      <c r="C54" s="73" t="s">
        <v>20</v>
      </c>
      <c r="D54" s="74">
        <v>60</v>
      </c>
      <c r="E54" s="75">
        <v>3.0851501439736733E-3</v>
      </c>
    </row>
    <row r="55" spans="2:5" ht="13.5">
      <c r="B55" s="95" t="s">
        <v>109</v>
      </c>
      <c r="C55" s="60" t="s">
        <v>202</v>
      </c>
      <c r="D55" s="23">
        <v>28</v>
      </c>
      <c r="E55" s="22">
        <v>1.439736733854381E-3</v>
      </c>
    </row>
    <row r="56" spans="2:5" ht="13.5">
      <c r="B56" s="96"/>
      <c r="C56" s="60" t="s">
        <v>201</v>
      </c>
      <c r="D56" s="23">
        <v>23</v>
      </c>
      <c r="E56" s="22">
        <v>1.1826408885232415E-3</v>
      </c>
    </row>
    <row r="57" spans="2:5" ht="13.5">
      <c r="B57" s="97"/>
      <c r="C57" s="73" t="s">
        <v>20</v>
      </c>
      <c r="D57" s="74">
        <v>51</v>
      </c>
      <c r="E57" s="75">
        <v>2.6223776223776225E-3</v>
      </c>
    </row>
    <row r="58" spans="2:5" ht="13.5">
      <c r="B58" s="95" t="s">
        <v>113</v>
      </c>
      <c r="C58" s="60" t="s">
        <v>202</v>
      </c>
      <c r="D58" s="23">
        <v>2537</v>
      </c>
      <c r="E58" s="22">
        <v>0.13045043192102015</v>
      </c>
    </row>
    <row r="59" spans="2:5" ht="13.5">
      <c r="B59" s="96"/>
      <c r="C59" s="60" t="s">
        <v>201</v>
      </c>
      <c r="D59" s="23">
        <v>2479</v>
      </c>
      <c r="E59" s="22">
        <v>0.12746812011517894</v>
      </c>
    </row>
    <row r="60" spans="2:5" ht="13.5">
      <c r="B60" s="97"/>
      <c r="C60" s="73" t="s">
        <v>20</v>
      </c>
      <c r="D60" s="74">
        <v>5016</v>
      </c>
      <c r="E60" s="75">
        <v>0.25791855203619912</v>
      </c>
    </row>
    <row r="61" spans="2:5" ht="13.5">
      <c r="B61" s="95" t="s">
        <v>97</v>
      </c>
      <c r="C61" s="60" t="s">
        <v>202</v>
      </c>
      <c r="D61" s="23">
        <v>100</v>
      </c>
      <c r="E61" s="22">
        <v>5.1419169066227888E-3</v>
      </c>
    </row>
    <row r="62" spans="2:5" ht="13.5">
      <c r="B62" s="96"/>
      <c r="C62" s="60" t="s">
        <v>201</v>
      </c>
      <c r="D62" s="23">
        <v>90</v>
      </c>
      <c r="E62" s="22">
        <v>4.62772521596051E-3</v>
      </c>
    </row>
    <row r="63" spans="2:5" ht="13.5">
      <c r="B63" s="97"/>
      <c r="C63" s="73" t="s">
        <v>20</v>
      </c>
      <c r="D63" s="74">
        <v>190</v>
      </c>
      <c r="E63" s="75">
        <v>9.7696421225832997E-3</v>
      </c>
    </row>
    <row r="64" spans="2:5" ht="13.5">
      <c r="B64" s="95" t="s">
        <v>92</v>
      </c>
      <c r="C64" s="60" t="s">
        <v>202</v>
      </c>
      <c r="D64" s="23">
        <v>54</v>
      </c>
      <c r="E64" s="22">
        <v>2.7766351295763062E-3</v>
      </c>
    </row>
    <row r="65" spans="2:5" ht="13.5">
      <c r="B65" s="96"/>
      <c r="C65" s="60" t="s">
        <v>201</v>
      </c>
      <c r="D65" s="23">
        <v>42</v>
      </c>
      <c r="E65" s="22">
        <v>2.1596051007815712E-3</v>
      </c>
    </row>
    <row r="66" spans="2:5" ht="13.5">
      <c r="B66" s="97"/>
      <c r="C66" s="73" t="s">
        <v>20</v>
      </c>
      <c r="D66" s="74">
        <v>96</v>
      </c>
      <c r="E66" s="75">
        <v>4.9362402303578775E-3</v>
      </c>
    </row>
    <row r="67" spans="2:5" ht="13.5">
      <c r="B67" s="95" t="s">
        <v>76</v>
      </c>
      <c r="C67" s="60" t="s">
        <v>202</v>
      </c>
      <c r="D67" s="23">
        <v>363</v>
      </c>
      <c r="E67" s="22">
        <v>1.8665158371040724E-2</v>
      </c>
    </row>
    <row r="68" spans="2:5" ht="13.5">
      <c r="B68" s="96"/>
      <c r="C68" s="60" t="s">
        <v>201</v>
      </c>
      <c r="D68" s="23">
        <v>544</v>
      </c>
      <c r="E68" s="22">
        <v>2.7972027972027972E-2</v>
      </c>
    </row>
    <row r="69" spans="2:5" ht="13.5">
      <c r="B69" s="97"/>
      <c r="C69" s="73" t="s">
        <v>20</v>
      </c>
      <c r="D69" s="74">
        <v>907</v>
      </c>
      <c r="E69" s="75">
        <v>4.6637186343068696E-2</v>
      </c>
    </row>
    <row r="70" spans="2:5" ht="13.5">
      <c r="B70" s="95" t="s">
        <v>99</v>
      </c>
      <c r="C70" s="60" t="s">
        <v>202</v>
      </c>
      <c r="D70" s="23">
        <v>23</v>
      </c>
      <c r="E70" s="22">
        <v>1.1826408885232415E-3</v>
      </c>
    </row>
    <row r="71" spans="2:5" ht="13.5">
      <c r="B71" s="96"/>
      <c r="C71" s="60" t="s">
        <v>201</v>
      </c>
      <c r="D71" s="23">
        <v>24</v>
      </c>
      <c r="E71" s="22">
        <v>1.2340600575894694E-3</v>
      </c>
    </row>
    <row r="72" spans="2:5" ht="13.5">
      <c r="B72" s="97"/>
      <c r="C72" s="73" t="s">
        <v>20</v>
      </c>
      <c r="D72" s="74">
        <v>47</v>
      </c>
      <c r="E72" s="75">
        <v>2.4167009461127107E-3</v>
      </c>
    </row>
    <row r="73" spans="2:5" ht="13.5">
      <c r="B73" s="95" t="s">
        <v>103</v>
      </c>
      <c r="C73" s="60" t="s">
        <v>202</v>
      </c>
      <c r="D73" s="23">
        <v>214</v>
      </c>
      <c r="E73" s="22">
        <v>1.1003702180172768E-2</v>
      </c>
    </row>
    <row r="74" spans="2:5" ht="13.5">
      <c r="B74" s="96"/>
      <c r="C74" s="60" t="s">
        <v>201</v>
      </c>
      <c r="D74" s="23">
        <v>198</v>
      </c>
      <c r="E74" s="22">
        <v>1.0180995475113122E-2</v>
      </c>
    </row>
    <row r="75" spans="2:5" ht="13.5">
      <c r="B75" s="97"/>
      <c r="C75" s="73" t="s">
        <v>20</v>
      </c>
      <c r="D75" s="74">
        <v>412</v>
      </c>
      <c r="E75" s="75">
        <v>2.118469765528589E-2</v>
      </c>
    </row>
    <row r="76" spans="2:5" ht="13.5">
      <c r="B76" s="95" t="s">
        <v>115</v>
      </c>
      <c r="C76" s="60" t="s">
        <v>202</v>
      </c>
      <c r="D76" s="23">
        <v>47</v>
      </c>
      <c r="E76" s="22">
        <v>2.4167009461127107E-3</v>
      </c>
    </row>
    <row r="77" spans="2:5" ht="13.5">
      <c r="B77" s="96"/>
      <c r="C77" s="60" t="s">
        <v>201</v>
      </c>
      <c r="D77" s="23">
        <v>52</v>
      </c>
      <c r="E77" s="22">
        <v>2.6737967914438501E-3</v>
      </c>
    </row>
    <row r="78" spans="2:5" ht="13.5">
      <c r="B78" s="97"/>
      <c r="C78" s="73" t="s">
        <v>20</v>
      </c>
      <c r="D78" s="74">
        <v>99</v>
      </c>
      <c r="E78" s="75">
        <v>5.0904977375565612E-3</v>
      </c>
    </row>
    <row r="79" spans="2:5" ht="13.5">
      <c r="B79" s="95" t="s">
        <v>94</v>
      </c>
      <c r="C79" s="60" t="s">
        <v>202</v>
      </c>
      <c r="D79" s="23">
        <v>1579</v>
      </c>
      <c r="E79" s="22">
        <v>8.1190867955573842E-2</v>
      </c>
    </row>
    <row r="80" spans="2:5" ht="13.5">
      <c r="B80" s="96"/>
      <c r="C80" s="60" t="s">
        <v>201</v>
      </c>
      <c r="D80" s="23">
        <v>2097</v>
      </c>
      <c r="E80" s="22">
        <v>0.10782599753187988</v>
      </c>
    </row>
    <row r="81" spans="2:5" ht="13.5">
      <c r="B81" s="97"/>
      <c r="C81" s="73" t="s">
        <v>20</v>
      </c>
      <c r="D81" s="74">
        <v>3676</v>
      </c>
      <c r="E81" s="75">
        <v>0.18901686548745372</v>
      </c>
    </row>
    <row r="82" spans="2:5" ht="13.5">
      <c r="B82" s="95" t="s">
        <v>89</v>
      </c>
      <c r="C82" s="60" t="s">
        <v>202</v>
      </c>
      <c r="D82" s="23">
        <v>122</v>
      </c>
      <c r="E82" s="22">
        <v>6.2731386260798027E-3</v>
      </c>
    </row>
    <row r="83" spans="2:5" ht="13.5">
      <c r="B83" s="96"/>
      <c r="C83" s="60" t="s">
        <v>201</v>
      </c>
      <c r="D83" s="23">
        <v>93</v>
      </c>
      <c r="E83" s="22">
        <v>4.7819827231591937E-3</v>
      </c>
    </row>
    <row r="84" spans="2:5" ht="13.5">
      <c r="B84" s="97"/>
      <c r="C84" s="73" t="s">
        <v>20</v>
      </c>
      <c r="D84" s="74">
        <v>215</v>
      </c>
      <c r="E84" s="75">
        <v>1.1055121349238996E-2</v>
      </c>
    </row>
    <row r="85" spans="2:5" ht="13.5">
      <c r="B85" s="95" t="s">
        <v>88</v>
      </c>
      <c r="C85" s="60" t="s">
        <v>202</v>
      </c>
      <c r="D85" s="23">
        <v>36</v>
      </c>
      <c r="E85" s="22">
        <v>1.8510900863842039E-3</v>
      </c>
    </row>
    <row r="86" spans="2:5" ht="13.5">
      <c r="B86" s="96"/>
      <c r="C86" s="60" t="s">
        <v>201</v>
      </c>
      <c r="D86" s="23">
        <v>34</v>
      </c>
      <c r="E86" s="22">
        <v>1.7482517482517483E-3</v>
      </c>
    </row>
    <row r="87" spans="2:5" ht="13.5">
      <c r="B87" s="97"/>
      <c r="C87" s="73" t="s">
        <v>20</v>
      </c>
      <c r="D87" s="74">
        <v>70</v>
      </c>
      <c r="E87" s="75">
        <v>3.5993418346359522E-3</v>
      </c>
    </row>
    <row r="88" spans="2:5" ht="13.5">
      <c r="B88" s="95" t="s">
        <v>81</v>
      </c>
      <c r="C88" s="60" t="s">
        <v>202</v>
      </c>
      <c r="D88" s="23">
        <v>164</v>
      </c>
      <c r="E88" s="22">
        <v>8.4327437268613744E-3</v>
      </c>
    </row>
    <row r="89" spans="2:5" ht="13.5">
      <c r="B89" s="96"/>
      <c r="C89" s="60" t="s">
        <v>201</v>
      </c>
      <c r="D89" s="23">
        <v>117</v>
      </c>
      <c r="E89" s="22">
        <v>6.0160427807486629E-3</v>
      </c>
    </row>
    <row r="90" spans="2:5" ht="13.5">
      <c r="B90" s="97"/>
      <c r="C90" s="73" t="s">
        <v>20</v>
      </c>
      <c r="D90" s="74">
        <v>281</v>
      </c>
      <c r="E90" s="75">
        <v>1.4448786507610037E-2</v>
      </c>
    </row>
    <row r="91" spans="2:5" ht="13.5">
      <c r="B91" s="95" t="s">
        <v>110</v>
      </c>
      <c r="C91" s="60" t="s">
        <v>202</v>
      </c>
      <c r="D91" s="23">
        <v>41</v>
      </c>
      <c r="E91" s="22">
        <v>2.1081859317153436E-3</v>
      </c>
    </row>
    <row r="92" spans="2:5" ht="13.5">
      <c r="B92" s="96"/>
      <c r="C92" s="60" t="s">
        <v>201</v>
      </c>
      <c r="D92" s="23">
        <v>43</v>
      </c>
      <c r="E92" s="22">
        <v>2.2110242698477993E-3</v>
      </c>
    </row>
    <row r="93" spans="2:5" ht="13.5">
      <c r="B93" s="97"/>
      <c r="C93" s="73" t="s">
        <v>20</v>
      </c>
      <c r="D93" s="74">
        <v>84</v>
      </c>
      <c r="E93" s="75">
        <v>4.3192102015631425E-3</v>
      </c>
    </row>
    <row r="94" spans="2:5" ht="13.5">
      <c r="B94" s="95" t="s">
        <v>83</v>
      </c>
      <c r="C94" s="60" t="s">
        <v>202</v>
      </c>
      <c r="D94" s="23">
        <v>44</v>
      </c>
      <c r="E94" s="22">
        <v>2.2624434389140274E-3</v>
      </c>
    </row>
    <row r="95" spans="2:5" ht="13.5">
      <c r="B95" s="96"/>
      <c r="C95" s="60" t="s">
        <v>201</v>
      </c>
      <c r="D95" s="23">
        <v>34</v>
      </c>
      <c r="E95" s="22">
        <v>1.7482517482517483E-3</v>
      </c>
    </row>
    <row r="96" spans="2:5" ht="13.5">
      <c r="B96" s="97"/>
      <c r="C96" s="73" t="s">
        <v>20</v>
      </c>
      <c r="D96" s="74">
        <v>78</v>
      </c>
      <c r="E96" s="75">
        <v>4.0106951871657758E-3</v>
      </c>
    </row>
    <row r="97" spans="2:5" ht="13.5">
      <c r="B97" s="95" t="s">
        <v>102</v>
      </c>
      <c r="C97" s="60" t="s">
        <v>202</v>
      </c>
      <c r="D97" s="23">
        <v>246</v>
      </c>
      <c r="E97" s="22">
        <v>1.2649115590292061E-2</v>
      </c>
    </row>
    <row r="98" spans="2:5" ht="13.5">
      <c r="B98" s="96"/>
      <c r="C98" s="60" t="s">
        <v>201</v>
      </c>
      <c r="D98" s="23">
        <v>192</v>
      </c>
      <c r="E98" s="22">
        <v>9.8724804607157549E-3</v>
      </c>
    </row>
    <row r="99" spans="2:5" ht="13.5">
      <c r="B99" s="97"/>
      <c r="C99" s="73" t="s">
        <v>20</v>
      </c>
      <c r="D99" s="74">
        <v>438</v>
      </c>
      <c r="E99" s="75">
        <v>2.2521596051007817E-2</v>
      </c>
    </row>
    <row r="100" spans="2:5" ht="13.5">
      <c r="B100" s="95" t="s">
        <v>98</v>
      </c>
      <c r="C100" s="60" t="s">
        <v>202</v>
      </c>
      <c r="D100" s="23">
        <v>11</v>
      </c>
      <c r="E100" s="22">
        <v>5.6561085972850684E-4</v>
      </c>
    </row>
    <row r="101" spans="2:5" ht="13.5">
      <c r="B101" s="96"/>
      <c r="C101" s="60" t="s">
        <v>201</v>
      </c>
      <c r="D101" s="23">
        <v>4</v>
      </c>
      <c r="E101" s="22">
        <v>2.0567667626491157E-4</v>
      </c>
    </row>
    <row r="102" spans="2:5" ht="13.5">
      <c r="B102" s="97"/>
      <c r="C102" s="73" t="s">
        <v>20</v>
      </c>
      <c r="D102" s="74">
        <v>15</v>
      </c>
      <c r="E102" s="75">
        <v>7.7128753599341833E-4</v>
      </c>
    </row>
    <row r="103" spans="2:5" ht="13.5">
      <c r="B103" s="95" t="s">
        <v>86</v>
      </c>
      <c r="C103" s="60" t="s">
        <v>202</v>
      </c>
      <c r="D103" s="23">
        <v>18</v>
      </c>
      <c r="E103" s="22">
        <v>9.2554504319210197E-4</v>
      </c>
    </row>
    <row r="104" spans="2:5" ht="13.5">
      <c r="B104" s="96"/>
      <c r="C104" s="60" t="s">
        <v>201</v>
      </c>
      <c r="D104" s="23">
        <v>16</v>
      </c>
      <c r="E104" s="22">
        <v>8.2270670505964628E-4</v>
      </c>
    </row>
    <row r="105" spans="2:5" ht="13.5">
      <c r="B105" s="97"/>
      <c r="C105" s="73" t="s">
        <v>20</v>
      </c>
      <c r="D105" s="74">
        <v>34</v>
      </c>
      <c r="E105" s="75">
        <v>1.7482517482517483E-3</v>
      </c>
    </row>
    <row r="106" spans="2:5" ht="13.5">
      <c r="B106" s="95" t="s">
        <v>90</v>
      </c>
      <c r="C106" s="60" t="s">
        <v>202</v>
      </c>
      <c r="D106" s="23">
        <v>3</v>
      </c>
      <c r="E106" s="22">
        <v>1.5425750719868367E-4</v>
      </c>
    </row>
    <row r="107" spans="2:5" ht="13.5">
      <c r="B107" s="96"/>
      <c r="C107" s="60" t="s">
        <v>201</v>
      </c>
      <c r="D107" s="23">
        <v>2</v>
      </c>
      <c r="E107" s="22">
        <v>1.0283833813245579E-4</v>
      </c>
    </row>
    <row r="108" spans="2:5" ht="13.5">
      <c r="B108" s="97"/>
      <c r="C108" s="73" t="s">
        <v>20</v>
      </c>
      <c r="D108" s="74">
        <v>5</v>
      </c>
      <c r="E108" s="75">
        <v>2.5709584533113944E-4</v>
      </c>
    </row>
    <row r="109" spans="2:5" ht="13.5">
      <c r="B109" s="95" t="s">
        <v>74</v>
      </c>
      <c r="C109" s="60" t="s">
        <v>202</v>
      </c>
      <c r="D109" s="23">
        <v>3</v>
      </c>
      <c r="E109" s="22">
        <v>1.5425750719868367E-4</v>
      </c>
    </row>
    <row r="110" spans="2:5" ht="13.5">
      <c r="B110" s="96"/>
      <c r="C110" s="60" t="s">
        <v>201</v>
      </c>
      <c r="D110" s="23">
        <v>3</v>
      </c>
      <c r="E110" s="22">
        <v>1.5425750719868367E-4</v>
      </c>
    </row>
    <row r="111" spans="2:5" ht="13.5">
      <c r="B111" s="97"/>
      <c r="C111" s="73" t="s">
        <v>20</v>
      </c>
      <c r="D111" s="74">
        <v>6</v>
      </c>
      <c r="E111" s="75">
        <v>3.0851501439736734E-4</v>
      </c>
    </row>
    <row r="112" spans="2:5" ht="13.5">
      <c r="B112" s="95" t="s">
        <v>108</v>
      </c>
      <c r="C112" s="60" t="s">
        <v>202</v>
      </c>
      <c r="D112" s="23">
        <v>418</v>
      </c>
      <c r="E112" s="22">
        <v>2.1493212669683258E-2</v>
      </c>
    </row>
    <row r="113" spans="2:5" ht="13.5">
      <c r="B113" s="96"/>
      <c r="C113" s="60" t="s">
        <v>201</v>
      </c>
      <c r="D113" s="23">
        <v>251</v>
      </c>
      <c r="E113" s="22">
        <v>1.29062114356232E-2</v>
      </c>
    </row>
    <row r="114" spans="2:5" ht="13.5">
      <c r="B114" s="97"/>
      <c r="C114" s="73" t="s">
        <v>20</v>
      </c>
      <c r="D114" s="74">
        <v>669</v>
      </c>
      <c r="E114" s="75">
        <v>3.4399424105306456E-2</v>
      </c>
    </row>
    <row r="115" spans="2:5" ht="13.5">
      <c r="B115" s="95" t="s">
        <v>100</v>
      </c>
      <c r="C115" s="60" t="s">
        <v>202</v>
      </c>
      <c r="D115" s="23">
        <v>12</v>
      </c>
      <c r="E115" s="22">
        <v>6.1703002879473468E-4</v>
      </c>
    </row>
    <row r="116" spans="2:5" ht="13.5">
      <c r="B116" s="96"/>
      <c r="C116" s="60" t="s">
        <v>201</v>
      </c>
      <c r="D116" s="23">
        <v>9</v>
      </c>
      <c r="E116" s="22">
        <v>4.6277252159605099E-4</v>
      </c>
    </row>
    <row r="117" spans="2:5" ht="13.5">
      <c r="B117" s="97"/>
      <c r="C117" s="73" t="s">
        <v>20</v>
      </c>
      <c r="D117" s="74">
        <v>21</v>
      </c>
      <c r="E117" s="75">
        <v>1.0798025503907856E-3</v>
      </c>
    </row>
    <row r="118" spans="2:5" ht="13.5">
      <c r="B118" s="95" t="s">
        <v>85</v>
      </c>
      <c r="C118" s="60" t="s">
        <v>202</v>
      </c>
      <c r="D118" s="23">
        <v>69</v>
      </c>
      <c r="E118" s="22">
        <v>3.5479226655697246E-3</v>
      </c>
    </row>
    <row r="119" spans="2:5" ht="13.5">
      <c r="B119" s="96"/>
      <c r="C119" s="60" t="s">
        <v>201</v>
      </c>
      <c r="D119" s="23">
        <v>41</v>
      </c>
      <c r="E119" s="22">
        <v>2.1081859317153436E-3</v>
      </c>
    </row>
    <row r="120" spans="2:5" ht="13.5">
      <c r="B120" s="97"/>
      <c r="C120" s="73" t="s">
        <v>20</v>
      </c>
      <c r="D120" s="74">
        <v>110</v>
      </c>
      <c r="E120" s="75">
        <v>5.6561085972850677E-3</v>
      </c>
    </row>
    <row r="121" spans="2:5" ht="13.5">
      <c r="B121" s="95" t="s">
        <v>87</v>
      </c>
      <c r="C121" s="60" t="s">
        <v>202</v>
      </c>
      <c r="D121" s="23">
        <v>18</v>
      </c>
      <c r="E121" s="22">
        <v>9.2554504319210197E-4</v>
      </c>
    </row>
    <row r="122" spans="2:5" ht="13.5">
      <c r="B122" s="96"/>
      <c r="C122" s="60" t="s">
        <v>201</v>
      </c>
      <c r="D122" s="23">
        <v>21</v>
      </c>
      <c r="E122" s="22">
        <v>1.0798025503907856E-3</v>
      </c>
    </row>
    <row r="123" spans="2:5" ht="13.5">
      <c r="B123" s="97"/>
      <c r="C123" s="73" t="s">
        <v>20</v>
      </c>
      <c r="D123" s="74">
        <v>39</v>
      </c>
      <c r="E123" s="75">
        <v>2.0053475935828879E-3</v>
      </c>
    </row>
    <row r="124" spans="2:5" ht="13.5">
      <c r="B124" s="95" t="s">
        <v>95</v>
      </c>
      <c r="C124" s="60" t="s">
        <v>202</v>
      </c>
      <c r="D124" s="23">
        <v>415</v>
      </c>
      <c r="E124" s="22">
        <v>2.1338955162484574E-2</v>
      </c>
    </row>
    <row r="125" spans="2:5" ht="13.5">
      <c r="B125" s="96"/>
      <c r="C125" s="60" t="s">
        <v>201</v>
      </c>
      <c r="D125" s="23">
        <v>427</v>
      </c>
      <c r="E125" s="22">
        <v>2.1955985191279309E-2</v>
      </c>
    </row>
    <row r="126" spans="2:5" ht="13.5">
      <c r="B126" s="97"/>
      <c r="C126" s="73" t="s">
        <v>20</v>
      </c>
      <c r="D126" s="74">
        <v>842</v>
      </c>
      <c r="E126" s="75">
        <v>4.3294940353763883E-2</v>
      </c>
    </row>
    <row r="127" spans="2:5" ht="13.5">
      <c r="B127" s="95" t="s">
        <v>107</v>
      </c>
      <c r="C127" s="60" t="s">
        <v>202</v>
      </c>
      <c r="D127" s="23">
        <v>13</v>
      </c>
      <c r="E127" s="22">
        <v>6.6844919786096253E-4</v>
      </c>
    </row>
    <row r="128" spans="2:5" ht="13.5">
      <c r="B128" s="96"/>
      <c r="C128" s="60" t="s">
        <v>201</v>
      </c>
      <c r="D128" s="23">
        <v>11</v>
      </c>
      <c r="E128" s="22">
        <v>5.6561085972850684E-4</v>
      </c>
    </row>
    <row r="129" spans="2:5" ht="13.5">
      <c r="B129" s="97"/>
      <c r="C129" s="73" t="s">
        <v>20</v>
      </c>
      <c r="D129" s="74">
        <v>24</v>
      </c>
      <c r="E129" s="75">
        <v>1.2340600575894694E-3</v>
      </c>
    </row>
    <row r="130" spans="2:5" ht="13.5">
      <c r="B130" s="95" t="s">
        <v>91</v>
      </c>
      <c r="C130" s="60" t="s">
        <v>202</v>
      </c>
      <c r="D130" s="23">
        <v>10</v>
      </c>
      <c r="E130" s="22">
        <v>5.1419169066227888E-4</v>
      </c>
    </row>
    <row r="131" spans="2:5" ht="13.5">
      <c r="B131" s="96"/>
      <c r="C131" s="60" t="s">
        <v>201</v>
      </c>
      <c r="D131" s="23">
        <v>20</v>
      </c>
      <c r="E131" s="22">
        <v>1.0283833813245578E-3</v>
      </c>
    </row>
    <row r="132" spans="2:5" ht="13.5">
      <c r="B132" s="97"/>
      <c r="C132" s="73" t="s">
        <v>20</v>
      </c>
      <c r="D132" s="74">
        <v>30</v>
      </c>
      <c r="E132" s="75">
        <v>1.5425750719868367E-3</v>
      </c>
    </row>
    <row r="133" spans="2:5" ht="13.5">
      <c r="B133" s="95" t="s">
        <v>104</v>
      </c>
      <c r="C133" s="60" t="s">
        <v>202</v>
      </c>
      <c r="D133" s="23">
        <v>23</v>
      </c>
      <c r="E133" s="22">
        <v>1.1826408885232415E-3</v>
      </c>
    </row>
    <row r="134" spans="2:5" ht="13.5">
      <c r="B134" s="96"/>
      <c r="C134" s="60" t="s">
        <v>201</v>
      </c>
      <c r="D134" s="23">
        <v>8</v>
      </c>
      <c r="E134" s="22">
        <v>4.1135335252982314E-4</v>
      </c>
    </row>
    <row r="135" spans="2:5" ht="13.5">
      <c r="B135" s="97"/>
      <c r="C135" s="73" t="s">
        <v>20</v>
      </c>
      <c r="D135" s="74">
        <v>31</v>
      </c>
      <c r="E135" s="75">
        <v>1.5939942410530645E-3</v>
      </c>
    </row>
    <row r="136" spans="2:5" ht="13.5">
      <c r="B136" s="95" t="s">
        <v>105</v>
      </c>
      <c r="C136" s="60" t="s">
        <v>202</v>
      </c>
      <c r="D136" s="23">
        <v>11</v>
      </c>
      <c r="E136" s="22">
        <v>5.6561085972850684E-4</v>
      </c>
    </row>
    <row r="137" spans="2:5" ht="13.5">
      <c r="B137" s="96"/>
      <c r="C137" s="60" t="s">
        <v>201</v>
      </c>
      <c r="D137" s="23">
        <v>17</v>
      </c>
      <c r="E137" s="22">
        <v>8.7412587412587413E-4</v>
      </c>
    </row>
    <row r="138" spans="2:5" ht="13.5">
      <c r="B138" s="97"/>
      <c r="C138" s="73" t="s">
        <v>20</v>
      </c>
      <c r="D138" s="74">
        <v>28</v>
      </c>
      <c r="E138" s="75">
        <v>1.439736733854381E-3</v>
      </c>
    </row>
    <row r="139" spans="2:5" ht="13.5">
      <c r="B139" s="95" t="s">
        <v>106</v>
      </c>
      <c r="C139" s="60" t="s">
        <v>202</v>
      </c>
      <c r="D139" s="23">
        <v>13</v>
      </c>
      <c r="E139" s="22">
        <v>6.6844919786096253E-4</v>
      </c>
    </row>
    <row r="140" spans="2:5" ht="13.5">
      <c r="B140" s="96"/>
      <c r="C140" s="60" t="s">
        <v>201</v>
      </c>
      <c r="D140" s="23">
        <v>16</v>
      </c>
      <c r="E140" s="22">
        <v>8.2270670505964628E-4</v>
      </c>
    </row>
    <row r="141" spans="2:5" ht="13.5">
      <c r="B141" s="97"/>
      <c r="C141" s="73" t="s">
        <v>20</v>
      </c>
      <c r="D141" s="74">
        <v>29</v>
      </c>
      <c r="E141" s="75">
        <v>1.4911559029206088E-3</v>
      </c>
    </row>
    <row r="142" spans="2:5" ht="13.5">
      <c r="B142" s="95" t="s">
        <v>84</v>
      </c>
      <c r="C142" s="60" t="s">
        <v>202</v>
      </c>
      <c r="D142" s="23">
        <v>7</v>
      </c>
      <c r="E142" s="22">
        <v>3.5993418346359524E-4</v>
      </c>
    </row>
    <row r="143" spans="2:5" ht="13.5">
      <c r="B143" s="96"/>
      <c r="C143" s="60" t="s">
        <v>201</v>
      </c>
      <c r="D143" s="23">
        <v>6</v>
      </c>
      <c r="E143" s="22">
        <v>3.0851501439736734E-4</v>
      </c>
    </row>
    <row r="144" spans="2:5" ht="13.5">
      <c r="B144" s="97"/>
      <c r="C144" s="73" t="s">
        <v>20</v>
      </c>
      <c r="D144" s="74">
        <v>13</v>
      </c>
      <c r="E144" s="75">
        <v>6.6844919786096253E-4</v>
      </c>
    </row>
    <row r="145" spans="2:5" ht="13.5">
      <c r="B145" s="95" t="s">
        <v>75</v>
      </c>
      <c r="C145" s="60" t="s">
        <v>202</v>
      </c>
      <c r="D145" s="23">
        <v>1</v>
      </c>
      <c r="E145" s="22">
        <v>5.1419169066227893E-5</v>
      </c>
    </row>
    <row r="146" spans="2:5" ht="13.5">
      <c r="B146" s="96"/>
      <c r="C146" s="60" t="s">
        <v>201</v>
      </c>
      <c r="D146" s="23">
        <v>3</v>
      </c>
      <c r="E146" s="22">
        <v>1.5425750719868367E-4</v>
      </c>
    </row>
    <row r="147" spans="2:5" ht="13.5">
      <c r="B147" s="97"/>
      <c r="C147" s="73" t="s">
        <v>20</v>
      </c>
      <c r="D147" s="74">
        <v>4</v>
      </c>
      <c r="E147" s="75">
        <v>2.0567667626491157E-4</v>
      </c>
    </row>
    <row r="148" spans="2:5" ht="13.5">
      <c r="B148" s="95" t="s">
        <v>35</v>
      </c>
      <c r="C148" s="60" t="s">
        <v>202</v>
      </c>
      <c r="D148" s="23">
        <v>56</v>
      </c>
      <c r="E148" s="22">
        <v>2.8794734677087619E-3</v>
      </c>
    </row>
    <row r="149" spans="2:5" ht="13.5">
      <c r="B149" s="96"/>
      <c r="C149" s="60" t="s">
        <v>201</v>
      </c>
      <c r="D149" s="23">
        <v>39</v>
      </c>
      <c r="E149" s="22">
        <v>2.0053475935828879E-3</v>
      </c>
    </row>
    <row r="150" spans="2:5" ht="13.5">
      <c r="B150" s="97"/>
      <c r="C150" s="73" t="s">
        <v>20</v>
      </c>
      <c r="D150" s="74">
        <v>95</v>
      </c>
      <c r="E150" s="75">
        <v>4.8848210612916498E-3</v>
      </c>
    </row>
    <row r="151" spans="2:5" ht="13.5">
      <c r="B151" s="95" t="s">
        <v>72</v>
      </c>
      <c r="C151" s="60" t="s">
        <v>202</v>
      </c>
      <c r="D151" s="23">
        <v>1</v>
      </c>
      <c r="E151" s="22">
        <v>5.1419169066227893E-5</v>
      </c>
    </row>
    <row r="152" spans="2:5" ht="13.5">
      <c r="B152" s="97"/>
      <c r="C152" s="73" t="s">
        <v>20</v>
      </c>
      <c r="D152" s="74">
        <v>1</v>
      </c>
      <c r="E152" s="75">
        <v>5.1419169066227893E-5</v>
      </c>
    </row>
    <row r="153" spans="2:5" ht="13.5">
      <c r="B153" s="89" t="s">
        <v>197</v>
      </c>
      <c r="C153" s="90"/>
      <c r="D153" s="20">
        <v>19448</v>
      </c>
      <c r="E153" s="19">
        <v>1</v>
      </c>
    </row>
    <row r="155" spans="2:5">
      <c r="B155" s="16" t="s">
        <v>240</v>
      </c>
    </row>
    <row r="156" spans="2:5">
      <c r="B156" s="18" t="s">
        <v>19</v>
      </c>
    </row>
    <row r="157" spans="2:5">
      <c r="B157" s="17" t="s">
        <v>18</v>
      </c>
    </row>
    <row r="158" spans="2:5">
      <c r="B158" s="16" t="s">
        <v>17</v>
      </c>
    </row>
    <row r="159" spans="2:5">
      <c r="B159" s="16" t="s">
        <v>241</v>
      </c>
    </row>
  </sheetData>
  <mergeCells count="49">
    <mergeCell ref="B70:B72"/>
    <mergeCell ref="B73:B75"/>
    <mergeCell ref="B46:B48"/>
    <mergeCell ref="B25:B27"/>
    <mergeCell ref="B28:B30"/>
    <mergeCell ref="B61:B63"/>
    <mergeCell ref="B64:B66"/>
    <mergeCell ref="B67:B69"/>
    <mergeCell ref="B49:B51"/>
    <mergeCell ref="B52:B54"/>
    <mergeCell ref="B55:B57"/>
    <mergeCell ref="B58:B60"/>
    <mergeCell ref="B31:B33"/>
    <mergeCell ref="B34:B36"/>
    <mergeCell ref="B37:B39"/>
    <mergeCell ref="B40:B42"/>
    <mergeCell ref="B8:E10"/>
    <mergeCell ref="B13:B15"/>
    <mergeCell ref="B16:B18"/>
    <mergeCell ref="B19:B21"/>
    <mergeCell ref="B22:B24"/>
    <mergeCell ref="B118:B120"/>
    <mergeCell ref="B121:B123"/>
    <mergeCell ref="B124:B126"/>
    <mergeCell ref="B76:B78"/>
    <mergeCell ref="B79:B81"/>
    <mergeCell ref="B82:B84"/>
    <mergeCell ref="B103:B105"/>
    <mergeCell ref="B106:B108"/>
    <mergeCell ref="B109:B111"/>
    <mergeCell ref="B112:B114"/>
    <mergeCell ref="B115:B117"/>
    <mergeCell ref="B100:B102"/>
    <mergeCell ref="B43:B45"/>
    <mergeCell ref="B145:B147"/>
    <mergeCell ref="B148:B150"/>
    <mergeCell ref="B151:B152"/>
    <mergeCell ref="B153:C153"/>
    <mergeCell ref="B85:B87"/>
    <mergeCell ref="B88:B90"/>
    <mergeCell ref="B91:B93"/>
    <mergeCell ref="B94:B96"/>
    <mergeCell ref="B97:B99"/>
    <mergeCell ref="B133:B135"/>
    <mergeCell ref="B136:B138"/>
    <mergeCell ref="B139:B141"/>
    <mergeCell ref="B142:B144"/>
    <mergeCell ref="B127:B129"/>
    <mergeCell ref="B130:B132"/>
  </mergeCells>
  <printOptions horizontalCentered="1"/>
  <pageMargins left="0.74803149606299213" right="0.74803149606299213" top="0.98425196850393704" bottom="0.98425196850393704" header="0.51181102362204722" footer="0.51181102362204722"/>
  <pageSetup scale="59" orientation="portrait" r:id="rId1"/>
  <headerFooter>
    <oddFooter>&amp;C&amp;P de &amp;N</oddFooter>
  </headerFooter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G35"/>
  <sheetViews>
    <sheetView showGridLines="0" view="pageBreakPreview" topLeftCell="A5" zoomScaleNormal="175" zoomScaleSheetLayoutView="100" workbookViewId="0">
      <selection activeCell="D35" sqref="D35"/>
    </sheetView>
  </sheetViews>
  <sheetFormatPr baseColWidth="10" defaultColWidth="11.42578125" defaultRowHeight="11.25"/>
  <cols>
    <col min="1" max="1" width="5.7109375" style="26" customWidth="1"/>
    <col min="2" max="2" width="19" style="48" customWidth="1"/>
    <col min="3" max="3" width="17.140625" style="48" customWidth="1"/>
    <col min="4" max="4" width="17.140625" style="59" customWidth="1"/>
    <col min="5" max="5" width="16.5703125" style="59" customWidth="1"/>
    <col min="6" max="6" width="16.5703125" style="48" customWidth="1"/>
    <col min="7" max="7" width="5.7109375" style="26" customWidth="1"/>
    <col min="8" max="16384" width="11.42578125" style="26"/>
  </cols>
  <sheetData>
    <row r="1" spans="1:7" s="61" customFormat="1" ht="15">
      <c r="B1" s="51"/>
      <c r="C1" s="48"/>
    </row>
    <row r="2" spans="1:7" s="48" customFormat="1">
      <c r="B2" s="65"/>
    </row>
    <row r="3" spans="1:7" ht="15" customHeight="1">
      <c r="B3" s="66"/>
      <c r="C3" s="32"/>
      <c r="D3" s="26"/>
      <c r="E3" s="26"/>
      <c r="G3" s="48"/>
    </row>
    <row r="4" spans="1:7" ht="30" customHeight="1">
      <c r="B4" s="66"/>
      <c r="C4" s="32"/>
      <c r="D4" s="26"/>
      <c r="E4" s="26"/>
      <c r="G4" s="48"/>
    </row>
    <row r="5" spans="1:7" ht="15" customHeight="1">
      <c r="B5" s="66"/>
      <c r="C5" s="32"/>
      <c r="D5" s="26"/>
      <c r="E5" s="26"/>
      <c r="G5" s="48"/>
    </row>
    <row r="6" spans="1:7" s="48" customFormat="1">
      <c r="B6" s="55"/>
      <c r="C6" s="44"/>
    </row>
    <row r="7" spans="1:7" s="48" customFormat="1">
      <c r="A7" s="51"/>
      <c r="B7" s="65"/>
      <c r="C7" s="51"/>
    </row>
    <row r="8" spans="1:7" s="61" customFormat="1" ht="15" customHeight="1">
      <c r="B8" s="88" t="s">
        <v>214</v>
      </c>
      <c r="C8" s="88"/>
      <c r="D8" s="88"/>
      <c r="E8" s="88"/>
      <c r="F8" s="88"/>
    </row>
    <row r="9" spans="1:7" s="61" customFormat="1" ht="15" customHeight="1">
      <c r="A9" s="63"/>
      <c r="B9" s="88"/>
      <c r="C9" s="88"/>
      <c r="D9" s="88"/>
      <c r="E9" s="88"/>
      <c r="F9" s="88"/>
      <c r="G9" s="64"/>
    </row>
    <row r="10" spans="1:7" s="61" customFormat="1" ht="15" customHeight="1">
      <c r="A10" s="63"/>
      <c r="B10" s="88"/>
      <c r="C10" s="88"/>
      <c r="D10" s="88"/>
      <c r="E10" s="88"/>
      <c r="F10" s="88"/>
      <c r="G10" s="63"/>
    </row>
    <row r="11" spans="1:7" s="61" customFormat="1" ht="15" customHeight="1">
      <c r="A11" s="63"/>
      <c r="B11" s="67"/>
      <c r="C11" s="67"/>
      <c r="D11" s="67"/>
      <c r="E11" s="67"/>
      <c r="F11" s="67"/>
      <c r="G11" s="63"/>
    </row>
    <row r="12" spans="1:7" s="61" customFormat="1" ht="36.950000000000003" customHeight="1">
      <c r="B12" s="62" t="s">
        <v>200</v>
      </c>
      <c r="C12" s="62" t="s">
        <v>213</v>
      </c>
      <c r="D12" s="62" t="s">
        <v>67</v>
      </c>
      <c r="E12" s="62" t="s">
        <v>212</v>
      </c>
      <c r="F12" s="62" t="s">
        <v>211</v>
      </c>
    </row>
    <row r="13" spans="1:7" ht="13.5">
      <c r="B13" s="98" t="s">
        <v>202</v>
      </c>
      <c r="C13" s="76" t="s">
        <v>210</v>
      </c>
      <c r="D13" s="77">
        <v>18</v>
      </c>
      <c r="E13" s="78">
        <v>1.8773466833541927E-3</v>
      </c>
      <c r="F13" s="78">
        <f t="shared" ref="F13:F29" si="0">D13/$D$29</f>
        <v>9.2554504319210197E-4</v>
      </c>
    </row>
    <row r="14" spans="1:7" ht="13.5">
      <c r="B14" s="99"/>
      <c r="C14" s="76" t="s">
        <v>209</v>
      </c>
      <c r="D14" s="77">
        <v>148</v>
      </c>
      <c r="E14" s="78">
        <v>1.543596161869003E-2</v>
      </c>
      <c r="F14" s="78">
        <f t="shared" si="0"/>
        <v>7.610037021801728E-3</v>
      </c>
    </row>
    <row r="15" spans="1:7" ht="13.5">
      <c r="B15" s="99"/>
      <c r="C15" s="76" t="s">
        <v>208</v>
      </c>
      <c r="D15" s="77">
        <v>1542</v>
      </c>
      <c r="E15" s="78">
        <v>0.16082603254067585</v>
      </c>
      <c r="F15" s="78">
        <f t="shared" si="0"/>
        <v>7.9288358700123407E-2</v>
      </c>
    </row>
    <row r="16" spans="1:7" ht="13.5">
      <c r="B16" s="99"/>
      <c r="C16" s="76" t="s">
        <v>207</v>
      </c>
      <c r="D16" s="77">
        <v>2799</v>
      </c>
      <c r="E16" s="78">
        <v>0.29192740926157695</v>
      </c>
      <c r="F16" s="78">
        <f t="shared" si="0"/>
        <v>0.14392225421637186</v>
      </c>
    </row>
    <row r="17" spans="2:6" ht="27">
      <c r="B17" s="99"/>
      <c r="C17" s="76" t="s">
        <v>206</v>
      </c>
      <c r="D17" s="77">
        <v>3057</v>
      </c>
      <c r="E17" s="78">
        <v>0.31883604505632041</v>
      </c>
      <c r="F17" s="78">
        <f t="shared" si="0"/>
        <v>0.15718839983545865</v>
      </c>
    </row>
    <row r="18" spans="2:6" ht="13.5">
      <c r="B18" s="99"/>
      <c r="C18" s="76" t="s">
        <v>205</v>
      </c>
      <c r="D18" s="77">
        <v>1812</v>
      </c>
      <c r="E18" s="78">
        <v>0.18898623279098872</v>
      </c>
      <c r="F18" s="78">
        <f t="shared" si="0"/>
        <v>9.3171534348004931E-2</v>
      </c>
    </row>
    <row r="19" spans="2:6" ht="13.5">
      <c r="B19" s="99"/>
      <c r="C19" s="76" t="s">
        <v>204</v>
      </c>
      <c r="D19" s="77">
        <v>183</v>
      </c>
      <c r="E19" s="78">
        <v>1.9086357947434292E-2</v>
      </c>
      <c r="F19" s="78">
        <f t="shared" si="0"/>
        <v>9.4097079391197037E-3</v>
      </c>
    </row>
    <row r="20" spans="2:6" ht="13.5">
      <c r="B20" s="100"/>
      <c r="C20" s="76" t="s">
        <v>203</v>
      </c>
      <c r="D20" s="77">
        <v>29</v>
      </c>
      <c r="E20" s="78">
        <v>3.024614100959533E-3</v>
      </c>
      <c r="F20" s="78">
        <f t="shared" si="0"/>
        <v>1.4911559029206088E-3</v>
      </c>
    </row>
    <row r="21" spans="2:6" ht="13.5">
      <c r="B21" s="95" t="s">
        <v>201</v>
      </c>
      <c r="C21" s="60" t="s">
        <v>210</v>
      </c>
      <c r="D21" s="23">
        <v>29</v>
      </c>
      <c r="E21" s="22">
        <v>2.9411764705882353E-3</v>
      </c>
      <c r="F21" s="22">
        <f t="shared" si="0"/>
        <v>1.4911559029206088E-3</v>
      </c>
    </row>
    <row r="22" spans="2:6" ht="13.5">
      <c r="B22" s="96"/>
      <c r="C22" s="60" t="s">
        <v>209</v>
      </c>
      <c r="D22" s="23">
        <v>146</v>
      </c>
      <c r="E22" s="22">
        <v>1.4807302231237322E-2</v>
      </c>
      <c r="F22" s="22">
        <f t="shared" si="0"/>
        <v>7.5071986836692719E-3</v>
      </c>
    </row>
    <row r="23" spans="2:6" ht="13.5">
      <c r="B23" s="96"/>
      <c r="C23" s="60" t="s">
        <v>208</v>
      </c>
      <c r="D23" s="23">
        <v>1610</v>
      </c>
      <c r="E23" s="22">
        <v>0.16328600405679514</v>
      </c>
      <c r="F23" s="22">
        <f t="shared" si="0"/>
        <v>8.2784862196626896E-2</v>
      </c>
    </row>
    <row r="24" spans="2:6" ht="13.5">
      <c r="B24" s="96"/>
      <c r="C24" s="60" t="s">
        <v>207</v>
      </c>
      <c r="D24" s="23">
        <v>2928</v>
      </c>
      <c r="E24" s="22">
        <v>0.29695740365111561</v>
      </c>
      <c r="F24" s="22">
        <f t="shared" si="0"/>
        <v>0.15055532702591526</v>
      </c>
    </row>
    <row r="25" spans="2:6" ht="27">
      <c r="B25" s="96"/>
      <c r="C25" s="60" t="s">
        <v>206</v>
      </c>
      <c r="D25" s="23">
        <v>3077</v>
      </c>
      <c r="E25" s="22">
        <v>0.31206896551724139</v>
      </c>
      <c r="F25" s="22">
        <f t="shared" si="0"/>
        <v>0.15821678321678323</v>
      </c>
    </row>
    <row r="26" spans="2:6" ht="13.5">
      <c r="B26" s="96"/>
      <c r="C26" s="60" t="s">
        <v>205</v>
      </c>
      <c r="D26" s="23">
        <v>1893</v>
      </c>
      <c r="E26" s="22">
        <v>0.19198782961460445</v>
      </c>
      <c r="F26" s="22">
        <f t="shared" si="0"/>
        <v>9.7336487042369399E-2</v>
      </c>
    </row>
    <row r="27" spans="2:6" ht="13.5">
      <c r="B27" s="96"/>
      <c r="C27" s="60" t="s">
        <v>204</v>
      </c>
      <c r="D27" s="23">
        <v>141</v>
      </c>
      <c r="E27" s="22">
        <v>1.4300202839756592E-2</v>
      </c>
      <c r="F27" s="22">
        <f t="shared" si="0"/>
        <v>7.2501028383381329E-3</v>
      </c>
    </row>
    <row r="28" spans="2:6" ht="13.5">
      <c r="B28" s="97"/>
      <c r="C28" s="60" t="s">
        <v>203</v>
      </c>
      <c r="D28" s="23">
        <v>36</v>
      </c>
      <c r="E28" s="22">
        <v>3.6511156186612576E-3</v>
      </c>
      <c r="F28" s="22">
        <f t="shared" si="0"/>
        <v>1.8510900863842039E-3</v>
      </c>
    </row>
    <row r="29" spans="2:6" ht="13.5">
      <c r="B29" s="21" t="s">
        <v>20</v>
      </c>
      <c r="C29" s="21"/>
      <c r="D29" s="20">
        <v>19448</v>
      </c>
      <c r="E29" s="19"/>
      <c r="F29" s="19">
        <f t="shared" si="0"/>
        <v>1</v>
      </c>
    </row>
    <row r="31" spans="2:6">
      <c r="B31" s="16" t="s">
        <v>240</v>
      </c>
    </row>
    <row r="32" spans="2:6">
      <c r="B32" s="18" t="s">
        <v>19</v>
      </c>
    </row>
    <row r="33" spans="2:2">
      <c r="B33" s="17" t="s">
        <v>18</v>
      </c>
    </row>
    <row r="34" spans="2:2">
      <c r="B34" s="16" t="s">
        <v>17</v>
      </c>
    </row>
    <row r="35" spans="2:2">
      <c r="B35" s="16" t="s">
        <v>241</v>
      </c>
    </row>
  </sheetData>
  <mergeCells count="3">
    <mergeCell ref="B8:F10"/>
    <mergeCell ref="B13:B20"/>
    <mergeCell ref="B21:B28"/>
  </mergeCells>
  <printOptions horizontalCentered="1"/>
  <pageMargins left="0.74803149606299213" right="0.74803149606299213" top="0.98425196850393704" bottom="0.98425196850393704" header="0.51181102362204722" footer="0.51181102362204722"/>
  <pageSetup scale="80" orientation="portrait" r:id="rId1"/>
  <headerFooter>
    <oddFooter>&amp;C&amp;P de &amp;N</oddFooter>
  </headerFooter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30A0"/>
  </sheetPr>
  <dimension ref="A1:E41"/>
  <sheetViews>
    <sheetView showGridLines="0" zoomScaleNormal="100" zoomScaleSheetLayoutView="115" workbookViewId="0">
      <selection activeCell="H36" sqref="H36"/>
    </sheetView>
  </sheetViews>
  <sheetFormatPr baseColWidth="10" defaultColWidth="11.42578125" defaultRowHeight="15"/>
  <cols>
    <col min="1" max="1" width="9.28515625" style="14" customWidth="1"/>
    <col min="2" max="2" width="21.7109375" style="14" customWidth="1"/>
    <col min="3" max="3" width="17.7109375" style="15" customWidth="1"/>
    <col min="4" max="4" width="17.7109375" style="14" customWidth="1"/>
    <col min="5" max="5" width="9.28515625" style="14" customWidth="1"/>
    <col min="6" max="6" width="5.7109375" style="14" customWidth="1"/>
    <col min="7" max="16384" width="11.42578125" style="14"/>
  </cols>
  <sheetData>
    <row r="1" spans="1:5" s="26" customFormat="1" ht="15" customHeight="1">
      <c r="C1" s="32"/>
    </row>
    <row r="2" spans="1:5" s="26" customFormat="1" ht="15" customHeight="1">
      <c r="C2" s="32"/>
    </row>
    <row r="3" spans="1:5" s="26" customFormat="1" ht="15" customHeight="1">
      <c r="A3" s="26" t="s">
        <v>69</v>
      </c>
      <c r="C3" s="32"/>
    </row>
    <row r="4" spans="1:5" s="26" customFormat="1" ht="30" customHeight="1">
      <c r="C4" s="32"/>
      <c r="D4" s="31"/>
    </row>
    <row r="5" spans="1:5" s="26" customFormat="1" ht="15" customHeight="1">
      <c r="C5" s="32"/>
      <c r="D5" s="31"/>
    </row>
    <row r="6" spans="1:5" s="26" customFormat="1" ht="15" customHeight="1">
      <c r="C6" s="32"/>
      <c r="D6" s="31"/>
    </row>
    <row r="7" spans="1:5" s="26" customFormat="1" ht="15" customHeight="1">
      <c r="B7" s="88" t="s">
        <v>247</v>
      </c>
      <c r="C7" s="88"/>
      <c r="D7" s="88"/>
    </row>
    <row r="8" spans="1:5" s="26" customFormat="1" ht="15" customHeight="1">
      <c r="B8" s="88"/>
      <c r="C8" s="88"/>
      <c r="D8" s="88"/>
    </row>
    <row r="9" spans="1:5" s="26" customFormat="1" ht="33" customHeight="1">
      <c r="B9" s="88"/>
      <c r="C9" s="88"/>
      <c r="D9" s="88"/>
    </row>
    <row r="10" spans="1:5" s="26" customFormat="1" ht="4.5" customHeight="1">
      <c r="B10" s="30"/>
      <c r="C10" s="30"/>
      <c r="D10" s="30"/>
    </row>
    <row r="11" spans="1:5" s="26" customFormat="1" ht="33" customHeight="1">
      <c r="B11" s="29" t="s">
        <v>235</v>
      </c>
      <c r="C11" s="28" t="s">
        <v>67</v>
      </c>
      <c r="D11" s="27" t="s">
        <v>66</v>
      </c>
    </row>
    <row r="12" spans="1:5">
      <c r="B12" s="24" t="s">
        <v>234</v>
      </c>
      <c r="C12" s="23">
        <v>8836</v>
      </c>
      <c r="D12" s="22">
        <f t="shared" ref="D12:D35" si="0">C12/$C$35</f>
        <v>0.45433977786918961</v>
      </c>
    </row>
    <row r="13" spans="1:5">
      <c r="B13" s="24" t="s">
        <v>233</v>
      </c>
      <c r="C13" s="23">
        <v>6059</v>
      </c>
      <c r="D13" s="22">
        <f t="shared" si="0"/>
        <v>0.31154874537227478</v>
      </c>
    </row>
    <row r="14" spans="1:5">
      <c r="B14" s="24" t="s">
        <v>232</v>
      </c>
      <c r="C14" s="23">
        <v>1440</v>
      </c>
      <c r="D14" s="22">
        <f t="shared" si="0"/>
        <v>7.4043603455368159E-2</v>
      </c>
      <c r="E14" s="25"/>
    </row>
    <row r="15" spans="1:5">
      <c r="B15" s="24" t="s">
        <v>231</v>
      </c>
      <c r="C15" s="23">
        <v>809</v>
      </c>
      <c r="D15" s="22">
        <f t="shared" si="0"/>
        <v>4.1598107774578362E-2</v>
      </c>
      <c r="E15" s="25"/>
    </row>
    <row r="16" spans="1:5">
      <c r="B16" s="24" t="s">
        <v>230</v>
      </c>
      <c r="C16" s="23">
        <v>713</v>
      </c>
      <c r="D16" s="22">
        <f t="shared" si="0"/>
        <v>3.6661867544220482E-2</v>
      </c>
    </row>
    <row r="17" spans="2:4">
      <c r="B17" s="24" t="s">
        <v>229</v>
      </c>
      <c r="C17" s="23">
        <v>264</v>
      </c>
      <c r="D17" s="22">
        <f t="shared" si="0"/>
        <v>1.3574660633484163E-2</v>
      </c>
    </row>
    <row r="18" spans="2:4">
      <c r="B18" s="24" t="s">
        <v>227</v>
      </c>
      <c r="C18" s="23">
        <v>207</v>
      </c>
      <c r="D18" s="22">
        <f t="shared" si="0"/>
        <v>1.0643767996709174E-2</v>
      </c>
    </row>
    <row r="19" spans="2:4">
      <c r="B19" s="24" t="s">
        <v>228</v>
      </c>
      <c r="C19" s="23">
        <v>183</v>
      </c>
      <c r="D19" s="22">
        <f t="shared" si="0"/>
        <v>9.4097079391197037E-3</v>
      </c>
    </row>
    <row r="20" spans="2:4">
      <c r="B20" s="24" t="s">
        <v>224</v>
      </c>
      <c r="C20" s="23">
        <v>179</v>
      </c>
      <c r="D20" s="22">
        <f t="shared" si="0"/>
        <v>9.2040312628547914E-3</v>
      </c>
    </row>
    <row r="21" spans="2:4">
      <c r="B21" s="24" t="s">
        <v>225</v>
      </c>
      <c r="C21" s="23">
        <v>175</v>
      </c>
      <c r="D21" s="22">
        <f t="shared" si="0"/>
        <v>8.9983545865898809E-3</v>
      </c>
    </row>
    <row r="22" spans="2:4">
      <c r="B22" s="24" t="s">
        <v>226</v>
      </c>
      <c r="C22" s="23">
        <v>133</v>
      </c>
      <c r="D22" s="22">
        <f t="shared" si="0"/>
        <v>6.8387494858083092E-3</v>
      </c>
    </row>
    <row r="23" spans="2:4">
      <c r="B23" s="24" t="s">
        <v>223</v>
      </c>
      <c r="C23" s="23">
        <v>110</v>
      </c>
      <c r="D23" s="22">
        <f t="shared" si="0"/>
        <v>5.6561085972850677E-3</v>
      </c>
    </row>
    <row r="24" spans="2:4">
      <c r="B24" s="24" t="s">
        <v>222</v>
      </c>
      <c r="C24" s="23">
        <v>86</v>
      </c>
      <c r="D24" s="22">
        <f t="shared" si="0"/>
        <v>4.4220485396955986E-3</v>
      </c>
    </row>
    <row r="25" spans="2:4">
      <c r="B25" s="24" t="s">
        <v>221</v>
      </c>
      <c r="C25" s="23">
        <v>70</v>
      </c>
      <c r="D25" s="22">
        <f t="shared" si="0"/>
        <v>3.5993418346359522E-3</v>
      </c>
    </row>
    <row r="26" spans="2:4">
      <c r="B26" s="24" t="s">
        <v>219</v>
      </c>
      <c r="C26" s="23">
        <v>61</v>
      </c>
      <c r="D26" s="22">
        <f t="shared" si="0"/>
        <v>3.1365693130399014E-3</v>
      </c>
    </row>
    <row r="27" spans="2:4">
      <c r="B27" s="24" t="s">
        <v>220</v>
      </c>
      <c r="C27" s="23">
        <v>60</v>
      </c>
      <c r="D27" s="22">
        <f t="shared" si="0"/>
        <v>3.0851501439736733E-3</v>
      </c>
    </row>
    <row r="28" spans="2:4">
      <c r="B28" s="24" t="s">
        <v>218</v>
      </c>
      <c r="C28" s="23">
        <v>33</v>
      </c>
      <c r="D28" s="22">
        <f t="shared" si="0"/>
        <v>1.6968325791855204E-3</v>
      </c>
    </row>
    <row r="29" spans="2:4">
      <c r="B29" s="24" t="s">
        <v>217</v>
      </c>
      <c r="C29" s="23">
        <v>15</v>
      </c>
      <c r="D29" s="22">
        <f t="shared" si="0"/>
        <v>7.7128753599341833E-4</v>
      </c>
    </row>
    <row r="30" spans="2:4">
      <c r="B30" s="24" t="s">
        <v>216</v>
      </c>
      <c r="C30" s="23">
        <v>7</v>
      </c>
      <c r="D30" s="22">
        <f t="shared" si="0"/>
        <v>3.5993418346359524E-4</v>
      </c>
    </row>
    <row r="31" spans="2:4">
      <c r="B31" s="24" t="s">
        <v>236</v>
      </c>
      <c r="C31" s="23">
        <v>3</v>
      </c>
      <c r="D31" s="22">
        <f t="shared" si="0"/>
        <v>1.5425750719868367E-4</v>
      </c>
    </row>
    <row r="32" spans="2:4">
      <c r="B32" s="24" t="s">
        <v>215</v>
      </c>
      <c r="C32" s="23">
        <v>2</v>
      </c>
      <c r="D32" s="22">
        <f t="shared" si="0"/>
        <v>1.0283833813245579E-4</v>
      </c>
    </row>
    <row r="33" spans="2:4">
      <c r="B33" s="24" t="s">
        <v>248</v>
      </c>
      <c r="C33" s="23">
        <v>2</v>
      </c>
      <c r="D33" s="22">
        <f t="shared" si="0"/>
        <v>1.0283833813245579E-4</v>
      </c>
    </row>
    <row r="34" spans="2:4">
      <c r="B34" s="24" t="s">
        <v>249</v>
      </c>
      <c r="C34" s="23">
        <v>1</v>
      </c>
      <c r="D34" s="22">
        <f t="shared" si="0"/>
        <v>5.1419169066227893E-5</v>
      </c>
    </row>
    <row r="35" spans="2:4">
      <c r="B35" s="21" t="s">
        <v>20</v>
      </c>
      <c r="C35" s="20">
        <v>19448</v>
      </c>
      <c r="D35" s="19">
        <f t="shared" si="0"/>
        <v>1</v>
      </c>
    </row>
    <row r="37" spans="2:4">
      <c r="B37" s="72" t="s">
        <v>240</v>
      </c>
    </row>
    <row r="38" spans="2:4">
      <c r="B38" s="72" t="s">
        <v>19</v>
      </c>
    </row>
    <row r="39" spans="2:4">
      <c r="B39" s="72" t="s">
        <v>18</v>
      </c>
    </row>
    <row r="40" spans="2:4">
      <c r="B40" s="72" t="s">
        <v>17</v>
      </c>
    </row>
    <row r="41" spans="2:4">
      <c r="B41" s="72" t="s">
        <v>241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14</vt:i4>
      </vt:variant>
      <vt:variant>
        <vt:lpstr>Rangos con nombre</vt:lpstr>
      </vt:variant>
      <vt:variant>
        <vt:i4>18</vt:i4>
      </vt:variant>
    </vt:vector>
  </HeadingPairs>
  <TitlesOfParts>
    <vt:vector size="32" baseType="lpstr">
      <vt:lpstr>Índice</vt:lpstr>
      <vt:lpstr>Tamaulipas_EdoUsa</vt:lpstr>
      <vt:lpstr>Tamaulipas_Cons</vt:lpstr>
      <vt:lpstr>TamaulipasXCons</vt:lpstr>
      <vt:lpstr>Tamaulipas_EdoMun</vt:lpstr>
      <vt:lpstr>Tamaulipas_USAMuni</vt:lpstr>
      <vt:lpstr>Tamaulipas_MUNICIPIO</vt:lpstr>
      <vt:lpstr>Tamaulipas_educ_gral</vt:lpstr>
      <vt:lpstr>Tamaulipas_NivelE_Cons</vt:lpstr>
      <vt:lpstr>Tamaulipas_EducCons</vt:lpstr>
      <vt:lpstr>Tamaulipas_GenGral</vt:lpstr>
      <vt:lpstr>Tamaulipas_GENERO</vt:lpstr>
      <vt:lpstr>Tamaulipas_Gen_Edad</vt:lpstr>
      <vt:lpstr>Tamaulipas_ocup_gral</vt:lpstr>
      <vt:lpstr>Tamaulipas_EducCons!Área_de_impresión</vt:lpstr>
      <vt:lpstr>Tamaulipas_Gen_Edad!Área_de_impresión</vt:lpstr>
      <vt:lpstr>Tamaulipas_MUNICIPIO!Área_de_impresión</vt:lpstr>
      <vt:lpstr>Tamaulipas_NivelE_Cons!Área_de_impresión</vt:lpstr>
      <vt:lpstr>Tamaulipas_USAMuni!Área_de_impresión</vt:lpstr>
      <vt:lpstr>Tamaulipas_Cons!Títulos_a_imprimir</vt:lpstr>
      <vt:lpstr>Tamaulipas_EdoMun!Títulos_a_imprimir</vt:lpstr>
      <vt:lpstr>Tamaulipas_EdoUsa!Títulos_a_imprimir</vt:lpstr>
      <vt:lpstr>Tamaulipas_educ_gral!Títulos_a_imprimir</vt:lpstr>
      <vt:lpstr>Tamaulipas_EducCons!Títulos_a_imprimir</vt:lpstr>
      <vt:lpstr>Tamaulipas_Gen_Edad!Títulos_a_imprimir</vt:lpstr>
      <vt:lpstr>Tamaulipas_GENERO!Títulos_a_imprimir</vt:lpstr>
      <vt:lpstr>Tamaulipas_GenGral!Títulos_a_imprimir</vt:lpstr>
      <vt:lpstr>Tamaulipas_MUNICIPIO!Títulos_a_imprimir</vt:lpstr>
      <vt:lpstr>Tamaulipas_NivelE_Cons!Títulos_a_imprimir</vt:lpstr>
      <vt:lpstr>Tamaulipas_ocup_gral!Títulos_a_imprimir</vt:lpstr>
      <vt:lpstr>Tamaulipas_USAMuni!Títulos_a_imprimir</vt:lpstr>
      <vt:lpstr>TamaulipasXCons!Títulos_a_imprimir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Lidia</dc:creator>
  <cp:lastModifiedBy>123</cp:lastModifiedBy>
  <dcterms:created xsi:type="dcterms:W3CDTF">2020-06-04T00:51:41Z</dcterms:created>
  <dcterms:modified xsi:type="dcterms:W3CDTF">2022-07-26T22:31:40Z</dcterms:modified>
</cp:coreProperties>
</file>