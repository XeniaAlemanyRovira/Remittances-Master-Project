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República Mexicana\Finales_RM\"/>
    </mc:Choice>
  </mc:AlternateContent>
  <xr:revisionPtr revIDLastSave="0" documentId="13_ncr:1_{568D85D4-D5BF-4C1E-8B52-7A65D4200BDE}" xr6:coauthVersionLast="47" xr6:coauthVersionMax="47" xr10:uidLastSave="{00000000-0000-0000-0000-000000000000}"/>
  <bookViews>
    <workbookView xWindow="-110" yWindow="-110" windowWidth="19420" windowHeight="10420" tabRatio="750" xr2:uid="{00000000-000D-0000-FFFF-FFFF00000000}"/>
  </bookViews>
  <sheets>
    <sheet name="Índice" sheetId="1" r:id="rId1"/>
    <sheet name="Ciudad de México_EdoUsa" sheetId="2" r:id="rId2"/>
    <sheet name="Ciudad de México_Cons" sheetId="15" r:id="rId3"/>
    <sheet name="Ciudad de MéxicoXCons" sheetId="16" r:id="rId4"/>
    <sheet name="Ciudad de México_EdoMun" sheetId="5" r:id="rId5"/>
    <sheet name="Ciudad de México_USAMuni" sheetId="6" r:id="rId6"/>
    <sheet name="Ciudad de México_MUNICIPIO" sheetId="7" r:id="rId7"/>
    <sheet name="Ciudad de México_educ_gral" sheetId="8" r:id="rId8"/>
    <sheet name="Ciudad de México_NivelE_Cons" sheetId="9" r:id="rId9"/>
    <sheet name="Ciudad de México_EducCons" sheetId="10" r:id="rId10"/>
    <sheet name="Ciudad de México_GenGral" sheetId="11" r:id="rId11"/>
    <sheet name="Ciudad de México_GENERO" sheetId="12" r:id="rId12"/>
    <sheet name="Ciudad de México_GENERO_EUA" sheetId="17" r:id="rId13"/>
    <sheet name="Ciudad de México_Gen_Edad" sheetId="13" r:id="rId14"/>
    <sheet name="Ciudad de México_ocup_gral" sheetId="14" r:id="rId15"/>
  </sheets>
  <definedNames>
    <definedName name="_xlnm._FilterDatabase" localSheetId="2" hidden="1">'Ciudad de México_Cons'!$B$11:$D$11</definedName>
    <definedName name="_xlnm._FilterDatabase" localSheetId="4" hidden="1">'Ciudad de México_EdoMun'!$B$11:$D$11</definedName>
    <definedName name="_xlnm._FilterDatabase" localSheetId="1" hidden="1">'Ciudad de México_EdoUsa'!$B$11:$D$11</definedName>
    <definedName name="_xlnm._FilterDatabase" localSheetId="7" hidden="1">'Ciudad de México_educ_gral'!$B$11:$D$11</definedName>
    <definedName name="_xlnm._FilterDatabase" localSheetId="9" hidden="1">'Ciudad de México_EducCons'!$B$9:$E$9</definedName>
    <definedName name="_xlnm._FilterDatabase" localSheetId="11" hidden="1">'Ciudad de México_GENERO'!$B$12:$E$12</definedName>
    <definedName name="_xlnm._FilterDatabase" localSheetId="12" hidden="1">'Ciudad de México_GENERO_EUA'!$B$12:$E$12</definedName>
    <definedName name="_xlnm._FilterDatabase" localSheetId="10" hidden="1">'Ciudad de México_GenGral'!$B$11:$D$11</definedName>
    <definedName name="_xlnm._FilterDatabase" localSheetId="6" hidden="1">'Ciudad de México_MUNICIPIO'!$B$9:$E$9</definedName>
    <definedName name="_xlnm._FilterDatabase" localSheetId="8" hidden="1">'Ciudad de México_NivelE_Cons'!$B$9:$E$9</definedName>
    <definedName name="_xlnm._FilterDatabase" localSheetId="14" hidden="1">'Ciudad de México_ocup_gral'!$B$11:$D$11</definedName>
    <definedName name="_xlnm._FilterDatabase" localSheetId="5" hidden="1">'Ciudad de México_USAMuni'!$B$9:$E$9</definedName>
    <definedName name="_xlnm._FilterDatabase" localSheetId="3" hidden="1">'Ciudad de MéxicoXCons'!$B$11:$D$11</definedName>
    <definedName name="_xlnm.Print_Area" localSheetId="2">'Ciudad de México_Cons'!$A$1:$F$70</definedName>
    <definedName name="_xlnm.Print_Area" localSheetId="7">'Ciudad de México_educ_gral'!$A$1:$F$43</definedName>
    <definedName name="_xlnm.Print_Area" localSheetId="9">'Ciudad de México_EducCons'!$A$1:$E$970</definedName>
    <definedName name="_xlnm.Print_Area" localSheetId="6">'Ciudad de México_MUNICIPIO'!$A$1:$E$846</definedName>
    <definedName name="_xlnm.Print_Area" localSheetId="8">'Ciudad de México_NivelE_Cons'!$A$1:$E$809</definedName>
    <definedName name="_xlnm.Print_Area" localSheetId="5">'Ciudad de México_USAMuni'!$A$1:$E$765</definedName>
    <definedName name="_xlnm.Print_Titles" localSheetId="2">'Ciudad de México_Cons'!$1:$11</definedName>
    <definedName name="_xlnm.Print_Titles" localSheetId="4">'Ciudad de México_EdoMun'!$1:$11</definedName>
    <definedName name="_xlnm.Print_Titles" localSheetId="1">'Ciudad de México_EdoUsa'!$1:$11</definedName>
    <definedName name="_xlnm.Print_Titles" localSheetId="7">'Ciudad de México_educ_gral'!$1:$11</definedName>
    <definedName name="_xlnm.Print_Titles" localSheetId="9">'Ciudad de México_EducCons'!$1:$9</definedName>
    <definedName name="_xlnm.Print_Titles" localSheetId="13">'Ciudad de México_Gen_Edad'!$1:$12</definedName>
    <definedName name="_xlnm.Print_Titles" localSheetId="11">'Ciudad de México_GENERO'!$1:$12</definedName>
    <definedName name="_xlnm.Print_Titles" localSheetId="12">'Ciudad de México_GENERO_EUA'!$1:$12</definedName>
    <definedName name="_xlnm.Print_Titles" localSheetId="10">'Ciudad de México_GenGral'!$1:$11</definedName>
    <definedName name="_xlnm.Print_Titles" localSheetId="6">'Ciudad de México_MUNICIPIO'!$1:$9</definedName>
    <definedName name="_xlnm.Print_Titles" localSheetId="8">'Ciudad de México_NivelE_Cons'!$1:$9</definedName>
    <definedName name="_xlnm.Print_Titles" localSheetId="14">'Ciudad de México_ocup_gral'!$1:$11</definedName>
    <definedName name="_xlnm.Print_Titles" localSheetId="5">'Ciudad de México_USAMuni'!$1:$9</definedName>
    <definedName name="_xlnm.Print_Titles" localSheetId="3">'Ciudad de MéxicoXCons'!$1:$11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6" l="1"/>
  <c r="D15" i="16" l="1"/>
  <c r="D19" i="16"/>
  <c r="D18" i="16" l="1"/>
  <c r="D16" i="16"/>
  <c r="D20" i="16"/>
  <c r="D21" i="16"/>
  <c r="D17" i="16"/>
  <c r="D22" i="16"/>
  <c r="D12" i="16"/>
  <c r="D13" i="16"/>
  <c r="D14" i="16"/>
</calcChain>
</file>

<file path=xl/sharedStrings.xml><?xml version="1.0" encoding="utf-8"?>
<sst xmlns="http://schemas.openxmlformats.org/spreadsheetml/2006/main" count="4442" uniqueCount="375">
  <si>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</si>
  <si>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</si>
  <si>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</si>
  <si>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</si>
  <si>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</si>
  <si>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</si>
  <si>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</si>
  <si>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</si>
  <si>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</si>
  <si>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</si>
  <si>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</si>
  <si>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</si>
  <si>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</si>
  <si>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</si>
  <si>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6. Por estructura de Edad</t>
  </si>
  <si>
    <t>7.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</si>
  <si>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</si>
  <si>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</si>
  <si>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</si>
  <si>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</si>
  <si>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 xml:space="preserve">Estado </t>
  </si>
  <si>
    <t>Consulado</t>
  </si>
  <si>
    <t>Municipio de origen</t>
  </si>
  <si>
    <t>Delegación de Origen</t>
  </si>
  <si>
    <t>Estado</t>
  </si>
  <si>
    <t>Municipio de Origen</t>
  </si>
  <si>
    <t>Número de matrículas</t>
  </si>
  <si>
    <t>Nivel de Estudios</t>
  </si>
  <si>
    <t>Nivel</t>
  </si>
  <si>
    <t>TOTAL</t>
  </si>
  <si>
    <t>Género</t>
  </si>
  <si>
    <t>Porcentaje con respecto al total de Matrículas</t>
  </si>
  <si>
    <t>Porcentaje con respecto al Género</t>
  </si>
  <si>
    <t>Edad Cumplida</t>
  </si>
  <si>
    <t>Ocupación</t>
  </si>
  <si>
    <t>5.2 Por Circunscripción Consular</t>
  </si>
  <si>
    <t>MATRÍCULAS CONSULARES EXPEDIDAS A ORIGINARIOS DE LA CIUDAD DE MÉXICO POR GÉNERO Y POR ESTADO DE  LA UNIÓN AMERICANA</t>
  </si>
  <si>
    <t xml:space="preserve">MATRÍCULAS CONSULARES DE ALTA SEGURIDAD EXPEDIDAS POR MUNICIPIO A ORIGINARIOS DE LA CIUDAD DE MÉXICO EN LOS CONSULADOS DE MÉXICO EN EE.UU. </t>
  </si>
  <si>
    <t>MATRÍCULAS CONSULARES DE ALTA SEGURIDAD EXPEDIDAS A ORIGINARIOS DE LA CIUDAD DE MÉXICO EN LOS CONSULADOS DE MÉXICO EN EE.UU.</t>
  </si>
  <si>
    <t xml:space="preserve">MATRÍCULAS CONSULARES DE ALTA SEGURIDAD EXPEDIDAS A ORIGINARIOS DE LA CIUDAD DE MÉXICO POR ESTADO DE LA UNIÓN AMERICANA. </t>
  </si>
  <si>
    <t>5.3 Por Estado de la Unión Americana</t>
  </si>
  <si>
    <t>MATRÍCULAS CONSULARES EXPEDIDAS EN EE.UU. A ORIGINARIOS DE LA CIUDAD DE MÉXICO POR NIVEL DE EDUCACIÓN</t>
  </si>
  <si>
    <t>MATRÍCULAS CONSULARES EXPEDIDAS A ORIGINARIOS DE LA CIUDAD DE MÉXICO POR GÉNERO EN EE.UU</t>
  </si>
  <si>
    <t>MATRÍCULAS CONSULARES EXPEDIDAS A ORIGINARIOS DE LA CIUDAD DE MÉXICO POR GÉNERO Y EDAD EN EE.UU.</t>
  </si>
  <si>
    <t>LOS 10 CONSULADOS  DE MÉXICO EN EE.UU., CON MAYOR NÚMERO DE EXPEDICIÓN DE  MATRÍCULAS CONSULARES DE ALTA SEGURIDAD A ORIGINARIOS DE CIUDAD DE MÉXICO</t>
  </si>
  <si>
    <t>TOTAL TOP 10</t>
  </si>
  <si>
    <t>TOTAL GENERAL</t>
  </si>
  <si>
    <t>Tamaño de la muestra: 789,030</t>
  </si>
  <si>
    <t>Elaborado por: Análisis de Información, Instituto de Mexicanas y Mexicanos en el Exterior</t>
  </si>
  <si>
    <t>Noviembre de 2024</t>
  </si>
  <si>
    <t>CHICAGO</t>
  </si>
  <si>
    <t>LOS ANGELES</t>
  </si>
  <si>
    <t>HOUSTON</t>
  </si>
  <si>
    <t>DALLAS</t>
  </si>
  <si>
    <t>SANTA ANA</t>
  </si>
  <si>
    <t>RALEIGH</t>
  </si>
  <si>
    <t>ATLANTA</t>
  </si>
  <si>
    <t>NUEVA YORK</t>
  </si>
  <si>
    <t>LAS VEGAS</t>
  </si>
  <si>
    <t>SAN BERNARDINO</t>
  </si>
  <si>
    <t>LITTLE ROCK</t>
  </si>
  <si>
    <t>SAN JOSE</t>
  </si>
  <si>
    <t>INDIANAPOLIS</t>
  </si>
  <si>
    <t>PHOENIX</t>
  </si>
  <si>
    <t>KANSAS CITY</t>
  </si>
  <si>
    <t>AUSTIN</t>
  </si>
  <si>
    <t>FRESNO</t>
  </si>
  <si>
    <t>SACRAMENTO</t>
  </si>
  <si>
    <t>SAN DIEGO</t>
  </si>
  <si>
    <t>ORLANDO</t>
  </si>
  <si>
    <t>FILADELFIA</t>
  </si>
  <si>
    <t>SAINT PAUL</t>
  </si>
  <si>
    <t>DETROIT</t>
  </si>
  <si>
    <t>SAN FRANCISCO</t>
  </si>
  <si>
    <t>MIAMI</t>
  </si>
  <si>
    <t>DENVER</t>
  </si>
  <si>
    <t>OKLAHOMA CITY</t>
  </si>
  <si>
    <t>SAN ANTONIO</t>
  </si>
  <si>
    <t>SALT LAKE CITY</t>
  </si>
  <si>
    <t>OXNARD</t>
  </si>
  <si>
    <t>MILWAUKEE</t>
  </si>
  <si>
    <t>MCALLEN</t>
  </si>
  <si>
    <t>WASHINGTON</t>
  </si>
  <si>
    <t>NUEVA ORLEANS</t>
  </si>
  <si>
    <t>OMAHA</t>
  </si>
  <si>
    <t>PORTLAND</t>
  </si>
  <si>
    <t>BOSTON</t>
  </si>
  <si>
    <t>BOISE</t>
  </si>
  <si>
    <t>SEATTLE</t>
  </si>
  <si>
    <t>ALBUQUERQUE</t>
  </si>
  <si>
    <t>NEW BRUNSWICK</t>
  </si>
  <si>
    <t>BROWNSVILLE</t>
  </si>
  <si>
    <t>EL PASO</t>
  </si>
  <si>
    <t>LAREDO</t>
  </si>
  <si>
    <t>TUCSON</t>
  </si>
  <si>
    <t>PRESIDIO</t>
  </si>
  <si>
    <t>CALEXICO</t>
  </si>
  <si>
    <t>DEL RIO</t>
  </si>
  <si>
    <t>EAGLE PASS</t>
  </si>
  <si>
    <t>YUMA</t>
  </si>
  <si>
    <t>NOGALES</t>
  </si>
  <si>
    <t>DOUGLAS</t>
  </si>
  <si>
    <t>Matrículas consulares expedidas a originarios de Ciudad de México en el 2023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</si>
  <si>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</si>
  <si>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</si>
  <si>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</si>
  <si>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</si>
  <si>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</si>
  <si>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</si>
  <si>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</si>
  <si>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</si>
  <si>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</si>
  <si>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</si>
  <si>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</si>
  <si>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</si>
  <si>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</si>
  <si>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</si>
  <si>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</si>
  <si>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</si>
  <si>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</si>
  <si>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</si>
  <si>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</si>
  <si>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</si>
  <si>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</si>
  <si>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</si>
  <si>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</si>
  <si>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</si>
  <si>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</si>
  <si>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</si>
  <si>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</si>
  <si>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</si>
  <si>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</si>
  <si>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</si>
  <si>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</si>
  <si>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</si>
  <si>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</si>
  <si>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</si>
  <si>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</si>
  <si>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</si>
  <si>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</si>
  <si>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</si>
  <si>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</si>
  <si>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</si>
  <si>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</si>
  <si>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</si>
  <si>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</si>
  <si>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</si>
  <si>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</si>
  <si>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</si>
  <si>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</si>
  <si>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</si>
  <si>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</si>
  <si>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</si>
  <si>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</si>
  <si>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FEMENINO</t>
  </si>
  <si>
    <t>MASCULINO</t>
  </si>
  <si>
    <t>NO BINARIO</t>
  </si>
  <si>
    <t>COLORADO Total</t>
  </si>
  <si>
    <t>CONNECTICUT Total</t>
  </si>
  <si>
    <t>DELAWARE Total</t>
  </si>
  <si>
    <t>DISTRICT OF COLUMBIA Total</t>
  </si>
  <si>
    <t>FLORIDA Total</t>
  </si>
  <si>
    <t>GEORGIA Total</t>
  </si>
  <si>
    <t>HAWAII Total</t>
  </si>
  <si>
    <t>IDAHO Total</t>
  </si>
  <si>
    <t>ILLINOIS Total</t>
  </si>
  <si>
    <t>INDIANA Total</t>
  </si>
  <si>
    <t>IOWA Total</t>
  </si>
  <si>
    <t>KANSAS Total</t>
  </si>
  <si>
    <t>KENTUCKY Total</t>
  </si>
  <si>
    <t>LOUISIANA Total</t>
  </si>
  <si>
    <t>MARYLAND Total</t>
  </si>
  <si>
    <t>MASSACHUSETTS Total</t>
  </si>
  <si>
    <t>MICHIGAN Total</t>
  </si>
  <si>
    <t>MINNESOTA Total</t>
  </si>
  <si>
    <t>MISSISSIPPI Total</t>
  </si>
  <si>
    <t>MISSOURI Total</t>
  </si>
  <si>
    <t>MONTANA Total</t>
  </si>
  <si>
    <t>NEBRASKA Total</t>
  </si>
  <si>
    <t>NEW HAMPSHIRE Total</t>
  </si>
  <si>
    <t>NEW JERSEY Total</t>
  </si>
  <si>
    <t>NEW MEXICO Total</t>
  </si>
  <si>
    <t>NEW YORK Total</t>
  </si>
  <si>
    <t>NORTH CAROLINA Total</t>
  </si>
  <si>
    <t>OHIO Total</t>
  </si>
  <si>
    <t>OKLAHOMA Total</t>
  </si>
  <si>
    <t>OREGON Total</t>
  </si>
  <si>
    <t>PENNSYLVANIA Total</t>
  </si>
  <si>
    <t>PUERTO RICO Total</t>
  </si>
  <si>
    <t>RHODE ISLAND Total</t>
  </si>
  <si>
    <t>SOUTH CAROLINA Total</t>
  </si>
  <si>
    <t>SOUTH DAKOTA Total</t>
  </si>
  <si>
    <t>TENNESSEE Total</t>
  </si>
  <si>
    <t>UTAH Total</t>
  </si>
  <si>
    <t>VERMONT Total</t>
  </si>
  <si>
    <t>VIRGINIA Total</t>
  </si>
  <si>
    <t>WASHINGTON Total</t>
  </si>
  <si>
    <t>WEST VIRGINIA Total</t>
  </si>
  <si>
    <t>WISCONSIN Total</t>
  </si>
  <si>
    <t>WYOMING Total</t>
  </si>
  <si>
    <t>AZCAPOTZALCO</t>
  </si>
  <si>
    <t>BENITO JUÁREZ</t>
  </si>
  <si>
    <t>COYOACÁN</t>
  </si>
  <si>
    <t>CUAJIMALPA DE MORELOS</t>
  </si>
  <si>
    <t>CUAUHTÉMOC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</si>
  <si>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</si>
  <si>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</si>
  <si>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</si>
  <si>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</si>
  <si>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</si>
  <si>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</si>
  <si>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</si>
  <si>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</si>
  <si>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</si>
  <si>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</si>
  <si>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</si>
  <si>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NO SE REGISTRÓ EL MUNICIPIO/CONDADO/ALCALDÍA DE NACIMIENTO</t>
  </si>
  <si>
    <t>ATIZAPÁN</t>
  </si>
  <si>
    <t>CHIMALHUACÁN</t>
  </si>
  <si>
    <t>GUADALAJARA</t>
  </si>
  <si>
    <t>NEZAHUALCÓYOTL</t>
  </si>
  <si>
    <t>TLALNEPANTLA DE BAZ</t>
  </si>
  <si>
    <t>NAUCALPAN DE JUÁREZ</t>
  </si>
  <si>
    <t>MAZAMITLA</t>
  </si>
  <si>
    <t>PUEBLA</t>
  </si>
  <si>
    <t>HUEYPOXTLA</t>
  </si>
  <si>
    <t>ECATEPEC DE MORELOS</t>
  </si>
  <si>
    <t>SAN LUCAS</t>
  </si>
  <si>
    <t>NO SE CAPTURO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</si>
  <si>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</si>
  <si>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</si>
  <si>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</si>
  <si>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</si>
  <si>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</si>
  <si>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</si>
  <si>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</si>
  <si>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</si>
  <si>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</si>
  <si>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</si>
  <si>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</si>
  <si>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</si>
  <si>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</si>
  <si>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</si>
  <si>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</si>
  <si>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</si>
  <si>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</si>
  <si>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</si>
  <si>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</si>
  <si>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</si>
  <si>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</si>
  <si>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</si>
  <si>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</si>
  <si>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</si>
  <si>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</si>
  <si>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</si>
  <si>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</si>
  <si>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</si>
  <si>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</si>
  <si>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</si>
  <si>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</si>
  <si>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</si>
  <si>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</si>
  <si>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</si>
  <si>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</si>
  <si>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CONSTRUCCIÓN, TRAB. DE LA IND. DE LA</t>
  </si>
  <si>
    <t>ALIMENTOS Y BEBIDAS, ESP. EN PREPARACIÓN DE</t>
  </si>
  <si>
    <t>ESTUDIANTE</t>
  </si>
  <si>
    <t>PINTOR(A)</t>
  </si>
  <si>
    <t>PROFESIONISTA</t>
  </si>
  <si>
    <t>JARDINERO(A)</t>
  </si>
  <si>
    <t>LIMPIEZA, EMPLEADO DE</t>
  </si>
  <si>
    <t>MESERO(A)</t>
  </si>
  <si>
    <t>AGROPECUARIA, TRAB. DE LA INDUSTRIA</t>
  </si>
  <si>
    <t>VENDEDOR(A)</t>
  </si>
  <si>
    <t>SIN ESPECIFICAR</t>
  </si>
  <si>
    <t>EMPRESARIO(A)</t>
  </si>
  <si>
    <t>MECÁNICO(A)</t>
  </si>
  <si>
    <t>JUBILADO(A)/PENSIONADO(A)</t>
  </si>
  <si>
    <t>OPERARIO(A)</t>
  </si>
  <si>
    <t>CHOFER</t>
  </si>
  <si>
    <t>DESEMPLEADO</t>
  </si>
  <si>
    <t>CARPINTERO/TAPICERO</t>
  </si>
  <si>
    <t>CAJERO(A)/COBRADOR(A)</t>
  </si>
  <si>
    <t>SOLDADOR</t>
  </si>
  <si>
    <t>TÉCNICO(A) EN MANTENIMIENTO</t>
  </si>
  <si>
    <t>BELLEZA, PROFESIONAL DE SERVICIOS DE</t>
  </si>
  <si>
    <t>INGENIERO(A)</t>
  </si>
  <si>
    <t>ENFERMERO(A)/TRAB. DE APOYO EN SALUD</t>
  </si>
  <si>
    <t>GERENTE/DIRECTOR(A)</t>
  </si>
  <si>
    <t>ADMINISTRADOR(A)/CONTADOR(A)</t>
  </si>
  <si>
    <t>SUPERVISOR(A)</t>
  </si>
  <si>
    <t>CARNICERO(A)</t>
  </si>
  <si>
    <t>DISCAPACITADO</t>
  </si>
  <si>
    <t>AUXILIARES ADMINISTRATIVOS Y DE OFICINA</t>
  </si>
  <si>
    <t>PROFESIONAL TÉCNICO</t>
  </si>
  <si>
    <t>PROFESOR(A)</t>
  </si>
  <si>
    <t>AEROCOMERCIAL, TRAB. DE LA INDUSTRIA</t>
  </si>
  <si>
    <t>CONSULTOR</t>
  </si>
  <si>
    <t>OTRO</t>
  </si>
  <si>
    <t>ABOGADO(A)</t>
  </si>
  <si>
    <t>TRABAJADOR(A) DOMÉSTICO(A)</t>
  </si>
  <si>
    <t>ARTISTA INTERPRETATIVO(A)</t>
  </si>
  <si>
    <t>MODISTA/SASTRE</t>
  </si>
  <si>
    <t>COMERCIANTE</t>
  </si>
  <si>
    <t>DEPORTISTA/ENTRENADOR DEPORTIVO</t>
  </si>
  <si>
    <t>FOTÓGRAFO(A)</t>
  </si>
  <si>
    <t>MINISTRO(A) RELIGIOSO(A)</t>
  </si>
  <si>
    <t>TURISMO, SERV. RELACIONADOS CON</t>
  </si>
  <si>
    <t>DISEÑADOR(A)</t>
  </si>
  <si>
    <t>HOJALATERO</t>
  </si>
  <si>
    <t>SERVIDOR(A) PÚBLICO(A)</t>
  </si>
  <si>
    <t>ARTISTA PLÁSTICO/PINTOR(A)</t>
  </si>
  <si>
    <t>VETERINARIO</t>
  </si>
  <si>
    <t>ARTESANO(A)</t>
  </si>
  <si>
    <t>DIPLOMÁTICO(A)</t>
  </si>
  <si>
    <t>HERRERO(A)/CERRAJERO(A)/JOYERO(A)</t>
  </si>
  <si>
    <t>INVESTIGADOR(A)</t>
  </si>
  <si>
    <t>MISIONERO(A)</t>
  </si>
  <si>
    <t>MÉDICO(A) /ESP. EN SALUD</t>
  </si>
  <si>
    <t>PLANCHADOR(A)</t>
  </si>
  <si>
    <t>AUTOR(A)/PERIODISTA/TRADUCTOR(A)</t>
  </si>
  <si>
    <t>NO SE CAPTURO LA OCUPACION</t>
  </si>
  <si>
    <t>TRABAJADOR(A) SOCIAL</t>
  </si>
  <si>
    <t>BANQUERO/INVERSIONISTA</t>
  </si>
  <si>
    <t>LOCUTOR(A)/ANIMADOR(A)</t>
  </si>
  <si>
    <t>ODONTÓLOGO(A)</t>
  </si>
  <si>
    <t>POLICÍA/ SERV. SEGURIDAD Y PROTECCIÓN</t>
  </si>
  <si>
    <t>BOSTON Total</t>
  </si>
  <si>
    <t>BROWNSVILLE Total</t>
  </si>
  <si>
    <t>CALEXICO Total</t>
  </si>
  <si>
    <t>CHICAGO Total</t>
  </si>
  <si>
    <t>DALLAS Total</t>
  </si>
  <si>
    <t>DEL RIO Total</t>
  </si>
  <si>
    <t>DENVER Total</t>
  </si>
  <si>
    <t>DETROIT Total</t>
  </si>
  <si>
    <t>DOUGLAS Total</t>
  </si>
  <si>
    <t>EAGLE PASS Total</t>
  </si>
  <si>
    <t>EL PASO Total</t>
  </si>
  <si>
    <t>FILADELFIA Total</t>
  </si>
  <si>
    <t>FRESNO Total</t>
  </si>
  <si>
    <t>HOUSTON Total</t>
  </si>
  <si>
    <t>INDIANAPOLIS Total</t>
  </si>
  <si>
    <t>KANSAS CITY Total</t>
  </si>
  <si>
    <t>LAREDO Total</t>
  </si>
  <si>
    <t>LAS VEGAS Total</t>
  </si>
  <si>
    <t>LITTLE ROCK Total</t>
  </si>
  <si>
    <t>LOS ANGELES Total</t>
  </si>
  <si>
    <t>MCALLEN Total</t>
  </si>
  <si>
    <t>MIAMI Total</t>
  </si>
  <si>
    <t>MILWAUKEE Total</t>
  </si>
  <si>
    <t>NEW BRUNSWICK Total</t>
  </si>
  <si>
    <t>NOGALES Total</t>
  </si>
  <si>
    <t>NUEVA ORLEANS Total</t>
  </si>
  <si>
    <t>NUEVA YORK Total</t>
  </si>
  <si>
    <t>OKLAHOMA CITY Total</t>
  </si>
  <si>
    <t>OMAHA Total</t>
  </si>
  <si>
    <t>ORLANDO Total</t>
  </si>
  <si>
    <t>OXNARD Total</t>
  </si>
  <si>
    <t>PHOENIX Total</t>
  </si>
  <si>
    <t>PORTLAND Total</t>
  </si>
  <si>
    <t>PRESIDIO Total</t>
  </si>
  <si>
    <t>RALEIGH Total</t>
  </si>
  <si>
    <t>SAINT PAUL Total</t>
  </si>
  <si>
    <t>SALT LAKE CITY Total</t>
  </si>
  <si>
    <t>SAN ANTONIO Total</t>
  </si>
  <si>
    <t>SAN BERNARDINO Total</t>
  </si>
  <si>
    <t>SAN DIEGO Total</t>
  </si>
  <si>
    <t>SAN FRANCISCO Total</t>
  </si>
  <si>
    <t>SAN JOSE Total</t>
  </si>
  <si>
    <t>SANTA ANA Total</t>
  </si>
  <si>
    <t>SEATTLE Total</t>
  </si>
  <si>
    <t>TUCSON Total</t>
  </si>
  <si>
    <t>YUMA Total</t>
  </si>
  <si>
    <t>MATRÍCULAS CONSULARES EXPEDIDAS A ORIGINARIOS DE LA CIUDAD DE MÉXICO  POR GÉNERO Y CONSULADO</t>
  </si>
  <si>
    <t>MATRÍCULAS CONSULARES EXPEDIDAS EN EE.UU. ORIGINARIOS DE LA CIUDAD DE MÉXICO POR PERFIL OCUPACIONAL.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</si>
</sst>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7"/>
      <color theme="1"/>
      <name val="Montserrat"/>
    </font>
    <font>
      <b/>
      <sz val="9"/>
      <color rgb="FFFFFFFF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</cellStyleXfs>
  <cellXfs count="94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9" xfId="0" applyNumberFormat="1" applyFont="1" applyFill="1" applyBorder="1" applyAlignment="1">
      <alignment horizontal="right" vertical="center" wrapText="1"/>
    </xf>
    <xf numFmtId="3" fontId="5" fillId="4" borderId="9" xfId="0" applyNumberFormat="1" applyFont="1" applyFill="1" applyBorder="1" applyAlignment="1">
      <alignment horizontal="right" vertical="center" wrapText="1"/>
    </xf>
    <xf numFmtId="49" fontId="5" fillId="4" borderId="9" xfId="0" applyNumberFormat="1" applyFont="1" applyFill="1" applyBorder="1" applyAlignment="1">
      <alignment vertical="center" wrapText="1"/>
    </xf>
    <xf numFmtId="164" fontId="6" fillId="3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49" fontId="7" fillId="3" borderId="9" xfId="0" applyNumberFormat="1" applyFont="1" applyFill="1" applyBorder="1" applyAlignment="1">
      <alignment vertical="center" wrapText="1"/>
    </xf>
    <xf numFmtId="0" fontId="8" fillId="3" borderId="0" xfId="0" applyFont="1" applyFill="1"/>
    <xf numFmtId="0" fontId="9" fillId="0" borderId="0" xfId="0" applyFont="1"/>
    <xf numFmtId="0" fontId="5" fillId="2" borderId="10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9" xfId="2" applyNumberFormat="1" applyFont="1" applyFill="1" applyBorder="1" applyAlignment="1">
      <alignment horizontal="right" vertical="top" wrapText="1"/>
    </xf>
    <xf numFmtId="165" fontId="5" fillId="5" borderId="9" xfId="2" applyNumberFormat="1" applyFont="1" applyFill="1" applyBorder="1" applyAlignment="1">
      <alignment horizontal="right" vertical="top" wrapText="1"/>
    </xf>
    <xf numFmtId="49" fontId="5" fillId="5" borderId="9" xfId="2" applyNumberFormat="1" applyFont="1" applyFill="1" applyBorder="1" applyAlignment="1">
      <alignment vertical="top" wrapText="1"/>
    </xf>
    <xf numFmtId="0" fontId="14" fillId="3" borderId="0" xfId="0" applyFont="1" applyFill="1"/>
    <xf numFmtId="0" fontId="16" fillId="2" borderId="10" xfId="3" applyFont="1" applyFill="1" applyBorder="1" applyAlignment="1">
      <alignment horizontal="center" vertical="center" wrapText="1"/>
    </xf>
    <xf numFmtId="1" fontId="16" fillId="2" borderId="10" xfId="3" applyNumberFormat="1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/>
    <xf numFmtId="0" fontId="14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3" fillId="3" borderId="0" xfId="0" applyFont="1" applyFill="1"/>
    <xf numFmtId="0" fontId="9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9" fillId="3" borderId="16" xfId="0" applyFont="1" applyFill="1" applyBorder="1" applyAlignment="1">
      <alignment horizontal="center" vertical="distributed"/>
    </xf>
    <xf numFmtId="0" fontId="21" fillId="0" borderId="4" xfId="0" applyFont="1" applyBorder="1"/>
    <xf numFmtId="0" fontId="23" fillId="3" borderId="0" xfId="0" applyFont="1" applyFill="1"/>
    <xf numFmtId="0" fontId="19" fillId="3" borderId="0" xfId="0" applyFont="1" applyFill="1" applyAlignment="1">
      <alignment vertical="distributed"/>
    </xf>
    <xf numFmtId="0" fontId="24" fillId="6" borderId="9" xfId="3" applyFont="1" applyFill="1" applyBorder="1" applyAlignment="1">
      <alignment horizontal="center" vertical="center" wrapText="1"/>
    </xf>
    <xf numFmtId="3" fontId="24" fillId="7" borderId="9" xfId="0" applyNumberFormat="1" applyFont="1" applyFill="1" applyBorder="1" applyAlignment="1">
      <alignment horizontal="right" vertical="center" wrapText="1"/>
    </xf>
    <xf numFmtId="164" fontId="24" fillId="7" borderId="9" xfId="0" applyNumberFormat="1" applyFont="1" applyFill="1" applyBorder="1" applyAlignment="1">
      <alignment horizontal="right" vertical="center" wrapText="1"/>
    </xf>
    <xf numFmtId="49" fontId="24" fillId="8" borderId="12" xfId="0" applyNumberFormat="1" applyFont="1" applyFill="1" applyBorder="1" applyAlignment="1">
      <alignment vertical="center" wrapText="1"/>
    </xf>
    <xf numFmtId="3" fontId="24" fillId="8" borderId="9" xfId="0" applyNumberFormat="1" applyFont="1" applyFill="1" applyBorder="1" applyAlignment="1">
      <alignment horizontal="right" vertical="center" wrapText="1"/>
    </xf>
    <xf numFmtId="164" fontId="24" fillId="8" borderId="9" xfId="0" applyNumberFormat="1" applyFont="1" applyFill="1" applyBorder="1" applyAlignment="1">
      <alignment horizontal="right" vertical="center" wrapText="1"/>
    </xf>
    <xf numFmtId="3" fontId="5" fillId="9" borderId="9" xfId="0" applyNumberFormat="1" applyFont="1" applyFill="1" applyBorder="1" applyAlignment="1">
      <alignment horizontal="right" wrapText="1"/>
    </xf>
    <xf numFmtId="164" fontId="5" fillId="9" borderId="9" xfId="0" applyNumberFormat="1" applyFont="1" applyFill="1" applyBorder="1" applyAlignment="1">
      <alignment horizontal="right" wrapText="1"/>
    </xf>
    <xf numFmtId="49" fontId="7" fillId="3" borderId="9" xfId="0" applyNumberFormat="1" applyFont="1" applyFill="1" applyBorder="1" applyAlignment="1">
      <alignment vertical="top" wrapText="1"/>
    </xf>
    <xf numFmtId="165" fontId="6" fillId="3" borderId="9" xfId="0" applyNumberFormat="1" applyFont="1" applyFill="1" applyBorder="1" applyAlignment="1">
      <alignment horizontal="right" vertical="top" wrapText="1"/>
    </xf>
    <xf numFmtId="164" fontId="6" fillId="3" borderId="9" xfId="0" applyNumberFormat="1" applyFont="1" applyFill="1" applyBorder="1" applyAlignment="1">
      <alignment horizontal="right" vertical="top" wrapText="1"/>
    </xf>
    <xf numFmtId="0" fontId="22" fillId="0" borderId="4" xfId="1" applyFont="1" applyBorder="1" applyAlignment="1">
      <alignment horizontal="left"/>
    </xf>
    <xf numFmtId="0" fontId="22" fillId="0" borderId="0" xfId="1" applyFont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1" fillId="0" borderId="4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5" xfId="0" applyFont="1" applyBorder="1" applyAlignment="1">
      <alignment horizontal="left" wrapText="1"/>
    </xf>
    <xf numFmtId="0" fontId="22" fillId="0" borderId="5" xfId="1" applyFont="1" applyBorder="1" applyAlignment="1">
      <alignment horizontal="left"/>
    </xf>
    <xf numFmtId="0" fontId="11" fillId="0" borderId="0" xfId="0" applyFont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top" wrapText="1"/>
    </xf>
    <xf numFmtId="49" fontId="7" fillId="3" borderId="14" xfId="0" applyNumberFormat="1" applyFont="1" applyFill="1" applyBorder="1" applyAlignment="1">
      <alignment horizontal="center" vertical="top" wrapText="1"/>
    </xf>
    <xf numFmtId="49" fontId="5" fillId="9" borderId="13" xfId="0" applyNumberFormat="1" applyFont="1" applyFill="1" applyBorder="1" applyAlignment="1">
      <alignment horizontal="center" vertical="center" wrapText="1"/>
    </xf>
    <xf numFmtId="49" fontId="5" fillId="9" borderId="12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15" xfId="0" applyNumberFormat="1" applyFont="1" applyFill="1" applyBorder="1" applyAlignment="1">
      <alignment horizontal="center" vertical="center"/>
    </xf>
    <xf numFmtId="49" fontId="7" fillId="3" borderId="14" xfId="0" applyNumberFormat="1" applyFont="1" applyFill="1" applyBorder="1" applyAlignment="1">
      <alignment horizontal="center" vertical="center"/>
    </xf>
    <xf numFmtId="49" fontId="24" fillId="7" borderId="13" xfId="0" applyNumberFormat="1" applyFont="1" applyFill="1" applyBorder="1" applyAlignment="1">
      <alignment horizontal="center" vertical="center" wrapText="1"/>
    </xf>
    <xf numFmtId="49" fontId="24" fillId="7" borderId="12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3" fontId="24" fillId="7" borderId="13" xfId="0" applyNumberFormat="1" applyFont="1" applyFill="1" applyBorder="1" applyAlignment="1">
      <alignment horizontal="center" vertical="center" wrapText="1"/>
    </xf>
    <xf numFmtId="3" fontId="24" fillId="7" borderId="12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391241</xdr:colOff>
      <xdr:row>1</xdr:row>
      <xdr:rowOff>183842</xdr:rowOff>
    </xdr:from>
    <xdr:to>
      <xdr:col>3</xdr:col>
      <xdr:colOff>903338</xdr:colOff>
      <xdr:row>2</xdr:row>
      <xdr:rowOff>183842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77391" y="717242"/>
          <a:ext cx="512097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0</xdr:rowOff>
    </xdr:from>
    <xdr:to>
      <xdr:col>5</xdr:col>
      <xdr:colOff>140622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7677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0</xdr:rowOff>
    </xdr:from>
    <xdr:to>
      <xdr:col>1</xdr:col>
      <xdr:colOff>419659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390D3BF-04CE-46F9-A80E-E868A3A7B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90500"/>
          <a:ext cx="924484" cy="714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3242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142875</xdr:colOff>
      <xdr:row>1</xdr:row>
      <xdr:rowOff>0</xdr:rowOff>
    </xdr:from>
    <xdr:to>
      <xdr:col>1</xdr:col>
      <xdr:colOff>448234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2C9D69-AF1D-4A83-94E5-13E9E563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90500"/>
          <a:ext cx="924484" cy="714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1216854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8245" y="345661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171450</xdr:rowOff>
    </xdr:from>
    <xdr:to>
      <xdr:col>5</xdr:col>
      <xdr:colOff>92997</xdr:colOff>
      <xdr:row>8</xdr:row>
      <xdr:rowOff>165305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248025" y="150495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82550</xdr:colOff>
      <xdr:row>1</xdr:row>
      <xdr:rowOff>19050</xdr:rowOff>
    </xdr:from>
    <xdr:to>
      <xdr:col>1</xdr:col>
      <xdr:colOff>387909</xdr:colOff>
      <xdr:row>3</xdr:row>
      <xdr:rowOff>352424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DEBE7CA-5493-41D7-BBA0-E7BF6738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209550"/>
          <a:ext cx="953059" cy="714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198783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7151" y="193261"/>
          <a:ext cx="6143762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152400</xdr:rowOff>
    </xdr:from>
    <xdr:to>
      <xdr:col>5</xdr:col>
      <xdr:colOff>121572</xdr:colOff>
      <xdr:row>8</xdr:row>
      <xdr:rowOff>152400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76600" y="1485900"/>
          <a:ext cx="654972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19050</xdr:rowOff>
    </xdr:from>
    <xdr:to>
      <xdr:col>1</xdr:col>
      <xdr:colOff>381559</xdr:colOff>
      <xdr:row>3</xdr:row>
      <xdr:rowOff>352424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B384CF-72BE-4559-A45F-C8D7439C3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9550"/>
          <a:ext cx="924484" cy="714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LA </a:t>
          </a:r>
          <a:r>
            <a:rPr lang="es-MX" sz="1000">
              <a:latin typeface="Montserrat" panose="00000500000000000000" pitchFamily="2" charset="0"/>
            </a:rPr>
            <a:t>CIUDAD DE MÉXICO POR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644921</xdr:colOff>
      <xdr:row>7</xdr:row>
      <xdr:rowOff>49609</xdr:rowOff>
    </xdr:from>
    <xdr:to>
      <xdr:col>5</xdr:col>
      <xdr:colOff>35847</xdr:colOff>
      <xdr:row>7</xdr:row>
      <xdr:rowOff>240109</xdr:rowOff>
    </xdr:to>
    <xdr:sp macro="" textlink="">
      <xdr:nvSpPr>
        <xdr:cNvPr id="7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288359" y="1785937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123825</xdr:rowOff>
    </xdr:from>
    <xdr:to>
      <xdr:col>1</xdr:col>
      <xdr:colOff>962584</xdr:colOff>
      <xdr:row>3</xdr:row>
      <xdr:rowOff>304799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7814B80-80D4-431A-AF9E-0CFA87FD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23825"/>
          <a:ext cx="924484" cy="714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LA </a:t>
          </a:r>
          <a:r>
            <a:rPr lang="es-MX" sz="1000">
              <a:latin typeface="Montserrat" panose="00000500000000000000" pitchFamily="2" charset="0"/>
            </a:rPr>
            <a:t>CIUDAD DE MÉXICO EN LOS CONSULADOS DE MÉXICO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448879</xdr:colOff>
      <xdr:row>7</xdr:row>
      <xdr:rowOff>98534</xdr:rowOff>
    </xdr:from>
    <xdr:to>
      <xdr:col>4</xdr:col>
      <xdr:colOff>960976</xdr:colOff>
      <xdr:row>7</xdr:row>
      <xdr:rowOff>289034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783379" y="1432034"/>
          <a:ext cx="512097" cy="952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57150</xdr:colOff>
      <xdr:row>1</xdr:row>
      <xdr:rowOff>0</xdr:rowOff>
    </xdr:from>
    <xdr:to>
      <xdr:col>1</xdr:col>
      <xdr:colOff>981634</xdr:colOff>
      <xdr:row>3</xdr:row>
      <xdr:rowOff>333374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794D6B8-9126-42EA-B374-3D57ADA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52400"/>
          <a:ext cx="924484" cy="714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184150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7151" y="190500"/>
          <a:ext cx="6654799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4291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114300</xdr:colOff>
      <xdr:row>1</xdr:row>
      <xdr:rowOff>57150</xdr:rowOff>
    </xdr:from>
    <xdr:to>
      <xdr:col>1</xdr:col>
      <xdr:colOff>419659</xdr:colOff>
      <xdr:row>4</xdr:row>
      <xdr:rowOff>9524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23AB3D-1E06-41BD-AD80-4F12C8AD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47650"/>
          <a:ext cx="924484" cy="7143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LA CIUDAD DE MÉXICO POR NIVEL DE EDUCACIÓN Y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78828</xdr:rowOff>
    </xdr:from>
    <xdr:to>
      <xdr:col>4</xdr:col>
      <xdr:colOff>1017907</xdr:colOff>
      <xdr:row>7</xdr:row>
      <xdr:rowOff>269328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143500" y="1819604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1</xdr:row>
      <xdr:rowOff>9525</xdr:rowOff>
    </xdr:from>
    <xdr:to>
      <xdr:col>1</xdr:col>
      <xdr:colOff>1000684</xdr:colOff>
      <xdr:row>3</xdr:row>
      <xdr:rowOff>342899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9CE360-5A03-4600-B6C6-9184BF478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61925"/>
          <a:ext cx="924484" cy="714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LA CIUDAD DE MÉXICO POR CONSULADO Y NIVEL DE EDUCACIÓN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456811</xdr:colOff>
      <xdr:row>7</xdr:row>
      <xdr:rowOff>106914</xdr:rowOff>
    </xdr:from>
    <xdr:to>
      <xdr:col>4</xdr:col>
      <xdr:colOff>968908</xdr:colOff>
      <xdr:row>7</xdr:row>
      <xdr:rowOff>297414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9791311" y="1440414"/>
          <a:ext cx="512097" cy="857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114300</xdr:colOff>
      <xdr:row>1</xdr:row>
      <xdr:rowOff>66675</xdr:rowOff>
    </xdr:from>
    <xdr:to>
      <xdr:col>1</xdr:col>
      <xdr:colOff>1038784</xdr:colOff>
      <xdr:row>4</xdr:row>
      <xdr:rowOff>19049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18B227-2967-4C9E-81D4-2B8DC46B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19075"/>
          <a:ext cx="924484" cy="7143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171450</xdr:rowOff>
    </xdr:from>
    <xdr:to>
      <xdr:col>5</xdr:col>
      <xdr:colOff>54897</xdr:colOff>
      <xdr:row>8</xdr:row>
      <xdr:rowOff>171450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4591050" y="16954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152400</xdr:colOff>
      <xdr:row>1</xdr:row>
      <xdr:rowOff>38100</xdr:rowOff>
    </xdr:from>
    <xdr:to>
      <xdr:col>1</xdr:col>
      <xdr:colOff>457759</xdr:colOff>
      <xdr:row>3</xdr:row>
      <xdr:rowOff>371474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D52646-0AF2-44C5-B029-AD36F3EB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0"/>
          <a:ext cx="924484" cy="7143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29158</xdr:colOff>
      <xdr:row>9</xdr:row>
      <xdr:rowOff>58317</xdr:rowOff>
    </xdr:from>
    <xdr:to>
      <xdr:col>6</xdr:col>
      <xdr:colOff>162199</xdr:colOff>
      <xdr:row>10</xdr:row>
      <xdr:rowOff>54429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238750" y="1846684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76200</xdr:rowOff>
    </xdr:from>
    <xdr:to>
      <xdr:col>1</xdr:col>
      <xdr:colOff>962584</xdr:colOff>
      <xdr:row>3</xdr:row>
      <xdr:rowOff>266699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6B7BCE-62F3-4960-98A5-0819CD308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924484" cy="7143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81000" y="97254"/>
          <a:ext cx="4886325" cy="118862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29158</xdr:colOff>
      <xdr:row>9</xdr:row>
      <xdr:rowOff>58317</xdr:rowOff>
    </xdr:from>
    <xdr:to>
      <xdr:col>6</xdr:col>
      <xdr:colOff>162199</xdr:colOff>
      <xdr:row>10</xdr:row>
      <xdr:rowOff>54429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239333" y="1820442"/>
          <a:ext cx="514041" cy="18661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0</xdr:row>
      <xdr:rowOff>114300</xdr:rowOff>
    </xdr:from>
    <xdr:to>
      <xdr:col>1</xdr:col>
      <xdr:colOff>1000684</xdr:colOff>
      <xdr:row>3</xdr:row>
      <xdr:rowOff>304799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55D4233-A277-43EA-95A3-8B075CD0E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14300"/>
          <a:ext cx="924484" cy="7143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749697</xdr:colOff>
      <xdr:row>9</xdr:row>
      <xdr:rowOff>19844</xdr:rowOff>
    </xdr:from>
    <xdr:to>
      <xdr:col>6</xdr:col>
      <xdr:colOff>256113</xdr:colOff>
      <xdr:row>10</xdr:row>
      <xdr:rowOff>21828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534547" y="1734344"/>
          <a:ext cx="535116" cy="19248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57150</xdr:colOff>
      <xdr:row>0</xdr:row>
      <xdr:rowOff>114300</xdr:rowOff>
    </xdr:from>
    <xdr:to>
      <xdr:col>1</xdr:col>
      <xdr:colOff>981634</xdr:colOff>
      <xdr:row>3</xdr:row>
      <xdr:rowOff>304799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BB44A2-9FDD-4C7C-BA07-2743D2ED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14300"/>
          <a:ext cx="924484" cy="7143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</xdr:row>
      <xdr:rowOff>0</xdr:rowOff>
    </xdr:from>
    <xdr:to>
      <xdr:col>3</xdr:col>
      <xdr:colOff>1181652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7152" y="193261"/>
          <a:ext cx="6464022" cy="1082410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CIUDAD DE MÉXICO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95941</xdr:colOff>
      <xdr:row>2</xdr:row>
      <xdr:rowOff>3312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463" y="389834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629478</xdr:colOff>
      <xdr:row>8</xdr:row>
      <xdr:rowOff>182217</xdr:rowOff>
    </xdr:from>
    <xdr:to>
      <xdr:col>3</xdr:col>
      <xdr:colOff>1141575</xdr:colOff>
      <xdr:row>8</xdr:row>
      <xdr:rowOff>372717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5969000" y="1916043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190500</xdr:colOff>
      <xdr:row>1</xdr:row>
      <xdr:rowOff>47625</xdr:rowOff>
    </xdr:from>
    <xdr:to>
      <xdr:col>1</xdr:col>
      <xdr:colOff>495859</xdr:colOff>
      <xdr:row>3</xdr:row>
      <xdr:rowOff>380999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C81C59-21E4-40D2-86A8-D33CC427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38125"/>
          <a:ext cx="924484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view="pageBreakPreview" zoomScaleNormal="100" zoomScaleSheetLayoutView="100" workbookViewId="0">
      <selection activeCell="D5" sqref="D5"/>
    </sheetView>
  </sheetViews>
  <sheetFormatPr baseColWidth="10" defaultColWidth="11.453125" defaultRowHeight="16.5"/>
  <cols>
    <col min="1" max="1" width="5.1796875" style="1" customWidth="1"/>
    <col min="2" max="2" width="20" style="1" customWidth="1"/>
    <col min="3" max="3" width="24.7265625" style="1" customWidth="1"/>
    <col min="4" max="4" width="20.453125" style="1" customWidth="1"/>
    <col min="5" max="16384" width="11.453125" style="1"/>
  </cols>
  <sheetData>
    <row r="1" spans="1:4" ht="42" customHeight="1" thickBot="1">
      <c r="A1" s="69" t="s">
        <v>102</v>
      </c>
      <c r="B1" s="70"/>
      <c r="C1" s="70"/>
      <c r="D1" s="71"/>
    </row>
    <row r="2" spans="1:4">
      <c r="A2" s="2"/>
      <c r="B2" s="3"/>
      <c r="C2" s="3"/>
      <c r="D2" s="4"/>
    </row>
    <row r="3" spans="1:4">
      <c r="A3" s="72" t="s">
        <v>0</v>
      </c>
      <c r="B3" s="73"/>
      <c r="C3" s="73"/>
      <c r="D3" s="74"/>
    </row>
    <row r="4" spans="1:4">
      <c r="A4" s="72"/>
      <c r="B4" s="73"/>
      <c r="C4" s="73"/>
      <c r="D4" s="74"/>
    </row>
    <row r="5" spans="1:4">
      <c r="A5" s="5"/>
      <c r="B5" s="6"/>
      <c r="C5" s="6"/>
      <c r="D5" s="7"/>
    </row>
    <row r="6" spans="1:4" ht="18.5">
      <c r="A6" s="67" t="s">
        <v>1</v>
      </c>
      <c r="B6" s="68"/>
      <c r="C6" s="68"/>
      <c r="D6" s="75"/>
    </row>
    <row r="7" spans="1:4">
      <c r="A7" s="8"/>
      <c r="D7" s="9"/>
    </row>
    <row r="8" spans="1:4" ht="18.5">
      <c r="A8" s="67" t="s">
        <v>2</v>
      </c>
      <c r="B8" s="68"/>
      <c r="C8" s="68"/>
      <c r="D8" s="75"/>
    </row>
    <row r="9" spans="1:4" ht="18.5">
      <c r="A9" s="8"/>
      <c r="B9" s="67" t="s">
        <v>3</v>
      </c>
      <c r="C9" s="68"/>
      <c r="D9" s="68"/>
    </row>
    <row r="10" spans="1:4">
      <c r="A10" s="8"/>
      <c r="D10" s="9"/>
    </row>
    <row r="11" spans="1:4" ht="18.5">
      <c r="A11" s="53" t="s">
        <v>4</v>
      </c>
      <c r="D11" s="9"/>
    </row>
    <row r="12" spans="1:4" ht="18.5">
      <c r="A12" s="8"/>
      <c r="B12" s="67" t="s">
        <v>5</v>
      </c>
      <c r="C12" s="68"/>
      <c r="D12" s="68"/>
    </row>
    <row r="13" spans="1:4" ht="18.5">
      <c r="A13" s="8"/>
      <c r="B13" s="67" t="s">
        <v>6</v>
      </c>
      <c r="C13" s="68"/>
      <c r="D13" s="68"/>
    </row>
    <row r="14" spans="1:4" ht="18.5">
      <c r="A14" s="8"/>
      <c r="B14" s="67" t="s">
        <v>7</v>
      </c>
      <c r="C14" s="68"/>
      <c r="D14" s="68"/>
    </row>
    <row r="15" spans="1:4">
      <c r="A15" s="8"/>
      <c r="D15" s="9"/>
    </row>
    <row r="16" spans="1:4" ht="18.5">
      <c r="A16" s="53" t="s">
        <v>8</v>
      </c>
      <c r="D16" s="9"/>
    </row>
    <row r="17" spans="1:4" ht="18.5">
      <c r="A17" s="8"/>
      <c r="B17" s="67" t="s">
        <v>9</v>
      </c>
      <c r="C17" s="68"/>
      <c r="D17" s="68"/>
    </row>
    <row r="18" spans="1:4" ht="18.5">
      <c r="A18" s="8"/>
      <c r="B18" s="67" t="s">
        <v>10</v>
      </c>
      <c r="C18" s="68"/>
      <c r="D18" s="68"/>
    </row>
    <row r="19" spans="1:4" ht="18.5">
      <c r="A19" s="8"/>
      <c r="B19" s="67" t="s">
        <v>11</v>
      </c>
      <c r="C19" s="68"/>
      <c r="D19" s="68"/>
    </row>
    <row r="20" spans="1:4" ht="18.5">
      <c r="A20" s="53"/>
      <c r="D20" s="9"/>
    </row>
    <row r="21" spans="1:4" ht="18.5">
      <c r="A21" s="53" t="s">
        <v>12</v>
      </c>
      <c r="D21" s="9"/>
    </row>
    <row r="22" spans="1:4" ht="18.5">
      <c r="A22" s="8"/>
      <c r="B22" s="67" t="s">
        <v>13</v>
      </c>
      <c r="C22" s="68"/>
      <c r="D22" s="68"/>
    </row>
    <row r="23" spans="1:4" ht="18.5">
      <c r="A23" s="8"/>
      <c r="B23" s="67" t="s">
        <v>35</v>
      </c>
      <c r="C23" s="68"/>
      <c r="D23" s="68"/>
    </row>
    <row r="24" spans="1:4" ht="18.5">
      <c r="A24" s="8"/>
      <c r="B24" s="67" t="s">
        <v>40</v>
      </c>
      <c r="C24" s="68"/>
      <c r="D24" s="68"/>
    </row>
    <row r="25" spans="1:4" ht="18.5">
      <c r="A25" s="67" t="s">
        <v>14</v>
      </c>
      <c r="B25" s="68"/>
      <c r="C25" s="68"/>
      <c r="D25" s="75"/>
    </row>
    <row r="26" spans="1:4">
      <c r="A26" s="8"/>
      <c r="D26" s="9"/>
    </row>
    <row r="27" spans="1:4" ht="18.5">
      <c r="A27" s="67" t="s">
        <v>15</v>
      </c>
      <c r="B27" s="68"/>
      <c r="C27" s="68"/>
      <c r="D27" s="75"/>
    </row>
    <row r="28" spans="1:4" ht="17" thickBot="1">
      <c r="A28" s="10"/>
      <c r="B28" s="11"/>
      <c r="C28" s="11"/>
      <c r="D28" s="12"/>
    </row>
  </sheetData>
  <mergeCells count="16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24:D24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 xr:uid="{00000000-0004-0000-0000-000000000000}"/>
    <hyperlink ref="A8" location="Aguascalientes_Cons_2018!A1" display="2. Por Circunscripción Consular" xr:uid="{00000000-0004-0000-0000-000001000000}"/>
    <hyperlink ref="B9" location="AguascalientesXCons2018!A1" display="2.1 Top ten por circunscripción consular" xr:uid="{00000000-0004-0000-0000-000002000000}"/>
    <hyperlink ref="B12" location="Aguascalientes_EdoMun!A1" display="3.1 Municipio general" xr:uid="{00000000-0004-0000-0000-000003000000}"/>
    <hyperlink ref="B13" location="Aguascalientes_USAMuni2016!A1" display="3.2 Por Estado de USA" xr:uid="{00000000-0004-0000-0000-000004000000}"/>
    <hyperlink ref="B14" location="Aguascalientes_MUNICIPIO!A1" display="3.3 Por Circunscripción Consular" xr:uid="{00000000-0004-0000-0000-000005000000}"/>
    <hyperlink ref="B17" location="Aguascalientes_educ_gral!A1" display="4.1 Educación general" xr:uid="{00000000-0004-0000-0000-000006000000}"/>
    <hyperlink ref="B18" location="Aguascalientes_NivelE_Cons!A1" display="4.2 Por Estado de USA" xr:uid="{00000000-0004-0000-0000-000007000000}"/>
    <hyperlink ref="B19" location="Aguascalientes_EducCons!A1" display="4.3 Por Circunscripción Consular" xr:uid="{00000000-0004-0000-0000-000008000000}"/>
    <hyperlink ref="B22" location="Aguascalientes_GenGral!A1" display="5.1 Género General" xr:uid="{00000000-0004-0000-0000-000009000000}"/>
    <hyperlink ref="B23" location="Aguascalientes_GENERO!A1" display="5.3 Por Circunscripción Consular" xr:uid="{00000000-0004-0000-0000-00000A000000}"/>
    <hyperlink ref="A25" location="Aguascalientes_Gen_Edad!A1" display="6. Por estructura de Edad" xr:uid="{00000000-0004-0000-0000-00000B000000}"/>
    <hyperlink ref="A27" location="Aguascalientes_ocup_gral!A1" display="7. Por Ocupación" xr:uid="{00000000-0004-0000-0000-00000C000000}"/>
    <hyperlink ref="B13:D13" location="'Ciudad de México_USAMuni'!A1" display="3.2 Por Estado de USA" xr:uid="{00000000-0004-0000-0000-00000D000000}"/>
    <hyperlink ref="A8:D8" location="'Ciudad de México_Cons'!A1" display="2. Por Circunscripción Consular" xr:uid="{00000000-0004-0000-0000-00000E000000}"/>
    <hyperlink ref="B9:D9" location="'Ciudad de MéxicoXCons'!A1" display="2.1 Top ten por circunscripción consular" xr:uid="{00000000-0004-0000-0000-00000F000000}"/>
    <hyperlink ref="A6:D6" location="'Ciudad de México_EdoUsa'!A1" display="1. Por Estados de USA" xr:uid="{00000000-0004-0000-0000-000010000000}"/>
    <hyperlink ref="B12:D12" location="'Ciudad de México_EdoMun'!A1" display="3.1 Municipio general" xr:uid="{00000000-0004-0000-0000-000011000000}"/>
    <hyperlink ref="B14:D14" location="'Ciudad de México_MUNICIPIO'!A1" display="3.3 Por Circunscripción Consular" xr:uid="{00000000-0004-0000-0000-000012000000}"/>
    <hyperlink ref="B17:D17" location="'Ciudad de México_educ_gral'!A1" display="4.1 Educación general" xr:uid="{00000000-0004-0000-0000-000013000000}"/>
    <hyperlink ref="B18:D18" location="'Ciudad de México_NivelE_Cons'!A1" display="4.2 Por Estado de USA" xr:uid="{00000000-0004-0000-0000-000014000000}"/>
    <hyperlink ref="B19:D19" location="'Ciudad de México_EducCons'!A1" display="4.3 Por Circunscripción Consular" xr:uid="{00000000-0004-0000-0000-000015000000}"/>
    <hyperlink ref="B22:D22" location="'Ciudad de México_GenGral'!A1" display="5.1 Género General" xr:uid="{00000000-0004-0000-0000-000016000000}"/>
    <hyperlink ref="B23:D23" location="'Ciudad de México_GENERO'!A1" display="5.2 Por Circunscripción Consular" xr:uid="{00000000-0004-0000-0000-000017000000}"/>
    <hyperlink ref="A25:D25" location="'Ciudad de México_Gen_Edad'!A1" display="6. Por estructura de Edad" xr:uid="{00000000-0004-0000-0000-000018000000}"/>
    <hyperlink ref="A27:D27" location="'Ciudad de México_ocup_gral'!A1" display="7. Por Ocupación" xr:uid="{00000000-0004-0000-0000-000019000000}"/>
    <hyperlink ref="B24" location="'Ciudad de México_GENERO_EUA'!A1" display="5.3 Por Estado de la Unión Americana" xr:uid="{00000000-0004-0000-0000-00001A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D70"/>
  <sheetViews>
    <sheetView showGridLines="0" view="pageBreakPreview" topLeftCell="A53" zoomScale="115" zoomScaleNormal="100" zoomScaleSheetLayoutView="115" workbookViewId="0"/>
  </sheetViews>
  <sheetFormatPr baseColWidth="10" defaultColWidth="11.453125" defaultRowHeight="14.5"/>
  <cols>
    <col min="1" max="1" width="9.26953125" style="13" customWidth="1"/>
    <col min="2" max="2" width="25.179687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76" t="s">
        <v>39</v>
      </c>
      <c r="C7" s="76"/>
      <c r="D7" s="76"/>
    </row>
    <row r="8" spans="2:4" s="25" customFormat="1" ht="15" customHeight="1">
      <c r="B8" s="76"/>
      <c r="C8" s="76"/>
      <c r="D8" s="76"/>
    </row>
    <row r="9" spans="2:4" s="25" customFormat="1" ht="33" customHeight="1">
      <c r="B9" s="76"/>
      <c r="C9" s="76"/>
      <c r="D9" s="76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20</v>
      </c>
      <c r="C11" s="27" t="s">
        <v>19</v>
      </c>
      <c r="D11" s="26" t="s">
        <v>18</v>
      </c>
    </row>
    <row r="12" spans="2:4">
      <c r="B12" s="23" t="s">
        <v>103</v>
      </c>
      <c r="C12" s="22">
        <v>260</v>
      </c>
      <c r="D12" s="21">
        <v>7.1430533805870002E-3</v>
      </c>
    </row>
    <row r="13" spans="2:4">
      <c r="B13" s="23" t="s">
        <v>104</v>
      </c>
      <c r="C13" s="22">
        <v>3</v>
      </c>
      <c r="D13" s="21">
        <v>8.2419846699E-5</v>
      </c>
    </row>
    <row r="14" spans="2:4">
      <c r="B14" s="23" t="s">
        <v>105</v>
      </c>
      <c r="C14" s="22">
        <v>645</v>
      </c>
      <c r="D14" s="21">
        <v>1.7720267040302998E-2</v>
      </c>
    </row>
    <row r="15" spans="2:4">
      <c r="B15" s="23" t="s">
        <v>106</v>
      </c>
      <c r="C15" s="22">
        <v>346</v>
      </c>
      <c r="D15" s="21">
        <v>9.5057556526279997E-3</v>
      </c>
    </row>
    <row r="16" spans="2:4">
      <c r="B16" s="23" t="s">
        <v>107</v>
      </c>
      <c r="C16" s="22">
        <v>10309</v>
      </c>
      <c r="D16" s="21">
        <v>0.28322206654028997</v>
      </c>
    </row>
    <row r="17" spans="2:4">
      <c r="B17" s="23" t="s">
        <v>108</v>
      </c>
      <c r="C17" s="22">
        <v>436</v>
      </c>
      <c r="D17" s="21">
        <v>1.1978351053599999E-2</v>
      </c>
    </row>
    <row r="18" spans="2:4">
      <c r="B18" s="23" t="s">
        <v>109</v>
      </c>
      <c r="C18" s="22">
        <v>80</v>
      </c>
      <c r="D18" s="21">
        <v>2.1978625786419998E-3</v>
      </c>
    </row>
    <row r="19" spans="2:4">
      <c r="B19" s="23" t="s">
        <v>110</v>
      </c>
      <c r="C19" s="22">
        <v>67</v>
      </c>
      <c r="D19" s="21">
        <v>1.840709909613E-3</v>
      </c>
    </row>
    <row r="20" spans="2:4">
      <c r="B20" s="23" t="s">
        <v>111</v>
      </c>
      <c r="C20" s="22">
        <v>22</v>
      </c>
      <c r="D20" s="21">
        <v>6.0441220912700003E-4</v>
      </c>
    </row>
    <row r="21" spans="2:4">
      <c r="B21" s="23" t="s">
        <v>112</v>
      </c>
      <c r="C21" s="22">
        <v>1023</v>
      </c>
      <c r="D21" s="21">
        <v>2.8105167724388001E-2</v>
      </c>
    </row>
    <row r="22" spans="2:4">
      <c r="B22" s="23" t="s">
        <v>113</v>
      </c>
      <c r="C22" s="22">
        <v>913</v>
      </c>
      <c r="D22" s="21">
        <v>2.5083106678755001E-2</v>
      </c>
    </row>
    <row r="23" spans="2:4">
      <c r="B23" s="23" t="s">
        <v>114</v>
      </c>
      <c r="C23" s="22">
        <v>36</v>
      </c>
      <c r="D23" s="21">
        <v>9.8903816038900007E-4</v>
      </c>
    </row>
    <row r="24" spans="2:4">
      <c r="B24" s="23" t="s">
        <v>115</v>
      </c>
      <c r="C24" s="22">
        <v>125</v>
      </c>
      <c r="D24" s="21">
        <v>3.4341602791290002E-3</v>
      </c>
    </row>
    <row r="25" spans="2:4">
      <c r="B25" s="23" t="s">
        <v>116</v>
      </c>
      <c r="C25" s="22">
        <v>5441</v>
      </c>
      <c r="D25" s="21">
        <v>0.14948212862990701</v>
      </c>
    </row>
    <row r="26" spans="2:4">
      <c r="B26" s="23" t="s">
        <v>117</v>
      </c>
      <c r="C26" s="22">
        <v>899</v>
      </c>
      <c r="D26" s="21">
        <v>2.4698480727493002E-2</v>
      </c>
    </row>
    <row r="27" spans="2:4">
      <c r="B27" s="23" t="s">
        <v>118</v>
      </c>
      <c r="C27" s="22">
        <v>70</v>
      </c>
      <c r="D27" s="21">
        <v>1.923129756312E-3</v>
      </c>
    </row>
    <row r="28" spans="2:4">
      <c r="B28" s="23" t="s">
        <v>119</v>
      </c>
      <c r="C28" s="22">
        <v>320</v>
      </c>
      <c r="D28" s="21">
        <v>8.7914503145690003E-3</v>
      </c>
    </row>
    <row r="29" spans="2:4">
      <c r="B29" s="23" t="s">
        <v>120</v>
      </c>
      <c r="C29" s="22">
        <v>186</v>
      </c>
      <c r="D29" s="21">
        <v>5.1100304953429999E-3</v>
      </c>
    </row>
    <row r="30" spans="2:4">
      <c r="B30" s="23" t="s">
        <v>121</v>
      </c>
      <c r="C30" s="22">
        <v>107</v>
      </c>
      <c r="D30" s="21">
        <v>2.9396411989340001E-3</v>
      </c>
    </row>
    <row r="31" spans="2:4">
      <c r="B31" s="23" t="s">
        <v>122</v>
      </c>
      <c r="C31" s="22">
        <v>1</v>
      </c>
      <c r="D31" s="21">
        <v>2.7473282233000001E-5</v>
      </c>
    </row>
    <row r="32" spans="2:4">
      <c r="B32" s="23" t="s">
        <v>123</v>
      </c>
      <c r="C32" s="22">
        <v>76</v>
      </c>
      <c r="D32" s="21">
        <v>2.08796944971E-3</v>
      </c>
    </row>
    <row r="33" spans="2:4">
      <c r="B33" s="23" t="s">
        <v>124</v>
      </c>
      <c r="C33" s="22">
        <v>81</v>
      </c>
      <c r="D33" s="21">
        <v>2.2253358608749999E-3</v>
      </c>
    </row>
    <row r="34" spans="2:4">
      <c r="B34" s="23" t="s">
        <v>125</v>
      </c>
      <c r="C34" s="22">
        <v>357</v>
      </c>
      <c r="D34" s="21">
        <v>9.8079617571909996E-3</v>
      </c>
    </row>
    <row r="35" spans="2:4">
      <c r="B35" s="23" t="s">
        <v>126</v>
      </c>
      <c r="C35" s="22">
        <v>498</v>
      </c>
      <c r="D35" s="21">
        <v>1.3681694552048001E-2</v>
      </c>
    </row>
    <row r="36" spans="2:4">
      <c r="B36" s="23" t="s">
        <v>127</v>
      </c>
      <c r="C36" s="22">
        <v>95</v>
      </c>
      <c r="D36" s="21">
        <v>2.6099618121380001E-3</v>
      </c>
    </row>
    <row r="37" spans="2:4">
      <c r="B37" s="23" t="s">
        <v>128</v>
      </c>
      <c r="C37" s="22">
        <v>296</v>
      </c>
      <c r="D37" s="21">
        <v>8.1320915409759994E-3</v>
      </c>
    </row>
    <row r="38" spans="2:4">
      <c r="B38" s="23" t="s">
        <v>129</v>
      </c>
      <c r="C38" s="22">
        <v>6</v>
      </c>
      <c r="D38" s="21">
        <v>1.64839693398E-4</v>
      </c>
    </row>
    <row r="39" spans="2:4">
      <c r="B39" s="23" t="s">
        <v>130</v>
      </c>
      <c r="C39" s="22">
        <v>143</v>
      </c>
      <c r="D39" s="21">
        <v>3.9286793593230002E-3</v>
      </c>
    </row>
    <row r="40" spans="2:4">
      <c r="B40" s="23" t="s">
        <v>131</v>
      </c>
      <c r="C40" s="22">
        <v>1061</v>
      </c>
      <c r="D40" s="21">
        <v>2.9149152449243002E-2</v>
      </c>
    </row>
    <row r="41" spans="2:4">
      <c r="B41" s="23" t="s">
        <v>132</v>
      </c>
      <c r="C41" s="22">
        <v>5</v>
      </c>
      <c r="D41" s="21">
        <v>1.3736641116500001E-4</v>
      </c>
    </row>
    <row r="42" spans="2:4">
      <c r="B42" s="23" t="s">
        <v>133</v>
      </c>
      <c r="C42" s="22">
        <v>546</v>
      </c>
      <c r="D42" s="21">
        <v>1.5000412099233E-2</v>
      </c>
    </row>
    <row r="43" spans="2:4">
      <c r="B43" s="23" t="s">
        <v>134</v>
      </c>
      <c r="C43" s="22">
        <v>92</v>
      </c>
      <c r="D43" s="21">
        <v>2.5275419654389999E-3</v>
      </c>
    </row>
    <row r="44" spans="2:4">
      <c r="B44" s="23" t="s">
        <v>135</v>
      </c>
      <c r="C44" s="22">
        <v>831</v>
      </c>
      <c r="D44" s="21">
        <v>2.2830297535646998E-2</v>
      </c>
    </row>
    <row r="45" spans="2:4">
      <c r="B45" s="23" t="s">
        <v>136</v>
      </c>
      <c r="C45" s="22">
        <v>972</v>
      </c>
      <c r="D45" s="21">
        <v>2.6704030330503999E-2</v>
      </c>
    </row>
    <row r="46" spans="2:4">
      <c r="B46" s="23" t="s">
        <v>137</v>
      </c>
      <c r="C46" s="22">
        <v>4</v>
      </c>
      <c r="D46" s="21">
        <v>1.09893128932E-4</v>
      </c>
    </row>
    <row r="47" spans="2:4">
      <c r="B47" s="23" t="s">
        <v>138</v>
      </c>
      <c r="C47" s="22">
        <v>284</v>
      </c>
      <c r="D47" s="21">
        <v>7.8024121541800003E-3</v>
      </c>
    </row>
    <row r="48" spans="2:4">
      <c r="B48" s="23" t="s">
        <v>139</v>
      </c>
      <c r="C48" s="22">
        <v>508</v>
      </c>
      <c r="D48" s="21">
        <v>1.3956427374378E-2</v>
      </c>
    </row>
    <row r="49" spans="2:4">
      <c r="B49" s="23" t="s">
        <v>140</v>
      </c>
      <c r="C49" s="22">
        <v>166</v>
      </c>
      <c r="D49" s="21">
        <v>4.5605648506830002E-3</v>
      </c>
    </row>
    <row r="50" spans="2:4">
      <c r="B50" s="23" t="s">
        <v>141</v>
      </c>
      <c r="C50" s="22">
        <v>269</v>
      </c>
      <c r="D50" s="21">
        <v>7.390312920685E-3</v>
      </c>
    </row>
    <row r="51" spans="2:4">
      <c r="B51" s="23" t="s">
        <v>142</v>
      </c>
      <c r="C51" s="22">
        <v>2</v>
      </c>
      <c r="D51" s="21">
        <v>5.4946564466000002E-5</v>
      </c>
    </row>
    <row r="52" spans="2:4">
      <c r="B52" s="23" t="s">
        <v>143</v>
      </c>
      <c r="C52" s="22">
        <v>28</v>
      </c>
      <c r="D52" s="21">
        <v>7.6925190252500003E-4</v>
      </c>
    </row>
    <row r="53" spans="2:4">
      <c r="B53" s="23" t="s">
        <v>144</v>
      </c>
      <c r="C53" s="22">
        <v>396</v>
      </c>
      <c r="D53" s="21">
        <v>1.0879419764279001E-2</v>
      </c>
    </row>
    <row r="54" spans="2:4">
      <c r="B54" s="23" t="s">
        <v>145</v>
      </c>
      <c r="C54" s="22">
        <v>15</v>
      </c>
      <c r="D54" s="21">
        <v>4.12099233495E-4</v>
      </c>
    </row>
    <row r="55" spans="2:4">
      <c r="B55" s="23" t="s">
        <v>146</v>
      </c>
      <c r="C55" s="22">
        <v>426</v>
      </c>
      <c r="D55" s="21">
        <v>1.170361823127E-2</v>
      </c>
    </row>
    <row r="56" spans="2:4">
      <c r="B56" s="23" t="s">
        <v>147</v>
      </c>
      <c r="C56" s="22">
        <v>6901</v>
      </c>
      <c r="D56" s="21">
        <v>0.18959312069012901</v>
      </c>
    </row>
    <row r="57" spans="2:4">
      <c r="B57" s="23" t="s">
        <v>148</v>
      </c>
      <c r="C57" s="22">
        <v>282</v>
      </c>
      <c r="D57" s="21">
        <v>7.7474655897140001E-3</v>
      </c>
    </row>
    <row r="58" spans="2:4">
      <c r="B58" s="23" t="s">
        <v>149</v>
      </c>
      <c r="C58" s="22">
        <v>2</v>
      </c>
      <c r="D58" s="21">
        <v>5.4946564466000002E-5</v>
      </c>
    </row>
    <row r="59" spans="2:4">
      <c r="B59" s="23" t="s">
        <v>150</v>
      </c>
      <c r="C59" s="22">
        <v>185</v>
      </c>
      <c r="D59" s="21">
        <v>5.0825572131099998E-3</v>
      </c>
    </row>
    <row r="60" spans="2:4">
      <c r="B60" s="23" t="s">
        <v>82</v>
      </c>
      <c r="C60" s="22">
        <v>190</v>
      </c>
      <c r="D60" s="21">
        <v>5.2199236242750002E-3</v>
      </c>
    </row>
    <row r="61" spans="2:4">
      <c r="B61" s="23" t="s">
        <v>151</v>
      </c>
      <c r="C61" s="22">
        <v>6</v>
      </c>
      <c r="D61" s="21">
        <v>1.64839693398E-4</v>
      </c>
    </row>
    <row r="62" spans="2:4">
      <c r="B62" s="23" t="s">
        <v>152</v>
      </c>
      <c r="C62" s="22">
        <v>358</v>
      </c>
      <c r="D62" s="21">
        <v>9.8354350394240005E-3</v>
      </c>
    </row>
    <row r="63" spans="2:4">
      <c r="B63" s="23" t="s">
        <v>153</v>
      </c>
      <c r="C63" s="22">
        <v>29</v>
      </c>
      <c r="D63" s="21">
        <v>7.96725184758E-4</v>
      </c>
    </row>
    <row r="64" spans="2:4">
      <c r="B64" s="20" t="s">
        <v>29</v>
      </c>
      <c r="C64" s="19">
        <v>36399</v>
      </c>
      <c r="D64" s="18">
        <v>1</v>
      </c>
    </row>
    <row r="65" spans="2:2">
      <c r="B65" s="17"/>
    </row>
    <row r="66" spans="2:2">
      <c r="B66" s="15" t="s">
        <v>47</v>
      </c>
    </row>
    <row r="67" spans="2:2">
      <c r="B67" s="17" t="s">
        <v>17</v>
      </c>
    </row>
    <row r="68" spans="2:2">
      <c r="B68" s="16" t="s">
        <v>48</v>
      </c>
    </row>
    <row r="69" spans="2:2">
      <c r="B69" s="15" t="s">
        <v>16</v>
      </c>
    </row>
    <row r="70" spans="2:2">
      <c r="B70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D71"/>
  <sheetViews>
    <sheetView showGridLines="0" view="pageBreakPreview" topLeftCell="A4" zoomScale="115" zoomScaleNormal="100" zoomScaleSheetLayoutView="115" workbookViewId="0">
      <selection activeCell="F11" sqref="F11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76" t="s">
        <v>38</v>
      </c>
      <c r="C7" s="76"/>
      <c r="D7" s="76"/>
    </row>
    <row r="8" spans="2:4" s="25" customFormat="1" ht="15" customHeight="1">
      <c r="B8" s="76"/>
      <c r="C8" s="76"/>
      <c r="D8" s="76"/>
    </row>
    <row r="9" spans="2:4" s="25" customFormat="1" ht="33" customHeight="1">
      <c r="B9" s="76"/>
      <c r="C9" s="76"/>
      <c r="D9" s="76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21</v>
      </c>
      <c r="C11" s="27" t="s">
        <v>19</v>
      </c>
      <c r="D11" s="26" t="s">
        <v>18</v>
      </c>
    </row>
    <row r="12" spans="2:4">
      <c r="B12" s="23" t="s">
        <v>50</v>
      </c>
      <c r="C12" s="22">
        <v>6165</v>
      </c>
      <c r="D12" s="21">
        <v>0.16937278496662</v>
      </c>
    </row>
    <row r="13" spans="2:4">
      <c r="B13" s="23" t="s">
        <v>51</v>
      </c>
      <c r="C13" s="22">
        <v>4620</v>
      </c>
      <c r="D13" s="21">
        <v>0.12692656391659099</v>
      </c>
    </row>
    <row r="14" spans="2:4">
      <c r="B14" s="23" t="s">
        <v>52</v>
      </c>
      <c r="C14" s="22">
        <v>2710</v>
      </c>
      <c r="D14" s="21">
        <v>7.4452594851507001E-2</v>
      </c>
    </row>
    <row r="15" spans="2:4">
      <c r="B15" s="23" t="s">
        <v>53</v>
      </c>
      <c r="C15" s="22">
        <v>2613</v>
      </c>
      <c r="D15" s="21">
        <v>7.1787686474902995E-2</v>
      </c>
    </row>
    <row r="16" spans="2:4">
      <c r="B16" s="23" t="s">
        <v>54</v>
      </c>
      <c r="C16" s="22">
        <v>1662</v>
      </c>
      <c r="D16" s="21">
        <v>4.5660595071292998E-2</v>
      </c>
    </row>
    <row r="17" spans="2:4">
      <c r="B17" s="23" t="s">
        <v>55</v>
      </c>
      <c r="C17" s="22">
        <v>1429</v>
      </c>
      <c r="D17" s="21">
        <v>3.9259320310997999E-2</v>
      </c>
    </row>
    <row r="18" spans="2:4">
      <c r="B18" s="23" t="s">
        <v>56</v>
      </c>
      <c r="C18" s="22">
        <v>1321</v>
      </c>
      <c r="D18" s="21">
        <v>3.6292205829829997E-2</v>
      </c>
    </row>
    <row r="19" spans="2:4">
      <c r="B19" s="23" t="s">
        <v>57</v>
      </c>
      <c r="C19" s="22">
        <v>1076</v>
      </c>
      <c r="D19" s="21">
        <v>2.9561251682739001E-2</v>
      </c>
    </row>
    <row r="20" spans="2:4">
      <c r="B20" s="23" t="s">
        <v>58</v>
      </c>
      <c r="C20" s="22">
        <v>1001</v>
      </c>
      <c r="D20" s="21">
        <v>2.7500755515260999E-2</v>
      </c>
    </row>
    <row r="21" spans="2:4">
      <c r="B21" s="23" t="s">
        <v>59</v>
      </c>
      <c r="C21" s="22">
        <v>968</v>
      </c>
      <c r="D21" s="21">
        <v>2.6594137201571E-2</v>
      </c>
    </row>
    <row r="22" spans="2:4">
      <c r="B22" s="23" t="s">
        <v>60</v>
      </c>
      <c r="C22" s="22">
        <v>675</v>
      </c>
      <c r="D22" s="21">
        <v>1.8544465507294002E-2</v>
      </c>
    </row>
    <row r="23" spans="2:4">
      <c r="B23" s="23" t="s">
        <v>61</v>
      </c>
      <c r="C23" s="22">
        <v>642</v>
      </c>
      <c r="D23" s="21">
        <v>1.7637847193603999E-2</v>
      </c>
    </row>
    <row r="24" spans="2:4">
      <c r="B24" s="23" t="s">
        <v>62</v>
      </c>
      <c r="C24" s="22">
        <v>600</v>
      </c>
      <c r="D24" s="21">
        <v>1.6483969339816999E-2</v>
      </c>
    </row>
    <row r="25" spans="2:4">
      <c r="B25" s="23" t="s">
        <v>63</v>
      </c>
      <c r="C25" s="22">
        <v>592</v>
      </c>
      <c r="D25" s="21">
        <v>1.6264183081953001E-2</v>
      </c>
    </row>
    <row r="26" spans="2:4">
      <c r="B26" s="23" t="s">
        <v>64</v>
      </c>
      <c r="C26" s="22">
        <v>580</v>
      </c>
      <c r="D26" s="21">
        <v>1.5934503695156001E-2</v>
      </c>
    </row>
    <row r="27" spans="2:4">
      <c r="B27" s="23" t="s">
        <v>65</v>
      </c>
      <c r="C27" s="22">
        <v>575</v>
      </c>
      <c r="D27" s="21">
        <v>1.5797137283991E-2</v>
      </c>
    </row>
    <row r="28" spans="2:4">
      <c r="B28" s="23" t="s">
        <v>66</v>
      </c>
      <c r="C28" s="22">
        <v>572</v>
      </c>
      <c r="D28" s="21">
        <v>1.5714717437292001E-2</v>
      </c>
    </row>
    <row r="29" spans="2:4">
      <c r="B29" s="23" t="s">
        <v>67</v>
      </c>
      <c r="C29" s="22">
        <v>571</v>
      </c>
      <c r="D29" s="21">
        <v>1.5687244155059E-2</v>
      </c>
    </row>
    <row r="30" spans="2:4">
      <c r="B30" s="23" t="s">
        <v>68</v>
      </c>
      <c r="C30" s="22">
        <v>557</v>
      </c>
      <c r="D30" s="21">
        <v>1.5302618203797001E-2</v>
      </c>
    </row>
    <row r="31" spans="2:4">
      <c r="B31" s="23" t="s">
        <v>69</v>
      </c>
      <c r="C31" s="22">
        <v>556</v>
      </c>
      <c r="D31" s="21">
        <v>1.5275144921564E-2</v>
      </c>
    </row>
    <row r="32" spans="2:4">
      <c r="B32" s="23" t="s">
        <v>70</v>
      </c>
      <c r="C32" s="22">
        <v>554</v>
      </c>
      <c r="D32" s="21">
        <v>1.5220198357097999E-2</v>
      </c>
    </row>
    <row r="33" spans="2:4">
      <c r="B33" s="23" t="s">
        <v>71</v>
      </c>
      <c r="C33" s="22">
        <v>517</v>
      </c>
      <c r="D33" s="21">
        <v>1.4203686914476E-2</v>
      </c>
    </row>
    <row r="34" spans="2:4">
      <c r="B34" s="23" t="s">
        <v>72</v>
      </c>
      <c r="C34" s="22">
        <v>515</v>
      </c>
      <c r="D34" s="21">
        <v>1.414874035001E-2</v>
      </c>
    </row>
    <row r="35" spans="2:4">
      <c r="B35" s="23" t="s">
        <v>73</v>
      </c>
      <c r="C35" s="22">
        <v>498</v>
      </c>
      <c r="D35" s="21">
        <v>1.3681694552048001E-2</v>
      </c>
    </row>
    <row r="36" spans="2:4">
      <c r="B36" s="23" t="s">
        <v>74</v>
      </c>
      <c r="C36" s="22">
        <v>489</v>
      </c>
      <c r="D36" s="21">
        <v>1.3434435011951001E-2</v>
      </c>
    </row>
    <row r="37" spans="2:4">
      <c r="B37" s="23" t="s">
        <v>75</v>
      </c>
      <c r="C37" s="22">
        <v>438</v>
      </c>
      <c r="D37" s="21">
        <v>1.2033297618066E-2</v>
      </c>
    </row>
    <row r="38" spans="2:4">
      <c r="B38" s="23" t="s">
        <v>76</v>
      </c>
      <c r="C38" s="22">
        <v>408</v>
      </c>
      <c r="D38" s="21">
        <v>1.1209099151076001E-2</v>
      </c>
    </row>
    <row r="39" spans="2:4">
      <c r="B39" s="23" t="s">
        <v>77</v>
      </c>
      <c r="C39" s="22">
        <v>383</v>
      </c>
      <c r="D39" s="21">
        <v>1.0522267095250001E-2</v>
      </c>
    </row>
    <row r="40" spans="2:4">
      <c r="B40" s="23" t="s">
        <v>78</v>
      </c>
      <c r="C40" s="22">
        <v>297</v>
      </c>
      <c r="D40" s="21">
        <v>8.1595648232090003E-3</v>
      </c>
    </row>
    <row r="41" spans="2:4">
      <c r="B41" s="23" t="s">
        <v>79</v>
      </c>
      <c r="C41" s="22">
        <v>292</v>
      </c>
      <c r="D41" s="21">
        <v>8.0221984120440008E-3</v>
      </c>
    </row>
    <row r="42" spans="2:4">
      <c r="B42" s="23" t="s">
        <v>80</v>
      </c>
      <c r="C42" s="22">
        <v>274</v>
      </c>
      <c r="D42" s="21">
        <v>7.5276793318500004E-3</v>
      </c>
    </row>
    <row r="43" spans="2:4">
      <c r="B43" s="23" t="s">
        <v>81</v>
      </c>
      <c r="C43" s="22">
        <v>272</v>
      </c>
      <c r="D43" s="21">
        <v>7.4727327673840003E-3</v>
      </c>
    </row>
    <row r="44" spans="2:4">
      <c r="B44" s="23" t="s">
        <v>82</v>
      </c>
      <c r="C44" s="22">
        <v>264</v>
      </c>
      <c r="D44" s="21">
        <v>7.2529465095189996E-3</v>
      </c>
    </row>
    <row r="45" spans="2:4">
      <c r="B45" s="23" t="s">
        <v>83</v>
      </c>
      <c r="C45" s="22">
        <v>212</v>
      </c>
      <c r="D45" s="21">
        <v>5.8243358334020001E-3</v>
      </c>
    </row>
    <row r="46" spans="2:4">
      <c r="B46" s="23" t="s">
        <v>84</v>
      </c>
      <c r="C46" s="22">
        <v>206</v>
      </c>
      <c r="D46" s="21">
        <v>5.6594961400039997E-3</v>
      </c>
    </row>
    <row r="47" spans="2:4">
      <c r="B47" s="23" t="s">
        <v>85</v>
      </c>
      <c r="C47" s="22">
        <v>205</v>
      </c>
      <c r="D47" s="21">
        <v>5.6320228577709996E-3</v>
      </c>
    </row>
    <row r="48" spans="2:4">
      <c r="B48" s="23" t="s">
        <v>86</v>
      </c>
      <c r="C48" s="22">
        <v>179</v>
      </c>
      <c r="D48" s="21">
        <v>4.9177175197120003E-3</v>
      </c>
    </row>
    <row r="49" spans="2:4">
      <c r="B49" s="23" t="s">
        <v>87</v>
      </c>
      <c r="C49" s="22">
        <v>166</v>
      </c>
      <c r="D49" s="21">
        <v>4.5605648506830002E-3</v>
      </c>
    </row>
    <row r="50" spans="2:4">
      <c r="B50" s="23" t="s">
        <v>88</v>
      </c>
      <c r="C50" s="22">
        <v>127</v>
      </c>
      <c r="D50" s="21">
        <v>3.4891068435949999E-3</v>
      </c>
    </row>
    <row r="51" spans="2:4">
      <c r="B51" s="23" t="s">
        <v>89</v>
      </c>
      <c r="C51" s="22">
        <v>112</v>
      </c>
      <c r="D51" s="21">
        <v>3.0770076100990001E-3</v>
      </c>
    </row>
    <row r="52" spans="2:4">
      <c r="B52" s="23" t="s">
        <v>90</v>
      </c>
      <c r="C52" s="22">
        <v>111</v>
      </c>
      <c r="D52" s="21">
        <v>3.049534327866E-3</v>
      </c>
    </row>
    <row r="53" spans="2:4">
      <c r="B53" s="23" t="s">
        <v>91</v>
      </c>
      <c r="C53" s="22">
        <v>106</v>
      </c>
      <c r="D53" s="21">
        <v>2.9121679167010001E-3</v>
      </c>
    </row>
    <row r="54" spans="2:4">
      <c r="B54" s="23" t="s">
        <v>92</v>
      </c>
      <c r="C54" s="22">
        <v>103</v>
      </c>
      <c r="D54" s="21">
        <v>2.8297480700019998E-3</v>
      </c>
    </row>
    <row r="55" spans="2:4">
      <c r="B55" s="23" t="s">
        <v>93</v>
      </c>
      <c r="C55" s="22">
        <v>81</v>
      </c>
      <c r="D55" s="21">
        <v>2.2253358608749999E-3</v>
      </c>
    </row>
    <row r="56" spans="2:4">
      <c r="B56" s="23" t="s">
        <v>94</v>
      </c>
      <c r="C56" s="22">
        <v>45</v>
      </c>
      <c r="D56" s="21">
        <v>1.2362977004860001E-3</v>
      </c>
    </row>
    <row r="57" spans="2:4">
      <c r="B57" s="23" t="s">
        <v>95</v>
      </c>
      <c r="C57" s="22">
        <v>19</v>
      </c>
      <c r="D57" s="21">
        <v>5.2199236242800003E-4</v>
      </c>
    </row>
    <row r="58" spans="2:4">
      <c r="B58" s="23" t="s">
        <v>96</v>
      </c>
      <c r="C58" s="22">
        <v>14</v>
      </c>
      <c r="D58" s="21">
        <v>3.8462595126199998E-4</v>
      </c>
    </row>
    <row r="59" spans="2:4">
      <c r="B59" s="23" t="s">
        <v>97</v>
      </c>
      <c r="C59" s="22">
        <v>7</v>
      </c>
      <c r="D59" s="21">
        <v>1.9231297563099999E-4</v>
      </c>
    </row>
    <row r="60" spans="2:4">
      <c r="B60" s="23" t="s">
        <v>98</v>
      </c>
      <c r="C60" s="22">
        <v>7</v>
      </c>
      <c r="D60" s="21">
        <v>1.9231297563099999E-4</v>
      </c>
    </row>
    <row r="61" spans="2:4">
      <c r="B61" s="23" t="s">
        <v>99</v>
      </c>
      <c r="C61" s="22">
        <v>7</v>
      </c>
      <c r="D61" s="21">
        <v>1.9231297563099999E-4</v>
      </c>
    </row>
    <row r="62" spans="2:4">
      <c r="B62" s="23" t="s">
        <v>100</v>
      </c>
      <c r="C62" s="22">
        <v>4</v>
      </c>
      <c r="D62" s="21">
        <v>1.09893128932E-4</v>
      </c>
    </row>
    <row r="63" spans="2:4">
      <c r="B63" s="23" t="s">
        <v>101</v>
      </c>
      <c r="C63" s="22">
        <v>2</v>
      </c>
      <c r="D63" s="21">
        <v>5.4946564466000002E-5</v>
      </c>
    </row>
    <row r="64" spans="2:4">
      <c r="B64" s="20" t="s">
        <v>29</v>
      </c>
      <c r="C64" s="19">
        <v>36399</v>
      </c>
      <c r="D64" s="18">
        <v>1</v>
      </c>
    </row>
    <row r="66" spans="2:3">
      <c r="B66" s="15" t="s">
        <v>47</v>
      </c>
    </row>
    <row r="67" spans="2:3">
      <c r="B67" s="17" t="s">
        <v>17</v>
      </c>
    </row>
    <row r="68" spans="2:3">
      <c r="B68" s="16" t="s">
        <v>48</v>
      </c>
    </row>
    <row r="69" spans="2:3">
      <c r="B69" s="15" t="s">
        <v>16</v>
      </c>
    </row>
    <row r="70" spans="2:3">
      <c r="B70" s="15" t="s">
        <v>49</v>
      </c>
    </row>
    <row r="71" spans="2:3">
      <c r="C71" s="1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29"/>
  <sheetViews>
    <sheetView showGridLines="0" view="pageBreakPreview" topLeftCell="A11" zoomScale="115" zoomScaleNormal="100" zoomScaleSheetLayoutView="115" workbookViewId="0">
      <selection activeCell="D22" sqref="B12:D22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1:4" s="25" customFormat="1" ht="15" customHeight="1">
      <c r="C1" s="31"/>
    </row>
    <row r="2" spans="1:4" s="25" customFormat="1" ht="15" customHeight="1">
      <c r="C2" s="31"/>
    </row>
    <row r="3" spans="1:4" s="25" customFormat="1" ht="15" customHeight="1">
      <c r="C3" s="31"/>
    </row>
    <row r="4" spans="1:4" s="25" customFormat="1" ht="30" customHeight="1">
      <c r="C4" s="31"/>
      <c r="D4" s="30"/>
    </row>
    <row r="5" spans="1:4" s="25" customFormat="1" ht="15" customHeight="1">
      <c r="C5" s="31"/>
      <c r="D5" s="30"/>
    </row>
    <row r="6" spans="1:4" s="25" customFormat="1" ht="15" customHeight="1">
      <c r="C6" s="31"/>
      <c r="D6" s="30"/>
    </row>
    <row r="7" spans="1:4" s="25" customFormat="1" ht="15" customHeight="1">
      <c r="B7" s="76" t="s">
        <v>44</v>
      </c>
      <c r="C7" s="76"/>
      <c r="D7" s="76"/>
    </row>
    <row r="8" spans="1:4" s="25" customFormat="1" ht="15" customHeight="1">
      <c r="B8" s="76"/>
      <c r="C8" s="76"/>
      <c r="D8" s="76"/>
    </row>
    <row r="9" spans="1:4" s="25" customFormat="1" ht="33" customHeight="1">
      <c r="B9" s="76"/>
      <c r="C9" s="76"/>
      <c r="D9" s="76"/>
    </row>
    <row r="10" spans="1:4" s="25" customFormat="1" ht="4.5" customHeight="1">
      <c r="B10" s="29"/>
      <c r="C10" s="29"/>
      <c r="D10" s="29"/>
    </row>
    <row r="11" spans="1:4" s="25" customFormat="1" ht="33" customHeight="1">
      <c r="B11" s="28" t="s">
        <v>21</v>
      </c>
      <c r="C11" s="27" t="s">
        <v>19</v>
      </c>
      <c r="D11" s="26" t="s">
        <v>18</v>
      </c>
    </row>
    <row r="12" spans="1:4" ht="14.5" customHeight="1">
      <c r="B12" s="23" t="s">
        <v>50</v>
      </c>
      <c r="C12" s="22">
        <v>6165</v>
      </c>
      <c r="D12" s="21">
        <f t="shared" ref="D12:D22" si="0">C12/$C$22</f>
        <v>0.26161680458306813</v>
      </c>
    </row>
    <row r="13" spans="1:4" ht="14.5" customHeight="1">
      <c r="B13" s="23" t="s">
        <v>51</v>
      </c>
      <c r="C13" s="22">
        <v>4620</v>
      </c>
      <c r="D13" s="21">
        <f t="shared" si="0"/>
        <v>0.196053469127944</v>
      </c>
    </row>
    <row r="14" spans="1:4" s="24" customFormat="1" ht="14.5" customHeight="1">
      <c r="A14" s="13"/>
      <c r="B14" s="23" t="s">
        <v>52</v>
      </c>
      <c r="C14" s="22">
        <v>2710</v>
      </c>
      <c r="D14" s="21">
        <f t="shared" si="0"/>
        <v>0.11500106089539572</v>
      </c>
    </row>
    <row r="15" spans="1:4" s="24" customFormat="1" ht="14.5" customHeight="1">
      <c r="A15" s="13"/>
      <c r="B15" s="23" t="s">
        <v>53</v>
      </c>
      <c r="C15" s="22">
        <v>2613</v>
      </c>
      <c r="D15" s="21">
        <f t="shared" si="0"/>
        <v>0.11088478676002546</v>
      </c>
    </row>
    <row r="16" spans="1:4" ht="14.5" customHeight="1">
      <c r="B16" s="23" t="s">
        <v>54</v>
      </c>
      <c r="C16" s="22">
        <v>1662</v>
      </c>
      <c r="D16" s="21">
        <f t="shared" si="0"/>
        <v>7.0528325907065564E-2</v>
      </c>
    </row>
    <row r="17" spans="2:4" ht="14.5" customHeight="1">
      <c r="B17" s="23" t="s">
        <v>55</v>
      </c>
      <c r="C17" s="22">
        <v>1429</v>
      </c>
      <c r="D17" s="21">
        <f t="shared" si="0"/>
        <v>6.0640780819011246E-2</v>
      </c>
    </row>
    <row r="18" spans="2:4" ht="14.5" customHeight="1">
      <c r="B18" s="23" t="s">
        <v>56</v>
      </c>
      <c r="C18" s="22">
        <v>1321</v>
      </c>
      <c r="D18" s="21">
        <f t="shared" si="0"/>
        <v>5.6057712709526843E-2</v>
      </c>
    </row>
    <row r="19" spans="2:4" ht="14.5" customHeight="1">
      <c r="B19" s="23" t="s">
        <v>57</v>
      </c>
      <c r="C19" s="22">
        <v>1076</v>
      </c>
      <c r="D19" s="21">
        <f t="shared" si="0"/>
        <v>4.5660937831529809E-2</v>
      </c>
    </row>
    <row r="20" spans="2:4" ht="14.5" customHeight="1">
      <c r="B20" s="23" t="s">
        <v>58</v>
      </c>
      <c r="C20" s="22">
        <v>1001</v>
      </c>
      <c r="D20" s="21">
        <f t="shared" si="0"/>
        <v>4.2478251644387864E-2</v>
      </c>
    </row>
    <row r="21" spans="2:4" ht="14.5" customHeight="1">
      <c r="B21" s="23" t="s">
        <v>59</v>
      </c>
      <c r="C21" s="22">
        <v>968</v>
      </c>
      <c r="D21" s="21">
        <f t="shared" si="0"/>
        <v>4.1077869722045406E-2</v>
      </c>
    </row>
    <row r="22" spans="2:4" ht="14.5" customHeight="1">
      <c r="B22" s="20" t="s">
        <v>45</v>
      </c>
      <c r="C22" s="19">
        <f>SUM(C12:C21)</f>
        <v>23565</v>
      </c>
      <c r="D22" s="18">
        <f t="shared" si="0"/>
        <v>1</v>
      </c>
    </row>
    <row r="23" spans="2:4" ht="14.5" customHeight="1">
      <c r="B23" s="20" t="s">
        <v>46</v>
      </c>
      <c r="C23" s="19">
        <v>36399</v>
      </c>
    </row>
    <row r="24" spans="2:4">
      <c r="B24" s="15"/>
      <c r="C24" s="13"/>
    </row>
    <row r="25" spans="2:4">
      <c r="B25" s="15" t="s">
        <v>47</v>
      </c>
      <c r="C25" s="13"/>
    </row>
    <row r="26" spans="2:4">
      <c r="B26" s="17" t="s">
        <v>17</v>
      </c>
      <c r="C26" s="13"/>
    </row>
    <row r="27" spans="2:4">
      <c r="B27" s="16" t="s">
        <v>48</v>
      </c>
      <c r="C27" s="13"/>
    </row>
    <row r="28" spans="2:4">
      <c r="B28" s="15" t="s">
        <v>16</v>
      </c>
      <c r="C28" s="13"/>
    </row>
    <row r="29" spans="2:4">
      <c r="B29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1:D47"/>
  <sheetViews>
    <sheetView showGridLines="0" view="pageBreakPreview" zoomScale="115" zoomScaleNormal="100" zoomScaleSheetLayoutView="115" workbookViewId="0">
      <selection activeCell="B44" sqref="B44"/>
    </sheetView>
  </sheetViews>
  <sheetFormatPr baseColWidth="10" defaultColWidth="11.453125" defaultRowHeight="14.5"/>
  <cols>
    <col min="1" max="1" width="9.26953125" style="13" customWidth="1"/>
    <col min="2" max="2" width="32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4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76" t="s">
        <v>37</v>
      </c>
      <c r="C7" s="76"/>
      <c r="D7" s="76"/>
    </row>
    <row r="8" spans="2:4" s="25" customFormat="1" ht="15" customHeight="1">
      <c r="B8" s="76"/>
      <c r="C8" s="76"/>
      <c r="D8" s="76"/>
    </row>
    <row r="9" spans="2:4" s="25" customFormat="1" ht="33" customHeight="1">
      <c r="B9" s="76"/>
      <c r="C9" s="76"/>
      <c r="D9" s="76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22</v>
      </c>
      <c r="C11" s="27" t="s">
        <v>19</v>
      </c>
      <c r="D11" s="26" t="s">
        <v>18</v>
      </c>
    </row>
    <row r="12" spans="2:4">
      <c r="B12" s="23" t="s">
        <v>205</v>
      </c>
      <c r="C12" s="22">
        <v>6021</v>
      </c>
      <c r="D12" s="21">
        <v>0.16541663232506401</v>
      </c>
    </row>
    <row r="13" spans="2:4">
      <c r="B13" s="23" t="s">
        <v>204</v>
      </c>
      <c r="C13" s="22">
        <v>4809</v>
      </c>
      <c r="D13" s="21">
        <v>0.13211901425863301</v>
      </c>
    </row>
    <row r="14" spans="2:4">
      <c r="B14" s="23" t="s">
        <v>207</v>
      </c>
      <c r="C14" s="22">
        <v>3785</v>
      </c>
      <c r="D14" s="21">
        <v>0.103986373252012</v>
      </c>
    </row>
    <row r="15" spans="2:4">
      <c r="B15" s="23" t="s">
        <v>209</v>
      </c>
      <c r="C15" s="22">
        <v>3279</v>
      </c>
      <c r="D15" s="21">
        <v>9.0084892442099995E-2</v>
      </c>
    </row>
    <row r="16" spans="2:4">
      <c r="B16" s="23" t="s">
        <v>215</v>
      </c>
      <c r="C16" s="22">
        <v>3246</v>
      </c>
      <c r="D16" s="21">
        <v>8.9178274128410007E-2</v>
      </c>
    </row>
    <row r="17" spans="2:4">
      <c r="B17" s="23" t="s">
        <v>201</v>
      </c>
      <c r="C17" s="22">
        <v>3025</v>
      </c>
      <c r="D17" s="21">
        <v>8.3106678754910998E-2</v>
      </c>
    </row>
    <row r="18" spans="2:4">
      <c r="B18" s="23" t="s">
        <v>200</v>
      </c>
      <c r="C18" s="22">
        <v>2775</v>
      </c>
      <c r="D18" s="21">
        <v>7.6238358196654005E-2</v>
      </c>
    </row>
    <row r="19" spans="2:4">
      <c r="B19" s="23" t="s">
        <v>213</v>
      </c>
      <c r="C19" s="22">
        <v>2469</v>
      </c>
      <c r="D19" s="21">
        <v>6.7831533833347002E-2</v>
      </c>
    </row>
    <row r="20" spans="2:4">
      <c r="B20" s="23" t="s">
        <v>206</v>
      </c>
      <c r="C20" s="22">
        <v>2202</v>
      </c>
      <c r="D20" s="21">
        <v>6.0496167477128E-2</v>
      </c>
    </row>
    <row r="21" spans="2:4">
      <c r="B21" s="23" t="s">
        <v>202</v>
      </c>
      <c r="C21" s="22">
        <v>1586</v>
      </c>
      <c r="D21" s="21">
        <v>4.3572625621582997E-2</v>
      </c>
    </row>
    <row r="22" spans="2:4">
      <c r="B22" s="23" t="s">
        <v>211</v>
      </c>
      <c r="C22" s="22">
        <v>993</v>
      </c>
      <c r="D22" s="21">
        <v>2.7280969257397002E-2</v>
      </c>
    </row>
    <row r="23" spans="2:4">
      <c r="B23" s="23" t="s">
        <v>212</v>
      </c>
      <c r="C23" s="22">
        <v>655</v>
      </c>
      <c r="D23" s="21">
        <v>1.7994999862634E-2</v>
      </c>
    </row>
    <row r="24" spans="2:4">
      <c r="B24" s="23" t="s">
        <v>208</v>
      </c>
      <c r="C24" s="22">
        <v>523</v>
      </c>
      <c r="D24" s="21">
        <v>1.4368526607874001E-2</v>
      </c>
    </row>
    <row r="25" spans="2:4">
      <c r="B25" s="23" t="s">
        <v>214</v>
      </c>
      <c r="C25" s="22">
        <v>325</v>
      </c>
      <c r="D25" s="21">
        <v>8.9288167257339998E-3</v>
      </c>
    </row>
    <row r="26" spans="2:4">
      <c r="B26" s="23" t="s">
        <v>210</v>
      </c>
      <c r="C26" s="22">
        <v>303</v>
      </c>
      <c r="D26" s="21">
        <v>8.324404516608E-3</v>
      </c>
    </row>
    <row r="27" spans="2:4">
      <c r="B27" s="23" t="s">
        <v>203</v>
      </c>
      <c r="C27" s="22">
        <v>264</v>
      </c>
      <c r="D27" s="21">
        <v>7.2529465095189996E-3</v>
      </c>
    </row>
    <row r="28" spans="2:4" ht="42">
      <c r="B28" s="23" t="s">
        <v>216</v>
      </c>
      <c r="C28" s="22">
        <v>123</v>
      </c>
      <c r="D28" s="21">
        <v>3.379213714662E-3</v>
      </c>
    </row>
    <row r="29" spans="2:4">
      <c r="B29" s="23" t="s">
        <v>221</v>
      </c>
      <c r="C29" s="22">
        <v>3</v>
      </c>
      <c r="D29" s="21">
        <v>8.2419846699E-5</v>
      </c>
    </row>
    <row r="30" spans="2:4">
      <c r="B30" s="23" t="s">
        <v>222</v>
      </c>
      <c r="C30" s="22">
        <v>2</v>
      </c>
      <c r="D30" s="21">
        <v>5.4946564466000002E-5</v>
      </c>
    </row>
    <row r="31" spans="2:4">
      <c r="B31" s="23" t="s">
        <v>220</v>
      </c>
      <c r="C31" s="22">
        <v>2</v>
      </c>
      <c r="D31" s="21">
        <v>5.4946564466000002E-5</v>
      </c>
    </row>
    <row r="32" spans="2:4">
      <c r="B32" s="23" t="s">
        <v>217</v>
      </c>
      <c r="C32" s="22">
        <v>1</v>
      </c>
      <c r="D32" s="21">
        <v>2.7473282233000001E-5</v>
      </c>
    </row>
    <row r="33" spans="2:4">
      <c r="B33" s="23" t="s">
        <v>218</v>
      </c>
      <c r="C33" s="22">
        <v>1</v>
      </c>
      <c r="D33" s="21">
        <v>2.7473282233000001E-5</v>
      </c>
    </row>
    <row r="34" spans="2:4">
      <c r="B34" s="23" t="s">
        <v>226</v>
      </c>
      <c r="C34" s="22">
        <v>1</v>
      </c>
      <c r="D34" s="21">
        <v>2.7473282233000001E-5</v>
      </c>
    </row>
    <row r="35" spans="2:4">
      <c r="B35" s="23" t="s">
        <v>219</v>
      </c>
      <c r="C35" s="22">
        <v>1</v>
      </c>
      <c r="D35" s="21">
        <v>2.7473282233000001E-5</v>
      </c>
    </row>
    <row r="36" spans="2:4">
      <c r="B36" s="23" t="s">
        <v>225</v>
      </c>
      <c r="C36" s="22">
        <v>1</v>
      </c>
      <c r="D36" s="21">
        <v>2.7473282233000001E-5</v>
      </c>
    </row>
    <row r="37" spans="2:4">
      <c r="B37" s="23" t="s">
        <v>223</v>
      </c>
      <c r="C37" s="22">
        <v>1</v>
      </c>
      <c r="D37" s="21">
        <v>2.7473282233000001E-5</v>
      </c>
    </row>
    <row r="38" spans="2:4">
      <c r="B38" s="23" t="s">
        <v>100</v>
      </c>
      <c r="C38" s="22">
        <v>1</v>
      </c>
      <c r="D38" s="21">
        <v>2.7473282233000001E-5</v>
      </c>
    </row>
    <row r="39" spans="2:4">
      <c r="B39" s="23" t="s">
        <v>224</v>
      </c>
      <c r="C39" s="22">
        <v>1</v>
      </c>
      <c r="D39" s="21">
        <v>2.7473282233000001E-5</v>
      </c>
    </row>
    <row r="40" spans="2:4">
      <c r="B40" s="23" t="s">
        <v>227</v>
      </c>
      <c r="C40" s="22">
        <v>1</v>
      </c>
      <c r="D40" s="21">
        <v>2.7473282233000001E-5</v>
      </c>
    </row>
    <row r="41" spans="2:4">
      <c r="B41" s="20" t="s">
        <v>29</v>
      </c>
      <c r="C41" s="19">
        <v>36399</v>
      </c>
      <c r="D41" s="18">
        <v>1</v>
      </c>
    </row>
    <row r="43" spans="2:4">
      <c r="B43" s="15" t="s">
        <v>47</v>
      </c>
    </row>
    <row r="44" spans="2:4">
      <c r="B44" s="17" t="s">
        <v>17</v>
      </c>
    </row>
    <row r="45" spans="2:4">
      <c r="B45" s="16" t="s">
        <v>48</v>
      </c>
    </row>
    <row r="46" spans="2:4">
      <c r="B46" s="15" t="s">
        <v>16</v>
      </c>
    </row>
    <row r="47" spans="2:4">
      <c r="B47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765"/>
  <sheetViews>
    <sheetView showGridLines="0" view="pageBreakPreview" topLeftCell="A742" zoomScale="85" zoomScaleNormal="100" zoomScaleSheetLayoutView="85" workbookViewId="0">
      <selection activeCell="E751" sqref="E751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1.453125" style="33" customWidth="1"/>
    <col min="4" max="4" width="14.26953125" style="33" customWidth="1"/>
    <col min="5" max="5" width="16.81640625" style="33" customWidth="1"/>
    <col min="6" max="6" width="33.81640625" style="32" customWidth="1"/>
    <col min="7" max="7" width="35" style="32" hidden="1" customWidth="1"/>
    <col min="8" max="8" width="4.453125" style="32" customWidth="1"/>
    <col min="9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4"/>
      <c r="C7" s="84"/>
      <c r="D7" s="84"/>
      <c r="E7" s="84"/>
    </row>
    <row r="8" spans="1:5" s="41" customFormat="1" ht="33" customHeight="1">
      <c r="A8" s="42"/>
      <c r="B8" s="84"/>
      <c r="C8" s="84"/>
      <c r="D8" s="84"/>
      <c r="E8" s="84"/>
    </row>
    <row r="9" spans="1:5" s="25" customFormat="1" ht="40.5" customHeight="1">
      <c r="B9" s="38" t="s">
        <v>24</v>
      </c>
      <c r="C9" s="40" t="s">
        <v>23</v>
      </c>
      <c r="D9" s="39" t="s">
        <v>19</v>
      </c>
      <c r="E9" s="38" t="s">
        <v>18</v>
      </c>
    </row>
    <row r="10" spans="1:5" ht="14.5" customHeight="1">
      <c r="B10" s="77" t="s">
        <v>103</v>
      </c>
      <c r="C10" s="64" t="s">
        <v>200</v>
      </c>
      <c r="D10" s="65">
        <v>17</v>
      </c>
      <c r="E10" s="66">
        <v>4.6704579796099998E-4</v>
      </c>
    </row>
    <row r="11" spans="1:5" ht="14.5" customHeight="1">
      <c r="B11" s="83"/>
      <c r="C11" s="64" t="s">
        <v>201</v>
      </c>
      <c r="D11" s="65">
        <v>26</v>
      </c>
      <c r="E11" s="66">
        <v>7.14305338059E-4</v>
      </c>
    </row>
    <row r="12" spans="1:5" ht="14.5" customHeight="1">
      <c r="B12" s="83"/>
      <c r="C12" s="64" t="s">
        <v>202</v>
      </c>
      <c r="D12" s="65">
        <v>9</v>
      </c>
      <c r="E12" s="66">
        <v>2.47259540097E-4</v>
      </c>
    </row>
    <row r="13" spans="1:5" ht="14.5" customHeight="1">
      <c r="B13" s="83"/>
      <c r="C13" s="64" t="s">
        <v>203</v>
      </c>
      <c r="D13" s="65">
        <v>2</v>
      </c>
      <c r="E13" s="66">
        <v>5.4946564466000002E-5</v>
      </c>
    </row>
    <row r="14" spans="1:5" ht="14.5" customHeight="1">
      <c r="B14" s="83"/>
      <c r="C14" s="64" t="s">
        <v>204</v>
      </c>
      <c r="D14" s="65">
        <v>42</v>
      </c>
      <c r="E14" s="66">
        <v>1.1538778537870001E-3</v>
      </c>
    </row>
    <row r="15" spans="1:5" ht="14.5" customHeight="1">
      <c r="B15" s="83"/>
      <c r="C15" s="64" t="s">
        <v>205</v>
      </c>
      <c r="D15" s="65">
        <v>29</v>
      </c>
      <c r="E15" s="66">
        <v>7.96725184758E-4</v>
      </c>
    </row>
    <row r="16" spans="1:5" ht="14.5" customHeight="1">
      <c r="B16" s="83"/>
      <c r="C16" s="64" t="s">
        <v>206</v>
      </c>
      <c r="D16" s="65">
        <v>23</v>
      </c>
      <c r="E16" s="66">
        <v>6.3188549136E-4</v>
      </c>
    </row>
    <row r="17" spans="2:5" ht="14.5" customHeight="1">
      <c r="B17" s="83"/>
      <c r="C17" s="64" t="s">
        <v>207</v>
      </c>
      <c r="D17" s="65">
        <v>23</v>
      </c>
      <c r="E17" s="66">
        <v>6.3188549136E-4</v>
      </c>
    </row>
    <row r="18" spans="2:5" ht="14.5" customHeight="1">
      <c r="B18" s="83"/>
      <c r="C18" s="64" t="s">
        <v>208</v>
      </c>
      <c r="D18" s="65">
        <v>4</v>
      </c>
      <c r="E18" s="66">
        <v>1.09893128932E-4</v>
      </c>
    </row>
    <row r="19" spans="2:5" ht="14.5" customHeight="1">
      <c r="B19" s="83"/>
      <c r="C19" s="64" t="s">
        <v>209</v>
      </c>
      <c r="D19" s="65">
        <v>20</v>
      </c>
      <c r="E19" s="66">
        <v>5.49465644661E-4</v>
      </c>
    </row>
    <row r="20" spans="2:5" ht="14.5" customHeight="1">
      <c r="B20" s="83"/>
      <c r="C20" s="64" t="s">
        <v>210</v>
      </c>
      <c r="D20" s="65">
        <v>2</v>
      </c>
      <c r="E20" s="66">
        <v>5.4946564466000002E-5</v>
      </c>
    </row>
    <row r="21" spans="2:5" ht="14.5" customHeight="1">
      <c r="B21" s="83"/>
      <c r="C21" s="64" t="s">
        <v>211</v>
      </c>
      <c r="D21" s="65">
        <v>9</v>
      </c>
      <c r="E21" s="66">
        <v>2.47259540097E-4</v>
      </c>
    </row>
    <row r="22" spans="2:5" ht="14.5" customHeight="1">
      <c r="B22" s="83"/>
      <c r="C22" s="64" t="s">
        <v>212</v>
      </c>
      <c r="D22" s="65">
        <v>9</v>
      </c>
      <c r="E22" s="66">
        <v>2.47259540097E-4</v>
      </c>
    </row>
    <row r="23" spans="2:5" ht="14.5" customHeight="1">
      <c r="B23" s="83"/>
      <c r="C23" s="64" t="s">
        <v>213</v>
      </c>
      <c r="D23" s="65">
        <v>15</v>
      </c>
      <c r="E23" s="66">
        <v>4.12099233495E-4</v>
      </c>
    </row>
    <row r="24" spans="2:5" ht="14.5" customHeight="1">
      <c r="B24" s="83"/>
      <c r="C24" s="64" t="s">
        <v>214</v>
      </c>
      <c r="D24" s="65">
        <v>2</v>
      </c>
      <c r="E24" s="66">
        <v>5.4946564466000002E-5</v>
      </c>
    </row>
    <row r="25" spans="2:5" ht="14.5" customHeight="1">
      <c r="B25" s="83"/>
      <c r="C25" s="64" t="s">
        <v>215</v>
      </c>
      <c r="D25" s="65">
        <v>28</v>
      </c>
      <c r="E25" s="66">
        <v>7.6925190252500003E-4</v>
      </c>
    </row>
    <row r="26" spans="2:5" ht="14.5" customHeight="1">
      <c r="B26" s="82"/>
      <c r="C26" s="36" t="s">
        <v>29</v>
      </c>
      <c r="D26" s="35">
        <v>260</v>
      </c>
      <c r="E26" s="34">
        <v>7.1430533805870002E-3</v>
      </c>
    </row>
    <row r="27" spans="2:5" ht="14.5" customHeight="1">
      <c r="B27" s="77" t="s">
        <v>104</v>
      </c>
      <c r="C27" s="64" t="s">
        <v>201</v>
      </c>
      <c r="D27" s="65">
        <v>1</v>
      </c>
      <c r="E27" s="66">
        <v>2.7473282233000001E-5</v>
      </c>
    </row>
    <row r="28" spans="2:5" ht="14.5" customHeight="1">
      <c r="B28" s="83"/>
      <c r="C28" s="64" t="s">
        <v>205</v>
      </c>
      <c r="D28" s="65">
        <v>1</v>
      </c>
      <c r="E28" s="66">
        <v>2.7473282233000001E-5</v>
      </c>
    </row>
    <row r="29" spans="2:5" ht="14.5" customHeight="1">
      <c r="B29" s="83"/>
      <c r="C29" s="64" t="s">
        <v>207</v>
      </c>
      <c r="D29" s="65">
        <v>1</v>
      </c>
      <c r="E29" s="66">
        <v>2.7473282233000001E-5</v>
      </c>
    </row>
    <row r="30" spans="2:5" ht="14.5" customHeight="1">
      <c r="B30" s="82"/>
      <c r="C30" s="36" t="s">
        <v>29</v>
      </c>
      <c r="D30" s="35">
        <v>3</v>
      </c>
      <c r="E30" s="34">
        <v>8.2419846699E-5</v>
      </c>
    </row>
    <row r="31" spans="2:5" ht="14.5" customHeight="1">
      <c r="B31" s="77" t="s">
        <v>105</v>
      </c>
      <c r="C31" s="64" t="s">
        <v>200</v>
      </c>
      <c r="D31" s="65">
        <v>50</v>
      </c>
      <c r="E31" s="66">
        <v>1.373664111651E-3</v>
      </c>
    </row>
    <row r="32" spans="2:5" ht="14.5" customHeight="1">
      <c r="B32" s="83"/>
      <c r="C32" s="64" t="s">
        <v>201</v>
      </c>
      <c r="D32" s="65">
        <v>53</v>
      </c>
      <c r="E32" s="66">
        <v>1.4560839583510001E-3</v>
      </c>
    </row>
    <row r="33" spans="2:5" ht="14.5" customHeight="1">
      <c r="B33" s="83"/>
      <c r="C33" s="64" t="s">
        <v>202</v>
      </c>
      <c r="D33" s="65">
        <v>37</v>
      </c>
      <c r="E33" s="66">
        <v>1.0165114426219999E-3</v>
      </c>
    </row>
    <row r="34" spans="2:5" ht="14.5" customHeight="1">
      <c r="B34" s="83"/>
      <c r="C34" s="64" t="s">
        <v>203</v>
      </c>
      <c r="D34" s="65">
        <v>5</v>
      </c>
      <c r="E34" s="66">
        <v>1.3736641116500001E-4</v>
      </c>
    </row>
    <row r="35" spans="2:5" ht="14.5" customHeight="1">
      <c r="B35" s="83"/>
      <c r="C35" s="64" t="s">
        <v>204</v>
      </c>
      <c r="D35" s="65">
        <v>84</v>
      </c>
      <c r="E35" s="66">
        <v>2.3077557075740001E-3</v>
      </c>
    </row>
    <row r="36" spans="2:5" ht="14.5" customHeight="1">
      <c r="B36" s="83"/>
      <c r="C36" s="64" t="s">
        <v>205</v>
      </c>
      <c r="D36" s="65">
        <v>128</v>
      </c>
      <c r="E36" s="66">
        <v>3.516580125828E-3</v>
      </c>
    </row>
    <row r="37" spans="2:5" ht="14.5" customHeight="1">
      <c r="B37" s="83"/>
      <c r="C37" s="64" t="s">
        <v>206</v>
      </c>
      <c r="D37" s="65">
        <v>39</v>
      </c>
      <c r="E37" s="66">
        <v>1.0714580070880001E-3</v>
      </c>
    </row>
    <row r="38" spans="2:5" ht="14.5" customHeight="1">
      <c r="B38" s="83"/>
      <c r="C38" s="64" t="s">
        <v>207</v>
      </c>
      <c r="D38" s="65">
        <v>56</v>
      </c>
      <c r="E38" s="66">
        <v>1.5385038050500001E-3</v>
      </c>
    </row>
    <row r="39" spans="2:5" ht="14.5" customHeight="1">
      <c r="B39" s="83"/>
      <c r="C39" s="64" t="s">
        <v>208</v>
      </c>
      <c r="D39" s="65">
        <v>10</v>
      </c>
      <c r="E39" s="66">
        <v>2.7473282233000002E-4</v>
      </c>
    </row>
    <row r="40" spans="2:5" ht="14.5" customHeight="1">
      <c r="B40" s="83"/>
      <c r="C40" s="64" t="s">
        <v>209</v>
      </c>
      <c r="D40" s="65">
        <v>51</v>
      </c>
      <c r="E40" s="66">
        <v>1.4011373938840001E-3</v>
      </c>
    </row>
    <row r="41" spans="2:5" ht="14.5" customHeight="1">
      <c r="B41" s="83"/>
      <c r="C41" s="64" t="s">
        <v>210</v>
      </c>
      <c r="D41" s="65">
        <v>7</v>
      </c>
      <c r="E41" s="66">
        <v>1.9231297563099999E-4</v>
      </c>
    </row>
    <row r="42" spans="2:5" ht="14.5" customHeight="1">
      <c r="B42" s="83"/>
      <c r="C42" s="64" t="s">
        <v>216</v>
      </c>
      <c r="D42" s="65">
        <v>4</v>
      </c>
      <c r="E42" s="66">
        <v>1.09893128932E-4</v>
      </c>
    </row>
    <row r="43" spans="2:5" ht="14.5" customHeight="1">
      <c r="B43" s="83"/>
      <c r="C43" s="64" t="s">
        <v>211</v>
      </c>
      <c r="D43" s="65">
        <v>10</v>
      </c>
      <c r="E43" s="66">
        <v>2.7473282233000002E-4</v>
      </c>
    </row>
    <row r="44" spans="2:5" ht="14.5" customHeight="1">
      <c r="B44" s="83"/>
      <c r="C44" s="64" t="s">
        <v>212</v>
      </c>
      <c r="D44" s="65">
        <v>10</v>
      </c>
      <c r="E44" s="66">
        <v>2.7473282233000002E-4</v>
      </c>
    </row>
    <row r="45" spans="2:5" ht="14.5" customHeight="1">
      <c r="B45" s="83"/>
      <c r="C45" s="64" t="s">
        <v>213</v>
      </c>
      <c r="D45" s="65">
        <v>47</v>
      </c>
      <c r="E45" s="66">
        <v>1.291244264952E-3</v>
      </c>
    </row>
    <row r="46" spans="2:5" ht="14.5" customHeight="1">
      <c r="B46" s="83"/>
      <c r="C46" s="64" t="s">
        <v>214</v>
      </c>
      <c r="D46" s="65">
        <v>4</v>
      </c>
      <c r="E46" s="66">
        <v>1.09893128932E-4</v>
      </c>
    </row>
    <row r="47" spans="2:5" ht="14.5" customHeight="1">
      <c r="B47" s="83"/>
      <c r="C47" s="64" t="s">
        <v>215</v>
      </c>
      <c r="D47" s="65">
        <v>50</v>
      </c>
      <c r="E47" s="66">
        <v>1.373664111651E-3</v>
      </c>
    </row>
    <row r="48" spans="2:5" ht="14.5" customHeight="1">
      <c r="B48" s="82"/>
      <c r="C48" s="36" t="s">
        <v>29</v>
      </c>
      <c r="D48" s="35">
        <v>645</v>
      </c>
      <c r="E48" s="34">
        <v>1.7720267040302998E-2</v>
      </c>
    </row>
    <row r="49" spans="2:5" ht="14.5" customHeight="1">
      <c r="B49" s="77" t="s">
        <v>106</v>
      </c>
      <c r="C49" s="64" t="s">
        <v>217</v>
      </c>
      <c r="D49" s="65">
        <v>1</v>
      </c>
      <c r="E49" s="66">
        <v>2.7473282233000001E-5</v>
      </c>
    </row>
    <row r="50" spans="2:5" ht="14.5" customHeight="1">
      <c r="B50" s="83"/>
      <c r="C50" s="64" t="s">
        <v>200</v>
      </c>
      <c r="D50" s="65">
        <v>28</v>
      </c>
      <c r="E50" s="66">
        <v>7.6925190252500003E-4</v>
      </c>
    </row>
    <row r="51" spans="2:5" ht="14.5" customHeight="1">
      <c r="B51" s="83"/>
      <c r="C51" s="64" t="s">
        <v>201</v>
      </c>
      <c r="D51" s="65">
        <v>30</v>
      </c>
      <c r="E51" s="66">
        <v>8.2419846699099996E-4</v>
      </c>
    </row>
    <row r="52" spans="2:5" ht="14.5" customHeight="1">
      <c r="B52" s="83"/>
      <c r="C52" s="64" t="s">
        <v>202</v>
      </c>
      <c r="D52" s="65">
        <v>11</v>
      </c>
      <c r="E52" s="66">
        <v>3.0220610456299998E-4</v>
      </c>
    </row>
    <row r="53" spans="2:5" ht="14.5" customHeight="1">
      <c r="B53" s="83"/>
      <c r="C53" s="64" t="s">
        <v>203</v>
      </c>
      <c r="D53" s="65">
        <v>5</v>
      </c>
      <c r="E53" s="66">
        <v>1.3736641116500001E-4</v>
      </c>
    </row>
    <row r="54" spans="2:5" ht="14.5" customHeight="1">
      <c r="B54" s="83"/>
      <c r="C54" s="64" t="s">
        <v>204</v>
      </c>
      <c r="D54" s="65">
        <v>42</v>
      </c>
      <c r="E54" s="66">
        <v>1.1538778537870001E-3</v>
      </c>
    </row>
    <row r="55" spans="2:5" ht="14.5" customHeight="1">
      <c r="B55" s="83"/>
      <c r="C55" s="64" t="s">
        <v>205</v>
      </c>
      <c r="D55" s="65">
        <v>66</v>
      </c>
      <c r="E55" s="66">
        <v>1.8132366273799999E-3</v>
      </c>
    </row>
    <row r="56" spans="2:5" ht="14.5" customHeight="1">
      <c r="B56" s="83"/>
      <c r="C56" s="64" t="s">
        <v>206</v>
      </c>
      <c r="D56" s="65">
        <v>14</v>
      </c>
      <c r="E56" s="66">
        <v>3.8462595126199998E-4</v>
      </c>
    </row>
    <row r="57" spans="2:5" ht="14.5" customHeight="1">
      <c r="B57" s="83"/>
      <c r="C57" s="64" t="s">
        <v>207</v>
      </c>
      <c r="D57" s="65">
        <v>33</v>
      </c>
      <c r="E57" s="66">
        <v>9.0661831368999996E-4</v>
      </c>
    </row>
    <row r="58" spans="2:5" ht="14.5" customHeight="1">
      <c r="B58" s="83"/>
      <c r="C58" s="64" t="s">
        <v>208</v>
      </c>
      <c r="D58" s="65">
        <v>7</v>
      </c>
      <c r="E58" s="66">
        <v>1.9231297563099999E-4</v>
      </c>
    </row>
    <row r="59" spans="2:5" ht="14.5" customHeight="1">
      <c r="B59" s="83"/>
      <c r="C59" s="64" t="s">
        <v>209</v>
      </c>
      <c r="D59" s="65">
        <v>21</v>
      </c>
      <c r="E59" s="66">
        <v>5.7693892689399996E-4</v>
      </c>
    </row>
    <row r="60" spans="2:5" ht="14.5" customHeight="1">
      <c r="B60" s="83"/>
      <c r="C60" s="64" t="s">
        <v>210</v>
      </c>
      <c r="D60" s="65">
        <v>3</v>
      </c>
      <c r="E60" s="66">
        <v>8.2419846699E-5</v>
      </c>
    </row>
    <row r="61" spans="2:5" ht="14.5" customHeight="1">
      <c r="B61" s="83"/>
      <c r="C61" s="64" t="s">
        <v>216</v>
      </c>
      <c r="D61" s="65">
        <v>1</v>
      </c>
      <c r="E61" s="66">
        <v>2.7473282233000001E-5</v>
      </c>
    </row>
    <row r="62" spans="2:5" ht="14.5" customHeight="1">
      <c r="B62" s="83"/>
      <c r="C62" s="64" t="s">
        <v>211</v>
      </c>
      <c r="D62" s="65">
        <v>10</v>
      </c>
      <c r="E62" s="66">
        <v>2.7473282233000002E-4</v>
      </c>
    </row>
    <row r="63" spans="2:5" ht="14.5" customHeight="1">
      <c r="B63" s="83"/>
      <c r="C63" s="64" t="s">
        <v>212</v>
      </c>
      <c r="D63" s="65">
        <v>7</v>
      </c>
      <c r="E63" s="66">
        <v>1.9231297563099999E-4</v>
      </c>
    </row>
    <row r="64" spans="2:5" ht="14.5" customHeight="1">
      <c r="B64" s="83"/>
      <c r="C64" s="64" t="s">
        <v>213</v>
      </c>
      <c r="D64" s="65">
        <v>19</v>
      </c>
      <c r="E64" s="66">
        <v>5.2199236242800003E-4</v>
      </c>
    </row>
    <row r="65" spans="2:5" ht="14.5" customHeight="1">
      <c r="B65" s="83"/>
      <c r="C65" s="64" t="s">
        <v>214</v>
      </c>
      <c r="D65" s="65">
        <v>1</v>
      </c>
      <c r="E65" s="66">
        <v>2.7473282233000001E-5</v>
      </c>
    </row>
    <row r="66" spans="2:5" ht="14.5" customHeight="1">
      <c r="B66" s="83"/>
      <c r="C66" s="64" t="s">
        <v>215</v>
      </c>
      <c r="D66" s="65">
        <v>47</v>
      </c>
      <c r="E66" s="66">
        <v>1.291244264952E-3</v>
      </c>
    </row>
    <row r="67" spans="2:5" ht="14.5" customHeight="1">
      <c r="B67" s="82"/>
      <c r="C67" s="36" t="s">
        <v>29</v>
      </c>
      <c r="D67" s="35">
        <v>346</v>
      </c>
      <c r="E67" s="34">
        <v>9.5057556526279997E-3</v>
      </c>
    </row>
    <row r="68" spans="2:5" ht="14.5" customHeight="1">
      <c r="B68" s="77" t="s">
        <v>107</v>
      </c>
      <c r="C68" s="64" t="s">
        <v>200</v>
      </c>
      <c r="D68" s="65">
        <v>819</v>
      </c>
      <c r="E68" s="66">
        <v>2.2500618148849998E-2</v>
      </c>
    </row>
    <row r="69" spans="2:5" ht="14.5" customHeight="1">
      <c r="B69" s="83"/>
      <c r="C69" s="64" t="s">
        <v>201</v>
      </c>
      <c r="D69" s="65">
        <v>844</v>
      </c>
      <c r="E69" s="66">
        <v>2.3187450204676E-2</v>
      </c>
    </row>
    <row r="70" spans="2:5" ht="14.5" customHeight="1">
      <c r="B70" s="83"/>
      <c r="C70" s="64" t="s">
        <v>218</v>
      </c>
      <c r="D70" s="65">
        <v>1</v>
      </c>
      <c r="E70" s="66">
        <v>2.7473282233000001E-5</v>
      </c>
    </row>
    <row r="71" spans="2:5" ht="14.5" customHeight="1">
      <c r="B71" s="83"/>
      <c r="C71" s="64" t="s">
        <v>202</v>
      </c>
      <c r="D71" s="65">
        <v>453</v>
      </c>
      <c r="E71" s="66">
        <v>1.2445396851562001E-2</v>
      </c>
    </row>
    <row r="72" spans="2:5" ht="14.5" customHeight="1">
      <c r="B72" s="83"/>
      <c r="C72" s="64" t="s">
        <v>203</v>
      </c>
      <c r="D72" s="65">
        <v>83</v>
      </c>
      <c r="E72" s="66">
        <v>2.2802824253410001E-3</v>
      </c>
    </row>
    <row r="73" spans="2:5" ht="14.5" customHeight="1">
      <c r="B73" s="83"/>
      <c r="C73" s="64" t="s">
        <v>204</v>
      </c>
      <c r="D73" s="65">
        <v>1379</v>
      </c>
      <c r="E73" s="66">
        <v>3.7885656199346002E-2</v>
      </c>
    </row>
    <row r="74" spans="2:5" ht="14.5" customHeight="1">
      <c r="B74" s="83"/>
      <c r="C74" s="64" t="s">
        <v>219</v>
      </c>
      <c r="D74" s="65">
        <v>1</v>
      </c>
      <c r="E74" s="66">
        <v>2.7473282233000001E-5</v>
      </c>
    </row>
    <row r="75" spans="2:5" ht="14.5" customHeight="1">
      <c r="B75" s="83"/>
      <c r="C75" s="64" t="s">
        <v>205</v>
      </c>
      <c r="D75" s="65">
        <v>1831</v>
      </c>
      <c r="E75" s="66">
        <v>5.0303579768675E-2</v>
      </c>
    </row>
    <row r="76" spans="2:5" ht="14.5" customHeight="1">
      <c r="B76" s="83"/>
      <c r="C76" s="64" t="s">
        <v>206</v>
      </c>
      <c r="D76" s="65">
        <v>641</v>
      </c>
      <c r="E76" s="66">
        <v>1.7610373911371002E-2</v>
      </c>
    </row>
    <row r="77" spans="2:5" ht="14.5" customHeight="1">
      <c r="B77" s="83"/>
      <c r="C77" s="64" t="s">
        <v>207</v>
      </c>
      <c r="D77" s="65">
        <v>1053</v>
      </c>
      <c r="E77" s="66">
        <v>2.8929366191379001E-2</v>
      </c>
    </row>
    <row r="78" spans="2:5" ht="14.5" customHeight="1">
      <c r="B78" s="83"/>
      <c r="C78" s="64" t="s">
        <v>208</v>
      </c>
      <c r="D78" s="65">
        <v>130</v>
      </c>
      <c r="E78" s="66">
        <v>3.5715266902940001E-3</v>
      </c>
    </row>
    <row r="79" spans="2:5" ht="14.5" customHeight="1">
      <c r="B79" s="83"/>
      <c r="C79" s="64" t="s">
        <v>209</v>
      </c>
      <c r="D79" s="65">
        <v>876</v>
      </c>
      <c r="E79" s="66">
        <v>2.4066595236133002E-2</v>
      </c>
    </row>
    <row r="80" spans="2:5" ht="14.5" customHeight="1">
      <c r="B80" s="83"/>
      <c r="C80" s="64" t="s">
        <v>210</v>
      </c>
      <c r="D80" s="65">
        <v>101</v>
      </c>
      <c r="E80" s="66">
        <v>2.7748015055360001E-3</v>
      </c>
    </row>
    <row r="81" spans="2:5" ht="14.5" customHeight="1">
      <c r="B81" s="83"/>
      <c r="C81" s="64" t="s">
        <v>220</v>
      </c>
      <c r="D81" s="65">
        <v>1</v>
      </c>
      <c r="E81" s="66">
        <v>2.7473282233000001E-5</v>
      </c>
    </row>
    <row r="82" spans="2:5" ht="14.5" customHeight="1">
      <c r="B82" s="83"/>
      <c r="C82" s="64" t="s">
        <v>216</v>
      </c>
      <c r="D82" s="65">
        <v>40</v>
      </c>
      <c r="E82" s="66">
        <v>1.0989312893209999E-3</v>
      </c>
    </row>
    <row r="83" spans="2:5" ht="14.5" customHeight="1">
      <c r="B83" s="83"/>
      <c r="C83" s="64" t="s">
        <v>100</v>
      </c>
      <c r="D83" s="65">
        <v>1</v>
      </c>
      <c r="E83" s="66">
        <v>2.7473282233000001E-5</v>
      </c>
    </row>
    <row r="84" spans="2:5" ht="14.5" customHeight="1">
      <c r="B84" s="83"/>
      <c r="C84" s="64" t="s">
        <v>221</v>
      </c>
      <c r="D84" s="65">
        <v>2</v>
      </c>
      <c r="E84" s="66">
        <v>5.4946564466000002E-5</v>
      </c>
    </row>
    <row r="85" spans="2:5" ht="14.5" customHeight="1">
      <c r="B85" s="83"/>
      <c r="C85" s="64" t="s">
        <v>211</v>
      </c>
      <c r="D85" s="65">
        <v>264</v>
      </c>
      <c r="E85" s="66">
        <v>7.2529465095189996E-3</v>
      </c>
    </row>
    <row r="86" spans="2:5" ht="14.5" customHeight="1">
      <c r="B86" s="83"/>
      <c r="C86" s="64" t="s">
        <v>212</v>
      </c>
      <c r="D86" s="65">
        <v>156</v>
      </c>
      <c r="E86" s="66">
        <v>4.2858320283520003E-3</v>
      </c>
    </row>
    <row r="87" spans="2:5" ht="14.5" customHeight="1">
      <c r="B87" s="83"/>
      <c r="C87" s="64" t="s">
        <v>213</v>
      </c>
      <c r="D87" s="65">
        <v>745</v>
      </c>
      <c r="E87" s="66">
        <v>2.0467595263606E-2</v>
      </c>
    </row>
    <row r="88" spans="2:5" ht="14.5" customHeight="1">
      <c r="B88" s="83"/>
      <c r="C88" s="64" t="s">
        <v>214</v>
      </c>
      <c r="D88" s="65">
        <v>92</v>
      </c>
      <c r="E88" s="66">
        <v>2.5275419654389999E-3</v>
      </c>
    </row>
    <row r="89" spans="2:5" ht="14.5" customHeight="1">
      <c r="B89" s="83"/>
      <c r="C89" s="64" t="s">
        <v>215</v>
      </c>
      <c r="D89" s="65">
        <v>796</v>
      </c>
      <c r="E89" s="66">
        <v>2.1868732657491001E-2</v>
      </c>
    </row>
    <row r="90" spans="2:5" ht="14.5" customHeight="1">
      <c r="B90" s="82"/>
      <c r="C90" s="36" t="s">
        <v>29</v>
      </c>
      <c r="D90" s="35">
        <v>10309</v>
      </c>
      <c r="E90" s="34">
        <v>0.28322206654028997</v>
      </c>
    </row>
    <row r="91" spans="2:5" ht="14.5" customHeight="1">
      <c r="B91" s="77" t="s">
        <v>108</v>
      </c>
      <c r="C91" s="64" t="s">
        <v>200</v>
      </c>
      <c r="D91" s="65">
        <v>42</v>
      </c>
      <c r="E91" s="66">
        <v>1.1538778537870001E-3</v>
      </c>
    </row>
    <row r="92" spans="2:5" ht="14.5" customHeight="1">
      <c r="B92" s="83"/>
      <c r="C92" s="64" t="s">
        <v>201</v>
      </c>
      <c r="D92" s="65">
        <v>36</v>
      </c>
      <c r="E92" s="66">
        <v>9.8903816038900007E-4</v>
      </c>
    </row>
    <row r="93" spans="2:5" ht="14.5" customHeight="1">
      <c r="B93" s="83"/>
      <c r="C93" s="64" t="s">
        <v>202</v>
      </c>
      <c r="D93" s="65">
        <v>11</v>
      </c>
      <c r="E93" s="66">
        <v>3.0220610456299998E-4</v>
      </c>
    </row>
    <row r="94" spans="2:5" ht="14.5" customHeight="1">
      <c r="B94" s="83"/>
      <c r="C94" s="64" t="s">
        <v>204</v>
      </c>
      <c r="D94" s="65">
        <v>62</v>
      </c>
      <c r="E94" s="66">
        <v>1.7033434984480001E-3</v>
      </c>
    </row>
    <row r="95" spans="2:5" ht="14.5" customHeight="1">
      <c r="B95" s="83"/>
      <c r="C95" s="64" t="s">
        <v>205</v>
      </c>
      <c r="D95" s="65">
        <v>60</v>
      </c>
      <c r="E95" s="66">
        <v>1.6483969339819999E-3</v>
      </c>
    </row>
    <row r="96" spans="2:5" ht="14.5" customHeight="1">
      <c r="B96" s="83"/>
      <c r="C96" s="64" t="s">
        <v>206</v>
      </c>
      <c r="D96" s="65">
        <v>27</v>
      </c>
      <c r="E96" s="66">
        <v>7.4177862029199996E-4</v>
      </c>
    </row>
    <row r="97" spans="2:5" ht="14.5" customHeight="1">
      <c r="B97" s="83"/>
      <c r="C97" s="64" t="s">
        <v>207</v>
      </c>
      <c r="D97" s="65">
        <v>43</v>
      </c>
      <c r="E97" s="66">
        <v>1.1813511360199999E-3</v>
      </c>
    </row>
    <row r="98" spans="2:5" ht="14.5" customHeight="1">
      <c r="B98" s="83"/>
      <c r="C98" s="64" t="s">
        <v>208</v>
      </c>
      <c r="D98" s="65">
        <v>5</v>
      </c>
      <c r="E98" s="66">
        <v>1.3736641116500001E-4</v>
      </c>
    </row>
    <row r="99" spans="2:5" ht="14.5" customHeight="1">
      <c r="B99" s="83"/>
      <c r="C99" s="64" t="s">
        <v>209</v>
      </c>
      <c r="D99" s="65">
        <v>39</v>
      </c>
      <c r="E99" s="66">
        <v>1.0714580070880001E-3</v>
      </c>
    </row>
    <row r="100" spans="2:5" ht="14.5" customHeight="1">
      <c r="B100" s="83"/>
      <c r="C100" s="64" t="s">
        <v>210</v>
      </c>
      <c r="D100" s="65">
        <v>1</v>
      </c>
      <c r="E100" s="66">
        <v>2.7473282233000001E-5</v>
      </c>
    </row>
    <row r="101" spans="2:5" ht="14.5" customHeight="1">
      <c r="B101" s="83"/>
      <c r="C101" s="64" t="s">
        <v>211</v>
      </c>
      <c r="D101" s="65">
        <v>18</v>
      </c>
      <c r="E101" s="66">
        <v>4.9451908019499996E-4</v>
      </c>
    </row>
    <row r="102" spans="2:5" ht="14.5" customHeight="1">
      <c r="B102" s="83"/>
      <c r="C102" s="64" t="s">
        <v>212</v>
      </c>
      <c r="D102" s="65">
        <v>8</v>
      </c>
      <c r="E102" s="66">
        <v>2.1978625786400001E-4</v>
      </c>
    </row>
    <row r="103" spans="2:5" ht="14.5" customHeight="1">
      <c r="B103" s="83"/>
      <c r="C103" s="64" t="s">
        <v>213</v>
      </c>
      <c r="D103" s="65">
        <v>32</v>
      </c>
      <c r="E103" s="66">
        <v>8.79145031457E-4</v>
      </c>
    </row>
    <row r="104" spans="2:5" ht="14.5" customHeight="1">
      <c r="B104" s="83"/>
      <c r="C104" s="64" t="s">
        <v>214</v>
      </c>
      <c r="D104" s="65">
        <v>7</v>
      </c>
      <c r="E104" s="66">
        <v>1.9231297563099999E-4</v>
      </c>
    </row>
    <row r="105" spans="2:5" ht="14.5" customHeight="1">
      <c r="B105" s="83"/>
      <c r="C105" s="64" t="s">
        <v>215</v>
      </c>
      <c r="D105" s="65">
        <v>45</v>
      </c>
      <c r="E105" s="66">
        <v>1.2362977004860001E-3</v>
      </c>
    </row>
    <row r="106" spans="2:5" ht="14.5" customHeight="1">
      <c r="B106" s="82"/>
      <c r="C106" s="36" t="s">
        <v>29</v>
      </c>
      <c r="D106" s="35">
        <v>436</v>
      </c>
      <c r="E106" s="34">
        <v>1.1978351053599999E-2</v>
      </c>
    </row>
    <row r="107" spans="2:5" ht="14.5" customHeight="1">
      <c r="B107" s="77" t="s">
        <v>109</v>
      </c>
      <c r="C107" s="64" t="s">
        <v>200</v>
      </c>
      <c r="D107" s="65">
        <v>6</v>
      </c>
      <c r="E107" s="66">
        <v>1.64839693398E-4</v>
      </c>
    </row>
    <row r="108" spans="2:5" ht="14.5" customHeight="1">
      <c r="B108" s="83"/>
      <c r="C108" s="64" t="s">
        <v>201</v>
      </c>
      <c r="D108" s="65">
        <v>8</v>
      </c>
      <c r="E108" s="66">
        <v>2.1978625786400001E-4</v>
      </c>
    </row>
    <row r="109" spans="2:5" ht="14.5" customHeight="1">
      <c r="B109" s="83"/>
      <c r="C109" s="64" t="s">
        <v>202</v>
      </c>
      <c r="D109" s="65">
        <v>4</v>
      </c>
      <c r="E109" s="66">
        <v>1.09893128932E-4</v>
      </c>
    </row>
    <row r="110" spans="2:5" ht="14.5" customHeight="1">
      <c r="B110" s="83"/>
      <c r="C110" s="64" t="s">
        <v>203</v>
      </c>
      <c r="D110" s="65">
        <v>2</v>
      </c>
      <c r="E110" s="66">
        <v>5.4946564466000002E-5</v>
      </c>
    </row>
    <row r="111" spans="2:5" ht="14.5" customHeight="1">
      <c r="B111" s="83"/>
      <c r="C111" s="64" t="s">
        <v>204</v>
      </c>
      <c r="D111" s="65">
        <v>12</v>
      </c>
      <c r="E111" s="66">
        <v>3.29679386796E-4</v>
      </c>
    </row>
    <row r="112" spans="2:5" ht="14.5" customHeight="1">
      <c r="B112" s="83"/>
      <c r="C112" s="64" t="s">
        <v>205</v>
      </c>
      <c r="D112" s="65">
        <v>11</v>
      </c>
      <c r="E112" s="66">
        <v>3.0220610456299998E-4</v>
      </c>
    </row>
    <row r="113" spans="2:5" ht="14.5" customHeight="1">
      <c r="B113" s="83"/>
      <c r="C113" s="64" t="s">
        <v>206</v>
      </c>
      <c r="D113" s="65">
        <v>7</v>
      </c>
      <c r="E113" s="66">
        <v>1.9231297563099999E-4</v>
      </c>
    </row>
    <row r="114" spans="2:5" ht="14.5" customHeight="1">
      <c r="B114" s="83"/>
      <c r="C114" s="64" t="s">
        <v>207</v>
      </c>
      <c r="D114" s="65">
        <v>8</v>
      </c>
      <c r="E114" s="66">
        <v>2.1978625786400001E-4</v>
      </c>
    </row>
    <row r="115" spans="2:5" ht="14.5" customHeight="1">
      <c r="B115" s="83"/>
      <c r="C115" s="64" t="s">
        <v>209</v>
      </c>
      <c r="D115" s="65">
        <v>8</v>
      </c>
      <c r="E115" s="66">
        <v>2.1978625786400001E-4</v>
      </c>
    </row>
    <row r="116" spans="2:5" ht="14.5" customHeight="1">
      <c r="B116" s="83"/>
      <c r="C116" s="64" t="s">
        <v>211</v>
      </c>
      <c r="D116" s="65">
        <v>1</v>
      </c>
      <c r="E116" s="66">
        <v>2.7473282233000001E-5</v>
      </c>
    </row>
    <row r="117" spans="2:5" ht="14.5" customHeight="1">
      <c r="B117" s="83"/>
      <c r="C117" s="64" t="s">
        <v>213</v>
      </c>
      <c r="D117" s="65">
        <v>8</v>
      </c>
      <c r="E117" s="66">
        <v>2.1978625786400001E-4</v>
      </c>
    </row>
    <row r="118" spans="2:5" ht="14.5" customHeight="1">
      <c r="B118" s="83"/>
      <c r="C118" s="64" t="s">
        <v>214</v>
      </c>
      <c r="D118" s="65">
        <v>1</v>
      </c>
      <c r="E118" s="66">
        <v>2.7473282233000001E-5</v>
      </c>
    </row>
    <row r="119" spans="2:5" ht="14.5" customHeight="1">
      <c r="B119" s="83"/>
      <c r="C119" s="64" t="s">
        <v>215</v>
      </c>
      <c r="D119" s="65">
        <v>4</v>
      </c>
      <c r="E119" s="66">
        <v>1.09893128932E-4</v>
      </c>
    </row>
    <row r="120" spans="2:5" ht="14.5" customHeight="1">
      <c r="B120" s="82"/>
      <c r="C120" s="36" t="s">
        <v>29</v>
      </c>
      <c r="D120" s="35">
        <v>80</v>
      </c>
      <c r="E120" s="34">
        <v>2.1978625786419998E-3</v>
      </c>
    </row>
    <row r="121" spans="2:5" ht="14.5" customHeight="1">
      <c r="B121" s="77" t="s">
        <v>110</v>
      </c>
      <c r="C121" s="64" t="s">
        <v>200</v>
      </c>
      <c r="D121" s="65">
        <v>5</v>
      </c>
      <c r="E121" s="66">
        <v>1.3736641116500001E-4</v>
      </c>
    </row>
    <row r="122" spans="2:5" ht="14.5" customHeight="1">
      <c r="B122" s="83"/>
      <c r="C122" s="64" t="s">
        <v>201</v>
      </c>
      <c r="D122" s="65">
        <v>5</v>
      </c>
      <c r="E122" s="66">
        <v>1.3736641116500001E-4</v>
      </c>
    </row>
    <row r="123" spans="2:5" ht="14.5" customHeight="1">
      <c r="B123" s="83"/>
      <c r="C123" s="64" t="s">
        <v>202</v>
      </c>
      <c r="D123" s="65">
        <v>3</v>
      </c>
      <c r="E123" s="66">
        <v>8.2419846699E-5</v>
      </c>
    </row>
    <row r="124" spans="2:5" ht="14.5" customHeight="1">
      <c r="B124" s="83"/>
      <c r="C124" s="64" t="s">
        <v>204</v>
      </c>
      <c r="D124" s="65">
        <v>11</v>
      </c>
      <c r="E124" s="66">
        <v>3.0220610456299998E-4</v>
      </c>
    </row>
    <row r="125" spans="2:5" ht="14.5" customHeight="1">
      <c r="B125" s="83"/>
      <c r="C125" s="64" t="s">
        <v>205</v>
      </c>
      <c r="D125" s="65">
        <v>5</v>
      </c>
      <c r="E125" s="66">
        <v>1.3736641116500001E-4</v>
      </c>
    </row>
    <row r="126" spans="2:5" ht="14.5" customHeight="1">
      <c r="B126" s="83"/>
      <c r="C126" s="64" t="s">
        <v>206</v>
      </c>
      <c r="D126" s="65">
        <v>8</v>
      </c>
      <c r="E126" s="66">
        <v>2.1978625786400001E-4</v>
      </c>
    </row>
    <row r="127" spans="2:5" ht="14.5" customHeight="1">
      <c r="B127" s="83"/>
      <c r="C127" s="64" t="s">
        <v>207</v>
      </c>
      <c r="D127" s="65">
        <v>5</v>
      </c>
      <c r="E127" s="66">
        <v>1.3736641116500001E-4</v>
      </c>
    </row>
    <row r="128" spans="2:5" ht="14.5" customHeight="1">
      <c r="B128" s="83"/>
      <c r="C128" s="64" t="s">
        <v>209</v>
      </c>
      <c r="D128" s="65">
        <v>7</v>
      </c>
      <c r="E128" s="66">
        <v>1.9231297563099999E-4</v>
      </c>
    </row>
    <row r="129" spans="2:5" ht="14.5" customHeight="1">
      <c r="B129" s="83"/>
      <c r="C129" s="64" t="s">
        <v>210</v>
      </c>
      <c r="D129" s="65">
        <v>2</v>
      </c>
      <c r="E129" s="66">
        <v>5.4946564466000002E-5</v>
      </c>
    </row>
    <row r="130" spans="2:5" ht="14.5" customHeight="1">
      <c r="B130" s="83"/>
      <c r="C130" s="64" t="s">
        <v>211</v>
      </c>
      <c r="D130" s="65">
        <v>1</v>
      </c>
      <c r="E130" s="66">
        <v>2.7473282233000001E-5</v>
      </c>
    </row>
    <row r="131" spans="2:5" ht="14.5" customHeight="1">
      <c r="B131" s="83"/>
      <c r="C131" s="64" t="s">
        <v>212</v>
      </c>
      <c r="D131" s="65">
        <v>2</v>
      </c>
      <c r="E131" s="66">
        <v>5.4946564466000002E-5</v>
      </c>
    </row>
    <row r="132" spans="2:5" ht="14.5" customHeight="1">
      <c r="B132" s="83"/>
      <c r="C132" s="64" t="s">
        <v>213</v>
      </c>
      <c r="D132" s="65">
        <v>3</v>
      </c>
      <c r="E132" s="66">
        <v>8.2419846699E-5</v>
      </c>
    </row>
    <row r="133" spans="2:5" ht="14.5" customHeight="1">
      <c r="B133" s="83"/>
      <c r="C133" s="64" t="s">
        <v>214</v>
      </c>
      <c r="D133" s="65">
        <v>1</v>
      </c>
      <c r="E133" s="66">
        <v>2.7473282233000001E-5</v>
      </c>
    </row>
    <row r="134" spans="2:5" ht="14.5" customHeight="1">
      <c r="B134" s="83"/>
      <c r="C134" s="64" t="s">
        <v>215</v>
      </c>
      <c r="D134" s="65">
        <v>9</v>
      </c>
      <c r="E134" s="66">
        <v>2.47259540097E-4</v>
      </c>
    </row>
    <row r="135" spans="2:5" ht="14.5" customHeight="1">
      <c r="B135" s="82"/>
      <c r="C135" s="36" t="s">
        <v>29</v>
      </c>
      <c r="D135" s="35">
        <v>67</v>
      </c>
      <c r="E135" s="34">
        <v>1.840709909613E-3</v>
      </c>
    </row>
    <row r="136" spans="2:5" ht="14.5" customHeight="1">
      <c r="B136" s="77" t="s">
        <v>111</v>
      </c>
      <c r="C136" s="64" t="s">
        <v>201</v>
      </c>
      <c r="D136" s="65">
        <v>1</v>
      </c>
      <c r="E136" s="66">
        <v>2.7473282233000001E-5</v>
      </c>
    </row>
    <row r="137" spans="2:5" ht="14.5" customHeight="1">
      <c r="B137" s="83"/>
      <c r="C137" s="64" t="s">
        <v>204</v>
      </c>
      <c r="D137" s="65">
        <v>6</v>
      </c>
      <c r="E137" s="66">
        <v>1.64839693398E-4</v>
      </c>
    </row>
    <row r="138" spans="2:5" ht="14.5" customHeight="1">
      <c r="B138" s="83"/>
      <c r="C138" s="64" t="s">
        <v>205</v>
      </c>
      <c r="D138" s="65">
        <v>1</v>
      </c>
      <c r="E138" s="66">
        <v>2.7473282233000001E-5</v>
      </c>
    </row>
    <row r="139" spans="2:5" ht="14.5" customHeight="1">
      <c r="B139" s="83"/>
      <c r="C139" s="64" t="s">
        <v>207</v>
      </c>
      <c r="D139" s="65">
        <v>3</v>
      </c>
      <c r="E139" s="66">
        <v>8.2419846699E-5</v>
      </c>
    </row>
    <row r="140" spans="2:5" ht="14.5" customHeight="1">
      <c r="B140" s="83"/>
      <c r="C140" s="64" t="s">
        <v>208</v>
      </c>
      <c r="D140" s="65">
        <v>1</v>
      </c>
      <c r="E140" s="66">
        <v>2.7473282233000001E-5</v>
      </c>
    </row>
    <row r="141" spans="2:5" ht="14.5" customHeight="1">
      <c r="B141" s="83"/>
      <c r="C141" s="64" t="s">
        <v>209</v>
      </c>
      <c r="D141" s="65">
        <v>5</v>
      </c>
      <c r="E141" s="66">
        <v>1.3736641116500001E-4</v>
      </c>
    </row>
    <row r="142" spans="2:5" ht="14.5" customHeight="1">
      <c r="B142" s="83"/>
      <c r="C142" s="64" t="s">
        <v>216</v>
      </c>
      <c r="D142" s="65">
        <v>2</v>
      </c>
      <c r="E142" s="66">
        <v>5.4946564466000002E-5</v>
      </c>
    </row>
    <row r="143" spans="2:5" ht="14.5" customHeight="1">
      <c r="B143" s="83"/>
      <c r="C143" s="64" t="s">
        <v>213</v>
      </c>
      <c r="D143" s="65">
        <v>1</v>
      </c>
      <c r="E143" s="66">
        <v>2.7473282233000001E-5</v>
      </c>
    </row>
    <row r="144" spans="2:5" ht="14.5" customHeight="1">
      <c r="B144" s="83"/>
      <c r="C144" s="64" t="s">
        <v>215</v>
      </c>
      <c r="D144" s="65">
        <v>2</v>
      </c>
      <c r="E144" s="66">
        <v>5.4946564466000002E-5</v>
      </c>
    </row>
    <row r="145" spans="2:5" ht="14.5" customHeight="1">
      <c r="B145" s="82"/>
      <c r="C145" s="36" t="s">
        <v>29</v>
      </c>
      <c r="D145" s="35">
        <v>22</v>
      </c>
      <c r="E145" s="34">
        <v>6.0441220912700003E-4</v>
      </c>
    </row>
    <row r="146" spans="2:5" ht="14.5" customHeight="1">
      <c r="B146" s="77" t="s">
        <v>112</v>
      </c>
      <c r="C146" s="64" t="s">
        <v>200</v>
      </c>
      <c r="D146" s="65">
        <v>64</v>
      </c>
      <c r="E146" s="66">
        <v>1.758290062914E-3</v>
      </c>
    </row>
    <row r="147" spans="2:5" ht="14.5" customHeight="1">
      <c r="B147" s="83"/>
      <c r="C147" s="64" t="s">
        <v>201</v>
      </c>
      <c r="D147" s="65">
        <v>94</v>
      </c>
      <c r="E147" s="66">
        <v>2.5824885299050001E-3</v>
      </c>
    </row>
    <row r="148" spans="2:5" ht="14.5" customHeight="1">
      <c r="B148" s="83"/>
      <c r="C148" s="64" t="s">
        <v>202</v>
      </c>
      <c r="D148" s="65">
        <v>56</v>
      </c>
      <c r="E148" s="66">
        <v>1.5385038050500001E-3</v>
      </c>
    </row>
    <row r="149" spans="2:5" ht="14.5" customHeight="1">
      <c r="B149" s="83"/>
      <c r="C149" s="64" t="s">
        <v>203</v>
      </c>
      <c r="D149" s="65">
        <v>5</v>
      </c>
      <c r="E149" s="66">
        <v>1.3736641116500001E-4</v>
      </c>
    </row>
    <row r="150" spans="2:5" ht="14.5" customHeight="1">
      <c r="B150" s="83"/>
      <c r="C150" s="64" t="s">
        <v>204</v>
      </c>
      <c r="D150" s="65">
        <v>119</v>
      </c>
      <c r="E150" s="66">
        <v>3.2693205857300001E-3</v>
      </c>
    </row>
    <row r="151" spans="2:5" ht="14.5" customHeight="1">
      <c r="B151" s="83"/>
      <c r="C151" s="64" t="s">
        <v>205</v>
      </c>
      <c r="D151" s="65">
        <v>183</v>
      </c>
      <c r="E151" s="66">
        <v>5.0276106486439997E-3</v>
      </c>
    </row>
    <row r="152" spans="2:5" ht="14.5" customHeight="1">
      <c r="B152" s="83"/>
      <c r="C152" s="64" t="s">
        <v>206</v>
      </c>
      <c r="D152" s="65">
        <v>64</v>
      </c>
      <c r="E152" s="66">
        <v>1.758290062914E-3</v>
      </c>
    </row>
    <row r="153" spans="2:5" ht="14.5" customHeight="1">
      <c r="B153" s="83"/>
      <c r="C153" s="64" t="s">
        <v>207</v>
      </c>
      <c r="D153" s="65">
        <v>93</v>
      </c>
      <c r="E153" s="66">
        <v>2.555015247672E-3</v>
      </c>
    </row>
    <row r="154" spans="2:5" ht="14.5" customHeight="1">
      <c r="B154" s="83"/>
      <c r="C154" s="64" t="s">
        <v>208</v>
      </c>
      <c r="D154" s="65">
        <v>16</v>
      </c>
      <c r="E154" s="66">
        <v>4.3957251572800002E-4</v>
      </c>
    </row>
    <row r="155" spans="2:5" ht="14.5" customHeight="1">
      <c r="B155" s="83"/>
      <c r="C155" s="64" t="s">
        <v>209</v>
      </c>
      <c r="D155" s="65">
        <v>86</v>
      </c>
      <c r="E155" s="66">
        <v>2.3627022720399998E-3</v>
      </c>
    </row>
    <row r="156" spans="2:5" ht="14.5" customHeight="1">
      <c r="B156" s="83"/>
      <c r="C156" s="64" t="s">
        <v>210</v>
      </c>
      <c r="D156" s="65">
        <v>10</v>
      </c>
      <c r="E156" s="66">
        <v>2.7473282233000002E-4</v>
      </c>
    </row>
    <row r="157" spans="2:5" ht="14.5" customHeight="1">
      <c r="B157" s="83"/>
      <c r="C157" s="64" t="s">
        <v>222</v>
      </c>
      <c r="D157" s="65">
        <v>1</v>
      </c>
      <c r="E157" s="66">
        <v>2.7473282233000001E-5</v>
      </c>
    </row>
    <row r="158" spans="2:5" ht="14.5" customHeight="1">
      <c r="B158" s="83"/>
      <c r="C158" s="64" t="s">
        <v>216</v>
      </c>
      <c r="D158" s="65">
        <v>6</v>
      </c>
      <c r="E158" s="66">
        <v>1.64839693398E-4</v>
      </c>
    </row>
    <row r="159" spans="2:5" ht="14.5" customHeight="1">
      <c r="B159" s="83"/>
      <c r="C159" s="64" t="s">
        <v>211</v>
      </c>
      <c r="D159" s="65">
        <v>33</v>
      </c>
      <c r="E159" s="66">
        <v>9.0661831368999996E-4</v>
      </c>
    </row>
    <row r="160" spans="2:5" ht="14.5" customHeight="1">
      <c r="B160" s="83"/>
      <c r="C160" s="64" t="s">
        <v>212</v>
      </c>
      <c r="D160" s="65">
        <v>10</v>
      </c>
      <c r="E160" s="66">
        <v>2.7473282233000002E-4</v>
      </c>
    </row>
    <row r="161" spans="2:5" ht="14.5" customHeight="1">
      <c r="B161" s="83"/>
      <c r="C161" s="64" t="s">
        <v>213</v>
      </c>
      <c r="D161" s="65">
        <v>64</v>
      </c>
      <c r="E161" s="66">
        <v>1.758290062914E-3</v>
      </c>
    </row>
    <row r="162" spans="2:5" ht="14.5" customHeight="1">
      <c r="B162" s="83"/>
      <c r="C162" s="64" t="s">
        <v>214</v>
      </c>
      <c r="D162" s="65">
        <v>5</v>
      </c>
      <c r="E162" s="66">
        <v>1.3736641116500001E-4</v>
      </c>
    </row>
    <row r="163" spans="2:5" ht="14.5" customHeight="1">
      <c r="B163" s="83"/>
      <c r="C163" s="64" t="s">
        <v>215</v>
      </c>
      <c r="D163" s="65">
        <v>114</v>
      </c>
      <c r="E163" s="66">
        <v>3.1319541745650002E-3</v>
      </c>
    </row>
    <row r="164" spans="2:5" ht="14.5" customHeight="1">
      <c r="B164" s="82"/>
      <c r="C164" s="36" t="s">
        <v>29</v>
      </c>
      <c r="D164" s="35">
        <v>1023</v>
      </c>
      <c r="E164" s="34">
        <v>2.8105167724388001E-2</v>
      </c>
    </row>
    <row r="165" spans="2:5" ht="14.5" customHeight="1">
      <c r="B165" s="77" t="s">
        <v>113</v>
      </c>
      <c r="C165" s="64" t="s">
        <v>200</v>
      </c>
      <c r="D165" s="65">
        <v>44</v>
      </c>
      <c r="E165" s="66">
        <v>1.208824418253E-3</v>
      </c>
    </row>
    <row r="166" spans="2:5" ht="14.5" customHeight="1">
      <c r="B166" s="83"/>
      <c r="C166" s="64" t="s">
        <v>201</v>
      </c>
      <c r="D166" s="65">
        <v>75</v>
      </c>
      <c r="E166" s="66">
        <v>2.0604961674769999E-3</v>
      </c>
    </row>
    <row r="167" spans="2:5" ht="14.5" customHeight="1">
      <c r="B167" s="83"/>
      <c r="C167" s="64" t="s">
        <v>202</v>
      </c>
      <c r="D167" s="65">
        <v>33</v>
      </c>
      <c r="E167" s="66">
        <v>9.0661831368999996E-4</v>
      </c>
    </row>
    <row r="168" spans="2:5" ht="14.5" customHeight="1">
      <c r="B168" s="83"/>
      <c r="C168" s="64" t="s">
        <v>203</v>
      </c>
      <c r="D168" s="65">
        <v>3</v>
      </c>
      <c r="E168" s="66">
        <v>8.2419846699E-5</v>
      </c>
    </row>
    <row r="169" spans="2:5" ht="14.5" customHeight="1">
      <c r="B169" s="83"/>
      <c r="C169" s="64" t="s">
        <v>204</v>
      </c>
      <c r="D169" s="65">
        <v>132</v>
      </c>
      <c r="E169" s="66">
        <v>3.6264732547599998E-3</v>
      </c>
    </row>
    <row r="170" spans="2:5" ht="14.5" customHeight="1">
      <c r="B170" s="83"/>
      <c r="C170" s="64" t="s">
        <v>205</v>
      </c>
      <c r="D170" s="65">
        <v>186</v>
      </c>
      <c r="E170" s="66">
        <v>5.1100304953429999E-3</v>
      </c>
    </row>
    <row r="171" spans="2:5" ht="14.5" customHeight="1">
      <c r="B171" s="83"/>
      <c r="C171" s="64" t="s">
        <v>206</v>
      </c>
      <c r="D171" s="65">
        <v>57</v>
      </c>
      <c r="E171" s="66">
        <v>1.5659770872829999E-3</v>
      </c>
    </row>
    <row r="172" spans="2:5" ht="14.5" customHeight="1">
      <c r="B172" s="83"/>
      <c r="C172" s="64" t="s">
        <v>207</v>
      </c>
      <c r="D172" s="65">
        <v>83</v>
      </c>
      <c r="E172" s="66">
        <v>2.2802824253410001E-3</v>
      </c>
    </row>
    <row r="173" spans="2:5" ht="14.5" customHeight="1">
      <c r="B173" s="83"/>
      <c r="C173" s="64" t="s">
        <v>208</v>
      </c>
      <c r="D173" s="65">
        <v>12</v>
      </c>
      <c r="E173" s="66">
        <v>3.29679386796E-4</v>
      </c>
    </row>
    <row r="174" spans="2:5" ht="14.5" customHeight="1">
      <c r="B174" s="83"/>
      <c r="C174" s="64" t="s">
        <v>209</v>
      </c>
      <c r="D174" s="65">
        <v>90</v>
      </c>
      <c r="E174" s="66">
        <v>2.4725954009730002E-3</v>
      </c>
    </row>
    <row r="175" spans="2:5" ht="14.5" customHeight="1">
      <c r="B175" s="83"/>
      <c r="C175" s="64" t="s">
        <v>210</v>
      </c>
      <c r="D175" s="65">
        <v>8</v>
      </c>
      <c r="E175" s="66">
        <v>2.1978625786400001E-4</v>
      </c>
    </row>
    <row r="176" spans="2:5" ht="14.5" customHeight="1">
      <c r="B176" s="83"/>
      <c r="C176" s="64" t="s">
        <v>216</v>
      </c>
      <c r="D176" s="65">
        <v>1</v>
      </c>
      <c r="E176" s="66">
        <v>2.7473282233000001E-5</v>
      </c>
    </row>
    <row r="177" spans="2:5" ht="14.5" customHeight="1">
      <c r="B177" s="83"/>
      <c r="C177" s="64" t="s">
        <v>211</v>
      </c>
      <c r="D177" s="65">
        <v>26</v>
      </c>
      <c r="E177" s="66">
        <v>7.14305338059E-4</v>
      </c>
    </row>
    <row r="178" spans="2:5" ht="14.5" customHeight="1">
      <c r="B178" s="83"/>
      <c r="C178" s="64" t="s">
        <v>212</v>
      </c>
      <c r="D178" s="65">
        <v>18</v>
      </c>
      <c r="E178" s="66">
        <v>4.9451908019499996E-4</v>
      </c>
    </row>
    <row r="179" spans="2:5" ht="14.5" customHeight="1">
      <c r="B179" s="83"/>
      <c r="C179" s="64" t="s">
        <v>213</v>
      </c>
      <c r="D179" s="65">
        <v>61</v>
      </c>
      <c r="E179" s="66">
        <v>1.675870216215E-3</v>
      </c>
    </row>
    <row r="180" spans="2:5" ht="14.5" customHeight="1">
      <c r="B180" s="83"/>
      <c r="C180" s="64" t="s">
        <v>214</v>
      </c>
      <c r="D180" s="65">
        <v>7</v>
      </c>
      <c r="E180" s="66">
        <v>1.9231297563099999E-4</v>
      </c>
    </row>
    <row r="181" spans="2:5" ht="14.5" customHeight="1">
      <c r="B181" s="83"/>
      <c r="C181" s="64" t="s">
        <v>215</v>
      </c>
      <c r="D181" s="65">
        <v>77</v>
      </c>
      <c r="E181" s="66">
        <v>2.1154427319430001E-3</v>
      </c>
    </row>
    <row r="182" spans="2:5" ht="14.5" customHeight="1">
      <c r="B182" s="82"/>
      <c r="C182" s="36" t="s">
        <v>29</v>
      </c>
      <c r="D182" s="35">
        <v>913</v>
      </c>
      <c r="E182" s="34">
        <v>2.5083106678755001E-2</v>
      </c>
    </row>
    <row r="183" spans="2:5" ht="14.5" customHeight="1">
      <c r="B183" s="77" t="s">
        <v>114</v>
      </c>
      <c r="C183" s="64" t="s">
        <v>200</v>
      </c>
      <c r="D183" s="65">
        <v>3</v>
      </c>
      <c r="E183" s="66">
        <v>8.2419846699E-5</v>
      </c>
    </row>
    <row r="184" spans="2:5" ht="14.5" customHeight="1">
      <c r="B184" s="83"/>
      <c r="C184" s="64" t="s">
        <v>201</v>
      </c>
      <c r="D184" s="65">
        <v>1</v>
      </c>
      <c r="E184" s="66">
        <v>2.7473282233000001E-5</v>
      </c>
    </row>
    <row r="185" spans="2:5" ht="14.5" customHeight="1">
      <c r="B185" s="83"/>
      <c r="C185" s="64" t="s">
        <v>202</v>
      </c>
      <c r="D185" s="65">
        <v>2</v>
      </c>
      <c r="E185" s="66">
        <v>5.4946564466000002E-5</v>
      </c>
    </row>
    <row r="186" spans="2:5" ht="14.5" customHeight="1">
      <c r="B186" s="83"/>
      <c r="C186" s="64" t="s">
        <v>204</v>
      </c>
      <c r="D186" s="65">
        <v>2</v>
      </c>
      <c r="E186" s="66">
        <v>5.4946564466000002E-5</v>
      </c>
    </row>
    <row r="187" spans="2:5" ht="14.5" customHeight="1">
      <c r="B187" s="83"/>
      <c r="C187" s="64" t="s">
        <v>205</v>
      </c>
      <c r="D187" s="65">
        <v>17</v>
      </c>
      <c r="E187" s="66">
        <v>4.6704579796099998E-4</v>
      </c>
    </row>
    <row r="188" spans="2:5" ht="14.5" customHeight="1">
      <c r="B188" s="83"/>
      <c r="C188" s="64" t="s">
        <v>206</v>
      </c>
      <c r="D188" s="65">
        <v>1</v>
      </c>
      <c r="E188" s="66">
        <v>2.7473282233000001E-5</v>
      </c>
    </row>
    <row r="189" spans="2:5" ht="14.5" customHeight="1">
      <c r="B189" s="83"/>
      <c r="C189" s="64" t="s">
        <v>207</v>
      </c>
      <c r="D189" s="65">
        <v>3</v>
      </c>
      <c r="E189" s="66">
        <v>8.2419846699E-5</v>
      </c>
    </row>
    <row r="190" spans="2:5" ht="14.5" customHeight="1">
      <c r="B190" s="83"/>
      <c r="C190" s="64" t="s">
        <v>209</v>
      </c>
      <c r="D190" s="65">
        <v>2</v>
      </c>
      <c r="E190" s="66">
        <v>5.4946564466000002E-5</v>
      </c>
    </row>
    <row r="191" spans="2:5" ht="14.5" customHeight="1">
      <c r="B191" s="83"/>
      <c r="C191" s="64" t="s">
        <v>216</v>
      </c>
      <c r="D191" s="65">
        <v>2</v>
      </c>
      <c r="E191" s="66">
        <v>5.4946564466000002E-5</v>
      </c>
    </row>
    <row r="192" spans="2:5" ht="14.5" customHeight="1">
      <c r="B192" s="83"/>
      <c r="C192" s="64" t="s">
        <v>213</v>
      </c>
      <c r="D192" s="65">
        <v>2</v>
      </c>
      <c r="E192" s="66">
        <v>5.4946564466000002E-5</v>
      </c>
    </row>
    <row r="193" spans="2:5" ht="14.5" customHeight="1">
      <c r="B193" s="83"/>
      <c r="C193" s="64" t="s">
        <v>215</v>
      </c>
      <c r="D193" s="65">
        <v>1</v>
      </c>
      <c r="E193" s="66">
        <v>2.7473282233000001E-5</v>
      </c>
    </row>
    <row r="194" spans="2:5" ht="14.5" customHeight="1">
      <c r="B194" s="82"/>
      <c r="C194" s="36" t="s">
        <v>29</v>
      </c>
      <c r="D194" s="35">
        <v>36</v>
      </c>
      <c r="E194" s="34">
        <v>9.8903816038900007E-4</v>
      </c>
    </row>
    <row r="195" spans="2:5" ht="14.5" customHeight="1">
      <c r="B195" s="77" t="s">
        <v>115</v>
      </c>
      <c r="C195" s="64" t="s">
        <v>200</v>
      </c>
      <c r="D195" s="65">
        <v>10</v>
      </c>
      <c r="E195" s="66">
        <v>2.7473282233000002E-4</v>
      </c>
    </row>
    <row r="196" spans="2:5" ht="14.5" customHeight="1">
      <c r="B196" s="83"/>
      <c r="C196" s="64" t="s">
        <v>201</v>
      </c>
      <c r="D196" s="65">
        <v>11</v>
      </c>
      <c r="E196" s="66">
        <v>3.0220610456299998E-4</v>
      </c>
    </row>
    <row r="197" spans="2:5" ht="14.5" customHeight="1">
      <c r="B197" s="83"/>
      <c r="C197" s="64" t="s">
        <v>202</v>
      </c>
      <c r="D197" s="65">
        <v>5</v>
      </c>
      <c r="E197" s="66">
        <v>1.3736641116500001E-4</v>
      </c>
    </row>
    <row r="198" spans="2:5" ht="14.5" customHeight="1">
      <c r="B198" s="83"/>
      <c r="C198" s="64" t="s">
        <v>203</v>
      </c>
      <c r="D198" s="65">
        <v>2</v>
      </c>
      <c r="E198" s="66">
        <v>5.4946564466000002E-5</v>
      </c>
    </row>
    <row r="199" spans="2:5" ht="14.5" customHeight="1">
      <c r="B199" s="83"/>
      <c r="C199" s="64" t="s">
        <v>204</v>
      </c>
      <c r="D199" s="65">
        <v>15</v>
      </c>
      <c r="E199" s="66">
        <v>4.12099233495E-4</v>
      </c>
    </row>
    <row r="200" spans="2:5" ht="14.5" customHeight="1">
      <c r="B200" s="83"/>
      <c r="C200" s="64" t="s">
        <v>205</v>
      </c>
      <c r="D200" s="65">
        <v>25</v>
      </c>
      <c r="E200" s="66">
        <v>6.8683205582600003E-4</v>
      </c>
    </row>
    <row r="201" spans="2:5" ht="14.5" customHeight="1">
      <c r="B201" s="83"/>
      <c r="C201" s="64" t="s">
        <v>206</v>
      </c>
      <c r="D201" s="65">
        <v>6</v>
      </c>
      <c r="E201" s="66">
        <v>1.64839693398E-4</v>
      </c>
    </row>
    <row r="202" spans="2:5" ht="14.5" customHeight="1">
      <c r="B202" s="83"/>
      <c r="C202" s="64" t="s">
        <v>207</v>
      </c>
      <c r="D202" s="65">
        <v>8</v>
      </c>
      <c r="E202" s="66">
        <v>2.1978625786400001E-4</v>
      </c>
    </row>
    <row r="203" spans="2:5" ht="14.5" customHeight="1">
      <c r="B203" s="83"/>
      <c r="C203" s="64" t="s">
        <v>208</v>
      </c>
      <c r="D203" s="65">
        <v>2</v>
      </c>
      <c r="E203" s="66">
        <v>5.4946564466000002E-5</v>
      </c>
    </row>
    <row r="204" spans="2:5" ht="14.5" customHeight="1">
      <c r="B204" s="83"/>
      <c r="C204" s="64" t="s">
        <v>209</v>
      </c>
      <c r="D204" s="65">
        <v>13</v>
      </c>
      <c r="E204" s="66">
        <v>3.5715266902900002E-4</v>
      </c>
    </row>
    <row r="205" spans="2:5" ht="14.5" customHeight="1">
      <c r="B205" s="83"/>
      <c r="C205" s="64" t="s">
        <v>211</v>
      </c>
      <c r="D205" s="65">
        <v>2</v>
      </c>
      <c r="E205" s="66">
        <v>5.4946564466000002E-5</v>
      </c>
    </row>
    <row r="206" spans="2:5" ht="14.5" customHeight="1">
      <c r="B206" s="83"/>
      <c r="C206" s="64" t="s">
        <v>212</v>
      </c>
      <c r="D206" s="65">
        <v>1</v>
      </c>
      <c r="E206" s="66">
        <v>2.7473282233000001E-5</v>
      </c>
    </row>
    <row r="207" spans="2:5" ht="14.5" customHeight="1">
      <c r="B207" s="83"/>
      <c r="C207" s="64" t="s">
        <v>213</v>
      </c>
      <c r="D207" s="65">
        <v>11</v>
      </c>
      <c r="E207" s="66">
        <v>3.0220610456299998E-4</v>
      </c>
    </row>
    <row r="208" spans="2:5" ht="14.5" customHeight="1">
      <c r="B208" s="83"/>
      <c r="C208" s="64" t="s">
        <v>215</v>
      </c>
      <c r="D208" s="65">
        <v>14</v>
      </c>
      <c r="E208" s="66">
        <v>3.8462595126199998E-4</v>
      </c>
    </row>
    <row r="209" spans="2:5" ht="14.5" customHeight="1">
      <c r="B209" s="82"/>
      <c r="C209" s="36" t="s">
        <v>29</v>
      </c>
      <c r="D209" s="35">
        <v>125</v>
      </c>
      <c r="E209" s="34">
        <v>3.4341602791290002E-3</v>
      </c>
    </row>
    <row r="210" spans="2:5" ht="14.5" customHeight="1">
      <c r="B210" s="77" t="s">
        <v>116</v>
      </c>
      <c r="C210" s="64" t="s">
        <v>200</v>
      </c>
      <c r="D210" s="65">
        <v>442</v>
      </c>
      <c r="E210" s="66">
        <v>1.2143190746999001E-2</v>
      </c>
    </row>
    <row r="211" spans="2:5" ht="14.5" customHeight="1">
      <c r="B211" s="83"/>
      <c r="C211" s="64" t="s">
        <v>201</v>
      </c>
      <c r="D211" s="65">
        <v>501</v>
      </c>
      <c r="E211" s="66">
        <v>1.3764114398747E-2</v>
      </c>
    </row>
    <row r="212" spans="2:5" ht="14.5" customHeight="1">
      <c r="B212" s="83"/>
      <c r="C212" s="64" t="s">
        <v>202</v>
      </c>
      <c r="D212" s="65">
        <v>230</v>
      </c>
      <c r="E212" s="66">
        <v>6.3188549135969998E-3</v>
      </c>
    </row>
    <row r="213" spans="2:5" ht="14.5" customHeight="1">
      <c r="B213" s="83"/>
      <c r="C213" s="64" t="s">
        <v>203</v>
      </c>
      <c r="D213" s="65">
        <v>32</v>
      </c>
      <c r="E213" s="66">
        <v>8.79145031457E-4</v>
      </c>
    </row>
    <row r="214" spans="2:5" ht="14.5" customHeight="1">
      <c r="B214" s="83"/>
      <c r="C214" s="64" t="s">
        <v>204</v>
      </c>
      <c r="D214" s="65">
        <v>719</v>
      </c>
      <c r="E214" s="66">
        <v>1.9753289925547E-2</v>
      </c>
    </row>
    <row r="215" spans="2:5" ht="14.5" customHeight="1">
      <c r="B215" s="83"/>
      <c r="C215" s="64" t="s">
        <v>205</v>
      </c>
      <c r="D215" s="65">
        <v>912</v>
      </c>
      <c r="E215" s="66">
        <v>2.5055633396522E-2</v>
      </c>
    </row>
    <row r="216" spans="2:5" ht="14.5" customHeight="1">
      <c r="B216" s="83"/>
      <c r="C216" s="64" t="s">
        <v>206</v>
      </c>
      <c r="D216" s="65">
        <v>336</v>
      </c>
      <c r="E216" s="66">
        <v>9.2310228302980007E-3</v>
      </c>
    </row>
    <row r="217" spans="2:5" ht="14.5" customHeight="1">
      <c r="B217" s="83"/>
      <c r="C217" s="64" t="s">
        <v>207</v>
      </c>
      <c r="D217" s="65">
        <v>574</v>
      </c>
      <c r="E217" s="66">
        <v>1.5769664001757999E-2</v>
      </c>
    </row>
    <row r="218" spans="2:5" ht="14.5" customHeight="1">
      <c r="B218" s="83"/>
      <c r="C218" s="64" t="s">
        <v>208</v>
      </c>
      <c r="D218" s="65">
        <v>80</v>
      </c>
      <c r="E218" s="66">
        <v>2.1978625786419998E-3</v>
      </c>
    </row>
    <row r="219" spans="2:5" ht="14.5" customHeight="1">
      <c r="B219" s="83"/>
      <c r="C219" s="64" t="s">
        <v>223</v>
      </c>
      <c r="D219" s="65">
        <v>1</v>
      </c>
      <c r="E219" s="66">
        <v>2.7473282233000001E-5</v>
      </c>
    </row>
    <row r="220" spans="2:5" ht="14.5" customHeight="1">
      <c r="B220" s="83"/>
      <c r="C220" s="64" t="s">
        <v>209</v>
      </c>
      <c r="D220" s="65">
        <v>497</v>
      </c>
      <c r="E220" s="66">
        <v>1.3654221269815E-2</v>
      </c>
    </row>
    <row r="221" spans="2:5" ht="14.5" customHeight="1">
      <c r="B221" s="83"/>
      <c r="C221" s="64" t="s">
        <v>210</v>
      </c>
      <c r="D221" s="65">
        <v>37</v>
      </c>
      <c r="E221" s="66">
        <v>1.0165114426219999E-3</v>
      </c>
    </row>
    <row r="222" spans="2:5" ht="14.5" customHeight="1">
      <c r="B222" s="83"/>
      <c r="C222" s="64" t="s">
        <v>216</v>
      </c>
      <c r="D222" s="65">
        <v>8</v>
      </c>
      <c r="E222" s="66">
        <v>2.1978625786400001E-4</v>
      </c>
    </row>
    <row r="223" spans="2:5" ht="14.5" customHeight="1">
      <c r="B223" s="83"/>
      <c r="C223" s="64" t="s">
        <v>211</v>
      </c>
      <c r="D223" s="65">
        <v>119</v>
      </c>
      <c r="E223" s="66">
        <v>3.2693205857300001E-3</v>
      </c>
    </row>
    <row r="224" spans="2:5" ht="14.5" customHeight="1">
      <c r="B224" s="83"/>
      <c r="C224" s="64" t="s">
        <v>212</v>
      </c>
      <c r="D224" s="65">
        <v>91</v>
      </c>
      <c r="E224" s="66">
        <v>2.5000686832059998E-3</v>
      </c>
    </row>
    <row r="225" spans="2:5" ht="14.5" customHeight="1">
      <c r="B225" s="83"/>
      <c r="C225" s="64" t="s">
        <v>213</v>
      </c>
      <c r="D225" s="65">
        <v>379</v>
      </c>
      <c r="E225" s="66">
        <v>1.0412373966318E-2</v>
      </c>
    </row>
    <row r="226" spans="2:5" ht="14.5" customHeight="1">
      <c r="B226" s="83"/>
      <c r="C226" s="64" t="s">
        <v>214</v>
      </c>
      <c r="D226" s="65">
        <v>52</v>
      </c>
      <c r="E226" s="66">
        <v>1.4286106761169999E-3</v>
      </c>
    </row>
    <row r="227" spans="2:5" ht="14.5" customHeight="1">
      <c r="B227" s="83"/>
      <c r="C227" s="64" t="s">
        <v>215</v>
      </c>
      <c r="D227" s="65">
        <v>431</v>
      </c>
      <c r="E227" s="66">
        <v>1.1840984642435E-2</v>
      </c>
    </row>
    <row r="228" spans="2:5" ht="14.5" customHeight="1">
      <c r="B228" s="82"/>
      <c r="C228" s="36" t="s">
        <v>29</v>
      </c>
      <c r="D228" s="35">
        <v>5441</v>
      </c>
      <c r="E228" s="34">
        <v>0.14948212862990701</v>
      </c>
    </row>
    <row r="229" spans="2:5" ht="14.5" customHeight="1">
      <c r="B229" s="77" t="s">
        <v>117</v>
      </c>
      <c r="C229" s="64" t="s">
        <v>200</v>
      </c>
      <c r="D229" s="65">
        <v>64</v>
      </c>
      <c r="E229" s="66">
        <v>1.758290062914E-3</v>
      </c>
    </row>
    <row r="230" spans="2:5" ht="14.5" customHeight="1">
      <c r="B230" s="83"/>
      <c r="C230" s="64" t="s">
        <v>201</v>
      </c>
      <c r="D230" s="65">
        <v>69</v>
      </c>
      <c r="E230" s="66">
        <v>1.8956564740789999E-3</v>
      </c>
    </row>
    <row r="231" spans="2:5" ht="14.5" customHeight="1">
      <c r="B231" s="83"/>
      <c r="C231" s="64" t="s">
        <v>202</v>
      </c>
      <c r="D231" s="65">
        <v>34</v>
      </c>
      <c r="E231" s="66">
        <v>9.3409159592300003E-4</v>
      </c>
    </row>
    <row r="232" spans="2:5" ht="14.5" customHeight="1">
      <c r="B232" s="83"/>
      <c r="C232" s="64" t="s">
        <v>203</v>
      </c>
      <c r="D232" s="65">
        <v>4</v>
      </c>
      <c r="E232" s="66">
        <v>1.09893128932E-4</v>
      </c>
    </row>
    <row r="233" spans="2:5" ht="14.5" customHeight="1">
      <c r="B233" s="83"/>
      <c r="C233" s="64" t="s">
        <v>204</v>
      </c>
      <c r="D233" s="65">
        <v>115</v>
      </c>
      <c r="E233" s="66">
        <v>3.1594274567979998E-3</v>
      </c>
    </row>
    <row r="234" spans="2:5" ht="14.5" customHeight="1">
      <c r="B234" s="83"/>
      <c r="C234" s="64" t="s">
        <v>205</v>
      </c>
      <c r="D234" s="65">
        <v>146</v>
      </c>
      <c r="E234" s="66">
        <v>4.0110992060220004E-3</v>
      </c>
    </row>
    <row r="235" spans="2:5" ht="14.5" customHeight="1">
      <c r="B235" s="83"/>
      <c r="C235" s="64" t="s">
        <v>206</v>
      </c>
      <c r="D235" s="65">
        <v>47</v>
      </c>
      <c r="E235" s="66">
        <v>1.291244264952E-3</v>
      </c>
    </row>
    <row r="236" spans="2:5" ht="14.5" customHeight="1">
      <c r="B236" s="83"/>
      <c r="C236" s="64" t="s">
        <v>207</v>
      </c>
      <c r="D236" s="65">
        <v>118</v>
      </c>
      <c r="E236" s="66">
        <v>3.2418473034970001E-3</v>
      </c>
    </row>
    <row r="237" spans="2:5" ht="14.5" customHeight="1">
      <c r="B237" s="83"/>
      <c r="C237" s="64" t="s">
        <v>208</v>
      </c>
      <c r="D237" s="65">
        <v>19</v>
      </c>
      <c r="E237" s="66">
        <v>5.2199236242800003E-4</v>
      </c>
    </row>
    <row r="238" spans="2:5" ht="14.5" customHeight="1">
      <c r="B238" s="83"/>
      <c r="C238" s="64" t="s">
        <v>209</v>
      </c>
      <c r="D238" s="65">
        <v>79</v>
      </c>
      <c r="E238" s="66">
        <v>2.1703892964090002E-3</v>
      </c>
    </row>
    <row r="239" spans="2:5" ht="14.5" customHeight="1">
      <c r="B239" s="83"/>
      <c r="C239" s="64" t="s">
        <v>210</v>
      </c>
      <c r="D239" s="65">
        <v>5</v>
      </c>
      <c r="E239" s="66">
        <v>1.3736641116500001E-4</v>
      </c>
    </row>
    <row r="240" spans="2:5" ht="14.5" customHeight="1">
      <c r="B240" s="83"/>
      <c r="C240" s="64" t="s">
        <v>216</v>
      </c>
      <c r="D240" s="65">
        <v>2</v>
      </c>
      <c r="E240" s="66">
        <v>5.4946564466000002E-5</v>
      </c>
    </row>
    <row r="241" spans="2:5" ht="14.5" customHeight="1">
      <c r="B241" s="83"/>
      <c r="C241" s="64" t="s">
        <v>211</v>
      </c>
      <c r="D241" s="65">
        <v>33</v>
      </c>
      <c r="E241" s="66">
        <v>9.0661831368999996E-4</v>
      </c>
    </row>
    <row r="242" spans="2:5" ht="14.5" customHeight="1">
      <c r="B242" s="83"/>
      <c r="C242" s="64" t="s">
        <v>212</v>
      </c>
      <c r="D242" s="65">
        <v>24</v>
      </c>
      <c r="E242" s="66">
        <v>6.5935877359299996E-4</v>
      </c>
    </row>
    <row r="243" spans="2:5" ht="14.5" customHeight="1">
      <c r="B243" s="83"/>
      <c r="C243" s="64" t="s">
        <v>213</v>
      </c>
      <c r="D243" s="65">
        <v>78</v>
      </c>
      <c r="E243" s="66">
        <v>2.1429160141760001E-3</v>
      </c>
    </row>
    <row r="244" spans="2:5" ht="14.5" customHeight="1">
      <c r="B244" s="83"/>
      <c r="C244" s="64" t="s">
        <v>214</v>
      </c>
      <c r="D244" s="65">
        <v>12</v>
      </c>
      <c r="E244" s="66">
        <v>3.29679386796E-4</v>
      </c>
    </row>
    <row r="245" spans="2:5" ht="14.5" customHeight="1">
      <c r="B245" s="83"/>
      <c r="C245" s="64" t="s">
        <v>215</v>
      </c>
      <c r="D245" s="65">
        <v>50</v>
      </c>
      <c r="E245" s="66">
        <v>1.373664111651E-3</v>
      </c>
    </row>
    <row r="246" spans="2:5" ht="14.5" customHeight="1">
      <c r="B246" s="82"/>
      <c r="C246" s="36" t="s">
        <v>29</v>
      </c>
      <c r="D246" s="35">
        <v>899</v>
      </c>
      <c r="E246" s="34">
        <v>2.4698480727493002E-2</v>
      </c>
    </row>
    <row r="247" spans="2:5" ht="14.5" customHeight="1">
      <c r="B247" s="77" t="s">
        <v>118</v>
      </c>
      <c r="C247" s="64" t="s">
        <v>200</v>
      </c>
      <c r="D247" s="65">
        <v>4</v>
      </c>
      <c r="E247" s="66">
        <v>1.09893128932E-4</v>
      </c>
    </row>
    <row r="248" spans="2:5" ht="14.5" customHeight="1">
      <c r="B248" s="83"/>
      <c r="C248" s="64" t="s">
        <v>201</v>
      </c>
      <c r="D248" s="65">
        <v>5</v>
      </c>
      <c r="E248" s="66">
        <v>1.3736641116500001E-4</v>
      </c>
    </row>
    <row r="249" spans="2:5" ht="14.5" customHeight="1">
      <c r="B249" s="83"/>
      <c r="C249" s="64" t="s">
        <v>202</v>
      </c>
      <c r="D249" s="65">
        <v>1</v>
      </c>
      <c r="E249" s="66">
        <v>2.7473282233000001E-5</v>
      </c>
    </row>
    <row r="250" spans="2:5" ht="14.5" customHeight="1">
      <c r="B250" s="83"/>
      <c r="C250" s="64" t="s">
        <v>203</v>
      </c>
      <c r="D250" s="65">
        <v>3</v>
      </c>
      <c r="E250" s="66">
        <v>8.2419846699E-5</v>
      </c>
    </row>
    <row r="251" spans="2:5" ht="14.5" customHeight="1">
      <c r="B251" s="83"/>
      <c r="C251" s="64" t="s">
        <v>204</v>
      </c>
      <c r="D251" s="65">
        <v>8</v>
      </c>
      <c r="E251" s="66">
        <v>2.1978625786400001E-4</v>
      </c>
    </row>
    <row r="252" spans="2:5" ht="14.5" customHeight="1">
      <c r="B252" s="83"/>
      <c r="C252" s="64" t="s">
        <v>205</v>
      </c>
      <c r="D252" s="65">
        <v>11</v>
      </c>
      <c r="E252" s="66">
        <v>3.0220610456299998E-4</v>
      </c>
    </row>
    <row r="253" spans="2:5" ht="14.5" customHeight="1">
      <c r="B253" s="83"/>
      <c r="C253" s="64" t="s">
        <v>206</v>
      </c>
      <c r="D253" s="65">
        <v>3</v>
      </c>
      <c r="E253" s="66">
        <v>8.2419846699E-5</v>
      </c>
    </row>
    <row r="254" spans="2:5" ht="14.5" customHeight="1">
      <c r="B254" s="83"/>
      <c r="C254" s="64" t="s">
        <v>207</v>
      </c>
      <c r="D254" s="65">
        <v>12</v>
      </c>
      <c r="E254" s="66">
        <v>3.29679386796E-4</v>
      </c>
    </row>
    <row r="255" spans="2:5" ht="14.5" customHeight="1">
      <c r="B255" s="83"/>
      <c r="C255" s="64" t="s">
        <v>208</v>
      </c>
      <c r="D255" s="65">
        <v>3</v>
      </c>
      <c r="E255" s="66">
        <v>8.2419846699E-5</v>
      </c>
    </row>
    <row r="256" spans="2:5" ht="14.5" customHeight="1">
      <c r="B256" s="83"/>
      <c r="C256" s="64" t="s">
        <v>209</v>
      </c>
      <c r="D256" s="65">
        <v>5</v>
      </c>
      <c r="E256" s="66">
        <v>1.3736641116500001E-4</v>
      </c>
    </row>
    <row r="257" spans="2:5" ht="14.5" customHeight="1">
      <c r="B257" s="83"/>
      <c r="C257" s="64" t="s">
        <v>210</v>
      </c>
      <c r="D257" s="65">
        <v>2</v>
      </c>
      <c r="E257" s="66">
        <v>5.4946564466000002E-5</v>
      </c>
    </row>
    <row r="258" spans="2:5" ht="14.5" customHeight="1">
      <c r="B258" s="83"/>
      <c r="C258" s="64" t="s">
        <v>216</v>
      </c>
      <c r="D258" s="65">
        <v>1</v>
      </c>
      <c r="E258" s="66">
        <v>2.7473282233000001E-5</v>
      </c>
    </row>
    <row r="259" spans="2:5" ht="14.5" customHeight="1">
      <c r="B259" s="83"/>
      <c r="C259" s="64" t="s">
        <v>212</v>
      </c>
      <c r="D259" s="65">
        <v>2</v>
      </c>
      <c r="E259" s="66">
        <v>5.4946564466000002E-5</v>
      </c>
    </row>
    <row r="260" spans="2:5" ht="14.5" customHeight="1">
      <c r="B260" s="83"/>
      <c r="C260" s="64" t="s">
        <v>213</v>
      </c>
      <c r="D260" s="65">
        <v>2</v>
      </c>
      <c r="E260" s="66">
        <v>5.4946564466000002E-5</v>
      </c>
    </row>
    <row r="261" spans="2:5" ht="14.5" customHeight="1">
      <c r="B261" s="83"/>
      <c r="C261" s="64" t="s">
        <v>215</v>
      </c>
      <c r="D261" s="65">
        <v>8</v>
      </c>
      <c r="E261" s="66">
        <v>2.1978625786400001E-4</v>
      </c>
    </row>
    <row r="262" spans="2:5" ht="14.5" customHeight="1">
      <c r="B262" s="82"/>
      <c r="C262" s="36" t="s">
        <v>29</v>
      </c>
      <c r="D262" s="35">
        <v>70</v>
      </c>
      <c r="E262" s="34">
        <v>1.923129756312E-3</v>
      </c>
    </row>
    <row r="263" spans="2:5" ht="14.5" customHeight="1">
      <c r="B263" s="77" t="s">
        <v>119</v>
      </c>
      <c r="C263" s="64" t="s">
        <v>200</v>
      </c>
      <c r="D263" s="65">
        <v>28</v>
      </c>
      <c r="E263" s="66">
        <v>7.6925190252500003E-4</v>
      </c>
    </row>
    <row r="264" spans="2:5" ht="14.5" customHeight="1">
      <c r="B264" s="83"/>
      <c r="C264" s="64" t="s">
        <v>201</v>
      </c>
      <c r="D264" s="65">
        <v>26</v>
      </c>
      <c r="E264" s="66">
        <v>7.14305338059E-4</v>
      </c>
    </row>
    <row r="265" spans="2:5" ht="14.5" customHeight="1">
      <c r="B265" s="83"/>
      <c r="C265" s="64" t="s">
        <v>202</v>
      </c>
      <c r="D265" s="65">
        <v>23</v>
      </c>
      <c r="E265" s="66">
        <v>6.3188549136E-4</v>
      </c>
    </row>
    <row r="266" spans="2:5" ht="14.5" customHeight="1">
      <c r="B266" s="83"/>
      <c r="C266" s="64" t="s">
        <v>204</v>
      </c>
      <c r="D266" s="65">
        <v>46</v>
      </c>
      <c r="E266" s="66">
        <v>1.2637709827189999E-3</v>
      </c>
    </row>
    <row r="267" spans="2:5" ht="14.5" customHeight="1">
      <c r="B267" s="83"/>
      <c r="C267" s="64" t="s">
        <v>205</v>
      </c>
      <c r="D267" s="65">
        <v>53</v>
      </c>
      <c r="E267" s="66">
        <v>1.4560839583510001E-3</v>
      </c>
    </row>
    <row r="268" spans="2:5" ht="14.5" customHeight="1">
      <c r="B268" s="83"/>
      <c r="C268" s="64" t="s">
        <v>206</v>
      </c>
      <c r="D268" s="65">
        <v>15</v>
      </c>
      <c r="E268" s="66">
        <v>4.12099233495E-4</v>
      </c>
    </row>
    <row r="269" spans="2:5" ht="14.5" customHeight="1">
      <c r="B269" s="83"/>
      <c r="C269" s="64" t="s">
        <v>207</v>
      </c>
      <c r="D269" s="65">
        <v>30</v>
      </c>
      <c r="E269" s="66">
        <v>8.2419846699099996E-4</v>
      </c>
    </row>
    <row r="270" spans="2:5" ht="14.5" customHeight="1">
      <c r="B270" s="83"/>
      <c r="C270" s="64" t="s">
        <v>209</v>
      </c>
      <c r="D270" s="65">
        <v>27</v>
      </c>
      <c r="E270" s="66">
        <v>7.4177862029199996E-4</v>
      </c>
    </row>
    <row r="271" spans="2:5" ht="14.5" customHeight="1">
      <c r="B271" s="83"/>
      <c r="C271" s="64" t="s">
        <v>210</v>
      </c>
      <c r="D271" s="65">
        <v>1</v>
      </c>
      <c r="E271" s="66">
        <v>2.7473282233000001E-5</v>
      </c>
    </row>
    <row r="272" spans="2:5" ht="14.5" customHeight="1">
      <c r="B272" s="83"/>
      <c r="C272" s="64" t="s">
        <v>216</v>
      </c>
      <c r="D272" s="65">
        <v>2</v>
      </c>
      <c r="E272" s="66">
        <v>5.4946564466000002E-5</v>
      </c>
    </row>
    <row r="273" spans="2:5" ht="14.5" customHeight="1">
      <c r="B273" s="83"/>
      <c r="C273" s="64" t="s">
        <v>211</v>
      </c>
      <c r="D273" s="65">
        <v>9</v>
      </c>
      <c r="E273" s="66">
        <v>2.47259540097E-4</v>
      </c>
    </row>
    <row r="274" spans="2:5" ht="14.5" customHeight="1">
      <c r="B274" s="83"/>
      <c r="C274" s="64" t="s">
        <v>212</v>
      </c>
      <c r="D274" s="65">
        <v>5</v>
      </c>
      <c r="E274" s="66">
        <v>1.3736641116500001E-4</v>
      </c>
    </row>
    <row r="275" spans="2:5" ht="14.5" customHeight="1">
      <c r="B275" s="83"/>
      <c r="C275" s="64" t="s">
        <v>213</v>
      </c>
      <c r="D275" s="65">
        <v>29</v>
      </c>
      <c r="E275" s="66">
        <v>7.96725184758E-4</v>
      </c>
    </row>
    <row r="276" spans="2:5" ht="14.5" customHeight="1">
      <c r="B276" s="83"/>
      <c r="C276" s="64" t="s">
        <v>214</v>
      </c>
      <c r="D276" s="65">
        <v>2</v>
      </c>
      <c r="E276" s="66">
        <v>5.4946564466000002E-5</v>
      </c>
    </row>
    <row r="277" spans="2:5" ht="14.5" customHeight="1">
      <c r="B277" s="83"/>
      <c r="C277" s="64" t="s">
        <v>215</v>
      </c>
      <c r="D277" s="65">
        <v>24</v>
      </c>
      <c r="E277" s="66">
        <v>6.5935877359299996E-4</v>
      </c>
    </row>
    <row r="278" spans="2:5" ht="14.5" customHeight="1">
      <c r="B278" s="82"/>
      <c r="C278" s="36" t="s">
        <v>29</v>
      </c>
      <c r="D278" s="35">
        <v>320</v>
      </c>
      <c r="E278" s="34">
        <v>8.7914503145690003E-3</v>
      </c>
    </row>
    <row r="279" spans="2:5" ht="14.5" customHeight="1">
      <c r="B279" s="77" t="s">
        <v>120</v>
      </c>
      <c r="C279" s="64" t="s">
        <v>200</v>
      </c>
      <c r="D279" s="65">
        <v>20</v>
      </c>
      <c r="E279" s="66">
        <v>5.49465644661E-4</v>
      </c>
    </row>
    <row r="280" spans="2:5" ht="14.5" customHeight="1">
      <c r="B280" s="83"/>
      <c r="C280" s="64" t="s">
        <v>201</v>
      </c>
      <c r="D280" s="65">
        <v>17</v>
      </c>
      <c r="E280" s="66">
        <v>4.6704579796099998E-4</v>
      </c>
    </row>
    <row r="281" spans="2:5" ht="14.5" customHeight="1">
      <c r="B281" s="83"/>
      <c r="C281" s="64" t="s">
        <v>202</v>
      </c>
      <c r="D281" s="65">
        <v>7</v>
      </c>
      <c r="E281" s="66">
        <v>1.9231297563099999E-4</v>
      </c>
    </row>
    <row r="282" spans="2:5" ht="14.5" customHeight="1">
      <c r="B282" s="83"/>
      <c r="C282" s="64" t="s">
        <v>203</v>
      </c>
      <c r="D282" s="65">
        <v>1</v>
      </c>
      <c r="E282" s="66">
        <v>2.7473282233000001E-5</v>
      </c>
    </row>
    <row r="283" spans="2:5" ht="14.5" customHeight="1">
      <c r="B283" s="83"/>
      <c r="C283" s="64" t="s">
        <v>204</v>
      </c>
      <c r="D283" s="65">
        <v>26</v>
      </c>
      <c r="E283" s="66">
        <v>7.14305338059E-4</v>
      </c>
    </row>
    <row r="284" spans="2:5" ht="14.5" customHeight="1">
      <c r="B284" s="83"/>
      <c r="C284" s="64" t="s">
        <v>205</v>
      </c>
      <c r="D284" s="65">
        <v>15</v>
      </c>
      <c r="E284" s="66">
        <v>4.12099233495E-4</v>
      </c>
    </row>
    <row r="285" spans="2:5" ht="14.5" customHeight="1">
      <c r="B285" s="83"/>
      <c r="C285" s="64" t="s">
        <v>206</v>
      </c>
      <c r="D285" s="65">
        <v>22</v>
      </c>
      <c r="E285" s="66">
        <v>6.0441220912700003E-4</v>
      </c>
    </row>
    <row r="286" spans="2:5" ht="14.5" customHeight="1">
      <c r="B286" s="83"/>
      <c r="C286" s="64" t="s">
        <v>207</v>
      </c>
      <c r="D286" s="65">
        <v>21</v>
      </c>
      <c r="E286" s="66">
        <v>5.7693892689399996E-4</v>
      </c>
    </row>
    <row r="287" spans="2:5" ht="14.5" customHeight="1">
      <c r="B287" s="83"/>
      <c r="C287" s="64" t="s">
        <v>208</v>
      </c>
      <c r="D287" s="65">
        <v>2</v>
      </c>
      <c r="E287" s="66">
        <v>5.4946564466000002E-5</v>
      </c>
    </row>
    <row r="288" spans="2:5" ht="14.5" customHeight="1">
      <c r="B288" s="83"/>
      <c r="C288" s="64" t="s">
        <v>209</v>
      </c>
      <c r="D288" s="65">
        <v>12</v>
      </c>
      <c r="E288" s="66">
        <v>3.29679386796E-4</v>
      </c>
    </row>
    <row r="289" spans="2:5" ht="14.5" customHeight="1">
      <c r="B289" s="83"/>
      <c r="C289" s="64" t="s">
        <v>210</v>
      </c>
      <c r="D289" s="65">
        <v>3</v>
      </c>
      <c r="E289" s="66">
        <v>8.2419846699E-5</v>
      </c>
    </row>
    <row r="290" spans="2:5" ht="14.5" customHeight="1">
      <c r="B290" s="83"/>
      <c r="C290" s="64" t="s">
        <v>216</v>
      </c>
      <c r="D290" s="65">
        <v>2</v>
      </c>
      <c r="E290" s="66">
        <v>5.4946564466000002E-5</v>
      </c>
    </row>
    <row r="291" spans="2:5" ht="14.5" customHeight="1">
      <c r="B291" s="83"/>
      <c r="C291" s="64" t="s">
        <v>211</v>
      </c>
      <c r="D291" s="65">
        <v>6</v>
      </c>
      <c r="E291" s="66">
        <v>1.64839693398E-4</v>
      </c>
    </row>
    <row r="292" spans="2:5" ht="14.5" customHeight="1">
      <c r="B292" s="83"/>
      <c r="C292" s="64" t="s">
        <v>212</v>
      </c>
      <c r="D292" s="65">
        <v>4</v>
      </c>
      <c r="E292" s="66">
        <v>1.09893128932E-4</v>
      </c>
    </row>
    <row r="293" spans="2:5" ht="14.5" customHeight="1">
      <c r="B293" s="83"/>
      <c r="C293" s="64" t="s">
        <v>213</v>
      </c>
      <c r="D293" s="65">
        <v>15</v>
      </c>
      <c r="E293" s="66">
        <v>4.12099233495E-4</v>
      </c>
    </row>
    <row r="294" spans="2:5" ht="14.5" customHeight="1">
      <c r="B294" s="83"/>
      <c r="C294" s="64" t="s">
        <v>215</v>
      </c>
      <c r="D294" s="65">
        <v>13</v>
      </c>
      <c r="E294" s="66">
        <v>3.5715266902900002E-4</v>
      </c>
    </row>
    <row r="295" spans="2:5" ht="14.5" customHeight="1">
      <c r="B295" s="82"/>
      <c r="C295" s="36" t="s">
        <v>29</v>
      </c>
      <c r="D295" s="35">
        <v>186</v>
      </c>
      <c r="E295" s="34">
        <v>5.1100304953429999E-3</v>
      </c>
    </row>
    <row r="296" spans="2:5" ht="14.5" customHeight="1">
      <c r="B296" s="77" t="s">
        <v>121</v>
      </c>
      <c r="C296" s="64" t="s">
        <v>200</v>
      </c>
      <c r="D296" s="65">
        <v>9</v>
      </c>
      <c r="E296" s="66">
        <v>2.47259540097E-4</v>
      </c>
    </row>
    <row r="297" spans="2:5" ht="14.5" customHeight="1">
      <c r="B297" s="83"/>
      <c r="C297" s="64" t="s">
        <v>201</v>
      </c>
      <c r="D297" s="65">
        <v>4</v>
      </c>
      <c r="E297" s="66">
        <v>1.09893128932E-4</v>
      </c>
    </row>
    <row r="298" spans="2:5" ht="14.5" customHeight="1">
      <c r="B298" s="83"/>
      <c r="C298" s="64" t="s">
        <v>202</v>
      </c>
      <c r="D298" s="65">
        <v>3</v>
      </c>
      <c r="E298" s="66">
        <v>8.2419846699E-5</v>
      </c>
    </row>
    <row r="299" spans="2:5" ht="14.5" customHeight="1">
      <c r="B299" s="83"/>
      <c r="C299" s="64" t="s">
        <v>204</v>
      </c>
      <c r="D299" s="65">
        <v>13</v>
      </c>
      <c r="E299" s="66">
        <v>3.5715266902900002E-4</v>
      </c>
    </row>
    <row r="300" spans="2:5" ht="14.5" customHeight="1">
      <c r="B300" s="83"/>
      <c r="C300" s="64" t="s">
        <v>205</v>
      </c>
      <c r="D300" s="65">
        <v>16</v>
      </c>
      <c r="E300" s="66">
        <v>4.3957251572800002E-4</v>
      </c>
    </row>
    <row r="301" spans="2:5" ht="14.5" customHeight="1">
      <c r="B301" s="83"/>
      <c r="C301" s="64" t="s">
        <v>206</v>
      </c>
      <c r="D301" s="65">
        <v>8</v>
      </c>
      <c r="E301" s="66">
        <v>2.1978625786400001E-4</v>
      </c>
    </row>
    <row r="302" spans="2:5" ht="14.5" customHeight="1">
      <c r="B302" s="83"/>
      <c r="C302" s="64" t="s">
        <v>207</v>
      </c>
      <c r="D302" s="65">
        <v>15</v>
      </c>
      <c r="E302" s="66">
        <v>4.12099233495E-4</v>
      </c>
    </row>
    <row r="303" spans="2:5" ht="14.5" customHeight="1">
      <c r="B303" s="83"/>
      <c r="C303" s="64" t="s">
        <v>208</v>
      </c>
      <c r="D303" s="65">
        <v>1</v>
      </c>
      <c r="E303" s="66">
        <v>2.7473282233000001E-5</v>
      </c>
    </row>
    <row r="304" spans="2:5" ht="14.5" customHeight="1">
      <c r="B304" s="83"/>
      <c r="C304" s="64" t="s">
        <v>209</v>
      </c>
      <c r="D304" s="65">
        <v>15</v>
      </c>
      <c r="E304" s="66">
        <v>4.12099233495E-4</v>
      </c>
    </row>
    <row r="305" spans="2:5" ht="14.5" customHeight="1">
      <c r="B305" s="83"/>
      <c r="C305" s="64" t="s">
        <v>210</v>
      </c>
      <c r="D305" s="65">
        <v>2</v>
      </c>
      <c r="E305" s="66">
        <v>5.4946564466000002E-5</v>
      </c>
    </row>
    <row r="306" spans="2:5" ht="14.5" customHeight="1">
      <c r="B306" s="83"/>
      <c r="C306" s="64" t="s">
        <v>211</v>
      </c>
      <c r="D306" s="65">
        <v>2</v>
      </c>
      <c r="E306" s="66">
        <v>5.4946564466000002E-5</v>
      </c>
    </row>
    <row r="307" spans="2:5" ht="14.5" customHeight="1">
      <c r="B307" s="83"/>
      <c r="C307" s="64" t="s">
        <v>212</v>
      </c>
      <c r="D307" s="65">
        <v>1</v>
      </c>
      <c r="E307" s="66">
        <v>2.7473282233000001E-5</v>
      </c>
    </row>
    <row r="308" spans="2:5" ht="14.5" customHeight="1">
      <c r="B308" s="83"/>
      <c r="C308" s="64" t="s">
        <v>213</v>
      </c>
      <c r="D308" s="65">
        <v>10</v>
      </c>
      <c r="E308" s="66">
        <v>2.7473282233000002E-4</v>
      </c>
    </row>
    <row r="309" spans="2:5" ht="14.5" customHeight="1">
      <c r="B309" s="83"/>
      <c r="C309" s="64" t="s">
        <v>214</v>
      </c>
      <c r="D309" s="65">
        <v>1</v>
      </c>
      <c r="E309" s="66">
        <v>2.7473282233000001E-5</v>
      </c>
    </row>
    <row r="310" spans="2:5" ht="14.5" customHeight="1">
      <c r="B310" s="83"/>
      <c r="C310" s="64" t="s">
        <v>215</v>
      </c>
      <c r="D310" s="65">
        <v>7</v>
      </c>
      <c r="E310" s="66">
        <v>1.9231297563099999E-4</v>
      </c>
    </row>
    <row r="311" spans="2:5" ht="14.5" customHeight="1">
      <c r="B311" s="82"/>
      <c r="C311" s="36" t="s">
        <v>29</v>
      </c>
      <c r="D311" s="35">
        <v>107</v>
      </c>
      <c r="E311" s="34">
        <v>2.9396411989340001E-3</v>
      </c>
    </row>
    <row r="312" spans="2:5" ht="14.5" customHeight="1">
      <c r="B312" s="77" t="s">
        <v>122</v>
      </c>
      <c r="C312" s="64" t="s">
        <v>215</v>
      </c>
      <c r="D312" s="65">
        <v>1</v>
      </c>
      <c r="E312" s="66">
        <v>2.7473282233000001E-5</v>
      </c>
    </row>
    <row r="313" spans="2:5" ht="14.5" customHeight="1">
      <c r="B313" s="82"/>
      <c r="C313" s="36" t="s">
        <v>29</v>
      </c>
      <c r="D313" s="35">
        <v>1</v>
      </c>
      <c r="E313" s="34">
        <v>2.7473282233000001E-5</v>
      </c>
    </row>
    <row r="314" spans="2:5" ht="14.5" customHeight="1">
      <c r="B314" s="77" t="s">
        <v>123</v>
      </c>
      <c r="C314" s="64" t="s">
        <v>200</v>
      </c>
      <c r="D314" s="65">
        <v>8</v>
      </c>
      <c r="E314" s="66">
        <v>2.1978625786400001E-4</v>
      </c>
    </row>
    <row r="315" spans="2:5" ht="14.5" customHeight="1">
      <c r="B315" s="83"/>
      <c r="C315" s="64" t="s">
        <v>201</v>
      </c>
      <c r="D315" s="65">
        <v>2</v>
      </c>
      <c r="E315" s="66">
        <v>5.4946564466000002E-5</v>
      </c>
    </row>
    <row r="316" spans="2:5" ht="14.5" customHeight="1">
      <c r="B316" s="83"/>
      <c r="C316" s="64" t="s">
        <v>202</v>
      </c>
      <c r="D316" s="65">
        <v>3</v>
      </c>
      <c r="E316" s="66">
        <v>8.2419846699E-5</v>
      </c>
    </row>
    <row r="317" spans="2:5" ht="14.5" customHeight="1">
      <c r="B317" s="83"/>
      <c r="C317" s="64" t="s">
        <v>203</v>
      </c>
      <c r="D317" s="65">
        <v>1</v>
      </c>
      <c r="E317" s="66">
        <v>2.7473282233000001E-5</v>
      </c>
    </row>
    <row r="318" spans="2:5" ht="14.5" customHeight="1">
      <c r="B318" s="83"/>
      <c r="C318" s="64" t="s">
        <v>204</v>
      </c>
      <c r="D318" s="65">
        <v>11</v>
      </c>
      <c r="E318" s="66">
        <v>3.0220610456299998E-4</v>
      </c>
    </row>
    <row r="319" spans="2:5" ht="14.5" customHeight="1">
      <c r="B319" s="83"/>
      <c r="C319" s="64" t="s">
        <v>205</v>
      </c>
      <c r="D319" s="65">
        <v>16</v>
      </c>
      <c r="E319" s="66">
        <v>4.3957251572800002E-4</v>
      </c>
    </row>
    <row r="320" spans="2:5" ht="14.5" customHeight="1">
      <c r="B320" s="83"/>
      <c r="C320" s="64" t="s">
        <v>206</v>
      </c>
      <c r="D320" s="65">
        <v>3</v>
      </c>
      <c r="E320" s="66">
        <v>8.2419846699E-5</v>
      </c>
    </row>
    <row r="321" spans="2:5" ht="14.5" customHeight="1">
      <c r="B321" s="83"/>
      <c r="C321" s="64" t="s">
        <v>207</v>
      </c>
      <c r="D321" s="65">
        <v>7</v>
      </c>
      <c r="E321" s="66">
        <v>1.9231297563099999E-4</v>
      </c>
    </row>
    <row r="322" spans="2:5" ht="14.5" customHeight="1">
      <c r="B322" s="83"/>
      <c r="C322" s="64" t="s">
        <v>209</v>
      </c>
      <c r="D322" s="65">
        <v>6</v>
      </c>
      <c r="E322" s="66">
        <v>1.64839693398E-4</v>
      </c>
    </row>
    <row r="323" spans="2:5" ht="14.5" customHeight="1">
      <c r="B323" s="83"/>
      <c r="C323" s="64" t="s">
        <v>216</v>
      </c>
      <c r="D323" s="65">
        <v>1</v>
      </c>
      <c r="E323" s="66">
        <v>2.7473282233000001E-5</v>
      </c>
    </row>
    <row r="324" spans="2:5" ht="14.5" customHeight="1">
      <c r="B324" s="83"/>
      <c r="C324" s="64" t="s">
        <v>211</v>
      </c>
      <c r="D324" s="65">
        <v>1</v>
      </c>
      <c r="E324" s="66">
        <v>2.7473282233000001E-5</v>
      </c>
    </row>
    <row r="325" spans="2:5" ht="14.5" customHeight="1">
      <c r="B325" s="83"/>
      <c r="C325" s="64" t="s">
        <v>212</v>
      </c>
      <c r="D325" s="65">
        <v>2</v>
      </c>
      <c r="E325" s="66">
        <v>5.4946564466000002E-5</v>
      </c>
    </row>
    <row r="326" spans="2:5" ht="14.5" customHeight="1">
      <c r="B326" s="83"/>
      <c r="C326" s="64" t="s">
        <v>213</v>
      </c>
      <c r="D326" s="65">
        <v>3</v>
      </c>
      <c r="E326" s="66">
        <v>8.2419846699E-5</v>
      </c>
    </row>
    <row r="327" spans="2:5" ht="14.5" customHeight="1">
      <c r="B327" s="83"/>
      <c r="C327" s="64" t="s">
        <v>214</v>
      </c>
      <c r="D327" s="65">
        <v>1</v>
      </c>
      <c r="E327" s="66">
        <v>2.7473282233000001E-5</v>
      </c>
    </row>
    <row r="328" spans="2:5" ht="14.5" customHeight="1">
      <c r="B328" s="83"/>
      <c r="C328" s="64" t="s">
        <v>215</v>
      </c>
      <c r="D328" s="65">
        <v>11</v>
      </c>
      <c r="E328" s="66">
        <v>3.0220610456299998E-4</v>
      </c>
    </row>
    <row r="329" spans="2:5" ht="14.5" customHeight="1">
      <c r="B329" s="82"/>
      <c r="C329" s="36" t="s">
        <v>29</v>
      </c>
      <c r="D329" s="35">
        <v>76</v>
      </c>
      <c r="E329" s="34">
        <v>2.08796944971E-3</v>
      </c>
    </row>
    <row r="330" spans="2:5" ht="14.5" customHeight="1">
      <c r="B330" s="77" t="s">
        <v>124</v>
      </c>
      <c r="C330" s="64" t="s">
        <v>200</v>
      </c>
      <c r="D330" s="65">
        <v>6</v>
      </c>
      <c r="E330" s="66">
        <v>1.64839693398E-4</v>
      </c>
    </row>
    <row r="331" spans="2:5" ht="14.5" customHeight="1">
      <c r="B331" s="83"/>
      <c r="C331" s="64" t="s">
        <v>201</v>
      </c>
      <c r="D331" s="65">
        <v>6</v>
      </c>
      <c r="E331" s="66">
        <v>1.64839693398E-4</v>
      </c>
    </row>
    <row r="332" spans="2:5" ht="14.5" customHeight="1">
      <c r="B332" s="83"/>
      <c r="C332" s="64" t="s">
        <v>202</v>
      </c>
      <c r="D332" s="65">
        <v>3</v>
      </c>
      <c r="E332" s="66">
        <v>8.2419846699E-5</v>
      </c>
    </row>
    <row r="333" spans="2:5" ht="14.5" customHeight="1">
      <c r="B333" s="83"/>
      <c r="C333" s="64" t="s">
        <v>203</v>
      </c>
      <c r="D333" s="65">
        <v>1</v>
      </c>
      <c r="E333" s="66">
        <v>2.7473282233000001E-5</v>
      </c>
    </row>
    <row r="334" spans="2:5" ht="14.5" customHeight="1">
      <c r="B334" s="83"/>
      <c r="C334" s="64" t="s">
        <v>204</v>
      </c>
      <c r="D334" s="65">
        <v>15</v>
      </c>
      <c r="E334" s="66">
        <v>4.12099233495E-4</v>
      </c>
    </row>
    <row r="335" spans="2:5" ht="14.5" customHeight="1">
      <c r="B335" s="83"/>
      <c r="C335" s="64" t="s">
        <v>205</v>
      </c>
      <c r="D335" s="65">
        <v>7</v>
      </c>
      <c r="E335" s="66">
        <v>1.9231297563099999E-4</v>
      </c>
    </row>
    <row r="336" spans="2:5" ht="14.5" customHeight="1">
      <c r="B336" s="83"/>
      <c r="C336" s="64" t="s">
        <v>206</v>
      </c>
      <c r="D336" s="65">
        <v>13</v>
      </c>
      <c r="E336" s="66">
        <v>3.5715266902900002E-4</v>
      </c>
    </row>
    <row r="337" spans="2:5" ht="14.5" customHeight="1">
      <c r="B337" s="83"/>
      <c r="C337" s="64" t="s">
        <v>207</v>
      </c>
      <c r="D337" s="65">
        <v>9</v>
      </c>
      <c r="E337" s="66">
        <v>2.47259540097E-4</v>
      </c>
    </row>
    <row r="338" spans="2:5" ht="14.5" customHeight="1">
      <c r="B338" s="83"/>
      <c r="C338" s="64" t="s">
        <v>208</v>
      </c>
      <c r="D338" s="65">
        <v>2</v>
      </c>
      <c r="E338" s="66">
        <v>5.4946564466000002E-5</v>
      </c>
    </row>
    <row r="339" spans="2:5" ht="14.5" customHeight="1">
      <c r="B339" s="83"/>
      <c r="C339" s="64" t="s">
        <v>209</v>
      </c>
      <c r="D339" s="65">
        <v>7</v>
      </c>
      <c r="E339" s="66">
        <v>1.9231297563099999E-4</v>
      </c>
    </row>
    <row r="340" spans="2:5" ht="14.5" customHeight="1">
      <c r="B340" s="83"/>
      <c r="C340" s="64" t="s">
        <v>211</v>
      </c>
      <c r="D340" s="65">
        <v>2</v>
      </c>
      <c r="E340" s="66">
        <v>5.4946564466000002E-5</v>
      </c>
    </row>
    <row r="341" spans="2:5" ht="14.5" customHeight="1">
      <c r="B341" s="83"/>
      <c r="C341" s="64" t="s">
        <v>213</v>
      </c>
      <c r="D341" s="65">
        <v>7</v>
      </c>
      <c r="E341" s="66">
        <v>1.9231297563099999E-4</v>
      </c>
    </row>
    <row r="342" spans="2:5" ht="14.5" customHeight="1">
      <c r="B342" s="83"/>
      <c r="C342" s="64" t="s">
        <v>215</v>
      </c>
      <c r="D342" s="65">
        <v>3</v>
      </c>
      <c r="E342" s="66">
        <v>8.2419846699E-5</v>
      </c>
    </row>
    <row r="343" spans="2:5" ht="14.5" customHeight="1">
      <c r="B343" s="82"/>
      <c r="C343" s="36" t="s">
        <v>29</v>
      </c>
      <c r="D343" s="35">
        <v>81</v>
      </c>
      <c r="E343" s="34">
        <v>2.2253358608749999E-3</v>
      </c>
    </row>
    <row r="344" spans="2:5" ht="14.5" customHeight="1">
      <c r="B344" s="77" t="s">
        <v>125</v>
      </c>
      <c r="C344" s="64" t="s">
        <v>200</v>
      </c>
      <c r="D344" s="65">
        <v>25</v>
      </c>
      <c r="E344" s="66">
        <v>6.8683205582600003E-4</v>
      </c>
    </row>
    <row r="345" spans="2:5" ht="14.5" customHeight="1">
      <c r="B345" s="83"/>
      <c r="C345" s="64" t="s">
        <v>201</v>
      </c>
      <c r="D345" s="65">
        <v>31</v>
      </c>
      <c r="E345" s="66">
        <v>8.5167174922400003E-4</v>
      </c>
    </row>
    <row r="346" spans="2:5" ht="14.5" customHeight="1">
      <c r="B346" s="83"/>
      <c r="C346" s="64" t="s">
        <v>202</v>
      </c>
      <c r="D346" s="65">
        <v>23</v>
      </c>
      <c r="E346" s="66">
        <v>6.3188549136E-4</v>
      </c>
    </row>
    <row r="347" spans="2:5" ht="14.5" customHeight="1">
      <c r="B347" s="83"/>
      <c r="C347" s="64" t="s">
        <v>203</v>
      </c>
      <c r="D347" s="65">
        <v>2</v>
      </c>
      <c r="E347" s="66">
        <v>5.4946564466000002E-5</v>
      </c>
    </row>
    <row r="348" spans="2:5" ht="14.5" customHeight="1">
      <c r="B348" s="83"/>
      <c r="C348" s="64" t="s">
        <v>204</v>
      </c>
      <c r="D348" s="65">
        <v>35</v>
      </c>
      <c r="E348" s="66">
        <v>9.61564878156E-4</v>
      </c>
    </row>
    <row r="349" spans="2:5" ht="14.5" customHeight="1">
      <c r="B349" s="83"/>
      <c r="C349" s="64" t="s">
        <v>205</v>
      </c>
      <c r="D349" s="65">
        <v>69</v>
      </c>
      <c r="E349" s="66">
        <v>1.8956564740789999E-3</v>
      </c>
    </row>
    <row r="350" spans="2:5" ht="14.5" customHeight="1">
      <c r="B350" s="83"/>
      <c r="C350" s="64" t="s">
        <v>206</v>
      </c>
      <c r="D350" s="65">
        <v>15</v>
      </c>
      <c r="E350" s="66">
        <v>4.12099233495E-4</v>
      </c>
    </row>
    <row r="351" spans="2:5" ht="14.5" customHeight="1">
      <c r="B351" s="83"/>
      <c r="C351" s="64" t="s">
        <v>207</v>
      </c>
      <c r="D351" s="65">
        <v>37</v>
      </c>
      <c r="E351" s="66">
        <v>1.0165114426219999E-3</v>
      </c>
    </row>
    <row r="352" spans="2:5" ht="14.5" customHeight="1">
      <c r="B352" s="83"/>
      <c r="C352" s="64" t="s">
        <v>208</v>
      </c>
      <c r="D352" s="65">
        <v>7</v>
      </c>
      <c r="E352" s="66">
        <v>1.9231297563099999E-4</v>
      </c>
    </row>
    <row r="353" spans="2:5" ht="14.5" customHeight="1">
      <c r="B353" s="83"/>
      <c r="C353" s="64" t="s">
        <v>209</v>
      </c>
      <c r="D353" s="65">
        <v>33</v>
      </c>
      <c r="E353" s="66">
        <v>9.0661831368999996E-4</v>
      </c>
    </row>
    <row r="354" spans="2:5" ht="14.5" customHeight="1">
      <c r="B354" s="83"/>
      <c r="C354" s="64" t="s">
        <v>210</v>
      </c>
      <c r="D354" s="65">
        <v>1</v>
      </c>
      <c r="E354" s="66">
        <v>2.7473282233000001E-5</v>
      </c>
    </row>
    <row r="355" spans="2:5" ht="14.5" customHeight="1">
      <c r="B355" s="83"/>
      <c r="C355" s="64" t="s">
        <v>216</v>
      </c>
      <c r="D355" s="65">
        <v>3</v>
      </c>
      <c r="E355" s="66">
        <v>8.2419846699E-5</v>
      </c>
    </row>
    <row r="356" spans="2:5" ht="14.5" customHeight="1">
      <c r="B356" s="83"/>
      <c r="C356" s="64" t="s">
        <v>211</v>
      </c>
      <c r="D356" s="65">
        <v>10</v>
      </c>
      <c r="E356" s="66">
        <v>2.7473282233000002E-4</v>
      </c>
    </row>
    <row r="357" spans="2:5" ht="14.5" customHeight="1">
      <c r="B357" s="83"/>
      <c r="C357" s="64" t="s">
        <v>212</v>
      </c>
      <c r="D357" s="65">
        <v>4</v>
      </c>
      <c r="E357" s="66">
        <v>1.09893128932E-4</v>
      </c>
    </row>
    <row r="358" spans="2:5" ht="14.5" customHeight="1">
      <c r="B358" s="83"/>
      <c r="C358" s="64" t="s">
        <v>213</v>
      </c>
      <c r="D358" s="65">
        <v>30</v>
      </c>
      <c r="E358" s="66">
        <v>8.2419846699099996E-4</v>
      </c>
    </row>
    <row r="359" spans="2:5" ht="14.5" customHeight="1">
      <c r="B359" s="83"/>
      <c r="C359" s="64" t="s">
        <v>214</v>
      </c>
      <c r="D359" s="65">
        <v>4</v>
      </c>
      <c r="E359" s="66">
        <v>1.09893128932E-4</v>
      </c>
    </row>
    <row r="360" spans="2:5" ht="14.5" customHeight="1">
      <c r="B360" s="83"/>
      <c r="C360" s="64" t="s">
        <v>215</v>
      </c>
      <c r="D360" s="65">
        <v>28</v>
      </c>
      <c r="E360" s="66">
        <v>7.6925190252500003E-4</v>
      </c>
    </row>
    <row r="361" spans="2:5" ht="14.5" customHeight="1">
      <c r="B361" s="82"/>
      <c r="C361" s="36" t="s">
        <v>29</v>
      </c>
      <c r="D361" s="35">
        <v>357</v>
      </c>
      <c r="E361" s="34">
        <v>9.8079617571909996E-3</v>
      </c>
    </row>
    <row r="362" spans="2:5" ht="14.5" customHeight="1">
      <c r="B362" s="77" t="s">
        <v>126</v>
      </c>
      <c r="C362" s="64" t="s">
        <v>200</v>
      </c>
      <c r="D362" s="65">
        <v>42</v>
      </c>
      <c r="E362" s="66">
        <v>1.1538778537870001E-3</v>
      </c>
    </row>
    <row r="363" spans="2:5" ht="14.5" customHeight="1">
      <c r="B363" s="83"/>
      <c r="C363" s="64" t="s">
        <v>201</v>
      </c>
      <c r="D363" s="65">
        <v>48</v>
      </c>
      <c r="E363" s="66">
        <v>1.3187175471850001E-3</v>
      </c>
    </row>
    <row r="364" spans="2:5" ht="14.5" customHeight="1">
      <c r="B364" s="83"/>
      <c r="C364" s="64" t="s">
        <v>202</v>
      </c>
      <c r="D364" s="65">
        <v>20</v>
      </c>
      <c r="E364" s="66">
        <v>5.49465644661E-4</v>
      </c>
    </row>
    <row r="365" spans="2:5" ht="14.5" customHeight="1">
      <c r="B365" s="83"/>
      <c r="C365" s="64" t="s">
        <v>203</v>
      </c>
      <c r="D365" s="65">
        <v>1</v>
      </c>
      <c r="E365" s="66">
        <v>2.7473282233000001E-5</v>
      </c>
    </row>
    <row r="366" spans="2:5" ht="14.5" customHeight="1">
      <c r="B366" s="83"/>
      <c r="C366" s="64" t="s">
        <v>204</v>
      </c>
      <c r="D366" s="65">
        <v>102</v>
      </c>
      <c r="E366" s="66">
        <v>2.8022747877690002E-3</v>
      </c>
    </row>
    <row r="367" spans="2:5" ht="14.5" customHeight="1">
      <c r="B367" s="83"/>
      <c r="C367" s="64" t="s">
        <v>205</v>
      </c>
      <c r="D367" s="65">
        <v>70</v>
      </c>
      <c r="E367" s="66">
        <v>1.923129756312E-3</v>
      </c>
    </row>
    <row r="368" spans="2:5" ht="14.5" customHeight="1">
      <c r="B368" s="83"/>
      <c r="C368" s="64" t="s">
        <v>206</v>
      </c>
      <c r="D368" s="65">
        <v>19</v>
      </c>
      <c r="E368" s="66">
        <v>5.2199236242800003E-4</v>
      </c>
    </row>
    <row r="369" spans="2:5" ht="14.5" customHeight="1">
      <c r="B369" s="83"/>
      <c r="C369" s="64" t="s">
        <v>207</v>
      </c>
      <c r="D369" s="65">
        <v>45</v>
      </c>
      <c r="E369" s="66">
        <v>1.2362977004860001E-3</v>
      </c>
    </row>
    <row r="370" spans="2:5" ht="14.5" customHeight="1">
      <c r="B370" s="83"/>
      <c r="C370" s="64" t="s">
        <v>208</v>
      </c>
      <c r="D370" s="65">
        <v>3</v>
      </c>
      <c r="E370" s="66">
        <v>8.2419846699E-5</v>
      </c>
    </row>
    <row r="371" spans="2:5" ht="14.5" customHeight="1">
      <c r="B371" s="83"/>
      <c r="C371" s="64" t="s">
        <v>209</v>
      </c>
      <c r="D371" s="65">
        <v>55</v>
      </c>
      <c r="E371" s="66">
        <v>1.511030522817E-3</v>
      </c>
    </row>
    <row r="372" spans="2:5" ht="14.5" customHeight="1">
      <c r="B372" s="83"/>
      <c r="C372" s="64" t="s">
        <v>210</v>
      </c>
      <c r="D372" s="65">
        <v>2</v>
      </c>
      <c r="E372" s="66">
        <v>5.4946564466000002E-5</v>
      </c>
    </row>
    <row r="373" spans="2:5" ht="14.5" customHeight="1">
      <c r="B373" s="83"/>
      <c r="C373" s="64" t="s">
        <v>211</v>
      </c>
      <c r="D373" s="65">
        <v>14</v>
      </c>
      <c r="E373" s="66">
        <v>3.8462595126199998E-4</v>
      </c>
    </row>
    <row r="374" spans="2:5" ht="14.5" customHeight="1">
      <c r="B374" s="83"/>
      <c r="C374" s="64" t="s">
        <v>212</v>
      </c>
      <c r="D374" s="65">
        <v>6</v>
      </c>
      <c r="E374" s="66">
        <v>1.64839693398E-4</v>
      </c>
    </row>
    <row r="375" spans="2:5" ht="14.5" customHeight="1">
      <c r="B375" s="83"/>
      <c r="C375" s="64" t="s">
        <v>213</v>
      </c>
      <c r="D375" s="65">
        <v>30</v>
      </c>
      <c r="E375" s="66">
        <v>8.2419846699099996E-4</v>
      </c>
    </row>
    <row r="376" spans="2:5" ht="14.5" customHeight="1">
      <c r="B376" s="83"/>
      <c r="C376" s="64" t="s">
        <v>214</v>
      </c>
      <c r="D376" s="65">
        <v>4</v>
      </c>
      <c r="E376" s="66">
        <v>1.09893128932E-4</v>
      </c>
    </row>
    <row r="377" spans="2:5" ht="14.5" customHeight="1">
      <c r="B377" s="83"/>
      <c r="C377" s="64" t="s">
        <v>215</v>
      </c>
      <c r="D377" s="65">
        <v>37</v>
      </c>
      <c r="E377" s="66">
        <v>1.0165114426219999E-3</v>
      </c>
    </row>
    <row r="378" spans="2:5" ht="14.5" customHeight="1">
      <c r="B378" s="82"/>
      <c r="C378" s="36" t="s">
        <v>29</v>
      </c>
      <c r="D378" s="35">
        <v>498</v>
      </c>
      <c r="E378" s="34">
        <v>1.3681694552048001E-2</v>
      </c>
    </row>
    <row r="379" spans="2:5" ht="14.5" customHeight="1">
      <c r="B379" s="77" t="s">
        <v>127</v>
      </c>
      <c r="C379" s="64" t="s">
        <v>200</v>
      </c>
      <c r="D379" s="65">
        <v>11</v>
      </c>
      <c r="E379" s="66">
        <v>3.0220610456299998E-4</v>
      </c>
    </row>
    <row r="380" spans="2:5" ht="14.5" customHeight="1">
      <c r="B380" s="83"/>
      <c r="C380" s="64" t="s">
        <v>201</v>
      </c>
      <c r="D380" s="65">
        <v>4</v>
      </c>
      <c r="E380" s="66">
        <v>1.09893128932E-4</v>
      </c>
    </row>
    <row r="381" spans="2:5" ht="14.5" customHeight="1">
      <c r="B381" s="83"/>
      <c r="C381" s="64" t="s">
        <v>202</v>
      </c>
      <c r="D381" s="65">
        <v>4</v>
      </c>
      <c r="E381" s="66">
        <v>1.09893128932E-4</v>
      </c>
    </row>
    <row r="382" spans="2:5" ht="14.5" customHeight="1">
      <c r="B382" s="83"/>
      <c r="C382" s="64" t="s">
        <v>204</v>
      </c>
      <c r="D382" s="65">
        <v>8</v>
      </c>
      <c r="E382" s="66">
        <v>2.1978625786400001E-4</v>
      </c>
    </row>
    <row r="383" spans="2:5" ht="14.5" customHeight="1">
      <c r="B383" s="83"/>
      <c r="C383" s="64" t="s">
        <v>205</v>
      </c>
      <c r="D383" s="65">
        <v>7</v>
      </c>
      <c r="E383" s="66">
        <v>1.9231297563099999E-4</v>
      </c>
    </row>
    <row r="384" spans="2:5" ht="14.5" customHeight="1">
      <c r="B384" s="83"/>
      <c r="C384" s="64" t="s">
        <v>206</v>
      </c>
      <c r="D384" s="65">
        <v>6</v>
      </c>
      <c r="E384" s="66">
        <v>1.64839693398E-4</v>
      </c>
    </row>
    <row r="385" spans="2:5" ht="14.5" customHeight="1">
      <c r="B385" s="83"/>
      <c r="C385" s="64" t="s">
        <v>207</v>
      </c>
      <c r="D385" s="65">
        <v>10</v>
      </c>
      <c r="E385" s="66">
        <v>2.7473282233000002E-4</v>
      </c>
    </row>
    <row r="386" spans="2:5" ht="14.5" customHeight="1">
      <c r="B386" s="83"/>
      <c r="C386" s="64" t="s">
        <v>208</v>
      </c>
      <c r="D386" s="65">
        <v>6</v>
      </c>
      <c r="E386" s="66">
        <v>1.64839693398E-4</v>
      </c>
    </row>
    <row r="387" spans="2:5" ht="14.5" customHeight="1">
      <c r="B387" s="83"/>
      <c r="C387" s="64" t="s">
        <v>209</v>
      </c>
      <c r="D387" s="65">
        <v>7</v>
      </c>
      <c r="E387" s="66">
        <v>1.9231297563099999E-4</v>
      </c>
    </row>
    <row r="388" spans="2:5" ht="14.5" customHeight="1">
      <c r="B388" s="83"/>
      <c r="C388" s="64" t="s">
        <v>210</v>
      </c>
      <c r="D388" s="65">
        <v>1</v>
      </c>
      <c r="E388" s="66">
        <v>2.7473282233000001E-5</v>
      </c>
    </row>
    <row r="389" spans="2:5" ht="14.5" customHeight="1">
      <c r="B389" s="83"/>
      <c r="C389" s="64" t="s">
        <v>211</v>
      </c>
      <c r="D389" s="65">
        <v>3</v>
      </c>
      <c r="E389" s="66">
        <v>8.2419846699E-5</v>
      </c>
    </row>
    <row r="390" spans="2:5" ht="14.5" customHeight="1">
      <c r="B390" s="83"/>
      <c r="C390" s="64" t="s">
        <v>212</v>
      </c>
      <c r="D390" s="65">
        <v>5</v>
      </c>
      <c r="E390" s="66">
        <v>1.3736641116500001E-4</v>
      </c>
    </row>
    <row r="391" spans="2:5" ht="14.5" customHeight="1">
      <c r="B391" s="83"/>
      <c r="C391" s="64" t="s">
        <v>213</v>
      </c>
      <c r="D391" s="65">
        <v>9</v>
      </c>
      <c r="E391" s="66">
        <v>2.47259540097E-4</v>
      </c>
    </row>
    <row r="392" spans="2:5" ht="14.5" customHeight="1">
      <c r="B392" s="83"/>
      <c r="C392" s="64" t="s">
        <v>214</v>
      </c>
      <c r="D392" s="65">
        <v>2</v>
      </c>
      <c r="E392" s="66">
        <v>5.4946564466000002E-5</v>
      </c>
    </row>
    <row r="393" spans="2:5" ht="14.5" customHeight="1">
      <c r="B393" s="83"/>
      <c r="C393" s="64" t="s">
        <v>215</v>
      </c>
      <c r="D393" s="65">
        <v>12</v>
      </c>
      <c r="E393" s="66">
        <v>3.29679386796E-4</v>
      </c>
    </row>
    <row r="394" spans="2:5" ht="14.5" customHeight="1">
      <c r="B394" s="82"/>
      <c r="C394" s="36" t="s">
        <v>29</v>
      </c>
      <c r="D394" s="35">
        <v>95</v>
      </c>
      <c r="E394" s="34">
        <v>2.6099618121380001E-3</v>
      </c>
    </row>
    <row r="395" spans="2:5" ht="14.5" customHeight="1">
      <c r="B395" s="77" t="s">
        <v>128</v>
      </c>
      <c r="C395" s="64" t="s">
        <v>200</v>
      </c>
      <c r="D395" s="65">
        <v>25</v>
      </c>
      <c r="E395" s="66">
        <v>6.8683205582600003E-4</v>
      </c>
    </row>
    <row r="396" spans="2:5" ht="14.5" customHeight="1">
      <c r="B396" s="83"/>
      <c r="C396" s="64" t="s">
        <v>201</v>
      </c>
      <c r="D396" s="65">
        <v>19</v>
      </c>
      <c r="E396" s="66">
        <v>5.2199236242800003E-4</v>
      </c>
    </row>
    <row r="397" spans="2:5" ht="14.5" customHeight="1">
      <c r="B397" s="83"/>
      <c r="C397" s="64" t="s">
        <v>202</v>
      </c>
      <c r="D397" s="65">
        <v>14</v>
      </c>
      <c r="E397" s="66">
        <v>3.8462595126199998E-4</v>
      </c>
    </row>
    <row r="398" spans="2:5" ht="14.5" customHeight="1">
      <c r="B398" s="83"/>
      <c r="C398" s="64" t="s">
        <v>203</v>
      </c>
      <c r="D398" s="65">
        <v>3</v>
      </c>
      <c r="E398" s="66">
        <v>8.2419846699E-5</v>
      </c>
    </row>
    <row r="399" spans="2:5" ht="14.5" customHeight="1">
      <c r="B399" s="83"/>
      <c r="C399" s="64" t="s">
        <v>204</v>
      </c>
      <c r="D399" s="65">
        <v>47</v>
      </c>
      <c r="E399" s="66">
        <v>1.291244264952E-3</v>
      </c>
    </row>
    <row r="400" spans="2:5" ht="14.5" customHeight="1">
      <c r="B400" s="83"/>
      <c r="C400" s="64" t="s">
        <v>205</v>
      </c>
      <c r="D400" s="65">
        <v>38</v>
      </c>
      <c r="E400" s="66">
        <v>1.043984724855E-3</v>
      </c>
    </row>
    <row r="401" spans="2:5" ht="14.5" customHeight="1">
      <c r="B401" s="83"/>
      <c r="C401" s="64" t="s">
        <v>206</v>
      </c>
      <c r="D401" s="65">
        <v>7</v>
      </c>
      <c r="E401" s="66">
        <v>1.9231297563099999E-4</v>
      </c>
    </row>
    <row r="402" spans="2:5" ht="14.5" customHeight="1">
      <c r="B402" s="83"/>
      <c r="C402" s="64" t="s">
        <v>207</v>
      </c>
      <c r="D402" s="65">
        <v>38</v>
      </c>
      <c r="E402" s="66">
        <v>1.043984724855E-3</v>
      </c>
    </row>
    <row r="403" spans="2:5" ht="14.5" customHeight="1">
      <c r="B403" s="83"/>
      <c r="C403" s="64" t="s">
        <v>208</v>
      </c>
      <c r="D403" s="65">
        <v>3</v>
      </c>
      <c r="E403" s="66">
        <v>8.2419846699E-5</v>
      </c>
    </row>
    <row r="404" spans="2:5" ht="14.5" customHeight="1">
      <c r="B404" s="83"/>
      <c r="C404" s="64" t="s">
        <v>209</v>
      </c>
      <c r="D404" s="65">
        <v>36</v>
      </c>
      <c r="E404" s="66">
        <v>9.8903816038900007E-4</v>
      </c>
    </row>
    <row r="405" spans="2:5" ht="14.5" customHeight="1">
      <c r="B405" s="83"/>
      <c r="C405" s="64" t="s">
        <v>210</v>
      </c>
      <c r="D405" s="65">
        <v>1</v>
      </c>
      <c r="E405" s="66">
        <v>2.7473282233000001E-5</v>
      </c>
    </row>
    <row r="406" spans="2:5" ht="14.5" customHeight="1">
      <c r="B406" s="83"/>
      <c r="C406" s="64" t="s">
        <v>211</v>
      </c>
      <c r="D406" s="65">
        <v>12</v>
      </c>
      <c r="E406" s="66">
        <v>3.29679386796E-4</v>
      </c>
    </row>
    <row r="407" spans="2:5" ht="14.5" customHeight="1">
      <c r="B407" s="83"/>
      <c r="C407" s="64" t="s">
        <v>212</v>
      </c>
      <c r="D407" s="65">
        <v>4</v>
      </c>
      <c r="E407" s="66">
        <v>1.09893128932E-4</v>
      </c>
    </row>
    <row r="408" spans="2:5" ht="14.5" customHeight="1">
      <c r="B408" s="83"/>
      <c r="C408" s="64" t="s">
        <v>213</v>
      </c>
      <c r="D408" s="65">
        <v>18</v>
      </c>
      <c r="E408" s="66">
        <v>4.9451908019499996E-4</v>
      </c>
    </row>
    <row r="409" spans="2:5" ht="14.5" customHeight="1">
      <c r="B409" s="83"/>
      <c r="C409" s="64" t="s">
        <v>215</v>
      </c>
      <c r="D409" s="65">
        <v>31</v>
      </c>
      <c r="E409" s="66">
        <v>8.5167174922400003E-4</v>
      </c>
    </row>
    <row r="410" spans="2:5" ht="14.5" customHeight="1">
      <c r="B410" s="82"/>
      <c r="C410" s="36" t="s">
        <v>29</v>
      </c>
      <c r="D410" s="35">
        <v>296</v>
      </c>
      <c r="E410" s="34">
        <v>8.1320915409759994E-3</v>
      </c>
    </row>
    <row r="411" spans="2:5" ht="14.5" customHeight="1">
      <c r="B411" s="77" t="s">
        <v>129</v>
      </c>
      <c r="C411" s="64" t="s">
        <v>201</v>
      </c>
      <c r="D411" s="65">
        <v>1</v>
      </c>
      <c r="E411" s="66">
        <v>2.7473282233000001E-5</v>
      </c>
    </row>
    <row r="412" spans="2:5" ht="14.5" customHeight="1">
      <c r="B412" s="83"/>
      <c r="C412" s="64" t="s">
        <v>204</v>
      </c>
      <c r="D412" s="65">
        <v>1</v>
      </c>
      <c r="E412" s="66">
        <v>2.7473282233000001E-5</v>
      </c>
    </row>
    <row r="413" spans="2:5" ht="14.5" customHeight="1">
      <c r="B413" s="83"/>
      <c r="C413" s="64" t="s">
        <v>205</v>
      </c>
      <c r="D413" s="65">
        <v>1</v>
      </c>
      <c r="E413" s="66">
        <v>2.7473282233000001E-5</v>
      </c>
    </row>
    <row r="414" spans="2:5" ht="14.5" customHeight="1">
      <c r="B414" s="83"/>
      <c r="C414" s="64" t="s">
        <v>207</v>
      </c>
      <c r="D414" s="65">
        <v>1</v>
      </c>
      <c r="E414" s="66">
        <v>2.7473282233000001E-5</v>
      </c>
    </row>
    <row r="415" spans="2:5" ht="14.5" customHeight="1">
      <c r="B415" s="83"/>
      <c r="C415" s="64" t="s">
        <v>209</v>
      </c>
      <c r="D415" s="65">
        <v>2</v>
      </c>
      <c r="E415" s="66">
        <v>5.4946564466000002E-5</v>
      </c>
    </row>
    <row r="416" spans="2:5" ht="14.5" customHeight="1">
      <c r="B416" s="82"/>
      <c r="C416" s="36" t="s">
        <v>29</v>
      </c>
      <c r="D416" s="35">
        <v>6</v>
      </c>
      <c r="E416" s="34">
        <v>1.64839693398E-4</v>
      </c>
    </row>
    <row r="417" spans="2:5" ht="14.5" customHeight="1">
      <c r="B417" s="77" t="s">
        <v>130</v>
      </c>
      <c r="C417" s="64" t="s">
        <v>200</v>
      </c>
      <c r="D417" s="65">
        <v>12</v>
      </c>
      <c r="E417" s="66">
        <v>3.29679386796E-4</v>
      </c>
    </row>
    <row r="418" spans="2:5" ht="14.5" customHeight="1">
      <c r="B418" s="83"/>
      <c r="C418" s="64" t="s">
        <v>201</v>
      </c>
      <c r="D418" s="65">
        <v>10</v>
      </c>
      <c r="E418" s="66">
        <v>2.7473282233000002E-4</v>
      </c>
    </row>
    <row r="419" spans="2:5" ht="14.5" customHeight="1">
      <c r="B419" s="83"/>
      <c r="C419" s="64" t="s">
        <v>202</v>
      </c>
      <c r="D419" s="65">
        <v>4</v>
      </c>
      <c r="E419" s="66">
        <v>1.09893128932E-4</v>
      </c>
    </row>
    <row r="420" spans="2:5" ht="14.5" customHeight="1">
      <c r="B420" s="83"/>
      <c r="C420" s="64" t="s">
        <v>203</v>
      </c>
      <c r="D420" s="65">
        <v>1</v>
      </c>
      <c r="E420" s="66">
        <v>2.7473282233000001E-5</v>
      </c>
    </row>
    <row r="421" spans="2:5" ht="14.5" customHeight="1">
      <c r="B421" s="83"/>
      <c r="C421" s="64" t="s">
        <v>204</v>
      </c>
      <c r="D421" s="65">
        <v>16</v>
      </c>
      <c r="E421" s="66">
        <v>4.3957251572800002E-4</v>
      </c>
    </row>
    <row r="422" spans="2:5" ht="14.5" customHeight="1">
      <c r="B422" s="83"/>
      <c r="C422" s="64" t="s">
        <v>205</v>
      </c>
      <c r="D422" s="65">
        <v>17</v>
      </c>
      <c r="E422" s="66">
        <v>4.6704579796099998E-4</v>
      </c>
    </row>
    <row r="423" spans="2:5" ht="14.5" customHeight="1">
      <c r="B423" s="83"/>
      <c r="C423" s="64" t="s">
        <v>206</v>
      </c>
      <c r="D423" s="65">
        <v>9</v>
      </c>
      <c r="E423" s="66">
        <v>2.47259540097E-4</v>
      </c>
    </row>
    <row r="424" spans="2:5" ht="14.5" customHeight="1">
      <c r="B424" s="83"/>
      <c r="C424" s="64" t="s">
        <v>207</v>
      </c>
      <c r="D424" s="65">
        <v>23</v>
      </c>
      <c r="E424" s="66">
        <v>6.3188549136E-4</v>
      </c>
    </row>
    <row r="425" spans="2:5" ht="14.5" customHeight="1">
      <c r="B425" s="83"/>
      <c r="C425" s="64" t="s">
        <v>208</v>
      </c>
      <c r="D425" s="65">
        <v>1</v>
      </c>
      <c r="E425" s="66">
        <v>2.7473282233000001E-5</v>
      </c>
    </row>
    <row r="426" spans="2:5" ht="14.5" customHeight="1">
      <c r="B426" s="83"/>
      <c r="C426" s="64" t="s">
        <v>209</v>
      </c>
      <c r="D426" s="65">
        <v>14</v>
      </c>
      <c r="E426" s="66">
        <v>3.8462595126199998E-4</v>
      </c>
    </row>
    <row r="427" spans="2:5" ht="14.5" customHeight="1">
      <c r="B427" s="83"/>
      <c r="C427" s="64" t="s">
        <v>216</v>
      </c>
      <c r="D427" s="65">
        <v>1</v>
      </c>
      <c r="E427" s="66">
        <v>2.7473282233000001E-5</v>
      </c>
    </row>
    <row r="428" spans="2:5" ht="14.5" customHeight="1">
      <c r="B428" s="83"/>
      <c r="C428" s="64" t="s">
        <v>211</v>
      </c>
      <c r="D428" s="65">
        <v>3</v>
      </c>
      <c r="E428" s="66">
        <v>8.2419846699E-5</v>
      </c>
    </row>
    <row r="429" spans="2:5" ht="14.5" customHeight="1">
      <c r="B429" s="83"/>
      <c r="C429" s="64" t="s">
        <v>212</v>
      </c>
      <c r="D429" s="65">
        <v>4</v>
      </c>
      <c r="E429" s="66">
        <v>1.09893128932E-4</v>
      </c>
    </row>
    <row r="430" spans="2:5" ht="14.5" customHeight="1">
      <c r="B430" s="83"/>
      <c r="C430" s="64" t="s">
        <v>213</v>
      </c>
      <c r="D430" s="65">
        <v>16</v>
      </c>
      <c r="E430" s="66">
        <v>4.3957251572800002E-4</v>
      </c>
    </row>
    <row r="431" spans="2:5" ht="14.5" customHeight="1">
      <c r="B431" s="83"/>
      <c r="C431" s="64" t="s">
        <v>215</v>
      </c>
      <c r="D431" s="65">
        <v>12</v>
      </c>
      <c r="E431" s="66">
        <v>3.29679386796E-4</v>
      </c>
    </row>
    <row r="432" spans="2:5" ht="14.5" customHeight="1">
      <c r="B432" s="82"/>
      <c r="C432" s="36" t="s">
        <v>29</v>
      </c>
      <c r="D432" s="35">
        <v>143</v>
      </c>
      <c r="E432" s="34">
        <v>3.9286793593230002E-3</v>
      </c>
    </row>
    <row r="433" spans="2:5" ht="14.5" customHeight="1">
      <c r="B433" s="77" t="s">
        <v>131</v>
      </c>
      <c r="C433" s="64" t="s">
        <v>200</v>
      </c>
      <c r="D433" s="65">
        <v>59</v>
      </c>
      <c r="E433" s="66">
        <v>1.6209236517490001E-3</v>
      </c>
    </row>
    <row r="434" spans="2:5" ht="14.5" customHeight="1">
      <c r="B434" s="83"/>
      <c r="C434" s="64" t="s">
        <v>201</v>
      </c>
      <c r="D434" s="65">
        <v>66</v>
      </c>
      <c r="E434" s="66">
        <v>1.8132366273799999E-3</v>
      </c>
    </row>
    <row r="435" spans="2:5" ht="14.5" customHeight="1">
      <c r="B435" s="83"/>
      <c r="C435" s="64" t="s">
        <v>202</v>
      </c>
      <c r="D435" s="65">
        <v>38</v>
      </c>
      <c r="E435" s="66">
        <v>1.043984724855E-3</v>
      </c>
    </row>
    <row r="436" spans="2:5" ht="14.5" customHeight="1">
      <c r="B436" s="83"/>
      <c r="C436" s="64" t="s">
        <v>203</v>
      </c>
      <c r="D436" s="65">
        <v>6</v>
      </c>
      <c r="E436" s="66">
        <v>1.64839693398E-4</v>
      </c>
    </row>
    <row r="437" spans="2:5" ht="14.5" customHeight="1">
      <c r="B437" s="83"/>
      <c r="C437" s="64" t="s">
        <v>204</v>
      </c>
      <c r="D437" s="65">
        <v>127</v>
      </c>
      <c r="E437" s="66">
        <v>3.4891068435949999E-3</v>
      </c>
    </row>
    <row r="438" spans="2:5" ht="14.5" customHeight="1">
      <c r="B438" s="83"/>
      <c r="C438" s="64" t="s">
        <v>205</v>
      </c>
      <c r="D438" s="65">
        <v>145</v>
      </c>
      <c r="E438" s="66">
        <v>3.9836259237890003E-3</v>
      </c>
    </row>
    <row r="439" spans="2:5" ht="14.5" customHeight="1">
      <c r="B439" s="83"/>
      <c r="C439" s="64" t="s">
        <v>206</v>
      </c>
      <c r="D439" s="65">
        <v>53</v>
      </c>
      <c r="E439" s="66">
        <v>1.4560839583510001E-3</v>
      </c>
    </row>
    <row r="440" spans="2:5" ht="14.5" customHeight="1">
      <c r="B440" s="83"/>
      <c r="C440" s="64" t="s">
        <v>207</v>
      </c>
      <c r="D440" s="65">
        <v>97</v>
      </c>
      <c r="E440" s="66">
        <v>2.6649083766039998E-3</v>
      </c>
    </row>
    <row r="441" spans="2:5" ht="14.5" customHeight="1">
      <c r="B441" s="83"/>
      <c r="C441" s="64" t="s">
        <v>208</v>
      </c>
      <c r="D441" s="65">
        <v>7</v>
      </c>
      <c r="E441" s="66">
        <v>1.9231297563099999E-4</v>
      </c>
    </row>
    <row r="442" spans="2:5" ht="14.5" customHeight="1">
      <c r="B442" s="83"/>
      <c r="C442" s="64" t="s">
        <v>209</v>
      </c>
      <c r="D442" s="65">
        <v>82</v>
      </c>
      <c r="E442" s="66">
        <v>2.252809143108E-3</v>
      </c>
    </row>
    <row r="443" spans="2:5" ht="14.5" customHeight="1">
      <c r="B443" s="83"/>
      <c r="C443" s="64" t="s">
        <v>210</v>
      </c>
      <c r="D443" s="65">
        <v>10</v>
      </c>
      <c r="E443" s="66">
        <v>2.7473282233000002E-4</v>
      </c>
    </row>
    <row r="444" spans="2:5" ht="14.5" customHeight="1">
      <c r="B444" s="83"/>
      <c r="C444" s="64" t="s">
        <v>216</v>
      </c>
      <c r="D444" s="65">
        <v>9</v>
      </c>
      <c r="E444" s="66">
        <v>2.47259540097E-4</v>
      </c>
    </row>
    <row r="445" spans="2:5" ht="14.5" customHeight="1">
      <c r="B445" s="83"/>
      <c r="C445" s="64" t="s">
        <v>211</v>
      </c>
      <c r="D445" s="65">
        <v>25</v>
      </c>
      <c r="E445" s="66">
        <v>6.8683205582600003E-4</v>
      </c>
    </row>
    <row r="446" spans="2:5" ht="14.5" customHeight="1">
      <c r="B446" s="83"/>
      <c r="C446" s="64" t="s">
        <v>212</v>
      </c>
      <c r="D446" s="65">
        <v>18</v>
      </c>
      <c r="E446" s="66">
        <v>4.9451908019499996E-4</v>
      </c>
    </row>
    <row r="447" spans="2:5" ht="14.5" customHeight="1">
      <c r="B447" s="83"/>
      <c r="C447" s="64" t="s">
        <v>213</v>
      </c>
      <c r="D447" s="65">
        <v>54</v>
      </c>
      <c r="E447" s="66">
        <v>1.4835572405839999E-3</v>
      </c>
    </row>
    <row r="448" spans="2:5" ht="14.5" customHeight="1">
      <c r="B448" s="83"/>
      <c r="C448" s="64" t="s">
        <v>214</v>
      </c>
      <c r="D448" s="65">
        <v>7</v>
      </c>
      <c r="E448" s="66">
        <v>1.9231297563099999E-4</v>
      </c>
    </row>
    <row r="449" spans="2:5" ht="14.5" customHeight="1">
      <c r="B449" s="83"/>
      <c r="C449" s="64" t="s">
        <v>215</v>
      </c>
      <c r="D449" s="65">
        <v>258</v>
      </c>
      <c r="E449" s="66">
        <v>7.088106816121E-3</v>
      </c>
    </row>
    <row r="450" spans="2:5" ht="14.5" customHeight="1">
      <c r="B450" s="82"/>
      <c r="C450" s="36" t="s">
        <v>29</v>
      </c>
      <c r="D450" s="35">
        <v>1061</v>
      </c>
      <c r="E450" s="34">
        <v>2.9149152449243002E-2</v>
      </c>
    </row>
    <row r="451" spans="2:5" ht="14.5" customHeight="1">
      <c r="B451" s="77" t="s">
        <v>132</v>
      </c>
      <c r="C451" s="64" t="s">
        <v>204</v>
      </c>
      <c r="D451" s="65">
        <v>2</v>
      </c>
      <c r="E451" s="66">
        <v>5.4946564466000002E-5</v>
      </c>
    </row>
    <row r="452" spans="2:5" ht="14.5" customHeight="1">
      <c r="B452" s="83"/>
      <c r="C452" s="64" t="s">
        <v>205</v>
      </c>
      <c r="D452" s="65">
        <v>2</v>
      </c>
      <c r="E452" s="66">
        <v>5.4946564466000002E-5</v>
      </c>
    </row>
    <row r="453" spans="2:5" ht="14.5" customHeight="1">
      <c r="B453" s="83"/>
      <c r="C453" s="64" t="s">
        <v>213</v>
      </c>
      <c r="D453" s="65">
        <v>1</v>
      </c>
      <c r="E453" s="66">
        <v>2.7473282233000001E-5</v>
      </c>
    </row>
    <row r="454" spans="2:5" ht="14.5" customHeight="1">
      <c r="B454" s="82"/>
      <c r="C454" s="36" t="s">
        <v>29</v>
      </c>
      <c r="D454" s="35">
        <v>5</v>
      </c>
      <c r="E454" s="34">
        <v>1.3736641116500001E-4</v>
      </c>
    </row>
    <row r="455" spans="2:5" ht="14.5" customHeight="1">
      <c r="B455" s="77" t="s">
        <v>133</v>
      </c>
      <c r="C455" s="64" t="s">
        <v>200</v>
      </c>
      <c r="D455" s="65">
        <v>25</v>
      </c>
      <c r="E455" s="66">
        <v>6.8683205582600003E-4</v>
      </c>
    </row>
    <row r="456" spans="2:5" ht="14.5" customHeight="1">
      <c r="B456" s="83"/>
      <c r="C456" s="64" t="s">
        <v>201</v>
      </c>
      <c r="D456" s="65">
        <v>50</v>
      </c>
      <c r="E456" s="66">
        <v>1.373664111651E-3</v>
      </c>
    </row>
    <row r="457" spans="2:5" ht="14.5" customHeight="1">
      <c r="B457" s="83"/>
      <c r="C457" s="64" t="s">
        <v>202</v>
      </c>
      <c r="D457" s="65">
        <v>21</v>
      </c>
      <c r="E457" s="66">
        <v>5.7693892689399996E-4</v>
      </c>
    </row>
    <row r="458" spans="2:5" ht="14.5" customHeight="1">
      <c r="B458" s="83"/>
      <c r="C458" s="64" t="s">
        <v>203</v>
      </c>
      <c r="D458" s="65">
        <v>2</v>
      </c>
      <c r="E458" s="66">
        <v>5.4946564466000002E-5</v>
      </c>
    </row>
    <row r="459" spans="2:5" ht="14.5" customHeight="1">
      <c r="B459" s="83"/>
      <c r="C459" s="64" t="s">
        <v>204</v>
      </c>
      <c r="D459" s="65">
        <v>90</v>
      </c>
      <c r="E459" s="66">
        <v>2.4725954009730002E-3</v>
      </c>
    </row>
    <row r="460" spans="2:5" ht="14.5" customHeight="1">
      <c r="B460" s="83"/>
      <c r="C460" s="64" t="s">
        <v>205</v>
      </c>
      <c r="D460" s="65">
        <v>53</v>
      </c>
      <c r="E460" s="66">
        <v>1.4560839583510001E-3</v>
      </c>
    </row>
    <row r="461" spans="2:5" ht="14.5" customHeight="1">
      <c r="B461" s="83"/>
      <c r="C461" s="64" t="s">
        <v>206</v>
      </c>
      <c r="D461" s="65">
        <v>38</v>
      </c>
      <c r="E461" s="66">
        <v>1.043984724855E-3</v>
      </c>
    </row>
    <row r="462" spans="2:5" ht="14.5" customHeight="1">
      <c r="B462" s="83"/>
      <c r="C462" s="64" t="s">
        <v>207</v>
      </c>
      <c r="D462" s="65">
        <v>74</v>
      </c>
      <c r="E462" s="66">
        <v>2.0330228852439998E-3</v>
      </c>
    </row>
    <row r="463" spans="2:5" ht="14.5" customHeight="1">
      <c r="B463" s="83"/>
      <c r="C463" s="64" t="s">
        <v>208</v>
      </c>
      <c r="D463" s="65">
        <v>7</v>
      </c>
      <c r="E463" s="66">
        <v>1.9231297563099999E-4</v>
      </c>
    </row>
    <row r="464" spans="2:5" ht="14.5" customHeight="1">
      <c r="B464" s="83"/>
      <c r="C464" s="64" t="s">
        <v>209</v>
      </c>
      <c r="D464" s="65">
        <v>58</v>
      </c>
      <c r="E464" s="66">
        <v>1.593450369516E-3</v>
      </c>
    </row>
    <row r="465" spans="2:5" ht="14.5" customHeight="1">
      <c r="B465" s="83"/>
      <c r="C465" s="64" t="s">
        <v>210</v>
      </c>
      <c r="D465" s="65">
        <v>10</v>
      </c>
      <c r="E465" s="66">
        <v>2.7473282233000002E-4</v>
      </c>
    </row>
    <row r="466" spans="2:5" ht="14.5" customHeight="1">
      <c r="B466" s="83"/>
      <c r="C466" s="64" t="s">
        <v>211</v>
      </c>
      <c r="D466" s="65">
        <v>18</v>
      </c>
      <c r="E466" s="66">
        <v>4.9451908019499996E-4</v>
      </c>
    </row>
    <row r="467" spans="2:5" ht="14.5" customHeight="1">
      <c r="B467" s="83"/>
      <c r="C467" s="64" t="s">
        <v>212</v>
      </c>
      <c r="D467" s="65">
        <v>22</v>
      </c>
      <c r="E467" s="66">
        <v>6.0441220912700003E-4</v>
      </c>
    </row>
    <row r="468" spans="2:5" ht="14.5" customHeight="1">
      <c r="B468" s="83"/>
      <c r="C468" s="64" t="s">
        <v>213</v>
      </c>
      <c r="D468" s="65">
        <v>37</v>
      </c>
      <c r="E468" s="66">
        <v>1.0165114426219999E-3</v>
      </c>
    </row>
    <row r="469" spans="2:5" ht="14.5" customHeight="1">
      <c r="B469" s="83"/>
      <c r="C469" s="64" t="s">
        <v>214</v>
      </c>
      <c r="D469" s="65">
        <v>4</v>
      </c>
      <c r="E469" s="66">
        <v>1.09893128932E-4</v>
      </c>
    </row>
    <row r="470" spans="2:5" ht="14.5" customHeight="1">
      <c r="B470" s="83"/>
      <c r="C470" s="64" t="s">
        <v>215</v>
      </c>
      <c r="D470" s="65">
        <v>37</v>
      </c>
      <c r="E470" s="66">
        <v>1.0165114426219999E-3</v>
      </c>
    </row>
    <row r="471" spans="2:5" ht="14.5" customHeight="1">
      <c r="B471" s="82"/>
      <c r="C471" s="36" t="s">
        <v>29</v>
      </c>
      <c r="D471" s="35">
        <v>546</v>
      </c>
      <c r="E471" s="34">
        <v>1.5000412099233E-2</v>
      </c>
    </row>
    <row r="472" spans="2:5" ht="14.5" customHeight="1">
      <c r="B472" s="77" t="s">
        <v>134</v>
      </c>
      <c r="C472" s="64" t="s">
        <v>200</v>
      </c>
      <c r="D472" s="65">
        <v>7</v>
      </c>
      <c r="E472" s="66">
        <v>1.9231297563099999E-4</v>
      </c>
    </row>
    <row r="473" spans="2:5" ht="14.5" customHeight="1">
      <c r="B473" s="83"/>
      <c r="C473" s="64" t="s">
        <v>201</v>
      </c>
      <c r="D473" s="65">
        <v>6</v>
      </c>
      <c r="E473" s="66">
        <v>1.64839693398E-4</v>
      </c>
    </row>
    <row r="474" spans="2:5" ht="14.5" customHeight="1">
      <c r="B474" s="83"/>
      <c r="C474" s="64" t="s">
        <v>202</v>
      </c>
      <c r="D474" s="65">
        <v>2</v>
      </c>
      <c r="E474" s="66">
        <v>5.4946564466000002E-5</v>
      </c>
    </row>
    <row r="475" spans="2:5" ht="14.5" customHeight="1">
      <c r="B475" s="83"/>
      <c r="C475" s="64" t="s">
        <v>204</v>
      </c>
      <c r="D475" s="65">
        <v>11</v>
      </c>
      <c r="E475" s="66">
        <v>3.0220610456299998E-4</v>
      </c>
    </row>
    <row r="476" spans="2:5" ht="14.5" customHeight="1">
      <c r="B476" s="83"/>
      <c r="C476" s="64" t="s">
        <v>205</v>
      </c>
      <c r="D476" s="65">
        <v>15</v>
      </c>
      <c r="E476" s="66">
        <v>4.12099233495E-4</v>
      </c>
    </row>
    <row r="477" spans="2:5" ht="14.5" customHeight="1">
      <c r="B477" s="83"/>
      <c r="C477" s="64" t="s">
        <v>206</v>
      </c>
      <c r="D477" s="65">
        <v>9</v>
      </c>
      <c r="E477" s="66">
        <v>2.47259540097E-4</v>
      </c>
    </row>
    <row r="478" spans="2:5" ht="14.5" customHeight="1">
      <c r="B478" s="83"/>
      <c r="C478" s="64" t="s">
        <v>207</v>
      </c>
      <c r="D478" s="65">
        <v>4</v>
      </c>
      <c r="E478" s="66">
        <v>1.09893128932E-4</v>
      </c>
    </row>
    <row r="479" spans="2:5" ht="14.5" customHeight="1">
      <c r="B479" s="83"/>
      <c r="C479" s="64" t="s">
        <v>208</v>
      </c>
      <c r="D479" s="65">
        <v>2</v>
      </c>
      <c r="E479" s="66">
        <v>5.4946564466000002E-5</v>
      </c>
    </row>
    <row r="480" spans="2:5" ht="14.5" customHeight="1">
      <c r="B480" s="83"/>
      <c r="C480" s="64" t="s">
        <v>209</v>
      </c>
      <c r="D480" s="65">
        <v>7</v>
      </c>
      <c r="E480" s="66">
        <v>1.9231297563099999E-4</v>
      </c>
    </row>
    <row r="481" spans="2:5" ht="14.5" customHeight="1">
      <c r="B481" s="83"/>
      <c r="C481" s="64" t="s">
        <v>211</v>
      </c>
      <c r="D481" s="65">
        <v>1</v>
      </c>
      <c r="E481" s="66">
        <v>2.7473282233000001E-5</v>
      </c>
    </row>
    <row r="482" spans="2:5" ht="14.5" customHeight="1">
      <c r="B482" s="83"/>
      <c r="C482" s="64" t="s">
        <v>212</v>
      </c>
      <c r="D482" s="65">
        <v>5</v>
      </c>
      <c r="E482" s="66">
        <v>1.3736641116500001E-4</v>
      </c>
    </row>
    <row r="483" spans="2:5" ht="14.5" customHeight="1">
      <c r="B483" s="83"/>
      <c r="C483" s="64" t="s">
        <v>213</v>
      </c>
      <c r="D483" s="65">
        <v>6</v>
      </c>
      <c r="E483" s="66">
        <v>1.64839693398E-4</v>
      </c>
    </row>
    <row r="484" spans="2:5" ht="14.5" customHeight="1">
      <c r="B484" s="83"/>
      <c r="C484" s="64" t="s">
        <v>215</v>
      </c>
      <c r="D484" s="65">
        <v>17</v>
      </c>
      <c r="E484" s="66">
        <v>4.6704579796099998E-4</v>
      </c>
    </row>
    <row r="485" spans="2:5" ht="14.5" customHeight="1">
      <c r="B485" s="82"/>
      <c r="C485" s="36" t="s">
        <v>29</v>
      </c>
      <c r="D485" s="35">
        <v>92</v>
      </c>
      <c r="E485" s="34">
        <v>2.5275419654389999E-3</v>
      </c>
    </row>
    <row r="486" spans="2:5" ht="14.5" customHeight="1">
      <c r="B486" s="77" t="s">
        <v>135</v>
      </c>
      <c r="C486" s="64" t="s">
        <v>200</v>
      </c>
      <c r="D486" s="65">
        <v>30</v>
      </c>
      <c r="E486" s="66">
        <v>8.2419846699099996E-4</v>
      </c>
    </row>
    <row r="487" spans="2:5" ht="14.5" customHeight="1">
      <c r="B487" s="83"/>
      <c r="C487" s="64" t="s">
        <v>201</v>
      </c>
      <c r="D487" s="65">
        <v>69</v>
      </c>
      <c r="E487" s="66">
        <v>1.8956564740789999E-3</v>
      </c>
    </row>
    <row r="488" spans="2:5" ht="14.5" customHeight="1">
      <c r="B488" s="83"/>
      <c r="C488" s="64" t="s">
        <v>202</v>
      </c>
      <c r="D488" s="65">
        <v>41</v>
      </c>
      <c r="E488" s="66">
        <v>1.126404571554E-3</v>
      </c>
    </row>
    <row r="489" spans="2:5" ht="14.5" customHeight="1">
      <c r="B489" s="83"/>
      <c r="C489" s="64" t="s">
        <v>203</v>
      </c>
      <c r="D489" s="65">
        <v>7</v>
      </c>
      <c r="E489" s="66">
        <v>1.9231297563099999E-4</v>
      </c>
    </row>
    <row r="490" spans="2:5" ht="14.5" customHeight="1">
      <c r="B490" s="83"/>
      <c r="C490" s="64" t="s">
        <v>204</v>
      </c>
      <c r="D490" s="65">
        <v>104</v>
      </c>
      <c r="E490" s="66">
        <v>2.8572213522349999E-3</v>
      </c>
    </row>
    <row r="491" spans="2:5" ht="14.5" customHeight="1">
      <c r="B491" s="83"/>
      <c r="C491" s="64" t="s">
        <v>205</v>
      </c>
      <c r="D491" s="65">
        <v>79</v>
      </c>
      <c r="E491" s="66">
        <v>2.1703892964090002E-3</v>
      </c>
    </row>
    <row r="492" spans="2:5" ht="14.5" customHeight="1">
      <c r="B492" s="83"/>
      <c r="C492" s="64" t="s">
        <v>206</v>
      </c>
      <c r="D492" s="65">
        <v>75</v>
      </c>
      <c r="E492" s="66">
        <v>2.0604961674769999E-3</v>
      </c>
    </row>
    <row r="493" spans="2:5" ht="14.5" customHeight="1">
      <c r="B493" s="83"/>
      <c r="C493" s="64" t="s">
        <v>207</v>
      </c>
      <c r="D493" s="65">
        <v>127</v>
      </c>
      <c r="E493" s="66">
        <v>3.4891068435949999E-3</v>
      </c>
    </row>
    <row r="494" spans="2:5" ht="14.5" customHeight="1">
      <c r="B494" s="83"/>
      <c r="C494" s="64" t="s">
        <v>208</v>
      </c>
      <c r="D494" s="65">
        <v>22</v>
      </c>
      <c r="E494" s="66">
        <v>6.0441220912700003E-4</v>
      </c>
    </row>
    <row r="495" spans="2:5" ht="14.5" customHeight="1">
      <c r="B495" s="83"/>
      <c r="C495" s="64" t="s">
        <v>209</v>
      </c>
      <c r="D495" s="65">
        <v>70</v>
      </c>
      <c r="E495" s="66">
        <v>1.923129756312E-3</v>
      </c>
    </row>
    <row r="496" spans="2:5" ht="14.5" customHeight="1">
      <c r="B496" s="83"/>
      <c r="C496" s="64" t="s">
        <v>210</v>
      </c>
      <c r="D496" s="65">
        <v>14</v>
      </c>
      <c r="E496" s="66">
        <v>3.8462595126199998E-4</v>
      </c>
    </row>
    <row r="497" spans="2:5" ht="14.5" customHeight="1">
      <c r="B497" s="83"/>
      <c r="C497" s="64" t="s">
        <v>216</v>
      </c>
      <c r="D497" s="65">
        <v>6</v>
      </c>
      <c r="E497" s="66">
        <v>1.64839693398E-4</v>
      </c>
    </row>
    <row r="498" spans="2:5" ht="14.5" customHeight="1">
      <c r="B498" s="83"/>
      <c r="C498" s="64" t="s">
        <v>211</v>
      </c>
      <c r="D498" s="65">
        <v>16</v>
      </c>
      <c r="E498" s="66">
        <v>4.3957251572800002E-4</v>
      </c>
    </row>
    <row r="499" spans="2:5" ht="14.5" customHeight="1">
      <c r="B499" s="83"/>
      <c r="C499" s="64" t="s">
        <v>212</v>
      </c>
      <c r="D499" s="65">
        <v>24</v>
      </c>
      <c r="E499" s="66">
        <v>6.5935877359299996E-4</v>
      </c>
    </row>
    <row r="500" spans="2:5" ht="14.5" customHeight="1">
      <c r="B500" s="83"/>
      <c r="C500" s="64" t="s">
        <v>213</v>
      </c>
      <c r="D500" s="65">
        <v>67</v>
      </c>
      <c r="E500" s="66">
        <v>1.840709909613E-3</v>
      </c>
    </row>
    <row r="501" spans="2:5" ht="14.5" customHeight="1">
      <c r="B501" s="83"/>
      <c r="C501" s="64" t="s">
        <v>214</v>
      </c>
      <c r="D501" s="65">
        <v>9</v>
      </c>
      <c r="E501" s="66">
        <v>2.47259540097E-4</v>
      </c>
    </row>
    <row r="502" spans="2:5" ht="14.5" customHeight="1">
      <c r="B502" s="83"/>
      <c r="C502" s="64" t="s">
        <v>215</v>
      </c>
      <c r="D502" s="65">
        <v>71</v>
      </c>
      <c r="E502" s="66">
        <v>1.9506030385450001E-3</v>
      </c>
    </row>
    <row r="503" spans="2:5" ht="14.5" customHeight="1">
      <c r="B503" s="82"/>
      <c r="C503" s="36" t="s">
        <v>29</v>
      </c>
      <c r="D503" s="35">
        <v>831</v>
      </c>
      <c r="E503" s="34">
        <v>2.2830297535646998E-2</v>
      </c>
    </row>
    <row r="504" spans="2:5" ht="14.5" customHeight="1">
      <c r="B504" s="77" t="s">
        <v>136</v>
      </c>
      <c r="C504" s="64" t="s">
        <v>200</v>
      </c>
      <c r="D504" s="65">
        <v>71</v>
      </c>
      <c r="E504" s="66">
        <v>1.9506030385450001E-3</v>
      </c>
    </row>
    <row r="505" spans="2:5" ht="14.5" customHeight="1">
      <c r="B505" s="83"/>
      <c r="C505" s="64" t="s">
        <v>201</v>
      </c>
      <c r="D505" s="65">
        <v>65</v>
      </c>
      <c r="E505" s="66">
        <v>1.7857633451470001E-3</v>
      </c>
    </row>
    <row r="506" spans="2:5" ht="14.5" customHeight="1">
      <c r="B506" s="83"/>
      <c r="C506" s="64" t="s">
        <v>202</v>
      </c>
      <c r="D506" s="65">
        <v>38</v>
      </c>
      <c r="E506" s="66">
        <v>1.043984724855E-3</v>
      </c>
    </row>
    <row r="507" spans="2:5" ht="14.5" customHeight="1">
      <c r="B507" s="83"/>
      <c r="C507" s="64" t="s">
        <v>203</v>
      </c>
      <c r="D507" s="65">
        <v>9</v>
      </c>
      <c r="E507" s="66">
        <v>2.47259540097E-4</v>
      </c>
    </row>
    <row r="508" spans="2:5" ht="14.5" customHeight="1">
      <c r="B508" s="83"/>
      <c r="C508" s="64" t="s">
        <v>204</v>
      </c>
      <c r="D508" s="65">
        <v>140</v>
      </c>
      <c r="E508" s="66">
        <v>3.846259512624E-3</v>
      </c>
    </row>
    <row r="509" spans="2:5" ht="14.5" customHeight="1">
      <c r="B509" s="83"/>
      <c r="C509" s="64" t="s">
        <v>205</v>
      </c>
      <c r="D509" s="65">
        <v>152</v>
      </c>
      <c r="E509" s="66">
        <v>4.17593889942E-3</v>
      </c>
    </row>
    <row r="510" spans="2:5" ht="14.5" customHeight="1">
      <c r="B510" s="83"/>
      <c r="C510" s="64" t="s">
        <v>206</v>
      </c>
      <c r="D510" s="65">
        <v>44</v>
      </c>
      <c r="E510" s="66">
        <v>1.208824418253E-3</v>
      </c>
    </row>
    <row r="511" spans="2:5" ht="14.5" customHeight="1">
      <c r="B511" s="83"/>
      <c r="C511" s="64" t="s">
        <v>207</v>
      </c>
      <c r="D511" s="65">
        <v>125</v>
      </c>
      <c r="E511" s="66">
        <v>3.4341602791290002E-3</v>
      </c>
    </row>
    <row r="512" spans="2:5" ht="14.5" customHeight="1">
      <c r="B512" s="83"/>
      <c r="C512" s="64" t="s">
        <v>208</v>
      </c>
      <c r="D512" s="65">
        <v>12</v>
      </c>
      <c r="E512" s="66">
        <v>3.29679386796E-4</v>
      </c>
    </row>
    <row r="513" spans="2:5" ht="14.5" customHeight="1">
      <c r="B513" s="83"/>
      <c r="C513" s="64" t="s">
        <v>209</v>
      </c>
      <c r="D513" s="65">
        <v>98</v>
      </c>
      <c r="E513" s="66">
        <v>2.6923816588369999E-3</v>
      </c>
    </row>
    <row r="514" spans="2:5" ht="14.5" customHeight="1">
      <c r="B514" s="83"/>
      <c r="C514" s="64" t="s">
        <v>210</v>
      </c>
      <c r="D514" s="65">
        <v>16</v>
      </c>
      <c r="E514" s="66">
        <v>4.3957251572800002E-4</v>
      </c>
    </row>
    <row r="515" spans="2:5" ht="14.5" customHeight="1">
      <c r="B515" s="83"/>
      <c r="C515" s="64" t="s">
        <v>216</v>
      </c>
      <c r="D515" s="65">
        <v>1</v>
      </c>
      <c r="E515" s="66">
        <v>2.7473282233000001E-5</v>
      </c>
    </row>
    <row r="516" spans="2:5" ht="14.5" customHeight="1">
      <c r="B516" s="83"/>
      <c r="C516" s="64" t="s">
        <v>224</v>
      </c>
      <c r="D516" s="65">
        <v>1</v>
      </c>
      <c r="E516" s="66">
        <v>2.7473282233000001E-5</v>
      </c>
    </row>
    <row r="517" spans="2:5" ht="14.5" customHeight="1">
      <c r="B517" s="83"/>
      <c r="C517" s="64" t="s">
        <v>211</v>
      </c>
      <c r="D517" s="65">
        <v>37</v>
      </c>
      <c r="E517" s="66">
        <v>1.0165114426219999E-3</v>
      </c>
    </row>
    <row r="518" spans="2:5" ht="14.5" customHeight="1">
      <c r="B518" s="83"/>
      <c r="C518" s="64" t="s">
        <v>212</v>
      </c>
      <c r="D518" s="65">
        <v>18</v>
      </c>
      <c r="E518" s="66">
        <v>4.9451908019499996E-4</v>
      </c>
    </row>
    <row r="519" spans="2:5" ht="14.5" customHeight="1">
      <c r="B519" s="83"/>
      <c r="C519" s="64" t="s">
        <v>213</v>
      </c>
      <c r="D519" s="65">
        <v>65</v>
      </c>
      <c r="E519" s="66">
        <v>1.7857633451470001E-3</v>
      </c>
    </row>
    <row r="520" spans="2:5" ht="14.5" customHeight="1">
      <c r="B520" s="83"/>
      <c r="C520" s="64" t="s">
        <v>214</v>
      </c>
      <c r="D520" s="65">
        <v>11</v>
      </c>
      <c r="E520" s="66">
        <v>3.0220610456299998E-4</v>
      </c>
    </row>
    <row r="521" spans="2:5" ht="14.5" customHeight="1">
      <c r="B521" s="83"/>
      <c r="C521" s="64" t="s">
        <v>215</v>
      </c>
      <c r="D521" s="65">
        <v>69</v>
      </c>
      <c r="E521" s="66">
        <v>1.8956564740789999E-3</v>
      </c>
    </row>
    <row r="522" spans="2:5" ht="14.5" customHeight="1">
      <c r="B522" s="82"/>
      <c r="C522" s="36" t="s">
        <v>29</v>
      </c>
      <c r="D522" s="35">
        <v>972</v>
      </c>
      <c r="E522" s="34">
        <v>2.6704030330503999E-2</v>
      </c>
    </row>
    <row r="523" spans="2:5" ht="14.5" customHeight="1">
      <c r="B523" s="77" t="s">
        <v>137</v>
      </c>
      <c r="C523" s="64" t="s">
        <v>200</v>
      </c>
      <c r="D523" s="65">
        <v>1</v>
      </c>
      <c r="E523" s="66">
        <v>2.7473282233000001E-5</v>
      </c>
    </row>
    <row r="524" spans="2:5" ht="14.5" customHeight="1">
      <c r="B524" s="83"/>
      <c r="C524" s="64" t="s">
        <v>205</v>
      </c>
      <c r="D524" s="65">
        <v>1</v>
      </c>
      <c r="E524" s="66">
        <v>2.7473282233000001E-5</v>
      </c>
    </row>
    <row r="525" spans="2:5" ht="14.5" customHeight="1">
      <c r="B525" s="83"/>
      <c r="C525" s="64" t="s">
        <v>206</v>
      </c>
      <c r="D525" s="65">
        <v>1</v>
      </c>
      <c r="E525" s="66">
        <v>2.7473282233000001E-5</v>
      </c>
    </row>
    <row r="526" spans="2:5" ht="14.5" customHeight="1">
      <c r="B526" s="83"/>
      <c r="C526" s="64" t="s">
        <v>207</v>
      </c>
      <c r="D526" s="65">
        <v>1</v>
      </c>
      <c r="E526" s="66">
        <v>2.7473282233000001E-5</v>
      </c>
    </row>
    <row r="527" spans="2:5" ht="14.5" customHeight="1">
      <c r="B527" s="82"/>
      <c r="C527" s="36" t="s">
        <v>29</v>
      </c>
      <c r="D527" s="35">
        <v>4</v>
      </c>
      <c r="E527" s="34">
        <v>1.09893128932E-4</v>
      </c>
    </row>
    <row r="528" spans="2:5" ht="14.5" customHeight="1">
      <c r="B528" s="77" t="s">
        <v>138</v>
      </c>
      <c r="C528" s="64" t="s">
        <v>200</v>
      </c>
      <c r="D528" s="65">
        <v>22</v>
      </c>
      <c r="E528" s="66">
        <v>6.0441220912700003E-4</v>
      </c>
    </row>
    <row r="529" spans="2:5" ht="14.5" customHeight="1">
      <c r="B529" s="83"/>
      <c r="C529" s="64" t="s">
        <v>201</v>
      </c>
      <c r="D529" s="65">
        <v>15</v>
      </c>
      <c r="E529" s="66">
        <v>4.12099233495E-4</v>
      </c>
    </row>
    <row r="530" spans="2:5" ht="14.5" customHeight="1">
      <c r="B530" s="83"/>
      <c r="C530" s="64" t="s">
        <v>202</v>
      </c>
      <c r="D530" s="65">
        <v>13</v>
      </c>
      <c r="E530" s="66">
        <v>3.5715266902900002E-4</v>
      </c>
    </row>
    <row r="531" spans="2:5" ht="14.5" customHeight="1">
      <c r="B531" s="83"/>
      <c r="C531" s="64" t="s">
        <v>203</v>
      </c>
      <c r="D531" s="65">
        <v>1</v>
      </c>
      <c r="E531" s="66">
        <v>2.7473282233000001E-5</v>
      </c>
    </row>
    <row r="532" spans="2:5" ht="14.5" customHeight="1">
      <c r="B532" s="83"/>
      <c r="C532" s="64" t="s">
        <v>204</v>
      </c>
      <c r="D532" s="65">
        <v>32</v>
      </c>
      <c r="E532" s="66">
        <v>8.79145031457E-4</v>
      </c>
    </row>
    <row r="533" spans="2:5" ht="14.5" customHeight="1">
      <c r="B533" s="83"/>
      <c r="C533" s="64" t="s">
        <v>205</v>
      </c>
      <c r="D533" s="65">
        <v>40</v>
      </c>
      <c r="E533" s="66">
        <v>1.0989312893209999E-3</v>
      </c>
    </row>
    <row r="534" spans="2:5" ht="14.5" customHeight="1">
      <c r="B534" s="83"/>
      <c r="C534" s="64" t="s">
        <v>206</v>
      </c>
      <c r="D534" s="65">
        <v>22</v>
      </c>
      <c r="E534" s="66">
        <v>6.0441220912700003E-4</v>
      </c>
    </row>
    <row r="535" spans="2:5" ht="14.5" customHeight="1">
      <c r="B535" s="83"/>
      <c r="C535" s="64" t="s">
        <v>207</v>
      </c>
      <c r="D535" s="65">
        <v>23</v>
      </c>
      <c r="E535" s="66">
        <v>6.3188549136E-4</v>
      </c>
    </row>
    <row r="536" spans="2:5" ht="14.5" customHeight="1">
      <c r="B536" s="83"/>
      <c r="C536" s="64" t="s">
        <v>208</v>
      </c>
      <c r="D536" s="65">
        <v>10</v>
      </c>
      <c r="E536" s="66">
        <v>2.7473282233000002E-4</v>
      </c>
    </row>
    <row r="537" spans="2:5" ht="14.5" customHeight="1">
      <c r="B537" s="83"/>
      <c r="C537" s="64" t="s">
        <v>209</v>
      </c>
      <c r="D537" s="65">
        <v>28</v>
      </c>
      <c r="E537" s="66">
        <v>7.6925190252500003E-4</v>
      </c>
    </row>
    <row r="538" spans="2:5" ht="14.5" customHeight="1">
      <c r="B538" s="83"/>
      <c r="C538" s="64" t="s">
        <v>210</v>
      </c>
      <c r="D538" s="65">
        <v>4</v>
      </c>
      <c r="E538" s="66">
        <v>1.09893128932E-4</v>
      </c>
    </row>
    <row r="539" spans="2:5" ht="14.5" customHeight="1">
      <c r="B539" s="83"/>
      <c r="C539" s="64" t="s">
        <v>216</v>
      </c>
      <c r="D539" s="65">
        <v>1</v>
      </c>
      <c r="E539" s="66">
        <v>2.7473282233000001E-5</v>
      </c>
    </row>
    <row r="540" spans="2:5" ht="14.5" customHeight="1">
      <c r="B540" s="83"/>
      <c r="C540" s="64" t="s">
        <v>211</v>
      </c>
      <c r="D540" s="65">
        <v>15</v>
      </c>
      <c r="E540" s="66">
        <v>4.12099233495E-4</v>
      </c>
    </row>
    <row r="541" spans="2:5" ht="14.5" customHeight="1">
      <c r="B541" s="83"/>
      <c r="C541" s="64" t="s">
        <v>212</v>
      </c>
      <c r="D541" s="65">
        <v>7</v>
      </c>
      <c r="E541" s="66">
        <v>1.9231297563099999E-4</v>
      </c>
    </row>
    <row r="542" spans="2:5" ht="14.5" customHeight="1">
      <c r="B542" s="83"/>
      <c r="C542" s="64" t="s">
        <v>213</v>
      </c>
      <c r="D542" s="65">
        <v>14</v>
      </c>
      <c r="E542" s="66">
        <v>3.8462595126199998E-4</v>
      </c>
    </row>
    <row r="543" spans="2:5" ht="14.5" customHeight="1">
      <c r="B543" s="83"/>
      <c r="C543" s="64" t="s">
        <v>214</v>
      </c>
      <c r="D543" s="65">
        <v>2</v>
      </c>
      <c r="E543" s="66">
        <v>5.4946564466000002E-5</v>
      </c>
    </row>
    <row r="544" spans="2:5" ht="14.5" customHeight="1">
      <c r="B544" s="83"/>
      <c r="C544" s="64" t="s">
        <v>215</v>
      </c>
      <c r="D544" s="65">
        <v>35</v>
      </c>
      <c r="E544" s="66">
        <v>9.61564878156E-4</v>
      </c>
    </row>
    <row r="545" spans="2:5" ht="14.5" customHeight="1">
      <c r="B545" s="82"/>
      <c r="C545" s="36" t="s">
        <v>29</v>
      </c>
      <c r="D545" s="35">
        <v>284</v>
      </c>
      <c r="E545" s="34">
        <v>7.8024121541800003E-3</v>
      </c>
    </row>
    <row r="546" spans="2:5" ht="14.5" customHeight="1">
      <c r="B546" s="77" t="s">
        <v>139</v>
      </c>
      <c r="C546" s="64" t="s">
        <v>200</v>
      </c>
      <c r="D546" s="65">
        <v>45</v>
      </c>
      <c r="E546" s="66">
        <v>1.2362977004860001E-3</v>
      </c>
    </row>
    <row r="547" spans="2:5" ht="14.5" customHeight="1">
      <c r="B547" s="83"/>
      <c r="C547" s="64" t="s">
        <v>201</v>
      </c>
      <c r="D547" s="65">
        <v>39</v>
      </c>
      <c r="E547" s="66">
        <v>1.0714580070880001E-3</v>
      </c>
    </row>
    <row r="548" spans="2:5" ht="14.5" customHeight="1">
      <c r="B548" s="83"/>
      <c r="C548" s="64" t="s">
        <v>202</v>
      </c>
      <c r="D548" s="65">
        <v>31</v>
      </c>
      <c r="E548" s="66">
        <v>8.5167174922400003E-4</v>
      </c>
    </row>
    <row r="549" spans="2:5" ht="14.5" customHeight="1">
      <c r="B549" s="83"/>
      <c r="C549" s="64" t="s">
        <v>203</v>
      </c>
      <c r="D549" s="65">
        <v>4</v>
      </c>
      <c r="E549" s="66">
        <v>1.09893128932E-4</v>
      </c>
    </row>
    <row r="550" spans="2:5" ht="14.5" customHeight="1">
      <c r="B550" s="83"/>
      <c r="C550" s="64" t="s">
        <v>204</v>
      </c>
      <c r="D550" s="65">
        <v>58</v>
      </c>
      <c r="E550" s="66">
        <v>1.593450369516E-3</v>
      </c>
    </row>
    <row r="551" spans="2:5" ht="14.5" customHeight="1">
      <c r="B551" s="83"/>
      <c r="C551" s="64" t="s">
        <v>205</v>
      </c>
      <c r="D551" s="65">
        <v>69</v>
      </c>
      <c r="E551" s="66">
        <v>1.8956564740789999E-3</v>
      </c>
    </row>
    <row r="552" spans="2:5" ht="14.5" customHeight="1">
      <c r="B552" s="83"/>
      <c r="C552" s="64" t="s">
        <v>206</v>
      </c>
      <c r="D552" s="65">
        <v>29</v>
      </c>
      <c r="E552" s="66">
        <v>7.96725184758E-4</v>
      </c>
    </row>
    <row r="553" spans="2:5" ht="14.5" customHeight="1">
      <c r="B553" s="83"/>
      <c r="C553" s="64" t="s">
        <v>207</v>
      </c>
      <c r="D553" s="65">
        <v>45</v>
      </c>
      <c r="E553" s="66">
        <v>1.2362977004860001E-3</v>
      </c>
    </row>
    <row r="554" spans="2:5" ht="14.5" customHeight="1">
      <c r="B554" s="83"/>
      <c r="C554" s="64" t="s">
        <v>208</v>
      </c>
      <c r="D554" s="65">
        <v>10</v>
      </c>
      <c r="E554" s="66">
        <v>2.7473282233000002E-4</v>
      </c>
    </row>
    <row r="555" spans="2:5" ht="14.5" customHeight="1">
      <c r="B555" s="83"/>
      <c r="C555" s="64" t="s">
        <v>209</v>
      </c>
      <c r="D555" s="65">
        <v>47</v>
      </c>
      <c r="E555" s="66">
        <v>1.291244264952E-3</v>
      </c>
    </row>
    <row r="556" spans="2:5" ht="14.5" customHeight="1">
      <c r="B556" s="83"/>
      <c r="C556" s="64" t="s">
        <v>210</v>
      </c>
      <c r="D556" s="65">
        <v>3</v>
      </c>
      <c r="E556" s="66">
        <v>8.2419846699E-5</v>
      </c>
    </row>
    <row r="557" spans="2:5" ht="14.5" customHeight="1">
      <c r="B557" s="83"/>
      <c r="C557" s="64" t="s">
        <v>216</v>
      </c>
      <c r="D557" s="65">
        <v>2</v>
      </c>
      <c r="E557" s="66">
        <v>5.4946564466000002E-5</v>
      </c>
    </row>
    <row r="558" spans="2:5" ht="14.5" customHeight="1">
      <c r="B558" s="83"/>
      <c r="C558" s="64" t="s">
        <v>211</v>
      </c>
      <c r="D558" s="65">
        <v>15</v>
      </c>
      <c r="E558" s="66">
        <v>4.12099233495E-4</v>
      </c>
    </row>
    <row r="559" spans="2:5" ht="14.5" customHeight="1">
      <c r="B559" s="83"/>
      <c r="C559" s="64" t="s">
        <v>212</v>
      </c>
      <c r="D559" s="65">
        <v>7</v>
      </c>
      <c r="E559" s="66">
        <v>1.9231297563099999E-4</v>
      </c>
    </row>
    <row r="560" spans="2:5" ht="14.5" customHeight="1">
      <c r="B560" s="83"/>
      <c r="C560" s="64" t="s">
        <v>213</v>
      </c>
      <c r="D560" s="65">
        <v>32</v>
      </c>
      <c r="E560" s="66">
        <v>8.79145031457E-4</v>
      </c>
    </row>
    <row r="561" spans="2:5" ht="14.5" customHeight="1">
      <c r="B561" s="83"/>
      <c r="C561" s="64" t="s">
        <v>214</v>
      </c>
      <c r="D561" s="65">
        <v>4</v>
      </c>
      <c r="E561" s="66">
        <v>1.09893128932E-4</v>
      </c>
    </row>
    <row r="562" spans="2:5" ht="14.5" customHeight="1">
      <c r="B562" s="83"/>
      <c r="C562" s="64" t="s">
        <v>215</v>
      </c>
      <c r="D562" s="65">
        <v>68</v>
      </c>
      <c r="E562" s="66">
        <v>1.8681831918460001E-3</v>
      </c>
    </row>
    <row r="563" spans="2:5" ht="14.5" customHeight="1">
      <c r="B563" s="82"/>
      <c r="C563" s="36" t="s">
        <v>29</v>
      </c>
      <c r="D563" s="35">
        <v>508</v>
      </c>
      <c r="E563" s="34">
        <v>1.3956427374378E-2</v>
      </c>
    </row>
    <row r="564" spans="2:5" ht="14.5" customHeight="1">
      <c r="B564" s="77" t="s">
        <v>140</v>
      </c>
      <c r="C564" s="64" t="s">
        <v>200</v>
      </c>
      <c r="D564" s="65">
        <v>13</v>
      </c>
      <c r="E564" s="66">
        <v>3.5715266902900002E-4</v>
      </c>
    </row>
    <row r="565" spans="2:5" ht="14.5" customHeight="1">
      <c r="B565" s="83"/>
      <c r="C565" s="64" t="s">
        <v>201</v>
      </c>
      <c r="D565" s="65">
        <v>12</v>
      </c>
      <c r="E565" s="66">
        <v>3.29679386796E-4</v>
      </c>
    </row>
    <row r="566" spans="2:5" ht="14.5" customHeight="1">
      <c r="B566" s="83"/>
      <c r="C566" s="64" t="s">
        <v>202</v>
      </c>
      <c r="D566" s="65">
        <v>12</v>
      </c>
      <c r="E566" s="66">
        <v>3.29679386796E-4</v>
      </c>
    </row>
    <row r="567" spans="2:5" ht="14.5" customHeight="1">
      <c r="B567" s="83"/>
      <c r="C567" s="64" t="s">
        <v>203</v>
      </c>
      <c r="D567" s="65">
        <v>2</v>
      </c>
      <c r="E567" s="66">
        <v>5.4946564466000002E-5</v>
      </c>
    </row>
    <row r="568" spans="2:5" ht="14.5" customHeight="1">
      <c r="B568" s="83"/>
      <c r="C568" s="64" t="s">
        <v>204</v>
      </c>
      <c r="D568" s="65">
        <v>20</v>
      </c>
      <c r="E568" s="66">
        <v>5.49465644661E-4</v>
      </c>
    </row>
    <row r="569" spans="2:5" ht="14.5" customHeight="1">
      <c r="B569" s="83"/>
      <c r="C569" s="64" t="s">
        <v>205</v>
      </c>
      <c r="D569" s="65">
        <v>24</v>
      </c>
      <c r="E569" s="66">
        <v>6.5935877359299996E-4</v>
      </c>
    </row>
    <row r="570" spans="2:5" ht="14.5" customHeight="1">
      <c r="B570" s="83"/>
      <c r="C570" s="64" t="s">
        <v>206</v>
      </c>
      <c r="D570" s="65">
        <v>14</v>
      </c>
      <c r="E570" s="66">
        <v>3.8462595126199998E-4</v>
      </c>
    </row>
    <row r="571" spans="2:5" ht="14.5" customHeight="1">
      <c r="B571" s="83"/>
      <c r="C571" s="64" t="s">
        <v>207</v>
      </c>
      <c r="D571" s="65">
        <v>20</v>
      </c>
      <c r="E571" s="66">
        <v>5.49465644661E-4</v>
      </c>
    </row>
    <row r="572" spans="2:5" ht="14.5" customHeight="1">
      <c r="B572" s="83"/>
      <c r="C572" s="64" t="s">
        <v>208</v>
      </c>
      <c r="D572" s="65">
        <v>1</v>
      </c>
      <c r="E572" s="66">
        <v>2.7473282233000001E-5</v>
      </c>
    </row>
    <row r="573" spans="2:5" ht="14.5" customHeight="1">
      <c r="B573" s="83"/>
      <c r="C573" s="64" t="s">
        <v>209</v>
      </c>
      <c r="D573" s="65">
        <v>16</v>
      </c>
      <c r="E573" s="66">
        <v>4.3957251572800002E-4</v>
      </c>
    </row>
    <row r="574" spans="2:5" ht="14.5" customHeight="1">
      <c r="B574" s="83"/>
      <c r="C574" s="64" t="s">
        <v>211</v>
      </c>
      <c r="D574" s="65">
        <v>2</v>
      </c>
      <c r="E574" s="66">
        <v>5.4946564466000002E-5</v>
      </c>
    </row>
    <row r="575" spans="2:5" ht="14.5" customHeight="1">
      <c r="B575" s="83"/>
      <c r="C575" s="64" t="s">
        <v>212</v>
      </c>
      <c r="D575" s="65">
        <v>3</v>
      </c>
      <c r="E575" s="66">
        <v>8.2419846699E-5</v>
      </c>
    </row>
    <row r="576" spans="2:5" ht="14.5" customHeight="1">
      <c r="B576" s="83"/>
      <c r="C576" s="64" t="s">
        <v>213</v>
      </c>
      <c r="D576" s="65">
        <v>13</v>
      </c>
      <c r="E576" s="66">
        <v>3.5715266902900002E-4</v>
      </c>
    </row>
    <row r="577" spans="2:5" ht="14.5" customHeight="1">
      <c r="B577" s="83"/>
      <c r="C577" s="64" t="s">
        <v>215</v>
      </c>
      <c r="D577" s="65">
        <v>14</v>
      </c>
      <c r="E577" s="66">
        <v>3.8462595126199998E-4</v>
      </c>
    </row>
    <row r="578" spans="2:5" ht="14.5" customHeight="1">
      <c r="B578" s="82"/>
      <c r="C578" s="36" t="s">
        <v>29</v>
      </c>
      <c r="D578" s="35">
        <v>166</v>
      </c>
      <c r="E578" s="34">
        <v>4.5605648506830002E-3</v>
      </c>
    </row>
    <row r="579" spans="2:5" ht="14.5" customHeight="1">
      <c r="B579" s="77" t="s">
        <v>141</v>
      </c>
      <c r="C579" s="64" t="s">
        <v>200</v>
      </c>
      <c r="D579" s="65">
        <v>7</v>
      </c>
      <c r="E579" s="66">
        <v>1.9231297563099999E-4</v>
      </c>
    </row>
    <row r="580" spans="2:5" ht="14.5" customHeight="1">
      <c r="B580" s="83"/>
      <c r="C580" s="64" t="s">
        <v>201</v>
      </c>
      <c r="D580" s="65">
        <v>34</v>
      </c>
      <c r="E580" s="66">
        <v>9.3409159592300003E-4</v>
      </c>
    </row>
    <row r="581" spans="2:5" ht="14.5" customHeight="1">
      <c r="B581" s="83"/>
      <c r="C581" s="64" t="s">
        <v>202</v>
      </c>
      <c r="D581" s="65">
        <v>8</v>
      </c>
      <c r="E581" s="66">
        <v>2.1978625786400001E-4</v>
      </c>
    </row>
    <row r="582" spans="2:5" ht="14.5" customHeight="1">
      <c r="B582" s="83"/>
      <c r="C582" s="64" t="s">
        <v>203</v>
      </c>
      <c r="D582" s="65">
        <v>2</v>
      </c>
      <c r="E582" s="66">
        <v>5.4946564466000002E-5</v>
      </c>
    </row>
    <row r="583" spans="2:5" ht="14.5" customHeight="1">
      <c r="B583" s="83"/>
      <c r="C583" s="64" t="s">
        <v>204</v>
      </c>
      <c r="D583" s="65">
        <v>48</v>
      </c>
      <c r="E583" s="66">
        <v>1.3187175471850001E-3</v>
      </c>
    </row>
    <row r="584" spans="2:5" ht="14.5" customHeight="1">
      <c r="B584" s="83"/>
      <c r="C584" s="64" t="s">
        <v>205</v>
      </c>
      <c r="D584" s="65">
        <v>36</v>
      </c>
      <c r="E584" s="66">
        <v>9.8903816038900007E-4</v>
      </c>
    </row>
    <row r="585" spans="2:5" ht="14.5" customHeight="1">
      <c r="B585" s="83"/>
      <c r="C585" s="64" t="s">
        <v>206</v>
      </c>
      <c r="D585" s="65">
        <v>20</v>
      </c>
      <c r="E585" s="66">
        <v>5.49465644661E-4</v>
      </c>
    </row>
    <row r="586" spans="2:5" ht="14.5" customHeight="1">
      <c r="B586" s="83"/>
      <c r="C586" s="64" t="s">
        <v>207</v>
      </c>
      <c r="D586" s="65">
        <v>28</v>
      </c>
      <c r="E586" s="66">
        <v>7.6925190252500003E-4</v>
      </c>
    </row>
    <row r="587" spans="2:5" ht="14.5" customHeight="1">
      <c r="B587" s="83"/>
      <c r="C587" s="64" t="s">
        <v>208</v>
      </c>
      <c r="D587" s="65">
        <v>2</v>
      </c>
      <c r="E587" s="66">
        <v>5.4946564466000002E-5</v>
      </c>
    </row>
    <row r="588" spans="2:5" ht="14.5" customHeight="1">
      <c r="B588" s="83"/>
      <c r="C588" s="64" t="s">
        <v>209</v>
      </c>
      <c r="D588" s="65">
        <v>25</v>
      </c>
      <c r="E588" s="66">
        <v>6.8683205582600003E-4</v>
      </c>
    </row>
    <row r="589" spans="2:5" ht="14.5" customHeight="1">
      <c r="B589" s="83"/>
      <c r="C589" s="64" t="s">
        <v>210</v>
      </c>
      <c r="D589" s="65">
        <v>5</v>
      </c>
      <c r="E589" s="66">
        <v>1.3736641116500001E-4</v>
      </c>
    </row>
    <row r="590" spans="2:5" ht="14.5" customHeight="1">
      <c r="B590" s="83"/>
      <c r="C590" s="64" t="s">
        <v>216</v>
      </c>
      <c r="D590" s="65">
        <v>1</v>
      </c>
      <c r="E590" s="66">
        <v>2.7473282233000001E-5</v>
      </c>
    </row>
    <row r="591" spans="2:5" ht="14.5" customHeight="1">
      <c r="B591" s="83"/>
      <c r="C591" s="64" t="s">
        <v>211</v>
      </c>
      <c r="D591" s="65">
        <v>6</v>
      </c>
      <c r="E591" s="66">
        <v>1.64839693398E-4</v>
      </c>
    </row>
    <row r="592" spans="2:5" ht="14.5" customHeight="1">
      <c r="B592" s="83"/>
      <c r="C592" s="64" t="s">
        <v>212</v>
      </c>
      <c r="D592" s="65">
        <v>5</v>
      </c>
      <c r="E592" s="66">
        <v>1.3736641116500001E-4</v>
      </c>
    </row>
    <row r="593" spans="2:5" ht="14.5" customHeight="1">
      <c r="B593" s="83"/>
      <c r="C593" s="64" t="s">
        <v>213</v>
      </c>
      <c r="D593" s="65">
        <v>13</v>
      </c>
      <c r="E593" s="66">
        <v>3.5715266902900002E-4</v>
      </c>
    </row>
    <row r="594" spans="2:5" ht="14.5" customHeight="1">
      <c r="B594" s="83"/>
      <c r="C594" s="64" t="s">
        <v>214</v>
      </c>
      <c r="D594" s="65">
        <v>4</v>
      </c>
      <c r="E594" s="66">
        <v>1.09893128932E-4</v>
      </c>
    </row>
    <row r="595" spans="2:5" ht="14.5" customHeight="1">
      <c r="B595" s="83"/>
      <c r="C595" s="64" t="s">
        <v>215</v>
      </c>
      <c r="D595" s="65">
        <v>25</v>
      </c>
      <c r="E595" s="66">
        <v>6.8683205582600003E-4</v>
      </c>
    </row>
    <row r="596" spans="2:5" ht="14.5" customHeight="1">
      <c r="B596" s="82"/>
      <c r="C596" s="36" t="s">
        <v>29</v>
      </c>
      <c r="D596" s="35">
        <v>269</v>
      </c>
      <c r="E596" s="34">
        <v>7.390312920685E-3</v>
      </c>
    </row>
    <row r="597" spans="2:5" ht="14.5" customHeight="1">
      <c r="B597" s="77" t="s">
        <v>142</v>
      </c>
      <c r="C597" s="64" t="s">
        <v>207</v>
      </c>
      <c r="D597" s="65">
        <v>2</v>
      </c>
      <c r="E597" s="66">
        <v>5.4946564466000002E-5</v>
      </c>
    </row>
    <row r="598" spans="2:5" ht="14.5" customHeight="1">
      <c r="B598" s="82"/>
      <c r="C598" s="36" t="s">
        <v>29</v>
      </c>
      <c r="D598" s="35">
        <v>2</v>
      </c>
      <c r="E598" s="34">
        <v>5.4946564466000002E-5</v>
      </c>
    </row>
    <row r="599" spans="2:5" ht="14.5" customHeight="1">
      <c r="B599" s="77" t="s">
        <v>143</v>
      </c>
      <c r="C599" s="64" t="s">
        <v>200</v>
      </c>
      <c r="D599" s="65">
        <v>3</v>
      </c>
      <c r="E599" s="66">
        <v>8.2419846699E-5</v>
      </c>
    </row>
    <row r="600" spans="2:5" ht="14.5" customHeight="1">
      <c r="B600" s="83"/>
      <c r="C600" s="64" t="s">
        <v>201</v>
      </c>
      <c r="D600" s="65">
        <v>2</v>
      </c>
      <c r="E600" s="66">
        <v>5.4946564466000002E-5</v>
      </c>
    </row>
    <row r="601" spans="2:5" ht="14.5" customHeight="1">
      <c r="B601" s="83"/>
      <c r="C601" s="64" t="s">
        <v>204</v>
      </c>
      <c r="D601" s="65">
        <v>3</v>
      </c>
      <c r="E601" s="66">
        <v>8.2419846699E-5</v>
      </c>
    </row>
    <row r="602" spans="2:5" ht="14.5" customHeight="1">
      <c r="B602" s="83"/>
      <c r="C602" s="64" t="s">
        <v>205</v>
      </c>
      <c r="D602" s="65">
        <v>5</v>
      </c>
      <c r="E602" s="66">
        <v>1.3736641116500001E-4</v>
      </c>
    </row>
    <row r="603" spans="2:5" ht="14.5" customHeight="1">
      <c r="B603" s="83"/>
      <c r="C603" s="64" t="s">
        <v>206</v>
      </c>
      <c r="D603" s="65">
        <v>2</v>
      </c>
      <c r="E603" s="66">
        <v>5.4946564466000002E-5</v>
      </c>
    </row>
    <row r="604" spans="2:5" ht="14.5" customHeight="1">
      <c r="B604" s="83"/>
      <c r="C604" s="64" t="s">
        <v>207</v>
      </c>
      <c r="D604" s="65">
        <v>3</v>
      </c>
      <c r="E604" s="66">
        <v>8.2419846699E-5</v>
      </c>
    </row>
    <row r="605" spans="2:5" ht="14.5" customHeight="1">
      <c r="B605" s="83"/>
      <c r="C605" s="64" t="s">
        <v>208</v>
      </c>
      <c r="D605" s="65">
        <v>3</v>
      </c>
      <c r="E605" s="66">
        <v>8.2419846699E-5</v>
      </c>
    </row>
    <row r="606" spans="2:5" ht="14.5" customHeight="1">
      <c r="B606" s="83"/>
      <c r="C606" s="64" t="s">
        <v>209</v>
      </c>
      <c r="D606" s="65">
        <v>3</v>
      </c>
      <c r="E606" s="66">
        <v>8.2419846699E-5</v>
      </c>
    </row>
    <row r="607" spans="2:5" ht="14.5" customHeight="1">
      <c r="B607" s="83"/>
      <c r="C607" s="64" t="s">
        <v>212</v>
      </c>
      <c r="D607" s="65">
        <v>1</v>
      </c>
      <c r="E607" s="66">
        <v>2.7473282233000001E-5</v>
      </c>
    </row>
    <row r="608" spans="2:5" ht="14.5" customHeight="1">
      <c r="B608" s="83"/>
      <c r="C608" s="64" t="s">
        <v>215</v>
      </c>
      <c r="D608" s="65">
        <v>3</v>
      </c>
      <c r="E608" s="66">
        <v>8.2419846699E-5</v>
      </c>
    </row>
    <row r="609" spans="2:5" ht="14.5" customHeight="1">
      <c r="B609" s="82"/>
      <c r="C609" s="36" t="s">
        <v>29</v>
      </c>
      <c r="D609" s="35">
        <v>28</v>
      </c>
      <c r="E609" s="34">
        <v>7.6925190252500003E-4</v>
      </c>
    </row>
    <row r="610" spans="2:5" ht="14.5" customHeight="1">
      <c r="B610" s="77" t="s">
        <v>144</v>
      </c>
      <c r="C610" s="64" t="s">
        <v>200</v>
      </c>
      <c r="D610" s="65">
        <v>30</v>
      </c>
      <c r="E610" s="66">
        <v>8.2419846699099996E-4</v>
      </c>
    </row>
    <row r="611" spans="2:5" ht="14.5" customHeight="1">
      <c r="B611" s="83"/>
      <c r="C611" s="64" t="s">
        <v>201</v>
      </c>
      <c r="D611" s="65">
        <v>34</v>
      </c>
      <c r="E611" s="66">
        <v>9.3409159592300003E-4</v>
      </c>
    </row>
    <row r="612" spans="2:5" ht="14.5" customHeight="1">
      <c r="B612" s="83"/>
      <c r="C612" s="64" t="s">
        <v>202</v>
      </c>
      <c r="D612" s="65">
        <v>16</v>
      </c>
      <c r="E612" s="66">
        <v>4.3957251572800002E-4</v>
      </c>
    </row>
    <row r="613" spans="2:5" ht="14.5" customHeight="1">
      <c r="B613" s="83"/>
      <c r="C613" s="64" t="s">
        <v>203</v>
      </c>
      <c r="D613" s="65">
        <v>1</v>
      </c>
      <c r="E613" s="66">
        <v>2.7473282233000001E-5</v>
      </c>
    </row>
    <row r="614" spans="2:5" ht="14.5" customHeight="1">
      <c r="B614" s="83"/>
      <c r="C614" s="64" t="s">
        <v>204</v>
      </c>
      <c r="D614" s="65">
        <v>57</v>
      </c>
      <c r="E614" s="66">
        <v>1.5659770872829999E-3</v>
      </c>
    </row>
    <row r="615" spans="2:5" ht="14.5" customHeight="1">
      <c r="B615" s="83"/>
      <c r="C615" s="64" t="s">
        <v>205</v>
      </c>
      <c r="D615" s="65">
        <v>68</v>
      </c>
      <c r="E615" s="66">
        <v>1.8681831918460001E-3</v>
      </c>
    </row>
    <row r="616" spans="2:5" ht="14.5" customHeight="1">
      <c r="B616" s="83"/>
      <c r="C616" s="64" t="s">
        <v>225</v>
      </c>
      <c r="D616" s="65">
        <v>1</v>
      </c>
      <c r="E616" s="66">
        <v>2.7473282233000001E-5</v>
      </c>
    </row>
    <row r="617" spans="2:5" ht="14.5" customHeight="1">
      <c r="B617" s="83"/>
      <c r="C617" s="64" t="s">
        <v>206</v>
      </c>
      <c r="D617" s="65">
        <v>30</v>
      </c>
      <c r="E617" s="66">
        <v>8.2419846699099996E-4</v>
      </c>
    </row>
    <row r="618" spans="2:5" ht="14.5" customHeight="1">
      <c r="B618" s="83"/>
      <c r="C618" s="64" t="s">
        <v>207</v>
      </c>
      <c r="D618" s="65">
        <v>27</v>
      </c>
      <c r="E618" s="66">
        <v>7.4177862029199996E-4</v>
      </c>
    </row>
    <row r="619" spans="2:5" ht="14.5" customHeight="1">
      <c r="B619" s="83"/>
      <c r="C619" s="64" t="s">
        <v>208</v>
      </c>
      <c r="D619" s="65">
        <v>9</v>
      </c>
      <c r="E619" s="66">
        <v>2.47259540097E-4</v>
      </c>
    </row>
    <row r="620" spans="2:5" ht="14.5" customHeight="1">
      <c r="B620" s="83"/>
      <c r="C620" s="64" t="s">
        <v>209</v>
      </c>
      <c r="D620" s="65">
        <v>35</v>
      </c>
      <c r="E620" s="66">
        <v>9.61564878156E-4</v>
      </c>
    </row>
    <row r="621" spans="2:5" ht="14.5" customHeight="1">
      <c r="B621" s="83"/>
      <c r="C621" s="64" t="s">
        <v>210</v>
      </c>
      <c r="D621" s="65">
        <v>7</v>
      </c>
      <c r="E621" s="66">
        <v>1.9231297563099999E-4</v>
      </c>
    </row>
    <row r="622" spans="2:5" ht="14.5" customHeight="1">
      <c r="B622" s="83"/>
      <c r="C622" s="64" t="s">
        <v>211</v>
      </c>
      <c r="D622" s="65">
        <v>12</v>
      </c>
      <c r="E622" s="66">
        <v>3.29679386796E-4</v>
      </c>
    </row>
    <row r="623" spans="2:5" ht="14.5" customHeight="1">
      <c r="B623" s="83"/>
      <c r="C623" s="64" t="s">
        <v>212</v>
      </c>
      <c r="D623" s="65">
        <v>13</v>
      </c>
      <c r="E623" s="66">
        <v>3.5715266902900002E-4</v>
      </c>
    </row>
    <row r="624" spans="2:5" ht="14.5" customHeight="1">
      <c r="B624" s="83"/>
      <c r="C624" s="64" t="s">
        <v>213</v>
      </c>
      <c r="D624" s="65">
        <v>18</v>
      </c>
      <c r="E624" s="66">
        <v>4.9451908019499996E-4</v>
      </c>
    </row>
    <row r="625" spans="2:5" ht="14.5" customHeight="1">
      <c r="B625" s="83"/>
      <c r="C625" s="64" t="s">
        <v>214</v>
      </c>
      <c r="D625" s="65">
        <v>5</v>
      </c>
      <c r="E625" s="66">
        <v>1.3736641116500001E-4</v>
      </c>
    </row>
    <row r="626" spans="2:5" ht="14.5" customHeight="1">
      <c r="B626" s="83"/>
      <c r="C626" s="64" t="s">
        <v>215</v>
      </c>
      <c r="D626" s="65">
        <v>33</v>
      </c>
      <c r="E626" s="66">
        <v>9.0661831368999996E-4</v>
      </c>
    </row>
    <row r="627" spans="2:5" ht="14.5" customHeight="1">
      <c r="B627" s="82"/>
      <c r="C627" s="36" t="s">
        <v>29</v>
      </c>
      <c r="D627" s="35">
        <v>396</v>
      </c>
      <c r="E627" s="34">
        <v>1.0879419764279001E-2</v>
      </c>
    </row>
    <row r="628" spans="2:5" ht="14.5" customHeight="1">
      <c r="B628" s="77" t="s">
        <v>145</v>
      </c>
      <c r="C628" s="64" t="s">
        <v>200</v>
      </c>
      <c r="D628" s="65">
        <v>4</v>
      </c>
      <c r="E628" s="66">
        <v>1.09893128932E-4</v>
      </c>
    </row>
    <row r="629" spans="2:5" ht="14.5" customHeight="1">
      <c r="B629" s="83"/>
      <c r="C629" s="64" t="s">
        <v>201</v>
      </c>
      <c r="D629" s="65">
        <v>4</v>
      </c>
      <c r="E629" s="66">
        <v>1.09893128932E-4</v>
      </c>
    </row>
    <row r="630" spans="2:5" ht="14.5" customHeight="1">
      <c r="B630" s="83"/>
      <c r="C630" s="64" t="s">
        <v>204</v>
      </c>
      <c r="D630" s="65">
        <v>2</v>
      </c>
      <c r="E630" s="66">
        <v>5.4946564466000002E-5</v>
      </c>
    </row>
    <row r="631" spans="2:5" ht="14.5" customHeight="1">
      <c r="B631" s="83"/>
      <c r="C631" s="64" t="s">
        <v>205</v>
      </c>
      <c r="D631" s="65">
        <v>2</v>
      </c>
      <c r="E631" s="66">
        <v>5.4946564466000002E-5</v>
      </c>
    </row>
    <row r="632" spans="2:5" ht="14.5" customHeight="1">
      <c r="B632" s="83"/>
      <c r="C632" s="64" t="s">
        <v>214</v>
      </c>
      <c r="D632" s="65">
        <v>1</v>
      </c>
      <c r="E632" s="66">
        <v>2.7473282233000001E-5</v>
      </c>
    </row>
    <row r="633" spans="2:5" ht="14.5" customHeight="1">
      <c r="B633" s="83"/>
      <c r="C633" s="64" t="s">
        <v>215</v>
      </c>
      <c r="D633" s="65">
        <v>2</v>
      </c>
      <c r="E633" s="66">
        <v>5.4946564466000002E-5</v>
      </c>
    </row>
    <row r="634" spans="2:5" ht="14.5" customHeight="1">
      <c r="B634" s="82"/>
      <c r="C634" s="36" t="s">
        <v>29</v>
      </c>
      <c r="D634" s="35">
        <v>15</v>
      </c>
      <c r="E634" s="34">
        <v>4.12099233495E-4</v>
      </c>
    </row>
    <row r="635" spans="2:5" ht="14.5" customHeight="1">
      <c r="B635" s="77" t="s">
        <v>146</v>
      </c>
      <c r="C635" s="64" t="s">
        <v>200</v>
      </c>
      <c r="D635" s="65">
        <v>28</v>
      </c>
      <c r="E635" s="66">
        <v>7.6925190252500003E-4</v>
      </c>
    </row>
    <row r="636" spans="2:5" ht="14.5" customHeight="1">
      <c r="B636" s="83"/>
      <c r="C636" s="64" t="s">
        <v>201</v>
      </c>
      <c r="D636" s="65">
        <v>32</v>
      </c>
      <c r="E636" s="66">
        <v>8.79145031457E-4</v>
      </c>
    </row>
    <row r="637" spans="2:5" ht="14.5" customHeight="1">
      <c r="B637" s="83"/>
      <c r="C637" s="64" t="s">
        <v>202</v>
      </c>
      <c r="D637" s="65">
        <v>10</v>
      </c>
      <c r="E637" s="66">
        <v>2.7473282233000002E-4</v>
      </c>
    </row>
    <row r="638" spans="2:5" ht="14.5" customHeight="1">
      <c r="B638" s="83"/>
      <c r="C638" s="64" t="s">
        <v>203</v>
      </c>
      <c r="D638" s="65">
        <v>1</v>
      </c>
      <c r="E638" s="66">
        <v>2.7473282233000001E-5</v>
      </c>
    </row>
    <row r="639" spans="2:5" ht="14.5" customHeight="1">
      <c r="B639" s="83"/>
      <c r="C639" s="64" t="s">
        <v>204</v>
      </c>
      <c r="D639" s="65">
        <v>64</v>
      </c>
      <c r="E639" s="66">
        <v>1.758290062914E-3</v>
      </c>
    </row>
    <row r="640" spans="2:5" ht="14.5" customHeight="1">
      <c r="B640" s="83"/>
      <c r="C640" s="64" t="s">
        <v>205</v>
      </c>
      <c r="D640" s="65">
        <v>59</v>
      </c>
      <c r="E640" s="66">
        <v>1.6209236517490001E-3</v>
      </c>
    </row>
    <row r="641" spans="2:5" ht="14.5" customHeight="1">
      <c r="B641" s="83"/>
      <c r="C641" s="64" t="s">
        <v>206</v>
      </c>
      <c r="D641" s="65">
        <v>32</v>
      </c>
      <c r="E641" s="66">
        <v>8.79145031457E-4</v>
      </c>
    </row>
    <row r="642" spans="2:5" ht="14.5" customHeight="1">
      <c r="B642" s="83"/>
      <c r="C642" s="64" t="s">
        <v>207</v>
      </c>
      <c r="D642" s="65">
        <v>44</v>
      </c>
      <c r="E642" s="66">
        <v>1.208824418253E-3</v>
      </c>
    </row>
    <row r="643" spans="2:5" ht="14.5" customHeight="1">
      <c r="B643" s="83"/>
      <c r="C643" s="64" t="s">
        <v>208</v>
      </c>
      <c r="D643" s="65">
        <v>14</v>
      </c>
      <c r="E643" s="66">
        <v>3.8462595126199998E-4</v>
      </c>
    </row>
    <row r="644" spans="2:5" ht="14.5" customHeight="1">
      <c r="B644" s="83"/>
      <c r="C644" s="64" t="s">
        <v>209</v>
      </c>
      <c r="D644" s="65">
        <v>36</v>
      </c>
      <c r="E644" s="66">
        <v>9.8903816038900007E-4</v>
      </c>
    </row>
    <row r="645" spans="2:5" ht="14.5" customHeight="1">
      <c r="B645" s="83"/>
      <c r="C645" s="64" t="s">
        <v>210</v>
      </c>
      <c r="D645" s="65">
        <v>4</v>
      </c>
      <c r="E645" s="66">
        <v>1.09893128932E-4</v>
      </c>
    </row>
    <row r="646" spans="2:5" ht="14.5" customHeight="1">
      <c r="B646" s="83"/>
      <c r="C646" s="64" t="s">
        <v>216</v>
      </c>
      <c r="D646" s="65">
        <v>3</v>
      </c>
      <c r="E646" s="66">
        <v>8.2419846699E-5</v>
      </c>
    </row>
    <row r="647" spans="2:5" ht="14.5" customHeight="1">
      <c r="B647" s="83"/>
      <c r="C647" s="64" t="s">
        <v>221</v>
      </c>
      <c r="D647" s="65">
        <v>1</v>
      </c>
      <c r="E647" s="66">
        <v>2.7473282233000001E-5</v>
      </c>
    </row>
    <row r="648" spans="2:5" ht="14.5" customHeight="1">
      <c r="B648" s="83"/>
      <c r="C648" s="64" t="s">
        <v>211</v>
      </c>
      <c r="D648" s="65">
        <v>10</v>
      </c>
      <c r="E648" s="66">
        <v>2.7473282233000002E-4</v>
      </c>
    </row>
    <row r="649" spans="2:5" ht="14.5" customHeight="1">
      <c r="B649" s="83"/>
      <c r="C649" s="64" t="s">
        <v>212</v>
      </c>
      <c r="D649" s="65">
        <v>17</v>
      </c>
      <c r="E649" s="66">
        <v>4.6704579796099998E-4</v>
      </c>
    </row>
    <row r="650" spans="2:5" ht="14.5" customHeight="1">
      <c r="B650" s="83"/>
      <c r="C650" s="64" t="s">
        <v>213</v>
      </c>
      <c r="D650" s="65">
        <v>17</v>
      </c>
      <c r="E650" s="66">
        <v>4.6704579796099998E-4</v>
      </c>
    </row>
    <row r="651" spans="2:5" ht="14.5" customHeight="1">
      <c r="B651" s="83"/>
      <c r="C651" s="64" t="s">
        <v>214</v>
      </c>
      <c r="D651" s="65">
        <v>5</v>
      </c>
      <c r="E651" s="66">
        <v>1.3736641116500001E-4</v>
      </c>
    </row>
    <row r="652" spans="2:5" ht="14.5" customHeight="1">
      <c r="B652" s="83"/>
      <c r="C652" s="64" t="s">
        <v>215</v>
      </c>
      <c r="D652" s="65">
        <v>49</v>
      </c>
      <c r="E652" s="66">
        <v>1.3461908294179999E-3</v>
      </c>
    </row>
    <row r="653" spans="2:5" ht="14.5" customHeight="1">
      <c r="B653" s="82"/>
      <c r="C653" s="36" t="s">
        <v>29</v>
      </c>
      <c r="D653" s="35">
        <v>426</v>
      </c>
      <c r="E653" s="34">
        <v>1.170361823127E-2</v>
      </c>
    </row>
    <row r="654" spans="2:5" ht="14.5" customHeight="1">
      <c r="B654" s="77" t="s">
        <v>147</v>
      </c>
      <c r="C654" s="64" t="s">
        <v>200</v>
      </c>
      <c r="D654" s="65">
        <v>570</v>
      </c>
      <c r="E654" s="66">
        <v>1.5659770872825999E-2</v>
      </c>
    </row>
    <row r="655" spans="2:5" ht="14.5" customHeight="1">
      <c r="B655" s="83"/>
      <c r="C655" s="64" t="s">
        <v>201</v>
      </c>
      <c r="D655" s="65">
        <v>607</v>
      </c>
      <c r="E655" s="66">
        <v>1.6676282315448002E-2</v>
      </c>
    </row>
    <row r="656" spans="2:5" ht="14.5" customHeight="1">
      <c r="B656" s="83"/>
      <c r="C656" s="64" t="s">
        <v>202</v>
      </c>
      <c r="D656" s="65">
        <v>311</v>
      </c>
      <c r="E656" s="66">
        <v>8.5441907744720005E-3</v>
      </c>
    </row>
    <row r="657" spans="2:5" ht="14.5" customHeight="1">
      <c r="B657" s="83"/>
      <c r="C657" s="64" t="s">
        <v>203</v>
      </c>
      <c r="D657" s="65">
        <v>59</v>
      </c>
      <c r="E657" s="66">
        <v>1.6209236517490001E-3</v>
      </c>
    </row>
    <row r="658" spans="2:5" ht="14.5" customHeight="1">
      <c r="B658" s="83"/>
      <c r="C658" s="64" t="s">
        <v>204</v>
      </c>
      <c r="D658" s="65">
        <v>839</v>
      </c>
      <c r="E658" s="66">
        <v>2.3050083793510999E-2</v>
      </c>
    </row>
    <row r="659" spans="2:5" ht="14.5" customHeight="1">
      <c r="B659" s="83"/>
      <c r="C659" s="64" t="s">
        <v>226</v>
      </c>
      <c r="D659" s="65">
        <v>1</v>
      </c>
      <c r="E659" s="66">
        <v>2.7473282233000001E-5</v>
      </c>
    </row>
    <row r="660" spans="2:5" ht="14.5" customHeight="1">
      <c r="B660" s="83"/>
      <c r="C660" s="64" t="s">
        <v>205</v>
      </c>
      <c r="D660" s="65">
        <v>1185</v>
      </c>
      <c r="E660" s="66">
        <v>3.2555839446138997E-2</v>
      </c>
    </row>
    <row r="661" spans="2:5" ht="14.5" customHeight="1">
      <c r="B661" s="83"/>
      <c r="C661" s="64" t="s">
        <v>206</v>
      </c>
      <c r="D661" s="65">
        <v>379</v>
      </c>
      <c r="E661" s="66">
        <v>1.0412373966318E-2</v>
      </c>
    </row>
    <row r="662" spans="2:5" ht="14.5" customHeight="1">
      <c r="B662" s="83"/>
      <c r="C662" s="64" t="s">
        <v>207</v>
      </c>
      <c r="D662" s="65">
        <v>688</v>
      </c>
      <c r="E662" s="66">
        <v>1.8901618176323999E-2</v>
      </c>
    </row>
    <row r="663" spans="2:5" ht="14.5" customHeight="1">
      <c r="B663" s="83"/>
      <c r="C663" s="64" t="s">
        <v>208</v>
      </c>
      <c r="D663" s="65">
        <v>95</v>
      </c>
      <c r="E663" s="66">
        <v>2.6099618121380001E-3</v>
      </c>
    </row>
    <row r="664" spans="2:5" ht="14.5" customHeight="1">
      <c r="B664" s="83"/>
      <c r="C664" s="64" t="s">
        <v>209</v>
      </c>
      <c r="D664" s="65">
        <v>653</v>
      </c>
      <c r="E664" s="66">
        <v>1.7940053298168002E-2</v>
      </c>
    </row>
    <row r="665" spans="2:5" ht="14.5" customHeight="1">
      <c r="B665" s="83"/>
      <c r="C665" s="64" t="s">
        <v>210</v>
      </c>
      <c r="D665" s="65">
        <v>33</v>
      </c>
      <c r="E665" s="66">
        <v>9.0661831368999996E-4</v>
      </c>
    </row>
    <row r="666" spans="2:5" ht="14.5" customHeight="1">
      <c r="B666" s="83"/>
      <c r="C666" s="64" t="s">
        <v>222</v>
      </c>
      <c r="D666" s="65">
        <v>1</v>
      </c>
      <c r="E666" s="66">
        <v>2.7473282233000001E-5</v>
      </c>
    </row>
    <row r="667" spans="2:5" ht="14.5" customHeight="1">
      <c r="B667" s="83"/>
      <c r="C667" s="64" t="s">
        <v>216</v>
      </c>
      <c r="D667" s="65">
        <v>19</v>
      </c>
      <c r="E667" s="66">
        <v>5.2199236242800003E-4</v>
      </c>
    </row>
    <row r="668" spans="2:5" ht="14.5" customHeight="1">
      <c r="B668" s="83"/>
      <c r="C668" s="64" t="s">
        <v>227</v>
      </c>
      <c r="D668" s="65">
        <v>1</v>
      </c>
      <c r="E668" s="66">
        <v>2.7473282233000001E-5</v>
      </c>
    </row>
    <row r="669" spans="2:5" ht="14.5" customHeight="1">
      <c r="B669" s="83"/>
      <c r="C669" s="64" t="s">
        <v>211</v>
      </c>
      <c r="D669" s="65">
        <v>214</v>
      </c>
      <c r="E669" s="66">
        <v>5.8792823978680003E-3</v>
      </c>
    </row>
    <row r="670" spans="2:5" ht="14.5" customHeight="1">
      <c r="B670" s="83"/>
      <c r="C670" s="64" t="s">
        <v>212</v>
      </c>
      <c r="D670" s="65">
        <v>128</v>
      </c>
      <c r="E670" s="66">
        <v>3.516580125828E-3</v>
      </c>
    </row>
    <row r="671" spans="2:5" ht="14.5" customHeight="1">
      <c r="B671" s="83"/>
      <c r="C671" s="64" t="s">
        <v>213</v>
      </c>
      <c r="D671" s="65">
        <v>444</v>
      </c>
      <c r="E671" s="66">
        <v>1.2198137311464999E-2</v>
      </c>
    </row>
    <row r="672" spans="2:5" ht="14.5" customHeight="1">
      <c r="B672" s="83"/>
      <c r="C672" s="64" t="s">
        <v>214</v>
      </c>
      <c r="D672" s="65">
        <v>65</v>
      </c>
      <c r="E672" s="66">
        <v>1.7857633451470001E-3</v>
      </c>
    </row>
    <row r="673" spans="2:5" ht="14.5" customHeight="1">
      <c r="B673" s="83"/>
      <c r="C673" s="64" t="s">
        <v>215</v>
      </c>
      <c r="D673" s="65">
        <v>609</v>
      </c>
      <c r="E673" s="66">
        <v>1.6731228879914E-2</v>
      </c>
    </row>
    <row r="674" spans="2:5" ht="14.5" customHeight="1">
      <c r="B674" s="82"/>
      <c r="C674" s="36" t="s">
        <v>29</v>
      </c>
      <c r="D674" s="35">
        <v>6901</v>
      </c>
      <c r="E674" s="34">
        <v>0.18959312069012901</v>
      </c>
    </row>
    <row r="675" spans="2:5" ht="14.5" customHeight="1">
      <c r="B675" s="77" t="s">
        <v>148</v>
      </c>
      <c r="C675" s="64" t="s">
        <v>200</v>
      </c>
      <c r="D675" s="65">
        <v>27</v>
      </c>
      <c r="E675" s="66">
        <v>7.4177862029199996E-4</v>
      </c>
    </row>
    <row r="676" spans="2:5" ht="14.5" customHeight="1">
      <c r="B676" s="83"/>
      <c r="C676" s="64" t="s">
        <v>201</v>
      </c>
      <c r="D676" s="65">
        <v>24</v>
      </c>
      <c r="E676" s="66">
        <v>6.5935877359299996E-4</v>
      </c>
    </row>
    <row r="677" spans="2:5" ht="14.5" customHeight="1">
      <c r="B677" s="83"/>
      <c r="C677" s="64" t="s">
        <v>202</v>
      </c>
      <c r="D677" s="65">
        <v>15</v>
      </c>
      <c r="E677" s="66">
        <v>4.12099233495E-4</v>
      </c>
    </row>
    <row r="678" spans="2:5" ht="14.5" customHeight="1">
      <c r="B678" s="83"/>
      <c r="C678" s="64" t="s">
        <v>203</v>
      </c>
      <c r="D678" s="65">
        <v>4</v>
      </c>
      <c r="E678" s="66">
        <v>1.09893128932E-4</v>
      </c>
    </row>
    <row r="679" spans="2:5" ht="14.5" customHeight="1">
      <c r="B679" s="83"/>
      <c r="C679" s="64" t="s">
        <v>204</v>
      </c>
      <c r="D679" s="65">
        <v>35</v>
      </c>
      <c r="E679" s="66">
        <v>9.61564878156E-4</v>
      </c>
    </row>
    <row r="680" spans="2:5" ht="14.5" customHeight="1">
      <c r="B680" s="83"/>
      <c r="C680" s="64" t="s">
        <v>205</v>
      </c>
      <c r="D680" s="65">
        <v>61</v>
      </c>
      <c r="E680" s="66">
        <v>1.675870216215E-3</v>
      </c>
    </row>
    <row r="681" spans="2:5" ht="14.5" customHeight="1">
      <c r="B681" s="83"/>
      <c r="C681" s="64" t="s">
        <v>206</v>
      </c>
      <c r="D681" s="65">
        <v>14</v>
      </c>
      <c r="E681" s="66">
        <v>3.8462595126199998E-4</v>
      </c>
    </row>
    <row r="682" spans="2:5" ht="14.5" customHeight="1">
      <c r="B682" s="83"/>
      <c r="C682" s="64" t="s">
        <v>207</v>
      </c>
      <c r="D682" s="65">
        <v>17</v>
      </c>
      <c r="E682" s="66">
        <v>4.6704579796099998E-4</v>
      </c>
    </row>
    <row r="683" spans="2:5" ht="14.5" customHeight="1">
      <c r="B683" s="83"/>
      <c r="C683" s="64" t="s">
        <v>208</v>
      </c>
      <c r="D683" s="65">
        <v>3</v>
      </c>
      <c r="E683" s="66">
        <v>8.2419846699E-5</v>
      </c>
    </row>
    <row r="684" spans="2:5" ht="14.5" customHeight="1">
      <c r="B684" s="83"/>
      <c r="C684" s="64" t="s">
        <v>209</v>
      </c>
      <c r="D684" s="65">
        <v>28</v>
      </c>
      <c r="E684" s="66">
        <v>7.6925190252500003E-4</v>
      </c>
    </row>
    <row r="685" spans="2:5" ht="14.5" customHeight="1">
      <c r="B685" s="83"/>
      <c r="C685" s="64" t="s">
        <v>210</v>
      </c>
      <c r="D685" s="65">
        <v>2</v>
      </c>
      <c r="E685" s="66">
        <v>5.4946564466000002E-5</v>
      </c>
    </row>
    <row r="686" spans="2:5" ht="14.5" customHeight="1">
      <c r="B686" s="83"/>
      <c r="C686" s="64" t="s">
        <v>211</v>
      </c>
      <c r="D686" s="65">
        <v>3</v>
      </c>
      <c r="E686" s="66">
        <v>8.2419846699E-5</v>
      </c>
    </row>
    <row r="687" spans="2:5" ht="14.5" customHeight="1">
      <c r="B687" s="83"/>
      <c r="C687" s="64" t="s">
        <v>213</v>
      </c>
      <c r="D687" s="65">
        <v>19</v>
      </c>
      <c r="E687" s="66">
        <v>5.2199236242800003E-4</v>
      </c>
    </row>
    <row r="688" spans="2:5" ht="14.5" customHeight="1">
      <c r="B688" s="83"/>
      <c r="C688" s="64" t="s">
        <v>214</v>
      </c>
      <c r="D688" s="65">
        <v>3</v>
      </c>
      <c r="E688" s="66">
        <v>8.2419846699E-5</v>
      </c>
    </row>
    <row r="689" spans="2:5" ht="14.5" customHeight="1">
      <c r="B689" s="83"/>
      <c r="C689" s="64" t="s">
        <v>215</v>
      </c>
      <c r="D689" s="65">
        <v>27</v>
      </c>
      <c r="E689" s="66">
        <v>7.4177862029199996E-4</v>
      </c>
    </row>
    <row r="690" spans="2:5" ht="14.5" customHeight="1">
      <c r="B690" s="82"/>
      <c r="C690" s="36" t="s">
        <v>29</v>
      </c>
      <c r="D690" s="35">
        <v>282</v>
      </c>
      <c r="E690" s="34">
        <v>7.7474655897140001E-3</v>
      </c>
    </row>
    <row r="691" spans="2:5" ht="14.5" customHeight="1">
      <c r="B691" s="77" t="s">
        <v>149</v>
      </c>
      <c r="C691" s="64" t="s">
        <v>212</v>
      </c>
      <c r="D691" s="65">
        <v>2</v>
      </c>
      <c r="E691" s="66">
        <v>5.4946564466000002E-5</v>
      </c>
    </row>
    <row r="692" spans="2:5" ht="14.5" customHeight="1">
      <c r="B692" s="82"/>
      <c r="C692" s="36" t="s">
        <v>29</v>
      </c>
      <c r="D692" s="35">
        <v>2</v>
      </c>
      <c r="E692" s="34">
        <v>5.4946564466000002E-5</v>
      </c>
    </row>
    <row r="693" spans="2:5" ht="14.5" customHeight="1">
      <c r="B693" s="77" t="s">
        <v>150</v>
      </c>
      <c r="C693" s="64" t="s">
        <v>200</v>
      </c>
      <c r="D693" s="65">
        <v>15</v>
      </c>
      <c r="E693" s="66">
        <v>4.12099233495E-4</v>
      </c>
    </row>
    <row r="694" spans="2:5" ht="14.5" customHeight="1">
      <c r="B694" s="83"/>
      <c r="C694" s="64" t="s">
        <v>201</v>
      </c>
      <c r="D694" s="65">
        <v>8</v>
      </c>
      <c r="E694" s="66">
        <v>2.1978625786400001E-4</v>
      </c>
    </row>
    <row r="695" spans="2:5" ht="14.5" customHeight="1">
      <c r="B695" s="83"/>
      <c r="C695" s="64" t="s">
        <v>202</v>
      </c>
      <c r="D695" s="65">
        <v>7</v>
      </c>
      <c r="E695" s="66">
        <v>1.9231297563099999E-4</v>
      </c>
    </row>
    <row r="696" spans="2:5" ht="14.5" customHeight="1">
      <c r="B696" s="83"/>
      <c r="C696" s="64" t="s">
        <v>203</v>
      </c>
      <c r="D696" s="65">
        <v>5</v>
      </c>
      <c r="E696" s="66">
        <v>1.3736641116500001E-4</v>
      </c>
    </row>
    <row r="697" spans="2:5" ht="14.5" customHeight="1">
      <c r="B697" s="83"/>
      <c r="C697" s="64" t="s">
        <v>204</v>
      </c>
      <c r="D697" s="65">
        <v>24</v>
      </c>
      <c r="E697" s="66">
        <v>6.5935877359299996E-4</v>
      </c>
    </row>
    <row r="698" spans="2:5" ht="14.5" customHeight="1">
      <c r="B698" s="83"/>
      <c r="C698" s="64" t="s">
        <v>205</v>
      </c>
      <c r="D698" s="65">
        <v>24</v>
      </c>
      <c r="E698" s="66">
        <v>6.5935877359299996E-4</v>
      </c>
    </row>
    <row r="699" spans="2:5" ht="14.5" customHeight="1">
      <c r="B699" s="83"/>
      <c r="C699" s="64" t="s">
        <v>206</v>
      </c>
      <c r="D699" s="65">
        <v>12</v>
      </c>
      <c r="E699" s="66">
        <v>3.29679386796E-4</v>
      </c>
    </row>
    <row r="700" spans="2:5" ht="14.5" customHeight="1">
      <c r="B700" s="83"/>
      <c r="C700" s="64" t="s">
        <v>207</v>
      </c>
      <c r="D700" s="65">
        <v>25</v>
      </c>
      <c r="E700" s="66">
        <v>6.8683205582600003E-4</v>
      </c>
    </row>
    <row r="701" spans="2:5" ht="14.5" customHeight="1">
      <c r="B701" s="83"/>
      <c r="C701" s="64" t="s">
        <v>208</v>
      </c>
      <c r="D701" s="65">
        <v>4</v>
      </c>
      <c r="E701" s="66">
        <v>1.09893128932E-4</v>
      </c>
    </row>
    <row r="702" spans="2:5" ht="14.5" customHeight="1">
      <c r="B702" s="83"/>
      <c r="C702" s="64" t="s">
        <v>209</v>
      </c>
      <c r="D702" s="65">
        <v>21</v>
      </c>
      <c r="E702" s="66">
        <v>5.7693892689399996E-4</v>
      </c>
    </row>
    <row r="703" spans="2:5" ht="14.5" customHeight="1">
      <c r="B703" s="83"/>
      <c r="C703" s="64" t="s">
        <v>211</v>
      </c>
      <c r="D703" s="65">
        <v>9</v>
      </c>
      <c r="E703" s="66">
        <v>2.47259540097E-4</v>
      </c>
    </row>
    <row r="704" spans="2:5" ht="14.5" customHeight="1">
      <c r="B704" s="83"/>
      <c r="C704" s="64" t="s">
        <v>212</v>
      </c>
      <c r="D704" s="65">
        <v>1</v>
      </c>
      <c r="E704" s="66">
        <v>2.7473282233000001E-5</v>
      </c>
    </row>
    <row r="705" spans="2:5" ht="14.5" customHeight="1">
      <c r="B705" s="83"/>
      <c r="C705" s="64" t="s">
        <v>213</v>
      </c>
      <c r="D705" s="65">
        <v>12</v>
      </c>
      <c r="E705" s="66">
        <v>3.29679386796E-4</v>
      </c>
    </row>
    <row r="706" spans="2:5" ht="14.5" customHeight="1">
      <c r="B706" s="83"/>
      <c r="C706" s="64" t="s">
        <v>214</v>
      </c>
      <c r="D706" s="65">
        <v>1</v>
      </c>
      <c r="E706" s="66">
        <v>2.7473282233000001E-5</v>
      </c>
    </row>
    <row r="707" spans="2:5" ht="14.5" customHeight="1">
      <c r="B707" s="83"/>
      <c r="C707" s="64" t="s">
        <v>215</v>
      </c>
      <c r="D707" s="65">
        <v>17</v>
      </c>
      <c r="E707" s="66">
        <v>4.6704579796099998E-4</v>
      </c>
    </row>
    <row r="708" spans="2:5" ht="14.5" customHeight="1">
      <c r="B708" s="82"/>
      <c r="C708" s="36" t="s">
        <v>29</v>
      </c>
      <c r="D708" s="35">
        <v>185</v>
      </c>
      <c r="E708" s="34">
        <v>5.0825572131099998E-3</v>
      </c>
    </row>
    <row r="709" spans="2:5" ht="14.5" customHeight="1">
      <c r="B709" s="77" t="s">
        <v>82</v>
      </c>
      <c r="C709" s="64" t="s">
        <v>200</v>
      </c>
      <c r="D709" s="65">
        <v>8</v>
      </c>
      <c r="E709" s="66">
        <v>2.1978625786400001E-4</v>
      </c>
    </row>
    <row r="710" spans="2:5" ht="14.5" customHeight="1">
      <c r="B710" s="83"/>
      <c r="C710" s="64" t="s">
        <v>201</v>
      </c>
      <c r="D710" s="65">
        <v>13</v>
      </c>
      <c r="E710" s="66">
        <v>3.5715266902900002E-4</v>
      </c>
    </row>
    <row r="711" spans="2:5" ht="14.5" customHeight="1">
      <c r="B711" s="83"/>
      <c r="C711" s="64" t="s">
        <v>202</v>
      </c>
      <c r="D711" s="65">
        <v>8</v>
      </c>
      <c r="E711" s="66">
        <v>2.1978625786400001E-4</v>
      </c>
    </row>
    <row r="712" spans="2:5" ht="14.5" customHeight="1">
      <c r="B712" s="83"/>
      <c r="C712" s="64" t="s">
        <v>203</v>
      </c>
      <c r="D712" s="65">
        <v>3</v>
      </c>
      <c r="E712" s="66">
        <v>8.2419846699E-5</v>
      </c>
    </row>
    <row r="713" spans="2:5" ht="14.5" customHeight="1">
      <c r="B713" s="83"/>
      <c r="C713" s="64" t="s">
        <v>204</v>
      </c>
      <c r="D713" s="65">
        <v>23</v>
      </c>
      <c r="E713" s="66">
        <v>6.3188549136E-4</v>
      </c>
    </row>
    <row r="714" spans="2:5" ht="14.5" customHeight="1">
      <c r="B714" s="83"/>
      <c r="C714" s="64" t="s">
        <v>205</v>
      </c>
      <c r="D714" s="65">
        <v>31</v>
      </c>
      <c r="E714" s="66">
        <v>8.5167174922400003E-4</v>
      </c>
    </row>
    <row r="715" spans="2:5" ht="14.5" customHeight="1">
      <c r="B715" s="83"/>
      <c r="C715" s="64" t="s">
        <v>206</v>
      </c>
      <c r="D715" s="65">
        <v>10</v>
      </c>
      <c r="E715" s="66">
        <v>2.7473282233000002E-4</v>
      </c>
    </row>
    <row r="716" spans="2:5" ht="14.5" customHeight="1">
      <c r="B716" s="83"/>
      <c r="C716" s="64" t="s">
        <v>207</v>
      </c>
      <c r="D716" s="65">
        <v>28</v>
      </c>
      <c r="E716" s="66">
        <v>7.6925190252500003E-4</v>
      </c>
    </row>
    <row r="717" spans="2:5" ht="14.5" customHeight="1">
      <c r="B717" s="83"/>
      <c r="C717" s="64" t="s">
        <v>208</v>
      </c>
      <c r="D717" s="65">
        <v>2</v>
      </c>
      <c r="E717" s="66">
        <v>5.4946564466000002E-5</v>
      </c>
    </row>
    <row r="718" spans="2:5" ht="14.5" customHeight="1">
      <c r="B718" s="83"/>
      <c r="C718" s="64" t="s">
        <v>209</v>
      </c>
      <c r="D718" s="65">
        <v>18</v>
      </c>
      <c r="E718" s="66">
        <v>4.9451908019499996E-4</v>
      </c>
    </row>
    <row r="719" spans="2:5" ht="14.5" customHeight="1">
      <c r="B719" s="83"/>
      <c r="C719" s="64" t="s">
        <v>210</v>
      </c>
      <c r="D719" s="65">
        <v>1</v>
      </c>
      <c r="E719" s="66">
        <v>2.7473282233000001E-5</v>
      </c>
    </row>
    <row r="720" spans="2:5" ht="14.5" customHeight="1">
      <c r="B720" s="83"/>
      <c r="C720" s="64" t="s">
        <v>211</v>
      </c>
      <c r="D720" s="65">
        <v>4</v>
      </c>
      <c r="E720" s="66">
        <v>1.09893128932E-4</v>
      </c>
    </row>
    <row r="721" spans="2:5" ht="14.5" customHeight="1">
      <c r="B721" s="83"/>
      <c r="C721" s="64" t="s">
        <v>212</v>
      </c>
      <c r="D721" s="65">
        <v>7</v>
      </c>
      <c r="E721" s="66">
        <v>1.9231297563099999E-4</v>
      </c>
    </row>
    <row r="722" spans="2:5" ht="14.5" customHeight="1">
      <c r="B722" s="83"/>
      <c r="C722" s="64" t="s">
        <v>213</v>
      </c>
      <c r="D722" s="65">
        <v>12</v>
      </c>
      <c r="E722" s="66">
        <v>3.29679386796E-4</v>
      </c>
    </row>
    <row r="723" spans="2:5" ht="14.5" customHeight="1">
      <c r="B723" s="83"/>
      <c r="C723" s="64" t="s">
        <v>214</v>
      </c>
      <c r="D723" s="65">
        <v>2</v>
      </c>
      <c r="E723" s="66">
        <v>5.4946564466000002E-5</v>
      </c>
    </row>
    <row r="724" spans="2:5" ht="14.5" customHeight="1">
      <c r="B724" s="83"/>
      <c r="C724" s="64" t="s">
        <v>215</v>
      </c>
      <c r="D724" s="65">
        <v>20</v>
      </c>
      <c r="E724" s="66">
        <v>5.49465644661E-4</v>
      </c>
    </row>
    <row r="725" spans="2:5" ht="14.5" customHeight="1">
      <c r="B725" s="82"/>
      <c r="C725" s="36" t="s">
        <v>29</v>
      </c>
      <c r="D725" s="35">
        <v>190</v>
      </c>
      <c r="E725" s="34">
        <v>5.2199236242750002E-3</v>
      </c>
    </row>
    <row r="726" spans="2:5" ht="14.5" customHeight="1">
      <c r="B726" s="77" t="s">
        <v>151</v>
      </c>
      <c r="C726" s="64" t="s">
        <v>204</v>
      </c>
      <c r="D726" s="65">
        <v>2</v>
      </c>
      <c r="E726" s="66">
        <v>5.4946564466000002E-5</v>
      </c>
    </row>
    <row r="727" spans="2:5" ht="14.5" customHeight="1">
      <c r="B727" s="83"/>
      <c r="C727" s="64" t="s">
        <v>206</v>
      </c>
      <c r="D727" s="65">
        <v>2</v>
      </c>
      <c r="E727" s="66">
        <v>5.4946564466000002E-5</v>
      </c>
    </row>
    <row r="728" spans="2:5" ht="14.5" customHeight="1">
      <c r="B728" s="83"/>
      <c r="C728" s="64" t="s">
        <v>220</v>
      </c>
      <c r="D728" s="65">
        <v>1</v>
      </c>
      <c r="E728" s="66">
        <v>2.7473282233000001E-5</v>
      </c>
    </row>
    <row r="729" spans="2:5" ht="14.5" customHeight="1">
      <c r="B729" s="83"/>
      <c r="C729" s="64" t="s">
        <v>214</v>
      </c>
      <c r="D729" s="65">
        <v>1</v>
      </c>
      <c r="E729" s="66">
        <v>2.7473282233000001E-5</v>
      </c>
    </row>
    <row r="730" spans="2:5" ht="14.5" customHeight="1">
      <c r="B730" s="82"/>
      <c r="C730" s="36" t="s">
        <v>29</v>
      </c>
      <c r="D730" s="35">
        <v>6</v>
      </c>
      <c r="E730" s="34">
        <v>1.64839693398E-4</v>
      </c>
    </row>
    <row r="731" spans="2:5" ht="14.5" customHeight="1">
      <c r="B731" s="77" t="s">
        <v>152</v>
      </c>
      <c r="C731" s="64" t="s">
        <v>200</v>
      </c>
      <c r="D731" s="65">
        <v>24</v>
      </c>
      <c r="E731" s="66">
        <v>6.5935877359299996E-4</v>
      </c>
    </row>
    <row r="732" spans="2:5" ht="14.5" customHeight="1">
      <c r="B732" s="83"/>
      <c r="C732" s="64" t="s">
        <v>201</v>
      </c>
      <c r="D732" s="65">
        <v>16</v>
      </c>
      <c r="E732" s="66">
        <v>4.3957251572800002E-4</v>
      </c>
    </row>
    <row r="733" spans="2:5" ht="14.5" customHeight="1">
      <c r="B733" s="83"/>
      <c r="C733" s="64" t="s">
        <v>202</v>
      </c>
      <c r="D733" s="65">
        <v>18</v>
      </c>
      <c r="E733" s="66">
        <v>4.9451908019499996E-4</v>
      </c>
    </row>
    <row r="734" spans="2:5" ht="14.5" customHeight="1">
      <c r="B734" s="83"/>
      <c r="C734" s="64" t="s">
        <v>203</v>
      </c>
      <c r="D734" s="65">
        <v>2</v>
      </c>
      <c r="E734" s="66">
        <v>5.4946564466000002E-5</v>
      </c>
    </row>
    <row r="735" spans="2:5" ht="14.5" customHeight="1">
      <c r="B735" s="83"/>
      <c r="C735" s="64" t="s">
        <v>204</v>
      </c>
      <c r="D735" s="65">
        <v>56</v>
      </c>
      <c r="E735" s="66">
        <v>1.5385038050500001E-3</v>
      </c>
    </row>
    <row r="736" spans="2:5" ht="14.5" customHeight="1">
      <c r="B736" s="83"/>
      <c r="C736" s="64" t="s">
        <v>205</v>
      </c>
      <c r="D736" s="65">
        <v>44</v>
      </c>
      <c r="E736" s="66">
        <v>1.208824418253E-3</v>
      </c>
    </row>
    <row r="737" spans="2:5" ht="14.5" customHeight="1">
      <c r="B737" s="83"/>
      <c r="C737" s="64" t="s">
        <v>206</v>
      </c>
      <c r="D737" s="65">
        <v>23</v>
      </c>
      <c r="E737" s="66">
        <v>6.3188549136E-4</v>
      </c>
    </row>
    <row r="738" spans="2:5" ht="14.5" customHeight="1">
      <c r="B738" s="83"/>
      <c r="C738" s="64" t="s">
        <v>207</v>
      </c>
      <c r="D738" s="65">
        <v>48</v>
      </c>
      <c r="E738" s="66">
        <v>1.3187175471850001E-3</v>
      </c>
    </row>
    <row r="739" spans="2:5" ht="14.5" customHeight="1">
      <c r="B739" s="83"/>
      <c r="C739" s="64" t="s">
        <v>208</v>
      </c>
      <c r="D739" s="65">
        <v>6</v>
      </c>
      <c r="E739" s="66">
        <v>1.64839693398E-4</v>
      </c>
    </row>
    <row r="740" spans="2:5" ht="14.5" customHeight="1">
      <c r="B740" s="83"/>
      <c r="C740" s="64" t="s">
        <v>209</v>
      </c>
      <c r="D740" s="65">
        <v>40</v>
      </c>
      <c r="E740" s="66">
        <v>1.0989312893209999E-3</v>
      </c>
    </row>
    <row r="741" spans="2:5" ht="14.5" customHeight="1">
      <c r="B741" s="83"/>
      <c r="C741" s="64" t="s">
        <v>210</v>
      </c>
      <c r="D741" s="65">
        <v>5</v>
      </c>
      <c r="E741" s="66">
        <v>1.3736641116500001E-4</v>
      </c>
    </row>
    <row r="742" spans="2:5" ht="14.5" customHeight="1">
      <c r="B742" s="83"/>
      <c r="C742" s="64" t="s">
        <v>216</v>
      </c>
      <c r="D742" s="65">
        <v>5</v>
      </c>
      <c r="E742" s="66">
        <v>1.3736641116500001E-4</v>
      </c>
    </row>
    <row r="743" spans="2:5" ht="14.5" customHeight="1">
      <c r="B743" s="83"/>
      <c r="C743" s="64" t="s">
        <v>211</v>
      </c>
      <c r="D743" s="65">
        <v>18</v>
      </c>
      <c r="E743" s="66">
        <v>4.9451908019499996E-4</v>
      </c>
    </row>
    <row r="744" spans="2:5" ht="14.5" customHeight="1">
      <c r="B744" s="83"/>
      <c r="C744" s="64" t="s">
        <v>212</v>
      </c>
      <c r="D744" s="65">
        <v>4</v>
      </c>
      <c r="E744" s="66">
        <v>1.09893128932E-4</v>
      </c>
    </row>
    <row r="745" spans="2:5" ht="14.5" customHeight="1">
      <c r="B745" s="83"/>
      <c r="C745" s="64" t="s">
        <v>213</v>
      </c>
      <c r="D745" s="65">
        <v>11</v>
      </c>
      <c r="E745" s="66">
        <v>3.0220610456299998E-4</v>
      </c>
    </row>
    <row r="746" spans="2:5" ht="14.5" customHeight="1">
      <c r="B746" s="83"/>
      <c r="C746" s="64" t="s">
        <v>214</v>
      </c>
      <c r="D746" s="65">
        <v>3</v>
      </c>
      <c r="E746" s="66">
        <v>8.2419846699E-5</v>
      </c>
    </row>
    <row r="747" spans="2:5" ht="14.5" customHeight="1">
      <c r="B747" s="83"/>
      <c r="C747" s="64" t="s">
        <v>215</v>
      </c>
      <c r="D747" s="65">
        <v>35</v>
      </c>
      <c r="E747" s="66">
        <v>9.61564878156E-4</v>
      </c>
    </row>
    <row r="748" spans="2:5" ht="14.5" customHeight="1">
      <c r="B748" s="82"/>
      <c r="C748" s="36" t="s">
        <v>29</v>
      </c>
      <c r="D748" s="35">
        <v>358</v>
      </c>
      <c r="E748" s="34">
        <v>9.8354350394240005E-3</v>
      </c>
    </row>
    <row r="749" spans="2:5" ht="14.5" customHeight="1">
      <c r="B749" s="77" t="s">
        <v>153</v>
      </c>
      <c r="C749" s="64" t="s">
        <v>200</v>
      </c>
      <c r="D749" s="65">
        <v>2</v>
      </c>
      <c r="E749" s="66">
        <v>5.4946564466000002E-5</v>
      </c>
    </row>
    <row r="750" spans="2:5" ht="14.5" customHeight="1">
      <c r="B750" s="78"/>
      <c r="C750" s="64" t="s">
        <v>201</v>
      </c>
      <c r="D750" s="65">
        <v>1</v>
      </c>
      <c r="E750" s="66">
        <v>2.7473282233000001E-5</v>
      </c>
    </row>
    <row r="751" spans="2:5" ht="14.5" customHeight="1">
      <c r="B751" s="78"/>
      <c r="C751" s="64" t="s">
        <v>202</v>
      </c>
      <c r="D751" s="65">
        <v>4</v>
      </c>
      <c r="E751" s="66">
        <v>1.09893128932E-4</v>
      </c>
    </row>
    <row r="752" spans="2:5" ht="14.5" customHeight="1">
      <c r="B752" s="78"/>
      <c r="C752" s="64" t="s">
        <v>204</v>
      </c>
      <c r="D752" s="65">
        <v>4</v>
      </c>
      <c r="E752" s="66">
        <v>1.09893128932E-4</v>
      </c>
    </row>
    <row r="753" spans="2:5" ht="14.5" customHeight="1">
      <c r="B753" s="78"/>
      <c r="C753" s="64" t="s">
        <v>205</v>
      </c>
      <c r="D753" s="65">
        <v>5</v>
      </c>
      <c r="E753" s="66">
        <v>1.3736641116500001E-4</v>
      </c>
    </row>
    <row r="754" spans="2:5" ht="14.5" customHeight="1">
      <c r="B754" s="78"/>
      <c r="C754" s="64" t="s">
        <v>206</v>
      </c>
      <c r="D754" s="65">
        <v>3</v>
      </c>
      <c r="E754" s="66">
        <v>8.2419846699E-5</v>
      </c>
    </row>
    <row r="755" spans="2:5" ht="14.5" customHeight="1">
      <c r="B755" s="78"/>
      <c r="C755" s="64" t="s">
        <v>207</v>
      </c>
      <c r="D755" s="65">
        <v>7</v>
      </c>
      <c r="E755" s="66">
        <v>1.9231297563099999E-4</v>
      </c>
    </row>
    <row r="756" spans="2:5" ht="14.5" customHeight="1">
      <c r="B756" s="78"/>
      <c r="C756" s="64" t="s">
        <v>209</v>
      </c>
      <c r="D756" s="65">
        <v>1</v>
      </c>
      <c r="E756" s="66">
        <v>2.7473282233000001E-5</v>
      </c>
    </row>
    <row r="757" spans="2:5" ht="14.5" customHeight="1">
      <c r="B757" s="78"/>
      <c r="C757" s="64" t="s">
        <v>215</v>
      </c>
      <c r="D757" s="65">
        <v>2</v>
      </c>
      <c r="E757" s="66">
        <v>5.4946564466000002E-5</v>
      </c>
    </row>
    <row r="758" spans="2:5" ht="14.5" customHeight="1">
      <c r="B758" s="79"/>
      <c r="C758" s="36" t="s">
        <v>29</v>
      </c>
      <c r="D758" s="35">
        <v>29</v>
      </c>
      <c r="E758" s="34">
        <v>7.96725184758E-4</v>
      </c>
    </row>
    <row r="759" spans="2:5" ht="14.5" customHeight="1">
      <c r="B759" s="80" t="s">
        <v>29</v>
      </c>
      <c r="C759" s="81"/>
      <c r="D759" s="62">
        <v>36399</v>
      </c>
      <c r="E759" s="63">
        <v>1</v>
      </c>
    </row>
    <row r="760" spans="2:5" ht="14.5" customHeight="1"/>
    <row r="761" spans="2:5" ht="14.5" customHeight="1">
      <c r="B761" s="15" t="s">
        <v>47</v>
      </c>
    </row>
    <row r="762" spans="2:5" ht="14.5" customHeight="1">
      <c r="B762" s="17" t="s">
        <v>17</v>
      </c>
    </row>
    <row r="763" spans="2:5" ht="14.5" customHeight="1">
      <c r="B763" s="16" t="s">
        <v>48</v>
      </c>
    </row>
    <row r="764" spans="2:5" ht="14.5" customHeight="1">
      <c r="B764" s="15" t="s">
        <v>16</v>
      </c>
    </row>
    <row r="765" spans="2:5" ht="14.5" customHeight="1">
      <c r="B765" s="15" t="s">
        <v>49</v>
      </c>
    </row>
  </sheetData>
  <mergeCells count="54">
    <mergeCell ref="B675:B690"/>
    <mergeCell ref="B599:B609"/>
    <mergeCell ref="B610:B627"/>
    <mergeCell ref="B628:B634"/>
    <mergeCell ref="B635:B653"/>
    <mergeCell ref="B654:B674"/>
    <mergeCell ref="B528:B545"/>
    <mergeCell ref="B546:B563"/>
    <mergeCell ref="B564:B578"/>
    <mergeCell ref="B579:B596"/>
    <mergeCell ref="B597:B598"/>
    <mergeCell ref="B7:E8"/>
    <mergeCell ref="B10:B26"/>
    <mergeCell ref="B379:B394"/>
    <mergeCell ref="B263:B278"/>
    <mergeCell ref="B279:B295"/>
    <mergeCell ref="B296:B311"/>
    <mergeCell ref="B27:B30"/>
    <mergeCell ref="B31:B48"/>
    <mergeCell ref="B49:B67"/>
    <mergeCell ref="B68:B90"/>
    <mergeCell ref="B91:B106"/>
    <mergeCell ref="B107:B120"/>
    <mergeCell ref="B121:B135"/>
    <mergeCell ref="B136:B145"/>
    <mergeCell ref="B146:B164"/>
    <mergeCell ref="B165:B182"/>
    <mergeCell ref="B183:B194"/>
    <mergeCell ref="B195:B209"/>
    <mergeCell ref="B210:B228"/>
    <mergeCell ref="B229:B246"/>
    <mergeCell ref="B247:B262"/>
    <mergeCell ref="B312:B313"/>
    <mergeCell ref="B314:B329"/>
    <mergeCell ref="B330:B343"/>
    <mergeCell ref="B344:B361"/>
    <mergeCell ref="B362:B378"/>
    <mergeCell ref="B395:B410"/>
    <mergeCell ref="B411:B416"/>
    <mergeCell ref="B417:B432"/>
    <mergeCell ref="B433:B450"/>
    <mergeCell ref="B451:B454"/>
    <mergeCell ref="B455:B471"/>
    <mergeCell ref="B472:B485"/>
    <mergeCell ref="B486:B503"/>
    <mergeCell ref="B504:B522"/>
    <mergeCell ref="B523:B527"/>
    <mergeCell ref="B749:B758"/>
    <mergeCell ref="B759:C759"/>
    <mergeCell ref="B691:B692"/>
    <mergeCell ref="B693:B708"/>
    <mergeCell ref="B709:B725"/>
    <mergeCell ref="B726:B730"/>
    <mergeCell ref="B731:B7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846"/>
  <sheetViews>
    <sheetView showGridLines="0" view="pageBreakPreview" topLeftCell="A812" zoomScale="85" zoomScaleNormal="100" zoomScaleSheetLayoutView="85" workbookViewId="0">
      <selection activeCell="C1" sqref="C1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1.4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4"/>
      <c r="C7" s="84"/>
      <c r="D7" s="84"/>
      <c r="E7" s="84"/>
    </row>
    <row r="8" spans="1:5" s="41" customFormat="1" ht="33" customHeight="1">
      <c r="A8" s="42"/>
      <c r="B8" s="84"/>
      <c r="C8" s="84"/>
      <c r="D8" s="84"/>
      <c r="E8" s="84"/>
    </row>
    <row r="9" spans="1:5" s="25" customFormat="1" ht="40.5" customHeight="1">
      <c r="B9" s="38" t="s">
        <v>21</v>
      </c>
      <c r="C9" s="40" t="s">
        <v>25</v>
      </c>
      <c r="D9" s="39" t="s">
        <v>19</v>
      </c>
      <c r="E9" s="38" t="s">
        <v>18</v>
      </c>
    </row>
    <row r="10" spans="1:5" ht="15" customHeight="1">
      <c r="B10" s="77" t="s">
        <v>89</v>
      </c>
      <c r="C10" s="64" t="s">
        <v>200</v>
      </c>
      <c r="D10" s="65">
        <v>10</v>
      </c>
      <c r="E10" s="66">
        <v>2.7473282233000002E-4</v>
      </c>
    </row>
    <row r="11" spans="1:5" ht="15" customHeight="1">
      <c r="B11" s="83"/>
      <c r="C11" s="64" t="s">
        <v>201</v>
      </c>
      <c r="D11" s="65">
        <v>10</v>
      </c>
      <c r="E11" s="66">
        <v>2.7473282233000002E-4</v>
      </c>
    </row>
    <row r="12" spans="1:5" ht="15" customHeight="1">
      <c r="B12" s="83"/>
      <c r="C12" s="64" t="s">
        <v>202</v>
      </c>
      <c r="D12" s="65">
        <v>3</v>
      </c>
      <c r="E12" s="66">
        <v>8.2419846699E-5</v>
      </c>
    </row>
    <row r="13" spans="1:5" ht="15" customHeight="1">
      <c r="B13" s="83"/>
      <c r="C13" s="64" t="s">
        <v>204</v>
      </c>
      <c r="D13" s="65">
        <v>13</v>
      </c>
      <c r="E13" s="66">
        <v>3.5715266902900002E-4</v>
      </c>
    </row>
    <row r="14" spans="1:5" ht="15" customHeight="1">
      <c r="B14" s="83"/>
      <c r="C14" s="64" t="s">
        <v>205</v>
      </c>
      <c r="D14" s="65">
        <v>25</v>
      </c>
      <c r="E14" s="66">
        <v>6.8683205582600003E-4</v>
      </c>
    </row>
    <row r="15" spans="1:5" ht="15" customHeight="1">
      <c r="B15" s="83"/>
      <c r="C15" s="64" t="s">
        <v>206</v>
      </c>
      <c r="D15" s="65">
        <v>10</v>
      </c>
      <c r="E15" s="66">
        <v>2.7473282233000002E-4</v>
      </c>
    </row>
    <row r="16" spans="1:5" ht="15" customHeight="1">
      <c r="B16" s="83"/>
      <c r="C16" s="64" t="s">
        <v>207</v>
      </c>
      <c r="D16" s="65">
        <v>6</v>
      </c>
      <c r="E16" s="66">
        <v>1.64839693398E-4</v>
      </c>
    </row>
    <row r="17" spans="2:5" ht="15" customHeight="1">
      <c r="B17" s="83"/>
      <c r="C17" s="64" t="s">
        <v>208</v>
      </c>
      <c r="D17" s="65">
        <v>1</v>
      </c>
      <c r="E17" s="66">
        <v>2.7473282233000001E-5</v>
      </c>
    </row>
    <row r="18" spans="2:5" ht="15" customHeight="1">
      <c r="B18" s="83"/>
      <c r="C18" s="64" t="s">
        <v>209</v>
      </c>
      <c r="D18" s="65">
        <v>5</v>
      </c>
      <c r="E18" s="66">
        <v>1.3736641116500001E-4</v>
      </c>
    </row>
    <row r="19" spans="2:5" ht="15" customHeight="1">
      <c r="B19" s="83"/>
      <c r="C19" s="64" t="s">
        <v>210</v>
      </c>
      <c r="D19" s="65">
        <v>1</v>
      </c>
      <c r="E19" s="66">
        <v>2.7473282233000001E-5</v>
      </c>
    </row>
    <row r="20" spans="2:5" ht="15" customHeight="1">
      <c r="B20" s="83"/>
      <c r="C20" s="64" t="s">
        <v>211</v>
      </c>
      <c r="D20" s="65">
        <v>3</v>
      </c>
      <c r="E20" s="66">
        <v>8.2419846699E-5</v>
      </c>
    </row>
    <row r="21" spans="2:5" ht="15" customHeight="1">
      <c r="B21" s="83"/>
      <c r="C21" s="64" t="s">
        <v>212</v>
      </c>
      <c r="D21" s="65">
        <v>5</v>
      </c>
      <c r="E21" s="66">
        <v>1.3736641116500001E-4</v>
      </c>
    </row>
    <row r="22" spans="2:5" ht="15" customHeight="1">
      <c r="B22" s="83"/>
      <c r="C22" s="64" t="s">
        <v>213</v>
      </c>
      <c r="D22" s="65">
        <v>10</v>
      </c>
      <c r="E22" s="66">
        <v>2.7473282233000002E-4</v>
      </c>
    </row>
    <row r="23" spans="2:5" ht="15" customHeight="1">
      <c r="B23" s="83"/>
      <c r="C23" s="64" t="s">
        <v>215</v>
      </c>
      <c r="D23" s="65">
        <v>10</v>
      </c>
      <c r="E23" s="66">
        <v>2.7473282233000002E-4</v>
      </c>
    </row>
    <row r="24" spans="2:5" ht="15" customHeight="1">
      <c r="B24" s="82"/>
      <c r="C24" s="36" t="s">
        <v>29</v>
      </c>
      <c r="D24" s="35">
        <v>112</v>
      </c>
      <c r="E24" s="34">
        <v>3.0770076100990001E-3</v>
      </c>
    </row>
    <row r="25" spans="2:5" ht="15" customHeight="1">
      <c r="B25" s="77" t="s">
        <v>56</v>
      </c>
      <c r="C25" s="64" t="s">
        <v>200</v>
      </c>
      <c r="D25" s="65">
        <v>72</v>
      </c>
      <c r="E25" s="66">
        <v>1.9780763207780001E-3</v>
      </c>
    </row>
    <row r="26" spans="2:5" ht="15" customHeight="1">
      <c r="B26" s="83"/>
      <c r="C26" s="64" t="s">
        <v>201</v>
      </c>
      <c r="D26" s="65">
        <v>112</v>
      </c>
      <c r="E26" s="66">
        <v>3.0770076100990001E-3</v>
      </c>
    </row>
    <row r="27" spans="2:5" ht="15" customHeight="1">
      <c r="B27" s="83"/>
      <c r="C27" s="64" t="s">
        <v>202</v>
      </c>
      <c r="D27" s="65">
        <v>47</v>
      </c>
      <c r="E27" s="66">
        <v>1.291244264952E-3</v>
      </c>
    </row>
    <row r="28" spans="2:5" ht="15" customHeight="1">
      <c r="B28" s="83"/>
      <c r="C28" s="64" t="s">
        <v>203</v>
      </c>
      <c r="D28" s="65">
        <v>6</v>
      </c>
      <c r="E28" s="66">
        <v>1.64839693398E-4</v>
      </c>
    </row>
    <row r="29" spans="2:5" ht="15" customHeight="1">
      <c r="B29" s="83"/>
      <c r="C29" s="64" t="s">
        <v>204</v>
      </c>
      <c r="D29" s="65">
        <v>195</v>
      </c>
      <c r="E29" s="66">
        <v>5.3572900354409998E-3</v>
      </c>
    </row>
    <row r="30" spans="2:5" ht="15" customHeight="1">
      <c r="B30" s="83"/>
      <c r="C30" s="64" t="s">
        <v>205</v>
      </c>
      <c r="D30" s="65">
        <v>235</v>
      </c>
      <c r="E30" s="66">
        <v>6.4562213247620001E-3</v>
      </c>
    </row>
    <row r="31" spans="2:5" ht="15" customHeight="1">
      <c r="B31" s="83"/>
      <c r="C31" s="64" t="s">
        <v>206</v>
      </c>
      <c r="D31" s="65">
        <v>91</v>
      </c>
      <c r="E31" s="66">
        <v>2.5000686832059998E-3</v>
      </c>
    </row>
    <row r="32" spans="2:5" ht="15" customHeight="1">
      <c r="B32" s="83"/>
      <c r="C32" s="64" t="s">
        <v>207</v>
      </c>
      <c r="D32" s="65">
        <v>130</v>
      </c>
      <c r="E32" s="66">
        <v>3.5715266902940001E-3</v>
      </c>
    </row>
    <row r="33" spans="2:5" ht="15" customHeight="1">
      <c r="B33" s="83"/>
      <c r="C33" s="64" t="s">
        <v>208</v>
      </c>
      <c r="D33" s="65">
        <v>21</v>
      </c>
      <c r="E33" s="66">
        <v>5.7693892689399996E-4</v>
      </c>
    </row>
    <row r="34" spans="2:5" ht="15" customHeight="1">
      <c r="B34" s="83"/>
      <c r="C34" s="64" t="s">
        <v>209</v>
      </c>
      <c r="D34" s="65">
        <v>123</v>
      </c>
      <c r="E34" s="66">
        <v>3.379213714662E-3</v>
      </c>
    </row>
    <row r="35" spans="2:5" ht="15" customHeight="1">
      <c r="B35" s="83"/>
      <c r="C35" s="64" t="s">
        <v>210</v>
      </c>
      <c r="D35" s="65">
        <v>11</v>
      </c>
      <c r="E35" s="66">
        <v>3.0220610456299998E-4</v>
      </c>
    </row>
    <row r="36" spans="2:5" ht="15" customHeight="1">
      <c r="B36" s="83"/>
      <c r="C36" s="64" t="s">
        <v>216</v>
      </c>
      <c r="D36" s="65">
        <v>2</v>
      </c>
      <c r="E36" s="66">
        <v>5.4946564466000002E-5</v>
      </c>
    </row>
    <row r="37" spans="2:5" ht="15" customHeight="1">
      <c r="B37" s="83"/>
      <c r="C37" s="64" t="s">
        <v>211</v>
      </c>
      <c r="D37" s="65">
        <v>38</v>
      </c>
      <c r="E37" s="66">
        <v>1.043984724855E-3</v>
      </c>
    </row>
    <row r="38" spans="2:5" ht="15" customHeight="1">
      <c r="B38" s="83"/>
      <c r="C38" s="64" t="s">
        <v>212</v>
      </c>
      <c r="D38" s="65">
        <v>31</v>
      </c>
      <c r="E38" s="66">
        <v>8.5167174922400003E-4</v>
      </c>
    </row>
    <row r="39" spans="2:5" ht="15" customHeight="1">
      <c r="B39" s="83"/>
      <c r="C39" s="64" t="s">
        <v>213</v>
      </c>
      <c r="D39" s="65">
        <v>85</v>
      </c>
      <c r="E39" s="66">
        <v>2.3352289898070002E-3</v>
      </c>
    </row>
    <row r="40" spans="2:5" ht="15" customHeight="1">
      <c r="B40" s="83"/>
      <c r="C40" s="64" t="s">
        <v>214</v>
      </c>
      <c r="D40" s="65">
        <v>8</v>
      </c>
      <c r="E40" s="66">
        <v>2.1978625786400001E-4</v>
      </c>
    </row>
    <row r="41" spans="2:5" ht="15" customHeight="1">
      <c r="B41" s="83"/>
      <c r="C41" s="64" t="s">
        <v>215</v>
      </c>
      <c r="D41" s="65">
        <v>114</v>
      </c>
      <c r="E41" s="66">
        <v>3.1319541745650002E-3</v>
      </c>
    </row>
    <row r="42" spans="2:5" ht="15" customHeight="1">
      <c r="B42" s="82"/>
      <c r="C42" s="36" t="s">
        <v>29</v>
      </c>
      <c r="D42" s="35">
        <v>1321</v>
      </c>
      <c r="E42" s="34">
        <v>3.6292205829829997E-2</v>
      </c>
    </row>
    <row r="43" spans="2:5" ht="15" customHeight="1">
      <c r="B43" s="77" t="s">
        <v>65</v>
      </c>
      <c r="C43" s="64" t="s">
        <v>200</v>
      </c>
      <c r="D43" s="65">
        <v>38</v>
      </c>
      <c r="E43" s="66">
        <v>1.043984724855E-3</v>
      </c>
    </row>
    <row r="44" spans="2:5" ht="15" customHeight="1">
      <c r="B44" s="83"/>
      <c r="C44" s="64" t="s">
        <v>201</v>
      </c>
      <c r="D44" s="65">
        <v>50</v>
      </c>
      <c r="E44" s="66">
        <v>1.373664111651E-3</v>
      </c>
    </row>
    <row r="45" spans="2:5" ht="15" customHeight="1">
      <c r="B45" s="83"/>
      <c r="C45" s="64" t="s">
        <v>202</v>
      </c>
      <c r="D45" s="65">
        <v>22</v>
      </c>
      <c r="E45" s="66">
        <v>6.0441220912700003E-4</v>
      </c>
    </row>
    <row r="46" spans="2:5" ht="15" customHeight="1">
      <c r="B46" s="83"/>
      <c r="C46" s="64" t="s">
        <v>203</v>
      </c>
      <c r="D46" s="65">
        <v>6</v>
      </c>
      <c r="E46" s="66">
        <v>1.64839693398E-4</v>
      </c>
    </row>
    <row r="47" spans="2:5" ht="15" customHeight="1">
      <c r="B47" s="83"/>
      <c r="C47" s="64" t="s">
        <v>204</v>
      </c>
      <c r="D47" s="65">
        <v>82</v>
      </c>
      <c r="E47" s="66">
        <v>2.252809143108E-3</v>
      </c>
    </row>
    <row r="48" spans="2:5" ht="15" customHeight="1">
      <c r="B48" s="83"/>
      <c r="C48" s="64" t="s">
        <v>205</v>
      </c>
      <c r="D48" s="65">
        <v>99</v>
      </c>
      <c r="E48" s="66">
        <v>2.71985494107E-3</v>
      </c>
    </row>
    <row r="49" spans="2:5" ht="15" customHeight="1">
      <c r="B49" s="83"/>
      <c r="C49" s="64" t="s">
        <v>206</v>
      </c>
      <c r="D49" s="65">
        <v>36</v>
      </c>
      <c r="E49" s="66">
        <v>9.8903816038900007E-4</v>
      </c>
    </row>
    <row r="50" spans="2:5" ht="15" customHeight="1">
      <c r="B50" s="83"/>
      <c r="C50" s="64" t="s">
        <v>207</v>
      </c>
      <c r="D50" s="65">
        <v>64</v>
      </c>
      <c r="E50" s="66">
        <v>1.758290062914E-3</v>
      </c>
    </row>
    <row r="51" spans="2:5" ht="15" customHeight="1">
      <c r="B51" s="83"/>
      <c r="C51" s="64" t="s">
        <v>208</v>
      </c>
      <c r="D51" s="65">
        <v>4</v>
      </c>
      <c r="E51" s="66">
        <v>1.09893128932E-4</v>
      </c>
    </row>
    <row r="52" spans="2:5" ht="15" customHeight="1">
      <c r="B52" s="83"/>
      <c r="C52" s="64" t="s">
        <v>209</v>
      </c>
      <c r="D52" s="65">
        <v>48</v>
      </c>
      <c r="E52" s="66">
        <v>1.3187175471850001E-3</v>
      </c>
    </row>
    <row r="53" spans="2:5" ht="15" customHeight="1">
      <c r="B53" s="83"/>
      <c r="C53" s="64" t="s">
        <v>210</v>
      </c>
      <c r="D53" s="65">
        <v>3</v>
      </c>
      <c r="E53" s="66">
        <v>8.2419846699E-5</v>
      </c>
    </row>
    <row r="54" spans="2:5" ht="15" customHeight="1">
      <c r="B54" s="83"/>
      <c r="C54" s="64" t="s">
        <v>211</v>
      </c>
      <c r="D54" s="65">
        <v>19</v>
      </c>
      <c r="E54" s="66">
        <v>5.2199236242800003E-4</v>
      </c>
    </row>
    <row r="55" spans="2:5" ht="15" customHeight="1">
      <c r="B55" s="83"/>
      <c r="C55" s="64" t="s">
        <v>212</v>
      </c>
      <c r="D55" s="65">
        <v>12</v>
      </c>
      <c r="E55" s="66">
        <v>3.29679386796E-4</v>
      </c>
    </row>
    <row r="56" spans="2:5" ht="15" customHeight="1">
      <c r="B56" s="83"/>
      <c r="C56" s="64" t="s">
        <v>213</v>
      </c>
      <c r="D56" s="65">
        <v>42</v>
      </c>
      <c r="E56" s="66">
        <v>1.1538778537870001E-3</v>
      </c>
    </row>
    <row r="57" spans="2:5" ht="15" customHeight="1">
      <c r="B57" s="83"/>
      <c r="C57" s="64" t="s">
        <v>214</v>
      </c>
      <c r="D57" s="65">
        <v>3</v>
      </c>
      <c r="E57" s="66">
        <v>8.2419846699E-5</v>
      </c>
    </row>
    <row r="58" spans="2:5" ht="15" customHeight="1">
      <c r="B58" s="83"/>
      <c r="C58" s="64" t="s">
        <v>215</v>
      </c>
      <c r="D58" s="65">
        <v>47</v>
      </c>
      <c r="E58" s="66">
        <v>1.291244264952E-3</v>
      </c>
    </row>
    <row r="59" spans="2:5" ht="15" customHeight="1">
      <c r="B59" s="82"/>
      <c r="C59" s="36" t="s">
        <v>29</v>
      </c>
      <c r="D59" s="35">
        <v>575</v>
      </c>
      <c r="E59" s="34">
        <v>1.5797137283991E-2</v>
      </c>
    </row>
    <row r="60" spans="2:5" ht="15" customHeight="1">
      <c r="B60" s="77" t="s">
        <v>87</v>
      </c>
      <c r="C60" s="64" t="s">
        <v>200</v>
      </c>
      <c r="D60" s="65">
        <v>12</v>
      </c>
      <c r="E60" s="66">
        <v>3.29679386796E-4</v>
      </c>
    </row>
    <row r="61" spans="2:5" ht="15" customHeight="1">
      <c r="B61" s="83"/>
      <c r="C61" s="64" t="s">
        <v>201</v>
      </c>
      <c r="D61" s="65">
        <v>14</v>
      </c>
      <c r="E61" s="66">
        <v>3.8462595126199998E-4</v>
      </c>
    </row>
    <row r="62" spans="2:5" ht="15" customHeight="1">
      <c r="B62" s="83"/>
      <c r="C62" s="64" t="s">
        <v>202</v>
      </c>
      <c r="D62" s="65">
        <v>5</v>
      </c>
      <c r="E62" s="66">
        <v>1.3736641116500001E-4</v>
      </c>
    </row>
    <row r="63" spans="2:5" ht="15" customHeight="1">
      <c r="B63" s="83"/>
      <c r="C63" s="64" t="s">
        <v>203</v>
      </c>
      <c r="D63" s="65">
        <v>4</v>
      </c>
      <c r="E63" s="66">
        <v>1.09893128932E-4</v>
      </c>
    </row>
    <row r="64" spans="2:5" ht="15" customHeight="1">
      <c r="B64" s="83"/>
      <c r="C64" s="64" t="s">
        <v>204</v>
      </c>
      <c r="D64" s="65">
        <v>18</v>
      </c>
      <c r="E64" s="66">
        <v>4.9451908019499996E-4</v>
      </c>
    </row>
    <row r="65" spans="2:5" ht="15" customHeight="1">
      <c r="B65" s="83"/>
      <c r="C65" s="64" t="s">
        <v>205</v>
      </c>
      <c r="D65" s="65">
        <v>33</v>
      </c>
      <c r="E65" s="66">
        <v>9.0661831368999996E-4</v>
      </c>
    </row>
    <row r="66" spans="2:5" ht="15" customHeight="1">
      <c r="B66" s="83"/>
      <c r="C66" s="64" t="s">
        <v>206</v>
      </c>
      <c r="D66" s="65">
        <v>7</v>
      </c>
      <c r="E66" s="66">
        <v>1.9231297563099999E-4</v>
      </c>
    </row>
    <row r="67" spans="2:5" ht="15" customHeight="1">
      <c r="B67" s="83"/>
      <c r="C67" s="64" t="s">
        <v>207</v>
      </c>
      <c r="D67" s="65">
        <v>16</v>
      </c>
      <c r="E67" s="66">
        <v>4.3957251572800002E-4</v>
      </c>
    </row>
    <row r="68" spans="2:5" ht="15" customHeight="1">
      <c r="B68" s="83"/>
      <c r="C68" s="64" t="s">
        <v>208</v>
      </c>
      <c r="D68" s="65">
        <v>2</v>
      </c>
      <c r="E68" s="66">
        <v>5.4946564466000002E-5</v>
      </c>
    </row>
    <row r="69" spans="2:5" ht="15" customHeight="1">
      <c r="B69" s="83"/>
      <c r="C69" s="64" t="s">
        <v>209</v>
      </c>
      <c r="D69" s="65">
        <v>18</v>
      </c>
      <c r="E69" s="66">
        <v>4.9451908019499996E-4</v>
      </c>
    </row>
    <row r="70" spans="2:5" ht="15" customHeight="1">
      <c r="B70" s="83"/>
      <c r="C70" s="64" t="s">
        <v>211</v>
      </c>
      <c r="D70" s="65">
        <v>6</v>
      </c>
      <c r="E70" s="66">
        <v>1.64839693398E-4</v>
      </c>
    </row>
    <row r="71" spans="2:5" ht="15" customHeight="1">
      <c r="B71" s="83"/>
      <c r="C71" s="64" t="s">
        <v>212</v>
      </c>
      <c r="D71" s="65">
        <v>1</v>
      </c>
      <c r="E71" s="66">
        <v>2.7473282233000001E-5</v>
      </c>
    </row>
    <row r="72" spans="2:5" ht="15" customHeight="1">
      <c r="B72" s="83"/>
      <c r="C72" s="64" t="s">
        <v>213</v>
      </c>
      <c r="D72" s="65">
        <v>11</v>
      </c>
      <c r="E72" s="66">
        <v>3.0220610456299998E-4</v>
      </c>
    </row>
    <row r="73" spans="2:5" ht="15" customHeight="1">
      <c r="B73" s="83"/>
      <c r="C73" s="64" t="s">
        <v>214</v>
      </c>
      <c r="D73" s="65">
        <v>1</v>
      </c>
      <c r="E73" s="66">
        <v>2.7473282233000001E-5</v>
      </c>
    </row>
    <row r="74" spans="2:5" ht="15" customHeight="1">
      <c r="B74" s="83"/>
      <c r="C74" s="64" t="s">
        <v>215</v>
      </c>
      <c r="D74" s="65">
        <v>18</v>
      </c>
      <c r="E74" s="66">
        <v>4.9451908019499996E-4</v>
      </c>
    </row>
    <row r="75" spans="2:5" ht="15" customHeight="1">
      <c r="B75" s="82"/>
      <c r="C75" s="36" t="s">
        <v>29</v>
      </c>
      <c r="D75" s="35">
        <v>166</v>
      </c>
      <c r="E75" s="34">
        <v>4.5605648506830002E-3</v>
      </c>
    </row>
    <row r="76" spans="2:5" ht="15" customHeight="1">
      <c r="B76" s="77" t="s">
        <v>86</v>
      </c>
      <c r="C76" s="64" t="s">
        <v>200</v>
      </c>
      <c r="D76" s="65">
        <v>13</v>
      </c>
      <c r="E76" s="66">
        <v>3.5715266902900002E-4</v>
      </c>
    </row>
    <row r="77" spans="2:5" ht="15" customHeight="1">
      <c r="B77" s="83"/>
      <c r="C77" s="64" t="s">
        <v>201</v>
      </c>
      <c r="D77" s="65">
        <v>13</v>
      </c>
      <c r="E77" s="66">
        <v>3.5715266902900002E-4</v>
      </c>
    </row>
    <row r="78" spans="2:5" ht="15" customHeight="1">
      <c r="B78" s="83"/>
      <c r="C78" s="64" t="s">
        <v>202</v>
      </c>
      <c r="D78" s="65">
        <v>7</v>
      </c>
      <c r="E78" s="66">
        <v>1.9231297563099999E-4</v>
      </c>
    </row>
    <row r="79" spans="2:5" ht="15" customHeight="1">
      <c r="B79" s="83"/>
      <c r="C79" s="64" t="s">
        <v>203</v>
      </c>
      <c r="D79" s="65">
        <v>3</v>
      </c>
      <c r="E79" s="66">
        <v>8.2419846699E-5</v>
      </c>
    </row>
    <row r="80" spans="2:5" ht="15" customHeight="1">
      <c r="B80" s="83"/>
      <c r="C80" s="64" t="s">
        <v>204</v>
      </c>
      <c r="D80" s="65">
        <v>29</v>
      </c>
      <c r="E80" s="66">
        <v>7.96725184758E-4</v>
      </c>
    </row>
    <row r="81" spans="2:5" ht="15" customHeight="1">
      <c r="B81" s="83"/>
      <c r="C81" s="64" t="s">
        <v>205</v>
      </c>
      <c r="D81" s="65">
        <v>23</v>
      </c>
      <c r="E81" s="66">
        <v>6.3188549136E-4</v>
      </c>
    </row>
    <row r="82" spans="2:5" ht="15" customHeight="1">
      <c r="B82" s="83"/>
      <c r="C82" s="64" t="s">
        <v>206</v>
      </c>
      <c r="D82" s="65">
        <v>19</v>
      </c>
      <c r="E82" s="66">
        <v>5.2199236242800003E-4</v>
      </c>
    </row>
    <row r="83" spans="2:5" ht="15" customHeight="1">
      <c r="B83" s="83"/>
      <c r="C83" s="64" t="s">
        <v>207</v>
      </c>
      <c r="D83" s="65">
        <v>19</v>
      </c>
      <c r="E83" s="66">
        <v>5.2199236242800003E-4</v>
      </c>
    </row>
    <row r="84" spans="2:5" ht="15" customHeight="1">
      <c r="B84" s="83"/>
      <c r="C84" s="64" t="s">
        <v>208</v>
      </c>
      <c r="D84" s="65">
        <v>5</v>
      </c>
      <c r="E84" s="66">
        <v>1.3736641116500001E-4</v>
      </c>
    </row>
    <row r="85" spans="2:5" ht="15" customHeight="1">
      <c r="B85" s="83"/>
      <c r="C85" s="64" t="s">
        <v>209</v>
      </c>
      <c r="D85" s="65">
        <v>17</v>
      </c>
      <c r="E85" s="66">
        <v>4.6704579796099998E-4</v>
      </c>
    </row>
    <row r="86" spans="2:5" ht="15" customHeight="1">
      <c r="B86" s="83"/>
      <c r="C86" s="64" t="s">
        <v>211</v>
      </c>
      <c r="D86" s="65">
        <v>3</v>
      </c>
      <c r="E86" s="66">
        <v>8.2419846699E-5</v>
      </c>
    </row>
    <row r="87" spans="2:5" ht="15" customHeight="1">
      <c r="B87" s="83"/>
      <c r="C87" s="64" t="s">
        <v>212</v>
      </c>
      <c r="D87" s="65">
        <v>3</v>
      </c>
      <c r="E87" s="66">
        <v>8.2419846699E-5</v>
      </c>
    </row>
    <row r="88" spans="2:5" ht="15" customHeight="1">
      <c r="B88" s="83"/>
      <c r="C88" s="64" t="s">
        <v>213</v>
      </c>
      <c r="D88" s="65">
        <v>15</v>
      </c>
      <c r="E88" s="66">
        <v>4.12099233495E-4</v>
      </c>
    </row>
    <row r="89" spans="2:5" ht="15" customHeight="1">
      <c r="B89" s="83"/>
      <c r="C89" s="64" t="s">
        <v>215</v>
      </c>
      <c r="D89" s="65">
        <v>10</v>
      </c>
      <c r="E89" s="66">
        <v>2.7473282233000002E-4</v>
      </c>
    </row>
    <row r="90" spans="2:5" ht="15" customHeight="1">
      <c r="B90" s="82"/>
      <c r="C90" s="36" t="s">
        <v>29</v>
      </c>
      <c r="D90" s="35">
        <v>179</v>
      </c>
      <c r="E90" s="34">
        <v>4.9177175197120003E-3</v>
      </c>
    </row>
    <row r="91" spans="2:5" ht="15" customHeight="1">
      <c r="B91" s="77" t="s">
        <v>91</v>
      </c>
      <c r="C91" s="64" t="s">
        <v>200</v>
      </c>
      <c r="D91" s="65">
        <v>4</v>
      </c>
      <c r="E91" s="66">
        <v>1.09893128932E-4</v>
      </c>
    </row>
    <row r="92" spans="2:5" ht="15" customHeight="1">
      <c r="B92" s="83"/>
      <c r="C92" s="64" t="s">
        <v>201</v>
      </c>
      <c r="D92" s="65">
        <v>6</v>
      </c>
      <c r="E92" s="66">
        <v>1.64839693398E-4</v>
      </c>
    </row>
    <row r="93" spans="2:5" ht="15" customHeight="1">
      <c r="B93" s="83"/>
      <c r="C93" s="64" t="s">
        <v>202</v>
      </c>
      <c r="D93" s="65">
        <v>1</v>
      </c>
      <c r="E93" s="66">
        <v>2.7473282233000001E-5</v>
      </c>
    </row>
    <row r="94" spans="2:5" ht="15" customHeight="1">
      <c r="B94" s="83"/>
      <c r="C94" s="64" t="s">
        <v>204</v>
      </c>
      <c r="D94" s="65">
        <v>19</v>
      </c>
      <c r="E94" s="66">
        <v>5.2199236242800003E-4</v>
      </c>
    </row>
    <row r="95" spans="2:5" ht="15" customHeight="1">
      <c r="B95" s="83"/>
      <c r="C95" s="64" t="s">
        <v>205</v>
      </c>
      <c r="D95" s="65">
        <v>12</v>
      </c>
      <c r="E95" s="66">
        <v>3.29679386796E-4</v>
      </c>
    </row>
    <row r="96" spans="2:5" ht="15" customHeight="1">
      <c r="B96" s="83"/>
      <c r="C96" s="64" t="s">
        <v>206</v>
      </c>
      <c r="D96" s="65">
        <v>7</v>
      </c>
      <c r="E96" s="66">
        <v>1.9231297563099999E-4</v>
      </c>
    </row>
    <row r="97" spans="2:5" ht="15" customHeight="1">
      <c r="B97" s="83"/>
      <c r="C97" s="64" t="s">
        <v>207</v>
      </c>
      <c r="D97" s="65">
        <v>10</v>
      </c>
      <c r="E97" s="66">
        <v>2.7473282233000002E-4</v>
      </c>
    </row>
    <row r="98" spans="2:5" ht="15" customHeight="1">
      <c r="B98" s="83"/>
      <c r="C98" s="64" t="s">
        <v>208</v>
      </c>
      <c r="D98" s="65">
        <v>4</v>
      </c>
      <c r="E98" s="66">
        <v>1.09893128932E-4</v>
      </c>
    </row>
    <row r="99" spans="2:5" ht="15" customHeight="1">
      <c r="B99" s="83"/>
      <c r="C99" s="64" t="s">
        <v>209</v>
      </c>
      <c r="D99" s="65">
        <v>18</v>
      </c>
      <c r="E99" s="66">
        <v>4.9451908019499996E-4</v>
      </c>
    </row>
    <row r="100" spans="2:5" ht="15" customHeight="1">
      <c r="B100" s="83"/>
      <c r="C100" s="64" t="s">
        <v>210</v>
      </c>
      <c r="D100" s="65">
        <v>2</v>
      </c>
      <c r="E100" s="66">
        <v>5.4946564466000002E-5</v>
      </c>
    </row>
    <row r="101" spans="2:5" ht="15" customHeight="1">
      <c r="B101" s="83"/>
      <c r="C101" s="64" t="s">
        <v>211</v>
      </c>
      <c r="D101" s="65">
        <v>4</v>
      </c>
      <c r="E101" s="66">
        <v>1.09893128932E-4</v>
      </c>
    </row>
    <row r="102" spans="2:5" ht="15" customHeight="1">
      <c r="B102" s="83"/>
      <c r="C102" s="64" t="s">
        <v>212</v>
      </c>
      <c r="D102" s="65">
        <v>4</v>
      </c>
      <c r="E102" s="66">
        <v>1.09893128932E-4</v>
      </c>
    </row>
    <row r="103" spans="2:5" ht="15" customHeight="1">
      <c r="B103" s="83"/>
      <c r="C103" s="64" t="s">
        <v>213</v>
      </c>
      <c r="D103" s="65">
        <v>8</v>
      </c>
      <c r="E103" s="66">
        <v>2.1978625786400001E-4</v>
      </c>
    </row>
    <row r="104" spans="2:5" ht="15" customHeight="1">
      <c r="B104" s="83"/>
      <c r="C104" s="64" t="s">
        <v>215</v>
      </c>
      <c r="D104" s="65">
        <v>7</v>
      </c>
      <c r="E104" s="66">
        <v>1.9231297563099999E-4</v>
      </c>
    </row>
    <row r="105" spans="2:5" ht="15" customHeight="1">
      <c r="B105" s="82"/>
      <c r="C105" s="36" t="s">
        <v>29</v>
      </c>
      <c r="D105" s="35">
        <v>106</v>
      </c>
      <c r="E105" s="34">
        <v>2.9121679167010001E-3</v>
      </c>
    </row>
    <row r="106" spans="2:5" ht="15" customHeight="1">
      <c r="B106" s="77" t="s">
        <v>96</v>
      </c>
      <c r="C106" s="64" t="s">
        <v>201</v>
      </c>
      <c r="D106" s="65">
        <v>2</v>
      </c>
      <c r="E106" s="66">
        <v>5.4946564466000002E-5</v>
      </c>
    </row>
    <row r="107" spans="2:5" ht="15" customHeight="1">
      <c r="B107" s="83"/>
      <c r="C107" s="64" t="s">
        <v>202</v>
      </c>
      <c r="D107" s="65">
        <v>1</v>
      </c>
      <c r="E107" s="66">
        <v>2.7473282233000001E-5</v>
      </c>
    </row>
    <row r="108" spans="2:5" ht="15" customHeight="1">
      <c r="B108" s="83"/>
      <c r="C108" s="64" t="s">
        <v>204</v>
      </c>
      <c r="D108" s="65">
        <v>4</v>
      </c>
      <c r="E108" s="66">
        <v>1.09893128932E-4</v>
      </c>
    </row>
    <row r="109" spans="2:5" ht="15" customHeight="1">
      <c r="B109" s="83"/>
      <c r="C109" s="64" t="s">
        <v>205</v>
      </c>
      <c r="D109" s="65">
        <v>1</v>
      </c>
      <c r="E109" s="66">
        <v>2.7473282233000001E-5</v>
      </c>
    </row>
    <row r="110" spans="2:5" ht="15" customHeight="1">
      <c r="B110" s="83"/>
      <c r="C110" s="64" t="s">
        <v>211</v>
      </c>
      <c r="D110" s="65">
        <v>2</v>
      </c>
      <c r="E110" s="66">
        <v>5.4946564466000002E-5</v>
      </c>
    </row>
    <row r="111" spans="2:5" ht="15" customHeight="1">
      <c r="B111" s="83"/>
      <c r="C111" s="64" t="s">
        <v>213</v>
      </c>
      <c r="D111" s="65">
        <v>3</v>
      </c>
      <c r="E111" s="66">
        <v>8.2419846699E-5</v>
      </c>
    </row>
    <row r="112" spans="2:5" ht="15" customHeight="1">
      <c r="B112" s="83"/>
      <c r="C112" s="64" t="s">
        <v>214</v>
      </c>
      <c r="D112" s="65">
        <v>1</v>
      </c>
      <c r="E112" s="66">
        <v>2.7473282233000001E-5</v>
      </c>
    </row>
    <row r="113" spans="2:5" ht="15" customHeight="1">
      <c r="B113" s="82"/>
      <c r="C113" s="36" t="s">
        <v>29</v>
      </c>
      <c r="D113" s="35">
        <v>14</v>
      </c>
      <c r="E113" s="34">
        <v>3.8462595126199998E-4</v>
      </c>
    </row>
    <row r="114" spans="2:5" ht="15" customHeight="1">
      <c r="B114" s="77" t="s">
        <v>50</v>
      </c>
      <c r="C114" s="64" t="s">
        <v>200</v>
      </c>
      <c r="D114" s="65">
        <v>505</v>
      </c>
      <c r="E114" s="66">
        <v>1.3874007527679E-2</v>
      </c>
    </row>
    <row r="115" spans="2:5" ht="15" customHeight="1">
      <c r="B115" s="83"/>
      <c r="C115" s="64" t="s">
        <v>201</v>
      </c>
      <c r="D115" s="65">
        <v>561</v>
      </c>
      <c r="E115" s="66">
        <v>1.5412511332728999E-2</v>
      </c>
    </row>
    <row r="116" spans="2:5" ht="15" customHeight="1">
      <c r="B116" s="83"/>
      <c r="C116" s="64" t="s">
        <v>202</v>
      </c>
      <c r="D116" s="65">
        <v>265</v>
      </c>
      <c r="E116" s="66">
        <v>7.2804197917529997E-3</v>
      </c>
    </row>
    <row r="117" spans="2:5" ht="15" customHeight="1">
      <c r="B117" s="83"/>
      <c r="C117" s="64" t="s">
        <v>203</v>
      </c>
      <c r="D117" s="65">
        <v>34</v>
      </c>
      <c r="E117" s="66">
        <v>9.3409159592300003E-4</v>
      </c>
    </row>
    <row r="118" spans="2:5" ht="15" customHeight="1">
      <c r="B118" s="83"/>
      <c r="C118" s="64" t="s">
        <v>204</v>
      </c>
      <c r="D118" s="65">
        <v>812</v>
      </c>
      <c r="E118" s="66">
        <v>2.2308305173218999E-2</v>
      </c>
    </row>
    <row r="119" spans="2:5" ht="15" customHeight="1">
      <c r="B119" s="83"/>
      <c r="C119" s="64" t="s">
        <v>205</v>
      </c>
      <c r="D119" s="65">
        <v>1023</v>
      </c>
      <c r="E119" s="66">
        <v>2.8105167724388001E-2</v>
      </c>
    </row>
    <row r="120" spans="2:5" ht="15" customHeight="1">
      <c r="B120" s="83"/>
      <c r="C120" s="64" t="s">
        <v>206</v>
      </c>
      <c r="D120" s="65">
        <v>375</v>
      </c>
      <c r="E120" s="66">
        <v>1.0302480837386E-2</v>
      </c>
    </row>
    <row r="121" spans="2:5" ht="15" customHeight="1">
      <c r="B121" s="83"/>
      <c r="C121" s="64" t="s">
        <v>207</v>
      </c>
      <c r="D121" s="65">
        <v>661</v>
      </c>
      <c r="E121" s="66">
        <v>1.8159839556031999E-2</v>
      </c>
    </row>
    <row r="122" spans="2:5" ht="15" customHeight="1">
      <c r="B122" s="83"/>
      <c r="C122" s="64" t="s">
        <v>208</v>
      </c>
      <c r="D122" s="65">
        <v>97</v>
      </c>
      <c r="E122" s="66">
        <v>2.6649083766039998E-3</v>
      </c>
    </row>
    <row r="123" spans="2:5" ht="15" customHeight="1">
      <c r="B123" s="83"/>
      <c r="C123" s="64" t="s">
        <v>223</v>
      </c>
      <c r="D123" s="65">
        <v>1</v>
      </c>
      <c r="E123" s="66">
        <v>2.7473282233000001E-5</v>
      </c>
    </row>
    <row r="124" spans="2:5" ht="15" customHeight="1">
      <c r="B124" s="83"/>
      <c r="C124" s="64" t="s">
        <v>209</v>
      </c>
      <c r="D124" s="65">
        <v>560</v>
      </c>
      <c r="E124" s="66">
        <v>1.5385038050496E-2</v>
      </c>
    </row>
    <row r="125" spans="2:5" ht="15" customHeight="1">
      <c r="B125" s="83"/>
      <c r="C125" s="64" t="s">
        <v>210</v>
      </c>
      <c r="D125" s="65">
        <v>46</v>
      </c>
      <c r="E125" s="66">
        <v>1.2637709827189999E-3</v>
      </c>
    </row>
    <row r="126" spans="2:5" ht="15" customHeight="1">
      <c r="B126" s="83"/>
      <c r="C126" s="64" t="s">
        <v>216</v>
      </c>
      <c r="D126" s="65">
        <v>10</v>
      </c>
      <c r="E126" s="66">
        <v>2.7473282233000002E-4</v>
      </c>
    </row>
    <row r="127" spans="2:5" ht="15" customHeight="1">
      <c r="B127" s="83"/>
      <c r="C127" s="64" t="s">
        <v>211</v>
      </c>
      <c r="D127" s="65">
        <v>140</v>
      </c>
      <c r="E127" s="66">
        <v>3.846259512624E-3</v>
      </c>
    </row>
    <row r="128" spans="2:5" ht="15" customHeight="1">
      <c r="B128" s="83"/>
      <c r="C128" s="64" t="s">
        <v>212</v>
      </c>
      <c r="D128" s="65">
        <v>107</v>
      </c>
      <c r="E128" s="66">
        <v>2.9396411989340001E-3</v>
      </c>
    </row>
    <row r="129" spans="2:5" ht="15" customHeight="1">
      <c r="B129" s="83"/>
      <c r="C129" s="64" t="s">
        <v>213</v>
      </c>
      <c r="D129" s="65">
        <v>430</v>
      </c>
      <c r="E129" s="66">
        <v>1.1813511360202001E-2</v>
      </c>
    </row>
    <row r="130" spans="2:5" ht="15" customHeight="1">
      <c r="B130" s="83"/>
      <c r="C130" s="64" t="s">
        <v>214</v>
      </c>
      <c r="D130" s="65">
        <v>60</v>
      </c>
      <c r="E130" s="66">
        <v>1.6483969339819999E-3</v>
      </c>
    </row>
    <row r="131" spans="2:5" ht="15" customHeight="1">
      <c r="B131" s="83"/>
      <c r="C131" s="64" t="s">
        <v>215</v>
      </c>
      <c r="D131" s="65">
        <v>478</v>
      </c>
      <c r="E131" s="66">
        <v>1.3132228907388001E-2</v>
      </c>
    </row>
    <row r="132" spans="2:5" ht="15" customHeight="1">
      <c r="B132" s="82"/>
      <c r="C132" s="36" t="s">
        <v>29</v>
      </c>
      <c r="D132" s="35">
        <v>6165</v>
      </c>
      <c r="E132" s="34">
        <v>0.16937278496662</v>
      </c>
    </row>
    <row r="133" spans="2:5" ht="15" customHeight="1">
      <c r="B133" s="77" t="s">
        <v>53</v>
      </c>
      <c r="C133" s="64" t="s">
        <v>200</v>
      </c>
      <c r="D133" s="65">
        <v>237</v>
      </c>
      <c r="E133" s="66">
        <v>6.5111678892280003E-3</v>
      </c>
    </row>
    <row r="134" spans="2:5" ht="15" customHeight="1">
      <c r="B134" s="83"/>
      <c r="C134" s="64" t="s">
        <v>201</v>
      </c>
      <c r="D134" s="65">
        <v>201</v>
      </c>
      <c r="E134" s="66">
        <v>5.5221297288390002E-3</v>
      </c>
    </row>
    <row r="135" spans="2:5" ht="15" customHeight="1">
      <c r="B135" s="83"/>
      <c r="C135" s="64" t="s">
        <v>202</v>
      </c>
      <c r="D135" s="65">
        <v>126</v>
      </c>
      <c r="E135" s="66">
        <v>3.4616335613619998E-3</v>
      </c>
    </row>
    <row r="136" spans="2:5" ht="15" customHeight="1">
      <c r="B136" s="83"/>
      <c r="C136" s="64" t="s">
        <v>203</v>
      </c>
      <c r="D136" s="65">
        <v>24</v>
      </c>
      <c r="E136" s="66">
        <v>6.5935877359299996E-4</v>
      </c>
    </row>
    <row r="137" spans="2:5" ht="15" customHeight="1">
      <c r="B137" s="83"/>
      <c r="C137" s="64" t="s">
        <v>204</v>
      </c>
      <c r="D137" s="65">
        <v>270</v>
      </c>
      <c r="E137" s="66">
        <v>7.4177862029180001E-3</v>
      </c>
    </row>
    <row r="138" spans="2:5" ht="15" customHeight="1">
      <c r="B138" s="83"/>
      <c r="C138" s="64" t="s">
        <v>205</v>
      </c>
      <c r="D138" s="65">
        <v>483</v>
      </c>
      <c r="E138" s="66">
        <v>1.3269595318553E-2</v>
      </c>
    </row>
    <row r="139" spans="2:5" ht="15" customHeight="1">
      <c r="B139" s="83"/>
      <c r="C139" s="64" t="s">
        <v>206</v>
      </c>
      <c r="D139" s="65">
        <v>144</v>
      </c>
      <c r="E139" s="66">
        <v>3.9561526415560003E-3</v>
      </c>
    </row>
    <row r="140" spans="2:5" ht="15" customHeight="1">
      <c r="B140" s="83"/>
      <c r="C140" s="64" t="s">
        <v>207</v>
      </c>
      <c r="D140" s="65">
        <v>281</v>
      </c>
      <c r="E140" s="66">
        <v>7.719992307481E-3</v>
      </c>
    </row>
    <row r="141" spans="2:5" ht="15" customHeight="1">
      <c r="B141" s="83"/>
      <c r="C141" s="64" t="s">
        <v>208</v>
      </c>
      <c r="D141" s="65">
        <v>42</v>
      </c>
      <c r="E141" s="66">
        <v>1.1538778537870001E-3</v>
      </c>
    </row>
    <row r="142" spans="2:5" ht="15" customHeight="1">
      <c r="B142" s="83"/>
      <c r="C142" s="64" t="s">
        <v>209</v>
      </c>
      <c r="D142" s="65">
        <v>234</v>
      </c>
      <c r="E142" s="66">
        <v>6.428748042529E-3</v>
      </c>
    </row>
    <row r="143" spans="2:5" ht="15" customHeight="1">
      <c r="B143" s="83"/>
      <c r="C143" s="64" t="s">
        <v>210</v>
      </c>
      <c r="D143" s="65">
        <v>16</v>
      </c>
      <c r="E143" s="66">
        <v>4.3957251572800002E-4</v>
      </c>
    </row>
    <row r="144" spans="2:5" ht="15" customHeight="1">
      <c r="B144" s="83"/>
      <c r="C144" s="64" t="s">
        <v>222</v>
      </c>
      <c r="D144" s="65">
        <v>1</v>
      </c>
      <c r="E144" s="66">
        <v>2.7473282233000001E-5</v>
      </c>
    </row>
    <row r="145" spans="2:5" ht="15" customHeight="1">
      <c r="B145" s="83"/>
      <c r="C145" s="64" t="s">
        <v>216</v>
      </c>
      <c r="D145" s="65">
        <v>1</v>
      </c>
      <c r="E145" s="66">
        <v>2.7473282233000001E-5</v>
      </c>
    </row>
    <row r="146" spans="2:5" ht="15" customHeight="1">
      <c r="B146" s="83"/>
      <c r="C146" s="64" t="s">
        <v>211</v>
      </c>
      <c r="D146" s="65">
        <v>95</v>
      </c>
      <c r="E146" s="66">
        <v>2.6099618121380001E-3</v>
      </c>
    </row>
    <row r="147" spans="2:5" ht="15" customHeight="1">
      <c r="B147" s="83"/>
      <c r="C147" s="64" t="s">
        <v>212</v>
      </c>
      <c r="D147" s="65">
        <v>43</v>
      </c>
      <c r="E147" s="66">
        <v>1.1813511360199999E-3</v>
      </c>
    </row>
    <row r="148" spans="2:5" ht="15" customHeight="1">
      <c r="B148" s="83"/>
      <c r="C148" s="64" t="s">
        <v>213</v>
      </c>
      <c r="D148" s="65">
        <v>153</v>
      </c>
      <c r="E148" s="66">
        <v>4.2034121816530001E-3</v>
      </c>
    </row>
    <row r="149" spans="2:5" ht="15" customHeight="1">
      <c r="B149" s="83"/>
      <c r="C149" s="64" t="s">
        <v>214</v>
      </c>
      <c r="D149" s="65">
        <v>32</v>
      </c>
      <c r="E149" s="66">
        <v>8.79145031457E-4</v>
      </c>
    </row>
    <row r="150" spans="2:5" ht="15" customHeight="1">
      <c r="B150" s="83"/>
      <c r="C150" s="64" t="s">
        <v>215</v>
      </c>
      <c r="D150" s="65">
        <v>230</v>
      </c>
      <c r="E150" s="66">
        <v>6.3188549135969998E-3</v>
      </c>
    </row>
    <row r="151" spans="2:5" ht="15" customHeight="1">
      <c r="B151" s="82"/>
      <c r="C151" s="36" t="s">
        <v>29</v>
      </c>
      <c r="D151" s="35">
        <v>2613</v>
      </c>
      <c r="E151" s="34">
        <v>7.1787686474902995E-2</v>
      </c>
    </row>
    <row r="152" spans="2:5" ht="15" customHeight="1">
      <c r="B152" s="77" t="s">
        <v>97</v>
      </c>
      <c r="C152" s="64" t="s">
        <v>201</v>
      </c>
      <c r="D152" s="65">
        <v>2</v>
      </c>
      <c r="E152" s="66">
        <v>5.4946564466000002E-5</v>
      </c>
    </row>
    <row r="153" spans="2:5" ht="15" customHeight="1">
      <c r="B153" s="83"/>
      <c r="C153" s="64" t="s">
        <v>202</v>
      </c>
      <c r="D153" s="65">
        <v>2</v>
      </c>
      <c r="E153" s="66">
        <v>5.4946564466000002E-5</v>
      </c>
    </row>
    <row r="154" spans="2:5" ht="15" customHeight="1">
      <c r="B154" s="83"/>
      <c r="C154" s="64" t="s">
        <v>204</v>
      </c>
      <c r="D154" s="65">
        <v>2</v>
      </c>
      <c r="E154" s="66">
        <v>5.4946564466000002E-5</v>
      </c>
    </row>
    <row r="155" spans="2:5" ht="15" customHeight="1">
      <c r="B155" s="83"/>
      <c r="C155" s="64" t="s">
        <v>208</v>
      </c>
      <c r="D155" s="65">
        <v>1</v>
      </c>
      <c r="E155" s="66">
        <v>2.7473282233000001E-5</v>
      </c>
    </row>
    <row r="156" spans="2:5" ht="15" customHeight="1">
      <c r="B156" s="82"/>
      <c r="C156" s="36" t="s">
        <v>29</v>
      </c>
      <c r="D156" s="35">
        <v>7</v>
      </c>
      <c r="E156" s="34">
        <v>1.9231297563099999E-4</v>
      </c>
    </row>
    <row r="157" spans="2:5" ht="15" customHeight="1">
      <c r="B157" s="77" t="s">
        <v>75</v>
      </c>
      <c r="C157" s="64" t="s">
        <v>200</v>
      </c>
      <c r="D157" s="65">
        <v>40</v>
      </c>
      <c r="E157" s="66">
        <v>1.0989312893209999E-3</v>
      </c>
    </row>
    <row r="158" spans="2:5" ht="15" customHeight="1">
      <c r="B158" s="83"/>
      <c r="C158" s="64" t="s">
        <v>201</v>
      </c>
      <c r="D158" s="65">
        <v>36</v>
      </c>
      <c r="E158" s="66">
        <v>9.8903816038900007E-4</v>
      </c>
    </row>
    <row r="159" spans="2:5" ht="15" customHeight="1">
      <c r="B159" s="83"/>
      <c r="C159" s="64" t="s">
        <v>202</v>
      </c>
      <c r="D159" s="65">
        <v>14</v>
      </c>
      <c r="E159" s="66">
        <v>3.8462595126199998E-4</v>
      </c>
    </row>
    <row r="160" spans="2:5" ht="15" customHeight="1">
      <c r="B160" s="83"/>
      <c r="C160" s="64" t="s">
        <v>204</v>
      </c>
      <c r="D160" s="65">
        <v>62</v>
      </c>
      <c r="E160" s="66">
        <v>1.7033434984480001E-3</v>
      </c>
    </row>
    <row r="161" spans="2:5" ht="15" customHeight="1">
      <c r="B161" s="83"/>
      <c r="C161" s="64" t="s">
        <v>205</v>
      </c>
      <c r="D161" s="65">
        <v>59</v>
      </c>
      <c r="E161" s="66">
        <v>1.6209236517490001E-3</v>
      </c>
    </row>
    <row r="162" spans="2:5" ht="15" customHeight="1">
      <c r="B162" s="83"/>
      <c r="C162" s="64" t="s">
        <v>206</v>
      </c>
      <c r="D162" s="65">
        <v>29</v>
      </c>
      <c r="E162" s="66">
        <v>7.96725184758E-4</v>
      </c>
    </row>
    <row r="163" spans="2:5" ht="15" customHeight="1">
      <c r="B163" s="83"/>
      <c r="C163" s="64" t="s">
        <v>207</v>
      </c>
      <c r="D163" s="65">
        <v>45</v>
      </c>
      <c r="E163" s="66">
        <v>1.2362977004860001E-3</v>
      </c>
    </row>
    <row r="164" spans="2:5" ht="15" customHeight="1">
      <c r="B164" s="83"/>
      <c r="C164" s="64" t="s">
        <v>208</v>
      </c>
      <c r="D164" s="65">
        <v>5</v>
      </c>
      <c r="E164" s="66">
        <v>1.3736641116500001E-4</v>
      </c>
    </row>
    <row r="165" spans="2:5" ht="15" customHeight="1">
      <c r="B165" s="83"/>
      <c r="C165" s="64" t="s">
        <v>209</v>
      </c>
      <c r="D165" s="65">
        <v>39</v>
      </c>
      <c r="E165" s="66">
        <v>1.0714580070880001E-3</v>
      </c>
    </row>
    <row r="166" spans="2:5" ht="15" customHeight="1">
      <c r="B166" s="83"/>
      <c r="C166" s="64" t="s">
        <v>210</v>
      </c>
      <c r="D166" s="65">
        <v>1</v>
      </c>
      <c r="E166" s="66">
        <v>2.7473282233000001E-5</v>
      </c>
    </row>
    <row r="167" spans="2:5" ht="15" customHeight="1">
      <c r="B167" s="83"/>
      <c r="C167" s="64" t="s">
        <v>211</v>
      </c>
      <c r="D167" s="65">
        <v>18</v>
      </c>
      <c r="E167" s="66">
        <v>4.9451908019499996E-4</v>
      </c>
    </row>
    <row r="168" spans="2:5" ht="15" customHeight="1">
      <c r="B168" s="83"/>
      <c r="C168" s="64" t="s">
        <v>212</v>
      </c>
      <c r="D168" s="65">
        <v>8</v>
      </c>
      <c r="E168" s="66">
        <v>2.1978625786400001E-4</v>
      </c>
    </row>
    <row r="169" spans="2:5" ht="15" customHeight="1">
      <c r="B169" s="83"/>
      <c r="C169" s="64" t="s">
        <v>213</v>
      </c>
      <c r="D169" s="65">
        <v>32</v>
      </c>
      <c r="E169" s="66">
        <v>8.79145031457E-4</v>
      </c>
    </row>
    <row r="170" spans="2:5" ht="15" customHeight="1">
      <c r="B170" s="83"/>
      <c r="C170" s="64" t="s">
        <v>214</v>
      </c>
      <c r="D170" s="65">
        <v>7</v>
      </c>
      <c r="E170" s="66">
        <v>1.9231297563099999E-4</v>
      </c>
    </row>
    <row r="171" spans="2:5" ht="15" customHeight="1">
      <c r="B171" s="83"/>
      <c r="C171" s="64" t="s">
        <v>215</v>
      </c>
      <c r="D171" s="65">
        <v>43</v>
      </c>
      <c r="E171" s="66">
        <v>1.1813511360199999E-3</v>
      </c>
    </row>
    <row r="172" spans="2:5" ht="15" customHeight="1">
      <c r="B172" s="82"/>
      <c r="C172" s="36" t="s">
        <v>29</v>
      </c>
      <c r="D172" s="35">
        <v>438</v>
      </c>
      <c r="E172" s="34">
        <v>1.2033297618066E-2</v>
      </c>
    </row>
    <row r="173" spans="2:5" ht="15" customHeight="1">
      <c r="B173" s="77" t="s">
        <v>72</v>
      </c>
      <c r="C173" s="64" t="s">
        <v>200</v>
      </c>
      <c r="D173" s="65">
        <v>37</v>
      </c>
      <c r="E173" s="66">
        <v>1.0165114426219999E-3</v>
      </c>
    </row>
    <row r="174" spans="2:5" ht="15" customHeight="1">
      <c r="B174" s="83"/>
      <c r="C174" s="64" t="s">
        <v>201</v>
      </c>
      <c r="D174" s="65">
        <v>40</v>
      </c>
      <c r="E174" s="66">
        <v>1.0989312893209999E-3</v>
      </c>
    </row>
    <row r="175" spans="2:5" ht="15" customHeight="1">
      <c r="B175" s="83"/>
      <c r="C175" s="64" t="s">
        <v>202</v>
      </c>
      <c r="D175" s="65">
        <v>31</v>
      </c>
      <c r="E175" s="66">
        <v>8.5167174922400003E-4</v>
      </c>
    </row>
    <row r="176" spans="2:5" ht="15" customHeight="1">
      <c r="B176" s="83"/>
      <c r="C176" s="64" t="s">
        <v>203</v>
      </c>
      <c r="D176" s="65">
        <v>2</v>
      </c>
      <c r="E176" s="66">
        <v>5.4946564466000002E-5</v>
      </c>
    </row>
    <row r="177" spans="2:5" ht="15" customHeight="1">
      <c r="B177" s="83"/>
      <c r="C177" s="64" t="s">
        <v>204</v>
      </c>
      <c r="D177" s="65">
        <v>55</v>
      </c>
      <c r="E177" s="66">
        <v>1.511030522817E-3</v>
      </c>
    </row>
    <row r="178" spans="2:5" ht="15" customHeight="1">
      <c r="B178" s="83"/>
      <c r="C178" s="64" t="s">
        <v>205</v>
      </c>
      <c r="D178" s="65">
        <v>91</v>
      </c>
      <c r="E178" s="66">
        <v>2.5000686832059998E-3</v>
      </c>
    </row>
    <row r="179" spans="2:5" ht="15" customHeight="1">
      <c r="B179" s="83"/>
      <c r="C179" s="64" t="s">
        <v>206</v>
      </c>
      <c r="D179" s="65">
        <v>27</v>
      </c>
      <c r="E179" s="66">
        <v>7.4177862029199996E-4</v>
      </c>
    </row>
    <row r="180" spans="2:5" ht="15" customHeight="1">
      <c r="B180" s="83"/>
      <c r="C180" s="64" t="s">
        <v>207</v>
      </c>
      <c r="D180" s="65">
        <v>50</v>
      </c>
      <c r="E180" s="66">
        <v>1.373664111651E-3</v>
      </c>
    </row>
    <row r="181" spans="2:5" ht="15" customHeight="1">
      <c r="B181" s="83"/>
      <c r="C181" s="64" t="s">
        <v>208</v>
      </c>
      <c r="D181" s="65">
        <v>14</v>
      </c>
      <c r="E181" s="66">
        <v>3.8462595126199998E-4</v>
      </c>
    </row>
    <row r="182" spans="2:5" ht="15" customHeight="1">
      <c r="B182" s="83"/>
      <c r="C182" s="64" t="s">
        <v>209</v>
      </c>
      <c r="D182" s="65">
        <v>49</v>
      </c>
      <c r="E182" s="66">
        <v>1.3461908294179999E-3</v>
      </c>
    </row>
    <row r="183" spans="2:5" ht="15" customHeight="1">
      <c r="B183" s="83"/>
      <c r="C183" s="64" t="s">
        <v>210</v>
      </c>
      <c r="D183" s="65">
        <v>2</v>
      </c>
      <c r="E183" s="66">
        <v>5.4946564466000002E-5</v>
      </c>
    </row>
    <row r="184" spans="2:5" ht="15" customHeight="1">
      <c r="B184" s="83"/>
      <c r="C184" s="64" t="s">
        <v>216</v>
      </c>
      <c r="D184" s="65">
        <v>3</v>
      </c>
      <c r="E184" s="66">
        <v>8.2419846699E-5</v>
      </c>
    </row>
    <row r="185" spans="2:5" ht="15" customHeight="1">
      <c r="B185" s="83"/>
      <c r="C185" s="64" t="s">
        <v>211</v>
      </c>
      <c r="D185" s="65">
        <v>19</v>
      </c>
      <c r="E185" s="66">
        <v>5.2199236242800003E-4</v>
      </c>
    </row>
    <row r="186" spans="2:5" ht="15" customHeight="1">
      <c r="B186" s="83"/>
      <c r="C186" s="64" t="s">
        <v>212</v>
      </c>
      <c r="D186" s="65">
        <v>10</v>
      </c>
      <c r="E186" s="66">
        <v>2.7473282233000002E-4</v>
      </c>
    </row>
    <row r="187" spans="2:5" ht="15" customHeight="1">
      <c r="B187" s="83"/>
      <c r="C187" s="64" t="s">
        <v>213</v>
      </c>
      <c r="D187" s="65">
        <v>34</v>
      </c>
      <c r="E187" s="66">
        <v>9.3409159592300003E-4</v>
      </c>
    </row>
    <row r="188" spans="2:5" ht="15" customHeight="1">
      <c r="B188" s="83"/>
      <c r="C188" s="64" t="s">
        <v>214</v>
      </c>
      <c r="D188" s="65">
        <v>4</v>
      </c>
      <c r="E188" s="66">
        <v>1.09893128932E-4</v>
      </c>
    </row>
    <row r="189" spans="2:5" ht="15" customHeight="1">
      <c r="B189" s="83"/>
      <c r="C189" s="64" t="s">
        <v>215</v>
      </c>
      <c r="D189" s="65">
        <v>47</v>
      </c>
      <c r="E189" s="66">
        <v>1.291244264952E-3</v>
      </c>
    </row>
    <row r="190" spans="2:5" ht="15" customHeight="1">
      <c r="B190" s="82"/>
      <c r="C190" s="36" t="s">
        <v>29</v>
      </c>
      <c r="D190" s="35">
        <v>515</v>
      </c>
      <c r="E190" s="34">
        <v>1.414874035001E-2</v>
      </c>
    </row>
    <row r="191" spans="2:5" ht="15" customHeight="1">
      <c r="B191" s="77" t="s">
        <v>101</v>
      </c>
      <c r="C191" s="64" t="s">
        <v>205</v>
      </c>
      <c r="D191" s="65">
        <v>2</v>
      </c>
      <c r="E191" s="66">
        <v>5.4946564466000002E-5</v>
      </c>
    </row>
    <row r="192" spans="2:5" ht="15" customHeight="1">
      <c r="B192" s="82"/>
      <c r="C192" s="36" t="s">
        <v>29</v>
      </c>
      <c r="D192" s="35">
        <v>2</v>
      </c>
      <c r="E192" s="34">
        <v>5.4946564466000002E-5</v>
      </c>
    </row>
    <row r="193" spans="2:5" ht="15" customHeight="1">
      <c r="B193" s="77" t="s">
        <v>98</v>
      </c>
      <c r="C193" s="64" t="s">
        <v>200</v>
      </c>
      <c r="D193" s="65">
        <v>1</v>
      </c>
      <c r="E193" s="66">
        <v>2.7473282233000001E-5</v>
      </c>
    </row>
    <row r="194" spans="2:5" ht="15" customHeight="1">
      <c r="B194" s="83"/>
      <c r="C194" s="64" t="s">
        <v>201</v>
      </c>
      <c r="D194" s="65">
        <v>1</v>
      </c>
      <c r="E194" s="66">
        <v>2.7473282233000001E-5</v>
      </c>
    </row>
    <row r="195" spans="2:5" ht="15" customHeight="1">
      <c r="B195" s="83"/>
      <c r="C195" s="64" t="s">
        <v>202</v>
      </c>
      <c r="D195" s="65">
        <v>1</v>
      </c>
      <c r="E195" s="66">
        <v>2.7473282233000001E-5</v>
      </c>
    </row>
    <row r="196" spans="2:5" ht="15" customHeight="1">
      <c r="B196" s="83"/>
      <c r="C196" s="64" t="s">
        <v>204</v>
      </c>
      <c r="D196" s="65">
        <v>1</v>
      </c>
      <c r="E196" s="66">
        <v>2.7473282233000001E-5</v>
      </c>
    </row>
    <row r="197" spans="2:5" ht="15" customHeight="1">
      <c r="B197" s="83"/>
      <c r="C197" s="64" t="s">
        <v>209</v>
      </c>
      <c r="D197" s="65">
        <v>3</v>
      </c>
      <c r="E197" s="66">
        <v>8.2419846699E-5</v>
      </c>
    </row>
    <row r="198" spans="2:5" ht="15" customHeight="1">
      <c r="B198" s="82"/>
      <c r="C198" s="36" t="s">
        <v>29</v>
      </c>
      <c r="D198" s="35">
        <v>7</v>
      </c>
      <c r="E198" s="34">
        <v>1.9231297563099999E-4</v>
      </c>
    </row>
    <row r="199" spans="2:5" ht="15" customHeight="1">
      <c r="B199" s="77" t="s">
        <v>92</v>
      </c>
      <c r="C199" s="64" t="s">
        <v>200</v>
      </c>
      <c r="D199" s="65">
        <v>7</v>
      </c>
      <c r="E199" s="66">
        <v>1.9231297563099999E-4</v>
      </c>
    </row>
    <row r="200" spans="2:5" ht="15" customHeight="1">
      <c r="B200" s="83"/>
      <c r="C200" s="64" t="s">
        <v>201</v>
      </c>
      <c r="D200" s="65">
        <v>7</v>
      </c>
      <c r="E200" s="66">
        <v>1.9231297563099999E-4</v>
      </c>
    </row>
    <row r="201" spans="2:5" ht="15" customHeight="1">
      <c r="B201" s="83"/>
      <c r="C201" s="64" t="s">
        <v>202</v>
      </c>
      <c r="D201" s="65">
        <v>2</v>
      </c>
      <c r="E201" s="66">
        <v>5.4946564466000002E-5</v>
      </c>
    </row>
    <row r="202" spans="2:5" ht="15" customHeight="1">
      <c r="B202" s="83"/>
      <c r="C202" s="64" t="s">
        <v>204</v>
      </c>
      <c r="D202" s="65">
        <v>16</v>
      </c>
      <c r="E202" s="66">
        <v>4.3957251572800002E-4</v>
      </c>
    </row>
    <row r="203" spans="2:5" ht="15" customHeight="1">
      <c r="B203" s="83"/>
      <c r="C203" s="64" t="s">
        <v>205</v>
      </c>
      <c r="D203" s="65">
        <v>8</v>
      </c>
      <c r="E203" s="66">
        <v>2.1978625786400001E-4</v>
      </c>
    </row>
    <row r="204" spans="2:5" ht="15" customHeight="1">
      <c r="B204" s="83"/>
      <c r="C204" s="64" t="s">
        <v>206</v>
      </c>
      <c r="D204" s="65">
        <v>4</v>
      </c>
      <c r="E204" s="66">
        <v>1.09893128932E-4</v>
      </c>
    </row>
    <row r="205" spans="2:5" ht="15" customHeight="1">
      <c r="B205" s="83"/>
      <c r="C205" s="64" t="s">
        <v>207</v>
      </c>
      <c r="D205" s="65">
        <v>1</v>
      </c>
      <c r="E205" s="66">
        <v>2.7473282233000001E-5</v>
      </c>
    </row>
    <row r="206" spans="2:5" ht="15" customHeight="1">
      <c r="B206" s="83"/>
      <c r="C206" s="64" t="s">
        <v>208</v>
      </c>
      <c r="D206" s="65">
        <v>1</v>
      </c>
      <c r="E206" s="66">
        <v>2.7473282233000001E-5</v>
      </c>
    </row>
    <row r="207" spans="2:5" ht="15" customHeight="1">
      <c r="B207" s="83"/>
      <c r="C207" s="64" t="s">
        <v>209</v>
      </c>
      <c r="D207" s="65">
        <v>11</v>
      </c>
      <c r="E207" s="66">
        <v>3.0220610456299998E-4</v>
      </c>
    </row>
    <row r="208" spans="2:5" ht="15" customHeight="1">
      <c r="B208" s="83"/>
      <c r="C208" s="64" t="s">
        <v>210</v>
      </c>
      <c r="D208" s="65">
        <v>2</v>
      </c>
      <c r="E208" s="66">
        <v>5.4946564466000002E-5</v>
      </c>
    </row>
    <row r="209" spans="2:5" ht="15" customHeight="1">
      <c r="B209" s="83"/>
      <c r="C209" s="64" t="s">
        <v>216</v>
      </c>
      <c r="D209" s="65">
        <v>1</v>
      </c>
      <c r="E209" s="66">
        <v>2.7473282233000001E-5</v>
      </c>
    </row>
    <row r="210" spans="2:5" ht="15" customHeight="1">
      <c r="B210" s="83"/>
      <c r="C210" s="64" t="s">
        <v>211</v>
      </c>
      <c r="D210" s="65">
        <v>2</v>
      </c>
      <c r="E210" s="66">
        <v>5.4946564466000002E-5</v>
      </c>
    </row>
    <row r="211" spans="2:5" ht="15" customHeight="1">
      <c r="B211" s="83"/>
      <c r="C211" s="64" t="s">
        <v>212</v>
      </c>
      <c r="D211" s="65">
        <v>4</v>
      </c>
      <c r="E211" s="66">
        <v>1.09893128932E-4</v>
      </c>
    </row>
    <row r="212" spans="2:5" ht="15" customHeight="1">
      <c r="B212" s="83"/>
      <c r="C212" s="64" t="s">
        <v>213</v>
      </c>
      <c r="D212" s="65">
        <v>5</v>
      </c>
      <c r="E212" s="66">
        <v>1.3736641116500001E-4</v>
      </c>
    </row>
    <row r="213" spans="2:5" ht="15" customHeight="1">
      <c r="B213" s="83"/>
      <c r="C213" s="64" t="s">
        <v>215</v>
      </c>
      <c r="D213" s="65">
        <v>32</v>
      </c>
      <c r="E213" s="66">
        <v>8.79145031457E-4</v>
      </c>
    </row>
    <row r="214" spans="2:5" ht="15" customHeight="1">
      <c r="B214" s="82"/>
      <c r="C214" s="36" t="s">
        <v>29</v>
      </c>
      <c r="D214" s="35">
        <v>103</v>
      </c>
      <c r="E214" s="34">
        <v>2.8297480700019998E-3</v>
      </c>
    </row>
    <row r="215" spans="2:5" ht="15" customHeight="1">
      <c r="B215" s="77" t="s">
        <v>70</v>
      </c>
      <c r="C215" s="64" t="s">
        <v>200</v>
      </c>
      <c r="D215" s="65">
        <v>20</v>
      </c>
      <c r="E215" s="66">
        <v>5.49465644661E-4</v>
      </c>
    </row>
    <row r="216" spans="2:5" ht="15" customHeight="1">
      <c r="B216" s="83"/>
      <c r="C216" s="64" t="s">
        <v>201</v>
      </c>
      <c r="D216" s="65">
        <v>65</v>
      </c>
      <c r="E216" s="66">
        <v>1.7857633451470001E-3</v>
      </c>
    </row>
    <row r="217" spans="2:5" ht="15" customHeight="1">
      <c r="B217" s="83"/>
      <c r="C217" s="64" t="s">
        <v>202</v>
      </c>
      <c r="D217" s="65">
        <v>20</v>
      </c>
      <c r="E217" s="66">
        <v>5.49465644661E-4</v>
      </c>
    </row>
    <row r="218" spans="2:5" ht="15" customHeight="1">
      <c r="B218" s="83"/>
      <c r="C218" s="64" t="s">
        <v>203</v>
      </c>
      <c r="D218" s="65">
        <v>3</v>
      </c>
      <c r="E218" s="66">
        <v>8.2419846699E-5</v>
      </c>
    </row>
    <row r="219" spans="2:5" ht="15" customHeight="1">
      <c r="B219" s="83"/>
      <c r="C219" s="64" t="s">
        <v>204</v>
      </c>
      <c r="D219" s="65">
        <v>98</v>
      </c>
      <c r="E219" s="66">
        <v>2.6923816588369999E-3</v>
      </c>
    </row>
    <row r="220" spans="2:5" ht="15" customHeight="1">
      <c r="B220" s="83"/>
      <c r="C220" s="64" t="s">
        <v>205</v>
      </c>
      <c r="D220" s="65">
        <v>62</v>
      </c>
      <c r="E220" s="66">
        <v>1.7033434984480001E-3</v>
      </c>
    </row>
    <row r="221" spans="2:5" ht="15" customHeight="1">
      <c r="B221" s="83"/>
      <c r="C221" s="64" t="s">
        <v>206</v>
      </c>
      <c r="D221" s="65">
        <v>45</v>
      </c>
      <c r="E221" s="66">
        <v>1.2362977004860001E-3</v>
      </c>
    </row>
    <row r="222" spans="2:5" ht="15" customHeight="1">
      <c r="B222" s="83"/>
      <c r="C222" s="64" t="s">
        <v>207</v>
      </c>
      <c r="D222" s="65">
        <v>60</v>
      </c>
      <c r="E222" s="66">
        <v>1.6483969339819999E-3</v>
      </c>
    </row>
    <row r="223" spans="2:5" ht="15" customHeight="1">
      <c r="B223" s="83"/>
      <c r="C223" s="64" t="s">
        <v>208</v>
      </c>
      <c r="D223" s="65">
        <v>2</v>
      </c>
      <c r="E223" s="66">
        <v>5.4946564466000002E-5</v>
      </c>
    </row>
    <row r="224" spans="2:5" ht="15" customHeight="1">
      <c r="B224" s="83"/>
      <c r="C224" s="64" t="s">
        <v>209</v>
      </c>
      <c r="D224" s="65">
        <v>49</v>
      </c>
      <c r="E224" s="66">
        <v>1.3461908294179999E-3</v>
      </c>
    </row>
    <row r="225" spans="2:5" ht="15" customHeight="1">
      <c r="B225" s="83"/>
      <c r="C225" s="64" t="s">
        <v>210</v>
      </c>
      <c r="D225" s="65">
        <v>12</v>
      </c>
      <c r="E225" s="66">
        <v>3.29679386796E-4</v>
      </c>
    </row>
    <row r="226" spans="2:5" ht="15" customHeight="1">
      <c r="B226" s="83"/>
      <c r="C226" s="64" t="s">
        <v>216</v>
      </c>
      <c r="D226" s="65">
        <v>1</v>
      </c>
      <c r="E226" s="66">
        <v>2.7473282233000001E-5</v>
      </c>
    </row>
    <row r="227" spans="2:5" ht="15" customHeight="1">
      <c r="B227" s="83"/>
      <c r="C227" s="64" t="s">
        <v>211</v>
      </c>
      <c r="D227" s="65">
        <v>16</v>
      </c>
      <c r="E227" s="66">
        <v>4.3957251572800002E-4</v>
      </c>
    </row>
    <row r="228" spans="2:5" ht="15" customHeight="1">
      <c r="B228" s="83"/>
      <c r="C228" s="64" t="s">
        <v>212</v>
      </c>
      <c r="D228" s="65">
        <v>17</v>
      </c>
      <c r="E228" s="66">
        <v>4.6704579796099998E-4</v>
      </c>
    </row>
    <row r="229" spans="2:5" ht="15" customHeight="1">
      <c r="B229" s="83"/>
      <c r="C229" s="64" t="s">
        <v>213</v>
      </c>
      <c r="D229" s="65">
        <v>31</v>
      </c>
      <c r="E229" s="66">
        <v>8.5167174922400003E-4</v>
      </c>
    </row>
    <row r="230" spans="2:5" ht="15" customHeight="1">
      <c r="B230" s="83"/>
      <c r="C230" s="64" t="s">
        <v>214</v>
      </c>
      <c r="D230" s="65">
        <v>5</v>
      </c>
      <c r="E230" s="66">
        <v>1.3736641116500001E-4</v>
      </c>
    </row>
    <row r="231" spans="2:5" ht="15" customHeight="1">
      <c r="B231" s="83"/>
      <c r="C231" s="64" t="s">
        <v>215</v>
      </c>
      <c r="D231" s="65">
        <v>48</v>
      </c>
      <c r="E231" s="66">
        <v>1.3187175471850001E-3</v>
      </c>
    </row>
    <row r="232" spans="2:5" ht="15" customHeight="1">
      <c r="B232" s="82"/>
      <c r="C232" s="36" t="s">
        <v>29</v>
      </c>
      <c r="D232" s="35">
        <v>554</v>
      </c>
      <c r="E232" s="34">
        <v>1.5220198357097999E-2</v>
      </c>
    </row>
    <row r="233" spans="2:5" ht="15" customHeight="1">
      <c r="B233" s="77" t="s">
        <v>66</v>
      </c>
      <c r="C233" s="64" t="s">
        <v>200</v>
      </c>
      <c r="D233" s="65">
        <v>40</v>
      </c>
      <c r="E233" s="66">
        <v>1.0989312893209999E-3</v>
      </c>
    </row>
    <row r="234" spans="2:5" ht="15" customHeight="1">
      <c r="B234" s="83"/>
      <c r="C234" s="64" t="s">
        <v>201</v>
      </c>
      <c r="D234" s="65">
        <v>41</v>
      </c>
      <c r="E234" s="66">
        <v>1.126404571554E-3</v>
      </c>
    </row>
    <row r="235" spans="2:5" ht="15" customHeight="1">
      <c r="B235" s="83"/>
      <c r="C235" s="64" t="s">
        <v>202</v>
      </c>
      <c r="D235" s="65">
        <v>31</v>
      </c>
      <c r="E235" s="66">
        <v>8.5167174922400003E-4</v>
      </c>
    </row>
    <row r="236" spans="2:5" ht="15" customHeight="1">
      <c r="B236" s="83"/>
      <c r="C236" s="64" t="s">
        <v>203</v>
      </c>
      <c r="D236" s="65">
        <v>7</v>
      </c>
      <c r="E236" s="66">
        <v>1.9231297563099999E-4</v>
      </c>
    </row>
    <row r="237" spans="2:5" ht="15" customHeight="1">
      <c r="B237" s="83"/>
      <c r="C237" s="64" t="s">
        <v>204</v>
      </c>
      <c r="D237" s="65">
        <v>67</v>
      </c>
      <c r="E237" s="66">
        <v>1.840709909613E-3</v>
      </c>
    </row>
    <row r="238" spans="2:5" ht="15" customHeight="1">
      <c r="B238" s="83"/>
      <c r="C238" s="64" t="s">
        <v>205</v>
      </c>
      <c r="D238" s="65">
        <v>108</v>
      </c>
      <c r="E238" s="66">
        <v>2.9671144811670002E-3</v>
      </c>
    </row>
    <row r="239" spans="2:5" ht="15" customHeight="1">
      <c r="B239" s="83"/>
      <c r="C239" s="64" t="s">
        <v>206</v>
      </c>
      <c r="D239" s="65">
        <v>37</v>
      </c>
      <c r="E239" s="66">
        <v>1.0165114426219999E-3</v>
      </c>
    </row>
    <row r="240" spans="2:5" ht="15" customHeight="1">
      <c r="B240" s="83"/>
      <c r="C240" s="64" t="s">
        <v>207</v>
      </c>
      <c r="D240" s="65">
        <v>72</v>
      </c>
      <c r="E240" s="66">
        <v>1.9780763207780001E-3</v>
      </c>
    </row>
    <row r="241" spans="2:5" ht="15" customHeight="1">
      <c r="B241" s="83"/>
      <c r="C241" s="64" t="s">
        <v>208</v>
      </c>
      <c r="D241" s="65">
        <v>7</v>
      </c>
      <c r="E241" s="66">
        <v>1.9231297563099999E-4</v>
      </c>
    </row>
    <row r="242" spans="2:5" ht="15" customHeight="1">
      <c r="B242" s="83"/>
      <c r="C242" s="64" t="s">
        <v>209</v>
      </c>
      <c r="D242" s="65">
        <v>43</v>
      </c>
      <c r="E242" s="66">
        <v>1.1813511360199999E-3</v>
      </c>
    </row>
    <row r="243" spans="2:5" ht="15" customHeight="1">
      <c r="B243" s="83"/>
      <c r="C243" s="64" t="s">
        <v>210</v>
      </c>
      <c r="D243" s="65">
        <v>3</v>
      </c>
      <c r="E243" s="66">
        <v>8.2419846699E-5</v>
      </c>
    </row>
    <row r="244" spans="2:5" ht="15" customHeight="1">
      <c r="B244" s="83"/>
      <c r="C244" s="64" t="s">
        <v>216</v>
      </c>
      <c r="D244" s="65">
        <v>4</v>
      </c>
      <c r="E244" s="66">
        <v>1.09893128932E-4</v>
      </c>
    </row>
    <row r="245" spans="2:5" ht="15" customHeight="1">
      <c r="B245" s="83"/>
      <c r="C245" s="64" t="s">
        <v>211</v>
      </c>
      <c r="D245" s="65">
        <v>14</v>
      </c>
      <c r="E245" s="66">
        <v>3.8462595126199998E-4</v>
      </c>
    </row>
    <row r="246" spans="2:5" ht="15" customHeight="1">
      <c r="B246" s="83"/>
      <c r="C246" s="64" t="s">
        <v>212</v>
      </c>
      <c r="D246" s="65">
        <v>12</v>
      </c>
      <c r="E246" s="66">
        <v>3.29679386796E-4</v>
      </c>
    </row>
    <row r="247" spans="2:5" ht="15" customHeight="1">
      <c r="B247" s="83"/>
      <c r="C247" s="64" t="s">
        <v>213</v>
      </c>
      <c r="D247" s="65">
        <v>34</v>
      </c>
      <c r="E247" s="66">
        <v>9.3409159592300003E-4</v>
      </c>
    </row>
    <row r="248" spans="2:5" ht="15" customHeight="1">
      <c r="B248" s="83"/>
      <c r="C248" s="64" t="s">
        <v>214</v>
      </c>
      <c r="D248" s="65">
        <v>3</v>
      </c>
      <c r="E248" s="66">
        <v>8.2419846699E-5</v>
      </c>
    </row>
    <row r="249" spans="2:5" ht="15" customHeight="1">
      <c r="B249" s="83"/>
      <c r="C249" s="64" t="s">
        <v>215</v>
      </c>
      <c r="D249" s="65">
        <v>49</v>
      </c>
      <c r="E249" s="66">
        <v>1.3461908294179999E-3</v>
      </c>
    </row>
    <row r="250" spans="2:5" ht="15" customHeight="1">
      <c r="B250" s="82"/>
      <c r="C250" s="36" t="s">
        <v>29</v>
      </c>
      <c r="D250" s="35">
        <v>572</v>
      </c>
      <c r="E250" s="34">
        <v>1.5714717437292001E-2</v>
      </c>
    </row>
    <row r="251" spans="2:5" ht="15" customHeight="1">
      <c r="B251" s="77" t="s">
        <v>52</v>
      </c>
      <c r="C251" s="64" t="s">
        <v>200</v>
      </c>
      <c r="D251" s="65">
        <v>230</v>
      </c>
      <c r="E251" s="66">
        <v>6.3188549135969998E-3</v>
      </c>
    </row>
    <row r="252" spans="2:5" ht="15" customHeight="1">
      <c r="B252" s="83"/>
      <c r="C252" s="64" t="s">
        <v>201</v>
      </c>
      <c r="D252" s="65">
        <v>265</v>
      </c>
      <c r="E252" s="66">
        <v>7.2804197917529997E-3</v>
      </c>
    </row>
    <row r="253" spans="2:5" ht="15" customHeight="1">
      <c r="B253" s="83"/>
      <c r="C253" s="64" t="s">
        <v>202</v>
      </c>
      <c r="D253" s="65">
        <v>128</v>
      </c>
      <c r="E253" s="66">
        <v>3.516580125828E-3</v>
      </c>
    </row>
    <row r="254" spans="2:5" ht="15" customHeight="1">
      <c r="B254" s="83"/>
      <c r="C254" s="64" t="s">
        <v>203</v>
      </c>
      <c r="D254" s="65">
        <v>22</v>
      </c>
      <c r="E254" s="66">
        <v>6.0441220912700003E-4</v>
      </c>
    </row>
    <row r="255" spans="2:5" ht="15" customHeight="1">
      <c r="B255" s="83"/>
      <c r="C255" s="64" t="s">
        <v>204</v>
      </c>
      <c r="D255" s="65">
        <v>320</v>
      </c>
      <c r="E255" s="66">
        <v>8.7914503145690003E-3</v>
      </c>
    </row>
    <row r="256" spans="2:5" ht="15" customHeight="1">
      <c r="B256" s="83"/>
      <c r="C256" s="64" t="s">
        <v>226</v>
      </c>
      <c r="D256" s="65">
        <v>1</v>
      </c>
      <c r="E256" s="66">
        <v>2.7473282233000001E-5</v>
      </c>
    </row>
    <row r="257" spans="2:5" ht="15" customHeight="1">
      <c r="B257" s="83"/>
      <c r="C257" s="64" t="s">
        <v>205</v>
      </c>
      <c r="D257" s="65">
        <v>448</v>
      </c>
      <c r="E257" s="66">
        <v>1.2308030440396999E-2</v>
      </c>
    </row>
    <row r="258" spans="2:5" ht="15" customHeight="1">
      <c r="B258" s="83"/>
      <c r="C258" s="64" t="s">
        <v>206</v>
      </c>
      <c r="D258" s="65">
        <v>153</v>
      </c>
      <c r="E258" s="66">
        <v>4.2034121816530001E-3</v>
      </c>
    </row>
    <row r="259" spans="2:5" ht="15" customHeight="1">
      <c r="B259" s="83"/>
      <c r="C259" s="64" t="s">
        <v>207</v>
      </c>
      <c r="D259" s="65">
        <v>275</v>
      </c>
      <c r="E259" s="66">
        <v>7.5551526140829996E-3</v>
      </c>
    </row>
    <row r="260" spans="2:5" ht="15" customHeight="1">
      <c r="B260" s="83"/>
      <c r="C260" s="64" t="s">
        <v>208</v>
      </c>
      <c r="D260" s="65">
        <v>36</v>
      </c>
      <c r="E260" s="66">
        <v>9.8903816038900007E-4</v>
      </c>
    </row>
    <row r="261" spans="2:5" ht="15" customHeight="1">
      <c r="B261" s="83"/>
      <c r="C261" s="64" t="s">
        <v>209</v>
      </c>
      <c r="D261" s="65">
        <v>237</v>
      </c>
      <c r="E261" s="66">
        <v>6.5111678892280003E-3</v>
      </c>
    </row>
    <row r="262" spans="2:5" ht="15" customHeight="1">
      <c r="B262" s="83"/>
      <c r="C262" s="64" t="s">
        <v>210</v>
      </c>
      <c r="D262" s="65">
        <v>8</v>
      </c>
      <c r="E262" s="66">
        <v>2.1978625786400001E-4</v>
      </c>
    </row>
    <row r="263" spans="2:5" ht="15" customHeight="1">
      <c r="B263" s="83"/>
      <c r="C263" s="64" t="s">
        <v>216</v>
      </c>
      <c r="D263" s="65">
        <v>12</v>
      </c>
      <c r="E263" s="66">
        <v>3.29679386796E-4</v>
      </c>
    </row>
    <row r="264" spans="2:5" ht="15" customHeight="1">
      <c r="B264" s="83"/>
      <c r="C264" s="64" t="s">
        <v>227</v>
      </c>
      <c r="D264" s="65">
        <v>1</v>
      </c>
      <c r="E264" s="66">
        <v>2.7473282233000001E-5</v>
      </c>
    </row>
    <row r="265" spans="2:5" ht="15" customHeight="1">
      <c r="B265" s="83"/>
      <c r="C265" s="64" t="s">
        <v>211</v>
      </c>
      <c r="D265" s="65">
        <v>69</v>
      </c>
      <c r="E265" s="66">
        <v>1.8956564740789999E-3</v>
      </c>
    </row>
    <row r="266" spans="2:5" ht="15" customHeight="1">
      <c r="B266" s="83"/>
      <c r="C266" s="64" t="s">
        <v>212</v>
      </c>
      <c r="D266" s="65">
        <v>56</v>
      </c>
      <c r="E266" s="66">
        <v>1.5385038050500001E-3</v>
      </c>
    </row>
    <row r="267" spans="2:5" ht="15" customHeight="1">
      <c r="B267" s="83"/>
      <c r="C267" s="64" t="s">
        <v>213</v>
      </c>
      <c r="D267" s="65">
        <v>186</v>
      </c>
      <c r="E267" s="66">
        <v>5.1100304953429999E-3</v>
      </c>
    </row>
    <row r="268" spans="2:5" ht="15" customHeight="1">
      <c r="B268" s="83"/>
      <c r="C268" s="64" t="s">
        <v>214</v>
      </c>
      <c r="D268" s="65">
        <v>20</v>
      </c>
      <c r="E268" s="66">
        <v>5.49465644661E-4</v>
      </c>
    </row>
    <row r="269" spans="2:5" ht="15" customHeight="1">
      <c r="B269" s="83"/>
      <c r="C269" s="64" t="s">
        <v>215</v>
      </c>
      <c r="D269" s="65">
        <v>243</v>
      </c>
      <c r="E269" s="66">
        <v>6.6760075826259998E-3</v>
      </c>
    </row>
    <row r="270" spans="2:5" ht="15" customHeight="1">
      <c r="B270" s="82"/>
      <c r="C270" s="36" t="s">
        <v>29</v>
      </c>
      <c r="D270" s="35">
        <v>2710</v>
      </c>
      <c r="E270" s="34">
        <v>7.4452594851507001E-2</v>
      </c>
    </row>
    <row r="271" spans="2:5" ht="15" customHeight="1">
      <c r="B271" s="77" t="s">
        <v>62</v>
      </c>
      <c r="C271" s="64" t="s">
        <v>200</v>
      </c>
      <c r="D271" s="65">
        <v>41</v>
      </c>
      <c r="E271" s="66">
        <v>1.126404571554E-3</v>
      </c>
    </row>
    <row r="272" spans="2:5" ht="15" customHeight="1">
      <c r="B272" s="83"/>
      <c r="C272" s="64" t="s">
        <v>201</v>
      </c>
      <c r="D272" s="65">
        <v>37</v>
      </c>
      <c r="E272" s="66">
        <v>1.0165114426219999E-3</v>
      </c>
    </row>
    <row r="273" spans="2:5" ht="15" customHeight="1">
      <c r="B273" s="83"/>
      <c r="C273" s="64" t="s">
        <v>202</v>
      </c>
      <c r="D273" s="65">
        <v>17</v>
      </c>
      <c r="E273" s="66">
        <v>4.6704579796099998E-4</v>
      </c>
    </row>
    <row r="274" spans="2:5" ht="15" customHeight="1">
      <c r="B274" s="83"/>
      <c r="C274" s="64" t="s">
        <v>203</v>
      </c>
      <c r="D274" s="65">
        <v>3</v>
      </c>
      <c r="E274" s="66">
        <v>8.2419846699E-5</v>
      </c>
    </row>
    <row r="275" spans="2:5" ht="15" customHeight="1">
      <c r="B275" s="83"/>
      <c r="C275" s="64" t="s">
        <v>204</v>
      </c>
      <c r="D275" s="65">
        <v>76</v>
      </c>
      <c r="E275" s="66">
        <v>2.08796944971E-3</v>
      </c>
    </row>
    <row r="276" spans="2:5" ht="15" customHeight="1">
      <c r="B276" s="83"/>
      <c r="C276" s="64" t="s">
        <v>205</v>
      </c>
      <c r="D276" s="65">
        <v>92</v>
      </c>
      <c r="E276" s="66">
        <v>2.5275419654389999E-3</v>
      </c>
    </row>
    <row r="277" spans="2:5" ht="15" customHeight="1">
      <c r="B277" s="83"/>
      <c r="C277" s="64" t="s">
        <v>206</v>
      </c>
      <c r="D277" s="65">
        <v>42</v>
      </c>
      <c r="E277" s="66">
        <v>1.1538778537870001E-3</v>
      </c>
    </row>
    <row r="278" spans="2:5" ht="15" customHeight="1">
      <c r="B278" s="83"/>
      <c r="C278" s="64" t="s">
        <v>207</v>
      </c>
      <c r="D278" s="65">
        <v>76</v>
      </c>
      <c r="E278" s="66">
        <v>2.08796944971E-3</v>
      </c>
    </row>
    <row r="279" spans="2:5" ht="15" customHeight="1">
      <c r="B279" s="83"/>
      <c r="C279" s="64" t="s">
        <v>208</v>
      </c>
      <c r="D279" s="65">
        <v>11</v>
      </c>
      <c r="E279" s="66">
        <v>3.0220610456299998E-4</v>
      </c>
    </row>
    <row r="280" spans="2:5" ht="15" customHeight="1">
      <c r="B280" s="83"/>
      <c r="C280" s="64" t="s">
        <v>209</v>
      </c>
      <c r="D280" s="65">
        <v>52</v>
      </c>
      <c r="E280" s="66">
        <v>1.4286106761169999E-3</v>
      </c>
    </row>
    <row r="281" spans="2:5" ht="15" customHeight="1">
      <c r="B281" s="83"/>
      <c r="C281" s="64" t="s">
        <v>210</v>
      </c>
      <c r="D281" s="65">
        <v>4</v>
      </c>
      <c r="E281" s="66">
        <v>1.09893128932E-4</v>
      </c>
    </row>
    <row r="282" spans="2:5" ht="15" customHeight="1">
      <c r="B282" s="83"/>
      <c r="C282" s="64" t="s">
        <v>216</v>
      </c>
      <c r="D282" s="65">
        <v>4</v>
      </c>
      <c r="E282" s="66">
        <v>1.09893128932E-4</v>
      </c>
    </row>
    <row r="283" spans="2:5" ht="15" customHeight="1">
      <c r="B283" s="83"/>
      <c r="C283" s="64" t="s">
        <v>211</v>
      </c>
      <c r="D283" s="65">
        <v>25</v>
      </c>
      <c r="E283" s="66">
        <v>6.8683205582600003E-4</v>
      </c>
    </row>
    <row r="284" spans="2:5" ht="15" customHeight="1">
      <c r="B284" s="83"/>
      <c r="C284" s="64" t="s">
        <v>212</v>
      </c>
      <c r="D284" s="65">
        <v>17</v>
      </c>
      <c r="E284" s="66">
        <v>4.6704579796099998E-4</v>
      </c>
    </row>
    <row r="285" spans="2:5" ht="15" customHeight="1">
      <c r="B285" s="83"/>
      <c r="C285" s="64" t="s">
        <v>213</v>
      </c>
      <c r="D285" s="65">
        <v>51</v>
      </c>
      <c r="E285" s="66">
        <v>1.4011373938840001E-3</v>
      </c>
    </row>
    <row r="286" spans="2:5" ht="15" customHeight="1">
      <c r="B286" s="83"/>
      <c r="C286" s="64" t="s">
        <v>214</v>
      </c>
      <c r="D286" s="65">
        <v>7</v>
      </c>
      <c r="E286" s="66">
        <v>1.9231297563099999E-4</v>
      </c>
    </row>
    <row r="287" spans="2:5" ht="15" customHeight="1">
      <c r="B287" s="83"/>
      <c r="C287" s="64" t="s">
        <v>215</v>
      </c>
      <c r="D287" s="65">
        <v>45</v>
      </c>
      <c r="E287" s="66">
        <v>1.2362977004860001E-3</v>
      </c>
    </row>
    <row r="288" spans="2:5" ht="15" customHeight="1">
      <c r="B288" s="82"/>
      <c r="C288" s="36" t="s">
        <v>29</v>
      </c>
      <c r="D288" s="35">
        <v>600</v>
      </c>
      <c r="E288" s="34">
        <v>1.6483969339816999E-2</v>
      </c>
    </row>
    <row r="289" spans="2:5" ht="15" customHeight="1">
      <c r="B289" s="77" t="s">
        <v>64</v>
      </c>
      <c r="C289" s="64" t="s">
        <v>200</v>
      </c>
      <c r="D289" s="65">
        <v>51</v>
      </c>
      <c r="E289" s="66">
        <v>1.4011373938840001E-3</v>
      </c>
    </row>
    <row r="290" spans="2:5" ht="15" customHeight="1">
      <c r="B290" s="83"/>
      <c r="C290" s="64" t="s">
        <v>201</v>
      </c>
      <c r="D290" s="65">
        <v>45</v>
      </c>
      <c r="E290" s="66">
        <v>1.2362977004860001E-3</v>
      </c>
    </row>
    <row r="291" spans="2:5" ht="15" customHeight="1">
      <c r="B291" s="83"/>
      <c r="C291" s="64" t="s">
        <v>202</v>
      </c>
      <c r="D291" s="65">
        <v>34</v>
      </c>
      <c r="E291" s="66">
        <v>9.3409159592300003E-4</v>
      </c>
    </row>
    <row r="292" spans="2:5" ht="15" customHeight="1">
      <c r="B292" s="83"/>
      <c r="C292" s="64" t="s">
        <v>203</v>
      </c>
      <c r="D292" s="65">
        <v>3</v>
      </c>
      <c r="E292" s="66">
        <v>8.2419846699E-5</v>
      </c>
    </row>
    <row r="293" spans="2:5" ht="15" customHeight="1">
      <c r="B293" s="83"/>
      <c r="C293" s="64" t="s">
        <v>204</v>
      </c>
      <c r="D293" s="65">
        <v>83</v>
      </c>
      <c r="E293" s="66">
        <v>2.2802824253410001E-3</v>
      </c>
    </row>
    <row r="294" spans="2:5" ht="15" customHeight="1">
      <c r="B294" s="83"/>
      <c r="C294" s="64" t="s">
        <v>205</v>
      </c>
      <c r="D294" s="65">
        <v>91</v>
      </c>
      <c r="E294" s="66">
        <v>2.5000686832059998E-3</v>
      </c>
    </row>
    <row r="295" spans="2:5" ht="15" customHeight="1">
      <c r="B295" s="83"/>
      <c r="C295" s="64" t="s">
        <v>206</v>
      </c>
      <c r="D295" s="65">
        <v>18</v>
      </c>
      <c r="E295" s="66">
        <v>4.9451908019499996E-4</v>
      </c>
    </row>
    <row r="296" spans="2:5" ht="15" customHeight="1">
      <c r="B296" s="83"/>
      <c r="C296" s="64" t="s">
        <v>207</v>
      </c>
      <c r="D296" s="65">
        <v>62</v>
      </c>
      <c r="E296" s="66">
        <v>1.7033434984480001E-3</v>
      </c>
    </row>
    <row r="297" spans="2:5" ht="15" customHeight="1">
      <c r="B297" s="83"/>
      <c r="C297" s="64" t="s">
        <v>208</v>
      </c>
      <c r="D297" s="65">
        <v>3</v>
      </c>
      <c r="E297" s="66">
        <v>8.2419846699E-5</v>
      </c>
    </row>
    <row r="298" spans="2:5" ht="15" customHeight="1">
      <c r="B298" s="83"/>
      <c r="C298" s="64" t="s">
        <v>209</v>
      </c>
      <c r="D298" s="65">
        <v>58</v>
      </c>
      <c r="E298" s="66">
        <v>1.593450369516E-3</v>
      </c>
    </row>
    <row r="299" spans="2:5" ht="15" customHeight="1">
      <c r="B299" s="83"/>
      <c r="C299" s="64" t="s">
        <v>210</v>
      </c>
      <c r="D299" s="65">
        <v>1</v>
      </c>
      <c r="E299" s="66">
        <v>2.7473282233000001E-5</v>
      </c>
    </row>
    <row r="300" spans="2:5" ht="15" customHeight="1">
      <c r="B300" s="83"/>
      <c r="C300" s="64" t="s">
        <v>216</v>
      </c>
      <c r="D300" s="65">
        <v>2</v>
      </c>
      <c r="E300" s="66">
        <v>5.4946564466000002E-5</v>
      </c>
    </row>
    <row r="301" spans="2:5" ht="15" customHeight="1">
      <c r="B301" s="83"/>
      <c r="C301" s="64" t="s">
        <v>211</v>
      </c>
      <c r="D301" s="65">
        <v>20</v>
      </c>
      <c r="E301" s="66">
        <v>5.49465644661E-4</v>
      </c>
    </row>
    <row r="302" spans="2:5" ht="15" customHeight="1">
      <c r="B302" s="83"/>
      <c r="C302" s="64" t="s">
        <v>212</v>
      </c>
      <c r="D302" s="65">
        <v>9</v>
      </c>
      <c r="E302" s="66">
        <v>2.47259540097E-4</v>
      </c>
    </row>
    <row r="303" spans="2:5" ht="15" customHeight="1">
      <c r="B303" s="83"/>
      <c r="C303" s="64" t="s">
        <v>213</v>
      </c>
      <c r="D303" s="65">
        <v>44</v>
      </c>
      <c r="E303" s="66">
        <v>1.208824418253E-3</v>
      </c>
    </row>
    <row r="304" spans="2:5" ht="15" customHeight="1">
      <c r="B304" s="83"/>
      <c r="C304" s="64" t="s">
        <v>214</v>
      </c>
      <c r="D304" s="65">
        <v>2</v>
      </c>
      <c r="E304" s="66">
        <v>5.4946564466000002E-5</v>
      </c>
    </row>
    <row r="305" spans="2:5" ht="15" customHeight="1">
      <c r="B305" s="83"/>
      <c r="C305" s="64" t="s">
        <v>215</v>
      </c>
      <c r="D305" s="65">
        <v>54</v>
      </c>
      <c r="E305" s="66">
        <v>1.4835572405839999E-3</v>
      </c>
    </row>
    <row r="306" spans="2:5" ht="15" customHeight="1">
      <c r="B306" s="82"/>
      <c r="C306" s="36" t="s">
        <v>29</v>
      </c>
      <c r="D306" s="35">
        <v>580</v>
      </c>
      <c r="E306" s="34">
        <v>1.5934503695156001E-2</v>
      </c>
    </row>
    <row r="307" spans="2:5" ht="15" customHeight="1">
      <c r="B307" s="77" t="s">
        <v>93</v>
      </c>
      <c r="C307" s="64" t="s">
        <v>200</v>
      </c>
      <c r="D307" s="65">
        <v>10</v>
      </c>
      <c r="E307" s="66">
        <v>2.7473282233000002E-4</v>
      </c>
    </row>
    <row r="308" spans="2:5" ht="15" customHeight="1">
      <c r="B308" s="83"/>
      <c r="C308" s="64" t="s">
        <v>201</v>
      </c>
      <c r="D308" s="65">
        <v>5</v>
      </c>
      <c r="E308" s="66">
        <v>1.3736641116500001E-4</v>
      </c>
    </row>
    <row r="309" spans="2:5" ht="15" customHeight="1">
      <c r="B309" s="83"/>
      <c r="C309" s="64" t="s">
        <v>202</v>
      </c>
      <c r="D309" s="65">
        <v>3</v>
      </c>
      <c r="E309" s="66">
        <v>8.2419846699E-5</v>
      </c>
    </row>
    <row r="310" spans="2:5" ht="15" customHeight="1">
      <c r="B310" s="83"/>
      <c r="C310" s="64" t="s">
        <v>203</v>
      </c>
      <c r="D310" s="65">
        <v>1</v>
      </c>
      <c r="E310" s="66">
        <v>2.7473282233000001E-5</v>
      </c>
    </row>
    <row r="311" spans="2:5" ht="15" customHeight="1">
      <c r="B311" s="83"/>
      <c r="C311" s="64" t="s">
        <v>204</v>
      </c>
      <c r="D311" s="65">
        <v>12</v>
      </c>
      <c r="E311" s="66">
        <v>3.29679386796E-4</v>
      </c>
    </row>
    <row r="312" spans="2:5" ht="15" customHeight="1">
      <c r="B312" s="83"/>
      <c r="C312" s="64" t="s">
        <v>205</v>
      </c>
      <c r="D312" s="65">
        <v>10</v>
      </c>
      <c r="E312" s="66">
        <v>2.7473282233000002E-4</v>
      </c>
    </row>
    <row r="313" spans="2:5" ht="15" customHeight="1">
      <c r="B313" s="83"/>
      <c r="C313" s="64" t="s">
        <v>206</v>
      </c>
      <c r="D313" s="65">
        <v>2</v>
      </c>
      <c r="E313" s="66">
        <v>5.4946564466000002E-5</v>
      </c>
    </row>
    <row r="314" spans="2:5" ht="15" customHeight="1">
      <c r="B314" s="83"/>
      <c r="C314" s="64" t="s">
        <v>207</v>
      </c>
      <c r="D314" s="65">
        <v>1</v>
      </c>
      <c r="E314" s="66">
        <v>2.7473282233000001E-5</v>
      </c>
    </row>
    <row r="315" spans="2:5" ht="15" customHeight="1">
      <c r="B315" s="83"/>
      <c r="C315" s="64" t="s">
        <v>208</v>
      </c>
      <c r="D315" s="65">
        <v>2</v>
      </c>
      <c r="E315" s="66">
        <v>5.4946564466000002E-5</v>
      </c>
    </row>
    <row r="316" spans="2:5" ht="15" customHeight="1">
      <c r="B316" s="83"/>
      <c r="C316" s="64" t="s">
        <v>209</v>
      </c>
      <c r="D316" s="65">
        <v>12</v>
      </c>
      <c r="E316" s="66">
        <v>3.29679386796E-4</v>
      </c>
    </row>
    <row r="317" spans="2:5" ht="15" customHeight="1">
      <c r="B317" s="83"/>
      <c r="C317" s="64" t="s">
        <v>216</v>
      </c>
      <c r="D317" s="65">
        <v>2</v>
      </c>
      <c r="E317" s="66">
        <v>5.4946564466000002E-5</v>
      </c>
    </row>
    <row r="318" spans="2:5" ht="15" customHeight="1">
      <c r="B318" s="83"/>
      <c r="C318" s="64" t="s">
        <v>211</v>
      </c>
      <c r="D318" s="65">
        <v>4</v>
      </c>
      <c r="E318" s="66">
        <v>1.09893128932E-4</v>
      </c>
    </row>
    <row r="319" spans="2:5" ht="15" customHeight="1">
      <c r="B319" s="83"/>
      <c r="C319" s="64" t="s">
        <v>212</v>
      </c>
      <c r="D319" s="65">
        <v>2</v>
      </c>
      <c r="E319" s="66">
        <v>5.4946564466000002E-5</v>
      </c>
    </row>
    <row r="320" spans="2:5" ht="15" customHeight="1">
      <c r="B320" s="83"/>
      <c r="C320" s="64" t="s">
        <v>213</v>
      </c>
      <c r="D320" s="65">
        <v>6</v>
      </c>
      <c r="E320" s="66">
        <v>1.64839693398E-4</v>
      </c>
    </row>
    <row r="321" spans="2:5" ht="15" customHeight="1">
      <c r="B321" s="83"/>
      <c r="C321" s="64" t="s">
        <v>214</v>
      </c>
      <c r="D321" s="65">
        <v>1</v>
      </c>
      <c r="E321" s="66">
        <v>2.7473282233000001E-5</v>
      </c>
    </row>
    <row r="322" spans="2:5" ht="15" customHeight="1">
      <c r="B322" s="83"/>
      <c r="C322" s="64" t="s">
        <v>215</v>
      </c>
      <c r="D322" s="65">
        <v>8</v>
      </c>
      <c r="E322" s="66">
        <v>2.1978625786400001E-4</v>
      </c>
    </row>
    <row r="323" spans="2:5" ht="15" customHeight="1">
      <c r="B323" s="82"/>
      <c r="C323" s="36" t="s">
        <v>29</v>
      </c>
      <c r="D323" s="35">
        <v>81</v>
      </c>
      <c r="E323" s="34">
        <v>2.2253358608749999E-3</v>
      </c>
    </row>
    <row r="324" spans="2:5" ht="15" customHeight="1">
      <c r="B324" s="77" t="s">
        <v>58</v>
      </c>
      <c r="C324" s="64" t="s">
        <v>200</v>
      </c>
      <c r="D324" s="65">
        <v>56</v>
      </c>
      <c r="E324" s="66">
        <v>1.5385038050500001E-3</v>
      </c>
    </row>
    <row r="325" spans="2:5" ht="15" customHeight="1">
      <c r="B325" s="83"/>
      <c r="C325" s="64" t="s">
        <v>201</v>
      </c>
      <c r="D325" s="65">
        <v>59</v>
      </c>
      <c r="E325" s="66">
        <v>1.6209236517490001E-3</v>
      </c>
    </row>
    <row r="326" spans="2:5" ht="15" customHeight="1">
      <c r="B326" s="83"/>
      <c r="C326" s="64" t="s">
        <v>202</v>
      </c>
      <c r="D326" s="65">
        <v>35</v>
      </c>
      <c r="E326" s="66">
        <v>9.61564878156E-4</v>
      </c>
    </row>
    <row r="327" spans="2:5" ht="15" customHeight="1">
      <c r="B327" s="83"/>
      <c r="C327" s="64" t="s">
        <v>203</v>
      </c>
      <c r="D327" s="65">
        <v>6</v>
      </c>
      <c r="E327" s="66">
        <v>1.64839693398E-4</v>
      </c>
    </row>
    <row r="328" spans="2:5" ht="15" customHeight="1">
      <c r="B328" s="83"/>
      <c r="C328" s="64" t="s">
        <v>204</v>
      </c>
      <c r="D328" s="65">
        <v>121</v>
      </c>
      <c r="E328" s="66">
        <v>3.3242671501959998E-3</v>
      </c>
    </row>
    <row r="329" spans="2:5" ht="15" customHeight="1">
      <c r="B329" s="83"/>
      <c r="C329" s="64" t="s">
        <v>205</v>
      </c>
      <c r="D329" s="65">
        <v>131</v>
      </c>
      <c r="E329" s="66">
        <v>3.5989999725270002E-3</v>
      </c>
    </row>
    <row r="330" spans="2:5" ht="15" customHeight="1">
      <c r="B330" s="83"/>
      <c r="C330" s="64" t="s">
        <v>206</v>
      </c>
      <c r="D330" s="65">
        <v>49</v>
      </c>
      <c r="E330" s="66">
        <v>1.3461908294179999E-3</v>
      </c>
    </row>
    <row r="331" spans="2:5" ht="15" customHeight="1">
      <c r="B331" s="83"/>
      <c r="C331" s="64" t="s">
        <v>207</v>
      </c>
      <c r="D331" s="65">
        <v>90</v>
      </c>
      <c r="E331" s="66">
        <v>2.4725954009730002E-3</v>
      </c>
    </row>
    <row r="332" spans="2:5" ht="15" customHeight="1">
      <c r="B332" s="83"/>
      <c r="C332" s="64" t="s">
        <v>208</v>
      </c>
      <c r="D332" s="65">
        <v>7</v>
      </c>
      <c r="E332" s="66">
        <v>1.9231297563099999E-4</v>
      </c>
    </row>
    <row r="333" spans="2:5" ht="15" customHeight="1">
      <c r="B333" s="83"/>
      <c r="C333" s="64" t="s">
        <v>209</v>
      </c>
      <c r="D333" s="65">
        <v>77</v>
      </c>
      <c r="E333" s="66">
        <v>2.1154427319430001E-3</v>
      </c>
    </row>
    <row r="334" spans="2:5" ht="15" customHeight="1">
      <c r="B334" s="83"/>
      <c r="C334" s="64" t="s">
        <v>210</v>
      </c>
      <c r="D334" s="65">
        <v>9</v>
      </c>
      <c r="E334" s="66">
        <v>2.47259540097E-4</v>
      </c>
    </row>
    <row r="335" spans="2:5" ht="15" customHeight="1">
      <c r="B335" s="83"/>
      <c r="C335" s="64" t="s">
        <v>216</v>
      </c>
      <c r="D335" s="65">
        <v>9</v>
      </c>
      <c r="E335" s="66">
        <v>2.47259540097E-4</v>
      </c>
    </row>
    <row r="336" spans="2:5" ht="15" customHeight="1">
      <c r="B336" s="83"/>
      <c r="C336" s="64" t="s">
        <v>211</v>
      </c>
      <c r="D336" s="65">
        <v>22</v>
      </c>
      <c r="E336" s="66">
        <v>6.0441220912700003E-4</v>
      </c>
    </row>
    <row r="337" spans="2:5" ht="15" customHeight="1">
      <c r="B337" s="83"/>
      <c r="C337" s="64" t="s">
        <v>212</v>
      </c>
      <c r="D337" s="65">
        <v>18</v>
      </c>
      <c r="E337" s="66">
        <v>4.9451908019499996E-4</v>
      </c>
    </row>
    <row r="338" spans="2:5" ht="15" customHeight="1">
      <c r="B338" s="83"/>
      <c r="C338" s="64" t="s">
        <v>213</v>
      </c>
      <c r="D338" s="65">
        <v>55</v>
      </c>
      <c r="E338" s="66">
        <v>1.511030522817E-3</v>
      </c>
    </row>
    <row r="339" spans="2:5" ht="15" customHeight="1">
      <c r="B339" s="83"/>
      <c r="C339" s="64" t="s">
        <v>214</v>
      </c>
      <c r="D339" s="65">
        <v>6</v>
      </c>
      <c r="E339" s="66">
        <v>1.64839693398E-4</v>
      </c>
    </row>
    <row r="340" spans="2:5" ht="15" customHeight="1">
      <c r="B340" s="83"/>
      <c r="C340" s="64" t="s">
        <v>215</v>
      </c>
      <c r="D340" s="65">
        <v>251</v>
      </c>
      <c r="E340" s="66">
        <v>6.8957938404900004E-3</v>
      </c>
    </row>
    <row r="341" spans="2:5" ht="15" customHeight="1">
      <c r="B341" s="82"/>
      <c r="C341" s="36" t="s">
        <v>29</v>
      </c>
      <c r="D341" s="35">
        <v>1001</v>
      </c>
      <c r="E341" s="34">
        <v>2.7500755515260999E-2</v>
      </c>
    </row>
    <row r="342" spans="2:5" ht="15" customHeight="1">
      <c r="B342" s="77" t="s">
        <v>60</v>
      </c>
      <c r="C342" s="64" t="s">
        <v>217</v>
      </c>
      <c r="D342" s="65">
        <v>1</v>
      </c>
      <c r="E342" s="66">
        <v>2.7473282233000001E-5</v>
      </c>
    </row>
    <row r="343" spans="2:5" ht="15" customHeight="1">
      <c r="B343" s="83"/>
      <c r="C343" s="64" t="s">
        <v>200</v>
      </c>
      <c r="D343" s="65">
        <v>55</v>
      </c>
      <c r="E343" s="66">
        <v>1.511030522817E-3</v>
      </c>
    </row>
    <row r="344" spans="2:5" ht="15" customHeight="1">
      <c r="B344" s="83"/>
      <c r="C344" s="64" t="s">
        <v>201</v>
      </c>
      <c r="D344" s="65">
        <v>50</v>
      </c>
      <c r="E344" s="66">
        <v>1.373664111651E-3</v>
      </c>
    </row>
    <row r="345" spans="2:5" ht="15" customHeight="1">
      <c r="B345" s="83"/>
      <c r="C345" s="64" t="s">
        <v>202</v>
      </c>
      <c r="D345" s="65">
        <v>30</v>
      </c>
      <c r="E345" s="66">
        <v>8.2419846699099996E-4</v>
      </c>
    </row>
    <row r="346" spans="2:5" ht="15" customHeight="1">
      <c r="B346" s="83"/>
      <c r="C346" s="64" t="s">
        <v>203</v>
      </c>
      <c r="D346" s="65">
        <v>7</v>
      </c>
      <c r="E346" s="66">
        <v>1.9231297563099999E-4</v>
      </c>
    </row>
    <row r="347" spans="2:5" ht="15" customHeight="1">
      <c r="B347" s="83"/>
      <c r="C347" s="64" t="s">
        <v>204</v>
      </c>
      <c r="D347" s="65">
        <v>90</v>
      </c>
      <c r="E347" s="66">
        <v>2.4725954009730002E-3</v>
      </c>
    </row>
    <row r="348" spans="2:5" ht="15" customHeight="1">
      <c r="B348" s="83"/>
      <c r="C348" s="64" t="s">
        <v>205</v>
      </c>
      <c r="D348" s="65">
        <v>109</v>
      </c>
      <c r="E348" s="66">
        <v>2.9945877633999998E-3</v>
      </c>
    </row>
    <row r="349" spans="2:5" ht="15" customHeight="1">
      <c r="B349" s="83"/>
      <c r="C349" s="64" t="s">
        <v>206</v>
      </c>
      <c r="D349" s="65">
        <v>34</v>
      </c>
      <c r="E349" s="66">
        <v>9.3409159592300003E-4</v>
      </c>
    </row>
    <row r="350" spans="2:5" ht="15" customHeight="1">
      <c r="B350" s="83"/>
      <c r="C350" s="64" t="s">
        <v>207</v>
      </c>
      <c r="D350" s="65">
        <v>60</v>
      </c>
      <c r="E350" s="66">
        <v>1.6483969339819999E-3</v>
      </c>
    </row>
    <row r="351" spans="2:5" ht="15" customHeight="1">
      <c r="B351" s="83"/>
      <c r="C351" s="64" t="s">
        <v>208</v>
      </c>
      <c r="D351" s="65">
        <v>17</v>
      </c>
      <c r="E351" s="66">
        <v>4.6704579796099998E-4</v>
      </c>
    </row>
    <row r="352" spans="2:5" ht="15" customHeight="1">
      <c r="B352" s="83"/>
      <c r="C352" s="64" t="s">
        <v>209</v>
      </c>
      <c r="D352" s="65">
        <v>43</v>
      </c>
      <c r="E352" s="66">
        <v>1.1813511360199999E-3</v>
      </c>
    </row>
    <row r="353" spans="2:5" ht="15" customHeight="1">
      <c r="B353" s="83"/>
      <c r="C353" s="64" t="s">
        <v>210</v>
      </c>
      <c r="D353" s="65">
        <v>6</v>
      </c>
      <c r="E353" s="66">
        <v>1.64839693398E-4</v>
      </c>
    </row>
    <row r="354" spans="2:5" ht="15" customHeight="1">
      <c r="B354" s="83"/>
      <c r="C354" s="64" t="s">
        <v>216</v>
      </c>
      <c r="D354" s="65">
        <v>4</v>
      </c>
      <c r="E354" s="66">
        <v>1.09893128932E-4</v>
      </c>
    </row>
    <row r="355" spans="2:5" ht="15" customHeight="1">
      <c r="B355" s="83"/>
      <c r="C355" s="64" t="s">
        <v>221</v>
      </c>
      <c r="D355" s="65">
        <v>1</v>
      </c>
      <c r="E355" s="66">
        <v>2.7473282233000001E-5</v>
      </c>
    </row>
    <row r="356" spans="2:5" ht="15" customHeight="1">
      <c r="B356" s="83"/>
      <c r="C356" s="64" t="s">
        <v>211</v>
      </c>
      <c r="D356" s="65">
        <v>15</v>
      </c>
      <c r="E356" s="66">
        <v>4.12099233495E-4</v>
      </c>
    </row>
    <row r="357" spans="2:5" ht="15" customHeight="1">
      <c r="B357" s="83"/>
      <c r="C357" s="64" t="s">
        <v>212</v>
      </c>
      <c r="D357" s="65">
        <v>15</v>
      </c>
      <c r="E357" s="66">
        <v>4.12099233495E-4</v>
      </c>
    </row>
    <row r="358" spans="2:5" ht="15" customHeight="1">
      <c r="B358" s="83"/>
      <c r="C358" s="64" t="s">
        <v>213</v>
      </c>
      <c r="D358" s="65">
        <v>30</v>
      </c>
      <c r="E358" s="66">
        <v>8.2419846699099996E-4</v>
      </c>
    </row>
    <row r="359" spans="2:5" ht="15" customHeight="1">
      <c r="B359" s="83"/>
      <c r="C359" s="64" t="s">
        <v>214</v>
      </c>
      <c r="D359" s="65">
        <v>6</v>
      </c>
      <c r="E359" s="66">
        <v>1.64839693398E-4</v>
      </c>
    </row>
    <row r="360" spans="2:5" ht="15" customHeight="1">
      <c r="B360" s="83"/>
      <c r="C360" s="64" t="s">
        <v>215</v>
      </c>
      <c r="D360" s="65">
        <v>102</v>
      </c>
      <c r="E360" s="66">
        <v>2.8022747877690002E-3</v>
      </c>
    </row>
    <row r="361" spans="2:5" ht="15" customHeight="1">
      <c r="B361" s="82"/>
      <c r="C361" s="36" t="s">
        <v>29</v>
      </c>
      <c r="D361" s="35">
        <v>675</v>
      </c>
      <c r="E361" s="34">
        <v>1.8544465507294002E-2</v>
      </c>
    </row>
    <row r="362" spans="2:5" ht="15" customHeight="1">
      <c r="B362" s="77" t="s">
        <v>51</v>
      </c>
      <c r="C362" s="64" t="s">
        <v>200</v>
      </c>
      <c r="D362" s="65">
        <v>383</v>
      </c>
      <c r="E362" s="66">
        <v>1.0522267095250001E-2</v>
      </c>
    </row>
    <row r="363" spans="2:5" ht="15" customHeight="1">
      <c r="B363" s="83"/>
      <c r="C363" s="64" t="s">
        <v>201</v>
      </c>
      <c r="D363" s="65">
        <v>413</v>
      </c>
      <c r="E363" s="66">
        <v>1.1346465562241E-2</v>
      </c>
    </row>
    <row r="364" spans="2:5" ht="15" customHeight="1">
      <c r="B364" s="83"/>
      <c r="C364" s="64" t="s">
        <v>202</v>
      </c>
      <c r="D364" s="65">
        <v>195</v>
      </c>
      <c r="E364" s="66">
        <v>5.3572900354409998E-3</v>
      </c>
    </row>
    <row r="365" spans="2:5" ht="15" customHeight="1">
      <c r="B365" s="83"/>
      <c r="C365" s="64" t="s">
        <v>203</v>
      </c>
      <c r="D365" s="65">
        <v>36</v>
      </c>
      <c r="E365" s="66">
        <v>9.8903816038900007E-4</v>
      </c>
    </row>
    <row r="366" spans="2:5" ht="15" customHeight="1">
      <c r="B366" s="83"/>
      <c r="C366" s="64" t="s">
        <v>204</v>
      </c>
      <c r="D366" s="65">
        <v>628</v>
      </c>
      <c r="E366" s="66">
        <v>1.7253221242342E-2</v>
      </c>
    </row>
    <row r="367" spans="2:5" ht="15" customHeight="1">
      <c r="B367" s="83"/>
      <c r="C367" s="64" t="s">
        <v>219</v>
      </c>
      <c r="D367" s="65">
        <v>1</v>
      </c>
      <c r="E367" s="66">
        <v>2.7473282233000001E-5</v>
      </c>
    </row>
    <row r="368" spans="2:5" ht="15" customHeight="1">
      <c r="B368" s="83"/>
      <c r="C368" s="64" t="s">
        <v>205</v>
      </c>
      <c r="D368" s="65">
        <v>843</v>
      </c>
      <c r="E368" s="66">
        <v>2.3159976922442999E-2</v>
      </c>
    </row>
    <row r="369" spans="2:5" ht="15" customHeight="1">
      <c r="B369" s="83"/>
      <c r="C369" s="64" t="s">
        <v>206</v>
      </c>
      <c r="D369" s="65">
        <v>316</v>
      </c>
      <c r="E369" s="66">
        <v>8.681557185637E-3</v>
      </c>
    </row>
    <row r="370" spans="2:5" ht="15" customHeight="1">
      <c r="B370" s="83"/>
      <c r="C370" s="64" t="s">
        <v>207</v>
      </c>
      <c r="D370" s="65">
        <v>442</v>
      </c>
      <c r="E370" s="66">
        <v>1.2143190746999001E-2</v>
      </c>
    </row>
    <row r="371" spans="2:5" ht="15" customHeight="1">
      <c r="B371" s="83"/>
      <c r="C371" s="64" t="s">
        <v>208</v>
      </c>
      <c r="D371" s="65">
        <v>49</v>
      </c>
      <c r="E371" s="66">
        <v>1.3461908294179999E-3</v>
      </c>
    </row>
    <row r="372" spans="2:5" ht="15" customHeight="1">
      <c r="B372" s="83"/>
      <c r="C372" s="64" t="s">
        <v>209</v>
      </c>
      <c r="D372" s="65">
        <v>405</v>
      </c>
      <c r="E372" s="66">
        <v>1.1126679304376001E-2</v>
      </c>
    </row>
    <row r="373" spans="2:5" ht="15" customHeight="1">
      <c r="B373" s="83"/>
      <c r="C373" s="64" t="s">
        <v>210</v>
      </c>
      <c r="D373" s="65">
        <v>29</v>
      </c>
      <c r="E373" s="66">
        <v>7.96725184758E-4</v>
      </c>
    </row>
    <row r="374" spans="2:5" ht="15" customHeight="1">
      <c r="B374" s="83"/>
      <c r="C374" s="64" t="s">
        <v>216</v>
      </c>
      <c r="D374" s="65">
        <v>22</v>
      </c>
      <c r="E374" s="66">
        <v>6.0441220912700003E-4</v>
      </c>
    </row>
    <row r="375" spans="2:5" ht="15" customHeight="1">
      <c r="B375" s="83"/>
      <c r="C375" s="64" t="s">
        <v>211</v>
      </c>
      <c r="D375" s="65">
        <v>115</v>
      </c>
      <c r="E375" s="66">
        <v>3.1594274567979998E-3</v>
      </c>
    </row>
    <row r="376" spans="2:5" ht="15" customHeight="1">
      <c r="B376" s="83"/>
      <c r="C376" s="64" t="s">
        <v>212</v>
      </c>
      <c r="D376" s="65">
        <v>77</v>
      </c>
      <c r="E376" s="66">
        <v>2.1154427319430001E-3</v>
      </c>
    </row>
    <row r="377" spans="2:5" ht="15" customHeight="1">
      <c r="B377" s="83"/>
      <c r="C377" s="64" t="s">
        <v>213</v>
      </c>
      <c r="D377" s="65">
        <v>343</v>
      </c>
      <c r="E377" s="66">
        <v>9.4233358059290003E-3</v>
      </c>
    </row>
    <row r="378" spans="2:5" ht="15" customHeight="1">
      <c r="B378" s="83"/>
      <c r="C378" s="64" t="s">
        <v>214</v>
      </c>
      <c r="D378" s="65">
        <v>36</v>
      </c>
      <c r="E378" s="66">
        <v>9.8903816038900007E-4</v>
      </c>
    </row>
    <row r="379" spans="2:5" ht="15" customHeight="1">
      <c r="B379" s="83"/>
      <c r="C379" s="64" t="s">
        <v>215</v>
      </c>
      <c r="D379" s="65">
        <v>287</v>
      </c>
      <c r="E379" s="66">
        <v>7.8848320008789996E-3</v>
      </c>
    </row>
    <row r="380" spans="2:5" ht="15" customHeight="1">
      <c r="B380" s="82"/>
      <c r="C380" s="36" t="s">
        <v>29</v>
      </c>
      <c r="D380" s="35">
        <v>4620</v>
      </c>
      <c r="E380" s="34">
        <v>0.12692656391659099</v>
      </c>
    </row>
    <row r="381" spans="2:5" ht="15" customHeight="1">
      <c r="B381" s="77" t="s">
        <v>81</v>
      </c>
      <c r="C381" s="64" t="s">
        <v>200</v>
      </c>
      <c r="D381" s="65">
        <v>14</v>
      </c>
      <c r="E381" s="66">
        <v>3.8462595126199998E-4</v>
      </c>
    </row>
    <row r="382" spans="2:5" ht="15" customHeight="1">
      <c r="B382" s="83"/>
      <c r="C382" s="64" t="s">
        <v>201</v>
      </c>
      <c r="D382" s="65">
        <v>28</v>
      </c>
      <c r="E382" s="66">
        <v>7.6925190252500003E-4</v>
      </c>
    </row>
    <row r="383" spans="2:5" ht="15" customHeight="1">
      <c r="B383" s="83"/>
      <c r="C383" s="64" t="s">
        <v>202</v>
      </c>
      <c r="D383" s="65">
        <v>8</v>
      </c>
      <c r="E383" s="66">
        <v>2.1978625786400001E-4</v>
      </c>
    </row>
    <row r="384" spans="2:5" ht="15" customHeight="1">
      <c r="B384" s="83"/>
      <c r="C384" s="64" t="s">
        <v>203</v>
      </c>
      <c r="D384" s="65">
        <v>2</v>
      </c>
      <c r="E384" s="66">
        <v>5.4946564466000002E-5</v>
      </c>
    </row>
    <row r="385" spans="2:5" ht="15" customHeight="1">
      <c r="B385" s="83"/>
      <c r="C385" s="64" t="s">
        <v>204</v>
      </c>
      <c r="D385" s="65">
        <v>56</v>
      </c>
      <c r="E385" s="66">
        <v>1.5385038050500001E-3</v>
      </c>
    </row>
    <row r="386" spans="2:5" ht="15" customHeight="1">
      <c r="B386" s="83"/>
      <c r="C386" s="64" t="s">
        <v>205</v>
      </c>
      <c r="D386" s="65">
        <v>40</v>
      </c>
      <c r="E386" s="66">
        <v>1.0989312893209999E-3</v>
      </c>
    </row>
    <row r="387" spans="2:5" ht="15" customHeight="1">
      <c r="B387" s="83"/>
      <c r="C387" s="64" t="s">
        <v>206</v>
      </c>
      <c r="D387" s="65">
        <v>13</v>
      </c>
      <c r="E387" s="66">
        <v>3.5715266902900002E-4</v>
      </c>
    </row>
    <row r="388" spans="2:5" ht="15" customHeight="1">
      <c r="B388" s="83"/>
      <c r="C388" s="64" t="s">
        <v>207</v>
      </c>
      <c r="D388" s="65">
        <v>16</v>
      </c>
      <c r="E388" s="66">
        <v>4.3957251572800002E-4</v>
      </c>
    </row>
    <row r="389" spans="2:5" ht="15" customHeight="1">
      <c r="B389" s="83"/>
      <c r="C389" s="64" t="s">
        <v>208</v>
      </c>
      <c r="D389" s="65">
        <v>3</v>
      </c>
      <c r="E389" s="66">
        <v>8.2419846699E-5</v>
      </c>
    </row>
    <row r="390" spans="2:5" ht="15" customHeight="1">
      <c r="B390" s="83"/>
      <c r="C390" s="64" t="s">
        <v>209</v>
      </c>
      <c r="D390" s="65">
        <v>38</v>
      </c>
      <c r="E390" s="66">
        <v>1.043984724855E-3</v>
      </c>
    </row>
    <row r="391" spans="2:5" ht="15" customHeight="1">
      <c r="B391" s="83"/>
      <c r="C391" s="64" t="s">
        <v>216</v>
      </c>
      <c r="D391" s="65">
        <v>1</v>
      </c>
      <c r="E391" s="66">
        <v>2.7473282233000001E-5</v>
      </c>
    </row>
    <row r="392" spans="2:5" ht="15" customHeight="1">
      <c r="B392" s="83"/>
      <c r="C392" s="64" t="s">
        <v>211</v>
      </c>
      <c r="D392" s="65">
        <v>8</v>
      </c>
      <c r="E392" s="66">
        <v>2.1978625786400001E-4</v>
      </c>
    </row>
    <row r="393" spans="2:5" ht="15" customHeight="1">
      <c r="B393" s="83"/>
      <c r="C393" s="64" t="s">
        <v>212</v>
      </c>
      <c r="D393" s="65">
        <v>5</v>
      </c>
      <c r="E393" s="66">
        <v>1.3736641116500001E-4</v>
      </c>
    </row>
    <row r="394" spans="2:5" ht="15" customHeight="1">
      <c r="B394" s="83"/>
      <c r="C394" s="64" t="s">
        <v>213</v>
      </c>
      <c r="D394" s="65">
        <v>17</v>
      </c>
      <c r="E394" s="66">
        <v>4.6704579796099998E-4</v>
      </c>
    </row>
    <row r="395" spans="2:5" ht="15" customHeight="1">
      <c r="B395" s="83"/>
      <c r="C395" s="64" t="s">
        <v>215</v>
      </c>
      <c r="D395" s="65">
        <v>23</v>
      </c>
      <c r="E395" s="66">
        <v>6.3188549136E-4</v>
      </c>
    </row>
    <row r="396" spans="2:5" ht="15" customHeight="1">
      <c r="B396" s="82"/>
      <c r="C396" s="36" t="s">
        <v>29</v>
      </c>
      <c r="D396" s="35">
        <v>272</v>
      </c>
      <c r="E396" s="34">
        <v>7.4727327673840003E-3</v>
      </c>
    </row>
    <row r="397" spans="2:5" ht="15" customHeight="1">
      <c r="B397" s="77" t="s">
        <v>74</v>
      </c>
      <c r="C397" s="64" t="s">
        <v>200</v>
      </c>
      <c r="D397" s="65">
        <v>29</v>
      </c>
      <c r="E397" s="66">
        <v>7.96725184758E-4</v>
      </c>
    </row>
    <row r="398" spans="2:5" ht="15" customHeight="1">
      <c r="B398" s="83"/>
      <c r="C398" s="64" t="s">
        <v>201</v>
      </c>
      <c r="D398" s="65">
        <v>47</v>
      </c>
      <c r="E398" s="66">
        <v>1.291244264952E-3</v>
      </c>
    </row>
    <row r="399" spans="2:5" ht="15" customHeight="1">
      <c r="B399" s="83"/>
      <c r="C399" s="64" t="s">
        <v>202</v>
      </c>
      <c r="D399" s="65">
        <v>31</v>
      </c>
      <c r="E399" s="66">
        <v>8.5167174922400003E-4</v>
      </c>
    </row>
    <row r="400" spans="2:5" ht="15" customHeight="1">
      <c r="B400" s="83"/>
      <c r="C400" s="64" t="s">
        <v>203</v>
      </c>
      <c r="D400" s="65">
        <v>3</v>
      </c>
      <c r="E400" s="66">
        <v>8.2419846699E-5</v>
      </c>
    </row>
    <row r="401" spans="2:5" ht="15" customHeight="1">
      <c r="B401" s="83"/>
      <c r="C401" s="64" t="s">
        <v>204</v>
      </c>
      <c r="D401" s="65">
        <v>58</v>
      </c>
      <c r="E401" s="66">
        <v>1.593450369516E-3</v>
      </c>
    </row>
    <row r="402" spans="2:5" ht="15" customHeight="1">
      <c r="B402" s="83"/>
      <c r="C402" s="64" t="s">
        <v>205</v>
      </c>
      <c r="D402" s="65">
        <v>80</v>
      </c>
      <c r="E402" s="66">
        <v>2.1978625786419998E-3</v>
      </c>
    </row>
    <row r="403" spans="2:5" ht="15" customHeight="1">
      <c r="B403" s="83"/>
      <c r="C403" s="64" t="s">
        <v>206</v>
      </c>
      <c r="D403" s="65">
        <v>29</v>
      </c>
      <c r="E403" s="66">
        <v>7.96725184758E-4</v>
      </c>
    </row>
    <row r="404" spans="2:5" ht="15" customHeight="1">
      <c r="B404" s="83"/>
      <c r="C404" s="64" t="s">
        <v>207</v>
      </c>
      <c r="D404" s="65">
        <v>50</v>
      </c>
      <c r="E404" s="66">
        <v>1.373664111651E-3</v>
      </c>
    </row>
    <row r="405" spans="2:5" ht="15" customHeight="1">
      <c r="B405" s="83"/>
      <c r="C405" s="64" t="s">
        <v>208</v>
      </c>
      <c r="D405" s="65">
        <v>9</v>
      </c>
      <c r="E405" s="66">
        <v>2.47259540097E-4</v>
      </c>
    </row>
    <row r="406" spans="2:5" ht="15" customHeight="1">
      <c r="B406" s="83"/>
      <c r="C406" s="64" t="s">
        <v>209</v>
      </c>
      <c r="D406" s="65">
        <v>46</v>
      </c>
      <c r="E406" s="66">
        <v>1.2637709827189999E-3</v>
      </c>
    </row>
    <row r="407" spans="2:5" ht="15" customHeight="1">
      <c r="B407" s="83"/>
      <c r="C407" s="64" t="s">
        <v>210</v>
      </c>
      <c r="D407" s="65">
        <v>5</v>
      </c>
      <c r="E407" s="66">
        <v>1.3736641116500001E-4</v>
      </c>
    </row>
    <row r="408" spans="2:5" ht="15" customHeight="1">
      <c r="B408" s="83"/>
      <c r="C408" s="64" t="s">
        <v>216</v>
      </c>
      <c r="D408" s="65">
        <v>2</v>
      </c>
      <c r="E408" s="66">
        <v>5.4946564466000002E-5</v>
      </c>
    </row>
    <row r="409" spans="2:5" ht="15" customHeight="1">
      <c r="B409" s="83"/>
      <c r="C409" s="64" t="s">
        <v>211</v>
      </c>
      <c r="D409" s="65">
        <v>18</v>
      </c>
      <c r="E409" s="66">
        <v>4.9451908019499996E-4</v>
      </c>
    </row>
    <row r="410" spans="2:5" ht="15" customHeight="1">
      <c r="B410" s="83"/>
      <c r="C410" s="64" t="s">
        <v>212</v>
      </c>
      <c r="D410" s="65">
        <v>6</v>
      </c>
      <c r="E410" s="66">
        <v>1.64839693398E-4</v>
      </c>
    </row>
    <row r="411" spans="2:5" ht="15" customHeight="1">
      <c r="B411" s="83"/>
      <c r="C411" s="64" t="s">
        <v>213</v>
      </c>
      <c r="D411" s="65">
        <v>28</v>
      </c>
      <c r="E411" s="66">
        <v>7.6925190252500003E-4</v>
      </c>
    </row>
    <row r="412" spans="2:5" ht="15" customHeight="1">
      <c r="B412" s="83"/>
      <c r="C412" s="64" t="s">
        <v>214</v>
      </c>
      <c r="D412" s="65">
        <v>2</v>
      </c>
      <c r="E412" s="66">
        <v>5.4946564466000002E-5</v>
      </c>
    </row>
    <row r="413" spans="2:5" ht="15" customHeight="1">
      <c r="B413" s="83"/>
      <c r="C413" s="64" t="s">
        <v>215</v>
      </c>
      <c r="D413" s="65">
        <v>46</v>
      </c>
      <c r="E413" s="66">
        <v>1.2637709827189999E-3</v>
      </c>
    </row>
    <row r="414" spans="2:5" ht="15" customHeight="1">
      <c r="B414" s="82"/>
      <c r="C414" s="36" t="s">
        <v>29</v>
      </c>
      <c r="D414" s="35">
        <v>489</v>
      </c>
      <c r="E414" s="34">
        <v>1.3434435011951001E-2</v>
      </c>
    </row>
    <row r="415" spans="2:5" ht="15" customHeight="1">
      <c r="B415" s="77" t="s">
        <v>80</v>
      </c>
      <c r="C415" s="64" t="s">
        <v>200</v>
      </c>
      <c r="D415" s="65">
        <v>16</v>
      </c>
      <c r="E415" s="66">
        <v>4.3957251572800002E-4</v>
      </c>
    </row>
    <row r="416" spans="2:5" ht="15" customHeight="1">
      <c r="B416" s="83"/>
      <c r="C416" s="64" t="s">
        <v>201</v>
      </c>
      <c r="D416" s="65">
        <v>15</v>
      </c>
      <c r="E416" s="66">
        <v>4.12099233495E-4</v>
      </c>
    </row>
    <row r="417" spans="2:5" ht="15" customHeight="1">
      <c r="B417" s="83"/>
      <c r="C417" s="64" t="s">
        <v>202</v>
      </c>
      <c r="D417" s="65">
        <v>12</v>
      </c>
      <c r="E417" s="66">
        <v>3.29679386796E-4</v>
      </c>
    </row>
    <row r="418" spans="2:5" ht="15" customHeight="1">
      <c r="B418" s="83"/>
      <c r="C418" s="64" t="s">
        <v>203</v>
      </c>
      <c r="D418" s="65">
        <v>3</v>
      </c>
      <c r="E418" s="66">
        <v>8.2419846699E-5</v>
      </c>
    </row>
    <row r="419" spans="2:5" ht="15" customHeight="1">
      <c r="B419" s="83"/>
      <c r="C419" s="64" t="s">
        <v>204</v>
      </c>
      <c r="D419" s="65">
        <v>44</v>
      </c>
      <c r="E419" s="66">
        <v>1.208824418253E-3</v>
      </c>
    </row>
    <row r="420" spans="2:5" ht="15" customHeight="1">
      <c r="B420" s="83"/>
      <c r="C420" s="64" t="s">
        <v>205</v>
      </c>
      <c r="D420" s="65">
        <v>28</v>
      </c>
      <c r="E420" s="66">
        <v>7.6925190252500003E-4</v>
      </c>
    </row>
    <row r="421" spans="2:5" ht="15" customHeight="1">
      <c r="B421" s="83"/>
      <c r="C421" s="64" t="s">
        <v>206</v>
      </c>
      <c r="D421" s="65">
        <v>18</v>
      </c>
      <c r="E421" s="66">
        <v>4.9451908019499996E-4</v>
      </c>
    </row>
    <row r="422" spans="2:5" ht="15" customHeight="1">
      <c r="B422" s="83"/>
      <c r="C422" s="64" t="s">
        <v>207</v>
      </c>
      <c r="D422" s="65">
        <v>39</v>
      </c>
      <c r="E422" s="66">
        <v>1.0714580070880001E-3</v>
      </c>
    </row>
    <row r="423" spans="2:5" ht="15" customHeight="1">
      <c r="B423" s="83"/>
      <c r="C423" s="64" t="s">
        <v>208</v>
      </c>
      <c r="D423" s="65">
        <v>4</v>
      </c>
      <c r="E423" s="66">
        <v>1.09893128932E-4</v>
      </c>
    </row>
    <row r="424" spans="2:5" ht="15" customHeight="1">
      <c r="B424" s="83"/>
      <c r="C424" s="64" t="s">
        <v>209</v>
      </c>
      <c r="D424" s="65">
        <v>33</v>
      </c>
      <c r="E424" s="66">
        <v>9.0661831368999996E-4</v>
      </c>
    </row>
    <row r="425" spans="2:5" ht="15" customHeight="1">
      <c r="B425" s="83"/>
      <c r="C425" s="64" t="s">
        <v>210</v>
      </c>
      <c r="D425" s="65">
        <v>3</v>
      </c>
      <c r="E425" s="66">
        <v>8.2419846699E-5</v>
      </c>
    </row>
    <row r="426" spans="2:5" ht="15" customHeight="1">
      <c r="B426" s="83"/>
      <c r="C426" s="64" t="s">
        <v>216</v>
      </c>
      <c r="D426" s="65">
        <v>4</v>
      </c>
      <c r="E426" s="66">
        <v>1.09893128932E-4</v>
      </c>
    </row>
    <row r="427" spans="2:5" ht="15" customHeight="1">
      <c r="B427" s="83"/>
      <c r="C427" s="64" t="s">
        <v>211</v>
      </c>
      <c r="D427" s="65">
        <v>15</v>
      </c>
      <c r="E427" s="66">
        <v>4.12099233495E-4</v>
      </c>
    </row>
    <row r="428" spans="2:5" ht="15" customHeight="1">
      <c r="B428" s="83"/>
      <c r="C428" s="64" t="s">
        <v>212</v>
      </c>
      <c r="D428" s="65">
        <v>2</v>
      </c>
      <c r="E428" s="66">
        <v>5.4946564466000002E-5</v>
      </c>
    </row>
    <row r="429" spans="2:5" ht="15" customHeight="1">
      <c r="B429" s="83"/>
      <c r="C429" s="64" t="s">
        <v>213</v>
      </c>
      <c r="D429" s="65">
        <v>10</v>
      </c>
      <c r="E429" s="66">
        <v>2.7473282233000002E-4</v>
      </c>
    </row>
    <row r="430" spans="2:5" ht="15" customHeight="1">
      <c r="B430" s="83"/>
      <c r="C430" s="64" t="s">
        <v>214</v>
      </c>
      <c r="D430" s="65">
        <v>2</v>
      </c>
      <c r="E430" s="66">
        <v>5.4946564466000002E-5</v>
      </c>
    </row>
    <row r="431" spans="2:5" ht="15" customHeight="1">
      <c r="B431" s="83"/>
      <c r="C431" s="64" t="s">
        <v>215</v>
      </c>
      <c r="D431" s="65">
        <v>26</v>
      </c>
      <c r="E431" s="66">
        <v>7.14305338059E-4</v>
      </c>
    </row>
    <row r="432" spans="2:5" ht="15" customHeight="1">
      <c r="B432" s="82"/>
      <c r="C432" s="36" t="s">
        <v>29</v>
      </c>
      <c r="D432" s="35">
        <v>274</v>
      </c>
      <c r="E432" s="34">
        <v>7.5276793318500004E-3</v>
      </c>
    </row>
    <row r="433" spans="2:5" ht="15" customHeight="1">
      <c r="B433" s="77" t="s">
        <v>90</v>
      </c>
      <c r="C433" s="64" t="s">
        <v>200</v>
      </c>
      <c r="D433" s="65">
        <v>5</v>
      </c>
      <c r="E433" s="66">
        <v>1.3736641116500001E-4</v>
      </c>
    </row>
    <row r="434" spans="2:5" ht="15" customHeight="1">
      <c r="B434" s="83"/>
      <c r="C434" s="64" t="s">
        <v>201</v>
      </c>
      <c r="D434" s="65">
        <v>13</v>
      </c>
      <c r="E434" s="66">
        <v>3.5715266902900002E-4</v>
      </c>
    </row>
    <row r="435" spans="2:5" ht="15" customHeight="1">
      <c r="B435" s="83"/>
      <c r="C435" s="64" t="s">
        <v>202</v>
      </c>
      <c r="D435" s="65">
        <v>2</v>
      </c>
      <c r="E435" s="66">
        <v>5.4946564466000002E-5</v>
      </c>
    </row>
    <row r="436" spans="2:5" ht="15" customHeight="1">
      <c r="B436" s="83"/>
      <c r="C436" s="64" t="s">
        <v>204</v>
      </c>
      <c r="D436" s="65">
        <v>18</v>
      </c>
      <c r="E436" s="66">
        <v>4.9451908019499996E-4</v>
      </c>
    </row>
    <row r="437" spans="2:5" ht="15" customHeight="1">
      <c r="B437" s="83"/>
      <c r="C437" s="64" t="s">
        <v>205</v>
      </c>
      <c r="D437" s="65">
        <v>9</v>
      </c>
      <c r="E437" s="66">
        <v>2.47259540097E-4</v>
      </c>
    </row>
    <row r="438" spans="2:5" ht="15" customHeight="1">
      <c r="B438" s="83"/>
      <c r="C438" s="64" t="s">
        <v>206</v>
      </c>
      <c r="D438" s="65">
        <v>5</v>
      </c>
      <c r="E438" s="66">
        <v>1.3736641116500001E-4</v>
      </c>
    </row>
    <row r="439" spans="2:5" ht="15" customHeight="1">
      <c r="B439" s="83"/>
      <c r="C439" s="64" t="s">
        <v>207</v>
      </c>
      <c r="D439" s="65">
        <v>16</v>
      </c>
      <c r="E439" s="66">
        <v>4.3957251572800002E-4</v>
      </c>
    </row>
    <row r="440" spans="2:5" ht="15" customHeight="1">
      <c r="B440" s="83"/>
      <c r="C440" s="64" t="s">
        <v>208</v>
      </c>
      <c r="D440" s="65">
        <v>1</v>
      </c>
      <c r="E440" s="66">
        <v>2.7473282233000001E-5</v>
      </c>
    </row>
    <row r="441" spans="2:5" ht="15" customHeight="1">
      <c r="B441" s="83"/>
      <c r="C441" s="64" t="s">
        <v>209</v>
      </c>
      <c r="D441" s="65">
        <v>15</v>
      </c>
      <c r="E441" s="66">
        <v>4.12099233495E-4</v>
      </c>
    </row>
    <row r="442" spans="2:5" ht="15" customHeight="1">
      <c r="B442" s="83"/>
      <c r="C442" s="64" t="s">
        <v>210</v>
      </c>
      <c r="D442" s="65">
        <v>1</v>
      </c>
      <c r="E442" s="66">
        <v>2.7473282233000001E-5</v>
      </c>
    </row>
    <row r="443" spans="2:5" ht="15" customHeight="1">
      <c r="B443" s="83"/>
      <c r="C443" s="64" t="s">
        <v>211</v>
      </c>
      <c r="D443" s="65">
        <v>3</v>
      </c>
      <c r="E443" s="66">
        <v>8.2419846699E-5</v>
      </c>
    </row>
    <row r="444" spans="2:5" ht="15" customHeight="1">
      <c r="B444" s="83"/>
      <c r="C444" s="64" t="s">
        <v>212</v>
      </c>
      <c r="D444" s="65">
        <v>4</v>
      </c>
      <c r="E444" s="66">
        <v>1.09893128932E-4</v>
      </c>
    </row>
    <row r="445" spans="2:5" ht="15" customHeight="1">
      <c r="B445" s="83"/>
      <c r="C445" s="64" t="s">
        <v>213</v>
      </c>
      <c r="D445" s="65">
        <v>9</v>
      </c>
      <c r="E445" s="66">
        <v>2.47259540097E-4</v>
      </c>
    </row>
    <row r="446" spans="2:5" ht="15" customHeight="1">
      <c r="B446" s="83"/>
      <c r="C446" s="64" t="s">
        <v>214</v>
      </c>
      <c r="D446" s="65">
        <v>3</v>
      </c>
      <c r="E446" s="66">
        <v>8.2419846699E-5</v>
      </c>
    </row>
    <row r="447" spans="2:5" ht="15" customHeight="1">
      <c r="B447" s="83"/>
      <c r="C447" s="64" t="s">
        <v>215</v>
      </c>
      <c r="D447" s="65">
        <v>7</v>
      </c>
      <c r="E447" s="66">
        <v>1.9231297563099999E-4</v>
      </c>
    </row>
    <row r="448" spans="2:5" ht="15" customHeight="1">
      <c r="B448" s="82"/>
      <c r="C448" s="36" t="s">
        <v>29</v>
      </c>
      <c r="D448" s="35">
        <v>111</v>
      </c>
      <c r="E448" s="34">
        <v>3.049534327866E-3</v>
      </c>
    </row>
    <row r="449" spans="2:5" ht="15" customHeight="1">
      <c r="B449" s="77" t="s">
        <v>100</v>
      </c>
      <c r="C449" s="64" t="s">
        <v>200</v>
      </c>
      <c r="D449" s="65">
        <v>1</v>
      </c>
      <c r="E449" s="66">
        <v>2.7473282233000001E-5</v>
      </c>
    </row>
    <row r="450" spans="2:5" ht="15" customHeight="1">
      <c r="B450" s="83"/>
      <c r="C450" s="64" t="s">
        <v>201</v>
      </c>
      <c r="D450" s="65">
        <v>1</v>
      </c>
      <c r="E450" s="66">
        <v>2.7473282233000001E-5</v>
      </c>
    </row>
    <row r="451" spans="2:5" ht="15" customHeight="1">
      <c r="B451" s="83"/>
      <c r="C451" s="64" t="s">
        <v>213</v>
      </c>
      <c r="D451" s="65">
        <v>1</v>
      </c>
      <c r="E451" s="66">
        <v>2.7473282233000001E-5</v>
      </c>
    </row>
    <row r="452" spans="2:5" ht="15" customHeight="1">
      <c r="B452" s="83"/>
      <c r="C452" s="64" t="s">
        <v>215</v>
      </c>
      <c r="D452" s="65">
        <v>1</v>
      </c>
      <c r="E452" s="66">
        <v>2.7473282233000001E-5</v>
      </c>
    </row>
    <row r="453" spans="2:5" ht="15" customHeight="1">
      <c r="B453" s="82"/>
      <c r="C453" s="36" t="s">
        <v>29</v>
      </c>
      <c r="D453" s="35">
        <v>4</v>
      </c>
      <c r="E453" s="34">
        <v>1.09893128932E-4</v>
      </c>
    </row>
    <row r="454" spans="2:5" ht="15" customHeight="1">
      <c r="B454" s="77" t="s">
        <v>83</v>
      </c>
      <c r="C454" s="64" t="s">
        <v>200</v>
      </c>
      <c r="D454" s="65">
        <v>19</v>
      </c>
      <c r="E454" s="66">
        <v>5.2199236242800003E-4</v>
      </c>
    </row>
    <row r="455" spans="2:5" ht="15" customHeight="1">
      <c r="B455" s="83"/>
      <c r="C455" s="64" t="s">
        <v>201</v>
      </c>
      <c r="D455" s="65">
        <v>9</v>
      </c>
      <c r="E455" s="66">
        <v>2.47259540097E-4</v>
      </c>
    </row>
    <row r="456" spans="2:5" ht="15" customHeight="1">
      <c r="B456" s="83"/>
      <c r="C456" s="64" t="s">
        <v>202</v>
      </c>
      <c r="D456" s="65">
        <v>7</v>
      </c>
      <c r="E456" s="66">
        <v>1.9231297563099999E-4</v>
      </c>
    </row>
    <row r="457" spans="2:5" ht="15" customHeight="1">
      <c r="B457" s="83"/>
      <c r="C457" s="64" t="s">
        <v>203</v>
      </c>
      <c r="D457" s="65">
        <v>1</v>
      </c>
      <c r="E457" s="66">
        <v>2.7473282233000001E-5</v>
      </c>
    </row>
    <row r="458" spans="2:5" ht="15" customHeight="1">
      <c r="B458" s="83"/>
      <c r="C458" s="64" t="s">
        <v>204</v>
      </c>
      <c r="D458" s="65">
        <v>25</v>
      </c>
      <c r="E458" s="66">
        <v>6.8683205582600003E-4</v>
      </c>
    </row>
    <row r="459" spans="2:5" ht="15" customHeight="1">
      <c r="B459" s="83"/>
      <c r="C459" s="64" t="s">
        <v>205</v>
      </c>
      <c r="D459" s="65">
        <v>26</v>
      </c>
      <c r="E459" s="66">
        <v>7.14305338059E-4</v>
      </c>
    </row>
    <row r="460" spans="2:5" ht="15" customHeight="1">
      <c r="B460" s="83"/>
      <c r="C460" s="64" t="s">
        <v>206</v>
      </c>
      <c r="D460" s="65">
        <v>12</v>
      </c>
      <c r="E460" s="66">
        <v>3.29679386796E-4</v>
      </c>
    </row>
    <row r="461" spans="2:5" ht="15" customHeight="1">
      <c r="B461" s="83"/>
      <c r="C461" s="64" t="s">
        <v>207</v>
      </c>
      <c r="D461" s="65">
        <v>26</v>
      </c>
      <c r="E461" s="66">
        <v>7.14305338059E-4</v>
      </c>
    </row>
    <row r="462" spans="2:5" ht="15" customHeight="1">
      <c r="B462" s="83"/>
      <c r="C462" s="64" t="s">
        <v>208</v>
      </c>
      <c r="D462" s="65">
        <v>7</v>
      </c>
      <c r="E462" s="66">
        <v>1.9231297563099999E-4</v>
      </c>
    </row>
    <row r="463" spans="2:5" ht="15" customHeight="1">
      <c r="B463" s="83"/>
      <c r="C463" s="64" t="s">
        <v>209</v>
      </c>
      <c r="D463" s="65">
        <v>24</v>
      </c>
      <c r="E463" s="66">
        <v>6.5935877359299996E-4</v>
      </c>
    </row>
    <row r="464" spans="2:5" ht="15" customHeight="1">
      <c r="B464" s="83"/>
      <c r="C464" s="64" t="s">
        <v>210</v>
      </c>
      <c r="D464" s="65">
        <v>3</v>
      </c>
      <c r="E464" s="66">
        <v>8.2419846699E-5</v>
      </c>
    </row>
    <row r="465" spans="2:5" ht="15" customHeight="1">
      <c r="B465" s="83"/>
      <c r="C465" s="64" t="s">
        <v>211</v>
      </c>
      <c r="D465" s="65">
        <v>5</v>
      </c>
      <c r="E465" s="66">
        <v>1.3736641116500001E-4</v>
      </c>
    </row>
    <row r="466" spans="2:5" ht="15" customHeight="1">
      <c r="B466" s="83"/>
      <c r="C466" s="64" t="s">
        <v>212</v>
      </c>
      <c r="D466" s="65">
        <v>6</v>
      </c>
      <c r="E466" s="66">
        <v>1.64839693398E-4</v>
      </c>
    </row>
    <row r="467" spans="2:5" ht="15" customHeight="1">
      <c r="B467" s="83"/>
      <c r="C467" s="64" t="s">
        <v>213</v>
      </c>
      <c r="D467" s="65">
        <v>19</v>
      </c>
      <c r="E467" s="66">
        <v>5.2199236242800003E-4</v>
      </c>
    </row>
    <row r="468" spans="2:5" ht="15" customHeight="1">
      <c r="B468" s="83"/>
      <c r="C468" s="64" t="s">
        <v>214</v>
      </c>
      <c r="D468" s="65">
        <v>4</v>
      </c>
      <c r="E468" s="66">
        <v>1.09893128932E-4</v>
      </c>
    </row>
    <row r="469" spans="2:5" ht="15" customHeight="1">
      <c r="B469" s="83"/>
      <c r="C469" s="64" t="s">
        <v>215</v>
      </c>
      <c r="D469" s="65">
        <v>19</v>
      </c>
      <c r="E469" s="66">
        <v>5.2199236242800003E-4</v>
      </c>
    </row>
    <row r="470" spans="2:5" ht="15" customHeight="1">
      <c r="B470" s="82"/>
      <c r="C470" s="36" t="s">
        <v>29</v>
      </c>
      <c r="D470" s="35">
        <v>212</v>
      </c>
      <c r="E470" s="34">
        <v>5.8243358334020001E-3</v>
      </c>
    </row>
    <row r="471" spans="2:5" ht="15" customHeight="1">
      <c r="B471" s="77" t="s">
        <v>57</v>
      </c>
      <c r="C471" s="64" t="s">
        <v>200</v>
      </c>
      <c r="D471" s="65">
        <v>44</v>
      </c>
      <c r="E471" s="66">
        <v>1.208824418253E-3</v>
      </c>
    </row>
    <row r="472" spans="2:5" ht="15" customHeight="1">
      <c r="B472" s="83"/>
      <c r="C472" s="64" t="s">
        <v>201</v>
      </c>
      <c r="D472" s="65">
        <v>84</v>
      </c>
      <c r="E472" s="66">
        <v>2.3077557075740001E-3</v>
      </c>
    </row>
    <row r="473" spans="2:5" ht="15" customHeight="1">
      <c r="B473" s="83"/>
      <c r="C473" s="64" t="s">
        <v>202</v>
      </c>
      <c r="D473" s="65">
        <v>52</v>
      </c>
      <c r="E473" s="66">
        <v>1.4286106761169999E-3</v>
      </c>
    </row>
    <row r="474" spans="2:5" ht="15" customHeight="1">
      <c r="B474" s="83"/>
      <c r="C474" s="64" t="s">
        <v>203</v>
      </c>
      <c r="D474" s="65">
        <v>7</v>
      </c>
      <c r="E474" s="66">
        <v>1.9231297563099999E-4</v>
      </c>
    </row>
    <row r="475" spans="2:5" ht="15" customHeight="1">
      <c r="B475" s="83"/>
      <c r="C475" s="64" t="s">
        <v>204</v>
      </c>
      <c r="D475" s="65">
        <v>142</v>
      </c>
      <c r="E475" s="66">
        <v>3.9012060770900001E-3</v>
      </c>
    </row>
    <row r="476" spans="2:5" ht="15" customHeight="1">
      <c r="B476" s="83"/>
      <c r="C476" s="64" t="s">
        <v>205</v>
      </c>
      <c r="D476" s="65">
        <v>107</v>
      </c>
      <c r="E476" s="66">
        <v>2.9396411989340001E-3</v>
      </c>
    </row>
    <row r="477" spans="2:5" ht="15" customHeight="1">
      <c r="B477" s="83"/>
      <c r="C477" s="64" t="s">
        <v>206</v>
      </c>
      <c r="D477" s="65">
        <v>95</v>
      </c>
      <c r="E477" s="66">
        <v>2.6099618121380001E-3</v>
      </c>
    </row>
    <row r="478" spans="2:5" ht="15" customHeight="1">
      <c r="B478" s="83"/>
      <c r="C478" s="64" t="s">
        <v>207</v>
      </c>
      <c r="D478" s="65">
        <v>162</v>
      </c>
      <c r="E478" s="66">
        <v>4.4506717217509999E-3</v>
      </c>
    </row>
    <row r="479" spans="2:5" ht="15" customHeight="1">
      <c r="B479" s="83"/>
      <c r="C479" s="64" t="s">
        <v>208</v>
      </c>
      <c r="D479" s="65">
        <v>27</v>
      </c>
      <c r="E479" s="66">
        <v>7.4177862029199996E-4</v>
      </c>
    </row>
    <row r="480" spans="2:5" ht="15" customHeight="1">
      <c r="B480" s="83"/>
      <c r="C480" s="64" t="s">
        <v>209</v>
      </c>
      <c r="D480" s="65">
        <v>97</v>
      </c>
      <c r="E480" s="66">
        <v>2.6649083766039998E-3</v>
      </c>
    </row>
    <row r="481" spans="2:5" ht="15" customHeight="1">
      <c r="B481" s="83"/>
      <c r="C481" s="64" t="s">
        <v>210</v>
      </c>
      <c r="D481" s="65">
        <v>17</v>
      </c>
      <c r="E481" s="66">
        <v>4.6704579796099998E-4</v>
      </c>
    </row>
    <row r="482" spans="2:5" ht="15" customHeight="1">
      <c r="B482" s="83"/>
      <c r="C482" s="64" t="s">
        <v>216</v>
      </c>
      <c r="D482" s="65">
        <v>6</v>
      </c>
      <c r="E482" s="66">
        <v>1.64839693398E-4</v>
      </c>
    </row>
    <row r="483" spans="2:5" ht="15" customHeight="1">
      <c r="B483" s="83"/>
      <c r="C483" s="64" t="s">
        <v>211</v>
      </c>
      <c r="D483" s="65">
        <v>22</v>
      </c>
      <c r="E483" s="66">
        <v>6.0441220912700003E-4</v>
      </c>
    </row>
    <row r="484" spans="2:5" ht="15" customHeight="1">
      <c r="B484" s="83"/>
      <c r="C484" s="64" t="s">
        <v>212</v>
      </c>
      <c r="D484" s="65">
        <v>33</v>
      </c>
      <c r="E484" s="66">
        <v>9.0661831368999996E-4</v>
      </c>
    </row>
    <row r="485" spans="2:5" ht="15" customHeight="1">
      <c r="B485" s="83"/>
      <c r="C485" s="64" t="s">
        <v>213</v>
      </c>
      <c r="D485" s="65">
        <v>82</v>
      </c>
      <c r="E485" s="66">
        <v>2.252809143108E-3</v>
      </c>
    </row>
    <row r="486" spans="2:5" ht="15" customHeight="1">
      <c r="B486" s="83"/>
      <c r="C486" s="64" t="s">
        <v>214</v>
      </c>
      <c r="D486" s="65">
        <v>11</v>
      </c>
      <c r="E486" s="66">
        <v>3.0220610456299998E-4</v>
      </c>
    </row>
    <row r="487" spans="2:5" ht="15" customHeight="1">
      <c r="B487" s="83"/>
      <c r="C487" s="64" t="s">
        <v>215</v>
      </c>
      <c r="D487" s="65">
        <v>88</v>
      </c>
      <c r="E487" s="66">
        <v>2.417648836506E-3</v>
      </c>
    </row>
    <row r="488" spans="2:5" ht="15" customHeight="1">
      <c r="B488" s="82"/>
      <c r="C488" s="36" t="s">
        <v>29</v>
      </c>
      <c r="D488" s="35">
        <v>1076</v>
      </c>
      <c r="E488" s="34">
        <v>2.9561251682739001E-2</v>
      </c>
    </row>
    <row r="489" spans="2:5" ht="15" customHeight="1">
      <c r="B489" s="77" t="s">
        <v>76</v>
      </c>
      <c r="C489" s="64" t="s">
        <v>200</v>
      </c>
      <c r="D489" s="65">
        <v>37</v>
      </c>
      <c r="E489" s="66">
        <v>1.0165114426219999E-3</v>
      </c>
    </row>
    <row r="490" spans="2:5" ht="15" customHeight="1">
      <c r="B490" s="83"/>
      <c r="C490" s="64" t="s">
        <v>201</v>
      </c>
      <c r="D490" s="65">
        <v>35</v>
      </c>
      <c r="E490" s="66">
        <v>9.61564878156E-4</v>
      </c>
    </row>
    <row r="491" spans="2:5" ht="15" customHeight="1">
      <c r="B491" s="83"/>
      <c r="C491" s="64" t="s">
        <v>202</v>
      </c>
      <c r="D491" s="65">
        <v>21</v>
      </c>
      <c r="E491" s="66">
        <v>5.7693892689399996E-4</v>
      </c>
    </row>
    <row r="492" spans="2:5" ht="15" customHeight="1">
      <c r="B492" s="83"/>
      <c r="C492" s="64" t="s">
        <v>203</v>
      </c>
      <c r="D492" s="65">
        <v>3</v>
      </c>
      <c r="E492" s="66">
        <v>8.2419846699E-5</v>
      </c>
    </row>
    <row r="493" spans="2:5" ht="15" customHeight="1">
      <c r="B493" s="83"/>
      <c r="C493" s="64" t="s">
        <v>204</v>
      </c>
      <c r="D493" s="65">
        <v>42</v>
      </c>
      <c r="E493" s="66">
        <v>1.1538778537870001E-3</v>
      </c>
    </row>
    <row r="494" spans="2:5" ht="15" customHeight="1">
      <c r="B494" s="83"/>
      <c r="C494" s="64" t="s">
        <v>205</v>
      </c>
      <c r="D494" s="65">
        <v>54</v>
      </c>
      <c r="E494" s="66">
        <v>1.4835572405839999E-3</v>
      </c>
    </row>
    <row r="495" spans="2:5" ht="15" customHeight="1">
      <c r="B495" s="83"/>
      <c r="C495" s="64" t="s">
        <v>206</v>
      </c>
      <c r="D495" s="65">
        <v>30</v>
      </c>
      <c r="E495" s="66">
        <v>8.2419846699099996E-4</v>
      </c>
    </row>
    <row r="496" spans="2:5" ht="15" customHeight="1">
      <c r="B496" s="83"/>
      <c r="C496" s="64" t="s">
        <v>207</v>
      </c>
      <c r="D496" s="65">
        <v>35</v>
      </c>
      <c r="E496" s="66">
        <v>9.61564878156E-4</v>
      </c>
    </row>
    <row r="497" spans="2:5" ht="15" customHeight="1">
      <c r="B497" s="83"/>
      <c r="C497" s="64" t="s">
        <v>208</v>
      </c>
      <c r="D497" s="65">
        <v>8</v>
      </c>
      <c r="E497" s="66">
        <v>2.1978625786400001E-4</v>
      </c>
    </row>
    <row r="498" spans="2:5" ht="15" customHeight="1">
      <c r="B498" s="83"/>
      <c r="C498" s="64" t="s">
        <v>209</v>
      </c>
      <c r="D498" s="65">
        <v>41</v>
      </c>
      <c r="E498" s="66">
        <v>1.126404571554E-3</v>
      </c>
    </row>
    <row r="499" spans="2:5" ht="15" customHeight="1">
      <c r="B499" s="83"/>
      <c r="C499" s="64" t="s">
        <v>210</v>
      </c>
      <c r="D499" s="65">
        <v>3</v>
      </c>
      <c r="E499" s="66">
        <v>8.2419846699E-5</v>
      </c>
    </row>
    <row r="500" spans="2:5" ht="15" customHeight="1">
      <c r="B500" s="83"/>
      <c r="C500" s="64" t="s">
        <v>216</v>
      </c>
      <c r="D500" s="65">
        <v>2</v>
      </c>
      <c r="E500" s="66">
        <v>5.4946564466000002E-5</v>
      </c>
    </row>
    <row r="501" spans="2:5" ht="15" customHeight="1">
      <c r="B501" s="83"/>
      <c r="C501" s="64" t="s">
        <v>211</v>
      </c>
      <c r="D501" s="65">
        <v>13</v>
      </c>
      <c r="E501" s="66">
        <v>3.5715266902900002E-4</v>
      </c>
    </row>
    <row r="502" spans="2:5" ht="15" customHeight="1">
      <c r="B502" s="83"/>
      <c r="C502" s="64" t="s">
        <v>212</v>
      </c>
      <c r="D502" s="65">
        <v>6</v>
      </c>
      <c r="E502" s="66">
        <v>1.64839693398E-4</v>
      </c>
    </row>
    <row r="503" spans="2:5" ht="15" customHeight="1">
      <c r="B503" s="83"/>
      <c r="C503" s="64" t="s">
        <v>213</v>
      </c>
      <c r="D503" s="65">
        <v>29</v>
      </c>
      <c r="E503" s="66">
        <v>7.96725184758E-4</v>
      </c>
    </row>
    <row r="504" spans="2:5" ht="15" customHeight="1">
      <c r="B504" s="83"/>
      <c r="C504" s="64" t="s">
        <v>214</v>
      </c>
      <c r="D504" s="65">
        <v>3</v>
      </c>
      <c r="E504" s="66">
        <v>8.2419846699E-5</v>
      </c>
    </row>
    <row r="505" spans="2:5" ht="15" customHeight="1">
      <c r="B505" s="83"/>
      <c r="C505" s="64" t="s">
        <v>215</v>
      </c>
      <c r="D505" s="65">
        <v>46</v>
      </c>
      <c r="E505" s="66">
        <v>1.2637709827189999E-3</v>
      </c>
    </row>
    <row r="506" spans="2:5" ht="15" customHeight="1">
      <c r="B506" s="82"/>
      <c r="C506" s="36" t="s">
        <v>29</v>
      </c>
      <c r="D506" s="35">
        <v>408</v>
      </c>
      <c r="E506" s="34">
        <v>1.1209099151076001E-2</v>
      </c>
    </row>
    <row r="507" spans="2:5" ht="15" customHeight="1">
      <c r="B507" s="77" t="s">
        <v>84</v>
      </c>
      <c r="C507" s="64" t="s">
        <v>200</v>
      </c>
      <c r="D507" s="65">
        <v>15</v>
      </c>
      <c r="E507" s="66">
        <v>4.12099233495E-4</v>
      </c>
    </row>
    <row r="508" spans="2:5" ht="15" customHeight="1">
      <c r="B508" s="83"/>
      <c r="C508" s="64" t="s">
        <v>201</v>
      </c>
      <c r="D508" s="65">
        <v>16</v>
      </c>
      <c r="E508" s="66">
        <v>4.3957251572800002E-4</v>
      </c>
    </row>
    <row r="509" spans="2:5" ht="15" customHeight="1">
      <c r="B509" s="83"/>
      <c r="C509" s="64" t="s">
        <v>202</v>
      </c>
      <c r="D509" s="65">
        <v>6</v>
      </c>
      <c r="E509" s="66">
        <v>1.64839693398E-4</v>
      </c>
    </row>
    <row r="510" spans="2:5" ht="15" customHeight="1">
      <c r="B510" s="83"/>
      <c r="C510" s="64" t="s">
        <v>203</v>
      </c>
      <c r="D510" s="65">
        <v>4</v>
      </c>
      <c r="E510" s="66">
        <v>1.09893128932E-4</v>
      </c>
    </row>
    <row r="511" spans="2:5" ht="15" customHeight="1">
      <c r="B511" s="83"/>
      <c r="C511" s="64" t="s">
        <v>204</v>
      </c>
      <c r="D511" s="65">
        <v>25</v>
      </c>
      <c r="E511" s="66">
        <v>6.8683205582600003E-4</v>
      </c>
    </row>
    <row r="512" spans="2:5" ht="15" customHeight="1">
      <c r="B512" s="83"/>
      <c r="C512" s="64" t="s">
        <v>205</v>
      </c>
      <c r="D512" s="65">
        <v>26</v>
      </c>
      <c r="E512" s="66">
        <v>7.14305338059E-4</v>
      </c>
    </row>
    <row r="513" spans="2:5" ht="15" customHeight="1">
      <c r="B513" s="83"/>
      <c r="C513" s="64" t="s">
        <v>206</v>
      </c>
      <c r="D513" s="65">
        <v>12</v>
      </c>
      <c r="E513" s="66">
        <v>3.29679386796E-4</v>
      </c>
    </row>
    <row r="514" spans="2:5" ht="15" customHeight="1">
      <c r="B514" s="83"/>
      <c r="C514" s="64" t="s">
        <v>207</v>
      </c>
      <c r="D514" s="65">
        <v>34</v>
      </c>
      <c r="E514" s="66">
        <v>9.3409159592300003E-4</v>
      </c>
    </row>
    <row r="515" spans="2:5" ht="15" customHeight="1">
      <c r="B515" s="83"/>
      <c r="C515" s="64" t="s">
        <v>208</v>
      </c>
      <c r="D515" s="65">
        <v>1</v>
      </c>
      <c r="E515" s="66">
        <v>2.7473282233000001E-5</v>
      </c>
    </row>
    <row r="516" spans="2:5" ht="15" customHeight="1">
      <c r="B516" s="83"/>
      <c r="C516" s="64" t="s">
        <v>209</v>
      </c>
      <c r="D516" s="65">
        <v>19</v>
      </c>
      <c r="E516" s="66">
        <v>5.2199236242800003E-4</v>
      </c>
    </row>
    <row r="517" spans="2:5" ht="15" customHeight="1">
      <c r="B517" s="83"/>
      <c r="C517" s="64" t="s">
        <v>210</v>
      </c>
      <c r="D517" s="65">
        <v>3</v>
      </c>
      <c r="E517" s="66">
        <v>8.2419846699E-5</v>
      </c>
    </row>
    <row r="518" spans="2:5" ht="15" customHeight="1">
      <c r="B518" s="83"/>
      <c r="C518" s="64" t="s">
        <v>216</v>
      </c>
      <c r="D518" s="65">
        <v>1</v>
      </c>
      <c r="E518" s="66">
        <v>2.7473282233000001E-5</v>
      </c>
    </row>
    <row r="519" spans="2:5" ht="15" customHeight="1">
      <c r="B519" s="83"/>
      <c r="C519" s="64" t="s">
        <v>211</v>
      </c>
      <c r="D519" s="65">
        <v>3</v>
      </c>
      <c r="E519" s="66">
        <v>8.2419846699E-5</v>
      </c>
    </row>
    <row r="520" spans="2:5" ht="15" customHeight="1">
      <c r="B520" s="83"/>
      <c r="C520" s="64" t="s">
        <v>212</v>
      </c>
      <c r="D520" s="65">
        <v>5</v>
      </c>
      <c r="E520" s="66">
        <v>1.3736641116500001E-4</v>
      </c>
    </row>
    <row r="521" spans="2:5" ht="15" customHeight="1">
      <c r="B521" s="83"/>
      <c r="C521" s="64" t="s">
        <v>213</v>
      </c>
      <c r="D521" s="65">
        <v>18</v>
      </c>
      <c r="E521" s="66">
        <v>4.9451908019499996E-4</v>
      </c>
    </row>
    <row r="522" spans="2:5" ht="15" customHeight="1">
      <c r="B522" s="83"/>
      <c r="C522" s="64" t="s">
        <v>215</v>
      </c>
      <c r="D522" s="65">
        <v>18</v>
      </c>
      <c r="E522" s="66">
        <v>4.9451908019499996E-4</v>
      </c>
    </row>
    <row r="523" spans="2:5" ht="15" customHeight="1">
      <c r="B523" s="82"/>
      <c r="C523" s="36" t="s">
        <v>29</v>
      </c>
      <c r="D523" s="35">
        <v>206</v>
      </c>
      <c r="E523" s="34">
        <v>5.6594961400039997E-3</v>
      </c>
    </row>
    <row r="524" spans="2:5" ht="15" customHeight="1">
      <c r="B524" s="77" t="s">
        <v>69</v>
      </c>
      <c r="C524" s="64" t="s">
        <v>200</v>
      </c>
      <c r="D524" s="65">
        <v>37</v>
      </c>
      <c r="E524" s="66">
        <v>1.0165114426219999E-3</v>
      </c>
    </row>
    <row r="525" spans="2:5" ht="15" customHeight="1">
      <c r="B525" s="83"/>
      <c r="C525" s="64" t="s">
        <v>201</v>
      </c>
      <c r="D525" s="65">
        <v>50</v>
      </c>
      <c r="E525" s="66">
        <v>1.373664111651E-3</v>
      </c>
    </row>
    <row r="526" spans="2:5" ht="15" customHeight="1">
      <c r="B526" s="83"/>
      <c r="C526" s="64" t="s">
        <v>202</v>
      </c>
      <c r="D526" s="65">
        <v>25</v>
      </c>
      <c r="E526" s="66">
        <v>6.8683205582600003E-4</v>
      </c>
    </row>
    <row r="527" spans="2:5" ht="15" customHeight="1">
      <c r="B527" s="83"/>
      <c r="C527" s="64" t="s">
        <v>203</v>
      </c>
      <c r="D527" s="65">
        <v>2</v>
      </c>
      <c r="E527" s="66">
        <v>5.4946564466000002E-5</v>
      </c>
    </row>
    <row r="528" spans="2:5" ht="15" customHeight="1">
      <c r="B528" s="83"/>
      <c r="C528" s="64" t="s">
        <v>204</v>
      </c>
      <c r="D528" s="65">
        <v>61</v>
      </c>
      <c r="E528" s="66">
        <v>1.675870216215E-3</v>
      </c>
    </row>
    <row r="529" spans="2:5" ht="15" customHeight="1">
      <c r="B529" s="83"/>
      <c r="C529" s="64" t="s">
        <v>205</v>
      </c>
      <c r="D529" s="65">
        <v>103</v>
      </c>
      <c r="E529" s="66">
        <v>2.8297480700019998E-3</v>
      </c>
    </row>
    <row r="530" spans="2:5" ht="15" customHeight="1">
      <c r="B530" s="83"/>
      <c r="C530" s="64" t="s">
        <v>206</v>
      </c>
      <c r="D530" s="65">
        <v>40</v>
      </c>
      <c r="E530" s="66">
        <v>1.0989312893209999E-3</v>
      </c>
    </row>
    <row r="531" spans="2:5" ht="15" customHeight="1">
      <c r="B531" s="83"/>
      <c r="C531" s="64" t="s">
        <v>207</v>
      </c>
      <c r="D531" s="65">
        <v>46</v>
      </c>
      <c r="E531" s="66">
        <v>1.2637709827189999E-3</v>
      </c>
    </row>
    <row r="532" spans="2:5" ht="15" customHeight="1">
      <c r="B532" s="83"/>
      <c r="C532" s="64" t="s">
        <v>208</v>
      </c>
      <c r="D532" s="65">
        <v>7</v>
      </c>
      <c r="E532" s="66">
        <v>1.9231297563099999E-4</v>
      </c>
    </row>
    <row r="533" spans="2:5" ht="15" customHeight="1">
      <c r="B533" s="83"/>
      <c r="C533" s="64" t="s">
        <v>209</v>
      </c>
      <c r="D533" s="65">
        <v>41</v>
      </c>
      <c r="E533" s="66">
        <v>1.126404571554E-3</v>
      </c>
    </row>
    <row r="534" spans="2:5" ht="15" customHeight="1">
      <c r="B534" s="83"/>
      <c r="C534" s="64" t="s">
        <v>210</v>
      </c>
      <c r="D534" s="65">
        <v>6</v>
      </c>
      <c r="E534" s="66">
        <v>1.64839693398E-4</v>
      </c>
    </row>
    <row r="535" spans="2:5" ht="15" customHeight="1">
      <c r="B535" s="83"/>
      <c r="C535" s="64" t="s">
        <v>222</v>
      </c>
      <c r="D535" s="65">
        <v>1</v>
      </c>
      <c r="E535" s="66">
        <v>2.7473282233000001E-5</v>
      </c>
    </row>
    <row r="536" spans="2:5" ht="15" customHeight="1">
      <c r="B536" s="83"/>
      <c r="C536" s="64" t="s">
        <v>216</v>
      </c>
      <c r="D536" s="65">
        <v>4</v>
      </c>
      <c r="E536" s="66">
        <v>1.09893128932E-4</v>
      </c>
    </row>
    <row r="537" spans="2:5" ht="15" customHeight="1">
      <c r="B537" s="83"/>
      <c r="C537" s="64" t="s">
        <v>211</v>
      </c>
      <c r="D537" s="65">
        <v>17</v>
      </c>
      <c r="E537" s="66">
        <v>4.6704579796099998E-4</v>
      </c>
    </row>
    <row r="538" spans="2:5" ht="15" customHeight="1">
      <c r="B538" s="83"/>
      <c r="C538" s="64" t="s">
        <v>212</v>
      </c>
      <c r="D538" s="65">
        <v>5</v>
      </c>
      <c r="E538" s="66">
        <v>1.3736641116500001E-4</v>
      </c>
    </row>
    <row r="539" spans="2:5" ht="15" customHeight="1">
      <c r="B539" s="83"/>
      <c r="C539" s="64" t="s">
        <v>213</v>
      </c>
      <c r="D539" s="65">
        <v>37</v>
      </c>
      <c r="E539" s="66">
        <v>1.0165114426219999E-3</v>
      </c>
    </row>
    <row r="540" spans="2:5" ht="15" customHeight="1">
      <c r="B540" s="83"/>
      <c r="C540" s="64" t="s">
        <v>214</v>
      </c>
      <c r="D540" s="65">
        <v>4</v>
      </c>
      <c r="E540" s="66">
        <v>1.09893128932E-4</v>
      </c>
    </row>
    <row r="541" spans="2:5" ht="15" customHeight="1">
      <c r="B541" s="83"/>
      <c r="C541" s="64" t="s">
        <v>215</v>
      </c>
      <c r="D541" s="65">
        <v>70</v>
      </c>
      <c r="E541" s="66">
        <v>1.923129756312E-3</v>
      </c>
    </row>
    <row r="542" spans="2:5" ht="15" customHeight="1">
      <c r="B542" s="82"/>
      <c r="C542" s="36" t="s">
        <v>29</v>
      </c>
      <c r="D542" s="35">
        <v>556</v>
      </c>
      <c r="E542" s="34">
        <v>1.5275144921564E-2</v>
      </c>
    </row>
    <row r="543" spans="2:5" ht="15" customHeight="1">
      <c r="B543" s="77" t="s">
        <v>79</v>
      </c>
      <c r="C543" s="64" t="s">
        <v>200</v>
      </c>
      <c r="D543" s="65">
        <v>22</v>
      </c>
      <c r="E543" s="66">
        <v>6.0441220912700003E-4</v>
      </c>
    </row>
    <row r="544" spans="2:5" ht="15" customHeight="1">
      <c r="B544" s="83"/>
      <c r="C544" s="64" t="s">
        <v>201</v>
      </c>
      <c r="D544" s="65">
        <v>18</v>
      </c>
      <c r="E544" s="66">
        <v>4.9451908019499996E-4</v>
      </c>
    </row>
    <row r="545" spans="2:5" ht="15" customHeight="1">
      <c r="B545" s="83"/>
      <c r="C545" s="64" t="s">
        <v>202</v>
      </c>
      <c r="D545" s="65">
        <v>18</v>
      </c>
      <c r="E545" s="66">
        <v>4.9451908019499996E-4</v>
      </c>
    </row>
    <row r="546" spans="2:5" ht="15" customHeight="1">
      <c r="B546" s="83"/>
      <c r="C546" s="64" t="s">
        <v>203</v>
      </c>
      <c r="D546" s="65">
        <v>2</v>
      </c>
      <c r="E546" s="66">
        <v>5.4946564466000002E-5</v>
      </c>
    </row>
    <row r="547" spans="2:5" ht="15" customHeight="1">
      <c r="B547" s="83"/>
      <c r="C547" s="64" t="s">
        <v>204</v>
      </c>
      <c r="D547" s="65">
        <v>46</v>
      </c>
      <c r="E547" s="66">
        <v>1.2637709827189999E-3</v>
      </c>
    </row>
    <row r="548" spans="2:5" ht="15" customHeight="1">
      <c r="B548" s="83"/>
      <c r="C548" s="64" t="s">
        <v>205</v>
      </c>
      <c r="D548" s="65">
        <v>41</v>
      </c>
      <c r="E548" s="66">
        <v>1.126404571554E-3</v>
      </c>
    </row>
    <row r="549" spans="2:5" ht="15" customHeight="1">
      <c r="B549" s="83"/>
      <c r="C549" s="64" t="s">
        <v>206</v>
      </c>
      <c r="D549" s="65">
        <v>13</v>
      </c>
      <c r="E549" s="66">
        <v>3.5715266902900002E-4</v>
      </c>
    </row>
    <row r="550" spans="2:5" ht="15" customHeight="1">
      <c r="B550" s="83"/>
      <c r="C550" s="64" t="s">
        <v>207</v>
      </c>
      <c r="D550" s="65">
        <v>28</v>
      </c>
      <c r="E550" s="66">
        <v>7.6925190252500003E-4</v>
      </c>
    </row>
    <row r="551" spans="2:5" ht="15" customHeight="1">
      <c r="B551" s="83"/>
      <c r="C551" s="64" t="s">
        <v>208</v>
      </c>
      <c r="D551" s="65">
        <v>4</v>
      </c>
      <c r="E551" s="66">
        <v>1.09893128932E-4</v>
      </c>
    </row>
    <row r="552" spans="2:5" ht="15" customHeight="1">
      <c r="B552" s="83"/>
      <c r="C552" s="64" t="s">
        <v>209</v>
      </c>
      <c r="D552" s="65">
        <v>30</v>
      </c>
      <c r="E552" s="66">
        <v>8.2419846699099996E-4</v>
      </c>
    </row>
    <row r="553" spans="2:5" ht="15" customHeight="1">
      <c r="B553" s="83"/>
      <c r="C553" s="64" t="s">
        <v>210</v>
      </c>
      <c r="D553" s="65">
        <v>8</v>
      </c>
      <c r="E553" s="66">
        <v>2.1978625786400001E-4</v>
      </c>
    </row>
    <row r="554" spans="2:5" ht="15" customHeight="1">
      <c r="B554" s="83"/>
      <c r="C554" s="64" t="s">
        <v>211</v>
      </c>
      <c r="D554" s="65">
        <v>8</v>
      </c>
      <c r="E554" s="66">
        <v>2.1978625786400001E-4</v>
      </c>
    </row>
    <row r="555" spans="2:5" ht="15" customHeight="1">
      <c r="B555" s="83"/>
      <c r="C555" s="64" t="s">
        <v>212</v>
      </c>
      <c r="D555" s="65">
        <v>3</v>
      </c>
      <c r="E555" s="66">
        <v>8.2419846699E-5</v>
      </c>
    </row>
    <row r="556" spans="2:5" ht="15" customHeight="1">
      <c r="B556" s="83"/>
      <c r="C556" s="64" t="s">
        <v>213</v>
      </c>
      <c r="D556" s="65">
        <v>21</v>
      </c>
      <c r="E556" s="66">
        <v>5.7693892689399996E-4</v>
      </c>
    </row>
    <row r="557" spans="2:5" ht="15" customHeight="1">
      <c r="B557" s="83"/>
      <c r="C557" s="64" t="s">
        <v>214</v>
      </c>
      <c r="D557" s="65">
        <v>5</v>
      </c>
      <c r="E557" s="66">
        <v>1.3736641116500001E-4</v>
      </c>
    </row>
    <row r="558" spans="2:5" ht="15" customHeight="1">
      <c r="B558" s="83"/>
      <c r="C558" s="64" t="s">
        <v>215</v>
      </c>
      <c r="D558" s="65">
        <v>25</v>
      </c>
      <c r="E558" s="66">
        <v>6.8683205582600003E-4</v>
      </c>
    </row>
    <row r="559" spans="2:5" ht="15" customHeight="1">
      <c r="B559" s="82"/>
      <c r="C559" s="36" t="s">
        <v>29</v>
      </c>
      <c r="D559" s="35">
        <v>292</v>
      </c>
      <c r="E559" s="34">
        <v>8.0221984120440008E-3</v>
      </c>
    </row>
    <row r="560" spans="2:5" ht="15" customHeight="1">
      <c r="B560" s="77" t="s">
        <v>63</v>
      </c>
      <c r="C560" s="64" t="s">
        <v>200</v>
      </c>
      <c r="D560" s="65">
        <v>47</v>
      </c>
      <c r="E560" s="66">
        <v>1.291244264952E-3</v>
      </c>
    </row>
    <row r="561" spans="2:5" ht="15" customHeight="1">
      <c r="B561" s="83"/>
      <c r="C561" s="64" t="s">
        <v>201</v>
      </c>
      <c r="D561" s="65">
        <v>45</v>
      </c>
      <c r="E561" s="66">
        <v>1.2362977004860001E-3</v>
      </c>
    </row>
    <row r="562" spans="2:5" ht="15" customHeight="1">
      <c r="B562" s="83"/>
      <c r="C562" s="64" t="s">
        <v>202</v>
      </c>
      <c r="D562" s="65">
        <v>35</v>
      </c>
      <c r="E562" s="66">
        <v>9.61564878156E-4</v>
      </c>
    </row>
    <row r="563" spans="2:5" ht="15" customHeight="1">
      <c r="B563" s="83"/>
      <c r="C563" s="64" t="s">
        <v>203</v>
      </c>
      <c r="D563" s="65">
        <v>5</v>
      </c>
      <c r="E563" s="66">
        <v>1.3736641116500001E-4</v>
      </c>
    </row>
    <row r="564" spans="2:5" ht="15" customHeight="1">
      <c r="B564" s="83"/>
      <c r="C564" s="64" t="s">
        <v>204</v>
      </c>
      <c r="D564" s="65">
        <v>78</v>
      </c>
      <c r="E564" s="66">
        <v>2.1429160141760001E-3</v>
      </c>
    </row>
    <row r="565" spans="2:5" ht="15" customHeight="1">
      <c r="B565" s="83"/>
      <c r="C565" s="64" t="s">
        <v>205</v>
      </c>
      <c r="D565" s="65">
        <v>121</v>
      </c>
      <c r="E565" s="66">
        <v>3.3242671501959998E-3</v>
      </c>
    </row>
    <row r="566" spans="2:5" ht="15" customHeight="1">
      <c r="B566" s="83"/>
      <c r="C566" s="64" t="s">
        <v>206</v>
      </c>
      <c r="D566" s="65">
        <v>36</v>
      </c>
      <c r="E566" s="66">
        <v>9.8903816038900007E-4</v>
      </c>
    </row>
    <row r="567" spans="2:5" ht="15" customHeight="1">
      <c r="B567" s="83"/>
      <c r="C567" s="64" t="s">
        <v>207</v>
      </c>
      <c r="D567" s="65">
        <v>52</v>
      </c>
      <c r="E567" s="66">
        <v>1.4286106761169999E-3</v>
      </c>
    </row>
    <row r="568" spans="2:5" ht="15" customHeight="1">
      <c r="B568" s="83"/>
      <c r="C568" s="64" t="s">
        <v>208</v>
      </c>
      <c r="D568" s="65">
        <v>8</v>
      </c>
      <c r="E568" s="66">
        <v>2.1978625786400001E-4</v>
      </c>
    </row>
    <row r="569" spans="2:5" ht="15" customHeight="1">
      <c r="B569" s="83"/>
      <c r="C569" s="64" t="s">
        <v>209</v>
      </c>
      <c r="D569" s="65">
        <v>47</v>
      </c>
      <c r="E569" s="66">
        <v>1.291244264952E-3</v>
      </c>
    </row>
    <row r="570" spans="2:5" ht="15" customHeight="1">
      <c r="B570" s="83"/>
      <c r="C570" s="64" t="s">
        <v>210</v>
      </c>
      <c r="D570" s="65">
        <v>7</v>
      </c>
      <c r="E570" s="66">
        <v>1.9231297563099999E-4</v>
      </c>
    </row>
    <row r="571" spans="2:5" ht="15" customHeight="1">
      <c r="B571" s="83"/>
      <c r="C571" s="64" t="s">
        <v>216</v>
      </c>
      <c r="D571" s="65">
        <v>4</v>
      </c>
      <c r="E571" s="66">
        <v>1.09893128932E-4</v>
      </c>
    </row>
    <row r="572" spans="2:5" ht="15" customHeight="1">
      <c r="B572" s="83"/>
      <c r="C572" s="64" t="s">
        <v>211</v>
      </c>
      <c r="D572" s="65">
        <v>8</v>
      </c>
      <c r="E572" s="66">
        <v>2.1978625786400001E-4</v>
      </c>
    </row>
    <row r="573" spans="2:5" ht="15" customHeight="1">
      <c r="B573" s="83"/>
      <c r="C573" s="64" t="s">
        <v>212</v>
      </c>
      <c r="D573" s="65">
        <v>9</v>
      </c>
      <c r="E573" s="66">
        <v>2.47259540097E-4</v>
      </c>
    </row>
    <row r="574" spans="2:5" ht="15" customHeight="1">
      <c r="B574" s="83"/>
      <c r="C574" s="64" t="s">
        <v>213</v>
      </c>
      <c r="D574" s="65">
        <v>42</v>
      </c>
      <c r="E574" s="66">
        <v>1.1538778537870001E-3</v>
      </c>
    </row>
    <row r="575" spans="2:5" ht="15" customHeight="1">
      <c r="B575" s="83"/>
      <c r="C575" s="64" t="s">
        <v>214</v>
      </c>
      <c r="D575" s="65">
        <v>4</v>
      </c>
      <c r="E575" s="66">
        <v>1.09893128932E-4</v>
      </c>
    </row>
    <row r="576" spans="2:5" ht="15" customHeight="1">
      <c r="B576" s="83"/>
      <c r="C576" s="64" t="s">
        <v>215</v>
      </c>
      <c r="D576" s="65">
        <v>44</v>
      </c>
      <c r="E576" s="66">
        <v>1.208824418253E-3</v>
      </c>
    </row>
    <row r="577" spans="2:5" ht="15" customHeight="1">
      <c r="B577" s="82"/>
      <c r="C577" s="36" t="s">
        <v>29</v>
      </c>
      <c r="D577" s="35">
        <v>592</v>
      </c>
      <c r="E577" s="34">
        <v>1.6264183081953001E-2</v>
      </c>
    </row>
    <row r="578" spans="2:5" ht="15" customHeight="1">
      <c r="B578" s="77" t="s">
        <v>85</v>
      </c>
      <c r="C578" s="64" t="s">
        <v>200</v>
      </c>
      <c r="D578" s="65">
        <v>13</v>
      </c>
      <c r="E578" s="66">
        <v>3.5715266902900002E-4</v>
      </c>
    </row>
    <row r="579" spans="2:5" ht="15" customHeight="1">
      <c r="B579" s="83"/>
      <c r="C579" s="64" t="s">
        <v>201</v>
      </c>
      <c r="D579" s="65">
        <v>12</v>
      </c>
      <c r="E579" s="66">
        <v>3.29679386796E-4</v>
      </c>
    </row>
    <row r="580" spans="2:5" ht="15" customHeight="1">
      <c r="B580" s="83"/>
      <c r="C580" s="64" t="s">
        <v>202</v>
      </c>
      <c r="D580" s="65">
        <v>13</v>
      </c>
      <c r="E580" s="66">
        <v>3.5715266902900002E-4</v>
      </c>
    </row>
    <row r="581" spans="2:5" ht="15" customHeight="1">
      <c r="B581" s="83"/>
      <c r="C581" s="64" t="s">
        <v>203</v>
      </c>
      <c r="D581" s="65">
        <v>2</v>
      </c>
      <c r="E581" s="66">
        <v>5.4946564466000002E-5</v>
      </c>
    </row>
    <row r="582" spans="2:5" ht="15" customHeight="1">
      <c r="B582" s="83"/>
      <c r="C582" s="64" t="s">
        <v>204</v>
      </c>
      <c r="D582" s="65">
        <v>28</v>
      </c>
      <c r="E582" s="66">
        <v>7.6925190252500003E-4</v>
      </c>
    </row>
    <row r="583" spans="2:5" ht="15" customHeight="1">
      <c r="B583" s="83"/>
      <c r="C583" s="64" t="s">
        <v>205</v>
      </c>
      <c r="D583" s="65">
        <v>31</v>
      </c>
      <c r="E583" s="66">
        <v>8.5167174922400003E-4</v>
      </c>
    </row>
    <row r="584" spans="2:5" ht="15" customHeight="1">
      <c r="B584" s="83"/>
      <c r="C584" s="64" t="s">
        <v>206</v>
      </c>
      <c r="D584" s="65">
        <v>16</v>
      </c>
      <c r="E584" s="66">
        <v>4.3957251572800002E-4</v>
      </c>
    </row>
    <row r="585" spans="2:5" ht="15" customHeight="1">
      <c r="B585" s="83"/>
      <c r="C585" s="64" t="s">
        <v>207</v>
      </c>
      <c r="D585" s="65">
        <v>20</v>
      </c>
      <c r="E585" s="66">
        <v>5.49465644661E-4</v>
      </c>
    </row>
    <row r="586" spans="2:5" ht="15" customHeight="1">
      <c r="B586" s="83"/>
      <c r="C586" s="64" t="s">
        <v>208</v>
      </c>
      <c r="D586" s="65">
        <v>1</v>
      </c>
      <c r="E586" s="66">
        <v>2.7473282233000001E-5</v>
      </c>
    </row>
    <row r="587" spans="2:5" ht="15" customHeight="1">
      <c r="B587" s="83"/>
      <c r="C587" s="64" t="s">
        <v>209</v>
      </c>
      <c r="D587" s="65">
        <v>20</v>
      </c>
      <c r="E587" s="66">
        <v>5.49465644661E-4</v>
      </c>
    </row>
    <row r="588" spans="2:5" ht="15" customHeight="1">
      <c r="B588" s="83"/>
      <c r="C588" s="64" t="s">
        <v>210</v>
      </c>
      <c r="D588" s="65">
        <v>1</v>
      </c>
      <c r="E588" s="66">
        <v>2.7473282233000001E-5</v>
      </c>
    </row>
    <row r="589" spans="2:5" ht="15" customHeight="1">
      <c r="B589" s="83"/>
      <c r="C589" s="64" t="s">
        <v>211</v>
      </c>
      <c r="D589" s="65">
        <v>2</v>
      </c>
      <c r="E589" s="66">
        <v>5.4946564466000002E-5</v>
      </c>
    </row>
    <row r="590" spans="2:5" ht="15" customHeight="1">
      <c r="B590" s="83"/>
      <c r="C590" s="64" t="s">
        <v>212</v>
      </c>
      <c r="D590" s="65">
        <v>7</v>
      </c>
      <c r="E590" s="66">
        <v>1.9231297563099999E-4</v>
      </c>
    </row>
    <row r="591" spans="2:5" ht="15" customHeight="1">
      <c r="B591" s="83"/>
      <c r="C591" s="64" t="s">
        <v>213</v>
      </c>
      <c r="D591" s="65">
        <v>19</v>
      </c>
      <c r="E591" s="66">
        <v>5.2199236242800003E-4</v>
      </c>
    </row>
    <row r="592" spans="2:5" ht="15" customHeight="1">
      <c r="B592" s="83"/>
      <c r="C592" s="64" t="s">
        <v>215</v>
      </c>
      <c r="D592" s="65">
        <v>20</v>
      </c>
      <c r="E592" s="66">
        <v>5.49465644661E-4</v>
      </c>
    </row>
    <row r="593" spans="2:5" ht="15" customHeight="1">
      <c r="B593" s="82"/>
      <c r="C593" s="36" t="s">
        <v>29</v>
      </c>
      <c r="D593" s="35">
        <v>205</v>
      </c>
      <c r="E593" s="34">
        <v>5.6320228577709996E-3</v>
      </c>
    </row>
    <row r="594" spans="2:5" ht="15" customHeight="1">
      <c r="B594" s="77" t="s">
        <v>95</v>
      </c>
      <c r="C594" s="64" t="s">
        <v>200</v>
      </c>
      <c r="D594" s="65">
        <v>2</v>
      </c>
      <c r="E594" s="66">
        <v>5.4946564466000002E-5</v>
      </c>
    </row>
    <row r="595" spans="2:5" ht="15" customHeight="1">
      <c r="B595" s="83"/>
      <c r="C595" s="64" t="s">
        <v>204</v>
      </c>
      <c r="D595" s="65">
        <v>4</v>
      </c>
      <c r="E595" s="66">
        <v>1.09893128932E-4</v>
      </c>
    </row>
    <row r="596" spans="2:5" ht="15" customHeight="1">
      <c r="B596" s="83"/>
      <c r="C596" s="64" t="s">
        <v>205</v>
      </c>
      <c r="D596" s="65">
        <v>3</v>
      </c>
      <c r="E596" s="66">
        <v>8.2419846699E-5</v>
      </c>
    </row>
    <row r="597" spans="2:5" ht="15" customHeight="1">
      <c r="B597" s="83"/>
      <c r="C597" s="64" t="s">
        <v>207</v>
      </c>
      <c r="D597" s="65">
        <v>2</v>
      </c>
      <c r="E597" s="66">
        <v>5.4946564466000002E-5</v>
      </c>
    </row>
    <row r="598" spans="2:5" ht="15" customHeight="1">
      <c r="B598" s="83"/>
      <c r="C598" s="64" t="s">
        <v>209</v>
      </c>
      <c r="D598" s="65">
        <v>5</v>
      </c>
      <c r="E598" s="66">
        <v>1.3736641116500001E-4</v>
      </c>
    </row>
    <row r="599" spans="2:5" ht="15" customHeight="1">
      <c r="B599" s="83"/>
      <c r="C599" s="64" t="s">
        <v>211</v>
      </c>
      <c r="D599" s="65">
        <v>2</v>
      </c>
      <c r="E599" s="66">
        <v>5.4946564466000002E-5</v>
      </c>
    </row>
    <row r="600" spans="2:5" ht="15" customHeight="1">
      <c r="B600" s="83"/>
      <c r="C600" s="64" t="s">
        <v>213</v>
      </c>
      <c r="D600" s="65">
        <v>1</v>
      </c>
      <c r="E600" s="66">
        <v>2.7473282233000001E-5</v>
      </c>
    </row>
    <row r="601" spans="2:5" ht="15" customHeight="1">
      <c r="B601" s="82"/>
      <c r="C601" s="36" t="s">
        <v>29</v>
      </c>
      <c r="D601" s="35">
        <v>19</v>
      </c>
      <c r="E601" s="34">
        <v>5.2199236242800003E-4</v>
      </c>
    </row>
    <row r="602" spans="2:5" ht="15" customHeight="1">
      <c r="B602" s="77" t="s">
        <v>55</v>
      </c>
      <c r="C602" s="64" t="s">
        <v>200</v>
      </c>
      <c r="D602" s="65">
        <v>102</v>
      </c>
      <c r="E602" s="66">
        <v>2.8022747877690002E-3</v>
      </c>
    </row>
    <row r="603" spans="2:5" ht="15" customHeight="1">
      <c r="B603" s="83"/>
      <c r="C603" s="64" t="s">
        <v>201</v>
      </c>
      <c r="D603" s="65">
        <v>105</v>
      </c>
      <c r="E603" s="66">
        <v>2.884694634468E-3</v>
      </c>
    </row>
    <row r="604" spans="2:5" ht="15" customHeight="1">
      <c r="B604" s="83"/>
      <c r="C604" s="64" t="s">
        <v>202</v>
      </c>
      <c r="D604" s="65">
        <v>55</v>
      </c>
      <c r="E604" s="66">
        <v>1.511030522817E-3</v>
      </c>
    </row>
    <row r="605" spans="2:5" ht="15" customHeight="1">
      <c r="B605" s="83"/>
      <c r="C605" s="64" t="s">
        <v>203</v>
      </c>
      <c r="D605" s="65">
        <v>10</v>
      </c>
      <c r="E605" s="66">
        <v>2.7473282233000002E-4</v>
      </c>
    </row>
    <row r="606" spans="2:5" ht="15" customHeight="1">
      <c r="B606" s="83"/>
      <c r="C606" s="64" t="s">
        <v>204</v>
      </c>
      <c r="D606" s="65">
        <v>208</v>
      </c>
      <c r="E606" s="66">
        <v>5.7144427044699998E-3</v>
      </c>
    </row>
    <row r="607" spans="2:5" ht="15" customHeight="1">
      <c r="B607" s="83"/>
      <c r="C607" s="64" t="s">
        <v>205</v>
      </c>
      <c r="D607" s="65">
        <v>232</v>
      </c>
      <c r="E607" s="66">
        <v>6.3738014780629999E-3</v>
      </c>
    </row>
    <row r="608" spans="2:5" ht="15" customHeight="1">
      <c r="B608" s="83"/>
      <c r="C608" s="64" t="s">
        <v>225</v>
      </c>
      <c r="D608" s="65">
        <v>1</v>
      </c>
      <c r="E608" s="66">
        <v>2.7473282233000001E-5</v>
      </c>
    </row>
    <row r="609" spans="2:5" ht="15" customHeight="1">
      <c r="B609" s="83"/>
      <c r="C609" s="64" t="s">
        <v>206</v>
      </c>
      <c r="D609" s="65">
        <v>79</v>
      </c>
      <c r="E609" s="66">
        <v>2.1703892964090002E-3</v>
      </c>
    </row>
    <row r="610" spans="2:5" ht="15" customHeight="1">
      <c r="B610" s="83"/>
      <c r="C610" s="64" t="s">
        <v>207</v>
      </c>
      <c r="D610" s="65">
        <v>158</v>
      </c>
      <c r="E610" s="66">
        <v>4.3407785928180004E-3</v>
      </c>
    </row>
    <row r="611" spans="2:5" ht="15" customHeight="1">
      <c r="B611" s="83"/>
      <c r="C611" s="64" t="s">
        <v>208</v>
      </c>
      <c r="D611" s="65">
        <v>22</v>
      </c>
      <c r="E611" s="66">
        <v>6.0441220912700003E-4</v>
      </c>
    </row>
    <row r="612" spans="2:5" ht="15" customHeight="1">
      <c r="B612" s="83"/>
      <c r="C612" s="64" t="s">
        <v>209</v>
      </c>
      <c r="D612" s="65">
        <v>139</v>
      </c>
      <c r="E612" s="66">
        <v>3.8187862303909999E-3</v>
      </c>
    </row>
    <row r="613" spans="2:5" ht="15" customHeight="1">
      <c r="B613" s="83"/>
      <c r="C613" s="64" t="s">
        <v>210</v>
      </c>
      <c r="D613" s="65">
        <v>23</v>
      </c>
      <c r="E613" s="66">
        <v>6.3188549136E-4</v>
      </c>
    </row>
    <row r="614" spans="2:5" ht="15" customHeight="1">
      <c r="B614" s="83"/>
      <c r="C614" s="64" t="s">
        <v>216</v>
      </c>
      <c r="D614" s="65">
        <v>1</v>
      </c>
      <c r="E614" s="66">
        <v>2.7473282233000001E-5</v>
      </c>
    </row>
    <row r="615" spans="2:5" ht="15" customHeight="1">
      <c r="B615" s="83"/>
      <c r="C615" s="64" t="s">
        <v>224</v>
      </c>
      <c r="D615" s="65">
        <v>1</v>
      </c>
      <c r="E615" s="66">
        <v>2.7473282233000001E-5</v>
      </c>
    </row>
    <row r="616" spans="2:5" ht="15" customHeight="1">
      <c r="B616" s="83"/>
      <c r="C616" s="64" t="s">
        <v>211</v>
      </c>
      <c r="D616" s="65">
        <v>53</v>
      </c>
      <c r="E616" s="66">
        <v>1.4560839583510001E-3</v>
      </c>
    </row>
    <row r="617" spans="2:5" ht="15" customHeight="1">
      <c r="B617" s="83"/>
      <c r="C617" s="64" t="s">
        <v>212</v>
      </c>
      <c r="D617" s="65">
        <v>35</v>
      </c>
      <c r="E617" s="66">
        <v>9.61564878156E-4</v>
      </c>
    </row>
    <row r="618" spans="2:5" ht="15" customHeight="1">
      <c r="B618" s="83"/>
      <c r="C618" s="64" t="s">
        <v>213</v>
      </c>
      <c r="D618" s="65">
        <v>83</v>
      </c>
      <c r="E618" s="66">
        <v>2.2802824253410001E-3</v>
      </c>
    </row>
    <row r="619" spans="2:5" ht="15" customHeight="1">
      <c r="B619" s="83"/>
      <c r="C619" s="64" t="s">
        <v>214</v>
      </c>
      <c r="D619" s="65">
        <v>16</v>
      </c>
      <c r="E619" s="66">
        <v>4.3957251572800002E-4</v>
      </c>
    </row>
    <row r="620" spans="2:5" ht="15" customHeight="1">
      <c r="B620" s="83"/>
      <c r="C620" s="64" t="s">
        <v>215</v>
      </c>
      <c r="D620" s="65">
        <v>106</v>
      </c>
      <c r="E620" s="66">
        <v>2.9121679167010001E-3</v>
      </c>
    </row>
    <row r="621" spans="2:5" ht="15" customHeight="1">
      <c r="B621" s="82"/>
      <c r="C621" s="36" t="s">
        <v>29</v>
      </c>
      <c r="D621" s="35">
        <v>1429</v>
      </c>
      <c r="E621" s="34">
        <v>3.9259320310997999E-2</v>
      </c>
    </row>
    <row r="622" spans="2:5" ht="15" customHeight="1">
      <c r="B622" s="77" t="s">
        <v>67</v>
      </c>
      <c r="C622" s="64" t="s">
        <v>200</v>
      </c>
      <c r="D622" s="65">
        <v>38</v>
      </c>
      <c r="E622" s="66">
        <v>1.043984724855E-3</v>
      </c>
    </row>
    <row r="623" spans="2:5" ht="15" customHeight="1">
      <c r="B623" s="83"/>
      <c r="C623" s="64" t="s">
        <v>201</v>
      </c>
      <c r="D623" s="65">
        <v>36</v>
      </c>
      <c r="E623" s="66">
        <v>9.8903816038900007E-4</v>
      </c>
    </row>
    <row r="624" spans="2:5" ht="15" customHeight="1">
      <c r="B624" s="83"/>
      <c r="C624" s="64" t="s">
        <v>202</v>
      </c>
      <c r="D624" s="65">
        <v>32</v>
      </c>
      <c r="E624" s="66">
        <v>8.79145031457E-4</v>
      </c>
    </row>
    <row r="625" spans="2:5" ht="15" customHeight="1">
      <c r="B625" s="83"/>
      <c r="C625" s="64" t="s">
        <v>203</v>
      </c>
      <c r="D625" s="65">
        <v>1</v>
      </c>
      <c r="E625" s="66">
        <v>2.7473282233000001E-5</v>
      </c>
    </row>
    <row r="626" spans="2:5" ht="15" customHeight="1">
      <c r="B626" s="83"/>
      <c r="C626" s="64" t="s">
        <v>204</v>
      </c>
      <c r="D626" s="65">
        <v>71</v>
      </c>
      <c r="E626" s="66">
        <v>1.9506030385450001E-3</v>
      </c>
    </row>
    <row r="627" spans="2:5" ht="15" customHeight="1">
      <c r="B627" s="83"/>
      <c r="C627" s="64" t="s">
        <v>205</v>
      </c>
      <c r="D627" s="65">
        <v>113</v>
      </c>
      <c r="E627" s="66">
        <v>3.1044808923320001E-3</v>
      </c>
    </row>
    <row r="628" spans="2:5" ht="15" customHeight="1">
      <c r="B628" s="83"/>
      <c r="C628" s="64" t="s">
        <v>206</v>
      </c>
      <c r="D628" s="65">
        <v>31</v>
      </c>
      <c r="E628" s="66">
        <v>8.5167174922400003E-4</v>
      </c>
    </row>
    <row r="629" spans="2:5" ht="15" customHeight="1">
      <c r="B629" s="83"/>
      <c r="C629" s="64" t="s">
        <v>207</v>
      </c>
      <c r="D629" s="65">
        <v>56</v>
      </c>
      <c r="E629" s="66">
        <v>1.5385038050500001E-3</v>
      </c>
    </row>
    <row r="630" spans="2:5" ht="15" customHeight="1">
      <c r="B630" s="83"/>
      <c r="C630" s="64" t="s">
        <v>208</v>
      </c>
      <c r="D630" s="65">
        <v>14</v>
      </c>
      <c r="E630" s="66">
        <v>3.8462595126199998E-4</v>
      </c>
    </row>
    <row r="631" spans="2:5" ht="15" customHeight="1">
      <c r="B631" s="83"/>
      <c r="C631" s="64" t="s">
        <v>209</v>
      </c>
      <c r="D631" s="65">
        <v>48</v>
      </c>
      <c r="E631" s="66">
        <v>1.3187175471850001E-3</v>
      </c>
    </row>
    <row r="632" spans="2:5" ht="15" customHeight="1">
      <c r="B632" s="83"/>
      <c r="C632" s="64" t="s">
        <v>210</v>
      </c>
      <c r="D632" s="65">
        <v>7</v>
      </c>
      <c r="E632" s="66">
        <v>1.9231297563099999E-4</v>
      </c>
    </row>
    <row r="633" spans="2:5" ht="15" customHeight="1">
      <c r="B633" s="83"/>
      <c r="C633" s="64" t="s">
        <v>216</v>
      </c>
      <c r="D633" s="65">
        <v>4</v>
      </c>
      <c r="E633" s="66">
        <v>1.09893128932E-4</v>
      </c>
    </row>
    <row r="634" spans="2:5" ht="15" customHeight="1">
      <c r="B634" s="83"/>
      <c r="C634" s="64" t="s">
        <v>221</v>
      </c>
      <c r="D634" s="65">
        <v>1</v>
      </c>
      <c r="E634" s="66">
        <v>2.7473282233000001E-5</v>
      </c>
    </row>
    <row r="635" spans="2:5" ht="15" customHeight="1">
      <c r="B635" s="83"/>
      <c r="C635" s="64" t="s">
        <v>211</v>
      </c>
      <c r="D635" s="65">
        <v>12</v>
      </c>
      <c r="E635" s="66">
        <v>3.29679386796E-4</v>
      </c>
    </row>
    <row r="636" spans="2:5" ht="15" customHeight="1">
      <c r="B636" s="83"/>
      <c r="C636" s="64" t="s">
        <v>212</v>
      </c>
      <c r="D636" s="65">
        <v>10</v>
      </c>
      <c r="E636" s="66">
        <v>2.7473282233000002E-4</v>
      </c>
    </row>
    <row r="637" spans="2:5" ht="15" customHeight="1">
      <c r="B637" s="83"/>
      <c r="C637" s="64" t="s">
        <v>213</v>
      </c>
      <c r="D637" s="65">
        <v>38</v>
      </c>
      <c r="E637" s="66">
        <v>1.043984724855E-3</v>
      </c>
    </row>
    <row r="638" spans="2:5" ht="15" customHeight="1">
      <c r="B638" s="83"/>
      <c r="C638" s="64" t="s">
        <v>214</v>
      </c>
      <c r="D638" s="65">
        <v>4</v>
      </c>
      <c r="E638" s="66">
        <v>1.09893128932E-4</v>
      </c>
    </row>
    <row r="639" spans="2:5" ht="15" customHeight="1">
      <c r="B639" s="83"/>
      <c r="C639" s="64" t="s">
        <v>215</v>
      </c>
      <c r="D639" s="65">
        <v>55</v>
      </c>
      <c r="E639" s="66">
        <v>1.511030522817E-3</v>
      </c>
    </row>
    <row r="640" spans="2:5" ht="15" customHeight="1">
      <c r="B640" s="82"/>
      <c r="C640" s="36" t="s">
        <v>29</v>
      </c>
      <c r="D640" s="35">
        <v>571</v>
      </c>
      <c r="E640" s="34">
        <v>1.5687244155059E-2</v>
      </c>
    </row>
    <row r="641" spans="2:5" ht="15" customHeight="1">
      <c r="B641" s="77" t="s">
        <v>71</v>
      </c>
      <c r="C641" s="64" t="s">
        <v>200</v>
      </c>
      <c r="D641" s="65">
        <v>46</v>
      </c>
      <c r="E641" s="66">
        <v>1.2637709827189999E-3</v>
      </c>
    </row>
    <row r="642" spans="2:5" ht="15" customHeight="1">
      <c r="B642" s="83"/>
      <c r="C642" s="64" t="s">
        <v>201</v>
      </c>
      <c r="D642" s="65">
        <v>48</v>
      </c>
      <c r="E642" s="66">
        <v>1.3187175471850001E-3</v>
      </c>
    </row>
    <row r="643" spans="2:5" ht="15" customHeight="1">
      <c r="B643" s="83"/>
      <c r="C643" s="64" t="s">
        <v>202</v>
      </c>
      <c r="D643" s="65">
        <v>19</v>
      </c>
      <c r="E643" s="66">
        <v>5.2199236242800003E-4</v>
      </c>
    </row>
    <row r="644" spans="2:5" ht="15" customHeight="1">
      <c r="B644" s="83"/>
      <c r="C644" s="64" t="s">
        <v>203</v>
      </c>
      <c r="D644" s="65">
        <v>1</v>
      </c>
      <c r="E644" s="66">
        <v>2.7473282233000001E-5</v>
      </c>
    </row>
    <row r="645" spans="2:5" ht="15" customHeight="1">
      <c r="B645" s="83"/>
      <c r="C645" s="64" t="s">
        <v>204</v>
      </c>
      <c r="D645" s="65">
        <v>106</v>
      </c>
      <c r="E645" s="66">
        <v>2.9121679167010001E-3</v>
      </c>
    </row>
    <row r="646" spans="2:5" ht="15" customHeight="1">
      <c r="B646" s="83"/>
      <c r="C646" s="64" t="s">
        <v>205</v>
      </c>
      <c r="D646" s="65">
        <v>70</v>
      </c>
      <c r="E646" s="66">
        <v>1.923129756312E-3</v>
      </c>
    </row>
    <row r="647" spans="2:5" ht="15" customHeight="1">
      <c r="B647" s="83"/>
      <c r="C647" s="64" t="s">
        <v>206</v>
      </c>
      <c r="D647" s="65">
        <v>20</v>
      </c>
      <c r="E647" s="66">
        <v>5.49465644661E-4</v>
      </c>
    </row>
    <row r="648" spans="2:5" ht="15" customHeight="1">
      <c r="B648" s="83"/>
      <c r="C648" s="64" t="s">
        <v>207</v>
      </c>
      <c r="D648" s="65">
        <v>48</v>
      </c>
      <c r="E648" s="66">
        <v>1.3187175471850001E-3</v>
      </c>
    </row>
    <row r="649" spans="2:5" ht="15" customHeight="1">
      <c r="B649" s="83"/>
      <c r="C649" s="64" t="s">
        <v>208</v>
      </c>
      <c r="D649" s="65">
        <v>4</v>
      </c>
      <c r="E649" s="66">
        <v>1.09893128932E-4</v>
      </c>
    </row>
    <row r="650" spans="2:5" ht="15" customHeight="1">
      <c r="B650" s="83"/>
      <c r="C650" s="64" t="s">
        <v>209</v>
      </c>
      <c r="D650" s="65">
        <v>54</v>
      </c>
      <c r="E650" s="66">
        <v>1.4835572405839999E-3</v>
      </c>
    </row>
    <row r="651" spans="2:5" ht="15" customHeight="1">
      <c r="B651" s="83"/>
      <c r="C651" s="64" t="s">
        <v>210</v>
      </c>
      <c r="D651" s="65">
        <v>2</v>
      </c>
      <c r="E651" s="66">
        <v>5.4946564466000002E-5</v>
      </c>
    </row>
    <row r="652" spans="2:5" ht="15" customHeight="1">
      <c r="B652" s="83"/>
      <c r="C652" s="64" t="s">
        <v>211</v>
      </c>
      <c r="D652" s="65">
        <v>15</v>
      </c>
      <c r="E652" s="66">
        <v>4.12099233495E-4</v>
      </c>
    </row>
    <row r="653" spans="2:5" ht="15" customHeight="1">
      <c r="B653" s="83"/>
      <c r="C653" s="64" t="s">
        <v>212</v>
      </c>
      <c r="D653" s="65">
        <v>7</v>
      </c>
      <c r="E653" s="66">
        <v>1.9231297563099999E-4</v>
      </c>
    </row>
    <row r="654" spans="2:5" ht="15" customHeight="1">
      <c r="B654" s="83"/>
      <c r="C654" s="64" t="s">
        <v>213</v>
      </c>
      <c r="D654" s="65">
        <v>30</v>
      </c>
      <c r="E654" s="66">
        <v>8.2419846699099996E-4</v>
      </c>
    </row>
    <row r="655" spans="2:5" ht="15" customHeight="1">
      <c r="B655" s="83"/>
      <c r="C655" s="64" t="s">
        <v>214</v>
      </c>
      <c r="D655" s="65">
        <v>6</v>
      </c>
      <c r="E655" s="66">
        <v>1.64839693398E-4</v>
      </c>
    </row>
    <row r="656" spans="2:5" ht="15" customHeight="1">
      <c r="B656" s="83"/>
      <c r="C656" s="64" t="s">
        <v>215</v>
      </c>
      <c r="D656" s="65">
        <v>41</v>
      </c>
      <c r="E656" s="66">
        <v>1.126404571554E-3</v>
      </c>
    </row>
    <row r="657" spans="2:5" ht="15" customHeight="1">
      <c r="B657" s="82"/>
      <c r="C657" s="36" t="s">
        <v>29</v>
      </c>
      <c r="D657" s="35">
        <v>517</v>
      </c>
      <c r="E657" s="34">
        <v>1.4203686914476E-2</v>
      </c>
    </row>
    <row r="658" spans="2:5" ht="15" customHeight="1">
      <c r="B658" s="77" t="s">
        <v>78</v>
      </c>
      <c r="C658" s="64" t="s">
        <v>200</v>
      </c>
      <c r="D658" s="65">
        <v>30</v>
      </c>
      <c r="E658" s="66">
        <v>8.2419846699099996E-4</v>
      </c>
    </row>
    <row r="659" spans="2:5" ht="15" customHeight="1">
      <c r="B659" s="83"/>
      <c r="C659" s="64" t="s">
        <v>201</v>
      </c>
      <c r="D659" s="65">
        <v>24</v>
      </c>
      <c r="E659" s="66">
        <v>6.5935877359299996E-4</v>
      </c>
    </row>
    <row r="660" spans="2:5" ht="15" customHeight="1">
      <c r="B660" s="83"/>
      <c r="C660" s="64" t="s">
        <v>202</v>
      </c>
      <c r="D660" s="65">
        <v>16</v>
      </c>
      <c r="E660" s="66">
        <v>4.3957251572800002E-4</v>
      </c>
    </row>
    <row r="661" spans="2:5" ht="15" customHeight="1">
      <c r="B661" s="83"/>
      <c r="C661" s="64" t="s">
        <v>203</v>
      </c>
      <c r="D661" s="65">
        <v>3</v>
      </c>
      <c r="E661" s="66">
        <v>8.2419846699E-5</v>
      </c>
    </row>
    <row r="662" spans="2:5" ht="15" customHeight="1">
      <c r="B662" s="83"/>
      <c r="C662" s="64" t="s">
        <v>204</v>
      </c>
      <c r="D662" s="65">
        <v>36</v>
      </c>
      <c r="E662" s="66">
        <v>9.8903816038900007E-4</v>
      </c>
    </row>
    <row r="663" spans="2:5" ht="15" customHeight="1">
      <c r="B663" s="83"/>
      <c r="C663" s="64" t="s">
        <v>205</v>
      </c>
      <c r="D663" s="65">
        <v>64</v>
      </c>
      <c r="E663" s="66">
        <v>1.758290062914E-3</v>
      </c>
    </row>
    <row r="664" spans="2:5" ht="15" customHeight="1">
      <c r="B664" s="83"/>
      <c r="C664" s="64" t="s">
        <v>206</v>
      </c>
      <c r="D664" s="65">
        <v>16</v>
      </c>
      <c r="E664" s="66">
        <v>4.3957251572800002E-4</v>
      </c>
    </row>
    <row r="665" spans="2:5" ht="15" customHeight="1">
      <c r="B665" s="83"/>
      <c r="C665" s="64" t="s">
        <v>207</v>
      </c>
      <c r="D665" s="65">
        <v>22</v>
      </c>
      <c r="E665" s="66">
        <v>6.0441220912700003E-4</v>
      </c>
    </row>
    <row r="666" spans="2:5" ht="15" customHeight="1">
      <c r="B666" s="83"/>
      <c r="C666" s="64" t="s">
        <v>208</v>
      </c>
      <c r="D666" s="65">
        <v>3</v>
      </c>
      <c r="E666" s="66">
        <v>8.2419846699E-5</v>
      </c>
    </row>
    <row r="667" spans="2:5" ht="15" customHeight="1">
      <c r="B667" s="83"/>
      <c r="C667" s="64" t="s">
        <v>209</v>
      </c>
      <c r="D667" s="65">
        <v>28</v>
      </c>
      <c r="E667" s="66">
        <v>7.6925190252500003E-4</v>
      </c>
    </row>
    <row r="668" spans="2:5" ht="15" customHeight="1">
      <c r="B668" s="83"/>
      <c r="C668" s="64" t="s">
        <v>210</v>
      </c>
      <c r="D668" s="65">
        <v>2</v>
      </c>
      <c r="E668" s="66">
        <v>5.4946564466000002E-5</v>
      </c>
    </row>
    <row r="669" spans="2:5" ht="15" customHeight="1">
      <c r="B669" s="83"/>
      <c r="C669" s="64" t="s">
        <v>211</v>
      </c>
      <c r="D669" s="65">
        <v>3</v>
      </c>
      <c r="E669" s="66">
        <v>8.2419846699E-5</v>
      </c>
    </row>
    <row r="670" spans="2:5" ht="15" customHeight="1">
      <c r="B670" s="83"/>
      <c r="C670" s="64" t="s">
        <v>213</v>
      </c>
      <c r="D670" s="65">
        <v>19</v>
      </c>
      <c r="E670" s="66">
        <v>5.2199236242800003E-4</v>
      </c>
    </row>
    <row r="671" spans="2:5" ht="15" customHeight="1">
      <c r="B671" s="83"/>
      <c r="C671" s="64" t="s">
        <v>214</v>
      </c>
      <c r="D671" s="65">
        <v>3</v>
      </c>
      <c r="E671" s="66">
        <v>8.2419846699E-5</v>
      </c>
    </row>
    <row r="672" spans="2:5" ht="15" customHeight="1">
      <c r="B672" s="83"/>
      <c r="C672" s="64" t="s">
        <v>215</v>
      </c>
      <c r="D672" s="65">
        <v>28</v>
      </c>
      <c r="E672" s="66">
        <v>7.6925190252500003E-4</v>
      </c>
    </row>
    <row r="673" spans="2:5" ht="15" customHeight="1">
      <c r="B673" s="82"/>
      <c r="C673" s="36" t="s">
        <v>29</v>
      </c>
      <c r="D673" s="35">
        <v>297</v>
      </c>
      <c r="E673" s="34">
        <v>8.1595648232090003E-3</v>
      </c>
    </row>
    <row r="674" spans="2:5" ht="15" customHeight="1">
      <c r="B674" s="77" t="s">
        <v>77</v>
      </c>
      <c r="C674" s="64" t="s">
        <v>200</v>
      </c>
      <c r="D674" s="65">
        <v>24</v>
      </c>
      <c r="E674" s="66">
        <v>6.5935877359299996E-4</v>
      </c>
    </row>
    <row r="675" spans="2:5" ht="15" customHeight="1">
      <c r="B675" s="83"/>
      <c r="C675" s="64" t="s">
        <v>201</v>
      </c>
      <c r="D675" s="65">
        <v>34</v>
      </c>
      <c r="E675" s="66">
        <v>9.3409159592300003E-4</v>
      </c>
    </row>
    <row r="676" spans="2:5" ht="15" customHeight="1">
      <c r="B676" s="83"/>
      <c r="C676" s="64" t="s">
        <v>202</v>
      </c>
      <c r="D676" s="65">
        <v>17</v>
      </c>
      <c r="E676" s="66">
        <v>4.6704579796099998E-4</v>
      </c>
    </row>
    <row r="677" spans="2:5" ht="15" customHeight="1">
      <c r="B677" s="83"/>
      <c r="C677" s="64" t="s">
        <v>203</v>
      </c>
      <c r="D677" s="65">
        <v>3</v>
      </c>
      <c r="E677" s="66">
        <v>8.2419846699E-5</v>
      </c>
    </row>
    <row r="678" spans="2:5" ht="15" customHeight="1">
      <c r="B678" s="83"/>
      <c r="C678" s="64" t="s">
        <v>204</v>
      </c>
      <c r="D678" s="65">
        <v>59</v>
      </c>
      <c r="E678" s="66">
        <v>1.6209236517490001E-3</v>
      </c>
    </row>
    <row r="679" spans="2:5" ht="15" customHeight="1">
      <c r="B679" s="83"/>
      <c r="C679" s="64" t="s">
        <v>205</v>
      </c>
      <c r="D679" s="65">
        <v>65</v>
      </c>
      <c r="E679" s="66">
        <v>1.7857633451470001E-3</v>
      </c>
    </row>
    <row r="680" spans="2:5" ht="15" customHeight="1">
      <c r="B680" s="83"/>
      <c r="C680" s="64" t="s">
        <v>206</v>
      </c>
      <c r="D680" s="65">
        <v>20</v>
      </c>
      <c r="E680" s="66">
        <v>5.49465644661E-4</v>
      </c>
    </row>
    <row r="681" spans="2:5" ht="15" customHeight="1">
      <c r="B681" s="83"/>
      <c r="C681" s="64" t="s">
        <v>207</v>
      </c>
      <c r="D681" s="65">
        <v>35</v>
      </c>
      <c r="E681" s="66">
        <v>9.61564878156E-4</v>
      </c>
    </row>
    <row r="682" spans="2:5" ht="15" customHeight="1">
      <c r="B682" s="83"/>
      <c r="C682" s="64" t="s">
        <v>208</v>
      </c>
      <c r="D682" s="65">
        <v>5</v>
      </c>
      <c r="E682" s="66">
        <v>1.3736641116500001E-4</v>
      </c>
    </row>
    <row r="683" spans="2:5" ht="15" customHeight="1">
      <c r="B683" s="83"/>
      <c r="C683" s="64" t="s">
        <v>209</v>
      </c>
      <c r="D683" s="65">
        <v>50</v>
      </c>
      <c r="E683" s="66">
        <v>1.373664111651E-3</v>
      </c>
    </row>
    <row r="684" spans="2:5" ht="15" customHeight="1">
      <c r="B684" s="83"/>
      <c r="C684" s="64" t="s">
        <v>210</v>
      </c>
      <c r="D684" s="65">
        <v>1</v>
      </c>
      <c r="E684" s="66">
        <v>2.7473282233000001E-5</v>
      </c>
    </row>
    <row r="685" spans="2:5" ht="15" customHeight="1">
      <c r="B685" s="83"/>
      <c r="C685" s="64" t="s">
        <v>216</v>
      </c>
      <c r="D685" s="65">
        <v>2</v>
      </c>
      <c r="E685" s="66">
        <v>5.4946564466000002E-5</v>
      </c>
    </row>
    <row r="686" spans="2:5" ht="15" customHeight="1">
      <c r="B686" s="83"/>
      <c r="C686" s="64" t="s">
        <v>211</v>
      </c>
      <c r="D686" s="65">
        <v>9</v>
      </c>
      <c r="E686" s="66">
        <v>2.47259540097E-4</v>
      </c>
    </row>
    <row r="687" spans="2:5" ht="15" customHeight="1">
      <c r="B687" s="83"/>
      <c r="C687" s="64" t="s">
        <v>212</v>
      </c>
      <c r="D687" s="65">
        <v>1</v>
      </c>
      <c r="E687" s="66">
        <v>2.7473282233000001E-5</v>
      </c>
    </row>
    <row r="688" spans="2:5" ht="15" customHeight="1">
      <c r="B688" s="83"/>
      <c r="C688" s="64" t="s">
        <v>213</v>
      </c>
      <c r="D688" s="65">
        <v>23</v>
      </c>
      <c r="E688" s="66">
        <v>6.3188549136E-4</v>
      </c>
    </row>
    <row r="689" spans="2:5" ht="15" customHeight="1">
      <c r="B689" s="83"/>
      <c r="C689" s="64" t="s">
        <v>214</v>
      </c>
      <c r="D689" s="65">
        <v>9</v>
      </c>
      <c r="E689" s="66">
        <v>2.47259540097E-4</v>
      </c>
    </row>
    <row r="690" spans="2:5" ht="15" customHeight="1">
      <c r="B690" s="83"/>
      <c r="C690" s="64" t="s">
        <v>215</v>
      </c>
      <c r="D690" s="65">
        <v>26</v>
      </c>
      <c r="E690" s="66">
        <v>7.14305338059E-4</v>
      </c>
    </row>
    <row r="691" spans="2:5" ht="15" customHeight="1">
      <c r="B691" s="82"/>
      <c r="C691" s="36" t="s">
        <v>29</v>
      </c>
      <c r="D691" s="35">
        <v>383</v>
      </c>
      <c r="E691" s="34">
        <v>1.0522267095250001E-2</v>
      </c>
    </row>
    <row r="692" spans="2:5" ht="15" customHeight="1">
      <c r="B692" s="77" t="s">
        <v>59</v>
      </c>
      <c r="C692" s="64" t="s">
        <v>200</v>
      </c>
      <c r="D692" s="65">
        <v>83</v>
      </c>
      <c r="E692" s="66">
        <v>2.2802824253410001E-3</v>
      </c>
    </row>
    <row r="693" spans="2:5" ht="15" customHeight="1">
      <c r="B693" s="83"/>
      <c r="C693" s="64" t="s">
        <v>201</v>
      </c>
      <c r="D693" s="65">
        <v>82</v>
      </c>
      <c r="E693" s="66">
        <v>2.252809143108E-3</v>
      </c>
    </row>
    <row r="694" spans="2:5" ht="15" customHeight="1">
      <c r="B694" s="83"/>
      <c r="C694" s="64" t="s">
        <v>202</v>
      </c>
      <c r="D694" s="65">
        <v>36</v>
      </c>
      <c r="E694" s="66">
        <v>9.8903816038900007E-4</v>
      </c>
    </row>
    <row r="695" spans="2:5" ht="15" customHeight="1">
      <c r="B695" s="83"/>
      <c r="C695" s="64" t="s">
        <v>203</v>
      </c>
      <c r="D695" s="65">
        <v>8</v>
      </c>
      <c r="E695" s="66">
        <v>2.1978625786400001E-4</v>
      </c>
    </row>
    <row r="696" spans="2:5" ht="15" customHeight="1">
      <c r="B696" s="83"/>
      <c r="C696" s="64" t="s">
        <v>204</v>
      </c>
      <c r="D696" s="65">
        <v>142</v>
      </c>
      <c r="E696" s="66">
        <v>3.9012060770900001E-3</v>
      </c>
    </row>
    <row r="697" spans="2:5" ht="15" customHeight="1">
      <c r="B697" s="83"/>
      <c r="C697" s="64" t="s">
        <v>205</v>
      </c>
      <c r="D697" s="65">
        <v>170</v>
      </c>
      <c r="E697" s="66">
        <v>4.6704579796149996E-3</v>
      </c>
    </row>
    <row r="698" spans="2:5" ht="15" customHeight="1">
      <c r="B698" s="83"/>
      <c r="C698" s="64" t="s">
        <v>206</v>
      </c>
      <c r="D698" s="65">
        <v>58</v>
      </c>
      <c r="E698" s="66">
        <v>1.593450369516E-3</v>
      </c>
    </row>
    <row r="699" spans="2:5" ht="15" customHeight="1">
      <c r="B699" s="83"/>
      <c r="C699" s="64" t="s">
        <v>207</v>
      </c>
      <c r="D699" s="65">
        <v>84</v>
      </c>
      <c r="E699" s="66">
        <v>2.3077557075740001E-3</v>
      </c>
    </row>
    <row r="700" spans="2:5" ht="15" customHeight="1">
      <c r="B700" s="83"/>
      <c r="C700" s="64" t="s">
        <v>208</v>
      </c>
      <c r="D700" s="65">
        <v>14</v>
      </c>
      <c r="E700" s="66">
        <v>3.8462595126199998E-4</v>
      </c>
    </row>
    <row r="701" spans="2:5" ht="15" customHeight="1">
      <c r="B701" s="83"/>
      <c r="C701" s="64" t="s">
        <v>209</v>
      </c>
      <c r="D701" s="65">
        <v>79</v>
      </c>
      <c r="E701" s="66">
        <v>2.1703892964090002E-3</v>
      </c>
    </row>
    <row r="702" spans="2:5" ht="15" customHeight="1">
      <c r="B702" s="83"/>
      <c r="C702" s="64" t="s">
        <v>210</v>
      </c>
      <c r="D702" s="65">
        <v>9</v>
      </c>
      <c r="E702" s="66">
        <v>2.47259540097E-4</v>
      </c>
    </row>
    <row r="703" spans="2:5" ht="15" customHeight="1">
      <c r="B703" s="83"/>
      <c r="C703" s="64" t="s">
        <v>216</v>
      </c>
      <c r="D703" s="65">
        <v>1</v>
      </c>
      <c r="E703" s="66">
        <v>2.7473282233000001E-5</v>
      </c>
    </row>
    <row r="704" spans="2:5" ht="15" customHeight="1">
      <c r="B704" s="83"/>
      <c r="C704" s="64" t="s">
        <v>211</v>
      </c>
      <c r="D704" s="65">
        <v>25</v>
      </c>
      <c r="E704" s="66">
        <v>6.8683205582600003E-4</v>
      </c>
    </row>
    <row r="705" spans="2:5" ht="15" customHeight="1">
      <c r="B705" s="83"/>
      <c r="C705" s="64" t="s">
        <v>212</v>
      </c>
      <c r="D705" s="65">
        <v>8</v>
      </c>
      <c r="E705" s="66">
        <v>2.1978625786400001E-4</v>
      </c>
    </row>
    <row r="706" spans="2:5" ht="15" customHeight="1">
      <c r="B706" s="83"/>
      <c r="C706" s="64" t="s">
        <v>213</v>
      </c>
      <c r="D706" s="65">
        <v>62</v>
      </c>
      <c r="E706" s="66">
        <v>1.7033434984480001E-3</v>
      </c>
    </row>
    <row r="707" spans="2:5" ht="15" customHeight="1">
      <c r="B707" s="83"/>
      <c r="C707" s="64" t="s">
        <v>214</v>
      </c>
      <c r="D707" s="65">
        <v>9</v>
      </c>
      <c r="E707" s="66">
        <v>2.47259540097E-4</v>
      </c>
    </row>
    <row r="708" spans="2:5" ht="15" customHeight="1">
      <c r="B708" s="83"/>
      <c r="C708" s="64" t="s">
        <v>215</v>
      </c>
      <c r="D708" s="65">
        <v>98</v>
      </c>
      <c r="E708" s="66">
        <v>2.6923816588369999E-3</v>
      </c>
    </row>
    <row r="709" spans="2:5" ht="15" customHeight="1">
      <c r="B709" s="82"/>
      <c r="C709" s="36" t="s">
        <v>29</v>
      </c>
      <c r="D709" s="35">
        <v>968</v>
      </c>
      <c r="E709" s="34">
        <v>2.6594137201571E-2</v>
      </c>
    </row>
    <row r="710" spans="2:5" ht="15" customHeight="1">
      <c r="B710" s="77" t="s">
        <v>68</v>
      </c>
      <c r="C710" s="64" t="s">
        <v>200</v>
      </c>
      <c r="D710" s="65">
        <v>46</v>
      </c>
      <c r="E710" s="66">
        <v>1.2637709827189999E-3</v>
      </c>
    </row>
    <row r="711" spans="2:5" ht="15" customHeight="1">
      <c r="B711" s="83"/>
      <c r="C711" s="64" t="s">
        <v>201</v>
      </c>
      <c r="D711" s="65">
        <v>52</v>
      </c>
      <c r="E711" s="66">
        <v>1.4286106761169999E-3</v>
      </c>
    </row>
    <row r="712" spans="2:5" ht="15" customHeight="1">
      <c r="B712" s="83"/>
      <c r="C712" s="64" t="s">
        <v>202</v>
      </c>
      <c r="D712" s="65">
        <v>19</v>
      </c>
      <c r="E712" s="66">
        <v>5.2199236242800003E-4</v>
      </c>
    </row>
    <row r="713" spans="2:5" ht="15" customHeight="1">
      <c r="B713" s="83"/>
      <c r="C713" s="64" t="s">
        <v>203</v>
      </c>
      <c r="D713" s="65">
        <v>3</v>
      </c>
      <c r="E713" s="66">
        <v>8.2419846699E-5</v>
      </c>
    </row>
    <row r="714" spans="2:5" ht="15" customHeight="1">
      <c r="B714" s="83"/>
      <c r="C714" s="64" t="s">
        <v>204</v>
      </c>
      <c r="D714" s="65">
        <v>94</v>
      </c>
      <c r="E714" s="66">
        <v>2.5824885299050001E-3</v>
      </c>
    </row>
    <row r="715" spans="2:5" ht="15" customHeight="1">
      <c r="B715" s="83"/>
      <c r="C715" s="64" t="s">
        <v>205</v>
      </c>
      <c r="D715" s="65">
        <v>78</v>
      </c>
      <c r="E715" s="66">
        <v>2.1429160141760001E-3</v>
      </c>
    </row>
    <row r="716" spans="2:5" ht="15" customHeight="1">
      <c r="B716" s="83"/>
      <c r="C716" s="64" t="s">
        <v>206</v>
      </c>
      <c r="D716" s="65">
        <v>25</v>
      </c>
      <c r="E716" s="66">
        <v>6.8683205582600003E-4</v>
      </c>
    </row>
    <row r="717" spans="2:5" ht="15" customHeight="1">
      <c r="B717" s="83"/>
      <c r="C717" s="64" t="s">
        <v>207</v>
      </c>
      <c r="D717" s="65">
        <v>65</v>
      </c>
      <c r="E717" s="66">
        <v>1.7857633451470001E-3</v>
      </c>
    </row>
    <row r="718" spans="2:5" ht="15" customHeight="1">
      <c r="B718" s="83"/>
      <c r="C718" s="64" t="s">
        <v>208</v>
      </c>
      <c r="D718" s="65">
        <v>7</v>
      </c>
      <c r="E718" s="66">
        <v>1.9231297563099999E-4</v>
      </c>
    </row>
    <row r="719" spans="2:5" ht="15" customHeight="1">
      <c r="B719" s="83"/>
      <c r="C719" s="64" t="s">
        <v>209</v>
      </c>
      <c r="D719" s="65">
        <v>48</v>
      </c>
      <c r="E719" s="66">
        <v>1.3187175471850001E-3</v>
      </c>
    </row>
    <row r="720" spans="2:5" ht="15" customHeight="1">
      <c r="B720" s="83"/>
      <c r="C720" s="64" t="s">
        <v>210</v>
      </c>
      <c r="D720" s="65">
        <v>8</v>
      </c>
      <c r="E720" s="66">
        <v>2.1978625786400001E-4</v>
      </c>
    </row>
    <row r="721" spans="2:5" ht="15" customHeight="1">
      <c r="B721" s="83"/>
      <c r="C721" s="64" t="s">
        <v>216</v>
      </c>
      <c r="D721" s="65">
        <v>3</v>
      </c>
      <c r="E721" s="66">
        <v>8.2419846699E-5</v>
      </c>
    </row>
    <row r="722" spans="2:5" ht="15" customHeight="1">
      <c r="B722" s="83"/>
      <c r="C722" s="64" t="s">
        <v>211</v>
      </c>
      <c r="D722" s="65">
        <v>8</v>
      </c>
      <c r="E722" s="66">
        <v>2.1978625786400001E-4</v>
      </c>
    </row>
    <row r="723" spans="2:5" ht="15" customHeight="1">
      <c r="B723" s="83"/>
      <c r="C723" s="64" t="s">
        <v>212</v>
      </c>
      <c r="D723" s="65">
        <v>7</v>
      </c>
      <c r="E723" s="66">
        <v>1.9231297563099999E-4</v>
      </c>
    </row>
    <row r="724" spans="2:5" ht="15" customHeight="1">
      <c r="B724" s="83"/>
      <c r="C724" s="64" t="s">
        <v>213</v>
      </c>
      <c r="D724" s="65">
        <v>34</v>
      </c>
      <c r="E724" s="66">
        <v>9.3409159592300003E-4</v>
      </c>
    </row>
    <row r="725" spans="2:5" ht="15" customHeight="1">
      <c r="B725" s="83"/>
      <c r="C725" s="64" t="s">
        <v>214</v>
      </c>
      <c r="D725" s="65">
        <v>4</v>
      </c>
      <c r="E725" s="66">
        <v>1.09893128932E-4</v>
      </c>
    </row>
    <row r="726" spans="2:5" ht="15" customHeight="1">
      <c r="B726" s="83"/>
      <c r="C726" s="64" t="s">
        <v>215</v>
      </c>
      <c r="D726" s="65">
        <v>56</v>
      </c>
      <c r="E726" s="66">
        <v>1.5385038050500001E-3</v>
      </c>
    </row>
    <row r="727" spans="2:5" ht="15" customHeight="1">
      <c r="B727" s="82"/>
      <c r="C727" s="36" t="s">
        <v>29</v>
      </c>
      <c r="D727" s="35">
        <v>557</v>
      </c>
      <c r="E727" s="34">
        <v>1.5302618203797001E-2</v>
      </c>
    </row>
    <row r="728" spans="2:5" ht="15" customHeight="1">
      <c r="B728" s="77" t="s">
        <v>73</v>
      </c>
      <c r="C728" s="64" t="s">
        <v>200</v>
      </c>
      <c r="D728" s="65">
        <v>36</v>
      </c>
      <c r="E728" s="66">
        <v>9.8903816038900007E-4</v>
      </c>
    </row>
    <row r="729" spans="2:5" ht="15" customHeight="1">
      <c r="B729" s="83"/>
      <c r="C729" s="64" t="s">
        <v>201</v>
      </c>
      <c r="D729" s="65">
        <v>32</v>
      </c>
      <c r="E729" s="66">
        <v>8.79145031457E-4</v>
      </c>
    </row>
    <row r="730" spans="2:5" ht="15" customHeight="1">
      <c r="B730" s="83"/>
      <c r="C730" s="64" t="s">
        <v>202</v>
      </c>
      <c r="D730" s="65">
        <v>22</v>
      </c>
      <c r="E730" s="66">
        <v>6.0441220912700003E-4</v>
      </c>
    </row>
    <row r="731" spans="2:5" ht="15" customHeight="1">
      <c r="B731" s="83"/>
      <c r="C731" s="64" t="s">
        <v>203</v>
      </c>
      <c r="D731" s="65">
        <v>3</v>
      </c>
      <c r="E731" s="66">
        <v>8.2419846699E-5</v>
      </c>
    </row>
    <row r="732" spans="2:5" ht="15" customHeight="1">
      <c r="B732" s="83"/>
      <c r="C732" s="64" t="s">
        <v>204</v>
      </c>
      <c r="D732" s="65">
        <v>63</v>
      </c>
      <c r="E732" s="66">
        <v>1.7308167806809999E-3</v>
      </c>
    </row>
    <row r="733" spans="2:5" ht="15" customHeight="1">
      <c r="B733" s="83"/>
      <c r="C733" s="64" t="s">
        <v>205</v>
      </c>
      <c r="D733" s="65">
        <v>109</v>
      </c>
      <c r="E733" s="66">
        <v>2.9945877633999998E-3</v>
      </c>
    </row>
    <row r="734" spans="2:5" ht="15" customHeight="1">
      <c r="B734" s="83"/>
      <c r="C734" s="64" t="s">
        <v>206</v>
      </c>
      <c r="D734" s="65">
        <v>31</v>
      </c>
      <c r="E734" s="66">
        <v>8.5167174922400003E-4</v>
      </c>
    </row>
    <row r="735" spans="2:5" ht="15" customHeight="1">
      <c r="B735" s="83"/>
      <c r="C735" s="64" t="s">
        <v>207</v>
      </c>
      <c r="D735" s="65">
        <v>41</v>
      </c>
      <c r="E735" s="66">
        <v>1.126404571554E-3</v>
      </c>
    </row>
    <row r="736" spans="2:5" ht="15" customHeight="1">
      <c r="B736" s="83"/>
      <c r="C736" s="64" t="s">
        <v>208</v>
      </c>
      <c r="D736" s="65">
        <v>8</v>
      </c>
      <c r="E736" s="66">
        <v>2.1978625786400001E-4</v>
      </c>
    </row>
    <row r="737" spans="2:5" ht="15" customHeight="1">
      <c r="B737" s="83"/>
      <c r="C737" s="64" t="s">
        <v>209</v>
      </c>
      <c r="D737" s="65">
        <v>48</v>
      </c>
      <c r="E737" s="66">
        <v>1.3187175471850001E-3</v>
      </c>
    </row>
    <row r="738" spans="2:5" ht="15" customHeight="1">
      <c r="B738" s="83"/>
      <c r="C738" s="64" t="s">
        <v>210</v>
      </c>
      <c r="D738" s="65">
        <v>6</v>
      </c>
      <c r="E738" s="66">
        <v>1.64839693398E-4</v>
      </c>
    </row>
    <row r="739" spans="2:5" ht="15" customHeight="1">
      <c r="B739" s="83"/>
      <c r="C739" s="64" t="s">
        <v>216</v>
      </c>
      <c r="D739" s="65">
        <v>2</v>
      </c>
      <c r="E739" s="66">
        <v>5.4946564466000002E-5</v>
      </c>
    </row>
    <row r="740" spans="2:5" ht="15" customHeight="1">
      <c r="B740" s="83"/>
      <c r="C740" s="64" t="s">
        <v>211</v>
      </c>
      <c r="D740" s="65">
        <v>12</v>
      </c>
      <c r="E740" s="66">
        <v>3.29679386796E-4</v>
      </c>
    </row>
    <row r="741" spans="2:5" ht="15" customHeight="1">
      <c r="B741" s="83"/>
      <c r="C741" s="64" t="s">
        <v>212</v>
      </c>
      <c r="D741" s="65">
        <v>2</v>
      </c>
      <c r="E741" s="66">
        <v>5.4946564466000002E-5</v>
      </c>
    </row>
    <row r="742" spans="2:5" ht="15" customHeight="1">
      <c r="B742" s="83"/>
      <c r="C742" s="64" t="s">
        <v>213</v>
      </c>
      <c r="D742" s="65">
        <v>31</v>
      </c>
      <c r="E742" s="66">
        <v>8.5167174922400003E-4</v>
      </c>
    </row>
    <row r="743" spans="2:5" ht="15" customHeight="1">
      <c r="B743" s="83"/>
      <c r="C743" s="64" t="s">
        <v>214</v>
      </c>
      <c r="D743" s="65">
        <v>7</v>
      </c>
      <c r="E743" s="66">
        <v>1.9231297563099999E-4</v>
      </c>
    </row>
    <row r="744" spans="2:5" ht="15" customHeight="1">
      <c r="B744" s="83"/>
      <c r="C744" s="64" t="s">
        <v>215</v>
      </c>
      <c r="D744" s="65">
        <v>45</v>
      </c>
      <c r="E744" s="66">
        <v>1.2362977004860001E-3</v>
      </c>
    </row>
    <row r="745" spans="2:5" ht="15" customHeight="1">
      <c r="B745" s="82"/>
      <c r="C745" s="36" t="s">
        <v>29</v>
      </c>
      <c r="D745" s="35">
        <v>498</v>
      </c>
      <c r="E745" s="34">
        <v>1.3681694552048001E-2</v>
      </c>
    </row>
    <row r="746" spans="2:5" ht="15" customHeight="1">
      <c r="B746" s="77" t="s">
        <v>61</v>
      </c>
      <c r="C746" s="64" t="s">
        <v>200</v>
      </c>
      <c r="D746" s="65">
        <v>40</v>
      </c>
      <c r="E746" s="66">
        <v>1.0989312893209999E-3</v>
      </c>
    </row>
    <row r="747" spans="2:5" ht="15" customHeight="1">
      <c r="B747" s="83"/>
      <c r="C747" s="64" t="s">
        <v>201</v>
      </c>
      <c r="D747" s="65">
        <v>51</v>
      </c>
      <c r="E747" s="66">
        <v>1.4011373938840001E-3</v>
      </c>
    </row>
    <row r="748" spans="2:5" ht="15" customHeight="1">
      <c r="B748" s="83"/>
      <c r="C748" s="64" t="s">
        <v>202</v>
      </c>
      <c r="D748" s="65">
        <v>32</v>
      </c>
      <c r="E748" s="66">
        <v>8.79145031457E-4</v>
      </c>
    </row>
    <row r="749" spans="2:5" ht="15" customHeight="1">
      <c r="B749" s="83"/>
      <c r="C749" s="64" t="s">
        <v>203</v>
      </c>
      <c r="D749" s="65">
        <v>7</v>
      </c>
      <c r="E749" s="66">
        <v>1.9231297563099999E-4</v>
      </c>
    </row>
    <row r="750" spans="2:5" ht="15" customHeight="1">
      <c r="B750" s="83"/>
      <c r="C750" s="64" t="s">
        <v>204</v>
      </c>
      <c r="D750" s="65">
        <v>84</v>
      </c>
      <c r="E750" s="66">
        <v>2.3077557075740001E-3</v>
      </c>
    </row>
    <row r="751" spans="2:5" ht="15" customHeight="1">
      <c r="B751" s="83"/>
      <c r="C751" s="64" t="s">
        <v>205</v>
      </c>
      <c r="D751" s="65">
        <v>115</v>
      </c>
      <c r="E751" s="66">
        <v>3.1594274567979998E-3</v>
      </c>
    </row>
    <row r="752" spans="2:5" ht="15" customHeight="1">
      <c r="B752" s="83"/>
      <c r="C752" s="64" t="s">
        <v>206</v>
      </c>
      <c r="D752" s="65">
        <v>39</v>
      </c>
      <c r="E752" s="66">
        <v>1.0714580070880001E-3</v>
      </c>
    </row>
    <row r="753" spans="2:5" ht="15" customHeight="1">
      <c r="B753" s="83"/>
      <c r="C753" s="64" t="s">
        <v>207</v>
      </c>
      <c r="D753" s="65">
        <v>53</v>
      </c>
      <c r="E753" s="66">
        <v>1.4560839583510001E-3</v>
      </c>
    </row>
    <row r="754" spans="2:5" ht="15" customHeight="1">
      <c r="B754" s="83"/>
      <c r="C754" s="64" t="s">
        <v>208</v>
      </c>
      <c r="D754" s="65">
        <v>11</v>
      </c>
      <c r="E754" s="66">
        <v>3.0220610456299998E-4</v>
      </c>
    </row>
    <row r="755" spans="2:5" ht="15" customHeight="1">
      <c r="B755" s="83"/>
      <c r="C755" s="64" t="s">
        <v>209</v>
      </c>
      <c r="D755" s="65">
        <v>58</v>
      </c>
      <c r="E755" s="66">
        <v>1.593450369516E-3</v>
      </c>
    </row>
    <row r="756" spans="2:5" ht="15" customHeight="1">
      <c r="B756" s="83"/>
      <c r="C756" s="64" t="s">
        <v>210</v>
      </c>
      <c r="D756" s="65">
        <v>8</v>
      </c>
      <c r="E756" s="66">
        <v>2.1978625786400001E-4</v>
      </c>
    </row>
    <row r="757" spans="2:5" ht="15" customHeight="1">
      <c r="B757" s="83"/>
      <c r="C757" s="64" t="s">
        <v>221</v>
      </c>
      <c r="D757" s="65">
        <v>1</v>
      </c>
      <c r="E757" s="66">
        <v>2.7473282233000001E-5</v>
      </c>
    </row>
    <row r="758" spans="2:5" ht="15" customHeight="1">
      <c r="B758" s="83"/>
      <c r="C758" s="64" t="s">
        <v>211</v>
      </c>
      <c r="D758" s="65">
        <v>25</v>
      </c>
      <c r="E758" s="66">
        <v>6.8683205582600003E-4</v>
      </c>
    </row>
    <row r="759" spans="2:5" ht="15" customHeight="1">
      <c r="B759" s="83"/>
      <c r="C759" s="64" t="s">
        <v>212</v>
      </c>
      <c r="D759" s="65">
        <v>10</v>
      </c>
      <c r="E759" s="66">
        <v>2.7473282233000002E-4</v>
      </c>
    </row>
    <row r="760" spans="2:5" ht="15" customHeight="1">
      <c r="B760" s="83"/>
      <c r="C760" s="64" t="s">
        <v>213</v>
      </c>
      <c r="D760" s="65">
        <v>49</v>
      </c>
      <c r="E760" s="66">
        <v>1.3461908294179999E-3</v>
      </c>
    </row>
    <row r="761" spans="2:5" ht="15" customHeight="1">
      <c r="B761" s="83"/>
      <c r="C761" s="64" t="s">
        <v>214</v>
      </c>
      <c r="D761" s="65">
        <v>3</v>
      </c>
      <c r="E761" s="66">
        <v>8.2419846699E-5</v>
      </c>
    </row>
    <row r="762" spans="2:5" ht="15" customHeight="1">
      <c r="B762" s="83"/>
      <c r="C762" s="64" t="s">
        <v>215</v>
      </c>
      <c r="D762" s="65">
        <v>56</v>
      </c>
      <c r="E762" s="66">
        <v>1.5385038050500001E-3</v>
      </c>
    </row>
    <row r="763" spans="2:5" ht="15" customHeight="1">
      <c r="B763" s="82"/>
      <c r="C763" s="36" t="s">
        <v>29</v>
      </c>
      <c r="D763" s="35">
        <v>642</v>
      </c>
      <c r="E763" s="34">
        <v>1.7637847193603999E-2</v>
      </c>
    </row>
    <row r="764" spans="2:5" ht="15" customHeight="1">
      <c r="B764" s="77" t="s">
        <v>54</v>
      </c>
      <c r="C764" s="64" t="s">
        <v>200</v>
      </c>
      <c r="D764" s="65">
        <v>138</v>
      </c>
      <c r="E764" s="66">
        <v>3.7913129481579998E-3</v>
      </c>
    </row>
    <row r="765" spans="2:5" ht="15" customHeight="1">
      <c r="B765" s="83"/>
      <c r="C765" s="64" t="s">
        <v>201</v>
      </c>
      <c r="D765" s="65">
        <v>127</v>
      </c>
      <c r="E765" s="66">
        <v>3.4891068435949999E-3</v>
      </c>
    </row>
    <row r="766" spans="2:5" ht="15" customHeight="1">
      <c r="B766" s="83"/>
      <c r="C766" s="64" t="s">
        <v>218</v>
      </c>
      <c r="D766" s="65">
        <v>1</v>
      </c>
      <c r="E766" s="66">
        <v>2.7473282233000001E-5</v>
      </c>
    </row>
    <row r="767" spans="2:5" ht="15" customHeight="1">
      <c r="B767" s="83"/>
      <c r="C767" s="64" t="s">
        <v>202</v>
      </c>
      <c r="D767" s="65">
        <v>69</v>
      </c>
      <c r="E767" s="66">
        <v>1.8956564740789999E-3</v>
      </c>
    </row>
    <row r="768" spans="2:5" ht="15" customHeight="1">
      <c r="B768" s="83"/>
      <c r="C768" s="64" t="s">
        <v>203</v>
      </c>
      <c r="D768" s="65">
        <v>16</v>
      </c>
      <c r="E768" s="66">
        <v>4.3957251572800002E-4</v>
      </c>
    </row>
    <row r="769" spans="2:5" ht="15" customHeight="1">
      <c r="B769" s="83"/>
      <c r="C769" s="64" t="s">
        <v>204</v>
      </c>
      <c r="D769" s="65">
        <v>185</v>
      </c>
      <c r="E769" s="66">
        <v>5.0825572131099998E-3</v>
      </c>
    </row>
    <row r="770" spans="2:5" ht="15" customHeight="1">
      <c r="B770" s="83"/>
      <c r="C770" s="64" t="s">
        <v>205</v>
      </c>
      <c r="D770" s="65">
        <v>289</v>
      </c>
      <c r="E770" s="66">
        <v>7.9397785653449997E-3</v>
      </c>
    </row>
    <row r="771" spans="2:5" ht="15" customHeight="1">
      <c r="B771" s="83"/>
      <c r="C771" s="64" t="s">
        <v>206</v>
      </c>
      <c r="D771" s="65">
        <v>93</v>
      </c>
      <c r="E771" s="66">
        <v>2.555015247672E-3</v>
      </c>
    </row>
    <row r="772" spans="2:5" ht="15" customHeight="1">
      <c r="B772" s="83"/>
      <c r="C772" s="64" t="s">
        <v>207</v>
      </c>
      <c r="D772" s="65">
        <v>218</v>
      </c>
      <c r="E772" s="66">
        <v>5.9891755267999997E-3</v>
      </c>
    </row>
    <row r="773" spans="2:5" ht="15" customHeight="1">
      <c r="B773" s="83"/>
      <c r="C773" s="64" t="s">
        <v>208</v>
      </c>
      <c r="D773" s="65">
        <v>16</v>
      </c>
      <c r="E773" s="66">
        <v>4.3957251572800002E-4</v>
      </c>
    </row>
    <row r="774" spans="2:5" ht="15" customHeight="1">
      <c r="B774" s="83"/>
      <c r="C774" s="64" t="s">
        <v>209</v>
      </c>
      <c r="D774" s="65">
        <v>120</v>
      </c>
      <c r="E774" s="66">
        <v>3.2967938679630002E-3</v>
      </c>
    </row>
    <row r="775" spans="2:5" ht="15" customHeight="1">
      <c r="B775" s="83"/>
      <c r="C775" s="64" t="s">
        <v>210</v>
      </c>
      <c r="D775" s="65">
        <v>24</v>
      </c>
      <c r="E775" s="66">
        <v>6.5935877359299996E-4</v>
      </c>
    </row>
    <row r="776" spans="2:5" ht="15" customHeight="1">
      <c r="B776" s="83"/>
      <c r="C776" s="64" t="s">
        <v>220</v>
      </c>
      <c r="D776" s="65">
        <v>1</v>
      </c>
      <c r="E776" s="66">
        <v>2.7473282233000001E-5</v>
      </c>
    </row>
    <row r="777" spans="2:5" ht="15" customHeight="1">
      <c r="B777" s="83"/>
      <c r="C777" s="64" t="s">
        <v>216</v>
      </c>
      <c r="D777" s="65">
        <v>6</v>
      </c>
      <c r="E777" s="66">
        <v>1.64839693398E-4</v>
      </c>
    </row>
    <row r="778" spans="2:5" ht="15" customHeight="1">
      <c r="B778" s="83"/>
      <c r="C778" s="64" t="s">
        <v>100</v>
      </c>
      <c r="D778" s="65">
        <v>1</v>
      </c>
      <c r="E778" s="66">
        <v>2.7473282233000001E-5</v>
      </c>
    </row>
    <row r="779" spans="2:5" ht="15" customHeight="1">
      <c r="B779" s="83"/>
      <c r="C779" s="64" t="s">
        <v>211</v>
      </c>
      <c r="D779" s="65">
        <v>43</v>
      </c>
      <c r="E779" s="66">
        <v>1.1813511360199999E-3</v>
      </c>
    </row>
    <row r="780" spans="2:5" ht="15" customHeight="1">
      <c r="B780" s="83"/>
      <c r="C780" s="64" t="s">
        <v>212</v>
      </c>
      <c r="D780" s="65">
        <v>28</v>
      </c>
      <c r="E780" s="66">
        <v>7.6925190252500003E-4</v>
      </c>
    </row>
    <row r="781" spans="2:5" ht="15" customHeight="1">
      <c r="B781" s="83"/>
      <c r="C781" s="64" t="s">
        <v>213</v>
      </c>
      <c r="D781" s="65">
        <v>133</v>
      </c>
      <c r="E781" s="66">
        <v>3.6539465369929999E-3</v>
      </c>
    </row>
    <row r="782" spans="2:5" ht="15" customHeight="1">
      <c r="B782" s="83"/>
      <c r="C782" s="64" t="s">
        <v>214</v>
      </c>
      <c r="D782" s="65">
        <v>20</v>
      </c>
      <c r="E782" s="66">
        <v>5.49465644661E-4</v>
      </c>
    </row>
    <row r="783" spans="2:5" ht="15" customHeight="1">
      <c r="B783" s="83"/>
      <c r="C783" s="64" t="s">
        <v>215</v>
      </c>
      <c r="D783" s="65">
        <v>134</v>
      </c>
      <c r="E783" s="66">
        <v>3.681419819226E-3</v>
      </c>
    </row>
    <row r="784" spans="2:5" ht="15" customHeight="1">
      <c r="B784" s="82"/>
      <c r="C784" s="36" t="s">
        <v>29</v>
      </c>
      <c r="D784" s="35">
        <v>1662</v>
      </c>
      <c r="E784" s="34">
        <v>4.5660595071292998E-2</v>
      </c>
    </row>
    <row r="785" spans="2:5" ht="15" customHeight="1">
      <c r="B785" s="77" t="s">
        <v>88</v>
      </c>
      <c r="C785" s="64" t="s">
        <v>200</v>
      </c>
      <c r="D785" s="65">
        <v>6</v>
      </c>
      <c r="E785" s="66">
        <v>1.64839693398E-4</v>
      </c>
    </row>
    <row r="786" spans="2:5" ht="15" customHeight="1">
      <c r="B786" s="83"/>
      <c r="C786" s="64" t="s">
        <v>201</v>
      </c>
      <c r="D786" s="65">
        <v>10</v>
      </c>
      <c r="E786" s="66">
        <v>2.7473282233000002E-4</v>
      </c>
    </row>
    <row r="787" spans="2:5" ht="15" customHeight="1">
      <c r="B787" s="83"/>
      <c r="C787" s="64" t="s">
        <v>202</v>
      </c>
      <c r="D787" s="65">
        <v>7</v>
      </c>
      <c r="E787" s="66">
        <v>1.9231297563099999E-4</v>
      </c>
    </row>
    <row r="788" spans="2:5" ht="15" customHeight="1">
      <c r="B788" s="83"/>
      <c r="C788" s="64" t="s">
        <v>203</v>
      </c>
      <c r="D788" s="65">
        <v>2</v>
      </c>
      <c r="E788" s="66">
        <v>5.4946564466000002E-5</v>
      </c>
    </row>
    <row r="789" spans="2:5" ht="15" customHeight="1">
      <c r="B789" s="83"/>
      <c r="C789" s="64" t="s">
        <v>204</v>
      </c>
      <c r="D789" s="65">
        <v>14</v>
      </c>
      <c r="E789" s="66">
        <v>3.8462595126199998E-4</v>
      </c>
    </row>
    <row r="790" spans="2:5" ht="15" customHeight="1">
      <c r="B790" s="83"/>
      <c r="C790" s="64" t="s">
        <v>205</v>
      </c>
      <c r="D790" s="65">
        <v>17</v>
      </c>
      <c r="E790" s="66">
        <v>4.6704579796099998E-4</v>
      </c>
    </row>
    <row r="791" spans="2:5" ht="15" customHeight="1">
      <c r="B791" s="83"/>
      <c r="C791" s="64" t="s">
        <v>206</v>
      </c>
      <c r="D791" s="65">
        <v>8</v>
      </c>
      <c r="E791" s="66">
        <v>2.1978625786400001E-4</v>
      </c>
    </row>
    <row r="792" spans="2:5" ht="15" customHeight="1">
      <c r="B792" s="83"/>
      <c r="C792" s="64" t="s">
        <v>207</v>
      </c>
      <c r="D792" s="65">
        <v>25</v>
      </c>
      <c r="E792" s="66">
        <v>6.8683205582600003E-4</v>
      </c>
    </row>
    <row r="793" spans="2:5" ht="15" customHeight="1">
      <c r="B793" s="83"/>
      <c r="C793" s="64" t="s">
        <v>208</v>
      </c>
      <c r="D793" s="65">
        <v>2</v>
      </c>
      <c r="E793" s="66">
        <v>5.4946564466000002E-5</v>
      </c>
    </row>
    <row r="794" spans="2:5" ht="15" customHeight="1">
      <c r="B794" s="83"/>
      <c r="C794" s="64" t="s">
        <v>209</v>
      </c>
      <c r="D794" s="65">
        <v>12</v>
      </c>
      <c r="E794" s="66">
        <v>3.29679386796E-4</v>
      </c>
    </row>
    <row r="795" spans="2:5" ht="15" customHeight="1">
      <c r="B795" s="83"/>
      <c r="C795" s="64" t="s">
        <v>211</v>
      </c>
      <c r="D795" s="65">
        <v>3</v>
      </c>
      <c r="E795" s="66">
        <v>8.2419846699E-5</v>
      </c>
    </row>
    <row r="796" spans="2:5" ht="15" customHeight="1">
      <c r="B796" s="83"/>
      <c r="C796" s="64" t="s">
        <v>212</v>
      </c>
      <c r="D796" s="65">
        <v>3</v>
      </c>
      <c r="E796" s="66">
        <v>8.2419846699E-5</v>
      </c>
    </row>
    <row r="797" spans="2:5" ht="15" customHeight="1">
      <c r="B797" s="83"/>
      <c r="C797" s="64" t="s">
        <v>213</v>
      </c>
      <c r="D797" s="65">
        <v>6</v>
      </c>
      <c r="E797" s="66">
        <v>1.64839693398E-4</v>
      </c>
    </row>
    <row r="798" spans="2:5" ht="15" customHeight="1">
      <c r="B798" s="83"/>
      <c r="C798" s="64" t="s">
        <v>214</v>
      </c>
      <c r="D798" s="65">
        <v>1</v>
      </c>
      <c r="E798" s="66">
        <v>2.7473282233000001E-5</v>
      </c>
    </row>
    <row r="799" spans="2:5" ht="15" customHeight="1">
      <c r="B799" s="83"/>
      <c r="C799" s="64" t="s">
        <v>215</v>
      </c>
      <c r="D799" s="65">
        <v>11</v>
      </c>
      <c r="E799" s="66">
        <v>3.0220610456299998E-4</v>
      </c>
    </row>
    <row r="800" spans="2:5" ht="15" customHeight="1">
      <c r="B800" s="82"/>
      <c r="C800" s="36" t="s">
        <v>29</v>
      </c>
      <c r="D800" s="35">
        <v>127</v>
      </c>
      <c r="E800" s="34">
        <v>3.4891068435949999E-3</v>
      </c>
    </row>
    <row r="801" spans="2:5" ht="15" customHeight="1">
      <c r="B801" s="77" t="s">
        <v>94</v>
      </c>
      <c r="C801" s="64" t="s">
        <v>200</v>
      </c>
      <c r="D801" s="65">
        <v>2</v>
      </c>
      <c r="E801" s="66">
        <v>5.4946564466000002E-5</v>
      </c>
    </row>
    <row r="802" spans="2:5" ht="15" customHeight="1">
      <c r="B802" s="83"/>
      <c r="C802" s="64" t="s">
        <v>201</v>
      </c>
      <c r="D802" s="65">
        <v>6</v>
      </c>
      <c r="E802" s="66">
        <v>1.64839693398E-4</v>
      </c>
    </row>
    <row r="803" spans="2:5" ht="15" customHeight="1">
      <c r="B803" s="83"/>
      <c r="C803" s="64" t="s">
        <v>202</v>
      </c>
      <c r="D803" s="65">
        <v>4</v>
      </c>
      <c r="E803" s="66">
        <v>1.09893128932E-4</v>
      </c>
    </row>
    <row r="804" spans="2:5" ht="15" customHeight="1">
      <c r="B804" s="83"/>
      <c r="C804" s="64" t="s">
        <v>204</v>
      </c>
      <c r="D804" s="65">
        <v>7</v>
      </c>
      <c r="E804" s="66">
        <v>1.9231297563099999E-4</v>
      </c>
    </row>
    <row r="805" spans="2:5" ht="15" customHeight="1">
      <c r="B805" s="83"/>
      <c r="C805" s="64" t="s">
        <v>205</v>
      </c>
      <c r="D805" s="65">
        <v>5</v>
      </c>
      <c r="E805" s="66">
        <v>1.3736641116500001E-4</v>
      </c>
    </row>
    <row r="806" spans="2:5" ht="15" customHeight="1">
      <c r="B806" s="83"/>
      <c r="C806" s="64" t="s">
        <v>206</v>
      </c>
      <c r="D806" s="65">
        <v>2</v>
      </c>
      <c r="E806" s="66">
        <v>5.4946564466000002E-5</v>
      </c>
    </row>
    <row r="807" spans="2:5" ht="15" customHeight="1">
      <c r="B807" s="83"/>
      <c r="C807" s="64" t="s">
        <v>207</v>
      </c>
      <c r="D807" s="65">
        <v>3</v>
      </c>
      <c r="E807" s="66">
        <v>8.2419846699E-5</v>
      </c>
    </row>
    <row r="808" spans="2:5" ht="15" customHeight="1">
      <c r="B808" s="83"/>
      <c r="C808" s="64" t="s">
        <v>208</v>
      </c>
      <c r="D808" s="65">
        <v>2</v>
      </c>
      <c r="E808" s="66">
        <v>5.4946564466000002E-5</v>
      </c>
    </row>
    <row r="809" spans="2:5" ht="15" customHeight="1">
      <c r="B809" s="83"/>
      <c r="C809" s="64" t="s">
        <v>209</v>
      </c>
      <c r="D809" s="65">
        <v>6</v>
      </c>
      <c r="E809" s="66">
        <v>1.64839693398E-4</v>
      </c>
    </row>
    <row r="810" spans="2:5" ht="15" customHeight="1">
      <c r="B810" s="83"/>
      <c r="C810" s="64" t="s">
        <v>211</v>
      </c>
      <c r="D810" s="65">
        <v>2</v>
      </c>
      <c r="E810" s="66">
        <v>5.4946564466000002E-5</v>
      </c>
    </row>
    <row r="811" spans="2:5" ht="15" customHeight="1">
      <c r="B811" s="83"/>
      <c r="C811" s="64" t="s">
        <v>213</v>
      </c>
      <c r="D811" s="65">
        <v>3</v>
      </c>
      <c r="E811" s="66">
        <v>8.2419846699E-5</v>
      </c>
    </row>
    <row r="812" spans="2:5" ht="15" customHeight="1">
      <c r="B812" s="83"/>
      <c r="C812" s="64" t="s">
        <v>215</v>
      </c>
      <c r="D812" s="65">
        <v>3</v>
      </c>
      <c r="E812" s="66">
        <v>8.2419846699E-5</v>
      </c>
    </row>
    <row r="813" spans="2:5" ht="15" customHeight="1">
      <c r="B813" s="82"/>
      <c r="C813" s="36" t="s">
        <v>29</v>
      </c>
      <c r="D813" s="35">
        <v>45</v>
      </c>
      <c r="E813" s="34">
        <v>1.2362977004860001E-3</v>
      </c>
    </row>
    <row r="814" spans="2:5" ht="15" customHeight="1">
      <c r="B814" s="77" t="s">
        <v>82</v>
      </c>
      <c r="C814" s="64" t="s">
        <v>200</v>
      </c>
      <c r="D814" s="65">
        <v>21</v>
      </c>
      <c r="E814" s="66">
        <v>5.7693892689399996E-4</v>
      </c>
    </row>
    <row r="815" spans="2:5" ht="15" customHeight="1">
      <c r="B815" s="83"/>
      <c r="C815" s="64" t="s">
        <v>201</v>
      </c>
      <c r="D815" s="65">
        <v>9</v>
      </c>
      <c r="E815" s="66">
        <v>2.47259540097E-4</v>
      </c>
    </row>
    <row r="816" spans="2:5" ht="15" customHeight="1">
      <c r="B816" s="83"/>
      <c r="C816" s="64" t="s">
        <v>202</v>
      </c>
      <c r="D816" s="65">
        <v>8</v>
      </c>
      <c r="E816" s="66">
        <v>2.1978625786400001E-4</v>
      </c>
    </row>
    <row r="817" spans="2:5" ht="15" customHeight="1">
      <c r="B817" s="83"/>
      <c r="C817" s="64" t="s">
        <v>203</v>
      </c>
      <c r="D817" s="65">
        <v>6</v>
      </c>
      <c r="E817" s="66">
        <v>1.64839693398E-4</v>
      </c>
    </row>
    <row r="818" spans="2:5" ht="15" customHeight="1">
      <c r="B818" s="83"/>
      <c r="C818" s="64" t="s">
        <v>204</v>
      </c>
      <c r="D818" s="65">
        <v>39</v>
      </c>
      <c r="E818" s="66">
        <v>1.0714580070880001E-3</v>
      </c>
    </row>
    <row r="819" spans="2:5" ht="15" customHeight="1">
      <c r="B819" s="83"/>
      <c r="C819" s="64" t="s">
        <v>205</v>
      </c>
      <c r="D819" s="65">
        <v>37</v>
      </c>
      <c r="E819" s="66">
        <v>1.0165114426219999E-3</v>
      </c>
    </row>
    <row r="820" spans="2:5" ht="15" customHeight="1">
      <c r="B820" s="83"/>
      <c r="C820" s="64" t="s">
        <v>206</v>
      </c>
      <c r="D820" s="65">
        <v>15</v>
      </c>
      <c r="E820" s="66">
        <v>4.12099233495E-4</v>
      </c>
    </row>
    <row r="821" spans="2:5" ht="15" customHeight="1">
      <c r="B821" s="83"/>
      <c r="C821" s="64" t="s">
        <v>207</v>
      </c>
      <c r="D821" s="65">
        <v>29</v>
      </c>
      <c r="E821" s="66">
        <v>7.96725184758E-4</v>
      </c>
    </row>
    <row r="822" spans="2:5" ht="15" customHeight="1">
      <c r="B822" s="83"/>
      <c r="C822" s="64" t="s">
        <v>208</v>
      </c>
      <c r="D822" s="65">
        <v>4</v>
      </c>
      <c r="E822" s="66">
        <v>1.09893128932E-4</v>
      </c>
    </row>
    <row r="823" spans="2:5" ht="15" customHeight="1">
      <c r="B823" s="83"/>
      <c r="C823" s="64" t="s">
        <v>209</v>
      </c>
      <c r="D823" s="65">
        <v>31</v>
      </c>
      <c r="E823" s="66">
        <v>8.5167174922400003E-4</v>
      </c>
    </row>
    <row r="824" spans="2:5" ht="15" customHeight="1">
      <c r="B824" s="83"/>
      <c r="C824" s="64" t="s">
        <v>220</v>
      </c>
      <c r="D824" s="65">
        <v>1</v>
      </c>
      <c r="E824" s="66">
        <v>2.7473282233000001E-5</v>
      </c>
    </row>
    <row r="825" spans="2:5" ht="15" customHeight="1">
      <c r="B825" s="83"/>
      <c r="C825" s="64" t="s">
        <v>216</v>
      </c>
      <c r="D825" s="65">
        <v>3</v>
      </c>
      <c r="E825" s="66">
        <v>8.2419846699E-5</v>
      </c>
    </row>
    <row r="826" spans="2:5" ht="15" customHeight="1">
      <c r="B826" s="83"/>
      <c r="C826" s="64" t="s">
        <v>211</v>
      </c>
      <c r="D826" s="65">
        <v>10</v>
      </c>
      <c r="E826" s="66">
        <v>2.7473282233000002E-4</v>
      </c>
    </row>
    <row r="827" spans="2:5" ht="15" customHeight="1">
      <c r="B827" s="83"/>
      <c r="C827" s="64" t="s">
        <v>212</v>
      </c>
      <c r="D827" s="65">
        <v>1</v>
      </c>
      <c r="E827" s="66">
        <v>2.7473282233000001E-5</v>
      </c>
    </row>
    <row r="828" spans="2:5" ht="15" customHeight="1">
      <c r="B828" s="83"/>
      <c r="C828" s="64" t="s">
        <v>213</v>
      </c>
      <c r="D828" s="65">
        <v>17</v>
      </c>
      <c r="E828" s="66">
        <v>4.6704579796099998E-4</v>
      </c>
    </row>
    <row r="829" spans="2:5" ht="15" customHeight="1">
      <c r="B829" s="83"/>
      <c r="C829" s="64" t="s">
        <v>214</v>
      </c>
      <c r="D829" s="65">
        <v>3</v>
      </c>
      <c r="E829" s="66">
        <v>8.2419846699E-5</v>
      </c>
    </row>
    <row r="830" spans="2:5" ht="15" customHeight="1">
      <c r="B830" s="83"/>
      <c r="C830" s="64" t="s">
        <v>215</v>
      </c>
      <c r="D830" s="65">
        <v>30</v>
      </c>
      <c r="E830" s="66">
        <v>8.2419846699099996E-4</v>
      </c>
    </row>
    <row r="831" spans="2:5" ht="15" customHeight="1">
      <c r="B831" s="82"/>
      <c r="C831" s="36" t="s">
        <v>29</v>
      </c>
      <c r="D831" s="35">
        <v>264</v>
      </c>
      <c r="E831" s="34">
        <v>7.2529465095189996E-3</v>
      </c>
    </row>
    <row r="832" spans="2:5" ht="15" customHeight="1">
      <c r="B832" s="77" t="s">
        <v>99</v>
      </c>
      <c r="C832" s="64" t="s">
        <v>201</v>
      </c>
      <c r="D832" s="65">
        <v>1</v>
      </c>
      <c r="E832" s="66">
        <v>2.7473282233000001E-5</v>
      </c>
    </row>
    <row r="833" spans="2:5" ht="15" customHeight="1">
      <c r="B833" s="83"/>
      <c r="C833" s="64" t="s">
        <v>204</v>
      </c>
      <c r="D833" s="65">
        <v>1</v>
      </c>
      <c r="E833" s="66">
        <v>2.7473282233000001E-5</v>
      </c>
    </row>
    <row r="834" spans="2:5" ht="15" customHeight="1">
      <c r="B834" s="83"/>
      <c r="C834" s="64" t="s">
        <v>206</v>
      </c>
      <c r="D834" s="65">
        <v>1</v>
      </c>
      <c r="E834" s="66">
        <v>2.7473282233000001E-5</v>
      </c>
    </row>
    <row r="835" spans="2:5" ht="15" customHeight="1">
      <c r="B835" s="83"/>
      <c r="C835" s="64" t="s">
        <v>207</v>
      </c>
      <c r="D835" s="65">
        <v>1</v>
      </c>
      <c r="E835" s="66">
        <v>2.7473282233000001E-5</v>
      </c>
    </row>
    <row r="836" spans="2:5" ht="15" customHeight="1">
      <c r="B836" s="83"/>
      <c r="C836" s="64" t="s">
        <v>209</v>
      </c>
      <c r="D836" s="65">
        <v>1</v>
      </c>
      <c r="E836" s="66">
        <v>2.7473282233000001E-5</v>
      </c>
    </row>
    <row r="837" spans="2:5" ht="15" customHeight="1">
      <c r="B837" s="83"/>
      <c r="C837" s="64" t="s">
        <v>212</v>
      </c>
      <c r="D837" s="65">
        <v>1</v>
      </c>
      <c r="E837" s="66">
        <v>2.7473282233000001E-5</v>
      </c>
    </row>
    <row r="838" spans="2:5" ht="15" customHeight="1">
      <c r="B838" s="83"/>
      <c r="C838" s="64" t="s">
        <v>215</v>
      </c>
      <c r="D838" s="65">
        <v>1</v>
      </c>
      <c r="E838" s="66">
        <v>2.7473282233000001E-5</v>
      </c>
    </row>
    <row r="839" spans="2:5" ht="15" customHeight="1">
      <c r="B839" s="82"/>
      <c r="C839" s="36" t="s">
        <v>29</v>
      </c>
      <c r="D839" s="35">
        <v>7</v>
      </c>
      <c r="E839" s="34">
        <v>1.9231297563099999E-4</v>
      </c>
    </row>
    <row r="840" spans="2:5" ht="15" customHeight="1">
      <c r="B840" s="80" t="s">
        <v>29</v>
      </c>
      <c r="C840" s="81"/>
      <c r="D840" s="62">
        <v>36399</v>
      </c>
      <c r="E840" s="63">
        <v>1</v>
      </c>
    </row>
    <row r="842" spans="2:5" ht="15" customHeight="1">
      <c r="B842" s="15" t="s">
        <v>47</v>
      </c>
    </row>
    <row r="843" spans="2:5" ht="15" customHeight="1">
      <c r="B843" s="17" t="s">
        <v>17</v>
      </c>
    </row>
    <row r="844" spans="2:5" ht="15" customHeight="1">
      <c r="B844" s="16" t="s">
        <v>48</v>
      </c>
    </row>
    <row r="845" spans="2:5" ht="15" customHeight="1">
      <c r="B845" s="15" t="s">
        <v>16</v>
      </c>
    </row>
    <row r="846" spans="2:5" ht="15" customHeight="1">
      <c r="B846" s="15" t="s">
        <v>49</v>
      </c>
    </row>
  </sheetData>
  <mergeCells count="54">
    <mergeCell ref="B415:B432"/>
    <mergeCell ref="B449:B453"/>
    <mergeCell ref="B454:B470"/>
    <mergeCell ref="B7:E8"/>
    <mergeCell ref="B507:B523"/>
    <mergeCell ref="B524:B542"/>
    <mergeCell ref="B543:B559"/>
    <mergeCell ref="B560:B577"/>
    <mergeCell ref="B10:B24"/>
    <mergeCell ref="B25:B42"/>
    <mergeCell ref="B43:B59"/>
    <mergeCell ref="B60:B75"/>
    <mergeCell ref="B76:B90"/>
    <mergeCell ref="B91:B105"/>
    <mergeCell ref="B106:B113"/>
    <mergeCell ref="B114:B132"/>
    <mergeCell ref="B133:B151"/>
    <mergeCell ref="B152:B156"/>
    <mergeCell ref="B157:B172"/>
    <mergeCell ref="B173:B190"/>
    <mergeCell ref="B191:B192"/>
    <mergeCell ref="B193:B198"/>
    <mergeCell ref="B199:B214"/>
    <mergeCell ref="B433:B448"/>
    <mergeCell ref="B215:B232"/>
    <mergeCell ref="B233:B250"/>
    <mergeCell ref="B251:B270"/>
    <mergeCell ref="B271:B288"/>
    <mergeCell ref="B289:B306"/>
    <mergeCell ref="B307:B323"/>
    <mergeCell ref="B324:B341"/>
    <mergeCell ref="B342:B361"/>
    <mergeCell ref="B362:B380"/>
    <mergeCell ref="B381:B396"/>
    <mergeCell ref="B397:B414"/>
    <mergeCell ref="B471:B488"/>
    <mergeCell ref="B489:B506"/>
    <mergeCell ref="B602:B621"/>
    <mergeCell ref="B622:B640"/>
    <mergeCell ref="B641:B657"/>
    <mergeCell ref="B578:B593"/>
    <mergeCell ref="B594:B601"/>
    <mergeCell ref="B658:B673"/>
    <mergeCell ref="B674:B691"/>
    <mergeCell ref="B692:B709"/>
    <mergeCell ref="B710:B727"/>
    <mergeCell ref="B728:B745"/>
    <mergeCell ref="B832:B839"/>
    <mergeCell ref="B840:C840"/>
    <mergeCell ref="B746:B763"/>
    <mergeCell ref="B764:B784"/>
    <mergeCell ref="B785:B800"/>
    <mergeCell ref="B801:B813"/>
    <mergeCell ref="B814:B83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D75"/>
  <sheetViews>
    <sheetView showGridLines="0" view="pageBreakPreview" topLeftCell="A4" zoomScale="115" zoomScaleNormal="100" zoomScaleSheetLayoutView="115" workbookViewId="0">
      <selection activeCell="B15" sqref="B15"/>
    </sheetView>
  </sheetViews>
  <sheetFormatPr baseColWidth="10" defaultColWidth="11.453125" defaultRowHeight="14.5"/>
  <cols>
    <col min="1" max="1" width="9.26953125" style="13" customWidth="1"/>
    <col min="2" max="2" width="39.4531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3.81640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76" t="s">
        <v>41</v>
      </c>
      <c r="C7" s="76"/>
      <c r="D7" s="76"/>
    </row>
    <row r="8" spans="2:4" s="25" customFormat="1" ht="15" customHeight="1">
      <c r="B8" s="76"/>
      <c r="C8" s="76"/>
      <c r="D8" s="76"/>
    </row>
    <row r="9" spans="2:4" s="25" customFormat="1" ht="33" customHeight="1">
      <c r="B9" s="76"/>
      <c r="C9" s="76"/>
      <c r="D9" s="76"/>
    </row>
    <row r="10" spans="2:4" s="25" customFormat="1" ht="4.5" customHeight="1">
      <c r="B10" s="29"/>
      <c r="C10" s="29"/>
      <c r="D10" s="29"/>
    </row>
    <row r="11" spans="2:4" s="25" customFormat="1" ht="33" customHeight="1">
      <c r="B11" s="28" t="s">
        <v>27</v>
      </c>
      <c r="C11" s="27" t="s">
        <v>26</v>
      </c>
      <c r="D11" s="26" t="s">
        <v>18</v>
      </c>
    </row>
    <row r="12" spans="2:4" ht="14.5" customHeight="1">
      <c r="B12" s="23" t="s">
        <v>228</v>
      </c>
      <c r="C12" s="22">
        <v>2</v>
      </c>
      <c r="D12" s="21">
        <v>5.4946564466000002E-5</v>
      </c>
    </row>
    <row r="13" spans="2:4" ht="14.5" customHeight="1">
      <c r="B13" s="23" t="s">
        <v>229</v>
      </c>
      <c r="C13" s="22">
        <v>139</v>
      </c>
      <c r="D13" s="21">
        <v>3.8187862303909999E-3</v>
      </c>
    </row>
    <row r="14" spans="2:4" ht="14.5" customHeight="1">
      <c r="B14" s="23" t="s">
        <v>230</v>
      </c>
      <c r="C14" s="22">
        <v>67</v>
      </c>
      <c r="D14" s="21">
        <v>1.840709909613E-3</v>
      </c>
    </row>
    <row r="15" spans="2:4" ht="14.5" customHeight="1">
      <c r="B15" s="23" t="s">
        <v>231</v>
      </c>
      <c r="C15" s="22">
        <v>75</v>
      </c>
      <c r="D15" s="21">
        <v>2.0604961674769999E-3</v>
      </c>
    </row>
    <row r="16" spans="2:4" ht="14.5" customHeight="1">
      <c r="B16" s="23" t="s">
        <v>232</v>
      </c>
      <c r="C16" s="22">
        <v>165</v>
      </c>
      <c r="D16" s="21">
        <v>4.5330915684500001E-3</v>
      </c>
    </row>
    <row r="17" spans="2:4" ht="14.5" customHeight="1">
      <c r="B17" s="23" t="s">
        <v>233</v>
      </c>
      <c r="C17" s="22">
        <v>125</v>
      </c>
      <c r="D17" s="21">
        <v>3.4341602791290002E-3</v>
      </c>
    </row>
    <row r="18" spans="2:4" ht="14.5" customHeight="1">
      <c r="B18" s="23" t="s">
        <v>234</v>
      </c>
      <c r="C18" s="22">
        <v>182</v>
      </c>
      <c r="D18" s="21">
        <v>5.0001373664109996E-3</v>
      </c>
    </row>
    <row r="19" spans="2:4" ht="14.5" customHeight="1">
      <c r="B19" s="23" t="s">
        <v>235</v>
      </c>
      <c r="C19" s="22">
        <v>1430</v>
      </c>
      <c r="D19" s="21">
        <v>3.9286793593230999E-2</v>
      </c>
    </row>
    <row r="20" spans="2:4" ht="14.5" customHeight="1">
      <c r="B20" s="23" t="s">
        <v>236</v>
      </c>
      <c r="C20" s="22">
        <v>2984</v>
      </c>
      <c r="D20" s="21">
        <v>8.1980274183357002E-2</v>
      </c>
    </row>
    <row r="21" spans="2:4" ht="14.5" customHeight="1">
      <c r="B21" s="23" t="s">
        <v>237</v>
      </c>
      <c r="C21" s="22">
        <v>344</v>
      </c>
      <c r="D21" s="21">
        <v>9.4508090881619995E-3</v>
      </c>
    </row>
    <row r="22" spans="2:4" ht="14.5" customHeight="1">
      <c r="B22" s="23" t="s">
        <v>238</v>
      </c>
      <c r="C22" s="22">
        <v>803</v>
      </c>
      <c r="D22" s="21">
        <v>2.2061045633122001E-2</v>
      </c>
    </row>
    <row r="23" spans="2:4" ht="14.5" customHeight="1">
      <c r="B23" s="23" t="s">
        <v>239</v>
      </c>
      <c r="C23" s="22">
        <v>1267</v>
      </c>
      <c r="D23" s="21">
        <v>3.4808648589247003E-2</v>
      </c>
    </row>
    <row r="24" spans="2:4" ht="14.5" customHeight="1">
      <c r="B24" s="23" t="s">
        <v>240</v>
      </c>
      <c r="C24" s="22">
        <v>12045</v>
      </c>
      <c r="D24" s="21">
        <v>0.33091568449682701</v>
      </c>
    </row>
    <row r="25" spans="2:4" ht="14.5" customHeight="1">
      <c r="B25" s="23" t="s">
        <v>241</v>
      </c>
      <c r="C25" s="22">
        <v>1033</v>
      </c>
      <c r="D25" s="21">
        <v>2.8379900546718E-2</v>
      </c>
    </row>
    <row r="26" spans="2:4" ht="14.5" customHeight="1">
      <c r="B26" s="23" t="s">
        <v>242</v>
      </c>
      <c r="C26" s="22">
        <v>2484</v>
      </c>
      <c r="D26" s="21">
        <v>6.8243633066843001E-2</v>
      </c>
    </row>
    <row r="27" spans="2:4" ht="14.5" customHeight="1">
      <c r="B27" s="23" t="s">
        <v>243</v>
      </c>
      <c r="C27" s="22">
        <v>9381</v>
      </c>
      <c r="D27" s="21">
        <v>0.25772686062803901</v>
      </c>
    </row>
    <row r="28" spans="2:4" ht="14.5" customHeight="1">
      <c r="B28" s="23" t="s">
        <v>244</v>
      </c>
      <c r="C28" s="22">
        <v>181</v>
      </c>
      <c r="D28" s="21">
        <v>4.9726640841780004E-3</v>
      </c>
    </row>
    <row r="29" spans="2:4" ht="14.5" customHeight="1">
      <c r="B29" s="23" t="s">
        <v>245</v>
      </c>
      <c r="C29" s="22">
        <v>224</v>
      </c>
      <c r="D29" s="21">
        <v>6.1540152201980001E-3</v>
      </c>
    </row>
    <row r="30" spans="2:4" ht="14.5" customHeight="1">
      <c r="B30" s="23" t="s">
        <v>246</v>
      </c>
      <c r="C30" s="22">
        <v>110</v>
      </c>
      <c r="D30" s="21">
        <v>3.0220610456329999E-3</v>
      </c>
    </row>
    <row r="31" spans="2:4" ht="14.5" customHeight="1">
      <c r="B31" s="23" t="s">
        <v>247</v>
      </c>
      <c r="C31" s="22">
        <v>56</v>
      </c>
      <c r="D31" s="21">
        <v>1.5385038050500001E-3</v>
      </c>
    </row>
    <row r="32" spans="2:4" ht="14.5" customHeight="1">
      <c r="B32" s="23" t="s">
        <v>248</v>
      </c>
      <c r="C32" s="22">
        <v>786</v>
      </c>
      <c r="D32" s="21">
        <v>2.1593999835159999E-2</v>
      </c>
    </row>
    <row r="33" spans="2:4" ht="14.5" customHeight="1">
      <c r="B33" s="23" t="s">
        <v>249</v>
      </c>
      <c r="C33" s="22">
        <v>2302</v>
      </c>
      <c r="D33" s="21">
        <v>6.3243495700431002E-2</v>
      </c>
    </row>
    <row r="34" spans="2:4" ht="14.5" customHeight="1">
      <c r="B34" s="23" t="s">
        <v>250</v>
      </c>
      <c r="C34" s="22">
        <v>9</v>
      </c>
      <c r="D34" s="21">
        <v>2.47259540097E-4</v>
      </c>
    </row>
    <row r="35" spans="2:4" ht="14.5" customHeight="1">
      <c r="B35" s="23" t="s">
        <v>251</v>
      </c>
      <c r="C35" s="22">
        <v>177</v>
      </c>
      <c r="D35" s="21">
        <v>4.8627709552460001E-3</v>
      </c>
    </row>
    <row r="36" spans="2:4" ht="14.5" customHeight="1">
      <c r="B36" s="23" t="s">
        <v>252</v>
      </c>
      <c r="C36" s="22">
        <v>28</v>
      </c>
      <c r="D36" s="21">
        <v>7.6925190252500003E-4</v>
      </c>
    </row>
    <row r="37" spans="2:4" ht="14.5" customHeight="1">
      <c r="B37" s="20" t="s">
        <v>29</v>
      </c>
      <c r="C37" s="19">
        <v>36399</v>
      </c>
      <c r="D37" s="18">
        <v>1</v>
      </c>
    </row>
    <row r="38" spans="2:4" ht="14.5" customHeight="1">
      <c r="C38" s="13"/>
    </row>
    <row r="39" spans="2:4" ht="14.5" customHeight="1">
      <c r="B39" s="15" t="s">
        <v>47</v>
      </c>
      <c r="C39" s="13"/>
    </row>
    <row r="40" spans="2:4" ht="14.5" customHeight="1">
      <c r="B40" s="17" t="s">
        <v>17</v>
      </c>
      <c r="C40" s="13"/>
    </row>
    <row r="41" spans="2:4" ht="14.5" customHeight="1">
      <c r="B41" s="16" t="s">
        <v>48</v>
      </c>
      <c r="C41" s="13"/>
    </row>
    <row r="42" spans="2:4" ht="14.5" customHeight="1">
      <c r="B42" s="15" t="s">
        <v>16</v>
      </c>
      <c r="C42" s="13"/>
    </row>
    <row r="43" spans="2:4" ht="14.5" customHeight="1">
      <c r="B43" s="15" t="s">
        <v>49</v>
      </c>
      <c r="C43" s="13"/>
    </row>
    <row r="44" spans="2:4">
      <c r="B44" s="54"/>
      <c r="C44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809"/>
  <sheetViews>
    <sheetView showGridLines="0" view="pageBreakPreview" zoomScale="85" zoomScaleNormal="100" zoomScaleSheetLayoutView="85" workbookViewId="0">
      <selection activeCell="E803" sqref="B10:E803"/>
    </sheetView>
  </sheetViews>
  <sheetFormatPr baseColWidth="10" defaultColWidth="35" defaultRowHeight="15" customHeight="1"/>
  <cols>
    <col min="1" max="1" width="1" style="32" customWidth="1"/>
    <col min="2" max="2" width="27" style="33" customWidth="1"/>
    <col min="3" max="3" width="28.5429687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4"/>
      <c r="C7" s="84"/>
      <c r="D7" s="84"/>
      <c r="E7" s="84"/>
    </row>
    <row r="8" spans="1:5" s="41" customFormat="1" ht="33" customHeight="1">
      <c r="A8" s="42"/>
      <c r="B8" s="84"/>
      <c r="C8" s="84"/>
      <c r="D8" s="84"/>
      <c r="E8" s="84"/>
    </row>
    <row r="9" spans="1:5" s="25" customFormat="1" ht="40.5" customHeight="1">
      <c r="B9" s="38" t="s">
        <v>28</v>
      </c>
      <c r="C9" s="40" t="s">
        <v>24</v>
      </c>
      <c r="D9" s="39" t="s">
        <v>19</v>
      </c>
      <c r="E9" s="38" t="s">
        <v>18</v>
      </c>
    </row>
    <row r="10" spans="1:5" ht="15" customHeight="1">
      <c r="B10" s="77" t="s">
        <v>228</v>
      </c>
      <c r="C10" s="64" t="s">
        <v>107</v>
      </c>
      <c r="D10" s="65">
        <v>2</v>
      </c>
      <c r="E10" s="66">
        <v>5.4946564466000002E-5</v>
      </c>
    </row>
    <row r="11" spans="1:5" ht="15" customHeight="1">
      <c r="B11" s="82"/>
      <c r="C11" s="36" t="s">
        <v>29</v>
      </c>
      <c r="D11" s="35">
        <v>2</v>
      </c>
      <c r="E11" s="34">
        <v>5.4946564466000002E-5</v>
      </c>
    </row>
    <row r="12" spans="1:5" ht="15" customHeight="1">
      <c r="B12" s="77" t="s">
        <v>229</v>
      </c>
      <c r="C12" s="64" t="s">
        <v>103</v>
      </c>
      <c r="D12" s="65">
        <v>2</v>
      </c>
      <c r="E12" s="66">
        <v>5.4946564466000002E-5</v>
      </c>
    </row>
    <row r="13" spans="1:5" ht="15" customHeight="1">
      <c r="B13" s="83"/>
      <c r="C13" s="64" t="s">
        <v>105</v>
      </c>
      <c r="D13" s="65">
        <v>2</v>
      </c>
      <c r="E13" s="66">
        <v>5.4946564466000002E-5</v>
      </c>
    </row>
    <row r="14" spans="1:5" ht="15" customHeight="1">
      <c r="B14" s="83"/>
      <c r="C14" s="64" t="s">
        <v>106</v>
      </c>
      <c r="D14" s="65">
        <v>3</v>
      </c>
      <c r="E14" s="66">
        <v>8.2419846699E-5</v>
      </c>
    </row>
    <row r="15" spans="1:5" ht="15" customHeight="1">
      <c r="B15" s="83"/>
      <c r="C15" s="64" t="s">
        <v>107</v>
      </c>
      <c r="D15" s="65">
        <v>47</v>
      </c>
      <c r="E15" s="66">
        <v>1.291244264952E-3</v>
      </c>
    </row>
    <row r="16" spans="1:5" ht="15" customHeight="1">
      <c r="B16" s="83"/>
      <c r="C16" s="64" t="s">
        <v>108</v>
      </c>
      <c r="D16" s="65">
        <v>4</v>
      </c>
      <c r="E16" s="66">
        <v>1.09893128932E-4</v>
      </c>
    </row>
    <row r="17" spans="2:5" ht="15" customHeight="1">
      <c r="B17" s="83"/>
      <c r="C17" s="64" t="s">
        <v>109</v>
      </c>
      <c r="D17" s="65">
        <v>1</v>
      </c>
      <c r="E17" s="66">
        <v>2.7473282233000001E-5</v>
      </c>
    </row>
    <row r="18" spans="2:5" ht="15" customHeight="1">
      <c r="B18" s="83"/>
      <c r="C18" s="64" t="s">
        <v>112</v>
      </c>
      <c r="D18" s="65">
        <v>7</v>
      </c>
      <c r="E18" s="66">
        <v>1.9231297563099999E-4</v>
      </c>
    </row>
    <row r="19" spans="2:5" ht="15" customHeight="1">
      <c r="B19" s="83"/>
      <c r="C19" s="64" t="s">
        <v>113</v>
      </c>
      <c r="D19" s="65">
        <v>4</v>
      </c>
      <c r="E19" s="66">
        <v>1.09893128932E-4</v>
      </c>
    </row>
    <row r="20" spans="2:5" ht="15" customHeight="1">
      <c r="B20" s="83"/>
      <c r="C20" s="64" t="s">
        <v>116</v>
      </c>
      <c r="D20" s="65">
        <v>18</v>
      </c>
      <c r="E20" s="66">
        <v>4.9451908019499996E-4</v>
      </c>
    </row>
    <row r="21" spans="2:5" ht="15" customHeight="1">
      <c r="B21" s="83"/>
      <c r="C21" s="64" t="s">
        <v>117</v>
      </c>
      <c r="D21" s="65">
        <v>1</v>
      </c>
      <c r="E21" s="66">
        <v>2.7473282233000001E-5</v>
      </c>
    </row>
    <row r="22" spans="2:5" ht="15" customHeight="1">
      <c r="B22" s="83"/>
      <c r="C22" s="64" t="s">
        <v>119</v>
      </c>
      <c r="D22" s="65">
        <v>1</v>
      </c>
      <c r="E22" s="66">
        <v>2.7473282233000001E-5</v>
      </c>
    </row>
    <row r="23" spans="2:5" ht="15" customHeight="1">
      <c r="B23" s="83"/>
      <c r="C23" s="64" t="s">
        <v>120</v>
      </c>
      <c r="D23" s="65">
        <v>1</v>
      </c>
      <c r="E23" s="66">
        <v>2.7473282233000001E-5</v>
      </c>
    </row>
    <row r="24" spans="2:5" ht="15" customHeight="1">
      <c r="B24" s="83"/>
      <c r="C24" s="64" t="s">
        <v>123</v>
      </c>
      <c r="D24" s="65">
        <v>1</v>
      </c>
      <c r="E24" s="66">
        <v>2.7473282233000001E-5</v>
      </c>
    </row>
    <row r="25" spans="2:5" ht="15" customHeight="1">
      <c r="B25" s="83"/>
      <c r="C25" s="64" t="s">
        <v>125</v>
      </c>
      <c r="D25" s="65">
        <v>4</v>
      </c>
      <c r="E25" s="66">
        <v>1.09893128932E-4</v>
      </c>
    </row>
    <row r="26" spans="2:5" ht="15" customHeight="1">
      <c r="B26" s="83"/>
      <c r="C26" s="64" t="s">
        <v>126</v>
      </c>
      <c r="D26" s="65">
        <v>2</v>
      </c>
      <c r="E26" s="66">
        <v>5.4946564466000002E-5</v>
      </c>
    </row>
    <row r="27" spans="2:5" ht="15" customHeight="1">
      <c r="B27" s="83"/>
      <c r="C27" s="64" t="s">
        <v>128</v>
      </c>
      <c r="D27" s="65">
        <v>2</v>
      </c>
      <c r="E27" s="66">
        <v>5.4946564466000002E-5</v>
      </c>
    </row>
    <row r="28" spans="2:5" ht="15" customHeight="1">
      <c r="B28" s="83"/>
      <c r="C28" s="64" t="s">
        <v>131</v>
      </c>
      <c r="D28" s="65">
        <v>3</v>
      </c>
      <c r="E28" s="66">
        <v>8.2419846699E-5</v>
      </c>
    </row>
    <row r="29" spans="2:5" ht="15" customHeight="1">
      <c r="B29" s="83"/>
      <c r="C29" s="64" t="s">
        <v>133</v>
      </c>
      <c r="D29" s="65">
        <v>1</v>
      </c>
      <c r="E29" s="66">
        <v>2.7473282233000001E-5</v>
      </c>
    </row>
    <row r="30" spans="2:5" ht="15" customHeight="1">
      <c r="B30" s="83"/>
      <c r="C30" s="64" t="s">
        <v>135</v>
      </c>
      <c r="D30" s="65">
        <v>3</v>
      </c>
      <c r="E30" s="66">
        <v>8.2419846699E-5</v>
      </c>
    </row>
    <row r="31" spans="2:5" ht="15" customHeight="1">
      <c r="B31" s="83"/>
      <c r="C31" s="64" t="s">
        <v>136</v>
      </c>
      <c r="D31" s="65">
        <v>5</v>
      </c>
      <c r="E31" s="66">
        <v>1.3736641116500001E-4</v>
      </c>
    </row>
    <row r="32" spans="2:5" ht="15" customHeight="1">
      <c r="B32" s="83"/>
      <c r="C32" s="64" t="s">
        <v>138</v>
      </c>
      <c r="D32" s="65">
        <v>1</v>
      </c>
      <c r="E32" s="66">
        <v>2.7473282233000001E-5</v>
      </c>
    </row>
    <row r="33" spans="2:5" ht="15" customHeight="1">
      <c r="B33" s="83"/>
      <c r="C33" s="64" t="s">
        <v>139</v>
      </c>
      <c r="D33" s="65">
        <v>2</v>
      </c>
      <c r="E33" s="66">
        <v>5.4946564466000002E-5</v>
      </c>
    </row>
    <row r="34" spans="2:5" ht="15" customHeight="1">
      <c r="B34" s="83"/>
      <c r="C34" s="64" t="s">
        <v>141</v>
      </c>
      <c r="D34" s="65">
        <v>1</v>
      </c>
      <c r="E34" s="66">
        <v>2.7473282233000001E-5</v>
      </c>
    </row>
    <row r="35" spans="2:5" ht="15" customHeight="1">
      <c r="B35" s="83"/>
      <c r="C35" s="64" t="s">
        <v>146</v>
      </c>
      <c r="D35" s="65">
        <v>1</v>
      </c>
      <c r="E35" s="66">
        <v>2.7473282233000001E-5</v>
      </c>
    </row>
    <row r="36" spans="2:5" ht="15" customHeight="1">
      <c r="B36" s="83"/>
      <c r="C36" s="64" t="s">
        <v>147</v>
      </c>
      <c r="D36" s="65">
        <v>17</v>
      </c>
      <c r="E36" s="66">
        <v>4.6704579796099998E-4</v>
      </c>
    </row>
    <row r="37" spans="2:5" ht="15" customHeight="1">
      <c r="B37" s="83"/>
      <c r="C37" s="64" t="s">
        <v>148</v>
      </c>
      <c r="D37" s="65">
        <v>1</v>
      </c>
      <c r="E37" s="66">
        <v>2.7473282233000001E-5</v>
      </c>
    </row>
    <row r="38" spans="2:5" ht="15" customHeight="1">
      <c r="B38" s="83"/>
      <c r="C38" s="64" t="s">
        <v>150</v>
      </c>
      <c r="D38" s="65">
        <v>1</v>
      </c>
      <c r="E38" s="66">
        <v>2.7473282233000001E-5</v>
      </c>
    </row>
    <row r="39" spans="2:5" ht="15" customHeight="1">
      <c r="B39" s="83"/>
      <c r="C39" s="64" t="s">
        <v>82</v>
      </c>
      <c r="D39" s="65">
        <v>1</v>
      </c>
      <c r="E39" s="66">
        <v>2.7473282233000001E-5</v>
      </c>
    </row>
    <row r="40" spans="2:5" ht="15" customHeight="1">
      <c r="B40" s="83"/>
      <c r="C40" s="64" t="s">
        <v>151</v>
      </c>
      <c r="D40" s="65">
        <v>1</v>
      </c>
      <c r="E40" s="66">
        <v>2.7473282233000001E-5</v>
      </c>
    </row>
    <row r="41" spans="2:5" ht="15" customHeight="1">
      <c r="B41" s="83"/>
      <c r="C41" s="64" t="s">
        <v>152</v>
      </c>
      <c r="D41" s="65">
        <v>1</v>
      </c>
      <c r="E41" s="66">
        <v>2.7473282233000001E-5</v>
      </c>
    </row>
    <row r="42" spans="2:5" ht="15" customHeight="1">
      <c r="B42" s="82"/>
      <c r="C42" s="36" t="s">
        <v>29</v>
      </c>
      <c r="D42" s="35">
        <v>139</v>
      </c>
      <c r="E42" s="34">
        <v>3.8187862303909999E-3</v>
      </c>
    </row>
    <row r="43" spans="2:5" ht="15" customHeight="1">
      <c r="B43" s="77" t="s">
        <v>230</v>
      </c>
      <c r="C43" s="64" t="s">
        <v>105</v>
      </c>
      <c r="D43" s="65">
        <v>1</v>
      </c>
      <c r="E43" s="66">
        <v>2.7473282233000001E-5</v>
      </c>
    </row>
    <row r="44" spans="2:5" ht="15" customHeight="1">
      <c r="B44" s="83"/>
      <c r="C44" s="64" t="s">
        <v>106</v>
      </c>
      <c r="D44" s="65">
        <v>1</v>
      </c>
      <c r="E44" s="66">
        <v>2.7473282233000001E-5</v>
      </c>
    </row>
    <row r="45" spans="2:5" ht="15" customHeight="1">
      <c r="B45" s="83"/>
      <c r="C45" s="64" t="s">
        <v>107</v>
      </c>
      <c r="D45" s="65">
        <v>32</v>
      </c>
      <c r="E45" s="66">
        <v>8.79145031457E-4</v>
      </c>
    </row>
    <row r="46" spans="2:5" ht="15" customHeight="1">
      <c r="B46" s="83"/>
      <c r="C46" s="64" t="s">
        <v>112</v>
      </c>
      <c r="D46" s="65">
        <v>3</v>
      </c>
      <c r="E46" s="66">
        <v>8.2419846699E-5</v>
      </c>
    </row>
    <row r="47" spans="2:5" ht="15" customHeight="1">
      <c r="B47" s="83"/>
      <c r="C47" s="64" t="s">
        <v>113</v>
      </c>
      <c r="D47" s="65">
        <v>2</v>
      </c>
      <c r="E47" s="66">
        <v>5.4946564466000002E-5</v>
      </c>
    </row>
    <row r="48" spans="2:5" ht="15" customHeight="1">
      <c r="B48" s="83"/>
      <c r="C48" s="64" t="s">
        <v>114</v>
      </c>
      <c r="D48" s="65">
        <v>1</v>
      </c>
      <c r="E48" s="66">
        <v>2.7473282233000001E-5</v>
      </c>
    </row>
    <row r="49" spans="2:5" ht="15" customHeight="1">
      <c r="B49" s="83"/>
      <c r="C49" s="64" t="s">
        <v>116</v>
      </c>
      <c r="D49" s="65">
        <v>6</v>
      </c>
      <c r="E49" s="66">
        <v>1.64839693398E-4</v>
      </c>
    </row>
    <row r="50" spans="2:5" ht="15" customHeight="1">
      <c r="B50" s="83"/>
      <c r="C50" s="64" t="s">
        <v>117</v>
      </c>
      <c r="D50" s="65">
        <v>3</v>
      </c>
      <c r="E50" s="66">
        <v>8.2419846699E-5</v>
      </c>
    </row>
    <row r="51" spans="2:5" ht="15" customHeight="1">
      <c r="B51" s="83"/>
      <c r="C51" s="64" t="s">
        <v>119</v>
      </c>
      <c r="D51" s="65">
        <v>1</v>
      </c>
      <c r="E51" s="66">
        <v>2.7473282233000001E-5</v>
      </c>
    </row>
    <row r="52" spans="2:5" ht="15" customHeight="1">
      <c r="B52" s="83"/>
      <c r="C52" s="64" t="s">
        <v>126</v>
      </c>
      <c r="D52" s="65">
        <v>1</v>
      </c>
      <c r="E52" s="66">
        <v>2.7473282233000001E-5</v>
      </c>
    </row>
    <row r="53" spans="2:5" ht="15" customHeight="1">
      <c r="B53" s="83"/>
      <c r="C53" s="64" t="s">
        <v>128</v>
      </c>
      <c r="D53" s="65">
        <v>1</v>
      </c>
      <c r="E53" s="66">
        <v>2.7473282233000001E-5</v>
      </c>
    </row>
    <row r="54" spans="2:5" ht="15" customHeight="1">
      <c r="B54" s="83"/>
      <c r="C54" s="64" t="s">
        <v>135</v>
      </c>
      <c r="D54" s="65">
        <v>2</v>
      </c>
      <c r="E54" s="66">
        <v>5.4946564466000002E-5</v>
      </c>
    </row>
    <row r="55" spans="2:5" ht="15" customHeight="1">
      <c r="B55" s="83"/>
      <c r="C55" s="64" t="s">
        <v>136</v>
      </c>
      <c r="D55" s="65">
        <v>1</v>
      </c>
      <c r="E55" s="66">
        <v>2.7473282233000001E-5</v>
      </c>
    </row>
    <row r="56" spans="2:5" ht="15" customHeight="1">
      <c r="B56" s="83"/>
      <c r="C56" s="64" t="s">
        <v>141</v>
      </c>
      <c r="D56" s="65">
        <v>1</v>
      </c>
      <c r="E56" s="66">
        <v>2.7473282233000001E-5</v>
      </c>
    </row>
    <row r="57" spans="2:5" ht="15" customHeight="1">
      <c r="B57" s="83"/>
      <c r="C57" s="64" t="s">
        <v>147</v>
      </c>
      <c r="D57" s="65">
        <v>11</v>
      </c>
      <c r="E57" s="66">
        <v>3.0220610456299998E-4</v>
      </c>
    </row>
    <row r="58" spans="2:5" ht="15" customHeight="1">
      <c r="B58" s="82"/>
      <c r="C58" s="36" t="s">
        <v>29</v>
      </c>
      <c r="D58" s="35">
        <v>67</v>
      </c>
      <c r="E58" s="34">
        <v>1.840709909613E-3</v>
      </c>
    </row>
    <row r="59" spans="2:5" ht="15" customHeight="1">
      <c r="B59" s="77" t="s">
        <v>231</v>
      </c>
      <c r="C59" s="64" t="s">
        <v>106</v>
      </c>
      <c r="D59" s="65">
        <v>4</v>
      </c>
      <c r="E59" s="66">
        <v>1.09893128932E-4</v>
      </c>
    </row>
    <row r="60" spans="2:5" ht="15" customHeight="1">
      <c r="B60" s="83"/>
      <c r="C60" s="64" t="s">
        <v>107</v>
      </c>
      <c r="D60" s="65">
        <v>29</v>
      </c>
      <c r="E60" s="66">
        <v>7.96725184758E-4</v>
      </c>
    </row>
    <row r="61" spans="2:5" ht="15" customHeight="1">
      <c r="B61" s="83"/>
      <c r="C61" s="64" t="s">
        <v>108</v>
      </c>
      <c r="D61" s="65">
        <v>1</v>
      </c>
      <c r="E61" s="66">
        <v>2.7473282233000001E-5</v>
      </c>
    </row>
    <row r="62" spans="2:5" ht="15" customHeight="1">
      <c r="B62" s="83"/>
      <c r="C62" s="64" t="s">
        <v>112</v>
      </c>
      <c r="D62" s="65">
        <v>2</v>
      </c>
      <c r="E62" s="66">
        <v>5.4946564466000002E-5</v>
      </c>
    </row>
    <row r="63" spans="2:5" ht="15" customHeight="1">
      <c r="B63" s="83"/>
      <c r="C63" s="64" t="s">
        <v>116</v>
      </c>
      <c r="D63" s="65">
        <v>6</v>
      </c>
      <c r="E63" s="66">
        <v>1.64839693398E-4</v>
      </c>
    </row>
    <row r="64" spans="2:5" ht="15" customHeight="1">
      <c r="B64" s="83"/>
      <c r="C64" s="64" t="s">
        <v>118</v>
      </c>
      <c r="D64" s="65">
        <v>1</v>
      </c>
      <c r="E64" s="66">
        <v>2.7473282233000001E-5</v>
      </c>
    </row>
    <row r="65" spans="2:5" ht="15" customHeight="1">
      <c r="B65" s="83"/>
      <c r="C65" s="64" t="s">
        <v>126</v>
      </c>
      <c r="D65" s="65">
        <v>1</v>
      </c>
      <c r="E65" s="66">
        <v>2.7473282233000001E-5</v>
      </c>
    </row>
    <row r="66" spans="2:5" ht="15" customHeight="1">
      <c r="B66" s="83"/>
      <c r="C66" s="64" t="s">
        <v>131</v>
      </c>
      <c r="D66" s="65">
        <v>1</v>
      </c>
      <c r="E66" s="66">
        <v>2.7473282233000001E-5</v>
      </c>
    </row>
    <row r="67" spans="2:5" ht="15" customHeight="1">
      <c r="B67" s="83"/>
      <c r="C67" s="64" t="s">
        <v>133</v>
      </c>
      <c r="D67" s="65">
        <v>1</v>
      </c>
      <c r="E67" s="66">
        <v>2.7473282233000001E-5</v>
      </c>
    </row>
    <row r="68" spans="2:5" ht="15" customHeight="1">
      <c r="B68" s="83"/>
      <c r="C68" s="64" t="s">
        <v>135</v>
      </c>
      <c r="D68" s="65">
        <v>5</v>
      </c>
      <c r="E68" s="66">
        <v>1.3736641116500001E-4</v>
      </c>
    </row>
    <row r="69" spans="2:5" ht="15" customHeight="1">
      <c r="B69" s="83"/>
      <c r="C69" s="64" t="s">
        <v>136</v>
      </c>
      <c r="D69" s="65">
        <v>3</v>
      </c>
      <c r="E69" s="66">
        <v>8.2419846699E-5</v>
      </c>
    </row>
    <row r="70" spans="2:5" ht="15" customHeight="1">
      <c r="B70" s="83"/>
      <c r="C70" s="64" t="s">
        <v>138</v>
      </c>
      <c r="D70" s="65">
        <v>1</v>
      </c>
      <c r="E70" s="66">
        <v>2.7473282233000001E-5</v>
      </c>
    </row>
    <row r="71" spans="2:5" ht="15" customHeight="1">
      <c r="B71" s="83"/>
      <c r="C71" s="64" t="s">
        <v>139</v>
      </c>
      <c r="D71" s="65">
        <v>1</v>
      </c>
      <c r="E71" s="66">
        <v>2.7473282233000001E-5</v>
      </c>
    </row>
    <row r="72" spans="2:5" ht="15" customHeight="1">
      <c r="B72" s="83"/>
      <c r="C72" s="64" t="s">
        <v>145</v>
      </c>
      <c r="D72" s="65">
        <v>1</v>
      </c>
      <c r="E72" s="66">
        <v>2.7473282233000001E-5</v>
      </c>
    </row>
    <row r="73" spans="2:5" ht="15" customHeight="1">
      <c r="B73" s="83"/>
      <c r="C73" s="64" t="s">
        <v>146</v>
      </c>
      <c r="D73" s="65">
        <v>1</v>
      </c>
      <c r="E73" s="66">
        <v>2.7473282233000001E-5</v>
      </c>
    </row>
    <row r="74" spans="2:5" ht="15" customHeight="1">
      <c r="B74" s="83"/>
      <c r="C74" s="64" t="s">
        <v>147</v>
      </c>
      <c r="D74" s="65">
        <v>15</v>
      </c>
      <c r="E74" s="66">
        <v>4.12099233495E-4</v>
      </c>
    </row>
    <row r="75" spans="2:5" ht="15" customHeight="1">
      <c r="B75" s="83"/>
      <c r="C75" s="64" t="s">
        <v>152</v>
      </c>
      <c r="D75" s="65">
        <v>2</v>
      </c>
      <c r="E75" s="66">
        <v>5.4946564466000002E-5</v>
      </c>
    </row>
    <row r="76" spans="2:5" ht="15" customHeight="1">
      <c r="B76" s="82"/>
      <c r="C76" s="36" t="s">
        <v>29</v>
      </c>
      <c r="D76" s="35">
        <v>75</v>
      </c>
      <c r="E76" s="34">
        <v>2.0604961674769999E-3</v>
      </c>
    </row>
    <row r="77" spans="2:5" ht="15" customHeight="1">
      <c r="B77" s="77" t="s">
        <v>232</v>
      </c>
      <c r="C77" s="64" t="s">
        <v>103</v>
      </c>
      <c r="D77" s="65">
        <v>1</v>
      </c>
      <c r="E77" s="66">
        <v>2.7473282233000001E-5</v>
      </c>
    </row>
    <row r="78" spans="2:5" ht="15" customHeight="1">
      <c r="B78" s="83"/>
      <c r="C78" s="64" t="s">
        <v>105</v>
      </c>
      <c r="D78" s="65">
        <v>3</v>
      </c>
      <c r="E78" s="66">
        <v>8.2419846699E-5</v>
      </c>
    </row>
    <row r="79" spans="2:5" ht="15" customHeight="1">
      <c r="B79" s="83"/>
      <c r="C79" s="64" t="s">
        <v>106</v>
      </c>
      <c r="D79" s="65">
        <v>2</v>
      </c>
      <c r="E79" s="66">
        <v>5.4946564466000002E-5</v>
      </c>
    </row>
    <row r="80" spans="2:5" ht="15" customHeight="1">
      <c r="B80" s="83"/>
      <c r="C80" s="64" t="s">
        <v>107</v>
      </c>
      <c r="D80" s="65">
        <v>61</v>
      </c>
      <c r="E80" s="66">
        <v>1.675870216215E-3</v>
      </c>
    </row>
    <row r="81" spans="2:5" ht="15" customHeight="1">
      <c r="B81" s="83"/>
      <c r="C81" s="64" t="s">
        <v>108</v>
      </c>
      <c r="D81" s="65">
        <v>2</v>
      </c>
      <c r="E81" s="66">
        <v>5.4946564466000002E-5</v>
      </c>
    </row>
    <row r="82" spans="2:5" ht="15" customHeight="1">
      <c r="B82" s="83"/>
      <c r="C82" s="64" t="s">
        <v>109</v>
      </c>
      <c r="D82" s="65">
        <v>1</v>
      </c>
      <c r="E82" s="66">
        <v>2.7473282233000001E-5</v>
      </c>
    </row>
    <row r="83" spans="2:5" ht="15" customHeight="1">
      <c r="B83" s="83"/>
      <c r="C83" s="64" t="s">
        <v>110</v>
      </c>
      <c r="D83" s="65">
        <v>1</v>
      </c>
      <c r="E83" s="66">
        <v>2.7473282233000001E-5</v>
      </c>
    </row>
    <row r="84" spans="2:5" ht="15" customHeight="1">
      <c r="B84" s="83"/>
      <c r="C84" s="64" t="s">
        <v>112</v>
      </c>
      <c r="D84" s="65">
        <v>9</v>
      </c>
      <c r="E84" s="66">
        <v>2.47259540097E-4</v>
      </c>
    </row>
    <row r="85" spans="2:5" ht="15" customHeight="1">
      <c r="B85" s="83"/>
      <c r="C85" s="64" t="s">
        <v>113</v>
      </c>
      <c r="D85" s="65">
        <v>2</v>
      </c>
      <c r="E85" s="66">
        <v>5.4946564466000002E-5</v>
      </c>
    </row>
    <row r="86" spans="2:5" ht="15" customHeight="1">
      <c r="B86" s="83"/>
      <c r="C86" s="64" t="s">
        <v>115</v>
      </c>
      <c r="D86" s="65">
        <v>2</v>
      </c>
      <c r="E86" s="66">
        <v>5.4946564466000002E-5</v>
      </c>
    </row>
    <row r="87" spans="2:5" ht="15" customHeight="1">
      <c r="B87" s="83"/>
      <c r="C87" s="64" t="s">
        <v>116</v>
      </c>
      <c r="D87" s="65">
        <v>14</v>
      </c>
      <c r="E87" s="66">
        <v>3.8462595126199998E-4</v>
      </c>
    </row>
    <row r="88" spans="2:5" ht="15" customHeight="1">
      <c r="B88" s="83"/>
      <c r="C88" s="64" t="s">
        <v>117</v>
      </c>
      <c r="D88" s="65">
        <v>3</v>
      </c>
      <c r="E88" s="66">
        <v>8.2419846699E-5</v>
      </c>
    </row>
    <row r="89" spans="2:5" ht="15" customHeight="1">
      <c r="B89" s="83"/>
      <c r="C89" s="64" t="s">
        <v>119</v>
      </c>
      <c r="D89" s="65">
        <v>1</v>
      </c>
      <c r="E89" s="66">
        <v>2.7473282233000001E-5</v>
      </c>
    </row>
    <row r="90" spans="2:5" ht="15" customHeight="1">
      <c r="B90" s="83"/>
      <c r="C90" s="64" t="s">
        <v>120</v>
      </c>
      <c r="D90" s="65">
        <v>1</v>
      </c>
      <c r="E90" s="66">
        <v>2.7473282233000001E-5</v>
      </c>
    </row>
    <row r="91" spans="2:5" ht="15" customHeight="1">
      <c r="B91" s="83"/>
      <c r="C91" s="64" t="s">
        <v>125</v>
      </c>
      <c r="D91" s="65">
        <v>2</v>
      </c>
      <c r="E91" s="66">
        <v>5.4946564466000002E-5</v>
      </c>
    </row>
    <row r="92" spans="2:5" ht="15" customHeight="1">
      <c r="B92" s="83"/>
      <c r="C92" s="64" t="s">
        <v>126</v>
      </c>
      <c r="D92" s="65">
        <v>2</v>
      </c>
      <c r="E92" s="66">
        <v>5.4946564466000002E-5</v>
      </c>
    </row>
    <row r="93" spans="2:5" ht="15" customHeight="1">
      <c r="B93" s="83"/>
      <c r="C93" s="64" t="s">
        <v>127</v>
      </c>
      <c r="D93" s="65">
        <v>2</v>
      </c>
      <c r="E93" s="66">
        <v>5.4946564466000002E-5</v>
      </c>
    </row>
    <row r="94" spans="2:5" ht="15" customHeight="1">
      <c r="B94" s="83"/>
      <c r="C94" s="64" t="s">
        <v>128</v>
      </c>
      <c r="D94" s="65">
        <v>1</v>
      </c>
      <c r="E94" s="66">
        <v>2.7473282233000001E-5</v>
      </c>
    </row>
    <row r="95" spans="2:5" ht="15" customHeight="1">
      <c r="B95" s="83"/>
      <c r="C95" s="64" t="s">
        <v>130</v>
      </c>
      <c r="D95" s="65">
        <v>1</v>
      </c>
      <c r="E95" s="66">
        <v>2.7473282233000001E-5</v>
      </c>
    </row>
    <row r="96" spans="2:5" ht="15" customHeight="1">
      <c r="B96" s="83"/>
      <c r="C96" s="64" t="s">
        <v>131</v>
      </c>
      <c r="D96" s="65">
        <v>2</v>
      </c>
      <c r="E96" s="66">
        <v>5.4946564466000002E-5</v>
      </c>
    </row>
    <row r="97" spans="2:5" ht="15" customHeight="1">
      <c r="B97" s="83"/>
      <c r="C97" s="64" t="s">
        <v>133</v>
      </c>
      <c r="D97" s="65">
        <v>2</v>
      </c>
      <c r="E97" s="66">
        <v>5.4946564466000002E-5</v>
      </c>
    </row>
    <row r="98" spans="2:5" ht="15" customHeight="1">
      <c r="B98" s="83"/>
      <c r="C98" s="64" t="s">
        <v>135</v>
      </c>
      <c r="D98" s="65">
        <v>3</v>
      </c>
      <c r="E98" s="66">
        <v>8.2419846699E-5</v>
      </c>
    </row>
    <row r="99" spans="2:5" ht="15" customHeight="1">
      <c r="B99" s="83"/>
      <c r="C99" s="64" t="s">
        <v>136</v>
      </c>
      <c r="D99" s="65">
        <v>3</v>
      </c>
      <c r="E99" s="66">
        <v>8.2419846699E-5</v>
      </c>
    </row>
    <row r="100" spans="2:5" ht="15" customHeight="1">
      <c r="B100" s="83"/>
      <c r="C100" s="64" t="s">
        <v>139</v>
      </c>
      <c r="D100" s="65">
        <v>2</v>
      </c>
      <c r="E100" s="66">
        <v>5.4946564466000002E-5</v>
      </c>
    </row>
    <row r="101" spans="2:5" ht="15" customHeight="1">
      <c r="B101" s="83"/>
      <c r="C101" s="64" t="s">
        <v>140</v>
      </c>
      <c r="D101" s="65">
        <v>2</v>
      </c>
      <c r="E101" s="66">
        <v>5.4946564466000002E-5</v>
      </c>
    </row>
    <row r="102" spans="2:5" ht="15" customHeight="1">
      <c r="B102" s="83"/>
      <c r="C102" s="64" t="s">
        <v>144</v>
      </c>
      <c r="D102" s="65">
        <v>1</v>
      </c>
      <c r="E102" s="66">
        <v>2.7473282233000001E-5</v>
      </c>
    </row>
    <row r="103" spans="2:5" ht="15" customHeight="1">
      <c r="B103" s="83"/>
      <c r="C103" s="64" t="s">
        <v>146</v>
      </c>
      <c r="D103" s="65">
        <v>2</v>
      </c>
      <c r="E103" s="66">
        <v>5.4946564466000002E-5</v>
      </c>
    </row>
    <row r="104" spans="2:5" ht="15" customHeight="1">
      <c r="B104" s="83"/>
      <c r="C104" s="64" t="s">
        <v>147</v>
      </c>
      <c r="D104" s="65">
        <v>31</v>
      </c>
      <c r="E104" s="66">
        <v>8.5167174922400003E-4</v>
      </c>
    </row>
    <row r="105" spans="2:5" ht="15" customHeight="1">
      <c r="B105" s="83"/>
      <c r="C105" s="64" t="s">
        <v>148</v>
      </c>
      <c r="D105" s="65">
        <v>3</v>
      </c>
      <c r="E105" s="66">
        <v>8.2419846699E-5</v>
      </c>
    </row>
    <row r="106" spans="2:5" ht="15" customHeight="1">
      <c r="B106" s="83"/>
      <c r="C106" s="64" t="s">
        <v>82</v>
      </c>
      <c r="D106" s="65">
        <v>1</v>
      </c>
      <c r="E106" s="66">
        <v>2.7473282233000001E-5</v>
      </c>
    </row>
    <row r="107" spans="2:5" ht="15" customHeight="1">
      <c r="B107" s="83"/>
      <c r="C107" s="64" t="s">
        <v>152</v>
      </c>
      <c r="D107" s="65">
        <v>2</v>
      </c>
      <c r="E107" s="66">
        <v>5.4946564466000002E-5</v>
      </c>
    </row>
    <row r="108" spans="2:5" ht="15" customHeight="1">
      <c r="B108" s="82"/>
      <c r="C108" s="36" t="s">
        <v>29</v>
      </c>
      <c r="D108" s="35">
        <v>165</v>
      </c>
      <c r="E108" s="34">
        <v>4.5330915684500001E-3</v>
      </c>
    </row>
    <row r="109" spans="2:5" ht="15" customHeight="1">
      <c r="B109" s="77" t="s">
        <v>233</v>
      </c>
      <c r="C109" s="64" t="s">
        <v>103</v>
      </c>
      <c r="D109" s="65">
        <v>1</v>
      </c>
      <c r="E109" s="66">
        <v>2.7473282233000001E-5</v>
      </c>
    </row>
    <row r="110" spans="2:5" ht="15" customHeight="1">
      <c r="B110" s="83"/>
      <c r="C110" s="64" t="s">
        <v>106</v>
      </c>
      <c r="D110" s="65">
        <v>3</v>
      </c>
      <c r="E110" s="66">
        <v>8.2419846699E-5</v>
      </c>
    </row>
    <row r="111" spans="2:5" ht="15" customHeight="1">
      <c r="B111" s="83"/>
      <c r="C111" s="64" t="s">
        <v>107</v>
      </c>
      <c r="D111" s="65">
        <v>48</v>
      </c>
      <c r="E111" s="66">
        <v>1.3187175471850001E-3</v>
      </c>
    </row>
    <row r="112" spans="2:5" ht="15" customHeight="1">
      <c r="B112" s="83"/>
      <c r="C112" s="64" t="s">
        <v>110</v>
      </c>
      <c r="D112" s="65">
        <v>1</v>
      </c>
      <c r="E112" s="66">
        <v>2.7473282233000001E-5</v>
      </c>
    </row>
    <row r="113" spans="2:5" ht="15" customHeight="1">
      <c r="B113" s="83"/>
      <c r="C113" s="64" t="s">
        <v>112</v>
      </c>
      <c r="D113" s="65">
        <v>5</v>
      </c>
      <c r="E113" s="66">
        <v>1.3736641116500001E-4</v>
      </c>
    </row>
    <row r="114" spans="2:5" ht="15" customHeight="1">
      <c r="B114" s="83"/>
      <c r="C114" s="64" t="s">
        <v>113</v>
      </c>
      <c r="D114" s="65">
        <v>3</v>
      </c>
      <c r="E114" s="66">
        <v>8.2419846699E-5</v>
      </c>
    </row>
    <row r="115" spans="2:5" ht="15" customHeight="1">
      <c r="B115" s="83"/>
      <c r="C115" s="64" t="s">
        <v>115</v>
      </c>
      <c r="D115" s="65">
        <v>1</v>
      </c>
      <c r="E115" s="66">
        <v>2.7473282233000001E-5</v>
      </c>
    </row>
    <row r="116" spans="2:5" ht="15" customHeight="1">
      <c r="B116" s="83"/>
      <c r="C116" s="64" t="s">
        <v>116</v>
      </c>
      <c r="D116" s="65">
        <v>11</v>
      </c>
      <c r="E116" s="66">
        <v>3.0220610456299998E-4</v>
      </c>
    </row>
    <row r="117" spans="2:5" ht="15" customHeight="1">
      <c r="B117" s="83"/>
      <c r="C117" s="64" t="s">
        <v>117</v>
      </c>
      <c r="D117" s="65">
        <v>2</v>
      </c>
      <c r="E117" s="66">
        <v>5.4946564466000002E-5</v>
      </c>
    </row>
    <row r="118" spans="2:5" ht="15" customHeight="1">
      <c r="B118" s="83"/>
      <c r="C118" s="64" t="s">
        <v>124</v>
      </c>
      <c r="D118" s="65">
        <v>1</v>
      </c>
      <c r="E118" s="66">
        <v>2.7473282233000001E-5</v>
      </c>
    </row>
    <row r="119" spans="2:5" ht="15" customHeight="1">
      <c r="B119" s="83"/>
      <c r="C119" s="64" t="s">
        <v>125</v>
      </c>
      <c r="D119" s="65">
        <v>1</v>
      </c>
      <c r="E119" s="66">
        <v>2.7473282233000001E-5</v>
      </c>
    </row>
    <row r="120" spans="2:5" ht="15" customHeight="1">
      <c r="B120" s="83"/>
      <c r="C120" s="64" t="s">
        <v>127</v>
      </c>
      <c r="D120" s="65">
        <v>1</v>
      </c>
      <c r="E120" s="66">
        <v>2.7473282233000001E-5</v>
      </c>
    </row>
    <row r="121" spans="2:5" ht="15" customHeight="1">
      <c r="B121" s="83"/>
      <c r="C121" s="64" t="s">
        <v>128</v>
      </c>
      <c r="D121" s="65">
        <v>2</v>
      </c>
      <c r="E121" s="66">
        <v>5.4946564466000002E-5</v>
      </c>
    </row>
    <row r="122" spans="2:5" ht="15" customHeight="1">
      <c r="B122" s="83"/>
      <c r="C122" s="64" t="s">
        <v>130</v>
      </c>
      <c r="D122" s="65">
        <v>1</v>
      </c>
      <c r="E122" s="66">
        <v>2.7473282233000001E-5</v>
      </c>
    </row>
    <row r="123" spans="2:5" ht="15" customHeight="1">
      <c r="B123" s="83"/>
      <c r="C123" s="64" t="s">
        <v>131</v>
      </c>
      <c r="D123" s="65">
        <v>4</v>
      </c>
      <c r="E123" s="66">
        <v>1.09893128932E-4</v>
      </c>
    </row>
    <row r="124" spans="2:5" ht="15" customHeight="1">
      <c r="B124" s="83"/>
      <c r="C124" s="64" t="s">
        <v>133</v>
      </c>
      <c r="D124" s="65">
        <v>2</v>
      </c>
      <c r="E124" s="66">
        <v>5.4946564466000002E-5</v>
      </c>
    </row>
    <row r="125" spans="2:5" ht="15" customHeight="1">
      <c r="B125" s="83"/>
      <c r="C125" s="64" t="s">
        <v>134</v>
      </c>
      <c r="D125" s="65">
        <v>1</v>
      </c>
      <c r="E125" s="66">
        <v>2.7473282233000001E-5</v>
      </c>
    </row>
    <row r="126" spans="2:5" ht="15" customHeight="1">
      <c r="B126" s="83"/>
      <c r="C126" s="64" t="s">
        <v>135</v>
      </c>
      <c r="D126" s="65">
        <v>5</v>
      </c>
      <c r="E126" s="66">
        <v>1.3736641116500001E-4</v>
      </c>
    </row>
    <row r="127" spans="2:5" ht="15" customHeight="1">
      <c r="B127" s="83"/>
      <c r="C127" s="64" t="s">
        <v>136</v>
      </c>
      <c r="D127" s="65">
        <v>5</v>
      </c>
      <c r="E127" s="66">
        <v>1.3736641116500001E-4</v>
      </c>
    </row>
    <row r="128" spans="2:5" ht="15" customHeight="1">
      <c r="B128" s="83"/>
      <c r="C128" s="64" t="s">
        <v>140</v>
      </c>
      <c r="D128" s="65">
        <v>1</v>
      </c>
      <c r="E128" s="66">
        <v>2.7473282233000001E-5</v>
      </c>
    </row>
    <row r="129" spans="2:5" ht="15" customHeight="1">
      <c r="B129" s="83"/>
      <c r="C129" s="64" t="s">
        <v>141</v>
      </c>
      <c r="D129" s="65">
        <v>1</v>
      </c>
      <c r="E129" s="66">
        <v>2.7473282233000001E-5</v>
      </c>
    </row>
    <row r="130" spans="2:5" ht="15" customHeight="1">
      <c r="B130" s="83"/>
      <c r="C130" s="64" t="s">
        <v>143</v>
      </c>
      <c r="D130" s="65">
        <v>1</v>
      </c>
      <c r="E130" s="66">
        <v>2.7473282233000001E-5</v>
      </c>
    </row>
    <row r="131" spans="2:5" ht="15" customHeight="1">
      <c r="B131" s="83"/>
      <c r="C131" s="64" t="s">
        <v>146</v>
      </c>
      <c r="D131" s="65">
        <v>1</v>
      </c>
      <c r="E131" s="66">
        <v>2.7473282233000001E-5</v>
      </c>
    </row>
    <row r="132" spans="2:5" ht="15" customHeight="1">
      <c r="B132" s="83"/>
      <c r="C132" s="64" t="s">
        <v>147</v>
      </c>
      <c r="D132" s="65">
        <v>20</v>
      </c>
      <c r="E132" s="66">
        <v>5.49465644661E-4</v>
      </c>
    </row>
    <row r="133" spans="2:5" ht="15" customHeight="1">
      <c r="B133" s="83"/>
      <c r="C133" s="64" t="s">
        <v>148</v>
      </c>
      <c r="D133" s="65">
        <v>2</v>
      </c>
      <c r="E133" s="66">
        <v>5.4946564466000002E-5</v>
      </c>
    </row>
    <row r="134" spans="2:5" ht="15" customHeight="1">
      <c r="B134" s="83"/>
      <c r="C134" s="64" t="s">
        <v>152</v>
      </c>
      <c r="D134" s="65">
        <v>1</v>
      </c>
      <c r="E134" s="66">
        <v>2.7473282233000001E-5</v>
      </c>
    </row>
    <row r="135" spans="2:5" ht="15" customHeight="1">
      <c r="B135" s="82"/>
      <c r="C135" s="36" t="s">
        <v>29</v>
      </c>
      <c r="D135" s="35">
        <v>125</v>
      </c>
      <c r="E135" s="34">
        <v>3.4341602791290002E-3</v>
      </c>
    </row>
    <row r="136" spans="2:5" ht="15" customHeight="1">
      <c r="B136" s="77" t="s">
        <v>234</v>
      </c>
      <c r="C136" s="64" t="s">
        <v>103</v>
      </c>
      <c r="D136" s="65">
        <v>3</v>
      </c>
      <c r="E136" s="66">
        <v>8.2419846699E-5</v>
      </c>
    </row>
    <row r="137" spans="2:5" ht="15" customHeight="1">
      <c r="B137" s="83"/>
      <c r="C137" s="64" t="s">
        <v>105</v>
      </c>
      <c r="D137" s="65">
        <v>7</v>
      </c>
      <c r="E137" s="66">
        <v>1.9231297563099999E-4</v>
      </c>
    </row>
    <row r="138" spans="2:5" ht="15" customHeight="1">
      <c r="B138" s="83"/>
      <c r="C138" s="64" t="s">
        <v>106</v>
      </c>
      <c r="D138" s="65">
        <v>2</v>
      </c>
      <c r="E138" s="66">
        <v>5.4946564466000002E-5</v>
      </c>
    </row>
    <row r="139" spans="2:5" ht="15" customHeight="1">
      <c r="B139" s="83"/>
      <c r="C139" s="64" t="s">
        <v>107</v>
      </c>
      <c r="D139" s="65">
        <v>80</v>
      </c>
      <c r="E139" s="66">
        <v>2.1978625786419998E-3</v>
      </c>
    </row>
    <row r="140" spans="2:5" ht="15" customHeight="1">
      <c r="B140" s="83"/>
      <c r="C140" s="64" t="s">
        <v>108</v>
      </c>
      <c r="D140" s="65">
        <v>1</v>
      </c>
      <c r="E140" s="66">
        <v>2.7473282233000001E-5</v>
      </c>
    </row>
    <row r="141" spans="2:5" ht="15" customHeight="1">
      <c r="B141" s="83"/>
      <c r="C141" s="64" t="s">
        <v>110</v>
      </c>
      <c r="D141" s="65">
        <v>1</v>
      </c>
      <c r="E141" s="66">
        <v>2.7473282233000001E-5</v>
      </c>
    </row>
    <row r="142" spans="2:5" ht="15" customHeight="1">
      <c r="B142" s="83"/>
      <c r="C142" s="64" t="s">
        <v>112</v>
      </c>
      <c r="D142" s="65">
        <v>9</v>
      </c>
      <c r="E142" s="66">
        <v>2.47259540097E-4</v>
      </c>
    </row>
    <row r="143" spans="2:5" ht="15" customHeight="1">
      <c r="B143" s="83"/>
      <c r="C143" s="64" t="s">
        <v>113</v>
      </c>
      <c r="D143" s="65">
        <v>2</v>
      </c>
      <c r="E143" s="66">
        <v>5.4946564466000002E-5</v>
      </c>
    </row>
    <row r="144" spans="2:5" ht="15" customHeight="1">
      <c r="B144" s="83"/>
      <c r="C144" s="64" t="s">
        <v>116</v>
      </c>
      <c r="D144" s="65">
        <v>13</v>
      </c>
      <c r="E144" s="66">
        <v>3.5715266902900002E-4</v>
      </c>
    </row>
    <row r="145" spans="2:5" ht="15" customHeight="1">
      <c r="B145" s="83"/>
      <c r="C145" s="64" t="s">
        <v>117</v>
      </c>
      <c r="D145" s="65">
        <v>6</v>
      </c>
      <c r="E145" s="66">
        <v>1.64839693398E-4</v>
      </c>
    </row>
    <row r="146" spans="2:5" ht="15" customHeight="1">
      <c r="B146" s="83"/>
      <c r="C146" s="64" t="s">
        <v>119</v>
      </c>
      <c r="D146" s="65">
        <v>2</v>
      </c>
      <c r="E146" s="66">
        <v>5.4946564466000002E-5</v>
      </c>
    </row>
    <row r="147" spans="2:5" ht="15" customHeight="1">
      <c r="B147" s="83"/>
      <c r="C147" s="64" t="s">
        <v>125</v>
      </c>
      <c r="D147" s="65">
        <v>2</v>
      </c>
      <c r="E147" s="66">
        <v>5.4946564466000002E-5</v>
      </c>
    </row>
    <row r="148" spans="2:5" ht="15" customHeight="1">
      <c r="B148" s="83"/>
      <c r="C148" s="64" t="s">
        <v>126</v>
      </c>
      <c r="D148" s="65">
        <v>2</v>
      </c>
      <c r="E148" s="66">
        <v>5.4946564466000002E-5</v>
      </c>
    </row>
    <row r="149" spans="2:5" ht="15" customHeight="1">
      <c r="B149" s="83"/>
      <c r="C149" s="64" t="s">
        <v>127</v>
      </c>
      <c r="D149" s="65">
        <v>2</v>
      </c>
      <c r="E149" s="66">
        <v>5.4946564466000002E-5</v>
      </c>
    </row>
    <row r="150" spans="2:5" ht="15" customHeight="1">
      <c r="B150" s="83"/>
      <c r="C150" s="64" t="s">
        <v>130</v>
      </c>
      <c r="D150" s="65">
        <v>1</v>
      </c>
      <c r="E150" s="66">
        <v>2.7473282233000001E-5</v>
      </c>
    </row>
    <row r="151" spans="2:5" ht="15" customHeight="1">
      <c r="B151" s="83"/>
      <c r="C151" s="64" t="s">
        <v>131</v>
      </c>
      <c r="D151" s="65">
        <v>1</v>
      </c>
      <c r="E151" s="66">
        <v>2.7473282233000001E-5</v>
      </c>
    </row>
    <row r="152" spans="2:5" ht="15" customHeight="1">
      <c r="B152" s="83"/>
      <c r="C152" s="64" t="s">
        <v>133</v>
      </c>
      <c r="D152" s="65">
        <v>1</v>
      </c>
      <c r="E152" s="66">
        <v>2.7473282233000001E-5</v>
      </c>
    </row>
    <row r="153" spans="2:5" ht="15" customHeight="1">
      <c r="B153" s="83"/>
      <c r="C153" s="64" t="s">
        <v>134</v>
      </c>
      <c r="D153" s="65">
        <v>1</v>
      </c>
      <c r="E153" s="66">
        <v>2.7473282233000001E-5</v>
      </c>
    </row>
    <row r="154" spans="2:5" ht="15" customHeight="1">
      <c r="B154" s="83"/>
      <c r="C154" s="64" t="s">
        <v>135</v>
      </c>
      <c r="D154" s="65">
        <v>6</v>
      </c>
      <c r="E154" s="66">
        <v>1.64839693398E-4</v>
      </c>
    </row>
    <row r="155" spans="2:5" ht="15" customHeight="1">
      <c r="B155" s="83"/>
      <c r="C155" s="64" t="s">
        <v>136</v>
      </c>
      <c r="D155" s="65">
        <v>2</v>
      </c>
      <c r="E155" s="66">
        <v>5.4946564466000002E-5</v>
      </c>
    </row>
    <row r="156" spans="2:5" ht="15" customHeight="1">
      <c r="B156" s="83"/>
      <c r="C156" s="64" t="s">
        <v>138</v>
      </c>
      <c r="D156" s="65">
        <v>2</v>
      </c>
      <c r="E156" s="66">
        <v>5.4946564466000002E-5</v>
      </c>
    </row>
    <row r="157" spans="2:5" ht="15" customHeight="1">
      <c r="B157" s="83"/>
      <c r="C157" s="64" t="s">
        <v>139</v>
      </c>
      <c r="D157" s="65">
        <v>7</v>
      </c>
      <c r="E157" s="66">
        <v>1.9231297563099999E-4</v>
      </c>
    </row>
    <row r="158" spans="2:5" ht="15" customHeight="1">
      <c r="B158" s="83"/>
      <c r="C158" s="64" t="s">
        <v>144</v>
      </c>
      <c r="D158" s="65">
        <v>1</v>
      </c>
      <c r="E158" s="66">
        <v>2.7473282233000001E-5</v>
      </c>
    </row>
    <row r="159" spans="2:5" ht="15" customHeight="1">
      <c r="B159" s="83"/>
      <c r="C159" s="64" t="s">
        <v>146</v>
      </c>
      <c r="D159" s="65">
        <v>2</v>
      </c>
      <c r="E159" s="66">
        <v>5.4946564466000002E-5</v>
      </c>
    </row>
    <row r="160" spans="2:5" ht="15" customHeight="1">
      <c r="B160" s="83"/>
      <c r="C160" s="64" t="s">
        <v>147</v>
      </c>
      <c r="D160" s="65">
        <v>24</v>
      </c>
      <c r="E160" s="66">
        <v>6.5935877359299996E-4</v>
      </c>
    </row>
    <row r="161" spans="2:5" ht="15" customHeight="1">
      <c r="B161" s="83"/>
      <c r="C161" s="64" t="s">
        <v>82</v>
      </c>
      <c r="D161" s="65">
        <v>1</v>
      </c>
      <c r="E161" s="66">
        <v>2.7473282233000001E-5</v>
      </c>
    </row>
    <row r="162" spans="2:5" ht="15" customHeight="1">
      <c r="B162" s="83"/>
      <c r="C162" s="64" t="s">
        <v>152</v>
      </c>
      <c r="D162" s="65">
        <v>1</v>
      </c>
      <c r="E162" s="66">
        <v>2.7473282233000001E-5</v>
      </c>
    </row>
    <row r="163" spans="2:5" ht="15" customHeight="1">
      <c r="B163" s="82"/>
      <c r="C163" s="36" t="s">
        <v>29</v>
      </c>
      <c r="D163" s="35">
        <v>182</v>
      </c>
      <c r="E163" s="34">
        <v>5.0001373664109996E-3</v>
      </c>
    </row>
    <row r="164" spans="2:5" ht="15" customHeight="1">
      <c r="B164" s="77" t="s">
        <v>235</v>
      </c>
      <c r="C164" s="64" t="s">
        <v>103</v>
      </c>
      <c r="D164" s="65">
        <v>12</v>
      </c>
      <c r="E164" s="66">
        <v>3.29679386796E-4</v>
      </c>
    </row>
    <row r="165" spans="2:5" ht="15" customHeight="1">
      <c r="B165" s="83"/>
      <c r="C165" s="64" t="s">
        <v>105</v>
      </c>
      <c r="D165" s="65">
        <v>20</v>
      </c>
      <c r="E165" s="66">
        <v>5.49465644661E-4</v>
      </c>
    </row>
    <row r="166" spans="2:5" ht="15" customHeight="1">
      <c r="B166" s="83"/>
      <c r="C166" s="64" t="s">
        <v>106</v>
      </c>
      <c r="D166" s="65">
        <v>13</v>
      </c>
      <c r="E166" s="66">
        <v>3.5715266902900002E-4</v>
      </c>
    </row>
    <row r="167" spans="2:5" ht="15" customHeight="1">
      <c r="B167" s="83"/>
      <c r="C167" s="64" t="s">
        <v>107</v>
      </c>
      <c r="D167" s="65">
        <v>629</v>
      </c>
      <c r="E167" s="66">
        <v>1.7280694524575001E-2</v>
      </c>
    </row>
    <row r="168" spans="2:5" ht="15" customHeight="1">
      <c r="B168" s="83"/>
      <c r="C168" s="64" t="s">
        <v>108</v>
      </c>
      <c r="D168" s="65">
        <v>19</v>
      </c>
      <c r="E168" s="66">
        <v>5.2199236242800003E-4</v>
      </c>
    </row>
    <row r="169" spans="2:5" ht="15" customHeight="1">
      <c r="B169" s="83"/>
      <c r="C169" s="64" t="s">
        <v>109</v>
      </c>
      <c r="D169" s="65">
        <v>4</v>
      </c>
      <c r="E169" s="66">
        <v>1.09893128932E-4</v>
      </c>
    </row>
    <row r="170" spans="2:5" ht="15" customHeight="1">
      <c r="B170" s="83"/>
      <c r="C170" s="64" t="s">
        <v>110</v>
      </c>
      <c r="D170" s="65">
        <v>2</v>
      </c>
      <c r="E170" s="66">
        <v>5.4946564466000002E-5</v>
      </c>
    </row>
    <row r="171" spans="2:5" ht="15" customHeight="1">
      <c r="B171" s="83"/>
      <c r="C171" s="64" t="s">
        <v>112</v>
      </c>
      <c r="D171" s="65">
        <v>35</v>
      </c>
      <c r="E171" s="66">
        <v>9.61564878156E-4</v>
      </c>
    </row>
    <row r="172" spans="2:5" ht="15" customHeight="1">
      <c r="B172" s="83"/>
      <c r="C172" s="64" t="s">
        <v>113</v>
      </c>
      <c r="D172" s="65">
        <v>19</v>
      </c>
      <c r="E172" s="66">
        <v>5.2199236242800003E-4</v>
      </c>
    </row>
    <row r="173" spans="2:5" ht="15" customHeight="1">
      <c r="B173" s="83"/>
      <c r="C173" s="64" t="s">
        <v>114</v>
      </c>
      <c r="D173" s="65">
        <v>1</v>
      </c>
      <c r="E173" s="66">
        <v>2.7473282233000001E-5</v>
      </c>
    </row>
    <row r="174" spans="2:5" ht="15" customHeight="1">
      <c r="B174" s="83"/>
      <c r="C174" s="64" t="s">
        <v>115</v>
      </c>
      <c r="D174" s="65">
        <v>4</v>
      </c>
      <c r="E174" s="66">
        <v>1.09893128932E-4</v>
      </c>
    </row>
    <row r="175" spans="2:5" ht="15" customHeight="1">
      <c r="B175" s="83"/>
      <c r="C175" s="64" t="s">
        <v>116</v>
      </c>
      <c r="D175" s="65">
        <v>139</v>
      </c>
      <c r="E175" s="66">
        <v>3.8187862303909999E-3</v>
      </c>
    </row>
    <row r="176" spans="2:5" ht="15" customHeight="1">
      <c r="B176" s="83"/>
      <c r="C176" s="64" t="s">
        <v>117</v>
      </c>
      <c r="D176" s="65">
        <v>28</v>
      </c>
      <c r="E176" s="66">
        <v>7.6925190252500003E-4</v>
      </c>
    </row>
    <row r="177" spans="2:5" ht="15" customHeight="1">
      <c r="B177" s="83"/>
      <c r="C177" s="64" t="s">
        <v>118</v>
      </c>
      <c r="D177" s="65">
        <v>4</v>
      </c>
      <c r="E177" s="66">
        <v>1.09893128932E-4</v>
      </c>
    </row>
    <row r="178" spans="2:5" ht="15" customHeight="1">
      <c r="B178" s="83"/>
      <c r="C178" s="64" t="s">
        <v>119</v>
      </c>
      <c r="D178" s="65">
        <v>12</v>
      </c>
      <c r="E178" s="66">
        <v>3.29679386796E-4</v>
      </c>
    </row>
    <row r="179" spans="2:5" ht="15" customHeight="1">
      <c r="B179" s="83"/>
      <c r="C179" s="64" t="s">
        <v>120</v>
      </c>
      <c r="D179" s="65">
        <v>11</v>
      </c>
      <c r="E179" s="66">
        <v>3.0220610456299998E-4</v>
      </c>
    </row>
    <row r="180" spans="2:5" ht="15" customHeight="1">
      <c r="B180" s="83"/>
      <c r="C180" s="64" t="s">
        <v>121</v>
      </c>
      <c r="D180" s="65">
        <v>1</v>
      </c>
      <c r="E180" s="66">
        <v>2.7473282233000001E-5</v>
      </c>
    </row>
    <row r="181" spans="2:5" ht="15" customHeight="1">
      <c r="B181" s="83"/>
      <c r="C181" s="64" t="s">
        <v>123</v>
      </c>
      <c r="D181" s="65">
        <v>3</v>
      </c>
      <c r="E181" s="66">
        <v>8.2419846699E-5</v>
      </c>
    </row>
    <row r="182" spans="2:5" ht="15" customHeight="1">
      <c r="B182" s="83"/>
      <c r="C182" s="64" t="s">
        <v>124</v>
      </c>
      <c r="D182" s="65">
        <v>1</v>
      </c>
      <c r="E182" s="66">
        <v>2.7473282233000001E-5</v>
      </c>
    </row>
    <row r="183" spans="2:5" ht="15" customHeight="1">
      <c r="B183" s="83"/>
      <c r="C183" s="64" t="s">
        <v>125</v>
      </c>
      <c r="D183" s="65">
        <v>22</v>
      </c>
      <c r="E183" s="66">
        <v>6.0441220912700003E-4</v>
      </c>
    </row>
    <row r="184" spans="2:5" ht="15" customHeight="1">
      <c r="B184" s="83"/>
      <c r="C184" s="64" t="s">
        <v>126</v>
      </c>
      <c r="D184" s="65">
        <v>3</v>
      </c>
      <c r="E184" s="66">
        <v>8.2419846699E-5</v>
      </c>
    </row>
    <row r="185" spans="2:5" ht="15" customHeight="1">
      <c r="B185" s="83"/>
      <c r="C185" s="64" t="s">
        <v>127</v>
      </c>
      <c r="D185" s="65">
        <v>1</v>
      </c>
      <c r="E185" s="66">
        <v>2.7473282233000001E-5</v>
      </c>
    </row>
    <row r="186" spans="2:5" ht="15" customHeight="1">
      <c r="B186" s="83"/>
      <c r="C186" s="64" t="s">
        <v>128</v>
      </c>
      <c r="D186" s="65">
        <v>9</v>
      </c>
      <c r="E186" s="66">
        <v>2.47259540097E-4</v>
      </c>
    </row>
    <row r="187" spans="2:5" ht="15" customHeight="1">
      <c r="B187" s="83"/>
      <c r="C187" s="64" t="s">
        <v>130</v>
      </c>
      <c r="D187" s="65">
        <v>4</v>
      </c>
      <c r="E187" s="66">
        <v>1.09893128932E-4</v>
      </c>
    </row>
    <row r="188" spans="2:5" ht="15" customHeight="1">
      <c r="B188" s="83"/>
      <c r="C188" s="64" t="s">
        <v>131</v>
      </c>
      <c r="D188" s="65">
        <v>53</v>
      </c>
      <c r="E188" s="66">
        <v>1.4560839583510001E-3</v>
      </c>
    </row>
    <row r="189" spans="2:5" ht="15" customHeight="1">
      <c r="B189" s="83"/>
      <c r="C189" s="64" t="s">
        <v>133</v>
      </c>
      <c r="D189" s="65">
        <v>25</v>
      </c>
      <c r="E189" s="66">
        <v>6.8683205582600003E-4</v>
      </c>
    </row>
    <row r="190" spans="2:5" ht="15" customHeight="1">
      <c r="B190" s="83"/>
      <c r="C190" s="64" t="s">
        <v>134</v>
      </c>
      <c r="D190" s="65">
        <v>3</v>
      </c>
      <c r="E190" s="66">
        <v>8.2419846699E-5</v>
      </c>
    </row>
    <row r="191" spans="2:5" ht="15" customHeight="1">
      <c r="B191" s="83"/>
      <c r="C191" s="64" t="s">
        <v>135</v>
      </c>
      <c r="D191" s="65">
        <v>22</v>
      </c>
      <c r="E191" s="66">
        <v>6.0441220912700003E-4</v>
      </c>
    </row>
    <row r="192" spans="2:5" ht="15" customHeight="1">
      <c r="B192" s="83"/>
      <c r="C192" s="64" t="s">
        <v>136</v>
      </c>
      <c r="D192" s="65">
        <v>19</v>
      </c>
      <c r="E192" s="66">
        <v>5.2199236242800003E-4</v>
      </c>
    </row>
    <row r="193" spans="2:5" ht="15" customHeight="1">
      <c r="B193" s="83"/>
      <c r="C193" s="64" t="s">
        <v>138</v>
      </c>
      <c r="D193" s="65">
        <v>12</v>
      </c>
      <c r="E193" s="66">
        <v>3.29679386796E-4</v>
      </c>
    </row>
    <row r="194" spans="2:5" ht="15" customHeight="1">
      <c r="B194" s="83"/>
      <c r="C194" s="64" t="s">
        <v>139</v>
      </c>
      <c r="D194" s="65">
        <v>19</v>
      </c>
      <c r="E194" s="66">
        <v>5.2199236242800003E-4</v>
      </c>
    </row>
    <row r="195" spans="2:5" ht="15" customHeight="1">
      <c r="B195" s="83"/>
      <c r="C195" s="64" t="s">
        <v>140</v>
      </c>
      <c r="D195" s="65">
        <v>8</v>
      </c>
      <c r="E195" s="66">
        <v>2.1978625786400001E-4</v>
      </c>
    </row>
    <row r="196" spans="2:5" ht="15" customHeight="1">
      <c r="B196" s="83"/>
      <c r="C196" s="64" t="s">
        <v>141</v>
      </c>
      <c r="D196" s="65">
        <v>11</v>
      </c>
      <c r="E196" s="66">
        <v>3.0220610456299998E-4</v>
      </c>
    </row>
    <row r="197" spans="2:5" ht="15" customHeight="1">
      <c r="B197" s="83"/>
      <c r="C197" s="64" t="s">
        <v>144</v>
      </c>
      <c r="D197" s="65">
        <v>6</v>
      </c>
      <c r="E197" s="66">
        <v>1.64839693398E-4</v>
      </c>
    </row>
    <row r="198" spans="2:5" ht="15" customHeight="1">
      <c r="B198" s="83"/>
      <c r="C198" s="64" t="s">
        <v>146</v>
      </c>
      <c r="D198" s="65">
        <v>9</v>
      </c>
      <c r="E198" s="66">
        <v>2.47259540097E-4</v>
      </c>
    </row>
    <row r="199" spans="2:5" ht="15" customHeight="1">
      <c r="B199" s="83"/>
      <c r="C199" s="64" t="s">
        <v>147</v>
      </c>
      <c r="D199" s="65">
        <v>224</v>
      </c>
      <c r="E199" s="66">
        <v>6.1540152201980001E-3</v>
      </c>
    </row>
    <row r="200" spans="2:5" ht="15" customHeight="1">
      <c r="B200" s="83"/>
      <c r="C200" s="64" t="s">
        <v>148</v>
      </c>
      <c r="D200" s="65">
        <v>9</v>
      </c>
      <c r="E200" s="66">
        <v>2.47259540097E-4</v>
      </c>
    </row>
    <row r="201" spans="2:5" ht="15" customHeight="1">
      <c r="B201" s="83"/>
      <c r="C201" s="64" t="s">
        <v>150</v>
      </c>
      <c r="D201" s="65">
        <v>2</v>
      </c>
      <c r="E201" s="66">
        <v>5.4946564466000002E-5</v>
      </c>
    </row>
    <row r="202" spans="2:5" ht="15" customHeight="1">
      <c r="B202" s="83"/>
      <c r="C202" s="64" t="s">
        <v>82</v>
      </c>
      <c r="D202" s="65">
        <v>6</v>
      </c>
      <c r="E202" s="66">
        <v>1.64839693398E-4</v>
      </c>
    </row>
    <row r="203" spans="2:5" ht="15" customHeight="1">
      <c r="B203" s="83"/>
      <c r="C203" s="64" t="s">
        <v>152</v>
      </c>
      <c r="D203" s="65">
        <v>6</v>
      </c>
      <c r="E203" s="66">
        <v>1.64839693398E-4</v>
      </c>
    </row>
    <row r="204" spans="2:5" ht="15" customHeight="1">
      <c r="B204" s="82"/>
      <c r="C204" s="36" t="s">
        <v>29</v>
      </c>
      <c r="D204" s="35">
        <v>1430</v>
      </c>
      <c r="E204" s="34">
        <v>3.9286793593230999E-2</v>
      </c>
    </row>
    <row r="205" spans="2:5" ht="15" customHeight="1">
      <c r="B205" s="77" t="s">
        <v>236</v>
      </c>
      <c r="C205" s="64" t="s">
        <v>103</v>
      </c>
      <c r="D205" s="65">
        <v>22</v>
      </c>
      <c r="E205" s="66">
        <v>6.0441220912700003E-4</v>
      </c>
    </row>
    <row r="206" spans="2:5" ht="15" customHeight="1">
      <c r="B206" s="83"/>
      <c r="C206" s="64" t="s">
        <v>105</v>
      </c>
      <c r="D206" s="65">
        <v>47</v>
      </c>
      <c r="E206" s="66">
        <v>1.291244264952E-3</v>
      </c>
    </row>
    <row r="207" spans="2:5" ht="15" customHeight="1">
      <c r="B207" s="83"/>
      <c r="C207" s="64" t="s">
        <v>106</v>
      </c>
      <c r="D207" s="65">
        <v>38</v>
      </c>
      <c r="E207" s="66">
        <v>1.043984724855E-3</v>
      </c>
    </row>
    <row r="208" spans="2:5" ht="15" customHeight="1">
      <c r="B208" s="83"/>
      <c r="C208" s="64" t="s">
        <v>107</v>
      </c>
      <c r="D208" s="65">
        <v>908</v>
      </c>
      <c r="E208" s="66">
        <v>2.494574026759E-2</v>
      </c>
    </row>
    <row r="209" spans="2:5" ht="15" customHeight="1">
      <c r="B209" s="83"/>
      <c r="C209" s="64" t="s">
        <v>108</v>
      </c>
      <c r="D209" s="65">
        <v>33</v>
      </c>
      <c r="E209" s="66">
        <v>9.0661831368999996E-4</v>
      </c>
    </row>
    <row r="210" spans="2:5" ht="15" customHeight="1">
      <c r="B210" s="83"/>
      <c r="C210" s="64" t="s">
        <v>109</v>
      </c>
      <c r="D210" s="65">
        <v>7</v>
      </c>
      <c r="E210" s="66">
        <v>1.9231297563099999E-4</v>
      </c>
    </row>
    <row r="211" spans="2:5" ht="15" customHeight="1">
      <c r="B211" s="83"/>
      <c r="C211" s="64" t="s">
        <v>110</v>
      </c>
      <c r="D211" s="65">
        <v>6</v>
      </c>
      <c r="E211" s="66">
        <v>1.64839693398E-4</v>
      </c>
    </row>
    <row r="212" spans="2:5" ht="15" customHeight="1">
      <c r="B212" s="83"/>
      <c r="C212" s="64" t="s">
        <v>112</v>
      </c>
      <c r="D212" s="65">
        <v>76</v>
      </c>
      <c r="E212" s="66">
        <v>2.08796944971E-3</v>
      </c>
    </row>
    <row r="213" spans="2:5" ht="15" customHeight="1">
      <c r="B213" s="83"/>
      <c r="C213" s="64" t="s">
        <v>113</v>
      </c>
      <c r="D213" s="65">
        <v>81</v>
      </c>
      <c r="E213" s="66">
        <v>2.2253358608749999E-3</v>
      </c>
    </row>
    <row r="214" spans="2:5" ht="15" customHeight="1">
      <c r="B214" s="83"/>
      <c r="C214" s="64" t="s">
        <v>114</v>
      </c>
      <c r="D214" s="65">
        <v>3</v>
      </c>
      <c r="E214" s="66">
        <v>8.2419846699E-5</v>
      </c>
    </row>
    <row r="215" spans="2:5" ht="15" customHeight="1">
      <c r="B215" s="83"/>
      <c r="C215" s="64" t="s">
        <v>115</v>
      </c>
      <c r="D215" s="65">
        <v>15</v>
      </c>
      <c r="E215" s="66">
        <v>4.12099233495E-4</v>
      </c>
    </row>
    <row r="216" spans="2:5" ht="15" customHeight="1">
      <c r="B216" s="83"/>
      <c r="C216" s="64" t="s">
        <v>116</v>
      </c>
      <c r="D216" s="65">
        <v>579</v>
      </c>
      <c r="E216" s="66">
        <v>1.5907030412923E-2</v>
      </c>
    </row>
    <row r="217" spans="2:5" ht="15" customHeight="1">
      <c r="B217" s="83"/>
      <c r="C217" s="64" t="s">
        <v>117</v>
      </c>
      <c r="D217" s="65">
        <v>70</v>
      </c>
      <c r="E217" s="66">
        <v>1.923129756312E-3</v>
      </c>
    </row>
    <row r="218" spans="2:5" ht="15" customHeight="1">
      <c r="B218" s="83"/>
      <c r="C218" s="64" t="s">
        <v>118</v>
      </c>
      <c r="D218" s="65">
        <v>4</v>
      </c>
      <c r="E218" s="66">
        <v>1.09893128932E-4</v>
      </c>
    </row>
    <row r="219" spans="2:5" ht="15" customHeight="1">
      <c r="B219" s="83"/>
      <c r="C219" s="64" t="s">
        <v>119</v>
      </c>
      <c r="D219" s="65">
        <v>24</v>
      </c>
      <c r="E219" s="66">
        <v>6.5935877359299996E-4</v>
      </c>
    </row>
    <row r="220" spans="2:5" ht="15" customHeight="1">
      <c r="B220" s="83"/>
      <c r="C220" s="64" t="s">
        <v>120</v>
      </c>
      <c r="D220" s="65">
        <v>9</v>
      </c>
      <c r="E220" s="66">
        <v>2.47259540097E-4</v>
      </c>
    </row>
    <row r="221" spans="2:5" ht="15" customHeight="1">
      <c r="B221" s="83"/>
      <c r="C221" s="64" t="s">
        <v>121</v>
      </c>
      <c r="D221" s="65">
        <v>7</v>
      </c>
      <c r="E221" s="66">
        <v>1.9231297563099999E-4</v>
      </c>
    </row>
    <row r="222" spans="2:5" ht="15" customHeight="1">
      <c r="B222" s="83"/>
      <c r="C222" s="64" t="s">
        <v>123</v>
      </c>
      <c r="D222" s="65">
        <v>8</v>
      </c>
      <c r="E222" s="66">
        <v>2.1978625786400001E-4</v>
      </c>
    </row>
    <row r="223" spans="2:5" ht="15" customHeight="1">
      <c r="B223" s="83"/>
      <c r="C223" s="64" t="s">
        <v>124</v>
      </c>
      <c r="D223" s="65">
        <v>7</v>
      </c>
      <c r="E223" s="66">
        <v>1.9231297563099999E-4</v>
      </c>
    </row>
    <row r="224" spans="2:5" ht="15" customHeight="1">
      <c r="B224" s="83"/>
      <c r="C224" s="64" t="s">
        <v>125</v>
      </c>
      <c r="D224" s="65">
        <v>27</v>
      </c>
      <c r="E224" s="66">
        <v>7.4177862029199996E-4</v>
      </c>
    </row>
    <row r="225" spans="2:5" ht="15" customHeight="1">
      <c r="B225" s="83"/>
      <c r="C225" s="64" t="s">
        <v>126</v>
      </c>
      <c r="D225" s="65">
        <v>45</v>
      </c>
      <c r="E225" s="66">
        <v>1.2362977004860001E-3</v>
      </c>
    </row>
    <row r="226" spans="2:5" ht="15" customHeight="1">
      <c r="B226" s="83"/>
      <c r="C226" s="64" t="s">
        <v>127</v>
      </c>
      <c r="D226" s="65">
        <v>5</v>
      </c>
      <c r="E226" s="66">
        <v>1.3736641116500001E-4</v>
      </c>
    </row>
    <row r="227" spans="2:5" ht="15" customHeight="1">
      <c r="B227" s="83"/>
      <c r="C227" s="64" t="s">
        <v>128</v>
      </c>
      <c r="D227" s="65">
        <v>23</v>
      </c>
      <c r="E227" s="66">
        <v>6.3188549136E-4</v>
      </c>
    </row>
    <row r="228" spans="2:5" ht="15" customHeight="1">
      <c r="B228" s="83"/>
      <c r="C228" s="64" t="s">
        <v>129</v>
      </c>
      <c r="D228" s="65">
        <v>1</v>
      </c>
      <c r="E228" s="66">
        <v>2.7473282233000001E-5</v>
      </c>
    </row>
    <row r="229" spans="2:5" ht="15" customHeight="1">
      <c r="B229" s="83"/>
      <c r="C229" s="64" t="s">
        <v>130</v>
      </c>
      <c r="D229" s="65">
        <v>11</v>
      </c>
      <c r="E229" s="66">
        <v>3.0220610456299998E-4</v>
      </c>
    </row>
    <row r="230" spans="2:5" ht="15" customHeight="1">
      <c r="B230" s="83"/>
      <c r="C230" s="64" t="s">
        <v>131</v>
      </c>
      <c r="D230" s="65">
        <v>66</v>
      </c>
      <c r="E230" s="66">
        <v>1.8132366273799999E-3</v>
      </c>
    </row>
    <row r="231" spans="2:5" ht="15" customHeight="1">
      <c r="B231" s="83"/>
      <c r="C231" s="64" t="s">
        <v>132</v>
      </c>
      <c r="D231" s="65">
        <v>1</v>
      </c>
      <c r="E231" s="66">
        <v>2.7473282233000001E-5</v>
      </c>
    </row>
    <row r="232" spans="2:5" ht="15" customHeight="1">
      <c r="B232" s="83"/>
      <c r="C232" s="64" t="s">
        <v>133</v>
      </c>
      <c r="D232" s="65">
        <v>41</v>
      </c>
      <c r="E232" s="66">
        <v>1.126404571554E-3</v>
      </c>
    </row>
    <row r="233" spans="2:5" ht="15" customHeight="1">
      <c r="B233" s="83"/>
      <c r="C233" s="64" t="s">
        <v>134</v>
      </c>
      <c r="D233" s="65">
        <v>5</v>
      </c>
      <c r="E233" s="66">
        <v>1.3736641116500001E-4</v>
      </c>
    </row>
    <row r="234" spans="2:5" ht="15" customHeight="1">
      <c r="B234" s="83"/>
      <c r="C234" s="64" t="s">
        <v>135</v>
      </c>
      <c r="D234" s="65">
        <v>48</v>
      </c>
      <c r="E234" s="66">
        <v>1.3187175471850001E-3</v>
      </c>
    </row>
    <row r="235" spans="2:5" ht="15" customHeight="1">
      <c r="B235" s="83"/>
      <c r="C235" s="64" t="s">
        <v>136</v>
      </c>
      <c r="D235" s="65">
        <v>100</v>
      </c>
      <c r="E235" s="66">
        <v>2.7473282233030001E-3</v>
      </c>
    </row>
    <row r="236" spans="2:5" ht="15" customHeight="1">
      <c r="B236" s="83"/>
      <c r="C236" s="64" t="s">
        <v>138</v>
      </c>
      <c r="D236" s="65">
        <v>23</v>
      </c>
      <c r="E236" s="66">
        <v>6.3188549136E-4</v>
      </c>
    </row>
    <row r="237" spans="2:5" ht="15" customHeight="1">
      <c r="B237" s="83"/>
      <c r="C237" s="64" t="s">
        <v>139</v>
      </c>
      <c r="D237" s="65">
        <v>36</v>
      </c>
      <c r="E237" s="66">
        <v>9.8903816038900007E-4</v>
      </c>
    </row>
    <row r="238" spans="2:5" ht="15" customHeight="1">
      <c r="B238" s="83"/>
      <c r="C238" s="64" t="s">
        <v>140</v>
      </c>
      <c r="D238" s="65">
        <v>14</v>
      </c>
      <c r="E238" s="66">
        <v>3.8462595126199998E-4</v>
      </c>
    </row>
    <row r="239" spans="2:5" ht="15" customHeight="1">
      <c r="B239" s="83"/>
      <c r="C239" s="64" t="s">
        <v>141</v>
      </c>
      <c r="D239" s="65">
        <v>22</v>
      </c>
      <c r="E239" s="66">
        <v>6.0441220912700003E-4</v>
      </c>
    </row>
    <row r="240" spans="2:5" ht="15" customHeight="1">
      <c r="B240" s="83"/>
      <c r="C240" s="64" t="s">
        <v>143</v>
      </c>
      <c r="D240" s="65">
        <v>2</v>
      </c>
      <c r="E240" s="66">
        <v>5.4946564466000002E-5</v>
      </c>
    </row>
    <row r="241" spans="2:5" ht="15" customHeight="1">
      <c r="B241" s="83"/>
      <c r="C241" s="64" t="s">
        <v>144</v>
      </c>
      <c r="D241" s="65">
        <v>41</v>
      </c>
      <c r="E241" s="66">
        <v>1.126404571554E-3</v>
      </c>
    </row>
    <row r="242" spans="2:5" ht="15" customHeight="1">
      <c r="B242" s="83"/>
      <c r="C242" s="64" t="s">
        <v>145</v>
      </c>
      <c r="D242" s="65">
        <v>1</v>
      </c>
      <c r="E242" s="66">
        <v>2.7473282233000001E-5</v>
      </c>
    </row>
    <row r="243" spans="2:5" ht="15" customHeight="1">
      <c r="B243" s="83"/>
      <c r="C243" s="64" t="s">
        <v>146</v>
      </c>
      <c r="D243" s="65">
        <v>29</v>
      </c>
      <c r="E243" s="66">
        <v>7.96725184758E-4</v>
      </c>
    </row>
    <row r="244" spans="2:5" ht="15" customHeight="1">
      <c r="B244" s="83"/>
      <c r="C244" s="64" t="s">
        <v>147</v>
      </c>
      <c r="D244" s="65">
        <v>428</v>
      </c>
      <c r="E244" s="66">
        <v>1.1758564795736001E-2</v>
      </c>
    </row>
    <row r="245" spans="2:5" ht="15" customHeight="1">
      <c r="B245" s="83"/>
      <c r="C245" s="64" t="s">
        <v>148</v>
      </c>
      <c r="D245" s="65">
        <v>11</v>
      </c>
      <c r="E245" s="66">
        <v>3.0220610456299998E-4</v>
      </c>
    </row>
    <row r="246" spans="2:5" ht="15" customHeight="1">
      <c r="B246" s="83"/>
      <c r="C246" s="64" t="s">
        <v>150</v>
      </c>
      <c r="D246" s="65">
        <v>10</v>
      </c>
      <c r="E246" s="66">
        <v>2.7473282233000002E-4</v>
      </c>
    </row>
    <row r="247" spans="2:5" ht="15" customHeight="1">
      <c r="B247" s="83"/>
      <c r="C247" s="64" t="s">
        <v>82</v>
      </c>
      <c r="D247" s="65">
        <v>18</v>
      </c>
      <c r="E247" s="66">
        <v>4.9451908019499996E-4</v>
      </c>
    </row>
    <row r="248" spans="2:5" ht="15" customHeight="1">
      <c r="B248" s="83"/>
      <c r="C248" s="64" t="s">
        <v>152</v>
      </c>
      <c r="D248" s="65">
        <v>30</v>
      </c>
      <c r="E248" s="66">
        <v>8.2419846699099996E-4</v>
      </c>
    </row>
    <row r="249" spans="2:5" ht="15" customHeight="1">
      <c r="B249" s="83"/>
      <c r="C249" s="64" t="s">
        <v>153</v>
      </c>
      <c r="D249" s="65">
        <v>2</v>
      </c>
      <c r="E249" s="66">
        <v>5.4946564466000002E-5</v>
      </c>
    </row>
    <row r="250" spans="2:5" ht="15" customHeight="1">
      <c r="B250" s="82"/>
      <c r="C250" s="36" t="s">
        <v>29</v>
      </c>
      <c r="D250" s="35">
        <v>2984</v>
      </c>
      <c r="E250" s="34">
        <v>8.1980274183357002E-2</v>
      </c>
    </row>
    <row r="251" spans="2:5" ht="15" customHeight="1">
      <c r="B251" s="77" t="s">
        <v>237</v>
      </c>
      <c r="C251" s="64" t="s">
        <v>103</v>
      </c>
      <c r="D251" s="65">
        <v>4</v>
      </c>
      <c r="E251" s="66">
        <v>1.09893128932E-4</v>
      </c>
    </row>
    <row r="252" spans="2:5" ht="15" customHeight="1">
      <c r="B252" s="83"/>
      <c r="C252" s="64" t="s">
        <v>105</v>
      </c>
      <c r="D252" s="65">
        <v>6</v>
      </c>
      <c r="E252" s="66">
        <v>1.64839693398E-4</v>
      </c>
    </row>
    <row r="253" spans="2:5" ht="15" customHeight="1">
      <c r="B253" s="83"/>
      <c r="C253" s="64" t="s">
        <v>106</v>
      </c>
      <c r="D253" s="65">
        <v>2</v>
      </c>
      <c r="E253" s="66">
        <v>5.4946564466000002E-5</v>
      </c>
    </row>
    <row r="254" spans="2:5" ht="15" customHeight="1">
      <c r="B254" s="83"/>
      <c r="C254" s="64" t="s">
        <v>107</v>
      </c>
      <c r="D254" s="65">
        <v>106</v>
      </c>
      <c r="E254" s="66">
        <v>2.9121679167010001E-3</v>
      </c>
    </row>
    <row r="255" spans="2:5" ht="15" customHeight="1">
      <c r="B255" s="83"/>
      <c r="C255" s="64" t="s">
        <v>108</v>
      </c>
      <c r="D255" s="65">
        <v>2</v>
      </c>
      <c r="E255" s="66">
        <v>5.4946564466000002E-5</v>
      </c>
    </row>
    <row r="256" spans="2:5" ht="15" customHeight="1">
      <c r="B256" s="83"/>
      <c r="C256" s="64" t="s">
        <v>109</v>
      </c>
      <c r="D256" s="65">
        <v>1</v>
      </c>
      <c r="E256" s="66">
        <v>2.7473282233000001E-5</v>
      </c>
    </row>
    <row r="257" spans="2:5" ht="15" customHeight="1">
      <c r="B257" s="83"/>
      <c r="C257" s="64" t="s">
        <v>112</v>
      </c>
      <c r="D257" s="65">
        <v>14</v>
      </c>
      <c r="E257" s="66">
        <v>3.8462595126199998E-4</v>
      </c>
    </row>
    <row r="258" spans="2:5" ht="15" customHeight="1">
      <c r="B258" s="83"/>
      <c r="C258" s="64" t="s">
        <v>113</v>
      </c>
      <c r="D258" s="65">
        <v>19</v>
      </c>
      <c r="E258" s="66">
        <v>5.2199236242800003E-4</v>
      </c>
    </row>
    <row r="259" spans="2:5" ht="15" customHeight="1">
      <c r="B259" s="83"/>
      <c r="C259" s="64" t="s">
        <v>114</v>
      </c>
      <c r="D259" s="65">
        <v>1</v>
      </c>
      <c r="E259" s="66">
        <v>2.7473282233000001E-5</v>
      </c>
    </row>
    <row r="260" spans="2:5" ht="15" customHeight="1">
      <c r="B260" s="83"/>
      <c r="C260" s="64" t="s">
        <v>116</v>
      </c>
      <c r="D260" s="65">
        <v>27</v>
      </c>
      <c r="E260" s="66">
        <v>7.4177862029199996E-4</v>
      </c>
    </row>
    <row r="261" spans="2:5" ht="15" customHeight="1">
      <c r="B261" s="83"/>
      <c r="C261" s="64" t="s">
        <v>117</v>
      </c>
      <c r="D261" s="65">
        <v>7</v>
      </c>
      <c r="E261" s="66">
        <v>1.9231297563099999E-4</v>
      </c>
    </row>
    <row r="262" spans="2:5" ht="15" customHeight="1">
      <c r="B262" s="83"/>
      <c r="C262" s="64" t="s">
        <v>118</v>
      </c>
      <c r="D262" s="65">
        <v>1</v>
      </c>
      <c r="E262" s="66">
        <v>2.7473282233000001E-5</v>
      </c>
    </row>
    <row r="263" spans="2:5" ht="15" customHeight="1">
      <c r="B263" s="83"/>
      <c r="C263" s="64" t="s">
        <v>119</v>
      </c>
      <c r="D263" s="65">
        <v>3</v>
      </c>
      <c r="E263" s="66">
        <v>8.2419846699E-5</v>
      </c>
    </row>
    <row r="264" spans="2:5" ht="15" customHeight="1">
      <c r="B264" s="83"/>
      <c r="C264" s="64" t="s">
        <v>120</v>
      </c>
      <c r="D264" s="65">
        <v>2</v>
      </c>
      <c r="E264" s="66">
        <v>5.4946564466000002E-5</v>
      </c>
    </row>
    <row r="265" spans="2:5" ht="15" customHeight="1">
      <c r="B265" s="83"/>
      <c r="C265" s="64" t="s">
        <v>121</v>
      </c>
      <c r="D265" s="65">
        <v>1</v>
      </c>
      <c r="E265" s="66">
        <v>2.7473282233000001E-5</v>
      </c>
    </row>
    <row r="266" spans="2:5" ht="15" customHeight="1">
      <c r="B266" s="83"/>
      <c r="C266" s="64" t="s">
        <v>123</v>
      </c>
      <c r="D266" s="65">
        <v>1</v>
      </c>
      <c r="E266" s="66">
        <v>2.7473282233000001E-5</v>
      </c>
    </row>
    <row r="267" spans="2:5" ht="15" customHeight="1">
      <c r="B267" s="83"/>
      <c r="C267" s="64" t="s">
        <v>124</v>
      </c>
      <c r="D267" s="65">
        <v>1</v>
      </c>
      <c r="E267" s="66">
        <v>2.7473282233000001E-5</v>
      </c>
    </row>
    <row r="268" spans="2:5" ht="15" customHeight="1">
      <c r="B268" s="83"/>
      <c r="C268" s="64" t="s">
        <v>125</v>
      </c>
      <c r="D268" s="65">
        <v>2</v>
      </c>
      <c r="E268" s="66">
        <v>5.4946564466000002E-5</v>
      </c>
    </row>
    <row r="269" spans="2:5" ht="15" customHeight="1">
      <c r="B269" s="83"/>
      <c r="C269" s="64" t="s">
        <v>126</v>
      </c>
      <c r="D269" s="65">
        <v>3</v>
      </c>
      <c r="E269" s="66">
        <v>8.2419846699E-5</v>
      </c>
    </row>
    <row r="270" spans="2:5" ht="15" customHeight="1">
      <c r="B270" s="83"/>
      <c r="C270" s="64" t="s">
        <v>127</v>
      </c>
      <c r="D270" s="65">
        <v>1</v>
      </c>
      <c r="E270" s="66">
        <v>2.7473282233000001E-5</v>
      </c>
    </row>
    <row r="271" spans="2:5" ht="15" customHeight="1">
      <c r="B271" s="83"/>
      <c r="C271" s="64" t="s">
        <v>128</v>
      </c>
      <c r="D271" s="65">
        <v>5</v>
      </c>
      <c r="E271" s="66">
        <v>1.3736641116500001E-4</v>
      </c>
    </row>
    <row r="272" spans="2:5" ht="15" customHeight="1">
      <c r="B272" s="83"/>
      <c r="C272" s="64" t="s">
        <v>130</v>
      </c>
      <c r="D272" s="65">
        <v>1</v>
      </c>
      <c r="E272" s="66">
        <v>2.7473282233000001E-5</v>
      </c>
    </row>
    <row r="273" spans="2:5" ht="15" customHeight="1">
      <c r="B273" s="83"/>
      <c r="C273" s="64" t="s">
        <v>131</v>
      </c>
      <c r="D273" s="65">
        <v>7</v>
      </c>
      <c r="E273" s="66">
        <v>1.9231297563099999E-4</v>
      </c>
    </row>
    <row r="274" spans="2:5" ht="15" customHeight="1">
      <c r="B274" s="83"/>
      <c r="C274" s="64" t="s">
        <v>133</v>
      </c>
      <c r="D274" s="65">
        <v>9</v>
      </c>
      <c r="E274" s="66">
        <v>2.47259540097E-4</v>
      </c>
    </row>
    <row r="275" spans="2:5" ht="15" customHeight="1">
      <c r="B275" s="83"/>
      <c r="C275" s="64" t="s">
        <v>135</v>
      </c>
      <c r="D275" s="65">
        <v>11</v>
      </c>
      <c r="E275" s="66">
        <v>3.0220610456299998E-4</v>
      </c>
    </row>
    <row r="276" spans="2:5" ht="15" customHeight="1">
      <c r="B276" s="83"/>
      <c r="C276" s="64" t="s">
        <v>136</v>
      </c>
      <c r="D276" s="65">
        <v>15</v>
      </c>
      <c r="E276" s="66">
        <v>4.12099233495E-4</v>
      </c>
    </row>
    <row r="277" spans="2:5" ht="15" customHeight="1">
      <c r="B277" s="83"/>
      <c r="C277" s="64" t="s">
        <v>138</v>
      </c>
      <c r="D277" s="65">
        <v>3</v>
      </c>
      <c r="E277" s="66">
        <v>8.2419846699E-5</v>
      </c>
    </row>
    <row r="278" spans="2:5" ht="15" customHeight="1">
      <c r="B278" s="83"/>
      <c r="C278" s="64" t="s">
        <v>139</v>
      </c>
      <c r="D278" s="65">
        <v>4</v>
      </c>
      <c r="E278" s="66">
        <v>1.09893128932E-4</v>
      </c>
    </row>
    <row r="279" spans="2:5" ht="15" customHeight="1">
      <c r="B279" s="83"/>
      <c r="C279" s="64" t="s">
        <v>140</v>
      </c>
      <c r="D279" s="65">
        <v>3</v>
      </c>
      <c r="E279" s="66">
        <v>8.2419846699E-5</v>
      </c>
    </row>
    <row r="280" spans="2:5" ht="15" customHeight="1">
      <c r="B280" s="83"/>
      <c r="C280" s="64" t="s">
        <v>141</v>
      </c>
      <c r="D280" s="65">
        <v>3</v>
      </c>
      <c r="E280" s="66">
        <v>8.2419846699E-5</v>
      </c>
    </row>
    <row r="281" spans="2:5" ht="15" customHeight="1">
      <c r="B281" s="83"/>
      <c r="C281" s="64" t="s">
        <v>144</v>
      </c>
      <c r="D281" s="65">
        <v>1</v>
      </c>
      <c r="E281" s="66">
        <v>2.7473282233000001E-5</v>
      </c>
    </row>
    <row r="282" spans="2:5" ht="15" customHeight="1">
      <c r="B282" s="83"/>
      <c r="C282" s="64" t="s">
        <v>145</v>
      </c>
      <c r="D282" s="65">
        <v>1</v>
      </c>
      <c r="E282" s="66">
        <v>2.7473282233000001E-5</v>
      </c>
    </row>
    <row r="283" spans="2:5" ht="15" customHeight="1">
      <c r="B283" s="83"/>
      <c r="C283" s="64" t="s">
        <v>146</v>
      </c>
      <c r="D283" s="65">
        <v>3</v>
      </c>
      <c r="E283" s="66">
        <v>8.2419846699E-5</v>
      </c>
    </row>
    <row r="284" spans="2:5" ht="15" customHeight="1">
      <c r="B284" s="83"/>
      <c r="C284" s="64" t="s">
        <v>147</v>
      </c>
      <c r="D284" s="65">
        <v>64</v>
      </c>
      <c r="E284" s="66">
        <v>1.758290062914E-3</v>
      </c>
    </row>
    <row r="285" spans="2:5" ht="15" customHeight="1">
      <c r="B285" s="83"/>
      <c r="C285" s="64" t="s">
        <v>148</v>
      </c>
      <c r="D285" s="65">
        <v>2</v>
      </c>
      <c r="E285" s="66">
        <v>5.4946564466000002E-5</v>
      </c>
    </row>
    <row r="286" spans="2:5" ht="15" customHeight="1">
      <c r="B286" s="83"/>
      <c r="C286" s="64" t="s">
        <v>150</v>
      </c>
      <c r="D286" s="65">
        <v>2</v>
      </c>
      <c r="E286" s="66">
        <v>5.4946564466000002E-5</v>
      </c>
    </row>
    <row r="287" spans="2:5" ht="15" customHeight="1">
      <c r="B287" s="83"/>
      <c r="C287" s="64" t="s">
        <v>82</v>
      </c>
      <c r="D287" s="65">
        <v>1</v>
      </c>
      <c r="E287" s="66">
        <v>2.7473282233000001E-5</v>
      </c>
    </row>
    <row r="288" spans="2:5" ht="15" customHeight="1">
      <c r="B288" s="83"/>
      <c r="C288" s="64" t="s">
        <v>152</v>
      </c>
      <c r="D288" s="65">
        <v>4</v>
      </c>
      <c r="E288" s="66">
        <v>1.09893128932E-4</v>
      </c>
    </row>
    <row r="289" spans="2:5" ht="15" customHeight="1">
      <c r="B289" s="83"/>
      <c r="C289" s="64" t="s">
        <v>153</v>
      </c>
      <c r="D289" s="65">
        <v>1</v>
      </c>
      <c r="E289" s="66">
        <v>2.7473282233000001E-5</v>
      </c>
    </row>
    <row r="290" spans="2:5" ht="15" customHeight="1">
      <c r="B290" s="82"/>
      <c r="C290" s="36" t="s">
        <v>29</v>
      </c>
      <c r="D290" s="35">
        <v>344</v>
      </c>
      <c r="E290" s="34">
        <v>9.4508090881619995E-3</v>
      </c>
    </row>
    <row r="291" spans="2:5" ht="15" customHeight="1">
      <c r="B291" s="77" t="s">
        <v>238</v>
      </c>
      <c r="C291" s="64" t="s">
        <v>103</v>
      </c>
      <c r="D291" s="65">
        <v>6</v>
      </c>
      <c r="E291" s="66">
        <v>1.64839693398E-4</v>
      </c>
    </row>
    <row r="292" spans="2:5" ht="15" customHeight="1">
      <c r="B292" s="83"/>
      <c r="C292" s="64" t="s">
        <v>105</v>
      </c>
      <c r="D292" s="65">
        <v>15</v>
      </c>
      <c r="E292" s="66">
        <v>4.12099233495E-4</v>
      </c>
    </row>
    <row r="293" spans="2:5" ht="15" customHeight="1">
      <c r="B293" s="83"/>
      <c r="C293" s="64" t="s">
        <v>106</v>
      </c>
      <c r="D293" s="65">
        <v>3</v>
      </c>
      <c r="E293" s="66">
        <v>8.2419846699E-5</v>
      </c>
    </row>
    <row r="294" spans="2:5" ht="15" customHeight="1">
      <c r="B294" s="83"/>
      <c r="C294" s="64" t="s">
        <v>107</v>
      </c>
      <c r="D294" s="65">
        <v>244</v>
      </c>
      <c r="E294" s="66">
        <v>6.7034808648589999E-3</v>
      </c>
    </row>
    <row r="295" spans="2:5" ht="15" customHeight="1">
      <c r="B295" s="83"/>
      <c r="C295" s="64" t="s">
        <v>108</v>
      </c>
      <c r="D295" s="65">
        <v>19</v>
      </c>
      <c r="E295" s="66">
        <v>5.2199236242800003E-4</v>
      </c>
    </row>
    <row r="296" spans="2:5" ht="15" customHeight="1">
      <c r="B296" s="83"/>
      <c r="C296" s="64" t="s">
        <v>109</v>
      </c>
      <c r="D296" s="65">
        <v>4</v>
      </c>
      <c r="E296" s="66">
        <v>1.09893128932E-4</v>
      </c>
    </row>
    <row r="297" spans="2:5" ht="15" customHeight="1">
      <c r="B297" s="83"/>
      <c r="C297" s="64" t="s">
        <v>110</v>
      </c>
      <c r="D297" s="65">
        <v>2</v>
      </c>
      <c r="E297" s="66">
        <v>5.4946564466000002E-5</v>
      </c>
    </row>
    <row r="298" spans="2:5" ht="15" customHeight="1">
      <c r="B298" s="83"/>
      <c r="C298" s="64" t="s">
        <v>112</v>
      </c>
      <c r="D298" s="65">
        <v>39</v>
      </c>
      <c r="E298" s="66">
        <v>1.0714580070880001E-3</v>
      </c>
    </row>
    <row r="299" spans="2:5" ht="15" customHeight="1">
      <c r="B299" s="83"/>
      <c r="C299" s="64" t="s">
        <v>113</v>
      </c>
      <c r="D299" s="65">
        <v>30</v>
      </c>
      <c r="E299" s="66">
        <v>8.2419846699099996E-4</v>
      </c>
    </row>
    <row r="300" spans="2:5" ht="15" customHeight="1">
      <c r="B300" s="83"/>
      <c r="C300" s="64" t="s">
        <v>114</v>
      </c>
      <c r="D300" s="65">
        <v>1</v>
      </c>
      <c r="E300" s="66">
        <v>2.7473282233000001E-5</v>
      </c>
    </row>
    <row r="301" spans="2:5" ht="15" customHeight="1">
      <c r="B301" s="83"/>
      <c r="C301" s="64" t="s">
        <v>115</v>
      </c>
      <c r="D301" s="65">
        <v>3</v>
      </c>
      <c r="E301" s="66">
        <v>8.2419846699E-5</v>
      </c>
    </row>
    <row r="302" spans="2:5" ht="15" customHeight="1">
      <c r="B302" s="83"/>
      <c r="C302" s="64" t="s">
        <v>116</v>
      </c>
      <c r="D302" s="65">
        <v>54</v>
      </c>
      <c r="E302" s="66">
        <v>1.4835572405839999E-3</v>
      </c>
    </row>
    <row r="303" spans="2:5" ht="15" customHeight="1">
      <c r="B303" s="83"/>
      <c r="C303" s="64" t="s">
        <v>117</v>
      </c>
      <c r="D303" s="65">
        <v>17</v>
      </c>
      <c r="E303" s="66">
        <v>4.6704579796099998E-4</v>
      </c>
    </row>
    <row r="304" spans="2:5" ht="15" customHeight="1">
      <c r="B304" s="83"/>
      <c r="C304" s="64" t="s">
        <v>118</v>
      </c>
      <c r="D304" s="65">
        <v>2</v>
      </c>
      <c r="E304" s="66">
        <v>5.4946564466000002E-5</v>
      </c>
    </row>
    <row r="305" spans="2:5" ht="15" customHeight="1">
      <c r="B305" s="83"/>
      <c r="C305" s="64" t="s">
        <v>119</v>
      </c>
      <c r="D305" s="65">
        <v>9</v>
      </c>
      <c r="E305" s="66">
        <v>2.47259540097E-4</v>
      </c>
    </row>
    <row r="306" spans="2:5" ht="15" customHeight="1">
      <c r="B306" s="83"/>
      <c r="C306" s="64" t="s">
        <v>120</v>
      </c>
      <c r="D306" s="65">
        <v>4</v>
      </c>
      <c r="E306" s="66">
        <v>1.09893128932E-4</v>
      </c>
    </row>
    <row r="307" spans="2:5" ht="15" customHeight="1">
      <c r="B307" s="83"/>
      <c r="C307" s="64" t="s">
        <v>121</v>
      </c>
      <c r="D307" s="65">
        <v>4</v>
      </c>
      <c r="E307" s="66">
        <v>1.09893128932E-4</v>
      </c>
    </row>
    <row r="308" spans="2:5" ht="15" customHeight="1">
      <c r="B308" s="83"/>
      <c r="C308" s="64" t="s">
        <v>123</v>
      </c>
      <c r="D308" s="65">
        <v>4</v>
      </c>
      <c r="E308" s="66">
        <v>1.09893128932E-4</v>
      </c>
    </row>
    <row r="309" spans="2:5" ht="15" customHeight="1">
      <c r="B309" s="83"/>
      <c r="C309" s="64" t="s">
        <v>125</v>
      </c>
      <c r="D309" s="65">
        <v>5</v>
      </c>
      <c r="E309" s="66">
        <v>1.3736641116500001E-4</v>
      </c>
    </row>
    <row r="310" spans="2:5" ht="15" customHeight="1">
      <c r="B310" s="83"/>
      <c r="C310" s="64" t="s">
        <v>126</v>
      </c>
      <c r="D310" s="65">
        <v>4</v>
      </c>
      <c r="E310" s="66">
        <v>1.09893128932E-4</v>
      </c>
    </row>
    <row r="311" spans="2:5" ht="15" customHeight="1">
      <c r="B311" s="83"/>
      <c r="C311" s="64" t="s">
        <v>127</v>
      </c>
      <c r="D311" s="65">
        <v>2</v>
      </c>
      <c r="E311" s="66">
        <v>5.4946564466000002E-5</v>
      </c>
    </row>
    <row r="312" spans="2:5" ht="15" customHeight="1">
      <c r="B312" s="83"/>
      <c r="C312" s="64" t="s">
        <v>128</v>
      </c>
      <c r="D312" s="65">
        <v>14</v>
      </c>
      <c r="E312" s="66">
        <v>3.8462595126199998E-4</v>
      </c>
    </row>
    <row r="313" spans="2:5" ht="15" customHeight="1">
      <c r="B313" s="83"/>
      <c r="C313" s="64" t="s">
        <v>130</v>
      </c>
      <c r="D313" s="65">
        <v>2</v>
      </c>
      <c r="E313" s="66">
        <v>5.4946564466000002E-5</v>
      </c>
    </row>
    <row r="314" spans="2:5" ht="15" customHeight="1">
      <c r="B314" s="83"/>
      <c r="C314" s="64" t="s">
        <v>131</v>
      </c>
      <c r="D314" s="65">
        <v>34</v>
      </c>
      <c r="E314" s="66">
        <v>9.3409159592300003E-4</v>
      </c>
    </row>
    <row r="315" spans="2:5" ht="15" customHeight="1">
      <c r="B315" s="83"/>
      <c r="C315" s="64" t="s">
        <v>133</v>
      </c>
      <c r="D315" s="65">
        <v>13</v>
      </c>
      <c r="E315" s="66">
        <v>3.5715266902900002E-4</v>
      </c>
    </row>
    <row r="316" spans="2:5" ht="15" customHeight="1">
      <c r="B316" s="83"/>
      <c r="C316" s="64" t="s">
        <v>134</v>
      </c>
      <c r="D316" s="65">
        <v>2</v>
      </c>
      <c r="E316" s="66">
        <v>5.4946564466000002E-5</v>
      </c>
    </row>
    <row r="317" spans="2:5" ht="15" customHeight="1">
      <c r="B317" s="83"/>
      <c r="C317" s="64" t="s">
        <v>135</v>
      </c>
      <c r="D317" s="65">
        <v>26</v>
      </c>
      <c r="E317" s="66">
        <v>7.14305338059E-4</v>
      </c>
    </row>
    <row r="318" spans="2:5" ht="15" customHeight="1">
      <c r="B318" s="83"/>
      <c r="C318" s="64" t="s">
        <v>136</v>
      </c>
      <c r="D318" s="65">
        <v>22</v>
      </c>
      <c r="E318" s="66">
        <v>6.0441220912700003E-4</v>
      </c>
    </row>
    <row r="319" spans="2:5" ht="15" customHeight="1">
      <c r="B319" s="83"/>
      <c r="C319" s="64" t="s">
        <v>138</v>
      </c>
      <c r="D319" s="65">
        <v>10</v>
      </c>
      <c r="E319" s="66">
        <v>2.7473282233000002E-4</v>
      </c>
    </row>
    <row r="320" spans="2:5" ht="15" customHeight="1">
      <c r="B320" s="83"/>
      <c r="C320" s="64" t="s">
        <v>139</v>
      </c>
      <c r="D320" s="65">
        <v>11</v>
      </c>
      <c r="E320" s="66">
        <v>3.0220610456299998E-4</v>
      </c>
    </row>
    <row r="321" spans="2:5" ht="15" customHeight="1">
      <c r="B321" s="83"/>
      <c r="C321" s="64" t="s">
        <v>140</v>
      </c>
      <c r="D321" s="65">
        <v>2</v>
      </c>
      <c r="E321" s="66">
        <v>5.4946564466000002E-5</v>
      </c>
    </row>
    <row r="322" spans="2:5" ht="15" customHeight="1">
      <c r="B322" s="83"/>
      <c r="C322" s="64" t="s">
        <v>141</v>
      </c>
      <c r="D322" s="65">
        <v>9</v>
      </c>
      <c r="E322" s="66">
        <v>2.47259540097E-4</v>
      </c>
    </row>
    <row r="323" spans="2:5" ht="15" customHeight="1">
      <c r="B323" s="83"/>
      <c r="C323" s="64" t="s">
        <v>143</v>
      </c>
      <c r="D323" s="65">
        <v>1</v>
      </c>
      <c r="E323" s="66">
        <v>2.7473282233000001E-5</v>
      </c>
    </row>
    <row r="324" spans="2:5" ht="15" customHeight="1">
      <c r="B324" s="83"/>
      <c r="C324" s="64" t="s">
        <v>144</v>
      </c>
      <c r="D324" s="65">
        <v>8</v>
      </c>
      <c r="E324" s="66">
        <v>2.1978625786400001E-4</v>
      </c>
    </row>
    <row r="325" spans="2:5" ht="15" customHeight="1">
      <c r="B325" s="83"/>
      <c r="C325" s="64" t="s">
        <v>146</v>
      </c>
      <c r="D325" s="65">
        <v>13</v>
      </c>
      <c r="E325" s="66">
        <v>3.5715266902900002E-4</v>
      </c>
    </row>
    <row r="326" spans="2:5" ht="15" customHeight="1">
      <c r="B326" s="83"/>
      <c r="C326" s="64" t="s">
        <v>147</v>
      </c>
      <c r="D326" s="65">
        <v>138</v>
      </c>
      <c r="E326" s="66">
        <v>3.7913129481579998E-3</v>
      </c>
    </row>
    <row r="327" spans="2:5" ht="15" customHeight="1">
      <c r="B327" s="83"/>
      <c r="C327" s="64" t="s">
        <v>148</v>
      </c>
      <c r="D327" s="65">
        <v>4</v>
      </c>
      <c r="E327" s="66">
        <v>1.09893128932E-4</v>
      </c>
    </row>
    <row r="328" spans="2:5" ht="15" customHeight="1">
      <c r="B328" s="83"/>
      <c r="C328" s="64" t="s">
        <v>150</v>
      </c>
      <c r="D328" s="65">
        <v>6</v>
      </c>
      <c r="E328" s="66">
        <v>1.64839693398E-4</v>
      </c>
    </row>
    <row r="329" spans="2:5" ht="15" customHeight="1">
      <c r="B329" s="83"/>
      <c r="C329" s="64" t="s">
        <v>82</v>
      </c>
      <c r="D329" s="65">
        <v>8</v>
      </c>
      <c r="E329" s="66">
        <v>2.1978625786400001E-4</v>
      </c>
    </row>
    <row r="330" spans="2:5" ht="15" customHeight="1">
      <c r="B330" s="83"/>
      <c r="C330" s="64" t="s">
        <v>152</v>
      </c>
      <c r="D330" s="65">
        <v>8</v>
      </c>
      <c r="E330" s="66">
        <v>2.1978625786400001E-4</v>
      </c>
    </row>
    <row r="331" spans="2:5" ht="15" customHeight="1">
      <c r="B331" s="83"/>
      <c r="C331" s="64" t="s">
        <v>153</v>
      </c>
      <c r="D331" s="65">
        <v>1</v>
      </c>
      <c r="E331" s="66">
        <v>2.7473282233000001E-5</v>
      </c>
    </row>
    <row r="332" spans="2:5" ht="15" customHeight="1">
      <c r="B332" s="82"/>
      <c r="C332" s="36" t="s">
        <v>29</v>
      </c>
      <c r="D332" s="35">
        <v>803</v>
      </c>
      <c r="E332" s="34">
        <v>2.2061045633122001E-2</v>
      </c>
    </row>
    <row r="333" spans="2:5" ht="15" customHeight="1">
      <c r="B333" s="77" t="s">
        <v>239</v>
      </c>
      <c r="C333" s="64" t="s">
        <v>103</v>
      </c>
      <c r="D333" s="65">
        <v>5</v>
      </c>
      <c r="E333" s="66">
        <v>1.3736641116500001E-4</v>
      </c>
    </row>
    <row r="334" spans="2:5" ht="15" customHeight="1">
      <c r="B334" s="83"/>
      <c r="C334" s="64" t="s">
        <v>105</v>
      </c>
      <c r="D334" s="65">
        <v>22</v>
      </c>
      <c r="E334" s="66">
        <v>6.0441220912700003E-4</v>
      </c>
    </row>
    <row r="335" spans="2:5" ht="15" customHeight="1">
      <c r="B335" s="83"/>
      <c r="C335" s="64" t="s">
        <v>106</v>
      </c>
      <c r="D335" s="65">
        <v>13</v>
      </c>
      <c r="E335" s="66">
        <v>3.5715266902900002E-4</v>
      </c>
    </row>
    <row r="336" spans="2:5" ht="15" customHeight="1">
      <c r="B336" s="83"/>
      <c r="C336" s="64" t="s">
        <v>107</v>
      </c>
      <c r="D336" s="65">
        <v>396</v>
      </c>
      <c r="E336" s="66">
        <v>1.0879419764279001E-2</v>
      </c>
    </row>
    <row r="337" spans="2:5" ht="15" customHeight="1">
      <c r="B337" s="83"/>
      <c r="C337" s="64" t="s">
        <v>108</v>
      </c>
      <c r="D337" s="65">
        <v>24</v>
      </c>
      <c r="E337" s="66">
        <v>6.5935877359299996E-4</v>
      </c>
    </row>
    <row r="338" spans="2:5" ht="15" customHeight="1">
      <c r="B338" s="83"/>
      <c r="C338" s="64" t="s">
        <v>109</v>
      </c>
      <c r="D338" s="65">
        <v>3</v>
      </c>
      <c r="E338" s="66">
        <v>8.2419846699E-5</v>
      </c>
    </row>
    <row r="339" spans="2:5" ht="15" customHeight="1">
      <c r="B339" s="83"/>
      <c r="C339" s="64" t="s">
        <v>110</v>
      </c>
      <c r="D339" s="65">
        <v>3</v>
      </c>
      <c r="E339" s="66">
        <v>8.2419846699E-5</v>
      </c>
    </row>
    <row r="340" spans="2:5" ht="15" customHeight="1">
      <c r="B340" s="83"/>
      <c r="C340" s="64" t="s">
        <v>112</v>
      </c>
      <c r="D340" s="65">
        <v>25</v>
      </c>
      <c r="E340" s="66">
        <v>6.8683205582600003E-4</v>
      </c>
    </row>
    <row r="341" spans="2:5" ht="15" customHeight="1">
      <c r="B341" s="83"/>
      <c r="C341" s="64" t="s">
        <v>113</v>
      </c>
      <c r="D341" s="65">
        <v>11</v>
      </c>
      <c r="E341" s="66">
        <v>3.0220610456299998E-4</v>
      </c>
    </row>
    <row r="342" spans="2:5" ht="15" customHeight="1">
      <c r="B342" s="83"/>
      <c r="C342" s="64" t="s">
        <v>114</v>
      </c>
      <c r="D342" s="65">
        <v>2</v>
      </c>
      <c r="E342" s="66">
        <v>5.4946564466000002E-5</v>
      </c>
    </row>
    <row r="343" spans="2:5" ht="15" customHeight="1">
      <c r="B343" s="83"/>
      <c r="C343" s="64" t="s">
        <v>115</v>
      </c>
      <c r="D343" s="65">
        <v>7</v>
      </c>
      <c r="E343" s="66">
        <v>1.9231297563099999E-4</v>
      </c>
    </row>
    <row r="344" spans="2:5" ht="15" customHeight="1">
      <c r="B344" s="83"/>
      <c r="C344" s="64" t="s">
        <v>116</v>
      </c>
      <c r="D344" s="65">
        <v>116</v>
      </c>
      <c r="E344" s="66">
        <v>3.1869007390309999E-3</v>
      </c>
    </row>
    <row r="345" spans="2:5" ht="15" customHeight="1">
      <c r="B345" s="83"/>
      <c r="C345" s="64" t="s">
        <v>117</v>
      </c>
      <c r="D345" s="65">
        <v>41</v>
      </c>
      <c r="E345" s="66">
        <v>1.126404571554E-3</v>
      </c>
    </row>
    <row r="346" spans="2:5" ht="15" customHeight="1">
      <c r="B346" s="83"/>
      <c r="C346" s="64" t="s">
        <v>118</v>
      </c>
      <c r="D346" s="65">
        <v>7</v>
      </c>
      <c r="E346" s="66">
        <v>1.9231297563099999E-4</v>
      </c>
    </row>
    <row r="347" spans="2:5" ht="15" customHeight="1">
      <c r="B347" s="83"/>
      <c r="C347" s="64" t="s">
        <v>119</v>
      </c>
      <c r="D347" s="65">
        <v>12</v>
      </c>
      <c r="E347" s="66">
        <v>3.29679386796E-4</v>
      </c>
    </row>
    <row r="348" spans="2:5" ht="15" customHeight="1">
      <c r="B348" s="83"/>
      <c r="C348" s="64" t="s">
        <v>120</v>
      </c>
      <c r="D348" s="65">
        <v>5</v>
      </c>
      <c r="E348" s="66">
        <v>1.3736641116500001E-4</v>
      </c>
    </row>
    <row r="349" spans="2:5" ht="15" customHeight="1">
      <c r="B349" s="83"/>
      <c r="C349" s="64" t="s">
        <v>121</v>
      </c>
      <c r="D349" s="65">
        <v>3</v>
      </c>
      <c r="E349" s="66">
        <v>8.2419846699E-5</v>
      </c>
    </row>
    <row r="350" spans="2:5" ht="15" customHeight="1">
      <c r="B350" s="83"/>
      <c r="C350" s="64" t="s">
        <v>124</v>
      </c>
      <c r="D350" s="65">
        <v>1</v>
      </c>
      <c r="E350" s="66">
        <v>2.7473282233000001E-5</v>
      </c>
    </row>
    <row r="351" spans="2:5" ht="15" customHeight="1">
      <c r="B351" s="83"/>
      <c r="C351" s="64" t="s">
        <v>125</v>
      </c>
      <c r="D351" s="65">
        <v>21</v>
      </c>
      <c r="E351" s="66">
        <v>5.7693892689399996E-4</v>
      </c>
    </row>
    <row r="352" spans="2:5" ht="15" customHeight="1">
      <c r="B352" s="83"/>
      <c r="C352" s="64" t="s">
        <v>126</v>
      </c>
      <c r="D352" s="65">
        <v>5</v>
      </c>
      <c r="E352" s="66">
        <v>1.3736641116500001E-4</v>
      </c>
    </row>
    <row r="353" spans="2:5" ht="15" customHeight="1">
      <c r="B353" s="83"/>
      <c r="C353" s="64" t="s">
        <v>127</v>
      </c>
      <c r="D353" s="65">
        <v>2</v>
      </c>
      <c r="E353" s="66">
        <v>5.4946564466000002E-5</v>
      </c>
    </row>
    <row r="354" spans="2:5" ht="15" customHeight="1">
      <c r="B354" s="83"/>
      <c r="C354" s="64" t="s">
        <v>128</v>
      </c>
      <c r="D354" s="65">
        <v>7</v>
      </c>
      <c r="E354" s="66">
        <v>1.9231297563099999E-4</v>
      </c>
    </row>
    <row r="355" spans="2:5" ht="15" customHeight="1">
      <c r="B355" s="83"/>
      <c r="C355" s="64" t="s">
        <v>130</v>
      </c>
      <c r="D355" s="65">
        <v>3</v>
      </c>
      <c r="E355" s="66">
        <v>8.2419846699E-5</v>
      </c>
    </row>
    <row r="356" spans="2:5" ht="15" customHeight="1">
      <c r="B356" s="83"/>
      <c r="C356" s="64" t="s">
        <v>131</v>
      </c>
      <c r="D356" s="65">
        <v>50</v>
      </c>
      <c r="E356" s="66">
        <v>1.373664111651E-3</v>
      </c>
    </row>
    <row r="357" spans="2:5" ht="15" customHeight="1">
      <c r="B357" s="83"/>
      <c r="C357" s="64" t="s">
        <v>133</v>
      </c>
      <c r="D357" s="65">
        <v>16</v>
      </c>
      <c r="E357" s="66">
        <v>4.3957251572800002E-4</v>
      </c>
    </row>
    <row r="358" spans="2:5" ht="15" customHeight="1">
      <c r="B358" s="83"/>
      <c r="C358" s="64" t="s">
        <v>134</v>
      </c>
      <c r="D358" s="65">
        <v>3</v>
      </c>
      <c r="E358" s="66">
        <v>8.2419846699E-5</v>
      </c>
    </row>
    <row r="359" spans="2:5" ht="15" customHeight="1">
      <c r="B359" s="83"/>
      <c r="C359" s="64" t="s">
        <v>135</v>
      </c>
      <c r="D359" s="65">
        <v>29</v>
      </c>
      <c r="E359" s="66">
        <v>7.96725184758E-4</v>
      </c>
    </row>
    <row r="360" spans="2:5" ht="15" customHeight="1">
      <c r="B360" s="83"/>
      <c r="C360" s="64" t="s">
        <v>136</v>
      </c>
      <c r="D360" s="65">
        <v>35</v>
      </c>
      <c r="E360" s="66">
        <v>9.61564878156E-4</v>
      </c>
    </row>
    <row r="361" spans="2:5" ht="15" customHeight="1">
      <c r="B361" s="83"/>
      <c r="C361" s="64" t="s">
        <v>138</v>
      </c>
      <c r="D361" s="65">
        <v>11</v>
      </c>
      <c r="E361" s="66">
        <v>3.0220610456299998E-4</v>
      </c>
    </row>
    <row r="362" spans="2:5" ht="15" customHeight="1">
      <c r="B362" s="83"/>
      <c r="C362" s="64" t="s">
        <v>139</v>
      </c>
      <c r="D362" s="65">
        <v>18</v>
      </c>
      <c r="E362" s="66">
        <v>4.9451908019499996E-4</v>
      </c>
    </row>
    <row r="363" spans="2:5" ht="15" customHeight="1">
      <c r="B363" s="83"/>
      <c r="C363" s="64" t="s">
        <v>140</v>
      </c>
      <c r="D363" s="65">
        <v>6</v>
      </c>
      <c r="E363" s="66">
        <v>1.64839693398E-4</v>
      </c>
    </row>
    <row r="364" spans="2:5" ht="15" customHeight="1">
      <c r="B364" s="83"/>
      <c r="C364" s="64" t="s">
        <v>141</v>
      </c>
      <c r="D364" s="65">
        <v>12</v>
      </c>
      <c r="E364" s="66">
        <v>3.29679386796E-4</v>
      </c>
    </row>
    <row r="365" spans="2:5" ht="15" customHeight="1">
      <c r="B365" s="83"/>
      <c r="C365" s="64" t="s">
        <v>144</v>
      </c>
      <c r="D365" s="65">
        <v>23</v>
      </c>
      <c r="E365" s="66">
        <v>6.3188549136E-4</v>
      </c>
    </row>
    <row r="366" spans="2:5" ht="15" customHeight="1">
      <c r="B366" s="83"/>
      <c r="C366" s="64" t="s">
        <v>146</v>
      </c>
      <c r="D366" s="65">
        <v>20</v>
      </c>
      <c r="E366" s="66">
        <v>5.49465644661E-4</v>
      </c>
    </row>
    <row r="367" spans="2:5" ht="15" customHeight="1">
      <c r="B367" s="83"/>
      <c r="C367" s="64" t="s">
        <v>147</v>
      </c>
      <c r="D367" s="65">
        <v>263</v>
      </c>
      <c r="E367" s="66">
        <v>7.2254732272860004E-3</v>
      </c>
    </row>
    <row r="368" spans="2:5" ht="15" customHeight="1">
      <c r="B368" s="83"/>
      <c r="C368" s="64" t="s">
        <v>148</v>
      </c>
      <c r="D368" s="65">
        <v>17</v>
      </c>
      <c r="E368" s="66">
        <v>4.6704579796099998E-4</v>
      </c>
    </row>
    <row r="369" spans="2:5" ht="15" customHeight="1">
      <c r="B369" s="83"/>
      <c r="C369" s="64" t="s">
        <v>150</v>
      </c>
      <c r="D369" s="65">
        <v>5</v>
      </c>
      <c r="E369" s="66">
        <v>1.3736641116500001E-4</v>
      </c>
    </row>
    <row r="370" spans="2:5" ht="15" customHeight="1">
      <c r="B370" s="83"/>
      <c r="C370" s="64" t="s">
        <v>82</v>
      </c>
      <c r="D370" s="65">
        <v>4</v>
      </c>
      <c r="E370" s="66">
        <v>1.09893128932E-4</v>
      </c>
    </row>
    <row r="371" spans="2:5" ht="15" customHeight="1">
      <c r="B371" s="83"/>
      <c r="C371" s="64" t="s">
        <v>152</v>
      </c>
      <c r="D371" s="65">
        <v>21</v>
      </c>
      <c r="E371" s="66">
        <v>5.7693892689399996E-4</v>
      </c>
    </row>
    <row r="372" spans="2:5" ht="15" customHeight="1">
      <c r="B372" s="82"/>
      <c r="C372" s="36" t="s">
        <v>29</v>
      </c>
      <c r="D372" s="35">
        <v>1267</v>
      </c>
      <c r="E372" s="34">
        <v>3.4808648589247003E-2</v>
      </c>
    </row>
    <row r="373" spans="2:5" ht="15" customHeight="1">
      <c r="B373" s="77" t="s">
        <v>240</v>
      </c>
      <c r="C373" s="64" t="s">
        <v>103</v>
      </c>
      <c r="D373" s="65">
        <v>100</v>
      </c>
      <c r="E373" s="66">
        <v>2.7473282233030001E-3</v>
      </c>
    </row>
    <row r="374" spans="2:5" ht="15" customHeight="1">
      <c r="B374" s="83"/>
      <c r="C374" s="64" t="s">
        <v>105</v>
      </c>
      <c r="D374" s="65">
        <v>185</v>
      </c>
      <c r="E374" s="66">
        <v>5.0825572131099998E-3</v>
      </c>
    </row>
    <row r="375" spans="2:5" ht="15" customHeight="1">
      <c r="B375" s="83"/>
      <c r="C375" s="64" t="s">
        <v>106</v>
      </c>
      <c r="D375" s="65">
        <v>111</v>
      </c>
      <c r="E375" s="66">
        <v>3.049534327866E-3</v>
      </c>
    </row>
    <row r="376" spans="2:5" ht="15" customHeight="1">
      <c r="B376" s="83"/>
      <c r="C376" s="64" t="s">
        <v>107</v>
      </c>
      <c r="D376" s="65">
        <v>3162</v>
      </c>
      <c r="E376" s="66">
        <v>8.6870518420835999E-2</v>
      </c>
    </row>
    <row r="377" spans="2:5" ht="15" customHeight="1">
      <c r="B377" s="83"/>
      <c r="C377" s="64" t="s">
        <v>108</v>
      </c>
      <c r="D377" s="65">
        <v>117</v>
      </c>
      <c r="E377" s="66">
        <v>3.214374021264E-3</v>
      </c>
    </row>
    <row r="378" spans="2:5" ht="15" customHeight="1">
      <c r="B378" s="83"/>
      <c r="C378" s="64" t="s">
        <v>109</v>
      </c>
      <c r="D378" s="65">
        <v>22</v>
      </c>
      <c r="E378" s="66">
        <v>6.0441220912700003E-4</v>
      </c>
    </row>
    <row r="379" spans="2:5" ht="15" customHeight="1">
      <c r="B379" s="83"/>
      <c r="C379" s="64" t="s">
        <v>110</v>
      </c>
      <c r="D379" s="65">
        <v>21</v>
      </c>
      <c r="E379" s="66">
        <v>5.7693892689399996E-4</v>
      </c>
    </row>
    <row r="380" spans="2:5" ht="15" customHeight="1">
      <c r="B380" s="83"/>
      <c r="C380" s="64" t="s">
        <v>111</v>
      </c>
      <c r="D380" s="65">
        <v>3</v>
      </c>
      <c r="E380" s="66">
        <v>8.2419846699E-5</v>
      </c>
    </row>
    <row r="381" spans="2:5" ht="15" customHeight="1">
      <c r="B381" s="83"/>
      <c r="C381" s="64" t="s">
        <v>112</v>
      </c>
      <c r="D381" s="65">
        <v>341</v>
      </c>
      <c r="E381" s="66">
        <v>9.3683892414630002E-3</v>
      </c>
    </row>
    <row r="382" spans="2:5" ht="15" customHeight="1">
      <c r="B382" s="83"/>
      <c r="C382" s="64" t="s">
        <v>113</v>
      </c>
      <c r="D382" s="65">
        <v>373</v>
      </c>
      <c r="E382" s="66">
        <v>1.024753427292E-2</v>
      </c>
    </row>
    <row r="383" spans="2:5" ht="15" customHeight="1">
      <c r="B383" s="83"/>
      <c r="C383" s="64" t="s">
        <v>114</v>
      </c>
      <c r="D383" s="65">
        <v>12</v>
      </c>
      <c r="E383" s="66">
        <v>3.29679386796E-4</v>
      </c>
    </row>
    <row r="384" spans="2:5" ht="15" customHeight="1">
      <c r="B384" s="83"/>
      <c r="C384" s="64" t="s">
        <v>115</v>
      </c>
      <c r="D384" s="65">
        <v>39</v>
      </c>
      <c r="E384" s="66">
        <v>1.0714580070880001E-3</v>
      </c>
    </row>
    <row r="385" spans="2:5" ht="15" customHeight="1">
      <c r="B385" s="83"/>
      <c r="C385" s="64" t="s">
        <v>116</v>
      </c>
      <c r="D385" s="65">
        <v>2078</v>
      </c>
      <c r="E385" s="66">
        <v>5.7089480480232997E-2</v>
      </c>
    </row>
    <row r="386" spans="2:5" ht="15" customHeight="1">
      <c r="B386" s="83"/>
      <c r="C386" s="64" t="s">
        <v>117</v>
      </c>
      <c r="D386" s="65">
        <v>313</v>
      </c>
      <c r="E386" s="66">
        <v>8.5991373389380007E-3</v>
      </c>
    </row>
    <row r="387" spans="2:5" ht="15" customHeight="1">
      <c r="B387" s="83"/>
      <c r="C387" s="64" t="s">
        <v>118</v>
      </c>
      <c r="D387" s="65">
        <v>21</v>
      </c>
      <c r="E387" s="66">
        <v>5.7693892689399996E-4</v>
      </c>
    </row>
    <row r="388" spans="2:5" ht="15" customHeight="1">
      <c r="B388" s="83"/>
      <c r="C388" s="64" t="s">
        <v>119</v>
      </c>
      <c r="D388" s="65">
        <v>84</v>
      </c>
      <c r="E388" s="66">
        <v>2.3077557075740001E-3</v>
      </c>
    </row>
    <row r="389" spans="2:5" ht="15" customHeight="1">
      <c r="B389" s="83"/>
      <c r="C389" s="64" t="s">
        <v>120</v>
      </c>
      <c r="D389" s="65">
        <v>72</v>
      </c>
      <c r="E389" s="66">
        <v>1.9780763207780001E-3</v>
      </c>
    </row>
    <row r="390" spans="2:5" ht="15" customHeight="1">
      <c r="B390" s="83"/>
      <c r="C390" s="64" t="s">
        <v>121</v>
      </c>
      <c r="D390" s="65">
        <v>30</v>
      </c>
      <c r="E390" s="66">
        <v>8.2419846699099996E-4</v>
      </c>
    </row>
    <row r="391" spans="2:5" ht="15" customHeight="1">
      <c r="B391" s="83"/>
      <c r="C391" s="64" t="s">
        <v>122</v>
      </c>
      <c r="D391" s="65">
        <v>1</v>
      </c>
      <c r="E391" s="66">
        <v>2.7473282233000001E-5</v>
      </c>
    </row>
    <row r="392" spans="2:5" ht="15" customHeight="1">
      <c r="B392" s="83"/>
      <c r="C392" s="64" t="s">
        <v>123</v>
      </c>
      <c r="D392" s="65">
        <v>24</v>
      </c>
      <c r="E392" s="66">
        <v>6.5935877359299996E-4</v>
      </c>
    </row>
    <row r="393" spans="2:5" ht="15" customHeight="1">
      <c r="B393" s="83"/>
      <c r="C393" s="64" t="s">
        <v>124</v>
      </c>
      <c r="D393" s="65">
        <v>19</v>
      </c>
      <c r="E393" s="66">
        <v>5.2199236242800003E-4</v>
      </c>
    </row>
    <row r="394" spans="2:5" ht="15" customHeight="1">
      <c r="B394" s="83"/>
      <c r="C394" s="64" t="s">
        <v>125</v>
      </c>
      <c r="D394" s="65">
        <v>110</v>
      </c>
      <c r="E394" s="66">
        <v>3.0220610456329999E-3</v>
      </c>
    </row>
    <row r="395" spans="2:5" ht="15" customHeight="1">
      <c r="B395" s="83"/>
      <c r="C395" s="64" t="s">
        <v>126</v>
      </c>
      <c r="D395" s="65">
        <v>167</v>
      </c>
      <c r="E395" s="66">
        <v>4.5880381329160003E-3</v>
      </c>
    </row>
    <row r="396" spans="2:5" ht="15" customHeight="1">
      <c r="B396" s="83"/>
      <c r="C396" s="64" t="s">
        <v>127</v>
      </c>
      <c r="D396" s="65">
        <v>32</v>
      </c>
      <c r="E396" s="66">
        <v>8.79145031457E-4</v>
      </c>
    </row>
    <row r="397" spans="2:5" ht="15" customHeight="1">
      <c r="B397" s="83"/>
      <c r="C397" s="64" t="s">
        <v>128</v>
      </c>
      <c r="D397" s="65">
        <v>83</v>
      </c>
      <c r="E397" s="66">
        <v>2.2802824253410001E-3</v>
      </c>
    </row>
    <row r="398" spans="2:5" ht="15" customHeight="1">
      <c r="B398" s="83"/>
      <c r="C398" s="64" t="s">
        <v>129</v>
      </c>
      <c r="D398" s="65">
        <v>3</v>
      </c>
      <c r="E398" s="66">
        <v>8.2419846699E-5</v>
      </c>
    </row>
    <row r="399" spans="2:5" ht="15" customHeight="1">
      <c r="B399" s="83"/>
      <c r="C399" s="64" t="s">
        <v>130</v>
      </c>
      <c r="D399" s="65">
        <v>43</v>
      </c>
      <c r="E399" s="66">
        <v>1.1813511360199999E-3</v>
      </c>
    </row>
    <row r="400" spans="2:5" ht="15" customHeight="1">
      <c r="B400" s="83"/>
      <c r="C400" s="64" t="s">
        <v>131</v>
      </c>
      <c r="D400" s="65">
        <v>300</v>
      </c>
      <c r="E400" s="66">
        <v>8.2419846699090006E-3</v>
      </c>
    </row>
    <row r="401" spans="2:5" ht="15" customHeight="1">
      <c r="B401" s="83"/>
      <c r="C401" s="64" t="s">
        <v>133</v>
      </c>
      <c r="D401" s="65">
        <v>184</v>
      </c>
      <c r="E401" s="66">
        <v>5.0550839308769998E-3</v>
      </c>
    </row>
    <row r="402" spans="2:5" ht="15" customHeight="1">
      <c r="B402" s="83"/>
      <c r="C402" s="64" t="s">
        <v>134</v>
      </c>
      <c r="D402" s="65">
        <v>33</v>
      </c>
      <c r="E402" s="66">
        <v>9.0661831368999996E-4</v>
      </c>
    </row>
    <row r="403" spans="2:5" ht="15" customHeight="1">
      <c r="B403" s="83"/>
      <c r="C403" s="64" t="s">
        <v>135</v>
      </c>
      <c r="D403" s="65">
        <v>301</v>
      </c>
      <c r="E403" s="66">
        <v>8.2694579521419998E-3</v>
      </c>
    </row>
    <row r="404" spans="2:5" ht="15" customHeight="1">
      <c r="B404" s="83"/>
      <c r="C404" s="64" t="s">
        <v>136</v>
      </c>
      <c r="D404" s="65">
        <v>387</v>
      </c>
      <c r="E404" s="66">
        <v>1.0632160224181999E-2</v>
      </c>
    </row>
    <row r="405" spans="2:5" ht="15" customHeight="1">
      <c r="B405" s="83"/>
      <c r="C405" s="64" t="s">
        <v>137</v>
      </c>
      <c r="D405" s="65">
        <v>2</v>
      </c>
      <c r="E405" s="66">
        <v>5.4946564466000002E-5</v>
      </c>
    </row>
    <row r="406" spans="2:5" ht="15" customHeight="1">
      <c r="B406" s="83"/>
      <c r="C406" s="64" t="s">
        <v>138</v>
      </c>
      <c r="D406" s="65">
        <v>93</v>
      </c>
      <c r="E406" s="66">
        <v>2.555015247672E-3</v>
      </c>
    </row>
    <row r="407" spans="2:5" ht="15" customHeight="1">
      <c r="B407" s="83"/>
      <c r="C407" s="64" t="s">
        <v>139</v>
      </c>
      <c r="D407" s="65">
        <v>174</v>
      </c>
      <c r="E407" s="66">
        <v>4.7803511085469999E-3</v>
      </c>
    </row>
    <row r="408" spans="2:5" ht="15" customHeight="1">
      <c r="B408" s="83"/>
      <c r="C408" s="64" t="s">
        <v>140</v>
      </c>
      <c r="D408" s="65">
        <v>45</v>
      </c>
      <c r="E408" s="66">
        <v>1.2362977004860001E-3</v>
      </c>
    </row>
    <row r="409" spans="2:5" ht="15" customHeight="1">
      <c r="B409" s="83"/>
      <c r="C409" s="64" t="s">
        <v>141</v>
      </c>
      <c r="D409" s="65">
        <v>93</v>
      </c>
      <c r="E409" s="66">
        <v>2.555015247672E-3</v>
      </c>
    </row>
    <row r="410" spans="2:5" ht="15" customHeight="1">
      <c r="B410" s="83"/>
      <c r="C410" s="64" t="s">
        <v>143</v>
      </c>
      <c r="D410" s="65">
        <v>9</v>
      </c>
      <c r="E410" s="66">
        <v>2.47259540097E-4</v>
      </c>
    </row>
    <row r="411" spans="2:5" ht="15" customHeight="1">
      <c r="B411" s="83"/>
      <c r="C411" s="64" t="s">
        <v>144</v>
      </c>
      <c r="D411" s="65">
        <v>158</v>
      </c>
      <c r="E411" s="66">
        <v>4.3407785928180004E-3</v>
      </c>
    </row>
    <row r="412" spans="2:5" ht="15" customHeight="1">
      <c r="B412" s="83"/>
      <c r="C412" s="64" t="s">
        <v>145</v>
      </c>
      <c r="D412" s="65">
        <v>6</v>
      </c>
      <c r="E412" s="66">
        <v>1.64839693398E-4</v>
      </c>
    </row>
    <row r="413" spans="2:5" ht="15" customHeight="1">
      <c r="B413" s="83"/>
      <c r="C413" s="64" t="s">
        <v>146</v>
      </c>
      <c r="D413" s="65">
        <v>160</v>
      </c>
      <c r="E413" s="66">
        <v>4.3957251572849998E-3</v>
      </c>
    </row>
    <row r="414" spans="2:5" ht="15" customHeight="1">
      <c r="B414" s="83"/>
      <c r="C414" s="64" t="s">
        <v>147</v>
      </c>
      <c r="D414" s="65">
        <v>2190</v>
      </c>
      <c r="E414" s="66">
        <v>6.0166488090332003E-2</v>
      </c>
    </row>
    <row r="415" spans="2:5" ht="15" customHeight="1">
      <c r="B415" s="83"/>
      <c r="C415" s="64" t="s">
        <v>148</v>
      </c>
      <c r="D415" s="65">
        <v>79</v>
      </c>
      <c r="E415" s="66">
        <v>2.1703892964090002E-3</v>
      </c>
    </row>
    <row r="416" spans="2:5" ht="15" customHeight="1">
      <c r="B416" s="83"/>
      <c r="C416" s="64" t="s">
        <v>149</v>
      </c>
      <c r="D416" s="65">
        <v>2</v>
      </c>
      <c r="E416" s="66">
        <v>5.4946564466000002E-5</v>
      </c>
    </row>
    <row r="417" spans="2:5" ht="15" customHeight="1">
      <c r="B417" s="83"/>
      <c r="C417" s="64" t="s">
        <v>150</v>
      </c>
      <c r="D417" s="65">
        <v>78</v>
      </c>
      <c r="E417" s="66">
        <v>2.1429160141760001E-3</v>
      </c>
    </row>
    <row r="418" spans="2:5" ht="15" customHeight="1">
      <c r="B418" s="83"/>
      <c r="C418" s="64" t="s">
        <v>82</v>
      </c>
      <c r="D418" s="65">
        <v>55</v>
      </c>
      <c r="E418" s="66">
        <v>1.511030522817E-3</v>
      </c>
    </row>
    <row r="419" spans="2:5" ht="15" customHeight="1">
      <c r="B419" s="83"/>
      <c r="C419" s="64" t="s">
        <v>151</v>
      </c>
      <c r="D419" s="65">
        <v>2</v>
      </c>
      <c r="E419" s="66">
        <v>5.4946564466000002E-5</v>
      </c>
    </row>
    <row r="420" spans="2:5" ht="15" customHeight="1">
      <c r="B420" s="83"/>
      <c r="C420" s="64" t="s">
        <v>152</v>
      </c>
      <c r="D420" s="65">
        <v>122</v>
      </c>
      <c r="E420" s="66">
        <v>3.3517404324289999E-3</v>
      </c>
    </row>
    <row r="421" spans="2:5" ht="15" customHeight="1">
      <c r="B421" s="83"/>
      <c r="C421" s="64" t="s">
        <v>153</v>
      </c>
      <c r="D421" s="65">
        <v>6</v>
      </c>
      <c r="E421" s="66">
        <v>1.64839693398E-4</v>
      </c>
    </row>
    <row r="422" spans="2:5" ht="15" customHeight="1">
      <c r="B422" s="82"/>
      <c r="C422" s="36" t="s">
        <v>29</v>
      </c>
      <c r="D422" s="35">
        <v>12045</v>
      </c>
      <c r="E422" s="34">
        <v>0.33091568449682701</v>
      </c>
    </row>
    <row r="423" spans="2:5" ht="15" customHeight="1">
      <c r="B423" s="77" t="s">
        <v>241</v>
      </c>
      <c r="C423" s="64" t="s">
        <v>103</v>
      </c>
      <c r="D423" s="65">
        <v>6</v>
      </c>
      <c r="E423" s="66">
        <v>1.64839693398E-4</v>
      </c>
    </row>
    <row r="424" spans="2:5" ht="15" customHeight="1">
      <c r="B424" s="83"/>
      <c r="C424" s="64" t="s">
        <v>105</v>
      </c>
      <c r="D424" s="65">
        <v>23</v>
      </c>
      <c r="E424" s="66">
        <v>6.3188549136E-4</v>
      </c>
    </row>
    <row r="425" spans="2:5" ht="15" customHeight="1">
      <c r="B425" s="83"/>
      <c r="C425" s="64" t="s">
        <v>106</v>
      </c>
      <c r="D425" s="65">
        <v>6</v>
      </c>
      <c r="E425" s="66">
        <v>1.64839693398E-4</v>
      </c>
    </row>
    <row r="426" spans="2:5" ht="15" customHeight="1">
      <c r="B426" s="83"/>
      <c r="C426" s="64" t="s">
        <v>107</v>
      </c>
      <c r="D426" s="65">
        <v>312</v>
      </c>
      <c r="E426" s="66">
        <v>8.5716640567049997E-3</v>
      </c>
    </row>
    <row r="427" spans="2:5" ht="15" customHeight="1">
      <c r="B427" s="83"/>
      <c r="C427" s="64" t="s">
        <v>108</v>
      </c>
      <c r="D427" s="65">
        <v>10</v>
      </c>
      <c r="E427" s="66">
        <v>2.7473282233000002E-4</v>
      </c>
    </row>
    <row r="428" spans="2:5" ht="15" customHeight="1">
      <c r="B428" s="83"/>
      <c r="C428" s="64" t="s">
        <v>110</v>
      </c>
      <c r="D428" s="65">
        <v>2</v>
      </c>
      <c r="E428" s="66">
        <v>5.4946564466000002E-5</v>
      </c>
    </row>
    <row r="429" spans="2:5" ht="15" customHeight="1">
      <c r="B429" s="83"/>
      <c r="C429" s="64" t="s">
        <v>112</v>
      </c>
      <c r="D429" s="65">
        <v>32</v>
      </c>
      <c r="E429" s="66">
        <v>8.79145031457E-4</v>
      </c>
    </row>
    <row r="430" spans="2:5" ht="15" customHeight="1">
      <c r="B430" s="83"/>
      <c r="C430" s="64" t="s">
        <v>113</v>
      </c>
      <c r="D430" s="65">
        <v>33</v>
      </c>
      <c r="E430" s="66">
        <v>9.0661831368999996E-4</v>
      </c>
    </row>
    <row r="431" spans="2:5" ht="15" customHeight="1">
      <c r="B431" s="83"/>
      <c r="C431" s="64" t="s">
        <v>114</v>
      </c>
      <c r="D431" s="65">
        <v>3</v>
      </c>
      <c r="E431" s="66">
        <v>8.2419846699E-5</v>
      </c>
    </row>
    <row r="432" spans="2:5" ht="15" customHeight="1">
      <c r="B432" s="83"/>
      <c r="C432" s="64" t="s">
        <v>115</v>
      </c>
      <c r="D432" s="65">
        <v>1</v>
      </c>
      <c r="E432" s="66">
        <v>2.7473282233000001E-5</v>
      </c>
    </row>
    <row r="433" spans="2:5" ht="15" customHeight="1">
      <c r="B433" s="83"/>
      <c r="C433" s="64" t="s">
        <v>116</v>
      </c>
      <c r="D433" s="65">
        <v>137</v>
      </c>
      <c r="E433" s="66">
        <v>3.7638396659250002E-3</v>
      </c>
    </row>
    <row r="434" spans="2:5" ht="15" customHeight="1">
      <c r="B434" s="83"/>
      <c r="C434" s="64" t="s">
        <v>117</v>
      </c>
      <c r="D434" s="65">
        <v>42</v>
      </c>
      <c r="E434" s="66">
        <v>1.1538778537870001E-3</v>
      </c>
    </row>
    <row r="435" spans="2:5" ht="15" customHeight="1">
      <c r="B435" s="83"/>
      <c r="C435" s="64" t="s">
        <v>118</v>
      </c>
      <c r="D435" s="65">
        <v>2</v>
      </c>
      <c r="E435" s="66">
        <v>5.4946564466000002E-5</v>
      </c>
    </row>
    <row r="436" spans="2:5" ht="15" customHeight="1">
      <c r="B436" s="83"/>
      <c r="C436" s="64" t="s">
        <v>119</v>
      </c>
      <c r="D436" s="65">
        <v>5</v>
      </c>
      <c r="E436" s="66">
        <v>1.3736641116500001E-4</v>
      </c>
    </row>
    <row r="437" spans="2:5" ht="15" customHeight="1">
      <c r="B437" s="83"/>
      <c r="C437" s="64" t="s">
        <v>120</v>
      </c>
      <c r="D437" s="65">
        <v>4</v>
      </c>
      <c r="E437" s="66">
        <v>1.09893128932E-4</v>
      </c>
    </row>
    <row r="438" spans="2:5" ht="15" customHeight="1">
      <c r="B438" s="83"/>
      <c r="C438" s="64" t="s">
        <v>121</v>
      </c>
      <c r="D438" s="65">
        <v>4</v>
      </c>
      <c r="E438" s="66">
        <v>1.09893128932E-4</v>
      </c>
    </row>
    <row r="439" spans="2:5" ht="15" customHeight="1">
      <c r="B439" s="83"/>
      <c r="C439" s="64" t="s">
        <v>123</v>
      </c>
      <c r="D439" s="65">
        <v>2</v>
      </c>
      <c r="E439" s="66">
        <v>5.4946564466000002E-5</v>
      </c>
    </row>
    <row r="440" spans="2:5" ht="15" customHeight="1">
      <c r="B440" s="83"/>
      <c r="C440" s="64" t="s">
        <v>125</v>
      </c>
      <c r="D440" s="65">
        <v>14</v>
      </c>
      <c r="E440" s="66">
        <v>3.8462595126199998E-4</v>
      </c>
    </row>
    <row r="441" spans="2:5" ht="15" customHeight="1">
      <c r="B441" s="83"/>
      <c r="C441" s="64" t="s">
        <v>126</v>
      </c>
      <c r="D441" s="65">
        <v>23</v>
      </c>
      <c r="E441" s="66">
        <v>6.3188549136E-4</v>
      </c>
    </row>
    <row r="442" spans="2:5" ht="15" customHeight="1">
      <c r="B442" s="83"/>
      <c r="C442" s="64" t="s">
        <v>127</v>
      </c>
      <c r="D442" s="65">
        <v>2</v>
      </c>
      <c r="E442" s="66">
        <v>5.4946564466000002E-5</v>
      </c>
    </row>
    <row r="443" spans="2:5" ht="15" customHeight="1">
      <c r="B443" s="83"/>
      <c r="C443" s="64" t="s">
        <v>128</v>
      </c>
      <c r="D443" s="65">
        <v>4</v>
      </c>
      <c r="E443" s="66">
        <v>1.09893128932E-4</v>
      </c>
    </row>
    <row r="444" spans="2:5" ht="15" customHeight="1">
      <c r="B444" s="83"/>
      <c r="C444" s="64" t="s">
        <v>130</v>
      </c>
      <c r="D444" s="65">
        <v>7</v>
      </c>
      <c r="E444" s="66">
        <v>1.9231297563099999E-4</v>
      </c>
    </row>
    <row r="445" spans="2:5" ht="15" customHeight="1">
      <c r="B445" s="83"/>
      <c r="C445" s="64" t="s">
        <v>131</v>
      </c>
      <c r="D445" s="65">
        <v>32</v>
      </c>
      <c r="E445" s="66">
        <v>8.79145031457E-4</v>
      </c>
    </row>
    <row r="446" spans="2:5" ht="15" customHeight="1">
      <c r="B446" s="83"/>
      <c r="C446" s="64" t="s">
        <v>133</v>
      </c>
      <c r="D446" s="65">
        <v>10</v>
      </c>
      <c r="E446" s="66">
        <v>2.7473282233000002E-4</v>
      </c>
    </row>
    <row r="447" spans="2:5" ht="15" customHeight="1">
      <c r="B447" s="83"/>
      <c r="C447" s="64" t="s">
        <v>134</v>
      </c>
      <c r="D447" s="65">
        <v>6</v>
      </c>
      <c r="E447" s="66">
        <v>1.64839693398E-4</v>
      </c>
    </row>
    <row r="448" spans="2:5" ht="15" customHeight="1">
      <c r="B448" s="83"/>
      <c r="C448" s="64" t="s">
        <v>135</v>
      </c>
      <c r="D448" s="65">
        <v>12</v>
      </c>
      <c r="E448" s="66">
        <v>3.29679386796E-4</v>
      </c>
    </row>
    <row r="449" spans="2:5" ht="15" customHeight="1">
      <c r="B449" s="83"/>
      <c r="C449" s="64" t="s">
        <v>136</v>
      </c>
      <c r="D449" s="65">
        <v>20</v>
      </c>
      <c r="E449" s="66">
        <v>5.49465644661E-4</v>
      </c>
    </row>
    <row r="450" spans="2:5" ht="15" customHeight="1">
      <c r="B450" s="83"/>
      <c r="C450" s="64" t="s">
        <v>138</v>
      </c>
      <c r="D450" s="65">
        <v>6</v>
      </c>
      <c r="E450" s="66">
        <v>1.64839693398E-4</v>
      </c>
    </row>
    <row r="451" spans="2:5" ht="15" customHeight="1">
      <c r="B451" s="83"/>
      <c r="C451" s="64" t="s">
        <v>139</v>
      </c>
      <c r="D451" s="65">
        <v>12</v>
      </c>
      <c r="E451" s="66">
        <v>3.29679386796E-4</v>
      </c>
    </row>
    <row r="452" spans="2:5" ht="15" customHeight="1">
      <c r="B452" s="83"/>
      <c r="C452" s="64" t="s">
        <v>140</v>
      </c>
      <c r="D452" s="65">
        <v>6</v>
      </c>
      <c r="E452" s="66">
        <v>1.64839693398E-4</v>
      </c>
    </row>
    <row r="453" spans="2:5" ht="15" customHeight="1">
      <c r="B453" s="83"/>
      <c r="C453" s="64" t="s">
        <v>141</v>
      </c>
      <c r="D453" s="65">
        <v>8</v>
      </c>
      <c r="E453" s="66">
        <v>2.1978625786400001E-4</v>
      </c>
    </row>
    <row r="454" spans="2:5" ht="15" customHeight="1">
      <c r="B454" s="83"/>
      <c r="C454" s="64" t="s">
        <v>144</v>
      </c>
      <c r="D454" s="65">
        <v>5</v>
      </c>
      <c r="E454" s="66">
        <v>1.3736641116500001E-4</v>
      </c>
    </row>
    <row r="455" spans="2:5" ht="15" customHeight="1">
      <c r="B455" s="83"/>
      <c r="C455" s="64" t="s">
        <v>145</v>
      </c>
      <c r="D455" s="65">
        <v>1</v>
      </c>
      <c r="E455" s="66">
        <v>2.7473282233000001E-5</v>
      </c>
    </row>
    <row r="456" spans="2:5" ht="15" customHeight="1">
      <c r="B456" s="83"/>
      <c r="C456" s="64" t="s">
        <v>146</v>
      </c>
      <c r="D456" s="65">
        <v>10</v>
      </c>
      <c r="E456" s="66">
        <v>2.7473282233000002E-4</v>
      </c>
    </row>
    <row r="457" spans="2:5" ht="15" customHeight="1">
      <c r="B457" s="83"/>
      <c r="C457" s="64" t="s">
        <v>147</v>
      </c>
      <c r="D457" s="65">
        <v>207</v>
      </c>
      <c r="E457" s="66">
        <v>5.6869694222369998E-3</v>
      </c>
    </row>
    <row r="458" spans="2:5" ht="15" customHeight="1">
      <c r="B458" s="83"/>
      <c r="C458" s="64" t="s">
        <v>148</v>
      </c>
      <c r="D458" s="65">
        <v>5</v>
      </c>
      <c r="E458" s="66">
        <v>1.3736641116500001E-4</v>
      </c>
    </row>
    <row r="459" spans="2:5" ht="15" customHeight="1">
      <c r="B459" s="83"/>
      <c r="C459" s="64" t="s">
        <v>150</v>
      </c>
      <c r="D459" s="65">
        <v>5</v>
      </c>
      <c r="E459" s="66">
        <v>1.3736641116500001E-4</v>
      </c>
    </row>
    <row r="460" spans="2:5" ht="15" customHeight="1">
      <c r="B460" s="83"/>
      <c r="C460" s="64" t="s">
        <v>82</v>
      </c>
      <c r="D460" s="65">
        <v>5</v>
      </c>
      <c r="E460" s="66">
        <v>1.3736641116500001E-4</v>
      </c>
    </row>
    <row r="461" spans="2:5" ht="15" customHeight="1">
      <c r="B461" s="83"/>
      <c r="C461" s="64" t="s">
        <v>152</v>
      </c>
      <c r="D461" s="65">
        <v>8</v>
      </c>
      <c r="E461" s="66">
        <v>2.1978625786400001E-4</v>
      </c>
    </row>
    <row r="462" spans="2:5" ht="15" customHeight="1">
      <c r="B462" s="83"/>
      <c r="C462" s="64" t="s">
        <v>153</v>
      </c>
      <c r="D462" s="65">
        <v>1</v>
      </c>
      <c r="E462" s="66">
        <v>2.7473282233000001E-5</v>
      </c>
    </row>
    <row r="463" spans="2:5" ht="15" customHeight="1">
      <c r="B463" s="82"/>
      <c r="C463" s="36" t="s">
        <v>29</v>
      </c>
      <c r="D463" s="35">
        <v>1033</v>
      </c>
      <c r="E463" s="34">
        <v>2.8379900546718E-2</v>
      </c>
    </row>
    <row r="464" spans="2:5" ht="15" customHeight="1">
      <c r="B464" s="77" t="s">
        <v>242</v>
      </c>
      <c r="C464" s="64" t="s">
        <v>103</v>
      </c>
      <c r="D464" s="65">
        <v>12</v>
      </c>
      <c r="E464" s="66">
        <v>3.29679386796E-4</v>
      </c>
    </row>
    <row r="465" spans="2:5" ht="15" customHeight="1">
      <c r="B465" s="83"/>
      <c r="C465" s="64" t="s">
        <v>105</v>
      </c>
      <c r="D465" s="65">
        <v>45</v>
      </c>
      <c r="E465" s="66">
        <v>1.2362977004860001E-3</v>
      </c>
    </row>
    <row r="466" spans="2:5" ht="15" customHeight="1">
      <c r="B466" s="83"/>
      <c r="C466" s="64" t="s">
        <v>106</v>
      </c>
      <c r="D466" s="65">
        <v>37</v>
      </c>
      <c r="E466" s="66">
        <v>1.0165114426219999E-3</v>
      </c>
    </row>
    <row r="467" spans="2:5" ht="15" customHeight="1">
      <c r="B467" s="83"/>
      <c r="C467" s="64" t="s">
        <v>107</v>
      </c>
      <c r="D467" s="65">
        <v>703</v>
      </c>
      <c r="E467" s="66">
        <v>1.9313717409818999E-2</v>
      </c>
    </row>
    <row r="468" spans="2:5" ht="15" customHeight="1">
      <c r="B468" s="83"/>
      <c r="C468" s="64" t="s">
        <v>108</v>
      </c>
      <c r="D468" s="65">
        <v>41</v>
      </c>
      <c r="E468" s="66">
        <v>1.126404571554E-3</v>
      </c>
    </row>
    <row r="469" spans="2:5" ht="15" customHeight="1">
      <c r="B469" s="83"/>
      <c r="C469" s="64" t="s">
        <v>109</v>
      </c>
      <c r="D469" s="65">
        <v>6</v>
      </c>
      <c r="E469" s="66">
        <v>1.64839693398E-4</v>
      </c>
    </row>
    <row r="470" spans="2:5" ht="15" customHeight="1">
      <c r="B470" s="83"/>
      <c r="C470" s="64" t="s">
        <v>110</v>
      </c>
      <c r="D470" s="65">
        <v>6</v>
      </c>
      <c r="E470" s="66">
        <v>1.64839693398E-4</v>
      </c>
    </row>
    <row r="471" spans="2:5" ht="15" customHeight="1">
      <c r="B471" s="83"/>
      <c r="C471" s="64" t="s">
        <v>111</v>
      </c>
      <c r="D471" s="65">
        <v>2</v>
      </c>
      <c r="E471" s="66">
        <v>5.4946564466000002E-5</v>
      </c>
    </row>
    <row r="472" spans="2:5" ht="15" customHeight="1">
      <c r="B472" s="83"/>
      <c r="C472" s="64" t="s">
        <v>112</v>
      </c>
      <c r="D472" s="65">
        <v>88</v>
      </c>
      <c r="E472" s="66">
        <v>2.417648836506E-3</v>
      </c>
    </row>
    <row r="473" spans="2:5" ht="15" customHeight="1">
      <c r="B473" s="83"/>
      <c r="C473" s="64" t="s">
        <v>113</v>
      </c>
      <c r="D473" s="65">
        <v>62</v>
      </c>
      <c r="E473" s="66">
        <v>1.7033434984480001E-3</v>
      </c>
    </row>
    <row r="474" spans="2:5" ht="15" customHeight="1">
      <c r="B474" s="83"/>
      <c r="C474" s="64" t="s">
        <v>115</v>
      </c>
      <c r="D474" s="65">
        <v>6</v>
      </c>
      <c r="E474" s="66">
        <v>1.64839693398E-4</v>
      </c>
    </row>
    <row r="475" spans="2:5" ht="15" customHeight="1">
      <c r="B475" s="83"/>
      <c r="C475" s="64" t="s">
        <v>116</v>
      </c>
      <c r="D475" s="65">
        <v>265</v>
      </c>
      <c r="E475" s="66">
        <v>7.2804197917529997E-3</v>
      </c>
    </row>
    <row r="476" spans="2:5" ht="15" customHeight="1">
      <c r="B476" s="83"/>
      <c r="C476" s="64" t="s">
        <v>117</v>
      </c>
      <c r="D476" s="65">
        <v>68</v>
      </c>
      <c r="E476" s="66">
        <v>1.8681831918460001E-3</v>
      </c>
    </row>
    <row r="477" spans="2:5" ht="15" customHeight="1">
      <c r="B477" s="83"/>
      <c r="C477" s="64" t="s">
        <v>118</v>
      </c>
      <c r="D477" s="65">
        <v>6</v>
      </c>
      <c r="E477" s="66">
        <v>1.64839693398E-4</v>
      </c>
    </row>
    <row r="478" spans="2:5" ht="15" customHeight="1">
      <c r="B478" s="83"/>
      <c r="C478" s="64" t="s">
        <v>119</v>
      </c>
      <c r="D478" s="65">
        <v>28</v>
      </c>
      <c r="E478" s="66">
        <v>7.6925190252500003E-4</v>
      </c>
    </row>
    <row r="479" spans="2:5" ht="15" customHeight="1">
      <c r="B479" s="83"/>
      <c r="C479" s="64" t="s">
        <v>120</v>
      </c>
      <c r="D479" s="65">
        <v>13</v>
      </c>
      <c r="E479" s="66">
        <v>3.5715266902900002E-4</v>
      </c>
    </row>
    <row r="480" spans="2:5" ht="15" customHeight="1">
      <c r="B480" s="83"/>
      <c r="C480" s="64" t="s">
        <v>121</v>
      </c>
      <c r="D480" s="65">
        <v>11</v>
      </c>
      <c r="E480" s="66">
        <v>3.0220610456299998E-4</v>
      </c>
    </row>
    <row r="481" spans="2:5" ht="15" customHeight="1">
      <c r="B481" s="83"/>
      <c r="C481" s="64" t="s">
        <v>123</v>
      </c>
      <c r="D481" s="65">
        <v>4</v>
      </c>
      <c r="E481" s="66">
        <v>1.09893128932E-4</v>
      </c>
    </row>
    <row r="482" spans="2:5" ht="15" customHeight="1">
      <c r="B482" s="83"/>
      <c r="C482" s="64" t="s">
        <v>124</v>
      </c>
      <c r="D482" s="65">
        <v>7</v>
      </c>
      <c r="E482" s="66">
        <v>1.9231297563099999E-4</v>
      </c>
    </row>
    <row r="483" spans="2:5" ht="15" customHeight="1">
      <c r="B483" s="83"/>
      <c r="C483" s="64" t="s">
        <v>125</v>
      </c>
      <c r="D483" s="65">
        <v>28</v>
      </c>
      <c r="E483" s="66">
        <v>7.6925190252500003E-4</v>
      </c>
    </row>
    <row r="484" spans="2:5" ht="15" customHeight="1">
      <c r="B484" s="83"/>
      <c r="C484" s="64" t="s">
        <v>126</v>
      </c>
      <c r="D484" s="65">
        <v>31</v>
      </c>
      <c r="E484" s="66">
        <v>8.5167174922400003E-4</v>
      </c>
    </row>
    <row r="485" spans="2:5" ht="15" customHeight="1">
      <c r="B485" s="83"/>
      <c r="C485" s="64" t="s">
        <v>127</v>
      </c>
      <c r="D485" s="65">
        <v>2</v>
      </c>
      <c r="E485" s="66">
        <v>5.4946564466000002E-5</v>
      </c>
    </row>
    <row r="486" spans="2:5" ht="15" customHeight="1">
      <c r="B486" s="83"/>
      <c r="C486" s="64" t="s">
        <v>128</v>
      </c>
      <c r="D486" s="65">
        <v>26</v>
      </c>
      <c r="E486" s="66">
        <v>7.14305338059E-4</v>
      </c>
    </row>
    <row r="487" spans="2:5" ht="15" customHeight="1">
      <c r="B487" s="83"/>
      <c r="C487" s="64" t="s">
        <v>130</v>
      </c>
      <c r="D487" s="65">
        <v>15</v>
      </c>
      <c r="E487" s="66">
        <v>4.12099233495E-4</v>
      </c>
    </row>
    <row r="488" spans="2:5" ht="15" customHeight="1">
      <c r="B488" s="83"/>
      <c r="C488" s="64" t="s">
        <v>131</v>
      </c>
      <c r="D488" s="65">
        <v>93</v>
      </c>
      <c r="E488" s="66">
        <v>2.555015247672E-3</v>
      </c>
    </row>
    <row r="489" spans="2:5" ht="15" customHeight="1">
      <c r="B489" s="83"/>
      <c r="C489" s="64" t="s">
        <v>133</v>
      </c>
      <c r="D489" s="65">
        <v>46</v>
      </c>
      <c r="E489" s="66">
        <v>1.2637709827189999E-3</v>
      </c>
    </row>
    <row r="490" spans="2:5" ht="15" customHeight="1">
      <c r="B490" s="83"/>
      <c r="C490" s="64" t="s">
        <v>134</v>
      </c>
      <c r="D490" s="65">
        <v>3</v>
      </c>
      <c r="E490" s="66">
        <v>8.2419846699E-5</v>
      </c>
    </row>
    <row r="491" spans="2:5" ht="15" customHeight="1">
      <c r="B491" s="83"/>
      <c r="C491" s="64" t="s">
        <v>135</v>
      </c>
      <c r="D491" s="65">
        <v>59</v>
      </c>
      <c r="E491" s="66">
        <v>1.6209236517490001E-3</v>
      </c>
    </row>
    <row r="492" spans="2:5" ht="15" customHeight="1">
      <c r="B492" s="83"/>
      <c r="C492" s="64" t="s">
        <v>136</v>
      </c>
      <c r="D492" s="65">
        <v>88</v>
      </c>
      <c r="E492" s="66">
        <v>2.417648836506E-3</v>
      </c>
    </row>
    <row r="493" spans="2:5" ht="15" customHeight="1">
      <c r="B493" s="83"/>
      <c r="C493" s="64" t="s">
        <v>138</v>
      </c>
      <c r="D493" s="65">
        <v>19</v>
      </c>
      <c r="E493" s="66">
        <v>5.2199236242800003E-4</v>
      </c>
    </row>
    <row r="494" spans="2:5" ht="15" customHeight="1">
      <c r="B494" s="83"/>
      <c r="C494" s="64" t="s">
        <v>139</v>
      </c>
      <c r="D494" s="65">
        <v>43</v>
      </c>
      <c r="E494" s="66">
        <v>1.1813511360199999E-3</v>
      </c>
    </row>
    <row r="495" spans="2:5" ht="15" customHeight="1">
      <c r="B495" s="83"/>
      <c r="C495" s="64" t="s">
        <v>140</v>
      </c>
      <c r="D495" s="65">
        <v>14</v>
      </c>
      <c r="E495" s="66">
        <v>3.8462595126199998E-4</v>
      </c>
    </row>
    <row r="496" spans="2:5" ht="15" customHeight="1">
      <c r="B496" s="83"/>
      <c r="C496" s="64" t="s">
        <v>141</v>
      </c>
      <c r="D496" s="65">
        <v>13</v>
      </c>
      <c r="E496" s="66">
        <v>3.5715266902900002E-4</v>
      </c>
    </row>
    <row r="497" spans="2:5" ht="15" customHeight="1">
      <c r="B497" s="83"/>
      <c r="C497" s="64" t="s">
        <v>143</v>
      </c>
      <c r="D497" s="65">
        <v>1</v>
      </c>
      <c r="E497" s="66">
        <v>2.7473282233000001E-5</v>
      </c>
    </row>
    <row r="498" spans="2:5" ht="15" customHeight="1">
      <c r="B498" s="83"/>
      <c r="C498" s="64" t="s">
        <v>144</v>
      </c>
      <c r="D498" s="65">
        <v>26</v>
      </c>
      <c r="E498" s="66">
        <v>7.14305338059E-4</v>
      </c>
    </row>
    <row r="499" spans="2:5" ht="15" customHeight="1">
      <c r="B499" s="83"/>
      <c r="C499" s="64" t="s">
        <v>146</v>
      </c>
      <c r="D499" s="65">
        <v>47</v>
      </c>
      <c r="E499" s="66">
        <v>1.291244264952E-3</v>
      </c>
    </row>
    <row r="500" spans="2:5" ht="15" customHeight="1">
      <c r="B500" s="83"/>
      <c r="C500" s="64" t="s">
        <v>147</v>
      </c>
      <c r="D500" s="65">
        <v>446</v>
      </c>
      <c r="E500" s="66">
        <v>1.2253083875930999E-2</v>
      </c>
    </row>
    <row r="501" spans="2:5" ht="15" customHeight="1">
      <c r="B501" s="83"/>
      <c r="C501" s="64" t="s">
        <v>148</v>
      </c>
      <c r="D501" s="65">
        <v>22</v>
      </c>
      <c r="E501" s="66">
        <v>6.0441220912700003E-4</v>
      </c>
    </row>
    <row r="502" spans="2:5" ht="15" customHeight="1">
      <c r="B502" s="83"/>
      <c r="C502" s="64" t="s">
        <v>150</v>
      </c>
      <c r="D502" s="65">
        <v>11</v>
      </c>
      <c r="E502" s="66">
        <v>3.0220610456299998E-4</v>
      </c>
    </row>
    <row r="503" spans="2:5" ht="15" customHeight="1">
      <c r="B503" s="83"/>
      <c r="C503" s="64" t="s">
        <v>82</v>
      </c>
      <c r="D503" s="65">
        <v>13</v>
      </c>
      <c r="E503" s="66">
        <v>3.5715266902900002E-4</v>
      </c>
    </row>
    <row r="504" spans="2:5" ht="15" customHeight="1">
      <c r="B504" s="83"/>
      <c r="C504" s="64" t="s">
        <v>152</v>
      </c>
      <c r="D504" s="65">
        <v>25</v>
      </c>
      <c r="E504" s="66">
        <v>6.8683205582600003E-4</v>
      </c>
    </row>
    <row r="505" spans="2:5" ht="15" customHeight="1">
      <c r="B505" s="83"/>
      <c r="C505" s="64" t="s">
        <v>153</v>
      </c>
      <c r="D505" s="65">
        <v>3</v>
      </c>
      <c r="E505" s="66">
        <v>8.2419846699E-5</v>
      </c>
    </row>
    <row r="506" spans="2:5" ht="15" customHeight="1">
      <c r="B506" s="82"/>
      <c r="C506" s="36" t="s">
        <v>29</v>
      </c>
      <c r="D506" s="35">
        <v>2484</v>
      </c>
      <c r="E506" s="34">
        <v>6.8243633066843001E-2</v>
      </c>
    </row>
    <row r="507" spans="2:5" ht="15" customHeight="1">
      <c r="B507" s="77" t="s">
        <v>243</v>
      </c>
      <c r="C507" s="64" t="s">
        <v>103</v>
      </c>
      <c r="D507" s="65">
        <v>66</v>
      </c>
      <c r="E507" s="66">
        <v>1.8132366273799999E-3</v>
      </c>
    </row>
    <row r="508" spans="2:5" ht="15" customHeight="1">
      <c r="B508" s="83"/>
      <c r="C508" s="64" t="s">
        <v>104</v>
      </c>
      <c r="D508" s="65">
        <v>2</v>
      </c>
      <c r="E508" s="66">
        <v>5.4946564466000002E-5</v>
      </c>
    </row>
    <row r="509" spans="2:5" ht="15" customHeight="1">
      <c r="B509" s="83"/>
      <c r="C509" s="64" t="s">
        <v>105</v>
      </c>
      <c r="D509" s="65">
        <v>179</v>
      </c>
      <c r="E509" s="66">
        <v>4.9177175197120003E-3</v>
      </c>
    </row>
    <row r="510" spans="2:5" ht="15" customHeight="1">
      <c r="B510" s="83"/>
      <c r="C510" s="64" t="s">
        <v>106</v>
      </c>
      <c r="D510" s="65">
        <v>84</v>
      </c>
      <c r="E510" s="66">
        <v>2.3077557075740001E-3</v>
      </c>
    </row>
    <row r="511" spans="2:5" ht="15" customHeight="1">
      <c r="B511" s="83"/>
      <c r="C511" s="64" t="s">
        <v>107</v>
      </c>
      <c r="D511" s="65">
        <v>2634</v>
      </c>
      <c r="E511" s="66">
        <v>7.2364625401797E-2</v>
      </c>
    </row>
    <row r="512" spans="2:5" ht="15" customHeight="1">
      <c r="B512" s="83"/>
      <c r="C512" s="64" t="s">
        <v>108</v>
      </c>
      <c r="D512" s="65">
        <v>109</v>
      </c>
      <c r="E512" s="66">
        <v>2.9945877633999998E-3</v>
      </c>
    </row>
    <row r="513" spans="2:5" ht="15" customHeight="1">
      <c r="B513" s="83"/>
      <c r="C513" s="64" t="s">
        <v>109</v>
      </c>
      <c r="D513" s="65">
        <v>23</v>
      </c>
      <c r="E513" s="66">
        <v>6.3188549136E-4</v>
      </c>
    </row>
    <row r="514" spans="2:5" ht="15" customHeight="1">
      <c r="B514" s="83"/>
      <c r="C514" s="64" t="s">
        <v>110</v>
      </c>
      <c r="D514" s="65">
        <v>16</v>
      </c>
      <c r="E514" s="66">
        <v>4.3957251572800002E-4</v>
      </c>
    </row>
    <row r="515" spans="2:5" ht="15" customHeight="1">
      <c r="B515" s="83"/>
      <c r="C515" s="64" t="s">
        <v>111</v>
      </c>
      <c r="D515" s="65">
        <v>7</v>
      </c>
      <c r="E515" s="66">
        <v>1.9231297563099999E-4</v>
      </c>
    </row>
    <row r="516" spans="2:5" ht="15" customHeight="1">
      <c r="B516" s="83"/>
      <c r="C516" s="64" t="s">
        <v>112</v>
      </c>
      <c r="D516" s="65">
        <v>225</v>
      </c>
      <c r="E516" s="66">
        <v>6.1814885024310002E-3</v>
      </c>
    </row>
    <row r="517" spans="2:5" ht="15" customHeight="1">
      <c r="B517" s="83"/>
      <c r="C517" s="64" t="s">
        <v>113</v>
      </c>
      <c r="D517" s="65">
        <v>207</v>
      </c>
      <c r="E517" s="66">
        <v>5.6869694222369998E-3</v>
      </c>
    </row>
    <row r="518" spans="2:5" ht="15" customHeight="1">
      <c r="B518" s="83"/>
      <c r="C518" s="64" t="s">
        <v>114</v>
      </c>
      <c r="D518" s="65">
        <v>11</v>
      </c>
      <c r="E518" s="66">
        <v>3.0220610456299998E-4</v>
      </c>
    </row>
    <row r="519" spans="2:5" ht="15" customHeight="1">
      <c r="B519" s="83"/>
      <c r="C519" s="64" t="s">
        <v>115</v>
      </c>
      <c r="D519" s="65">
        <v>32</v>
      </c>
      <c r="E519" s="66">
        <v>8.79145031457E-4</v>
      </c>
    </row>
    <row r="520" spans="2:5" ht="15" customHeight="1">
      <c r="B520" s="83"/>
      <c r="C520" s="64" t="s">
        <v>116</v>
      </c>
      <c r="D520" s="65">
        <v>1429</v>
      </c>
      <c r="E520" s="66">
        <v>3.9259320310997999E-2</v>
      </c>
    </row>
    <row r="521" spans="2:5" ht="15" customHeight="1">
      <c r="B521" s="83"/>
      <c r="C521" s="64" t="s">
        <v>117</v>
      </c>
      <c r="D521" s="65">
        <v>209</v>
      </c>
      <c r="E521" s="66">
        <v>5.7419159867029999E-3</v>
      </c>
    </row>
    <row r="522" spans="2:5" ht="15" customHeight="1">
      <c r="B522" s="83"/>
      <c r="C522" s="64" t="s">
        <v>118</v>
      </c>
      <c r="D522" s="65">
        <v>15</v>
      </c>
      <c r="E522" s="66">
        <v>4.12099233495E-4</v>
      </c>
    </row>
    <row r="523" spans="2:5" ht="15" customHeight="1">
      <c r="B523" s="83"/>
      <c r="C523" s="64" t="s">
        <v>119</v>
      </c>
      <c r="D523" s="65">
        <v>89</v>
      </c>
      <c r="E523" s="66">
        <v>2.4451221187400001E-3</v>
      </c>
    </row>
    <row r="524" spans="2:5" ht="15" customHeight="1">
      <c r="B524" s="83"/>
      <c r="C524" s="64" t="s">
        <v>120</v>
      </c>
      <c r="D524" s="65">
        <v>51</v>
      </c>
      <c r="E524" s="66">
        <v>1.4011373938840001E-3</v>
      </c>
    </row>
    <row r="525" spans="2:5" ht="15" customHeight="1">
      <c r="B525" s="83"/>
      <c r="C525" s="64" t="s">
        <v>121</v>
      </c>
      <c r="D525" s="65">
        <v>32</v>
      </c>
      <c r="E525" s="66">
        <v>8.79145031457E-4</v>
      </c>
    </row>
    <row r="526" spans="2:5" ht="15" customHeight="1">
      <c r="B526" s="83"/>
      <c r="C526" s="64" t="s">
        <v>123</v>
      </c>
      <c r="D526" s="65">
        <v>18</v>
      </c>
      <c r="E526" s="66">
        <v>4.9451908019499996E-4</v>
      </c>
    </row>
    <row r="527" spans="2:5" ht="15" customHeight="1">
      <c r="B527" s="83"/>
      <c r="C527" s="64" t="s">
        <v>124</v>
      </c>
      <c r="D527" s="65">
        <v>17</v>
      </c>
      <c r="E527" s="66">
        <v>4.6704579796099998E-4</v>
      </c>
    </row>
    <row r="528" spans="2:5" ht="15" customHeight="1">
      <c r="B528" s="83"/>
      <c r="C528" s="64" t="s">
        <v>125</v>
      </c>
      <c r="D528" s="65">
        <v>74</v>
      </c>
      <c r="E528" s="66">
        <v>2.0330228852439998E-3</v>
      </c>
    </row>
    <row r="529" spans="2:5" ht="15" customHeight="1">
      <c r="B529" s="83"/>
      <c r="C529" s="64" t="s">
        <v>126</v>
      </c>
      <c r="D529" s="65">
        <v>134</v>
      </c>
      <c r="E529" s="66">
        <v>3.681419819226E-3</v>
      </c>
    </row>
    <row r="530" spans="2:5" ht="15" customHeight="1">
      <c r="B530" s="83"/>
      <c r="C530" s="64" t="s">
        <v>127</v>
      </c>
      <c r="D530" s="65">
        <v>26</v>
      </c>
      <c r="E530" s="66">
        <v>7.14305338059E-4</v>
      </c>
    </row>
    <row r="531" spans="2:5" ht="15" customHeight="1">
      <c r="B531" s="83"/>
      <c r="C531" s="64" t="s">
        <v>128</v>
      </c>
      <c r="D531" s="65">
        <v>83</v>
      </c>
      <c r="E531" s="66">
        <v>2.2802824253410001E-3</v>
      </c>
    </row>
    <row r="532" spans="2:5" ht="15" customHeight="1">
      <c r="B532" s="83"/>
      <c r="C532" s="64" t="s">
        <v>129</v>
      </c>
      <c r="D532" s="65">
        <v>1</v>
      </c>
      <c r="E532" s="66">
        <v>2.7473282233000001E-5</v>
      </c>
    </row>
    <row r="533" spans="2:5" ht="15" customHeight="1">
      <c r="B533" s="83"/>
      <c r="C533" s="64" t="s">
        <v>130</v>
      </c>
      <c r="D533" s="65">
        <v>34</v>
      </c>
      <c r="E533" s="66">
        <v>9.3409159592300003E-4</v>
      </c>
    </row>
    <row r="534" spans="2:5" ht="15" customHeight="1">
      <c r="B534" s="83"/>
      <c r="C534" s="64" t="s">
        <v>131</v>
      </c>
      <c r="D534" s="65">
        <v>301</v>
      </c>
      <c r="E534" s="66">
        <v>8.2694579521419998E-3</v>
      </c>
    </row>
    <row r="535" spans="2:5" ht="15" customHeight="1">
      <c r="B535" s="83"/>
      <c r="C535" s="64" t="s">
        <v>132</v>
      </c>
      <c r="D535" s="65">
        <v>3</v>
      </c>
      <c r="E535" s="66">
        <v>8.2419846699E-5</v>
      </c>
    </row>
    <row r="536" spans="2:5" ht="15" customHeight="1">
      <c r="B536" s="83"/>
      <c r="C536" s="64" t="s">
        <v>133</v>
      </c>
      <c r="D536" s="65">
        <v>135</v>
      </c>
      <c r="E536" s="66">
        <v>3.7088931014590001E-3</v>
      </c>
    </row>
    <row r="537" spans="2:5" ht="15" customHeight="1">
      <c r="B537" s="83"/>
      <c r="C537" s="64" t="s">
        <v>134</v>
      </c>
      <c r="D537" s="65">
        <v>20</v>
      </c>
      <c r="E537" s="66">
        <v>5.49465644661E-4</v>
      </c>
    </row>
    <row r="538" spans="2:5" ht="15" customHeight="1">
      <c r="B538" s="83"/>
      <c r="C538" s="64" t="s">
        <v>135</v>
      </c>
      <c r="D538" s="65">
        <v>219</v>
      </c>
      <c r="E538" s="66">
        <v>6.0166488090329998E-3</v>
      </c>
    </row>
    <row r="539" spans="2:5" ht="15" customHeight="1">
      <c r="B539" s="83"/>
      <c r="C539" s="64" t="s">
        <v>136</v>
      </c>
      <c r="D539" s="65">
        <v>201</v>
      </c>
      <c r="E539" s="66">
        <v>5.5221297288390002E-3</v>
      </c>
    </row>
    <row r="540" spans="2:5" ht="15" customHeight="1">
      <c r="B540" s="83"/>
      <c r="C540" s="64" t="s">
        <v>137</v>
      </c>
      <c r="D540" s="65">
        <v>1</v>
      </c>
      <c r="E540" s="66">
        <v>2.7473282233000001E-5</v>
      </c>
    </row>
    <row r="541" spans="2:5" ht="15" customHeight="1">
      <c r="B541" s="83"/>
      <c r="C541" s="64" t="s">
        <v>138</v>
      </c>
      <c r="D541" s="65">
        <v>71</v>
      </c>
      <c r="E541" s="66">
        <v>1.9506030385450001E-3</v>
      </c>
    </row>
    <row r="542" spans="2:5" ht="15" customHeight="1">
      <c r="B542" s="83"/>
      <c r="C542" s="64" t="s">
        <v>139</v>
      </c>
      <c r="D542" s="65">
        <v>126</v>
      </c>
      <c r="E542" s="66">
        <v>3.4616335613619998E-3</v>
      </c>
    </row>
    <row r="543" spans="2:5" ht="15" customHeight="1">
      <c r="B543" s="83"/>
      <c r="C543" s="64" t="s">
        <v>140</v>
      </c>
      <c r="D543" s="65">
        <v>41</v>
      </c>
      <c r="E543" s="66">
        <v>1.126404571554E-3</v>
      </c>
    </row>
    <row r="544" spans="2:5" ht="15" customHeight="1">
      <c r="B544" s="83"/>
      <c r="C544" s="64" t="s">
        <v>141</v>
      </c>
      <c r="D544" s="65">
        <v>73</v>
      </c>
      <c r="E544" s="66">
        <v>2.0055496030110002E-3</v>
      </c>
    </row>
    <row r="545" spans="2:5" ht="15" customHeight="1">
      <c r="B545" s="83"/>
      <c r="C545" s="64" t="s">
        <v>143</v>
      </c>
      <c r="D545" s="65">
        <v>4</v>
      </c>
      <c r="E545" s="66">
        <v>1.09893128932E-4</v>
      </c>
    </row>
    <row r="546" spans="2:5" ht="15" customHeight="1">
      <c r="B546" s="83"/>
      <c r="C546" s="64" t="s">
        <v>144</v>
      </c>
      <c r="D546" s="65">
        <v>99</v>
      </c>
      <c r="E546" s="66">
        <v>2.71985494107E-3</v>
      </c>
    </row>
    <row r="547" spans="2:5" ht="15" customHeight="1">
      <c r="B547" s="83"/>
      <c r="C547" s="64" t="s">
        <v>145</v>
      </c>
      <c r="D547" s="65">
        <v>2</v>
      </c>
      <c r="E547" s="66">
        <v>5.4946564466000002E-5</v>
      </c>
    </row>
    <row r="548" spans="2:5" ht="15" customHeight="1">
      <c r="B548" s="83"/>
      <c r="C548" s="64" t="s">
        <v>146</v>
      </c>
      <c r="D548" s="65">
        <v>105</v>
      </c>
      <c r="E548" s="66">
        <v>2.884694634468E-3</v>
      </c>
    </row>
    <row r="549" spans="2:5" ht="15" customHeight="1">
      <c r="B549" s="83"/>
      <c r="C549" s="64" t="s">
        <v>147</v>
      </c>
      <c r="D549" s="65">
        <v>1898</v>
      </c>
      <c r="E549" s="66">
        <v>5.2144289678287999E-2</v>
      </c>
    </row>
    <row r="550" spans="2:5" ht="15" customHeight="1">
      <c r="B550" s="83"/>
      <c r="C550" s="64" t="s">
        <v>148</v>
      </c>
      <c r="D550" s="65">
        <v>83</v>
      </c>
      <c r="E550" s="66">
        <v>2.2802824253410001E-3</v>
      </c>
    </row>
    <row r="551" spans="2:5" ht="15" customHeight="1">
      <c r="B551" s="83"/>
      <c r="C551" s="64" t="s">
        <v>150</v>
      </c>
      <c r="D551" s="65">
        <v>43</v>
      </c>
      <c r="E551" s="66">
        <v>1.1813511360199999E-3</v>
      </c>
    </row>
    <row r="552" spans="2:5" ht="15" customHeight="1">
      <c r="B552" s="83"/>
      <c r="C552" s="64" t="s">
        <v>82</v>
      </c>
      <c r="D552" s="65">
        <v>47</v>
      </c>
      <c r="E552" s="66">
        <v>1.291244264952E-3</v>
      </c>
    </row>
    <row r="553" spans="2:5" ht="15" customHeight="1">
      <c r="B553" s="83"/>
      <c r="C553" s="64" t="s">
        <v>151</v>
      </c>
      <c r="D553" s="65">
        <v>3</v>
      </c>
      <c r="E553" s="66">
        <v>8.2419846699E-5</v>
      </c>
    </row>
    <row r="554" spans="2:5" ht="15" customHeight="1">
      <c r="B554" s="83"/>
      <c r="C554" s="64" t="s">
        <v>152</v>
      </c>
      <c r="D554" s="65">
        <v>91</v>
      </c>
      <c r="E554" s="66">
        <v>2.5000686832059998E-3</v>
      </c>
    </row>
    <row r="555" spans="2:5" ht="15" customHeight="1">
      <c r="B555" s="83"/>
      <c r="C555" s="64" t="s">
        <v>153</v>
      </c>
      <c r="D555" s="65">
        <v>8</v>
      </c>
      <c r="E555" s="66">
        <v>2.1978625786400001E-4</v>
      </c>
    </row>
    <row r="556" spans="2:5" ht="15" customHeight="1">
      <c r="B556" s="82"/>
      <c r="C556" s="36" t="s">
        <v>29</v>
      </c>
      <c r="D556" s="35">
        <v>9381</v>
      </c>
      <c r="E556" s="34">
        <v>0.25772686062803901</v>
      </c>
    </row>
    <row r="557" spans="2:5" ht="15" customHeight="1">
      <c r="B557" s="77" t="s">
        <v>244</v>
      </c>
      <c r="C557" s="64" t="s">
        <v>103</v>
      </c>
      <c r="D557" s="65">
        <v>1</v>
      </c>
      <c r="E557" s="66">
        <v>2.7473282233000001E-5</v>
      </c>
    </row>
    <row r="558" spans="2:5" ht="15" customHeight="1">
      <c r="B558" s="83"/>
      <c r="C558" s="64" t="s">
        <v>105</v>
      </c>
      <c r="D558" s="65">
        <v>5</v>
      </c>
      <c r="E558" s="66">
        <v>1.3736641116500001E-4</v>
      </c>
    </row>
    <row r="559" spans="2:5" ht="15" customHeight="1">
      <c r="B559" s="83"/>
      <c r="C559" s="64" t="s">
        <v>106</v>
      </c>
      <c r="D559" s="65">
        <v>1</v>
      </c>
      <c r="E559" s="66">
        <v>2.7473282233000001E-5</v>
      </c>
    </row>
    <row r="560" spans="2:5" ht="15" customHeight="1">
      <c r="B560" s="83"/>
      <c r="C560" s="64" t="s">
        <v>107</v>
      </c>
      <c r="D560" s="65">
        <v>58</v>
      </c>
      <c r="E560" s="66">
        <v>1.593450369516E-3</v>
      </c>
    </row>
    <row r="561" spans="2:5" ht="15" customHeight="1">
      <c r="B561" s="83"/>
      <c r="C561" s="64" t="s">
        <v>108</v>
      </c>
      <c r="D561" s="65">
        <v>2</v>
      </c>
      <c r="E561" s="66">
        <v>5.4946564466000002E-5</v>
      </c>
    </row>
    <row r="562" spans="2:5" ht="15" customHeight="1">
      <c r="B562" s="83"/>
      <c r="C562" s="64" t="s">
        <v>112</v>
      </c>
      <c r="D562" s="65">
        <v>1</v>
      </c>
      <c r="E562" s="66">
        <v>2.7473282233000001E-5</v>
      </c>
    </row>
    <row r="563" spans="2:5" ht="15" customHeight="1">
      <c r="B563" s="83"/>
      <c r="C563" s="64" t="s">
        <v>113</v>
      </c>
      <c r="D563" s="65">
        <v>2</v>
      </c>
      <c r="E563" s="66">
        <v>5.4946564466000002E-5</v>
      </c>
    </row>
    <row r="564" spans="2:5" ht="15" customHeight="1">
      <c r="B564" s="83"/>
      <c r="C564" s="64" t="s">
        <v>115</v>
      </c>
      <c r="D564" s="65">
        <v>2</v>
      </c>
      <c r="E564" s="66">
        <v>5.4946564466000002E-5</v>
      </c>
    </row>
    <row r="565" spans="2:5" ht="15" customHeight="1">
      <c r="B565" s="83"/>
      <c r="C565" s="64" t="s">
        <v>116</v>
      </c>
      <c r="D565" s="65">
        <v>19</v>
      </c>
      <c r="E565" s="66">
        <v>5.2199236242800003E-4</v>
      </c>
    </row>
    <row r="566" spans="2:5" ht="15" customHeight="1">
      <c r="B566" s="83"/>
      <c r="C566" s="64" t="s">
        <v>117</v>
      </c>
      <c r="D566" s="65">
        <v>7</v>
      </c>
      <c r="E566" s="66">
        <v>1.9231297563099999E-4</v>
      </c>
    </row>
    <row r="567" spans="2:5" ht="15" customHeight="1">
      <c r="B567" s="83"/>
      <c r="C567" s="64" t="s">
        <v>119</v>
      </c>
      <c r="D567" s="65">
        <v>6</v>
      </c>
      <c r="E567" s="66">
        <v>1.64839693398E-4</v>
      </c>
    </row>
    <row r="568" spans="2:5" ht="15" customHeight="1">
      <c r="B568" s="83"/>
      <c r="C568" s="64" t="s">
        <v>123</v>
      </c>
      <c r="D568" s="65">
        <v>1</v>
      </c>
      <c r="E568" s="66">
        <v>2.7473282233000001E-5</v>
      </c>
    </row>
    <row r="569" spans="2:5" ht="15" customHeight="1">
      <c r="B569" s="83"/>
      <c r="C569" s="64" t="s">
        <v>126</v>
      </c>
      <c r="D569" s="65">
        <v>2</v>
      </c>
      <c r="E569" s="66">
        <v>5.4946564466000002E-5</v>
      </c>
    </row>
    <row r="570" spans="2:5" ht="15" customHeight="1">
      <c r="B570" s="83"/>
      <c r="C570" s="64" t="s">
        <v>127</v>
      </c>
      <c r="D570" s="65">
        <v>1</v>
      </c>
      <c r="E570" s="66">
        <v>2.7473282233000001E-5</v>
      </c>
    </row>
    <row r="571" spans="2:5" ht="15" customHeight="1">
      <c r="B571" s="83"/>
      <c r="C571" s="64" t="s">
        <v>128</v>
      </c>
      <c r="D571" s="65">
        <v>3</v>
      </c>
      <c r="E571" s="66">
        <v>8.2419846699E-5</v>
      </c>
    </row>
    <row r="572" spans="2:5" ht="15" customHeight="1">
      <c r="B572" s="83"/>
      <c r="C572" s="64" t="s">
        <v>130</v>
      </c>
      <c r="D572" s="65">
        <v>1</v>
      </c>
      <c r="E572" s="66">
        <v>2.7473282233000001E-5</v>
      </c>
    </row>
    <row r="573" spans="2:5" ht="15" customHeight="1">
      <c r="B573" s="83"/>
      <c r="C573" s="64" t="s">
        <v>131</v>
      </c>
      <c r="D573" s="65">
        <v>4</v>
      </c>
      <c r="E573" s="66">
        <v>1.09893128932E-4</v>
      </c>
    </row>
    <row r="574" spans="2:5" ht="15" customHeight="1">
      <c r="B574" s="83"/>
      <c r="C574" s="64" t="s">
        <v>135</v>
      </c>
      <c r="D574" s="65">
        <v>5</v>
      </c>
      <c r="E574" s="66">
        <v>1.3736641116500001E-4</v>
      </c>
    </row>
    <row r="575" spans="2:5" ht="15" customHeight="1">
      <c r="B575" s="83"/>
      <c r="C575" s="64" t="s">
        <v>136</v>
      </c>
      <c r="D575" s="65">
        <v>1</v>
      </c>
      <c r="E575" s="66">
        <v>2.7473282233000001E-5</v>
      </c>
    </row>
    <row r="576" spans="2:5" ht="15" customHeight="1">
      <c r="B576" s="83"/>
      <c r="C576" s="64" t="s">
        <v>138</v>
      </c>
      <c r="D576" s="65">
        <v>4</v>
      </c>
      <c r="E576" s="66">
        <v>1.09893128932E-4</v>
      </c>
    </row>
    <row r="577" spans="2:5" ht="15" customHeight="1">
      <c r="B577" s="83"/>
      <c r="C577" s="64" t="s">
        <v>141</v>
      </c>
      <c r="D577" s="65">
        <v>1</v>
      </c>
      <c r="E577" s="66">
        <v>2.7473282233000001E-5</v>
      </c>
    </row>
    <row r="578" spans="2:5" ht="15" customHeight="1">
      <c r="B578" s="83"/>
      <c r="C578" s="64" t="s">
        <v>144</v>
      </c>
      <c r="D578" s="65">
        <v>3</v>
      </c>
      <c r="E578" s="66">
        <v>8.2419846699E-5</v>
      </c>
    </row>
    <row r="579" spans="2:5" ht="15" customHeight="1">
      <c r="B579" s="83"/>
      <c r="C579" s="64" t="s">
        <v>146</v>
      </c>
      <c r="D579" s="65">
        <v>2</v>
      </c>
      <c r="E579" s="66">
        <v>5.4946564466000002E-5</v>
      </c>
    </row>
    <row r="580" spans="2:5" ht="15" customHeight="1">
      <c r="B580" s="83"/>
      <c r="C580" s="64" t="s">
        <v>147</v>
      </c>
      <c r="D580" s="65">
        <v>41</v>
      </c>
      <c r="E580" s="66">
        <v>1.126404571554E-3</v>
      </c>
    </row>
    <row r="581" spans="2:5" ht="15" customHeight="1">
      <c r="B581" s="83"/>
      <c r="C581" s="64" t="s">
        <v>148</v>
      </c>
      <c r="D581" s="65">
        <v>3</v>
      </c>
      <c r="E581" s="66">
        <v>8.2419846699E-5</v>
      </c>
    </row>
    <row r="582" spans="2:5" ht="15" customHeight="1">
      <c r="B582" s="83"/>
      <c r="C582" s="64" t="s">
        <v>82</v>
      </c>
      <c r="D582" s="65">
        <v>1</v>
      </c>
      <c r="E582" s="66">
        <v>2.7473282233000001E-5</v>
      </c>
    </row>
    <row r="583" spans="2:5" ht="15" customHeight="1">
      <c r="B583" s="83"/>
      <c r="C583" s="64" t="s">
        <v>152</v>
      </c>
      <c r="D583" s="65">
        <v>4</v>
      </c>
      <c r="E583" s="66">
        <v>1.09893128932E-4</v>
      </c>
    </row>
    <row r="584" spans="2:5" ht="15" customHeight="1">
      <c r="B584" s="82"/>
      <c r="C584" s="36" t="s">
        <v>29</v>
      </c>
      <c r="D584" s="35">
        <v>181</v>
      </c>
      <c r="E584" s="34">
        <v>4.9726640841780004E-3</v>
      </c>
    </row>
    <row r="585" spans="2:5" ht="15" customHeight="1">
      <c r="B585" s="77" t="s">
        <v>245</v>
      </c>
      <c r="C585" s="64" t="s">
        <v>103</v>
      </c>
      <c r="D585" s="65">
        <v>1</v>
      </c>
      <c r="E585" s="66">
        <v>2.7473282233000001E-5</v>
      </c>
    </row>
    <row r="586" spans="2:5" ht="15" customHeight="1">
      <c r="B586" s="83"/>
      <c r="C586" s="64" t="s">
        <v>105</v>
      </c>
      <c r="D586" s="65">
        <v>4</v>
      </c>
      <c r="E586" s="66">
        <v>1.09893128932E-4</v>
      </c>
    </row>
    <row r="587" spans="2:5" ht="15" customHeight="1">
      <c r="B587" s="83"/>
      <c r="C587" s="64" t="s">
        <v>107</v>
      </c>
      <c r="D587" s="65">
        <v>72</v>
      </c>
      <c r="E587" s="66">
        <v>1.9780763207780001E-3</v>
      </c>
    </row>
    <row r="588" spans="2:5" ht="15" customHeight="1">
      <c r="B588" s="83"/>
      <c r="C588" s="64" t="s">
        <v>108</v>
      </c>
      <c r="D588" s="65">
        <v>3</v>
      </c>
      <c r="E588" s="66">
        <v>8.2419846699E-5</v>
      </c>
    </row>
    <row r="589" spans="2:5" ht="15" customHeight="1">
      <c r="B589" s="83"/>
      <c r="C589" s="64" t="s">
        <v>109</v>
      </c>
      <c r="D589" s="65">
        <v>1</v>
      </c>
      <c r="E589" s="66">
        <v>2.7473282233000001E-5</v>
      </c>
    </row>
    <row r="590" spans="2:5" ht="15" customHeight="1">
      <c r="B590" s="83"/>
      <c r="C590" s="64" t="s">
        <v>112</v>
      </c>
      <c r="D590" s="65">
        <v>2</v>
      </c>
      <c r="E590" s="66">
        <v>5.4946564466000002E-5</v>
      </c>
    </row>
    <row r="591" spans="2:5" ht="15" customHeight="1">
      <c r="B591" s="83"/>
      <c r="C591" s="64" t="s">
        <v>113</v>
      </c>
      <c r="D591" s="65">
        <v>8</v>
      </c>
      <c r="E591" s="66">
        <v>2.1978625786400001E-4</v>
      </c>
    </row>
    <row r="592" spans="2:5" ht="15" customHeight="1">
      <c r="B592" s="83"/>
      <c r="C592" s="64" t="s">
        <v>116</v>
      </c>
      <c r="D592" s="65">
        <v>27</v>
      </c>
      <c r="E592" s="66">
        <v>7.4177862029199996E-4</v>
      </c>
    </row>
    <row r="593" spans="2:5" ht="15" customHeight="1">
      <c r="B593" s="83"/>
      <c r="C593" s="64" t="s">
        <v>117</v>
      </c>
      <c r="D593" s="65">
        <v>4</v>
      </c>
      <c r="E593" s="66">
        <v>1.09893128932E-4</v>
      </c>
    </row>
    <row r="594" spans="2:5" ht="15" customHeight="1">
      <c r="B594" s="83"/>
      <c r="C594" s="64" t="s">
        <v>119</v>
      </c>
      <c r="D594" s="65">
        <v>5</v>
      </c>
      <c r="E594" s="66">
        <v>1.3736641116500001E-4</v>
      </c>
    </row>
    <row r="595" spans="2:5" ht="15" customHeight="1">
      <c r="B595" s="83"/>
      <c r="C595" s="64" t="s">
        <v>120</v>
      </c>
      <c r="D595" s="65">
        <v>1</v>
      </c>
      <c r="E595" s="66">
        <v>2.7473282233000001E-5</v>
      </c>
    </row>
    <row r="596" spans="2:5" ht="15" customHeight="1">
      <c r="B596" s="83"/>
      <c r="C596" s="64" t="s">
        <v>124</v>
      </c>
      <c r="D596" s="65">
        <v>2</v>
      </c>
      <c r="E596" s="66">
        <v>5.4946564466000002E-5</v>
      </c>
    </row>
    <row r="597" spans="2:5" ht="15" customHeight="1">
      <c r="B597" s="83"/>
      <c r="C597" s="64" t="s">
        <v>125</v>
      </c>
      <c r="D597" s="65">
        <v>2</v>
      </c>
      <c r="E597" s="66">
        <v>5.4946564466000002E-5</v>
      </c>
    </row>
    <row r="598" spans="2:5" ht="15" customHeight="1">
      <c r="B598" s="83"/>
      <c r="C598" s="64" t="s">
        <v>126</v>
      </c>
      <c r="D598" s="65">
        <v>1</v>
      </c>
      <c r="E598" s="66">
        <v>2.7473282233000001E-5</v>
      </c>
    </row>
    <row r="599" spans="2:5" ht="15" customHeight="1">
      <c r="B599" s="83"/>
      <c r="C599" s="64" t="s">
        <v>128</v>
      </c>
      <c r="D599" s="65">
        <v>2</v>
      </c>
      <c r="E599" s="66">
        <v>5.4946564466000002E-5</v>
      </c>
    </row>
    <row r="600" spans="2:5" ht="15" customHeight="1">
      <c r="B600" s="83"/>
      <c r="C600" s="64" t="s">
        <v>131</v>
      </c>
      <c r="D600" s="65">
        <v>11</v>
      </c>
      <c r="E600" s="66">
        <v>3.0220610456299998E-4</v>
      </c>
    </row>
    <row r="601" spans="2:5" ht="15" customHeight="1">
      <c r="B601" s="83"/>
      <c r="C601" s="64" t="s">
        <v>133</v>
      </c>
      <c r="D601" s="65">
        <v>4</v>
      </c>
      <c r="E601" s="66">
        <v>1.09893128932E-4</v>
      </c>
    </row>
    <row r="602" spans="2:5" ht="15" customHeight="1">
      <c r="B602" s="83"/>
      <c r="C602" s="64" t="s">
        <v>134</v>
      </c>
      <c r="D602" s="65">
        <v>1</v>
      </c>
      <c r="E602" s="66">
        <v>2.7473282233000001E-5</v>
      </c>
    </row>
    <row r="603" spans="2:5" ht="15" customHeight="1">
      <c r="B603" s="83"/>
      <c r="C603" s="64" t="s">
        <v>135</v>
      </c>
      <c r="D603" s="65">
        <v>4</v>
      </c>
      <c r="E603" s="66">
        <v>1.09893128932E-4</v>
      </c>
    </row>
    <row r="604" spans="2:5" ht="15" customHeight="1">
      <c r="B604" s="83"/>
      <c r="C604" s="64" t="s">
        <v>136</v>
      </c>
      <c r="D604" s="65">
        <v>3</v>
      </c>
      <c r="E604" s="66">
        <v>8.2419846699E-5</v>
      </c>
    </row>
    <row r="605" spans="2:5" ht="15" customHeight="1">
      <c r="B605" s="83"/>
      <c r="C605" s="64" t="s">
        <v>138</v>
      </c>
      <c r="D605" s="65">
        <v>1</v>
      </c>
      <c r="E605" s="66">
        <v>2.7473282233000001E-5</v>
      </c>
    </row>
    <row r="606" spans="2:5" ht="15" customHeight="1">
      <c r="B606" s="83"/>
      <c r="C606" s="64" t="s">
        <v>139</v>
      </c>
      <c r="D606" s="65">
        <v>7</v>
      </c>
      <c r="E606" s="66">
        <v>1.9231297563099999E-4</v>
      </c>
    </row>
    <row r="607" spans="2:5" ht="15" customHeight="1">
      <c r="B607" s="83"/>
      <c r="C607" s="64" t="s">
        <v>140</v>
      </c>
      <c r="D607" s="65">
        <v>1</v>
      </c>
      <c r="E607" s="66">
        <v>2.7473282233000001E-5</v>
      </c>
    </row>
    <row r="608" spans="2:5" ht="15" customHeight="1">
      <c r="B608" s="83"/>
      <c r="C608" s="64" t="s">
        <v>144</v>
      </c>
      <c r="D608" s="65">
        <v>1</v>
      </c>
      <c r="E608" s="66">
        <v>2.7473282233000001E-5</v>
      </c>
    </row>
    <row r="609" spans="2:5" ht="15" customHeight="1">
      <c r="B609" s="83"/>
      <c r="C609" s="64" t="s">
        <v>146</v>
      </c>
      <c r="D609" s="65">
        <v>1</v>
      </c>
      <c r="E609" s="66">
        <v>2.7473282233000001E-5</v>
      </c>
    </row>
    <row r="610" spans="2:5" ht="15" customHeight="1">
      <c r="B610" s="83"/>
      <c r="C610" s="64" t="s">
        <v>147</v>
      </c>
      <c r="D610" s="65">
        <v>49</v>
      </c>
      <c r="E610" s="66">
        <v>1.3461908294179999E-3</v>
      </c>
    </row>
    <row r="611" spans="2:5" ht="15" customHeight="1">
      <c r="B611" s="83"/>
      <c r="C611" s="64" t="s">
        <v>148</v>
      </c>
      <c r="D611" s="65">
        <v>1</v>
      </c>
      <c r="E611" s="66">
        <v>2.7473282233000001E-5</v>
      </c>
    </row>
    <row r="612" spans="2:5" ht="15" customHeight="1">
      <c r="B612" s="83"/>
      <c r="C612" s="64" t="s">
        <v>82</v>
      </c>
      <c r="D612" s="65">
        <v>1</v>
      </c>
      <c r="E612" s="66">
        <v>2.7473282233000001E-5</v>
      </c>
    </row>
    <row r="613" spans="2:5" ht="15" customHeight="1">
      <c r="B613" s="83"/>
      <c r="C613" s="64" t="s">
        <v>152</v>
      </c>
      <c r="D613" s="65">
        <v>4</v>
      </c>
      <c r="E613" s="66">
        <v>1.09893128932E-4</v>
      </c>
    </row>
    <row r="614" spans="2:5" ht="15" customHeight="1">
      <c r="B614" s="82"/>
      <c r="C614" s="36" t="s">
        <v>29</v>
      </c>
      <c r="D614" s="35">
        <v>224</v>
      </c>
      <c r="E614" s="34">
        <v>6.1540152201980001E-3</v>
      </c>
    </row>
    <row r="615" spans="2:5" ht="15" customHeight="1">
      <c r="B615" s="77" t="s">
        <v>246</v>
      </c>
      <c r="C615" s="64" t="s">
        <v>103</v>
      </c>
      <c r="D615" s="65">
        <v>1</v>
      </c>
      <c r="E615" s="66">
        <v>2.7473282233000001E-5</v>
      </c>
    </row>
    <row r="616" spans="2:5" ht="15" customHeight="1">
      <c r="B616" s="83"/>
      <c r="C616" s="64" t="s">
        <v>104</v>
      </c>
      <c r="D616" s="65">
        <v>1</v>
      </c>
      <c r="E616" s="66">
        <v>2.7473282233000001E-5</v>
      </c>
    </row>
    <row r="617" spans="2:5" ht="15" customHeight="1">
      <c r="B617" s="83"/>
      <c r="C617" s="64" t="s">
        <v>105</v>
      </c>
      <c r="D617" s="65">
        <v>4</v>
      </c>
      <c r="E617" s="66">
        <v>1.09893128932E-4</v>
      </c>
    </row>
    <row r="618" spans="2:5" ht="15" customHeight="1">
      <c r="B618" s="83"/>
      <c r="C618" s="64" t="s">
        <v>107</v>
      </c>
      <c r="D618" s="65">
        <v>28</v>
      </c>
      <c r="E618" s="66">
        <v>7.6925190252500003E-4</v>
      </c>
    </row>
    <row r="619" spans="2:5" ht="15" customHeight="1">
      <c r="B619" s="83"/>
      <c r="C619" s="64" t="s">
        <v>108</v>
      </c>
      <c r="D619" s="65">
        <v>6</v>
      </c>
      <c r="E619" s="66">
        <v>1.64839693398E-4</v>
      </c>
    </row>
    <row r="620" spans="2:5" ht="15" customHeight="1">
      <c r="B620" s="83"/>
      <c r="C620" s="64" t="s">
        <v>112</v>
      </c>
      <c r="D620" s="65">
        <v>3</v>
      </c>
      <c r="E620" s="66">
        <v>8.2419846699E-5</v>
      </c>
    </row>
    <row r="621" spans="2:5" ht="15" customHeight="1">
      <c r="B621" s="83"/>
      <c r="C621" s="64" t="s">
        <v>113</v>
      </c>
      <c r="D621" s="65">
        <v>1</v>
      </c>
      <c r="E621" s="66">
        <v>2.7473282233000001E-5</v>
      </c>
    </row>
    <row r="622" spans="2:5" ht="15" customHeight="1">
      <c r="B622" s="83"/>
      <c r="C622" s="64" t="s">
        <v>116</v>
      </c>
      <c r="D622" s="65">
        <v>15</v>
      </c>
      <c r="E622" s="66">
        <v>4.12099233495E-4</v>
      </c>
    </row>
    <row r="623" spans="2:5" ht="15" customHeight="1">
      <c r="B623" s="83"/>
      <c r="C623" s="64" t="s">
        <v>117</v>
      </c>
      <c r="D623" s="65">
        <v>4</v>
      </c>
      <c r="E623" s="66">
        <v>1.09893128932E-4</v>
      </c>
    </row>
    <row r="624" spans="2:5" ht="15" customHeight="1">
      <c r="B624" s="83"/>
      <c r="C624" s="64" t="s">
        <v>118</v>
      </c>
      <c r="D624" s="65">
        <v>1</v>
      </c>
      <c r="E624" s="66">
        <v>2.7473282233000001E-5</v>
      </c>
    </row>
    <row r="625" spans="2:5" ht="15" customHeight="1">
      <c r="B625" s="83"/>
      <c r="C625" s="64" t="s">
        <v>119</v>
      </c>
      <c r="D625" s="65">
        <v>1</v>
      </c>
      <c r="E625" s="66">
        <v>2.7473282233000001E-5</v>
      </c>
    </row>
    <row r="626" spans="2:5" ht="15" customHeight="1">
      <c r="B626" s="83"/>
      <c r="C626" s="64" t="s">
        <v>121</v>
      </c>
      <c r="D626" s="65">
        <v>1</v>
      </c>
      <c r="E626" s="66">
        <v>2.7473282233000001E-5</v>
      </c>
    </row>
    <row r="627" spans="2:5" ht="15" customHeight="1">
      <c r="B627" s="83"/>
      <c r="C627" s="64" t="s">
        <v>123</v>
      </c>
      <c r="D627" s="65">
        <v>1</v>
      </c>
      <c r="E627" s="66">
        <v>2.7473282233000001E-5</v>
      </c>
    </row>
    <row r="628" spans="2:5" ht="15" customHeight="1">
      <c r="B628" s="83"/>
      <c r="C628" s="64" t="s">
        <v>124</v>
      </c>
      <c r="D628" s="65">
        <v>1</v>
      </c>
      <c r="E628" s="66">
        <v>2.7473282233000001E-5</v>
      </c>
    </row>
    <row r="629" spans="2:5" ht="15" customHeight="1">
      <c r="B629" s="83"/>
      <c r="C629" s="64" t="s">
        <v>126</v>
      </c>
      <c r="D629" s="65">
        <v>1</v>
      </c>
      <c r="E629" s="66">
        <v>2.7473282233000001E-5</v>
      </c>
    </row>
    <row r="630" spans="2:5" ht="15" customHeight="1">
      <c r="B630" s="83"/>
      <c r="C630" s="64" t="s">
        <v>128</v>
      </c>
      <c r="D630" s="65">
        <v>2</v>
      </c>
      <c r="E630" s="66">
        <v>5.4946564466000002E-5</v>
      </c>
    </row>
    <row r="631" spans="2:5" ht="15" customHeight="1">
      <c r="B631" s="83"/>
      <c r="C631" s="64" t="s">
        <v>130</v>
      </c>
      <c r="D631" s="65">
        <v>1</v>
      </c>
      <c r="E631" s="66">
        <v>2.7473282233000001E-5</v>
      </c>
    </row>
    <row r="632" spans="2:5" ht="15" customHeight="1">
      <c r="B632" s="83"/>
      <c r="C632" s="64" t="s">
        <v>131</v>
      </c>
      <c r="D632" s="65">
        <v>1</v>
      </c>
      <c r="E632" s="66">
        <v>2.7473282233000001E-5</v>
      </c>
    </row>
    <row r="633" spans="2:5" ht="15" customHeight="1">
      <c r="B633" s="83"/>
      <c r="C633" s="64" t="s">
        <v>133</v>
      </c>
      <c r="D633" s="65">
        <v>1</v>
      </c>
      <c r="E633" s="66">
        <v>2.7473282233000001E-5</v>
      </c>
    </row>
    <row r="634" spans="2:5" ht="15" customHeight="1">
      <c r="B634" s="83"/>
      <c r="C634" s="64" t="s">
        <v>135</v>
      </c>
      <c r="D634" s="65">
        <v>2</v>
      </c>
      <c r="E634" s="66">
        <v>5.4946564466000002E-5</v>
      </c>
    </row>
    <row r="635" spans="2:5" ht="15" customHeight="1">
      <c r="B635" s="83"/>
      <c r="C635" s="64" t="s">
        <v>136</v>
      </c>
      <c r="D635" s="65">
        <v>1</v>
      </c>
      <c r="E635" s="66">
        <v>2.7473282233000001E-5</v>
      </c>
    </row>
    <row r="636" spans="2:5" ht="15" customHeight="1">
      <c r="B636" s="83"/>
      <c r="C636" s="64" t="s">
        <v>138</v>
      </c>
      <c r="D636" s="65">
        <v>1</v>
      </c>
      <c r="E636" s="66">
        <v>2.7473282233000001E-5</v>
      </c>
    </row>
    <row r="637" spans="2:5" ht="15" customHeight="1">
      <c r="B637" s="83"/>
      <c r="C637" s="64" t="s">
        <v>139</v>
      </c>
      <c r="D637" s="65">
        <v>2</v>
      </c>
      <c r="E637" s="66">
        <v>5.4946564466000002E-5</v>
      </c>
    </row>
    <row r="638" spans="2:5" ht="15" customHeight="1">
      <c r="B638" s="83"/>
      <c r="C638" s="64" t="s">
        <v>140</v>
      </c>
      <c r="D638" s="65">
        <v>1</v>
      </c>
      <c r="E638" s="66">
        <v>2.7473282233000001E-5</v>
      </c>
    </row>
    <row r="639" spans="2:5" ht="15" customHeight="1">
      <c r="B639" s="83"/>
      <c r="C639" s="64" t="s">
        <v>143</v>
      </c>
      <c r="D639" s="65">
        <v>1</v>
      </c>
      <c r="E639" s="66">
        <v>2.7473282233000001E-5</v>
      </c>
    </row>
    <row r="640" spans="2:5" ht="15" customHeight="1">
      <c r="B640" s="83"/>
      <c r="C640" s="64" t="s">
        <v>147</v>
      </c>
      <c r="D640" s="65">
        <v>26</v>
      </c>
      <c r="E640" s="66">
        <v>7.14305338059E-4</v>
      </c>
    </row>
    <row r="641" spans="2:5" ht="15" customHeight="1">
      <c r="B641" s="83"/>
      <c r="C641" s="64" t="s">
        <v>148</v>
      </c>
      <c r="D641" s="65">
        <v>1</v>
      </c>
      <c r="E641" s="66">
        <v>2.7473282233000001E-5</v>
      </c>
    </row>
    <row r="642" spans="2:5" ht="15" customHeight="1">
      <c r="B642" s="83"/>
      <c r="C642" s="64" t="s">
        <v>82</v>
      </c>
      <c r="D642" s="65">
        <v>1</v>
      </c>
      <c r="E642" s="66">
        <v>2.7473282233000001E-5</v>
      </c>
    </row>
    <row r="643" spans="2:5" ht="15" customHeight="1">
      <c r="B643" s="82"/>
      <c r="C643" s="36" t="s">
        <v>29</v>
      </c>
      <c r="D643" s="35">
        <v>110</v>
      </c>
      <c r="E643" s="34">
        <v>3.0220610456329999E-3</v>
      </c>
    </row>
    <row r="644" spans="2:5" ht="15" customHeight="1">
      <c r="B644" s="77" t="s">
        <v>247</v>
      </c>
      <c r="C644" s="64" t="s">
        <v>103</v>
      </c>
      <c r="D644" s="65">
        <v>1</v>
      </c>
      <c r="E644" s="66">
        <v>2.7473282233000001E-5</v>
      </c>
    </row>
    <row r="645" spans="2:5" ht="15" customHeight="1">
      <c r="B645" s="83"/>
      <c r="C645" s="64" t="s">
        <v>106</v>
      </c>
      <c r="D645" s="65">
        <v>1</v>
      </c>
      <c r="E645" s="66">
        <v>2.7473282233000001E-5</v>
      </c>
    </row>
    <row r="646" spans="2:5" ht="15" customHeight="1">
      <c r="B646" s="83"/>
      <c r="C646" s="64" t="s">
        <v>107</v>
      </c>
      <c r="D646" s="65">
        <v>19</v>
      </c>
      <c r="E646" s="66">
        <v>5.2199236242800003E-4</v>
      </c>
    </row>
    <row r="647" spans="2:5" ht="15" customHeight="1">
      <c r="B647" s="83"/>
      <c r="C647" s="64" t="s">
        <v>113</v>
      </c>
      <c r="D647" s="65">
        <v>1</v>
      </c>
      <c r="E647" s="66">
        <v>2.7473282233000001E-5</v>
      </c>
    </row>
    <row r="648" spans="2:5" ht="15" customHeight="1">
      <c r="B648" s="83"/>
      <c r="C648" s="64" t="s">
        <v>116</v>
      </c>
      <c r="D648" s="65">
        <v>2</v>
      </c>
      <c r="E648" s="66">
        <v>5.4946564466000002E-5</v>
      </c>
    </row>
    <row r="649" spans="2:5" ht="15" customHeight="1">
      <c r="B649" s="83"/>
      <c r="C649" s="64" t="s">
        <v>117</v>
      </c>
      <c r="D649" s="65">
        <v>2</v>
      </c>
      <c r="E649" s="66">
        <v>5.4946564466000002E-5</v>
      </c>
    </row>
    <row r="650" spans="2:5" ht="15" customHeight="1">
      <c r="B650" s="83"/>
      <c r="C650" s="64" t="s">
        <v>127</v>
      </c>
      <c r="D650" s="65">
        <v>1</v>
      </c>
      <c r="E650" s="66">
        <v>2.7473282233000001E-5</v>
      </c>
    </row>
    <row r="651" spans="2:5" ht="15" customHeight="1">
      <c r="B651" s="83"/>
      <c r="C651" s="64" t="s">
        <v>128</v>
      </c>
      <c r="D651" s="65">
        <v>1</v>
      </c>
      <c r="E651" s="66">
        <v>2.7473282233000001E-5</v>
      </c>
    </row>
    <row r="652" spans="2:5" ht="15" customHeight="1">
      <c r="B652" s="83"/>
      <c r="C652" s="64" t="s">
        <v>131</v>
      </c>
      <c r="D652" s="65">
        <v>4</v>
      </c>
      <c r="E652" s="66">
        <v>1.09893128932E-4</v>
      </c>
    </row>
    <row r="653" spans="2:5" ht="15" customHeight="1">
      <c r="B653" s="83"/>
      <c r="C653" s="64" t="s">
        <v>133</v>
      </c>
      <c r="D653" s="65">
        <v>4</v>
      </c>
      <c r="E653" s="66">
        <v>1.09893128932E-4</v>
      </c>
    </row>
    <row r="654" spans="2:5" ht="15" customHeight="1">
      <c r="B654" s="83"/>
      <c r="C654" s="64" t="s">
        <v>135</v>
      </c>
      <c r="D654" s="65">
        <v>2</v>
      </c>
      <c r="E654" s="66">
        <v>5.4946564466000002E-5</v>
      </c>
    </row>
    <row r="655" spans="2:5" ht="15" customHeight="1">
      <c r="B655" s="83"/>
      <c r="C655" s="64" t="s">
        <v>136</v>
      </c>
      <c r="D655" s="65">
        <v>1</v>
      </c>
      <c r="E655" s="66">
        <v>2.7473282233000001E-5</v>
      </c>
    </row>
    <row r="656" spans="2:5" ht="15" customHeight="1">
      <c r="B656" s="83"/>
      <c r="C656" s="64" t="s">
        <v>139</v>
      </c>
      <c r="D656" s="65">
        <v>3</v>
      </c>
      <c r="E656" s="66">
        <v>8.2419846699E-5</v>
      </c>
    </row>
    <row r="657" spans="2:5" ht="15" customHeight="1">
      <c r="B657" s="83"/>
      <c r="C657" s="64" t="s">
        <v>141</v>
      </c>
      <c r="D657" s="65">
        <v>1</v>
      </c>
      <c r="E657" s="66">
        <v>2.7473282233000001E-5</v>
      </c>
    </row>
    <row r="658" spans="2:5" ht="15" customHeight="1">
      <c r="B658" s="83"/>
      <c r="C658" s="64" t="s">
        <v>146</v>
      </c>
      <c r="D658" s="65">
        <v>1</v>
      </c>
      <c r="E658" s="66">
        <v>2.7473282233000001E-5</v>
      </c>
    </row>
    <row r="659" spans="2:5" ht="15" customHeight="1">
      <c r="B659" s="83"/>
      <c r="C659" s="64" t="s">
        <v>147</v>
      </c>
      <c r="D659" s="65">
        <v>11</v>
      </c>
      <c r="E659" s="66">
        <v>3.0220610456299998E-4</v>
      </c>
    </row>
    <row r="660" spans="2:5" ht="15" customHeight="1">
      <c r="B660" s="83"/>
      <c r="C660" s="64" t="s">
        <v>153</v>
      </c>
      <c r="D660" s="65">
        <v>1</v>
      </c>
      <c r="E660" s="66">
        <v>2.7473282233000001E-5</v>
      </c>
    </row>
    <row r="661" spans="2:5" ht="15" customHeight="1">
      <c r="B661" s="82"/>
      <c r="C661" s="36" t="s">
        <v>29</v>
      </c>
      <c r="D661" s="35">
        <v>56</v>
      </c>
      <c r="E661" s="34">
        <v>1.5385038050500001E-3</v>
      </c>
    </row>
    <row r="662" spans="2:5" ht="15" customHeight="1">
      <c r="B662" s="77" t="s">
        <v>248</v>
      </c>
      <c r="C662" s="64" t="s">
        <v>103</v>
      </c>
      <c r="D662" s="65">
        <v>10</v>
      </c>
      <c r="E662" s="66">
        <v>2.7473282233000002E-4</v>
      </c>
    </row>
    <row r="663" spans="2:5" ht="15" customHeight="1">
      <c r="B663" s="83"/>
      <c r="C663" s="64" t="s">
        <v>105</v>
      </c>
      <c r="D663" s="65">
        <v>16</v>
      </c>
      <c r="E663" s="66">
        <v>4.3957251572800002E-4</v>
      </c>
    </row>
    <row r="664" spans="2:5" ht="15" customHeight="1">
      <c r="B664" s="83"/>
      <c r="C664" s="64" t="s">
        <v>106</v>
      </c>
      <c r="D664" s="65">
        <v>11</v>
      </c>
      <c r="E664" s="66">
        <v>3.0220610456299998E-4</v>
      </c>
    </row>
    <row r="665" spans="2:5" ht="15" customHeight="1">
      <c r="B665" s="83"/>
      <c r="C665" s="64" t="s">
        <v>107</v>
      </c>
      <c r="D665" s="65">
        <v>216</v>
      </c>
      <c r="E665" s="66">
        <v>5.9342289623340004E-3</v>
      </c>
    </row>
    <row r="666" spans="2:5" ht="15" customHeight="1">
      <c r="B666" s="83"/>
      <c r="C666" s="64" t="s">
        <v>108</v>
      </c>
      <c r="D666" s="65">
        <v>7</v>
      </c>
      <c r="E666" s="66">
        <v>1.9231297563099999E-4</v>
      </c>
    </row>
    <row r="667" spans="2:5" ht="15" customHeight="1">
      <c r="B667" s="83"/>
      <c r="C667" s="64" t="s">
        <v>109</v>
      </c>
      <c r="D667" s="65">
        <v>1</v>
      </c>
      <c r="E667" s="66">
        <v>2.7473282233000001E-5</v>
      </c>
    </row>
    <row r="668" spans="2:5" ht="15" customHeight="1">
      <c r="B668" s="83"/>
      <c r="C668" s="64" t="s">
        <v>110</v>
      </c>
      <c r="D668" s="65">
        <v>1</v>
      </c>
      <c r="E668" s="66">
        <v>2.7473282233000001E-5</v>
      </c>
    </row>
    <row r="669" spans="2:5" ht="15" customHeight="1">
      <c r="B669" s="83"/>
      <c r="C669" s="64" t="s">
        <v>111</v>
      </c>
      <c r="D669" s="65">
        <v>1</v>
      </c>
      <c r="E669" s="66">
        <v>2.7473282233000001E-5</v>
      </c>
    </row>
    <row r="670" spans="2:5" ht="15" customHeight="1">
      <c r="B670" s="83"/>
      <c r="C670" s="64" t="s">
        <v>112</v>
      </c>
      <c r="D670" s="65">
        <v>20</v>
      </c>
      <c r="E670" s="66">
        <v>5.49465644661E-4</v>
      </c>
    </row>
    <row r="671" spans="2:5" ht="15" customHeight="1">
      <c r="B671" s="83"/>
      <c r="C671" s="64" t="s">
        <v>113</v>
      </c>
      <c r="D671" s="65">
        <v>18</v>
      </c>
      <c r="E671" s="66">
        <v>4.9451908019499996E-4</v>
      </c>
    </row>
    <row r="672" spans="2:5" ht="15" customHeight="1">
      <c r="B672" s="83"/>
      <c r="C672" s="64" t="s">
        <v>115</v>
      </c>
      <c r="D672" s="65">
        <v>1</v>
      </c>
      <c r="E672" s="66">
        <v>2.7473282233000001E-5</v>
      </c>
    </row>
    <row r="673" spans="2:5" ht="15" customHeight="1">
      <c r="B673" s="83"/>
      <c r="C673" s="64" t="s">
        <v>116</v>
      </c>
      <c r="D673" s="65">
        <v>108</v>
      </c>
      <c r="E673" s="66">
        <v>2.9671144811670002E-3</v>
      </c>
    </row>
    <row r="674" spans="2:5" ht="15" customHeight="1">
      <c r="B674" s="83"/>
      <c r="C674" s="64" t="s">
        <v>117</v>
      </c>
      <c r="D674" s="65">
        <v>27</v>
      </c>
      <c r="E674" s="66">
        <v>7.4177862029199996E-4</v>
      </c>
    </row>
    <row r="675" spans="2:5" ht="15" customHeight="1">
      <c r="B675" s="83"/>
      <c r="C675" s="64" t="s">
        <v>119</v>
      </c>
      <c r="D675" s="65">
        <v>8</v>
      </c>
      <c r="E675" s="66">
        <v>2.1978625786400001E-4</v>
      </c>
    </row>
    <row r="676" spans="2:5" ht="15" customHeight="1">
      <c r="B676" s="83"/>
      <c r="C676" s="64" t="s">
        <v>120</v>
      </c>
      <c r="D676" s="65">
        <v>3</v>
      </c>
      <c r="E676" s="66">
        <v>8.2419846699E-5</v>
      </c>
    </row>
    <row r="677" spans="2:5" ht="15" customHeight="1">
      <c r="B677" s="83"/>
      <c r="C677" s="64" t="s">
        <v>121</v>
      </c>
      <c r="D677" s="65">
        <v>5</v>
      </c>
      <c r="E677" s="66">
        <v>1.3736641116500001E-4</v>
      </c>
    </row>
    <row r="678" spans="2:5" ht="15" customHeight="1">
      <c r="B678" s="83"/>
      <c r="C678" s="64" t="s">
        <v>123</v>
      </c>
      <c r="D678" s="65">
        <v>1</v>
      </c>
      <c r="E678" s="66">
        <v>2.7473282233000001E-5</v>
      </c>
    </row>
    <row r="679" spans="2:5" ht="15" customHeight="1">
      <c r="B679" s="83"/>
      <c r="C679" s="64" t="s">
        <v>125</v>
      </c>
      <c r="D679" s="65">
        <v>10</v>
      </c>
      <c r="E679" s="66">
        <v>2.7473282233000002E-4</v>
      </c>
    </row>
    <row r="680" spans="2:5" ht="15" customHeight="1">
      <c r="B680" s="83"/>
      <c r="C680" s="64" t="s">
        <v>126</v>
      </c>
      <c r="D680" s="65">
        <v>19</v>
      </c>
      <c r="E680" s="66">
        <v>5.2199236242800003E-4</v>
      </c>
    </row>
    <row r="681" spans="2:5" ht="15" customHeight="1">
      <c r="B681" s="83"/>
      <c r="C681" s="64" t="s">
        <v>127</v>
      </c>
      <c r="D681" s="65">
        <v>6</v>
      </c>
      <c r="E681" s="66">
        <v>1.64839693398E-4</v>
      </c>
    </row>
    <row r="682" spans="2:5" ht="15" customHeight="1">
      <c r="B682" s="83"/>
      <c r="C682" s="64" t="s">
        <v>128</v>
      </c>
      <c r="D682" s="65">
        <v>7</v>
      </c>
      <c r="E682" s="66">
        <v>1.9231297563099999E-4</v>
      </c>
    </row>
    <row r="683" spans="2:5" ht="15" customHeight="1">
      <c r="B683" s="83"/>
      <c r="C683" s="64" t="s">
        <v>130</v>
      </c>
      <c r="D683" s="65">
        <v>5</v>
      </c>
      <c r="E683" s="66">
        <v>1.3736641116500001E-4</v>
      </c>
    </row>
    <row r="684" spans="2:5" ht="15" customHeight="1">
      <c r="B684" s="83"/>
      <c r="C684" s="64" t="s">
        <v>131</v>
      </c>
      <c r="D684" s="65">
        <v>21</v>
      </c>
      <c r="E684" s="66">
        <v>5.7693892689399996E-4</v>
      </c>
    </row>
    <row r="685" spans="2:5" ht="15" customHeight="1">
      <c r="B685" s="83"/>
      <c r="C685" s="64" t="s">
        <v>133</v>
      </c>
      <c r="D685" s="65">
        <v>11</v>
      </c>
      <c r="E685" s="66">
        <v>3.0220610456299998E-4</v>
      </c>
    </row>
    <row r="686" spans="2:5" ht="15" customHeight="1">
      <c r="B686" s="83"/>
      <c r="C686" s="64" t="s">
        <v>134</v>
      </c>
      <c r="D686" s="65">
        <v>4</v>
      </c>
      <c r="E686" s="66">
        <v>1.09893128932E-4</v>
      </c>
    </row>
    <row r="687" spans="2:5" ht="15" customHeight="1">
      <c r="B687" s="83"/>
      <c r="C687" s="64" t="s">
        <v>135</v>
      </c>
      <c r="D687" s="65">
        <v>11</v>
      </c>
      <c r="E687" s="66">
        <v>3.0220610456299998E-4</v>
      </c>
    </row>
    <row r="688" spans="2:5" ht="15" customHeight="1">
      <c r="B688" s="83"/>
      <c r="C688" s="64" t="s">
        <v>136</v>
      </c>
      <c r="D688" s="65">
        <v>19</v>
      </c>
      <c r="E688" s="66">
        <v>5.2199236242800003E-4</v>
      </c>
    </row>
    <row r="689" spans="2:5" ht="15" customHeight="1">
      <c r="B689" s="83"/>
      <c r="C689" s="64" t="s">
        <v>138</v>
      </c>
      <c r="D689" s="65">
        <v>10</v>
      </c>
      <c r="E689" s="66">
        <v>2.7473282233000002E-4</v>
      </c>
    </row>
    <row r="690" spans="2:5" ht="15" customHeight="1">
      <c r="B690" s="83"/>
      <c r="C690" s="64" t="s">
        <v>139</v>
      </c>
      <c r="D690" s="65">
        <v>6</v>
      </c>
      <c r="E690" s="66">
        <v>1.64839693398E-4</v>
      </c>
    </row>
    <row r="691" spans="2:5" ht="15" customHeight="1">
      <c r="B691" s="83"/>
      <c r="C691" s="64" t="s">
        <v>140</v>
      </c>
      <c r="D691" s="65">
        <v>5</v>
      </c>
      <c r="E691" s="66">
        <v>1.3736641116500001E-4</v>
      </c>
    </row>
    <row r="692" spans="2:5" ht="15" customHeight="1">
      <c r="B692" s="83"/>
      <c r="C692" s="64" t="s">
        <v>141</v>
      </c>
      <c r="D692" s="65">
        <v>7</v>
      </c>
      <c r="E692" s="66">
        <v>1.9231297563099999E-4</v>
      </c>
    </row>
    <row r="693" spans="2:5" ht="15" customHeight="1">
      <c r="B693" s="83"/>
      <c r="C693" s="64" t="s">
        <v>143</v>
      </c>
      <c r="D693" s="65">
        <v>3</v>
      </c>
      <c r="E693" s="66">
        <v>8.2419846699E-5</v>
      </c>
    </row>
    <row r="694" spans="2:5" ht="15" customHeight="1">
      <c r="B694" s="83"/>
      <c r="C694" s="64" t="s">
        <v>144</v>
      </c>
      <c r="D694" s="65">
        <v>6</v>
      </c>
      <c r="E694" s="66">
        <v>1.64839693398E-4</v>
      </c>
    </row>
    <row r="695" spans="2:5" ht="15" customHeight="1">
      <c r="B695" s="83"/>
      <c r="C695" s="64" t="s">
        <v>146</v>
      </c>
      <c r="D695" s="65">
        <v>6</v>
      </c>
      <c r="E695" s="66">
        <v>1.64839693398E-4</v>
      </c>
    </row>
    <row r="696" spans="2:5" ht="15" customHeight="1">
      <c r="B696" s="83"/>
      <c r="C696" s="64" t="s">
        <v>147</v>
      </c>
      <c r="D696" s="65">
        <v>153</v>
      </c>
      <c r="E696" s="66">
        <v>4.2034121816530001E-3</v>
      </c>
    </row>
    <row r="697" spans="2:5" ht="15" customHeight="1">
      <c r="B697" s="83"/>
      <c r="C697" s="64" t="s">
        <v>148</v>
      </c>
      <c r="D697" s="65">
        <v>7</v>
      </c>
      <c r="E697" s="66">
        <v>1.9231297563099999E-4</v>
      </c>
    </row>
    <row r="698" spans="2:5" ht="15" customHeight="1">
      <c r="B698" s="83"/>
      <c r="C698" s="64" t="s">
        <v>150</v>
      </c>
      <c r="D698" s="65">
        <v>5</v>
      </c>
      <c r="E698" s="66">
        <v>1.3736641116500001E-4</v>
      </c>
    </row>
    <row r="699" spans="2:5" ht="15" customHeight="1">
      <c r="B699" s="83"/>
      <c r="C699" s="64" t="s">
        <v>82</v>
      </c>
      <c r="D699" s="65">
        <v>4</v>
      </c>
      <c r="E699" s="66">
        <v>1.09893128932E-4</v>
      </c>
    </row>
    <row r="700" spans="2:5" ht="15" customHeight="1">
      <c r="B700" s="83"/>
      <c r="C700" s="64" t="s">
        <v>152</v>
      </c>
      <c r="D700" s="65">
        <v>6</v>
      </c>
      <c r="E700" s="66">
        <v>1.64839693398E-4</v>
      </c>
    </row>
    <row r="701" spans="2:5" ht="15" customHeight="1">
      <c r="B701" s="83"/>
      <c r="C701" s="64" t="s">
        <v>153</v>
      </c>
      <c r="D701" s="65">
        <v>1</v>
      </c>
      <c r="E701" s="66">
        <v>2.7473282233000001E-5</v>
      </c>
    </row>
    <row r="702" spans="2:5" ht="15" customHeight="1">
      <c r="B702" s="82"/>
      <c r="C702" s="36" t="s">
        <v>29</v>
      </c>
      <c r="D702" s="35">
        <v>786</v>
      </c>
      <c r="E702" s="34">
        <v>2.1593999835159999E-2</v>
      </c>
    </row>
    <row r="703" spans="2:5" ht="15" customHeight="1">
      <c r="B703" s="77" t="s">
        <v>249</v>
      </c>
      <c r="C703" s="64" t="s">
        <v>103</v>
      </c>
      <c r="D703" s="65">
        <v>6</v>
      </c>
      <c r="E703" s="66">
        <v>1.64839693398E-4</v>
      </c>
    </row>
    <row r="704" spans="2:5" ht="15" customHeight="1">
      <c r="B704" s="83"/>
      <c r="C704" s="64" t="s">
        <v>105</v>
      </c>
      <c r="D704" s="65">
        <v>52</v>
      </c>
      <c r="E704" s="66">
        <v>1.4286106761169999E-3</v>
      </c>
    </row>
    <row r="705" spans="2:5" ht="15" customHeight="1">
      <c r="B705" s="83"/>
      <c r="C705" s="64" t="s">
        <v>106</v>
      </c>
      <c r="D705" s="65">
        <v>11</v>
      </c>
      <c r="E705" s="66">
        <v>3.0220610456299998E-4</v>
      </c>
    </row>
    <row r="706" spans="2:5" ht="15" customHeight="1">
      <c r="B706" s="83"/>
      <c r="C706" s="64" t="s">
        <v>107</v>
      </c>
      <c r="D706" s="65">
        <v>489</v>
      </c>
      <c r="E706" s="66">
        <v>1.3434435011951001E-2</v>
      </c>
    </row>
    <row r="707" spans="2:5" ht="15" customHeight="1">
      <c r="B707" s="83"/>
      <c r="C707" s="64" t="s">
        <v>108</v>
      </c>
      <c r="D707" s="65">
        <v>34</v>
      </c>
      <c r="E707" s="66">
        <v>9.3409159592300003E-4</v>
      </c>
    </row>
    <row r="708" spans="2:5" ht="15" customHeight="1">
      <c r="B708" s="83"/>
      <c r="C708" s="64" t="s">
        <v>109</v>
      </c>
      <c r="D708" s="65">
        <v>4</v>
      </c>
      <c r="E708" s="66">
        <v>1.09893128932E-4</v>
      </c>
    </row>
    <row r="709" spans="2:5" ht="15" customHeight="1">
      <c r="B709" s="83"/>
      <c r="C709" s="64" t="s">
        <v>110</v>
      </c>
      <c r="D709" s="65">
        <v>5</v>
      </c>
      <c r="E709" s="66">
        <v>1.3736641116500001E-4</v>
      </c>
    </row>
    <row r="710" spans="2:5" ht="15" customHeight="1">
      <c r="B710" s="83"/>
      <c r="C710" s="64" t="s">
        <v>111</v>
      </c>
      <c r="D710" s="65">
        <v>6</v>
      </c>
      <c r="E710" s="66">
        <v>1.64839693398E-4</v>
      </c>
    </row>
    <row r="711" spans="2:5" ht="15" customHeight="1">
      <c r="B711" s="83"/>
      <c r="C711" s="64" t="s">
        <v>112</v>
      </c>
      <c r="D711" s="65">
        <v>75</v>
      </c>
      <c r="E711" s="66">
        <v>2.0604961674769999E-3</v>
      </c>
    </row>
    <row r="712" spans="2:5" ht="15" customHeight="1">
      <c r="B712" s="83"/>
      <c r="C712" s="64" t="s">
        <v>113</v>
      </c>
      <c r="D712" s="65">
        <v>32</v>
      </c>
      <c r="E712" s="66">
        <v>8.79145031457E-4</v>
      </c>
    </row>
    <row r="713" spans="2:5" ht="15" customHeight="1">
      <c r="B713" s="83"/>
      <c r="C713" s="64" t="s">
        <v>114</v>
      </c>
      <c r="D713" s="65">
        <v>1</v>
      </c>
      <c r="E713" s="66">
        <v>2.7473282233000001E-5</v>
      </c>
    </row>
    <row r="714" spans="2:5" ht="15" customHeight="1">
      <c r="B714" s="83"/>
      <c r="C714" s="64" t="s">
        <v>115</v>
      </c>
      <c r="D714" s="65">
        <v>10</v>
      </c>
      <c r="E714" s="66">
        <v>2.7473282233000002E-4</v>
      </c>
    </row>
    <row r="715" spans="2:5" ht="15" customHeight="1">
      <c r="B715" s="83"/>
      <c r="C715" s="64" t="s">
        <v>116</v>
      </c>
      <c r="D715" s="65">
        <v>361</v>
      </c>
      <c r="E715" s="66">
        <v>9.9178548861229999E-3</v>
      </c>
    </row>
    <row r="716" spans="2:5" ht="15" customHeight="1">
      <c r="B716" s="83"/>
      <c r="C716" s="64" t="s">
        <v>117</v>
      </c>
      <c r="D716" s="65">
        <v>42</v>
      </c>
      <c r="E716" s="66">
        <v>1.1538778537870001E-3</v>
      </c>
    </row>
    <row r="717" spans="2:5" ht="15" customHeight="1">
      <c r="B717" s="83"/>
      <c r="C717" s="64" t="s">
        <v>118</v>
      </c>
      <c r="D717" s="65">
        <v>6</v>
      </c>
      <c r="E717" s="66">
        <v>1.64839693398E-4</v>
      </c>
    </row>
    <row r="718" spans="2:5" ht="15" customHeight="1">
      <c r="B718" s="83"/>
      <c r="C718" s="64" t="s">
        <v>119</v>
      </c>
      <c r="D718" s="65">
        <v>29</v>
      </c>
      <c r="E718" s="66">
        <v>7.96725184758E-4</v>
      </c>
    </row>
    <row r="719" spans="2:5" ht="15" customHeight="1">
      <c r="B719" s="83"/>
      <c r="C719" s="64" t="s">
        <v>120</v>
      </c>
      <c r="D719" s="65">
        <v>8</v>
      </c>
      <c r="E719" s="66">
        <v>2.1978625786400001E-4</v>
      </c>
    </row>
    <row r="720" spans="2:5" ht="15" customHeight="1">
      <c r="B720" s="83"/>
      <c r="C720" s="64" t="s">
        <v>121</v>
      </c>
      <c r="D720" s="65">
        <v>8</v>
      </c>
      <c r="E720" s="66">
        <v>2.1978625786400001E-4</v>
      </c>
    </row>
    <row r="721" spans="2:5" ht="15" customHeight="1">
      <c r="B721" s="83"/>
      <c r="C721" s="64" t="s">
        <v>123</v>
      </c>
      <c r="D721" s="65">
        <v>7</v>
      </c>
      <c r="E721" s="66">
        <v>1.9231297563099999E-4</v>
      </c>
    </row>
    <row r="722" spans="2:5" ht="15" customHeight="1">
      <c r="B722" s="83"/>
      <c r="C722" s="64" t="s">
        <v>124</v>
      </c>
      <c r="D722" s="65">
        <v>16</v>
      </c>
      <c r="E722" s="66">
        <v>4.3957251572800002E-4</v>
      </c>
    </row>
    <row r="723" spans="2:5" ht="15" customHeight="1">
      <c r="B723" s="83"/>
      <c r="C723" s="64" t="s">
        <v>125</v>
      </c>
      <c r="D723" s="65">
        <v>32</v>
      </c>
      <c r="E723" s="66">
        <v>8.79145031457E-4</v>
      </c>
    </row>
    <row r="724" spans="2:5" ht="15" customHeight="1">
      <c r="B724" s="83"/>
      <c r="C724" s="64" t="s">
        <v>126</v>
      </c>
      <c r="D724" s="65">
        <v>50</v>
      </c>
      <c r="E724" s="66">
        <v>1.373664111651E-3</v>
      </c>
    </row>
    <row r="725" spans="2:5" ht="15" customHeight="1">
      <c r="B725" s="83"/>
      <c r="C725" s="64" t="s">
        <v>127</v>
      </c>
      <c r="D725" s="65">
        <v>8</v>
      </c>
      <c r="E725" s="66">
        <v>2.1978625786400001E-4</v>
      </c>
    </row>
    <row r="726" spans="2:5" ht="15" customHeight="1">
      <c r="B726" s="83"/>
      <c r="C726" s="64" t="s">
        <v>128</v>
      </c>
      <c r="D726" s="65">
        <v>19</v>
      </c>
      <c r="E726" s="66">
        <v>5.2199236242800003E-4</v>
      </c>
    </row>
    <row r="727" spans="2:5" ht="15" customHeight="1">
      <c r="B727" s="83"/>
      <c r="C727" s="64" t="s">
        <v>129</v>
      </c>
      <c r="D727" s="65">
        <v>1</v>
      </c>
      <c r="E727" s="66">
        <v>2.7473282233000001E-5</v>
      </c>
    </row>
    <row r="728" spans="2:5" ht="15" customHeight="1">
      <c r="B728" s="83"/>
      <c r="C728" s="64" t="s">
        <v>130</v>
      </c>
      <c r="D728" s="65">
        <v>13</v>
      </c>
      <c r="E728" s="66">
        <v>3.5715266902900002E-4</v>
      </c>
    </row>
    <row r="729" spans="2:5" ht="15" customHeight="1">
      <c r="B729" s="83"/>
      <c r="C729" s="64" t="s">
        <v>131</v>
      </c>
      <c r="D729" s="65">
        <v>64</v>
      </c>
      <c r="E729" s="66">
        <v>1.758290062914E-3</v>
      </c>
    </row>
    <row r="730" spans="2:5" ht="15" customHeight="1">
      <c r="B730" s="83"/>
      <c r="C730" s="64" t="s">
        <v>132</v>
      </c>
      <c r="D730" s="65">
        <v>1</v>
      </c>
      <c r="E730" s="66">
        <v>2.7473282233000001E-5</v>
      </c>
    </row>
    <row r="731" spans="2:5" ht="15" customHeight="1">
      <c r="B731" s="83"/>
      <c r="C731" s="64" t="s">
        <v>133</v>
      </c>
      <c r="D731" s="65">
        <v>34</v>
      </c>
      <c r="E731" s="66">
        <v>9.3409159592300003E-4</v>
      </c>
    </row>
    <row r="732" spans="2:5" ht="15" customHeight="1">
      <c r="B732" s="83"/>
      <c r="C732" s="64" t="s">
        <v>134</v>
      </c>
      <c r="D732" s="65">
        <v>10</v>
      </c>
      <c r="E732" s="66">
        <v>2.7473282233000002E-4</v>
      </c>
    </row>
    <row r="733" spans="2:5" ht="15" customHeight="1">
      <c r="B733" s="83"/>
      <c r="C733" s="64" t="s">
        <v>135</v>
      </c>
      <c r="D733" s="65">
        <v>50</v>
      </c>
      <c r="E733" s="66">
        <v>1.373664111651E-3</v>
      </c>
    </row>
    <row r="734" spans="2:5" ht="15" customHeight="1">
      <c r="B734" s="83"/>
      <c r="C734" s="64" t="s">
        <v>136</v>
      </c>
      <c r="D734" s="65">
        <v>38</v>
      </c>
      <c r="E734" s="66">
        <v>1.043984724855E-3</v>
      </c>
    </row>
    <row r="735" spans="2:5" ht="15" customHeight="1">
      <c r="B735" s="83"/>
      <c r="C735" s="64" t="s">
        <v>137</v>
      </c>
      <c r="D735" s="65">
        <v>1</v>
      </c>
      <c r="E735" s="66">
        <v>2.7473282233000001E-5</v>
      </c>
    </row>
    <row r="736" spans="2:5" ht="15" customHeight="1">
      <c r="B736" s="83"/>
      <c r="C736" s="64" t="s">
        <v>138</v>
      </c>
      <c r="D736" s="65">
        <v>16</v>
      </c>
      <c r="E736" s="66">
        <v>4.3957251572800002E-4</v>
      </c>
    </row>
    <row r="737" spans="2:5" ht="15" customHeight="1">
      <c r="B737" s="83"/>
      <c r="C737" s="64" t="s">
        <v>139</v>
      </c>
      <c r="D737" s="65">
        <v>30</v>
      </c>
      <c r="E737" s="66">
        <v>8.2419846699099996E-4</v>
      </c>
    </row>
    <row r="738" spans="2:5" ht="15" customHeight="1">
      <c r="B738" s="83"/>
      <c r="C738" s="64" t="s">
        <v>140</v>
      </c>
      <c r="D738" s="65">
        <v>16</v>
      </c>
      <c r="E738" s="66">
        <v>4.3957251572800002E-4</v>
      </c>
    </row>
    <row r="739" spans="2:5" ht="15" customHeight="1">
      <c r="B739" s="83"/>
      <c r="C739" s="64" t="s">
        <v>141</v>
      </c>
      <c r="D739" s="65">
        <v>10</v>
      </c>
      <c r="E739" s="66">
        <v>2.7473282233000002E-4</v>
      </c>
    </row>
    <row r="740" spans="2:5" ht="15" customHeight="1">
      <c r="B740" s="83"/>
      <c r="C740" s="64" t="s">
        <v>142</v>
      </c>
      <c r="D740" s="65">
        <v>1</v>
      </c>
      <c r="E740" s="66">
        <v>2.7473282233000001E-5</v>
      </c>
    </row>
    <row r="741" spans="2:5" ht="15" customHeight="1">
      <c r="B741" s="83"/>
      <c r="C741" s="64" t="s">
        <v>143</v>
      </c>
      <c r="D741" s="65">
        <v>5</v>
      </c>
      <c r="E741" s="66">
        <v>1.3736641116500001E-4</v>
      </c>
    </row>
    <row r="742" spans="2:5" ht="15" customHeight="1">
      <c r="B742" s="83"/>
      <c r="C742" s="64" t="s">
        <v>144</v>
      </c>
      <c r="D742" s="65">
        <v>17</v>
      </c>
      <c r="E742" s="66">
        <v>4.6704579796099998E-4</v>
      </c>
    </row>
    <row r="743" spans="2:5" ht="15" customHeight="1">
      <c r="B743" s="83"/>
      <c r="C743" s="64" t="s">
        <v>145</v>
      </c>
      <c r="D743" s="65">
        <v>2</v>
      </c>
      <c r="E743" s="66">
        <v>5.4946564466000002E-5</v>
      </c>
    </row>
    <row r="744" spans="2:5" ht="15" customHeight="1">
      <c r="B744" s="83"/>
      <c r="C744" s="64" t="s">
        <v>146</v>
      </c>
      <c r="D744" s="65">
        <v>13</v>
      </c>
      <c r="E744" s="66">
        <v>3.5715266902900002E-4</v>
      </c>
    </row>
    <row r="745" spans="2:5" ht="15" customHeight="1">
      <c r="B745" s="83"/>
      <c r="C745" s="64" t="s">
        <v>147</v>
      </c>
      <c r="D745" s="65">
        <v>580</v>
      </c>
      <c r="E745" s="66">
        <v>1.5934503695156001E-2</v>
      </c>
    </row>
    <row r="746" spans="2:5" ht="15" customHeight="1">
      <c r="B746" s="83"/>
      <c r="C746" s="64" t="s">
        <v>148</v>
      </c>
      <c r="D746" s="65">
        <v>31</v>
      </c>
      <c r="E746" s="66">
        <v>8.5167174922400003E-4</v>
      </c>
    </row>
    <row r="747" spans="2:5" ht="15" customHeight="1">
      <c r="B747" s="83"/>
      <c r="C747" s="64" t="s">
        <v>150</v>
      </c>
      <c r="D747" s="65">
        <v>14</v>
      </c>
      <c r="E747" s="66">
        <v>3.8462595126199998E-4</v>
      </c>
    </row>
    <row r="748" spans="2:5" ht="15" customHeight="1">
      <c r="B748" s="83"/>
      <c r="C748" s="64" t="s">
        <v>82</v>
      </c>
      <c r="D748" s="65">
        <v>19</v>
      </c>
      <c r="E748" s="66">
        <v>5.2199236242800003E-4</v>
      </c>
    </row>
    <row r="749" spans="2:5" ht="15" customHeight="1">
      <c r="B749" s="83"/>
      <c r="C749" s="64" t="s">
        <v>152</v>
      </c>
      <c r="D749" s="65">
        <v>20</v>
      </c>
      <c r="E749" s="66">
        <v>5.49465644661E-4</v>
      </c>
    </row>
    <row r="750" spans="2:5" ht="15" customHeight="1">
      <c r="B750" s="83"/>
      <c r="C750" s="64" t="s">
        <v>153</v>
      </c>
      <c r="D750" s="65">
        <v>5</v>
      </c>
      <c r="E750" s="66">
        <v>1.3736641116500001E-4</v>
      </c>
    </row>
    <row r="751" spans="2:5" ht="15" customHeight="1">
      <c r="B751" s="82"/>
      <c r="C751" s="36" t="s">
        <v>29</v>
      </c>
      <c r="D751" s="35">
        <v>2302</v>
      </c>
      <c r="E751" s="34">
        <v>6.3243495700431002E-2</v>
      </c>
    </row>
    <row r="752" spans="2:5" ht="15" customHeight="1">
      <c r="B752" s="77" t="s">
        <v>250</v>
      </c>
      <c r="C752" s="64" t="s">
        <v>105</v>
      </c>
      <c r="D752" s="65">
        <v>1</v>
      </c>
      <c r="E752" s="66">
        <v>2.7473282233000001E-5</v>
      </c>
    </row>
    <row r="753" spans="2:5" ht="15" customHeight="1">
      <c r="B753" s="83"/>
      <c r="C753" s="64" t="s">
        <v>107</v>
      </c>
      <c r="D753" s="65">
        <v>1</v>
      </c>
      <c r="E753" s="66">
        <v>2.7473282233000001E-5</v>
      </c>
    </row>
    <row r="754" spans="2:5" ht="15" customHeight="1">
      <c r="B754" s="83"/>
      <c r="C754" s="64" t="s">
        <v>116</v>
      </c>
      <c r="D754" s="65">
        <v>1</v>
      </c>
      <c r="E754" s="66">
        <v>2.7473282233000001E-5</v>
      </c>
    </row>
    <row r="755" spans="2:5" ht="15" customHeight="1">
      <c r="B755" s="83"/>
      <c r="C755" s="64" t="s">
        <v>125</v>
      </c>
      <c r="D755" s="65">
        <v>1</v>
      </c>
      <c r="E755" s="66">
        <v>2.7473282233000001E-5</v>
      </c>
    </row>
    <row r="756" spans="2:5" ht="15" customHeight="1">
      <c r="B756" s="83"/>
      <c r="C756" s="64" t="s">
        <v>133</v>
      </c>
      <c r="D756" s="65">
        <v>1</v>
      </c>
      <c r="E756" s="66">
        <v>2.7473282233000001E-5</v>
      </c>
    </row>
    <row r="757" spans="2:5" ht="15" customHeight="1">
      <c r="B757" s="83"/>
      <c r="C757" s="64" t="s">
        <v>139</v>
      </c>
      <c r="D757" s="65">
        <v>1</v>
      </c>
      <c r="E757" s="66">
        <v>2.7473282233000001E-5</v>
      </c>
    </row>
    <row r="758" spans="2:5" ht="15" customHeight="1">
      <c r="B758" s="83"/>
      <c r="C758" s="64" t="s">
        <v>141</v>
      </c>
      <c r="D758" s="65">
        <v>1</v>
      </c>
      <c r="E758" s="66">
        <v>2.7473282233000001E-5</v>
      </c>
    </row>
    <row r="759" spans="2:5" ht="15" customHeight="1">
      <c r="B759" s="83"/>
      <c r="C759" s="64" t="s">
        <v>147</v>
      </c>
      <c r="D759" s="65">
        <v>1</v>
      </c>
      <c r="E759" s="66">
        <v>2.7473282233000001E-5</v>
      </c>
    </row>
    <row r="760" spans="2:5" ht="15" customHeight="1">
      <c r="B760" s="83"/>
      <c r="C760" s="64" t="s">
        <v>150</v>
      </c>
      <c r="D760" s="65">
        <v>1</v>
      </c>
      <c r="E760" s="66">
        <v>2.7473282233000001E-5</v>
      </c>
    </row>
    <row r="761" spans="2:5" ht="15" customHeight="1">
      <c r="B761" s="82"/>
      <c r="C761" s="36" t="s">
        <v>29</v>
      </c>
      <c r="D761" s="35">
        <v>9</v>
      </c>
      <c r="E761" s="34">
        <v>2.47259540097E-4</v>
      </c>
    </row>
    <row r="762" spans="2:5" ht="15" customHeight="1">
      <c r="B762" s="77" t="s">
        <v>251</v>
      </c>
      <c r="C762" s="64" t="s">
        <v>105</v>
      </c>
      <c r="D762" s="65">
        <v>6</v>
      </c>
      <c r="E762" s="66">
        <v>1.64839693398E-4</v>
      </c>
    </row>
    <row r="763" spans="2:5" ht="15" customHeight="1">
      <c r="B763" s="83"/>
      <c r="C763" s="64" t="s">
        <v>107</v>
      </c>
      <c r="D763" s="65">
        <v>27</v>
      </c>
      <c r="E763" s="66">
        <v>7.4177862029199996E-4</v>
      </c>
    </row>
    <row r="764" spans="2:5" ht="15" customHeight="1">
      <c r="B764" s="83"/>
      <c r="C764" s="64" t="s">
        <v>108</v>
      </c>
      <c r="D764" s="65">
        <v>1</v>
      </c>
      <c r="E764" s="66">
        <v>2.7473282233000001E-5</v>
      </c>
    </row>
    <row r="765" spans="2:5" ht="15" customHeight="1">
      <c r="B765" s="83"/>
      <c r="C765" s="64" t="s">
        <v>109</v>
      </c>
      <c r="D765" s="65">
        <v>1</v>
      </c>
      <c r="E765" s="66">
        <v>2.7473282233000001E-5</v>
      </c>
    </row>
    <row r="766" spans="2:5" ht="15" customHeight="1">
      <c r="B766" s="83"/>
      <c r="C766" s="64" t="s">
        <v>111</v>
      </c>
      <c r="D766" s="65">
        <v>3</v>
      </c>
      <c r="E766" s="66">
        <v>8.2419846699E-5</v>
      </c>
    </row>
    <row r="767" spans="2:5" ht="15" customHeight="1">
      <c r="B767" s="83"/>
      <c r="C767" s="64" t="s">
        <v>112</v>
      </c>
      <c r="D767" s="65">
        <v>12</v>
      </c>
      <c r="E767" s="66">
        <v>3.29679386796E-4</v>
      </c>
    </row>
    <row r="768" spans="2:5" ht="15" customHeight="1">
      <c r="B768" s="83"/>
      <c r="C768" s="64" t="s">
        <v>113</v>
      </c>
      <c r="D768" s="65">
        <v>3</v>
      </c>
      <c r="E768" s="66">
        <v>8.2419846699E-5</v>
      </c>
    </row>
    <row r="769" spans="2:5" ht="15" customHeight="1">
      <c r="B769" s="83"/>
      <c r="C769" s="64" t="s">
        <v>115</v>
      </c>
      <c r="D769" s="65">
        <v>2</v>
      </c>
      <c r="E769" s="66">
        <v>5.4946564466000002E-5</v>
      </c>
    </row>
    <row r="770" spans="2:5" ht="15" customHeight="1">
      <c r="B770" s="83"/>
      <c r="C770" s="64" t="s">
        <v>116</v>
      </c>
      <c r="D770" s="65">
        <v>16</v>
      </c>
      <c r="E770" s="66">
        <v>4.3957251572800002E-4</v>
      </c>
    </row>
    <row r="771" spans="2:5" ht="15" customHeight="1">
      <c r="B771" s="83"/>
      <c r="C771" s="64" t="s">
        <v>117</v>
      </c>
      <c r="D771" s="65">
        <v>3</v>
      </c>
      <c r="E771" s="66">
        <v>8.2419846699E-5</v>
      </c>
    </row>
    <row r="772" spans="2:5" ht="15" customHeight="1">
      <c r="B772" s="83"/>
      <c r="C772" s="64" t="s">
        <v>120</v>
      </c>
      <c r="D772" s="65">
        <v>1</v>
      </c>
      <c r="E772" s="66">
        <v>2.7473282233000001E-5</v>
      </c>
    </row>
    <row r="773" spans="2:5" ht="15" customHeight="1">
      <c r="B773" s="83"/>
      <c r="C773" s="64" t="s">
        <v>124</v>
      </c>
      <c r="D773" s="65">
        <v>8</v>
      </c>
      <c r="E773" s="66">
        <v>2.1978625786400001E-4</v>
      </c>
    </row>
    <row r="774" spans="2:5" ht="15" customHeight="1">
      <c r="B774" s="83"/>
      <c r="C774" s="64" t="s">
        <v>126</v>
      </c>
      <c r="D774" s="65">
        <v>1</v>
      </c>
      <c r="E774" s="66">
        <v>2.7473282233000001E-5</v>
      </c>
    </row>
    <row r="775" spans="2:5" ht="15" customHeight="1">
      <c r="B775" s="83"/>
      <c r="C775" s="64" t="s">
        <v>127</v>
      </c>
      <c r="D775" s="65">
        <v>1</v>
      </c>
      <c r="E775" s="66">
        <v>2.7473282233000001E-5</v>
      </c>
    </row>
    <row r="776" spans="2:5" ht="15" customHeight="1">
      <c r="B776" s="83"/>
      <c r="C776" s="64" t="s">
        <v>128</v>
      </c>
      <c r="D776" s="65">
        <v>2</v>
      </c>
      <c r="E776" s="66">
        <v>5.4946564466000002E-5</v>
      </c>
    </row>
    <row r="777" spans="2:5" ht="15" customHeight="1">
      <c r="B777" s="83"/>
      <c r="C777" s="64" t="s">
        <v>131</v>
      </c>
      <c r="D777" s="65">
        <v>9</v>
      </c>
      <c r="E777" s="66">
        <v>2.47259540097E-4</v>
      </c>
    </row>
    <row r="778" spans="2:5" ht="15" customHeight="1">
      <c r="B778" s="83"/>
      <c r="C778" s="64" t="s">
        <v>133</v>
      </c>
      <c r="D778" s="65">
        <v>5</v>
      </c>
      <c r="E778" s="66">
        <v>1.3736641116500001E-4</v>
      </c>
    </row>
    <row r="779" spans="2:5" ht="15" customHeight="1">
      <c r="B779" s="83"/>
      <c r="C779" s="64" t="s">
        <v>135</v>
      </c>
      <c r="D779" s="65">
        <v>6</v>
      </c>
      <c r="E779" s="66">
        <v>1.64839693398E-4</v>
      </c>
    </row>
    <row r="780" spans="2:5" ht="15" customHeight="1">
      <c r="B780" s="83"/>
      <c r="C780" s="64" t="s">
        <v>136</v>
      </c>
      <c r="D780" s="65">
        <v>3</v>
      </c>
      <c r="E780" s="66">
        <v>8.2419846699E-5</v>
      </c>
    </row>
    <row r="781" spans="2:5" ht="15" customHeight="1">
      <c r="B781" s="83"/>
      <c r="C781" s="64" t="s">
        <v>139</v>
      </c>
      <c r="D781" s="65">
        <v>4</v>
      </c>
      <c r="E781" s="66">
        <v>1.09893128932E-4</v>
      </c>
    </row>
    <row r="782" spans="2:5" ht="15" customHeight="1">
      <c r="B782" s="83"/>
      <c r="C782" s="64" t="s">
        <v>141</v>
      </c>
      <c r="D782" s="65">
        <v>1</v>
      </c>
      <c r="E782" s="66">
        <v>2.7473282233000001E-5</v>
      </c>
    </row>
    <row r="783" spans="2:5" ht="15" customHeight="1">
      <c r="B783" s="83"/>
      <c r="C783" s="64" t="s">
        <v>142</v>
      </c>
      <c r="D783" s="65">
        <v>1</v>
      </c>
      <c r="E783" s="66">
        <v>2.7473282233000001E-5</v>
      </c>
    </row>
    <row r="784" spans="2:5" ht="15" customHeight="1">
      <c r="B784" s="83"/>
      <c r="C784" s="64" t="s">
        <v>143</v>
      </c>
      <c r="D784" s="65">
        <v>1</v>
      </c>
      <c r="E784" s="66">
        <v>2.7473282233000001E-5</v>
      </c>
    </row>
    <row r="785" spans="2:5" ht="15" customHeight="1">
      <c r="B785" s="83"/>
      <c r="C785" s="64" t="s">
        <v>147</v>
      </c>
      <c r="D785" s="65">
        <v>53</v>
      </c>
      <c r="E785" s="66">
        <v>1.4560839583510001E-3</v>
      </c>
    </row>
    <row r="786" spans="2:5" ht="15" customHeight="1">
      <c r="B786" s="83"/>
      <c r="C786" s="64" t="s">
        <v>148</v>
      </c>
      <c r="D786" s="65">
        <v>1</v>
      </c>
      <c r="E786" s="66">
        <v>2.7473282233000001E-5</v>
      </c>
    </row>
    <row r="787" spans="2:5" ht="15" customHeight="1">
      <c r="B787" s="83"/>
      <c r="C787" s="64" t="s">
        <v>150</v>
      </c>
      <c r="D787" s="65">
        <v>2</v>
      </c>
      <c r="E787" s="66">
        <v>5.4946564466000002E-5</v>
      </c>
    </row>
    <row r="788" spans="2:5" ht="15" customHeight="1">
      <c r="B788" s="83"/>
      <c r="C788" s="64" t="s">
        <v>82</v>
      </c>
      <c r="D788" s="65">
        <v>2</v>
      </c>
      <c r="E788" s="66">
        <v>5.4946564466000002E-5</v>
      </c>
    </row>
    <row r="789" spans="2:5" ht="15" customHeight="1">
      <c r="B789" s="83"/>
      <c r="C789" s="64" t="s">
        <v>152</v>
      </c>
      <c r="D789" s="65">
        <v>2</v>
      </c>
      <c r="E789" s="66">
        <v>5.4946564466000002E-5</v>
      </c>
    </row>
    <row r="790" spans="2:5" ht="15" customHeight="1">
      <c r="B790" s="82"/>
      <c r="C790" s="36" t="s">
        <v>29</v>
      </c>
      <c r="D790" s="35">
        <v>177</v>
      </c>
      <c r="E790" s="34">
        <v>4.8627709552460001E-3</v>
      </c>
    </row>
    <row r="791" spans="2:5" ht="15" customHeight="1">
      <c r="B791" s="77" t="s">
        <v>252</v>
      </c>
      <c r="C791" s="64" t="s">
        <v>105</v>
      </c>
      <c r="D791" s="65">
        <v>2</v>
      </c>
      <c r="E791" s="66">
        <v>5.4946564466000002E-5</v>
      </c>
    </row>
    <row r="792" spans="2:5" ht="15" customHeight="1">
      <c r="B792" s="83"/>
      <c r="C792" s="64" t="s">
        <v>107</v>
      </c>
      <c r="D792" s="65">
        <v>6</v>
      </c>
      <c r="E792" s="66">
        <v>1.64839693398E-4</v>
      </c>
    </row>
    <row r="793" spans="2:5" ht="15" customHeight="1">
      <c r="B793" s="83"/>
      <c r="C793" s="64" t="s">
        <v>108</v>
      </c>
      <c r="D793" s="65">
        <v>1</v>
      </c>
      <c r="E793" s="66">
        <v>2.7473282233000001E-5</v>
      </c>
    </row>
    <row r="794" spans="2:5" ht="15" customHeight="1">
      <c r="B794" s="83"/>
      <c r="C794" s="64" t="s">
        <v>109</v>
      </c>
      <c r="D794" s="65">
        <v>1</v>
      </c>
      <c r="E794" s="66">
        <v>2.7473282233000001E-5</v>
      </c>
    </row>
    <row r="795" spans="2:5" ht="15" customHeight="1">
      <c r="B795" s="83"/>
      <c r="C795" s="64" t="s">
        <v>123</v>
      </c>
      <c r="D795" s="65">
        <v>1</v>
      </c>
      <c r="E795" s="66">
        <v>2.7473282233000001E-5</v>
      </c>
    </row>
    <row r="796" spans="2:5" ht="15" customHeight="1">
      <c r="B796" s="83"/>
      <c r="C796" s="64" t="s">
        <v>126</v>
      </c>
      <c r="D796" s="65">
        <v>1</v>
      </c>
      <c r="E796" s="66">
        <v>2.7473282233000001E-5</v>
      </c>
    </row>
    <row r="797" spans="2:5" ht="15" customHeight="1">
      <c r="B797" s="83"/>
      <c r="C797" s="64" t="s">
        <v>140</v>
      </c>
      <c r="D797" s="65">
        <v>1</v>
      </c>
      <c r="E797" s="66">
        <v>2.7473282233000001E-5</v>
      </c>
    </row>
    <row r="798" spans="2:5" ht="15" customHeight="1">
      <c r="B798" s="83"/>
      <c r="C798" s="64" t="s">
        <v>141</v>
      </c>
      <c r="D798" s="65">
        <v>1</v>
      </c>
      <c r="E798" s="66">
        <v>2.7473282233000001E-5</v>
      </c>
    </row>
    <row r="799" spans="2:5" ht="15" customHeight="1">
      <c r="B799" s="83"/>
      <c r="C799" s="64" t="s">
        <v>145</v>
      </c>
      <c r="D799" s="65">
        <v>1</v>
      </c>
      <c r="E799" s="66">
        <v>2.7473282233000001E-5</v>
      </c>
    </row>
    <row r="800" spans="2:5" ht="15" customHeight="1">
      <c r="B800" s="83"/>
      <c r="C800" s="64" t="s">
        <v>147</v>
      </c>
      <c r="D800" s="65">
        <v>11</v>
      </c>
      <c r="E800" s="66">
        <v>3.0220610456299998E-4</v>
      </c>
    </row>
    <row r="801" spans="2:5" ht="15" customHeight="1">
      <c r="B801" s="83"/>
      <c r="C801" s="64" t="s">
        <v>82</v>
      </c>
      <c r="D801" s="65">
        <v>2</v>
      </c>
      <c r="E801" s="66">
        <v>5.4946564466000002E-5</v>
      </c>
    </row>
    <row r="802" spans="2:5" ht="15" customHeight="1">
      <c r="B802" s="82"/>
      <c r="C802" s="36" t="s">
        <v>29</v>
      </c>
      <c r="D802" s="35">
        <v>28</v>
      </c>
      <c r="E802" s="34">
        <v>7.6925190252500003E-4</v>
      </c>
    </row>
    <row r="803" spans="2:5" ht="15" customHeight="1">
      <c r="B803" s="80" t="s">
        <v>29</v>
      </c>
      <c r="C803" s="81"/>
      <c r="D803" s="62">
        <v>36399</v>
      </c>
      <c r="E803" s="63">
        <v>1</v>
      </c>
    </row>
    <row r="805" spans="2:5" ht="15" customHeight="1">
      <c r="B805" s="15" t="s">
        <v>47</v>
      </c>
    </row>
    <row r="806" spans="2:5" ht="15" customHeight="1">
      <c r="B806" s="17" t="s">
        <v>17</v>
      </c>
    </row>
    <row r="807" spans="2:5" ht="15" customHeight="1">
      <c r="B807" s="16" t="s">
        <v>48</v>
      </c>
    </row>
    <row r="808" spans="2:5" ht="15" customHeight="1">
      <c r="B808" s="15" t="s">
        <v>16</v>
      </c>
    </row>
    <row r="809" spans="2:5" ht="15" customHeight="1">
      <c r="B809" s="15" t="s">
        <v>49</v>
      </c>
    </row>
  </sheetData>
  <mergeCells count="27">
    <mergeCell ref="B423:B463"/>
    <mergeCell ref="B464:B506"/>
    <mergeCell ref="B507:B556"/>
    <mergeCell ref="B557:B584"/>
    <mergeCell ref="B585:B614"/>
    <mergeCell ref="B77:B108"/>
    <mergeCell ref="B109:B135"/>
    <mergeCell ref="B136:B163"/>
    <mergeCell ref="B333:B372"/>
    <mergeCell ref="B373:B422"/>
    <mergeCell ref="B164:B204"/>
    <mergeCell ref="B205:B250"/>
    <mergeCell ref="B251:B290"/>
    <mergeCell ref="B291:B332"/>
    <mergeCell ref="B7:E8"/>
    <mergeCell ref="B10:B11"/>
    <mergeCell ref="B12:B42"/>
    <mergeCell ref="B43:B58"/>
    <mergeCell ref="B59:B76"/>
    <mergeCell ref="B762:B790"/>
    <mergeCell ref="B791:B802"/>
    <mergeCell ref="B803:C803"/>
    <mergeCell ref="B615:B643"/>
    <mergeCell ref="B644:B661"/>
    <mergeCell ref="B662:B702"/>
    <mergeCell ref="B703:B751"/>
    <mergeCell ref="B752:B7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E970"/>
  <sheetViews>
    <sheetView showGridLines="0" view="pageBreakPreview" zoomScale="85" zoomScaleNormal="100" zoomScaleSheetLayoutView="85" workbookViewId="0">
      <selection activeCell="B964" sqref="B964:C964"/>
    </sheetView>
  </sheetViews>
  <sheetFormatPr baseColWidth="10" defaultColWidth="35" defaultRowHeight="15" customHeight="1"/>
  <cols>
    <col min="1" max="1" width="1" style="32" customWidth="1"/>
    <col min="2" max="2" width="22.81640625" style="33" customWidth="1"/>
    <col min="3" max="3" width="36.453125" style="33" customWidth="1"/>
    <col min="4" max="4" width="14.26953125" style="33" customWidth="1"/>
    <col min="5" max="5" width="16.81640625" style="33" customWidth="1"/>
    <col min="6" max="16384" width="35" style="32"/>
  </cols>
  <sheetData>
    <row r="1" spans="1:5" s="41" customFormat="1" ht="12" customHeight="1">
      <c r="B1" s="43"/>
      <c r="C1" s="37"/>
      <c r="D1" s="37"/>
      <c r="E1" s="37"/>
    </row>
    <row r="2" spans="1:5" s="41" customFormat="1" ht="15" customHeight="1">
      <c r="C2" s="45"/>
    </row>
    <row r="3" spans="1:5" s="41" customFormat="1" ht="15" customHeight="1">
      <c r="C3" s="45"/>
    </row>
    <row r="4" spans="1:5" s="41" customFormat="1" ht="30" customHeight="1">
      <c r="C4" s="45"/>
      <c r="D4" s="44"/>
    </row>
    <row r="5" spans="1:5" s="41" customFormat="1" ht="15" customHeight="1">
      <c r="C5" s="45"/>
      <c r="D5" s="44"/>
    </row>
    <row r="6" spans="1:5" s="41" customFormat="1" ht="24" customHeight="1">
      <c r="B6" s="43"/>
      <c r="C6" s="37"/>
      <c r="D6" s="37"/>
      <c r="E6" s="37"/>
    </row>
    <row r="7" spans="1:5" s="41" customFormat="1" ht="26.25" customHeight="1">
      <c r="A7" s="42"/>
      <c r="B7" s="84"/>
      <c r="C7" s="84"/>
      <c r="D7" s="84"/>
      <c r="E7" s="84"/>
    </row>
    <row r="8" spans="1:5" s="41" customFormat="1" ht="33" customHeight="1">
      <c r="A8" s="42"/>
      <c r="B8" s="84"/>
      <c r="C8" s="84"/>
      <c r="D8" s="84"/>
      <c r="E8" s="84"/>
    </row>
    <row r="9" spans="1:5" s="25" customFormat="1" ht="40.5" customHeight="1">
      <c r="B9" s="38" t="s">
        <v>21</v>
      </c>
      <c r="C9" s="40" t="s">
        <v>27</v>
      </c>
      <c r="D9" s="39" t="s">
        <v>19</v>
      </c>
      <c r="E9" s="38" t="s">
        <v>18</v>
      </c>
    </row>
    <row r="10" spans="1:5" ht="14.5" customHeight="1">
      <c r="B10" s="77" t="s">
        <v>89</v>
      </c>
      <c r="C10" s="64" t="s">
        <v>233</v>
      </c>
      <c r="D10" s="65">
        <v>1</v>
      </c>
      <c r="E10" s="66">
        <v>2.7473282233000001E-5</v>
      </c>
    </row>
    <row r="11" spans="1:5" ht="14.5" customHeight="1">
      <c r="B11" s="83"/>
      <c r="C11" s="64" t="s">
        <v>234</v>
      </c>
      <c r="D11" s="65">
        <v>1</v>
      </c>
      <c r="E11" s="66">
        <v>2.7473282233000001E-5</v>
      </c>
    </row>
    <row r="12" spans="1:5" ht="14.5" customHeight="1">
      <c r="B12" s="83"/>
      <c r="C12" s="64" t="s">
        <v>235</v>
      </c>
      <c r="D12" s="65">
        <v>5</v>
      </c>
      <c r="E12" s="66">
        <v>1.3736641116500001E-4</v>
      </c>
    </row>
    <row r="13" spans="1:5" ht="14.5" customHeight="1">
      <c r="B13" s="83"/>
      <c r="C13" s="64" t="s">
        <v>236</v>
      </c>
      <c r="D13" s="65">
        <v>6</v>
      </c>
      <c r="E13" s="66">
        <v>1.64839693398E-4</v>
      </c>
    </row>
    <row r="14" spans="1:5" ht="14.5" customHeight="1">
      <c r="B14" s="83"/>
      <c r="C14" s="64" t="s">
        <v>238</v>
      </c>
      <c r="D14" s="65">
        <v>3</v>
      </c>
      <c r="E14" s="66">
        <v>8.2419846699E-5</v>
      </c>
    </row>
    <row r="15" spans="1:5" ht="14.5" customHeight="1">
      <c r="B15" s="83"/>
      <c r="C15" s="64" t="s">
        <v>239</v>
      </c>
      <c r="D15" s="65">
        <v>3</v>
      </c>
      <c r="E15" s="66">
        <v>8.2419846699E-5</v>
      </c>
    </row>
    <row r="16" spans="1:5" ht="14.5" customHeight="1">
      <c r="B16" s="83"/>
      <c r="C16" s="64" t="s">
        <v>240</v>
      </c>
      <c r="D16" s="65">
        <v>45</v>
      </c>
      <c r="E16" s="66">
        <v>1.2362977004860001E-3</v>
      </c>
    </row>
    <row r="17" spans="2:5" ht="14.5" customHeight="1">
      <c r="B17" s="83"/>
      <c r="C17" s="64" t="s">
        <v>241</v>
      </c>
      <c r="D17" s="65">
        <v>6</v>
      </c>
      <c r="E17" s="66">
        <v>1.64839693398E-4</v>
      </c>
    </row>
    <row r="18" spans="2:5" ht="14.5" customHeight="1">
      <c r="B18" s="83"/>
      <c r="C18" s="64" t="s">
        <v>242</v>
      </c>
      <c r="D18" s="65">
        <v>2</v>
      </c>
      <c r="E18" s="66">
        <v>5.4946564466000002E-5</v>
      </c>
    </row>
    <row r="19" spans="2:5" ht="14.5" customHeight="1">
      <c r="B19" s="83"/>
      <c r="C19" s="64" t="s">
        <v>243</v>
      </c>
      <c r="D19" s="65">
        <v>25</v>
      </c>
      <c r="E19" s="66">
        <v>6.8683205582600003E-4</v>
      </c>
    </row>
    <row r="20" spans="2:5" ht="14.5" customHeight="1">
      <c r="B20" s="83"/>
      <c r="C20" s="64" t="s">
        <v>245</v>
      </c>
      <c r="D20" s="65">
        <v>2</v>
      </c>
      <c r="E20" s="66">
        <v>5.4946564466000002E-5</v>
      </c>
    </row>
    <row r="21" spans="2:5" ht="14.5" customHeight="1">
      <c r="B21" s="83"/>
      <c r="C21" s="64" t="s">
        <v>248</v>
      </c>
      <c r="D21" s="65">
        <v>3</v>
      </c>
      <c r="E21" s="66">
        <v>8.2419846699E-5</v>
      </c>
    </row>
    <row r="22" spans="2:5" ht="14.5" customHeight="1">
      <c r="B22" s="83"/>
      <c r="C22" s="64" t="s">
        <v>249</v>
      </c>
      <c r="D22" s="65">
        <v>10</v>
      </c>
      <c r="E22" s="66">
        <v>2.7473282233000002E-4</v>
      </c>
    </row>
    <row r="23" spans="2:5" ht="14.5" customHeight="1">
      <c r="B23" s="82"/>
      <c r="C23" s="36" t="s">
        <v>29</v>
      </c>
      <c r="D23" s="35">
        <v>112</v>
      </c>
      <c r="E23" s="34">
        <v>3.0770076100990001E-3</v>
      </c>
    </row>
    <row r="24" spans="2:5" ht="14.5" customHeight="1">
      <c r="B24" s="77" t="s">
        <v>56</v>
      </c>
      <c r="C24" s="64" t="s">
        <v>229</v>
      </c>
      <c r="D24" s="65">
        <v>7</v>
      </c>
      <c r="E24" s="66">
        <v>1.9231297563099999E-4</v>
      </c>
    </row>
    <row r="25" spans="2:5" ht="14.5" customHeight="1">
      <c r="B25" s="83"/>
      <c r="C25" s="64" t="s">
        <v>230</v>
      </c>
      <c r="D25" s="65">
        <v>2</v>
      </c>
      <c r="E25" s="66">
        <v>5.4946564466000002E-5</v>
      </c>
    </row>
    <row r="26" spans="2:5" ht="14.5" customHeight="1">
      <c r="B26" s="83"/>
      <c r="C26" s="64" t="s">
        <v>231</v>
      </c>
      <c r="D26" s="65">
        <v>1</v>
      </c>
      <c r="E26" s="66">
        <v>2.7473282233000001E-5</v>
      </c>
    </row>
    <row r="27" spans="2:5" ht="14.5" customHeight="1">
      <c r="B27" s="83"/>
      <c r="C27" s="64" t="s">
        <v>232</v>
      </c>
      <c r="D27" s="65">
        <v>3</v>
      </c>
      <c r="E27" s="66">
        <v>8.2419846699E-5</v>
      </c>
    </row>
    <row r="28" spans="2:5" ht="14.5" customHeight="1">
      <c r="B28" s="83"/>
      <c r="C28" s="64" t="s">
        <v>233</v>
      </c>
      <c r="D28" s="65">
        <v>4</v>
      </c>
      <c r="E28" s="66">
        <v>1.09893128932E-4</v>
      </c>
    </row>
    <row r="29" spans="2:5" ht="14.5" customHeight="1">
      <c r="B29" s="83"/>
      <c r="C29" s="64" t="s">
        <v>234</v>
      </c>
      <c r="D29" s="65">
        <v>6</v>
      </c>
      <c r="E29" s="66">
        <v>1.64839693398E-4</v>
      </c>
    </row>
    <row r="30" spans="2:5" ht="14.5" customHeight="1">
      <c r="B30" s="83"/>
      <c r="C30" s="64" t="s">
        <v>235</v>
      </c>
      <c r="D30" s="65">
        <v>37</v>
      </c>
      <c r="E30" s="66">
        <v>1.0165114426219999E-3</v>
      </c>
    </row>
    <row r="31" spans="2:5" ht="14.5" customHeight="1">
      <c r="B31" s="83"/>
      <c r="C31" s="64" t="s">
        <v>236</v>
      </c>
      <c r="D31" s="65">
        <v>107</v>
      </c>
      <c r="E31" s="66">
        <v>2.9396411989340001E-3</v>
      </c>
    </row>
    <row r="32" spans="2:5" ht="14.5" customHeight="1">
      <c r="B32" s="83"/>
      <c r="C32" s="64" t="s">
        <v>237</v>
      </c>
      <c r="D32" s="65">
        <v>26</v>
      </c>
      <c r="E32" s="66">
        <v>7.14305338059E-4</v>
      </c>
    </row>
    <row r="33" spans="2:5" ht="14.5" customHeight="1">
      <c r="B33" s="83"/>
      <c r="C33" s="64" t="s">
        <v>238</v>
      </c>
      <c r="D33" s="65">
        <v>38</v>
      </c>
      <c r="E33" s="66">
        <v>1.043984724855E-3</v>
      </c>
    </row>
    <row r="34" spans="2:5" ht="14.5" customHeight="1">
      <c r="B34" s="83"/>
      <c r="C34" s="64" t="s">
        <v>239</v>
      </c>
      <c r="D34" s="65">
        <v>20</v>
      </c>
      <c r="E34" s="66">
        <v>5.49465644661E-4</v>
      </c>
    </row>
    <row r="35" spans="2:5" ht="14.5" customHeight="1">
      <c r="B35" s="83"/>
      <c r="C35" s="64" t="s">
        <v>240</v>
      </c>
      <c r="D35" s="65">
        <v>538</v>
      </c>
      <c r="E35" s="66">
        <v>1.4780625841368999E-2</v>
      </c>
    </row>
    <row r="36" spans="2:5" ht="14.5" customHeight="1">
      <c r="B36" s="83"/>
      <c r="C36" s="64" t="s">
        <v>241</v>
      </c>
      <c r="D36" s="65">
        <v>41</v>
      </c>
      <c r="E36" s="66">
        <v>1.126404571554E-3</v>
      </c>
    </row>
    <row r="37" spans="2:5" ht="14.5" customHeight="1">
      <c r="B37" s="83"/>
      <c r="C37" s="64" t="s">
        <v>242</v>
      </c>
      <c r="D37" s="65">
        <v>97</v>
      </c>
      <c r="E37" s="66">
        <v>2.6649083766039998E-3</v>
      </c>
    </row>
    <row r="38" spans="2:5" ht="14.5" customHeight="1">
      <c r="B38" s="83"/>
      <c r="C38" s="64" t="s">
        <v>243</v>
      </c>
      <c r="D38" s="65">
        <v>301</v>
      </c>
      <c r="E38" s="66">
        <v>8.2694579521419998E-3</v>
      </c>
    </row>
    <row r="39" spans="2:5" ht="14.5" customHeight="1">
      <c r="B39" s="83"/>
      <c r="C39" s="64" t="s">
        <v>244</v>
      </c>
      <c r="D39" s="65">
        <v>3</v>
      </c>
      <c r="E39" s="66">
        <v>8.2419846699E-5</v>
      </c>
    </row>
    <row r="40" spans="2:5" ht="14.5" customHeight="1">
      <c r="B40" s="83"/>
      <c r="C40" s="64" t="s">
        <v>245</v>
      </c>
      <c r="D40" s="65">
        <v>10</v>
      </c>
      <c r="E40" s="66">
        <v>2.7473282233000002E-4</v>
      </c>
    </row>
    <row r="41" spans="2:5" ht="14.5" customHeight="1">
      <c r="B41" s="83"/>
      <c r="C41" s="64" t="s">
        <v>246</v>
      </c>
      <c r="D41" s="65">
        <v>2</v>
      </c>
      <c r="E41" s="66">
        <v>5.4946564466000002E-5</v>
      </c>
    </row>
    <row r="42" spans="2:5" ht="14.5" customHeight="1">
      <c r="B42" s="83"/>
      <c r="C42" s="64" t="s">
        <v>247</v>
      </c>
      <c r="D42" s="65">
        <v>3</v>
      </c>
      <c r="E42" s="66">
        <v>8.2419846699E-5</v>
      </c>
    </row>
    <row r="43" spans="2:5" ht="14.5" customHeight="1">
      <c r="B43" s="83"/>
      <c r="C43" s="64" t="s">
        <v>248</v>
      </c>
      <c r="D43" s="65">
        <v>28</v>
      </c>
      <c r="E43" s="66">
        <v>7.6925190252500003E-4</v>
      </c>
    </row>
    <row r="44" spans="2:5" ht="14.5" customHeight="1">
      <c r="B44" s="83"/>
      <c r="C44" s="64" t="s">
        <v>249</v>
      </c>
      <c r="D44" s="65">
        <v>44</v>
      </c>
      <c r="E44" s="66">
        <v>1.208824418253E-3</v>
      </c>
    </row>
    <row r="45" spans="2:5" ht="14.5" customHeight="1">
      <c r="B45" s="83"/>
      <c r="C45" s="64" t="s">
        <v>251</v>
      </c>
      <c r="D45" s="65">
        <v>3</v>
      </c>
      <c r="E45" s="66">
        <v>8.2419846699E-5</v>
      </c>
    </row>
    <row r="46" spans="2:5" ht="14.5" customHeight="1">
      <c r="B46" s="82"/>
      <c r="C46" s="36" t="s">
        <v>29</v>
      </c>
      <c r="D46" s="35">
        <v>1321</v>
      </c>
      <c r="E46" s="34">
        <v>3.6292205829829997E-2</v>
      </c>
    </row>
    <row r="47" spans="2:5" ht="14.5" customHeight="1">
      <c r="B47" s="77" t="s">
        <v>65</v>
      </c>
      <c r="C47" s="64" t="s">
        <v>229</v>
      </c>
      <c r="D47" s="65">
        <v>2</v>
      </c>
      <c r="E47" s="66">
        <v>5.4946564466000002E-5</v>
      </c>
    </row>
    <row r="48" spans="2:5" ht="14.5" customHeight="1">
      <c r="B48" s="83"/>
      <c r="C48" s="64" t="s">
        <v>232</v>
      </c>
      <c r="D48" s="65">
        <v>1</v>
      </c>
      <c r="E48" s="66">
        <v>2.7473282233000001E-5</v>
      </c>
    </row>
    <row r="49" spans="2:5" ht="14.5" customHeight="1">
      <c r="B49" s="83"/>
      <c r="C49" s="64" t="s">
        <v>233</v>
      </c>
      <c r="D49" s="65">
        <v>1</v>
      </c>
      <c r="E49" s="66">
        <v>2.7473282233000001E-5</v>
      </c>
    </row>
    <row r="50" spans="2:5" ht="14.5" customHeight="1">
      <c r="B50" s="83"/>
      <c r="C50" s="64" t="s">
        <v>234</v>
      </c>
      <c r="D50" s="65">
        <v>4</v>
      </c>
      <c r="E50" s="66">
        <v>1.09893128932E-4</v>
      </c>
    </row>
    <row r="51" spans="2:5" ht="14.5" customHeight="1">
      <c r="B51" s="83"/>
      <c r="C51" s="64" t="s">
        <v>235</v>
      </c>
      <c r="D51" s="65">
        <v>23</v>
      </c>
      <c r="E51" s="66">
        <v>6.3188549136E-4</v>
      </c>
    </row>
    <row r="52" spans="2:5" ht="14.5" customHeight="1">
      <c r="B52" s="83"/>
      <c r="C52" s="64" t="s">
        <v>236</v>
      </c>
      <c r="D52" s="65">
        <v>38</v>
      </c>
      <c r="E52" s="66">
        <v>1.043984724855E-3</v>
      </c>
    </row>
    <row r="53" spans="2:5" ht="14.5" customHeight="1">
      <c r="B53" s="83"/>
      <c r="C53" s="64" t="s">
        <v>237</v>
      </c>
      <c r="D53" s="65">
        <v>6</v>
      </c>
      <c r="E53" s="66">
        <v>1.64839693398E-4</v>
      </c>
    </row>
    <row r="54" spans="2:5" ht="14.5" customHeight="1">
      <c r="B54" s="83"/>
      <c r="C54" s="64" t="s">
        <v>238</v>
      </c>
      <c r="D54" s="65">
        <v>20</v>
      </c>
      <c r="E54" s="66">
        <v>5.49465644661E-4</v>
      </c>
    </row>
    <row r="55" spans="2:5" ht="14.5" customHeight="1">
      <c r="B55" s="83"/>
      <c r="C55" s="64" t="s">
        <v>239</v>
      </c>
      <c r="D55" s="65">
        <v>31</v>
      </c>
      <c r="E55" s="66">
        <v>8.5167174922400003E-4</v>
      </c>
    </row>
    <row r="56" spans="2:5" ht="14.5" customHeight="1">
      <c r="B56" s="83"/>
      <c r="C56" s="64" t="s">
        <v>240</v>
      </c>
      <c r="D56" s="65">
        <v>162</v>
      </c>
      <c r="E56" s="66">
        <v>4.4506717217509999E-3</v>
      </c>
    </row>
    <row r="57" spans="2:5" ht="14.5" customHeight="1">
      <c r="B57" s="83"/>
      <c r="C57" s="64" t="s">
        <v>241</v>
      </c>
      <c r="D57" s="65">
        <v>19</v>
      </c>
      <c r="E57" s="66">
        <v>5.2199236242800003E-4</v>
      </c>
    </row>
    <row r="58" spans="2:5" ht="14.5" customHeight="1">
      <c r="B58" s="83"/>
      <c r="C58" s="64" t="s">
        <v>242</v>
      </c>
      <c r="D58" s="65">
        <v>41</v>
      </c>
      <c r="E58" s="66">
        <v>1.126404571554E-3</v>
      </c>
    </row>
    <row r="59" spans="2:5" ht="14.5" customHeight="1">
      <c r="B59" s="83"/>
      <c r="C59" s="64" t="s">
        <v>243</v>
      </c>
      <c r="D59" s="65">
        <v>136</v>
      </c>
      <c r="E59" s="66">
        <v>3.7363663836920001E-3</v>
      </c>
    </row>
    <row r="60" spans="2:5" ht="14.5" customHeight="1">
      <c r="B60" s="83"/>
      <c r="C60" s="64" t="s">
        <v>244</v>
      </c>
      <c r="D60" s="65">
        <v>2</v>
      </c>
      <c r="E60" s="66">
        <v>5.4946564466000002E-5</v>
      </c>
    </row>
    <row r="61" spans="2:5" ht="14.5" customHeight="1">
      <c r="B61" s="83"/>
      <c r="C61" s="64" t="s">
        <v>245</v>
      </c>
      <c r="D61" s="65">
        <v>8</v>
      </c>
      <c r="E61" s="66">
        <v>2.1978625786400001E-4</v>
      </c>
    </row>
    <row r="62" spans="2:5" ht="14.5" customHeight="1">
      <c r="B62" s="83"/>
      <c r="C62" s="64" t="s">
        <v>246</v>
      </c>
      <c r="D62" s="65">
        <v>1</v>
      </c>
      <c r="E62" s="66">
        <v>2.7473282233000001E-5</v>
      </c>
    </row>
    <row r="63" spans="2:5" ht="14.5" customHeight="1">
      <c r="B63" s="83"/>
      <c r="C63" s="64" t="s">
        <v>247</v>
      </c>
      <c r="D63" s="65">
        <v>1</v>
      </c>
      <c r="E63" s="66">
        <v>2.7473282233000001E-5</v>
      </c>
    </row>
    <row r="64" spans="2:5" ht="14.5" customHeight="1">
      <c r="B64" s="83"/>
      <c r="C64" s="64" t="s">
        <v>248</v>
      </c>
      <c r="D64" s="65">
        <v>20</v>
      </c>
      <c r="E64" s="66">
        <v>5.49465644661E-4</v>
      </c>
    </row>
    <row r="65" spans="2:5" ht="14.5" customHeight="1">
      <c r="B65" s="83"/>
      <c r="C65" s="64" t="s">
        <v>249</v>
      </c>
      <c r="D65" s="65">
        <v>57</v>
      </c>
      <c r="E65" s="66">
        <v>1.5659770872829999E-3</v>
      </c>
    </row>
    <row r="66" spans="2:5" ht="14.5" customHeight="1">
      <c r="B66" s="83"/>
      <c r="C66" s="64" t="s">
        <v>251</v>
      </c>
      <c r="D66" s="65">
        <v>1</v>
      </c>
      <c r="E66" s="66">
        <v>2.7473282233000001E-5</v>
      </c>
    </row>
    <row r="67" spans="2:5" ht="14.5" customHeight="1">
      <c r="B67" s="83"/>
      <c r="C67" s="64" t="s">
        <v>252</v>
      </c>
      <c r="D67" s="65">
        <v>1</v>
      </c>
      <c r="E67" s="66">
        <v>2.7473282233000001E-5</v>
      </c>
    </row>
    <row r="68" spans="2:5" ht="14.5" customHeight="1">
      <c r="B68" s="82"/>
      <c r="C68" s="36" t="s">
        <v>29</v>
      </c>
      <c r="D68" s="35">
        <v>575</v>
      </c>
      <c r="E68" s="34">
        <v>1.5797137283991E-2</v>
      </c>
    </row>
    <row r="69" spans="2:5" ht="14.5" customHeight="1">
      <c r="B69" s="77" t="s">
        <v>87</v>
      </c>
      <c r="C69" s="64" t="s">
        <v>232</v>
      </c>
      <c r="D69" s="65">
        <v>2</v>
      </c>
      <c r="E69" s="66">
        <v>5.4946564466000002E-5</v>
      </c>
    </row>
    <row r="70" spans="2:5" ht="14.5" customHeight="1">
      <c r="B70" s="83"/>
      <c r="C70" s="64" t="s">
        <v>233</v>
      </c>
      <c r="D70" s="65">
        <v>1</v>
      </c>
      <c r="E70" s="66">
        <v>2.7473282233000001E-5</v>
      </c>
    </row>
    <row r="71" spans="2:5" ht="14.5" customHeight="1">
      <c r="B71" s="83"/>
      <c r="C71" s="64" t="s">
        <v>234</v>
      </c>
      <c r="D71" s="65">
        <v>1</v>
      </c>
      <c r="E71" s="66">
        <v>2.7473282233000001E-5</v>
      </c>
    </row>
    <row r="72" spans="2:5" ht="14.5" customHeight="1">
      <c r="B72" s="83"/>
      <c r="C72" s="64" t="s">
        <v>235</v>
      </c>
      <c r="D72" s="65">
        <v>6</v>
      </c>
      <c r="E72" s="66">
        <v>1.64839693398E-4</v>
      </c>
    </row>
    <row r="73" spans="2:5" ht="14.5" customHeight="1">
      <c r="B73" s="83"/>
      <c r="C73" s="64" t="s">
        <v>236</v>
      </c>
      <c r="D73" s="65">
        <v>18</v>
      </c>
      <c r="E73" s="66">
        <v>4.9451908019499996E-4</v>
      </c>
    </row>
    <row r="74" spans="2:5" ht="14.5" customHeight="1">
      <c r="B74" s="83"/>
      <c r="C74" s="64" t="s">
        <v>238</v>
      </c>
      <c r="D74" s="65">
        <v>3</v>
      </c>
      <c r="E74" s="66">
        <v>8.2419846699E-5</v>
      </c>
    </row>
    <row r="75" spans="2:5" ht="14.5" customHeight="1">
      <c r="B75" s="83"/>
      <c r="C75" s="64" t="s">
        <v>239</v>
      </c>
      <c r="D75" s="65">
        <v>9</v>
      </c>
      <c r="E75" s="66">
        <v>2.47259540097E-4</v>
      </c>
    </row>
    <row r="76" spans="2:5" ht="14.5" customHeight="1">
      <c r="B76" s="83"/>
      <c r="C76" s="64" t="s">
        <v>240</v>
      </c>
      <c r="D76" s="65">
        <v>49</v>
      </c>
      <c r="E76" s="66">
        <v>1.3461908294179999E-3</v>
      </c>
    </row>
    <row r="77" spans="2:5" ht="14.5" customHeight="1">
      <c r="B77" s="83"/>
      <c r="C77" s="64" t="s">
        <v>241</v>
      </c>
      <c r="D77" s="65">
        <v>1</v>
      </c>
      <c r="E77" s="66">
        <v>2.7473282233000001E-5</v>
      </c>
    </row>
    <row r="78" spans="2:5" ht="14.5" customHeight="1">
      <c r="B78" s="83"/>
      <c r="C78" s="64" t="s">
        <v>242</v>
      </c>
      <c r="D78" s="65">
        <v>11</v>
      </c>
      <c r="E78" s="66">
        <v>3.0220610456299998E-4</v>
      </c>
    </row>
    <row r="79" spans="2:5" ht="14.5" customHeight="1">
      <c r="B79" s="83"/>
      <c r="C79" s="64" t="s">
        <v>243</v>
      </c>
      <c r="D79" s="65">
        <v>44</v>
      </c>
      <c r="E79" s="66">
        <v>1.208824418253E-3</v>
      </c>
    </row>
    <row r="80" spans="2:5" ht="14.5" customHeight="1">
      <c r="B80" s="83"/>
      <c r="C80" s="64" t="s">
        <v>244</v>
      </c>
      <c r="D80" s="65">
        <v>2</v>
      </c>
      <c r="E80" s="66">
        <v>5.4946564466000002E-5</v>
      </c>
    </row>
    <row r="81" spans="2:5" ht="14.5" customHeight="1">
      <c r="B81" s="83"/>
      <c r="C81" s="64" t="s">
        <v>246</v>
      </c>
      <c r="D81" s="65">
        <v>1</v>
      </c>
      <c r="E81" s="66">
        <v>2.7473282233000001E-5</v>
      </c>
    </row>
    <row r="82" spans="2:5" ht="14.5" customHeight="1">
      <c r="B82" s="83"/>
      <c r="C82" s="64" t="s">
        <v>248</v>
      </c>
      <c r="D82" s="65">
        <v>2</v>
      </c>
      <c r="E82" s="66">
        <v>5.4946564466000002E-5</v>
      </c>
    </row>
    <row r="83" spans="2:5" ht="14.5" customHeight="1">
      <c r="B83" s="83"/>
      <c r="C83" s="64" t="s">
        <v>249</v>
      </c>
      <c r="D83" s="65">
        <v>13</v>
      </c>
      <c r="E83" s="66">
        <v>3.5715266902900002E-4</v>
      </c>
    </row>
    <row r="84" spans="2:5" ht="14.5" customHeight="1">
      <c r="B84" s="83"/>
      <c r="C84" s="64" t="s">
        <v>251</v>
      </c>
      <c r="D84" s="65">
        <v>3</v>
      </c>
      <c r="E84" s="66">
        <v>8.2419846699E-5</v>
      </c>
    </row>
    <row r="85" spans="2:5" ht="14.5" customHeight="1">
      <c r="B85" s="82"/>
      <c r="C85" s="36" t="s">
        <v>29</v>
      </c>
      <c r="D85" s="35">
        <v>166</v>
      </c>
      <c r="E85" s="34">
        <v>4.5605648506830002E-3</v>
      </c>
    </row>
    <row r="86" spans="2:5" ht="14.5" customHeight="1">
      <c r="B86" s="77" t="s">
        <v>86</v>
      </c>
      <c r="C86" s="64" t="s">
        <v>229</v>
      </c>
      <c r="D86" s="65">
        <v>1</v>
      </c>
      <c r="E86" s="66">
        <v>2.7473282233000001E-5</v>
      </c>
    </row>
    <row r="87" spans="2:5" ht="14.5" customHeight="1">
      <c r="B87" s="83"/>
      <c r="C87" s="64" t="s">
        <v>233</v>
      </c>
      <c r="D87" s="65">
        <v>2</v>
      </c>
      <c r="E87" s="66">
        <v>5.4946564466000002E-5</v>
      </c>
    </row>
    <row r="88" spans="2:5" ht="14.5" customHeight="1">
      <c r="B88" s="83"/>
      <c r="C88" s="64" t="s">
        <v>235</v>
      </c>
      <c r="D88" s="65">
        <v>4</v>
      </c>
      <c r="E88" s="66">
        <v>1.09893128932E-4</v>
      </c>
    </row>
    <row r="89" spans="2:5" ht="14.5" customHeight="1">
      <c r="B89" s="83"/>
      <c r="C89" s="64" t="s">
        <v>236</v>
      </c>
      <c r="D89" s="65">
        <v>17</v>
      </c>
      <c r="E89" s="66">
        <v>4.6704579796099998E-4</v>
      </c>
    </row>
    <row r="90" spans="2:5" ht="14.5" customHeight="1">
      <c r="B90" s="83"/>
      <c r="C90" s="64" t="s">
        <v>237</v>
      </c>
      <c r="D90" s="65">
        <v>2</v>
      </c>
      <c r="E90" s="66">
        <v>5.4946564466000002E-5</v>
      </c>
    </row>
    <row r="91" spans="2:5" ht="14.5" customHeight="1">
      <c r="B91" s="83"/>
      <c r="C91" s="64" t="s">
        <v>238</v>
      </c>
      <c r="D91" s="65">
        <v>3</v>
      </c>
      <c r="E91" s="66">
        <v>8.2419846699E-5</v>
      </c>
    </row>
    <row r="92" spans="2:5" ht="14.5" customHeight="1">
      <c r="B92" s="83"/>
      <c r="C92" s="64" t="s">
        <v>239</v>
      </c>
      <c r="D92" s="65">
        <v>4</v>
      </c>
      <c r="E92" s="66">
        <v>1.09893128932E-4</v>
      </c>
    </row>
    <row r="93" spans="2:5" ht="14.5" customHeight="1">
      <c r="B93" s="83"/>
      <c r="C93" s="64" t="s">
        <v>240</v>
      </c>
      <c r="D93" s="65">
        <v>50</v>
      </c>
      <c r="E93" s="66">
        <v>1.373664111651E-3</v>
      </c>
    </row>
    <row r="94" spans="2:5" ht="14.5" customHeight="1">
      <c r="B94" s="83"/>
      <c r="C94" s="64" t="s">
        <v>242</v>
      </c>
      <c r="D94" s="65">
        <v>13</v>
      </c>
      <c r="E94" s="66">
        <v>3.5715266902900002E-4</v>
      </c>
    </row>
    <row r="95" spans="2:5" ht="14.5" customHeight="1">
      <c r="B95" s="83"/>
      <c r="C95" s="64" t="s">
        <v>243</v>
      </c>
      <c r="D95" s="65">
        <v>41</v>
      </c>
      <c r="E95" s="66">
        <v>1.126404571554E-3</v>
      </c>
    </row>
    <row r="96" spans="2:5" ht="14.5" customHeight="1">
      <c r="B96" s="83"/>
      <c r="C96" s="64" t="s">
        <v>245</v>
      </c>
      <c r="D96" s="65">
        <v>3</v>
      </c>
      <c r="E96" s="66">
        <v>8.2419846699E-5</v>
      </c>
    </row>
    <row r="97" spans="2:5" ht="14.5" customHeight="1">
      <c r="B97" s="83"/>
      <c r="C97" s="64" t="s">
        <v>246</v>
      </c>
      <c r="D97" s="65">
        <v>2</v>
      </c>
      <c r="E97" s="66">
        <v>5.4946564466000002E-5</v>
      </c>
    </row>
    <row r="98" spans="2:5" ht="14.5" customHeight="1">
      <c r="B98" s="83"/>
      <c r="C98" s="64" t="s">
        <v>248</v>
      </c>
      <c r="D98" s="65">
        <v>3</v>
      </c>
      <c r="E98" s="66">
        <v>8.2419846699E-5</v>
      </c>
    </row>
    <row r="99" spans="2:5" ht="14.5" customHeight="1">
      <c r="B99" s="83"/>
      <c r="C99" s="64" t="s">
        <v>249</v>
      </c>
      <c r="D99" s="65">
        <v>23</v>
      </c>
      <c r="E99" s="66">
        <v>6.3188549136E-4</v>
      </c>
    </row>
    <row r="100" spans="2:5" ht="14.5" customHeight="1">
      <c r="B100" s="83"/>
      <c r="C100" s="64" t="s">
        <v>251</v>
      </c>
      <c r="D100" s="65">
        <v>10</v>
      </c>
      <c r="E100" s="66">
        <v>2.7473282233000002E-4</v>
      </c>
    </row>
    <row r="101" spans="2:5" ht="14.5" customHeight="1">
      <c r="B101" s="83"/>
      <c r="C101" s="64" t="s">
        <v>252</v>
      </c>
      <c r="D101" s="65">
        <v>1</v>
      </c>
      <c r="E101" s="66">
        <v>2.7473282233000001E-5</v>
      </c>
    </row>
    <row r="102" spans="2:5" ht="14.5" customHeight="1">
      <c r="B102" s="82"/>
      <c r="C102" s="36" t="s">
        <v>29</v>
      </c>
      <c r="D102" s="35">
        <v>179</v>
      </c>
      <c r="E102" s="34">
        <v>4.9177175197120003E-3</v>
      </c>
    </row>
    <row r="103" spans="2:5" ht="14.5" customHeight="1">
      <c r="B103" s="77" t="s">
        <v>91</v>
      </c>
      <c r="C103" s="64" t="s">
        <v>232</v>
      </c>
      <c r="D103" s="65">
        <v>1</v>
      </c>
      <c r="E103" s="66">
        <v>2.7473282233000001E-5</v>
      </c>
    </row>
    <row r="104" spans="2:5" ht="14.5" customHeight="1">
      <c r="B104" s="83"/>
      <c r="C104" s="64" t="s">
        <v>235</v>
      </c>
      <c r="D104" s="65">
        <v>2</v>
      </c>
      <c r="E104" s="66">
        <v>5.4946564466000002E-5</v>
      </c>
    </row>
    <row r="105" spans="2:5" ht="14.5" customHeight="1">
      <c r="B105" s="83"/>
      <c r="C105" s="64" t="s">
        <v>236</v>
      </c>
      <c r="D105" s="65">
        <v>2</v>
      </c>
      <c r="E105" s="66">
        <v>5.4946564466000002E-5</v>
      </c>
    </row>
    <row r="106" spans="2:5" ht="14.5" customHeight="1">
      <c r="B106" s="83"/>
      <c r="C106" s="64" t="s">
        <v>237</v>
      </c>
      <c r="D106" s="65">
        <v>1</v>
      </c>
      <c r="E106" s="66">
        <v>2.7473282233000001E-5</v>
      </c>
    </row>
    <row r="107" spans="2:5" ht="14.5" customHeight="1">
      <c r="B107" s="83"/>
      <c r="C107" s="64" t="s">
        <v>238</v>
      </c>
      <c r="D107" s="65">
        <v>5</v>
      </c>
      <c r="E107" s="66">
        <v>1.3736641116500001E-4</v>
      </c>
    </row>
    <row r="108" spans="2:5" ht="14.5" customHeight="1">
      <c r="B108" s="83"/>
      <c r="C108" s="64" t="s">
        <v>239</v>
      </c>
      <c r="D108" s="65">
        <v>8</v>
      </c>
      <c r="E108" s="66">
        <v>2.1978625786400001E-4</v>
      </c>
    </row>
    <row r="109" spans="2:5" ht="14.5" customHeight="1">
      <c r="B109" s="83"/>
      <c r="C109" s="64" t="s">
        <v>240</v>
      </c>
      <c r="D109" s="65">
        <v>18</v>
      </c>
      <c r="E109" s="66">
        <v>4.9451908019499996E-4</v>
      </c>
    </row>
    <row r="110" spans="2:5" ht="14.5" customHeight="1">
      <c r="B110" s="83"/>
      <c r="C110" s="64" t="s">
        <v>241</v>
      </c>
      <c r="D110" s="65">
        <v>4</v>
      </c>
      <c r="E110" s="66">
        <v>1.09893128932E-4</v>
      </c>
    </row>
    <row r="111" spans="2:5" ht="14.5" customHeight="1">
      <c r="B111" s="83"/>
      <c r="C111" s="64" t="s">
        <v>242</v>
      </c>
      <c r="D111" s="65">
        <v>7</v>
      </c>
      <c r="E111" s="66">
        <v>1.9231297563099999E-4</v>
      </c>
    </row>
    <row r="112" spans="2:5" ht="14.5" customHeight="1">
      <c r="B112" s="83"/>
      <c r="C112" s="64" t="s">
        <v>243</v>
      </c>
      <c r="D112" s="65">
        <v>35</v>
      </c>
      <c r="E112" s="66">
        <v>9.61564878156E-4</v>
      </c>
    </row>
    <row r="113" spans="2:5" ht="14.5" customHeight="1">
      <c r="B113" s="83"/>
      <c r="C113" s="64" t="s">
        <v>245</v>
      </c>
      <c r="D113" s="65">
        <v>1</v>
      </c>
      <c r="E113" s="66">
        <v>2.7473282233000001E-5</v>
      </c>
    </row>
    <row r="114" spans="2:5" ht="14.5" customHeight="1">
      <c r="B114" s="83"/>
      <c r="C114" s="64" t="s">
        <v>247</v>
      </c>
      <c r="D114" s="65">
        <v>1</v>
      </c>
      <c r="E114" s="66">
        <v>2.7473282233000001E-5</v>
      </c>
    </row>
    <row r="115" spans="2:5" ht="14.5" customHeight="1">
      <c r="B115" s="83"/>
      <c r="C115" s="64" t="s">
        <v>248</v>
      </c>
      <c r="D115" s="65">
        <v>3</v>
      </c>
      <c r="E115" s="66">
        <v>8.2419846699E-5</v>
      </c>
    </row>
    <row r="116" spans="2:5" ht="14.5" customHeight="1">
      <c r="B116" s="83"/>
      <c r="C116" s="64" t="s">
        <v>249</v>
      </c>
      <c r="D116" s="65">
        <v>15</v>
      </c>
      <c r="E116" s="66">
        <v>4.12099233495E-4</v>
      </c>
    </row>
    <row r="117" spans="2:5" ht="14.5" customHeight="1">
      <c r="B117" s="83"/>
      <c r="C117" s="64" t="s">
        <v>251</v>
      </c>
      <c r="D117" s="65">
        <v>3</v>
      </c>
      <c r="E117" s="66">
        <v>8.2419846699E-5</v>
      </c>
    </row>
    <row r="118" spans="2:5" ht="14.5" customHeight="1">
      <c r="B118" s="82"/>
      <c r="C118" s="36" t="s">
        <v>29</v>
      </c>
      <c r="D118" s="35">
        <v>106</v>
      </c>
      <c r="E118" s="34">
        <v>2.9121679167010001E-3</v>
      </c>
    </row>
    <row r="119" spans="2:5" ht="14.5" customHeight="1">
      <c r="B119" s="77" t="s">
        <v>96</v>
      </c>
      <c r="C119" s="64" t="s">
        <v>240</v>
      </c>
      <c r="D119" s="65">
        <v>3</v>
      </c>
      <c r="E119" s="66">
        <v>8.2419846699E-5</v>
      </c>
    </row>
    <row r="120" spans="2:5" ht="14.5" customHeight="1">
      <c r="B120" s="83"/>
      <c r="C120" s="64" t="s">
        <v>241</v>
      </c>
      <c r="D120" s="65">
        <v>1</v>
      </c>
      <c r="E120" s="66">
        <v>2.7473282233000001E-5</v>
      </c>
    </row>
    <row r="121" spans="2:5" ht="14.5" customHeight="1">
      <c r="B121" s="83"/>
      <c r="C121" s="64" t="s">
        <v>243</v>
      </c>
      <c r="D121" s="65">
        <v>6</v>
      </c>
      <c r="E121" s="66">
        <v>1.64839693398E-4</v>
      </c>
    </row>
    <row r="122" spans="2:5" ht="14.5" customHeight="1">
      <c r="B122" s="83"/>
      <c r="C122" s="64" t="s">
        <v>248</v>
      </c>
      <c r="D122" s="65">
        <v>1</v>
      </c>
      <c r="E122" s="66">
        <v>2.7473282233000001E-5</v>
      </c>
    </row>
    <row r="123" spans="2:5" ht="14.5" customHeight="1">
      <c r="B123" s="83"/>
      <c r="C123" s="64" t="s">
        <v>249</v>
      </c>
      <c r="D123" s="65">
        <v>2</v>
      </c>
      <c r="E123" s="66">
        <v>5.4946564466000002E-5</v>
      </c>
    </row>
    <row r="124" spans="2:5" ht="14.5" customHeight="1">
      <c r="B124" s="83"/>
      <c r="C124" s="64" t="s">
        <v>251</v>
      </c>
      <c r="D124" s="65">
        <v>1</v>
      </c>
      <c r="E124" s="66">
        <v>2.7473282233000001E-5</v>
      </c>
    </row>
    <row r="125" spans="2:5" ht="14.5" customHeight="1">
      <c r="B125" s="82"/>
      <c r="C125" s="36" t="s">
        <v>29</v>
      </c>
      <c r="D125" s="35">
        <v>14</v>
      </c>
      <c r="E125" s="34">
        <v>3.8462595126199998E-4</v>
      </c>
    </row>
    <row r="126" spans="2:5" ht="14.5" customHeight="1">
      <c r="B126" s="77" t="s">
        <v>50</v>
      </c>
      <c r="C126" s="64" t="s">
        <v>229</v>
      </c>
      <c r="D126" s="65">
        <v>20</v>
      </c>
      <c r="E126" s="66">
        <v>5.49465644661E-4</v>
      </c>
    </row>
    <row r="127" spans="2:5" ht="14.5" customHeight="1">
      <c r="B127" s="83"/>
      <c r="C127" s="64" t="s">
        <v>230</v>
      </c>
      <c r="D127" s="65">
        <v>6</v>
      </c>
      <c r="E127" s="66">
        <v>1.64839693398E-4</v>
      </c>
    </row>
    <row r="128" spans="2:5" ht="14.5" customHeight="1">
      <c r="B128" s="83"/>
      <c r="C128" s="64" t="s">
        <v>231</v>
      </c>
      <c r="D128" s="65">
        <v>7</v>
      </c>
      <c r="E128" s="66">
        <v>1.9231297563099999E-4</v>
      </c>
    </row>
    <row r="129" spans="2:5" ht="14.5" customHeight="1">
      <c r="B129" s="83"/>
      <c r="C129" s="64" t="s">
        <v>232</v>
      </c>
      <c r="D129" s="65">
        <v>14</v>
      </c>
      <c r="E129" s="66">
        <v>3.8462595126199998E-4</v>
      </c>
    </row>
    <row r="130" spans="2:5" ht="14.5" customHeight="1">
      <c r="B130" s="83"/>
      <c r="C130" s="64" t="s">
        <v>233</v>
      </c>
      <c r="D130" s="65">
        <v>13</v>
      </c>
      <c r="E130" s="66">
        <v>3.5715266902900002E-4</v>
      </c>
    </row>
    <row r="131" spans="2:5" ht="14.5" customHeight="1">
      <c r="B131" s="83"/>
      <c r="C131" s="64" t="s">
        <v>234</v>
      </c>
      <c r="D131" s="65">
        <v>17</v>
      </c>
      <c r="E131" s="66">
        <v>4.6704579796099998E-4</v>
      </c>
    </row>
    <row r="132" spans="2:5" ht="14.5" customHeight="1">
      <c r="B132" s="83"/>
      <c r="C132" s="64" t="s">
        <v>235</v>
      </c>
      <c r="D132" s="65">
        <v>159</v>
      </c>
      <c r="E132" s="66">
        <v>4.3682518750519997E-3</v>
      </c>
    </row>
    <row r="133" spans="2:5" ht="14.5" customHeight="1">
      <c r="B133" s="83"/>
      <c r="C133" s="64" t="s">
        <v>236</v>
      </c>
      <c r="D133" s="65">
        <v>638</v>
      </c>
      <c r="E133" s="66">
        <v>1.7527954064671999E-2</v>
      </c>
    </row>
    <row r="134" spans="2:5" ht="14.5" customHeight="1">
      <c r="B134" s="83"/>
      <c r="C134" s="64" t="s">
        <v>237</v>
      </c>
      <c r="D134" s="65">
        <v>30</v>
      </c>
      <c r="E134" s="66">
        <v>8.2419846699099996E-4</v>
      </c>
    </row>
    <row r="135" spans="2:5" ht="14.5" customHeight="1">
      <c r="B135" s="83"/>
      <c r="C135" s="64" t="s">
        <v>238</v>
      </c>
      <c r="D135" s="65">
        <v>71</v>
      </c>
      <c r="E135" s="66">
        <v>1.9506030385450001E-3</v>
      </c>
    </row>
    <row r="136" spans="2:5" ht="14.5" customHeight="1">
      <c r="B136" s="83"/>
      <c r="C136" s="64" t="s">
        <v>239</v>
      </c>
      <c r="D136" s="65">
        <v>132</v>
      </c>
      <c r="E136" s="66">
        <v>3.6264732547599998E-3</v>
      </c>
    </row>
    <row r="137" spans="2:5" ht="14.5" customHeight="1">
      <c r="B137" s="83"/>
      <c r="C137" s="64" t="s">
        <v>240</v>
      </c>
      <c r="D137" s="65">
        <v>2349</v>
      </c>
      <c r="E137" s="66">
        <v>6.4534739965384003E-2</v>
      </c>
    </row>
    <row r="138" spans="2:5" ht="14.5" customHeight="1">
      <c r="B138" s="83"/>
      <c r="C138" s="64" t="s">
        <v>241</v>
      </c>
      <c r="D138" s="65">
        <v>157</v>
      </c>
      <c r="E138" s="66">
        <v>4.3133053105850003E-3</v>
      </c>
    </row>
    <row r="139" spans="2:5" ht="14.5" customHeight="1">
      <c r="B139" s="83"/>
      <c r="C139" s="64" t="s">
        <v>242</v>
      </c>
      <c r="D139" s="65">
        <v>310</v>
      </c>
      <c r="E139" s="66">
        <v>8.5167174922389996E-3</v>
      </c>
    </row>
    <row r="140" spans="2:5" ht="14.5" customHeight="1">
      <c r="B140" s="83"/>
      <c r="C140" s="64" t="s">
        <v>243</v>
      </c>
      <c r="D140" s="65">
        <v>1616</v>
      </c>
      <c r="E140" s="66">
        <v>4.4396824088573997E-2</v>
      </c>
    </row>
    <row r="141" spans="2:5" ht="14.5" customHeight="1">
      <c r="B141" s="83"/>
      <c r="C141" s="64" t="s">
        <v>244</v>
      </c>
      <c r="D141" s="65">
        <v>25</v>
      </c>
      <c r="E141" s="66">
        <v>6.8683205582600003E-4</v>
      </c>
    </row>
    <row r="142" spans="2:5" ht="14.5" customHeight="1">
      <c r="B142" s="83"/>
      <c r="C142" s="64" t="s">
        <v>245</v>
      </c>
      <c r="D142" s="65">
        <v>32</v>
      </c>
      <c r="E142" s="66">
        <v>8.79145031457E-4</v>
      </c>
    </row>
    <row r="143" spans="2:5" ht="14.5" customHeight="1">
      <c r="B143" s="83"/>
      <c r="C143" s="64" t="s">
        <v>246</v>
      </c>
      <c r="D143" s="65">
        <v>16</v>
      </c>
      <c r="E143" s="66">
        <v>4.3957251572800002E-4</v>
      </c>
    </row>
    <row r="144" spans="2:5" ht="14.5" customHeight="1">
      <c r="B144" s="83"/>
      <c r="C144" s="64" t="s">
        <v>247</v>
      </c>
      <c r="D144" s="65">
        <v>2</v>
      </c>
      <c r="E144" s="66">
        <v>5.4946564466000002E-5</v>
      </c>
    </row>
    <row r="145" spans="2:5" ht="14.5" customHeight="1">
      <c r="B145" s="83"/>
      <c r="C145" s="64" t="s">
        <v>248</v>
      </c>
      <c r="D145" s="65">
        <v>131</v>
      </c>
      <c r="E145" s="66">
        <v>3.5989999725270002E-3</v>
      </c>
    </row>
    <row r="146" spans="2:5" ht="14.5" customHeight="1">
      <c r="B146" s="83"/>
      <c r="C146" s="64" t="s">
        <v>249</v>
      </c>
      <c r="D146" s="65">
        <v>401</v>
      </c>
      <c r="E146" s="66">
        <v>1.1016786175444E-2</v>
      </c>
    </row>
    <row r="147" spans="2:5" ht="14.5" customHeight="1">
      <c r="B147" s="83"/>
      <c r="C147" s="64" t="s">
        <v>250</v>
      </c>
      <c r="D147" s="65">
        <v>1</v>
      </c>
      <c r="E147" s="66">
        <v>2.7473282233000001E-5</v>
      </c>
    </row>
    <row r="148" spans="2:5" ht="14.5" customHeight="1">
      <c r="B148" s="83"/>
      <c r="C148" s="64" t="s">
        <v>251</v>
      </c>
      <c r="D148" s="65">
        <v>18</v>
      </c>
      <c r="E148" s="66">
        <v>4.9451908019499996E-4</v>
      </c>
    </row>
    <row r="149" spans="2:5" ht="14.5" customHeight="1">
      <c r="B149" s="82"/>
      <c r="C149" s="36" t="s">
        <v>29</v>
      </c>
      <c r="D149" s="35">
        <v>6165</v>
      </c>
      <c r="E149" s="34">
        <v>0.16937278496662</v>
      </c>
    </row>
    <row r="150" spans="2:5" ht="14.5" customHeight="1">
      <c r="B150" s="77" t="s">
        <v>53</v>
      </c>
      <c r="C150" s="64" t="s">
        <v>229</v>
      </c>
      <c r="D150" s="65">
        <v>10</v>
      </c>
      <c r="E150" s="66">
        <v>2.7473282233000002E-4</v>
      </c>
    </row>
    <row r="151" spans="2:5" ht="14.5" customHeight="1">
      <c r="B151" s="83"/>
      <c r="C151" s="64" t="s">
        <v>230</v>
      </c>
      <c r="D151" s="65">
        <v>6</v>
      </c>
      <c r="E151" s="66">
        <v>1.64839693398E-4</v>
      </c>
    </row>
    <row r="152" spans="2:5" ht="14.5" customHeight="1">
      <c r="B152" s="83"/>
      <c r="C152" s="64" t="s">
        <v>231</v>
      </c>
      <c r="D152" s="65">
        <v>7</v>
      </c>
      <c r="E152" s="66">
        <v>1.9231297563099999E-4</v>
      </c>
    </row>
    <row r="153" spans="2:5" ht="14.5" customHeight="1">
      <c r="B153" s="83"/>
      <c r="C153" s="64" t="s">
        <v>232</v>
      </c>
      <c r="D153" s="65">
        <v>12</v>
      </c>
      <c r="E153" s="66">
        <v>3.29679386796E-4</v>
      </c>
    </row>
    <row r="154" spans="2:5" ht="14.5" customHeight="1">
      <c r="B154" s="83"/>
      <c r="C154" s="64" t="s">
        <v>233</v>
      </c>
      <c r="D154" s="65">
        <v>9</v>
      </c>
      <c r="E154" s="66">
        <v>2.47259540097E-4</v>
      </c>
    </row>
    <row r="155" spans="2:5" ht="14.5" customHeight="1">
      <c r="B155" s="83"/>
      <c r="C155" s="64" t="s">
        <v>234</v>
      </c>
      <c r="D155" s="65">
        <v>7</v>
      </c>
      <c r="E155" s="66">
        <v>1.9231297563099999E-4</v>
      </c>
    </row>
    <row r="156" spans="2:5" ht="14.5" customHeight="1">
      <c r="B156" s="83"/>
      <c r="C156" s="64" t="s">
        <v>235</v>
      </c>
      <c r="D156" s="65">
        <v>90</v>
      </c>
      <c r="E156" s="66">
        <v>2.4725954009730002E-3</v>
      </c>
    </row>
    <row r="157" spans="2:5" ht="14.5" customHeight="1">
      <c r="B157" s="83"/>
      <c r="C157" s="64" t="s">
        <v>236</v>
      </c>
      <c r="D157" s="65">
        <v>163</v>
      </c>
      <c r="E157" s="66">
        <v>4.478145003984E-3</v>
      </c>
    </row>
    <row r="158" spans="2:5" ht="14.5" customHeight="1">
      <c r="B158" s="83"/>
      <c r="C158" s="64" t="s">
        <v>237</v>
      </c>
      <c r="D158" s="65">
        <v>17</v>
      </c>
      <c r="E158" s="66">
        <v>4.6704579796099998E-4</v>
      </c>
    </row>
    <row r="159" spans="2:5" ht="14.5" customHeight="1">
      <c r="B159" s="83"/>
      <c r="C159" s="64" t="s">
        <v>238</v>
      </c>
      <c r="D159" s="65">
        <v>49</v>
      </c>
      <c r="E159" s="66">
        <v>1.3461908294179999E-3</v>
      </c>
    </row>
    <row r="160" spans="2:5" ht="14.5" customHeight="1">
      <c r="B160" s="83"/>
      <c r="C160" s="64" t="s">
        <v>239</v>
      </c>
      <c r="D160" s="65">
        <v>88</v>
      </c>
      <c r="E160" s="66">
        <v>2.417648836506E-3</v>
      </c>
    </row>
    <row r="161" spans="2:5" ht="14.5" customHeight="1">
      <c r="B161" s="83"/>
      <c r="C161" s="64" t="s">
        <v>240</v>
      </c>
      <c r="D161" s="65">
        <v>964</v>
      </c>
      <c r="E161" s="66">
        <v>2.6484244072639E-2</v>
      </c>
    </row>
    <row r="162" spans="2:5" ht="14.5" customHeight="1">
      <c r="B162" s="83"/>
      <c r="C162" s="64" t="s">
        <v>241</v>
      </c>
      <c r="D162" s="65">
        <v>61</v>
      </c>
      <c r="E162" s="66">
        <v>1.675870216215E-3</v>
      </c>
    </row>
    <row r="163" spans="2:5" ht="14.5" customHeight="1">
      <c r="B163" s="83"/>
      <c r="C163" s="64" t="s">
        <v>242</v>
      </c>
      <c r="D163" s="65">
        <v>167</v>
      </c>
      <c r="E163" s="66">
        <v>4.5880381329160003E-3</v>
      </c>
    </row>
    <row r="164" spans="2:5" ht="14.5" customHeight="1">
      <c r="B164" s="83"/>
      <c r="C164" s="64" t="s">
        <v>243</v>
      </c>
      <c r="D164" s="65">
        <v>730</v>
      </c>
      <c r="E164" s="66">
        <v>2.0055496030111E-2</v>
      </c>
    </row>
    <row r="165" spans="2:5" ht="14.5" customHeight="1">
      <c r="B165" s="83"/>
      <c r="C165" s="64" t="s">
        <v>244</v>
      </c>
      <c r="D165" s="65">
        <v>13</v>
      </c>
      <c r="E165" s="66">
        <v>3.5715266902900002E-4</v>
      </c>
    </row>
    <row r="166" spans="2:5" ht="14.5" customHeight="1">
      <c r="B166" s="83"/>
      <c r="C166" s="64" t="s">
        <v>245</v>
      </c>
      <c r="D166" s="65">
        <v>13</v>
      </c>
      <c r="E166" s="66">
        <v>3.5715266902900002E-4</v>
      </c>
    </row>
    <row r="167" spans="2:5" ht="14.5" customHeight="1">
      <c r="B167" s="83"/>
      <c r="C167" s="64" t="s">
        <v>246</v>
      </c>
      <c r="D167" s="65">
        <v>6</v>
      </c>
      <c r="E167" s="66">
        <v>1.64839693398E-4</v>
      </c>
    </row>
    <row r="168" spans="2:5" ht="14.5" customHeight="1">
      <c r="B168" s="83"/>
      <c r="C168" s="64" t="s">
        <v>247</v>
      </c>
      <c r="D168" s="65">
        <v>4</v>
      </c>
      <c r="E168" s="66">
        <v>1.09893128932E-4</v>
      </c>
    </row>
    <row r="169" spans="2:5" ht="14.5" customHeight="1">
      <c r="B169" s="83"/>
      <c r="C169" s="64" t="s">
        <v>248</v>
      </c>
      <c r="D169" s="65">
        <v>48</v>
      </c>
      <c r="E169" s="66">
        <v>1.3187175471850001E-3</v>
      </c>
    </row>
    <row r="170" spans="2:5" ht="14.5" customHeight="1">
      <c r="B170" s="83"/>
      <c r="C170" s="64" t="s">
        <v>249</v>
      </c>
      <c r="D170" s="65">
        <v>139</v>
      </c>
      <c r="E170" s="66">
        <v>3.8187862303909999E-3</v>
      </c>
    </row>
    <row r="171" spans="2:5" ht="14.5" customHeight="1">
      <c r="B171" s="83"/>
      <c r="C171" s="64" t="s">
        <v>251</v>
      </c>
      <c r="D171" s="65">
        <v>8</v>
      </c>
      <c r="E171" s="66">
        <v>2.1978625786400001E-4</v>
      </c>
    </row>
    <row r="172" spans="2:5" ht="14.5" customHeight="1">
      <c r="B172" s="83"/>
      <c r="C172" s="64" t="s">
        <v>252</v>
      </c>
      <c r="D172" s="65">
        <v>2</v>
      </c>
      <c r="E172" s="66">
        <v>5.4946564466000002E-5</v>
      </c>
    </row>
    <row r="173" spans="2:5" ht="14.5" customHeight="1">
      <c r="B173" s="82"/>
      <c r="C173" s="36" t="s">
        <v>29</v>
      </c>
      <c r="D173" s="35">
        <v>2613</v>
      </c>
      <c r="E173" s="34">
        <v>7.1787686474902995E-2</v>
      </c>
    </row>
    <row r="174" spans="2:5" ht="14.5" customHeight="1">
      <c r="B174" s="77" t="s">
        <v>97</v>
      </c>
      <c r="C174" s="64" t="s">
        <v>237</v>
      </c>
      <c r="D174" s="65">
        <v>1</v>
      </c>
      <c r="E174" s="66">
        <v>2.7473282233000001E-5</v>
      </c>
    </row>
    <row r="175" spans="2:5" ht="14.5" customHeight="1">
      <c r="B175" s="83"/>
      <c r="C175" s="64" t="s">
        <v>242</v>
      </c>
      <c r="D175" s="65">
        <v>2</v>
      </c>
      <c r="E175" s="66">
        <v>5.4946564466000002E-5</v>
      </c>
    </row>
    <row r="176" spans="2:5" ht="14.5" customHeight="1">
      <c r="B176" s="83"/>
      <c r="C176" s="64" t="s">
        <v>243</v>
      </c>
      <c r="D176" s="65">
        <v>1</v>
      </c>
      <c r="E176" s="66">
        <v>2.7473282233000001E-5</v>
      </c>
    </row>
    <row r="177" spans="2:5" ht="14.5" customHeight="1">
      <c r="B177" s="83"/>
      <c r="C177" s="64" t="s">
        <v>249</v>
      </c>
      <c r="D177" s="65">
        <v>3</v>
      </c>
      <c r="E177" s="66">
        <v>8.2419846699E-5</v>
      </c>
    </row>
    <row r="178" spans="2:5" ht="14.5" customHeight="1">
      <c r="B178" s="82"/>
      <c r="C178" s="36" t="s">
        <v>29</v>
      </c>
      <c r="D178" s="35">
        <v>7</v>
      </c>
      <c r="E178" s="34">
        <v>1.9231297563099999E-4</v>
      </c>
    </row>
    <row r="179" spans="2:5" ht="14.5" customHeight="1">
      <c r="B179" s="77" t="s">
        <v>75</v>
      </c>
      <c r="C179" s="64" t="s">
        <v>229</v>
      </c>
      <c r="D179" s="65">
        <v>4</v>
      </c>
      <c r="E179" s="66">
        <v>1.09893128932E-4</v>
      </c>
    </row>
    <row r="180" spans="2:5" ht="14.5" customHeight="1">
      <c r="B180" s="83"/>
      <c r="C180" s="64" t="s">
        <v>231</v>
      </c>
      <c r="D180" s="65">
        <v>1</v>
      </c>
      <c r="E180" s="66">
        <v>2.7473282233000001E-5</v>
      </c>
    </row>
    <row r="181" spans="2:5" ht="14.5" customHeight="1">
      <c r="B181" s="83"/>
      <c r="C181" s="64" t="s">
        <v>232</v>
      </c>
      <c r="D181" s="65">
        <v>2</v>
      </c>
      <c r="E181" s="66">
        <v>5.4946564466000002E-5</v>
      </c>
    </row>
    <row r="182" spans="2:5" ht="14.5" customHeight="1">
      <c r="B182" s="83"/>
      <c r="C182" s="64" t="s">
        <v>234</v>
      </c>
      <c r="D182" s="65">
        <v>1</v>
      </c>
      <c r="E182" s="66">
        <v>2.7473282233000001E-5</v>
      </c>
    </row>
    <row r="183" spans="2:5" ht="14.5" customHeight="1">
      <c r="B183" s="83"/>
      <c r="C183" s="64" t="s">
        <v>235</v>
      </c>
      <c r="D183" s="65">
        <v>17</v>
      </c>
      <c r="E183" s="66">
        <v>4.6704579796099998E-4</v>
      </c>
    </row>
    <row r="184" spans="2:5" ht="14.5" customHeight="1">
      <c r="B184" s="83"/>
      <c r="C184" s="64" t="s">
        <v>236</v>
      </c>
      <c r="D184" s="65">
        <v>34</v>
      </c>
      <c r="E184" s="66">
        <v>9.3409159592300003E-4</v>
      </c>
    </row>
    <row r="185" spans="2:5" ht="14.5" customHeight="1">
      <c r="B185" s="83"/>
      <c r="C185" s="64" t="s">
        <v>237</v>
      </c>
      <c r="D185" s="65">
        <v>2</v>
      </c>
      <c r="E185" s="66">
        <v>5.4946564466000002E-5</v>
      </c>
    </row>
    <row r="186" spans="2:5" ht="14.5" customHeight="1">
      <c r="B186" s="83"/>
      <c r="C186" s="64" t="s">
        <v>238</v>
      </c>
      <c r="D186" s="65">
        <v>18</v>
      </c>
      <c r="E186" s="66">
        <v>4.9451908019499996E-4</v>
      </c>
    </row>
    <row r="187" spans="2:5" ht="14.5" customHeight="1">
      <c r="B187" s="83"/>
      <c r="C187" s="64" t="s">
        <v>239</v>
      </c>
      <c r="D187" s="65">
        <v>24</v>
      </c>
      <c r="E187" s="66">
        <v>6.5935877359299996E-4</v>
      </c>
    </row>
    <row r="188" spans="2:5" ht="14.5" customHeight="1">
      <c r="B188" s="83"/>
      <c r="C188" s="64" t="s">
        <v>240</v>
      </c>
      <c r="D188" s="65">
        <v>116</v>
      </c>
      <c r="E188" s="66">
        <v>3.1869007390309999E-3</v>
      </c>
    </row>
    <row r="189" spans="2:5" ht="14.5" customHeight="1">
      <c r="B189" s="83"/>
      <c r="C189" s="64" t="s">
        <v>241</v>
      </c>
      <c r="D189" s="65">
        <v>9</v>
      </c>
      <c r="E189" s="66">
        <v>2.47259540097E-4</v>
      </c>
    </row>
    <row r="190" spans="2:5" ht="14.5" customHeight="1">
      <c r="B190" s="83"/>
      <c r="C190" s="64" t="s">
        <v>242</v>
      </c>
      <c r="D190" s="65">
        <v>43</v>
      </c>
      <c r="E190" s="66">
        <v>1.1813511360199999E-3</v>
      </c>
    </row>
    <row r="191" spans="2:5" ht="14.5" customHeight="1">
      <c r="B191" s="83"/>
      <c r="C191" s="64" t="s">
        <v>243</v>
      </c>
      <c r="D191" s="65">
        <v>111</v>
      </c>
      <c r="E191" s="66">
        <v>3.049534327866E-3</v>
      </c>
    </row>
    <row r="192" spans="2:5" ht="14.5" customHeight="1">
      <c r="B192" s="83"/>
      <c r="C192" s="64" t="s">
        <v>244</v>
      </c>
      <c r="D192" s="65">
        <v>2</v>
      </c>
      <c r="E192" s="66">
        <v>5.4946564466000002E-5</v>
      </c>
    </row>
    <row r="193" spans="2:5" ht="14.5" customHeight="1">
      <c r="B193" s="83"/>
      <c r="C193" s="64" t="s">
        <v>245</v>
      </c>
      <c r="D193" s="65">
        <v>3</v>
      </c>
      <c r="E193" s="66">
        <v>8.2419846699E-5</v>
      </c>
    </row>
    <row r="194" spans="2:5" ht="14.5" customHeight="1">
      <c r="B194" s="83"/>
      <c r="C194" s="64" t="s">
        <v>246</v>
      </c>
      <c r="D194" s="65">
        <v>6</v>
      </c>
      <c r="E194" s="66">
        <v>1.64839693398E-4</v>
      </c>
    </row>
    <row r="195" spans="2:5" ht="14.5" customHeight="1">
      <c r="B195" s="83"/>
      <c r="C195" s="64" t="s">
        <v>247</v>
      </c>
      <c r="D195" s="65">
        <v>1</v>
      </c>
      <c r="E195" s="66">
        <v>2.7473282233000001E-5</v>
      </c>
    </row>
    <row r="196" spans="2:5" ht="14.5" customHeight="1">
      <c r="B196" s="83"/>
      <c r="C196" s="64" t="s">
        <v>248</v>
      </c>
      <c r="D196" s="65">
        <v>8</v>
      </c>
      <c r="E196" s="66">
        <v>2.1978625786400001E-4</v>
      </c>
    </row>
    <row r="197" spans="2:5" ht="14.5" customHeight="1">
      <c r="B197" s="83"/>
      <c r="C197" s="64" t="s">
        <v>249</v>
      </c>
      <c r="D197" s="65">
        <v>34</v>
      </c>
      <c r="E197" s="66">
        <v>9.3409159592300003E-4</v>
      </c>
    </row>
    <row r="198" spans="2:5" ht="14.5" customHeight="1">
      <c r="B198" s="83"/>
      <c r="C198" s="64" t="s">
        <v>251</v>
      </c>
      <c r="D198" s="65">
        <v>1</v>
      </c>
      <c r="E198" s="66">
        <v>2.7473282233000001E-5</v>
      </c>
    </row>
    <row r="199" spans="2:5" ht="14.5" customHeight="1">
      <c r="B199" s="83"/>
      <c r="C199" s="64" t="s">
        <v>252</v>
      </c>
      <c r="D199" s="65">
        <v>1</v>
      </c>
      <c r="E199" s="66">
        <v>2.7473282233000001E-5</v>
      </c>
    </row>
    <row r="200" spans="2:5" ht="14.5" customHeight="1">
      <c r="B200" s="82"/>
      <c r="C200" s="36" t="s">
        <v>29</v>
      </c>
      <c r="D200" s="35">
        <v>438</v>
      </c>
      <c r="E200" s="34">
        <v>1.2033297618066E-2</v>
      </c>
    </row>
    <row r="201" spans="2:5" ht="14.5" customHeight="1">
      <c r="B201" s="77" t="s">
        <v>72</v>
      </c>
      <c r="C201" s="64" t="s">
        <v>229</v>
      </c>
      <c r="D201" s="65">
        <v>4</v>
      </c>
      <c r="E201" s="66">
        <v>1.09893128932E-4</v>
      </c>
    </row>
    <row r="202" spans="2:5" ht="14.5" customHeight="1">
      <c r="B202" s="83"/>
      <c r="C202" s="64" t="s">
        <v>231</v>
      </c>
      <c r="D202" s="65">
        <v>1</v>
      </c>
      <c r="E202" s="66">
        <v>2.7473282233000001E-5</v>
      </c>
    </row>
    <row r="203" spans="2:5" ht="14.5" customHeight="1">
      <c r="B203" s="83"/>
      <c r="C203" s="64" t="s">
        <v>232</v>
      </c>
      <c r="D203" s="65">
        <v>2</v>
      </c>
      <c r="E203" s="66">
        <v>5.4946564466000002E-5</v>
      </c>
    </row>
    <row r="204" spans="2:5" ht="14.5" customHeight="1">
      <c r="B204" s="83"/>
      <c r="C204" s="64" t="s">
        <v>233</v>
      </c>
      <c r="D204" s="65">
        <v>1</v>
      </c>
      <c r="E204" s="66">
        <v>2.7473282233000001E-5</v>
      </c>
    </row>
    <row r="205" spans="2:5" ht="14.5" customHeight="1">
      <c r="B205" s="83"/>
      <c r="C205" s="64" t="s">
        <v>234</v>
      </c>
      <c r="D205" s="65">
        <v>3</v>
      </c>
      <c r="E205" s="66">
        <v>8.2419846699E-5</v>
      </c>
    </row>
    <row r="206" spans="2:5" ht="14.5" customHeight="1">
      <c r="B206" s="83"/>
      <c r="C206" s="64" t="s">
        <v>235</v>
      </c>
      <c r="D206" s="65">
        <v>30</v>
      </c>
      <c r="E206" s="66">
        <v>8.2419846699099996E-4</v>
      </c>
    </row>
    <row r="207" spans="2:5" ht="14.5" customHeight="1">
      <c r="B207" s="83"/>
      <c r="C207" s="64" t="s">
        <v>236</v>
      </c>
      <c r="D207" s="65">
        <v>39</v>
      </c>
      <c r="E207" s="66">
        <v>1.0714580070880001E-3</v>
      </c>
    </row>
    <row r="208" spans="2:5" ht="14.5" customHeight="1">
      <c r="B208" s="83"/>
      <c r="C208" s="64" t="s">
        <v>237</v>
      </c>
      <c r="D208" s="65">
        <v>4</v>
      </c>
      <c r="E208" s="66">
        <v>1.09893128932E-4</v>
      </c>
    </row>
    <row r="209" spans="2:5" ht="14.5" customHeight="1">
      <c r="B209" s="83"/>
      <c r="C209" s="64" t="s">
        <v>238</v>
      </c>
      <c r="D209" s="65">
        <v>10</v>
      </c>
      <c r="E209" s="66">
        <v>2.7473282233000002E-4</v>
      </c>
    </row>
    <row r="210" spans="2:5" ht="14.5" customHeight="1">
      <c r="B210" s="83"/>
      <c r="C210" s="64" t="s">
        <v>239</v>
      </c>
      <c r="D210" s="65">
        <v>29</v>
      </c>
      <c r="E210" s="66">
        <v>7.96725184758E-4</v>
      </c>
    </row>
    <row r="211" spans="2:5" ht="14.5" customHeight="1">
      <c r="B211" s="83"/>
      <c r="C211" s="64" t="s">
        <v>240</v>
      </c>
      <c r="D211" s="65">
        <v>165</v>
      </c>
      <c r="E211" s="66">
        <v>4.5330915684500001E-3</v>
      </c>
    </row>
    <row r="212" spans="2:5" ht="14.5" customHeight="1">
      <c r="B212" s="83"/>
      <c r="C212" s="64" t="s">
        <v>241</v>
      </c>
      <c r="D212" s="65">
        <v>17</v>
      </c>
      <c r="E212" s="66">
        <v>4.6704579796099998E-4</v>
      </c>
    </row>
    <row r="213" spans="2:5" ht="14.5" customHeight="1">
      <c r="B213" s="83"/>
      <c r="C213" s="64" t="s">
        <v>242</v>
      </c>
      <c r="D213" s="65">
        <v>39</v>
      </c>
      <c r="E213" s="66">
        <v>1.0714580070880001E-3</v>
      </c>
    </row>
    <row r="214" spans="2:5" ht="14.5" customHeight="1">
      <c r="B214" s="83"/>
      <c r="C214" s="64" t="s">
        <v>243</v>
      </c>
      <c r="D214" s="65">
        <v>111</v>
      </c>
      <c r="E214" s="66">
        <v>3.049534327866E-3</v>
      </c>
    </row>
    <row r="215" spans="2:5" ht="14.5" customHeight="1">
      <c r="B215" s="83"/>
      <c r="C215" s="64" t="s">
        <v>244</v>
      </c>
      <c r="D215" s="65">
        <v>2</v>
      </c>
      <c r="E215" s="66">
        <v>5.4946564466000002E-5</v>
      </c>
    </row>
    <row r="216" spans="2:5" ht="14.5" customHeight="1">
      <c r="B216" s="83"/>
      <c r="C216" s="64" t="s">
        <v>245</v>
      </c>
      <c r="D216" s="65">
        <v>2</v>
      </c>
      <c r="E216" s="66">
        <v>5.4946564466000002E-5</v>
      </c>
    </row>
    <row r="217" spans="2:5" ht="14.5" customHeight="1">
      <c r="B217" s="83"/>
      <c r="C217" s="64" t="s">
        <v>248</v>
      </c>
      <c r="D217" s="65">
        <v>16</v>
      </c>
      <c r="E217" s="66">
        <v>4.3957251572800002E-4</v>
      </c>
    </row>
    <row r="218" spans="2:5" ht="14.5" customHeight="1">
      <c r="B218" s="83"/>
      <c r="C218" s="64" t="s">
        <v>249</v>
      </c>
      <c r="D218" s="65">
        <v>39</v>
      </c>
      <c r="E218" s="66">
        <v>1.0714580070880001E-3</v>
      </c>
    </row>
    <row r="219" spans="2:5" ht="14.5" customHeight="1">
      <c r="B219" s="83"/>
      <c r="C219" s="64" t="s">
        <v>250</v>
      </c>
      <c r="D219" s="65">
        <v>1</v>
      </c>
      <c r="E219" s="66">
        <v>2.7473282233000001E-5</v>
      </c>
    </row>
    <row r="220" spans="2:5" ht="14.5" customHeight="1">
      <c r="B220" s="82"/>
      <c r="C220" s="36" t="s">
        <v>29</v>
      </c>
      <c r="D220" s="35">
        <v>515</v>
      </c>
      <c r="E220" s="34">
        <v>1.414874035001E-2</v>
      </c>
    </row>
    <row r="221" spans="2:5" ht="14.5" customHeight="1">
      <c r="B221" s="77" t="s">
        <v>101</v>
      </c>
      <c r="C221" s="64" t="s">
        <v>243</v>
      </c>
      <c r="D221" s="65">
        <v>1</v>
      </c>
      <c r="E221" s="66">
        <v>2.7473282233000001E-5</v>
      </c>
    </row>
    <row r="222" spans="2:5" ht="14.5" customHeight="1">
      <c r="B222" s="83"/>
      <c r="C222" s="64" t="s">
        <v>249</v>
      </c>
      <c r="D222" s="65">
        <v>1</v>
      </c>
      <c r="E222" s="66">
        <v>2.7473282233000001E-5</v>
      </c>
    </row>
    <row r="223" spans="2:5" ht="14.5" customHeight="1">
      <c r="B223" s="82"/>
      <c r="C223" s="36" t="s">
        <v>29</v>
      </c>
      <c r="D223" s="35">
        <v>2</v>
      </c>
      <c r="E223" s="34">
        <v>5.4946564466000002E-5</v>
      </c>
    </row>
    <row r="224" spans="2:5" ht="14.5" customHeight="1">
      <c r="B224" s="77" t="s">
        <v>98</v>
      </c>
      <c r="C224" s="64" t="s">
        <v>243</v>
      </c>
      <c r="D224" s="65">
        <v>1</v>
      </c>
      <c r="E224" s="66">
        <v>2.7473282233000001E-5</v>
      </c>
    </row>
    <row r="225" spans="2:5" ht="14.5" customHeight="1">
      <c r="B225" s="83"/>
      <c r="C225" s="64" t="s">
        <v>246</v>
      </c>
      <c r="D225" s="65">
        <v>1</v>
      </c>
      <c r="E225" s="66">
        <v>2.7473282233000001E-5</v>
      </c>
    </row>
    <row r="226" spans="2:5" ht="14.5" customHeight="1">
      <c r="B226" s="83"/>
      <c r="C226" s="64" t="s">
        <v>249</v>
      </c>
      <c r="D226" s="65">
        <v>3</v>
      </c>
      <c r="E226" s="66">
        <v>8.2419846699E-5</v>
      </c>
    </row>
    <row r="227" spans="2:5" ht="14.5" customHeight="1">
      <c r="B227" s="83"/>
      <c r="C227" s="64" t="s">
        <v>251</v>
      </c>
      <c r="D227" s="65">
        <v>1</v>
      </c>
      <c r="E227" s="66">
        <v>2.7473282233000001E-5</v>
      </c>
    </row>
    <row r="228" spans="2:5" ht="14.5" customHeight="1">
      <c r="B228" s="83"/>
      <c r="C228" s="64" t="s">
        <v>252</v>
      </c>
      <c r="D228" s="65">
        <v>1</v>
      </c>
      <c r="E228" s="66">
        <v>2.7473282233000001E-5</v>
      </c>
    </row>
    <row r="229" spans="2:5" ht="14.5" customHeight="1">
      <c r="B229" s="82"/>
      <c r="C229" s="36" t="s">
        <v>29</v>
      </c>
      <c r="D229" s="35">
        <v>7</v>
      </c>
      <c r="E229" s="34">
        <v>1.9231297563099999E-4</v>
      </c>
    </row>
    <row r="230" spans="2:5" ht="14.5" customHeight="1">
      <c r="B230" s="77" t="s">
        <v>92</v>
      </c>
      <c r="C230" s="64" t="s">
        <v>236</v>
      </c>
      <c r="D230" s="65">
        <v>7</v>
      </c>
      <c r="E230" s="66">
        <v>1.9231297563099999E-4</v>
      </c>
    </row>
    <row r="231" spans="2:5" ht="14.5" customHeight="1">
      <c r="B231" s="83"/>
      <c r="C231" s="64" t="s">
        <v>238</v>
      </c>
      <c r="D231" s="65">
        <v>1</v>
      </c>
      <c r="E231" s="66">
        <v>2.7473282233000001E-5</v>
      </c>
    </row>
    <row r="232" spans="2:5" ht="14.5" customHeight="1">
      <c r="B232" s="83"/>
      <c r="C232" s="64" t="s">
        <v>239</v>
      </c>
      <c r="D232" s="65">
        <v>2</v>
      </c>
      <c r="E232" s="66">
        <v>5.4946564466000002E-5</v>
      </c>
    </row>
    <row r="233" spans="2:5" ht="14.5" customHeight="1">
      <c r="B233" s="83"/>
      <c r="C233" s="64" t="s">
        <v>240</v>
      </c>
      <c r="D233" s="65">
        <v>24</v>
      </c>
      <c r="E233" s="66">
        <v>6.5935877359299996E-4</v>
      </c>
    </row>
    <row r="234" spans="2:5" ht="14.5" customHeight="1">
      <c r="B234" s="83"/>
      <c r="C234" s="64" t="s">
        <v>241</v>
      </c>
      <c r="D234" s="65">
        <v>4</v>
      </c>
      <c r="E234" s="66">
        <v>1.09893128932E-4</v>
      </c>
    </row>
    <row r="235" spans="2:5" ht="14.5" customHeight="1">
      <c r="B235" s="83"/>
      <c r="C235" s="64" t="s">
        <v>242</v>
      </c>
      <c r="D235" s="65">
        <v>3</v>
      </c>
      <c r="E235" s="66">
        <v>8.2419846699E-5</v>
      </c>
    </row>
    <row r="236" spans="2:5" ht="14.5" customHeight="1">
      <c r="B236" s="83"/>
      <c r="C236" s="64" t="s">
        <v>243</v>
      </c>
      <c r="D236" s="65">
        <v>20</v>
      </c>
      <c r="E236" s="66">
        <v>5.49465644661E-4</v>
      </c>
    </row>
    <row r="237" spans="2:5" ht="14.5" customHeight="1">
      <c r="B237" s="83"/>
      <c r="C237" s="64" t="s">
        <v>248</v>
      </c>
      <c r="D237" s="65">
        <v>8</v>
      </c>
      <c r="E237" s="66">
        <v>2.1978625786400001E-4</v>
      </c>
    </row>
    <row r="238" spans="2:5" ht="14.5" customHeight="1">
      <c r="B238" s="83"/>
      <c r="C238" s="64" t="s">
        <v>249</v>
      </c>
      <c r="D238" s="65">
        <v>27</v>
      </c>
      <c r="E238" s="66">
        <v>7.4177862029199996E-4</v>
      </c>
    </row>
    <row r="239" spans="2:5" ht="14.5" customHeight="1">
      <c r="B239" s="83"/>
      <c r="C239" s="64" t="s">
        <v>251</v>
      </c>
      <c r="D239" s="65">
        <v>5</v>
      </c>
      <c r="E239" s="66">
        <v>1.3736641116500001E-4</v>
      </c>
    </row>
    <row r="240" spans="2:5" ht="14.5" customHeight="1">
      <c r="B240" s="83"/>
      <c r="C240" s="64" t="s">
        <v>252</v>
      </c>
      <c r="D240" s="65">
        <v>2</v>
      </c>
      <c r="E240" s="66">
        <v>5.4946564466000002E-5</v>
      </c>
    </row>
    <row r="241" spans="2:5" ht="14.5" customHeight="1">
      <c r="B241" s="82"/>
      <c r="C241" s="36" t="s">
        <v>29</v>
      </c>
      <c r="D241" s="35">
        <v>103</v>
      </c>
      <c r="E241" s="34">
        <v>2.8297480700019998E-3</v>
      </c>
    </row>
    <row r="242" spans="2:5" ht="14.5" customHeight="1">
      <c r="B242" s="77" t="s">
        <v>70</v>
      </c>
      <c r="C242" s="64" t="s">
        <v>229</v>
      </c>
      <c r="D242" s="65">
        <v>1</v>
      </c>
      <c r="E242" s="66">
        <v>2.7473282233000001E-5</v>
      </c>
    </row>
    <row r="243" spans="2:5" ht="14.5" customHeight="1">
      <c r="B243" s="83"/>
      <c r="C243" s="64" t="s">
        <v>230</v>
      </c>
      <c r="D243" s="65">
        <v>1</v>
      </c>
      <c r="E243" s="66">
        <v>2.7473282233000001E-5</v>
      </c>
    </row>
    <row r="244" spans="2:5" ht="14.5" customHeight="1">
      <c r="B244" s="83"/>
      <c r="C244" s="64" t="s">
        <v>231</v>
      </c>
      <c r="D244" s="65">
        <v>1</v>
      </c>
      <c r="E244" s="66">
        <v>2.7473282233000001E-5</v>
      </c>
    </row>
    <row r="245" spans="2:5" ht="14.5" customHeight="1">
      <c r="B245" s="83"/>
      <c r="C245" s="64" t="s">
        <v>232</v>
      </c>
      <c r="D245" s="65">
        <v>1</v>
      </c>
      <c r="E245" s="66">
        <v>2.7473282233000001E-5</v>
      </c>
    </row>
    <row r="246" spans="2:5" ht="14.5" customHeight="1">
      <c r="B246" s="83"/>
      <c r="C246" s="64" t="s">
        <v>233</v>
      </c>
      <c r="D246" s="65">
        <v>2</v>
      </c>
      <c r="E246" s="66">
        <v>5.4946564466000002E-5</v>
      </c>
    </row>
    <row r="247" spans="2:5" ht="14.5" customHeight="1">
      <c r="B247" s="83"/>
      <c r="C247" s="64" t="s">
        <v>234</v>
      </c>
      <c r="D247" s="65">
        <v>3</v>
      </c>
      <c r="E247" s="66">
        <v>8.2419846699E-5</v>
      </c>
    </row>
    <row r="248" spans="2:5" ht="14.5" customHeight="1">
      <c r="B248" s="83"/>
      <c r="C248" s="64" t="s">
        <v>235</v>
      </c>
      <c r="D248" s="65">
        <v>24</v>
      </c>
      <c r="E248" s="66">
        <v>6.5935877359299996E-4</v>
      </c>
    </row>
    <row r="249" spans="2:5" ht="14.5" customHeight="1">
      <c r="B249" s="83"/>
      <c r="C249" s="64" t="s">
        <v>236</v>
      </c>
      <c r="D249" s="65">
        <v>42</v>
      </c>
      <c r="E249" s="66">
        <v>1.1538778537870001E-3</v>
      </c>
    </row>
    <row r="250" spans="2:5" ht="14.5" customHeight="1">
      <c r="B250" s="83"/>
      <c r="C250" s="64" t="s">
        <v>237</v>
      </c>
      <c r="D250" s="65">
        <v>4</v>
      </c>
      <c r="E250" s="66">
        <v>1.09893128932E-4</v>
      </c>
    </row>
    <row r="251" spans="2:5" ht="14.5" customHeight="1">
      <c r="B251" s="83"/>
      <c r="C251" s="64" t="s">
        <v>238</v>
      </c>
      <c r="D251" s="65">
        <v>19</v>
      </c>
      <c r="E251" s="66">
        <v>5.2199236242800003E-4</v>
      </c>
    </row>
    <row r="252" spans="2:5" ht="14.5" customHeight="1">
      <c r="B252" s="83"/>
      <c r="C252" s="64" t="s">
        <v>239</v>
      </c>
      <c r="D252" s="65">
        <v>19</v>
      </c>
      <c r="E252" s="66">
        <v>5.2199236242800003E-4</v>
      </c>
    </row>
    <row r="253" spans="2:5" ht="14.5" customHeight="1">
      <c r="B253" s="83"/>
      <c r="C253" s="64" t="s">
        <v>240</v>
      </c>
      <c r="D253" s="65">
        <v>193</v>
      </c>
      <c r="E253" s="66">
        <v>5.3023434709740004E-3</v>
      </c>
    </row>
    <row r="254" spans="2:5" ht="14.5" customHeight="1">
      <c r="B254" s="83"/>
      <c r="C254" s="64" t="s">
        <v>241</v>
      </c>
      <c r="D254" s="65">
        <v>15</v>
      </c>
      <c r="E254" s="66">
        <v>4.12099233495E-4</v>
      </c>
    </row>
    <row r="255" spans="2:5" ht="14.5" customHeight="1">
      <c r="B255" s="83"/>
      <c r="C255" s="64" t="s">
        <v>242</v>
      </c>
      <c r="D255" s="65">
        <v>38</v>
      </c>
      <c r="E255" s="66">
        <v>1.043984724855E-3</v>
      </c>
    </row>
    <row r="256" spans="2:5" ht="14.5" customHeight="1">
      <c r="B256" s="83"/>
      <c r="C256" s="64" t="s">
        <v>243</v>
      </c>
      <c r="D256" s="65">
        <v>147</v>
      </c>
      <c r="E256" s="66">
        <v>4.0385724882549996E-3</v>
      </c>
    </row>
    <row r="257" spans="2:5" ht="14.5" customHeight="1">
      <c r="B257" s="83"/>
      <c r="C257" s="64" t="s">
        <v>244</v>
      </c>
      <c r="D257" s="65">
        <v>1</v>
      </c>
      <c r="E257" s="66">
        <v>2.7473282233000001E-5</v>
      </c>
    </row>
    <row r="258" spans="2:5" ht="14.5" customHeight="1">
      <c r="B258" s="83"/>
      <c r="C258" s="64" t="s">
        <v>247</v>
      </c>
      <c r="D258" s="65">
        <v>4</v>
      </c>
      <c r="E258" s="66">
        <v>1.09893128932E-4</v>
      </c>
    </row>
    <row r="259" spans="2:5" ht="14.5" customHeight="1">
      <c r="B259" s="83"/>
      <c r="C259" s="64" t="s">
        <v>248</v>
      </c>
      <c r="D259" s="65">
        <v>11</v>
      </c>
      <c r="E259" s="66">
        <v>3.0220610456299998E-4</v>
      </c>
    </row>
    <row r="260" spans="2:5" ht="14.5" customHeight="1">
      <c r="B260" s="83"/>
      <c r="C260" s="64" t="s">
        <v>249</v>
      </c>
      <c r="D260" s="65">
        <v>24</v>
      </c>
      <c r="E260" s="66">
        <v>6.5935877359299996E-4</v>
      </c>
    </row>
    <row r="261" spans="2:5" ht="14.5" customHeight="1">
      <c r="B261" s="83"/>
      <c r="C261" s="64" t="s">
        <v>250</v>
      </c>
      <c r="D261" s="65">
        <v>2</v>
      </c>
      <c r="E261" s="66">
        <v>5.4946564466000002E-5</v>
      </c>
    </row>
    <row r="262" spans="2:5" ht="14.5" customHeight="1">
      <c r="B262" s="83"/>
      <c r="C262" s="64" t="s">
        <v>251</v>
      </c>
      <c r="D262" s="65">
        <v>1</v>
      </c>
      <c r="E262" s="66">
        <v>2.7473282233000001E-5</v>
      </c>
    </row>
    <row r="263" spans="2:5" ht="14.5" customHeight="1">
      <c r="B263" s="83"/>
      <c r="C263" s="64" t="s">
        <v>252</v>
      </c>
      <c r="D263" s="65">
        <v>1</v>
      </c>
      <c r="E263" s="66">
        <v>2.7473282233000001E-5</v>
      </c>
    </row>
    <row r="264" spans="2:5" ht="14.5" customHeight="1">
      <c r="B264" s="82"/>
      <c r="C264" s="36" t="s">
        <v>29</v>
      </c>
      <c r="D264" s="35">
        <v>554</v>
      </c>
      <c r="E264" s="34">
        <v>1.5220198357097999E-2</v>
      </c>
    </row>
    <row r="265" spans="2:5" ht="14.5" customHeight="1">
      <c r="B265" s="77" t="s">
        <v>66</v>
      </c>
      <c r="C265" s="64" t="s">
        <v>228</v>
      </c>
      <c r="D265" s="65">
        <v>1</v>
      </c>
      <c r="E265" s="66">
        <v>2.7473282233000001E-5</v>
      </c>
    </row>
    <row r="266" spans="2:5" ht="14.5" customHeight="1">
      <c r="B266" s="83"/>
      <c r="C266" s="64" t="s">
        <v>229</v>
      </c>
      <c r="D266" s="65">
        <v>7</v>
      </c>
      <c r="E266" s="66">
        <v>1.9231297563099999E-4</v>
      </c>
    </row>
    <row r="267" spans="2:5" ht="14.5" customHeight="1">
      <c r="B267" s="83"/>
      <c r="C267" s="64" t="s">
        <v>230</v>
      </c>
      <c r="D267" s="65">
        <v>2</v>
      </c>
      <c r="E267" s="66">
        <v>5.4946564466000002E-5</v>
      </c>
    </row>
    <row r="268" spans="2:5" ht="14.5" customHeight="1">
      <c r="B268" s="83"/>
      <c r="C268" s="64" t="s">
        <v>231</v>
      </c>
      <c r="D268" s="65">
        <v>4</v>
      </c>
      <c r="E268" s="66">
        <v>1.09893128932E-4</v>
      </c>
    </row>
    <row r="269" spans="2:5" ht="14.5" customHeight="1">
      <c r="B269" s="83"/>
      <c r="C269" s="64" t="s">
        <v>232</v>
      </c>
      <c r="D269" s="65">
        <v>8</v>
      </c>
      <c r="E269" s="66">
        <v>2.1978625786400001E-4</v>
      </c>
    </row>
    <row r="270" spans="2:5" ht="14.5" customHeight="1">
      <c r="B270" s="83"/>
      <c r="C270" s="64" t="s">
        <v>233</v>
      </c>
      <c r="D270" s="65">
        <v>6</v>
      </c>
      <c r="E270" s="66">
        <v>1.64839693398E-4</v>
      </c>
    </row>
    <row r="271" spans="2:5" ht="14.5" customHeight="1">
      <c r="B271" s="83"/>
      <c r="C271" s="64" t="s">
        <v>234</v>
      </c>
      <c r="D271" s="65">
        <v>11</v>
      </c>
      <c r="E271" s="66">
        <v>3.0220610456299998E-4</v>
      </c>
    </row>
    <row r="272" spans="2:5" ht="14.5" customHeight="1">
      <c r="B272" s="83"/>
      <c r="C272" s="64" t="s">
        <v>235</v>
      </c>
      <c r="D272" s="65">
        <v>55</v>
      </c>
      <c r="E272" s="66">
        <v>1.511030522817E-3</v>
      </c>
    </row>
    <row r="273" spans="2:5" ht="14.5" customHeight="1">
      <c r="B273" s="83"/>
      <c r="C273" s="64" t="s">
        <v>236</v>
      </c>
      <c r="D273" s="65">
        <v>41</v>
      </c>
      <c r="E273" s="66">
        <v>1.126404571554E-3</v>
      </c>
    </row>
    <row r="274" spans="2:5" ht="14.5" customHeight="1">
      <c r="B274" s="83"/>
      <c r="C274" s="64" t="s">
        <v>237</v>
      </c>
      <c r="D274" s="65">
        <v>5</v>
      </c>
      <c r="E274" s="66">
        <v>1.3736641116500001E-4</v>
      </c>
    </row>
    <row r="275" spans="2:5" ht="14.5" customHeight="1">
      <c r="B275" s="83"/>
      <c r="C275" s="64" t="s">
        <v>238</v>
      </c>
      <c r="D275" s="65">
        <v>14</v>
      </c>
      <c r="E275" s="66">
        <v>3.8462595126199998E-4</v>
      </c>
    </row>
    <row r="276" spans="2:5" ht="14.5" customHeight="1">
      <c r="B276" s="83"/>
      <c r="C276" s="64" t="s">
        <v>239</v>
      </c>
      <c r="D276" s="65">
        <v>31</v>
      </c>
      <c r="E276" s="66">
        <v>8.5167174922400003E-4</v>
      </c>
    </row>
    <row r="277" spans="2:5" ht="14.5" customHeight="1">
      <c r="B277" s="83"/>
      <c r="C277" s="64" t="s">
        <v>240</v>
      </c>
      <c r="D277" s="65">
        <v>151</v>
      </c>
      <c r="E277" s="66">
        <v>4.1484656171869999E-3</v>
      </c>
    </row>
    <row r="278" spans="2:5" ht="14.5" customHeight="1">
      <c r="B278" s="83"/>
      <c r="C278" s="64" t="s">
        <v>241</v>
      </c>
      <c r="D278" s="65">
        <v>16</v>
      </c>
      <c r="E278" s="66">
        <v>4.3957251572800002E-4</v>
      </c>
    </row>
    <row r="279" spans="2:5" ht="14.5" customHeight="1">
      <c r="B279" s="83"/>
      <c r="C279" s="64" t="s">
        <v>242</v>
      </c>
      <c r="D279" s="65">
        <v>44</v>
      </c>
      <c r="E279" s="66">
        <v>1.208824418253E-3</v>
      </c>
    </row>
    <row r="280" spans="2:5" ht="14.5" customHeight="1">
      <c r="B280" s="83"/>
      <c r="C280" s="64" t="s">
        <v>243</v>
      </c>
      <c r="D280" s="65">
        <v>116</v>
      </c>
      <c r="E280" s="66">
        <v>3.1869007390309999E-3</v>
      </c>
    </row>
    <row r="281" spans="2:5" ht="14.5" customHeight="1">
      <c r="B281" s="83"/>
      <c r="C281" s="64" t="s">
        <v>244</v>
      </c>
      <c r="D281" s="65">
        <v>3</v>
      </c>
      <c r="E281" s="66">
        <v>8.2419846699E-5</v>
      </c>
    </row>
    <row r="282" spans="2:5" ht="14.5" customHeight="1">
      <c r="B282" s="83"/>
      <c r="C282" s="64" t="s">
        <v>245</v>
      </c>
      <c r="D282" s="65">
        <v>4</v>
      </c>
      <c r="E282" s="66">
        <v>1.09893128932E-4</v>
      </c>
    </row>
    <row r="283" spans="2:5" ht="14.5" customHeight="1">
      <c r="B283" s="83"/>
      <c r="C283" s="64" t="s">
        <v>246</v>
      </c>
      <c r="D283" s="65">
        <v>1</v>
      </c>
      <c r="E283" s="66">
        <v>2.7473282233000001E-5</v>
      </c>
    </row>
    <row r="284" spans="2:5" ht="14.5" customHeight="1">
      <c r="B284" s="83"/>
      <c r="C284" s="64" t="s">
        <v>247</v>
      </c>
      <c r="D284" s="65">
        <v>1</v>
      </c>
      <c r="E284" s="66">
        <v>2.7473282233000001E-5</v>
      </c>
    </row>
    <row r="285" spans="2:5" ht="14.5" customHeight="1">
      <c r="B285" s="83"/>
      <c r="C285" s="64" t="s">
        <v>248</v>
      </c>
      <c r="D285" s="65">
        <v>14</v>
      </c>
      <c r="E285" s="66">
        <v>3.8462595126199998E-4</v>
      </c>
    </row>
    <row r="286" spans="2:5" ht="14.5" customHeight="1">
      <c r="B286" s="83"/>
      <c r="C286" s="64" t="s">
        <v>249</v>
      </c>
      <c r="D286" s="65">
        <v>35</v>
      </c>
      <c r="E286" s="66">
        <v>9.61564878156E-4</v>
      </c>
    </row>
    <row r="287" spans="2:5" ht="14.5" customHeight="1">
      <c r="B287" s="83"/>
      <c r="C287" s="64" t="s">
        <v>251</v>
      </c>
      <c r="D287" s="65">
        <v>2</v>
      </c>
      <c r="E287" s="66">
        <v>5.4946564466000002E-5</v>
      </c>
    </row>
    <row r="288" spans="2:5" ht="14.5" customHeight="1">
      <c r="B288" s="82"/>
      <c r="C288" s="36" t="s">
        <v>29</v>
      </c>
      <c r="D288" s="35">
        <v>572</v>
      </c>
      <c r="E288" s="34">
        <v>1.5714717437292001E-2</v>
      </c>
    </row>
    <row r="289" spans="2:5" ht="14.5" customHeight="1">
      <c r="B289" s="77" t="s">
        <v>52</v>
      </c>
      <c r="C289" s="64" t="s">
        <v>229</v>
      </c>
      <c r="D289" s="65">
        <v>5</v>
      </c>
      <c r="E289" s="66">
        <v>1.3736641116500001E-4</v>
      </c>
    </row>
    <row r="290" spans="2:5" ht="14.5" customHeight="1">
      <c r="B290" s="83"/>
      <c r="C290" s="64" t="s">
        <v>230</v>
      </c>
      <c r="D290" s="65">
        <v>3</v>
      </c>
      <c r="E290" s="66">
        <v>8.2419846699E-5</v>
      </c>
    </row>
    <row r="291" spans="2:5" ht="14.5" customHeight="1">
      <c r="B291" s="83"/>
      <c r="C291" s="64" t="s">
        <v>231</v>
      </c>
      <c r="D291" s="65">
        <v>4</v>
      </c>
      <c r="E291" s="66">
        <v>1.09893128932E-4</v>
      </c>
    </row>
    <row r="292" spans="2:5" ht="14.5" customHeight="1">
      <c r="B292" s="83"/>
      <c r="C292" s="64" t="s">
        <v>232</v>
      </c>
      <c r="D292" s="65">
        <v>13</v>
      </c>
      <c r="E292" s="66">
        <v>3.5715266902900002E-4</v>
      </c>
    </row>
    <row r="293" spans="2:5" ht="14.5" customHeight="1">
      <c r="B293" s="83"/>
      <c r="C293" s="64" t="s">
        <v>233</v>
      </c>
      <c r="D293" s="65">
        <v>7</v>
      </c>
      <c r="E293" s="66">
        <v>1.9231297563099999E-4</v>
      </c>
    </row>
    <row r="294" spans="2:5" ht="14.5" customHeight="1">
      <c r="B294" s="83"/>
      <c r="C294" s="64" t="s">
        <v>234</v>
      </c>
      <c r="D294" s="65">
        <v>8</v>
      </c>
      <c r="E294" s="66">
        <v>2.1978625786400001E-4</v>
      </c>
    </row>
    <row r="295" spans="2:5" ht="14.5" customHeight="1">
      <c r="B295" s="83"/>
      <c r="C295" s="64" t="s">
        <v>235</v>
      </c>
      <c r="D295" s="65">
        <v>80</v>
      </c>
      <c r="E295" s="66">
        <v>2.1978625786419998E-3</v>
      </c>
    </row>
    <row r="296" spans="2:5" ht="14.5" customHeight="1">
      <c r="B296" s="83"/>
      <c r="C296" s="64" t="s">
        <v>236</v>
      </c>
      <c r="D296" s="65">
        <v>184</v>
      </c>
      <c r="E296" s="66">
        <v>5.0550839308769998E-3</v>
      </c>
    </row>
    <row r="297" spans="2:5" ht="14.5" customHeight="1">
      <c r="B297" s="83"/>
      <c r="C297" s="64" t="s">
        <v>237</v>
      </c>
      <c r="D297" s="65">
        <v>32</v>
      </c>
      <c r="E297" s="66">
        <v>8.79145031457E-4</v>
      </c>
    </row>
    <row r="298" spans="2:5" ht="14.5" customHeight="1">
      <c r="B298" s="83"/>
      <c r="C298" s="64" t="s">
        <v>238</v>
      </c>
      <c r="D298" s="65">
        <v>50</v>
      </c>
      <c r="E298" s="66">
        <v>1.373664111651E-3</v>
      </c>
    </row>
    <row r="299" spans="2:5" ht="14.5" customHeight="1">
      <c r="B299" s="83"/>
      <c r="C299" s="64" t="s">
        <v>239</v>
      </c>
      <c r="D299" s="65">
        <v>103</v>
      </c>
      <c r="E299" s="66">
        <v>2.8297480700019998E-3</v>
      </c>
    </row>
    <row r="300" spans="2:5" ht="14.5" customHeight="1">
      <c r="B300" s="83"/>
      <c r="C300" s="64" t="s">
        <v>240</v>
      </c>
      <c r="D300" s="65">
        <v>840</v>
      </c>
      <c r="E300" s="66">
        <v>2.3077557075744E-2</v>
      </c>
    </row>
    <row r="301" spans="2:5" ht="14.5" customHeight="1">
      <c r="B301" s="83"/>
      <c r="C301" s="64" t="s">
        <v>241</v>
      </c>
      <c r="D301" s="65">
        <v>83</v>
      </c>
      <c r="E301" s="66">
        <v>2.2802824253410001E-3</v>
      </c>
    </row>
    <row r="302" spans="2:5" ht="14.5" customHeight="1">
      <c r="B302" s="83"/>
      <c r="C302" s="64" t="s">
        <v>242</v>
      </c>
      <c r="D302" s="65">
        <v>185</v>
      </c>
      <c r="E302" s="66">
        <v>5.0825572131099998E-3</v>
      </c>
    </row>
    <row r="303" spans="2:5" ht="14.5" customHeight="1">
      <c r="B303" s="83"/>
      <c r="C303" s="64" t="s">
        <v>243</v>
      </c>
      <c r="D303" s="65">
        <v>769</v>
      </c>
      <c r="E303" s="66">
        <v>2.1126954037199001E-2</v>
      </c>
    </row>
    <row r="304" spans="2:5" ht="14.5" customHeight="1">
      <c r="B304" s="83"/>
      <c r="C304" s="64" t="s">
        <v>244</v>
      </c>
      <c r="D304" s="65">
        <v>21</v>
      </c>
      <c r="E304" s="66">
        <v>5.7693892689399996E-4</v>
      </c>
    </row>
    <row r="305" spans="2:5" ht="14.5" customHeight="1">
      <c r="B305" s="83"/>
      <c r="C305" s="64" t="s">
        <v>245</v>
      </c>
      <c r="D305" s="65">
        <v>14</v>
      </c>
      <c r="E305" s="66">
        <v>3.8462595126199998E-4</v>
      </c>
    </row>
    <row r="306" spans="2:5" ht="14.5" customHeight="1">
      <c r="B306" s="83"/>
      <c r="C306" s="64" t="s">
        <v>246</v>
      </c>
      <c r="D306" s="65">
        <v>12</v>
      </c>
      <c r="E306" s="66">
        <v>3.29679386796E-4</v>
      </c>
    </row>
    <row r="307" spans="2:5" ht="14.5" customHeight="1">
      <c r="B307" s="83"/>
      <c r="C307" s="64" t="s">
        <v>247</v>
      </c>
      <c r="D307" s="65">
        <v>3</v>
      </c>
      <c r="E307" s="66">
        <v>8.2419846699E-5</v>
      </c>
    </row>
    <row r="308" spans="2:5" ht="14.5" customHeight="1">
      <c r="B308" s="83"/>
      <c r="C308" s="64" t="s">
        <v>248</v>
      </c>
      <c r="D308" s="65">
        <v>60</v>
      </c>
      <c r="E308" s="66">
        <v>1.6483969339819999E-3</v>
      </c>
    </row>
    <row r="309" spans="2:5" ht="14.5" customHeight="1">
      <c r="B309" s="83"/>
      <c r="C309" s="64" t="s">
        <v>249</v>
      </c>
      <c r="D309" s="65">
        <v>210</v>
      </c>
      <c r="E309" s="66">
        <v>5.769389268936E-3</v>
      </c>
    </row>
    <row r="310" spans="2:5" ht="14.5" customHeight="1">
      <c r="B310" s="83"/>
      <c r="C310" s="64" t="s">
        <v>250</v>
      </c>
      <c r="D310" s="65">
        <v>1</v>
      </c>
      <c r="E310" s="66">
        <v>2.7473282233000001E-5</v>
      </c>
    </row>
    <row r="311" spans="2:5" ht="14.5" customHeight="1">
      <c r="B311" s="83"/>
      <c r="C311" s="64" t="s">
        <v>251</v>
      </c>
      <c r="D311" s="65">
        <v>22</v>
      </c>
      <c r="E311" s="66">
        <v>6.0441220912700003E-4</v>
      </c>
    </row>
    <row r="312" spans="2:5" ht="14.5" customHeight="1">
      <c r="B312" s="83"/>
      <c r="C312" s="64" t="s">
        <v>252</v>
      </c>
      <c r="D312" s="65">
        <v>1</v>
      </c>
      <c r="E312" s="66">
        <v>2.7473282233000001E-5</v>
      </c>
    </row>
    <row r="313" spans="2:5" ht="14.5" customHeight="1">
      <c r="B313" s="82"/>
      <c r="C313" s="36" t="s">
        <v>29</v>
      </c>
      <c r="D313" s="35">
        <v>2710</v>
      </c>
      <c r="E313" s="34">
        <v>7.4452594851507001E-2</v>
      </c>
    </row>
    <row r="314" spans="2:5" ht="14.5" customHeight="1">
      <c r="B314" s="77" t="s">
        <v>62</v>
      </c>
      <c r="C314" s="64" t="s">
        <v>229</v>
      </c>
      <c r="D314" s="65">
        <v>1</v>
      </c>
      <c r="E314" s="66">
        <v>2.7473282233000001E-5</v>
      </c>
    </row>
    <row r="315" spans="2:5" ht="14.5" customHeight="1">
      <c r="B315" s="83"/>
      <c r="C315" s="64" t="s">
        <v>230</v>
      </c>
      <c r="D315" s="65">
        <v>3</v>
      </c>
      <c r="E315" s="66">
        <v>8.2419846699E-5</v>
      </c>
    </row>
    <row r="316" spans="2:5" ht="14.5" customHeight="1">
      <c r="B316" s="83"/>
      <c r="C316" s="64" t="s">
        <v>232</v>
      </c>
      <c r="D316" s="65">
        <v>4</v>
      </c>
      <c r="E316" s="66">
        <v>1.09893128932E-4</v>
      </c>
    </row>
    <row r="317" spans="2:5" ht="14.5" customHeight="1">
      <c r="B317" s="83"/>
      <c r="C317" s="64" t="s">
        <v>234</v>
      </c>
      <c r="D317" s="65">
        <v>3</v>
      </c>
      <c r="E317" s="66">
        <v>8.2419846699E-5</v>
      </c>
    </row>
    <row r="318" spans="2:5" ht="14.5" customHeight="1">
      <c r="B318" s="83"/>
      <c r="C318" s="64" t="s">
        <v>235</v>
      </c>
      <c r="D318" s="65">
        <v>27</v>
      </c>
      <c r="E318" s="66">
        <v>7.4177862029199996E-4</v>
      </c>
    </row>
    <row r="319" spans="2:5" ht="14.5" customHeight="1">
      <c r="B319" s="83"/>
      <c r="C319" s="64" t="s">
        <v>236</v>
      </c>
      <c r="D319" s="65">
        <v>41</v>
      </c>
      <c r="E319" s="66">
        <v>1.126404571554E-3</v>
      </c>
    </row>
    <row r="320" spans="2:5" ht="14.5" customHeight="1">
      <c r="B320" s="83"/>
      <c r="C320" s="64" t="s">
        <v>237</v>
      </c>
      <c r="D320" s="65">
        <v>8</v>
      </c>
      <c r="E320" s="66">
        <v>2.1978625786400001E-4</v>
      </c>
    </row>
    <row r="321" spans="2:5" ht="14.5" customHeight="1">
      <c r="B321" s="83"/>
      <c r="C321" s="64" t="s">
        <v>238</v>
      </c>
      <c r="D321" s="65">
        <v>13</v>
      </c>
      <c r="E321" s="66">
        <v>3.5715266902900002E-4</v>
      </c>
    </row>
    <row r="322" spans="2:5" ht="14.5" customHeight="1">
      <c r="B322" s="83"/>
      <c r="C322" s="64" t="s">
        <v>239</v>
      </c>
      <c r="D322" s="65">
        <v>35</v>
      </c>
      <c r="E322" s="66">
        <v>9.61564878156E-4</v>
      </c>
    </row>
    <row r="323" spans="2:5" ht="14.5" customHeight="1">
      <c r="B323" s="83"/>
      <c r="C323" s="64" t="s">
        <v>240</v>
      </c>
      <c r="D323" s="65">
        <v>187</v>
      </c>
      <c r="E323" s="66">
        <v>5.137503777576E-3</v>
      </c>
    </row>
    <row r="324" spans="2:5" ht="14.5" customHeight="1">
      <c r="B324" s="83"/>
      <c r="C324" s="64" t="s">
        <v>241</v>
      </c>
      <c r="D324" s="65">
        <v>28</v>
      </c>
      <c r="E324" s="66">
        <v>7.6925190252500003E-4</v>
      </c>
    </row>
    <row r="325" spans="2:5" ht="14.5" customHeight="1">
      <c r="B325" s="83"/>
      <c r="C325" s="64" t="s">
        <v>242</v>
      </c>
      <c r="D325" s="65">
        <v>52</v>
      </c>
      <c r="E325" s="66">
        <v>1.4286106761169999E-3</v>
      </c>
    </row>
    <row r="326" spans="2:5" ht="14.5" customHeight="1">
      <c r="B326" s="83"/>
      <c r="C326" s="64" t="s">
        <v>243</v>
      </c>
      <c r="D326" s="65">
        <v>146</v>
      </c>
      <c r="E326" s="66">
        <v>4.0110992060220004E-3</v>
      </c>
    </row>
    <row r="327" spans="2:5" ht="14.5" customHeight="1">
      <c r="B327" s="83"/>
      <c r="C327" s="64" t="s">
        <v>244</v>
      </c>
      <c r="D327" s="65">
        <v>3</v>
      </c>
      <c r="E327" s="66">
        <v>8.2419846699E-5</v>
      </c>
    </row>
    <row r="328" spans="2:5" ht="14.5" customHeight="1">
      <c r="B328" s="83"/>
      <c r="C328" s="64" t="s">
        <v>245</v>
      </c>
      <c r="D328" s="65">
        <v>3</v>
      </c>
      <c r="E328" s="66">
        <v>8.2419846699E-5</v>
      </c>
    </row>
    <row r="329" spans="2:5" ht="14.5" customHeight="1">
      <c r="B329" s="83"/>
      <c r="C329" s="64" t="s">
        <v>246</v>
      </c>
      <c r="D329" s="65">
        <v>4</v>
      </c>
      <c r="E329" s="66">
        <v>1.09893128932E-4</v>
      </c>
    </row>
    <row r="330" spans="2:5" ht="14.5" customHeight="1">
      <c r="B330" s="83"/>
      <c r="C330" s="64" t="s">
        <v>247</v>
      </c>
      <c r="D330" s="65">
        <v>2</v>
      </c>
      <c r="E330" s="66">
        <v>5.4946564466000002E-5</v>
      </c>
    </row>
    <row r="331" spans="2:5" ht="14.5" customHeight="1">
      <c r="B331" s="83"/>
      <c r="C331" s="64" t="s">
        <v>248</v>
      </c>
      <c r="D331" s="65">
        <v>15</v>
      </c>
      <c r="E331" s="66">
        <v>4.12099233495E-4</v>
      </c>
    </row>
    <row r="332" spans="2:5" ht="14.5" customHeight="1">
      <c r="B332" s="83"/>
      <c r="C332" s="64" t="s">
        <v>249</v>
      </c>
      <c r="D332" s="65">
        <v>23</v>
      </c>
      <c r="E332" s="66">
        <v>6.3188549136E-4</v>
      </c>
    </row>
    <row r="333" spans="2:5" ht="14.5" customHeight="1">
      <c r="B333" s="83"/>
      <c r="C333" s="64" t="s">
        <v>251</v>
      </c>
      <c r="D333" s="65">
        <v>2</v>
      </c>
      <c r="E333" s="66">
        <v>5.4946564466000002E-5</v>
      </c>
    </row>
    <row r="334" spans="2:5" ht="14.5" customHeight="1">
      <c r="B334" s="82"/>
      <c r="C334" s="36" t="s">
        <v>29</v>
      </c>
      <c r="D334" s="35">
        <v>600</v>
      </c>
      <c r="E334" s="34">
        <v>1.6483969339816999E-2</v>
      </c>
    </row>
    <row r="335" spans="2:5" ht="14.5" customHeight="1">
      <c r="B335" s="77" t="s">
        <v>64</v>
      </c>
      <c r="C335" s="64" t="s">
        <v>229</v>
      </c>
      <c r="D335" s="65">
        <v>3</v>
      </c>
      <c r="E335" s="66">
        <v>8.2419846699E-5</v>
      </c>
    </row>
    <row r="336" spans="2:5" ht="14.5" customHeight="1">
      <c r="B336" s="83"/>
      <c r="C336" s="64" t="s">
        <v>230</v>
      </c>
      <c r="D336" s="65">
        <v>2</v>
      </c>
      <c r="E336" s="66">
        <v>5.4946564466000002E-5</v>
      </c>
    </row>
    <row r="337" spans="2:5" ht="14.5" customHeight="1">
      <c r="B337" s="83"/>
      <c r="C337" s="64" t="s">
        <v>232</v>
      </c>
      <c r="D337" s="65">
        <v>2</v>
      </c>
      <c r="E337" s="66">
        <v>5.4946564466000002E-5</v>
      </c>
    </row>
    <row r="338" spans="2:5" ht="14.5" customHeight="1">
      <c r="B338" s="83"/>
      <c r="C338" s="64" t="s">
        <v>233</v>
      </c>
      <c r="D338" s="65">
        <v>2</v>
      </c>
      <c r="E338" s="66">
        <v>5.4946564466000002E-5</v>
      </c>
    </row>
    <row r="339" spans="2:5" ht="14.5" customHeight="1">
      <c r="B339" s="83"/>
      <c r="C339" s="64" t="s">
        <v>234</v>
      </c>
      <c r="D339" s="65">
        <v>2</v>
      </c>
      <c r="E339" s="66">
        <v>5.4946564466000002E-5</v>
      </c>
    </row>
    <row r="340" spans="2:5" ht="14.5" customHeight="1">
      <c r="B340" s="83"/>
      <c r="C340" s="64" t="s">
        <v>235</v>
      </c>
      <c r="D340" s="65">
        <v>18</v>
      </c>
      <c r="E340" s="66">
        <v>4.9451908019499996E-4</v>
      </c>
    </row>
    <row r="341" spans="2:5" ht="14.5" customHeight="1">
      <c r="B341" s="83"/>
      <c r="C341" s="64" t="s">
        <v>236</v>
      </c>
      <c r="D341" s="65">
        <v>44</v>
      </c>
      <c r="E341" s="66">
        <v>1.208824418253E-3</v>
      </c>
    </row>
    <row r="342" spans="2:5" ht="14.5" customHeight="1">
      <c r="B342" s="83"/>
      <c r="C342" s="64" t="s">
        <v>237</v>
      </c>
      <c r="D342" s="65">
        <v>8</v>
      </c>
      <c r="E342" s="66">
        <v>2.1978625786400001E-4</v>
      </c>
    </row>
    <row r="343" spans="2:5" ht="14.5" customHeight="1">
      <c r="B343" s="83"/>
      <c r="C343" s="64" t="s">
        <v>238</v>
      </c>
      <c r="D343" s="65">
        <v>21</v>
      </c>
      <c r="E343" s="66">
        <v>5.7693892689399996E-4</v>
      </c>
    </row>
    <row r="344" spans="2:5" ht="14.5" customHeight="1">
      <c r="B344" s="83"/>
      <c r="C344" s="64" t="s">
        <v>239</v>
      </c>
      <c r="D344" s="65">
        <v>17</v>
      </c>
      <c r="E344" s="66">
        <v>4.6704579796099998E-4</v>
      </c>
    </row>
    <row r="345" spans="2:5" ht="14.5" customHeight="1">
      <c r="B345" s="83"/>
      <c r="C345" s="64" t="s">
        <v>240</v>
      </c>
      <c r="D345" s="65">
        <v>160</v>
      </c>
      <c r="E345" s="66">
        <v>4.3957251572849998E-3</v>
      </c>
    </row>
    <row r="346" spans="2:5" ht="14.5" customHeight="1">
      <c r="B346" s="83"/>
      <c r="C346" s="64" t="s">
        <v>241</v>
      </c>
      <c r="D346" s="65">
        <v>9</v>
      </c>
      <c r="E346" s="66">
        <v>2.47259540097E-4</v>
      </c>
    </row>
    <row r="347" spans="2:5" ht="14.5" customHeight="1">
      <c r="B347" s="83"/>
      <c r="C347" s="64" t="s">
        <v>242</v>
      </c>
      <c r="D347" s="65">
        <v>52</v>
      </c>
      <c r="E347" s="66">
        <v>1.4286106761169999E-3</v>
      </c>
    </row>
    <row r="348" spans="2:5" ht="14.5" customHeight="1">
      <c r="B348" s="83"/>
      <c r="C348" s="64" t="s">
        <v>243</v>
      </c>
      <c r="D348" s="65">
        <v>161</v>
      </c>
      <c r="E348" s="66">
        <v>4.4231984395179998E-3</v>
      </c>
    </row>
    <row r="349" spans="2:5" ht="14.5" customHeight="1">
      <c r="B349" s="83"/>
      <c r="C349" s="64" t="s">
        <v>244</v>
      </c>
      <c r="D349" s="65">
        <v>9</v>
      </c>
      <c r="E349" s="66">
        <v>2.47259540097E-4</v>
      </c>
    </row>
    <row r="350" spans="2:5" ht="14.5" customHeight="1">
      <c r="B350" s="83"/>
      <c r="C350" s="64" t="s">
        <v>245</v>
      </c>
      <c r="D350" s="65">
        <v>7</v>
      </c>
      <c r="E350" s="66">
        <v>1.9231297563099999E-4</v>
      </c>
    </row>
    <row r="351" spans="2:5" ht="14.5" customHeight="1">
      <c r="B351" s="83"/>
      <c r="C351" s="64" t="s">
        <v>246</v>
      </c>
      <c r="D351" s="65">
        <v>3</v>
      </c>
      <c r="E351" s="66">
        <v>8.2419846699E-5</v>
      </c>
    </row>
    <row r="352" spans="2:5" ht="14.5" customHeight="1">
      <c r="B352" s="83"/>
      <c r="C352" s="64" t="s">
        <v>247</v>
      </c>
      <c r="D352" s="65">
        <v>1</v>
      </c>
      <c r="E352" s="66">
        <v>2.7473282233000001E-5</v>
      </c>
    </row>
    <row r="353" spans="2:5" ht="14.5" customHeight="1">
      <c r="B353" s="83"/>
      <c r="C353" s="64" t="s">
        <v>248</v>
      </c>
      <c r="D353" s="65">
        <v>13</v>
      </c>
      <c r="E353" s="66">
        <v>3.5715266902900002E-4</v>
      </c>
    </row>
    <row r="354" spans="2:5" ht="14.5" customHeight="1">
      <c r="B354" s="83"/>
      <c r="C354" s="64" t="s">
        <v>249</v>
      </c>
      <c r="D354" s="65">
        <v>44</v>
      </c>
      <c r="E354" s="66">
        <v>1.208824418253E-3</v>
      </c>
    </row>
    <row r="355" spans="2:5" ht="14.5" customHeight="1">
      <c r="B355" s="83"/>
      <c r="C355" s="64" t="s">
        <v>251</v>
      </c>
      <c r="D355" s="65">
        <v>2</v>
      </c>
      <c r="E355" s="66">
        <v>5.4946564466000002E-5</v>
      </c>
    </row>
    <row r="356" spans="2:5" ht="14.5" customHeight="1">
      <c r="B356" s="82"/>
      <c r="C356" s="36" t="s">
        <v>29</v>
      </c>
      <c r="D356" s="35">
        <v>580</v>
      </c>
      <c r="E356" s="34">
        <v>1.5934503695156001E-2</v>
      </c>
    </row>
    <row r="357" spans="2:5" ht="14.5" customHeight="1">
      <c r="B357" s="77" t="s">
        <v>93</v>
      </c>
      <c r="C357" s="64" t="s">
        <v>234</v>
      </c>
      <c r="D357" s="65">
        <v>1</v>
      </c>
      <c r="E357" s="66">
        <v>2.7473282233000001E-5</v>
      </c>
    </row>
    <row r="358" spans="2:5" ht="14.5" customHeight="1">
      <c r="B358" s="83"/>
      <c r="C358" s="64" t="s">
        <v>235</v>
      </c>
      <c r="D358" s="65">
        <v>2</v>
      </c>
      <c r="E358" s="66">
        <v>5.4946564466000002E-5</v>
      </c>
    </row>
    <row r="359" spans="2:5" ht="14.5" customHeight="1">
      <c r="B359" s="83"/>
      <c r="C359" s="64" t="s">
        <v>236</v>
      </c>
      <c r="D359" s="65">
        <v>4</v>
      </c>
      <c r="E359" s="66">
        <v>1.09893128932E-4</v>
      </c>
    </row>
    <row r="360" spans="2:5" ht="14.5" customHeight="1">
      <c r="B360" s="83"/>
      <c r="C360" s="64" t="s">
        <v>238</v>
      </c>
      <c r="D360" s="65">
        <v>1</v>
      </c>
      <c r="E360" s="66">
        <v>2.7473282233000001E-5</v>
      </c>
    </row>
    <row r="361" spans="2:5" ht="14.5" customHeight="1">
      <c r="B361" s="83"/>
      <c r="C361" s="64" t="s">
        <v>240</v>
      </c>
      <c r="D361" s="65">
        <v>12</v>
      </c>
      <c r="E361" s="66">
        <v>3.29679386796E-4</v>
      </c>
    </row>
    <row r="362" spans="2:5" ht="14.5" customHeight="1">
      <c r="B362" s="83"/>
      <c r="C362" s="64" t="s">
        <v>241</v>
      </c>
      <c r="D362" s="65">
        <v>4</v>
      </c>
      <c r="E362" s="66">
        <v>1.09893128932E-4</v>
      </c>
    </row>
    <row r="363" spans="2:5" ht="14.5" customHeight="1">
      <c r="B363" s="83"/>
      <c r="C363" s="64" t="s">
        <v>242</v>
      </c>
      <c r="D363" s="65">
        <v>6</v>
      </c>
      <c r="E363" s="66">
        <v>1.64839693398E-4</v>
      </c>
    </row>
    <row r="364" spans="2:5" ht="14.5" customHeight="1">
      <c r="B364" s="83"/>
      <c r="C364" s="64" t="s">
        <v>243</v>
      </c>
      <c r="D364" s="65">
        <v>26</v>
      </c>
      <c r="E364" s="66">
        <v>7.14305338059E-4</v>
      </c>
    </row>
    <row r="365" spans="2:5" ht="14.5" customHeight="1">
      <c r="B365" s="83"/>
      <c r="C365" s="64" t="s">
        <v>246</v>
      </c>
      <c r="D365" s="65">
        <v>1</v>
      </c>
      <c r="E365" s="66">
        <v>2.7473282233000001E-5</v>
      </c>
    </row>
    <row r="366" spans="2:5" ht="14.5" customHeight="1">
      <c r="B366" s="83"/>
      <c r="C366" s="64" t="s">
        <v>248</v>
      </c>
      <c r="D366" s="65">
        <v>2</v>
      </c>
      <c r="E366" s="66">
        <v>5.4946564466000002E-5</v>
      </c>
    </row>
    <row r="367" spans="2:5" ht="14.5" customHeight="1">
      <c r="B367" s="83"/>
      <c r="C367" s="64" t="s">
        <v>249</v>
      </c>
      <c r="D367" s="65">
        <v>18</v>
      </c>
      <c r="E367" s="66">
        <v>4.9451908019499996E-4</v>
      </c>
    </row>
    <row r="368" spans="2:5" ht="14.5" customHeight="1">
      <c r="B368" s="83"/>
      <c r="C368" s="64" t="s">
        <v>251</v>
      </c>
      <c r="D368" s="65">
        <v>4</v>
      </c>
      <c r="E368" s="66">
        <v>1.09893128932E-4</v>
      </c>
    </row>
    <row r="369" spans="2:5" ht="14.5" customHeight="1">
      <c r="B369" s="82"/>
      <c r="C369" s="36" t="s">
        <v>29</v>
      </c>
      <c r="D369" s="35">
        <v>81</v>
      </c>
      <c r="E369" s="34">
        <v>2.2253358608749999E-3</v>
      </c>
    </row>
    <row r="370" spans="2:5" ht="14.5" customHeight="1">
      <c r="B370" s="77" t="s">
        <v>58</v>
      </c>
      <c r="C370" s="64" t="s">
        <v>229</v>
      </c>
      <c r="D370" s="65">
        <v>3</v>
      </c>
      <c r="E370" s="66">
        <v>8.2419846699E-5</v>
      </c>
    </row>
    <row r="371" spans="2:5" ht="14.5" customHeight="1">
      <c r="B371" s="83"/>
      <c r="C371" s="64" t="s">
        <v>231</v>
      </c>
      <c r="D371" s="65">
        <v>1</v>
      </c>
      <c r="E371" s="66">
        <v>2.7473282233000001E-5</v>
      </c>
    </row>
    <row r="372" spans="2:5" ht="14.5" customHeight="1">
      <c r="B372" s="83"/>
      <c r="C372" s="64" t="s">
        <v>232</v>
      </c>
      <c r="D372" s="65">
        <v>2</v>
      </c>
      <c r="E372" s="66">
        <v>5.4946564466000002E-5</v>
      </c>
    </row>
    <row r="373" spans="2:5" ht="14.5" customHeight="1">
      <c r="B373" s="83"/>
      <c r="C373" s="64" t="s">
        <v>233</v>
      </c>
      <c r="D373" s="65">
        <v>4</v>
      </c>
      <c r="E373" s="66">
        <v>1.09893128932E-4</v>
      </c>
    </row>
    <row r="374" spans="2:5" ht="14.5" customHeight="1">
      <c r="B374" s="83"/>
      <c r="C374" s="64" t="s">
        <v>234</v>
      </c>
      <c r="D374" s="65">
        <v>1</v>
      </c>
      <c r="E374" s="66">
        <v>2.7473282233000001E-5</v>
      </c>
    </row>
    <row r="375" spans="2:5" ht="14.5" customHeight="1">
      <c r="B375" s="83"/>
      <c r="C375" s="64" t="s">
        <v>235</v>
      </c>
      <c r="D375" s="65">
        <v>50</v>
      </c>
      <c r="E375" s="66">
        <v>1.373664111651E-3</v>
      </c>
    </row>
    <row r="376" spans="2:5" ht="14.5" customHeight="1">
      <c r="B376" s="83"/>
      <c r="C376" s="64" t="s">
        <v>236</v>
      </c>
      <c r="D376" s="65">
        <v>63</v>
      </c>
      <c r="E376" s="66">
        <v>1.7308167806809999E-3</v>
      </c>
    </row>
    <row r="377" spans="2:5" ht="14.5" customHeight="1">
      <c r="B377" s="83"/>
      <c r="C377" s="64" t="s">
        <v>237</v>
      </c>
      <c r="D377" s="65">
        <v>7</v>
      </c>
      <c r="E377" s="66">
        <v>1.9231297563099999E-4</v>
      </c>
    </row>
    <row r="378" spans="2:5" ht="14.5" customHeight="1">
      <c r="B378" s="83"/>
      <c r="C378" s="64" t="s">
        <v>238</v>
      </c>
      <c r="D378" s="65">
        <v>35</v>
      </c>
      <c r="E378" s="66">
        <v>9.61564878156E-4</v>
      </c>
    </row>
    <row r="379" spans="2:5" ht="14.5" customHeight="1">
      <c r="B379" s="83"/>
      <c r="C379" s="64" t="s">
        <v>239</v>
      </c>
      <c r="D379" s="65">
        <v>50</v>
      </c>
      <c r="E379" s="66">
        <v>1.373664111651E-3</v>
      </c>
    </row>
    <row r="380" spans="2:5" ht="14.5" customHeight="1">
      <c r="B380" s="83"/>
      <c r="C380" s="64" t="s">
        <v>240</v>
      </c>
      <c r="D380" s="65">
        <v>282</v>
      </c>
      <c r="E380" s="66">
        <v>7.7474655897140001E-3</v>
      </c>
    </row>
    <row r="381" spans="2:5" ht="14.5" customHeight="1">
      <c r="B381" s="83"/>
      <c r="C381" s="64" t="s">
        <v>241</v>
      </c>
      <c r="D381" s="65">
        <v>31</v>
      </c>
      <c r="E381" s="66">
        <v>8.5167174922400003E-4</v>
      </c>
    </row>
    <row r="382" spans="2:5" ht="14.5" customHeight="1">
      <c r="B382" s="83"/>
      <c r="C382" s="64" t="s">
        <v>242</v>
      </c>
      <c r="D382" s="65">
        <v>83</v>
      </c>
      <c r="E382" s="66">
        <v>2.2802824253410001E-3</v>
      </c>
    </row>
    <row r="383" spans="2:5" ht="14.5" customHeight="1">
      <c r="B383" s="83"/>
      <c r="C383" s="64" t="s">
        <v>243</v>
      </c>
      <c r="D383" s="65">
        <v>275</v>
      </c>
      <c r="E383" s="66">
        <v>7.5551526140829996E-3</v>
      </c>
    </row>
    <row r="384" spans="2:5" ht="14.5" customHeight="1">
      <c r="B384" s="83"/>
      <c r="C384" s="64" t="s">
        <v>244</v>
      </c>
      <c r="D384" s="65">
        <v>5</v>
      </c>
      <c r="E384" s="66">
        <v>1.3736641116500001E-4</v>
      </c>
    </row>
    <row r="385" spans="2:5" ht="14.5" customHeight="1">
      <c r="B385" s="83"/>
      <c r="C385" s="64" t="s">
        <v>245</v>
      </c>
      <c r="D385" s="65">
        <v>11</v>
      </c>
      <c r="E385" s="66">
        <v>3.0220610456299998E-4</v>
      </c>
    </row>
    <row r="386" spans="2:5" ht="14.5" customHeight="1">
      <c r="B386" s="83"/>
      <c r="C386" s="64" t="s">
        <v>246</v>
      </c>
      <c r="D386" s="65">
        <v>1</v>
      </c>
      <c r="E386" s="66">
        <v>2.7473282233000001E-5</v>
      </c>
    </row>
    <row r="387" spans="2:5" ht="14.5" customHeight="1">
      <c r="B387" s="83"/>
      <c r="C387" s="64" t="s">
        <v>247</v>
      </c>
      <c r="D387" s="65">
        <v>4</v>
      </c>
      <c r="E387" s="66">
        <v>1.09893128932E-4</v>
      </c>
    </row>
    <row r="388" spans="2:5" ht="14.5" customHeight="1">
      <c r="B388" s="83"/>
      <c r="C388" s="64" t="s">
        <v>248</v>
      </c>
      <c r="D388" s="65">
        <v>22</v>
      </c>
      <c r="E388" s="66">
        <v>6.0441220912700003E-4</v>
      </c>
    </row>
    <row r="389" spans="2:5" ht="14.5" customHeight="1">
      <c r="B389" s="83"/>
      <c r="C389" s="64" t="s">
        <v>249</v>
      </c>
      <c r="D389" s="65">
        <v>63</v>
      </c>
      <c r="E389" s="66">
        <v>1.7308167806809999E-3</v>
      </c>
    </row>
    <row r="390" spans="2:5" ht="14.5" customHeight="1">
      <c r="B390" s="83"/>
      <c r="C390" s="64" t="s">
        <v>251</v>
      </c>
      <c r="D390" s="65">
        <v>8</v>
      </c>
      <c r="E390" s="66">
        <v>2.1978625786400001E-4</v>
      </c>
    </row>
    <row r="391" spans="2:5" ht="14.5" customHeight="1">
      <c r="B391" s="82"/>
      <c r="C391" s="36" t="s">
        <v>29</v>
      </c>
      <c r="D391" s="35">
        <v>1001</v>
      </c>
      <c r="E391" s="34">
        <v>2.7500755515260999E-2</v>
      </c>
    </row>
    <row r="392" spans="2:5" ht="14.5" customHeight="1">
      <c r="B392" s="77" t="s">
        <v>60</v>
      </c>
      <c r="C392" s="64" t="s">
        <v>229</v>
      </c>
      <c r="D392" s="65">
        <v>4</v>
      </c>
      <c r="E392" s="66">
        <v>1.09893128932E-4</v>
      </c>
    </row>
    <row r="393" spans="2:5" ht="14.5" customHeight="1">
      <c r="B393" s="83"/>
      <c r="C393" s="64" t="s">
        <v>230</v>
      </c>
      <c r="D393" s="65">
        <v>1</v>
      </c>
      <c r="E393" s="66">
        <v>2.7473282233000001E-5</v>
      </c>
    </row>
    <row r="394" spans="2:5" ht="14.5" customHeight="1">
      <c r="B394" s="83"/>
      <c r="C394" s="64" t="s">
        <v>231</v>
      </c>
      <c r="D394" s="65">
        <v>4</v>
      </c>
      <c r="E394" s="66">
        <v>1.09893128932E-4</v>
      </c>
    </row>
    <row r="395" spans="2:5" ht="14.5" customHeight="1">
      <c r="B395" s="83"/>
      <c r="C395" s="64" t="s">
        <v>232</v>
      </c>
      <c r="D395" s="65">
        <v>3</v>
      </c>
      <c r="E395" s="66">
        <v>8.2419846699E-5</v>
      </c>
    </row>
    <row r="396" spans="2:5" ht="14.5" customHeight="1">
      <c r="B396" s="83"/>
      <c r="C396" s="64" t="s">
        <v>233</v>
      </c>
      <c r="D396" s="65">
        <v>5</v>
      </c>
      <c r="E396" s="66">
        <v>1.3736641116500001E-4</v>
      </c>
    </row>
    <row r="397" spans="2:5" ht="14.5" customHeight="1">
      <c r="B397" s="83"/>
      <c r="C397" s="64" t="s">
        <v>234</v>
      </c>
      <c r="D397" s="65">
        <v>8</v>
      </c>
      <c r="E397" s="66">
        <v>2.1978625786400001E-4</v>
      </c>
    </row>
    <row r="398" spans="2:5" ht="14.5" customHeight="1">
      <c r="B398" s="83"/>
      <c r="C398" s="64" t="s">
        <v>235</v>
      </c>
      <c r="D398" s="65">
        <v>20</v>
      </c>
      <c r="E398" s="66">
        <v>5.49465644661E-4</v>
      </c>
    </row>
    <row r="399" spans="2:5" ht="14.5" customHeight="1">
      <c r="B399" s="83"/>
      <c r="C399" s="64" t="s">
        <v>236</v>
      </c>
      <c r="D399" s="65">
        <v>59</v>
      </c>
      <c r="E399" s="66">
        <v>1.6209236517490001E-3</v>
      </c>
    </row>
    <row r="400" spans="2:5" ht="14.5" customHeight="1">
      <c r="B400" s="83"/>
      <c r="C400" s="64" t="s">
        <v>237</v>
      </c>
      <c r="D400" s="65">
        <v>3</v>
      </c>
      <c r="E400" s="66">
        <v>8.2419846699E-5</v>
      </c>
    </row>
    <row r="401" spans="2:5" ht="14.5" customHeight="1">
      <c r="B401" s="83"/>
      <c r="C401" s="64" t="s">
        <v>238</v>
      </c>
      <c r="D401" s="65">
        <v>13</v>
      </c>
      <c r="E401" s="66">
        <v>3.5715266902900002E-4</v>
      </c>
    </row>
    <row r="402" spans="2:5" ht="14.5" customHeight="1">
      <c r="B402" s="83"/>
      <c r="C402" s="64" t="s">
        <v>239</v>
      </c>
      <c r="D402" s="65">
        <v>37</v>
      </c>
      <c r="E402" s="66">
        <v>1.0165114426219999E-3</v>
      </c>
    </row>
    <row r="403" spans="2:5" ht="14.5" customHeight="1">
      <c r="B403" s="83"/>
      <c r="C403" s="64" t="s">
        <v>240</v>
      </c>
      <c r="D403" s="65">
        <v>229</v>
      </c>
      <c r="E403" s="66">
        <v>6.2913816313629996E-3</v>
      </c>
    </row>
    <row r="404" spans="2:5" ht="14.5" customHeight="1">
      <c r="B404" s="83"/>
      <c r="C404" s="64" t="s">
        <v>241</v>
      </c>
      <c r="D404" s="65">
        <v>16</v>
      </c>
      <c r="E404" s="66">
        <v>4.3957251572800002E-4</v>
      </c>
    </row>
    <row r="405" spans="2:5" ht="14.5" customHeight="1">
      <c r="B405" s="83"/>
      <c r="C405" s="64" t="s">
        <v>242</v>
      </c>
      <c r="D405" s="65">
        <v>67</v>
      </c>
      <c r="E405" s="66">
        <v>1.840709909613E-3</v>
      </c>
    </row>
    <row r="406" spans="2:5" ht="14.5" customHeight="1">
      <c r="B406" s="83"/>
      <c r="C406" s="64" t="s">
        <v>243</v>
      </c>
      <c r="D406" s="65">
        <v>166</v>
      </c>
      <c r="E406" s="66">
        <v>4.5605648506830002E-3</v>
      </c>
    </row>
    <row r="407" spans="2:5" ht="14.5" customHeight="1">
      <c r="B407" s="83"/>
      <c r="C407" s="64" t="s">
        <v>244</v>
      </c>
      <c r="D407" s="65">
        <v>2</v>
      </c>
      <c r="E407" s="66">
        <v>5.4946564466000002E-5</v>
      </c>
    </row>
    <row r="408" spans="2:5" ht="14.5" customHeight="1">
      <c r="B408" s="83"/>
      <c r="C408" s="64" t="s">
        <v>247</v>
      </c>
      <c r="D408" s="65">
        <v>2</v>
      </c>
      <c r="E408" s="66">
        <v>5.4946564466000002E-5</v>
      </c>
    </row>
    <row r="409" spans="2:5" ht="14.5" customHeight="1">
      <c r="B409" s="83"/>
      <c r="C409" s="64" t="s">
        <v>248</v>
      </c>
      <c r="D409" s="65">
        <v>17</v>
      </c>
      <c r="E409" s="66">
        <v>4.6704579796099998E-4</v>
      </c>
    </row>
    <row r="410" spans="2:5" ht="14.5" customHeight="1">
      <c r="B410" s="83"/>
      <c r="C410" s="64" t="s">
        <v>249</v>
      </c>
      <c r="D410" s="65">
        <v>19</v>
      </c>
      <c r="E410" s="66">
        <v>5.2199236242800003E-4</v>
      </c>
    </row>
    <row r="411" spans="2:5" ht="14.5" customHeight="1">
      <c r="B411" s="82"/>
      <c r="C411" s="36" t="s">
        <v>29</v>
      </c>
      <c r="D411" s="35">
        <v>675</v>
      </c>
      <c r="E411" s="34">
        <v>1.8544465507294002E-2</v>
      </c>
    </row>
    <row r="412" spans="2:5" ht="14.5" customHeight="1">
      <c r="B412" s="77" t="s">
        <v>51</v>
      </c>
      <c r="C412" s="64" t="s">
        <v>229</v>
      </c>
      <c r="D412" s="65">
        <v>16</v>
      </c>
      <c r="E412" s="66">
        <v>4.3957251572800002E-4</v>
      </c>
    </row>
    <row r="413" spans="2:5" ht="14.5" customHeight="1">
      <c r="B413" s="83"/>
      <c r="C413" s="64" t="s">
        <v>230</v>
      </c>
      <c r="D413" s="65">
        <v>16</v>
      </c>
      <c r="E413" s="66">
        <v>4.3957251572800002E-4</v>
      </c>
    </row>
    <row r="414" spans="2:5" ht="14.5" customHeight="1">
      <c r="B414" s="83"/>
      <c r="C414" s="64" t="s">
        <v>231</v>
      </c>
      <c r="D414" s="65">
        <v>14</v>
      </c>
      <c r="E414" s="66">
        <v>3.8462595126199998E-4</v>
      </c>
    </row>
    <row r="415" spans="2:5" ht="14.5" customHeight="1">
      <c r="B415" s="83"/>
      <c r="C415" s="64" t="s">
        <v>232</v>
      </c>
      <c r="D415" s="65">
        <v>21</v>
      </c>
      <c r="E415" s="66">
        <v>5.7693892689399996E-4</v>
      </c>
    </row>
    <row r="416" spans="2:5" ht="14.5" customHeight="1">
      <c r="B416" s="83"/>
      <c r="C416" s="64" t="s">
        <v>233</v>
      </c>
      <c r="D416" s="65">
        <v>14</v>
      </c>
      <c r="E416" s="66">
        <v>3.8462595126199998E-4</v>
      </c>
    </row>
    <row r="417" spans="2:5" ht="14.5" customHeight="1">
      <c r="B417" s="83"/>
      <c r="C417" s="64" t="s">
        <v>234</v>
      </c>
      <c r="D417" s="65">
        <v>34</v>
      </c>
      <c r="E417" s="66">
        <v>9.3409159592300003E-4</v>
      </c>
    </row>
    <row r="418" spans="2:5" ht="14.5" customHeight="1">
      <c r="B418" s="83"/>
      <c r="C418" s="64" t="s">
        <v>235</v>
      </c>
      <c r="D418" s="65">
        <v>265</v>
      </c>
      <c r="E418" s="66">
        <v>7.2804197917529997E-3</v>
      </c>
    </row>
    <row r="419" spans="2:5" ht="14.5" customHeight="1">
      <c r="B419" s="83"/>
      <c r="C419" s="64" t="s">
        <v>236</v>
      </c>
      <c r="D419" s="65">
        <v>460</v>
      </c>
      <c r="E419" s="66">
        <v>1.2637709827193E-2</v>
      </c>
    </row>
    <row r="420" spans="2:5" ht="14.5" customHeight="1">
      <c r="B420" s="83"/>
      <c r="C420" s="64" t="s">
        <v>237</v>
      </c>
      <c r="D420" s="65">
        <v>42</v>
      </c>
      <c r="E420" s="66">
        <v>1.1538778537870001E-3</v>
      </c>
    </row>
    <row r="421" spans="2:5" ht="14.5" customHeight="1">
      <c r="B421" s="83"/>
      <c r="C421" s="64" t="s">
        <v>238</v>
      </c>
      <c r="D421" s="65">
        <v>97</v>
      </c>
      <c r="E421" s="66">
        <v>2.6649083766039998E-3</v>
      </c>
    </row>
    <row r="422" spans="2:5" ht="14.5" customHeight="1">
      <c r="B422" s="83"/>
      <c r="C422" s="64" t="s">
        <v>239</v>
      </c>
      <c r="D422" s="65">
        <v>175</v>
      </c>
      <c r="E422" s="66">
        <v>4.80782439078E-3</v>
      </c>
    </row>
    <row r="423" spans="2:5" ht="14.5" customHeight="1">
      <c r="B423" s="83"/>
      <c r="C423" s="64" t="s">
        <v>240</v>
      </c>
      <c r="D423" s="65">
        <v>1447</v>
      </c>
      <c r="E423" s="66">
        <v>3.9753839391192002E-2</v>
      </c>
    </row>
    <row r="424" spans="2:5" ht="14.5" customHeight="1">
      <c r="B424" s="83"/>
      <c r="C424" s="64" t="s">
        <v>241</v>
      </c>
      <c r="D424" s="65">
        <v>114</v>
      </c>
      <c r="E424" s="66">
        <v>3.1319541745650002E-3</v>
      </c>
    </row>
    <row r="425" spans="2:5" ht="14.5" customHeight="1">
      <c r="B425" s="83"/>
      <c r="C425" s="64" t="s">
        <v>242</v>
      </c>
      <c r="D425" s="65">
        <v>278</v>
      </c>
      <c r="E425" s="66">
        <v>7.6375724607819998E-3</v>
      </c>
    </row>
    <row r="426" spans="2:5" ht="14.5" customHeight="1">
      <c r="B426" s="83"/>
      <c r="C426" s="64" t="s">
        <v>243</v>
      </c>
      <c r="D426" s="65">
        <v>1246</v>
      </c>
      <c r="E426" s="66">
        <v>3.4231709662352998E-2</v>
      </c>
    </row>
    <row r="427" spans="2:5" ht="14.5" customHeight="1">
      <c r="B427" s="83"/>
      <c r="C427" s="64" t="s">
        <v>244</v>
      </c>
      <c r="D427" s="65">
        <v>25</v>
      </c>
      <c r="E427" s="66">
        <v>6.8683205582600003E-4</v>
      </c>
    </row>
    <row r="428" spans="2:5" ht="14.5" customHeight="1">
      <c r="B428" s="83"/>
      <c r="C428" s="64" t="s">
        <v>245</v>
      </c>
      <c r="D428" s="65">
        <v>23</v>
      </c>
      <c r="E428" s="66">
        <v>6.3188549136E-4</v>
      </c>
    </row>
    <row r="429" spans="2:5" ht="14.5" customHeight="1">
      <c r="B429" s="83"/>
      <c r="C429" s="64" t="s">
        <v>246</v>
      </c>
      <c r="D429" s="65">
        <v>11</v>
      </c>
      <c r="E429" s="66">
        <v>3.0220610456299998E-4</v>
      </c>
    </row>
    <row r="430" spans="2:5" ht="14.5" customHeight="1">
      <c r="B430" s="83"/>
      <c r="C430" s="64" t="s">
        <v>247</v>
      </c>
      <c r="D430" s="65">
        <v>6</v>
      </c>
      <c r="E430" s="66">
        <v>1.64839693398E-4</v>
      </c>
    </row>
    <row r="431" spans="2:5" ht="14.5" customHeight="1">
      <c r="B431" s="83"/>
      <c r="C431" s="64" t="s">
        <v>248</v>
      </c>
      <c r="D431" s="65">
        <v>100</v>
      </c>
      <c r="E431" s="66">
        <v>2.7473282233030001E-3</v>
      </c>
    </row>
    <row r="432" spans="2:5" ht="14.5" customHeight="1">
      <c r="B432" s="83"/>
      <c r="C432" s="64" t="s">
        <v>249</v>
      </c>
      <c r="D432" s="65">
        <v>204</v>
      </c>
      <c r="E432" s="66">
        <v>5.6045495755380004E-3</v>
      </c>
    </row>
    <row r="433" spans="2:5" ht="14.5" customHeight="1">
      <c r="B433" s="83"/>
      <c r="C433" s="64" t="s">
        <v>251</v>
      </c>
      <c r="D433" s="65">
        <v>8</v>
      </c>
      <c r="E433" s="66">
        <v>2.1978625786400001E-4</v>
      </c>
    </row>
    <row r="434" spans="2:5" ht="14.5" customHeight="1">
      <c r="B434" s="83"/>
      <c r="C434" s="64" t="s">
        <v>252</v>
      </c>
      <c r="D434" s="65">
        <v>4</v>
      </c>
      <c r="E434" s="66">
        <v>1.09893128932E-4</v>
      </c>
    </row>
    <row r="435" spans="2:5" ht="14.5" customHeight="1">
      <c r="B435" s="82"/>
      <c r="C435" s="36" t="s">
        <v>29</v>
      </c>
      <c r="D435" s="35">
        <v>4620</v>
      </c>
      <c r="E435" s="34">
        <v>0.12692656391659099</v>
      </c>
    </row>
    <row r="436" spans="2:5" ht="14.5" customHeight="1">
      <c r="B436" s="77" t="s">
        <v>81</v>
      </c>
      <c r="C436" s="64" t="s">
        <v>231</v>
      </c>
      <c r="D436" s="65">
        <v>2</v>
      </c>
      <c r="E436" s="66">
        <v>5.4946564466000002E-5</v>
      </c>
    </row>
    <row r="437" spans="2:5" ht="14.5" customHeight="1">
      <c r="B437" s="83"/>
      <c r="C437" s="64" t="s">
        <v>232</v>
      </c>
      <c r="D437" s="65">
        <v>1</v>
      </c>
      <c r="E437" s="66">
        <v>2.7473282233000001E-5</v>
      </c>
    </row>
    <row r="438" spans="2:5" ht="14.5" customHeight="1">
      <c r="B438" s="83"/>
      <c r="C438" s="64" t="s">
        <v>234</v>
      </c>
      <c r="D438" s="65">
        <v>2</v>
      </c>
      <c r="E438" s="66">
        <v>5.4946564466000002E-5</v>
      </c>
    </row>
    <row r="439" spans="2:5" ht="14.5" customHeight="1">
      <c r="B439" s="83"/>
      <c r="C439" s="64" t="s">
        <v>235</v>
      </c>
      <c r="D439" s="65">
        <v>7</v>
      </c>
      <c r="E439" s="66">
        <v>1.9231297563099999E-4</v>
      </c>
    </row>
    <row r="440" spans="2:5" ht="14.5" customHeight="1">
      <c r="B440" s="83"/>
      <c r="C440" s="64" t="s">
        <v>236</v>
      </c>
      <c r="D440" s="65">
        <v>11</v>
      </c>
      <c r="E440" s="66">
        <v>3.0220610456299998E-4</v>
      </c>
    </row>
    <row r="441" spans="2:5" ht="14.5" customHeight="1">
      <c r="B441" s="83"/>
      <c r="C441" s="64" t="s">
        <v>237</v>
      </c>
      <c r="D441" s="65">
        <v>3</v>
      </c>
      <c r="E441" s="66">
        <v>8.2419846699E-5</v>
      </c>
    </row>
    <row r="442" spans="2:5" ht="14.5" customHeight="1">
      <c r="B442" s="83"/>
      <c r="C442" s="64" t="s">
        <v>238</v>
      </c>
      <c r="D442" s="65">
        <v>8</v>
      </c>
      <c r="E442" s="66">
        <v>2.1978625786400001E-4</v>
      </c>
    </row>
    <row r="443" spans="2:5" ht="14.5" customHeight="1">
      <c r="B443" s="83"/>
      <c r="C443" s="64" t="s">
        <v>239</v>
      </c>
      <c r="D443" s="65">
        <v>13</v>
      </c>
      <c r="E443" s="66">
        <v>3.5715266902900002E-4</v>
      </c>
    </row>
    <row r="444" spans="2:5" ht="14.5" customHeight="1">
      <c r="B444" s="83"/>
      <c r="C444" s="64" t="s">
        <v>240</v>
      </c>
      <c r="D444" s="65">
        <v>62</v>
      </c>
      <c r="E444" s="66">
        <v>1.7033434984480001E-3</v>
      </c>
    </row>
    <row r="445" spans="2:5" ht="14.5" customHeight="1">
      <c r="B445" s="83"/>
      <c r="C445" s="64" t="s">
        <v>241</v>
      </c>
      <c r="D445" s="65">
        <v>12</v>
      </c>
      <c r="E445" s="66">
        <v>3.29679386796E-4</v>
      </c>
    </row>
    <row r="446" spans="2:5" ht="14.5" customHeight="1">
      <c r="B446" s="83"/>
      <c r="C446" s="64" t="s">
        <v>242</v>
      </c>
      <c r="D446" s="65">
        <v>17</v>
      </c>
      <c r="E446" s="66">
        <v>4.6704579796099998E-4</v>
      </c>
    </row>
    <row r="447" spans="2:5" ht="14.5" customHeight="1">
      <c r="B447" s="83"/>
      <c r="C447" s="64" t="s">
        <v>243</v>
      </c>
      <c r="D447" s="65">
        <v>67</v>
      </c>
      <c r="E447" s="66">
        <v>1.840709909613E-3</v>
      </c>
    </row>
    <row r="448" spans="2:5" ht="14.5" customHeight="1">
      <c r="B448" s="83"/>
      <c r="C448" s="64" t="s">
        <v>244</v>
      </c>
      <c r="D448" s="65">
        <v>3</v>
      </c>
      <c r="E448" s="66">
        <v>8.2419846699E-5</v>
      </c>
    </row>
    <row r="449" spans="2:5" ht="14.5" customHeight="1">
      <c r="B449" s="83"/>
      <c r="C449" s="64" t="s">
        <v>245</v>
      </c>
      <c r="D449" s="65">
        <v>7</v>
      </c>
      <c r="E449" s="66">
        <v>1.9231297563099999E-4</v>
      </c>
    </row>
    <row r="450" spans="2:5" ht="14.5" customHeight="1">
      <c r="B450" s="83"/>
      <c r="C450" s="64" t="s">
        <v>246</v>
      </c>
      <c r="D450" s="65">
        <v>1</v>
      </c>
      <c r="E450" s="66">
        <v>2.7473282233000001E-5</v>
      </c>
    </row>
    <row r="451" spans="2:5" ht="14.5" customHeight="1">
      <c r="B451" s="83"/>
      <c r="C451" s="64" t="s">
        <v>247</v>
      </c>
      <c r="D451" s="65">
        <v>1</v>
      </c>
      <c r="E451" s="66">
        <v>2.7473282233000001E-5</v>
      </c>
    </row>
    <row r="452" spans="2:5" ht="14.5" customHeight="1">
      <c r="B452" s="83"/>
      <c r="C452" s="64" t="s">
        <v>248</v>
      </c>
      <c r="D452" s="65">
        <v>4</v>
      </c>
      <c r="E452" s="66">
        <v>1.09893128932E-4</v>
      </c>
    </row>
    <row r="453" spans="2:5" ht="14.5" customHeight="1">
      <c r="B453" s="83"/>
      <c r="C453" s="64" t="s">
        <v>249</v>
      </c>
      <c r="D453" s="65">
        <v>44</v>
      </c>
      <c r="E453" s="66">
        <v>1.208824418253E-3</v>
      </c>
    </row>
    <row r="454" spans="2:5" ht="14.5" customHeight="1">
      <c r="B454" s="83"/>
      <c r="C454" s="64" t="s">
        <v>251</v>
      </c>
      <c r="D454" s="65">
        <v>4</v>
      </c>
      <c r="E454" s="66">
        <v>1.09893128932E-4</v>
      </c>
    </row>
    <row r="455" spans="2:5" ht="14.5" customHeight="1">
      <c r="B455" s="83"/>
      <c r="C455" s="64" t="s">
        <v>252</v>
      </c>
      <c r="D455" s="65">
        <v>3</v>
      </c>
      <c r="E455" s="66">
        <v>8.2419846699E-5</v>
      </c>
    </row>
    <row r="456" spans="2:5" ht="14.5" customHeight="1">
      <c r="B456" s="82"/>
      <c r="C456" s="36" t="s">
        <v>29</v>
      </c>
      <c r="D456" s="35">
        <v>272</v>
      </c>
      <c r="E456" s="34">
        <v>7.4727327673840003E-3</v>
      </c>
    </row>
    <row r="457" spans="2:5" ht="14.5" customHeight="1">
      <c r="B457" s="77" t="s">
        <v>74</v>
      </c>
      <c r="C457" s="64" t="s">
        <v>229</v>
      </c>
      <c r="D457" s="65">
        <v>5</v>
      </c>
      <c r="E457" s="66">
        <v>1.3736641116500001E-4</v>
      </c>
    </row>
    <row r="458" spans="2:5" ht="14.5" customHeight="1">
      <c r="B458" s="83"/>
      <c r="C458" s="64" t="s">
        <v>231</v>
      </c>
      <c r="D458" s="65">
        <v>2</v>
      </c>
      <c r="E458" s="66">
        <v>5.4946564466000002E-5</v>
      </c>
    </row>
    <row r="459" spans="2:5" ht="14.5" customHeight="1">
      <c r="B459" s="83"/>
      <c r="C459" s="64" t="s">
        <v>232</v>
      </c>
      <c r="D459" s="65">
        <v>4</v>
      </c>
      <c r="E459" s="66">
        <v>1.09893128932E-4</v>
      </c>
    </row>
    <row r="460" spans="2:5" ht="14.5" customHeight="1">
      <c r="B460" s="83"/>
      <c r="C460" s="64" t="s">
        <v>233</v>
      </c>
      <c r="D460" s="65">
        <v>4</v>
      </c>
      <c r="E460" s="66">
        <v>1.09893128932E-4</v>
      </c>
    </row>
    <row r="461" spans="2:5" ht="14.5" customHeight="1">
      <c r="B461" s="83"/>
      <c r="C461" s="64" t="s">
        <v>234</v>
      </c>
      <c r="D461" s="65">
        <v>4</v>
      </c>
      <c r="E461" s="66">
        <v>1.09893128932E-4</v>
      </c>
    </row>
    <row r="462" spans="2:5" ht="14.5" customHeight="1">
      <c r="B462" s="83"/>
      <c r="C462" s="64" t="s">
        <v>235</v>
      </c>
      <c r="D462" s="65">
        <v>14</v>
      </c>
      <c r="E462" s="66">
        <v>3.8462595126199998E-4</v>
      </c>
    </row>
    <row r="463" spans="2:5" ht="14.5" customHeight="1">
      <c r="B463" s="83"/>
      <c r="C463" s="64" t="s">
        <v>236</v>
      </c>
      <c r="D463" s="65">
        <v>35</v>
      </c>
      <c r="E463" s="66">
        <v>9.61564878156E-4</v>
      </c>
    </row>
    <row r="464" spans="2:5" ht="14.5" customHeight="1">
      <c r="B464" s="83"/>
      <c r="C464" s="64" t="s">
        <v>237</v>
      </c>
      <c r="D464" s="65">
        <v>9</v>
      </c>
      <c r="E464" s="66">
        <v>2.47259540097E-4</v>
      </c>
    </row>
    <row r="465" spans="2:5" ht="14.5" customHeight="1">
      <c r="B465" s="83"/>
      <c r="C465" s="64" t="s">
        <v>238</v>
      </c>
      <c r="D465" s="65">
        <v>14</v>
      </c>
      <c r="E465" s="66">
        <v>3.8462595126199998E-4</v>
      </c>
    </row>
    <row r="466" spans="2:5" ht="14.5" customHeight="1">
      <c r="B466" s="83"/>
      <c r="C466" s="64" t="s">
        <v>239</v>
      </c>
      <c r="D466" s="65">
        <v>14</v>
      </c>
      <c r="E466" s="66">
        <v>3.8462595126199998E-4</v>
      </c>
    </row>
    <row r="467" spans="2:5" ht="14.5" customHeight="1">
      <c r="B467" s="83"/>
      <c r="C467" s="64" t="s">
        <v>240</v>
      </c>
      <c r="D467" s="65">
        <v>174</v>
      </c>
      <c r="E467" s="66">
        <v>4.7803511085469999E-3</v>
      </c>
    </row>
    <row r="468" spans="2:5" ht="14.5" customHeight="1">
      <c r="B468" s="83"/>
      <c r="C468" s="64" t="s">
        <v>241</v>
      </c>
      <c r="D468" s="65">
        <v>17</v>
      </c>
      <c r="E468" s="66">
        <v>4.6704579796099998E-4</v>
      </c>
    </row>
    <row r="469" spans="2:5" ht="14.5" customHeight="1">
      <c r="B469" s="83"/>
      <c r="C469" s="64" t="s">
        <v>242</v>
      </c>
      <c r="D469" s="65">
        <v>36</v>
      </c>
      <c r="E469" s="66">
        <v>9.8903816038900007E-4</v>
      </c>
    </row>
    <row r="470" spans="2:5" ht="14.5" customHeight="1">
      <c r="B470" s="83"/>
      <c r="C470" s="64" t="s">
        <v>243</v>
      </c>
      <c r="D470" s="65">
        <v>96</v>
      </c>
      <c r="E470" s="66">
        <v>2.6374350943710002E-3</v>
      </c>
    </row>
    <row r="471" spans="2:5" ht="14.5" customHeight="1">
      <c r="B471" s="83"/>
      <c r="C471" s="64" t="s">
        <v>245</v>
      </c>
      <c r="D471" s="65">
        <v>1</v>
      </c>
      <c r="E471" s="66">
        <v>2.7473282233000001E-5</v>
      </c>
    </row>
    <row r="472" spans="2:5" ht="14.5" customHeight="1">
      <c r="B472" s="83"/>
      <c r="C472" s="64" t="s">
        <v>246</v>
      </c>
      <c r="D472" s="65">
        <v>2</v>
      </c>
      <c r="E472" s="66">
        <v>5.4946564466000002E-5</v>
      </c>
    </row>
    <row r="473" spans="2:5" ht="14.5" customHeight="1">
      <c r="B473" s="83"/>
      <c r="C473" s="64" t="s">
        <v>248</v>
      </c>
      <c r="D473" s="65">
        <v>9</v>
      </c>
      <c r="E473" s="66">
        <v>2.47259540097E-4</v>
      </c>
    </row>
    <row r="474" spans="2:5" ht="14.5" customHeight="1">
      <c r="B474" s="83"/>
      <c r="C474" s="64" t="s">
        <v>249</v>
      </c>
      <c r="D474" s="65">
        <v>40</v>
      </c>
      <c r="E474" s="66">
        <v>1.0989312893209999E-3</v>
      </c>
    </row>
    <row r="475" spans="2:5" ht="14.5" customHeight="1">
      <c r="B475" s="83"/>
      <c r="C475" s="64" t="s">
        <v>251</v>
      </c>
      <c r="D475" s="65">
        <v>9</v>
      </c>
      <c r="E475" s="66">
        <v>2.47259540097E-4</v>
      </c>
    </row>
    <row r="476" spans="2:5" ht="14.5" customHeight="1">
      <c r="B476" s="82"/>
      <c r="C476" s="36" t="s">
        <v>29</v>
      </c>
      <c r="D476" s="35">
        <v>489</v>
      </c>
      <c r="E476" s="34">
        <v>1.3434435011951001E-2</v>
      </c>
    </row>
    <row r="477" spans="2:5" ht="14.5" customHeight="1">
      <c r="B477" s="77" t="s">
        <v>80</v>
      </c>
      <c r="C477" s="64" t="s">
        <v>229</v>
      </c>
      <c r="D477" s="65">
        <v>1</v>
      </c>
      <c r="E477" s="66">
        <v>2.7473282233000001E-5</v>
      </c>
    </row>
    <row r="478" spans="2:5" ht="14.5" customHeight="1">
      <c r="B478" s="83"/>
      <c r="C478" s="64" t="s">
        <v>231</v>
      </c>
      <c r="D478" s="65">
        <v>1</v>
      </c>
      <c r="E478" s="66">
        <v>2.7473282233000001E-5</v>
      </c>
    </row>
    <row r="479" spans="2:5" ht="14.5" customHeight="1">
      <c r="B479" s="83"/>
      <c r="C479" s="64" t="s">
        <v>232</v>
      </c>
      <c r="D479" s="65">
        <v>2</v>
      </c>
      <c r="E479" s="66">
        <v>5.4946564466000002E-5</v>
      </c>
    </row>
    <row r="480" spans="2:5" ht="14.5" customHeight="1">
      <c r="B480" s="83"/>
      <c r="C480" s="64" t="s">
        <v>233</v>
      </c>
      <c r="D480" s="65">
        <v>1</v>
      </c>
      <c r="E480" s="66">
        <v>2.7473282233000001E-5</v>
      </c>
    </row>
    <row r="481" spans="2:5" ht="14.5" customHeight="1">
      <c r="B481" s="83"/>
      <c r="C481" s="64" t="s">
        <v>234</v>
      </c>
      <c r="D481" s="65">
        <v>1</v>
      </c>
      <c r="E481" s="66">
        <v>2.7473282233000001E-5</v>
      </c>
    </row>
    <row r="482" spans="2:5" ht="14.5" customHeight="1">
      <c r="B482" s="83"/>
      <c r="C482" s="64" t="s">
        <v>235</v>
      </c>
      <c r="D482" s="65">
        <v>6</v>
      </c>
      <c r="E482" s="66">
        <v>1.64839693398E-4</v>
      </c>
    </row>
    <row r="483" spans="2:5" ht="14.5" customHeight="1">
      <c r="B483" s="83"/>
      <c r="C483" s="64" t="s">
        <v>236</v>
      </c>
      <c r="D483" s="65">
        <v>21</v>
      </c>
      <c r="E483" s="66">
        <v>5.7693892689399996E-4</v>
      </c>
    </row>
    <row r="484" spans="2:5" ht="14.5" customHeight="1">
      <c r="B484" s="83"/>
      <c r="C484" s="64" t="s">
        <v>237</v>
      </c>
      <c r="D484" s="65">
        <v>4</v>
      </c>
      <c r="E484" s="66">
        <v>1.09893128932E-4</v>
      </c>
    </row>
    <row r="485" spans="2:5" ht="14.5" customHeight="1">
      <c r="B485" s="83"/>
      <c r="C485" s="64" t="s">
        <v>238</v>
      </c>
      <c r="D485" s="65">
        <v>6</v>
      </c>
      <c r="E485" s="66">
        <v>1.64839693398E-4</v>
      </c>
    </row>
    <row r="486" spans="2:5" ht="14.5" customHeight="1">
      <c r="B486" s="83"/>
      <c r="C486" s="64" t="s">
        <v>239</v>
      </c>
      <c r="D486" s="65">
        <v>18</v>
      </c>
      <c r="E486" s="66">
        <v>4.9451908019499996E-4</v>
      </c>
    </row>
    <row r="487" spans="2:5" ht="14.5" customHeight="1">
      <c r="B487" s="83"/>
      <c r="C487" s="64" t="s">
        <v>240</v>
      </c>
      <c r="D487" s="65">
        <v>93</v>
      </c>
      <c r="E487" s="66">
        <v>2.555015247672E-3</v>
      </c>
    </row>
    <row r="488" spans="2:5" ht="14.5" customHeight="1">
      <c r="B488" s="83"/>
      <c r="C488" s="64" t="s">
        <v>241</v>
      </c>
      <c r="D488" s="65">
        <v>7</v>
      </c>
      <c r="E488" s="66">
        <v>1.9231297563099999E-4</v>
      </c>
    </row>
    <row r="489" spans="2:5" ht="14.5" customHeight="1">
      <c r="B489" s="83"/>
      <c r="C489" s="64" t="s">
        <v>242</v>
      </c>
      <c r="D489" s="65">
        <v>19</v>
      </c>
      <c r="E489" s="66">
        <v>5.2199236242800003E-4</v>
      </c>
    </row>
    <row r="490" spans="2:5" ht="14.5" customHeight="1">
      <c r="B490" s="83"/>
      <c r="C490" s="64" t="s">
        <v>243</v>
      </c>
      <c r="D490" s="65">
        <v>63</v>
      </c>
      <c r="E490" s="66">
        <v>1.7308167806809999E-3</v>
      </c>
    </row>
    <row r="491" spans="2:5" ht="14.5" customHeight="1">
      <c r="B491" s="83"/>
      <c r="C491" s="64" t="s">
        <v>244</v>
      </c>
      <c r="D491" s="65">
        <v>4</v>
      </c>
      <c r="E491" s="66">
        <v>1.09893128932E-4</v>
      </c>
    </row>
    <row r="492" spans="2:5" ht="14.5" customHeight="1">
      <c r="B492" s="83"/>
      <c r="C492" s="64" t="s">
        <v>245</v>
      </c>
      <c r="D492" s="65">
        <v>2</v>
      </c>
      <c r="E492" s="66">
        <v>5.4946564466000002E-5</v>
      </c>
    </row>
    <row r="493" spans="2:5" ht="14.5" customHeight="1">
      <c r="B493" s="83"/>
      <c r="C493" s="64" t="s">
        <v>248</v>
      </c>
      <c r="D493" s="65">
        <v>4</v>
      </c>
      <c r="E493" s="66">
        <v>1.09893128932E-4</v>
      </c>
    </row>
    <row r="494" spans="2:5" ht="14.5" customHeight="1">
      <c r="B494" s="83"/>
      <c r="C494" s="64" t="s">
        <v>249</v>
      </c>
      <c r="D494" s="65">
        <v>19</v>
      </c>
      <c r="E494" s="66">
        <v>5.2199236242800003E-4</v>
      </c>
    </row>
    <row r="495" spans="2:5" ht="14.5" customHeight="1">
      <c r="B495" s="83"/>
      <c r="C495" s="64" t="s">
        <v>251</v>
      </c>
      <c r="D495" s="65">
        <v>2</v>
      </c>
      <c r="E495" s="66">
        <v>5.4946564466000002E-5</v>
      </c>
    </row>
    <row r="496" spans="2:5" ht="14.5" customHeight="1">
      <c r="B496" s="82"/>
      <c r="C496" s="36" t="s">
        <v>29</v>
      </c>
      <c r="D496" s="35">
        <v>274</v>
      </c>
      <c r="E496" s="34">
        <v>7.5276793318500004E-3</v>
      </c>
    </row>
    <row r="497" spans="2:5" ht="14.5" customHeight="1">
      <c r="B497" s="77" t="s">
        <v>90</v>
      </c>
      <c r="C497" s="64" t="s">
        <v>232</v>
      </c>
      <c r="D497" s="65">
        <v>1</v>
      </c>
      <c r="E497" s="66">
        <v>2.7473282233000001E-5</v>
      </c>
    </row>
    <row r="498" spans="2:5" ht="14.5" customHeight="1">
      <c r="B498" s="83"/>
      <c r="C498" s="64" t="s">
        <v>233</v>
      </c>
      <c r="D498" s="65">
        <v>1</v>
      </c>
      <c r="E498" s="66">
        <v>2.7473282233000001E-5</v>
      </c>
    </row>
    <row r="499" spans="2:5" ht="14.5" customHeight="1">
      <c r="B499" s="83"/>
      <c r="C499" s="64" t="s">
        <v>235</v>
      </c>
      <c r="D499" s="65">
        <v>1</v>
      </c>
      <c r="E499" s="66">
        <v>2.7473282233000001E-5</v>
      </c>
    </row>
    <row r="500" spans="2:5" ht="14.5" customHeight="1">
      <c r="B500" s="83"/>
      <c r="C500" s="64" t="s">
        <v>236</v>
      </c>
      <c r="D500" s="65">
        <v>11</v>
      </c>
      <c r="E500" s="66">
        <v>3.0220610456299998E-4</v>
      </c>
    </row>
    <row r="501" spans="2:5" ht="14.5" customHeight="1">
      <c r="B501" s="83"/>
      <c r="C501" s="64" t="s">
        <v>237</v>
      </c>
      <c r="D501" s="65">
        <v>2</v>
      </c>
      <c r="E501" s="66">
        <v>5.4946564466000002E-5</v>
      </c>
    </row>
    <row r="502" spans="2:5" ht="14.5" customHeight="1">
      <c r="B502" s="83"/>
      <c r="C502" s="64" t="s">
        <v>238</v>
      </c>
      <c r="D502" s="65">
        <v>2</v>
      </c>
      <c r="E502" s="66">
        <v>5.4946564466000002E-5</v>
      </c>
    </row>
    <row r="503" spans="2:5" ht="14.5" customHeight="1">
      <c r="B503" s="83"/>
      <c r="C503" s="64" t="s">
        <v>239</v>
      </c>
      <c r="D503" s="65">
        <v>4</v>
      </c>
      <c r="E503" s="66">
        <v>1.09893128932E-4</v>
      </c>
    </row>
    <row r="504" spans="2:5" ht="14.5" customHeight="1">
      <c r="B504" s="83"/>
      <c r="C504" s="64" t="s">
        <v>240</v>
      </c>
      <c r="D504" s="65">
        <v>33</v>
      </c>
      <c r="E504" s="66">
        <v>9.0661831368999996E-4</v>
      </c>
    </row>
    <row r="505" spans="2:5" ht="14.5" customHeight="1">
      <c r="B505" s="83"/>
      <c r="C505" s="64" t="s">
        <v>241</v>
      </c>
      <c r="D505" s="65">
        <v>3</v>
      </c>
      <c r="E505" s="66">
        <v>8.2419846699E-5</v>
      </c>
    </row>
    <row r="506" spans="2:5" ht="14.5" customHeight="1">
      <c r="B506" s="83"/>
      <c r="C506" s="64" t="s">
        <v>242</v>
      </c>
      <c r="D506" s="65">
        <v>6</v>
      </c>
      <c r="E506" s="66">
        <v>1.64839693398E-4</v>
      </c>
    </row>
    <row r="507" spans="2:5" ht="14.5" customHeight="1">
      <c r="B507" s="83"/>
      <c r="C507" s="64" t="s">
        <v>243</v>
      </c>
      <c r="D507" s="65">
        <v>24</v>
      </c>
      <c r="E507" s="66">
        <v>6.5935877359299996E-4</v>
      </c>
    </row>
    <row r="508" spans="2:5" ht="14.5" customHeight="1">
      <c r="B508" s="83"/>
      <c r="C508" s="64" t="s">
        <v>245</v>
      </c>
      <c r="D508" s="65">
        <v>3</v>
      </c>
      <c r="E508" s="66">
        <v>8.2419846699E-5</v>
      </c>
    </row>
    <row r="509" spans="2:5" ht="14.5" customHeight="1">
      <c r="B509" s="83"/>
      <c r="C509" s="64" t="s">
        <v>246</v>
      </c>
      <c r="D509" s="65">
        <v>1</v>
      </c>
      <c r="E509" s="66">
        <v>2.7473282233000001E-5</v>
      </c>
    </row>
    <row r="510" spans="2:5" ht="14.5" customHeight="1">
      <c r="B510" s="83"/>
      <c r="C510" s="64" t="s">
        <v>247</v>
      </c>
      <c r="D510" s="65">
        <v>1</v>
      </c>
      <c r="E510" s="66">
        <v>2.7473282233000001E-5</v>
      </c>
    </row>
    <row r="511" spans="2:5" ht="14.5" customHeight="1">
      <c r="B511" s="83"/>
      <c r="C511" s="64" t="s">
        <v>248</v>
      </c>
      <c r="D511" s="65">
        <v>2</v>
      </c>
      <c r="E511" s="66">
        <v>5.4946564466000002E-5</v>
      </c>
    </row>
    <row r="512" spans="2:5" ht="14.5" customHeight="1">
      <c r="B512" s="83"/>
      <c r="C512" s="64" t="s">
        <v>249</v>
      </c>
      <c r="D512" s="65">
        <v>14</v>
      </c>
      <c r="E512" s="66">
        <v>3.8462595126199998E-4</v>
      </c>
    </row>
    <row r="513" spans="2:5" ht="14.5" customHeight="1">
      <c r="B513" s="83"/>
      <c r="C513" s="64" t="s">
        <v>251</v>
      </c>
      <c r="D513" s="65">
        <v>2</v>
      </c>
      <c r="E513" s="66">
        <v>5.4946564466000002E-5</v>
      </c>
    </row>
    <row r="514" spans="2:5" ht="14.5" customHeight="1">
      <c r="B514" s="82"/>
      <c r="C514" s="36" t="s">
        <v>29</v>
      </c>
      <c r="D514" s="35">
        <v>111</v>
      </c>
      <c r="E514" s="34">
        <v>3.049534327866E-3</v>
      </c>
    </row>
    <row r="515" spans="2:5" ht="14.5" customHeight="1">
      <c r="B515" s="77" t="s">
        <v>100</v>
      </c>
      <c r="C515" s="64" t="s">
        <v>248</v>
      </c>
      <c r="D515" s="65">
        <v>1</v>
      </c>
      <c r="E515" s="66">
        <v>2.7473282233000001E-5</v>
      </c>
    </row>
    <row r="516" spans="2:5" ht="14.5" customHeight="1">
      <c r="B516" s="83"/>
      <c r="C516" s="64" t="s">
        <v>249</v>
      </c>
      <c r="D516" s="65">
        <v>2</v>
      </c>
      <c r="E516" s="66">
        <v>5.4946564466000002E-5</v>
      </c>
    </row>
    <row r="517" spans="2:5" ht="14.5" customHeight="1">
      <c r="B517" s="83"/>
      <c r="C517" s="64" t="s">
        <v>251</v>
      </c>
      <c r="D517" s="65">
        <v>1</v>
      </c>
      <c r="E517" s="66">
        <v>2.7473282233000001E-5</v>
      </c>
    </row>
    <row r="518" spans="2:5" ht="14.5" customHeight="1">
      <c r="B518" s="82"/>
      <c r="C518" s="36" t="s">
        <v>29</v>
      </c>
      <c r="D518" s="35">
        <v>4</v>
      </c>
      <c r="E518" s="34">
        <v>1.09893128932E-4</v>
      </c>
    </row>
    <row r="519" spans="2:5" ht="14.5" customHeight="1">
      <c r="B519" s="77" t="s">
        <v>83</v>
      </c>
      <c r="C519" s="64" t="s">
        <v>232</v>
      </c>
      <c r="D519" s="65">
        <v>2</v>
      </c>
      <c r="E519" s="66">
        <v>5.4946564466000002E-5</v>
      </c>
    </row>
    <row r="520" spans="2:5" ht="14.5" customHeight="1">
      <c r="B520" s="83"/>
      <c r="C520" s="64" t="s">
        <v>233</v>
      </c>
      <c r="D520" s="65">
        <v>1</v>
      </c>
      <c r="E520" s="66">
        <v>2.7473282233000001E-5</v>
      </c>
    </row>
    <row r="521" spans="2:5" ht="14.5" customHeight="1">
      <c r="B521" s="83"/>
      <c r="C521" s="64" t="s">
        <v>234</v>
      </c>
      <c r="D521" s="65">
        <v>2</v>
      </c>
      <c r="E521" s="66">
        <v>5.4946564466000002E-5</v>
      </c>
    </row>
    <row r="522" spans="2:5" ht="14.5" customHeight="1">
      <c r="B522" s="83"/>
      <c r="C522" s="64" t="s">
        <v>235</v>
      </c>
      <c r="D522" s="65">
        <v>1</v>
      </c>
      <c r="E522" s="66">
        <v>2.7473282233000001E-5</v>
      </c>
    </row>
    <row r="523" spans="2:5" ht="14.5" customHeight="1">
      <c r="B523" s="83"/>
      <c r="C523" s="64" t="s">
        <v>236</v>
      </c>
      <c r="D523" s="65">
        <v>14</v>
      </c>
      <c r="E523" s="66">
        <v>3.8462595126199998E-4</v>
      </c>
    </row>
    <row r="524" spans="2:5" ht="14.5" customHeight="1">
      <c r="B524" s="83"/>
      <c r="C524" s="64" t="s">
        <v>237</v>
      </c>
      <c r="D524" s="65">
        <v>2</v>
      </c>
      <c r="E524" s="66">
        <v>5.4946564466000002E-5</v>
      </c>
    </row>
    <row r="525" spans="2:5" ht="14.5" customHeight="1">
      <c r="B525" s="83"/>
      <c r="C525" s="64" t="s">
        <v>238</v>
      </c>
      <c r="D525" s="65">
        <v>6</v>
      </c>
      <c r="E525" s="66">
        <v>1.64839693398E-4</v>
      </c>
    </row>
    <row r="526" spans="2:5" ht="14.5" customHeight="1">
      <c r="B526" s="83"/>
      <c r="C526" s="64" t="s">
        <v>239</v>
      </c>
      <c r="D526" s="65">
        <v>7</v>
      </c>
      <c r="E526" s="66">
        <v>1.9231297563099999E-4</v>
      </c>
    </row>
    <row r="527" spans="2:5" ht="14.5" customHeight="1">
      <c r="B527" s="83"/>
      <c r="C527" s="64" t="s">
        <v>240</v>
      </c>
      <c r="D527" s="65">
        <v>65</v>
      </c>
      <c r="E527" s="66">
        <v>1.7857633451470001E-3</v>
      </c>
    </row>
    <row r="528" spans="2:5" ht="14.5" customHeight="1">
      <c r="B528" s="83"/>
      <c r="C528" s="64" t="s">
        <v>241</v>
      </c>
      <c r="D528" s="65">
        <v>7</v>
      </c>
      <c r="E528" s="66">
        <v>1.9231297563099999E-4</v>
      </c>
    </row>
    <row r="529" spans="2:5" ht="14.5" customHeight="1">
      <c r="B529" s="83"/>
      <c r="C529" s="64" t="s">
        <v>242</v>
      </c>
      <c r="D529" s="65">
        <v>12</v>
      </c>
      <c r="E529" s="66">
        <v>3.29679386796E-4</v>
      </c>
    </row>
    <row r="530" spans="2:5" ht="14.5" customHeight="1">
      <c r="B530" s="83"/>
      <c r="C530" s="64" t="s">
        <v>243</v>
      </c>
      <c r="D530" s="65">
        <v>61</v>
      </c>
      <c r="E530" s="66">
        <v>1.675870216215E-3</v>
      </c>
    </row>
    <row r="531" spans="2:5" ht="14.5" customHeight="1">
      <c r="B531" s="83"/>
      <c r="C531" s="64" t="s">
        <v>244</v>
      </c>
      <c r="D531" s="65">
        <v>1</v>
      </c>
      <c r="E531" s="66">
        <v>2.7473282233000001E-5</v>
      </c>
    </row>
    <row r="532" spans="2:5" ht="14.5" customHeight="1">
      <c r="B532" s="83"/>
      <c r="C532" s="64" t="s">
        <v>246</v>
      </c>
      <c r="D532" s="65">
        <v>1</v>
      </c>
      <c r="E532" s="66">
        <v>2.7473282233000001E-5</v>
      </c>
    </row>
    <row r="533" spans="2:5" ht="14.5" customHeight="1">
      <c r="B533" s="83"/>
      <c r="C533" s="64" t="s">
        <v>247</v>
      </c>
      <c r="D533" s="65">
        <v>1</v>
      </c>
      <c r="E533" s="66">
        <v>2.7473282233000001E-5</v>
      </c>
    </row>
    <row r="534" spans="2:5" ht="14.5" customHeight="1">
      <c r="B534" s="83"/>
      <c r="C534" s="64" t="s">
        <v>248</v>
      </c>
      <c r="D534" s="65">
        <v>11</v>
      </c>
      <c r="E534" s="66">
        <v>3.0220610456299998E-4</v>
      </c>
    </row>
    <row r="535" spans="2:5" ht="14.5" customHeight="1">
      <c r="B535" s="83"/>
      <c r="C535" s="64" t="s">
        <v>249</v>
      </c>
      <c r="D535" s="65">
        <v>17</v>
      </c>
      <c r="E535" s="66">
        <v>4.6704579796099998E-4</v>
      </c>
    </row>
    <row r="536" spans="2:5" ht="14.5" customHeight="1">
      <c r="B536" s="83"/>
      <c r="C536" s="64" t="s">
        <v>251</v>
      </c>
      <c r="D536" s="65">
        <v>1</v>
      </c>
      <c r="E536" s="66">
        <v>2.7473282233000001E-5</v>
      </c>
    </row>
    <row r="537" spans="2:5" ht="14.5" customHeight="1">
      <c r="B537" s="82"/>
      <c r="C537" s="36" t="s">
        <v>29</v>
      </c>
      <c r="D537" s="35">
        <v>212</v>
      </c>
      <c r="E537" s="34">
        <v>5.8243358334020001E-3</v>
      </c>
    </row>
    <row r="538" spans="2:5" ht="14.5" customHeight="1">
      <c r="B538" s="77" t="s">
        <v>57</v>
      </c>
      <c r="C538" s="64" t="s">
        <v>229</v>
      </c>
      <c r="D538" s="65">
        <v>4</v>
      </c>
      <c r="E538" s="66">
        <v>1.09893128932E-4</v>
      </c>
    </row>
    <row r="539" spans="2:5" ht="14.5" customHeight="1">
      <c r="B539" s="83"/>
      <c r="C539" s="64" t="s">
        <v>230</v>
      </c>
      <c r="D539" s="65">
        <v>2</v>
      </c>
      <c r="E539" s="66">
        <v>5.4946564466000002E-5</v>
      </c>
    </row>
    <row r="540" spans="2:5" ht="14.5" customHeight="1">
      <c r="B540" s="83"/>
      <c r="C540" s="64" t="s">
        <v>231</v>
      </c>
      <c r="D540" s="65">
        <v>5</v>
      </c>
      <c r="E540" s="66">
        <v>1.3736641116500001E-4</v>
      </c>
    </row>
    <row r="541" spans="2:5" ht="14.5" customHeight="1">
      <c r="B541" s="83"/>
      <c r="C541" s="64" t="s">
        <v>232</v>
      </c>
      <c r="D541" s="65">
        <v>5</v>
      </c>
      <c r="E541" s="66">
        <v>1.3736641116500001E-4</v>
      </c>
    </row>
    <row r="542" spans="2:5" ht="14.5" customHeight="1">
      <c r="B542" s="83"/>
      <c r="C542" s="64" t="s">
        <v>233</v>
      </c>
      <c r="D542" s="65">
        <v>6</v>
      </c>
      <c r="E542" s="66">
        <v>1.64839693398E-4</v>
      </c>
    </row>
    <row r="543" spans="2:5" ht="14.5" customHeight="1">
      <c r="B543" s="83"/>
      <c r="C543" s="64" t="s">
        <v>234</v>
      </c>
      <c r="D543" s="65">
        <v>6</v>
      </c>
      <c r="E543" s="66">
        <v>1.64839693398E-4</v>
      </c>
    </row>
    <row r="544" spans="2:5" ht="14.5" customHeight="1">
      <c r="B544" s="83"/>
      <c r="C544" s="64" t="s">
        <v>235</v>
      </c>
      <c r="D544" s="65">
        <v>37</v>
      </c>
      <c r="E544" s="66">
        <v>1.0165114426219999E-3</v>
      </c>
    </row>
    <row r="545" spans="2:5" ht="14.5" customHeight="1">
      <c r="B545" s="83"/>
      <c r="C545" s="64" t="s">
        <v>236</v>
      </c>
      <c r="D545" s="65">
        <v>63</v>
      </c>
      <c r="E545" s="66">
        <v>1.7308167806809999E-3</v>
      </c>
    </row>
    <row r="546" spans="2:5" ht="14.5" customHeight="1">
      <c r="B546" s="83"/>
      <c r="C546" s="64" t="s">
        <v>237</v>
      </c>
      <c r="D546" s="65">
        <v>16</v>
      </c>
      <c r="E546" s="66">
        <v>4.3957251572800002E-4</v>
      </c>
    </row>
    <row r="547" spans="2:5" ht="14.5" customHeight="1">
      <c r="B547" s="83"/>
      <c r="C547" s="64" t="s">
        <v>238</v>
      </c>
      <c r="D547" s="65">
        <v>31</v>
      </c>
      <c r="E547" s="66">
        <v>8.5167174922400003E-4</v>
      </c>
    </row>
    <row r="548" spans="2:5" ht="14.5" customHeight="1">
      <c r="B548" s="83"/>
      <c r="C548" s="64" t="s">
        <v>239</v>
      </c>
      <c r="D548" s="65">
        <v>37</v>
      </c>
      <c r="E548" s="66">
        <v>1.0165114426219999E-3</v>
      </c>
    </row>
    <row r="549" spans="2:5" ht="14.5" customHeight="1">
      <c r="B549" s="83"/>
      <c r="C549" s="64" t="s">
        <v>240</v>
      </c>
      <c r="D549" s="65">
        <v>381</v>
      </c>
      <c r="E549" s="66">
        <v>1.0467320530784001E-2</v>
      </c>
    </row>
    <row r="550" spans="2:5" ht="14.5" customHeight="1">
      <c r="B550" s="83"/>
      <c r="C550" s="64" t="s">
        <v>241</v>
      </c>
      <c r="D550" s="65">
        <v>14</v>
      </c>
      <c r="E550" s="66">
        <v>3.8462595126199998E-4</v>
      </c>
    </row>
    <row r="551" spans="2:5" ht="14.5" customHeight="1">
      <c r="B551" s="83"/>
      <c r="C551" s="64" t="s">
        <v>242</v>
      </c>
      <c r="D551" s="65">
        <v>82</v>
      </c>
      <c r="E551" s="66">
        <v>2.252809143108E-3</v>
      </c>
    </row>
    <row r="552" spans="2:5" ht="14.5" customHeight="1">
      <c r="B552" s="83"/>
      <c r="C552" s="64" t="s">
        <v>243</v>
      </c>
      <c r="D552" s="65">
        <v>280</v>
      </c>
      <c r="E552" s="66">
        <v>7.692519025248E-3</v>
      </c>
    </row>
    <row r="553" spans="2:5" ht="14.5" customHeight="1">
      <c r="B553" s="83"/>
      <c r="C553" s="64" t="s">
        <v>244</v>
      </c>
      <c r="D553" s="65">
        <v>6</v>
      </c>
      <c r="E553" s="66">
        <v>1.64839693398E-4</v>
      </c>
    </row>
    <row r="554" spans="2:5" ht="14.5" customHeight="1">
      <c r="B554" s="83"/>
      <c r="C554" s="64" t="s">
        <v>245</v>
      </c>
      <c r="D554" s="65">
        <v>5</v>
      </c>
      <c r="E554" s="66">
        <v>1.3736641116500001E-4</v>
      </c>
    </row>
    <row r="555" spans="2:5" ht="14.5" customHeight="1">
      <c r="B555" s="83"/>
      <c r="C555" s="64" t="s">
        <v>246</v>
      </c>
      <c r="D555" s="65">
        <v>2</v>
      </c>
      <c r="E555" s="66">
        <v>5.4946564466000002E-5</v>
      </c>
    </row>
    <row r="556" spans="2:5" ht="14.5" customHeight="1">
      <c r="B556" s="83"/>
      <c r="C556" s="64" t="s">
        <v>247</v>
      </c>
      <c r="D556" s="65">
        <v>2</v>
      </c>
      <c r="E556" s="66">
        <v>5.4946564466000002E-5</v>
      </c>
    </row>
    <row r="557" spans="2:5" ht="14.5" customHeight="1">
      <c r="B557" s="83"/>
      <c r="C557" s="64" t="s">
        <v>248</v>
      </c>
      <c r="D557" s="65">
        <v>17</v>
      </c>
      <c r="E557" s="66">
        <v>4.6704579796099998E-4</v>
      </c>
    </row>
    <row r="558" spans="2:5" ht="14.5" customHeight="1">
      <c r="B558" s="83"/>
      <c r="C558" s="64" t="s">
        <v>249</v>
      </c>
      <c r="D558" s="65">
        <v>66</v>
      </c>
      <c r="E558" s="66">
        <v>1.8132366273799999E-3</v>
      </c>
    </row>
    <row r="559" spans="2:5" ht="14.5" customHeight="1">
      <c r="B559" s="83"/>
      <c r="C559" s="64" t="s">
        <v>251</v>
      </c>
      <c r="D559" s="65">
        <v>9</v>
      </c>
      <c r="E559" s="66">
        <v>2.47259540097E-4</v>
      </c>
    </row>
    <row r="560" spans="2:5" ht="14.5" customHeight="1">
      <c r="B560" s="82"/>
      <c r="C560" s="36" t="s">
        <v>29</v>
      </c>
      <c r="D560" s="35">
        <v>1076</v>
      </c>
      <c r="E560" s="34">
        <v>2.9561251682739001E-2</v>
      </c>
    </row>
    <row r="561" spans="2:5" ht="14.5" customHeight="1">
      <c r="B561" s="85" t="s">
        <v>76</v>
      </c>
      <c r="C561" s="64" t="s">
        <v>229</v>
      </c>
      <c r="D561" s="65">
        <v>1</v>
      </c>
      <c r="E561" s="66">
        <v>2.7473282233000001E-5</v>
      </c>
    </row>
    <row r="562" spans="2:5" ht="14.5" customHeight="1">
      <c r="B562" s="86"/>
      <c r="C562" s="64" t="s">
        <v>231</v>
      </c>
      <c r="D562" s="65">
        <v>1</v>
      </c>
      <c r="E562" s="66">
        <v>2.7473282233000001E-5</v>
      </c>
    </row>
    <row r="563" spans="2:5" ht="14.5" customHeight="1">
      <c r="B563" s="86"/>
      <c r="C563" s="64" t="s">
        <v>232</v>
      </c>
      <c r="D563" s="65">
        <v>4</v>
      </c>
      <c r="E563" s="66">
        <v>1.09893128932E-4</v>
      </c>
    </row>
    <row r="564" spans="2:5" ht="14.5" customHeight="1">
      <c r="B564" s="86"/>
      <c r="C564" s="64" t="s">
        <v>234</v>
      </c>
      <c r="D564" s="65">
        <v>3</v>
      </c>
      <c r="E564" s="66">
        <v>8.2419846699E-5</v>
      </c>
    </row>
    <row r="565" spans="2:5" ht="14.5" customHeight="1">
      <c r="B565" s="86"/>
      <c r="C565" s="64" t="s">
        <v>235</v>
      </c>
      <c r="D565" s="65">
        <v>15</v>
      </c>
      <c r="E565" s="66">
        <v>4.12099233495E-4</v>
      </c>
    </row>
    <row r="566" spans="2:5" ht="14.5" customHeight="1">
      <c r="B566" s="86"/>
      <c r="C566" s="64" t="s">
        <v>236</v>
      </c>
      <c r="D566" s="65">
        <v>31</v>
      </c>
      <c r="E566" s="66">
        <v>8.5167174922400003E-4</v>
      </c>
    </row>
    <row r="567" spans="2:5" ht="14.5" customHeight="1">
      <c r="B567" s="86"/>
      <c r="C567" s="64" t="s">
        <v>237</v>
      </c>
      <c r="D567" s="65">
        <v>4</v>
      </c>
      <c r="E567" s="66">
        <v>1.09893128932E-4</v>
      </c>
    </row>
    <row r="568" spans="2:5" ht="14.5" customHeight="1">
      <c r="B568" s="86"/>
      <c r="C568" s="64" t="s">
        <v>238</v>
      </c>
      <c r="D568" s="65">
        <v>10</v>
      </c>
      <c r="E568" s="66">
        <v>2.7473282233000002E-4</v>
      </c>
    </row>
    <row r="569" spans="2:5" ht="14.5" customHeight="1">
      <c r="B569" s="86"/>
      <c r="C569" s="64" t="s">
        <v>239</v>
      </c>
      <c r="D569" s="65">
        <v>10</v>
      </c>
      <c r="E569" s="66">
        <v>2.7473282233000002E-4</v>
      </c>
    </row>
    <row r="570" spans="2:5" ht="14.5" customHeight="1">
      <c r="B570" s="86"/>
      <c r="C570" s="64" t="s">
        <v>240</v>
      </c>
      <c r="D570" s="65">
        <v>137</v>
      </c>
      <c r="E570" s="66">
        <v>3.7638396659250002E-3</v>
      </c>
    </row>
    <row r="571" spans="2:5" ht="14.5" customHeight="1">
      <c r="B571" s="86"/>
      <c r="C571" s="64" t="s">
        <v>241</v>
      </c>
      <c r="D571" s="65">
        <v>10</v>
      </c>
      <c r="E571" s="66">
        <v>2.7473282233000002E-4</v>
      </c>
    </row>
    <row r="572" spans="2:5" ht="14.5" customHeight="1">
      <c r="B572" s="86"/>
      <c r="C572" s="64" t="s">
        <v>242</v>
      </c>
      <c r="D572" s="65">
        <v>35</v>
      </c>
      <c r="E572" s="66">
        <v>9.61564878156E-4</v>
      </c>
    </row>
    <row r="573" spans="2:5" ht="14.5" customHeight="1">
      <c r="B573" s="86"/>
      <c r="C573" s="64" t="s">
        <v>243</v>
      </c>
      <c r="D573" s="65">
        <v>98</v>
      </c>
      <c r="E573" s="66">
        <v>2.6923816588369999E-3</v>
      </c>
    </row>
    <row r="574" spans="2:5" ht="14.5" customHeight="1">
      <c r="B574" s="86"/>
      <c r="C574" s="64" t="s">
        <v>245</v>
      </c>
      <c r="D574" s="65">
        <v>7</v>
      </c>
      <c r="E574" s="66">
        <v>1.9231297563099999E-4</v>
      </c>
    </row>
    <row r="575" spans="2:5" ht="14.5" customHeight="1">
      <c r="B575" s="86"/>
      <c r="C575" s="64" t="s">
        <v>246</v>
      </c>
      <c r="D575" s="65">
        <v>2</v>
      </c>
      <c r="E575" s="66">
        <v>5.4946564466000002E-5</v>
      </c>
    </row>
    <row r="576" spans="2:5" ht="14.5" customHeight="1">
      <c r="B576" s="86"/>
      <c r="C576" s="64" t="s">
        <v>247</v>
      </c>
      <c r="D576" s="65">
        <v>2</v>
      </c>
      <c r="E576" s="66">
        <v>5.4946564466000002E-5</v>
      </c>
    </row>
    <row r="577" spans="2:5" ht="14.5" customHeight="1">
      <c r="B577" s="86"/>
      <c r="C577" s="64" t="s">
        <v>248</v>
      </c>
      <c r="D577" s="65">
        <v>6</v>
      </c>
      <c r="E577" s="66">
        <v>1.64839693398E-4</v>
      </c>
    </row>
    <row r="578" spans="2:5" ht="14.5" customHeight="1">
      <c r="B578" s="86"/>
      <c r="C578" s="64" t="s">
        <v>249</v>
      </c>
      <c r="D578" s="65">
        <v>29</v>
      </c>
      <c r="E578" s="66">
        <v>7.96725184758E-4</v>
      </c>
    </row>
    <row r="579" spans="2:5" ht="14.5" customHeight="1">
      <c r="B579" s="86"/>
      <c r="C579" s="64" t="s">
        <v>250</v>
      </c>
      <c r="D579" s="65">
        <v>1</v>
      </c>
      <c r="E579" s="66">
        <v>2.7473282233000001E-5</v>
      </c>
    </row>
    <row r="580" spans="2:5" ht="14.5" customHeight="1">
      <c r="B580" s="86"/>
      <c r="C580" s="64" t="s">
        <v>251</v>
      </c>
      <c r="D580" s="65">
        <v>2</v>
      </c>
      <c r="E580" s="66">
        <v>5.4946564466000002E-5</v>
      </c>
    </row>
    <row r="581" spans="2:5" ht="14.5" customHeight="1">
      <c r="B581" s="87"/>
      <c r="C581" s="36" t="s">
        <v>29</v>
      </c>
      <c r="D581" s="35">
        <v>408</v>
      </c>
      <c r="E581" s="34">
        <v>1.1209099151076001E-2</v>
      </c>
    </row>
    <row r="582" spans="2:5" ht="14.5" customHeight="1">
      <c r="B582" s="77" t="s">
        <v>84</v>
      </c>
      <c r="C582" s="64" t="s">
        <v>232</v>
      </c>
      <c r="D582" s="65">
        <v>1</v>
      </c>
      <c r="E582" s="66">
        <v>2.7473282233000001E-5</v>
      </c>
    </row>
    <row r="583" spans="2:5" ht="14.5" customHeight="1">
      <c r="B583" s="83"/>
      <c r="C583" s="64" t="s">
        <v>233</v>
      </c>
      <c r="D583" s="65">
        <v>1</v>
      </c>
      <c r="E583" s="66">
        <v>2.7473282233000001E-5</v>
      </c>
    </row>
    <row r="584" spans="2:5" ht="14.5" customHeight="1">
      <c r="B584" s="83"/>
      <c r="C584" s="64" t="s">
        <v>234</v>
      </c>
      <c r="D584" s="65">
        <v>1</v>
      </c>
      <c r="E584" s="66">
        <v>2.7473282233000001E-5</v>
      </c>
    </row>
    <row r="585" spans="2:5" ht="14.5" customHeight="1">
      <c r="B585" s="83"/>
      <c r="C585" s="64" t="s">
        <v>235</v>
      </c>
      <c r="D585" s="65">
        <v>8</v>
      </c>
      <c r="E585" s="66">
        <v>2.1978625786400001E-4</v>
      </c>
    </row>
    <row r="586" spans="2:5" ht="14.5" customHeight="1">
      <c r="B586" s="83"/>
      <c r="C586" s="64" t="s">
        <v>236</v>
      </c>
      <c r="D586" s="65">
        <v>15</v>
      </c>
      <c r="E586" s="66">
        <v>4.12099233495E-4</v>
      </c>
    </row>
    <row r="587" spans="2:5" ht="14.5" customHeight="1">
      <c r="B587" s="83"/>
      <c r="C587" s="64" t="s">
        <v>237</v>
      </c>
      <c r="D587" s="65">
        <v>2</v>
      </c>
      <c r="E587" s="66">
        <v>5.4946564466000002E-5</v>
      </c>
    </row>
    <row r="588" spans="2:5" ht="14.5" customHeight="1">
      <c r="B588" s="83"/>
      <c r="C588" s="64" t="s">
        <v>238</v>
      </c>
      <c r="D588" s="65">
        <v>4</v>
      </c>
      <c r="E588" s="66">
        <v>1.09893128932E-4</v>
      </c>
    </row>
    <row r="589" spans="2:5" ht="14.5" customHeight="1">
      <c r="B589" s="83"/>
      <c r="C589" s="64" t="s">
        <v>239</v>
      </c>
      <c r="D589" s="65">
        <v>10</v>
      </c>
      <c r="E589" s="66">
        <v>2.7473282233000002E-4</v>
      </c>
    </row>
    <row r="590" spans="2:5" ht="14.5" customHeight="1">
      <c r="B590" s="83"/>
      <c r="C590" s="64" t="s">
        <v>240</v>
      </c>
      <c r="D590" s="65">
        <v>63</v>
      </c>
      <c r="E590" s="66">
        <v>1.7308167806809999E-3</v>
      </c>
    </row>
    <row r="591" spans="2:5" ht="14.5" customHeight="1">
      <c r="B591" s="83"/>
      <c r="C591" s="64" t="s">
        <v>241</v>
      </c>
      <c r="D591" s="65">
        <v>9</v>
      </c>
      <c r="E591" s="66">
        <v>2.47259540097E-4</v>
      </c>
    </row>
    <row r="592" spans="2:5" ht="14.5" customHeight="1">
      <c r="B592" s="83"/>
      <c r="C592" s="64" t="s">
        <v>242</v>
      </c>
      <c r="D592" s="65">
        <v>19</v>
      </c>
      <c r="E592" s="66">
        <v>5.2199236242800003E-4</v>
      </c>
    </row>
    <row r="593" spans="2:5" ht="14.5" customHeight="1">
      <c r="B593" s="83"/>
      <c r="C593" s="64" t="s">
        <v>243</v>
      </c>
      <c r="D593" s="65">
        <v>48</v>
      </c>
      <c r="E593" s="66">
        <v>1.3187175471850001E-3</v>
      </c>
    </row>
    <row r="594" spans="2:5" ht="14.5" customHeight="1">
      <c r="B594" s="83"/>
      <c r="C594" s="64" t="s">
        <v>244</v>
      </c>
      <c r="D594" s="65">
        <v>1</v>
      </c>
      <c r="E594" s="66">
        <v>2.7473282233000001E-5</v>
      </c>
    </row>
    <row r="595" spans="2:5" ht="14.5" customHeight="1">
      <c r="B595" s="83"/>
      <c r="C595" s="64" t="s">
        <v>246</v>
      </c>
      <c r="D595" s="65">
        <v>2</v>
      </c>
      <c r="E595" s="66">
        <v>5.4946564466000002E-5</v>
      </c>
    </row>
    <row r="596" spans="2:5" ht="14.5" customHeight="1">
      <c r="B596" s="83"/>
      <c r="C596" s="64" t="s">
        <v>248</v>
      </c>
      <c r="D596" s="65">
        <v>5</v>
      </c>
      <c r="E596" s="66">
        <v>1.3736641116500001E-4</v>
      </c>
    </row>
    <row r="597" spans="2:5" ht="14.5" customHeight="1">
      <c r="B597" s="83"/>
      <c r="C597" s="64" t="s">
        <v>249</v>
      </c>
      <c r="D597" s="65">
        <v>17</v>
      </c>
      <c r="E597" s="66">
        <v>4.6704579796099998E-4</v>
      </c>
    </row>
    <row r="598" spans="2:5" ht="14.5" customHeight="1">
      <c r="B598" s="82"/>
      <c r="C598" s="36" t="s">
        <v>29</v>
      </c>
      <c r="D598" s="35">
        <v>206</v>
      </c>
      <c r="E598" s="34">
        <v>5.6594961400039997E-3</v>
      </c>
    </row>
    <row r="599" spans="2:5" ht="14.5" customHeight="1">
      <c r="B599" s="77" t="s">
        <v>69</v>
      </c>
      <c r="C599" s="64" t="s">
        <v>229</v>
      </c>
      <c r="D599" s="65">
        <v>2</v>
      </c>
      <c r="E599" s="66">
        <v>5.4946564466000002E-5</v>
      </c>
    </row>
    <row r="600" spans="2:5" ht="14.5" customHeight="1">
      <c r="B600" s="83"/>
      <c r="C600" s="64" t="s">
        <v>230</v>
      </c>
      <c r="D600" s="65">
        <v>3</v>
      </c>
      <c r="E600" s="66">
        <v>8.2419846699E-5</v>
      </c>
    </row>
    <row r="601" spans="2:5" ht="14.5" customHeight="1">
      <c r="B601" s="83"/>
      <c r="C601" s="64" t="s">
        <v>232</v>
      </c>
      <c r="D601" s="65">
        <v>6</v>
      </c>
      <c r="E601" s="66">
        <v>1.64839693398E-4</v>
      </c>
    </row>
    <row r="602" spans="2:5" ht="14.5" customHeight="1">
      <c r="B602" s="83"/>
      <c r="C602" s="64" t="s">
        <v>233</v>
      </c>
      <c r="D602" s="65">
        <v>1</v>
      </c>
      <c r="E602" s="66">
        <v>2.7473282233000001E-5</v>
      </c>
    </row>
    <row r="603" spans="2:5" ht="14.5" customHeight="1">
      <c r="B603" s="83"/>
      <c r="C603" s="64" t="s">
        <v>234</v>
      </c>
      <c r="D603" s="65">
        <v>5</v>
      </c>
      <c r="E603" s="66">
        <v>1.3736641116500001E-4</v>
      </c>
    </row>
    <row r="604" spans="2:5" ht="14.5" customHeight="1">
      <c r="B604" s="83"/>
      <c r="C604" s="64" t="s">
        <v>235</v>
      </c>
      <c r="D604" s="65">
        <v>21</v>
      </c>
      <c r="E604" s="66">
        <v>5.7693892689399996E-4</v>
      </c>
    </row>
    <row r="605" spans="2:5" ht="14.5" customHeight="1">
      <c r="B605" s="83"/>
      <c r="C605" s="64" t="s">
        <v>236</v>
      </c>
      <c r="D605" s="65">
        <v>44</v>
      </c>
      <c r="E605" s="66">
        <v>1.208824418253E-3</v>
      </c>
    </row>
    <row r="606" spans="2:5" ht="14.5" customHeight="1">
      <c r="B606" s="83"/>
      <c r="C606" s="64" t="s">
        <v>237</v>
      </c>
      <c r="D606" s="65">
        <v>5</v>
      </c>
      <c r="E606" s="66">
        <v>1.3736641116500001E-4</v>
      </c>
    </row>
    <row r="607" spans="2:5" ht="14.5" customHeight="1">
      <c r="B607" s="83"/>
      <c r="C607" s="64" t="s">
        <v>238</v>
      </c>
      <c r="D607" s="65">
        <v>27</v>
      </c>
      <c r="E607" s="66">
        <v>7.4177862029199996E-4</v>
      </c>
    </row>
    <row r="608" spans="2:5" ht="14.5" customHeight="1">
      <c r="B608" s="83"/>
      <c r="C608" s="64" t="s">
        <v>239</v>
      </c>
      <c r="D608" s="65">
        <v>13</v>
      </c>
      <c r="E608" s="66">
        <v>3.5715266902900002E-4</v>
      </c>
    </row>
    <row r="609" spans="2:5" ht="14.5" customHeight="1">
      <c r="B609" s="83"/>
      <c r="C609" s="64" t="s">
        <v>240</v>
      </c>
      <c r="D609" s="65">
        <v>175</v>
      </c>
      <c r="E609" s="66">
        <v>4.80782439078E-3</v>
      </c>
    </row>
    <row r="610" spans="2:5" ht="14.5" customHeight="1">
      <c r="B610" s="83"/>
      <c r="C610" s="64" t="s">
        <v>241</v>
      </c>
      <c r="D610" s="65">
        <v>15</v>
      </c>
      <c r="E610" s="66">
        <v>4.12099233495E-4</v>
      </c>
    </row>
    <row r="611" spans="2:5" ht="14.5" customHeight="1">
      <c r="B611" s="83"/>
      <c r="C611" s="64" t="s">
        <v>242</v>
      </c>
      <c r="D611" s="65">
        <v>53</v>
      </c>
      <c r="E611" s="66">
        <v>1.4560839583510001E-3</v>
      </c>
    </row>
    <row r="612" spans="2:5" ht="14.5" customHeight="1">
      <c r="B612" s="83"/>
      <c r="C612" s="64" t="s">
        <v>243</v>
      </c>
      <c r="D612" s="65">
        <v>132</v>
      </c>
      <c r="E612" s="66">
        <v>3.6264732547599998E-3</v>
      </c>
    </row>
    <row r="613" spans="2:5" ht="14.5" customHeight="1">
      <c r="B613" s="83"/>
      <c r="C613" s="64" t="s">
        <v>244</v>
      </c>
      <c r="D613" s="65">
        <v>1</v>
      </c>
      <c r="E613" s="66">
        <v>2.7473282233000001E-5</v>
      </c>
    </row>
    <row r="614" spans="2:5" ht="14.5" customHeight="1">
      <c r="B614" s="83"/>
      <c r="C614" s="64" t="s">
        <v>245</v>
      </c>
      <c r="D614" s="65">
        <v>1</v>
      </c>
      <c r="E614" s="66">
        <v>2.7473282233000001E-5</v>
      </c>
    </row>
    <row r="615" spans="2:5" ht="14.5" customHeight="1">
      <c r="B615" s="83"/>
      <c r="C615" s="64" t="s">
        <v>246</v>
      </c>
      <c r="D615" s="65">
        <v>1</v>
      </c>
      <c r="E615" s="66">
        <v>2.7473282233000001E-5</v>
      </c>
    </row>
    <row r="616" spans="2:5" ht="14.5" customHeight="1">
      <c r="B616" s="83"/>
      <c r="C616" s="64" t="s">
        <v>248</v>
      </c>
      <c r="D616" s="65">
        <v>13</v>
      </c>
      <c r="E616" s="66">
        <v>3.5715266902900002E-4</v>
      </c>
    </row>
    <row r="617" spans="2:5" ht="14.5" customHeight="1">
      <c r="B617" s="83"/>
      <c r="C617" s="64" t="s">
        <v>249</v>
      </c>
      <c r="D617" s="65">
        <v>35</v>
      </c>
      <c r="E617" s="66">
        <v>9.61564878156E-4</v>
      </c>
    </row>
    <row r="618" spans="2:5" ht="14.5" customHeight="1">
      <c r="B618" s="83"/>
      <c r="C618" s="64" t="s">
        <v>251</v>
      </c>
      <c r="D618" s="65">
        <v>3</v>
      </c>
      <c r="E618" s="66">
        <v>8.2419846699E-5</v>
      </c>
    </row>
    <row r="619" spans="2:5" ht="14.5" customHeight="1">
      <c r="B619" s="82"/>
      <c r="C619" s="36" t="s">
        <v>29</v>
      </c>
      <c r="D619" s="35">
        <v>556</v>
      </c>
      <c r="E619" s="34">
        <v>1.5275144921564E-2</v>
      </c>
    </row>
    <row r="620" spans="2:5" ht="14.5" customHeight="1">
      <c r="B620" s="77" t="s">
        <v>79</v>
      </c>
      <c r="C620" s="64" t="s">
        <v>229</v>
      </c>
      <c r="D620" s="65">
        <v>1</v>
      </c>
      <c r="E620" s="66">
        <v>2.7473282233000001E-5</v>
      </c>
    </row>
    <row r="621" spans="2:5" ht="14.5" customHeight="1">
      <c r="B621" s="83"/>
      <c r="C621" s="64" t="s">
        <v>230</v>
      </c>
      <c r="D621" s="65">
        <v>2</v>
      </c>
      <c r="E621" s="66">
        <v>5.4946564466000002E-5</v>
      </c>
    </row>
    <row r="622" spans="2:5" ht="14.5" customHeight="1">
      <c r="B622" s="83"/>
      <c r="C622" s="64" t="s">
        <v>232</v>
      </c>
      <c r="D622" s="65">
        <v>4</v>
      </c>
      <c r="E622" s="66">
        <v>1.09893128932E-4</v>
      </c>
    </row>
    <row r="623" spans="2:5" ht="14.5" customHeight="1">
      <c r="B623" s="83"/>
      <c r="C623" s="64" t="s">
        <v>233</v>
      </c>
      <c r="D623" s="65">
        <v>3</v>
      </c>
      <c r="E623" s="66">
        <v>8.2419846699E-5</v>
      </c>
    </row>
    <row r="624" spans="2:5" ht="14.5" customHeight="1">
      <c r="B624" s="83"/>
      <c r="C624" s="64" t="s">
        <v>234</v>
      </c>
      <c r="D624" s="65">
        <v>3</v>
      </c>
      <c r="E624" s="66">
        <v>8.2419846699E-5</v>
      </c>
    </row>
    <row r="625" spans="2:5" ht="14.5" customHeight="1">
      <c r="B625" s="83"/>
      <c r="C625" s="64" t="s">
        <v>235</v>
      </c>
      <c r="D625" s="65">
        <v>26</v>
      </c>
      <c r="E625" s="66">
        <v>7.14305338059E-4</v>
      </c>
    </row>
    <row r="626" spans="2:5" ht="14.5" customHeight="1">
      <c r="B626" s="83"/>
      <c r="C626" s="64" t="s">
        <v>236</v>
      </c>
      <c r="D626" s="65">
        <v>17</v>
      </c>
      <c r="E626" s="66">
        <v>4.6704579796099998E-4</v>
      </c>
    </row>
    <row r="627" spans="2:5" ht="14.5" customHeight="1">
      <c r="B627" s="83"/>
      <c r="C627" s="64" t="s">
        <v>237</v>
      </c>
      <c r="D627" s="65">
        <v>1</v>
      </c>
      <c r="E627" s="66">
        <v>2.7473282233000001E-5</v>
      </c>
    </row>
    <row r="628" spans="2:5" ht="14.5" customHeight="1">
      <c r="B628" s="83"/>
      <c r="C628" s="64" t="s">
        <v>238</v>
      </c>
      <c r="D628" s="65">
        <v>4</v>
      </c>
      <c r="E628" s="66">
        <v>1.09893128932E-4</v>
      </c>
    </row>
    <row r="629" spans="2:5" ht="14.5" customHeight="1">
      <c r="B629" s="83"/>
      <c r="C629" s="64" t="s">
        <v>239</v>
      </c>
      <c r="D629" s="65">
        <v>15</v>
      </c>
      <c r="E629" s="66">
        <v>4.12099233495E-4</v>
      </c>
    </row>
    <row r="630" spans="2:5" ht="14.5" customHeight="1">
      <c r="B630" s="83"/>
      <c r="C630" s="64" t="s">
        <v>240</v>
      </c>
      <c r="D630" s="65">
        <v>92</v>
      </c>
      <c r="E630" s="66">
        <v>2.5275419654389999E-3</v>
      </c>
    </row>
    <row r="631" spans="2:5" ht="14.5" customHeight="1">
      <c r="B631" s="83"/>
      <c r="C631" s="64" t="s">
        <v>241</v>
      </c>
      <c r="D631" s="65">
        <v>14</v>
      </c>
      <c r="E631" s="66">
        <v>3.8462595126199998E-4</v>
      </c>
    </row>
    <row r="632" spans="2:5" ht="14.5" customHeight="1">
      <c r="B632" s="83"/>
      <c r="C632" s="64" t="s">
        <v>242</v>
      </c>
      <c r="D632" s="65">
        <v>14</v>
      </c>
      <c r="E632" s="66">
        <v>3.8462595126199998E-4</v>
      </c>
    </row>
    <row r="633" spans="2:5" ht="14.5" customHeight="1">
      <c r="B633" s="83"/>
      <c r="C633" s="64" t="s">
        <v>243</v>
      </c>
      <c r="D633" s="65">
        <v>65</v>
      </c>
      <c r="E633" s="66">
        <v>1.7857633451470001E-3</v>
      </c>
    </row>
    <row r="634" spans="2:5" ht="14.5" customHeight="1">
      <c r="B634" s="83"/>
      <c r="C634" s="64" t="s">
        <v>244</v>
      </c>
      <c r="D634" s="65">
        <v>1</v>
      </c>
      <c r="E634" s="66">
        <v>2.7473282233000001E-5</v>
      </c>
    </row>
    <row r="635" spans="2:5" ht="14.5" customHeight="1">
      <c r="B635" s="83"/>
      <c r="C635" s="64" t="s">
        <v>245</v>
      </c>
      <c r="D635" s="65">
        <v>5</v>
      </c>
      <c r="E635" s="66">
        <v>1.3736641116500001E-4</v>
      </c>
    </row>
    <row r="636" spans="2:5" ht="14.5" customHeight="1">
      <c r="B636" s="83"/>
      <c r="C636" s="64" t="s">
        <v>246</v>
      </c>
      <c r="D636" s="65">
        <v>2</v>
      </c>
      <c r="E636" s="66">
        <v>5.4946564466000002E-5</v>
      </c>
    </row>
    <row r="637" spans="2:5" ht="14.5" customHeight="1">
      <c r="B637" s="83"/>
      <c r="C637" s="64" t="s">
        <v>247</v>
      </c>
      <c r="D637" s="65">
        <v>1</v>
      </c>
      <c r="E637" s="66">
        <v>2.7473282233000001E-5</v>
      </c>
    </row>
    <row r="638" spans="2:5" ht="14.5" customHeight="1">
      <c r="B638" s="83"/>
      <c r="C638" s="64" t="s">
        <v>248</v>
      </c>
      <c r="D638" s="65">
        <v>7</v>
      </c>
      <c r="E638" s="66">
        <v>1.9231297563099999E-4</v>
      </c>
    </row>
    <row r="639" spans="2:5" ht="14.5" customHeight="1">
      <c r="B639" s="83"/>
      <c r="C639" s="64" t="s">
        <v>249</v>
      </c>
      <c r="D639" s="65">
        <v>14</v>
      </c>
      <c r="E639" s="66">
        <v>3.8462595126199998E-4</v>
      </c>
    </row>
    <row r="640" spans="2:5" ht="14.5" customHeight="1">
      <c r="B640" s="83"/>
      <c r="C640" s="64" t="s">
        <v>251</v>
      </c>
      <c r="D640" s="65">
        <v>1</v>
      </c>
      <c r="E640" s="66">
        <v>2.7473282233000001E-5</v>
      </c>
    </row>
    <row r="641" spans="2:5" ht="14.5" customHeight="1">
      <c r="B641" s="82"/>
      <c r="C641" s="36" t="s">
        <v>29</v>
      </c>
      <c r="D641" s="35">
        <v>292</v>
      </c>
      <c r="E641" s="34">
        <v>8.0221984120440008E-3</v>
      </c>
    </row>
    <row r="642" spans="2:5" ht="14.5" customHeight="1">
      <c r="B642" s="77" t="s">
        <v>63</v>
      </c>
      <c r="C642" s="64" t="s">
        <v>229</v>
      </c>
      <c r="D642" s="65">
        <v>2</v>
      </c>
      <c r="E642" s="66">
        <v>5.4946564466000002E-5</v>
      </c>
    </row>
    <row r="643" spans="2:5" ht="14.5" customHeight="1">
      <c r="B643" s="83"/>
      <c r="C643" s="64" t="s">
        <v>230</v>
      </c>
      <c r="D643" s="65">
        <v>1</v>
      </c>
      <c r="E643" s="66">
        <v>2.7473282233000001E-5</v>
      </c>
    </row>
    <row r="644" spans="2:5" ht="14.5" customHeight="1">
      <c r="B644" s="83"/>
      <c r="C644" s="64" t="s">
        <v>232</v>
      </c>
      <c r="D644" s="65">
        <v>3</v>
      </c>
      <c r="E644" s="66">
        <v>8.2419846699E-5</v>
      </c>
    </row>
    <row r="645" spans="2:5" ht="14.5" customHeight="1">
      <c r="B645" s="83"/>
      <c r="C645" s="64" t="s">
        <v>234</v>
      </c>
      <c r="D645" s="65">
        <v>5</v>
      </c>
      <c r="E645" s="66">
        <v>1.3736641116500001E-4</v>
      </c>
    </row>
    <row r="646" spans="2:5" ht="14.5" customHeight="1">
      <c r="B646" s="83"/>
      <c r="C646" s="64" t="s">
        <v>235</v>
      </c>
      <c r="D646" s="65">
        <v>19</v>
      </c>
      <c r="E646" s="66">
        <v>5.2199236242800003E-4</v>
      </c>
    </row>
    <row r="647" spans="2:5" ht="14.5" customHeight="1">
      <c r="B647" s="83"/>
      <c r="C647" s="64" t="s">
        <v>236</v>
      </c>
      <c r="D647" s="65">
        <v>44</v>
      </c>
      <c r="E647" s="66">
        <v>1.208824418253E-3</v>
      </c>
    </row>
    <row r="648" spans="2:5" ht="14.5" customHeight="1">
      <c r="B648" s="83"/>
      <c r="C648" s="64" t="s">
        <v>237</v>
      </c>
      <c r="D648" s="65">
        <v>6</v>
      </c>
      <c r="E648" s="66">
        <v>1.64839693398E-4</v>
      </c>
    </row>
    <row r="649" spans="2:5" ht="14.5" customHeight="1">
      <c r="B649" s="83"/>
      <c r="C649" s="64" t="s">
        <v>238</v>
      </c>
      <c r="D649" s="65">
        <v>14</v>
      </c>
      <c r="E649" s="66">
        <v>3.8462595126199998E-4</v>
      </c>
    </row>
    <row r="650" spans="2:5" ht="14.5" customHeight="1">
      <c r="B650" s="83"/>
      <c r="C650" s="64" t="s">
        <v>239</v>
      </c>
      <c r="D650" s="65">
        <v>20</v>
      </c>
      <c r="E650" s="66">
        <v>5.49465644661E-4</v>
      </c>
    </row>
    <row r="651" spans="2:5" ht="14.5" customHeight="1">
      <c r="B651" s="83"/>
      <c r="C651" s="64" t="s">
        <v>240</v>
      </c>
      <c r="D651" s="65">
        <v>179</v>
      </c>
      <c r="E651" s="66">
        <v>4.9177175197120003E-3</v>
      </c>
    </row>
    <row r="652" spans="2:5" ht="14.5" customHeight="1">
      <c r="B652" s="83"/>
      <c r="C652" s="64" t="s">
        <v>241</v>
      </c>
      <c r="D652" s="65">
        <v>18</v>
      </c>
      <c r="E652" s="66">
        <v>4.9451908019499996E-4</v>
      </c>
    </row>
    <row r="653" spans="2:5" ht="14.5" customHeight="1">
      <c r="B653" s="83"/>
      <c r="C653" s="64" t="s">
        <v>242</v>
      </c>
      <c r="D653" s="65">
        <v>43</v>
      </c>
      <c r="E653" s="66">
        <v>1.1813511360199999E-3</v>
      </c>
    </row>
    <row r="654" spans="2:5" ht="14.5" customHeight="1">
      <c r="B654" s="83"/>
      <c r="C654" s="64" t="s">
        <v>243</v>
      </c>
      <c r="D654" s="65">
        <v>168</v>
      </c>
      <c r="E654" s="66">
        <v>4.6155114151490003E-3</v>
      </c>
    </row>
    <row r="655" spans="2:5" ht="14.5" customHeight="1">
      <c r="B655" s="83"/>
      <c r="C655" s="64" t="s">
        <v>244</v>
      </c>
      <c r="D655" s="65">
        <v>4</v>
      </c>
      <c r="E655" s="66">
        <v>1.09893128932E-4</v>
      </c>
    </row>
    <row r="656" spans="2:5" ht="14.5" customHeight="1">
      <c r="B656" s="83"/>
      <c r="C656" s="64" t="s">
        <v>245</v>
      </c>
      <c r="D656" s="65">
        <v>4</v>
      </c>
      <c r="E656" s="66">
        <v>1.09893128932E-4</v>
      </c>
    </row>
    <row r="657" spans="2:5" ht="14.5" customHeight="1">
      <c r="B657" s="83"/>
      <c r="C657" s="64" t="s">
        <v>246</v>
      </c>
      <c r="D657" s="65">
        <v>4</v>
      </c>
      <c r="E657" s="66">
        <v>1.09893128932E-4</v>
      </c>
    </row>
    <row r="658" spans="2:5" ht="14.5" customHeight="1">
      <c r="B658" s="83"/>
      <c r="C658" s="64" t="s">
        <v>248</v>
      </c>
      <c r="D658" s="65">
        <v>15</v>
      </c>
      <c r="E658" s="66">
        <v>4.12099233495E-4</v>
      </c>
    </row>
    <row r="659" spans="2:5" ht="14.5" customHeight="1">
      <c r="B659" s="83"/>
      <c r="C659" s="64" t="s">
        <v>249</v>
      </c>
      <c r="D659" s="65">
        <v>39</v>
      </c>
      <c r="E659" s="66">
        <v>1.0714580070880001E-3</v>
      </c>
    </row>
    <row r="660" spans="2:5" ht="14.5" customHeight="1">
      <c r="B660" s="83"/>
      <c r="C660" s="64" t="s">
        <v>250</v>
      </c>
      <c r="D660" s="65">
        <v>1</v>
      </c>
      <c r="E660" s="66">
        <v>2.7473282233000001E-5</v>
      </c>
    </row>
    <row r="661" spans="2:5" ht="14.5" customHeight="1">
      <c r="B661" s="83"/>
      <c r="C661" s="64" t="s">
        <v>251</v>
      </c>
      <c r="D661" s="65">
        <v>3</v>
      </c>
      <c r="E661" s="66">
        <v>8.2419846699E-5</v>
      </c>
    </row>
    <row r="662" spans="2:5" ht="14.5" customHeight="1">
      <c r="B662" s="82"/>
      <c r="C662" s="36" t="s">
        <v>29</v>
      </c>
      <c r="D662" s="35">
        <v>592</v>
      </c>
      <c r="E662" s="34">
        <v>1.6264183081953001E-2</v>
      </c>
    </row>
    <row r="663" spans="2:5" ht="14.5" customHeight="1">
      <c r="B663" s="77" t="s">
        <v>85</v>
      </c>
      <c r="C663" s="64" t="s">
        <v>232</v>
      </c>
      <c r="D663" s="65">
        <v>2</v>
      </c>
      <c r="E663" s="66">
        <v>5.4946564466000002E-5</v>
      </c>
    </row>
    <row r="664" spans="2:5" ht="14.5" customHeight="1">
      <c r="B664" s="83"/>
      <c r="C664" s="64" t="s">
        <v>233</v>
      </c>
      <c r="D664" s="65">
        <v>1</v>
      </c>
      <c r="E664" s="66">
        <v>2.7473282233000001E-5</v>
      </c>
    </row>
    <row r="665" spans="2:5" ht="14.5" customHeight="1">
      <c r="B665" s="83"/>
      <c r="C665" s="64" t="s">
        <v>235</v>
      </c>
      <c r="D665" s="65">
        <v>8</v>
      </c>
      <c r="E665" s="66">
        <v>2.1978625786400001E-4</v>
      </c>
    </row>
    <row r="666" spans="2:5" ht="14.5" customHeight="1">
      <c r="B666" s="83"/>
      <c r="C666" s="64" t="s">
        <v>236</v>
      </c>
      <c r="D666" s="65">
        <v>16</v>
      </c>
      <c r="E666" s="66">
        <v>4.3957251572800002E-4</v>
      </c>
    </row>
    <row r="667" spans="2:5" ht="14.5" customHeight="1">
      <c r="B667" s="83"/>
      <c r="C667" s="64" t="s">
        <v>237</v>
      </c>
      <c r="D667" s="65">
        <v>3</v>
      </c>
      <c r="E667" s="66">
        <v>8.2419846699E-5</v>
      </c>
    </row>
    <row r="668" spans="2:5" ht="14.5" customHeight="1">
      <c r="B668" s="83"/>
      <c r="C668" s="64" t="s">
        <v>238</v>
      </c>
      <c r="D668" s="65">
        <v>5</v>
      </c>
      <c r="E668" s="66">
        <v>1.3736641116500001E-4</v>
      </c>
    </row>
    <row r="669" spans="2:5" ht="14.5" customHeight="1">
      <c r="B669" s="83"/>
      <c r="C669" s="64" t="s">
        <v>239</v>
      </c>
      <c r="D669" s="65">
        <v>7</v>
      </c>
      <c r="E669" s="66">
        <v>1.9231297563099999E-4</v>
      </c>
    </row>
    <row r="670" spans="2:5" ht="14.5" customHeight="1">
      <c r="B670" s="83"/>
      <c r="C670" s="64" t="s">
        <v>240</v>
      </c>
      <c r="D670" s="65">
        <v>60</v>
      </c>
      <c r="E670" s="66">
        <v>1.6483969339819999E-3</v>
      </c>
    </row>
    <row r="671" spans="2:5" ht="14.5" customHeight="1">
      <c r="B671" s="83"/>
      <c r="C671" s="64" t="s">
        <v>241</v>
      </c>
      <c r="D671" s="65">
        <v>7</v>
      </c>
      <c r="E671" s="66">
        <v>1.9231297563099999E-4</v>
      </c>
    </row>
    <row r="672" spans="2:5" ht="14.5" customHeight="1">
      <c r="B672" s="83"/>
      <c r="C672" s="64" t="s">
        <v>242</v>
      </c>
      <c r="D672" s="65">
        <v>18</v>
      </c>
      <c r="E672" s="66">
        <v>4.9451908019499996E-4</v>
      </c>
    </row>
    <row r="673" spans="2:5" ht="14.5" customHeight="1">
      <c r="B673" s="83"/>
      <c r="C673" s="64" t="s">
        <v>243</v>
      </c>
      <c r="D673" s="65">
        <v>49</v>
      </c>
      <c r="E673" s="66">
        <v>1.3461908294179999E-3</v>
      </c>
    </row>
    <row r="674" spans="2:5" ht="14.5" customHeight="1">
      <c r="B674" s="83"/>
      <c r="C674" s="64" t="s">
        <v>244</v>
      </c>
      <c r="D674" s="65">
        <v>1</v>
      </c>
      <c r="E674" s="66">
        <v>2.7473282233000001E-5</v>
      </c>
    </row>
    <row r="675" spans="2:5" ht="14.5" customHeight="1">
      <c r="B675" s="83"/>
      <c r="C675" s="64" t="s">
        <v>245</v>
      </c>
      <c r="D675" s="65">
        <v>1</v>
      </c>
      <c r="E675" s="66">
        <v>2.7473282233000001E-5</v>
      </c>
    </row>
    <row r="676" spans="2:5" ht="14.5" customHeight="1">
      <c r="B676" s="83"/>
      <c r="C676" s="64" t="s">
        <v>246</v>
      </c>
      <c r="D676" s="65">
        <v>1</v>
      </c>
      <c r="E676" s="66">
        <v>2.7473282233000001E-5</v>
      </c>
    </row>
    <row r="677" spans="2:5" ht="14.5" customHeight="1">
      <c r="B677" s="83"/>
      <c r="C677" s="64" t="s">
        <v>248</v>
      </c>
      <c r="D677" s="65">
        <v>5</v>
      </c>
      <c r="E677" s="66">
        <v>1.3736641116500001E-4</v>
      </c>
    </row>
    <row r="678" spans="2:5" ht="14.5" customHeight="1">
      <c r="B678" s="83"/>
      <c r="C678" s="64" t="s">
        <v>249</v>
      </c>
      <c r="D678" s="65">
        <v>20</v>
      </c>
      <c r="E678" s="66">
        <v>5.49465644661E-4</v>
      </c>
    </row>
    <row r="679" spans="2:5" ht="14.5" customHeight="1">
      <c r="B679" s="83"/>
      <c r="C679" s="64" t="s">
        <v>252</v>
      </c>
      <c r="D679" s="65">
        <v>1</v>
      </c>
      <c r="E679" s="66">
        <v>2.7473282233000001E-5</v>
      </c>
    </row>
    <row r="680" spans="2:5" ht="14.5" customHeight="1">
      <c r="B680" s="82"/>
      <c r="C680" s="36" t="s">
        <v>29</v>
      </c>
      <c r="D680" s="35">
        <v>205</v>
      </c>
      <c r="E680" s="34">
        <v>5.6320228577709996E-3</v>
      </c>
    </row>
    <row r="681" spans="2:5" ht="14.5" customHeight="1">
      <c r="B681" s="77" t="s">
        <v>95</v>
      </c>
      <c r="C681" s="64" t="s">
        <v>236</v>
      </c>
      <c r="D681" s="65">
        <v>2</v>
      </c>
      <c r="E681" s="66">
        <v>5.4946564466000002E-5</v>
      </c>
    </row>
    <row r="682" spans="2:5" ht="14.5" customHeight="1">
      <c r="B682" s="83"/>
      <c r="C682" s="64" t="s">
        <v>238</v>
      </c>
      <c r="D682" s="65">
        <v>1</v>
      </c>
      <c r="E682" s="66">
        <v>2.7473282233000001E-5</v>
      </c>
    </row>
    <row r="683" spans="2:5" ht="14.5" customHeight="1">
      <c r="B683" s="83"/>
      <c r="C683" s="64" t="s">
        <v>240</v>
      </c>
      <c r="D683" s="65">
        <v>7</v>
      </c>
      <c r="E683" s="66">
        <v>1.9231297563099999E-4</v>
      </c>
    </row>
    <row r="684" spans="2:5" ht="14.5" customHeight="1">
      <c r="B684" s="83"/>
      <c r="C684" s="64" t="s">
        <v>241</v>
      </c>
      <c r="D684" s="65">
        <v>3</v>
      </c>
      <c r="E684" s="66">
        <v>8.2419846699E-5</v>
      </c>
    </row>
    <row r="685" spans="2:5" ht="14.5" customHeight="1">
      <c r="B685" s="83"/>
      <c r="C685" s="64" t="s">
        <v>243</v>
      </c>
      <c r="D685" s="65">
        <v>3</v>
      </c>
      <c r="E685" s="66">
        <v>8.2419846699E-5</v>
      </c>
    </row>
    <row r="686" spans="2:5" ht="14.5" customHeight="1">
      <c r="B686" s="83"/>
      <c r="C686" s="64" t="s">
        <v>249</v>
      </c>
      <c r="D686" s="65">
        <v>3</v>
      </c>
      <c r="E686" s="66">
        <v>8.2419846699E-5</v>
      </c>
    </row>
    <row r="687" spans="2:5" ht="14.5" customHeight="1">
      <c r="B687" s="82"/>
      <c r="C687" s="36" t="s">
        <v>29</v>
      </c>
      <c r="D687" s="35">
        <v>19</v>
      </c>
      <c r="E687" s="34">
        <v>5.2199236242800003E-4</v>
      </c>
    </row>
    <row r="688" spans="2:5" ht="14.5" customHeight="1">
      <c r="B688" s="77" t="s">
        <v>55</v>
      </c>
      <c r="C688" s="64" t="s">
        <v>229</v>
      </c>
      <c r="D688" s="65">
        <v>5</v>
      </c>
      <c r="E688" s="66">
        <v>1.3736641116500001E-4</v>
      </c>
    </row>
    <row r="689" spans="2:5" ht="14.5" customHeight="1">
      <c r="B689" s="83"/>
      <c r="C689" s="64" t="s">
        <v>230</v>
      </c>
      <c r="D689" s="65">
        <v>1</v>
      </c>
      <c r="E689" s="66">
        <v>2.7473282233000001E-5</v>
      </c>
    </row>
    <row r="690" spans="2:5" ht="14.5" customHeight="1">
      <c r="B690" s="83"/>
      <c r="C690" s="64" t="s">
        <v>231</v>
      </c>
      <c r="D690" s="65">
        <v>3</v>
      </c>
      <c r="E690" s="66">
        <v>8.2419846699E-5</v>
      </c>
    </row>
    <row r="691" spans="2:5" ht="14.5" customHeight="1">
      <c r="B691" s="83"/>
      <c r="C691" s="64" t="s">
        <v>232</v>
      </c>
      <c r="D691" s="65">
        <v>4</v>
      </c>
      <c r="E691" s="66">
        <v>1.09893128932E-4</v>
      </c>
    </row>
    <row r="692" spans="2:5" ht="14.5" customHeight="1">
      <c r="B692" s="83"/>
      <c r="C692" s="64" t="s">
        <v>233</v>
      </c>
      <c r="D692" s="65">
        <v>5</v>
      </c>
      <c r="E692" s="66">
        <v>1.3736641116500001E-4</v>
      </c>
    </row>
    <row r="693" spans="2:5" ht="14.5" customHeight="1">
      <c r="B693" s="83"/>
      <c r="C693" s="64" t="s">
        <v>234</v>
      </c>
      <c r="D693" s="65">
        <v>3</v>
      </c>
      <c r="E693" s="66">
        <v>8.2419846699E-5</v>
      </c>
    </row>
    <row r="694" spans="2:5" ht="14.5" customHeight="1">
      <c r="B694" s="83"/>
      <c r="C694" s="64" t="s">
        <v>235</v>
      </c>
      <c r="D694" s="65">
        <v>26</v>
      </c>
      <c r="E694" s="66">
        <v>7.14305338059E-4</v>
      </c>
    </row>
    <row r="695" spans="2:5" ht="14.5" customHeight="1">
      <c r="B695" s="83"/>
      <c r="C695" s="64" t="s">
        <v>236</v>
      </c>
      <c r="D695" s="65">
        <v>147</v>
      </c>
      <c r="E695" s="66">
        <v>4.0385724882549996E-3</v>
      </c>
    </row>
    <row r="696" spans="2:5" ht="14.5" customHeight="1">
      <c r="B696" s="83"/>
      <c r="C696" s="64" t="s">
        <v>237</v>
      </c>
      <c r="D696" s="65">
        <v>15</v>
      </c>
      <c r="E696" s="66">
        <v>4.12099233495E-4</v>
      </c>
    </row>
    <row r="697" spans="2:5" ht="14.5" customHeight="1">
      <c r="B697" s="83"/>
      <c r="C697" s="64" t="s">
        <v>238</v>
      </c>
      <c r="D697" s="65">
        <v>31</v>
      </c>
      <c r="E697" s="66">
        <v>8.5167174922400003E-4</v>
      </c>
    </row>
    <row r="698" spans="2:5" ht="14.5" customHeight="1">
      <c r="B698" s="83"/>
      <c r="C698" s="64" t="s">
        <v>239</v>
      </c>
      <c r="D698" s="65">
        <v>61</v>
      </c>
      <c r="E698" s="66">
        <v>1.675870216215E-3</v>
      </c>
    </row>
    <row r="699" spans="2:5" ht="14.5" customHeight="1">
      <c r="B699" s="83"/>
      <c r="C699" s="64" t="s">
        <v>240</v>
      </c>
      <c r="D699" s="65">
        <v>569</v>
      </c>
      <c r="E699" s="66">
        <v>1.5632297590593001E-2</v>
      </c>
    </row>
    <row r="700" spans="2:5" ht="14.5" customHeight="1">
      <c r="B700" s="83"/>
      <c r="C700" s="64" t="s">
        <v>241</v>
      </c>
      <c r="D700" s="65">
        <v>25</v>
      </c>
      <c r="E700" s="66">
        <v>6.8683205582600003E-4</v>
      </c>
    </row>
    <row r="701" spans="2:5" ht="14.5" customHeight="1">
      <c r="B701" s="83"/>
      <c r="C701" s="64" t="s">
        <v>242</v>
      </c>
      <c r="D701" s="65">
        <v>114</v>
      </c>
      <c r="E701" s="66">
        <v>3.1319541745650002E-3</v>
      </c>
    </row>
    <row r="702" spans="2:5" ht="14.5" customHeight="1">
      <c r="B702" s="83"/>
      <c r="C702" s="64" t="s">
        <v>243</v>
      </c>
      <c r="D702" s="65">
        <v>321</v>
      </c>
      <c r="E702" s="66">
        <v>8.8189235968019995E-3</v>
      </c>
    </row>
    <row r="703" spans="2:5" ht="14.5" customHeight="1">
      <c r="B703" s="83"/>
      <c r="C703" s="64" t="s">
        <v>244</v>
      </c>
      <c r="D703" s="65">
        <v>4</v>
      </c>
      <c r="E703" s="66">
        <v>1.09893128932E-4</v>
      </c>
    </row>
    <row r="704" spans="2:5" ht="14.5" customHeight="1">
      <c r="B704" s="83"/>
      <c r="C704" s="64" t="s">
        <v>245</v>
      </c>
      <c r="D704" s="65">
        <v>4</v>
      </c>
      <c r="E704" s="66">
        <v>1.09893128932E-4</v>
      </c>
    </row>
    <row r="705" spans="2:5" ht="14.5" customHeight="1">
      <c r="B705" s="83"/>
      <c r="C705" s="64" t="s">
        <v>246</v>
      </c>
      <c r="D705" s="65">
        <v>1</v>
      </c>
      <c r="E705" s="66">
        <v>2.7473282233000001E-5</v>
      </c>
    </row>
    <row r="706" spans="2:5" ht="14.5" customHeight="1">
      <c r="B706" s="83"/>
      <c r="C706" s="64" t="s">
        <v>247</v>
      </c>
      <c r="D706" s="65">
        <v>1</v>
      </c>
      <c r="E706" s="66">
        <v>2.7473282233000001E-5</v>
      </c>
    </row>
    <row r="707" spans="2:5" ht="14.5" customHeight="1">
      <c r="B707" s="83"/>
      <c r="C707" s="64" t="s">
        <v>248</v>
      </c>
      <c r="D707" s="65">
        <v>25</v>
      </c>
      <c r="E707" s="66">
        <v>6.8683205582600003E-4</v>
      </c>
    </row>
    <row r="708" spans="2:5" ht="14.5" customHeight="1">
      <c r="B708" s="83"/>
      <c r="C708" s="64" t="s">
        <v>249</v>
      </c>
      <c r="D708" s="65">
        <v>60</v>
      </c>
      <c r="E708" s="66">
        <v>1.6483969339819999E-3</v>
      </c>
    </row>
    <row r="709" spans="2:5" ht="14.5" customHeight="1">
      <c r="B709" s="83"/>
      <c r="C709" s="64" t="s">
        <v>250</v>
      </c>
      <c r="D709" s="65">
        <v>1</v>
      </c>
      <c r="E709" s="66">
        <v>2.7473282233000001E-5</v>
      </c>
    </row>
    <row r="710" spans="2:5" ht="14.5" customHeight="1">
      <c r="B710" s="83"/>
      <c r="C710" s="64" t="s">
        <v>251</v>
      </c>
      <c r="D710" s="65">
        <v>3</v>
      </c>
      <c r="E710" s="66">
        <v>8.2419846699E-5</v>
      </c>
    </row>
    <row r="711" spans="2:5" ht="14.5" customHeight="1">
      <c r="B711" s="82"/>
      <c r="C711" s="36" t="s">
        <v>29</v>
      </c>
      <c r="D711" s="35">
        <v>1429</v>
      </c>
      <c r="E711" s="34">
        <v>3.9259320310997999E-2</v>
      </c>
    </row>
    <row r="712" spans="2:5" ht="14.5" customHeight="1">
      <c r="B712" s="77" t="s">
        <v>67</v>
      </c>
      <c r="C712" s="64" t="s">
        <v>229</v>
      </c>
      <c r="D712" s="65">
        <v>3</v>
      </c>
      <c r="E712" s="66">
        <v>8.2419846699E-5</v>
      </c>
    </row>
    <row r="713" spans="2:5" ht="14.5" customHeight="1">
      <c r="B713" s="83"/>
      <c r="C713" s="64" t="s">
        <v>232</v>
      </c>
      <c r="D713" s="65">
        <v>4</v>
      </c>
      <c r="E713" s="66">
        <v>1.09893128932E-4</v>
      </c>
    </row>
    <row r="714" spans="2:5" ht="14.5" customHeight="1">
      <c r="B714" s="83"/>
      <c r="C714" s="64" t="s">
        <v>233</v>
      </c>
      <c r="D714" s="65">
        <v>1</v>
      </c>
      <c r="E714" s="66">
        <v>2.7473282233000001E-5</v>
      </c>
    </row>
    <row r="715" spans="2:5" ht="14.5" customHeight="1">
      <c r="B715" s="83"/>
      <c r="C715" s="64" t="s">
        <v>235</v>
      </c>
      <c r="D715" s="65">
        <v>24</v>
      </c>
      <c r="E715" s="66">
        <v>6.5935877359299996E-4</v>
      </c>
    </row>
    <row r="716" spans="2:5" ht="14.5" customHeight="1">
      <c r="B716" s="83"/>
      <c r="C716" s="64" t="s">
        <v>236</v>
      </c>
      <c r="D716" s="65">
        <v>49</v>
      </c>
      <c r="E716" s="66">
        <v>1.3461908294179999E-3</v>
      </c>
    </row>
    <row r="717" spans="2:5" ht="14.5" customHeight="1">
      <c r="B717" s="83"/>
      <c r="C717" s="64" t="s">
        <v>237</v>
      </c>
      <c r="D717" s="65">
        <v>6</v>
      </c>
      <c r="E717" s="66">
        <v>1.64839693398E-4</v>
      </c>
    </row>
    <row r="718" spans="2:5" ht="14.5" customHeight="1">
      <c r="B718" s="83"/>
      <c r="C718" s="64" t="s">
        <v>238</v>
      </c>
      <c r="D718" s="65">
        <v>13</v>
      </c>
      <c r="E718" s="66">
        <v>3.5715266902900002E-4</v>
      </c>
    </row>
    <row r="719" spans="2:5" ht="14.5" customHeight="1">
      <c r="B719" s="83"/>
      <c r="C719" s="64" t="s">
        <v>239</v>
      </c>
      <c r="D719" s="65">
        <v>21</v>
      </c>
      <c r="E719" s="66">
        <v>5.7693892689399996E-4</v>
      </c>
    </row>
    <row r="720" spans="2:5" ht="14.5" customHeight="1">
      <c r="B720" s="83"/>
      <c r="C720" s="64" t="s">
        <v>240</v>
      </c>
      <c r="D720" s="65">
        <v>194</v>
      </c>
      <c r="E720" s="66">
        <v>5.3298167532079997E-3</v>
      </c>
    </row>
    <row r="721" spans="2:5" ht="14.5" customHeight="1">
      <c r="B721" s="83"/>
      <c r="C721" s="64" t="s">
        <v>241</v>
      </c>
      <c r="D721" s="65">
        <v>20</v>
      </c>
      <c r="E721" s="66">
        <v>5.49465644661E-4</v>
      </c>
    </row>
    <row r="722" spans="2:5" ht="14.5" customHeight="1">
      <c r="B722" s="83"/>
      <c r="C722" s="64" t="s">
        <v>242</v>
      </c>
      <c r="D722" s="65">
        <v>35</v>
      </c>
      <c r="E722" s="66">
        <v>9.61564878156E-4</v>
      </c>
    </row>
    <row r="723" spans="2:5" ht="14.5" customHeight="1">
      <c r="B723" s="83"/>
      <c r="C723" s="64" t="s">
        <v>243</v>
      </c>
      <c r="D723" s="65">
        <v>143</v>
      </c>
      <c r="E723" s="66">
        <v>3.9286793593230002E-3</v>
      </c>
    </row>
    <row r="724" spans="2:5" ht="14.5" customHeight="1">
      <c r="B724" s="83"/>
      <c r="C724" s="64" t="s">
        <v>244</v>
      </c>
      <c r="D724" s="65">
        <v>2</v>
      </c>
      <c r="E724" s="66">
        <v>5.4946564466000002E-5</v>
      </c>
    </row>
    <row r="725" spans="2:5" ht="14.5" customHeight="1">
      <c r="B725" s="83"/>
      <c r="C725" s="64" t="s">
        <v>245</v>
      </c>
      <c r="D725" s="65">
        <v>5</v>
      </c>
      <c r="E725" s="66">
        <v>1.3736641116500001E-4</v>
      </c>
    </row>
    <row r="726" spans="2:5" ht="14.5" customHeight="1">
      <c r="B726" s="83"/>
      <c r="C726" s="64" t="s">
        <v>246</v>
      </c>
      <c r="D726" s="65">
        <v>2</v>
      </c>
      <c r="E726" s="66">
        <v>5.4946564466000002E-5</v>
      </c>
    </row>
    <row r="727" spans="2:5" ht="14.5" customHeight="1">
      <c r="B727" s="83"/>
      <c r="C727" s="64" t="s">
        <v>247</v>
      </c>
      <c r="D727" s="65">
        <v>1</v>
      </c>
      <c r="E727" s="66">
        <v>2.7473282233000001E-5</v>
      </c>
    </row>
    <row r="728" spans="2:5" ht="14.5" customHeight="1">
      <c r="B728" s="83"/>
      <c r="C728" s="64" t="s">
        <v>248</v>
      </c>
      <c r="D728" s="65">
        <v>15</v>
      </c>
      <c r="E728" s="66">
        <v>4.12099233495E-4</v>
      </c>
    </row>
    <row r="729" spans="2:5" ht="14.5" customHeight="1">
      <c r="B729" s="83"/>
      <c r="C729" s="64" t="s">
        <v>249</v>
      </c>
      <c r="D729" s="65">
        <v>31</v>
      </c>
      <c r="E729" s="66">
        <v>8.5167174922400003E-4</v>
      </c>
    </row>
    <row r="730" spans="2:5" ht="14.5" customHeight="1">
      <c r="B730" s="83"/>
      <c r="C730" s="64" t="s">
        <v>251</v>
      </c>
      <c r="D730" s="65">
        <v>1</v>
      </c>
      <c r="E730" s="66">
        <v>2.7473282233000001E-5</v>
      </c>
    </row>
    <row r="731" spans="2:5" ht="14.5" customHeight="1">
      <c r="B731" s="83"/>
      <c r="C731" s="64" t="s">
        <v>252</v>
      </c>
      <c r="D731" s="65">
        <v>1</v>
      </c>
      <c r="E731" s="66">
        <v>2.7473282233000001E-5</v>
      </c>
    </row>
    <row r="732" spans="2:5" ht="14.5" customHeight="1">
      <c r="B732" s="82"/>
      <c r="C732" s="36" t="s">
        <v>29</v>
      </c>
      <c r="D732" s="35">
        <v>571</v>
      </c>
      <c r="E732" s="34">
        <v>1.5687244155059E-2</v>
      </c>
    </row>
    <row r="733" spans="2:5" ht="14.5" customHeight="1">
      <c r="B733" s="77" t="s">
        <v>71</v>
      </c>
      <c r="C733" s="64" t="s">
        <v>229</v>
      </c>
      <c r="D733" s="65">
        <v>2</v>
      </c>
      <c r="E733" s="66">
        <v>5.4946564466000002E-5</v>
      </c>
    </row>
    <row r="734" spans="2:5" ht="14.5" customHeight="1">
      <c r="B734" s="83"/>
      <c r="C734" s="64" t="s">
        <v>230</v>
      </c>
      <c r="D734" s="65">
        <v>1</v>
      </c>
      <c r="E734" s="66">
        <v>2.7473282233000001E-5</v>
      </c>
    </row>
    <row r="735" spans="2:5" ht="14.5" customHeight="1">
      <c r="B735" s="83"/>
      <c r="C735" s="64" t="s">
        <v>231</v>
      </c>
      <c r="D735" s="65">
        <v>3</v>
      </c>
      <c r="E735" s="66">
        <v>8.2419846699E-5</v>
      </c>
    </row>
    <row r="736" spans="2:5" ht="14.5" customHeight="1">
      <c r="B736" s="83"/>
      <c r="C736" s="64" t="s">
        <v>232</v>
      </c>
      <c r="D736" s="65">
        <v>2</v>
      </c>
      <c r="E736" s="66">
        <v>5.4946564466000002E-5</v>
      </c>
    </row>
    <row r="737" spans="2:5" ht="14.5" customHeight="1">
      <c r="B737" s="83"/>
      <c r="C737" s="64" t="s">
        <v>234</v>
      </c>
      <c r="D737" s="65">
        <v>2</v>
      </c>
      <c r="E737" s="66">
        <v>5.4946564466000002E-5</v>
      </c>
    </row>
    <row r="738" spans="2:5" ht="14.5" customHeight="1">
      <c r="B738" s="83"/>
      <c r="C738" s="64" t="s">
        <v>235</v>
      </c>
      <c r="D738" s="65">
        <v>3</v>
      </c>
      <c r="E738" s="66">
        <v>8.2419846699E-5</v>
      </c>
    </row>
    <row r="739" spans="2:5" ht="14.5" customHeight="1">
      <c r="B739" s="83"/>
      <c r="C739" s="64" t="s">
        <v>236</v>
      </c>
      <c r="D739" s="65">
        <v>49</v>
      </c>
      <c r="E739" s="66">
        <v>1.3461908294179999E-3</v>
      </c>
    </row>
    <row r="740" spans="2:5" ht="14.5" customHeight="1">
      <c r="B740" s="83"/>
      <c r="C740" s="64" t="s">
        <v>237</v>
      </c>
      <c r="D740" s="65">
        <v>4</v>
      </c>
      <c r="E740" s="66">
        <v>1.09893128932E-4</v>
      </c>
    </row>
    <row r="741" spans="2:5" ht="14.5" customHeight="1">
      <c r="B741" s="83"/>
      <c r="C741" s="64" t="s">
        <v>238</v>
      </c>
      <c r="D741" s="65">
        <v>4</v>
      </c>
      <c r="E741" s="66">
        <v>1.09893128932E-4</v>
      </c>
    </row>
    <row r="742" spans="2:5" ht="14.5" customHeight="1">
      <c r="B742" s="83"/>
      <c r="C742" s="64" t="s">
        <v>239</v>
      </c>
      <c r="D742" s="65">
        <v>3</v>
      </c>
      <c r="E742" s="66">
        <v>8.2419846699E-5</v>
      </c>
    </row>
    <row r="743" spans="2:5" ht="14.5" customHeight="1">
      <c r="B743" s="83"/>
      <c r="C743" s="64" t="s">
        <v>240</v>
      </c>
      <c r="D743" s="65">
        <v>172</v>
      </c>
      <c r="E743" s="66">
        <v>4.7254045440809998E-3</v>
      </c>
    </row>
    <row r="744" spans="2:5" ht="14.5" customHeight="1">
      <c r="B744" s="83"/>
      <c r="C744" s="64" t="s">
        <v>241</v>
      </c>
      <c r="D744" s="65">
        <v>25</v>
      </c>
      <c r="E744" s="66">
        <v>6.8683205582600003E-4</v>
      </c>
    </row>
    <row r="745" spans="2:5" ht="14.5" customHeight="1">
      <c r="B745" s="83"/>
      <c r="C745" s="64" t="s">
        <v>242</v>
      </c>
      <c r="D745" s="65">
        <v>32</v>
      </c>
      <c r="E745" s="66">
        <v>8.79145031457E-4</v>
      </c>
    </row>
    <row r="746" spans="2:5" ht="14.5" customHeight="1">
      <c r="B746" s="83"/>
      <c r="C746" s="64" t="s">
        <v>243</v>
      </c>
      <c r="D746" s="65">
        <v>139</v>
      </c>
      <c r="E746" s="66">
        <v>3.8187862303909999E-3</v>
      </c>
    </row>
    <row r="747" spans="2:5" ht="14.5" customHeight="1">
      <c r="B747" s="83"/>
      <c r="C747" s="64" t="s">
        <v>244</v>
      </c>
      <c r="D747" s="65">
        <v>1</v>
      </c>
      <c r="E747" s="66">
        <v>2.7473282233000001E-5</v>
      </c>
    </row>
    <row r="748" spans="2:5" ht="14.5" customHeight="1">
      <c r="B748" s="83"/>
      <c r="C748" s="64" t="s">
        <v>245</v>
      </c>
      <c r="D748" s="65">
        <v>1</v>
      </c>
      <c r="E748" s="66">
        <v>2.7473282233000001E-5</v>
      </c>
    </row>
    <row r="749" spans="2:5" ht="14.5" customHeight="1">
      <c r="B749" s="83"/>
      <c r="C749" s="64" t="s">
        <v>246</v>
      </c>
      <c r="D749" s="65">
        <v>1</v>
      </c>
      <c r="E749" s="66">
        <v>2.7473282233000001E-5</v>
      </c>
    </row>
    <row r="750" spans="2:5" ht="14.5" customHeight="1">
      <c r="B750" s="83"/>
      <c r="C750" s="64" t="s">
        <v>248</v>
      </c>
      <c r="D750" s="65">
        <v>18</v>
      </c>
      <c r="E750" s="66">
        <v>4.9451908019499996E-4</v>
      </c>
    </row>
    <row r="751" spans="2:5" ht="14.5" customHeight="1">
      <c r="B751" s="83"/>
      <c r="C751" s="64" t="s">
        <v>249</v>
      </c>
      <c r="D751" s="65">
        <v>52</v>
      </c>
      <c r="E751" s="66">
        <v>1.4286106761169999E-3</v>
      </c>
    </row>
    <row r="752" spans="2:5" ht="14.5" customHeight="1">
      <c r="B752" s="83"/>
      <c r="C752" s="64" t="s">
        <v>251</v>
      </c>
      <c r="D752" s="65">
        <v>1</v>
      </c>
      <c r="E752" s="66">
        <v>2.7473282233000001E-5</v>
      </c>
    </row>
    <row r="753" spans="2:5" ht="14.5" customHeight="1">
      <c r="B753" s="83"/>
      <c r="C753" s="64" t="s">
        <v>252</v>
      </c>
      <c r="D753" s="65">
        <v>2</v>
      </c>
      <c r="E753" s="66">
        <v>5.4946564466000002E-5</v>
      </c>
    </row>
    <row r="754" spans="2:5" ht="14.5" customHeight="1">
      <c r="B754" s="82"/>
      <c r="C754" s="36" t="s">
        <v>29</v>
      </c>
      <c r="D754" s="35">
        <v>517</v>
      </c>
      <c r="E754" s="34">
        <v>1.4203686914476E-2</v>
      </c>
    </row>
    <row r="755" spans="2:5" ht="14.5" customHeight="1">
      <c r="B755" s="77" t="s">
        <v>78</v>
      </c>
      <c r="C755" s="64" t="s">
        <v>229</v>
      </c>
      <c r="D755" s="65">
        <v>1</v>
      </c>
      <c r="E755" s="66">
        <v>2.7473282233000001E-5</v>
      </c>
    </row>
    <row r="756" spans="2:5" ht="14.5" customHeight="1">
      <c r="B756" s="83"/>
      <c r="C756" s="64" t="s">
        <v>232</v>
      </c>
      <c r="D756" s="65">
        <v>3</v>
      </c>
      <c r="E756" s="66">
        <v>8.2419846699E-5</v>
      </c>
    </row>
    <row r="757" spans="2:5" ht="14.5" customHeight="1">
      <c r="B757" s="83"/>
      <c r="C757" s="64" t="s">
        <v>233</v>
      </c>
      <c r="D757" s="65">
        <v>2</v>
      </c>
      <c r="E757" s="66">
        <v>5.4946564466000002E-5</v>
      </c>
    </row>
    <row r="758" spans="2:5" ht="14.5" customHeight="1">
      <c r="B758" s="83"/>
      <c r="C758" s="64" t="s">
        <v>235</v>
      </c>
      <c r="D758" s="65">
        <v>10</v>
      </c>
      <c r="E758" s="66">
        <v>2.7473282233000002E-4</v>
      </c>
    </row>
    <row r="759" spans="2:5" ht="14.5" customHeight="1">
      <c r="B759" s="83"/>
      <c r="C759" s="64" t="s">
        <v>236</v>
      </c>
      <c r="D759" s="65">
        <v>12</v>
      </c>
      <c r="E759" s="66">
        <v>3.29679386796E-4</v>
      </c>
    </row>
    <row r="760" spans="2:5" ht="14.5" customHeight="1">
      <c r="B760" s="83"/>
      <c r="C760" s="64" t="s">
        <v>237</v>
      </c>
      <c r="D760" s="65">
        <v>3</v>
      </c>
      <c r="E760" s="66">
        <v>8.2419846699E-5</v>
      </c>
    </row>
    <row r="761" spans="2:5" ht="14.5" customHeight="1">
      <c r="B761" s="83"/>
      <c r="C761" s="64" t="s">
        <v>238</v>
      </c>
      <c r="D761" s="65">
        <v>5</v>
      </c>
      <c r="E761" s="66">
        <v>1.3736641116500001E-4</v>
      </c>
    </row>
    <row r="762" spans="2:5" ht="14.5" customHeight="1">
      <c r="B762" s="83"/>
      <c r="C762" s="64" t="s">
        <v>239</v>
      </c>
      <c r="D762" s="65">
        <v>16</v>
      </c>
      <c r="E762" s="66">
        <v>4.3957251572800002E-4</v>
      </c>
    </row>
    <row r="763" spans="2:5" ht="14.5" customHeight="1">
      <c r="B763" s="83"/>
      <c r="C763" s="64" t="s">
        <v>240</v>
      </c>
      <c r="D763" s="65">
        <v>84</v>
      </c>
      <c r="E763" s="66">
        <v>2.3077557075740001E-3</v>
      </c>
    </row>
    <row r="764" spans="2:5" ht="14.5" customHeight="1">
      <c r="B764" s="83"/>
      <c r="C764" s="64" t="s">
        <v>241</v>
      </c>
      <c r="D764" s="65">
        <v>7</v>
      </c>
      <c r="E764" s="66">
        <v>1.9231297563099999E-4</v>
      </c>
    </row>
    <row r="765" spans="2:5" ht="14.5" customHeight="1">
      <c r="B765" s="83"/>
      <c r="C765" s="64" t="s">
        <v>242</v>
      </c>
      <c r="D765" s="65">
        <v>20</v>
      </c>
      <c r="E765" s="66">
        <v>5.49465644661E-4</v>
      </c>
    </row>
    <row r="766" spans="2:5" ht="14.5" customHeight="1">
      <c r="B766" s="83"/>
      <c r="C766" s="64" t="s">
        <v>243</v>
      </c>
      <c r="D766" s="65">
        <v>86</v>
      </c>
      <c r="E766" s="66">
        <v>2.3627022720399998E-3</v>
      </c>
    </row>
    <row r="767" spans="2:5" ht="14.5" customHeight="1">
      <c r="B767" s="83"/>
      <c r="C767" s="64" t="s">
        <v>244</v>
      </c>
      <c r="D767" s="65">
        <v>3</v>
      </c>
      <c r="E767" s="66">
        <v>8.2419846699E-5</v>
      </c>
    </row>
    <row r="768" spans="2:5" ht="14.5" customHeight="1">
      <c r="B768" s="83"/>
      <c r="C768" s="64" t="s">
        <v>245</v>
      </c>
      <c r="D768" s="65">
        <v>1</v>
      </c>
      <c r="E768" s="66">
        <v>2.7473282233000001E-5</v>
      </c>
    </row>
    <row r="769" spans="2:5" ht="14.5" customHeight="1">
      <c r="B769" s="83"/>
      <c r="C769" s="64" t="s">
        <v>246</v>
      </c>
      <c r="D769" s="65">
        <v>1</v>
      </c>
      <c r="E769" s="66">
        <v>2.7473282233000001E-5</v>
      </c>
    </row>
    <row r="770" spans="2:5" ht="14.5" customHeight="1">
      <c r="B770" s="83"/>
      <c r="C770" s="64" t="s">
        <v>248</v>
      </c>
      <c r="D770" s="65">
        <v>7</v>
      </c>
      <c r="E770" s="66">
        <v>1.9231297563099999E-4</v>
      </c>
    </row>
    <row r="771" spans="2:5" ht="14.5" customHeight="1">
      <c r="B771" s="83"/>
      <c r="C771" s="64" t="s">
        <v>249</v>
      </c>
      <c r="D771" s="65">
        <v>35</v>
      </c>
      <c r="E771" s="66">
        <v>9.61564878156E-4</v>
      </c>
    </row>
    <row r="772" spans="2:5" ht="14.5" customHeight="1">
      <c r="B772" s="83"/>
      <c r="C772" s="64" t="s">
        <v>251</v>
      </c>
      <c r="D772" s="65">
        <v>1</v>
      </c>
      <c r="E772" s="66">
        <v>2.7473282233000001E-5</v>
      </c>
    </row>
    <row r="773" spans="2:5" ht="14.5" customHeight="1">
      <c r="B773" s="82"/>
      <c r="C773" s="36" t="s">
        <v>29</v>
      </c>
      <c r="D773" s="35">
        <v>297</v>
      </c>
      <c r="E773" s="34">
        <v>8.1595648232090003E-3</v>
      </c>
    </row>
    <row r="774" spans="2:5" ht="14.5" customHeight="1">
      <c r="B774" s="77" t="s">
        <v>77</v>
      </c>
      <c r="C774" s="64" t="s">
        <v>230</v>
      </c>
      <c r="D774" s="65">
        <v>2</v>
      </c>
      <c r="E774" s="66">
        <v>5.4946564466000002E-5</v>
      </c>
    </row>
    <row r="775" spans="2:5" ht="14.5" customHeight="1">
      <c r="B775" s="83"/>
      <c r="C775" s="64" t="s">
        <v>231</v>
      </c>
      <c r="D775" s="65">
        <v>2</v>
      </c>
      <c r="E775" s="66">
        <v>5.4946564466000002E-5</v>
      </c>
    </row>
    <row r="776" spans="2:5" ht="14.5" customHeight="1">
      <c r="B776" s="83"/>
      <c r="C776" s="64" t="s">
        <v>232</v>
      </c>
      <c r="D776" s="65">
        <v>1</v>
      </c>
      <c r="E776" s="66">
        <v>2.7473282233000001E-5</v>
      </c>
    </row>
    <row r="777" spans="2:5" ht="14.5" customHeight="1">
      <c r="B777" s="83"/>
      <c r="C777" s="64" t="s">
        <v>233</v>
      </c>
      <c r="D777" s="65">
        <v>2</v>
      </c>
      <c r="E777" s="66">
        <v>5.4946564466000002E-5</v>
      </c>
    </row>
    <row r="778" spans="2:5" ht="14.5" customHeight="1">
      <c r="B778" s="83"/>
      <c r="C778" s="64" t="s">
        <v>234</v>
      </c>
      <c r="D778" s="65">
        <v>2</v>
      </c>
      <c r="E778" s="66">
        <v>5.4946564466000002E-5</v>
      </c>
    </row>
    <row r="779" spans="2:5" ht="14.5" customHeight="1">
      <c r="B779" s="83"/>
      <c r="C779" s="64" t="s">
        <v>235</v>
      </c>
      <c r="D779" s="65">
        <v>17</v>
      </c>
      <c r="E779" s="66">
        <v>4.6704579796099998E-4</v>
      </c>
    </row>
    <row r="780" spans="2:5" ht="14.5" customHeight="1">
      <c r="B780" s="83"/>
      <c r="C780" s="64" t="s">
        <v>236</v>
      </c>
      <c r="D780" s="65">
        <v>15</v>
      </c>
      <c r="E780" s="66">
        <v>4.12099233495E-4</v>
      </c>
    </row>
    <row r="781" spans="2:5" ht="14.5" customHeight="1">
      <c r="B781" s="83"/>
      <c r="C781" s="64" t="s">
        <v>237</v>
      </c>
      <c r="D781" s="65">
        <v>4</v>
      </c>
      <c r="E781" s="66">
        <v>1.09893128932E-4</v>
      </c>
    </row>
    <row r="782" spans="2:5" ht="14.5" customHeight="1">
      <c r="B782" s="83"/>
      <c r="C782" s="64" t="s">
        <v>238</v>
      </c>
      <c r="D782" s="65">
        <v>2</v>
      </c>
      <c r="E782" s="66">
        <v>5.4946564466000002E-5</v>
      </c>
    </row>
    <row r="783" spans="2:5" ht="14.5" customHeight="1">
      <c r="B783" s="83"/>
      <c r="C783" s="64" t="s">
        <v>239</v>
      </c>
      <c r="D783" s="65">
        <v>14</v>
      </c>
      <c r="E783" s="66">
        <v>3.8462595126199998E-4</v>
      </c>
    </row>
    <row r="784" spans="2:5" ht="14.5" customHeight="1">
      <c r="B784" s="83"/>
      <c r="C784" s="64" t="s">
        <v>240</v>
      </c>
      <c r="D784" s="65">
        <v>82</v>
      </c>
      <c r="E784" s="66">
        <v>2.252809143108E-3</v>
      </c>
    </row>
    <row r="785" spans="2:5" ht="14.5" customHeight="1">
      <c r="B785" s="83"/>
      <c r="C785" s="64" t="s">
        <v>241</v>
      </c>
      <c r="D785" s="65">
        <v>17</v>
      </c>
      <c r="E785" s="66">
        <v>4.6704579796099998E-4</v>
      </c>
    </row>
    <row r="786" spans="2:5" ht="14.5" customHeight="1">
      <c r="B786" s="83"/>
      <c r="C786" s="64" t="s">
        <v>242</v>
      </c>
      <c r="D786" s="65">
        <v>23</v>
      </c>
      <c r="E786" s="66">
        <v>6.3188549136E-4</v>
      </c>
    </row>
    <row r="787" spans="2:5" ht="14.5" customHeight="1">
      <c r="B787" s="83"/>
      <c r="C787" s="64" t="s">
        <v>243</v>
      </c>
      <c r="D787" s="65">
        <v>112</v>
      </c>
      <c r="E787" s="66">
        <v>3.0770076100990001E-3</v>
      </c>
    </row>
    <row r="788" spans="2:5" ht="14.5" customHeight="1">
      <c r="B788" s="83"/>
      <c r="C788" s="64" t="s">
        <v>244</v>
      </c>
      <c r="D788" s="65">
        <v>1</v>
      </c>
      <c r="E788" s="66">
        <v>2.7473282233000001E-5</v>
      </c>
    </row>
    <row r="789" spans="2:5" ht="14.5" customHeight="1">
      <c r="B789" s="83"/>
      <c r="C789" s="64" t="s">
        <v>245</v>
      </c>
      <c r="D789" s="65">
        <v>5</v>
      </c>
      <c r="E789" s="66">
        <v>1.3736641116500001E-4</v>
      </c>
    </row>
    <row r="790" spans="2:5" ht="14.5" customHeight="1">
      <c r="B790" s="83"/>
      <c r="C790" s="64" t="s">
        <v>246</v>
      </c>
      <c r="D790" s="65">
        <v>4</v>
      </c>
      <c r="E790" s="66">
        <v>1.09893128932E-4</v>
      </c>
    </row>
    <row r="791" spans="2:5" ht="14.5" customHeight="1">
      <c r="B791" s="83"/>
      <c r="C791" s="64" t="s">
        <v>247</v>
      </c>
      <c r="D791" s="65">
        <v>1</v>
      </c>
      <c r="E791" s="66">
        <v>2.7473282233000001E-5</v>
      </c>
    </row>
    <row r="792" spans="2:5" ht="14.5" customHeight="1">
      <c r="B792" s="83"/>
      <c r="C792" s="64" t="s">
        <v>248</v>
      </c>
      <c r="D792" s="65">
        <v>8</v>
      </c>
      <c r="E792" s="66">
        <v>2.1978625786400001E-4</v>
      </c>
    </row>
    <row r="793" spans="2:5" ht="14.5" customHeight="1">
      <c r="B793" s="83"/>
      <c r="C793" s="64" t="s">
        <v>249</v>
      </c>
      <c r="D793" s="65">
        <v>61</v>
      </c>
      <c r="E793" s="66">
        <v>1.675870216215E-3</v>
      </c>
    </row>
    <row r="794" spans="2:5" ht="14.5" customHeight="1">
      <c r="B794" s="83"/>
      <c r="C794" s="64" t="s">
        <v>251</v>
      </c>
      <c r="D794" s="65">
        <v>7</v>
      </c>
      <c r="E794" s="66">
        <v>1.9231297563099999E-4</v>
      </c>
    </row>
    <row r="795" spans="2:5" ht="14.5" customHeight="1">
      <c r="B795" s="83"/>
      <c r="C795" s="64" t="s">
        <v>252</v>
      </c>
      <c r="D795" s="65">
        <v>1</v>
      </c>
      <c r="E795" s="66">
        <v>2.7473282233000001E-5</v>
      </c>
    </row>
    <row r="796" spans="2:5" ht="14.5" customHeight="1">
      <c r="B796" s="82"/>
      <c r="C796" s="36" t="s">
        <v>29</v>
      </c>
      <c r="D796" s="35">
        <v>383</v>
      </c>
      <c r="E796" s="34">
        <v>1.0522267095250001E-2</v>
      </c>
    </row>
    <row r="797" spans="2:5" ht="14.5" customHeight="1">
      <c r="B797" s="77" t="s">
        <v>59</v>
      </c>
      <c r="C797" s="64" t="s">
        <v>228</v>
      </c>
      <c r="D797" s="65">
        <v>1</v>
      </c>
      <c r="E797" s="66">
        <v>2.7473282233000001E-5</v>
      </c>
    </row>
    <row r="798" spans="2:5" ht="14.5" customHeight="1">
      <c r="B798" s="83"/>
      <c r="C798" s="64" t="s">
        <v>229</v>
      </c>
      <c r="D798" s="65">
        <v>2</v>
      </c>
      <c r="E798" s="66">
        <v>5.4946564466000002E-5</v>
      </c>
    </row>
    <row r="799" spans="2:5" ht="14.5" customHeight="1">
      <c r="B799" s="83"/>
      <c r="C799" s="64" t="s">
        <v>230</v>
      </c>
      <c r="D799" s="65">
        <v>4</v>
      </c>
      <c r="E799" s="66">
        <v>1.09893128932E-4</v>
      </c>
    </row>
    <row r="800" spans="2:5" ht="14.5" customHeight="1">
      <c r="B800" s="83"/>
      <c r="C800" s="64" t="s">
        <v>231</v>
      </c>
      <c r="D800" s="65">
        <v>3</v>
      </c>
      <c r="E800" s="66">
        <v>8.2419846699E-5</v>
      </c>
    </row>
    <row r="801" spans="2:5" ht="14.5" customHeight="1">
      <c r="B801" s="83"/>
      <c r="C801" s="64" t="s">
        <v>232</v>
      </c>
      <c r="D801" s="65">
        <v>5</v>
      </c>
      <c r="E801" s="66">
        <v>1.3736641116500001E-4</v>
      </c>
    </row>
    <row r="802" spans="2:5" ht="14.5" customHeight="1">
      <c r="B802" s="83"/>
      <c r="C802" s="64" t="s">
        <v>233</v>
      </c>
      <c r="D802" s="65">
        <v>6</v>
      </c>
      <c r="E802" s="66">
        <v>1.64839693398E-4</v>
      </c>
    </row>
    <row r="803" spans="2:5" ht="14.5" customHeight="1">
      <c r="B803" s="83"/>
      <c r="C803" s="64" t="s">
        <v>234</v>
      </c>
      <c r="D803" s="65">
        <v>8</v>
      </c>
      <c r="E803" s="66">
        <v>2.1978625786400001E-4</v>
      </c>
    </row>
    <row r="804" spans="2:5" ht="14.5" customHeight="1">
      <c r="B804" s="83"/>
      <c r="C804" s="64" t="s">
        <v>235</v>
      </c>
      <c r="D804" s="65">
        <v>64</v>
      </c>
      <c r="E804" s="66">
        <v>1.758290062914E-3</v>
      </c>
    </row>
    <row r="805" spans="2:5" ht="14.5" customHeight="1">
      <c r="B805" s="83"/>
      <c r="C805" s="64" t="s">
        <v>236</v>
      </c>
      <c r="D805" s="65">
        <v>82</v>
      </c>
      <c r="E805" s="66">
        <v>2.252809143108E-3</v>
      </c>
    </row>
    <row r="806" spans="2:5" ht="14.5" customHeight="1">
      <c r="B806" s="83"/>
      <c r="C806" s="64" t="s">
        <v>237</v>
      </c>
      <c r="D806" s="65">
        <v>8</v>
      </c>
      <c r="E806" s="66">
        <v>2.1978625786400001E-4</v>
      </c>
    </row>
    <row r="807" spans="2:5" ht="14.5" customHeight="1">
      <c r="B807" s="83"/>
      <c r="C807" s="64" t="s">
        <v>238</v>
      </c>
      <c r="D807" s="65">
        <v>27</v>
      </c>
      <c r="E807" s="66">
        <v>7.4177862029199996E-4</v>
      </c>
    </row>
    <row r="808" spans="2:5" ht="14.5" customHeight="1">
      <c r="B808" s="83"/>
      <c r="C808" s="64" t="s">
        <v>239</v>
      </c>
      <c r="D808" s="65">
        <v>58</v>
      </c>
      <c r="E808" s="66">
        <v>1.593450369516E-3</v>
      </c>
    </row>
    <row r="809" spans="2:5" ht="14.5" customHeight="1">
      <c r="B809" s="83"/>
      <c r="C809" s="64" t="s">
        <v>240</v>
      </c>
      <c r="D809" s="65">
        <v>237</v>
      </c>
      <c r="E809" s="66">
        <v>6.5111678892280003E-3</v>
      </c>
    </row>
    <row r="810" spans="2:5" ht="14.5" customHeight="1">
      <c r="B810" s="83"/>
      <c r="C810" s="64" t="s">
        <v>241</v>
      </c>
      <c r="D810" s="65">
        <v>34</v>
      </c>
      <c r="E810" s="66">
        <v>9.3409159592300003E-4</v>
      </c>
    </row>
    <row r="811" spans="2:5" ht="14.5" customHeight="1">
      <c r="B811" s="83"/>
      <c r="C811" s="64" t="s">
        <v>242</v>
      </c>
      <c r="D811" s="65">
        <v>63</v>
      </c>
      <c r="E811" s="66">
        <v>1.7308167806809999E-3</v>
      </c>
    </row>
    <row r="812" spans="2:5" ht="14.5" customHeight="1">
      <c r="B812" s="83"/>
      <c r="C812" s="64" t="s">
        <v>243</v>
      </c>
      <c r="D812" s="65">
        <v>284</v>
      </c>
      <c r="E812" s="66">
        <v>7.8024121541800003E-3</v>
      </c>
    </row>
    <row r="813" spans="2:5" ht="14.5" customHeight="1">
      <c r="B813" s="83"/>
      <c r="C813" s="64" t="s">
        <v>244</v>
      </c>
      <c r="D813" s="65">
        <v>4</v>
      </c>
      <c r="E813" s="66">
        <v>1.09893128932E-4</v>
      </c>
    </row>
    <row r="814" spans="2:5" ht="14.5" customHeight="1">
      <c r="B814" s="83"/>
      <c r="C814" s="64" t="s">
        <v>245</v>
      </c>
      <c r="D814" s="65">
        <v>4</v>
      </c>
      <c r="E814" s="66">
        <v>1.09893128932E-4</v>
      </c>
    </row>
    <row r="815" spans="2:5" ht="14.5" customHeight="1">
      <c r="B815" s="83"/>
      <c r="C815" s="64" t="s">
        <v>246</v>
      </c>
      <c r="D815" s="65">
        <v>4</v>
      </c>
      <c r="E815" s="66">
        <v>1.09893128932E-4</v>
      </c>
    </row>
    <row r="816" spans="2:5" ht="14.5" customHeight="1">
      <c r="B816" s="83"/>
      <c r="C816" s="64" t="s">
        <v>247</v>
      </c>
      <c r="D816" s="65">
        <v>2</v>
      </c>
      <c r="E816" s="66">
        <v>5.4946564466000002E-5</v>
      </c>
    </row>
    <row r="817" spans="2:5" ht="14.5" customHeight="1">
      <c r="B817" s="83"/>
      <c r="C817" s="64" t="s">
        <v>248</v>
      </c>
      <c r="D817" s="65">
        <v>13</v>
      </c>
      <c r="E817" s="66">
        <v>3.5715266902900002E-4</v>
      </c>
    </row>
    <row r="818" spans="2:5" ht="14.5" customHeight="1">
      <c r="B818" s="83"/>
      <c r="C818" s="64" t="s">
        <v>249</v>
      </c>
      <c r="D818" s="65">
        <v>51</v>
      </c>
      <c r="E818" s="66">
        <v>1.4011373938840001E-3</v>
      </c>
    </row>
    <row r="819" spans="2:5" ht="14.5" customHeight="1">
      <c r="B819" s="83"/>
      <c r="C819" s="64" t="s">
        <v>251</v>
      </c>
      <c r="D819" s="65">
        <v>4</v>
      </c>
      <c r="E819" s="66">
        <v>1.09893128932E-4</v>
      </c>
    </row>
    <row r="820" spans="2:5" ht="14.5" customHeight="1">
      <c r="B820" s="82"/>
      <c r="C820" s="36" t="s">
        <v>29</v>
      </c>
      <c r="D820" s="35">
        <v>968</v>
      </c>
      <c r="E820" s="34">
        <v>2.6594137201571E-2</v>
      </c>
    </row>
    <row r="821" spans="2:5" ht="14.5" customHeight="1">
      <c r="B821" s="77" t="s">
        <v>68</v>
      </c>
      <c r="C821" s="64" t="s">
        <v>229</v>
      </c>
      <c r="D821" s="65">
        <v>2</v>
      </c>
      <c r="E821" s="66">
        <v>5.4946564466000002E-5</v>
      </c>
    </row>
    <row r="822" spans="2:5" ht="14.5" customHeight="1">
      <c r="B822" s="83"/>
      <c r="C822" s="64" t="s">
        <v>230</v>
      </c>
      <c r="D822" s="65">
        <v>1</v>
      </c>
      <c r="E822" s="66">
        <v>2.7473282233000001E-5</v>
      </c>
    </row>
    <row r="823" spans="2:5" ht="14.5" customHeight="1">
      <c r="B823" s="83"/>
      <c r="C823" s="64" t="s">
        <v>231</v>
      </c>
      <c r="D823" s="65">
        <v>4</v>
      </c>
      <c r="E823" s="66">
        <v>1.09893128932E-4</v>
      </c>
    </row>
    <row r="824" spans="2:5" ht="14.5" customHeight="1">
      <c r="B824" s="83"/>
      <c r="C824" s="64" t="s">
        <v>232</v>
      </c>
      <c r="D824" s="65">
        <v>3</v>
      </c>
      <c r="E824" s="66">
        <v>8.2419846699E-5</v>
      </c>
    </row>
    <row r="825" spans="2:5" ht="14.5" customHeight="1">
      <c r="B825" s="83"/>
      <c r="C825" s="64" t="s">
        <v>233</v>
      </c>
      <c r="D825" s="65">
        <v>2</v>
      </c>
      <c r="E825" s="66">
        <v>5.4946564466000002E-5</v>
      </c>
    </row>
    <row r="826" spans="2:5" ht="14.5" customHeight="1">
      <c r="B826" s="83"/>
      <c r="C826" s="64" t="s">
        <v>234</v>
      </c>
      <c r="D826" s="65">
        <v>1</v>
      </c>
      <c r="E826" s="66">
        <v>2.7473282233000001E-5</v>
      </c>
    </row>
    <row r="827" spans="2:5" ht="14.5" customHeight="1">
      <c r="B827" s="83"/>
      <c r="C827" s="64" t="s">
        <v>235</v>
      </c>
      <c r="D827" s="65">
        <v>18</v>
      </c>
      <c r="E827" s="66">
        <v>4.9451908019499996E-4</v>
      </c>
    </row>
    <row r="828" spans="2:5" ht="14.5" customHeight="1">
      <c r="B828" s="83"/>
      <c r="C828" s="64" t="s">
        <v>236</v>
      </c>
      <c r="D828" s="65">
        <v>52</v>
      </c>
      <c r="E828" s="66">
        <v>1.4286106761169999E-3</v>
      </c>
    </row>
    <row r="829" spans="2:5" ht="14.5" customHeight="1">
      <c r="B829" s="83"/>
      <c r="C829" s="64" t="s">
        <v>237</v>
      </c>
      <c r="D829" s="65">
        <v>1</v>
      </c>
      <c r="E829" s="66">
        <v>2.7473282233000001E-5</v>
      </c>
    </row>
    <row r="830" spans="2:5" ht="14.5" customHeight="1">
      <c r="B830" s="83"/>
      <c r="C830" s="64" t="s">
        <v>238</v>
      </c>
      <c r="D830" s="65">
        <v>13</v>
      </c>
      <c r="E830" s="66">
        <v>3.5715266902900002E-4</v>
      </c>
    </row>
    <row r="831" spans="2:5" ht="14.5" customHeight="1">
      <c r="B831" s="83"/>
      <c r="C831" s="64" t="s">
        <v>239</v>
      </c>
      <c r="D831" s="65">
        <v>10</v>
      </c>
      <c r="E831" s="66">
        <v>2.7473282233000002E-4</v>
      </c>
    </row>
    <row r="832" spans="2:5" ht="14.5" customHeight="1">
      <c r="B832" s="83"/>
      <c r="C832" s="64" t="s">
        <v>240</v>
      </c>
      <c r="D832" s="65">
        <v>189</v>
      </c>
      <c r="E832" s="66">
        <v>5.1924503420420001E-3</v>
      </c>
    </row>
    <row r="833" spans="2:5" ht="14.5" customHeight="1">
      <c r="B833" s="83"/>
      <c r="C833" s="64" t="s">
        <v>241</v>
      </c>
      <c r="D833" s="65">
        <v>13</v>
      </c>
      <c r="E833" s="66">
        <v>3.5715266902900002E-4</v>
      </c>
    </row>
    <row r="834" spans="2:5" ht="14.5" customHeight="1">
      <c r="B834" s="83"/>
      <c r="C834" s="64" t="s">
        <v>242</v>
      </c>
      <c r="D834" s="65">
        <v>41</v>
      </c>
      <c r="E834" s="66">
        <v>1.126404571554E-3</v>
      </c>
    </row>
    <row r="835" spans="2:5" ht="14.5" customHeight="1">
      <c r="B835" s="83"/>
      <c r="C835" s="64" t="s">
        <v>243</v>
      </c>
      <c r="D835" s="65">
        <v>148</v>
      </c>
      <c r="E835" s="66">
        <v>4.0660457704879997E-3</v>
      </c>
    </row>
    <row r="836" spans="2:5" ht="14.5" customHeight="1">
      <c r="B836" s="83"/>
      <c r="C836" s="64" t="s">
        <v>244</v>
      </c>
      <c r="D836" s="65">
        <v>6</v>
      </c>
      <c r="E836" s="66">
        <v>1.64839693398E-4</v>
      </c>
    </row>
    <row r="837" spans="2:5" ht="14.5" customHeight="1">
      <c r="B837" s="83"/>
      <c r="C837" s="64" t="s">
        <v>245</v>
      </c>
      <c r="D837" s="65">
        <v>6</v>
      </c>
      <c r="E837" s="66">
        <v>1.64839693398E-4</v>
      </c>
    </row>
    <row r="838" spans="2:5" ht="14.5" customHeight="1">
      <c r="B838" s="83"/>
      <c r="C838" s="64" t="s">
        <v>247</v>
      </c>
      <c r="D838" s="65">
        <v>3</v>
      </c>
      <c r="E838" s="66">
        <v>8.2419846699E-5</v>
      </c>
    </row>
    <row r="839" spans="2:5" ht="14.5" customHeight="1">
      <c r="B839" s="83"/>
      <c r="C839" s="64" t="s">
        <v>248</v>
      </c>
      <c r="D839" s="65">
        <v>7</v>
      </c>
      <c r="E839" s="66">
        <v>1.9231297563099999E-4</v>
      </c>
    </row>
    <row r="840" spans="2:5" ht="14.5" customHeight="1">
      <c r="B840" s="83"/>
      <c r="C840" s="64" t="s">
        <v>249</v>
      </c>
      <c r="D840" s="65">
        <v>34</v>
      </c>
      <c r="E840" s="66">
        <v>9.3409159592300003E-4</v>
      </c>
    </row>
    <row r="841" spans="2:5" ht="14.5" customHeight="1">
      <c r="B841" s="83"/>
      <c r="C841" s="64" t="s">
        <v>251</v>
      </c>
      <c r="D841" s="65">
        <v>2</v>
      </c>
      <c r="E841" s="66">
        <v>5.4946564466000002E-5</v>
      </c>
    </row>
    <row r="842" spans="2:5" ht="14.5" customHeight="1">
      <c r="B842" s="83"/>
      <c r="C842" s="64" t="s">
        <v>252</v>
      </c>
      <c r="D842" s="65">
        <v>1</v>
      </c>
      <c r="E842" s="66">
        <v>2.7473282233000001E-5</v>
      </c>
    </row>
    <row r="843" spans="2:5" ht="14.5" customHeight="1">
      <c r="B843" s="82"/>
      <c r="C843" s="36" t="s">
        <v>29</v>
      </c>
      <c r="D843" s="35">
        <v>557</v>
      </c>
      <c r="E843" s="34">
        <v>1.5302618203797001E-2</v>
      </c>
    </row>
    <row r="844" spans="2:5" ht="14.5" customHeight="1">
      <c r="B844" s="77" t="s">
        <v>73</v>
      </c>
      <c r="C844" s="64" t="s">
        <v>229</v>
      </c>
      <c r="D844" s="65">
        <v>1</v>
      </c>
      <c r="E844" s="66">
        <v>2.7473282233000001E-5</v>
      </c>
    </row>
    <row r="845" spans="2:5" ht="14.5" customHeight="1">
      <c r="B845" s="83"/>
      <c r="C845" s="64" t="s">
        <v>230</v>
      </c>
      <c r="D845" s="65">
        <v>4</v>
      </c>
      <c r="E845" s="66">
        <v>1.09893128932E-4</v>
      </c>
    </row>
    <row r="846" spans="2:5" ht="14.5" customHeight="1">
      <c r="B846" s="83"/>
      <c r="C846" s="64" t="s">
        <v>232</v>
      </c>
      <c r="D846" s="65">
        <v>5</v>
      </c>
      <c r="E846" s="66">
        <v>1.3736641116500001E-4</v>
      </c>
    </row>
    <row r="847" spans="2:5" ht="14.5" customHeight="1">
      <c r="B847" s="83"/>
      <c r="C847" s="64" t="s">
        <v>233</v>
      </c>
      <c r="D847" s="65">
        <v>1</v>
      </c>
      <c r="E847" s="66">
        <v>2.7473282233000001E-5</v>
      </c>
    </row>
    <row r="848" spans="2:5" ht="14.5" customHeight="1">
      <c r="B848" s="83"/>
      <c r="C848" s="64" t="s">
        <v>234</v>
      </c>
      <c r="D848" s="65">
        <v>3</v>
      </c>
      <c r="E848" s="66">
        <v>8.2419846699E-5</v>
      </c>
    </row>
    <row r="849" spans="2:5" ht="14.5" customHeight="1">
      <c r="B849" s="83"/>
      <c r="C849" s="64" t="s">
        <v>235</v>
      </c>
      <c r="D849" s="65">
        <v>49</v>
      </c>
      <c r="E849" s="66">
        <v>1.3461908294179999E-3</v>
      </c>
    </row>
    <row r="850" spans="2:5" ht="14.5" customHeight="1">
      <c r="B850" s="83"/>
      <c r="C850" s="64" t="s">
        <v>236</v>
      </c>
      <c r="D850" s="65">
        <v>34</v>
      </c>
      <c r="E850" s="66">
        <v>9.3409159592300003E-4</v>
      </c>
    </row>
    <row r="851" spans="2:5" ht="14.5" customHeight="1">
      <c r="B851" s="83"/>
      <c r="C851" s="64" t="s">
        <v>237</v>
      </c>
      <c r="D851" s="65">
        <v>8</v>
      </c>
      <c r="E851" s="66">
        <v>2.1978625786400001E-4</v>
      </c>
    </row>
    <row r="852" spans="2:5" ht="14.5" customHeight="1">
      <c r="B852" s="83"/>
      <c r="C852" s="64" t="s">
        <v>238</v>
      </c>
      <c r="D852" s="65">
        <v>12</v>
      </c>
      <c r="E852" s="66">
        <v>3.29679386796E-4</v>
      </c>
    </row>
    <row r="853" spans="2:5" ht="14.5" customHeight="1">
      <c r="B853" s="83"/>
      <c r="C853" s="64" t="s">
        <v>239</v>
      </c>
      <c r="D853" s="65">
        <v>28</v>
      </c>
      <c r="E853" s="66">
        <v>7.6925190252500003E-4</v>
      </c>
    </row>
    <row r="854" spans="2:5" ht="14.5" customHeight="1">
      <c r="B854" s="83"/>
      <c r="C854" s="64" t="s">
        <v>240</v>
      </c>
      <c r="D854" s="65">
        <v>152</v>
      </c>
      <c r="E854" s="66">
        <v>4.17593889942E-3</v>
      </c>
    </row>
    <row r="855" spans="2:5" ht="14.5" customHeight="1">
      <c r="B855" s="83"/>
      <c r="C855" s="64" t="s">
        <v>241</v>
      </c>
      <c r="D855" s="65">
        <v>21</v>
      </c>
      <c r="E855" s="66">
        <v>5.7693892689399996E-4</v>
      </c>
    </row>
    <row r="856" spans="2:5" ht="14.5" customHeight="1">
      <c r="B856" s="83"/>
      <c r="C856" s="64" t="s">
        <v>242</v>
      </c>
      <c r="D856" s="65">
        <v>22</v>
      </c>
      <c r="E856" s="66">
        <v>6.0441220912700003E-4</v>
      </c>
    </row>
    <row r="857" spans="2:5" ht="14.5" customHeight="1">
      <c r="B857" s="83"/>
      <c r="C857" s="64" t="s">
        <v>243</v>
      </c>
      <c r="D857" s="65">
        <v>116</v>
      </c>
      <c r="E857" s="66">
        <v>3.1869007390309999E-3</v>
      </c>
    </row>
    <row r="858" spans="2:5" ht="14.5" customHeight="1">
      <c r="B858" s="83"/>
      <c r="C858" s="64" t="s">
        <v>245</v>
      </c>
      <c r="D858" s="65">
        <v>2</v>
      </c>
      <c r="E858" s="66">
        <v>5.4946564466000002E-5</v>
      </c>
    </row>
    <row r="859" spans="2:5" ht="14.5" customHeight="1">
      <c r="B859" s="83"/>
      <c r="C859" s="64" t="s">
        <v>246</v>
      </c>
      <c r="D859" s="65">
        <v>2</v>
      </c>
      <c r="E859" s="66">
        <v>5.4946564466000002E-5</v>
      </c>
    </row>
    <row r="860" spans="2:5" ht="14.5" customHeight="1">
      <c r="B860" s="83"/>
      <c r="C860" s="64" t="s">
        <v>247</v>
      </c>
      <c r="D860" s="65">
        <v>4</v>
      </c>
      <c r="E860" s="66">
        <v>1.09893128932E-4</v>
      </c>
    </row>
    <row r="861" spans="2:5" ht="14.5" customHeight="1">
      <c r="B861" s="83"/>
      <c r="C861" s="64" t="s">
        <v>248</v>
      </c>
      <c r="D861" s="65">
        <v>11</v>
      </c>
      <c r="E861" s="66">
        <v>3.0220610456299998E-4</v>
      </c>
    </row>
    <row r="862" spans="2:5" ht="14.5" customHeight="1">
      <c r="B862" s="83"/>
      <c r="C862" s="64" t="s">
        <v>249</v>
      </c>
      <c r="D862" s="65">
        <v>20</v>
      </c>
      <c r="E862" s="66">
        <v>5.49465644661E-4</v>
      </c>
    </row>
    <row r="863" spans="2:5" ht="14.5" customHeight="1">
      <c r="B863" s="83"/>
      <c r="C863" s="64" t="s">
        <v>251</v>
      </c>
      <c r="D863" s="65">
        <v>3</v>
      </c>
      <c r="E863" s="66">
        <v>8.2419846699E-5</v>
      </c>
    </row>
    <row r="864" spans="2:5" ht="14.5" customHeight="1">
      <c r="B864" s="82"/>
      <c r="C864" s="36" t="s">
        <v>29</v>
      </c>
      <c r="D864" s="35">
        <v>498</v>
      </c>
      <c r="E864" s="34">
        <v>1.3681694552048001E-2</v>
      </c>
    </row>
    <row r="865" spans="2:5" ht="14.5" customHeight="1">
      <c r="B865" s="77" t="s">
        <v>61</v>
      </c>
      <c r="C865" s="64" t="s">
        <v>229</v>
      </c>
      <c r="D865" s="65">
        <v>2</v>
      </c>
      <c r="E865" s="66">
        <v>5.4946564466000002E-5</v>
      </c>
    </row>
    <row r="866" spans="2:5" ht="14.5" customHeight="1">
      <c r="B866" s="83"/>
      <c r="C866" s="64" t="s">
        <v>230</v>
      </c>
      <c r="D866" s="65">
        <v>2</v>
      </c>
      <c r="E866" s="66">
        <v>5.4946564466000002E-5</v>
      </c>
    </row>
    <row r="867" spans="2:5" ht="14.5" customHeight="1">
      <c r="B867" s="83"/>
      <c r="C867" s="64" t="s">
        <v>231</v>
      </c>
      <c r="D867" s="65">
        <v>1</v>
      </c>
      <c r="E867" s="66">
        <v>2.7473282233000001E-5</v>
      </c>
    </row>
    <row r="868" spans="2:5" ht="14.5" customHeight="1">
      <c r="B868" s="83"/>
      <c r="C868" s="64" t="s">
        <v>232</v>
      </c>
      <c r="D868" s="65">
        <v>3</v>
      </c>
      <c r="E868" s="66">
        <v>8.2419846699E-5</v>
      </c>
    </row>
    <row r="869" spans="2:5" ht="14.5" customHeight="1">
      <c r="B869" s="83"/>
      <c r="C869" s="64" t="s">
        <v>233</v>
      </c>
      <c r="D869" s="65">
        <v>4</v>
      </c>
      <c r="E869" s="66">
        <v>1.09893128932E-4</v>
      </c>
    </row>
    <row r="870" spans="2:5" ht="14.5" customHeight="1">
      <c r="B870" s="83"/>
      <c r="C870" s="64" t="s">
        <v>234</v>
      </c>
      <c r="D870" s="65">
        <v>6</v>
      </c>
      <c r="E870" s="66">
        <v>1.64839693398E-4</v>
      </c>
    </row>
    <row r="871" spans="2:5" ht="14.5" customHeight="1">
      <c r="B871" s="83"/>
      <c r="C871" s="64" t="s">
        <v>235</v>
      </c>
      <c r="D871" s="65">
        <v>35</v>
      </c>
      <c r="E871" s="66">
        <v>9.61564878156E-4</v>
      </c>
    </row>
    <row r="872" spans="2:5" ht="14.5" customHeight="1">
      <c r="B872" s="83"/>
      <c r="C872" s="64" t="s">
        <v>236</v>
      </c>
      <c r="D872" s="65">
        <v>53</v>
      </c>
      <c r="E872" s="66">
        <v>1.4560839583510001E-3</v>
      </c>
    </row>
    <row r="873" spans="2:5" ht="14.5" customHeight="1">
      <c r="B873" s="83"/>
      <c r="C873" s="64" t="s">
        <v>237</v>
      </c>
      <c r="D873" s="65">
        <v>9</v>
      </c>
      <c r="E873" s="66">
        <v>2.47259540097E-4</v>
      </c>
    </row>
    <row r="874" spans="2:5" ht="14.5" customHeight="1">
      <c r="B874" s="83"/>
      <c r="C874" s="64" t="s">
        <v>238</v>
      </c>
      <c r="D874" s="65">
        <v>19</v>
      </c>
      <c r="E874" s="66">
        <v>5.2199236242800003E-4</v>
      </c>
    </row>
    <row r="875" spans="2:5" ht="14.5" customHeight="1">
      <c r="B875" s="83"/>
      <c r="C875" s="64" t="s">
        <v>239</v>
      </c>
      <c r="D875" s="65">
        <v>24</v>
      </c>
      <c r="E875" s="66">
        <v>6.5935877359299996E-4</v>
      </c>
    </row>
    <row r="876" spans="2:5" ht="14.5" customHeight="1">
      <c r="B876" s="83"/>
      <c r="C876" s="64" t="s">
        <v>240</v>
      </c>
      <c r="D876" s="65">
        <v>201</v>
      </c>
      <c r="E876" s="66">
        <v>5.5221297288390002E-3</v>
      </c>
    </row>
    <row r="877" spans="2:5" ht="14.5" customHeight="1">
      <c r="B877" s="83"/>
      <c r="C877" s="64" t="s">
        <v>241</v>
      </c>
      <c r="D877" s="65">
        <v>23</v>
      </c>
      <c r="E877" s="66">
        <v>6.3188549136E-4</v>
      </c>
    </row>
    <row r="878" spans="2:5" ht="14.5" customHeight="1">
      <c r="B878" s="83"/>
      <c r="C878" s="64" t="s">
        <v>242</v>
      </c>
      <c r="D878" s="65">
        <v>51</v>
      </c>
      <c r="E878" s="66">
        <v>1.4011373938840001E-3</v>
      </c>
    </row>
    <row r="879" spans="2:5" ht="14.5" customHeight="1">
      <c r="B879" s="83"/>
      <c r="C879" s="64" t="s">
        <v>243</v>
      </c>
      <c r="D879" s="65">
        <v>144</v>
      </c>
      <c r="E879" s="66">
        <v>3.9561526415560003E-3</v>
      </c>
    </row>
    <row r="880" spans="2:5" ht="14.5" customHeight="1">
      <c r="B880" s="83"/>
      <c r="C880" s="64" t="s">
        <v>244</v>
      </c>
      <c r="D880" s="65">
        <v>5</v>
      </c>
      <c r="E880" s="66">
        <v>1.3736641116500001E-4</v>
      </c>
    </row>
    <row r="881" spans="2:5" ht="14.5" customHeight="1">
      <c r="B881" s="83"/>
      <c r="C881" s="64" t="s">
        <v>245</v>
      </c>
      <c r="D881" s="65">
        <v>5</v>
      </c>
      <c r="E881" s="66">
        <v>1.3736641116500001E-4</v>
      </c>
    </row>
    <row r="882" spans="2:5" ht="14.5" customHeight="1">
      <c r="B882" s="83"/>
      <c r="C882" s="64" t="s">
        <v>246</v>
      </c>
      <c r="D882" s="65">
        <v>3</v>
      </c>
      <c r="E882" s="66">
        <v>8.2419846699E-5</v>
      </c>
    </row>
    <row r="883" spans="2:5" ht="14.5" customHeight="1">
      <c r="B883" s="83"/>
      <c r="C883" s="64" t="s">
        <v>248</v>
      </c>
      <c r="D883" s="65">
        <v>17</v>
      </c>
      <c r="E883" s="66">
        <v>4.6704579796099998E-4</v>
      </c>
    </row>
    <row r="884" spans="2:5" ht="14.5" customHeight="1">
      <c r="B884" s="83"/>
      <c r="C884" s="64" t="s">
        <v>249</v>
      </c>
      <c r="D884" s="65">
        <v>32</v>
      </c>
      <c r="E884" s="66">
        <v>8.79145031457E-4</v>
      </c>
    </row>
    <row r="885" spans="2:5" ht="14.5" customHeight="1">
      <c r="B885" s="83"/>
      <c r="C885" s="64" t="s">
        <v>251</v>
      </c>
      <c r="D885" s="65">
        <v>3</v>
      </c>
      <c r="E885" s="66">
        <v>8.2419846699E-5</v>
      </c>
    </row>
    <row r="886" spans="2:5" ht="14.5" customHeight="1">
      <c r="B886" s="82"/>
      <c r="C886" s="36" t="s">
        <v>29</v>
      </c>
      <c r="D886" s="35">
        <v>642</v>
      </c>
      <c r="E886" s="34">
        <v>1.7637847193603999E-2</v>
      </c>
    </row>
    <row r="887" spans="2:5" ht="14.5" customHeight="1">
      <c r="B887" s="77" t="s">
        <v>54</v>
      </c>
      <c r="C887" s="64" t="s">
        <v>229</v>
      </c>
      <c r="D887" s="65">
        <v>13</v>
      </c>
      <c r="E887" s="66">
        <v>3.5715266902900002E-4</v>
      </c>
    </row>
    <row r="888" spans="2:5" ht="14.5" customHeight="1">
      <c r="B888" s="83"/>
      <c r="C888" s="64" t="s">
        <v>230</v>
      </c>
      <c r="D888" s="65">
        <v>2</v>
      </c>
      <c r="E888" s="66">
        <v>5.4946564466000002E-5</v>
      </c>
    </row>
    <row r="889" spans="2:5" ht="14.5" customHeight="1">
      <c r="B889" s="83"/>
      <c r="C889" s="64" t="s">
        <v>231</v>
      </c>
      <c r="D889" s="65">
        <v>3</v>
      </c>
      <c r="E889" s="66">
        <v>8.2419846699E-5</v>
      </c>
    </row>
    <row r="890" spans="2:5" ht="14.5" customHeight="1">
      <c r="B890" s="83"/>
      <c r="C890" s="64" t="s">
        <v>232</v>
      </c>
      <c r="D890" s="65">
        <v>8</v>
      </c>
      <c r="E890" s="66">
        <v>2.1978625786400001E-4</v>
      </c>
    </row>
    <row r="891" spans="2:5" ht="14.5" customHeight="1">
      <c r="B891" s="83"/>
      <c r="C891" s="64" t="s">
        <v>233</v>
      </c>
      <c r="D891" s="65">
        <v>11</v>
      </c>
      <c r="E891" s="66">
        <v>3.0220610456299998E-4</v>
      </c>
    </row>
    <row r="892" spans="2:5" ht="14.5" customHeight="1">
      <c r="B892" s="83"/>
      <c r="C892" s="64" t="s">
        <v>234</v>
      </c>
      <c r="D892" s="65">
        <v>13</v>
      </c>
      <c r="E892" s="66">
        <v>3.5715266902900002E-4</v>
      </c>
    </row>
    <row r="893" spans="2:5" ht="14.5" customHeight="1">
      <c r="B893" s="83"/>
      <c r="C893" s="64" t="s">
        <v>235</v>
      </c>
      <c r="D893" s="65">
        <v>95</v>
      </c>
      <c r="E893" s="66">
        <v>2.6099618121380001E-3</v>
      </c>
    </row>
    <row r="894" spans="2:5" ht="14.5" customHeight="1">
      <c r="B894" s="83"/>
      <c r="C894" s="64" t="s">
        <v>236</v>
      </c>
      <c r="D894" s="65">
        <v>127</v>
      </c>
      <c r="E894" s="66">
        <v>3.4891068435949999E-3</v>
      </c>
    </row>
    <row r="895" spans="2:5" ht="14.5" customHeight="1">
      <c r="B895" s="83"/>
      <c r="C895" s="64" t="s">
        <v>237</v>
      </c>
      <c r="D895" s="65">
        <v>27</v>
      </c>
      <c r="E895" s="66">
        <v>7.4177862029199996E-4</v>
      </c>
    </row>
    <row r="896" spans="2:5" ht="14.5" customHeight="1">
      <c r="B896" s="83"/>
      <c r="C896" s="64" t="s">
        <v>238</v>
      </c>
      <c r="D896" s="65">
        <v>46</v>
      </c>
      <c r="E896" s="66">
        <v>1.2637709827189999E-3</v>
      </c>
    </row>
    <row r="897" spans="2:5" ht="14.5" customHeight="1">
      <c r="B897" s="83"/>
      <c r="C897" s="64" t="s">
        <v>239</v>
      </c>
      <c r="D897" s="65">
        <v>39</v>
      </c>
      <c r="E897" s="66">
        <v>1.0714580070880001E-3</v>
      </c>
    </row>
    <row r="898" spans="2:5" ht="14.5" customHeight="1">
      <c r="B898" s="83"/>
      <c r="C898" s="64" t="s">
        <v>240</v>
      </c>
      <c r="D898" s="65">
        <v>525</v>
      </c>
      <c r="E898" s="66">
        <v>1.4423473172340001E-2</v>
      </c>
    </row>
    <row r="899" spans="2:5" ht="14.5" customHeight="1">
      <c r="B899" s="83"/>
      <c r="C899" s="64" t="s">
        <v>241</v>
      </c>
      <c r="D899" s="65">
        <v>60</v>
      </c>
      <c r="E899" s="66">
        <v>1.6483969339819999E-3</v>
      </c>
    </row>
    <row r="900" spans="2:5" ht="14.5" customHeight="1">
      <c r="B900" s="83"/>
      <c r="C900" s="64" t="s">
        <v>242</v>
      </c>
      <c r="D900" s="65">
        <v>162</v>
      </c>
      <c r="E900" s="66">
        <v>4.4506717217509999E-3</v>
      </c>
    </row>
    <row r="901" spans="2:5" ht="14.5" customHeight="1">
      <c r="B901" s="83"/>
      <c r="C901" s="64" t="s">
        <v>243</v>
      </c>
      <c r="D901" s="65">
        <v>395</v>
      </c>
      <c r="E901" s="66">
        <v>1.0851946482046E-2</v>
      </c>
    </row>
    <row r="902" spans="2:5" ht="14.5" customHeight="1">
      <c r="B902" s="83"/>
      <c r="C902" s="64" t="s">
        <v>244</v>
      </c>
      <c r="D902" s="65">
        <v>14</v>
      </c>
      <c r="E902" s="66">
        <v>3.8462595126199998E-4</v>
      </c>
    </row>
    <row r="903" spans="2:5" ht="14.5" customHeight="1">
      <c r="B903" s="83"/>
      <c r="C903" s="64" t="s">
        <v>245</v>
      </c>
      <c r="D903" s="65">
        <v>18</v>
      </c>
      <c r="E903" s="66">
        <v>4.9451908019499996E-4</v>
      </c>
    </row>
    <row r="904" spans="2:5" ht="14.5" customHeight="1">
      <c r="B904" s="83"/>
      <c r="C904" s="64" t="s">
        <v>246</v>
      </c>
      <c r="D904" s="65">
        <v>3</v>
      </c>
      <c r="E904" s="66">
        <v>8.2419846699E-5</v>
      </c>
    </row>
    <row r="905" spans="2:5" ht="14.5" customHeight="1">
      <c r="B905" s="83"/>
      <c r="C905" s="64" t="s">
        <v>247</v>
      </c>
      <c r="D905" s="65">
        <v>1</v>
      </c>
      <c r="E905" s="66">
        <v>2.7473282233000001E-5</v>
      </c>
    </row>
    <row r="906" spans="2:5" ht="14.5" customHeight="1">
      <c r="B906" s="83"/>
      <c r="C906" s="64" t="s">
        <v>248</v>
      </c>
      <c r="D906" s="65">
        <v>30</v>
      </c>
      <c r="E906" s="66">
        <v>8.2419846699099996E-4</v>
      </c>
    </row>
    <row r="907" spans="2:5" ht="14.5" customHeight="1">
      <c r="B907" s="83"/>
      <c r="C907" s="64" t="s">
        <v>249</v>
      </c>
      <c r="D907" s="65">
        <v>67</v>
      </c>
      <c r="E907" s="66">
        <v>1.840709909613E-3</v>
      </c>
    </row>
    <row r="908" spans="2:5" ht="14.5" customHeight="1">
      <c r="B908" s="83"/>
      <c r="C908" s="64" t="s">
        <v>250</v>
      </c>
      <c r="D908" s="65">
        <v>1</v>
      </c>
      <c r="E908" s="66">
        <v>2.7473282233000001E-5</v>
      </c>
    </row>
    <row r="909" spans="2:5" ht="14.5" customHeight="1">
      <c r="B909" s="83"/>
      <c r="C909" s="64" t="s">
        <v>251</v>
      </c>
      <c r="D909" s="65">
        <v>2</v>
      </c>
      <c r="E909" s="66">
        <v>5.4946564466000002E-5</v>
      </c>
    </row>
    <row r="910" spans="2:5" ht="14.5" customHeight="1">
      <c r="B910" s="82"/>
      <c r="C910" s="36" t="s">
        <v>29</v>
      </c>
      <c r="D910" s="35">
        <v>1662</v>
      </c>
      <c r="E910" s="34">
        <v>4.5660595071292998E-2</v>
      </c>
    </row>
    <row r="911" spans="2:5" ht="14.5" customHeight="1">
      <c r="B911" s="77" t="s">
        <v>88</v>
      </c>
      <c r="C911" s="64" t="s">
        <v>229</v>
      </c>
      <c r="D911" s="65">
        <v>1</v>
      </c>
      <c r="E911" s="66">
        <v>2.7473282233000001E-5</v>
      </c>
    </row>
    <row r="912" spans="2:5" ht="14.5" customHeight="1">
      <c r="B912" s="83"/>
      <c r="C912" s="64" t="s">
        <v>232</v>
      </c>
      <c r="D912" s="65">
        <v>1</v>
      </c>
      <c r="E912" s="66">
        <v>2.7473282233000001E-5</v>
      </c>
    </row>
    <row r="913" spans="2:5" ht="14.5" customHeight="1">
      <c r="B913" s="83"/>
      <c r="C913" s="64" t="s">
        <v>235</v>
      </c>
      <c r="D913" s="65">
        <v>5</v>
      </c>
      <c r="E913" s="66">
        <v>1.3736641116500001E-4</v>
      </c>
    </row>
    <row r="914" spans="2:5" ht="14.5" customHeight="1">
      <c r="B914" s="83"/>
      <c r="C914" s="64" t="s">
        <v>236</v>
      </c>
      <c r="D914" s="65">
        <v>13</v>
      </c>
      <c r="E914" s="66">
        <v>3.5715266902900002E-4</v>
      </c>
    </row>
    <row r="915" spans="2:5" ht="14.5" customHeight="1">
      <c r="B915" s="83"/>
      <c r="C915" s="64" t="s">
        <v>237</v>
      </c>
      <c r="D915" s="65">
        <v>1</v>
      </c>
      <c r="E915" s="66">
        <v>2.7473282233000001E-5</v>
      </c>
    </row>
    <row r="916" spans="2:5" ht="14.5" customHeight="1">
      <c r="B916" s="83"/>
      <c r="C916" s="64" t="s">
        <v>238</v>
      </c>
      <c r="D916" s="65">
        <v>5</v>
      </c>
      <c r="E916" s="66">
        <v>1.3736641116500001E-4</v>
      </c>
    </row>
    <row r="917" spans="2:5" ht="14.5" customHeight="1">
      <c r="B917" s="83"/>
      <c r="C917" s="64" t="s">
        <v>239</v>
      </c>
      <c r="D917" s="65">
        <v>2</v>
      </c>
      <c r="E917" s="66">
        <v>5.4946564466000002E-5</v>
      </c>
    </row>
    <row r="918" spans="2:5" ht="14.5" customHeight="1">
      <c r="B918" s="83"/>
      <c r="C918" s="64" t="s">
        <v>240</v>
      </c>
      <c r="D918" s="65">
        <v>34</v>
      </c>
      <c r="E918" s="66">
        <v>9.3409159592300003E-4</v>
      </c>
    </row>
    <row r="919" spans="2:5" ht="14.5" customHeight="1">
      <c r="B919" s="83"/>
      <c r="C919" s="64" t="s">
        <v>241</v>
      </c>
      <c r="D919" s="65">
        <v>4</v>
      </c>
      <c r="E919" s="66">
        <v>1.09893128932E-4</v>
      </c>
    </row>
    <row r="920" spans="2:5" ht="14.5" customHeight="1">
      <c r="B920" s="83"/>
      <c r="C920" s="64" t="s">
        <v>242</v>
      </c>
      <c r="D920" s="65">
        <v>7</v>
      </c>
      <c r="E920" s="66">
        <v>1.9231297563099999E-4</v>
      </c>
    </row>
    <row r="921" spans="2:5" ht="14.5" customHeight="1">
      <c r="B921" s="83"/>
      <c r="C921" s="64" t="s">
        <v>243</v>
      </c>
      <c r="D921" s="65">
        <v>31</v>
      </c>
      <c r="E921" s="66">
        <v>8.5167174922400003E-4</v>
      </c>
    </row>
    <row r="922" spans="2:5" ht="14.5" customHeight="1">
      <c r="B922" s="83"/>
      <c r="C922" s="64" t="s">
        <v>245</v>
      </c>
      <c r="D922" s="65">
        <v>1</v>
      </c>
      <c r="E922" s="66">
        <v>2.7473282233000001E-5</v>
      </c>
    </row>
    <row r="923" spans="2:5" ht="14.5" customHeight="1">
      <c r="B923" s="83"/>
      <c r="C923" s="64" t="s">
        <v>246</v>
      </c>
      <c r="D923" s="65">
        <v>1</v>
      </c>
      <c r="E923" s="66">
        <v>2.7473282233000001E-5</v>
      </c>
    </row>
    <row r="924" spans="2:5" ht="14.5" customHeight="1">
      <c r="B924" s="83"/>
      <c r="C924" s="64" t="s">
        <v>248</v>
      </c>
      <c r="D924" s="65">
        <v>3</v>
      </c>
      <c r="E924" s="66">
        <v>8.2419846699E-5</v>
      </c>
    </row>
    <row r="925" spans="2:5" ht="14.5" customHeight="1">
      <c r="B925" s="83"/>
      <c r="C925" s="64" t="s">
        <v>249</v>
      </c>
      <c r="D925" s="65">
        <v>14</v>
      </c>
      <c r="E925" s="66">
        <v>3.8462595126199998E-4</v>
      </c>
    </row>
    <row r="926" spans="2:5" ht="14.5" customHeight="1">
      <c r="B926" s="83"/>
      <c r="C926" s="64" t="s">
        <v>251</v>
      </c>
      <c r="D926" s="65">
        <v>2</v>
      </c>
      <c r="E926" s="66">
        <v>5.4946564466000002E-5</v>
      </c>
    </row>
    <row r="927" spans="2:5" ht="14.5" customHeight="1">
      <c r="B927" s="83"/>
      <c r="C927" s="64" t="s">
        <v>252</v>
      </c>
      <c r="D927" s="65">
        <v>2</v>
      </c>
      <c r="E927" s="66">
        <v>5.4946564466000002E-5</v>
      </c>
    </row>
    <row r="928" spans="2:5" ht="14.5" customHeight="1">
      <c r="B928" s="82"/>
      <c r="C928" s="36" t="s">
        <v>29</v>
      </c>
      <c r="D928" s="35">
        <v>127</v>
      </c>
      <c r="E928" s="34">
        <v>3.4891068435949999E-3</v>
      </c>
    </row>
    <row r="929" spans="2:5" ht="14.5" customHeight="1">
      <c r="B929" s="77" t="s">
        <v>94</v>
      </c>
      <c r="C929" s="64" t="s">
        <v>234</v>
      </c>
      <c r="D929" s="65">
        <v>1</v>
      </c>
      <c r="E929" s="66">
        <v>2.7473282233000001E-5</v>
      </c>
    </row>
    <row r="930" spans="2:5" ht="14.5" customHeight="1">
      <c r="B930" s="83"/>
      <c r="C930" s="64" t="s">
        <v>235</v>
      </c>
      <c r="D930" s="65">
        <v>3</v>
      </c>
      <c r="E930" s="66">
        <v>8.2419846699E-5</v>
      </c>
    </row>
    <row r="931" spans="2:5" ht="14.5" customHeight="1">
      <c r="B931" s="83"/>
      <c r="C931" s="64" t="s">
        <v>236</v>
      </c>
      <c r="D931" s="65">
        <v>3</v>
      </c>
      <c r="E931" s="66">
        <v>8.2419846699E-5</v>
      </c>
    </row>
    <row r="932" spans="2:5" ht="14.5" customHeight="1">
      <c r="B932" s="83"/>
      <c r="C932" s="64" t="s">
        <v>238</v>
      </c>
      <c r="D932" s="65">
        <v>1</v>
      </c>
      <c r="E932" s="66">
        <v>2.7473282233000001E-5</v>
      </c>
    </row>
    <row r="933" spans="2:5" ht="14.5" customHeight="1">
      <c r="B933" s="83"/>
      <c r="C933" s="64" t="s">
        <v>239</v>
      </c>
      <c r="D933" s="65">
        <v>2</v>
      </c>
      <c r="E933" s="66">
        <v>5.4946564466000002E-5</v>
      </c>
    </row>
    <row r="934" spans="2:5" ht="14.5" customHeight="1">
      <c r="B934" s="83"/>
      <c r="C934" s="64" t="s">
        <v>240</v>
      </c>
      <c r="D934" s="65">
        <v>8</v>
      </c>
      <c r="E934" s="66">
        <v>2.1978625786400001E-4</v>
      </c>
    </row>
    <row r="935" spans="2:5" ht="14.5" customHeight="1">
      <c r="B935" s="83"/>
      <c r="C935" s="64" t="s">
        <v>241</v>
      </c>
      <c r="D935" s="65">
        <v>3</v>
      </c>
      <c r="E935" s="66">
        <v>8.2419846699E-5</v>
      </c>
    </row>
    <row r="936" spans="2:5" ht="14.5" customHeight="1">
      <c r="B936" s="83"/>
      <c r="C936" s="64" t="s">
        <v>242</v>
      </c>
      <c r="D936" s="65">
        <v>2</v>
      </c>
      <c r="E936" s="66">
        <v>5.4946564466000002E-5</v>
      </c>
    </row>
    <row r="937" spans="2:5" ht="14.5" customHeight="1">
      <c r="B937" s="83"/>
      <c r="C937" s="64" t="s">
        <v>243</v>
      </c>
      <c r="D937" s="65">
        <v>9</v>
      </c>
      <c r="E937" s="66">
        <v>2.47259540097E-4</v>
      </c>
    </row>
    <row r="938" spans="2:5" ht="14.5" customHeight="1">
      <c r="B938" s="83"/>
      <c r="C938" s="64" t="s">
        <v>248</v>
      </c>
      <c r="D938" s="65">
        <v>1</v>
      </c>
      <c r="E938" s="66">
        <v>2.7473282233000001E-5</v>
      </c>
    </row>
    <row r="939" spans="2:5" ht="14.5" customHeight="1">
      <c r="B939" s="83"/>
      <c r="C939" s="64" t="s">
        <v>249</v>
      </c>
      <c r="D939" s="65">
        <v>8</v>
      </c>
      <c r="E939" s="66">
        <v>2.1978625786400001E-4</v>
      </c>
    </row>
    <row r="940" spans="2:5" ht="14.5" customHeight="1">
      <c r="B940" s="83"/>
      <c r="C940" s="64" t="s">
        <v>251</v>
      </c>
      <c r="D940" s="65">
        <v>2</v>
      </c>
      <c r="E940" s="66">
        <v>5.4946564466000002E-5</v>
      </c>
    </row>
    <row r="941" spans="2:5" ht="14.5" customHeight="1">
      <c r="B941" s="83"/>
      <c r="C941" s="64" t="s">
        <v>252</v>
      </c>
      <c r="D941" s="65">
        <v>2</v>
      </c>
      <c r="E941" s="66">
        <v>5.4946564466000002E-5</v>
      </c>
    </row>
    <row r="942" spans="2:5" ht="14.5" customHeight="1">
      <c r="B942" s="82"/>
      <c r="C942" s="36" t="s">
        <v>29</v>
      </c>
      <c r="D942" s="35">
        <v>45</v>
      </c>
      <c r="E942" s="34">
        <v>1.2362977004860001E-3</v>
      </c>
    </row>
    <row r="943" spans="2:5" ht="14.5" customHeight="1">
      <c r="B943" s="77" t="s">
        <v>82</v>
      </c>
      <c r="C943" s="64" t="s">
        <v>229</v>
      </c>
      <c r="D943" s="65">
        <v>3</v>
      </c>
      <c r="E943" s="66">
        <v>8.2419846699E-5</v>
      </c>
    </row>
    <row r="944" spans="2:5" ht="14.5" customHeight="1">
      <c r="B944" s="83"/>
      <c r="C944" s="64" t="s">
        <v>235</v>
      </c>
      <c r="D944" s="65">
        <v>4</v>
      </c>
      <c r="E944" s="66">
        <v>1.09893128932E-4</v>
      </c>
    </row>
    <row r="945" spans="2:5" ht="14.5" customHeight="1">
      <c r="B945" s="83"/>
      <c r="C945" s="64" t="s">
        <v>236</v>
      </c>
      <c r="D945" s="65">
        <v>17</v>
      </c>
      <c r="E945" s="66">
        <v>4.6704579796099998E-4</v>
      </c>
    </row>
    <row r="946" spans="2:5" ht="14.5" customHeight="1">
      <c r="B946" s="83"/>
      <c r="C946" s="64" t="s">
        <v>237</v>
      </c>
      <c r="D946" s="65">
        <v>3</v>
      </c>
      <c r="E946" s="66">
        <v>8.2419846699E-5</v>
      </c>
    </row>
    <row r="947" spans="2:5" ht="14.5" customHeight="1">
      <c r="B947" s="83"/>
      <c r="C947" s="64" t="s">
        <v>238</v>
      </c>
      <c r="D947" s="65">
        <v>9</v>
      </c>
      <c r="E947" s="66">
        <v>2.47259540097E-4</v>
      </c>
    </row>
    <row r="948" spans="2:5" ht="14.5" customHeight="1">
      <c r="B948" s="83"/>
      <c r="C948" s="64" t="s">
        <v>239</v>
      </c>
      <c r="D948" s="65">
        <v>4</v>
      </c>
      <c r="E948" s="66">
        <v>1.09893128932E-4</v>
      </c>
    </row>
    <row r="949" spans="2:5" ht="14.5" customHeight="1">
      <c r="B949" s="83"/>
      <c r="C949" s="64" t="s">
        <v>240</v>
      </c>
      <c r="D949" s="65">
        <v>93</v>
      </c>
      <c r="E949" s="66">
        <v>2.555015247672E-3</v>
      </c>
    </row>
    <row r="950" spans="2:5" ht="14.5" customHeight="1">
      <c r="B950" s="83"/>
      <c r="C950" s="64" t="s">
        <v>241</v>
      </c>
      <c r="D950" s="65">
        <v>7</v>
      </c>
      <c r="E950" s="66">
        <v>1.9231297563099999E-4</v>
      </c>
    </row>
    <row r="951" spans="2:5" ht="14.5" customHeight="1">
      <c r="B951" s="83"/>
      <c r="C951" s="64" t="s">
        <v>242</v>
      </c>
      <c r="D951" s="65">
        <v>18</v>
      </c>
      <c r="E951" s="66">
        <v>4.9451908019499996E-4</v>
      </c>
    </row>
    <row r="952" spans="2:5" ht="14.5" customHeight="1">
      <c r="B952" s="83"/>
      <c r="C952" s="64" t="s">
        <v>243</v>
      </c>
      <c r="D952" s="65">
        <v>64</v>
      </c>
      <c r="E952" s="66">
        <v>1.758290062914E-3</v>
      </c>
    </row>
    <row r="953" spans="2:5" ht="14.5" customHeight="1">
      <c r="B953" s="83"/>
      <c r="C953" s="64" t="s">
        <v>244</v>
      </c>
      <c r="D953" s="65">
        <v>1</v>
      </c>
      <c r="E953" s="66">
        <v>2.7473282233000001E-5</v>
      </c>
    </row>
    <row r="954" spans="2:5" ht="14.5" customHeight="1">
      <c r="B954" s="83"/>
      <c r="C954" s="64" t="s">
        <v>246</v>
      </c>
      <c r="D954" s="65">
        <v>1</v>
      </c>
      <c r="E954" s="66">
        <v>2.7473282233000001E-5</v>
      </c>
    </row>
    <row r="955" spans="2:5" ht="14.5" customHeight="1">
      <c r="B955" s="83"/>
      <c r="C955" s="64" t="s">
        <v>248</v>
      </c>
      <c r="D955" s="65">
        <v>7</v>
      </c>
      <c r="E955" s="66">
        <v>1.9231297563099999E-4</v>
      </c>
    </row>
    <row r="956" spans="2:5" ht="14.5" customHeight="1">
      <c r="B956" s="83"/>
      <c r="C956" s="64" t="s">
        <v>249</v>
      </c>
      <c r="D956" s="65">
        <v>26</v>
      </c>
      <c r="E956" s="66">
        <v>7.14305338059E-4</v>
      </c>
    </row>
    <row r="957" spans="2:5" ht="14.5" customHeight="1">
      <c r="B957" s="83"/>
      <c r="C957" s="64" t="s">
        <v>251</v>
      </c>
      <c r="D957" s="65">
        <v>6</v>
      </c>
      <c r="E957" s="66">
        <v>1.64839693398E-4</v>
      </c>
    </row>
    <row r="958" spans="2:5" ht="14.5" customHeight="1">
      <c r="B958" s="83"/>
      <c r="C958" s="64" t="s">
        <v>252</v>
      </c>
      <c r="D958" s="65">
        <v>1</v>
      </c>
      <c r="E958" s="66">
        <v>2.7473282233000001E-5</v>
      </c>
    </row>
    <row r="959" spans="2:5" ht="14.5" customHeight="1">
      <c r="B959" s="82"/>
      <c r="C959" s="36" t="s">
        <v>29</v>
      </c>
      <c r="D959" s="35">
        <v>264</v>
      </c>
      <c r="E959" s="34">
        <v>7.2529465095189996E-3</v>
      </c>
    </row>
    <row r="960" spans="2:5" ht="14.5" customHeight="1">
      <c r="B960" s="77" t="s">
        <v>99</v>
      </c>
      <c r="C960" s="64" t="s">
        <v>241</v>
      </c>
      <c r="D960" s="65">
        <v>2</v>
      </c>
      <c r="E960" s="66">
        <v>5.4946564466000002E-5</v>
      </c>
    </row>
    <row r="961" spans="2:5" ht="14.5" customHeight="1">
      <c r="B961" s="83"/>
      <c r="C961" s="64" t="s">
        <v>243</v>
      </c>
      <c r="D961" s="65">
        <v>4</v>
      </c>
      <c r="E961" s="66">
        <v>1.09893128932E-4</v>
      </c>
    </row>
    <row r="962" spans="2:5" ht="14.5" customHeight="1">
      <c r="B962" s="83"/>
      <c r="C962" s="64" t="s">
        <v>249</v>
      </c>
      <c r="D962" s="65">
        <v>1</v>
      </c>
      <c r="E962" s="66">
        <v>2.7473282233000001E-5</v>
      </c>
    </row>
    <row r="963" spans="2:5" ht="14.5" customHeight="1">
      <c r="B963" s="82"/>
      <c r="C963" s="36" t="s">
        <v>29</v>
      </c>
      <c r="D963" s="35">
        <v>7</v>
      </c>
      <c r="E963" s="34">
        <v>1.9231297563099999E-4</v>
      </c>
    </row>
    <row r="964" spans="2:5" ht="14.5" customHeight="1">
      <c r="B964" s="80" t="s">
        <v>29</v>
      </c>
      <c r="C964" s="81"/>
      <c r="D964" s="62">
        <v>36399</v>
      </c>
      <c r="E964" s="63">
        <v>1</v>
      </c>
    </row>
    <row r="965" spans="2:5" ht="14.5" customHeight="1"/>
    <row r="966" spans="2:5" ht="14.5" customHeight="1">
      <c r="B966" s="15" t="s">
        <v>47</v>
      </c>
    </row>
    <row r="967" spans="2:5" ht="14.5" customHeight="1">
      <c r="B967" s="17" t="s">
        <v>17</v>
      </c>
    </row>
    <row r="968" spans="2:5" ht="14.5" customHeight="1">
      <c r="B968" s="16" t="s">
        <v>48</v>
      </c>
    </row>
    <row r="969" spans="2:5" ht="14.5" customHeight="1">
      <c r="B969" s="15" t="s">
        <v>16</v>
      </c>
    </row>
    <row r="970" spans="2:5" ht="14.5" customHeight="1">
      <c r="B970" s="15" t="s">
        <v>49</v>
      </c>
    </row>
  </sheetData>
  <mergeCells count="54">
    <mergeCell ref="B457:B476"/>
    <mergeCell ref="B821:B843"/>
    <mergeCell ref="B844:B864"/>
    <mergeCell ref="B865:B886"/>
    <mergeCell ref="B887:B910"/>
    <mergeCell ref="B755:B773"/>
    <mergeCell ref="B774:B796"/>
    <mergeCell ref="B797:B820"/>
    <mergeCell ref="B477:B496"/>
    <mergeCell ref="B497:B514"/>
    <mergeCell ref="B515:B518"/>
    <mergeCell ref="B519:B537"/>
    <mergeCell ref="B538:B560"/>
    <mergeCell ref="B561:B581"/>
    <mergeCell ref="B582:B598"/>
    <mergeCell ref="B599:B619"/>
    <mergeCell ref="B7:E8"/>
    <mergeCell ref="B370:B391"/>
    <mergeCell ref="B392:B411"/>
    <mergeCell ref="B412:B435"/>
    <mergeCell ref="B436:B456"/>
    <mergeCell ref="B103:B118"/>
    <mergeCell ref="B119:B125"/>
    <mergeCell ref="B126:B149"/>
    <mergeCell ref="B150:B173"/>
    <mergeCell ref="B174:B178"/>
    <mergeCell ref="B179:B200"/>
    <mergeCell ref="B10:B23"/>
    <mergeCell ref="B24:B46"/>
    <mergeCell ref="B47:B68"/>
    <mergeCell ref="B69:B85"/>
    <mergeCell ref="B86:B102"/>
    <mergeCell ref="B201:B220"/>
    <mergeCell ref="B221:B223"/>
    <mergeCell ref="B224:B229"/>
    <mergeCell ref="B230:B241"/>
    <mergeCell ref="B242:B264"/>
    <mergeCell ref="B265:B288"/>
    <mergeCell ref="B289:B313"/>
    <mergeCell ref="B314:B334"/>
    <mergeCell ref="B335:B356"/>
    <mergeCell ref="B357:B369"/>
    <mergeCell ref="B620:B641"/>
    <mergeCell ref="B642:B662"/>
    <mergeCell ref="B663:B680"/>
    <mergeCell ref="B681:B687"/>
    <mergeCell ref="B688:B711"/>
    <mergeCell ref="B960:B963"/>
    <mergeCell ref="B964:C964"/>
    <mergeCell ref="B712:B732"/>
    <mergeCell ref="B733:B754"/>
    <mergeCell ref="B911:B928"/>
    <mergeCell ref="B929:B942"/>
    <mergeCell ref="B943:B95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D21"/>
  <sheetViews>
    <sheetView showGridLines="0" view="pageBreakPreview" zoomScale="115" zoomScaleNormal="100" zoomScaleSheetLayoutView="115" workbookViewId="0">
      <selection activeCell="F22" sqref="F22"/>
    </sheetView>
  </sheetViews>
  <sheetFormatPr baseColWidth="10" defaultColWidth="11.453125" defaultRowHeight="14.5"/>
  <cols>
    <col min="1" max="1" width="9.26953125" style="13" customWidth="1"/>
    <col min="2" max="2" width="21.72656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1:4" s="25" customFormat="1" ht="15" customHeight="1">
      <c r="C1" s="31"/>
    </row>
    <row r="2" spans="1:4" s="25" customFormat="1" ht="15" customHeight="1">
      <c r="C2" s="31"/>
    </row>
    <row r="3" spans="1:4" s="25" customFormat="1" ht="15" customHeight="1">
      <c r="C3" s="31"/>
    </row>
    <row r="4" spans="1:4" s="25" customFormat="1" ht="30" customHeight="1">
      <c r="C4" s="31"/>
      <c r="D4" s="30"/>
    </row>
    <row r="5" spans="1:4" s="25" customFormat="1" ht="15" customHeight="1">
      <c r="C5" s="31"/>
      <c r="D5" s="30"/>
    </row>
    <row r="6" spans="1:4" s="25" customFormat="1" ht="15" customHeight="1">
      <c r="C6" s="31"/>
      <c r="D6" s="30"/>
    </row>
    <row r="7" spans="1:4" s="25" customFormat="1" ht="15" customHeight="1">
      <c r="B7" s="76" t="s">
        <v>42</v>
      </c>
      <c r="C7" s="76"/>
      <c r="D7" s="76"/>
    </row>
    <row r="8" spans="1:4" s="25" customFormat="1" ht="15" customHeight="1">
      <c r="B8" s="76"/>
      <c r="C8" s="76"/>
      <c r="D8" s="76"/>
    </row>
    <row r="9" spans="1:4" s="25" customFormat="1" ht="33" customHeight="1">
      <c r="B9" s="76"/>
      <c r="C9" s="76"/>
      <c r="D9" s="76"/>
    </row>
    <row r="10" spans="1:4" s="25" customFormat="1" ht="4.5" customHeight="1">
      <c r="B10" s="29"/>
      <c r="C10" s="29"/>
      <c r="D10" s="29"/>
    </row>
    <row r="11" spans="1:4" s="25" customFormat="1" ht="33" customHeight="1">
      <c r="B11" s="28" t="s">
        <v>30</v>
      </c>
      <c r="C11" s="27" t="s">
        <v>19</v>
      </c>
      <c r="D11" s="26" t="s">
        <v>18</v>
      </c>
    </row>
    <row r="12" spans="1:4" ht="14.5" customHeight="1">
      <c r="B12" s="23" t="s">
        <v>154</v>
      </c>
      <c r="C12" s="22">
        <v>15182</v>
      </c>
      <c r="D12" s="21">
        <v>0.41709937086183702</v>
      </c>
    </row>
    <row r="13" spans="1:4" ht="14.5" customHeight="1">
      <c r="B13" s="23" t="s">
        <v>155</v>
      </c>
      <c r="C13" s="22">
        <v>21213</v>
      </c>
      <c r="D13" s="21">
        <v>0.58279073600923104</v>
      </c>
    </row>
    <row r="14" spans="1:4" ht="14.5" customHeight="1">
      <c r="B14" s="23" t="s">
        <v>156</v>
      </c>
      <c r="C14" s="22">
        <v>4</v>
      </c>
      <c r="D14" s="21">
        <v>1.09893128932E-4</v>
      </c>
    </row>
    <row r="15" spans="1:4" ht="14.5" customHeight="1">
      <c r="B15" s="20" t="s">
        <v>29</v>
      </c>
      <c r="C15" s="19">
        <v>36399</v>
      </c>
      <c r="D15" s="18">
        <v>1</v>
      </c>
    </row>
    <row r="16" spans="1:4" s="24" customFormat="1" ht="14.5" customHeight="1">
      <c r="A16" s="13"/>
      <c r="C16" s="48"/>
      <c r="D16" s="48"/>
    </row>
    <row r="17" spans="1:4" s="24" customFormat="1" ht="14.5" customHeight="1">
      <c r="A17" s="13"/>
      <c r="B17" s="15" t="s">
        <v>47</v>
      </c>
      <c r="C17" s="48"/>
      <c r="D17" s="48"/>
    </row>
    <row r="18" spans="1:4" ht="14.5" customHeight="1">
      <c r="B18" s="17" t="s">
        <v>17</v>
      </c>
      <c r="C18" s="47"/>
      <c r="D18" s="47"/>
    </row>
    <row r="19" spans="1:4" ht="14.5" customHeight="1">
      <c r="B19" s="16" t="s">
        <v>48</v>
      </c>
      <c r="C19" s="46"/>
      <c r="D19" s="46"/>
    </row>
    <row r="20" spans="1:4" ht="14.5" customHeight="1">
      <c r="B20" s="15" t="s">
        <v>16</v>
      </c>
    </row>
    <row r="21" spans="1:4" ht="14.5" customHeight="1">
      <c r="B21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1:F179"/>
  <sheetViews>
    <sheetView showGridLines="0" view="pageBreakPreview" zoomScaleNormal="100" zoomScaleSheetLayoutView="100" workbookViewId="0">
      <selection activeCell="F12" sqref="F12"/>
    </sheetView>
  </sheetViews>
  <sheetFormatPr baseColWidth="10" defaultColWidth="11.453125" defaultRowHeight="10"/>
  <cols>
    <col min="1" max="1" width="5.7265625" style="25" customWidth="1"/>
    <col min="2" max="2" width="22.7265625" style="41" customWidth="1"/>
    <col min="3" max="3" width="20.7265625" style="41" customWidth="1"/>
    <col min="4" max="4" width="15.7265625" style="44" customWidth="1"/>
    <col min="5" max="5" width="15.7265625" style="41" customWidth="1"/>
    <col min="6" max="6" width="5.7265625" style="25" customWidth="1"/>
    <col min="7" max="7" width="3.08984375" style="25" customWidth="1"/>
    <col min="8" max="16384" width="11.453125" style="25"/>
  </cols>
  <sheetData>
    <row r="1" spans="2:6" s="13" customFormat="1" ht="14.5">
      <c r="B1" s="41"/>
      <c r="C1" s="41"/>
    </row>
    <row r="2" spans="2:6" s="41" customFormat="1">
      <c r="B2" s="50"/>
    </row>
    <row r="3" spans="2:6" ht="15" customHeight="1">
      <c r="B3" s="51"/>
      <c r="C3" s="31"/>
      <c r="D3" s="25"/>
      <c r="F3" s="41"/>
    </row>
    <row r="4" spans="2:6" ht="30" customHeight="1">
      <c r="B4" s="51"/>
      <c r="C4" s="31"/>
      <c r="D4" s="25"/>
      <c r="F4" s="41"/>
    </row>
    <row r="5" spans="2:6" ht="15" customHeight="1">
      <c r="B5" s="51"/>
      <c r="C5" s="31"/>
      <c r="D5" s="25"/>
      <c r="F5" s="41"/>
    </row>
    <row r="6" spans="2:6" s="41" customFormat="1" ht="10.5">
      <c r="B6" s="43"/>
      <c r="C6" s="37"/>
    </row>
    <row r="7" spans="2:6" s="41" customFormat="1">
      <c r="B7" s="50"/>
    </row>
    <row r="8" spans="2:6" s="13" customFormat="1" ht="15" customHeight="1">
      <c r="B8" s="90" t="s">
        <v>373</v>
      </c>
      <c r="C8" s="91"/>
      <c r="D8" s="91"/>
      <c r="E8" s="91"/>
    </row>
    <row r="9" spans="2:6" s="13" customFormat="1" ht="15" customHeight="1">
      <c r="B9" s="91"/>
      <c r="C9" s="91"/>
      <c r="D9" s="91"/>
      <c r="E9" s="91"/>
      <c r="F9" s="49"/>
    </row>
    <row r="10" spans="2:6" s="13" customFormat="1" ht="15" customHeight="1">
      <c r="B10" s="91"/>
      <c r="C10" s="91"/>
      <c r="D10" s="91"/>
      <c r="E10" s="91"/>
    </row>
    <row r="11" spans="2:6" s="13" customFormat="1" ht="15" customHeight="1">
      <c r="B11" s="55"/>
      <c r="C11" s="55"/>
      <c r="D11" s="55"/>
      <c r="E11" s="55"/>
    </row>
    <row r="12" spans="2:6" s="13" customFormat="1" ht="37" customHeight="1">
      <c r="B12" s="56" t="s">
        <v>21</v>
      </c>
      <c r="C12" s="56" t="s">
        <v>30</v>
      </c>
      <c r="D12" s="56" t="s">
        <v>19</v>
      </c>
      <c r="E12" s="56" t="s">
        <v>18</v>
      </c>
    </row>
    <row r="13" spans="2:6" ht="14.5" customHeight="1">
      <c r="B13" s="77" t="s">
        <v>89</v>
      </c>
      <c r="C13" s="64" t="s">
        <v>154</v>
      </c>
      <c r="D13" s="65">
        <v>45</v>
      </c>
      <c r="E13" s="66">
        <v>1.2362977004860001E-3</v>
      </c>
    </row>
    <row r="14" spans="2:6" ht="14.5" customHeight="1">
      <c r="B14" s="83"/>
      <c r="C14" s="64" t="s">
        <v>155</v>
      </c>
      <c r="D14" s="65">
        <v>67</v>
      </c>
      <c r="E14" s="66">
        <v>1.840709909613E-3</v>
      </c>
    </row>
    <row r="15" spans="2:6" ht="14.5" customHeight="1">
      <c r="B15" s="82"/>
      <c r="C15" s="59" t="s">
        <v>29</v>
      </c>
      <c r="D15" s="60">
        <v>112</v>
      </c>
      <c r="E15" s="61">
        <v>3.0770076100990001E-3</v>
      </c>
    </row>
    <row r="16" spans="2:6" ht="14.5" customHeight="1">
      <c r="B16" s="77" t="s">
        <v>56</v>
      </c>
      <c r="C16" s="64" t="s">
        <v>154</v>
      </c>
      <c r="D16" s="65">
        <v>514</v>
      </c>
      <c r="E16" s="66">
        <v>1.4121267067776999E-2</v>
      </c>
    </row>
    <row r="17" spans="2:5" ht="14.5" customHeight="1">
      <c r="B17" s="83"/>
      <c r="C17" s="64" t="s">
        <v>155</v>
      </c>
      <c r="D17" s="65">
        <v>807</v>
      </c>
      <c r="E17" s="66">
        <v>2.2170938762054001E-2</v>
      </c>
    </row>
    <row r="18" spans="2:5" ht="14.5" customHeight="1">
      <c r="B18" s="82"/>
      <c r="C18" s="59" t="s">
        <v>29</v>
      </c>
      <c r="D18" s="60">
        <v>1321</v>
      </c>
      <c r="E18" s="61">
        <v>3.6292205829829997E-2</v>
      </c>
    </row>
    <row r="19" spans="2:5" ht="14.5" customHeight="1">
      <c r="B19" s="77" t="s">
        <v>65</v>
      </c>
      <c r="C19" s="64" t="s">
        <v>154</v>
      </c>
      <c r="D19" s="65">
        <v>235</v>
      </c>
      <c r="E19" s="66">
        <v>6.4562213247620001E-3</v>
      </c>
    </row>
    <row r="20" spans="2:5" ht="14.5" customHeight="1">
      <c r="B20" s="83"/>
      <c r="C20" s="64" t="s">
        <v>155</v>
      </c>
      <c r="D20" s="65">
        <v>340</v>
      </c>
      <c r="E20" s="66">
        <v>9.3409159592299992E-3</v>
      </c>
    </row>
    <row r="21" spans="2:5" ht="14.5" customHeight="1">
      <c r="B21" s="82"/>
      <c r="C21" s="59" t="s">
        <v>29</v>
      </c>
      <c r="D21" s="60">
        <v>575</v>
      </c>
      <c r="E21" s="61">
        <v>1.5797137283991E-2</v>
      </c>
    </row>
    <row r="22" spans="2:5" ht="14.5" customHeight="1">
      <c r="B22" s="77" t="s">
        <v>87</v>
      </c>
      <c r="C22" s="64" t="s">
        <v>154</v>
      </c>
      <c r="D22" s="65">
        <v>69</v>
      </c>
      <c r="E22" s="66">
        <v>1.8956564740789999E-3</v>
      </c>
    </row>
    <row r="23" spans="2:5" ht="14.5" customHeight="1">
      <c r="B23" s="83"/>
      <c r="C23" s="64" t="s">
        <v>155</v>
      </c>
      <c r="D23" s="65">
        <v>97</v>
      </c>
      <c r="E23" s="66">
        <v>2.6649083766039998E-3</v>
      </c>
    </row>
    <row r="24" spans="2:5" ht="14.5" customHeight="1">
      <c r="B24" s="82"/>
      <c r="C24" s="59" t="s">
        <v>29</v>
      </c>
      <c r="D24" s="60">
        <v>166</v>
      </c>
      <c r="E24" s="61">
        <v>4.5605648506830002E-3</v>
      </c>
    </row>
    <row r="25" spans="2:5" ht="14.5" customHeight="1">
      <c r="B25" s="77" t="s">
        <v>86</v>
      </c>
      <c r="C25" s="64" t="s">
        <v>154</v>
      </c>
      <c r="D25" s="65">
        <v>73</v>
      </c>
      <c r="E25" s="66">
        <v>2.0055496030110002E-3</v>
      </c>
    </row>
    <row r="26" spans="2:5" ht="14.5" customHeight="1">
      <c r="B26" s="83"/>
      <c r="C26" s="64" t="s">
        <v>155</v>
      </c>
      <c r="D26" s="65">
        <v>106</v>
      </c>
      <c r="E26" s="66">
        <v>2.9121679167010001E-3</v>
      </c>
    </row>
    <row r="27" spans="2:5" ht="14.5" customHeight="1">
      <c r="B27" s="82" t="s">
        <v>327</v>
      </c>
      <c r="C27" s="59" t="s">
        <v>29</v>
      </c>
      <c r="D27" s="60">
        <v>179</v>
      </c>
      <c r="E27" s="61">
        <v>4.9177175197120003E-3</v>
      </c>
    </row>
    <row r="28" spans="2:5" ht="14.5" customHeight="1">
      <c r="B28" s="77" t="s">
        <v>91</v>
      </c>
      <c r="C28" s="64" t="s">
        <v>154</v>
      </c>
      <c r="D28" s="65">
        <v>45</v>
      </c>
      <c r="E28" s="66">
        <v>1.2362977004860001E-3</v>
      </c>
    </row>
    <row r="29" spans="2:5" ht="14.5" customHeight="1">
      <c r="B29" s="83"/>
      <c r="C29" s="64" t="s">
        <v>155</v>
      </c>
      <c r="D29" s="65">
        <v>61</v>
      </c>
      <c r="E29" s="66">
        <v>1.675870216215E-3</v>
      </c>
    </row>
    <row r="30" spans="2:5" ht="14.5" customHeight="1">
      <c r="B30" s="82" t="s">
        <v>328</v>
      </c>
      <c r="C30" s="59" t="s">
        <v>29</v>
      </c>
      <c r="D30" s="60">
        <v>106</v>
      </c>
      <c r="E30" s="61">
        <v>2.9121679167010001E-3</v>
      </c>
    </row>
    <row r="31" spans="2:5" ht="14.5" customHeight="1">
      <c r="B31" s="77" t="s">
        <v>96</v>
      </c>
      <c r="C31" s="64" t="s">
        <v>154</v>
      </c>
      <c r="D31" s="65">
        <v>7</v>
      </c>
      <c r="E31" s="66">
        <v>1.9231297563099999E-4</v>
      </c>
    </row>
    <row r="32" spans="2:5" ht="14.5" customHeight="1">
      <c r="B32" s="83"/>
      <c r="C32" s="64" t="s">
        <v>155</v>
      </c>
      <c r="D32" s="65">
        <v>7</v>
      </c>
      <c r="E32" s="66">
        <v>1.9231297563099999E-4</v>
      </c>
    </row>
    <row r="33" spans="2:5" ht="14.5" customHeight="1">
      <c r="B33" s="82" t="s">
        <v>329</v>
      </c>
      <c r="C33" s="59" t="s">
        <v>29</v>
      </c>
      <c r="D33" s="60">
        <v>14</v>
      </c>
      <c r="E33" s="61">
        <v>3.8462595126199998E-4</v>
      </c>
    </row>
    <row r="34" spans="2:5" ht="14.5" customHeight="1">
      <c r="B34" s="77" t="s">
        <v>50</v>
      </c>
      <c r="C34" s="64" t="s">
        <v>154</v>
      </c>
      <c r="D34" s="65">
        <v>2478</v>
      </c>
      <c r="E34" s="66">
        <v>6.8078793373443997E-2</v>
      </c>
    </row>
    <row r="35" spans="2:5" ht="14.5" customHeight="1">
      <c r="B35" s="83"/>
      <c r="C35" s="64" t="s">
        <v>155</v>
      </c>
      <c r="D35" s="65">
        <v>3687</v>
      </c>
      <c r="E35" s="66">
        <v>0.10129399159317599</v>
      </c>
    </row>
    <row r="36" spans="2:5" ht="14.5" customHeight="1">
      <c r="B36" s="82" t="s">
        <v>330</v>
      </c>
      <c r="C36" s="59" t="s">
        <v>29</v>
      </c>
      <c r="D36" s="60">
        <v>6165</v>
      </c>
      <c r="E36" s="61">
        <v>0.16937278496662</v>
      </c>
    </row>
    <row r="37" spans="2:5" ht="14.5" customHeight="1">
      <c r="B37" s="77" t="s">
        <v>53</v>
      </c>
      <c r="C37" s="64" t="s">
        <v>154</v>
      </c>
      <c r="D37" s="65">
        <v>1046</v>
      </c>
      <c r="E37" s="66">
        <v>2.8737053215748001E-2</v>
      </c>
    </row>
    <row r="38" spans="2:5" ht="14.5" customHeight="1">
      <c r="B38" s="83"/>
      <c r="C38" s="64" t="s">
        <v>155</v>
      </c>
      <c r="D38" s="65">
        <v>1567</v>
      </c>
      <c r="E38" s="66">
        <v>4.3050633259155001E-2</v>
      </c>
    </row>
    <row r="39" spans="2:5" ht="14.5" customHeight="1">
      <c r="B39" s="82" t="s">
        <v>331</v>
      </c>
      <c r="C39" s="59" t="s">
        <v>29</v>
      </c>
      <c r="D39" s="60">
        <v>2613</v>
      </c>
      <c r="E39" s="61">
        <v>7.1787686474902995E-2</v>
      </c>
    </row>
    <row r="40" spans="2:5" ht="14.5" customHeight="1">
      <c r="B40" s="77" t="s">
        <v>97</v>
      </c>
      <c r="C40" s="64" t="s">
        <v>154</v>
      </c>
      <c r="D40" s="65">
        <v>3</v>
      </c>
      <c r="E40" s="66">
        <v>8.2419846699E-5</v>
      </c>
    </row>
    <row r="41" spans="2:5" ht="14.5" customHeight="1">
      <c r="B41" s="83"/>
      <c r="C41" s="64" t="s">
        <v>155</v>
      </c>
      <c r="D41" s="65">
        <v>4</v>
      </c>
      <c r="E41" s="66">
        <v>1.09893128932E-4</v>
      </c>
    </row>
    <row r="42" spans="2:5" ht="14.5" customHeight="1">
      <c r="B42" s="82" t="s">
        <v>332</v>
      </c>
      <c r="C42" s="59" t="s">
        <v>29</v>
      </c>
      <c r="D42" s="60">
        <v>7</v>
      </c>
      <c r="E42" s="61">
        <v>1.9231297563099999E-4</v>
      </c>
    </row>
    <row r="43" spans="2:5" ht="14.5" customHeight="1">
      <c r="B43" s="77" t="s">
        <v>75</v>
      </c>
      <c r="C43" s="64" t="s">
        <v>154</v>
      </c>
      <c r="D43" s="65">
        <v>160</v>
      </c>
      <c r="E43" s="66">
        <v>4.3957251572849998E-3</v>
      </c>
    </row>
    <row r="44" spans="2:5" ht="14.5" customHeight="1">
      <c r="B44" s="83"/>
      <c r="C44" s="64" t="s">
        <v>155</v>
      </c>
      <c r="D44" s="65">
        <v>278</v>
      </c>
      <c r="E44" s="66">
        <v>7.6375724607819998E-3</v>
      </c>
    </row>
    <row r="45" spans="2:5" ht="14.5" customHeight="1">
      <c r="B45" s="82" t="s">
        <v>333</v>
      </c>
      <c r="C45" s="59" t="s">
        <v>29</v>
      </c>
      <c r="D45" s="60">
        <v>438</v>
      </c>
      <c r="E45" s="61">
        <v>1.2033297618066E-2</v>
      </c>
    </row>
    <row r="46" spans="2:5" ht="14.5" customHeight="1">
      <c r="B46" s="77" t="s">
        <v>72</v>
      </c>
      <c r="C46" s="64" t="s">
        <v>154</v>
      </c>
      <c r="D46" s="65">
        <v>208</v>
      </c>
      <c r="E46" s="66">
        <v>5.7144427044699998E-3</v>
      </c>
    </row>
    <row r="47" spans="2:5" ht="14.5" customHeight="1">
      <c r="B47" s="83"/>
      <c r="C47" s="64" t="s">
        <v>155</v>
      </c>
      <c r="D47" s="65">
        <v>307</v>
      </c>
      <c r="E47" s="66">
        <v>8.4342976455400002E-3</v>
      </c>
    </row>
    <row r="48" spans="2:5" ht="14.5" customHeight="1">
      <c r="B48" s="82" t="s">
        <v>334</v>
      </c>
      <c r="C48" s="59" t="s">
        <v>29</v>
      </c>
      <c r="D48" s="60">
        <v>515</v>
      </c>
      <c r="E48" s="61">
        <v>1.414874035001E-2</v>
      </c>
    </row>
    <row r="49" spans="2:5" ht="14.5" customHeight="1">
      <c r="B49" s="77" t="s">
        <v>101</v>
      </c>
      <c r="C49" s="64" t="s">
        <v>154</v>
      </c>
      <c r="D49" s="65">
        <v>1</v>
      </c>
      <c r="E49" s="66">
        <v>2.7473282233000001E-5</v>
      </c>
    </row>
    <row r="50" spans="2:5" ht="14.5" customHeight="1">
      <c r="B50" s="83"/>
      <c r="C50" s="64" t="s">
        <v>155</v>
      </c>
      <c r="D50" s="65">
        <v>1</v>
      </c>
      <c r="E50" s="66">
        <v>2.7473282233000001E-5</v>
      </c>
    </row>
    <row r="51" spans="2:5" ht="14.5" customHeight="1">
      <c r="B51" s="82" t="s">
        <v>335</v>
      </c>
      <c r="C51" s="59" t="s">
        <v>29</v>
      </c>
      <c r="D51" s="60">
        <v>2</v>
      </c>
      <c r="E51" s="61">
        <v>5.4946564466000002E-5</v>
      </c>
    </row>
    <row r="52" spans="2:5" ht="14.5" customHeight="1">
      <c r="B52" s="77" t="s">
        <v>98</v>
      </c>
      <c r="C52" s="64" t="s">
        <v>154</v>
      </c>
      <c r="D52" s="65">
        <v>2</v>
      </c>
      <c r="E52" s="66">
        <v>5.4946564466000002E-5</v>
      </c>
    </row>
    <row r="53" spans="2:5" ht="14.5" customHeight="1">
      <c r="B53" s="83"/>
      <c r="C53" s="64" t="s">
        <v>155</v>
      </c>
      <c r="D53" s="65">
        <v>5</v>
      </c>
      <c r="E53" s="66">
        <v>1.3736641116500001E-4</v>
      </c>
    </row>
    <row r="54" spans="2:5" ht="14.5" customHeight="1">
      <c r="B54" s="82" t="s">
        <v>336</v>
      </c>
      <c r="C54" s="59" t="s">
        <v>29</v>
      </c>
      <c r="D54" s="60">
        <v>7</v>
      </c>
      <c r="E54" s="61">
        <v>1.9231297563099999E-4</v>
      </c>
    </row>
    <row r="55" spans="2:5" ht="14.5" customHeight="1">
      <c r="B55" s="77" t="s">
        <v>92</v>
      </c>
      <c r="C55" s="64" t="s">
        <v>154</v>
      </c>
      <c r="D55" s="65">
        <v>46</v>
      </c>
      <c r="E55" s="66">
        <v>1.2637709827189999E-3</v>
      </c>
    </row>
    <row r="56" spans="2:5" ht="14.5" customHeight="1">
      <c r="B56" s="83"/>
      <c r="C56" s="64" t="s">
        <v>155</v>
      </c>
      <c r="D56" s="65">
        <v>57</v>
      </c>
      <c r="E56" s="66">
        <v>1.5659770872829999E-3</v>
      </c>
    </row>
    <row r="57" spans="2:5" ht="14.5" customHeight="1">
      <c r="B57" s="82" t="s">
        <v>337</v>
      </c>
      <c r="C57" s="59" t="s">
        <v>29</v>
      </c>
      <c r="D57" s="60">
        <v>103</v>
      </c>
      <c r="E57" s="61">
        <v>2.8297480700019998E-3</v>
      </c>
    </row>
    <row r="58" spans="2:5" ht="14.5" customHeight="1">
      <c r="B58" s="77" t="s">
        <v>70</v>
      </c>
      <c r="C58" s="64" t="s">
        <v>154</v>
      </c>
      <c r="D58" s="65">
        <v>204</v>
      </c>
      <c r="E58" s="66">
        <v>5.6045495755380004E-3</v>
      </c>
    </row>
    <row r="59" spans="2:5" ht="14.5" customHeight="1">
      <c r="B59" s="83"/>
      <c r="C59" s="64" t="s">
        <v>155</v>
      </c>
      <c r="D59" s="65">
        <v>350</v>
      </c>
      <c r="E59" s="66">
        <v>9.61564878156E-3</v>
      </c>
    </row>
    <row r="60" spans="2:5" ht="14.5" customHeight="1">
      <c r="B60" s="82" t="s">
        <v>338</v>
      </c>
      <c r="C60" s="59" t="s">
        <v>29</v>
      </c>
      <c r="D60" s="60">
        <v>554</v>
      </c>
      <c r="E60" s="61">
        <v>1.5220198357097999E-2</v>
      </c>
    </row>
    <row r="61" spans="2:5" ht="14.5" customHeight="1">
      <c r="B61" s="77" t="s">
        <v>66</v>
      </c>
      <c r="C61" s="64" t="s">
        <v>154</v>
      </c>
      <c r="D61" s="65">
        <v>266</v>
      </c>
      <c r="E61" s="66">
        <v>7.3078930739859998E-3</v>
      </c>
    </row>
    <row r="62" spans="2:5" ht="14.5" customHeight="1">
      <c r="B62" s="83"/>
      <c r="C62" s="64" t="s">
        <v>155</v>
      </c>
      <c r="D62" s="65">
        <v>306</v>
      </c>
      <c r="E62" s="66">
        <v>8.4068243633069993E-3</v>
      </c>
    </row>
    <row r="63" spans="2:5" ht="14.5" customHeight="1">
      <c r="B63" s="82" t="s">
        <v>339</v>
      </c>
      <c r="C63" s="59" t="s">
        <v>29</v>
      </c>
      <c r="D63" s="60">
        <v>572</v>
      </c>
      <c r="E63" s="61">
        <v>1.5714717437292001E-2</v>
      </c>
    </row>
    <row r="64" spans="2:5" ht="14.5" customHeight="1">
      <c r="B64" s="77" t="s">
        <v>52</v>
      </c>
      <c r="C64" s="64" t="s">
        <v>154</v>
      </c>
      <c r="D64" s="65">
        <v>1156</v>
      </c>
      <c r="E64" s="66">
        <v>3.1759114261380998E-2</v>
      </c>
    </row>
    <row r="65" spans="2:5" ht="14.5" customHeight="1">
      <c r="B65" s="83"/>
      <c r="C65" s="64" t="s">
        <v>155</v>
      </c>
      <c r="D65" s="65">
        <v>1553</v>
      </c>
      <c r="E65" s="66">
        <v>4.2666007307893002E-2</v>
      </c>
    </row>
    <row r="66" spans="2:5" ht="14.5" customHeight="1">
      <c r="B66" s="83"/>
      <c r="C66" s="64" t="s">
        <v>156</v>
      </c>
      <c r="D66" s="65">
        <v>1</v>
      </c>
      <c r="E66" s="66">
        <v>2.7473282233000001E-5</v>
      </c>
    </row>
    <row r="67" spans="2:5" ht="14.5" customHeight="1">
      <c r="B67" s="82" t="s">
        <v>340</v>
      </c>
      <c r="C67" s="59" t="s">
        <v>29</v>
      </c>
      <c r="D67" s="60">
        <v>2710</v>
      </c>
      <c r="E67" s="61">
        <v>7.4452594851507001E-2</v>
      </c>
    </row>
    <row r="68" spans="2:5" ht="14.5" customHeight="1">
      <c r="B68" s="77" t="s">
        <v>62</v>
      </c>
      <c r="C68" s="64" t="s">
        <v>154</v>
      </c>
      <c r="D68" s="65">
        <v>248</v>
      </c>
      <c r="E68" s="66">
        <v>6.8133739937910002E-3</v>
      </c>
    </row>
    <row r="69" spans="2:5" ht="14.5" customHeight="1">
      <c r="B69" s="83"/>
      <c r="C69" s="64" t="s">
        <v>155</v>
      </c>
      <c r="D69" s="65">
        <v>352</v>
      </c>
      <c r="E69" s="66">
        <v>9.6705953460260001E-3</v>
      </c>
    </row>
    <row r="70" spans="2:5" ht="14.5" customHeight="1">
      <c r="B70" s="82" t="s">
        <v>341</v>
      </c>
      <c r="C70" s="59" t="s">
        <v>29</v>
      </c>
      <c r="D70" s="60">
        <v>600</v>
      </c>
      <c r="E70" s="61">
        <v>1.6483969339816999E-2</v>
      </c>
    </row>
    <row r="71" spans="2:5" ht="14.5" customHeight="1">
      <c r="B71" s="77" t="s">
        <v>64</v>
      </c>
      <c r="C71" s="64" t="s">
        <v>154</v>
      </c>
      <c r="D71" s="65">
        <v>232</v>
      </c>
      <c r="E71" s="66">
        <v>6.3738014780629999E-3</v>
      </c>
    </row>
    <row r="72" spans="2:5" ht="14.5" customHeight="1">
      <c r="B72" s="83"/>
      <c r="C72" s="64" t="s">
        <v>155</v>
      </c>
      <c r="D72" s="65">
        <v>348</v>
      </c>
      <c r="E72" s="66">
        <v>9.5607022170939998E-3</v>
      </c>
    </row>
    <row r="73" spans="2:5" ht="14.5" customHeight="1">
      <c r="B73" s="82" t="s">
        <v>342</v>
      </c>
      <c r="C73" s="59" t="s">
        <v>29</v>
      </c>
      <c r="D73" s="60">
        <v>580</v>
      </c>
      <c r="E73" s="61">
        <v>1.5934503695156001E-2</v>
      </c>
    </row>
    <row r="74" spans="2:5" ht="14.5" customHeight="1">
      <c r="B74" s="77" t="s">
        <v>93</v>
      </c>
      <c r="C74" s="64" t="s">
        <v>154</v>
      </c>
      <c r="D74" s="65">
        <v>31</v>
      </c>
      <c r="E74" s="66">
        <v>8.5167174922400003E-4</v>
      </c>
    </row>
    <row r="75" spans="2:5" ht="14.5" customHeight="1">
      <c r="B75" s="83"/>
      <c r="C75" s="64" t="s">
        <v>155</v>
      </c>
      <c r="D75" s="65">
        <v>50</v>
      </c>
      <c r="E75" s="66">
        <v>1.373664111651E-3</v>
      </c>
    </row>
    <row r="76" spans="2:5" ht="14.5" customHeight="1">
      <c r="B76" s="82" t="s">
        <v>343</v>
      </c>
      <c r="C76" s="59" t="s">
        <v>29</v>
      </c>
      <c r="D76" s="60">
        <v>81</v>
      </c>
      <c r="E76" s="61">
        <v>2.2253358608749999E-3</v>
      </c>
    </row>
    <row r="77" spans="2:5" ht="14.5" customHeight="1">
      <c r="B77" s="77" t="s">
        <v>58</v>
      </c>
      <c r="C77" s="64" t="s">
        <v>154</v>
      </c>
      <c r="D77" s="65">
        <v>440</v>
      </c>
      <c r="E77" s="66">
        <v>1.2088244182532E-2</v>
      </c>
    </row>
    <row r="78" spans="2:5" ht="14.5" customHeight="1">
      <c r="B78" s="83"/>
      <c r="C78" s="64" t="s">
        <v>155</v>
      </c>
      <c r="D78" s="65">
        <v>560</v>
      </c>
      <c r="E78" s="66">
        <v>1.5385038050496E-2</v>
      </c>
    </row>
    <row r="79" spans="2:5" ht="14.5" customHeight="1">
      <c r="B79" s="83"/>
      <c r="C79" s="64" t="s">
        <v>156</v>
      </c>
      <c r="D79" s="65">
        <v>1</v>
      </c>
      <c r="E79" s="66">
        <v>2.7473282233000001E-5</v>
      </c>
    </row>
    <row r="80" spans="2:5" ht="14.5" customHeight="1">
      <c r="B80" s="82" t="s">
        <v>344</v>
      </c>
      <c r="C80" s="59" t="s">
        <v>29</v>
      </c>
      <c r="D80" s="60">
        <v>1001</v>
      </c>
      <c r="E80" s="61">
        <v>2.7500755515260999E-2</v>
      </c>
    </row>
    <row r="81" spans="2:5" ht="14.5" customHeight="1">
      <c r="B81" s="77" t="s">
        <v>60</v>
      </c>
      <c r="C81" s="64" t="s">
        <v>154</v>
      </c>
      <c r="D81" s="65">
        <v>274</v>
      </c>
      <c r="E81" s="66">
        <v>7.5276793318500004E-3</v>
      </c>
    </row>
    <row r="82" spans="2:5" ht="14.5" customHeight="1">
      <c r="B82" s="83"/>
      <c r="C82" s="64" t="s">
        <v>155</v>
      </c>
      <c r="D82" s="65">
        <v>401</v>
      </c>
      <c r="E82" s="66">
        <v>1.1016786175444E-2</v>
      </c>
    </row>
    <row r="83" spans="2:5" ht="14.5" customHeight="1">
      <c r="B83" s="82" t="s">
        <v>345</v>
      </c>
      <c r="C83" s="59" t="s">
        <v>29</v>
      </c>
      <c r="D83" s="60">
        <v>675</v>
      </c>
      <c r="E83" s="61">
        <v>1.8544465507294002E-2</v>
      </c>
    </row>
    <row r="84" spans="2:5" ht="14.5" customHeight="1">
      <c r="B84" s="77" t="s">
        <v>51</v>
      </c>
      <c r="C84" s="64" t="s">
        <v>154</v>
      </c>
      <c r="D84" s="65">
        <v>2228</v>
      </c>
      <c r="E84" s="66">
        <v>6.1210472815187003E-2</v>
      </c>
    </row>
    <row r="85" spans="2:5" ht="14.5" customHeight="1">
      <c r="B85" s="83"/>
      <c r="C85" s="64" t="s">
        <v>155</v>
      </c>
      <c r="D85" s="65">
        <v>2392</v>
      </c>
      <c r="E85" s="66">
        <v>6.5716091101404001E-2</v>
      </c>
    </row>
    <row r="86" spans="2:5" ht="14.5" customHeight="1">
      <c r="B86" s="82" t="s">
        <v>346</v>
      </c>
      <c r="C86" s="59" t="s">
        <v>29</v>
      </c>
      <c r="D86" s="60">
        <v>4620</v>
      </c>
      <c r="E86" s="61">
        <v>0.12692656391659099</v>
      </c>
    </row>
    <row r="87" spans="2:5" ht="14.5" customHeight="1">
      <c r="B87" s="77" t="s">
        <v>81</v>
      </c>
      <c r="C87" s="64" t="s">
        <v>154</v>
      </c>
      <c r="D87" s="65">
        <v>116</v>
      </c>
      <c r="E87" s="66">
        <v>3.1869007390309999E-3</v>
      </c>
    </row>
    <row r="88" spans="2:5" ht="14.5" customHeight="1">
      <c r="B88" s="83"/>
      <c r="C88" s="64" t="s">
        <v>155</v>
      </c>
      <c r="D88" s="65">
        <v>156</v>
      </c>
      <c r="E88" s="66">
        <v>4.2858320283520003E-3</v>
      </c>
    </row>
    <row r="89" spans="2:5" ht="14.5" customHeight="1">
      <c r="B89" s="82" t="s">
        <v>347</v>
      </c>
      <c r="C89" s="59" t="s">
        <v>29</v>
      </c>
      <c r="D89" s="60">
        <v>272</v>
      </c>
      <c r="E89" s="61">
        <v>7.4727327673840003E-3</v>
      </c>
    </row>
    <row r="90" spans="2:5" ht="14.5" customHeight="1">
      <c r="B90" s="77" t="s">
        <v>74</v>
      </c>
      <c r="C90" s="64" t="s">
        <v>154</v>
      </c>
      <c r="D90" s="65">
        <v>177</v>
      </c>
      <c r="E90" s="66">
        <v>4.8627709552460001E-3</v>
      </c>
    </row>
    <row r="91" spans="2:5" ht="14.5" customHeight="1">
      <c r="B91" s="83"/>
      <c r="C91" s="64" t="s">
        <v>155</v>
      </c>
      <c r="D91" s="65">
        <v>312</v>
      </c>
      <c r="E91" s="66">
        <v>8.5716640567049997E-3</v>
      </c>
    </row>
    <row r="92" spans="2:5" ht="14.5" customHeight="1">
      <c r="B92" s="82" t="s">
        <v>348</v>
      </c>
      <c r="C92" s="59" t="s">
        <v>29</v>
      </c>
      <c r="D92" s="60">
        <v>489</v>
      </c>
      <c r="E92" s="61">
        <v>1.3434435011951001E-2</v>
      </c>
    </row>
    <row r="93" spans="2:5" ht="14.5" customHeight="1">
      <c r="B93" s="77" t="s">
        <v>80</v>
      </c>
      <c r="C93" s="64" t="s">
        <v>154</v>
      </c>
      <c r="D93" s="65">
        <v>107</v>
      </c>
      <c r="E93" s="66">
        <v>2.9396411989340001E-3</v>
      </c>
    </row>
    <row r="94" spans="2:5" ht="14.5" customHeight="1">
      <c r="B94" s="83"/>
      <c r="C94" s="64" t="s">
        <v>155</v>
      </c>
      <c r="D94" s="65">
        <v>167</v>
      </c>
      <c r="E94" s="66">
        <v>4.5880381329160003E-3</v>
      </c>
    </row>
    <row r="95" spans="2:5" ht="14.5" customHeight="1">
      <c r="B95" s="82" t="s">
        <v>349</v>
      </c>
      <c r="C95" s="59" t="s">
        <v>29</v>
      </c>
      <c r="D95" s="60">
        <v>274</v>
      </c>
      <c r="E95" s="61">
        <v>7.5276793318500004E-3</v>
      </c>
    </row>
    <row r="96" spans="2:5" ht="14.5" customHeight="1">
      <c r="B96" s="77" t="s">
        <v>90</v>
      </c>
      <c r="C96" s="64" t="s">
        <v>154</v>
      </c>
      <c r="D96" s="65">
        <v>37</v>
      </c>
      <c r="E96" s="66">
        <v>1.0165114426219999E-3</v>
      </c>
    </row>
    <row r="97" spans="2:5" ht="14.5" customHeight="1">
      <c r="B97" s="83"/>
      <c r="C97" s="64" t="s">
        <v>155</v>
      </c>
      <c r="D97" s="65">
        <v>73</v>
      </c>
      <c r="E97" s="66">
        <v>2.0055496030110002E-3</v>
      </c>
    </row>
    <row r="98" spans="2:5" ht="14.5" customHeight="1">
      <c r="B98" s="83"/>
      <c r="C98" s="64" t="s">
        <v>156</v>
      </c>
      <c r="D98" s="65">
        <v>1</v>
      </c>
      <c r="E98" s="66">
        <v>2.7473282233000001E-5</v>
      </c>
    </row>
    <row r="99" spans="2:5" ht="14.5" customHeight="1">
      <c r="B99" s="82" t="s">
        <v>350</v>
      </c>
      <c r="C99" s="59" t="s">
        <v>29</v>
      </c>
      <c r="D99" s="60">
        <v>111</v>
      </c>
      <c r="E99" s="61">
        <v>3.049534327866E-3</v>
      </c>
    </row>
    <row r="100" spans="2:5" ht="14.5" customHeight="1">
      <c r="B100" s="77" t="s">
        <v>100</v>
      </c>
      <c r="C100" s="64" t="s">
        <v>154</v>
      </c>
      <c r="D100" s="65">
        <v>1</v>
      </c>
      <c r="E100" s="66">
        <v>2.7473282233000001E-5</v>
      </c>
    </row>
    <row r="101" spans="2:5" ht="14.5" customHeight="1">
      <c r="B101" s="83"/>
      <c r="C101" s="64" t="s">
        <v>155</v>
      </c>
      <c r="D101" s="65">
        <v>3</v>
      </c>
      <c r="E101" s="66">
        <v>8.2419846699E-5</v>
      </c>
    </row>
    <row r="102" spans="2:5" ht="14.5" customHeight="1">
      <c r="B102" s="82" t="s">
        <v>351</v>
      </c>
      <c r="C102" s="59" t="s">
        <v>29</v>
      </c>
      <c r="D102" s="60">
        <v>4</v>
      </c>
      <c r="E102" s="61">
        <v>1.09893128932E-4</v>
      </c>
    </row>
    <row r="103" spans="2:5" ht="14.5" customHeight="1">
      <c r="B103" s="77" t="s">
        <v>83</v>
      </c>
      <c r="C103" s="64" t="s">
        <v>154</v>
      </c>
      <c r="D103" s="65">
        <v>69</v>
      </c>
      <c r="E103" s="66">
        <v>1.8956564740789999E-3</v>
      </c>
    </row>
    <row r="104" spans="2:5" ht="14.5" customHeight="1">
      <c r="B104" s="83"/>
      <c r="C104" s="64" t="s">
        <v>155</v>
      </c>
      <c r="D104" s="65">
        <v>143</v>
      </c>
      <c r="E104" s="66">
        <v>3.9286793593230002E-3</v>
      </c>
    </row>
    <row r="105" spans="2:5" ht="14.5" customHeight="1">
      <c r="B105" s="82" t="s">
        <v>352</v>
      </c>
      <c r="C105" s="59" t="s">
        <v>29</v>
      </c>
      <c r="D105" s="60">
        <v>212</v>
      </c>
      <c r="E105" s="61">
        <v>5.8243358334020001E-3</v>
      </c>
    </row>
    <row r="106" spans="2:5" ht="14.5" customHeight="1">
      <c r="B106" s="77" t="s">
        <v>57</v>
      </c>
      <c r="C106" s="64" t="s">
        <v>154</v>
      </c>
      <c r="D106" s="65">
        <v>359</v>
      </c>
      <c r="E106" s="66">
        <v>9.8629083216569997E-3</v>
      </c>
    </row>
    <row r="107" spans="2:5" ht="14.5" customHeight="1">
      <c r="B107" s="83"/>
      <c r="C107" s="64" t="s">
        <v>155</v>
      </c>
      <c r="D107" s="65">
        <v>717</v>
      </c>
      <c r="E107" s="66">
        <v>1.9698343361080999E-2</v>
      </c>
    </row>
    <row r="108" spans="2:5" ht="14.5" customHeight="1">
      <c r="B108" s="82" t="s">
        <v>353</v>
      </c>
      <c r="C108" s="59" t="s">
        <v>29</v>
      </c>
      <c r="D108" s="60">
        <v>1076</v>
      </c>
      <c r="E108" s="61">
        <v>2.9561251682739001E-2</v>
      </c>
    </row>
    <row r="109" spans="2:5" ht="14.5" customHeight="1">
      <c r="B109" s="77" t="s">
        <v>76</v>
      </c>
      <c r="C109" s="64" t="s">
        <v>154</v>
      </c>
      <c r="D109" s="65">
        <v>149</v>
      </c>
      <c r="E109" s="66">
        <v>4.0935190527209998E-3</v>
      </c>
    </row>
    <row r="110" spans="2:5" ht="14.5" customHeight="1">
      <c r="B110" s="83"/>
      <c r="C110" s="64" t="s">
        <v>155</v>
      </c>
      <c r="D110" s="65">
        <v>259</v>
      </c>
      <c r="E110" s="66">
        <v>7.1155800983540001E-3</v>
      </c>
    </row>
    <row r="111" spans="2:5" ht="14.5" customHeight="1">
      <c r="B111" s="82" t="s">
        <v>354</v>
      </c>
      <c r="C111" s="59" t="s">
        <v>29</v>
      </c>
      <c r="D111" s="60">
        <v>408</v>
      </c>
      <c r="E111" s="61">
        <v>1.1209099151076001E-2</v>
      </c>
    </row>
    <row r="112" spans="2:5" ht="14.5" customHeight="1">
      <c r="B112" s="77" t="s">
        <v>84</v>
      </c>
      <c r="C112" s="64" t="s">
        <v>154</v>
      </c>
      <c r="D112" s="65">
        <v>79</v>
      </c>
      <c r="E112" s="66">
        <v>2.1703892964090002E-3</v>
      </c>
    </row>
    <row r="113" spans="2:5" ht="14.5" customHeight="1">
      <c r="B113" s="83"/>
      <c r="C113" s="64" t="s">
        <v>155</v>
      </c>
      <c r="D113" s="65">
        <v>127</v>
      </c>
      <c r="E113" s="66">
        <v>3.4891068435949999E-3</v>
      </c>
    </row>
    <row r="114" spans="2:5" ht="14.5" customHeight="1">
      <c r="B114" s="82" t="s">
        <v>355</v>
      </c>
      <c r="C114" s="59" t="s">
        <v>29</v>
      </c>
      <c r="D114" s="60">
        <v>206</v>
      </c>
      <c r="E114" s="61">
        <v>5.6594961400039997E-3</v>
      </c>
    </row>
    <row r="115" spans="2:5" ht="14.5" customHeight="1">
      <c r="B115" s="77" t="s">
        <v>69</v>
      </c>
      <c r="C115" s="64" t="s">
        <v>154</v>
      </c>
      <c r="D115" s="65">
        <v>168</v>
      </c>
      <c r="E115" s="66">
        <v>4.6155114151490003E-3</v>
      </c>
    </row>
    <row r="116" spans="2:5" ht="14.5" customHeight="1">
      <c r="B116" s="83"/>
      <c r="C116" s="64" t="s">
        <v>155</v>
      </c>
      <c r="D116" s="65">
        <v>388</v>
      </c>
      <c r="E116" s="66">
        <v>1.0659633506415E-2</v>
      </c>
    </row>
    <row r="117" spans="2:5" ht="14.5" customHeight="1">
      <c r="B117" s="82" t="s">
        <v>356</v>
      </c>
      <c r="C117" s="59" t="s">
        <v>29</v>
      </c>
      <c r="D117" s="60">
        <v>556</v>
      </c>
      <c r="E117" s="61">
        <v>1.5275144921564E-2</v>
      </c>
    </row>
    <row r="118" spans="2:5" ht="14.5" customHeight="1">
      <c r="B118" s="77" t="s">
        <v>79</v>
      </c>
      <c r="C118" s="64" t="s">
        <v>154</v>
      </c>
      <c r="D118" s="65">
        <v>121</v>
      </c>
      <c r="E118" s="66">
        <v>3.3242671501959998E-3</v>
      </c>
    </row>
    <row r="119" spans="2:5" ht="14.5" customHeight="1">
      <c r="B119" s="83"/>
      <c r="C119" s="64" t="s">
        <v>155</v>
      </c>
      <c r="D119" s="65">
        <v>171</v>
      </c>
      <c r="E119" s="66">
        <v>4.6979312618479997E-3</v>
      </c>
    </row>
    <row r="120" spans="2:5" ht="14.5" customHeight="1">
      <c r="B120" s="82" t="s">
        <v>357</v>
      </c>
      <c r="C120" s="59" t="s">
        <v>29</v>
      </c>
      <c r="D120" s="60">
        <v>292</v>
      </c>
      <c r="E120" s="61">
        <v>8.0221984120440008E-3</v>
      </c>
    </row>
    <row r="121" spans="2:5" ht="14.5" customHeight="1">
      <c r="B121" s="77" t="s">
        <v>63</v>
      </c>
      <c r="C121" s="64" t="s">
        <v>154</v>
      </c>
      <c r="D121" s="65">
        <v>242</v>
      </c>
      <c r="E121" s="66">
        <v>6.6485343003929998E-3</v>
      </c>
    </row>
    <row r="122" spans="2:5" ht="14.5" customHeight="1">
      <c r="B122" s="83"/>
      <c r="C122" s="64" t="s">
        <v>155</v>
      </c>
      <c r="D122" s="65">
        <v>350</v>
      </c>
      <c r="E122" s="66">
        <v>9.61564878156E-3</v>
      </c>
    </row>
    <row r="123" spans="2:5" ht="14.5" customHeight="1">
      <c r="B123" s="82" t="s">
        <v>358</v>
      </c>
      <c r="C123" s="59" t="s">
        <v>29</v>
      </c>
      <c r="D123" s="60">
        <v>592</v>
      </c>
      <c r="E123" s="61">
        <v>1.6264183081953001E-2</v>
      </c>
    </row>
    <row r="124" spans="2:5" ht="14.5" customHeight="1">
      <c r="B124" s="77" t="s">
        <v>85</v>
      </c>
      <c r="C124" s="64" t="s">
        <v>154</v>
      </c>
      <c r="D124" s="65">
        <v>99</v>
      </c>
      <c r="E124" s="66">
        <v>2.71985494107E-3</v>
      </c>
    </row>
    <row r="125" spans="2:5" ht="14.5" customHeight="1">
      <c r="B125" s="83"/>
      <c r="C125" s="64" t="s">
        <v>155</v>
      </c>
      <c r="D125" s="65">
        <v>106</v>
      </c>
      <c r="E125" s="66">
        <v>2.9121679167010001E-3</v>
      </c>
    </row>
    <row r="126" spans="2:5" ht="14.5" customHeight="1">
      <c r="B126" s="82" t="s">
        <v>359</v>
      </c>
      <c r="C126" s="59" t="s">
        <v>29</v>
      </c>
      <c r="D126" s="60">
        <v>205</v>
      </c>
      <c r="E126" s="61">
        <v>5.6320228577709996E-3</v>
      </c>
    </row>
    <row r="127" spans="2:5" ht="14.5" customHeight="1">
      <c r="B127" s="77" t="s">
        <v>95</v>
      </c>
      <c r="C127" s="64" t="s">
        <v>154</v>
      </c>
      <c r="D127" s="65">
        <v>6</v>
      </c>
      <c r="E127" s="66">
        <v>1.64839693398E-4</v>
      </c>
    </row>
    <row r="128" spans="2:5" ht="14.5" customHeight="1">
      <c r="B128" s="83"/>
      <c r="C128" s="64" t="s">
        <v>155</v>
      </c>
      <c r="D128" s="65">
        <v>13</v>
      </c>
      <c r="E128" s="66">
        <v>3.5715266902900002E-4</v>
      </c>
    </row>
    <row r="129" spans="2:5" ht="14.5" customHeight="1">
      <c r="B129" s="82" t="s">
        <v>360</v>
      </c>
      <c r="C129" s="59" t="s">
        <v>29</v>
      </c>
      <c r="D129" s="60">
        <v>19</v>
      </c>
      <c r="E129" s="61">
        <v>5.2199236242800003E-4</v>
      </c>
    </row>
    <row r="130" spans="2:5" ht="14.5" customHeight="1">
      <c r="B130" s="77" t="s">
        <v>55</v>
      </c>
      <c r="C130" s="64" t="s">
        <v>154</v>
      </c>
      <c r="D130" s="65">
        <v>528</v>
      </c>
      <c r="E130" s="66">
        <v>1.4505893019039E-2</v>
      </c>
    </row>
    <row r="131" spans="2:5" ht="14.5" customHeight="1">
      <c r="B131" s="83"/>
      <c r="C131" s="64" t="s">
        <v>155</v>
      </c>
      <c r="D131" s="65">
        <v>901</v>
      </c>
      <c r="E131" s="66">
        <v>2.4753427291959E-2</v>
      </c>
    </row>
    <row r="132" spans="2:5" ht="14.5" customHeight="1">
      <c r="B132" s="82" t="s">
        <v>361</v>
      </c>
      <c r="C132" s="59" t="s">
        <v>29</v>
      </c>
      <c r="D132" s="60">
        <v>1429</v>
      </c>
      <c r="E132" s="61">
        <v>3.9259320310997999E-2</v>
      </c>
    </row>
    <row r="133" spans="2:5" ht="14.5" customHeight="1">
      <c r="B133" s="77" t="s">
        <v>67</v>
      </c>
      <c r="C133" s="64" t="s">
        <v>154</v>
      </c>
      <c r="D133" s="65">
        <v>260</v>
      </c>
      <c r="E133" s="66">
        <v>7.1430533805870002E-3</v>
      </c>
    </row>
    <row r="134" spans="2:5" ht="14.5" customHeight="1">
      <c r="B134" s="83"/>
      <c r="C134" s="64" t="s">
        <v>155</v>
      </c>
      <c r="D134" s="65">
        <v>310</v>
      </c>
      <c r="E134" s="66">
        <v>8.5167174922389996E-3</v>
      </c>
    </row>
    <row r="135" spans="2:5" ht="14.5" customHeight="1">
      <c r="B135" s="83"/>
      <c r="C135" s="64" t="s">
        <v>156</v>
      </c>
      <c r="D135" s="65">
        <v>1</v>
      </c>
      <c r="E135" s="66">
        <v>2.7473282233000001E-5</v>
      </c>
    </row>
    <row r="136" spans="2:5" ht="14.5" customHeight="1">
      <c r="B136" s="82"/>
      <c r="C136" s="59" t="s">
        <v>29</v>
      </c>
      <c r="D136" s="60">
        <v>571</v>
      </c>
      <c r="E136" s="61">
        <v>1.5687244155059E-2</v>
      </c>
    </row>
    <row r="137" spans="2:5" ht="14.5" customHeight="1">
      <c r="B137" s="77" t="s">
        <v>71</v>
      </c>
      <c r="C137" s="64" t="s">
        <v>154</v>
      </c>
      <c r="D137" s="65">
        <v>197</v>
      </c>
      <c r="E137" s="66">
        <v>5.4122365999069999E-3</v>
      </c>
    </row>
    <row r="138" spans="2:5" ht="14.5" customHeight="1">
      <c r="B138" s="83"/>
      <c r="C138" s="64" t="s">
        <v>155</v>
      </c>
      <c r="D138" s="65">
        <v>320</v>
      </c>
      <c r="E138" s="66">
        <v>8.7914503145690003E-3</v>
      </c>
    </row>
    <row r="139" spans="2:5" ht="14.5" customHeight="1">
      <c r="B139" s="82" t="s">
        <v>362</v>
      </c>
      <c r="C139" s="59" t="s">
        <v>29</v>
      </c>
      <c r="D139" s="60">
        <v>517</v>
      </c>
      <c r="E139" s="61">
        <v>1.4203686914476E-2</v>
      </c>
    </row>
    <row r="140" spans="2:5" ht="14.5" customHeight="1">
      <c r="B140" s="77" t="s">
        <v>78</v>
      </c>
      <c r="C140" s="64" t="s">
        <v>154</v>
      </c>
      <c r="D140" s="65">
        <v>136</v>
      </c>
      <c r="E140" s="66">
        <v>3.7363663836920001E-3</v>
      </c>
    </row>
    <row r="141" spans="2:5" ht="14.5" customHeight="1">
      <c r="B141" s="83"/>
      <c r="C141" s="64" t="s">
        <v>155</v>
      </c>
      <c r="D141" s="65">
        <v>161</v>
      </c>
      <c r="E141" s="66">
        <v>4.4231984395179998E-3</v>
      </c>
    </row>
    <row r="142" spans="2:5" ht="14.5" customHeight="1">
      <c r="B142" s="82" t="s">
        <v>363</v>
      </c>
      <c r="C142" s="59" t="s">
        <v>29</v>
      </c>
      <c r="D142" s="60">
        <v>297</v>
      </c>
      <c r="E142" s="61">
        <v>8.1595648232090003E-3</v>
      </c>
    </row>
    <row r="143" spans="2:5" ht="14.5" customHeight="1">
      <c r="B143" s="77" t="s">
        <v>77</v>
      </c>
      <c r="C143" s="64" t="s">
        <v>154</v>
      </c>
      <c r="D143" s="65">
        <v>164</v>
      </c>
      <c r="E143" s="66">
        <v>4.505618286217E-3</v>
      </c>
    </row>
    <row r="144" spans="2:5" ht="14.5" customHeight="1">
      <c r="B144" s="83"/>
      <c r="C144" s="64" t="s">
        <v>155</v>
      </c>
      <c r="D144" s="65">
        <v>219</v>
      </c>
      <c r="E144" s="66">
        <v>6.0166488090329998E-3</v>
      </c>
    </row>
    <row r="145" spans="2:5" ht="14.5" customHeight="1">
      <c r="B145" s="82" t="s">
        <v>364</v>
      </c>
      <c r="C145" s="59" t="s">
        <v>29</v>
      </c>
      <c r="D145" s="60">
        <v>383</v>
      </c>
      <c r="E145" s="61">
        <v>1.0522267095250001E-2</v>
      </c>
    </row>
    <row r="146" spans="2:5" ht="14.5" customHeight="1">
      <c r="B146" s="77" t="s">
        <v>59</v>
      </c>
      <c r="C146" s="64" t="s">
        <v>154</v>
      </c>
      <c r="D146" s="65">
        <v>469</v>
      </c>
      <c r="E146" s="66">
        <v>1.288496936729E-2</v>
      </c>
    </row>
    <row r="147" spans="2:5" ht="14.5" customHeight="1">
      <c r="B147" s="83"/>
      <c r="C147" s="64" t="s">
        <v>155</v>
      </c>
      <c r="D147" s="65">
        <v>499</v>
      </c>
      <c r="E147" s="66">
        <v>1.3709167834281E-2</v>
      </c>
    </row>
    <row r="148" spans="2:5" ht="14.5" customHeight="1">
      <c r="B148" s="82" t="s">
        <v>365</v>
      </c>
      <c r="C148" s="59" t="s">
        <v>29</v>
      </c>
      <c r="D148" s="60">
        <v>968</v>
      </c>
      <c r="E148" s="61">
        <v>2.6594137201571E-2</v>
      </c>
    </row>
    <row r="149" spans="2:5" ht="14.5" customHeight="1">
      <c r="B149" s="77" t="s">
        <v>68</v>
      </c>
      <c r="C149" s="64" t="s">
        <v>154</v>
      </c>
      <c r="D149" s="65">
        <v>265</v>
      </c>
      <c r="E149" s="66">
        <v>7.2804197917529997E-3</v>
      </c>
    </row>
    <row r="150" spans="2:5" ht="14.5" customHeight="1">
      <c r="B150" s="83"/>
      <c r="C150" s="64" t="s">
        <v>155</v>
      </c>
      <c r="D150" s="65">
        <v>292</v>
      </c>
      <c r="E150" s="66">
        <v>8.0221984120440008E-3</v>
      </c>
    </row>
    <row r="151" spans="2:5" ht="14.5" customHeight="1">
      <c r="B151" s="82" t="s">
        <v>366</v>
      </c>
      <c r="C151" s="59" t="s">
        <v>29</v>
      </c>
      <c r="D151" s="60">
        <v>557</v>
      </c>
      <c r="E151" s="61">
        <v>1.5302618203797001E-2</v>
      </c>
    </row>
    <row r="152" spans="2:5" ht="14.5" customHeight="1">
      <c r="B152" s="77" t="s">
        <v>73</v>
      </c>
      <c r="C152" s="64" t="s">
        <v>154</v>
      </c>
      <c r="D152" s="65">
        <v>211</v>
      </c>
      <c r="E152" s="66">
        <v>5.796862551169E-3</v>
      </c>
    </row>
    <row r="153" spans="2:5" ht="14.5" customHeight="1">
      <c r="B153" s="83"/>
      <c r="C153" s="64" t="s">
        <v>155</v>
      </c>
      <c r="D153" s="65">
        <v>287</v>
      </c>
      <c r="E153" s="66">
        <v>7.8848320008789996E-3</v>
      </c>
    </row>
    <row r="154" spans="2:5" ht="14.5" customHeight="1">
      <c r="B154" s="82" t="s">
        <v>367</v>
      </c>
      <c r="C154" s="59" t="s">
        <v>29</v>
      </c>
      <c r="D154" s="60">
        <v>498</v>
      </c>
      <c r="E154" s="61">
        <v>1.3681694552048001E-2</v>
      </c>
    </row>
    <row r="155" spans="2:5" ht="14.5" customHeight="1">
      <c r="B155" s="77" t="s">
        <v>61</v>
      </c>
      <c r="C155" s="64" t="s">
        <v>154</v>
      </c>
      <c r="D155" s="65">
        <v>272</v>
      </c>
      <c r="E155" s="66">
        <v>7.4727327673840003E-3</v>
      </c>
    </row>
    <row r="156" spans="2:5" ht="14.5" customHeight="1">
      <c r="B156" s="83"/>
      <c r="C156" s="64" t="s">
        <v>155</v>
      </c>
      <c r="D156" s="65">
        <v>370</v>
      </c>
      <c r="E156" s="66">
        <v>1.0165114426221001E-2</v>
      </c>
    </row>
    <row r="157" spans="2:5" ht="14.5" customHeight="1">
      <c r="B157" s="82" t="s">
        <v>368</v>
      </c>
      <c r="C157" s="59" t="s">
        <v>29</v>
      </c>
      <c r="D157" s="60">
        <v>642</v>
      </c>
      <c r="E157" s="61">
        <v>1.7637847193603999E-2</v>
      </c>
    </row>
    <row r="158" spans="2:5" ht="14.5" customHeight="1">
      <c r="B158" s="77" t="s">
        <v>54</v>
      </c>
      <c r="C158" s="64" t="s">
        <v>154</v>
      </c>
      <c r="D158" s="65">
        <v>773</v>
      </c>
      <c r="E158" s="66">
        <v>2.1236847166131001E-2</v>
      </c>
    </row>
    <row r="159" spans="2:5" ht="14.5" customHeight="1">
      <c r="B159" s="83"/>
      <c r="C159" s="64" t="s">
        <v>155</v>
      </c>
      <c r="D159" s="65">
        <v>889</v>
      </c>
      <c r="E159" s="66">
        <v>2.4423747905162E-2</v>
      </c>
    </row>
    <row r="160" spans="2:5" ht="14.5" customHeight="1">
      <c r="B160" s="82" t="s">
        <v>369</v>
      </c>
      <c r="C160" s="59" t="s">
        <v>29</v>
      </c>
      <c r="D160" s="60">
        <v>1662</v>
      </c>
      <c r="E160" s="61">
        <v>4.5660595071292998E-2</v>
      </c>
    </row>
    <row r="161" spans="2:5" ht="14.5" customHeight="1">
      <c r="B161" s="77" t="s">
        <v>88</v>
      </c>
      <c r="C161" s="64" t="s">
        <v>154</v>
      </c>
      <c r="D161" s="65">
        <v>47</v>
      </c>
      <c r="E161" s="66">
        <v>1.291244264952E-3</v>
      </c>
    </row>
    <row r="162" spans="2:5" ht="14.5" customHeight="1">
      <c r="B162" s="83"/>
      <c r="C162" s="64" t="s">
        <v>155</v>
      </c>
      <c r="D162" s="65">
        <v>80</v>
      </c>
      <c r="E162" s="66">
        <v>2.1978625786419998E-3</v>
      </c>
    </row>
    <row r="163" spans="2:5" ht="14.5" customHeight="1">
      <c r="B163" s="82" t="s">
        <v>370</v>
      </c>
      <c r="C163" s="59" t="s">
        <v>29</v>
      </c>
      <c r="D163" s="60">
        <v>127</v>
      </c>
      <c r="E163" s="61">
        <v>3.4891068435949999E-3</v>
      </c>
    </row>
    <row r="164" spans="2:5" ht="14.5" customHeight="1">
      <c r="B164" s="77" t="s">
        <v>94</v>
      </c>
      <c r="C164" s="64" t="s">
        <v>154</v>
      </c>
      <c r="D164" s="65">
        <v>23</v>
      </c>
      <c r="E164" s="66">
        <v>6.3188549136E-4</v>
      </c>
    </row>
    <row r="165" spans="2:5" ht="14.5" customHeight="1">
      <c r="B165" s="83"/>
      <c r="C165" s="64" t="s">
        <v>155</v>
      </c>
      <c r="D165" s="65">
        <v>22</v>
      </c>
      <c r="E165" s="66">
        <v>6.0441220912700003E-4</v>
      </c>
    </row>
    <row r="166" spans="2:5" ht="14.5" customHeight="1">
      <c r="B166" s="82" t="s">
        <v>371</v>
      </c>
      <c r="C166" s="59" t="s">
        <v>29</v>
      </c>
      <c r="D166" s="60">
        <v>45</v>
      </c>
      <c r="E166" s="61">
        <v>1.2362977004860001E-3</v>
      </c>
    </row>
    <row r="167" spans="2:5" ht="14.5" customHeight="1">
      <c r="B167" s="77" t="s">
        <v>82</v>
      </c>
      <c r="C167" s="64" t="s">
        <v>154</v>
      </c>
      <c r="D167" s="65">
        <v>93</v>
      </c>
      <c r="E167" s="66">
        <v>2.555015247672E-3</v>
      </c>
    </row>
    <row r="168" spans="2:5" ht="14.5" customHeight="1">
      <c r="B168" s="83"/>
      <c r="C168" s="64" t="s">
        <v>155</v>
      </c>
      <c r="D168" s="65">
        <v>171</v>
      </c>
      <c r="E168" s="66">
        <v>4.6979312618479997E-3</v>
      </c>
    </row>
    <row r="169" spans="2:5" ht="14.5" customHeight="1">
      <c r="B169" s="82" t="s">
        <v>196</v>
      </c>
      <c r="C169" s="59" t="s">
        <v>29</v>
      </c>
      <c r="D169" s="60">
        <v>264</v>
      </c>
      <c r="E169" s="61">
        <v>7.2529465095189996E-3</v>
      </c>
    </row>
    <row r="170" spans="2:5" ht="14.5" customHeight="1">
      <c r="B170" s="77" t="s">
        <v>99</v>
      </c>
      <c r="C170" s="64" t="s">
        <v>154</v>
      </c>
      <c r="D170" s="65">
        <v>3</v>
      </c>
      <c r="E170" s="66">
        <v>8.2419846699E-5</v>
      </c>
    </row>
    <row r="171" spans="2:5" ht="14.5" customHeight="1">
      <c r="B171" s="83"/>
      <c r="C171" s="64" t="s">
        <v>155</v>
      </c>
      <c r="D171" s="65">
        <v>4</v>
      </c>
      <c r="E171" s="66">
        <v>1.09893128932E-4</v>
      </c>
    </row>
    <row r="172" spans="2:5" ht="14.5" customHeight="1">
      <c r="B172" s="82" t="s">
        <v>372</v>
      </c>
      <c r="C172" s="59" t="s">
        <v>29</v>
      </c>
      <c r="D172" s="60">
        <v>7</v>
      </c>
      <c r="E172" s="61">
        <v>1.9231297563099999E-4</v>
      </c>
    </row>
    <row r="173" spans="2:5" ht="14.5" customHeight="1">
      <c r="B173" s="88" t="s">
        <v>29</v>
      </c>
      <c r="C173" s="89"/>
      <c r="D173" s="57">
        <v>36399</v>
      </c>
      <c r="E173" s="58">
        <v>1</v>
      </c>
    </row>
    <row r="174" spans="2:5" ht="14.5" customHeight="1"/>
    <row r="175" spans="2:5" ht="14.5" customHeight="1">
      <c r="B175" s="15" t="s">
        <v>47</v>
      </c>
    </row>
    <row r="176" spans="2:5" ht="14.5" customHeight="1">
      <c r="B176" s="17" t="s">
        <v>17</v>
      </c>
    </row>
    <row r="177" spans="2:2" ht="14.5" customHeight="1">
      <c r="B177" s="16" t="s">
        <v>48</v>
      </c>
    </row>
    <row r="178" spans="2:2" ht="14.5" customHeight="1">
      <c r="B178" s="15" t="s">
        <v>16</v>
      </c>
    </row>
    <row r="179" spans="2:2" ht="14.5" customHeight="1">
      <c r="B179" s="15" t="s">
        <v>49</v>
      </c>
    </row>
  </sheetData>
  <mergeCells count="54">
    <mergeCell ref="B103:B105"/>
    <mergeCell ref="B106:B108"/>
    <mergeCell ref="B109:B111"/>
    <mergeCell ref="B112:B114"/>
    <mergeCell ref="B130:B132"/>
    <mergeCell ref="B115:B117"/>
    <mergeCell ref="B118:B120"/>
    <mergeCell ref="B121:B123"/>
    <mergeCell ref="B124:B126"/>
    <mergeCell ref="B127:B129"/>
    <mergeCell ref="B8:E10"/>
    <mergeCell ref="B55:B57"/>
    <mergeCell ref="B58:B60"/>
    <mergeCell ref="B61:B63"/>
    <mergeCell ref="B64:B67"/>
    <mergeCell ref="B37:B39"/>
    <mergeCell ref="B13:B15"/>
    <mergeCell ref="B16:B18"/>
    <mergeCell ref="B19:B21"/>
    <mergeCell ref="B22:B24"/>
    <mergeCell ref="B25:B27"/>
    <mergeCell ref="B28:B30"/>
    <mergeCell ref="B31:B33"/>
    <mergeCell ref="B34:B36"/>
    <mergeCell ref="B40:B42"/>
    <mergeCell ref="B43:B45"/>
    <mergeCell ref="B46:B48"/>
    <mergeCell ref="B49:B51"/>
    <mergeCell ref="B52:B54"/>
    <mergeCell ref="B133:B136"/>
    <mergeCell ref="B137:B139"/>
    <mergeCell ref="B68:B70"/>
    <mergeCell ref="B71:B73"/>
    <mergeCell ref="B74:B76"/>
    <mergeCell ref="B77:B80"/>
    <mergeCell ref="B81:B83"/>
    <mergeCell ref="B84:B86"/>
    <mergeCell ref="B87:B89"/>
    <mergeCell ref="B90:B92"/>
    <mergeCell ref="B93:B95"/>
    <mergeCell ref="B96:B99"/>
    <mergeCell ref="B100:B102"/>
    <mergeCell ref="B140:B142"/>
    <mergeCell ref="B143:B145"/>
    <mergeCell ref="B146:B148"/>
    <mergeCell ref="B164:B166"/>
    <mergeCell ref="B167:B169"/>
    <mergeCell ref="B170:B172"/>
    <mergeCell ref="B173:C173"/>
    <mergeCell ref="B149:B151"/>
    <mergeCell ref="B152:B154"/>
    <mergeCell ref="B155:B157"/>
    <mergeCell ref="B158:B160"/>
    <mergeCell ref="B161:B163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B1:F177"/>
  <sheetViews>
    <sheetView showGridLines="0" view="pageBreakPreview" topLeftCell="A157" zoomScaleNormal="100" zoomScaleSheetLayoutView="100" workbookViewId="0">
      <selection activeCell="B171" sqref="B171:C171"/>
    </sheetView>
  </sheetViews>
  <sheetFormatPr baseColWidth="10" defaultColWidth="11.453125" defaultRowHeight="10"/>
  <cols>
    <col min="1" max="1" width="5.7265625" style="25" customWidth="1"/>
    <col min="2" max="2" width="22.7265625" style="41" customWidth="1"/>
    <col min="3" max="3" width="20.7265625" style="41" customWidth="1"/>
    <col min="4" max="4" width="15.7265625" style="44" customWidth="1"/>
    <col min="5" max="5" width="15.7265625" style="41" customWidth="1"/>
    <col min="6" max="6" width="5.7265625" style="25" customWidth="1"/>
    <col min="7" max="7" width="3.08984375" style="25" customWidth="1"/>
    <col min="8" max="16384" width="11.453125" style="25"/>
  </cols>
  <sheetData>
    <row r="1" spans="2:6" s="13" customFormat="1" ht="14.5">
      <c r="B1" s="41"/>
      <c r="C1" s="41"/>
    </row>
    <row r="2" spans="2:6" s="41" customFormat="1">
      <c r="B2" s="50"/>
    </row>
    <row r="3" spans="2:6" ht="15" customHeight="1">
      <c r="B3" s="51"/>
      <c r="C3" s="31"/>
      <c r="D3" s="25"/>
      <c r="F3" s="41"/>
    </row>
    <row r="4" spans="2:6" ht="30" customHeight="1">
      <c r="B4" s="51"/>
      <c r="C4" s="31"/>
      <c r="D4" s="25"/>
      <c r="F4" s="41"/>
    </row>
    <row r="5" spans="2:6" ht="15" customHeight="1">
      <c r="B5" s="51"/>
      <c r="C5" s="31"/>
      <c r="D5" s="25"/>
      <c r="F5" s="41"/>
    </row>
    <row r="6" spans="2:6" s="41" customFormat="1" ht="10.5">
      <c r="B6" s="43"/>
      <c r="C6" s="37"/>
    </row>
    <row r="7" spans="2:6" s="41" customFormat="1">
      <c r="B7" s="50"/>
    </row>
    <row r="8" spans="2:6" s="13" customFormat="1" ht="15" customHeight="1">
      <c r="B8" s="90" t="s">
        <v>36</v>
      </c>
      <c r="C8" s="91"/>
      <c r="D8" s="91"/>
      <c r="E8" s="91"/>
    </row>
    <row r="9" spans="2:6" s="13" customFormat="1" ht="15" customHeight="1">
      <c r="B9" s="91"/>
      <c r="C9" s="91"/>
      <c r="D9" s="91"/>
      <c r="E9" s="91"/>
      <c r="F9" s="49"/>
    </row>
    <row r="10" spans="2:6" s="13" customFormat="1" ht="15" customHeight="1">
      <c r="B10" s="91"/>
      <c r="C10" s="91"/>
      <c r="D10" s="91"/>
      <c r="E10" s="91"/>
    </row>
    <row r="11" spans="2:6" s="13" customFormat="1" ht="15" customHeight="1">
      <c r="B11" s="55"/>
      <c r="C11" s="55"/>
      <c r="D11" s="55"/>
      <c r="E11" s="55"/>
    </row>
    <row r="12" spans="2:6" s="13" customFormat="1" ht="37" customHeight="1">
      <c r="B12" s="56" t="s">
        <v>24</v>
      </c>
      <c r="C12" s="56" t="s">
        <v>30</v>
      </c>
      <c r="D12" s="56" t="s">
        <v>19</v>
      </c>
      <c r="E12" s="56" t="s">
        <v>18</v>
      </c>
    </row>
    <row r="13" spans="2:6" ht="14.5" customHeight="1">
      <c r="B13" s="77" t="s">
        <v>103</v>
      </c>
      <c r="C13" s="64" t="s">
        <v>154</v>
      </c>
      <c r="D13" s="65">
        <v>115</v>
      </c>
      <c r="E13" s="66">
        <v>3.1594274567979998E-3</v>
      </c>
    </row>
    <row r="14" spans="2:6" ht="14.5" customHeight="1">
      <c r="B14" s="83"/>
      <c r="C14" s="64" t="s">
        <v>155</v>
      </c>
      <c r="D14" s="65">
        <v>145</v>
      </c>
      <c r="E14" s="66">
        <v>3.9836259237890003E-3</v>
      </c>
    </row>
    <row r="15" spans="2:6" ht="14.5" customHeight="1">
      <c r="B15" s="82"/>
      <c r="C15" s="59" t="s">
        <v>29</v>
      </c>
      <c r="D15" s="60">
        <v>260</v>
      </c>
      <c r="E15" s="61">
        <v>7.1430533805870002E-3</v>
      </c>
    </row>
    <row r="16" spans="2:6" ht="14.5" customHeight="1">
      <c r="B16" s="77" t="s">
        <v>104</v>
      </c>
      <c r="C16" s="64" t="s">
        <v>154</v>
      </c>
      <c r="D16" s="65">
        <v>2</v>
      </c>
      <c r="E16" s="66">
        <v>5.4946564466000002E-5</v>
      </c>
    </row>
    <row r="17" spans="2:5" ht="14.5" customHeight="1">
      <c r="B17" s="83"/>
      <c r="C17" s="64" t="s">
        <v>155</v>
      </c>
      <c r="D17" s="65">
        <v>1</v>
      </c>
      <c r="E17" s="66">
        <v>2.7473282233000001E-5</v>
      </c>
    </row>
    <row r="18" spans="2:5" ht="14.5" customHeight="1">
      <c r="B18" s="82"/>
      <c r="C18" s="59" t="s">
        <v>29</v>
      </c>
      <c r="D18" s="60">
        <v>3</v>
      </c>
      <c r="E18" s="61">
        <v>8.2419846699E-5</v>
      </c>
    </row>
    <row r="19" spans="2:5" ht="14.5" customHeight="1">
      <c r="B19" s="77" t="s">
        <v>105</v>
      </c>
      <c r="C19" s="64" t="s">
        <v>154</v>
      </c>
      <c r="D19" s="65">
        <v>267</v>
      </c>
      <c r="E19" s="66">
        <v>7.3353663562189999E-3</v>
      </c>
    </row>
    <row r="20" spans="2:5" ht="14.5" customHeight="1">
      <c r="B20" s="83"/>
      <c r="C20" s="64" t="s">
        <v>155</v>
      </c>
      <c r="D20" s="65">
        <v>378</v>
      </c>
      <c r="E20" s="66">
        <v>1.0384900684084999E-2</v>
      </c>
    </row>
    <row r="21" spans="2:5" ht="14.5" customHeight="1">
      <c r="B21" s="82"/>
      <c r="C21" s="59" t="s">
        <v>29</v>
      </c>
      <c r="D21" s="60">
        <v>645</v>
      </c>
      <c r="E21" s="61">
        <v>1.7720267040302998E-2</v>
      </c>
    </row>
    <row r="22" spans="2:5" ht="14.5" customHeight="1">
      <c r="B22" s="77" t="s">
        <v>106</v>
      </c>
      <c r="C22" s="64" t="s">
        <v>154</v>
      </c>
      <c r="D22" s="65">
        <v>153</v>
      </c>
      <c r="E22" s="66">
        <v>4.2034121816530001E-3</v>
      </c>
    </row>
    <row r="23" spans="2:5" ht="14.5" customHeight="1">
      <c r="B23" s="83"/>
      <c r="C23" s="64" t="s">
        <v>155</v>
      </c>
      <c r="D23" s="65">
        <v>193</v>
      </c>
      <c r="E23" s="66">
        <v>5.3023434709740004E-3</v>
      </c>
    </row>
    <row r="24" spans="2:5" ht="14.5" customHeight="1">
      <c r="B24" s="82"/>
      <c r="C24" s="59" t="s">
        <v>29</v>
      </c>
      <c r="D24" s="60">
        <v>346</v>
      </c>
      <c r="E24" s="61">
        <v>9.5057556526279997E-3</v>
      </c>
    </row>
    <row r="25" spans="2:5" ht="14.5" customHeight="1">
      <c r="B25" s="77" t="s">
        <v>107</v>
      </c>
      <c r="C25" s="64" t="s">
        <v>154</v>
      </c>
      <c r="D25" s="65">
        <v>4839</v>
      </c>
      <c r="E25" s="66">
        <v>0.13294321272562401</v>
      </c>
    </row>
    <row r="26" spans="2:5" ht="14.5" customHeight="1">
      <c r="B26" s="83"/>
      <c r="C26" s="64" t="s">
        <v>155</v>
      </c>
      <c r="D26" s="65">
        <v>5469</v>
      </c>
      <c r="E26" s="66">
        <v>0.15025138053243201</v>
      </c>
    </row>
    <row r="27" spans="2:5" ht="14.5" customHeight="1">
      <c r="B27" s="83"/>
      <c r="C27" s="64" t="s">
        <v>156</v>
      </c>
      <c r="D27" s="65">
        <v>1</v>
      </c>
      <c r="E27" s="66">
        <v>2.7473282233000001E-5</v>
      </c>
    </row>
    <row r="28" spans="2:5" ht="14.5" customHeight="1">
      <c r="B28" s="82"/>
      <c r="C28" s="59" t="s">
        <v>29</v>
      </c>
      <c r="D28" s="60">
        <v>10309</v>
      </c>
      <c r="E28" s="61">
        <v>0.28322206654028997</v>
      </c>
    </row>
    <row r="29" spans="2:5" ht="14.5" customHeight="1">
      <c r="B29" s="77" t="s">
        <v>108</v>
      </c>
      <c r="C29" s="64" t="s">
        <v>154</v>
      </c>
      <c r="D29" s="65">
        <v>159</v>
      </c>
      <c r="E29" s="66">
        <v>4.3682518750519997E-3</v>
      </c>
    </row>
    <row r="30" spans="2:5" ht="14.5" customHeight="1">
      <c r="B30" s="83"/>
      <c r="C30" s="64" t="s">
        <v>155</v>
      </c>
      <c r="D30" s="65">
        <v>277</v>
      </c>
      <c r="E30" s="66">
        <v>7.6100991785489997E-3</v>
      </c>
    </row>
    <row r="31" spans="2:5" ht="14.5" customHeight="1">
      <c r="B31" s="82" t="s">
        <v>157</v>
      </c>
      <c r="C31" s="59" t="s">
        <v>29</v>
      </c>
      <c r="D31" s="60">
        <v>436</v>
      </c>
      <c r="E31" s="61">
        <v>1.1978351053599999E-2</v>
      </c>
    </row>
    <row r="32" spans="2:5" ht="14.5" customHeight="1">
      <c r="B32" s="77" t="s">
        <v>109</v>
      </c>
      <c r="C32" s="64" t="s">
        <v>154</v>
      </c>
      <c r="D32" s="65">
        <v>29</v>
      </c>
      <c r="E32" s="66">
        <v>7.96725184758E-4</v>
      </c>
    </row>
    <row r="33" spans="2:5" ht="14.5" customHeight="1">
      <c r="B33" s="83"/>
      <c r="C33" s="64" t="s">
        <v>155</v>
      </c>
      <c r="D33" s="65">
        <v>51</v>
      </c>
      <c r="E33" s="66">
        <v>1.4011373938840001E-3</v>
      </c>
    </row>
    <row r="34" spans="2:5" ht="14.5" customHeight="1">
      <c r="B34" s="82" t="s">
        <v>158</v>
      </c>
      <c r="C34" s="59" t="s">
        <v>29</v>
      </c>
      <c r="D34" s="60">
        <v>80</v>
      </c>
      <c r="E34" s="61">
        <v>2.1978625786419998E-3</v>
      </c>
    </row>
    <row r="35" spans="2:5" ht="14.5" customHeight="1">
      <c r="B35" s="77" t="s">
        <v>110</v>
      </c>
      <c r="C35" s="64" t="s">
        <v>154</v>
      </c>
      <c r="D35" s="65">
        <v>20</v>
      </c>
      <c r="E35" s="66">
        <v>5.49465644661E-4</v>
      </c>
    </row>
    <row r="36" spans="2:5" ht="14.5" customHeight="1">
      <c r="B36" s="83"/>
      <c r="C36" s="64" t="s">
        <v>155</v>
      </c>
      <c r="D36" s="65">
        <v>47</v>
      </c>
      <c r="E36" s="66">
        <v>1.291244264952E-3</v>
      </c>
    </row>
    <row r="37" spans="2:5" ht="14.5" customHeight="1">
      <c r="B37" s="82" t="s">
        <v>159</v>
      </c>
      <c r="C37" s="59" t="s">
        <v>29</v>
      </c>
      <c r="D37" s="60">
        <v>67</v>
      </c>
      <c r="E37" s="61">
        <v>1.840709909613E-3</v>
      </c>
    </row>
    <row r="38" spans="2:5" ht="14.5" customHeight="1">
      <c r="B38" s="77" t="s">
        <v>111</v>
      </c>
      <c r="C38" s="64" t="s">
        <v>154</v>
      </c>
      <c r="D38" s="65">
        <v>6</v>
      </c>
      <c r="E38" s="66">
        <v>1.64839693398E-4</v>
      </c>
    </row>
    <row r="39" spans="2:5" ht="14.5" customHeight="1">
      <c r="B39" s="83"/>
      <c r="C39" s="64" t="s">
        <v>155</v>
      </c>
      <c r="D39" s="65">
        <v>16</v>
      </c>
      <c r="E39" s="66">
        <v>4.3957251572800002E-4</v>
      </c>
    </row>
    <row r="40" spans="2:5" ht="14.5" customHeight="1">
      <c r="B40" s="82" t="s">
        <v>160</v>
      </c>
      <c r="C40" s="59" t="s">
        <v>29</v>
      </c>
      <c r="D40" s="60">
        <v>22</v>
      </c>
      <c r="E40" s="61">
        <v>6.0441220912700003E-4</v>
      </c>
    </row>
    <row r="41" spans="2:5" ht="14.5" customHeight="1">
      <c r="B41" s="77" t="s">
        <v>112</v>
      </c>
      <c r="C41" s="64" t="s">
        <v>154</v>
      </c>
      <c r="D41" s="65">
        <v>341</v>
      </c>
      <c r="E41" s="66">
        <v>9.3683892414630002E-3</v>
      </c>
    </row>
    <row r="42" spans="2:5" ht="14.5" customHeight="1">
      <c r="B42" s="83"/>
      <c r="C42" s="64" t="s">
        <v>155</v>
      </c>
      <c r="D42" s="65">
        <v>682</v>
      </c>
      <c r="E42" s="66">
        <v>1.8736778482925001E-2</v>
      </c>
    </row>
    <row r="43" spans="2:5" ht="14.5" customHeight="1">
      <c r="B43" s="82" t="s">
        <v>161</v>
      </c>
      <c r="C43" s="59" t="s">
        <v>29</v>
      </c>
      <c r="D43" s="60">
        <v>1023</v>
      </c>
      <c r="E43" s="61">
        <v>2.8105167724388001E-2</v>
      </c>
    </row>
    <row r="44" spans="2:5" ht="14.5" customHeight="1">
      <c r="B44" s="77" t="s">
        <v>113</v>
      </c>
      <c r="C44" s="64" t="s">
        <v>154</v>
      </c>
      <c r="D44" s="65">
        <v>363</v>
      </c>
      <c r="E44" s="66">
        <v>9.972801450589E-3</v>
      </c>
    </row>
    <row r="45" spans="2:5" ht="14.5" customHeight="1">
      <c r="B45" s="83"/>
      <c r="C45" s="64" t="s">
        <v>155</v>
      </c>
      <c r="D45" s="65">
        <v>550</v>
      </c>
      <c r="E45" s="66">
        <v>1.5110305228165999E-2</v>
      </c>
    </row>
    <row r="46" spans="2:5" ht="14.5" customHeight="1">
      <c r="B46" s="82" t="s">
        <v>162</v>
      </c>
      <c r="C46" s="59" t="s">
        <v>29</v>
      </c>
      <c r="D46" s="60">
        <v>913</v>
      </c>
      <c r="E46" s="61">
        <v>2.5083106678755001E-2</v>
      </c>
    </row>
    <row r="47" spans="2:5" ht="14.5" customHeight="1">
      <c r="B47" s="77" t="s">
        <v>114</v>
      </c>
      <c r="C47" s="64" t="s">
        <v>154</v>
      </c>
      <c r="D47" s="65">
        <v>17</v>
      </c>
      <c r="E47" s="66">
        <v>4.6704579796099998E-4</v>
      </c>
    </row>
    <row r="48" spans="2:5" ht="14.5" customHeight="1">
      <c r="B48" s="83"/>
      <c r="C48" s="64" t="s">
        <v>155</v>
      </c>
      <c r="D48" s="65">
        <v>19</v>
      </c>
      <c r="E48" s="66">
        <v>5.2199236242800003E-4</v>
      </c>
    </row>
    <row r="49" spans="2:5" ht="14.5" customHeight="1">
      <c r="B49" s="82" t="s">
        <v>163</v>
      </c>
      <c r="C49" s="59" t="s">
        <v>29</v>
      </c>
      <c r="D49" s="60">
        <v>36</v>
      </c>
      <c r="E49" s="61">
        <v>9.8903816038900007E-4</v>
      </c>
    </row>
    <row r="50" spans="2:5" ht="14.5" customHeight="1">
      <c r="B50" s="77" t="s">
        <v>115</v>
      </c>
      <c r="C50" s="64" t="s">
        <v>154</v>
      </c>
      <c r="D50" s="65">
        <v>52</v>
      </c>
      <c r="E50" s="66">
        <v>1.4286106761169999E-3</v>
      </c>
    </row>
    <row r="51" spans="2:5" ht="14.5" customHeight="1">
      <c r="B51" s="83"/>
      <c r="C51" s="64" t="s">
        <v>155</v>
      </c>
      <c r="D51" s="65">
        <v>73</v>
      </c>
      <c r="E51" s="66">
        <v>2.0055496030110002E-3</v>
      </c>
    </row>
    <row r="52" spans="2:5" ht="14.5" customHeight="1">
      <c r="B52" s="82" t="s">
        <v>164</v>
      </c>
      <c r="C52" s="59" t="s">
        <v>29</v>
      </c>
      <c r="D52" s="60">
        <v>125</v>
      </c>
      <c r="E52" s="61">
        <v>3.4341602791290002E-3</v>
      </c>
    </row>
    <row r="53" spans="2:5" ht="14.5" customHeight="1">
      <c r="B53" s="77" t="s">
        <v>116</v>
      </c>
      <c r="C53" s="64" t="s">
        <v>154</v>
      </c>
      <c r="D53" s="65">
        <v>2186</v>
      </c>
      <c r="E53" s="66">
        <v>6.0056594961399999E-2</v>
      </c>
    </row>
    <row r="54" spans="2:5" ht="14.5" customHeight="1">
      <c r="B54" s="83"/>
      <c r="C54" s="64" t="s">
        <v>155</v>
      </c>
      <c r="D54" s="65">
        <v>3255</v>
      </c>
      <c r="E54" s="66">
        <v>8.9425533668507001E-2</v>
      </c>
    </row>
    <row r="55" spans="2:5" ht="14.5" customHeight="1">
      <c r="B55" s="82" t="s">
        <v>165</v>
      </c>
      <c r="C55" s="59" t="s">
        <v>29</v>
      </c>
      <c r="D55" s="60">
        <v>5441</v>
      </c>
      <c r="E55" s="61">
        <v>0.14948212862990701</v>
      </c>
    </row>
    <row r="56" spans="2:5" ht="14.5" customHeight="1">
      <c r="B56" s="77" t="s">
        <v>117</v>
      </c>
      <c r="C56" s="64" t="s">
        <v>154</v>
      </c>
      <c r="D56" s="65">
        <v>381</v>
      </c>
      <c r="E56" s="66">
        <v>1.0467320530784001E-2</v>
      </c>
    </row>
    <row r="57" spans="2:5" ht="14.5" customHeight="1">
      <c r="B57" s="83"/>
      <c r="C57" s="64" t="s">
        <v>155</v>
      </c>
      <c r="D57" s="65">
        <v>518</v>
      </c>
      <c r="E57" s="66">
        <v>1.4231160196708999E-2</v>
      </c>
    </row>
    <row r="58" spans="2:5" ht="14.5" customHeight="1">
      <c r="B58" s="82" t="s">
        <v>166</v>
      </c>
      <c r="C58" s="59" t="s">
        <v>29</v>
      </c>
      <c r="D58" s="60">
        <v>899</v>
      </c>
      <c r="E58" s="61">
        <v>2.4698480727493002E-2</v>
      </c>
    </row>
    <row r="59" spans="2:5" ht="14.5" customHeight="1">
      <c r="B59" s="77" t="s">
        <v>118</v>
      </c>
      <c r="C59" s="64" t="s">
        <v>154</v>
      </c>
      <c r="D59" s="65">
        <v>28</v>
      </c>
      <c r="E59" s="66">
        <v>7.6925190252500003E-4</v>
      </c>
    </row>
    <row r="60" spans="2:5" ht="14.5" customHeight="1">
      <c r="B60" s="83"/>
      <c r="C60" s="64" t="s">
        <v>155</v>
      </c>
      <c r="D60" s="65">
        <v>42</v>
      </c>
      <c r="E60" s="66">
        <v>1.1538778537870001E-3</v>
      </c>
    </row>
    <row r="61" spans="2:5" ht="14.5" customHeight="1">
      <c r="B61" s="82" t="s">
        <v>167</v>
      </c>
      <c r="C61" s="59" t="s">
        <v>29</v>
      </c>
      <c r="D61" s="60">
        <v>70</v>
      </c>
      <c r="E61" s="61">
        <v>1.923129756312E-3</v>
      </c>
    </row>
    <row r="62" spans="2:5" ht="14.5" customHeight="1">
      <c r="B62" s="77" t="s">
        <v>119</v>
      </c>
      <c r="C62" s="64" t="s">
        <v>154</v>
      </c>
      <c r="D62" s="65">
        <v>130</v>
      </c>
      <c r="E62" s="66">
        <v>3.5715266902940001E-3</v>
      </c>
    </row>
    <row r="63" spans="2:5" ht="14.5" customHeight="1">
      <c r="B63" s="83"/>
      <c r="C63" s="64" t="s">
        <v>155</v>
      </c>
      <c r="D63" s="65">
        <v>190</v>
      </c>
      <c r="E63" s="66">
        <v>5.2199236242750002E-3</v>
      </c>
    </row>
    <row r="64" spans="2:5" ht="14.5" customHeight="1">
      <c r="B64" s="82" t="s">
        <v>168</v>
      </c>
      <c r="C64" s="59" t="s">
        <v>29</v>
      </c>
      <c r="D64" s="60">
        <v>320</v>
      </c>
      <c r="E64" s="61">
        <v>8.7914503145690003E-3</v>
      </c>
    </row>
    <row r="65" spans="2:5" ht="14.5" customHeight="1">
      <c r="B65" s="77" t="s">
        <v>120</v>
      </c>
      <c r="C65" s="64" t="s">
        <v>154</v>
      </c>
      <c r="D65" s="65">
        <v>68</v>
      </c>
      <c r="E65" s="66">
        <v>1.8681831918460001E-3</v>
      </c>
    </row>
    <row r="66" spans="2:5" ht="14.5" customHeight="1">
      <c r="B66" s="83"/>
      <c r="C66" s="64" t="s">
        <v>155</v>
      </c>
      <c r="D66" s="65">
        <v>118</v>
      </c>
      <c r="E66" s="66">
        <v>3.2418473034970001E-3</v>
      </c>
    </row>
    <row r="67" spans="2:5" ht="14.5" customHeight="1">
      <c r="B67" s="82" t="s">
        <v>169</v>
      </c>
      <c r="C67" s="59" t="s">
        <v>29</v>
      </c>
      <c r="D67" s="60">
        <v>186</v>
      </c>
      <c r="E67" s="61">
        <v>5.1100304953429999E-3</v>
      </c>
    </row>
    <row r="68" spans="2:5" ht="14.5" customHeight="1">
      <c r="B68" s="77" t="s">
        <v>121</v>
      </c>
      <c r="C68" s="64" t="s">
        <v>154</v>
      </c>
      <c r="D68" s="65">
        <v>33</v>
      </c>
      <c r="E68" s="66">
        <v>9.0661831368999996E-4</v>
      </c>
    </row>
    <row r="69" spans="2:5" ht="14.5" customHeight="1">
      <c r="B69" s="83"/>
      <c r="C69" s="64" t="s">
        <v>155</v>
      </c>
      <c r="D69" s="65">
        <v>74</v>
      </c>
      <c r="E69" s="66">
        <v>2.0330228852439998E-3</v>
      </c>
    </row>
    <row r="70" spans="2:5" ht="14.5" customHeight="1">
      <c r="B70" s="82" t="s">
        <v>170</v>
      </c>
      <c r="C70" s="59" t="s">
        <v>29</v>
      </c>
      <c r="D70" s="60">
        <v>107</v>
      </c>
      <c r="E70" s="61">
        <v>2.9396411989340001E-3</v>
      </c>
    </row>
    <row r="71" spans="2:5" ht="14.5" customHeight="1">
      <c r="B71" s="77" t="s">
        <v>122</v>
      </c>
      <c r="C71" s="64" t="s">
        <v>155</v>
      </c>
      <c r="D71" s="65">
        <v>1</v>
      </c>
      <c r="E71" s="66">
        <v>2.7473282233000001E-5</v>
      </c>
    </row>
    <row r="72" spans="2:5" ht="14.5" customHeight="1">
      <c r="B72" s="82"/>
      <c r="C72" s="59" t="s">
        <v>29</v>
      </c>
      <c r="D72" s="60">
        <v>1</v>
      </c>
      <c r="E72" s="61">
        <v>2.7473282233000001E-5</v>
      </c>
    </row>
    <row r="73" spans="2:5" ht="14.5" customHeight="1">
      <c r="B73" s="77" t="s">
        <v>123</v>
      </c>
      <c r="C73" s="64" t="s">
        <v>154</v>
      </c>
      <c r="D73" s="65">
        <v>24</v>
      </c>
      <c r="E73" s="66">
        <v>6.5935877359299996E-4</v>
      </c>
    </row>
    <row r="74" spans="2:5" ht="14.5" customHeight="1">
      <c r="B74" s="83"/>
      <c r="C74" s="64" t="s">
        <v>155</v>
      </c>
      <c r="D74" s="65">
        <v>52</v>
      </c>
      <c r="E74" s="66">
        <v>1.4286106761169999E-3</v>
      </c>
    </row>
    <row r="75" spans="2:5" ht="14.5" customHeight="1">
      <c r="B75" s="82" t="s">
        <v>171</v>
      </c>
      <c r="C75" s="59" t="s">
        <v>29</v>
      </c>
      <c r="D75" s="60">
        <v>76</v>
      </c>
      <c r="E75" s="61">
        <v>2.08796944971E-3</v>
      </c>
    </row>
    <row r="76" spans="2:5" ht="14.5" customHeight="1">
      <c r="B76" s="77" t="s">
        <v>124</v>
      </c>
      <c r="C76" s="64" t="s">
        <v>154</v>
      </c>
      <c r="D76" s="65">
        <v>36</v>
      </c>
      <c r="E76" s="66">
        <v>9.8903816038900007E-4</v>
      </c>
    </row>
    <row r="77" spans="2:5" ht="14.5" customHeight="1">
      <c r="B77" s="83"/>
      <c r="C77" s="64" t="s">
        <v>155</v>
      </c>
      <c r="D77" s="65">
        <v>45</v>
      </c>
      <c r="E77" s="66">
        <v>1.2362977004860001E-3</v>
      </c>
    </row>
    <row r="78" spans="2:5" ht="14.5" customHeight="1">
      <c r="B78" s="82" t="s">
        <v>172</v>
      </c>
      <c r="C78" s="59" t="s">
        <v>29</v>
      </c>
      <c r="D78" s="60">
        <v>81</v>
      </c>
      <c r="E78" s="61">
        <v>2.2253358608749999E-3</v>
      </c>
    </row>
    <row r="79" spans="2:5" ht="14.5" customHeight="1">
      <c r="B79" s="77" t="s">
        <v>125</v>
      </c>
      <c r="C79" s="64" t="s">
        <v>154</v>
      </c>
      <c r="D79" s="65">
        <v>153</v>
      </c>
      <c r="E79" s="66">
        <v>4.2034121816530001E-3</v>
      </c>
    </row>
    <row r="80" spans="2:5" ht="14.5" customHeight="1">
      <c r="B80" s="83"/>
      <c r="C80" s="64" t="s">
        <v>155</v>
      </c>
      <c r="D80" s="65">
        <v>204</v>
      </c>
      <c r="E80" s="66">
        <v>5.6045495755380004E-3</v>
      </c>
    </row>
    <row r="81" spans="2:5" ht="14.5" customHeight="1">
      <c r="B81" s="82" t="s">
        <v>173</v>
      </c>
      <c r="C81" s="59" t="s">
        <v>29</v>
      </c>
      <c r="D81" s="60">
        <v>357</v>
      </c>
      <c r="E81" s="61">
        <v>9.8079617571909996E-3</v>
      </c>
    </row>
    <row r="82" spans="2:5" ht="14.5" customHeight="1">
      <c r="B82" s="77" t="s">
        <v>126</v>
      </c>
      <c r="C82" s="64" t="s">
        <v>154</v>
      </c>
      <c r="D82" s="65">
        <v>184</v>
      </c>
      <c r="E82" s="66">
        <v>5.0550839308769998E-3</v>
      </c>
    </row>
    <row r="83" spans="2:5" ht="14.5" customHeight="1">
      <c r="B83" s="83"/>
      <c r="C83" s="64" t="s">
        <v>155</v>
      </c>
      <c r="D83" s="65">
        <v>314</v>
      </c>
      <c r="E83" s="66">
        <v>8.6266106211709999E-3</v>
      </c>
    </row>
    <row r="84" spans="2:5" ht="14.5" customHeight="1">
      <c r="B84" s="82" t="s">
        <v>174</v>
      </c>
      <c r="C84" s="59" t="s">
        <v>29</v>
      </c>
      <c r="D84" s="60">
        <v>498</v>
      </c>
      <c r="E84" s="61">
        <v>1.3681694552048001E-2</v>
      </c>
    </row>
    <row r="85" spans="2:5" ht="14.5" customHeight="1">
      <c r="B85" s="77" t="s">
        <v>127</v>
      </c>
      <c r="C85" s="64" t="s">
        <v>154</v>
      </c>
      <c r="D85" s="65">
        <v>29</v>
      </c>
      <c r="E85" s="66">
        <v>7.96725184758E-4</v>
      </c>
    </row>
    <row r="86" spans="2:5" ht="14.5" customHeight="1">
      <c r="B86" s="83"/>
      <c r="C86" s="64" t="s">
        <v>155</v>
      </c>
      <c r="D86" s="65">
        <v>66</v>
      </c>
      <c r="E86" s="66">
        <v>1.8132366273799999E-3</v>
      </c>
    </row>
    <row r="87" spans="2:5" ht="14.5" customHeight="1">
      <c r="B87" s="82" t="s">
        <v>175</v>
      </c>
      <c r="C87" s="59" t="s">
        <v>29</v>
      </c>
      <c r="D87" s="60">
        <v>95</v>
      </c>
      <c r="E87" s="61">
        <v>2.6099618121380001E-3</v>
      </c>
    </row>
    <row r="88" spans="2:5" ht="14.5" customHeight="1">
      <c r="B88" s="77" t="s">
        <v>128</v>
      </c>
      <c r="C88" s="64" t="s">
        <v>154</v>
      </c>
      <c r="D88" s="65">
        <v>116</v>
      </c>
      <c r="E88" s="66">
        <v>3.1869007390309999E-3</v>
      </c>
    </row>
    <row r="89" spans="2:5" ht="14.5" customHeight="1">
      <c r="B89" s="83"/>
      <c r="C89" s="64" t="s">
        <v>155</v>
      </c>
      <c r="D89" s="65">
        <v>180</v>
      </c>
      <c r="E89" s="66">
        <v>4.9451908019450003E-3</v>
      </c>
    </row>
    <row r="90" spans="2:5" ht="14.5" customHeight="1">
      <c r="B90" s="82" t="s">
        <v>176</v>
      </c>
      <c r="C90" s="59" t="s">
        <v>29</v>
      </c>
      <c r="D90" s="60">
        <v>296</v>
      </c>
      <c r="E90" s="61">
        <v>8.1320915409759994E-3</v>
      </c>
    </row>
    <row r="91" spans="2:5" ht="14.5" customHeight="1">
      <c r="B91" s="77" t="s">
        <v>129</v>
      </c>
      <c r="C91" s="64" t="s">
        <v>154</v>
      </c>
      <c r="D91" s="65">
        <v>1</v>
      </c>
      <c r="E91" s="66">
        <v>2.7473282233000001E-5</v>
      </c>
    </row>
    <row r="92" spans="2:5" ht="14.5" customHeight="1">
      <c r="B92" s="83"/>
      <c r="C92" s="64" t="s">
        <v>155</v>
      </c>
      <c r="D92" s="65">
        <v>5</v>
      </c>
      <c r="E92" s="66">
        <v>1.3736641116500001E-4</v>
      </c>
    </row>
    <row r="93" spans="2:5" ht="14.5" customHeight="1">
      <c r="B93" s="82" t="s">
        <v>177</v>
      </c>
      <c r="C93" s="59" t="s">
        <v>29</v>
      </c>
      <c r="D93" s="60">
        <v>6</v>
      </c>
      <c r="E93" s="61">
        <v>1.64839693398E-4</v>
      </c>
    </row>
    <row r="94" spans="2:5" ht="14.5" customHeight="1">
      <c r="B94" s="77" t="s">
        <v>130</v>
      </c>
      <c r="C94" s="64" t="s">
        <v>154</v>
      </c>
      <c r="D94" s="65">
        <v>56</v>
      </c>
      <c r="E94" s="66">
        <v>1.5385038050500001E-3</v>
      </c>
    </row>
    <row r="95" spans="2:5" ht="14.5" customHeight="1">
      <c r="B95" s="83"/>
      <c r="C95" s="64" t="s">
        <v>155</v>
      </c>
      <c r="D95" s="65">
        <v>87</v>
      </c>
      <c r="E95" s="66">
        <v>2.3901755542729999E-3</v>
      </c>
    </row>
    <row r="96" spans="2:5" ht="14.5" customHeight="1">
      <c r="B96" s="82" t="s">
        <v>178</v>
      </c>
      <c r="C96" s="59" t="s">
        <v>29</v>
      </c>
      <c r="D96" s="60">
        <v>143</v>
      </c>
      <c r="E96" s="61">
        <v>3.9286793593230002E-3</v>
      </c>
    </row>
    <row r="97" spans="2:5" ht="14.5" customHeight="1">
      <c r="B97" s="77" t="s">
        <v>131</v>
      </c>
      <c r="C97" s="64" t="s">
        <v>154</v>
      </c>
      <c r="D97" s="65">
        <v>464</v>
      </c>
      <c r="E97" s="66">
        <v>1.2747602956125001E-2</v>
      </c>
    </row>
    <row r="98" spans="2:5" ht="14.5" customHeight="1">
      <c r="B98" s="83"/>
      <c r="C98" s="64" t="s">
        <v>155</v>
      </c>
      <c r="D98" s="65">
        <v>596</v>
      </c>
      <c r="E98" s="66">
        <v>1.6374076210885002E-2</v>
      </c>
    </row>
    <row r="99" spans="2:5" ht="14.5" customHeight="1">
      <c r="B99" s="83"/>
      <c r="C99" s="64" t="s">
        <v>156</v>
      </c>
      <c r="D99" s="65">
        <v>1</v>
      </c>
      <c r="E99" s="66">
        <v>2.7473282233000001E-5</v>
      </c>
    </row>
    <row r="100" spans="2:5" ht="14.5" customHeight="1">
      <c r="B100" s="82"/>
      <c r="C100" s="59" t="s">
        <v>29</v>
      </c>
      <c r="D100" s="60">
        <v>1061</v>
      </c>
      <c r="E100" s="61">
        <v>2.9149152449243002E-2</v>
      </c>
    </row>
    <row r="101" spans="2:5" ht="14.5" customHeight="1">
      <c r="B101" s="77" t="s">
        <v>132</v>
      </c>
      <c r="C101" s="64" t="s">
        <v>154</v>
      </c>
      <c r="D101" s="65">
        <v>3</v>
      </c>
      <c r="E101" s="66">
        <v>8.2419846699E-5</v>
      </c>
    </row>
    <row r="102" spans="2:5" ht="14.5" customHeight="1">
      <c r="B102" s="83"/>
      <c r="C102" s="64" t="s">
        <v>155</v>
      </c>
      <c r="D102" s="65">
        <v>2</v>
      </c>
      <c r="E102" s="66">
        <v>5.4946564466000002E-5</v>
      </c>
    </row>
    <row r="103" spans="2:5" ht="14.5" customHeight="1">
      <c r="B103" s="82" t="s">
        <v>179</v>
      </c>
      <c r="C103" s="59" t="s">
        <v>29</v>
      </c>
      <c r="D103" s="60">
        <v>5</v>
      </c>
      <c r="E103" s="61">
        <v>1.3736641116500001E-4</v>
      </c>
    </row>
    <row r="104" spans="2:5" ht="14.5" customHeight="1">
      <c r="B104" s="77" t="s">
        <v>133</v>
      </c>
      <c r="C104" s="64" t="s">
        <v>154</v>
      </c>
      <c r="D104" s="65">
        <v>198</v>
      </c>
      <c r="E104" s="66">
        <v>5.43970988214E-3</v>
      </c>
    </row>
    <row r="105" spans="2:5" ht="14.5" customHeight="1">
      <c r="B105" s="83"/>
      <c r="C105" s="64" t="s">
        <v>155</v>
      </c>
      <c r="D105" s="65">
        <v>347</v>
      </c>
      <c r="E105" s="66">
        <v>9.5332289348610006E-3</v>
      </c>
    </row>
    <row r="106" spans="2:5" ht="14.5" customHeight="1">
      <c r="B106" s="83"/>
      <c r="C106" s="64" t="s">
        <v>156</v>
      </c>
      <c r="D106" s="65">
        <v>1</v>
      </c>
      <c r="E106" s="66">
        <v>2.7473282233000001E-5</v>
      </c>
    </row>
    <row r="107" spans="2:5" ht="14.5" customHeight="1">
      <c r="B107" s="82" t="s">
        <v>180</v>
      </c>
      <c r="C107" s="59" t="s">
        <v>29</v>
      </c>
      <c r="D107" s="60">
        <v>546</v>
      </c>
      <c r="E107" s="61">
        <v>1.5000412099233E-2</v>
      </c>
    </row>
    <row r="108" spans="2:5" ht="14.5" customHeight="1">
      <c r="B108" s="77" t="s">
        <v>134</v>
      </c>
      <c r="C108" s="64" t="s">
        <v>154</v>
      </c>
      <c r="D108" s="65">
        <v>37</v>
      </c>
      <c r="E108" s="66">
        <v>1.0165114426219999E-3</v>
      </c>
    </row>
    <row r="109" spans="2:5" ht="14.5" customHeight="1">
      <c r="B109" s="83"/>
      <c r="C109" s="64" t="s">
        <v>155</v>
      </c>
      <c r="D109" s="65">
        <v>55</v>
      </c>
      <c r="E109" s="66">
        <v>1.511030522817E-3</v>
      </c>
    </row>
    <row r="110" spans="2:5" ht="14.5" customHeight="1">
      <c r="B110" s="82" t="s">
        <v>181</v>
      </c>
      <c r="C110" s="59" t="s">
        <v>29</v>
      </c>
      <c r="D110" s="60">
        <v>92</v>
      </c>
      <c r="E110" s="61">
        <v>2.5275419654389999E-3</v>
      </c>
    </row>
    <row r="111" spans="2:5" ht="14.5" customHeight="1">
      <c r="B111" s="77" t="s">
        <v>135</v>
      </c>
      <c r="C111" s="64" t="s">
        <v>154</v>
      </c>
      <c r="D111" s="65">
        <v>275</v>
      </c>
      <c r="E111" s="66">
        <v>7.5551526140829996E-3</v>
      </c>
    </row>
    <row r="112" spans="2:5" ht="14.5" customHeight="1">
      <c r="B112" s="83"/>
      <c r="C112" s="64" t="s">
        <v>155</v>
      </c>
      <c r="D112" s="65">
        <v>556</v>
      </c>
      <c r="E112" s="66">
        <v>1.5275144921564E-2</v>
      </c>
    </row>
    <row r="113" spans="2:5" ht="14.5" customHeight="1">
      <c r="B113" s="82" t="s">
        <v>182</v>
      </c>
      <c r="C113" s="59" t="s">
        <v>29</v>
      </c>
      <c r="D113" s="60">
        <v>831</v>
      </c>
      <c r="E113" s="61">
        <v>2.2830297535646998E-2</v>
      </c>
    </row>
    <row r="114" spans="2:5" ht="14.5" customHeight="1">
      <c r="B114" s="77" t="s">
        <v>136</v>
      </c>
      <c r="C114" s="64" t="s">
        <v>154</v>
      </c>
      <c r="D114" s="65">
        <v>374</v>
      </c>
      <c r="E114" s="66">
        <v>1.0275007555152999E-2</v>
      </c>
    </row>
    <row r="115" spans="2:5" ht="14.5" customHeight="1">
      <c r="B115" s="83"/>
      <c r="C115" s="64" t="s">
        <v>155</v>
      </c>
      <c r="D115" s="65">
        <v>598</v>
      </c>
      <c r="E115" s="66">
        <v>1.6429022775351E-2</v>
      </c>
    </row>
    <row r="116" spans="2:5" ht="14.5" customHeight="1">
      <c r="B116" s="82" t="s">
        <v>183</v>
      </c>
      <c r="C116" s="59" t="s">
        <v>29</v>
      </c>
      <c r="D116" s="60">
        <v>972</v>
      </c>
      <c r="E116" s="61">
        <v>2.6704030330503999E-2</v>
      </c>
    </row>
    <row r="117" spans="2:5" ht="14.5" customHeight="1">
      <c r="B117" s="77" t="s">
        <v>137</v>
      </c>
      <c r="C117" s="64" t="s">
        <v>155</v>
      </c>
      <c r="D117" s="65">
        <v>4</v>
      </c>
      <c r="E117" s="66">
        <v>1.09893128932E-4</v>
      </c>
    </row>
    <row r="118" spans="2:5" ht="14.5" customHeight="1">
      <c r="B118" s="82"/>
      <c r="C118" s="59" t="s">
        <v>29</v>
      </c>
      <c r="D118" s="60">
        <v>4</v>
      </c>
      <c r="E118" s="61">
        <v>1.09893128932E-4</v>
      </c>
    </row>
    <row r="119" spans="2:5" ht="14.5" customHeight="1">
      <c r="B119" s="77" t="s">
        <v>138</v>
      </c>
      <c r="C119" s="64" t="s">
        <v>154</v>
      </c>
      <c r="D119" s="65">
        <v>107</v>
      </c>
      <c r="E119" s="66">
        <v>2.9396411989340001E-3</v>
      </c>
    </row>
    <row r="120" spans="2:5" ht="14.5" customHeight="1">
      <c r="B120" s="83"/>
      <c r="C120" s="64" t="s">
        <v>155</v>
      </c>
      <c r="D120" s="65">
        <v>177</v>
      </c>
      <c r="E120" s="66">
        <v>4.8627709552460001E-3</v>
      </c>
    </row>
    <row r="121" spans="2:5" ht="14.5" customHeight="1">
      <c r="B121" s="82" t="s">
        <v>184</v>
      </c>
      <c r="C121" s="59" t="s">
        <v>29</v>
      </c>
      <c r="D121" s="60">
        <v>284</v>
      </c>
      <c r="E121" s="61">
        <v>7.8024121541800003E-3</v>
      </c>
    </row>
    <row r="122" spans="2:5" ht="14.5" customHeight="1">
      <c r="B122" s="77" t="s">
        <v>139</v>
      </c>
      <c r="C122" s="64" t="s">
        <v>154</v>
      </c>
      <c r="D122" s="65">
        <v>195</v>
      </c>
      <c r="E122" s="66">
        <v>5.3572900354409998E-3</v>
      </c>
    </row>
    <row r="123" spans="2:5" ht="14.5" customHeight="1">
      <c r="B123" s="83"/>
      <c r="C123" s="64" t="s">
        <v>155</v>
      </c>
      <c r="D123" s="65">
        <v>313</v>
      </c>
      <c r="E123" s="66">
        <v>8.5991373389380007E-3</v>
      </c>
    </row>
    <row r="124" spans="2:5" ht="14.5" customHeight="1">
      <c r="B124" s="82" t="s">
        <v>185</v>
      </c>
      <c r="C124" s="59" t="s">
        <v>29</v>
      </c>
      <c r="D124" s="60">
        <v>508</v>
      </c>
      <c r="E124" s="61">
        <v>1.3956427374378E-2</v>
      </c>
    </row>
    <row r="125" spans="2:5" ht="14.5" customHeight="1">
      <c r="B125" s="77" t="s">
        <v>140</v>
      </c>
      <c r="C125" s="64" t="s">
        <v>154</v>
      </c>
      <c r="D125" s="65">
        <v>80</v>
      </c>
      <c r="E125" s="66">
        <v>2.1978625786419998E-3</v>
      </c>
    </row>
    <row r="126" spans="2:5" ht="14.5" customHeight="1">
      <c r="B126" s="83"/>
      <c r="C126" s="64" t="s">
        <v>155</v>
      </c>
      <c r="D126" s="65">
        <v>86</v>
      </c>
      <c r="E126" s="66">
        <v>2.3627022720399998E-3</v>
      </c>
    </row>
    <row r="127" spans="2:5" ht="14.5" customHeight="1">
      <c r="B127" s="82" t="s">
        <v>186</v>
      </c>
      <c r="C127" s="59" t="s">
        <v>29</v>
      </c>
      <c r="D127" s="60">
        <v>166</v>
      </c>
      <c r="E127" s="61">
        <v>4.5605648506830002E-3</v>
      </c>
    </row>
    <row r="128" spans="2:5" ht="14.5" customHeight="1">
      <c r="B128" s="77" t="s">
        <v>141</v>
      </c>
      <c r="C128" s="64" t="s">
        <v>154</v>
      </c>
      <c r="D128" s="65">
        <v>97</v>
      </c>
      <c r="E128" s="66">
        <v>2.6649083766039998E-3</v>
      </c>
    </row>
    <row r="129" spans="2:5" ht="14.5" customHeight="1">
      <c r="B129" s="83"/>
      <c r="C129" s="64" t="s">
        <v>155</v>
      </c>
      <c r="D129" s="65">
        <v>172</v>
      </c>
      <c r="E129" s="66">
        <v>4.7254045440809998E-3</v>
      </c>
    </row>
    <row r="130" spans="2:5" ht="14.5" customHeight="1">
      <c r="B130" s="82" t="s">
        <v>187</v>
      </c>
      <c r="C130" s="59" t="s">
        <v>29</v>
      </c>
      <c r="D130" s="60">
        <v>269</v>
      </c>
      <c r="E130" s="61">
        <v>7.390312920685E-3</v>
      </c>
    </row>
    <row r="131" spans="2:5" ht="14.5" customHeight="1">
      <c r="B131" s="77" t="s">
        <v>142</v>
      </c>
      <c r="C131" s="64" t="s">
        <v>154</v>
      </c>
      <c r="D131" s="65">
        <v>1</v>
      </c>
      <c r="E131" s="66">
        <v>2.7473282233000001E-5</v>
      </c>
    </row>
    <row r="132" spans="2:5" ht="14.5" customHeight="1">
      <c r="B132" s="83"/>
      <c r="C132" s="64" t="s">
        <v>155</v>
      </c>
      <c r="D132" s="65">
        <v>1</v>
      </c>
      <c r="E132" s="66">
        <v>2.7473282233000001E-5</v>
      </c>
    </row>
    <row r="133" spans="2:5" ht="14.5" customHeight="1">
      <c r="B133" s="82" t="s">
        <v>188</v>
      </c>
      <c r="C133" s="59" t="s">
        <v>29</v>
      </c>
      <c r="D133" s="60">
        <v>2</v>
      </c>
      <c r="E133" s="61">
        <v>5.4946564466000002E-5</v>
      </c>
    </row>
    <row r="134" spans="2:5" ht="14.5" customHeight="1">
      <c r="B134" s="77" t="s">
        <v>143</v>
      </c>
      <c r="C134" s="64" t="s">
        <v>154</v>
      </c>
      <c r="D134" s="65">
        <v>11</v>
      </c>
      <c r="E134" s="66">
        <v>3.0220610456299998E-4</v>
      </c>
    </row>
    <row r="135" spans="2:5" ht="14.5" customHeight="1">
      <c r="B135" s="83"/>
      <c r="C135" s="64" t="s">
        <v>155</v>
      </c>
      <c r="D135" s="65">
        <v>17</v>
      </c>
      <c r="E135" s="66">
        <v>4.6704579796099998E-4</v>
      </c>
    </row>
    <row r="136" spans="2:5" ht="14.5" customHeight="1">
      <c r="B136" s="82" t="s">
        <v>189</v>
      </c>
      <c r="C136" s="59" t="s">
        <v>29</v>
      </c>
      <c r="D136" s="60">
        <v>28</v>
      </c>
      <c r="E136" s="61">
        <v>7.6925190252500003E-4</v>
      </c>
    </row>
    <row r="137" spans="2:5" ht="14.5" customHeight="1">
      <c r="B137" s="77" t="s">
        <v>144</v>
      </c>
      <c r="C137" s="64" t="s">
        <v>154</v>
      </c>
      <c r="D137" s="65">
        <v>125</v>
      </c>
      <c r="E137" s="66">
        <v>3.4341602791290002E-3</v>
      </c>
    </row>
    <row r="138" spans="2:5" ht="14.5" customHeight="1">
      <c r="B138" s="83"/>
      <c r="C138" s="64" t="s">
        <v>155</v>
      </c>
      <c r="D138" s="65">
        <v>271</v>
      </c>
      <c r="E138" s="66">
        <v>7.4452594851510002E-3</v>
      </c>
    </row>
    <row r="139" spans="2:5" ht="14.5" customHeight="1">
      <c r="B139" s="82" t="s">
        <v>190</v>
      </c>
      <c r="C139" s="59" t="s">
        <v>29</v>
      </c>
      <c r="D139" s="60">
        <v>396</v>
      </c>
      <c r="E139" s="61">
        <v>1.0879419764279001E-2</v>
      </c>
    </row>
    <row r="140" spans="2:5" ht="14.5" customHeight="1">
      <c r="B140" s="77" t="s">
        <v>145</v>
      </c>
      <c r="C140" s="64" t="s">
        <v>154</v>
      </c>
      <c r="D140" s="65">
        <v>4</v>
      </c>
      <c r="E140" s="66">
        <v>1.09893128932E-4</v>
      </c>
    </row>
    <row r="141" spans="2:5" ht="14.5" customHeight="1">
      <c r="B141" s="83"/>
      <c r="C141" s="64" t="s">
        <v>155</v>
      </c>
      <c r="D141" s="65">
        <v>11</v>
      </c>
      <c r="E141" s="66">
        <v>3.0220610456299998E-4</v>
      </c>
    </row>
    <row r="142" spans="2:5" ht="14.5" customHeight="1">
      <c r="B142" s="82" t="s">
        <v>191</v>
      </c>
      <c r="C142" s="59" t="s">
        <v>29</v>
      </c>
      <c r="D142" s="60">
        <v>15</v>
      </c>
      <c r="E142" s="61">
        <v>4.12099233495E-4</v>
      </c>
    </row>
    <row r="143" spans="2:5" ht="14.5" customHeight="1">
      <c r="B143" s="77" t="s">
        <v>146</v>
      </c>
      <c r="C143" s="64" t="s">
        <v>154</v>
      </c>
      <c r="D143" s="65">
        <v>141</v>
      </c>
      <c r="E143" s="66">
        <v>3.8737327948570001E-3</v>
      </c>
    </row>
    <row r="144" spans="2:5" ht="14.5" customHeight="1">
      <c r="B144" s="83"/>
      <c r="C144" s="64" t="s">
        <v>155</v>
      </c>
      <c r="D144" s="65">
        <v>285</v>
      </c>
      <c r="E144" s="66">
        <v>7.8298854364129995E-3</v>
      </c>
    </row>
    <row r="145" spans="2:5" ht="14.5" customHeight="1">
      <c r="B145" s="82" t="s">
        <v>192</v>
      </c>
      <c r="C145" s="59" t="s">
        <v>29</v>
      </c>
      <c r="D145" s="60">
        <v>426</v>
      </c>
      <c r="E145" s="61">
        <v>1.170361823127E-2</v>
      </c>
    </row>
    <row r="146" spans="2:5" ht="14.5" customHeight="1">
      <c r="B146" s="77" t="s">
        <v>147</v>
      </c>
      <c r="C146" s="64" t="s">
        <v>154</v>
      </c>
      <c r="D146" s="65">
        <v>2853</v>
      </c>
      <c r="E146" s="66">
        <v>7.8381274210829993E-2</v>
      </c>
    </row>
    <row r="147" spans="2:5" ht="14.5" customHeight="1">
      <c r="B147" s="83"/>
      <c r="C147" s="64" t="s">
        <v>155</v>
      </c>
      <c r="D147" s="65">
        <v>4047</v>
      </c>
      <c r="E147" s="66">
        <v>0.11118437319706601</v>
      </c>
    </row>
    <row r="148" spans="2:5" ht="14.5" customHeight="1">
      <c r="B148" s="83"/>
      <c r="C148" s="64" t="s">
        <v>156</v>
      </c>
      <c r="D148" s="65">
        <v>1</v>
      </c>
      <c r="E148" s="66">
        <v>2.7473282233000001E-5</v>
      </c>
    </row>
    <row r="149" spans="2:5" ht="14.5" customHeight="1">
      <c r="B149" s="82"/>
      <c r="C149" s="59" t="s">
        <v>29</v>
      </c>
      <c r="D149" s="60">
        <v>6901</v>
      </c>
      <c r="E149" s="61">
        <v>0.18959312069012901</v>
      </c>
    </row>
    <row r="150" spans="2:5" ht="14.5" customHeight="1">
      <c r="B150" s="77" t="s">
        <v>148</v>
      </c>
      <c r="C150" s="64" t="s">
        <v>154</v>
      </c>
      <c r="D150" s="65">
        <v>129</v>
      </c>
      <c r="E150" s="66">
        <v>3.5440534080610001E-3</v>
      </c>
    </row>
    <row r="151" spans="2:5" ht="14.5" customHeight="1">
      <c r="B151" s="83"/>
      <c r="C151" s="64" t="s">
        <v>155</v>
      </c>
      <c r="D151" s="65">
        <v>153</v>
      </c>
      <c r="E151" s="66">
        <v>4.2034121816530001E-3</v>
      </c>
    </row>
    <row r="152" spans="2:5" ht="14.5" customHeight="1">
      <c r="B152" s="82" t="s">
        <v>193</v>
      </c>
      <c r="C152" s="59" t="s">
        <v>29</v>
      </c>
      <c r="D152" s="60">
        <v>282</v>
      </c>
      <c r="E152" s="61">
        <v>7.7474655897140001E-3</v>
      </c>
    </row>
    <row r="153" spans="2:5" ht="14.5" customHeight="1">
      <c r="B153" s="77" t="s">
        <v>149</v>
      </c>
      <c r="C153" s="64" t="s">
        <v>154</v>
      </c>
      <c r="D153" s="65">
        <v>1</v>
      </c>
      <c r="E153" s="66">
        <v>2.7473282233000001E-5</v>
      </c>
    </row>
    <row r="154" spans="2:5" ht="14.5" customHeight="1">
      <c r="B154" s="83"/>
      <c r="C154" s="64" t="s">
        <v>155</v>
      </c>
      <c r="D154" s="65">
        <v>1</v>
      </c>
      <c r="E154" s="66">
        <v>2.7473282233000001E-5</v>
      </c>
    </row>
    <row r="155" spans="2:5" ht="14.5" customHeight="1">
      <c r="B155" s="82" t="s">
        <v>194</v>
      </c>
      <c r="C155" s="59" t="s">
        <v>29</v>
      </c>
      <c r="D155" s="60">
        <v>2</v>
      </c>
      <c r="E155" s="61">
        <v>5.4946564466000002E-5</v>
      </c>
    </row>
    <row r="156" spans="2:5" ht="14.5" customHeight="1">
      <c r="B156" s="77" t="s">
        <v>150</v>
      </c>
      <c r="C156" s="64" t="s">
        <v>154</v>
      </c>
      <c r="D156" s="65">
        <v>69</v>
      </c>
      <c r="E156" s="66">
        <v>1.8956564740789999E-3</v>
      </c>
    </row>
    <row r="157" spans="2:5" ht="14.5" customHeight="1">
      <c r="B157" s="83"/>
      <c r="C157" s="64" t="s">
        <v>155</v>
      </c>
      <c r="D157" s="65">
        <v>116</v>
      </c>
      <c r="E157" s="66">
        <v>3.1869007390309999E-3</v>
      </c>
    </row>
    <row r="158" spans="2:5" ht="14.5" customHeight="1">
      <c r="B158" s="82" t="s">
        <v>195</v>
      </c>
      <c r="C158" s="59" t="s">
        <v>29</v>
      </c>
      <c r="D158" s="60">
        <v>185</v>
      </c>
      <c r="E158" s="61">
        <v>5.0825572131099998E-3</v>
      </c>
    </row>
    <row r="159" spans="2:5" ht="14.5" customHeight="1">
      <c r="B159" s="77" t="s">
        <v>82</v>
      </c>
      <c r="C159" s="64" t="s">
        <v>154</v>
      </c>
      <c r="D159" s="65">
        <v>77</v>
      </c>
      <c r="E159" s="66">
        <v>2.1154427319430001E-3</v>
      </c>
    </row>
    <row r="160" spans="2:5" ht="14.5" customHeight="1">
      <c r="B160" s="83"/>
      <c r="C160" s="64" t="s">
        <v>155</v>
      </c>
      <c r="D160" s="65">
        <v>113</v>
      </c>
      <c r="E160" s="66">
        <v>3.1044808923320001E-3</v>
      </c>
    </row>
    <row r="161" spans="2:5" ht="14.5" customHeight="1">
      <c r="B161" s="82" t="s">
        <v>196</v>
      </c>
      <c r="C161" s="59" t="s">
        <v>29</v>
      </c>
      <c r="D161" s="60">
        <v>190</v>
      </c>
      <c r="E161" s="61">
        <v>5.2199236242750002E-3</v>
      </c>
    </row>
    <row r="162" spans="2:5" ht="14.5" customHeight="1">
      <c r="B162" s="77" t="s">
        <v>151</v>
      </c>
      <c r="C162" s="64" t="s">
        <v>154</v>
      </c>
      <c r="D162" s="65">
        <v>1</v>
      </c>
      <c r="E162" s="66">
        <v>2.7473282233000001E-5</v>
      </c>
    </row>
    <row r="163" spans="2:5" ht="14.5" customHeight="1">
      <c r="B163" s="83"/>
      <c r="C163" s="64" t="s">
        <v>155</v>
      </c>
      <c r="D163" s="65">
        <v>5</v>
      </c>
      <c r="E163" s="66">
        <v>1.3736641116500001E-4</v>
      </c>
    </row>
    <row r="164" spans="2:5" ht="14.5" customHeight="1">
      <c r="B164" s="82" t="s">
        <v>197</v>
      </c>
      <c r="C164" s="59" t="s">
        <v>29</v>
      </c>
      <c r="D164" s="60">
        <v>6</v>
      </c>
      <c r="E164" s="61">
        <v>1.64839693398E-4</v>
      </c>
    </row>
    <row r="165" spans="2:5" ht="14.5" customHeight="1">
      <c r="B165" s="77" t="s">
        <v>152</v>
      </c>
      <c r="C165" s="64" t="s">
        <v>154</v>
      </c>
      <c r="D165" s="65">
        <v>142</v>
      </c>
      <c r="E165" s="66">
        <v>3.9012060770900001E-3</v>
      </c>
    </row>
    <row r="166" spans="2:5" ht="14.5" customHeight="1">
      <c r="B166" s="83"/>
      <c r="C166" s="64" t="s">
        <v>155</v>
      </c>
      <c r="D166" s="65">
        <v>216</v>
      </c>
      <c r="E166" s="66">
        <v>5.9342289623340004E-3</v>
      </c>
    </row>
    <row r="167" spans="2:5" ht="14.5" customHeight="1">
      <c r="B167" s="82" t="s">
        <v>198</v>
      </c>
      <c r="C167" s="59" t="s">
        <v>29</v>
      </c>
      <c r="D167" s="60">
        <v>358</v>
      </c>
      <c r="E167" s="61">
        <v>9.8354350394240005E-3</v>
      </c>
    </row>
    <row r="168" spans="2:5" ht="14.5" customHeight="1">
      <c r="B168" s="77" t="s">
        <v>153</v>
      </c>
      <c r="C168" s="64" t="s">
        <v>154</v>
      </c>
      <c r="D168" s="65">
        <v>10</v>
      </c>
      <c r="E168" s="66">
        <v>2.7473282233000002E-4</v>
      </c>
    </row>
    <row r="169" spans="2:5" ht="14.5" customHeight="1">
      <c r="B169" s="83"/>
      <c r="C169" s="64" t="s">
        <v>155</v>
      </c>
      <c r="D169" s="65">
        <v>19</v>
      </c>
      <c r="E169" s="66">
        <v>5.2199236242800003E-4</v>
      </c>
    </row>
    <row r="170" spans="2:5" ht="14.5" customHeight="1">
      <c r="B170" s="82" t="s">
        <v>199</v>
      </c>
      <c r="C170" s="59" t="s">
        <v>29</v>
      </c>
      <c r="D170" s="60">
        <v>29</v>
      </c>
      <c r="E170" s="61">
        <v>7.96725184758E-4</v>
      </c>
    </row>
    <row r="171" spans="2:5" ht="14.5" customHeight="1">
      <c r="B171" s="92" t="s">
        <v>29</v>
      </c>
      <c r="C171" s="93"/>
      <c r="D171" s="57">
        <v>36399</v>
      </c>
      <c r="E171" s="58">
        <v>1</v>
      </c>
    </row>
    <row r="172" spans="2:5" ht="14.5" customHeight="1"/>
    <row r="173" spans="2:5" ht="14.5" customHeight="1">
      <c r="B173" s="15" t="s">
        <v>47</v>
      </c>
    </row>
    <row r="174" spans="2:5" ht="14.5" customHeight="1">
      <c r="B174" s="17" t="s">
        <v>17</v>
      </c>
    </row>
    <row r="175" spans="2:5" ht="14.5" customHeight="1">
      <c r="B175" s="16" t="s">
        <v>48</v>
      </c>
    </row>
    <row r="176" spans="2:5" ht="14.5" customHeight="1">
      <c r="B176" s="15" t="s">
        <v>16</v>
      </c>
    </row>
    <row r="177" spans="2:2" ht="14.5" customHeight="1">
      <c r="B177" s="15" t="s">
        <v>49</v>
      </c>
    </row>
  </sheetData>
  <mergeCells count="54">
    <mergeCell ref="B150:B152"/>
    <mergeCell ref="B153:B155"/>
    <mergeCell ref="B119:B121"/>
    <mergeCell ref="B122:B124"/>
    <mergeCell ref="B125:B127"/>
    <mergeCell ref="B143:B145"/>
    <mergeCell ref="B146:B149"/>
    <mergeCell ref="B134:B136"/>
    <mergeCell ref="B137:B139"/>
    <mergeCell ref="B140:B142"/>
    <mergeCell ref="B128:B130"/>
    <mergeCell ref="B131:B133"/>
    <mergeCell ref="B101:B103"/>
    <mergeCell ref="B50:B52"/>
    <mergeCell ref="B53:B55"/>
    <mergeCell ref="B56:B58"/>
    <mergeCell ref="B59:B61"/>
    <mergeCell ref="B62:B64"/>
    <mergeCell ref="B85:B87"/>
    <mergeCell ref="B88:B90"/>
    <mergeCell ref="B91:B93"/>
    <mergeCell ref="B94:B96"/>
    <mergeCell ref="B97:B100"/>
    <mergeCell ref="B41:B43"/>
    <mergeCell ref="B44:B46"/>
    <mergeCell ref="B47:B49"/>
    <mergeCell ref="B79:B81"/>
    <mergeCell ref="B82:B84"/>
    <mergeCell ref="B65:B67"/>
    <mergeCell ref="B68:B70"/>
    <mergeCell ref="B71:B72"/>
    <mergeCell ref="B73:B75"/>
    <mergeCell ref="B76:B78"/>
    <mergeCell ref="B25:B28"/>
    <mergeCell ref="B29:B31"/>
    <mergeCell ref="B32:B34"/>
    <mergeCell ref="B35:B37"/>
    <mergeCell ref="B38:B40"/>
    <mergeCell ref="B8:E10"/>
    <mergeCell ref="B13:B15"/>
    <mergeCell ref="B16:B18"/>
    <mergeCell ref="B19:B21"/>
    <mergeCell ref="B22:B24"/>
    <mergeCell ref="B104:B107"/>
    <mergeCell ref="B108:B110"/>
    <mergeCell ref="B111:B113"/>
    <mergeCell ref="B114:B116"/>
    <mergeCell ref="B117:B118"/>
    <mergeCell ref="B171:C171"/>
    <mergeCell ref="B156:B158"/>
    <mergeCell ref="B159:B161"/>
    <mergeCell ref="B162:B164"/>
    <mergeCell ref="B165:B167"/>
    <mergeCell ref="B168:B170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1:G37"/>
  <sheetViews>
    <sheetView showGridLines="0" view="pageBreakPreview" topLeftCell="A15" zoomScaleNormal="100" zoomScaleSheetLayoutView="100" workbookViewId="0">
      <selection activeCell="I12" sqref="I12"/>
    </sheetView>
  </sheetViews>
  <sheetFormatPr baseColWidth="10" defaultColWidth="11.453125" defaultRowHeight="10"/>
  <cols>
    <col min="1" max="1" width="5.7265625" style="25" customWidth="1"/>
    <col min="2" max="2" width="21.453125" style="41" customWidth="1"/>
    <col min="3" max="3" width="26.1796875" style="41" customWidth="1"/>
    <col min="4" max="5" width="14.7265625" style="44" customWidth="1"/>
    <col min="6" max="6" width="14.7265625" style="41" customWidth="1"/>
    <col min="7" max="7" width="5.7265625" style="25" customWidth="1"/>
    <col min="8" max="8" width="11.453125" style="25" customWidth="1"/>
    <col min="9" max="16384" width="11.453125" style="25"/>
  </cols>
  <sheetData>
    <row r="1" spans="2:7" s="13" customFormat="1" ht="14.5">
      <c r="B1" s="41"/>
      <c r="C1" s="41"/>
    </row>
    <row r="2" spans="2:7" s="41" customFormat="1">
      <c r="B2" s="50"/>
    </row>
    <row r="3" spans="2:7" ht="15" customHeight="1">
      <c r="B3" s="51"/>
      <c r="C3" s="31"/>
      <c r="D3" s="25"/>
      <c r="E3" s="25"/>
      <c r="G3" s="41"/>
    </row>
    <row r="4" spans="2:7" ht="30" customHeight="1">
      <c r="B4" s="51"/>
      <c r="C4" s="31"/>
      <c r="D4" s="25"/>
      <c r="E4" s="25"/>
      <c r="G4" s="41"/>
    </row>
    <row r="5" spans="2:7" ht="15" customHeight="1">
      <c r="B5" s="51"/>
      <c r="C5" s="31"/>
      <c r="D5" s="25"/>
      <c r="E5" s="25"/>
      <c r="G5" s="41"/>
    </row>
    <row r="6" spans="2:7" s="41" customFormat="1" ht="10.5">
      <c r="B6" s="43"/>
      <c r="C6" s="37"/>
    </row>
    <row r="7" spans="2:7" s="41" customFormat="1">
      <c r="B7" s="50"/>
    </row>
    <row r="8" spans="2:7" s="13" customFormat="1" ht="15" customHeight="1">
      <c r="B8" s="76" t="s">
        <v>43</v>
      </c>
      <c r="C8" s="76"/>
      <c r="D8" s="76"/>
      <c r="E8" s="76"/>
      <c r="F8" s="76"/>
    </row>
    <row r="9" spans="2:7" s="13" customFormat="1" ht="15" customHeight="1">
      <c r="B9" s="76"/>
      <c r="C9" s="76"/>
      <c r="D9" s="76"/>
      <c r="E9" s="76"/>
      <c r="F9" s="76"/>
      <c r="G9" s="49"/>
    </row>
    <row r="10" spans="2:7" s="13" customFormat="1" ht="15" customHeight="1">
      <c r="B10" s="76"/>
      <c r="C10" s="76"/>
      <c r="D10" s="76"/>
      <c r="E10" s="76"/>
      <c r="F10" s="76"/>
    </row>
    <row r="11" spans="2:7" s="13" customFormat="1" ht="15" customHeight="1">
      <c r="B11" s="52"/>
      <c r="C11" s="52"/>
      <c r="D11" s="52"/>
      <c r="E11" s="52"/>
      <c r="F11" s="52"/>
    </row>
    <row r="12" spans="2:7" s="13" customFormat="1" ht="65.150000000000006" customHeight="1">
      <c r="B12" s="56" t="s">
        <v>30</v>
      </c>
      <c r="C12" s="56" t="s">
        <v>33</v>
      </c>
      <c r="D12" s="56" t="s">
        <v>19</v>
      </c>
      <c r="E12" s="56" t="s">
        <v>32</v>
      </c>
      <c r="F12" s="56" t="s">
        <v>31</v>
      </c>
    </row>
    <row r="13" spans="2:7" ht="14.5" customHeight="1">
      <c r="B13" s="77" t="s">
        <v>154</v>
      </c>
      <c r="C13" s="64" t="s">
        <v>253</v>
      </c>
      <c r="D13" s="65">
        <v>18</v>
      </c>
      <c r="E13" s="66">
        <v>1.185614543538E-3</v>
      </c>
      <c r="F13" s="66">
        <v>4.9451908019499996E-4</v>
      </c>
    </row>
    <row r="14" spans="2:7" ht="14.5" customHeight="1">
      <c r="B14" s="83"/>
      <c r="C14" s="64" t="s">
        <v>254</v>
      </c>
      <c r="D14" s="65">
        <v>1327</v>
      </c>
      <c r="E14" s="66">
        <v>8.7406138848637002E-2</v>
      </c>
      <c r="F14" s="66">
        <v>3.6457045523229002E-2</v>
      </c>
    </row>
    <row r="15" spans="2:7" ht="14.5" customHeight="1">
      <c r="B15" s="83"/>
      <c r="C15" s="64" t="s">
        <v>255</v>
      </c>
      <c r="D15" s="65">
        <v>2754</v>
      </c>
      <c r="E15" s="66">
        <v>0.18139902516137499</v>
      </c>
      <c r="F15" s="66">
        <v>7.566141926976E-2</v>
      </c>
    </row>
    <row r="16" spans="2:7" ht="14.5" customHeight="1">
      <c r="B16" s="83"/>
      <c r="C16" s="64" t="s">
        <v>256</v>
      </c>
      <c r="D16" s="65">
        <v>5325</v>
      </c>
      <c r="E16" s="66">
        <v>0.35074430246344401</v>
      </c>
      <c r="F16" s="66">
        <v>0.14629522789087601</v>
      </c>
    </row>
    <row r="17" spans="2:6" ht="14.5" customHeight="1">
      <c r="B17" s="83"/>
      <c r="C17" s="64" t="s">
        <v>257</v>
      </c>
      <c r="D17" s="65">
        <v>5174</v>
      </c>
      <c r="E17" s="66">
        <v>0.34079831379264902</v>
      </c>
      <c r="F17" s="66">
        <v>0.142146762273689</v>
      </c>
    </row>
    <row r="18" spans="2:6" ht="14.5" customHeight="1">
      <c r="B18" s="83"/>
      <c r="C18" s="64" t="s">
        <v>258</v>
      </c>
      <c r="D18" s="65">
        <v>490</v>
      </c>
      <c r="E18" s="66">
        <v>3.2275062574101003E-2</v>
      </c>
      <c r="F18" s="66">
        <v>1.3461908294184E-2</v>
      </c>
    </row>
    <row r="19" spans="2:6" ht="14.5" customHeight="1">
      <c r="B19" s="83"/>
      <c r="C19" s="64" t="s">
        <v>259</v>
      </c>
      <c r="D19" s="65">
        <v>7</v>
      </c>
      <c r="E19" s="66">
        <v>4.6107232248699997E-4</v>
      </c>
      <c r="F19" s="66">
        <v>1.9231297563099999E-4</v>
      </c>
    </row>
    <row r="20" spans="2:6" ht="14.5" customHeight="1">
      <c r="B20" s="82"/>
      <c r="C20" s="64" t="s">
        <v>260</v>
      </c>
      <c r="D20" s="65">
        <v>87</v>
      </c>
      <c r="E20" s="66">
        <v>5.7304702937690001E-3</v>
      </c>
      <c r="F20" s="66">
        <v>2.3901755542729999E-3</v>
      </c>
    </row>
    <row r="21" spans="2:6" ht="14.5" customHeight="1">
      <c r="B21" s="77" t="s">
        <v>155</v>
      </c>
      <c r="C21" s="64" t="s">
        <v>253</v>
      </c>
      <c r="D21" s="65">
        <v>27</v>
      </c>
      <c r="E21" s="66">
        <v>1.2728044123889999E-3</v>
      </c>
      <c r="F21" s="66">
        <v>7.4177862029199996E-4</v>
      </c>
    </row>
    <row r="22" spans="2:6" ht="14.5" customHeight="1">
      <c r="B22" s="83"/>
      <c r="C22" s="64" t="s">
        <v>254</v>
      </c>
      <c r="D22" s="65">
        <v>2204</v>
      </c>
      <c r="E22" s="66">
        <v>0.103898552774242</v>
      </c>
      <c r="F22" s="66">
        <v>6.0551114041595001E-2</v>
      </c>
    </row>
    <row r="23" spans="2:6" ht="14.5" customHeight="1">
      <c r="B23" s="83"/>
      <c r="C23" s="64" t="s">
        <v>255</v>
      </c>
      <c r="D23" s="65">
        <v>4454</v>
      </c>
      <c r="E23" s="66">
        <v>0.209965587139961</v>
      </c>
      <c r="F23" s="66">
        <v>0.122365999065908</v>
      </c>
    </row>
    <row r="24" spans="2:6" ht="14.5" customHeight="1">
      <c r="B24" s="83"/>
      <c r="C24" s="64" t="s">
        <v>256</v>
      </c>
      <c r="D24" s="65">
        <v>7384</v>
      </c>
      <c r="E24" s="66">
        <v>0.34808843633620901</v>
      </c>
      <c r="F24" s="66">
        <v>0.202862716008682</v>
      </c>
    </row>
    <row r="25" spans="2:6" ht="14.5" customHeight="1">
      <c r="B25" s="83"/>
      <c r="C25" s="64" t="s">
        <v>257</v>
      </c>
      <c r="D25" s="65">
        <v>6533</v>
      </c>
      <c r="E25" s="66">
        <v>0.30797152689388602</v>
      </c>
      <c r="F25" s="66">
        <v>0.17948295282837401</v>
      </c>
    </row>
    <row r="26" spans="2:6" ht="14.5" customHeight="1">
      <c r="B26" s="83"/>
      <c r="C26" s="64" t="s">
        <v>258</v>
      </c>
      <c r="D26" s="65">
        <v>546</v>
      </c>
      <c r="E26" s="66">
        <v>2.5738933672748002E-2</v>
      </c>
      <c r="F26" s="66">
        <v>1.5000412099233E-2</v>
      </c>
    </row>
    <row r="27" spans="2:6" ht="14.5" customHeight="1">
      <c r="B27" s="83"/>
      <c r="C27" s="64" t="s">
        <v>259</v>
      </c>
      <c r="D27" s="65">
        <v>4</v>
      </c>
      <c r="E27" s="66">
        <v>1.8856361664999999E-4</v>
      </c>
      <c r="F27" s="66">
        <v>1.09893128932E-4</v>
      </c>
    </row>
    <row r="28" spans="2:6" ht="14.5" customHeight="1">
      <c r="B28" s="82"/>
      <c r="C28" s="64" t="s">
        <v>260</v>
      </c>
      <c r="D28" s="65">
        <v>61</v>
      </c>
      <c r="E28" s="66">
        <v>2.875595153915E-3</v>
      </c>
      <c r="F28" s="66">
        <v>1.675870216215E-3</v>
      </c>
    </row>
    <row r="29" spans="2:6" ht="14.5" customHeight="1">
      <c r="B29" s="77" t="s">
        <v>156</v>
      </c>
      <c r="C29" s="64" t="s">
        <v>256</v>
      </c>
      <c r="D29" s="65">
        <v>1</v>
      </c>
      <c r="E29" s="66">
        <v>0.25</v>
      </c>
      <c r="F29" s="66">
        <v>2.7473282233000001E-5</v>
      </c>
    </row>
    <row r="30" spans="2:6" ht="14.5" customHeight="1">
      <c r="B30" s="82"/>
      <c r="C30" s="64" t="s">
        <v>257</v>
      </c>
      <c r="D30" s="65">
        <v>3</v>
      </c>
      <c r="E30" s="66">
        <v>0.75</v>
      </c>
      <c r="F30" s="66">
        <v>8.2419846699E-5</v>
      </c>
    </row>
    <row r="31" spans="2:6" ht="14.5" customHeight="1">
      <c r="B31" s="88" t="s">
        <v>29</v>
      </c>
      <c r="C31" s="89"/>
      <c r="D31" s="57">
        <v>36399</v>
      </c>
      <c r="E31" s="58">
        <v>1</v>
      </c>
      <c r="F31" s="58">
        <v>1</v>
      </c>
    </row>
    <row r="32" spans="2:6" ht="14.5" customHeight="1"/>
    <row r="33" spans="2:2" ht="14.5" customHeight="1">
      <c r="B33" s="15" t="s">
        <v>47</v>
      </c>
    </row>
    <row r="34" spans="2:2" ht="14.5" customHeight="1">
      <c r="B34" s="17" t="s">
        <v>17</v>
      </c>
    </row>
    <row r="35" spans="2:2" ht="14.5" customHeight="1">
      <c r="B35" s="16" t="s">
        <v>48</v>
      </c>
    </row>
    <row r="36" spans="2:2" ht="14.5" customHeight="1">
      <c r="B36" s="15" t="s">
        <v>16</v>
      </c>
    </row>
    <row r="37" spans="2:2" ht="14.5" customHeight="1">
      <c r="B37" s="15" t="s">
        <v>49</v>
      </c>
    </row>
  </sheetData>
  <mergeCells count="5">
    <mergeCell ref="B13:B20"/>
    <mergeCell ref="B21:B28"/>
    <mergeCell ref="B8:F10"/>
    <mergeCell ref="B29:B30"/>
    <mergeCell ref="B31:C31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B1:D85"/>
  <sheetViews>
    <sheetView showGridLines="0" view="pageBreakPreview" zoomScale="115" zoomScaleNormal="100" zoomScaleSheetLayoutView="115" workbookViewId="0">
      <selection activeCell="B7" sqref="B7:D9"/>
    </sheetView>
  </sheetViews>
  <sheetFormatPr baseColWidth="10" defaultColWidth="11.453125" defaultRowHeight="14.5"/>
  <cols>
    <col min="1" max="1" width="9.26953125" style="13" customWidth="1"/>
    <col min="2" max="2" width="49.453125" style="13" customWidth="1"/>
    <col min="3" max="3" width="17.7265625" style="14" customWidth="1"/>
    <col min="4" max="4" width="17.7265625" style="13" customWidth="1"/>
    <col min="5" max="5" width="9.26953125" style="13" customWidth="1"/>
    <col min="6" max="6" width="5.7265625" style="13" customWidth="1"/>
    <col min="7" max="16384" width="11.453125" style="13"/>
  </cols>
  <sheetData>
    <row r="1" spans="2:4" s="25" customFormat="1" ht="15" customHeight="1">
      <c r="C1" s="31"/>
    </row>
    <row r="2" spans="2:4" s="25" customFormat="1" ht="15" customHeight="1">
      <c r="C2" s="31"/>
    </row>
    <row r="3" spans="2:4" s="25" customFormat="1" ht="15" customHeight="1">
      <c r="C3" s="31"/>
    </row>
    <row r="4" spans="2:4" s="25" customFormat="1" ht="30" customHeight="1">
      <c r="C4" s="31"/>
      <c r="D4" s="30"/>
    </row>
    <row r="5" spans="2:4" s="25" customFormat="1" ht="15" customHeight="1">
      <c r="C5" s="31"/>
      <c r="D5" s="30"/>
    </row>
    <row r="6" spans="2:4" s="25" customFormat="1" ht="15" customHeight="1">
      <c r="C6" s="31"/>
      <c r="D6" s="30"/>
    </row>
    <row r="7" spans="2:4" s="25" customFormat="1" ht="15" customHeight="1">
      <c r="B7" s="76" t="s">
        <v>374</v>
      </c>
      <c r="C7" s="76"/>
      <c r="D7" s="76"/>
    </row>
    <row r="8" spans="2:4" s="25" customFormat="1" ht="15" customHeight="1">
      <c r="B8" s="76"/>
      <c r="C8" s="76"/>
      <c r="D8" s="76"/>
    </row>
    <row r="9" spans="2:4" s="25" customFormat="1" ht="33" customHeight="1">
      <c r="B9" s="76"/>
      <c r="C9" s="76"/>
      <c r="D9" s="76"/>
    </row>
    <row r="10" spans="2:4" s="25" customFormat="1" ht="12.5" customHeight="1">
      <c r="B10" s="29"/>
      <c r="C10" s="29"/>
      <c r="D10" s="29"/>
    </row>
    <row r="11" spans="2:4" s="25" customFormat="1" ht="33" customHeight="1">
      <c r="B11" s="28" t="s">
        <v>34</v>
      </c>
      <c r="C11" s="27" t="s">
        <v>19</v>
      </c>
      <c r="D11" s="26" t="s">
        <v>18</v>
      </c>
    </row>
    <row r="12" spans="2:4" ht="14.5" customHeight="1">
      <c r="B12" s="23" t="s">
        <v>261</v>
      </c>
      <c r="C12" s="22">
        <v>22400</v>
      </c>
      <c r="D12" s="21">
        <v>0.615401522019836</v>
      </c>
    </row>
    <row r="13" spans="2:4" ht="14.5" customHeight="1">
      <c r="B13" s="23" t="s">
        <v>262</v>
      </c>
      <c r="C13" s="22">
        <v>6688</v>
      </c>
      <c r="D13" s="21">
        <v>0.183741311574494</v>
      </c>
    </row>
    <row r="14" spans="2:4" ht="14.5" customHeight="1">
      <c r="B14" s="23" t="s">
        <v>263</v>
      </c>
      <c r="C14" s="22">
        <v>1214</v>
      </c>
      <c r="D14" s="21">
        <v>3.3352564630896003E-2</v>
      </c>
    </row>
    <row r="15" spans="2:4" ht="14.5" customHeight="1">
      <c r="B15" s="23" t="s">
        <v>264</v>
      </c>
      <c r="C15" s="22">
        <v>1013</v>
      </c>
      <c r="D15" s="21">
        <v>2.7830434902057999E-2</v>
      </c>
    </row>
    <row r="16" spans="2:4" ht="14.5" customHeight="1">
      <c r="B16" s="23" t="s">
        <v>265</v>
      </c>
      <c r="C16" s="22">
        <v>957</v>
      </c>
      <c r="D16" s="21">
        <v>2.6291931097008E-2</v>
      </c>
    </row>
    <row r="17" spans="2:4" ht="14.5" customHeight="1">
      <c r="B17" s="23" t="s">
        <v>266</v>
      </c>
      <c r="C17" s="22">
        <v>860</v>
      </c>
      <c r="D17" s="21">
        <v>2.3627022720404001E-2</v>
      </c>
    </row>
    <row r="18" spans="2:4" ht="14.5" customHeight="1">
      <c r="B18" s="23" t="s">
        <v>267</v>
      </c>
      <c r="C18" s="22">
        <v>376</v>
      </c>
      <c r="D18" s="21">
        <v>1.0329954119618999E-2</v>
      </c>
    </row>
    <row r="19" spans="2:4" ht="14.5" customHeight="1">
      <c r="B19" s="23" t="s">
        <v>268</v>
      </c>
      <c r="C19" s="22">
        <v>254</v>
      </c>
      <c r="D19" s="21">
        <v>6.9782136871889998E-3</v>
      </c>
    </row>
    <row r="20" spans="2:4" ht="14.5" customHeight="1">
      <c r="B20" s="23" t="s">
        <v>269</v>
      </c>
      <c r="C20" s="22">
        <v>234</v>
      </c>
      <c r="D20" s="21">
        <v>6.428748042529E-3</v>
      </c>
    </row>
    <row r="21" spans="2:4" ht="14.5" customHeight="1">
      <c r="B21" s="23" t="s">
        <v>270</v>
      </c>
      <c r="C21" s="22">
        <v>205</v>
      </c>
      <c r="D21" s="21">
        <v>5.6320228577709996E-3</v>
      </c>
    </row>
    <row r="22" spans="2:4" ht="14.5" customHeight="1">
      <c r="B22" s="23" t="s">
        <v>271</v>
      </c>
      <c r="C22" s="22">
        <v>204</v>
      </c>
      <c r="D22" s="21">
        <v>5.6045495755380004E-3</v>
      </c>
    </row>
    <row r="23" spans="2:4" ht="14.5" customHeight="1">
      <c r="B23" s="23" t="s">
        <v>272</v>
      </c>
      <c r="C23" s="22">
        <v>183</v>
      </c>
      <c r="D23" s="21">
        <v>5.0276106486439997E-3</v>
      </c>
    </row>
    <row r="24" spans="2:4" ht="14.5" customHeight="1">
      <c r="B24" s="23" t="s">
        <v>273</v>
      </c>
      <c r="C24" s="22">
        <v>179</v>
      </c>
      <c r="D24" s="21">
        <v>4.9177175197120003E-3</v>
      </c>
    </row>
    <row r="25" spans="2:4" ht="14.5" customHeight="1">
      <c r="B25" s="23" t="s">
        <v>274</v>
      </c>
      <c r="C25" s="22">
        <v>176</v>
      </c>
      <c r="D25" s="21">
        <v>4.835297673013E-3</v>
      </c>
    </row>
    <row r="26" spans="2:4" ht="14.5" customHeight="1">
      <c r="B26" s="23" t="s">
        <v>275</v>
      </c>
      <c r="C26" s="22">
        <v>159</v>
      </c>
      <c r="D26" s="21">
        <v>4.3682518750519997E-3</v>
      </c>
    </row>
    <row r="27" spans="2:4" ht="14.5" customHeight="1">
      <c r="B27" s="23" t="s">
        <v>276</v>
      </c>
      <c r="C27" s="22">
        <v>146</v>
      </c>
      <c r="D27" s="21">
        <v>4.0110992060220004E-3</v>
      </c>
    </row>
    <row r="28" spans="2:4" ht="14.5" customHeight="1">
      <c r="B28" s="23" t="s">
        <v>277</v>
      </c>
      <c r="C28" s="22">
        <v>139</v>
      </c>
      <c r="D28" s="21">
        <v>3.8187862303909999E-3</v>
      </c>
    </row>
    <row r="29" spans="2:4" ht="14.5" customHeight="1">
      <c r="B29" s="23" t="s">
        <v>278</v>
      </c>
      <c r="C29" s="22">
        <v>127</v>
      </c>
      <c r="D29" s="21">
        <v>3.4891068435949999E-3</v>
      </c>
    </row>
    <row r="30" spans="2:4" ht="14.5" customHeight="1">
      <c r="B30" s="23" t="s">
        <v>279</v>
      </c>
      <c r="C30" s="22">
        <v>124</v>
      </c>
      <c r="D30" s="21">
        <v>3.4066869968960001E-3</v>
      </c>
    </row>
    <row r="31" spans="2:4" ht="14.5" customHeight="1">
      <c r="B31" s="23" t="s">
        <v>280</v>
      </c>
      <c r="C31" s="22">
        <v>118</v>
      </c>
      <c r="D31" s="21">
        <v>3.2418473034970001E-3</v>
      </c>
    </row>
    <row r="32" spans="2:4" ht="14.5" customHeight="1">
      <c r="B32" s="23" t="s">
        <v>281</v>
      </c>
      <c r="C32" s="22">
        <v>113</v>
      </c>
      <c r="D32" s="21">
        <v>3.1044808923320001E-3</v>
      </c>
    </row>
    <row r="33" spans="2:4" ht="14.5" customHeight="1">
      <c r="B33" s="23" t="s">
        <v>282</v>
      </c>
      <c r="C33" s="22">
        <v>74</v>
      </c>
      <c r="D33" s="21">
        <v>2.0330228852439998E-3</v>
      </c>
    </row>
    <row r="34" spans="2:4" ht="14.5" customHeight="1">
      <c r="B34" s="23" t="s">
        <v>283</v>
      </c>
      <c r="C34" s="22">
        <v>44</v>
      </c>
      <c r="D34" s="21">
        <v>1.208824418253E-3</v>
      </c>
    </row>
    <row r="35" spans="2:4" ht="14.5" customHeight="1">
      <c r="B35" s="23" t="s">
        <v>284</v>
      </c>
      <c r="C35" s="22">
        <v>42</v>
      </c>
      <c r="D35" s="21">
        <v>1.1538778537870001E-3</v>
      </c>
    </row>
    <row r="36" spans="2:4" ht="14.5" customHeight="1">
      <c r="B36" s="23" t="s">
        <v>285</v>
      </c>
      <c r="C36" s="22">
        <v>27</v>
      </c>
      <c r="D36" s="21">
        <v>7.4177862029199996E-4</v>
      </c>
    </row>
    <row r="37" spans="2:4" ht="14.5" customHeight="1">
      <c r="B37" s="23" t="s">
        <v>286</v>
      </c>
      <c r="C37" s="22">
        <v>27</v>
      </c>
      <c r="D37" s="21">
        <v>7.4177862029199996E-4</v>
      </c>
    </row>
    <row r="38" spans="2:4" ht="14.5" customHeight="1">
      <c r="B38" s="23" t="s">
        <v>287</v>
      </c>
      <c r="C38" s="22">
        <v>25</v>
      </c>
      <c r="D38" s="21">
        <v>6.8683205582600003E-4</v>
      </c>
    </row>
    <row r="39" spans="2:4" ht="14.5" customHeight="1">
      <c r="B39" s="23" t="s">
        <v>288</v>
      </c>
      <c r="C39" s="22">
        <v>22</v>
      </c>
      <c r="D39" s="21">
        <v>6.0441220912700003E-4</v>
      </c>
    </row>
    <row r="40" spans="2:4" ht="14.5" customHeight="1">
      <c r="B40" s="23" t="s">
        <v>289</v>
      </c>
      <c r="C40" s="22">
        <v>19</v>
      </c>
      <c r="D40" s="21">
        <v>5.2199236242800003E-4</v>
      </c>
    </row>
    <row r="41" spans="2:4" ht="14.5" customHeight="1">
      <c r="B41" s="23" t="s">
        <v>290</v>
      </c>
      <c r="C41" s="22">
        <v>19</v>
      </c>
      <c r="D41" s="21">
        <v>5.2199236242800003E-4</v>
      </c>
    </row>
    <row r="42" spans="2:4" ht="14.5" customHeight="1">
      <c r="B42" s="23" t="s">
        <v>291</v>
      </c>
      <c r="C42" s="22">
        <v>17</v>
      </c>
      <c r="D42" s="21">
        <v>4.6704579796099998E-4</v>
      </c>
    </row>
    <row r="43" spans="2:4" ht="14.5" customHeight="1">
      <c r="B43" s="23" t="s">
        <v>292</v>
      </c>
      <c r="C43" s="22">
        <v>16</v>
      </c>
      <c r="D43" s="21">
        <v>4.3957251572800002E-4</v>
      </c>
    </row>
    <row r="44" spans="2:4" ht="14.5" customHeight="1">
      <c r="B44" s="23" t="s">
        <v>293</v>
      </c>
      <c r="C44" s="22">
        <v>14</v>
      </c>
      <c r="D44" s="21">
        <v>3.8462595126199998E-4</v>
      </c>
    </row>
    <row r="45" spans="2:4" ht="14.5" customHeight="1">
      <c r="B45" s="23" t="s">
        <v>294</v>
      </c>
      <c r="C45" s="22">
        <v>14</v>
      </c>
      <c r="D45" s="21">
        <v>3.8462595126199998E-4</v>
      </c>
    </row>
    <row r="46" spans="2:4" ht="14.5" customHeight="1">
      <c r="B46" s="23" t="s">
        <v>295</v>
      </c>
      <c r="C46" s="22">
        <v>13</v>
      </c>
      <c r="D46" s="21">
        <v>3.5715266902900002E-4</v>
      </c>
    </row>
    <row r="47" spans="2:4" ht="14.5" customHeight="1">
      <c r="B47" s="23" t="s">
        <v>296</v>
      </c>
      <c r="C47" s="22">
        <v>10</v>
      </c>
      <c r="D47" s="21">
        <v>2.7473282233000002E-4</v>
      </c>
    </row>
    <row r="48" spans="2:4" ht="14.5" customHeight="1">
      <c r="B48" s="23" t="s">
        <v>297</v>
      </c>
      <c r="C48" s="22">
        <v>10</v>
      </c>
      <c r="D48" s="21">
        <v>2.7473282233000002E-4</v>
      </c>
    </row>
    <row r="49" spans="2:4" ht="14.5" customHeight="1">
      <c r="B49" s="23" t="s">
        <v>298</v>
      </c>
      <c r="C49" s="22">
        <v>10</v>
      </c>
      <c r="D49" s="21">
        <v>2.7473282233000002E-4</v>
      </c>
    </row>
    <row r="50" spans="2:4" ht="14.5" customHeight="1">
      <c r="B50" s="23" t="s">
        <v>299</v>
      </c>
      <c r="C50" s="22">
        <v>9</v>
      </c>
      <c r="D50" s="21">
        <v>2.47259540097E-4</v>
      </c>
    </row>
    <row r="51" spans="2:4" ht="14.5" customHeight="1">
      <c r="B51" s="23" t="s">
        <v>300</v>
      </c>
      <c r="C51" s="22">
        <v>9</v>
      </c>
      <c r="D51" s="21">
        <v>2.47259540097E-4</v>
      </c>
    </row>
    <row r="52" spans="2:4" ht="14.5" customHeight="1">
      <c r="B52" s="23" t="s">
        <v>301</v>
      </c>
      <c r="C52" s="22">
        <v>8</v>
      </c>
      <c r="D52" s="21">
        <v>2.1978625786400001E-4</v>
      </c>
    </row>
    <row r="53" spans="2:4" ht="14.5" customHeight="1">
      <c r="B53" s="23" t="s">
        <v>302</v>
      </c>
      <c r="C53" s="22">
        <v>8</v>
      </c>
      <c r="D53" s="21">
        <v>2.1978625786400001E-4</v>
      </c>
    </row>
    <row r="54" spans="2:4" ht="14.5" customHeight="1">
      <c r="B54" s="23" t="s">
        <v>303</v>
      </c>
      <c r="C54" s="22">
        <v>7</v>
      </c>
      <c r="D54" s="21">
        <v>1.9231297563099999E-4</v>
      </c>
    </row>
    <row r="55" spans="2:4" ht="14.5" customHeight="1">
      <c r="B55" s="23" t="s">
        <v>304</v>
      </c>
      <c r="C55" s="22">
        <v>7</v>
      </c>
      <c r="D55" s="21">
        <v>1.9231297563099999E-4</v>
      </c>
    </row>
    <row r="56" spans="2:4" ht="14.5" customHeight="1">
      <c r="B56" s="23" t="s">
        <v>305</v>
      </c>
      <c r="C56" s="22">
        <v>7</v>
      </c>
      <c r="D56" s="21">
        <v>1.9231297563099999E-4</v>
      </c>
    </row>
    <row r="57" spans="2:4" ht="14.5" customHeight="1">
      <c r="B57" s="23" t="s">
        <v>306</v>
      </c>
      <c r="C57" s="22">
        <v>7</v>
      </c>
      <c r="D57" s="21">
        <v>1.9231297563099999E-4</v>
      </c>
    </row>
    <row r="58" spans="2:4" ht="14.5" customHeight="1">
      <c r="B58" s="23" t="s">
        <v>307</v>
      </c>
      <c r="C58" s="22">
        <v>7</v>
      </c>
      <c r="D58" s="21">
        <v>1.9231297563099999E-4</v>
      </c>
    </row>
    <row r="59" spans="2:4" ht="14.5" customHeight="1">
      <c r="B59" s="23" t="s">
        <v>308</v>
      </c>
      <c r="C59" s="22">
        <v>6</v>
      </c>
      <c r="D59" s="21">
        <v>1.64839693398E-4</v>
      </c>
    </row>
    <row r="60" spans="2:4" ht="14.5" customHeight="1">
      <c r="B60" s="23" t="s">
        <v>309</v>
      </c>
      <c r="C60" s="22">
        <v>6</v>
      </c>
      <c r="D60" s="21">
        <v>1.64839693398E-4</v>
      </c>
    </row>
    <row r="61" spans="2:4" ht="14.5" customHeight="1">
      <c r="B61" s="23" t="s">
        <v>310</v>
      </c>
      <c r="C61" s="22">
        <v>6</v>
      </c>
      <c r="D61" s="21">
        <v>1.64839693398E-4</v>
      </c>
    </row>
    <row r="62" spans="2:4" ht="14.5" customHeight="1">
      <c r="B62" s="23" t="s">
        <v>311</v>
      </c>
      <c r="C62" s="22">
        <v>4</v>
      </c>
      <c r="D62" s="21">
        <v>1.09893128932E-4</v>
      </c>
    </row>
    <row r="63" spans="2:4" ht="14.5" customHeight="1">
      <c r="B63" s="23" t="s">
        <v>312</v>
      </c>
      <c r="C63" s="22">
        <v>4</v>
      </c>
      <c r="D63" s="21">
        <v>1.09893128932E-4</v>
      </c>
    </row>
    <row r="64" spans="2:4" ht="14.5" customHeight="1">
      <c r="B64" s="23" t="s">
        <v>313</v>
      </c>
      <c r="C64" s="22">
        <v>3</v>
      </c>
      <c r="D64" s="21">
        <v>8.2419846699E-5</v>
      </c>
    </row>
    <row r="65" spans="2:4" ht="14.5" customHeight="1">
      <c r="B65" s="23" t="s">
        <v>314</v>
      </c>
      <c r="C65" s="22">
        <v>3</v>
      </c>
      <c r="D65" s="21">
        <v>8.2419846699E-5</v>
      </c>
    </row>
    <row r="66" spans="2:4" ht="14.5" customHeight="1">
      <c r="B66" s="23" t="s">
        <v>315</v>
      </c>
      <c r="C66" s="22">
        <v>3</v>
      </c>
      <c r="D66" s="21">
        <v>8.2419846699E-5</v>
      </c>
    </row>
    <row r="67" spans="2:4" ht="14.5" customHeight="1">
      <c r="B67" s="23" t="s">
        <v>316</v>
      </c>
      <c r="C67" s="22">
        <v>3</v>
      </c>
      <c r="D67" s="21">
        <v>8.2419846699E-5</v>
      </c>
    </row>
    <row r="68" spans="2:4" ht="14.5" customHeight="1">
      <c r="B68" s="23" t="s">
        <v>317</v>
      </c>
      <c r="C68" s="22">
        <v>3</v>
      </c>
      <c r="D68" s="21">
        <v>8.2419846699E-5</v>
      </c>
    </row>
    <row r="69" spans="2:4" ht="14.5" customHeight="1">
      <c r="B69" s="23" t="s">
        <v>318</v>
      </c>
      <c r="C69" s="22">
        <v>3</v>
      </c>
      <c r="D69" s="21">
        <v>8.2419846699E-5</v>
      </c>
    </row>
    <row r="70" spans="2:4" ht="14.5" customHeight="1">
      <c r="B70" s="23" t="s">
        <v>319</v>
      </c>
      <c r="C70" s="22">
        <v>3</v>
      </c>
      <c r="D70" s="21">
        <v>8.2419846699E-5</v>
      </c>
    </row>
    <row r="71" spans="2:4" ht="14.5" customHeight="1">
      <c r="B71" s="23" t="s">
        <v>320</v>
      </c>
      <c r="C71" s="22">
        <v>2</v>
      </c>
      <c r="D71" s="21">
        <v>5.4946564466000002E-5</v>
      </c>
    </row>
    <row r="72" spans="2:4" ht="14.5" customHeight="1">
      <c r="B72" s="23" t="s">
        <v>321</v>
      </c>
      <c r="C72" s="22">
        <v>2</v>
      </c>
      <c r="D72" s="21">
        <v>5.4946564466000002E-5</v>
      </c>
    </row>
    <row r="73" spans="2:4" ht="14.5" customHeight="1">
      <c r="B73" s="23" t="s">
        <v>322</v>
      </c>
      <c r="C73" s="22">
        <v>2</v>
      </c>
      <c r="D73" s="21">
        <v>5.4946564466000002E-5</v>
      </c>
    </row>
    <row r="74" spans="2:4" ht="14.5" customHeight="1">
      <c r="B74" s="23" t="s">
        <v>323</v>
      </c>
      <c r="C74" s="22">
        <v>1</v>
      </c>
      <c r="D74" s="21">
        <v>2.7473282233000001E-5</v>
      </c>
    </row>
    <row r="75" spans="2:4" ht="14.5" customHeight="1">
      <c r="B75" s="23" t="s">
        <v>324</v>
      </c>
      <c r="C75" s="22">
        <v>1</v>
      </c>
      <c r="D75" s="21">
        <v>2.7473282233000001E-5</v>
      </c>
    </row>
    <row r="76" spans="2:4" ht="14.5" customHeight="1">
      <c r="B76" s="23" t="s">
        <v>250</v>
      </c>
      <c r="C76" s="22">
        <v>1</v>
      </c>
      <c r="D76" s="21">
        <v>2.7473282233000001E-5</v>
      </c>
    </row>
    <row r="77" spans="2:4" ht="14.5" customHeight="1">
      <c r="B77" s="23" t="s">
        <v>325</v>
      </c>
      <c r="C77" s="22">
        <v>1</v>
      </c>
      <c r="D77" s="21">
        <v>2.7473282233000001E-5</v>
      </c>
    </row>
    <row r="78" spans="2:4" ht="14.5" customHeight="1">
      <c r="B78" s="23" t="s">
        <v>326</v>
      </c>
      <c r="C78" s="22">
        <v>1</v>
      </c>
      <c r="D78" s="21">
        <v>2.7473282233000001E-5</v>
      </c>
    </row>
    <row r="79" spans="2:4" ht="14.5" customHeight="1">
      <c r="B79" s="20" t="s">
        <v>29</v>
      </c>
      <c r="C79" s="19">
        <v>36399</v>
      </c>
      <c r="D79" s="18">
        <v>1</v>
      </c>
    </row>
    <row r="80" spans="2:4" ht="14.5" customHeight="1"/>
    <row r="81" spans="2:2" ht="14.5" customHeight="1">
      <c r="B81" s="15" t="s">
        <v>47</v>
      </c>
    </row>
    <row r="82" spans="2:2" ht="14.5" customHeight="1">
      <c r="B82" s="17" t="s">
        <v>17</v>
      </c>
    </row>
    <row r="83" spans="2:2" ht="14.5" customHeight="1">
      <c r="B83" s="16" t="s">
        <v>48</v>
      </c>
    </row>
    <row r="84" spans="2:2" ht="14.5" customHeight="1">
      <c r="B84" s="15" t="s">
        <v>16</v>
      </c>
    </row>
    <row r="85" spans="2:2" ht="14.5" customHeight="1">
      <c r="B85" s="15" t="s">
        <v>49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20</vt:i4>
      </vt:variant>
    </vt:vector>
  </HeadingPairs>
  <TitlesOfParts>
    <vt:vector size="35" baseType="lpstr">
      <vt:lpstr>Índice</vt:lpstr>
      <vt:lpstr>Ciudad de México_EdoUsa</vt:lpstr>
      <vt:lpstr>Ciudad de México_Cons</vt:lpstr>
      <vt:lpstr>Ciudad de MéxicoXCons</vt:lpstr>
      <vt:lpstr>Ciudad de México_EdoMun</vt:lpstr>
      <vt:lpstr>Ciudad de México_USAMuni</vt:lpstr>
      <vt:lpstr>Ciudad de México_MUNICIPIO</vt:lpstr>
      <vt:lpstr>Ciudad de México_educ_gral</vt:lpstr>
      <vt:lpstr>Ciudad de México_NivelE_Cons</vt:lpstr>
      <vt:lpstr>Ciudad de México_EducCons</vt:lpstr>
      <vt:lpstr>Ciudad de México_GenGral</vt:lpstr>
      <vt:lpstr>Ciudad de México_GENERO</vt:lpstr>
      <vt:lpstr>Ciudad de México_GENERO_EUA</vt:lpstr>
      <vt:lpstr>Ciudad de México_Gen_Edad</vt:lpstr>
      <vt:lpstr>Ciudad de México_ocup_gral</vt:lpstr>
      <vt:lpstr>'Ciudad de México_Cons'!Área_de_impresión</vt:lpstr>
      <vt:lpstr>'Ciudad de México_educ_gral'!Área_de_impresión</vt:lpstr>
      <vt:lpstr>'Ciudad de México_EducCons'!Área_de_impresión</vt:lpstr>
      <vt:lpstr>'Ciudad de México_MUNICIPIO'!Área_de_impresión</vt:lpstr>
      <vt:lpstr>'Ciudad de México_NivelE_Cons'!Área_de_impresión</vt:lpstr>
      <vt:lpstr>'Ciudad de México_USAMuni'!Área_de_impresión</vt:lpstr>
      <vt:lpstr>'Ciudad de México_Cons'!Títulos_a_imprimir</vt:lpstr>
      <vt:lpstr>'Ciudad de México_EdoMun'!Títulos_a_imprimir</vt:lpstr>
      <vt:lpstr>'Ciudad de México_EdoUsa'!Títulos_a_imprimir</vt:lpstr>
      <vt:lpstr>'Ciudad de México_educ_gral'!Títulos_a_imprimir</vt:lpstr>
      <vt:lpstr>'Ciudad de México_EducCons'!Títulos_a_imprimir</vt:lpstr>
      <vt:lpstr>'Ciudad de México_Gen_Edad'!Títulos_a_imprimir</vt:lpstr>
      <vt:lpstr>'Ciudad de México_GENERO'!Títulos_a_imprimir</vt:lpstr>
      <vt:lpstr>'Ciudad de México_GENERO_EUA'!Títulos_a_imprimir</vt:lpstr>
      <vt:lpstr>'Ciudad de México_GenGral'!Títulos_a_imprimir</vt:lpstr>
      <vt:lpstr>'Ciudad de México_MUNICIPIO'!Títulos_a_imprimir</vt:lpstr>
      <vt:lpstr>'Ciudad de México_NivelE_Cons'!Títulos_a_imprimir</vt:lpstr>
      <vt:lpstr>'Ciudad de México_ocup_gral'!Títulos_a_imprimir</vt:lpstr>
      <vt:lpstr>'Ciudad de México_USAMuni'!Títulos_a_imprimir</vt:lpstr>
      <vt:lpstr>'Ciudad de MéxicoXCons'!Títulos_a_imprimir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Soto Ramírez, Edith</cp:lastModifiedBy>
  <dcterms:created xsi:type="dcterms:W3CDTF">2020-06-02T21:59:58Z</dcterms:created>
  <dcterms:modified xsi:type="dcterms:W3CDTF">2024-12-26T14:34:21Z</dcterms:modified>
</cp:coreProperties>
</file>